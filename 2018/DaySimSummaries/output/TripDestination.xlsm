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drawing+xml" PartName="/xl/drawings/drawing12.xml"/>
  <Override ContentType="application/vnd.openxmlformats-officedocument.drawing+xml" PartName="/xl/drawings/drawing13.xml"/>
  <Override ContentType="application/vnd.openxmlformats-officedocument.drawing+xml" PartName="/xl/drawings/drawing14.xml"/>
  <Override ContentType="application/vnd.openxmlformats-officedocument.drawing+xml" PartName="/xl/drawings/drawing15.xml"/>
  <Override ContentType="application/vnd.openxmlformats-officedocument.drawing+xml" PartName="/xl/drawings/drawing16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Model\BaseYear\Calibration\ABM_TCAD8_TAZSPLIT\2018\DaySimSummaries\output\"/>
    </mc:Choice>
  </mc:AlternateContent>
  <bookViews>
    <workbookView windowHeight="15690" windowWidth="28950" xWindow="0" yWindow="0"/>
  </bookViews>
  <sheets>
    <sheet name="TLFD_Home" r:id="rId1" sheetId="3"/>
    <sheet name="TDFD_Home" r:id="rId2" sheetId="4"/>
    <sheet name="TLFD_Work" r:id="rId3" sheetId="8"/>
    <sheet name="TDFD_Work" r:id="rId4" sheetId="9"/>
    <sheet name="TLFD_School" r:id="rId5" sheetId="11"/>
    <sheet name="TDFD_School" r:id="rId6" sheetId="12"/>
    <sheet name="TLFD_Escort" r:id="rId7" sheetId="13"/>
    <sheet name="TDFD_Escort" r:id="rId8" sheetId="14"/>
    <sheet name="TLFD_PerBus" r:id="rId9" sheetId="15"/>
    <sheet name="TDFD_PerBus" r:id="rId10" sheetId="16"/>
    <sheet name="TLFD_Shop" r:id="rId11" sheetId="17"/>
    <sheet name="TDFD_Shop" r:id="rId12" sheetId="18"/>
    <sheet name="TLFD_Meal" r:id="rId13" sheetId="19"/>
    <sheet name="TDFD_Meal" r:id="rId14" sheetId="20"/>
    <sheet name="TLFD_SocRec" r:id="rId15" sheetId="21"/>
    <sheet name="TDFD_SocRec" r:id="rId16" sheetId="22"/>
  </sheets>
  <definedNames>
    <definedName name="AVGD">TLFD_Home!$L$11:$L$13</definedName>
    <definedName name="AVGT">TDFD_Home!$L$11:$L$13</definedName>
    <definedName name="flow">#REF!</definedName>
    <definedName name="out1">TLFD_SocRec!$B$11:$B$101</definedName>
    <definedName name="out10">#REF!</definedName>
    <definedName name="out2">TLFD_SocRec!$F$11:$F$101</definedName>
    <definedName name="out3">TDFD_SocRec!$B$11:$B$101</definedName>
    <definedName name="out4">TDFD_SocRec!$F$11:$F$101</definedName>
    <definedName name="out5">TLFD_SocRec!$K$11:$K$11</definedName>
    <definedName name="out6">TLFD_SocRec!$L$11:$L$11</definedName>
    <definedName name="out7">TDFD_SocRec!$K$11:$K$11</definedName>
    <definedName name="out8">TDFD_SocRec!$L$11:$L$11</definedName>
    <definedName name="out9">#REF!</definedName>
    <definedName name="TDFD">TDFD_Home!$E$11:$F$102</definedName>
    <definedName name="TLFD">TLFD_Home!$E$11:$F$102</definedName>
    <definedName name="out_1">TLFD_SocRec!$B$11:$B$101</definedName>
    <definedName name="out_3">TDFD_SocRec!$B$11:$B$101</definedName>
    <definedName name="out_5">TLFD_SocRec!$K$11:$K$11</definedName>
    <definedName name="out_7">TDFD_SocRec!$K$11:$K$11</definedName>
    <definedName name="out_2">TLFD_SocRec!$F$11:$F$101</definedName>
    <definedName name="out_4">TDFD_SocRec!$F$11:$F$101</definedName>
    <definedName name="out_6">TLFD_SocRec!$L$11:$L$11</definedName>
    <definedName name="out_8">TDFD_SocRec!$L$11:$L$11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3" l="1" r="Z16"/>
  <c i="3" r="V16"/>
  <c i="3" r="Z17"/>
  <c i="3" r="V17"/>
  <c i="3" r="Z15"/>
  <c i="3" r="V15"/>
  <c i="3" r="Z14"/>
  <c i="3" r="V14"/>
  <c i="3" r="Z13"/>
  <c i="3" r="V13"/>
  <c i="3" r="Z12"/>
  <c i="3" r="V12"/>
  <c i="3" r="Z11"/>
  <c i="3" r="V11"/>
  <c i="3" r="Z10"/>
  <c i="3" r="V10"/>
  <c i="22" l="1" r="F102"/>
  <c i="22" r="G102" s="1"/>
  <c i="22" r="B102"/>
  <c i="22" r="C65" s="1"/>
  <c i="21" r="F102"/>
  <c i="21" r="B102"/>
  <c i="20" r="F102"/>
  <c i="20" r="G102" s="1"/>
  <c i="20" r="B102"/>
  <c i="20" r="C101" s="1"/>
  <c i="19" r="F102"/>
  <c i="19" r="B102"/>
  <c i="18" r="F102"/>
  <c i="18" r="G48" s="1"/>
  <c i="18" r="B102"/>
  <c i="18" r="C93" s="1"/>
  <c i="17" r="F102"/>
  <c i="17" r="B102"/>
  <c i="16" r="F102"/>
  <c i="16" r="G89" s="1"/>
  <c i="16" r="B102"/>
  <c i="16" r="C37" s="1"/>
  <c i="15" r="F102"/>
  <c i="15" r="B102"/>
  <c i="14" r="F102"/>
  <c i="14" r="G65" s="1"/>
  <c i="14" r="B102"/>
  <c i="14" r="C34" s="1"/>
  <c i="13" r="F102"/>
  <c i="13" r="B102"/>
  <c i="12" r="F102"/>
  <c i="12" r="G102" s="1"/>
  <c i="12" r="B102"/>
  <c i="12" r="C34" s="1"/>
  <c i="11" r="F102"/>
  <c i="11" r="B102"/>
  <c i="9" r="F102"/>
  <c i="9" r="G78" s="1"/>
  <c i="9" r="B102"/>
  <c i="9" r="C61" s="1"/>
  <c i="8" r="F102"/>
  <c i="8" r="B102"/>
  <c i="22" l="1" r="G12"/>
  <c i="22" r="G32"/>
  <c i="22" r="G34"/>
  <c i="22" r="G36"/>
  <c i="15" r="C30"/>
  <c i="3" r="U14"/>
  <c i="3" r="W14" s="1"/>
  <c i="21" r="G29"/>
  <c i="3" r="Y17"/>
  <c i="15" r="G27"/>
  <c i="3" r="Y14"/>
  <c i="3" r="AA14" s="1"/>
  <c i="17" r="G89"/>
  <c i="3" r="Y15"/>
  <c i="3" r="AA15" s="1"/>
  <c i="19" r="G81"/>
  <c i="3" r="Y16"/>
  <c i="3" r="AA16" s="1"/>
  <c i="17" r="C92"/>
  <c i="3" r="U15"/>
  <c i="3" r="W15" s="1"/>
  <c i="22" r="G38"/>
  <c i="8" r="C46"/>
  <c i="3" r="U11"/>
  <c i="3" r="W11" s="1"/>
  <c i="22" r="C40"/>
  <c i="19" r="C100"/>
  <c i="3" r="U16"/>
  <c i="3" r="W16" s="1"/>
  <c i="8" r="G51"/>
  <c i="3" r="Y11"/>
  <c i="3" r="AA11" s="1"/>
  <c i="11" r="C12"/>
  <c i="3" r="U12"/>
  <c i="3" r="W12" s="1"/>
  <c i="13" r="G57"/>
  <c i="3" r="Y13"/>
  <c i="3" r="AA13" s="1"/>
  <c i="21" r="C99"/>
  <c i="3" r="U17"/>
  <c i="11" r="G67"/>
  <c i="3" r="Y12"/>
  <c i="3" r="AA12" s="1"/>
  <c i="13" r="C38"/>
  <c i="3" r="U13"/>
  <c i="3" r="W13" s="1"/>
  <c i="20" r="C33"/>
  <c i="20" r="C32"/>
  <c i="20" r="C34"/>
  <c i="20" r="C30"/>
  <c i="22" r="G40"/>
  <c i="22" r="C42"/>
  <c i="22" r="C43"/>
  <c i="20" r="C37"/>
  <c i="20" r="C31"/>
  <c i="20" r="C38"/>
  <c i="22" r="G18"/>
  <c i="22" r="G22"/>
  <c i="22" r="C23"/>
  <c i="20" r="G29"/>
  <c i="22" r="G24"/>
  <c i="20" r="G69"/>
  <c i="22" r="G44"/>
  <c i="20" r="C73"/>
  <c i="22" r="C47"/>
  <c i="20" r="C74"/>
  <c i="22" r="G48"/>
  <c i="20" r="C39"/>
  <c i="20" r="C72"/>
  <c i="22" r="C45"/>
  <c i="20" r="C75"/>
  <c i="22" r="C50"/>
  <c i="20" r="C76"/>
  <c i="22" r="G50"/>
  <c i="20" r="C79"/>
  <c i="22" r="G54"/>
  <c i="8" r="G81"/>
  <c i="12" r="G12"/>
  <c i="22" r="C22"/>
  <c i="12" r="C13"/>
  <c i="12" r="C16"/>
  <c i="12" r="C18"/>
  <c i="12" r="C60"/>
  <c i="12" r="C64"/>
  <c i="22" r="C48"/>
  <c i="22" r="C53"/>
  <c i="22" r="C11"/>
  <c i="22" r="C15"/>
  <c i="22" r="C16"/>
  <c i="22" r="C18"/>
  <c i="12" r="C68"/>
  <c i="12" r="C62"/>
  <c i="20" r="C88"/>
  <c i="12" r="C66"/>
  <c i="20" r="C90"/>
  <c i="20" r="C91"/>
  <c i="17" r="G12"/>
  <c i="17" r="G33"/>
  <c i="17" r="C34"/>
  <c i="20" r="C92"/>
  <c i="20" r="C94"/>
  <c i="22" r="G58"/>
  <c i="18" r="C33"/>
  <c i="22" r="C59"/>
  <c i="17" r="C12"/>
  <c i="17" r="C35"/>
  <c i="8" r="G83"/>
  <c i="17" r="C36"/>
  <c i="8" r="G87"/>
  <c i="17" r="C37"/>
  <c i="22" r="C61"/>
  <c i="17" r="C40"/>
  <c i="17" r="C41"/>
  <c i="16" r="G94"/>
  <c i="8" r="G97"/>
  <c i="17" r="C82"/>
  <c i="18" r="G50"/>
  <c i="17" r="C84"/>
  <c i="22" r="G60"/>
  <c i="8" r="G89"/>
  <c i="8" r="G99"/>
  <c i="22" r="C13"/>
  <c i="22" r="C62"/>
  <c i="22" r="C14"/>
  <c i="22" r="G62"/>
  <c i="20" r="G21"/>
  <c i="22" r="G14"/>
  <c i="22" r="G64"/>
  <c i="20" r="C28"/>
  <c i="13" r="G99"/>
  <c i="13" r="G19"/>
  <c i="20" r="C29"/>
  <c i="20" r="C45"/>
  <c i="15" r="G42"/>
  <c i="20" r="C58"/>
  <c i="20" r="C47"/>
  <c i="15" r="G38"/>
  <c i="18" r="C94"/>
  <c i="20" r="C59"/>
  <c i="20" r="C95"/>
  <c i="17" r="C85"/>
  <c i="20" r="C102"/>
  <c i="20" r="C46"/>
  <c i="20" r="C57"/>
  <c i="20" r="C60"/>
  <c i="9" r="G74"/>
  <c i="20" r="C50"/>
  <c i="15" r="G40"/>
  <c i="15" r="C44"/>
  <c i="9" r="G72"/>
  <c i="15" r="G45"/>
  <c i="20" r="C61"/>
  <c i="15" r="G46"/>
  <c i="20" r="C11"/>
  <c i="20" r="G61"/>
  <c i="9" r="G76"/>
  <c i="15" r="G49"/>
  <c i="20" r="C12"/>
  <c i="20" r="C62"/>
  <c i="22" r="G16"/>
  <c i="22" r="G66"/>
  <c i="12" r="C70"/>
  <c i="20" r="C56"/>
  <c i="15" r="G50"/>
  <c i="20" r="C15"/>
  <c i="20" r="C65"/>
  <c i="22" r="G96"/>
  <c i="12" r="C100"/>
  <c i="20" r="C40"/>
  <c i="20" r="C44"/>
  <c i="15" r="G51"/>
  <c i="20" r="C16"/>
  <c i="20" r="C66"/>
  <c i="22" r="G98"/>
  <c i="15" r="G43"/>
  <c i="15" r="G56"/>
  <c i="20" r="C17"/>
  <c i="20" r="C67"/>
  <c i="22" r="C19"/>
  <c i="22" r="G100"/>
  <c i="20" r="C41"/>
  <c i="15" r="G85"/>
  <c i="20" r="C18"/>
  <c i="20" r="C68"/>
  <c i="20" r="C96"/>
  <c i="12" r="C12"/>
  <c i="20" r="C19"/>
  <c i="20" r="C69"/>
  <c i="22" r="C63"/>
  <c i="22" r="C64"/>
  <c i="22" r="C24"/>
  <c i="22" r="C27"/>
  <c i="22" r="C29"/>
  <c i="22" r="C66"/>
  <c i="22" r="C90"/>
  <c i="22" r="C98"/>
  <c i="22" r="C94"/>
  <c i="22" r="C37"/>
  <c i="22" r="C34"/>
  <c i="22" r="C35"/>
  <c i="22" r="C38"/>
  <c i="22" r="C39"/>
  <c i="21" r="C84"/>
  <c i="21" r="C32"/>
  <c i="21" r="C33"/>
  <c i="20" r="G37"/>
  <c i="20" r="G45"/>
  <c i="20" r="C98"/>
  <c i="19" r="G89"/>
  <c i="19" r="G14"/>
  <c i="19" r="G22"/>
  <c i="19" r="G46"/>
  <c i="19" r="G54"/>
  <c i="19" r="G57"/>
  <c i="19" r="G41"/>
  <c i="19" r="G62"/>
  <c i="19" r="G86"/>
  <c i="19" r="G65"/>
  <c i="19" r="G70"/>
  <c i="19" r="C42"/>
  <c i="19" r="C56"/>
  <c i="19" r="C92"/>
  <c i="19" r="C54"/>
  <c i="19" r="C62"/>
  <c i="19" r="C12"/>
  <c i="19" r="C52"/>
  <c i="19" r="C64"/>
  <c i="19" r="C22"/>
  <c i="19" r="C46"/>
  <c i="19" r="C66"/>
  <c i="19" r="C84"/>
  <c i="19" r="C14"/>
  <c i="19" r="C86"/>
  <c i="19" r="C44"/>
  <c i="19" r="C88"/>
  <c i="18" r="G70"/>
  <c i="18" r="G12"/>
  <c i="18" r="G14"/>
  <c i="18" r="G32"/>
  <c i="18" r="G22"/>
  <c i="18" r="G40"/>
  <c i="18" r="G52"/>
  <c i="18" r="G42"/>
  <c i="18" r="G20"/>
  <c i="18" r="G44"/>
  <c i="18" r="C44"/>
  <c i="18" r="C48"/>
  <c i="18" r="C95"/>
  <c i="18" r="C41"/>
  <c i="18" r="C43"/>
  <c i="18" r="C50"/>
  <c i="18" r="C71"/>
  <c i="18" r="C53"/>
  <c i="18" r="C11"/>
  <c i="18" r="C72"/>
  <c i="18" r="C97"/>
  <c i="18" r="C73"/>
  <c i="18" r="C76"/>
  <c i="18" r="C77"/>
  <c i="18" r="C36"/>
  <c i="18" r="C12"/>
  <c i="18" r="C19"/>
  <c i="18" r="C20"/>
  <c i="18" r="C80"/>
  <c i="18" r="C34"/>
  <c i="18" r="C45"/>
  <c i="18" r="C15"/>
  <c i="18" r="C83"/>
  <c i="18" r="C96"/>
  <c i="18" r="C42"/>
  <c i="18" r="C49"/>
  <c i="18" r="C78"/>
  <c i="18" r="C79"/>
  <c i="18" r="C21"/>
  <c i="18" r="C90"/>
  <c i="18" r="C22"/>
  <c i="18" r="C91"/>
  <c i="18" r="C92"/>
  <c i="17" r="C89"/>
  <c i="17" r="C86"/>
  <c i="16" r="G98"/>
  <c i="16" r="G36"/>
  <c i="16" r="G37"/>
  <c i="16" r="G39"/>
  <c i="16" r="C41"/>
  <c i="16" r="C89"/>
  <c i="16" r="C94"/>
  <c i="15" r="G93"/>
  <c i="15" r="G96"/>
  <c i="15" r="G97"/>
  <c i="15" r="G94"/>
  <c i="15" r="G98"/>
  <c i="15" r="G99"/>
  <c i="15" r="G101"/>
  <c i="15" r="C94"/>
  <c i="15" r="C86"/>
  <c i="14" r="G12"/>
  <c i="14" r="G45"/>
  <c i="14" r="G98"/>
  <c i="14" r="G19"/>
  <c i="14" r="G46"/>
  <c i="14" r="G48"/>
  <c i="14" r="G47"/>
  <c i="14" r="G49"/>
  <c i="14" r="G13"/>
  <c i="14" r="G21"/>
  <c i="14" r="G44"/>
  <c i="14" r="G50"/>
  <c i="14" r="G51"/>
  <c i="14" r="G18"/>
  <c i="14" r="G83"/>
  <c i="14" r="G87"/>
  <c i="14" r="G85"/>
  <c i="14" r="G90"/>
  <c i="14" r="G20"/>
  <c i="14" r="G52"/>
  <c i="14" r="G56"/>
  <c i="14" r="G92"/>
  <c i="14" r="G94"/>
  <c i="14" r="C46"/>
  <c i="14" r="C50"/>
  <c i="14" r="C82"/>
  <c i="14" r="C14"/>
  <c i="14" r="C84"/>
  <c i="14" r="C18"/>
  <c i="14" r="C93"/>
  <c i="13" r="G59"/>
  <c i="13" r="G21"/>
  <c i="13" r="G64"/>
  <c i="13" r="G49"/>
  <c i="13" r="G51"/>
  <c i="13" r="G65"/>
  <c i="13" r="G41"/>
  <c i="13" r="G43"/>
  <c i="13" r="G67"/>
  <c i="13" r="G22"/>
  <c i="13" r="G48"/>
  <c i="13" r="G70"/>
  <c i="13" r="G25"/>
  <c i="13" r="G32"/>
  <c i="13" r="G62"/>
  <c i="13" r="G72"/>
  <c i="13" r="G40"/>
  <c i="13" r="G38"/>
  <c i="13" r="G83"/>
  <c i="13" r="G80"/>
  <c i="13" r="G86"/>
  <c i="13" r="G75"/>
  <c i="13" r="G16"/>
  <c i="13" r="G88"/>
  <c i="13" r="G30"/>
  <c i="13" r="G17"/>
  <c i="13" r="G96"/>
  <c i="13" r="G24"/>
  <c i="13" r="G26"/>
  <c i="13" r="G27"/>
  <c i="13" r="G33"/>
  <c i="13" r="G81"/>
  <c i="13" r="G18"/>
  <c i="13" r="G97"/>
  <c i="13" r="C30"/>
  <c i="12" r="C76"/>
  <c i="12" r="C80"/>
  <c i="12" r="C84"/>
  <c i="12" r="C86"/>
  <c i="12" r="C82"/>
  <c i="12" r="C89"/>
  <c i="12" r="C92"/>
  <c i="12" r="C72"/>
  <c i="12" r="C74"/>
  <c i="12" r="C97"/>
  <c i="11" r="G22"/>
  <c i="11" r="G24"/>
  <c i="11" r="G25"/>
  <c i="11" r="G49"/>
  <c i="11" r="G51"/>
  <c i="11" r="G20"/>
  <c i="11" r="G52"/>
  <c i="11" r="G59"/>
  <c i="11" r="G19"/>
  <c i="11" r="G21"/>
  <c i="11" r="G60"/>
  <c i="11" r="G62"/>
  <c i="11" r="G92"/>
  <c i="11" r="G100"/>
  <c i="11" r="G94"/>
  <c i="11" r="G95"/>
  <c i="11" r="G63"/>
  <c i="11" r="G96"/>
  <c i="11" r="G97"/>
  <c i="11" r="G99"/>
  <c i="11" r="C54"/>
  <c i="11" r="C58"/>
  <c i="11" r="C62"/>
  <c i="11" r="C18"/>
  <c i="11" r="C22"/>
  <c i="11" r="C94"/>
  <c i="11" r="C20"/>
  <c i="11" r="C98"/>
  <c i="9" r="G24"/>
  <c i="9" r="G36"/>
  <c i="9" r="G14"/>
  <c i="9" r="G38"/>
  <c i="9" r="G40"/>
  <c i="9" r="G42"/>
  <c i="9" r="G44"/>
  <c i="9" r="G48"/>
  <c i="9" r="G50"/>
  <c i="9" r="G52"/>
  <c i="9" r="G54"/>
  <c i="9" r="G58"/>
  <c i="9" r="G60"/>
  <c i="9" r="G70"/>
  <c i="9" r="C17"/>
  <c i="9" r="C41"/>
  <c i="9" r="C33"/>
  <c i="9" r="C44"/>
  <c i="9" r="C28"/>
  <c i="9" r="C49"/>
  <c i="9" r="C25"/>
  <c i="9" r="C52"/>
  <c i="9" r="C12"/>
  <c i="8" r="G12"/>
  <c i="8" r="G15"/>
  <c i="8" r="G25"/>
  <c i="8" r="G29"/>
  <c i="8" r="G31"/>
  <c i="8" r="G33"/>
  <c i="8" r="G35"/>
  <c i="8" r="G13"/>
  <c i="8" r="G37"/>
  <c i="8" r="G14"/>
  <c i="8" r="G39"/>
  <c i="8" r="G69"/>
  <c i="8" r="G71"/>
  <c i="8" r="G73"/>
  <c i="8" r="G75"/>
  <c i="8" r="G77"/>
  <c i="8" r="G79"/>
  <c i="8" r="C25"/>
  <c i="8" r="C34"/>
  <c i="8" r="C86"/>
  <c i="8" r="C15"/>
  <c i="8" r="C33"/>
  <c i="8" r="C14"/>
  <c i="8" r="C94"/>
  <c i="8" r="C37"/>
  <c i="8" r="C39"/>
  <c i="8" r="C29"/>
  <c i="8" r="C31"/>
  <c i="8" r="C36"/>
  <c i="8" r="C70"/>
  <c i="8" r="C38"/>
  <c i="8" r="C30"/>
  <c i="8" r="C12"/>
  <c i="8" r="C81"/>
  <c i="8" r="C13"/>
  <c i="13" r="C54"/>
  <c i="13" r="C46"/>
  <c i="21" r="C30"/>
  <c i="21" r="C98"/>
  <c i="21" r="C31"/>
  <c i="21" r="C102"/>
  <c i="21" r="C66"/>
  <c i="21" r="C37"/>
  <c i="21" r="C65"/>
  <c i="21" r="C36"/>
  <c i="21" r="C64"/>
  <c i="21" r="C35"/>
  <c i="21" r="C96"/>
  <c i="21" r="C57"/>
  <c i="21" r="C28"/>
  <c i="21" r="C95"/>
  <c i="21" r="C56"/>
  <c i="21" r="C27"/>
  <c i="21" r="C91"/>
  <c i="21" r="C55"/>
  <c i="21" r="C26"/>
  <c i="21" r="C54"/>
  <c i="21" r="C92"/>
  <c i="21" r="C25"/>
  <c i="21" r="C88"/>
  <c i="21" r="C53"/>
  <c i="21" r="C24"/>
  <c i="21" r="C89"/>
  <c i="21" r="C85"/>
  <c i="21" r="C52"/>
  <c i="21" r="C23"/>
  <c i="21" r="C50"/>
  <c i="21" r="C21"/>
  <c i="21" r="C81"/>
  <c i="21" r="C20"/>
  <c i="21" r="C73"/>
  <c i="21" r="C44"/>
  <c i="21" r="C15"/>
  <c i="21" r="C72"/>
  <c i="21" r="C43"/>
  <c i="21" r="C14"/>
  <c i="21" r="C68"/>
  <c i="21" r="C39"/>
  <c i="21" r="G99"/>
  <c i="21" r="G55"/>
  <c i="21" r="G26"/>
  <c i="21" r="G81"/>
  <c i="21" r="G49"/>
  <c i="16" r="C31"/>
  <c i="16" r="C69"/>
  <c i="16" r="C29"/>
  <c i="16" r="C65"/>
  <c i="17" r="C38"/>
  <c i="21" r="C34"/>
  <c i="16" r="G102"/>
  <c i="16" r="G29"/>
  <c i="16" r="G28"/>
  <c i="16" r="G27"/>
  <c i="16" r="G67"/>
  <c i="16" r="G65"/>
  <c i="16" r="G63"/>
  <c i="16" r="G26"/>
  <c i="16" r="G59"/>
  <c i="16" r="G23"/>
  <c i="16" r="G57"/>
  <c i="16" r="G22"/>
  <c i="16" r="G92"/>
  <c i="16" r="G49"/>
  <c i="16" r="G17"/>
  <c i="16" r="G91"/>
  <c i="17" r="C39"/>
  <c i="21" r="C38"/>
  <c i="17" r="C102"/>
  <c i="17" r="C68"/>
  <c i="17" r="C33"/>
  <c i="17" r="C15"/>
  <c i="17" r="C65"/>
  <c i="17" r="C14"/>
  <c i="17" r="C66"/>
  <c i="17" r="C32"/>
  <c i="17" r="C31"/>
  <c i="17" r="C63"/>
  <c i="17" r="C30"/>
  <c i="17" r="C13"/>
  <c i="17" r="C60"/>
  <c i="17" r="C58"/>
  <c i="17" r="C27"/>
  <c i="17" r="C11"/>
  <c i="17" r="C97"/>
  <c i="17" r="C50"/>
  <c i="17" r="C24"/>
  <c i="17" r="C93"/>
  <c i="17" r="C49"/>
  <c i="21" r="C40"/>
  <c i="17" r="G63"/>
  <c i="17" r="G13"/>
  <c i="17" r="G14"/>
  <c i="17" r="G31"/>
  <c i="17" r="G27"/>
  <c i="17" r="G11"/>
  <c i="17" r="G23"/>
  <c i="21" r="C41"/>
  <c i="17" r="G15"/>
  <c i="17" r="C42"/>
  <c i="21" r="C42"/>
  <c i="21" r="C45"/>
  <c i="21" r="C46"/>
  <c i="21" r="C47"/>
  <c i="21" r="C48"/>
  <c i="21" r="C49"/>
  <c i="21" r="C51"/>
  <c i="21" r="C58"/>
  <c i="15" r="G11"/>
  <c i="15" r="C24"/>
  <c i="16" r="G16"/>
  <c i="16" r="G69"/>
  <c i="17" r="C20"/>
  <c i="17" r="C54"/>
  <c i="18" r="C101"/>
  <c i="18" r="C100"/>
  <c i="18" r="C69"/>
  <c i="18" r="C47"/>
  <c i="18" r="C99"/>
  <c i="18" r="C98"/>
  <c i="18" r="C68"/>
  <c i="18" r="C46"/>
  <c i="18" r="C89"/>
  <c i="18" r="C61"/>
  <c i="18" r="C40"/>
  <c i="18" r="C87"/>
  <c i="18" r="C38"/>
  <c i="18" r="C88"/>
  <c i="18" r="C39"/>
  <c i="18" r="C18"/>
  <c i="18" r="C60"/>
  <c i="18" r="C17"/>
  <c i="18" r="C86"/>
  <c i="18" r="C85"/>
  <c i="18" r="C37"/>
  <c i="18" r="C16"/>
  <c i="18" r="C59"/>
  <c i="18" r="C84"/>
  <c i="18" r="C58"/>
  <c i="18" r="C82"/>
  <c i="18" r="C35"/>
  <c i="18" r="C14"/>
  <c i="18" r="C81"/>
  <c i="18" r="C56"/>
  <c i="18" r="C13"/>
  <c i="18" r="C75"/>
  <c i="18" r="C52"/>
  <c i="18" r="C74"/>
  <c i="18" r="C51"/>
  <c i="18" r="C30"/>
  <c i="21" r="C60"/>
  <c i="11" r="G101"/>
  <c i="11" r="G89"/>
  <c i="11" r="G57"/>
  <c i="11" r="G28"/>
  <c i="11" r="G87"/>
  <c i="11" r="G27"/>
  <c i="11" r="G88"/>
  <c i="11" r="G56"/>
  <c i="11" r="G55"/>
  <c i="11" r="G86"/>
  <c i="11" r="G54"/>
  <c i="11" r="G26"/>
  <c i="11" r="G23"/>
  <c i="11" r="G75"/>
  <c i="11" r="G43"/>
  <c i="11" r="G18"/>
  <c i="16" r="C49"/>
  <c i="11" r="G102"/>
  <c i="17" r="C17"/>
  <c i="14" r="G23"/>
  <c i="11" r="G32"/>
  <c i="17" r="C47"/>
  <c i="16" r="G13"/>
  <c i="11" r="C34"/>
  <c i="8" r="G41"/>
  <c i="16" r="G15"/>
  <c i="14" r="G59"/>
  <c i="8" r="G17"/>
  <c i="8" r="G45"/>
  <c i="11" r="G36"/>
  <c i="11" r="G73"/>
  <c i="12" r="C24"/>
  <c i="14" r="G28"/>
  <c i="14" r="G60"/>
  <c i="15" r="G24"/>
  <c i="15" r="G66"/>
  <c i="16" r="G18"/>
  <c i="16" r="G71"/>
  <c i="17" r="G20"/>
  <c i="17" r="C55"/>
  <c i="18" r="C54"/>
  <c i="18" r="G102"/>
  <c i="18" r="G68"/>
  <c i="18" r="G46"/>
  <c i="18" r="G18"/>
  <c i="18" r="G38"/>
  <c i="18" r="G60"/>
  <c i="18" r="G16"/>
  <c i="18" r="G58"/>
  <c i="18" r="G36"/>
  <c i="18" r="G56"/>
  <c i="18" r="G34"/>
  <c i="18" r="G30"/>
  <c i="21" r="C61"/>
  <c i="16" r="G43"/>
  <c i="11" r="C26"/>
  <c i="16" r="G51"/>
  <c i="11" r="G30"/>
  <c i="17" r="C52"/>
  <c i="8" r="G16"/>
  <c i="14" r="G58"/>
  <c i="15" r="G65"/>
  <c i="8" r="C18"/>
  <c i="9" r="G16"/>
  <c i="11" r="G37"/>
  <c i="11" r="C74"/>
  <c i="12" r="C26"/>
  <c i="14" r="G29"/>
  <c i="14" r="G61"/>
  <c i="15" r="G25"/>
  <c i="15" r="G67"/>
  <c i="16" r="G19"/>
  <c i="16" r="C73"/>
  <c i="17" r="C21"/>
  <c i="17" r="C57"/>
  <c i="18" r="C23"/>
  <c i="18" r="G54"/>
  <c i="21" r="G61"/>
  <c i="11" r="G64"/>
  <c i="14" r="G53"/>
  <c i="11" r="C66"/>
  <c i="15" r="G58"/>
  <c i="11" r="G31"/>
  <c i="13" r="C62"/>
  <c i="11" r="C70"/>
  <c i="8" r="C102"/>
  <c i="8" r="C62"/>
  <c i="8" r="C28"/>
  <c i="8" r="C11"/>
  <c i="8" r="C26"/>
  <c i="8" r="C24"/>
  <c i="8" r="C44"/>
  <c i="11" r="G34"/>
  <c i="15" r="G64"/>
  <c i="14" r="G27"/>
  <c i="8" r="G18"/>
  <c i="8" r="G47"/>
  <c i="9" r="C100"/>
  <c i="9" r="C20"/>
  <c i="11" r="C38"/>
  <c i="11" r="G76"/>
  <c i="12" r="C30"/>
  <c i="14" r="C30"/>
  <c i="14" r="G63"/>
  <c i="15" r="G26"/>
  <c i="15" r="G69"/>
  <c i="16" r="G20"/>
  <c i="16" r="G73"/>
  <c i="17" r="G21"/>
  <c i="17" r="C61"/>
  <c i="18" r="C24"/>
  <c i="18" r="C55"/>
  <c i="21" r="C62"/>
  <c i="17" r="C16"/>
  <c i="17" r="C45"/>
  <c i="12" r="C20"/>
  <c i="15" r="G22"/>
  <c i="13" r="C70"/>
  <c i="8" r="C19"/>
  <c i="8" r="C49"/>
  <c i="9" r="G102"/>
  <c i="9" r="G68"/>
  <c i="9" r="G22"/>
  <c i="9" r="G20"/>
  <c i="9" r="G66"/>
  <c i="9" r="G64"/>
  <c i="9" r="G62"/>
  <c i="9" r="G18"/>
  <c i="9" r="G56"/>
  <c i="9" r="G12"/>
  <c i="9" r="G46"/>
  <c i="11" r="G38"/>
  <c i="11" r="C78"/>
  <c i="12" r="C32"/>
  <c i="13" r="C78"/>
  <c i="14" r="G30"/>
  <c i="14" r="G64"/>
  <c i="15" r="C70"/>
  <c i="16" r="C21"/>
  <c i="16" r="G75"/>
  <c i="17" r="C22"/>
  <c i="17" r="C62"/>
  <c i="18" r="G24"/>
  <c i="18" r="C57"/>
  <c i="21" r="C11"/>
  <c i="21" r="C63"/>
  <c i="15" r="G102"/>
  <c i="15" r="G91"/>
  <c i="15" r="G21"/>
  <c i="15" r="G89"/>
  <c i="15" r="G19"/>
  <c i="15" r="G90"/>
  <c i="15" r="G54"/>
  <c i="15" r="G53"/>
  <c i="15" r="G88"/>
  <c i="15" r="G18"/>
  <c i="15" r="G86"/>
  <c i="15" r="G83"/>
  <c i="15" r="G48"/>
  <c i="15" r="G14"/>
  <c i="15" r="G82"/>
  <c i="15" r="G13"/>
  <c i="15" r="G75"/>
  <c i="15" r="G41"/>
  <c i="17" r="C46"/>
  <c i="16" r="C13"/>
  <c i="15" r="G16"/>
  <c i="14" r="G26"/>
  <c i="17" r="G19"/>
  <c i="11" r="G72"/>
  <c i="8" r="G19"/>
  <c i="8" r="G49"/>
  <c i="11" r="G11"/>
  <c i="11" r="G39"/>
  <c i="11" r="G78"/>
  <c i="13" r="C20"/>
  <c i="14" r="G32"/>
  <c i="15" r="G29"/>
  <c i="15" r="G70"/>
  <c i="16" r="G21"/>
  <c i="16" r="C77"/>
  <c i="17" r="G22"/>
  <c i="17" r="C69"/>
  <c i="18" r="C25"/>
  <c i="18" r="C62"/>
  <c i="19" r="C18"/>
  <c i="19" r="C94"/>
  <c i="21" r="C12"/>
  <c i="21" r="C67"/>
  <c i="16" r="G41"/>
  <c i="11" r="G29"/>
  <c i="14" r="G69"/>
  <c i="14" r="G42"/>
  <c i="14" r="G17"/>
  <c i="14" r="G41"/>
  <c i="14" r="G15"/>
  <c i="14" r="G14"/>
  <c i="14" r="G16"/>
  <c i="14" r="G67"/>
  <c i="14" r="G40"/>
  <c i="14" r="G62"/>
  <c i="14" r="G37"/>
  <c i="14" r="G11"/>
  <c i="14" r="G36"/>
  <c i="14" r="G57"/>
  <c i="14" r="G31"/>
  <c i="16" r="G12"/>
  <c i="14" r="G24"/>
  <c i="16" r="C61"/>
  <c i="12" r="C42"/>
  <c i="12" r="C40"/>
  <c i="12" r="C38"/>
  <c i="12" r="C36"/>
  <c i="12" r="C94"/>
  <c i="12" r="C28"/>
  <c i="12" r="C78"/>
  <c i="16" r="G61"/>
  <c i="8" r="C20"/>
  <c i="9" r="G26"/>
  <c i="11" r="G40"/>
  <c i="11" r="G79"/>
  <c i="12" r="C44"/>
  <c i="14" r="G33"/>
  <c i="14" r="G71"/>
  <c i="15" r="G72"/>
  <c i="16" r="G24"/>
  <c i="16" r="G77"/>
  <c i="17" r="C23"/>
  <c i="17" r="C70"/>
  <c i="18" r="C26"/>
  <c i="18" r="G62"/>
  <c i="19" r="C20"/>
  <c i="21" r="C13"/>
  <c i="21" r="C69"/>
  <c i="15" r="C54"/>
  <c i="15" r="C56"/>
  <c i="15" r="C52"/>
  <c i="15" r="C20"/>
  <c i="15" r="C48"/>
  <c i="14" r="C54"/>
  <c i="15" r="G59"/>
  <c i="14" r="C58"/>
  <c i="8" r="C21"/>
  <c i="8" r="C54"/>
  <c i="11" r="G12"/>
  <c i="11" r="G41"/>
  <c i="11" r="G80"/>
  <c i="12" r="C46"/>
  <c i="13" r="C22"/>
  <c i="14" r="G73"/>
  <c i="15" r="G30"/>
  <c i="15" r="G73"/>
  <c i="16" r="G25"/>
  <c i="16" r="G79"/>
  <c i="17" r="G24"/>
  <c i="17" r="C71"/>
  <c i="18" r="G26"/>
  <c i="18" r="C63"/>
  <c i="19" r="C102"/>
  <c i="19" r="C50"/>
  <c i="19" r="C96"/>
  <c i="19" r="C48"/>
  <c i="19" r="C80"/>
  <c i="19" r="C36"/>
  <c i="19" r="C78"/>
  <c i="19" r="C32"/>
  <c i="19" r="C34"/>
  <c i="19" r="C76"/>
  <c i="19" r="C72"/>
  <c i="19" r="C30"/>
  <c i="19" r="C70"/>
  <c i="19" r="C26"/>
  <c i="19" r="C68"/>
  <c i="19" r="C60"/>
  <c i="19" r="C58"/>
  <c i="19" r="C16"/>
  <c i="21" r="C16"/>
  <c i="21" r="C70"/>
  <c i="11" r="C102"/>
  <c i="11" r="C28"/>
  <c i="11" r="C82"/>
  <c i="11" r="C50"/>
  <c i="14" r="C66"/>
  <c i="14" r="C68"/>
  <c i="14" r="C42"/>
  <c i="14" r="C62"/>
  <c i="14" r="C97"/>
  <c i="11" r="C30"/>
  <c i="15" r="G57"/>
  <c i="14" r="G22"/>
  <c i="17" r="G17"/>
  <c i="15" r="C16"/>
  <c i="17" r="G47"/>
  <c i="8" r="C16"/>
  <c i="15" r="G17"/>
  <c i="8" r="G101"/>
  <c i="8" r="G11"/>
  <c i="8" r="G27"/>
  <c i="8" r="G26"/>
  <c i="8" r="G61"/>
  <c i="8" r="G59"/>
  <c i="8" r="G57"/>
  <c i="8" r="G53"/>
  <c i="8" r="G91"/>
  <c i="8" r="G20"/>
  <c i="17" r="C53"/>
  <c i="12" r="C22"/>
  <c i="8" r="G21"/>
  <c i="8" r="G55"/>
  <c i="9" r="G28"/>
  <c i="11" r="G13"/>
  <c i="11" r="C42"/>
  <c i="11" r="G81"/>
  <c i="12" r="C48"/>
  <c i="13" r="C86"/>
  <c i="14" r="G34"/>
  <c i="14" r="C74"/>
  <c i="15" r="G32"/>
  <c i="15" r="G74"/>
  <c i="16" r="G30"/>
  <c i="16" r="C81"/>
  <c i="17" r="C25"/>
  <c i="17" r="G71"/>
  <c i="18" r="C27"/>
  <c i="18" r="C64"/>
  <c i="19" r="G101"/>
  <c i="19" r="G97"/>
  <c i="19" r="G49"/>
  <c i="19" r="G94"/>
  <c i="19" r="G78"/>
  <c i="19" r="G33"/>
  <c i="19" r="G73"/>
  <c i="19" r="G30"/>
  <c i="19" r="G25"/>
  <c i="19" r="G17"/>
  <c i="21" r="C17"/>
  <c i="21" r="C71"/>
  <c i="17" r="C43"/>
  <c i="11" r="G65"/>
  <c i="16" r="C53"/>
  <c i="14" r="G54"/>
  <c i="17" r="C18"/>
  <c i="11" r="G33"/>
  <c i="16" r="C57"/>
  <c i="16" r="G14"/>
  <c i="8" r="C22"/>
  <c i="8" r="C57"/>
  <c i="9" r="G30"/>
  <c i="11" r="C14"/>
  <c i="11" r="G44"/>
  <c i="11" r="G83"/>
  <c i="12" r="C50"/>
  <c i="13" r="C24"/>
  <c i="14" r="G35"/>
  <c i="14" r="G75"/>
  <c i="15" r="G33"/>
  <c i="15" r="G77"/>
  <c i="16" r="G31"/>
  <c i="16" r="G81"/>
  <c i="17" r="G25"/>
  <c i="17" r="C74"/>
  <c i="18" r="C28"/>
  <c i="18" r="C65"/>
  <c i="19" r="C24"/>
  <c i="21" r="C18"/>
  <c i="21" r="C74"/>
  <c i="16" r="G45"/>
  <c i="17" r="C44"/>
  <c i="15" r="G61"/>
  <c i="14" r="G25"/>
  <c i="17" r="G18"/>
  <c i="14" r="C26"/>
  <c i="17" r="C19"/>
  <c i="11" r="G71"/>
  <c i="11" r="G35"/>
  <c i="8" r="G22"/>
  <c i="8" r="G63"/>
  <c i="9" r="G32"/>
  <c i="11" r="G14"/>
  <c i="11" r="C46"/>
  <c i="11" r="G84"/>
  <c i="12" r="C52"/>
  <c i="14" r="C38"/>
  <c i="14" r="C76"/>
  <c i="15" r="G34"/>
  <c i="15" r="C78"/>
  <c i="16" r="G32"/>
  <c i="16" r="G83"/>
  <c i="17" r="C26"/>
  <c i="17" r="C77"/>
  <c i="18" r="G28"/>
  <c i="18" r="C66"/>
  <c i="19" r="C28"/>
  <c i="21" r="G18"/>
  <c i="21" r="C75"/>
  <c i="14" r="C22"/>
  <c i="16" r="G11"/>
  <c i="15" r="C12"/>
  <c i="14" r="G55"/>
  <c i="16" r="G55"/>
  <c i="15" r="C62"/>
  <c i="15" r="G62"/>
  <c i="8" r="G43"/>
  <c i="8" r="C23"/>
  <c i="8" r="C65"/>
  <c i="11" r="G15"/>
  <c i="11" r="G46"/>
  <c i="11" r="C86"/>
  <c i="12" r="C54"/>
  <c i="13" r="C94"/>
  <c i="14" r="G38"/>
  <c i="14" r="G77"/>
  <c i="15" r="G35"/>
  <c i="15" r="G78"/>
  <c i="16" r="G33"/>
  <c i="16" r="C85"/>
  <c i="17" r="G26"/>
  <c i="17" r="C78"/>
  <c i="18" r="C29"/>
  <c i="18" r="G66"/>
  <c i="19" r="C38"/>
  <c i="21" r="C19"/>
  <c i="21" r="C76"/>
  <c i="16" r="G47"/>
  <c i="11" r="G68"/>
  <c i="21" r="C59"/>
  <c i="8" r="G23"/>
  <c i="8" r="G65"/>
  <c i="9" r="G34"/>
  <c i="11" r="G16"/>
  <c i="11" r="G47"/>
  <c i="11" r="C90"/>
  <c i="12" r="C56"/>
  <c i="14" r="G39"/>
  <c i="14" r="G79"/>
  <c i="15" r="G37"/>
  <c i="15" r="G80"/>
  <c i="16" r="G34"/>
  <c i="16" r="G85"/>
  <c i="17" r="C28"/>
  <c i="17" r="C79"/>
  <c i="18" r="C31"/>
  <c i="18" r="C67"/>
  <c i="19" r="G38"/>
  <c i="21" r="C22"/>
  <c i="21" r="C78"/>
  <c i="16" r="C45"/>
  <c i="17" r="G16"/>
  <c i="16" r="G53"/>
  <c i="11" r="G70"/>
  <c i="8" r="C17"/>
  <c i="8" r="G24"/>
  <c i="8" r="G67"/>
  <c i="9" r="C36"/>
  <c i="11" r="G17"/>
  <c i="11" r="G48"/>
  <c i="11" r="G91"/>
  <c i="12" r="C58"/>
  <c i="14" r="G43"/>
  <c i="14" r="G81"/>
  <c i="15" r="C38"/>
  <c i="15" r="G81"/>
  <c i="16" r="G35"/>
  <c i="16" r="G87"/>
  <c i="17" r="C29"/>
  <c i="17" r="C81"/>
  <c i="18" r="C32"/>
  <c i="18" r="C70"/>
  <c i="19" r="C40"/>
  <c i="21" r="C29"/>
  <c i="21" r="C79"/>
  <c i="22" r="C68"/>
  <c i="22" r="G42"/>
  <c i="22" r="G68"/>
  <c i="22" r="C70"/>
  <c i="22" r="G70"/>
  <c i="22" r="C72"/>
  <c i="22" r="G72"/>
  <c i="20" r="C13"/>
  <c i="20" r="C42"/>
  <c i="20" r="C70"/>
  <c i="22" r="G20"/>
  <c i="22" r="C46"/>
  <c i="12" r="G14"/>
  <c i="13" r="G35"/>
  <c i="13" r="G91"/>
  <c i="20" r="C14"/>
  <c i="20" r="C43"/>
  <c i="20" r="C71"/>
  <c i="22" r="C21"/>
  <c i="22" r="G46"/>
  <c i="22" r="C74"/>
  <c i="22" r="G74"/>
  <c i="22" r="C76"/>
  <c i="22" r="G76"/>
  <c i="22" r="C78"/>
  <c i="22" r="G78"/>
  <c i="22" r="C80"/>
  <c i="20" r="C20"/>
  <c i="20" r="C48"/>
  <c i="20" r="C77"/>
  <c i="22" r="C26"/>
  <c i="22" r="C51"/>
  <c i="13" r="G46"/>
  <c i="20" r="C21"/>
  <c i="20" r="C49"/>
  <c i="20" r="G77"/>
  <c i="22" r="G26"/>
  <c i="22" r="G52"/>
  <c i="22" r="G80"/>
  <c i="22" r="C82"/>
  <c i="20" r="C22"/>
  <c i="20" r="C51"/>
  <c i="20" r="C80"/>
  <c i="22" r="G28"/>
  <c i="22" r="C54"/>
  <c i="22" r="G82"/>
  <c i="22" r="C84"/>
  <c i="22" r="C30"/>
  <c i="22" r="C55"/>
  <c i="22" r="G84"/>
  <c i="22" r="C86"/>
  <c i="20" r="C23"/>
  <c i="20" r="C52"/>
  <c i="20" r="C82"/>
  <c i="20" r="C53"/>
  <c i="13" r="G54"/>
  <c i="20" r="G53"/>
  <c i="22" r="G30"/>
  <c i="13" r="G13"/>
  <c i="13" r="G56"/>
  <c i="20" r="C26"/>
  <c i="20" r="C54"/>
  <c i="20" r="C86"/>
  <c i="22" r="C31"/>
  <c i="22" r="G56"/>
  <c i="22" r="G86"/>
  <c i="20" r="C24"/>
  <c i="20" r="C83"/>
  <c i="13" r="G11"/>
  <c i="20" r="C25"/>
  <c i="20" r="C84"/>
  <c i="22" r="C56"/>
  <c i="13" r="G14"/>
  <c i="20" r="C27"/>
  <c i="20" r="C55"/>
  <c i="20" r="C87"/>
  <c i="22" r="C32"/>
  <c i="22" r="C58"/>
  <c i="22" r="G88"/>
  <c i="22" r="G90"/>
  <c i="22" r="G92"/>
  <c i="22" r="G94"/>
  <c i="20" r="C35"/>
  <c i="20" r="C63"/>
  <c i="20" r="C99"/>
  <c i="20" r="C36"/>
  <c i="20" r="C64"/>
  <c i="20" r="C100"/>
  <c i="9" r="C68"/>
  <c i="9" r="C77"/>
  <c i="9" r="C81"/>
  <c i="9" r="C97"/>
  <c i="8" r="C41"/>
  <c i="8" r="C89"/>
  <c i="8" r="C97"/>
  <c i="9" r="C13"/>
  <c i="9" r="C16"/>
  <c i="9" r="C21"/>
  <c i="9" r="C24"/>
  <c i="9" r="C29"/>
  <c i="9" r="C32"/>
  <c i="9" r="C37"/>
  <c i="9" r="C40"/>
  <c i="9" r="C45"/>
  <c i="9" r="C48"/>
  <c i="9" r="C53"/>
  <c i="9" r="C60"/>
  <c i="9" r="C69"/>
  <c i="9" r="C76"/>
  <c i="9" r="C84"/>
  <c i="9" r="C89"/>
  <c i="9" r="C94"/>
  <c i="9" r="C102"/>
  <c i="9" r="C99"/>
  <c i="9" r="C95"/>
  <c i="9" r="C91"/>
  <c i="9" r="C87"/>
  <c i="9" r="C83"/>
  <c i="9" r="C79"/>
  <c i="9" r="C74"/>
  <c i="9" r="C71"/>
  <c i="9" r="C66"/>
  <c i="9" r="C63"/>
  <c i="9" r="C58"/>
  <c i="9" r="C55"/>
  <c i="8" r="C73"/>
  <c i="8" r="C78"/>
  <c i="9" r="C11"/>
  <c i="9" r="C14"/>
  <c i="9" r="C19"/>
  <c i="9" r="C22"/>
  <c i="9" r="C27"/>
  <c i="9" r="C30"/>
  <c i="9" r="C35"/>
  <c i="9" r="C38"/>
  <c i="9" r="C43"/>
  <c i="9" r="C46"/>
  <c i="9" r="C51"/>
  <c i="9" r="C54"/>
  <c i="9" r="C57"/>
  <c i="9" r="C64"/>
  <c i="9" r="C67"/>
  <c i="9" r="C70"/>
  <c i="9" r="C73"/>
  <c i="9" r="C80"/>
  <c i="9" r="C85"/>
  <c i="9" r="C90"/>
  <c i="9" r="C96"/>
  <c i="9" r="C101"/>
  <c i="9" r="C86"/>
  <c i="9" r="C92"/>
  <c i="9" r="C15"/>
  <c i="9" r="C18"/>
  <c i="9" r="C23"/>
  <c i="9" r="C26"/>
  <c i="9" r="C31"/>
  <c i="9" r="C34"/>
  <c i="9" r="C39"/>
  <c i="9" r="C42"/>
  <c i="9" r="C47"/>
  <c i="9" r="C50"/>
  <c i="9" r="C56"/>
  <c i="9" r="C59"/>
  <c i="9" r="C62"/>
  <c i="9" r="C65"/>
  <c i="9" r="C72"/>
  <c i="9" r="C75"/>
  <c i="9" r="C78"/>
  <c i="9" r="C82"/>
  <c i="9" r="C88"/>
  <c i="9" r="C93"/>
  <c i="9" r="C98"/>
  <c i="12" r="C102"/>
  <c i="12" r="C99"/>
  <c i="12" r="C95"/>
  <c i="12" r="C91"/>
  <c i="12" r="C87"/>
  <c i="13" r="C102"/>
  <c i="13" r="C98"/>
  <c i="13" r="C90"/>
  <c i="13" r="C82"/>
  <c i="13" r="C74"/>
  <c i="13" r="C66"/>
  <c i="13" r="C58"/>
  <c i="13" r="C50"/>
  <c i="13" r="C42"/>
  <c i="13" r="C34"/>
  <c i="13" r="C26"/>
  <c i="13" r="C18"/>
  <c i="13" r="C96"/>
  <c i="13" r="C88"/>
  <c i="13" r="C80"/>
  <c i="13" r="C72"/>
  <c i="13" r="C64"/>
  <c i="13" r="C56"/>
  <c i="13" r="C48"/>
  <c i="13" r="C40"/>
  <c i="13" r="C32"/>
  <c i="14" r="C102"/>
  <c i="14" r="C99"/>
  <c i="14" r="C94"/>
  <c i="14" r="C91"/>
  <c i="14" r="C95"/>
  <c i="14" r="C92"/>
  <c i="14" r="C88"/>
  <c i="14" r="C83"/>
  <c i="14" r="C80"/>
  <c i="14" r="C75"/>
  <c i="14" r="C72"/>
  <c i="14" r="C67"/>
  <c i="14" r="C100"/>
  <c i="14" r="C96"/>
  <c i="14" r="C89"/>
  <c i="14" r="C86"/>
  <c i="14" r="C81"/>
  <c i="14" r="C78"/>
  <c i="14" r="C73"/>
  <c i="14" r="C70"/>
  <c i="14" r="C65"/>
  <c i="14" r="C63"/>
  <c i="14" r="C61"/>
  <c i="14" r="C59"/>
  <c i="14" r="C57"/>
  <c i="14" r="C55"/>
  <c i="14" r="C53"/>
  <c i="14" r="C51"/>
  <c i="14" r="C49"/>
  <c i="14" r="C47"/>
  <c i="14" r="C45"/>
  <c i="14" r="C43"/>
  <c i="14" r="C41"/>
  <c i="14" r="C39"/>
  <c i="14" r="C37"/>
  <c i="14" r="C35"/>
  <c i="14" r="C33"/>
  <c i="14" r="C31"/>
  <c i="14" r="C29"/>
  <c i="14" r="C27"/>
  <c i="14" r="C25"/>
  <c i="14" r="C23"/>
  <c i="14" r="C21"/>
  <c i="14" r="C19"/>
  <c i="14" r="C17"/>
  <c i="14" r="C15"/>
  <c i="14" r="C13"/>
  <c i="14" r="C11"/>
  <c i="11" r="C36"/>
  <c i="11" r="C44"/>
  <c i="11" r="C52"/>
  <c i="11" r="C60"/>
  <c i="11" r="C68"/>
  <c i="11" r="C76"/>
  <c i="11" r="C84"/>
  <c i="11" r="C92"/>
  <c i="11" r="C100"/>
  <c i="12" r="C15"/>
  <c i="12" r="C19"/>
  <c i="12" r="C23"/>
  <c i="12" r="C27"/>
  <c i="12" r="C31"/>
  <c i="12" r="C35"/>
  <c i="12" r="C39"/>
  <c i="12" r="C43"/>
  <c i="12" r="C47"/>
  <c i="12" r="C51"/>
  <c i="12" r="C55"/>
  <c i="12" r="C59"/>
  <c i="12" r="C63"/>
  <c i="12" r="C67"/>
  <c i="12" r="C71"/>
  <c i="12" r="C75"/>
  <c i="12" r="C79"/>
  <c i="12" r="C83"/>
  <c i="12" r="C88"/>
  <c i="12" r="C93"/>
  <c i="12" r="C98"/>
  <c i="13" r="C14"/>
  <c i="13" r="C28"/>
  <c i="13" r="C44"/>
  <c i="13" r="C60"/>
  <c i="13" r="C76"/>
  <c i="13" r="C92"/>
  <c i="13" r="G102"/>
  <c i="13" r="G100"/>
  <c i="13" r="G95"/>
  <c i="13" r="G92"/>
  <c i="13" r="G87"/>
  <c i="13" r="G84"/>
  <c i="13" r="G79"/>
  <c i="13" r="G76"/>
  <c i="13" r="G71"/>
  <c i="13" r="G68"/>
  <c i="13" r="G63"/>
  <c i="13" r="G60"/>
  <c i="13" r="G55"/>
  <c i="13" r="G52"/>
  <c i="13" r="G47"/>
  <c i="13" r="G44"/>
  <c i="13" r="G39"/>
  <c i="13" r="G36"/>
  <c i="13" r="G31"/>
  <c i="13" r="G28"/>
  <c i="13" r="G23"/>
  <c i="13" r="G20"/>
  <c i="13" r="G15"/>
  <c i="13" r="G12"/>
  <c i="13" r="G101"/>
  <c i="13" r="G98"/>
  <c i="13" r="G93"/>
  <c i="13" r="G90"/>
  <c i="13" r="G85"/>
  <c i="13" r="G82"/>
  <c i="13" r="G77"/>
  <c i="13" r="G74"/>
  <c i="13" r="G69"/>
  <c i="13" r="G66"/>
  <c i="13" r="G61"/>
  <c i="13" r="G58"/>
  <c i="13" r="G53"/>
  <c i="13" r="G50"/>
  <c i="13" r="G45"/>
  <c i="13" r="G42"/>
  <c i="13" r="G37"/>
  <c i="13" r="G34"/>
  <c i="13" r="G29"/>
  <c i="14" r="C16"/>
  <c i="14" r="C24"/>
  <c i="14" r="C32"/>
  <c i="14" r="C40"/>
  <c i="14" r="C48"/>
  <c i="14" r="C56"/>
  <c i="14" r="C64"/>
  <c i="14" r="C71"/>
  <c i="14" r="C79"/>
  <c i="14" r="C87"/>
  <c i="14" r="C98"/>
  <c i="11" r="C16"/>
  <c i="11" r="C24"/>
  <c i="11" r="C32"/>
  <c i="11" r="C40"/>
  <c i="11" r="G42"/>
  <c i="11" r="G45"/>
  <c i="11" r="C48"/>
  <c i="11" r="G50"/>
  <c i="11" r="G53"/>
  <c i="11" r="C56"/>
  <c i="11" r="G58"/>
  <c i="11" r="G61"/>
  <c i="11" r="C64"/>
  <c i="11" r="G66"/>
  <c i="11" r="G69"/>
  <c i="11" r="C72"/>
  <c i="11" r="G74"/>
  <c i="11" r="G77"/>
  <c i="11" r="C80"/>
  <c i="11" r="G82"/>
  <c i="11" r="G85"/>
  <c i="11" r="C88"/>
  <c i="11" r="G90"/>
  <c i="11" r="G93"/>
  <c i="11" r="C96"/>
  <c i="11" r="G98"/>
  <c i="12" r="C11"/>
  <c i="12" r="C14"/>
  <c i="12" r="C17"/>
  <c i="12" r="C21"/>
  <c i="12" r="C25"/>
  <c i="12" r="C29"/>
  <c i="12" r="C33"/>
  <c i="12" r="C37"/>
  <c i="12" r="C41"/>
  <c i="12" r="C45"/>
  <c i="12" r="C49"/>
  <c i="12" r="C53"/>
  <c i="12" r="C57"/>
  <c i="12" r="C61"/>
  <c i="12" r="C65"/>
  <c i="12" r="C69"/>
  <c i="12" r="C73"/>
  <c i="12" r="C77"/>
  <c i="12" r="C81"/>
  <c i="12" r="C85"/>
  <c i="12" r="C90"/>
  <c i="12" r="C96"/>
  <c i="12" r="C101"/>
  <c i="13" r="C12"/>
  <c i="13" r="C16"/>
  <c i="13" r="C36"/>
  <c i="13" r="C52"/>
  <c i="13" r="C68"/>
  <c i="13" r="G73"/>
  <c i="13" r="G78"/>
  <c i="13" r="C84"/>
  <c i="13" r="G89"/>
  <c i="13" r="G94"/>
  <c i="13" r="C100"/>
  <c i="14" r="C12"/>
  <c i="14" r="C20"/>
  <c i="14" r="C28"/>
  <c i="14" r="C36"/>
  <c i="14" r="C44"/>
  <c i="14" r="C52"/>
  <c i="14" r="C60"/>
  <c i="14" r="C69"/>
  <c i="14" r="C77"/>
  <c i="14" r="C85"/>
  <c i="14" r="C90"/>
  <c i="14" r="C101"/>
  <c i="15" r="C22"/>
  <c i="15" r="C36"/>
  <c i="15" r="C40"/>
  <c i="16" r="C17"/>
  <c i="16" r="C25"/>
  <c i="16" r="C33"/>
  <c i="16" r="C39"/>
  <c i="16" r="C43"/>
  <c i="16" r="C47"/>
  <c i="16" r="C51"/>
  <c i="16" r="C55"/>
  <c i="16" r="C59"/>
  <c i="16" r="C63"/>
  <c i="16" r="C67"/>
  <c i="16" r="C71"/>
  <c i="16" r="C75"/>
  <c i="16" r="C79"/>
  <c i="16" r="C83"/>
  <c i="16" r="C87"/>
  <c i="16" r="C97"/>
  <c i="15" r="C102"/>
  <c i="15" r="C98"/>
  <c i="15" r="C90"/>
  <c i="15" r="C82"/>
  <c i="15" r="C74"/>
  <c i="15" r="C66"/>
  <c i="15" r="C58"/>
  <c i="15" r="C50"/>
  <c i="15" r="C42"/>
  <c i="15" r="C34"/>
  <c i="15" r="C26"/>
  <c i="15" r="C18"/>
  <c i="15" r="C100"/>
  <c i="15" r="C92"/>
  <c i="15" r="C84"/>
  <c i="15" r="C76"/>
  <c i="15" r="C68"/>
  <c i="16" r="C15"/>
  <c i="16" r="C23"/>
  <c i="16" r="C101"/>
  <c i="16" r="C98"/>
  <c i="16" r="C95"/>
  <c i="16" r="C93"/>
  <c i="16" r="C91"/>
  <c i="16" r="C102"/>
  <c i="16" r="C92"/>
  <c i="16" r="C100"/>
  <c i="16" r="C99"/>
  <c i="16" r="C96"/>
  <c i="16" r="C90"/>
  <c i="16" r="C88"/>
  <c i="16" r="C86"/>
  <c i="16" r="C84"/>
  <c i="16" r="C82"/>
  <c i="16" r="C80"/>
  <c i="16" r="C78"/>
  <c i="16" r="C76"/>
  <c i="16" r="C74"/>
  <c i="16" r="C72"/>
  <c i="16" r="C70"/>
  <c i="16" r="C68"/>
  <c i="16" r="C66"/>
  <c i="16" r="C64"/>
  <c i="16" r="C62"/>
  <c i="16" r="C60"/>
  <c i="16" r="C58"/>
  <c i="16" r="C56"/>
  <c i="16" r="C54"/>
  <c i="16" r="C52"/>
  <c i="16" r="C50"/>
  <c i="16" r="C48"/>
  <c i="16" r="C46"/>
  <c i="16" r="C44"/>
  <c i="16" r="C42"/>
  <c i="16" r="C40"/>
  <c i="16" r="C38"/>
  <c i="16" r="C36"/>
  <c i="16" r="C34"/>
  <c i="16" r="C32"/>
  <c i="16" r="C30"/>
  <c i="16" r="C28"/>
  <c i="16" r="C26"/>
  <c i="16" r="C24"/>
  <c i="16" r="C22"/>
  <c i="16" r="C20"/>
  <c i="16" r="C18"/>
  <c i="16" r="C16"/>
  <c i="16" r="C14"/>
  <c i="16" r="C12"/>
  <c i="14" r="G102"/>
  <c i="14" r="G96"/>
  <c i="14" r="G88"/>
  <c i="14" r="G86"/>
  <c i="14" r="G84"/>
  <c i="14" r="G82"/>
  <c i="14" r="G80"/>
  <c i="14" r="G78"/>
  <c i="14" r="G76"/>
  <c i="14" r="G74"/>
  <c i="14" r="G72"/>
  <c i="14" r="G70"/>
  <c i="14" r="G68"/>
  <c i="14" r="G66"/>
  <c i="15" r="C14"/>
  <c i="15" r="C28"/>
  <c i="15" r="C32"/>
  <c i="15" r="C46"/>
  <c i="15" r="C60"/>
  <c i="15" r="C64"/>
  <c i="15" r="C72"/>
  <c i="15" r="C80"/>
  <c i="15" r="C88"/>
  <c i="15" r="C96"/>
  <c i="16" r="C11"/>
  <c i="16" r="C19"/>
  <c i="16" r="C27"/>
  <c i="16" r="C35"/>
  <c i="17" r="G91"/>
  <c i="17" r="G87"/>
  <c i="17" r="G73"/>
  <c i="17" r="G67"/>
  <c i="17" r="G59"/>
  <c i="17" r="G51"/>
  <c i="17" r="G43"/>
  <c i="17" r="G35"/>
  <c i="17" r="G83"/>
  <c i="17" r="G79"/>
  <c i="17" r="G69"/>
  <c i="17" r="G61"/>
  <c i="17" r="G53"/>
  <c i="17" r="G45"/>
  <c i="17" r="G37"/>
  <c i="17" r="G29"/>
  <c i="17" r="G95"/>
  <c i="17" r="G81"/>
  <c i="17" r="G65"/>
  <c i="17" r="G57"/>
  <c i="17" r="G49"/>
  <c i="17" r="G41"/>
  <c i="15" r="G12"/>
  <c i="15" r="G15"/>
  <c i="15" r="G20"/>
  <c i="15" r="G23"/>
  <c i="15" r="G28"/>
  <c i="15" r="G31"/>
  <c i="15" r="G36"/>
  <c i="15" r="G39"/>
  <c i="15" r="G44"/>
  <c i="15" r="G47"/>
  <c i="15" r="G52"/>
  <c i="15" r="G55"/>
  <c i="15" r="G60"/>
  <c i="15" r="G63"/>
  <c i="15" r="G68"/>
  <c i="15" r="G71"/>
  <c i="15" r="G76"/>
  <c i="15" r="G79"/>
  <c i="15" r="G84"/>
  <c i="15" r="G87"/>
  <c i="15" r="G92"/>
  <c i="15" r="G95"/>
  <c i="15" r="G100"/>
  <c i="16" r="G38"/>
  <c i="16" r="G40"/>
  <c i="16" r="G42"/>
  <c i="16" r="G44"/>
  <c i="16" r="G46"/>
  <c i="16" r="G48"/>
  <c i="16" r="G50"/>
  <c i="16" r="G52"/>
  <c i="16" r="G54"/>
  <c i="16" r="G56"/>
  <c i="16" r="G58"/>
  <c i="16" r="G60"/>
  <c i="16" r="G62"/>
  <c i="16" r="G64"/>
  <c i="16" r="G66"/>
  <c i="16" r="G68"/>
  <c i="16" r="G70"/>
  <c i="16" r="G72"/>
  <c i="16" r="G74"/>
  <c i="16" r="G76"/>
  <c i="16" r="G78"/>
  <c i="16" r="G80"/>
  <c i="16" r="G82"/>
  <c i="16" r="G84"/>
  <c i="16" r="G86"/>
  <c i="16" r="G88"/>
  <c i="16" r="G90"/>
  <c i="16" r="G93"/>
  <c i="16" r="G96"/>
  <c i="17" r="G39"/>
  <c i="17" r="G55"/>
  <c i="17" r="G75"/>
  <c i="19" r="G11"/>
  <c i="19" r="G16"/>
  <c i="19" r="G19"/>
  <c i="19" r="G24"/>
  <c i="19" r="G27"/>
  <c i="19" r="G32"/>
  <c i="19" r="G35"/>
  <c i="19" r="G40"/>
  <c i="19" r="G43"/>
  <c i="19" r="G48"/>
  <c i="19" r="G51"/>
  <c i="19" r="G56"/>
  <c i="19" r="G59"/>
  <c i="19" r="G64"/>
  <c i="19" r="G67"/>
  <c i="19" r="G72"/>
  <c i="19" r="G75"/>
  <c i="19" r="G80"/>
  <c i="19" r="G83"/>
  <c i="19" r="G88"/>
  <c i="19" r="G91"/>
  <c i="19" r="G96"/>
  <c i="19" r="G99"/>
  <c i="20" r="G11"/>
  <c i="20" r="G13"/>
  <c i="20" r="G15"/>
  <c i="20" r="G23"/>
  <c i="20" r="G31"/>
  <c i="20" r="G39"/>
  <c i="20" r="G47"/>
  <c i="20" r="G55"/>
  <c i="20" r="G63"/>
  <c i="20" r="G71"/>
  <c i="20" r="G79"/>
  <c i="21" r="G12"/>
  <c i="21" r="G20"/>
  <c i="21" r="G31"/>
  <c i="21" r="G37"/>
  <c i="21" r="G57"/>
  <c i="21" r="G63"/>
  <c i="21" r="G69"/>
  <c i="17" r="C48"/>
  <c i="17" r="C51"/>
  <c i="17" r="C56"/>
  <c i="17" r="C59"/>
  <c i="17" r="C64"/>
  <c i="17" r="C67"/>
  <c i="17" r="C73"/>
  <c i="17" r="C76"/>
  <c i="17" r="C87"/>
  <c i="17" r="C90"/>
  <c i="17" r="C94"/>
  <c i="17" r="C98"/>
  <c i="18" r="G64"/>
  <c i="19" r="G12"/>
  <c i="19" r="G15"/>
  <c i="19" r="G20"/>
  <c i="19" r="G23"/>
  <c i="19" r="G28"/>
  <c i="19" r="G31"/>
  <c i="19" r="G36"/>
  <c i="19" r="G39"/>
  <c i="19" r="G44"/>
  <c i="19" r="G47"/>
  <c i="19" r="G52"/>
  <c i="19" r="G55"/>
  <c i="19" r="G60"/>
  <c i="19" r="G63"/>
  <c i="19" r="G68"/>
  <c i="19" r="G71"/>
  <c i="19" r="C74"/>
  <c i="19" r="G76"/>
  <c i="19" r="G79"/>
  <c i="19" r="C82"/>
  <c i="19" r="G84"/>
  <c i="19" r="G87"/>
  <c i="19" r="C90"/>
  <c i="19" r="G92"/>
  <c i="19" r="G95"/>
  <c i="19" r="C98"/>
  <c i="19" r="G100"/>
  <c i="19" r="G102"/>
  <c i="20" r="G12"/>
  <c i="20" r="G14"/>
  <c i="20" r="G19"/>
  <c i="20" r="G27"/>
  <c i="20" r="G35"/>
  <c i="20" r="G43"/>
  <c i="20" r="G51"/>
  <c i="20" r="G59"/>
  <c i="20" r="G67"/>
  <c i="20" r="G75"/>
  <c i="20" r="C78"/>
  <c i="20" r="C81"/>
  <c i="20" r="C85"/>
  <c i="20" r="C89"/>
  <c i="20" r="C93"/>
  <c i="20" r="C97"/>
  <c i="21" r="G16"/>
  <c i="21" r="G24"/>
  <c i="21" r="G41"/>
  <c i="21" r="G47"/>
  <c i="21" r="G53"/>
  <c i="21" r="G73"/>
  <c i="21" r="C77"/>
  <c i="21" r="G79"/>
  <c i="21" r="C82"/>
  <c i="21" r="C86"/>
  <c i="21" r="G89"/>
  <c i="21" r="C93"/>
  <c i="21" r="C97"/>
  <c i="21" r="C100"/>
  <c i="17" r="C95"/>
  <c i="17" r="C101"/>
  <c i="19" r="G13"/>
  <c i="19" r="G18"/>
  <c i="19" r="G21"/>
  <c i="19" r="G26"/>
  <c i="19" r="G29"/>
  <c i="19" r="G34"/>
  <c i="19" r="G37"/>
  <c i="19" r="G42"/>
  <c i="19" r="G45"/>
  <c i="19" r="G50"/>
  <c i="19" r="G53"/>
  <c i="19" r="G58"/>
  <c i="19" r="G61"/>
  <c i="19" r="G66"/>
  <c i="19" r="G69"/>
  <c i="19" r="G74"/>
  <c i="19" r="G77"/>
  <c i="19" r="G82"/>
  <c i="19" r="G85"/>
  <c i="19" r="G90"/>
  <c i="19" r="G93"/>
  <c i="19" r="G98"/>
  <c i="20" r="G17"/>
  <c i="20" r="G25"/>
  <c i="20" r="G33"/>
  <c i="20" r="G41"/>
  <c i="20" r="G49"/>
  <c i="20" r="G57"/>
  <c i="20" r="G65"/>
  <c i="20" r="G73"/>
  <c i="21" r="G14"/>
  <c i="21" r="G22"/>
  <c i="21" r="G33"/>
  <c i="21" r="G39"/>
  <c i="21" r="G45"/>
  <c i="21" r="G65"/>
  <c i="21" r="G71"/>
  <c i="21" r="G77"/>
  <c i="21" r="C80"/>
  <c i="21" r="C83"/>
  <c i="21" r="C87"/>
  <c i="21" r="C90"/>
  <c i="21" r="C94"/>
  <c i="21" r="G97"/>
  <c i="21" r="C101"/>
  <c i="21" r="G11"/>
  <c i="21" r="G13"/>
  <c i="21" r="G15"/>
  <c i="21" r="G17"/>
  <c i="21" r="G19"/>
  <c i="21" r="G21"/>
  <c i="21" r="G23"/>
  <c i="21" r="G25"/>
  <c i="21" r="G27"/>
  <c i="21" r="G35"/>
  <c i="21" r="G43"/>
  <c i="21" r="G51"/>
  <c i="21" r="G59"/>
  <c i="21" r="G67"/>
  <c i="21" r="G75"/>
  <c i="21" r="G83"/>
  <c i="21" r="G91"/>
  <c i="22" r="C12"/>
  <c i="22" r="C17"/>
  <c i="22" r="C20"/>
  <c i="22" r="C25"/>
  <c i="22" r="C28"/>
  <c i="22" r="C33"/>
  <c i="22" r="C36"/>
  <c i="22" r="C41"/>
  <c i="22" r="C44"/>
  <c i="22" r="C49"/>
  <c i="22" r="C52"/>
  <c i="22" r="C57"/>
  <c i="22" r="C60"/>
  <c i="21" r="G100"/>
  <c i="21" r="G98"/>
  <c i="21" r="G96"/>
  <c i="21" r="G94"/>
  <c i="21" r="G92"/>
  <c i="21" r="G90"/>
  <c i="21" r="G88"/>
  <c i="21" r="G86"/>
  <c i="21" r="G84"/>
  <c i="21" r="G82"/>
  <c i="21" r="G80"/>
  <c i="21" r="G78"/>
  <c i="21" r="G76"/>
  <c i="21" r="G74"/>
  <c i="21" r="G72"/>
  <c i="21" r="G70"/>
  <c i="21" r="G68"/>
  <c i="21" r="G66"/>
  <c i="21" r="G64"/>
  <c i="21" r="G62"/>
  <c i="21" r="G60"/>
  <c i="21" r="G58"/>
  <c i="21" r="G56"/>
  <c i="21" r="G54"/>
  <c i="21" r="G52"/>
  <c i="21" r="G50"/>
  <c i="21" r="G48"/>
  <c i="21" r="G46"/>
  <c i="21" r="G44"/>
  <c i="21" r="G42"/>
  <c i="21" r="G40"/>
  <c i="21" r="G38"/>
  <c i="21" r="G36"/>
  <c i="21" r="G34"/>
  <c i="21" r="G32"/>
  <c i="21" r="G30"/>
  <c i="21" r="G28"/>
  <c i="22" r="C101"/>
  <c i="22" r="C99"/>
  <c i="22" r="C97"/>
  <c i="22" r="C95"/>
  <c i="22" r="C93"/>
  <c i="22" r="C91"/>
  <c i="22" r="C89"/>
  <c i="22" r="C87"/>
  <c i="22" r="C85"/>
  <c i="22" r="C83"/>
  <c i="22" r="C81"/>
  <c i="22" r="C79"/>
  <c i="22" r="C77"/>
  <c i="22" r="C75"/>
  <c i="22" r="C73"/>
  <c i="22" r="C71"/>
  <c i="22" r="C69"/>
  <c i="22" r="C67"/>
  <c i="21" r="G87"/>
  <c i="21" r="G95"/>
  <c i="21" r="G102"/>
  <c i="22" r="C102"/>
  <c i="21" r="G85"/>
  <c i="21" r="G93"/>
  <c i="21" r="G101"/>
  <c i="22" r="C88"/>
  <c i="22" r="C92"/>
  <c i="22" r="C96"/>
  <c i="22" r="C100"/>
  <c i="22" r="G11"/>
  <c i="22" r="G13"/>
  <c i="22" r="G15"/>
  <c i="22" r="G17"/>
  <c i="22" r="G19"/>
  <c i="22" r="G21"/>
  <c i="22" r="G23"/>
  <c i="22" r="G25"/>
  <c i="22" r="G27"/>
  <c i="22" r="G29"/>
  <c i="22" r="G31"/>
  <c i="22" r="G33"/>
  <c i="22" r="G35"/>
  <c i="22" r="G37"/>
  <c i="22" r="G39"/>
  <c i="22" r="G41"/>
  <c i="22" r="G43"/>
  <c i="22" r="G45"/>
  <c i="22" r="G47"/>
  <c i="22" r="G49"/>
  <c i="22" r="G51"/>
  <c i="22" r="G53"/>
  <c i="22" r="G55"/>
  <c i="22" r="G57"/>
  <c i="22" r="G59"/>
  <c i="22" r="G61"/>
  <c i="22" r="G63"/>
  <c i="22" r="G65"/>
  <c i="22" r="G67"/>
  <c i="22" r="G69"/>
  <c i="22" r="G71"/>
  <c i="22" r="G73"/>
  <c i="22" r="G75"/>
  <c i="22" r="G77"/>
  <c i="22" r="G79"/>
  <c i="22" r="G81"/>
  <c i="22" r="G83"/>
  <c i="22" r="G85"/>
  <c i="22" r="G87"/>
  <c i="22" r="G89"/>
  <c i="22" r="G91"/>
  <c i="22" r="G93"/>
  <c i="22" r="G95"/>
  <c i="22" r="G97"/>
  <c i="22" r="G99"/>
  <c i="22" r="G101"/>
  <c i="19" r="C11"/>
  <c i="19" r="C13"/>
  <c i="19" r="C15"/>
  <c i="19" r="C17"/>
  <c i="19" r="C19"/>
  <c i="19" r="C21"/>
  <c i="19" r="C23"/>
  <c i="19" r="C25"/>
  <c i="19" r="C27"/>
  <c i="19" r="C29"/>
  <c i="19" r="C31"/>
  <c i="19" r="C33"/>
  <c i="19" r="C35"/>
  <c i="19" r="C37"/>
  <c i="19" r="C39"/>
  <c i="19" r="C41"/>
  <c i="19" r="C43"/>
  <c i="19" r="C45"/>
  <c i="19" r="C47"/>
  <c i="19" r="C49"/>
  <c i="19" r="C51"/>
  <c i="19" r="C53"/>
  <c i="19" r="C55"/>
  <c i="19" r="C57"/>
  <c i="19" r="C59"/>
  <c i="19" r="C61"/>
  <c i="19" r="C63"/>
  <c i="19" r="C65"/>
  <c i="19" r="C67"/>
  <c i="19" r="C69"/>
  <c i="19" r="C71"/>
  <c i="19" r="C73"/>
  <c i="19" r="C75"/>
  <c i="19" r="C77"/>
  <c i="19" r="C79"/>
  <c i="19" r="C81"/>
  <c i="19" r="C83"/>
  <c i="19" r="C85"/>
  <c i="19" r="C87"/>
  <c i="19" r="C89"/>
  <c i="19" r="C91"/>
  <c i="19" r="C93"/>
  <c i="19" r="C95"/>
  <c i="19" r="C97"/>
  <c i="19" r="C99"/>
  <c i="19" r="C101"/>
  <c i="20" r="G16"/>
  <c i="20" r="G18"/>
  <c i="20" r="G20"/>
  <c i="20" r="G22"/>
  <c i="20" r="G24"/>
  <c i="20" r="G26"/>
  <c i="20" r="G28"/>
  <c i="20" r="G30"/>
  <c i="20" r="G32"/>
  <c i="20" r="G34"/>
  <c i="20" r="G36"/>
  <c i="20" r="G38"/>
  <c i="20" r="G40"/>
  <c i="20" r="G42"/>
  <c i="20" r="G44"/>
  <c i="20" r="G46"/>
  <c i="20" r="G48"/>
  <c i="20" r="G50"/>
  <c i="20" r="G52"/>
  <c i="20" r="G54"/>
  <c i="20" r="G56"/>
  <c i="20" r="G58"/>
  <c i="20" r="G60"/>
  <c i="20" r="G62"/>
  <c i="20" r="G64"/>
  <c i="20" r="G66"/>
  <c i="20" r="G68"/>
  <c i="20" r="G70"/>
  <c i="20" r="G72"/>
  <c i="20" r="G74"/>
  <c i="20" r="G76"/>
  <c i="20" r="G78"/>
  <c i="20" r="G80"/>
  <c i="20" r="G82"/>
  <c i="20" r="G84"/>
  <c i="20" r="G86"/>
  <c i="20" r="G88"/>
  <c i="20" r="G90"/>
  <c i="20" r="G92"/>
  <c i="20" r="G94"/>
  <c i="20" r="G96"/>
  <c i="20" r="G98"/>
  <c i="20" r="G100"/>
  <c i="20" r="G81"/>
  <c i="20" r="G83"/>
  <c i="20" r="G85"/>
  <c i="20" r="G87"/>
  <c i="20" r="G89"/>
  <c i="20" r="G91"/>
  <c i="20" r="G93"/>
  <c i="20" r="G95"/>
  <c i="20" r="G97"/>
  <c i="20" r="G99"/>
  <c i="20" r="G101"/>
  <c i="17" r="C99"/>
  <c i="17" r="G100"/>
  <c i="17" r="G98"/>
  <c i="17" r="G96"/>
  <c i="17" r="G94"/>
  <c i="17" r="G92"/>
  <c i="17" r="G90"/>
  <c i="17" r="G88"/>
  <c i="17" r="G86"/>
  <c i="17" r="G84"/>
  <c i="17" r="G82"/>
  <c i="17" r="G80"/>
  <c i="17" r="G78"/>
  <c i="17" r="G76"/>
  <c i="17" r="G74"/>
  <c i="17" r="G72"/>
  <c i="17" r="G70"/>
  <c i="17" r="G68"/>
  <c i="17" r="G66"/>
  <c i="17" r="G64"/>
  <c i="17" r="G62"/>
  <c i="17" r="G60"/>
  <c i="17" r="G58"/>
  <c i="17" r="G56"/>
  <c i="17" r="G54"/>
  <c i="17" r="G52"/>
  <c i="17" r="G50"/>
  <c i="17" r="G48"/>
  <c i="17" r="G46"/>
  <c i="17" r="G44"/>
  <c i="17" r="G42"/>
  <c i="17" r="G40"/>
  <c i="17" r="G38"/>
  <c i="17" r="G36"/>
  <c i="17" r="G34"/>
  <c i="17" r="G32"/>
  <c i="17" r="G30"/>
  <c i="17" r="G28"/>
  <c i="17" r="G102"/>
  <c i="17" r="G101"/>
  <c i="17" r="G99"/>
  <c i="17" r="G97"/>
  <c i="17" r="C72"/>
  <c i="17" r="C75"/>
  <c i="17" r="G77"/>
  <c i="17" r="C80"/>
  <c i="17" r="C83"/>
  <c i="17" r="G85"/>
  <c i="17" r="C88"/>
  <c i="17" r="C91"/>
  <c i="17" r="G93"/>
  <c i="17" r="C96"/>
  <c i="17" r="C100"/>
  <c i="18" r="G72"/>
  <c i="18" r="G74"/>
  <c i="18" r="G76"/>
  <c i="18" r="G78"/>
  <c i="18" r="G80"/>
  <c i="18" r="G82"/>
  <c i="18" r="G84"/>
  <c i="18" r="G86"/>
  <c i="18" r="G88"/>
  <c i="18" r="G90"/>
  <c i="18" r="G92"/>
  <c i="18" r="G94"/>
  <c i="18" r="G96"/>
  <c i="18" r="G98"/>
  <c i="18" r="G100"/>
  <c i="18" r="C102"/>
  <c i="18" r="G11"/>
  <c i="18" r="G13"/>
  <c i="18" r="G15"/>
  <c i="18" r="G17"/>
  <c i="18" r="G19"/>
  <c i="18" r="G21"/>
  <c i="18" r="G23"/>
  <c i="18" r="G25"/>
  <c i="18" r="G27"/>
  <c i="18" r="G29"/>
  <c i="18" r="G31"/>
  <c i="18" r="G33"/>
  <c i="18" r="G35"/>
  <c i="18" r="G37"/>
  <c i="18" r="G39"/>
  <c i="18" r="G41"/>
  <c i="18" r="G43"/>
  <c i="18" r="G45"/>
  <c i="18" r="G47"/>
  <c i="18" r="G49"/>
  <c i="18" r="G51"/>
  <c i="18" r="G53"/>
  <c i="18" r="G55"/>
  <c i="18" r="G57"/>
  <c i="18" r="G59"/>
  <c i="18" r="G61"/>
  <c i="18" r="G63"/>
  <c i="18" r="G65"/>
  <c i="18" r="G67"/>
  <c i="18" r="G69"/>
  <c i="18" r="G71"/>
  <c i="18" r="G73"/>
  <c i="18" r="G75"/>
  <c i="18" r="G77"/>
  <c i="18" r="G79"/>
  <c i="18" r="G81"/>
  <c i="18" r="G83"/>
  <c i="18" r="G85"/>
  <c i="18" r="G87"/>
  <c i="18" r="G89"/>
  <c i="18" r="G91"/>
  <c i="18" r="G93"/>
  <c i="18" r="G95"/>
  <c i="18" r="G97"/>
  <c i="18" r="G99"/>
  <c i="18" r="G101"/>
  <c i="15" r="C11"/>
  <c i="15" r="C13"/>
  <c i="15" r="C15"/>
  <c i="15" r="C17"/>
  <c i="15" r="C19"/>
  <c i="15" r="C21"/>
  <c i="15" r="C23"/>
  <c i="15" r="C25"/>
  <c i="15" r="C27"/>
  <c i="15" r="C29"/>
  <c i="15" r="C31"/>
  <c i="15" r="C33"/>
  <c i="15" r="C35"/>
  <c i="15" r="C37"/>
  <c i="15" r="C39"/>
  <c i="15" r="C41"/>
  <c i="15" r="C43"/>
  <c i="15" r="C45"/>
  <c i="15" r="C47"/>
  <c i="15" r="C49"/>
  <c i="15" r="C51"/>
  <c i="15" r="C53"/>
  <c i="15" r="C55"/>
  <c i="15" r="C57"/>
  <c i="15" r="C59"/>
  <c i="15" r="C61"/>
  <c i="15" r="C63"/>
  <c i="15" r="C65"/>
  <c i="15" r="C67"/>
  <c i="15" r="C69"/>
  <c i="15" r="C71"/>
  <c i="15" r="C73"/>
  <c i="15" r="C75"/>
  <c i="15" r="C77"/>
  <c i="15" r="C79"/>
  <c i="15" r="C81"/>
  <c i="15" r="C83"/>
  <c i="15" r="C85"/>
  <c i="15" r="C87"/>
  <c i="15" r="C89"/>
  <c i="15" r="C91"/>
  <c i="15" r="C93"/>
  <c i="15" r="C95"/>
  <c i="15" r="C97"/>
  <c i="15" r="C99"/>
  <c i="15" r="C101"/>
  <c i="16" r="G100"/>
  <c i="16" r="G95"/>
  <c i="16" r="G97"/>
  <c i="16" r="G99"/>
  <c i="16" r="G101"/>
  <c i="13" r="C11"/>
  <c i="13" r="C13"/>
  <c i="13" r="C15"/>
  <c i="13" r="C17"/>
  <c i="13" r="C19"/>
  <c i="13" r="C21"/>
  <c i="13" r="C23"/>
  <c i="13" r="C25"/>
  <c i="13" r="C27"/>
  <c i="13" r="C29"/>
  <c i="13" r="C31"/>
  <c i="13" r="C33"/>
  <c i="13" r="C35"/>
  <c i="13" r="C37"/>
  <c i="13" r="C39"/>
  <c i="13" r="C41"/>
  <c i="13" r="C43"/>
  <c i="13" r="C45"/>
  <c i="13" r="C47"/>
  <c i="13" r="C49"/>
  <c i="13" r="C51"/>
  <c i="13" r="C53"/>
  <c i="13" r="C55"/>
  <c i="13" r="C57"/>
  <c i="13" r="C59"/>
  <c i="13" r="C61"/>
  <c i="13" r="C63"/>
  <c i="13" r="C65"/>
  <c i="13" r="C67"/>
  <c i="13" r="C69"/>
  <c i="13" r="C71"/>
  <c i="13" r="C73"/>
  <c i="13" r="C75"/>
  <c i="13" r="C77"/>
  <c i="13" r="C79"/>
  <c i="13" r="C81"/>
  <c i="13" r="C83"/>
  <c i="13" r="C85"/>
  <c i="13" r="C87"/>
  <c i="13" r="C89"/>
  <c i="13" r="C91"/>
  <c i="13" r="C93"/>
  <c i="13" r="C95"/>
  <c i="13" r="C97"/>
  <c i="13" r="C99"/>
  <c i="13" r="C101"/>
  <c i="14" r="G100"/>
  <c i="14" r="G89"/>
  <c i="14" r="G91"/>
  <c i="14" r="G93"/>
  <c i="14" r="G95"/>
  <c i="14" r="G97"/>
  <c i="14" r="G99"/>
  <c i="14" r="G101"/>
  <c i="12" r="G11"/>
  <c i="12" r="G15"/>
  <c i="12" r="G17"/>
  <c i="12" r="G21"/>
  <c i="12" r="G25"/>
  <c i="12" r="G29"/>
  <c i="12" r="G47"/>
  <c i="11" r="C11"/>
  <c i="11" r="C13"/>
  <c i="11" r="C15"/>
  <c i="11" r="C17"/>
  <c i="11" r="C19"/>
  <c i="11" r="C21"/>
  <c i="11" r="C23"/>
  <c i="11" r="C25"/>
  <c i="11" r="C27"/>
  <c i="11" r="C29"/>
  <c i="11" r="C31"/>
  <c i="11" r="C33"/>
  <c i="11" r="C35"/>
  <c i="11" r="C37"/>
  <c i="11" r="C39"/>
  <c i="11" r="C41"/>
  <c i="11" r="C43"/>
  <c i="11" r="C45"/>
  <c i="11" r="C47"/>
  <c i="11" r="C49"/>
  <c i="11" r="C51"/>
  <c i="11" r="C53"/>
  <c i="11" r="C55"/>
  <c i="11" r="C57"/>
  <c i="11" r="C59"/>
  <c i="11" r="C61"/>
  <c i="11" r="C63"/>
  <c i="11" r="C65"/>
  <c i="11" r="C67"/>
  <c i="11" r="C69"/>
  <c i="11" r="C71"/>
  <c i="11" r="C73"/>
  <c i="11" r="C75"/>
  <c i="11" r="C77"/>
  <c i="11" r="C79"/>
  <c i="11" r="C81"/>
  <c i="11" r="C83"/>
  <c i="11" r="C85"/>
  <c i="11" r="C87"/>
  <c i="11" r="C89"/>
  <c i="11" r="C91"/>
  <c i="11" r="C93"/>
  <c i="11" r="C95"/>
  <c i="11" r="C97"/>
  <c i="11" r="C99"/>
  <c i="11" r="C101"/>
  <c i="12" r="G16"/>
  <c i="12" r="G18"/>
  <c i="12" r="G20"/>
  <c i="12" r="G22"/>
  <c i="12" r="G24"/>
  <c i="12" r="G26"/>
  <c i="12" r="G28"/>
  <c i="12" r="G30"/>
  <c i="12" r="G32"/>
  <c i="12" r="G34"/>
  <c i="12" r="G36"/>
  <c i="12" r="G38"/>
  <c i="12" r="G40"/>
  <c i="12" r="G42"/>
  <c i="12" r="G44"/>
  <c i="12" r="G46"/>
  <c i="12" r="G48"/>
  <c i="12" r="G50"/>
  <c i="12" r="G52"/>
  <c i="12" r="G54"/>
  <c i="12" r="G56"/>
  <c i="12" r="G58"/>
  <c i="12" r="G60"/>
  <c i="12" r="G62"/>
  <c i="12" r="G64"/>
  <c i="12" r="G66"/>
  <c i="12" r="G68"/>
  <c i="12" r="G70"/>
  <c i="12" r="G72"/>
  <c i="12" r="G74"/>
  <c i="12" r="G76"/>
  <c i="12" r="G78"/>
  <c i="12" r="G80"/>
  <c i="12" r="G82"/>
  <c i="12" r="G84"/>
  <c i="12" r="G86"/>
  <c i="12" r="G88"/>
  <c i="12" r="G90"/>
  <c i="12" r="G92"/>
  <c i="12" r="G94"/>
  <c i="12" r="G96"/>
  <c i="12" r="G98"/>
  <c i="12" r="G100"/>
  <c i="12" r="G13"/>
  <c i="12" r="G19"/>
  <c i="12" r="G23"/>
  <c i="12" r="G27"/>
  <c i="12" r="G31"/>
  <c i="12" r="G33"/>
  <c i="12" r="G35"/>
  <c i="12" r="G37"/>
  <c i="12" r="G39"/>
  <c i="12" r="G41"/>
  <c i="12" r="G43"/>
  <c i="12" r="G45"/>
  <c i="12" r="G49"/>
  <c i="12" r="G51"/>
  <c i="12" r="G53"/>
  <c i="12" r="G55"/>
  <c i="12" r="G57"/>
  <c i="12" r="G59"/>
  <c i="12" r="G61"/>
  <c i="12" r="G63"/>
  <c i="12" r="G65"/>
  <c i="12" r="G67"/>
  <c i="12" r="G69"/>
  <c i="12" r="G71"/>
  <c i="12" r="G73"/>
  <c i="12" r="G75"/>
  <c i="12" r="G77"/>
  <c i="12" r="G79"/>
  <c i="12" r="G81"/>
  <c i="12" r="G83"/>
  <c i="12" r="G85"/>
  <c i="12" r="G87"/>
  <c i="12" r="G89"/>
  <c i="12" r="G91"/>
  <c i="12" r="G93"/>
  <c i="12" r="G95"/>
  <c i="12" r="G97"/>
  <c i="12" r="G99"/>
  <c i="12" r="G101"/>
  <c i="8" r="C42"/>
  <c i="8" r="C45"/>
  <c i="8" r="C50"/>
  <c i="8" r="C53"/>
  <c i="8" r="C58"/>
  <c i="8" r="C61"/>
  <c i="8" r="C66"/>
  <c i="8" r="C69"/>
  <c i="8" r="C74"/>
  <c i="8" r="C77"/>
  <c i="8" r="C82"/>
  <c i="8" r="C85"/>
  <c i="8" r="C90"/>
  <c i="8" r="C93"/>
  <c i="8" r="G95"/>
  <c i="8" r="C98"/>
  <c i="8" r="C101"/>
  <c i="8" r="G102"/>
  <c i="8" r="C27"/>
  <c i="8" r="C32"/>
  <c i="8" r="C35"/>
  <c i="8" r="C40"/>
  <c i="8" r="C43"/>
  <c i="8" r="C48"/>
  <c i="8" r="C51"/>
  <c i="8" r="C56"/>
  <c i="8" r="C59"/>
  <c i="8" r="C64"/>
  <c i="8" r="C67"/>
  <c i="8" r="C72"/>
  <c i="8" r="C75"/>
  <c i="8" r="C80"/>
  <c i="8" r="C83"/>
  <c i="8" r="G85"/>
  <c i="8" r="C88"/>
  <c i="8" r="C91"/>
  <c i="8" r="G93"/>
  <c i="8" r="C96"/>
  <c i="8" r="C99"/>
  <c i="8" r="C47"/>
  <c i="8" r="C52"/>
  <c i="8" r="C55"/>
  <c i="8" r="C60"/>
  <c i="8" r="C63"/>
  <c i="8" r="C68"/>
  <c i="8" r="C71"/>
  <c i="8" r="C76"/>
  <c i="8" r="C79"/>
  <c i="8" r="C84"/>
  <c i="8" r="C87"/>
  <c i="8" r="C92"/>
  <c i="8" r="C95"/>
  <c i="8" r="C100"/>
  <c i="8" r="G100"/>
  <c i="8" r="G98"/>
  <c i="8" r="G96"/>
  <c i="8" r="G94"/>
  <c i="8" r="G92"/>
  <c i="8" r="G90"/>
  <c i="8" r="G88"/>
  <c i="8" r="G86"/>
  <c i="8" r="G84"/>
  <c i="8" r="G82"/>
  <c i="8" r="G80"/>
  <c i="8" r="G78"/>
  <c i="8" r="G76"/>
  <c i="8" r="G74"/>
  <c i="8" r="G72"/>
  <c i="8" r="G70"/>
  <c i="8" r="G68"/>
  <c i="8" r="G66"/>
  <c i="8" r="G64"/>
  <c i="8" r="G62"/>
  <c i="8" r="G60"/>
  <c i="8" r="G58"/>
  <c i="8" r="G56"/>
  <c i="8" r="G54"/>
  <c i="8" r="G52"/>
  <c i="8" r="G50"/>
  <c i="8" r="G48"/>
  <c i="8" r="G46"/>
  <c i="8" r="G44"/>
  <c i="8" r="G42"/>
  <c i="8" r="G40"/>
  <c i="8" r="G38"/>
  <c i="8" r="G36"/>
  <c i="8" r="G34"/>
  <c i="8" r="G32"/>
  <c i="8" r="G30"/>
  <c i="8" r="G28"/>
  <c i="9" r="G80"/>
  <c i="9" r="G82"/>
  <c i="9" r="G84"/>
  <c i="9" r="G86"/>
  <c i="9" r="G88"/>
  <c i="9" r="G90"/>
  <c i="9" r="G92"/>
  <c i="9" r="G94"/>
  <c i="9" r="G96"/>
  <c i="9" r="G98"/>
  <c i="9" r="G100"/>
  <c i="9" r="G11"/>
  <c i="9" r="G13"/>
  <c i="9" r="G15"/>
  <c i="9" r="G17"/>
  <c i="9" r="G19"/>
  <c i="9" r="G21"/>
  <c i="9" r="G23"/>
  <c i="9" r="G25"/>
  <c i="9" r="G27"/>
  <c i="9" r="G29"/>
  <c i="9" r="G31"/>
  <c i="9" r="G33"/>
  <c i="9" r="G35"/>
  <c i="9" r="G37"/>
  <c i="9" r="G39"/>
  <c i="9" r="G41"/>
  <c i="9" r="G43"/>
  <c i="9" r="G45"/>
  <c i="9" r="G47"/>
  <c i="9" r="G49"/>
  <c i="9" r="G51"/>
  <c i="9" r="G53"/>
  <c i="9" r="G55"/>
  <c i="9" r="G57"/>
  <c i="9" r="G59"/>
  <c i="9" r="G61"/>
  <c i="9" r="G63"/>
  <c i="9" r="G65"/>
  <c i="9" r="G67"/>
  <c i="9" r="G69"/>
  <c i="9" r="G71"/>
  <c i="9" r="G73"/>
  <c i="9" r="G75"/>
  <c i="9" r="G77"/>
  <c i="9" r="G79"/>
  <c i="9" r="G81"/>
  <c i="9" r="G83"/>
  <c i="9" r="G85"/>
  <c i="9" r="G87"/>
  <c i="9" r="G89"/>
  <c i="9" r="G91"/>
  <c i="9" r="G93"/>
  <c i="9" r="G95"/>
  <c i="9" r="G97"/>
  <c i="9" r="G99"/>
  <c i="9" r="G101"/>
  <c i="4" r="F102"/>
  <c i="4" r="G101" s="1"/>
  <c i="4" r="B102"/>
  <c i="4" r="C100" s="1"/>
  <c i="3" r="F102"/>
  <c i="3" r="B102"/>
  <c i="3" l="1" r="C13"/>
  <c i="3" r="U10"/>
  <c i="3" r="W10" s="1"/>
  <c i="3" r="G102"/>
  <c i="3" r="Y10"/>
  <c i="3" r="AA10" s="1"/>
  <c i="3" r="AA17"/>
  <c i="3" r="W17"/>
  <c i="3" r="W18" s="1"/>
  <c i="3" r="U18"/>
  <c i="3" r="U19" s="1"/>
  <c i="4" r="C30"/>
  <c i="4" r="C62"/>
  <c i="4" r="C14"/>
  <c i="4" r="C22"/>
  <c i="4" r="C78"/>
  <c i="4" r="C46"/>
  <c i="4" r="C11"/>
  <c i="4" r="C27"/>
  <c i="4" r="C54"/>
  <c i="4" r="C87"/>
  <c i="4" r="C19"/>
  <c i="4" r="C38"/>
  <c i="4" r="C70"/>
  <c i="4" r="C35"/>
  <c i="4" r="C43"/>
  <c i="4" r="C51"/>
  <c i="4" r="C59"/>
  <c i="4" r="C67"/>
  <c i="4" r="C75"/>
  <c i="4" r="C83"/>
  <c i="4" r="C99"/>
  <c i="4" r="C18"/>
  <c i="4" r="C26"/>
  <c i="4" r="C34"/>
  <c i="4" r="C42"/>
  <c i="4" r="C50"/>
  <c i="4" r="C58"/>
  <c i="4" r="C66"/>
  <c i="4" r="C74"/>
  <c i="4" r="C82"/>
  <c i="4" r="C95"/>
  <c i="4" r="C15"/>
  <c i="4" r="C23"/>
  <c i="4" r="C31"/>
  <c i="4" r="C39"/>
  <c i="4" r="C47"/>
  <c i="4" r="C55"/>
  <c i="4" r="C63"/>
  <c i="4" r="C71"/>
  <c i="4" r="C79"/>
  <c i="4" r="C91"/>
  <c i="4" r="G12"/>
  <c i="4" r="G33"/>
  <c i="4" r="G54"/>
  <c i="4" r="C86"/>
  <c i="4" r="C90"/>
  <c i="4" r="C94"/>
  <c i="4" r="C98"/>
  <c i="4" r="C102"/>
  <c i="4" r="G28"/>
  <c i="4" r="G49"/>
  <c i="4" r="C17"/>
  <c i="4" r="C25"/>
  <c i="4" r="C37"/>
  <c i="4" r="C45"/>
  <c i="4" r="C53"/>
  <c i="4" r="C61"/>
  <c i="4" r="C69"/>
  <c i="4" r="C77"/>
  <c i="4" r="C81"/>
  <c i="4" r="C85"/>
  <c i="4" r="C89"/>
  <c i="4" r="C93"/>
  <c i="4" r="C97"/>
  <c i="4" r="C101"/>
  <c i="4" r="G22"/>
  <c i="4" r="G44"/>
  <c i="4" r="G65"/>
  <c i="4" r="C13"/>
  <c i="4" r="C21"/>
  <c i="4" r="C29"/>
  <c i="4" r="C33"/>
  <c i="4" r="C41"/>
  <c i="4" r="C49"/>
  <c i="4" r="C57"/>
  <c i="4" r="C65"/>
  <c i="4" r="C73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72"/>
  <c i="4" r="C76"/>
  <c i="4" r="C80"/>
  <c i="4" r="C84"/>
  <c i="4" r="C88"/>
  <c i="4" r="C92"/>
  <c i="4" r="C96"/>
  <c i="4" r="G17"/>
  <c i="4" r="G38"/>
  <c i="4" r="G60"/>
  <c i="4" r="G70"/>
  <c i="4" r="G92"/>
  <c i="4" r="G14"/>
  <c i="4" r="G20"/>
  <c i="4" r="G25"/>
  <c i="4" r="G30"/>
  <c i="4" r="G36"/>
  <c i="4" r="G41"/>
  <c i="4" r="G46"/>
  <c i="4" r="G52"/>
  <c i="4" r="G57"/>
  <c i="4" r="G62"/>
  <c i="4" r="G68"/>
  <c i="4" r="G74"/>
  <c i="4" r="G84"/>
  <c i="4" r="G100"/>
  <c i="4" r="G13"/>
  <c i="4" r="G18"/>
  <c i="4" r="G24"/>
  <c i="4" r="G29"/>
  <c i="4" r="G34"/>
  <c i="4" r="G40"/>
  <c i="4" r="G45"/>
  <c i="4" r="G50"/>
  <c i="4" r="G56"/>
  <c i="4" r="G61"/>
  <c i="4" r="G66"/>
  <c i="4" r="G73"/>
  <c i="4" r="G82"/>
  <c i="4" r="G98"/>
  <c i="4" r="G78"/>
  <c i="4" r="G16"/>
  <c i="4" r="G21"/>
  <c i="4" r="G26"/>
  <c i="4" r="G32"/>
  <c i="4" r="G37"/>
  <c i="4" r="G42"/>
  <c i="4" r="G48"/>
  <c i="4" r="G53"/>
  <c i="4" r="G58"/>
  <c i="4" r="G64"/>
  <c i="4" r="G69"/>
  <c i="4" r="G77"/>
  <c i="4" r="G90"/>
  <c i="4" r="G11"/>
  <c i="4" r="G15"/>
  <c i="4" r="G19"/>
  <c i="4" r="G23"/>
  <c i="4" r="G27"/>
  <c i="4" r="G31"/>
  <c i="4" r="G35"/>
  <c i="4" r="G39"/>
  <c i="4" r="G43"/>
  <c i="4" r="G47"/>
  <c i="4" r="G51"/>
  <c i="4" r="G55"/>
  <c i="4" r="G59"/>
  <c i="4" r="G63"/>
  <c i="4" r="G67"/>
  <c i="4" r="G71"/>
  <c i="4" r="G75"/>
  <c i="4" r="G79"/>
  <c i="4" r="G86"/>
  <c i="4" r="G94"/>
  <c i="4" r="G102"/>
  <c i="4" r="G72"/>
  <c i="4" r="G76"/>
  <c i="4" r="G80"/>
  <c i="4" r="G88"/>
  <c i="4" r="G96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3" r="C14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G101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4" r="G81"/>
  <c i="4" r="G83"/>
  <c i="4" r="G85"/>
  <c i="4" r="G87"/>
  <c i="4" r="G89"/>
  <c i="4" r="G91"/>
  <c i="4" r="G93"/>
  <c i="4" r="G95"/>
  <c i="4" r="G97"/>
  <c i="4" r="G99"/>
  <c i="3" l="1" r="AA18"/>
  <c i="3" r="Y18"/>
  <c i="3" r="Y19" s="1"/>
  <c i="3" r="W19"/>
  <c i="3" r="V19" s="1"/>
  <c i="3" r="V18"/>
  <c i="3" r="AA19"/>
  <c i="3" l="1" r="AC13"/>
  <c i="3" r="AC14"/>
  <c i="3" r="AC11"/>
  <c i="3" r="AC15"/>
  <c i="3" r="AC16"/>
  <c i="3" r="AC17"/>
  <c i="3" r="AC12"/>
  <c i="3" r="AC10"/>
  <c i="3" r="Z18"/>
  <c i="3" r="Z19"/>
  <c i="3" l="1" r="AD11"/>
  <c i="3" r="AD12"/>
  <c i="3" r="AD13"/>
  <c i="3" r="AD14"/>
  <c i="3" r="AD15"/>
  <c i="3" r="AD16"/>
  <c i="3" r="AD17"/>
  <c i="3" r="AD10"/>
</calcChain>
</file>

<file path=xl/sharedStrings.xml><?xml version="1.0" encoding="utf-8"?>
<sst xmlns="http://schemas.openxmlformats.org/spreadsheetml/2006/main" count="305" uniqueCount="52">
  <si>
    <t>Trip Duration Frequency Distribution</t>
  </si>
  <si>
    <t>Trip Length Frequency Distribution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</si>
  <si>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</si>
  <si>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</si>
  <si>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</si>
  <si>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</si>
  <si>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</si>
  <si>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</si>
  <si>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</si>
  <si>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</si>
  <si>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</si>
  <si>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</si>
  <si>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Time (min)</t>
  </si>
  <si>
    <t>DaySim</t>
  </si>
  <si>
    <t>Table X. Average Trip Length</t>
  </si>
  <si>
    <t>Table X. Average Trip Duration</t>
  </si>
  <si>
    <t>Table X. Observed Trip Lengths: Survey</t>
  </si>
  <si>
    <t>Survey</t>
  </si>
  <si>
    <t>Table X. Observed Trip Durations: Survey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</si>
  <si>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</si>
  <si>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</si>
  <si>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</si>
  <si>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 xml:space="preserve">Observed Sources: Survey </t>
  </si>
  <si>
    <t>Avg. Trip Length</t>
  </si>
  <si>
    <t>Length</t>
  </si>
  <si>
    <t>Trips</t>
  </si>
  <si>
    <t>Walk</t>
  </si>
  <si>
    <t>Bike</t>
  </si>
  <si>
    <t>SOV</t>
  </si>
  <si>
    <t>HOV2</t>
  </si>
  <si>
    <t>HOV3</t>
  </si>
  <si>
    <t>Transit</t>
  </si>
  <si>
    <t>School Bus</t>
  </si>
  <si>
    <t>Trips*Length</t>
  </si>
  <si>
    <t>Meal</t>
  </si>
  <si>
    <t>ALL (mode)</t>
  </si>
  <si>
    <t>ALL (purpose)</t>
  </si>
  <si>
    <t>Meal is included</t>
  </si>
  <si>
    <t>Meal is not included - not a mode</t>
  </si>
  <si>
    <t>Mode</t>
  </si>
  <si>
    <t>Purpose</t>
  </si>
  <si>
    <t>Home</t>
  </si>
  <si>
    <t>Work</t>
  </si>
  <si>
    <t>School</t>
  </si>
  <si>
    <t>Escort</t>
  </si>
  <si>
    <t>PerBus</t>
  </si>
  <si>
    <t>Shop</t>
  </si>
  <si>
    <t>SocRec</t>
  </si>
  <si>
    <t>-</t>
  </si>
  <si>
    <t>Avg. Survey (All)</t>
  </si>
  <si>
    <t>Avg. ABM (All)</t>
  </si>
  <si>
    <t>ABM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</si>
</sst>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mm/dd/yyyy\ hh:mm:ss"/>
    <numFmt numFmtId="165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</cellStyleXfs>
  <cellXfs count="379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applyNumberFormat="1" borderId="0" fillId="0" fontId="0" numFmtId="165" xfId="8"/>
    <xf applyBorder="1" borderId="3" fillId="0" fontId="0" numFmtId="0" xfId="0"/>
    <xf applyBorder="1" applyFont="1" borderId="3" fillId="0" fontId="1" numFmtId="0" xfId="0"/>
    <xf applyBorder="1" applyFont="1" applyNumberFormat="1" borderId="3" fillId="0" fontId="1" numFmtId="165" xfId="8"/>
    <xf applyBorder="1" applyFont="1" applyNumberFormat="1" borderId="3" fillId="0" fontId="1" numFmtId="2" xfId="0"/>
    <xf applyBorder="1" applyFont="1" applyNumberFormat="1" borderId="3" fillId="0" fontId="1" numFmtId="165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theme/theme1.xml" Type="http://schemas.openxmlformats.org/officeDocument/2006/relationships/theme"/>
    <Relationship Id="rId18" Target="styles.xml" Type="http://schemas.openxmlformats.org/officeDocument/2006/relationships/styles"/>
    <Relationship Id="rId19" Target="sharedStrings.xml" Type="http://schemas.openxmlformats.org/officeDocument/2006/relationships/sharedStrings"/>
    <Relationship Id="rId2" Target="worksheets/sheet2.xml" Type="http://schemas.openxmlformats.org/officeDocument/2006/relationships/worksheet"/>
    <Relationship Id="rId20" Target="calcChain.xml" Type="http://schemas.openxmlformats.org/officeDocument/2006/relationships/calcChain"/>
    <Relationship Id="rId21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2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TLFD_Home!$C$11:$C$71</c:f>
              <c:numCache>
                <c:formatCode>0.00%</c:formatCode>
                <c:ptCount val="61"/>
                <c:pt idx="0">
                  <c:v>6.4387874064353007E-2</c:v>
                </c:pt>
                <c:pt idx="1">
                  <c:v>0.14551329546670141</c:v>
                </c:pt>
                <c:pt idx="2">
                  <c:v>0.13455023190127657</c:v>
                </c:pt>
                <c:pt idx="3">
                  <c:v>0.11094037030070794</c:v>
                </c:pt>
                <c:pt idx="4">
                  <c:v>8.2909489834202904E-2</c:v>
                </c:pt>
                <c:pt idx="5">
                  <c:v>6.046504828016893E-2</c:v>
                </c:pt>
                <c:pt idx="6">
                  <c:v>6.621507681387688E-2</c:v>
                </c:pt>
                <c:pt idx="7">
                  <c:v>4.2030144440801019E-2</c:v>
                </c:pt>
                <c:pt idx="8">
                  <c:v>3.6314105687193149E-2</c:v>
                </c:pt>
                <c:pt idx="9">
                  <c:v>2.7738584505313153E-2</c:v>
                </c:pt>
                <c:pt idx="10">
                  <c:v>2.6770372697320261E-2</c:v>
                </c:pt>
                <c:pt idx="11">
                  <c:v>2.5710889103379073E-2</c:v>
                </c:pt>
                <c:pt idx="12">
                  <c:v>2.2360590461538259E-2</c:v>
                </c:pt>
                <c:pt idx="13">
                  <c:v>1.7590916110708024E-2</c:v>
                </c:pt>
                <c:pt idx="14">
                  <c:v>1.5380542526010624E-2</c:v>
                </c:pt>
                <c:pt idx="15">
                  <c:v>1.5341102340594489E-2</c:v>
                </c:pt>
                <c:pt idx="16">
                  <c:v>1.0177880360566381E-2</c:v>
                </c:pt>
                <c:pt idx="17">
                  <c:v>8.6952606406939421E-3</c:v>
                </c:pt>
                <c:pt idx="18">
                  <c:v>9.3729241357344718E-3</c:v>
                </c:pt>
                <c:pt idx="19">
                  <c:v>8.092427918810409E-3</c:v>
                </c:pt>
                <c:pt idx="20">
                  <c:v>5.6794055797496417E-3</c:v>
                </c:pt>
                <c:pt idx="21">
                  <c:v>7.8080426747734492E-3</c:v>
                </c:pt>
                <c:pt idx="22">
                  <c:v>5.3813803188516854E-3</c:v>
                </c:pt>
                <c:pt idx="23">
                  <c:v>5.7377540350996492E-3</c:v>
                </c:pt>
                <c:pt idx="24">
                  <c:v>4.3979122878058446E-3</c:v>
                </c:pt>
                <c:pt idx="25">
                  <c:v>3.9599709245676145E-3</c:v>
                </c:pt>
                <c:pt idx="26">
                  <c:v>3.6696471374822689E-3</c:v>
                </c:pt>
                <c:pt idx="27">
                  <c:v>3.7444370367024369E-3</c:v>
                </c:pt>
                <c:pt idx="28">
                  <c:v>2.683879200729974E-3</c:v>
                </c:pt>
                <c:pt idx="29">
                  <c:v>3.1706831958350419E-3</c:v>
                </c:pt>
                <c:pt idx="30">
                  <c:v>2.3878051137759915E-3</c:v>
                </c:pt>
                <c:pt idx="31">
                  <c:v>4.1137601126581E-3</c:v>
                </c:pt>
                <c:pt idx="32">
                  <c:v>2.3650465324963495E-3</c:v>
                </c:pt>
                <c:pt idx="33">
                  <c:v>1.337834481160594E-3</c:v>
                </c:pt>
                <c:pt idx="34">
                  <c:v>1.5719299989683845E-3</c:v>
                </c:pt>
                <c:pt idx="35">
                  <c:v>1.2997073327425991E-3</c:v>
                </c:pt>
                <c:pt idx="36">
                  <c:v>2.5831834803298455E-3</c:v>
                </c:pt>
                <c:pt idx="37">
                  <c:v>7.5421194606871574E-4</c:v>
                </c:pt>
                <c:pt idx="38">
                  <c:v>3.6240524703195636E-4</c:v>
                </c:pt>
                <c:pt idx="39">
                  <c:v>7.498904454014048E-4</c:v>
                </c:pt>
                <c:pt idx="40">
                  <c:v>1.0666272887119852E-3</c:v>
                </c:pt>
                <c:pt idx="41">
                  <c:v>7.5955288981465038E-4</c:v>
                </c:pt>
                <c:pt idx="42">
                  <c:v>2.976677309717188E-4</c:v>
                </c:pt>
                <c:pt idx="43">
                  <c:v>8.2532694668378652E-4</c:v>
                </c:pt>
                <c:pt idx="44">
                  <c:v>2.8453032284881752E-4</c:v>
                </c:pt>
                <c:pt idx="45">
                  <c:v>3.9177826016697316E-4</c:v>
                </c:pt>
                <c:pt idx="46">
                  <c:v>3.1630854828342925E-4</c:v>
                </c:pt>
                <c:pt idx="47">
                  <c:v>1.3535095901654804E-5</c:v>
                </c:pt>
                <c:pt idx="48">
                  <c:v>5.6603919058403581E-4</c:v>
                </c:pt>
                <c:pt idx="49">
                  <c:v>4.7478823275628343E-5</c:v>
                </c:pt>
                <c:pt idx="50">
                  <c:v>1.8748130563968292E-4</c:v>
                </c:pt>
                <c:pt idx="51">
                  <c:v>1.4376103104321212E-4</c:v>
                </c:pt>
                <c:pt idx="52">
                  <c:v>2.4219160082089794E-4</c:v>
                </c:pt>
                <c:pt idx="53">
                  <c:v>4.7825796963474059E-5</c:v>
                </c:pt>
                <c:pt idx="54">
                  <c:v>0</c:v>
                </c:pt>
                <c:pt idx="55">
                  <c:v>2.3851911729617047E-4</c:v>
                </c:pt>
                <c:pt idx="56">
                  <c:v>1.7365569764284149E-4</c:v>
                </c:pt>
                <c:pt idx="57">
                  <c:v>0</c:v>
                </c:pt>
                <c:pt idx="58">
                  <c:v>3.9253612017763703E-5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04-473D-BDA1-D8169557D948}"/>
            </c:ext>
          </c:extLst>
        </c:ser>
        <c:ser>
          <c:idx val="1"/>
          <c:order val="1"/>
          <c:tx>
            <c:strRef>
              <c:f>TLFD_Home!$G$10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TLFD_Home!$G$11:$G$71</c:f>
              <c:numCache>
                <c:formatCode>0.00%</c:formatCode>
                <c:ptCount val="61"/>
                <c:pt idx="0">
                  <c:v>9.0720102846836848E-2</c:v>
                </c:pt>
                <c:pt idx="1">
                  <c:v>0.1113028860343655</c:v>
                </c:pt>
                <c:pt idx="2">
                  <c:v>0.11059884717282024</c:v>
                </c:pt>
                <c:pt idx="3">
                  <c:v>9.8883337202533367E-2</c:v>
                </c:pt>
                <c:pt idx="4">
                  <c:v>8.1259033804364694E-2</c:v>
                </c:pt>
                <c:pt idx="5">
                  <c:v>6.7377743972505733E-2</c:v>
                </c:pt>
                <c:pt idx="6">
                  <c:v>5.3598531026123518E-2</c:v>
                </c:pt>
                <c:pt idx="7">
                  <c:v>4.2963869448913145E-2</c:v>
                </c:pt>
                <c:pt idx="8">
                  <c:v>3.5760157816697911E-2</c:v>
                </c:pt>
                <c:pt idx="9">
                  <c:v>3.2385787631081304E-2</c:v>
                </c:pt>
                <c:pt idx="10">
                  <c:v>2.9947608309408454E-2</c:v>
                </c:pt>
                <c:pt idx="11">
                  <c:v>2.7531010957807831E-2</c:v>
                </c:pt>
                <c:pt idx="12">
                  <c:v>2.5607882435426162E-2</c:v>
                </c:pt>
                <c:pt idx="13">
                  <c:v>2.1571470735431877E-2</c:v>
                </c:pt>
                <c:pt idx="14">
                  <c:v>1.8629906544236623E-2</c:v>
                </c:pt>
                <c:pt idx="15">
                  <c:v>1.6904515531435599E-2</c:v>
                </c:pt>
                <c:pt idx="16">
                  <c:v>1.4657657457970572E-2</c:v>
                </c:pt>
                <c:pt idx="17">
                  <c:v>1.2951515229288016E-2</c:v>
                </c:pt>
                <c:pt idx="18">
                  <c:v>1.1720176342194384E-2</c:v>
                </c:pt>
                <c:pt idx="19">
                  <c:v>1.0257852045679115E-2</c:v>
                </c:pt>
                <c:pt idx="20">
                  <c:v>9.0031812990479434E-3</c:v>
                </c:pt>
                <c:pt idx="21">
                  <c:v>8.1124875612023847E-3</c:v>
                </c:pt>
                <c:pt idx="22">
                  <c:v>7.2906228089925657E-3</c:v>
                </c:pt>
                <c:pt idx="23">
                  <c:v>6.4950063987624781E-3</c:v>
                </c:pt>
                <c:pt idx="24">
                  <c:v>5.9723727451215999E-3</c:v>
                </c:pt>
                <c:pt idx="25">
                  <c:v>5.3587448392843186E-3</c:v>
                </c:pt>
                <c:pt idx="26">
                  <c:v>5.0956781229985638E-3</c:v>
                </c:pt>
                <c:pt idx="27">
                  <c:v>4.5782941377536315E-3</c:v>
                </c:pt>
                <c:pt idx="28">
                  <c:v>4.3467254318435549E-3</c:v>
                </c:pt>
                <c:pt idx="29">
                  <c:v>3.84975682369397E-3</c:v>
                </c:pt>
                <c:pt idx="30">
                  <c:v>3.6899335858618263E-3</c:v>
                </c:pt>
                <c:pt idx="31">
                  <c:v>3.2635438528132972E-3</c:v>
                </c:pt>
                <c:pt idx="32">
                  <c:v>2.7490763500105575E-3</c:v>
                </c:pt>
                <c:pt idx="33">
                  <c:v>2.2538576313262879E-3</c:v>
                </c:pt>
                <c:pt idx="34">
                  <c:v>1.9855412466445871E-3</c:v>
                </c:pt>
                <c:pt idx="35">
                  <c:v>1.6507290622808993E-3</c:v>
                </c:pt>
                <c:pt idx="36">
                  <c:v>1.3829959740876369E-3</c:v>
                </c:pt>
                <c:pt idx="37">
                  <c:v>1.1205125542903206E-3</c:v>
                </c:pt>
                <c:pt idx="38">
                  <c:v>1.0061864425563785E-3</c:v>
                </c:pt>
                <c:pt idx="39">
                  <c:v>8.8544406944961315E-4</c:v>
                </c:pt>
                <c:pt idx="40">
                  <c:v>8.1019882244104911E-4</c:v>
                </c:pt>
                <c:pt idx="41">
                  <c:v>6.5620854949329031E-4</c:v>
                </c:pt>
                <c:pt idx="42">
                  <c:v>5.9087934278818054E-4</c:v>
                </c:pt>
                <c:pt idx="43">
                  <c:v>4.9463542219583124E-4</c:v>
                </c:pt>
                <c:pt idx="44">
                  <c:v>4.1822358221039037E-4</c:v>
                </c:pt>
                <c:pt idx="45">
                  <c:v>3.8322579290408154E-4</c:v>
                </c:pt>
                <c:pt idx="46">
                  <c:v>3.2547944054867202E-4</c:v>
                </c:pt>
                <c:pt idx="47">
                  <c:v>2.7006627414701641E-4</c:v>
                </c:pt>
                <c:pt idx="48">
                  <c:v>2.2631903751413036E-4</c:v>
                </c:pt>
                <c:pt idx="49">
                  <c:v>1.9365443416157545E-4</c:v>
                </c:pt>
                <c:pt idx="50">
                  <c:v>1.6098983080902057E-4</c:v>
                </c:pt>
                <c:pt idx="51">
                  <c:v>1.3940786073679678E-4</c:v>
                </c:pt>
                <c:pt idx="52">
                  <c:v>1.1490940822238062E-4</c:v>
                </c:pt>
                <c:pt idx="53">
                  <c:v>9.5077327615472292E-5</c:v>
                </c:pt>
                <c:pt idx="54">
                  <c:v>6.2996020751355879E-5</c:v>
                </c:pt>
                <c:pt idx="55">
                  <c:v>6.53292067051098E-5</c:v>
                </c:pt>
                <c:pt idx="56">
                  <c:v>4.7830312051955383E-5</c:v>
                </c:pt>
                <c:pt idx="57">
                  <c:v>4.1414050679132102E-5</c:v>
                </c:pt>
                <c:pt idx="58">
                  <c:v>4.8413608540393863E-5</c:v>
                </c:pt>
                <c:pt idx="59">
                  <c:v>3.208130686411642E-5</c:v>
                </c:pt>
                <c:pt idx="60">
                  <c:v>1.749889465315441E-5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04-473D-BDA1-D8169557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8240"/>
        <c:axId val="58198272"/>
      </c:lineChart>
      <c:catAx>
        <c:axId val="1249382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58198272"/>
        <c:crosses val="autoZero"/>
        <c:auto val="1"/>
        <c:lblAlgn val="ctr"/>
        <c:lblOffset val="100"/>
        <c:tickLblSkip val="10"/>
        <c:noMultiLvlLbl val="0"/>
      </c:catAx>
      <c:valAx>
        <c:axId val="581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1249382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404162507855534"/>
          <c:y val="7.8319845435987162E-2"/>
          <c:w val="0.20034046800487967"/>
          <c:h val="0.1211380869058034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Trip Lengths by Purpose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TLFD_Home!$U$8</c:f>
              <c:strCache>
                <c:ptCount val="1"/>
                <c:pt idx="0">
                  <c:v>Survey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TLFD_Home!$S$10:$S$17</c:f>
              <c:strCache>
                <c:ptCount val="8"/>
                <c:pt idx="0">
                  <c:v>Home</c:v>
                </c:pt>
                <c:pt idx="1">
                  <c:v>Work</c:v>
                </c:pt>
                <c:pt idx="2">
                  <c:v>School</c:v>
                </c:pt>
                <c:pt idx="3">
                  <c:v>Escort</c:v>
                </c:pt>
                <c:pt idx="4">
                  <c:v>PerBus</c:v>
                </c:pt>
                <c:pt idx="5">
                  <c:v>Shop</c:v>
                </c:pt>
                <c:pt idx="6">
                  <c:v>Meal</c:v>
                </c:pt>
                <c:pt idx="7">
                  <c:v>SocRec</c:v>
                </c:pt>
              </c:strCache>
            </c:strRef>
          </c:cat>
          <c:val>
            <c:numRef>
              <c:f>TLFD_Home!$V$10:$V$17</c:f>
              <c:numCache>
                <c:formatCode>0.00</c:formatCode>
                <c:ptCount val="8"/>
                <c:pt idx="0">
                  <c:v>7.1673812593011483</c:v>
                </c:pt>
                <c:pt idx="1">
                  <c:v>9.7146066689582096</c:v>
                </c:pt>
                <c:pt idx="2">
                  <c:v>5.0693394575390647</c:v>
                </c:pt>
                <c:pt idx="3">
                  <c:v>6.0788709411905471</c:v>
                </c:pt>
                <c:pt idx="4">
                  <c:v>5.8697969729583006</c:v>
                </c:pt>
                <c:pt idx="5">
                  <c:v>4.6870559711519544</c:v>
                </c:pt>
                <c:pt idx="6">
                  <c:v>4.9412453615349561</c:v>
                </c:pt>
                <c:pt idx="7">
                  <c:v>5.9261083299559036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4F-4F70-BAEF-BBBBABF36A37}"/>
            </c:ext>
          </c:extLst>
        </c:ser>
        <c:ser>
          <c:idx val="1"/>
          <c:order val="1"/>
          <c:tx>
            <c:strRef>
              <c:f>TLFD_Home!$Y$8</c:f>
              <c:strCache>
                <c:ptCount val="1"/>
                <c:pt idx="0">
                  <c:v>ABM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solidFill>
                <a:schemeClr val="accent6"/>
              </a:solidFill>
            </a:ln>
            <a:effectLst/>
          </c:spPr>
          <c:invertIfNegative val="0"/>
          <c:cat>
            <c:strRef>
              <c:f>TLFD_Home!$S$10:$S$17</c:f>
              <c:strCache>
                <c:ptCount val="8"/>
                <c:pt idx="0">
                  <c:v>Home</c:v>
                </c:pt>
                <c:pt idx="1">
                  <c:v>Work</c:v>
                </c:pt>
                <c:pt idx="2">
                  <c:v>School</c:v>
                </c:pt>
                <c:pt idx="3">
                  <c:v>Escort</c:v>
                </c:pt>
                <c:pt idx="4">
                  <c:v>PerBus</c:v>
                </c:pt>
                <c:pt idx="5">
                  <c:v>Shop</c:v>
                </c:pt>
                <c:pt idx="6">
                  <c:v>Meal</c:v>
                </c:pt>
                <c:pt idx="7">
                  <c:v>SocRec</c:v>
                </c:pt>
              </c:strCache>
            </c:strRef>
          </c:cat>
          <c:val>
            <c:numRef>
              <c:f>TLFD_Home!$Z$10:$Z$17</c:f>
              <c:numCache>
                <c:formatCode>0.00</c:formatCode>
                <c:ptCount val="8"/>
                <c:pt idx="0">
                  <c:v>7.8701742735914051</c:v>
                </c:pt>
                <c:pt idx="1">
                  <c:v>9.4935984687186163</c:v>
                </c:pt>
                <c:pt idx="2">
                  <c:v>5.3900612470421354</c:v>
                </c:pt>
                <c:pt idx="3">
                  <c:v>6.4722725271986352</c:v>
                </c:pt>
                <c:pt idx="4">
                  <c:v>5.7983930163126542</c:v>
                </c:pt>
                <c:pt idx="5">
                  <c:v>4.8075604845546458</c:v>
                </c:pt>
                <c:pt idx="6">
                  <c:v>5.0846401458710551</c:v>
                </c:pt>
                <c:pt idx="7">
                  <c:v>5.6667377421415166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4F-4F70-BAEF-BBBBABF3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564592927"/>
        <c:axId val="1564593343"/>
      </c:barChart>
      <c:lineChart>
        <c:grouping val="standard"/>
        <c:varyColors val="0"/>
        <c:ser>
          <c:idx val="2"/>
          <c:order val="2"/>
          <c:tx>
            <c:strRef>
              <c:f>TLFD_Home!$AC$8</c:f>
              <c:strCache>
                <c:ptCount val="1"/>
                <c:pt idx="0">
                  <c:v>Avg. Survey (All)</c:v>
                </c:pt>
              </c:strCache>
            </c:strRef>
          </c:tx>
          <c:spPr>
            <a:ln cap="rnd" w="19050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TLFD_Home!$AC$10:$AC$17</c:f>
              <c:numCache>
                <c:formatCode>0.00</c:formatCode>
                <c:ptCount val="8"/>
                <c:pt idx="0">
                  <c:v>6.7651049101246619</c:v>
                </c:pt>
                <c:pt idx="1">
                  <c:v>6.7651049101246619</c:v>
                </c:pt>
                <c:pt idx="2">
                  <c:v>6.7651049101246619</c:v>
                </c:pt>
                <c:pt idx="3">
                  <c:v>6.7651049101246619</c:v>
                </c:pt>
                <c:pt idx="4">
                  <c:v>6.7651049101246619</c:v>
                </c:pt>
                <c:pt idx="5">
                  <c:v>6.7651049101246619</c:v>
                </c:pt>
                <c:pt idx="6">
                  <c:v>6.7651049101246619</c:v>
                </c:pt>
                <c:pt idx="7">
                  <c:v>6.7651049101246619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F4F-4F70-BAEF-BBBBABF36A37}"/>
            </c:ext>
          </c:extLst>
        </c:ser>
        <c:ser>
          <c:idx val="3"/>
          <c:order val="3"/>
          <c:tx>
            <c:strRef>
              <c:f>TLFD_Home!$AD$8</c:f>
              <c:strCache>
                <c:ptCount val="1"/>
                <c:pt idx="0">
                  <c:v>Avg. ABM (All)</c:v>
                </c:pt>
              </c:strCache>
            </c:strRef>
          </c:tx>
          <c:spPr>
            <a:ln cap="rnd" w="19050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TLFD_Home!$AD$10:$AD$17</c:f>
              <c:numCache>
                <c:formatCode>0.00</c:formatCode>
                <c:ptCount val="8"/>
                <c:pt idx="0">
                  <c:v>7.0683125468373165</c:v>
                </c:pt>
                <c:pt idx="1">
                  <c:v>7.0683125468373165</c:v>
                </c:pt>
                <c:pt idx="2">
                  <c:v>7.0683125468373165</c:v>
                </c:pt>
                <c:pt idx="3">
                  <c:v>7.0683125468373165</c:v>
                </c:pt>
                <c:pt idx="4">
                  <c:v>7.0683125468373165</c:v>
                </c:pt>
                <c:pt idx="5">
                  <c:v>7.0683125468373165</c:v>
                </c:pt>
                <c:pt idx="6">
                  <c:v>7.0683125468373165</c:v>
                </c:pt>
                <c:pt idx="7">
                  <c:v>7.0683125468373165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F4F-4F70-BAEF-BBBBABF36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4592927"/>
        <c:axId val="1564593343"/>
      </c:lineChart>
      <c:catAx>
        <c:axId val="1564592927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Purpose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593343"/>
        <c:crosses val="autoZero"/>
        <c:auto val="1"/>
        <c:lblAlgn val="ctr"/>
        <c:lblOffset val="100"/>
        <c:noMultiLvlLbl val="0"/>
      </c:catAx>
      <c:valAx>
        <c:axId val="1564593343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Avg.</a:t>
                </a:r>
                <a:r>
                  <a:rPr baseline="0" lang="en-US"/>
                  <a:t> Trip Length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45929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Home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TDFD_Home!$C$10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TDFD_Home!$C$11:$C$71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4.4780228830497539E-3</c:v>
                </c:pt>
                <c:pt idx="3">
                  <c:v>4.2612821295341587E-2</c:v>
                </c:pt>
                <c:pt idx="4">
                  <c:v>5.4422182376187428E-2</c:v>
                </c:pt>
                <c:pt idx="5">
                  <c:v>6.5268378018551912E-2</c:v>
                </c:pt>
                <c:pt idx="6">
                  <c:v>7.5857661020150957E-2</c:v>
                </c:pt>
                <c:pt idx="7">
                  <c:v>6.6449356442610019E-2</c:v>
                </c:pt>
                <c:pt idx="8">
                  <c:v>6.5683393271838642E-2</c:v>
                </c:pt>
                <c:pt idx="9">
                  <c:v>5.9560491337570395E-2</c:v>
                </c:pt>
                <c:pt idx="10">
                  <c:v>5.4176589357346289E-2</c:v>
                </c:pt>
                <c:pt idx="11">
                  <c:v>4.1892408008871646E-2</c:v>
                </c:pt>
                <c:pt idx="12">
                  <c:v>4.3488507588789145E-2</c:v>
                </c:pt>
                <c:pt idx="13">
                  <c:v>3.5132950436403791E-2</c:v>
                </c:pt>
                <c:pt idx="14">
                  <c:v>2.6556625539797634E-2</c:v>
                </c:pt>
                <c:pt idx="15">
                  <c:v>2.893821666476612E-2</c:v>
                </c:pt>
                <c:pt idx="16">
                  <c:v>2.5583860561306872E-2</c:v>
                </c:pt>
                <c:pt idx="17">
                  <c:v>2.6619126991372723E-2</c:v>
                </c:pt>
                <c:pt idx="18">
                  <c:v>2.2438353719416635E-2</c:v>
                </c:pt>
                <c:pt idx="19">
                  <c:v>1.7329887726981436E-2</c:v>
                </c:pt>
                <c:pt idx="20">
                  <c:v>1.366648578478066E-2</c:v>
                </c:pt>
                <c:pt idx="21">
                  <c:v>1.5721199445201083E-2</c:v>
                </c:pt>
                <c:pt idx="22">
                  <c:v>1.3922919505370519E-2</c:v>
                </c:pt>
                <c:pt idx="23">
                  <c:v>1.375307086056936E-2</c:v>
                </c:pt>
                <c:pt idx="24">
                  <c:v>1.2337147890707258E-2</c:v>
                </c:pt>
                <c:pt idx="25">
                  <c:v>1.1035319388980464E-2</c:v>
                </c:pt>
                <c:pt idx="26">
                  <c:v>1.358836095885781E-2</c:v>
                </c:pt>
                <c:pt idx="27">
                  <c:v>8.0324237771965575E-3</c:v>
                </c:pt>
                <c:pt idx="28">
                  <c:v>9.0948381782871481E-3</c:v>
                </c:pt>
                <c:pt idx="29">
                  <c:v>9.6758797403594353E-3</c:v>
                </c:pt>
                <c:pt idx="30">
                  <c:v>9.8243133111430934E-3</c:v>
                </c:pt>
                <c:pt idx="31">
                  <c:v>7.5562632360462881E-3</c:v>
                </c:pt>
                <c:pt idx="32">
                  <c:v>5.7582196553273369E-3</c:v>
                </c:pt>
                <c:pt idx="33">
                  <c:v>5.0269255105545863E-3</c:v>
                </c:pt>
                <c:pt idx="34">
                  <c:v>5.0302845263855249E-3</c:v>
                </c:pt>
                <c:pt idx="35">
                  <c:v>4.4456603133384755E-3</c:v>
                </c:pt>
                <c:pt idx="36">
                  <c:v>3.824625904571291E-3</c:v>
                </c:pt>
                <c:pt idx="37">
                  <c:v>4.5898044741598453E-3</c:v>
                </c:pt>
                <c:pt idx="38">
                  <c:v>5.1025727568139263E-3</c:v>
                </c:pt>
                <c:pt idx="39">
                  <c:v>4.6673219943644878E-3</c:v>
                </c:pt>
                <c:pt idx="40">
                  <c:v>4.7730444701879421E-3</c:v>
                </c:pt>
                <c:pt idx="41">
                  <c:v>3.6513281757241303E-3</c:v>
                </c:pt>
                <c:pt idx="42">
                  <c:v>4.9801353312160625E-3</c:v>
                </c:pt>
                <c:pt idx="43">
                  <c:v>3.6876720995614246E-3</c:v>
                </c:pt>
                <c:pt idx="44">
                  <c:v>4.0648993349497444E-3</c:v>
                </c:pt>
                <c:pt idx="45">
                  <c:v>3.001975088968962E-3</c:v>
                </c:pt>
                <c:pt idx="46">
                  <c:v>2.9670476831299398E-3</c:v>
                </c:pt>
                <c:pt idx="47">
                  <c:v>2.3173840008088205E-3</c:v>
                </c:pt>
                <c:pt idx="48">
                  <c:v>1.9225495343395268E-3</c:v>
                </c:pt>
                <c:pt idx="49">
                  <c:v>1.3056396173569077E-3</c:v>
                </c:pt>
                <c:pt idx="50">
                  <c:v>3.6707440754260891E-3</c:v>
                </c:pt>
                <c:pt idx="51">
                  <c:v>1.1037385601901941E-3</c:v>
                </c:pt>
                <c:pt idx="52">
                  <c:v>1.6926549326257056E-3</c:v>
                </c:pt>
                <c:pt idx="53">
                  <c:v>9.3370435346787123E-4</c:v>
                </c:pt>
                <c:pt idx="54">
                  <c:v>2.2698399736092801E-3</c:v>
                </c:pt>
                <c:pt idx="55">
                  <c:v>1.2796014095213361E-3</c:v>
                </c:pt>
                <c:pt idx="56">
                  <c:v>1.1963061860764408E-3</c:v>
                </c:pt>
                <c:pt idx="57">
                  <c:v>1.2501161483847605E-3</c:v>
                </c:pt>
                <c:pt idx="58">
                  <c:v>1.6264256772534696E-3</c:v>
                </c:pt>
                <c:pt idx="59">
                  <c:v>9.8796918382877815E-4</c:v>
                </c:pt>
                <c:pt idx="60">
                  <c:v>4.7134676789931839E-4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FD-450C-93FC-33AF84977CF4}"/>
            </c:ext>
          </c:extLst>
        </c:ser>
        <c:ser>
          <c:idx val="1"/>
          <c:order val="1"/>
          <c:tx>
            <c:strRef>
              <c:f>TDFD_Home!$G$10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TDFD_Home!$G$11:$G$71</c:f>
              <c:numCache>
                <c:formatCode>0.00%</c:formatCode>
                <c:ptCount val="61"/>
                <c:pt idx="0">
                  <c:v>2.6306671628575462E-3</c:v>
                </c:pt>
                <c:pt idx="1">
                  <c:v>2.9532884506128697E-2</c:v>
                </c:pt>
                <c:pt idx="2">
                  <c:v>1.0283517091170407E-2</c:v>
                </c:pt>
                <c:pt idx="3">
                  <c:v>1.8849809320377931E-2</c:v>
                </c:pt>
                <c:pt idx="4">
                  <c:v>3.2080723567627978E-2</c:v>
                </c:pt>
                <c:pt idx="5">
                  <c:v>4.4538186671208603E-2</c:v>
                </c:pt>
                <c:pt idx="6">
                  <c:v>5.1947218667354182E-2</c:v>
                </c:pt>
                <c:pt idx="7">
                  <c:v>5.4072167774735565E-2</c:v>
                </c:pt>
                <c:pt idx="8">
                  <c:v>5.1876639792253119E-2</c:v>
                </c:pt>
                <c:pt idx="9">
                  <c:v>4.8695924040798089E-2</c:v>
                </c:pt>
                <c:pt idx="10">
                  <c:v>4.4576684239445545E-2</c:v>
                </c:pt>
                <c:pt idx="11">
                  <c:v>4.0536189464032188E-2</c:v>
                </c:pt>
                <c:pt idx="12">
                  <c:v>3.6999079558141246E-2</c:v>
                </c:pt>
                <c:pt idx="13">
                  <c:v>3.4434908194965683E-2</c:v>
                </c:pt>
                <c:pt idx="14">
                  <c:v>3.0689561442702202E-2</c:v>
                </c:pt>
                <c:pt idx="15">
                  <c:v>2.7952734318948853E-2</c:v>
                </c:pt>
                <c:pt idx="16">
                  <c:v>2.567379493861971E-2</c:v>
                </c:pt>
                <c:pt idx="17">
                  <c:v>2.3269446813276296E-2</c:v>
                </c:pt>
                <c:pt idx="18">
                  <c:v>2.1461810995605443E-2</c:v>
                </c:pt>
                <c:pt idx="19">
                  <c:v>2.0048483604119007E-2</c:v>
                </c:pt>
                <c:pt idx="20">
                  <c:v>1.851616372899112E-2</c:v>
                </c:pt>
                <c:pt idx="21">
                  <c:v>1.7494811577735341E-2</c:v>
                </c:pt>
                <c:pt idx="22">
                  <c:v>1.649270821059803E-2</c:v>
                </c:pt>
                <c:pt idx="23">
                  <c:v>1.5534935376582047E-2</c:v>
                </c:pt>
                <c:pt idx="24">
                  <c:v>1.4640741859805856E-2</c:v>
                </c:pt>
                <c:pt idx="25">
                  <c:v>1.3818293811107598E-2</c:v>
                </c:pt>
                <c:pt idx="26">
                  <c:v>1.3149252738868661E-2</c:v>
                </c:pt>
                <c:pt idx="27">
                  <c:v>1.2296473272771603E-2</c:v>
                </c:pt>
                <c:pt idx="28">
                  <c:v>1.141511227874106E-2</c:v>
                </c:pt>
                <c:pt idx="29">
                  <c:v>1.084289842358291E-2</c:v>
                </c:pt>
                <c:pt idx="30">
                  <c:v>1.0242103040491276E-2</c:v>
                </c:pt>
                <c:pt idx="31">
                  <c:v>9.5053995755934751E-3</c:v>
                </c:pt>
                <c:pt idx="32">
                  <c:v>9.0895091793368379E-3</c:v>
                </c:pt>
                <c:pt idx="33">
                  <c:v>8.6806183409414636E-3</c:v>
                </c:pt>
                <c:pt idx="34">
                  <c:v>8.1008216314336148E-3</c:v>
                </c:pt>
                <c:pt idx="35">
                  <c:v>7.7625096681392955E-3</c:v>
                </c:pt>
                <c:pt idx="36">
                  <c:v>7.4848605396425792E-3</c:v>
                </c:pt>
                <c:pt idx="37">
                  <c:v>7.2357929390793486E-3</c:v>
                </c:pt>
                <c:pt idx="38">
                  <c:v>6.9768092982126625E-3</c:v>
                </c:pt>
                <c:pt idx="39">
                  <c:v>6.5580024195138337E-3</c:v>
                </c:pt>
                <c:pt idx="40">
                  <c:v>5.9566237399337613E-3</c:v>
                </c:pt>
                <c:pt idx="41">
                  <c:v>5.6451434151076124E-3</c:v>
                </c:pt>
                <c:pt idx="42">
                  <c:v>5.6095623293128654E-3</c:v>
                </c:pt>
                <c:pt idx="43">
                  <c:v>5.2864160747179466E-3</c:v>
                </c:pt>
                <c:pt idx="44">
                  <c:v>5.1137603141401568E-3</c:v>
                </c:pt>
                <c:pt idx="45">
                  <c:v>4.7387006720742142E-3</c:v>
                </c:pt>
                <c:pt idx="46">
                  <c:v>4.5380466800513768E-3</c:v>
                </c:pt>
                <c:pt idx="47">
                  <c:v>4.4068049701527189E-3</c:v>
                </c:pt>
                <c:pt idx="48">
                  <c:v>4.1157400224219173E-3</c:v>
                </c:pt>
                <c:pt idx="49">
                  <c:v>3.969915900312297E-3</c:v>
                </c:pt>
                <c:pt idx="50">
                  <c:v>3.7791779485929137E-3</c:v>
                </c:pt>
                <c:pt idx="51">
                  <c:v>3.4904461868158661E-3</c:v>
                </c:pt>
                <c:pt idx="52">
                  <c:v>3.30087482807336E-3</c:v>
                </c:pt>
                <c:pt idx="53">
                  <c:v>3.1993812390850645E-3</c:v>
                </c:pt>
                <c:pt idx="54">
                  <c:v>2.9456472666143257E-3</c:v>
                </c:pt>
                <c:pt idx="55">
                  <c:v>2.7683251341290276E-3</c:v>
                </c:pt>
                <c:pt idx="56">
                  <c:v>2.6872469222360786E-3</c:v>
                </c:pt>
                <c:pt idx="57">
                  <c:v>2.5297568703576889E-3</c:v>
                </c:pt>
                <c:pt idx="58">
                  <c:v>2.4125142761815543E-3</c:v>
                </c:pt>
                <c:pt idx="59">
                  <c:v>2.3623507781758454E-3</c:v>
                </c:pt>
                <c:pt idx="60">
                  <c:v>2.2235262139274868E-3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FD-450C-93FC-33AF84977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5102592"/>
        <c:axId val="76114176"/>
      </c:lineChart>
      <c:catAx>
        <c:axId val="125102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Trip Duration (min)</a:t>
                </a:r>
                <a:endParaRPr lang="en-US" sz="1000">
                  <a:effectLst/>
                </a:endParaRPr>
              </a:p>
            </c:rich>
          </c:tx>
          <c:overlay val="0"/>
        </c:title>
        <c:majorTickMark val="none"/>
        <c:minorTickMark val="none"/>
        <c:tickLblPos val="nextTo"/>
        <c:crossAx val="76114176"/>
        <c:crosses val="autoZero"/>
        <c:auto val="1"/>
        <c:lblAlgn val="ctr"/>
        <c:lblOffset val="100"/>
        <c:tickLblSkip val="10"/>
        <c:noMultiLvlLbl val="0"/>
      </c:catAx>
      <c:valAx>
        <c:axId val="7611417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% Trips</a:t>
                </a:r>
                <a:endParaRPr lang="en-US" sz="1000">
                  <a:effectLst/>
                </a:endParaRP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5102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TLFD_Work!$C$11:$C$71</c:f>
              <c:numCache>
                <c:formatCode>0.00%</c:formatCode>
                <c:ptCount val="61"/>
                <c:pt idx="0">
                  <c:v>8.2377379523211267E-2</c:v>
                </c:pt>
                <c:pt idx="1">
                  <c:v>9.4203946272424607E-2</c:v>
                </c:pt>
                <c:pt idx="2">
                  <c:v>8.7575270155283547E-2</c:v>
                </c:pt>
                <c:pt idx="3">
                  <c:v>7.6860474417507665E-2</c:v>
                </c:pt>
                <c:pt idx="4">
                  <c:v>6.504707361963262E-2</c:v>
                </c:pt>
                <c:pt idx="5">
                  <c:v>5.3943278198696674E-2</c:v>
                </c:pt>
                <c:pt idx="6">
                  <c:v>4.3912324173349872E-2</c:v>
                </c:pt>
                <c:pt idx="7">
                  <c:v>4.576555095220744E-2</c:v>
                </c:pt>
                <c:pt idx="8">
                  <c:v>4.4127633782478262E-2</c:v>
                </c:pt>
                <c:pt idx="9">
                  <c:v>3.359296504844414E-2</c:v>
                </c:pt>
                <c:pt idx="10">
                  <c:v>3.4608953215832024E-2</c:v>
                </c:pt>
                <c:pt idx="11">
                  <c:v>3.9958478228013981E-2</c:v>
                </c:pt>
                <c:pt idx="12">
                  <c:v>2.9226444173643375E-2</c:v>
                </c:pt>
                <c:pt idx="13">
                  <c:v>2.5424351628892079E-2</c:v>
                </c:pt>
                <c:pt idx="14">
                  <c:v>2.5689671941970939E-2</c:v>
                </c:pt>
                <c:pt idx="15">
                  <c:v>1.9698836995565887E-2</c:v>
                </c:pt>
                <c:pt idx="16">
                  <c:v>1.8498489070664235E-2</c:v>
                </c:pt>
                <c:pt idx="17">
                  <c:v>1.2553140107956547E-2</c:v>
                </c:pt>
                <c:pt idx="18">
                  <c:v>2.1286838596397177E-2</c:v>
                </c:pt>
                <c:pt idx="19">
                  <c:v>1.3743573939513108E-2</c:v>
                </c:pt>
                <c:pt idx="20">
                  <c:v>1.0819577498763808E-2</c:v>
                </c:pt>
                <c:pt idx="21">
                  <c:v>1.4609325689777597E-2</c:v>
                </c:pt>
                <c:pt idx="22">
                  <c:v>9.0285666982166651E-3</c:v>
                </c:pt>
                <c:pt idx="23">
                  <c:v>7.8629614157840737E-3</c:v>
                </c:pt>
                <c:pt idx="24">
                  <c:v>1.1336271797909627E-2</c:v>
                </c:pt>
                <c:pt idx="25">
                  <c:v>6.4609526637816172E-3</c:v>
                </c:pt>
                <c:pt idx="26">
                  <c:v>9.5972895908064005E-3</c:v>
                </c:pt>
                <c:pt idx="27">
                  <c:v>7.1682286841073754E-3</c:v>
                </c:pt>
                <c:pt idx="28">
                  <c:v>8.5556121858182278E-3</c:v>
                </c:pt>
                <c:pt idx="29">
                  <c:v>5.5454349290062445E-3</c:v>
                </c:pt>
                <c:pt idx="30">
                  <c:v>4.4180127561338446E-3</c:v>
                </c:pt>
                <c:pt idx="31">
                  <c:v>6.109731832717423E-3</c:v>
                </c:pt>
                <c:pt idx="32">
                  <c:v>4.3895419681997724E-3</c:v>
                </c:pt>
                <c:pt idx="33">
                  <c:v>1.9553496628241626E-3</c:v>
                </c:pt>
                <c:pt idx="34">
                  <c:v>3.3195203081919241E-3</c:v>
                </c:pt>
                <c:pt idx="35">
                  <c:v>2.949748879331394E-3</c:v>
                </c:pt>
                <c:pt idx="36">
                  <c:v>3.0727225639287179E-3</c:v>
                </c:pt>
                <c:pt idx="37">
                  <c:v>9.7545252706154569E-4</c:v>
                </c:pt>
                <c:pt idx="38">
                  <c:v>1.2871220182985035E-3</c:v>
                </c:pt>
                <c:pt idx="39">
                  <c:v>1.257803569423097E-3</c:v>
                </c:pt>
                <c:pt idx="40">
                  <c:v>1.6388641850950797E-3</c:v>
                </c:pt>
                <c:pt idx="41">
                  <c:v>9.0718566745478049E-4</c:v>
                </c:pt>
                <c:pt idx="42">
                  <c:v>9.7492689752200147E-4</c:v>
                </c:pt>
                <c:pt idx="43">
                  <c:v>1.4714447443100645E-3</c:v>
                </c:pt>
                <c:pt idx="44">
                  <c:v>6.4506894528996712E-4</c:v>
                </c:pt>
                <c:pt idx="45">
                  <c:v>1.0474252730713045E-3</c:v>
                </c:pt>
                <c:pt idx="46">
                  <c:v>5.0595303934570439E-4</c:v>
                </c:pt>
                <c:pt idx="47">
                  <c:v>6.2073287861700265E-4</c:v>
                </c:pt>
                <c:pt idx="48">
                  <c:v>5.069805480885539E-4</c:v>
                </c:pt>
                <c:pt idx="49">
                  <c:v>3.4291213776865121E-4</c:v>
                </c:pt>
                <c:pt idx="50">
                  <c:v>3.9806482811089594E-4</c:v>
                </c:pt>
                <c:pt idx="51">
                  <c:v>1.0771875706563816E-3</c:v>
                </c:pt>
                <c:pt idx="52">
                  <c:v>0</c:v>
                </c:pt>
                <c:pt idx="53">
                  <c:v>1.1002473937824533E-4</c:v>
                </c:pt>
                <c:pt idx="54">
                  <c:v>3.8825369378290387E-5</c:v>
                </c:pt>
                <c:pt idx="55">
                  <c:v>4.0488465514539176E-4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8.3344215399338279E-5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5C-4110-8124-C5D24C18B92B}"/>
            </c:ext>
          </c:extLst>
        </c:ser>
        <c:ser>
          <c:idx val="1"/>
          <c:order val="1"/>
          <c:tx>
            <c:strRef>
              <c:f>TLFD_Work!$G$10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TLFD_Work!$G$11:$G$71</c:f>
              <c:numCache>
                <c:formatCode>0.00%</c:formatCode>
                <c:ptCount val="61"/>
                <c:pt idx="0">
                  <c:v>7.8682240599421138E-2</c:v>
                </c:pt>
                <c:pt idx="1">
                  <c:v>9.1380269523556906E-2</c:v>
                </c:pt>
                <c:pt idx="2">
                  <c:v>8.6926159183683044E-2</c:v>
                </c:pt>
                <c:pt idx="3">
                  <c:v>7.3452328695737909E-2</c:v>
                </c:pt>
                <c:pt idx="4">
                  <c:v>6.4951374495024777E-2</c:v>
                </c:pt>
                <c:pt idx="5">
                  <c:v>5.8154601641741646E-2</c:v>
                </c:pt>
                <c:pt idx="6">
                  <c:v>4.9798009910542215E-2</c:v>
                </c:pt>
                <c:pt idx="7">
                  <c:v>4.3968348235139468E-2</c:v>
                </c:pt>
                <c:pt idx="8">
                  <c:v>3.9854604693306039E-2</c:v>
                </c:pt>
                <c:pt idx="9">
                  <c:v>4.0638622007412951E-2</c:v>
                </c:pt>
                <c:pt idx="10">
                  <c:v>3.9017771841572166E-2</c:v>
                </c:pt>
                <c:pt idx="11">
                  <c:v>3.6058928055848323E-2</c:v>
                </c:pt>
                <c:pt idx="12">
                  <c:v>3.2677559969108781E-2</c:v>
                </c:pt>
                <c:pt idx="13">
                  <c:v>2.7996929656745953E-2</c:v>
                </c:pt>
                <c:pt idx="14">
                  <c:v>2.518362201914974E-2</c:v>
                </c:pt>
                <c:pt idx="15">
                  <c:v>2.3346814988345371E-2</c:v>
                </c:pt>
                <c:pt idx="16">
                  <c:v>2.0348066129747825E-2</c:v>
                </c:pt>
                <c:pt idx="17">
                  <c:v>1.7950240721483719E-2</c:v>
                </c:pt>
                <c:pt idx="18">
                  <c:v>1.6904493076469858E-2</c:v>
                </c:pt>
                <c:pt idx="19">
                  <c:v>1.4338831626413402E-2</c:v>
                </c:pt>
                <c:pt idx="20">
                  <c:v>1.235062005441174E-2</c:v>
                </c:pt>
                <c:pt idx="21">
                  <c:v>1.0914037430958356E-2</c:v>
                </c:pt>
                <c:pt idx="22">
                  <c:v>9.6194699197908028E-3</c:v>
                </c:pt>
                <c:pt idx="23">
                  <c:v>8.523254094377845E-3</c:v>
                </c:pt>
                <c:pt idx="24">
                  <c:v>8.0549563274187764E-3</c:v>
                </c:pt>
                <c:pt idx="25">
                  <c:v>7.4751590921361185E-3</c:v>
                </c:pt>
                <c:pt idx="26">
                  <c:v>7.3014546572741082E-3</c:v>
                </c:pt>
                <c:pt idx="27">
                  <c:v>6.8319832117011061E-3</c:v>
                </c:pt>
                <c:pt idx="28">
                  <c:v>6.4118062679132696E-3</c:v>
                </c:pt>
                <c:pt idx="29">
                  <c:v>5.9341190720427405E-3</c:v>
                </c:pt>
                <c:pt idx="30">
                  <c:v>5.5925785953883818E-3</c:v>
                </c:pt>
                <c:pt idx="31">
                  <c:v>4.8202980674207944E-3</c:v>
                </c:pt>
                <c:pt idx="32">
                  <c:v>4.0621016828203968E-3</c:v>
                </c:pt>
                <c:pt idx="33">
                  <c:v>3.2651739039602262E-3</c:v>
                </c:pt>
                <c:pt idx="34">
                  <c:v>2.719413348481612E-3</c:v>
                </c:pt>
                <c:pt idx="35">
                  <c:v>2.1853895791423225E-3</c:v>
                </c:pt>
                <c:pt idx="36">
                  <c:v>1.9224855696214416E-3</c:v>
                </c:pt>
                <c:pt idx="37">
                  <c:v>1.4706193032574277E-3</c:v>
                </c:pt>
                <c:pt idx="38">
                  <c:v>1.3344725840412572E-3</c:v>
                </c:pt>
                <c:pt idx="39">
                  <c:v>1.1537260774956515E-3</c:v>
                </c:pt>
                <c:pt idx="40">
                  <c:v>1.0117109652098186E-3</c:v>
                </c:pt>
                <c:pt idx="41">
                  <c:v>8.0279617192983283E-4</c:v>
                </c:pt>
                <c:pt idx="42">
                  <c:v>7.5819638460039769E-4</c:v>
                </c:pt>
                <c:pt idx="43">
                  <c:v>6.643020954857973E-4</c:v>
                </c:pt>
                <c:pt idx="44">
                  <c:v>4.9177133923771919E-4</c:v>
                </c:pt>
                <c:pt idx="45">
                  <c:v>4.6360305250333912E-4</c:v>
                </c:pt>
                <c:pt idx="46">
                  <c:v>3.7088244200267128E-4</c:v>
                </c:pt>
                <c:pt idx="47">
                  <c:v>2.9694068932492352E-4</c:v>
                </c:pt>
                <c:pt idx="48">
                  <c:v>2.6759872397661094E-4</c:v>
                </c:pt>
                <c:pt idx="49">
                  <c:v>2.3708308001436581E-4</c:v>
                </c:pt>
                <c:pt idx="50">
                  <c:v>1.9483064991279568E-4</c:v>
                </c:pt>
                <c:pt idx="51">
                  <c:v>1.408414336719005E-4</c:v>
                </c:pt>
                <c:pt idx="52">
                  <c:v>1.3262568337437297E-4</c:v>
                </c:pt>
                <c:pt idx="53">
                  <c:v>1.1971521862111542E-4</c:v>
                </c:pt>
                <c:pt idx="54">
                  <c:v>7.746278851954527E-5</c:v>
                </c:pt>
                <c:pt idx="55">
                  <c:v>8.4504860203140288E-5</c:v>
                </c:pt>
                <c:pt idx="56">
                  <c:v>5.1641859013030178E-5</c:v>
                </c:pt>
                <c:pt idx="57">
                  <c:v>5.7510252082692702E-5</c:v>
                </c:pt>
                <c:pt idx="58">
                  <c:v>5.0468180399097677E-5</c:v>
                </c:pt>
                <c:pt idx="59">
                  <c:v>3.4036679804042618E-5</c:v>
                </c:pt>
                <c:pt idx="60">
                  <c:v>1.5257821981122553E-5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5C-4110-8124-C5D24C18B9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974784"/>
        <c:axId val="81252288"/>
      </c:lineChart>
      <c:catAx>
        <c:axId val="129974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81252288"/>
        <c:crosses val="autoZero"/>
        <c:auto val="1"/>
        <c:lblAlgn val="ctr"/>
        <c:lblOffset val="100"/>
        <c:tickLblSkip val="10"/>
        <c:noMultiLvlLbl val="0"/>
      </c:catAx>
      <c:valAx>
        <c:axId val="812522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9974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5760970019592622"/>
          <c:y val="7.8319845435987162E-2"/>
          <c:w val="0.1979930501645040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TDFD_Work!$C$10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TDFD_Work!$C$11:$C$71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2.2531180436643986E-3</c:v>
                </c:pt>
                <c:pt idx="3">
                  <c:v>3.3665428455999867E-2</c:v>
                </c:pt>
                <c:pt idx="4">
                  <c:v>2.7424666187798513E-2</c:v>
                </c:pt>
                <c:pt idx="5">
                  <c:v>5.1816391179636032E-2</c:v>
                </c:pt>
                <c:pt idx="6">
                  <c:v>6.0004482786146701E-2</c:v>
                </c:pt>
                <c:pt idx="7">
                  <c:v>4.256189375638561E-2</c:v>
                </c:pt>
                <c:pt idx="8">
                  <c:v>4.4441031147205011E-2</c:v>
                </c:pt>
                <c:pt idx="9">
                  <c:v>3.2757859585209367E-2</c:v>
                </c:pt>
                <c:pt idx="10">
                  <c:v>3.7184686035984342E-2</c:v>
                </c:pt>
                <c:pt idx="11">
                  <c:v>4.0744195703746315E-2</c:v>
                </c:pt>
                <c:pt idx="12">
                  <c:v>3.0660930119617597E-2</c:v>
                </c:pt>
                <c:pt idx="13">
                  <c:v>3.2992997908966357E-2</c:v>
                </c:pt>
                <c:pt idx="14">
                  <c:v>2.8355261421723104E-2</c:v>
                </c:pt>
                <c:pt idx="15">
                  <c:v>2.3045687929438924E-2</c:v>
                </c:pt>
                <c:pt idx="16">
                  <c:v>2.6691287696076777E-2</c:v>
                </c:pt>
                <c:pt idx="17">
                  <c:v>2.4833232155444661E-2</c:v>
                </c:pt>
                <c:pt idx="18">
                  <c:v>2.3986201929583815E-2</c:v>
                </c:pt>
                <c:pt idx="19">
                  <c:v>2.8729638155190008E-2</c:v>
                </c:pt>
                <c:pt idx="20">
                  <c:v>2.2844188622544129E-2</c:v>
                </c:pt>
                <c:pt idx="21">
                  <c:v>2.3005057562075052E-2</c:v>
                </c:pt>
                <c:pt idx="22">
                  <c:v>2.0556508080574468E-2</c:v>
                </c:pt>
                <c:pt idx="23">
                  <c:v>1.4529068451554914E-2</c:v>
                </c:pt>
                <c:pt idx="24">
                  <c:v>1.5198042478310077E-2</c:v>
                </c:pt>
                <c:pt idx="25">
                  <c:v>1.9597828528928888E-2</c:v>
                </c:pt>
                <c:pt idx="26">
                  <c:v>1.6348637017544337E-2</c:v>
                </c:pt>
                <c:pt idx="27">
                  <c:v>1.7604360821162707E-2</c:v>
                </c:pt>
                <c:pt idx="28">
                  <c:v>8.9696085754451885E-3</c:v>
                </c:pt>
                <c:pt idx="29">
                  <c:v>1.2489420581734991E-2</c:v>
                </c:pt>
                <c:pt idx="30">
                  <c:v>1.159190451700497E-2</c:v>
                </c:pt>
                <c:pt idx="31">
                  <c:v>1.4012781671237052E-2</c:v>
                </c:pt>
                <c:pt idx="32">
                  <c:v>8.0146012310403619E-3</c:v>
                </c:pt>
                <c:pt idx="33">
                  <c:v>1.6038690845466851E-2</c:v>
                </c:pt>
                <c:pt idx="34">
                  <c:v>7.2716181322905757E-3</c:v>
                </c:pt>
                <c:pt idx="35">
                  <c:v>1.1812051964864624E-2</c:v>
                </c:pt>
                <c:pt idx="36">
                  <c:v>8.3680795446591533E-3</c:v>
                </c:pt>
                <c:pt idx="37">
                  <c:v>8.6672458016446401E-3</c:v>
                </c:pt>
                <c:pt idx="38">
                  <c:v>7.7144771228565131E-3</c:v>
                </c:pt>
                <c:pt idx="39">
                  <c:v>1.0665971902775604E-2</c:v>
                </c:pt>
                <c:pt idx="40">
                  <c:v>8.5395544980244129E-3</c:v>
                </c:pt>
                <c:pt idx="41">
                  <c:v>6.938630889238742E-3</c:v>
                </c:pt>
                <c:pt idx="42">
                  <c:v>1.0926768630048647E-2</c:v>
                </c:pt>
                <c:pt idx="43">
                  <c:v>7.0362347141612325E-3</c:v>
                </c:pt>
                <c:pt idx="44">
                  <c:v>6.4989156657567467E-3</c:v>
                </c:pt>
                <c:pt idx="45">
                  <c:v>6.4436991651669589E-3</c:v>
                </c:pt>
                <c:pt idx="46">
                  <c:v>5.3768966861081503E-3</c:v>
                </c:pt>
                <c:pt idx="47">
                  <c:v>4.8322040294687422E-3</c:v>
                </c:pt>
                <c:pt idx="48">
                  <c:v>3.1614914788052578E-3</c:v>
                </c:pt>
                <c:pt idx="49">
                  <c:v>4.8447250523498808E-3</c:v>
                </c:pt>
                <c:pt idx="50">
                  <c:v>7.9380515429847871E-3</c:v>
                </c:pt>
                <c:pt idx="51">
                  <c:v>3.0717859281351777E-3</c:v>
                </c:pt>
                <c:pt idx="52">
                  <c:v>2.9182275778100297E-3</c:v>
                </c:pt>
                <c:pt idx="53">
                  <c:v>3.2930357113919134E-3</c:v>
                </c:pt>
                <c:pt idx="54">
                  <c:v>2.7981948974870269E-3</c:v>
                </c:pt>
                <c:pt idx="55">
                  <c:v>2.4839335650007634E-3</c:v>
                </c:pt>
                <c:pt idx="56">
                  <c:v>1.8369429183899076E-3</c:v>
                </c:pt>
                <c:pt idx="57">
                  <c:v>3.9589656466617294E-3</c:v>
                </c:pt>
                <c:pt idx="58">
                  <c:v>1.534494846008001E-3</c:v>
                </c:pt>
                <c:pt idx="59">
                  <c:v>2.2393677292939984E-3</c:v>
                </c:pt>
                <c:pt idx="60">
                  <c:v>3.3271235930678717E-3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93-4F4C-9562-5331C5D0CEC7}"/>
            </c:ext>
          </c:extLst>
        </c:ser>
        <c:ser>
          <c:idx val="1"/>
          <c:order val="1"/>
          <c:tx>
            <c:strRef>
              <c:f>TDFD_Work!$G$10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TDFD_Work!$G$11:$G$71</c:f>
              <c:numCache>
                <c:formatCode>0.00%</c:formatCode>
                <c:ptCount val="61"/>
                <c:pt idx="0">
                  <c:v>1.0727422531343087E-3</c:v>
                </c:pt>
                <c:pt idx="1">
                  <c:v>1.6007802615425424E-2</c:v>
                </c:pt>
                <c:pt idx="2">
                  <c:v>8.4328808411050418E-3</c:v>
                </c:pt>
                <c:pt idx="3">
                  <c:v>1.4593519885636756E-2</c:v>
                </c:pt>
                <c:pt idx="4">
                  <c:v>2.2866780435246977E-2</c:v>
                </c:pt>
                <c:pt idx="5">
                  <c:v>3.1840727117374901E-2</c:v>
                </c:pt>
                <c:pt idx="6">
                  <c:v>3.7253732884831615E-2</c:v>
                </c:pt>
                <c:pt idx="7">
                  <c:v>3.8783036118785662E-2</c:v>
                </c:pt>
                <c:pt idx="8">
                  <c:v>3.6528399501421324E-2</c:v>
                </c:pt>
                <c:pt idx="9">
                  <c:v>3.3644671146989165E-2</c:v>
                </c:pt>
                <c:pt idx="10">
                  <c:v>3.3105952663194139E-2</c:v>
                </c:pt>
                <c:pt idx="11">
                  <c:v>3.2185788629871058E-2</c:v>
                </c:pt>
                <c:pt idx="12">
                  <c:v>3.0125982662419514E-2</c:v>
                </c:pt>
                <c:pt idx="13">
                  <c:v>2.7898340653175622E-2</c:v>
                </c:pt>
                <c:pt idx="14">
                  <c:v>2.7501637281666436E-2</c:v>
                </c:pt>
                <c:pt idx="15">
                  <c:v>2.5955902547117327E-2</c:v>
                </c:pt>
                <c:pt idx="16">
                  <c:v>2.4521667280891807E-2</c:v>
                </c:pt>
                <c:pt idx="17">
                  <c:v>2.3222405055268527E-2</c:v>
                </c:pt>
                <c:pt idx="18">
                  <c:v>2.1967742616974678E-2</c:v>
                </c:pt>
                <c:pt idx="19">
                  <c:v>2.0903216114137899E-2</c:v>
                </c:pt>
                <c:pt idx="20">
                  <c:v>2.0387971202621528E-2</c:v>
                </c:pt>
                <c:pt idx="21">
                  <c:v>1.9387997023551037E-2</c:v>
                </c:pt>
                <c:pt idx="22">
                  <c:v>1.8324644199328187E-2</c:v>
                </c:pt>
                <c:pt idx="23">
                  <c:v>1.7714331320083283E-2</c:v>
                </c:pt>
                <c:pt idx="24">
                  <c:v>1.7122797298661303E-2</c:v>
                </c:pt>
                <c:pt idx="25">
                  <c:v>1.6344648377624053E-2</c:v>
                </c:pt>
                <c:pt idx="26">
                  <c:v>1.5829403466107683E-2</c:v>
                </c:pt>
                <c:pt idx="27">
                  <c:v>1.5032475687247512E-2</c:v>
                </c:pt>
                <c:pt idx="28">
                  <c:v>1.4307142303837225E-2</c:v>
                </c:pt>
                <c:pt idx="29">
                  <c:v>1.3645187565579293E-2</c:v>
                </c:pt>
                <c:pt idx="30">
                  <c:v>1.3099427010100678E-2</c:v>
                </c:pt>
                <c:pt idx="31">
                  <c:v>1.227080990866433E-2</c:v>
                </c:pt>
                <c:pt idx="32">
                  <c:v>1.1850632964876495E-2</c:v>
                </c:pt>
                <c:pt idx="33">
                  <c:v>1.1384682555145289E-2</c:v>
                </c:pt>
                <c:pt idx="34">
                  <c:v>1.1384682555145289E-2</c:v>
                </c:pt>
                <c:pt idx="35">
                  <c:v>1.0651133421437475E-2</c:v>
                </c:pt>
                <c:pt idx="36">
                  <c:v>1.0202788190915258E-2</c:v>
                </c:pt>
                <c:pt idx="37">
                  <c:v>9.5150125231508106E-3</c:v>
                </c:pt>
                <c:pt idx="38">
                  <c:v>9.046714756191742E-3</c:v>
                </c:pt>
                <c:pt idx="39">
                  <c:v>9.3577395888838552E-3</c:v>
                </c:pt>
                <c:pt idx="40">
                  <c:v>8.6077589545809855E-3</c:v>
                </c:pt>
                <c:pt idx="41">
                  <c:v>8.3425075878322385E-3</c:v>
                </c:pt>
                <c:pt idx="42">
                  <c:v>8.4176230191239185E-3</c:v>
                </c:pt>
                <c:pt idx="43">
                  <c:v>7.7274999941316065E-3</c:v>
                </c:pt>
                <c:pt idx="44">
                  <c:v>7.5232799153073515E-3</c:v>
                </c:pt>
                <c:pt idx="45">
                  <c:v>6.858977819821554E-3</c:v>
                </c:pt>
                <c:pt idx="46">
                  <c:v>6.8155517111060512E-3</c:v>
                </c:pt>
                <c:pt idx="47">
                  <c:v>6.418848339596865E-3</c:v>
                </c:pt>
                <c:pt idx="48">
                  <c:v>6.3343434793937245E-3</c:v>
                </c:pt>
                <c:pt idx="49">
                  <c:v>5.9470295367959987E-3</c:v>
                </c:pt>
                <c:pt idx="50">
                  <c:v>6.0045397888786912E-3</c:v>
                </c:pt>
                <c:pt idx="51">
                  <c:v>5.8132301748076926E-3</c:v>
                </c:pt>
                <c:pt idx="52">
                  <c:v>5.4928159132041189E-3</c:v>
                </c:pt>
                <c:pt idx="53">
                  <c:v>5.2674696193290779E-3</c:v>
                </c:pt>
                <c:pt idx="54">
                  <c:v>5.194701545265263E-3</c:v>
                </c:pt>
                <c:pt idx="55">
                  <c:v>4.802692888211807E-3</c:v>
                </c:pt>
                <c:pt idx="56">
                  <c:v>4.5562203792859808E-3</c:v>
                </c:pt>
                <c:pt idx="57">
                  <c:v>4.5632624509695761E-3</c:v>
                </c:pt>
                <c:pt idx="58">
                  <c:v>4.3426108715502653E-3</c:v>
                </c:pt>
                <c:pt idx="59">
                  <c:v>4.0867489337129796E-3</c:v>
                </c:pt>
                <c:pt idx="60">
                  <c:v>3.7921556016159209E-3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93-4F4C-9562-5331C5D0C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2928"/>
        <c:axId val="81254016"/>
      </c:lineChart>
      <c:catAx>
        <c:axId val="15161292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b="1" baseline="0" i="0" lang="en-US" sz="1000">
                    <a:effectLst/>
                  </a:rPr>
                  <a:t>Trip Duration (min)</a:t>
                </a:r>
                <a:endParaRPr lang="en-US" sz="1000">
                  <a:effectLst/>
                </a:endParaRPr>
              </a:p>
            </c:rich>
          </c:tx>
          <c:overlay val="0"/>
        </c:title>
        <c:majorTickMark val="none"/>
        <c:minorTickMark val="none"/>
        <c:tickLblPos val="nextTo"/>
        <c:crossAx val="81254016"/>
        <c:crosses val="autoZero"/>
        <c:auto val="1"/>
        <c:lblAlgn val="ctr"/>
        <c:lblOffset val="100"/>
        <c:tickLblSkip val="10"/>
        <c:noMultiLvlLbl val="0"/>
      </c:catAx>
      <c:valAx>
        <c:axId val="8125401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  <a:p>
                <a:pPr>
                  <a:defRPr/>
                </a:pP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612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TLFD_School!$C$11:$C$71</c:f>
              <c:numCache>
                <c:formatCode>0.00%</c:formatCode>
                <c:ptCount val="61"/>
                <c:pt idx="0">
                  <c:v>8.5661990194214999E-2</c:v>
                </c:pt>
                <c:pt idx="1">
                  <c:v>0.1749448272817111</c:v>
                </c:pt>
                <c:pt idx="2">
                  <c:v>0.16964429756637178</c:v>
                </c:pt>
                <c:pt idx="3">
                  <c:v>0.12047057436758364</c:v>
                </c:pt>
                <c:pt idx="4">
                  <c:v>0.10663270773229706</c:v>
                </c:pt>
                <c:pt idx="5">
                  <c:v>7.0521438498208827E-2</c:v>
                </c:pt>
                <c:pt idx="6">
                  <c:v>5.9015091530855983E-2</c:v>
                </c:pt>
                <c:pt idx="7">
                  <c:v>5.1984450178613834E-2</c:v>
                </c:pt>
                <c:pt idx="8">
                  <c:v>2.3485452941899111E-2</c:v>
                </c:pt>
                <c:pt idx="9">
                  <c:v>1.95608608217889E-2</c:v>
                </c:pt>
                <c:pt idx="10">
                  <c:v>2.1285879257407617E-2</c:v>
                </c:pt>
                <c:pt idx="11">
                  <c:v>1.9018601070621897E-2</c:v>
                </c:pt>
                <c:pt idx="12">
                  <c:v>7.8572065299441808E-3</c:v>
                </c:pt>
                <c:pt idx="13">
                  <c:v>5.6683389405257877E-3</c:v>
                </c:pt>
                <c:pt idx="14">
                  <c:v>1.481111022406071E-2</c:v>
                </c:pt>
                <c:pt idx="15">
                  <c:v>8.237927892293502E-3</c:v>
                </c:pt>
                <c:pt idx="16">
                  <c:v>5.5861470755332885E-3</c:v>
                </c:pt>
                <c:pt idx="17">
                  <c:v>8.354690030716639E-3</c:v>
                </c:pt>
                <c:pt idx="18">
                  <c:v>1.5481329121391834E-3</c:v>
                </c:pt>
                <c:pt idx="19">
                  <c:v>2.2960337867470233E-3</c:v>
                </c:pt>
                <c:pt idx="20">
                  <c:v>3.0210115597113815E-3</c:v>
                </c:pt>
                <c:pt idx="21">
                  <c:v>9.8899137401412852E-4</c:v>
                </c:pt>
                <c:pt idx="22">
                  <c:v>2.4215187994536891E-3</c:v>
                </c:pt>
                <c:pt idx="23">
                  <c:v>4.661594286907313E-4</c:v>
                </c:pt>
                <c:pt idx="24">
                  <c:v>1.438460503470008E-3</c:v>
                </c:pt>
                <c:pt idx="25">
                  <c:v>3.290444770225926E-3</c:v>
                </c:pt>
                <c:pt idx="26">
                  <c:v>5.8770631339447803E-4</c:v>
                </c:pt>
                <c:pt idx="27">
                  <c:v>1.8737932319552544E-3</c:v>
                </c:pt>
                <c:pt idx="28">
                  <c:v>6.6760357670082979E-4</c:v>
                </c:pt>
                <c:pt idx="29">
                  <c:v>1.542434487309764E-3</c:v>
                </c:pt>
                <c:pt idx="30">
                  <c:v>3.5072418276868075E-3</c:v>
                </c:pt>
                <c:pt idx="31">
                  <c:v>1.2048513201160196E-4</c:v>
                </c:pt>
                <c:pt idx="32">
                  <c:v>0</c:v>
                </c:pt>
                <c:pt idx="33">
                  <c:v>3.317296315337416E-4</c:v>
                </c:pt>
                <c:pt idx="34">
                  <c:v>2.1262085843741355E-4</c:v>
                </c:pt>
                <c:pt idx="35">
                  <c:v>3.8504538313645879E-4</c:v>
                </c:pt>
                <c:pt idx="36">
                  <c:v>1.4757166098425534E-3</c:v>
                </c:pt>
                <c:pt idx="37">
                  <c:v>2.4163649072767496E-4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3.1571046115751671E-4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5.2593072700505238E-4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20-4EF6-A577-43055DE1D26B}"/>
            </c:ext>
          </c:extLst>
        </c:ser>
        <c:ser>
          <c:idx val="1"/>
          <c:order val="1"/>
          <c:tx>
            <c:strRef>
              <c:f>TLFD_School!$G$10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TLFD_School!$G$11:$G$71</c:f>
              <c:numCache>
                <c:formatCode>0.00%</c:formatCode>
                <c:ptCount val="61"/>
                <c:pt idx="0">
                  <c:v>0.14699443380840957</c:v>
                </c:pt>
                <c:pt idx="1">
                  <c:v>0.20688417358008934</c:v>
                </c:pt>
                <c:pt idx="2">
                  <c:v>0.15397433170247465</c:v>
                </c:pt>
                <c:pt idx="3">
                  <c:v>9.5179217187832371E-2</c:v>
                </c:pt>
                <c:pt idx="4">
                  <c:v>6.0434836559597249E-2</c:v>
                </c:pt>
                <c:pt idx="5">
                  <c:v>4.5229738353541799E-2</c:v>
                </c:pt>
                <c:pt idx="6">
                  <c:v>3.7266007232503721E-2</c:v>
                </c:pt>
                <c:pt idx="7">
                  <c:v>3.2532971708147201E-2</c:v>
                </c:pt>
                <c:pt idx="8">
                  <c:v>2.8234240941643621E-2</c:v>
                </c:pt>
                <c:pt idx="9">
                  <c:v>2.5269446217116926E-2</c:v>
                </c:pt>
                <c:pt idx="10">
                  <c:v>2.2016592214422464E-2</c:v>
                </c:pt>
                <c:pt idx="11">
                  <c:v>1.936644685527902E-2</c:v>
                </c:pt>
                <c:pt idx="12">
                  <c:v>1.762479614266468E-2</c:v>
                </c:pt>
                <c:pt idx="13">
                  <c:v>1.5533042615046445E-2</c:v>
                </c:pt>
                <c:pt idx="14">
                  <c:v>1.3490037580656597E-2</c:v>
                </c:pt>
                <c:pt idx="15">
                  <c:v>1.1602141388357088E-2</c:v>
                </c:pt>
                <c:pt idx="16">
                  <c:v>9.341983975040772E-3</c:v>
                </c:pt>
                <c:pt idx="17">
                  <c:v>8.5841664893994193E-3</c:v>
                </c:pt>
                <c:pt idx="18">
                  <c:v>7.1615968233709141E-3</c:v>
                </c:pt>
                <c:pt idx="19">
                  <c:v>5.9118627242430687E-3</c:v>
                </c:pt>
                <c:pt idx="20">
                  <c:v>4.9945047153087995E-3</c:v>
                </c:pt>
                <c:pt idx="21">
                  <c:v>4.2145288236545416E-3</c:v>
                </c:pt>
                <c:pt idx="22">
                  <c:v>4.0195348507409768E-3</c:v>
                </c:pt>
                <c:pt idx="23">
                  <c:v>3.3858044387718926E-3</c:v>
                </c:pt>
                <c:pt idx="24">
                  <c:v>2.9559313621215343E-3</c:v>
                </c:pt>
                <c:pt idx="25">
                  <c:v>2.3798128057860028E-3</c:v>
                </c:pt>
                <c:pt idx="26">
                  <c:v>2.1183436148337234E-3</c:v>
                </c:pt>
                <c:pt idx="27">
                  <c:v>2.051868396795008E-3</c:v>
                </c:pt>
                <c:pt idx="28">
                  <c:v>1.6042685953343259E-3</c:v>
                </c:pt>
                <c:pt idx="29">
                  <c:v>1.4713181592568958E-3</c:v>
                </c:pt>
                <c:pt idx="30">
                  <c:v>1.2718925051407501E-3</c:v>
                </c:pt>
                <c:pt idx="31">
                  <c:v>1.2275756931149401E-3</c:v>
                </c:pt>
                <c:pt idx="32">
                  <c:v>1.0192866765936326E-3</c:v>
                </c:pt>
                <c:pt idx="33">
                  <c:v>7.3565907962844788E-4</c:v>
                </c:pt>
                <c:pt idx="34">
                  <c:v>7.5781748564135291E-4</c:v>
                </c:pt>
                <c:pt idx="35">
                  <c:v>5.7168687513295044E-4</c:v>
                </c:pt>
                <c:pt idx="36">
                  <c:v>4.0771467063745301E-4</c:v>
                </c:pt>
                <c:pt idx="37">
                  <c:v>3.0135432177550873E-4</c:v>
                </c:pt>
                <c:pt idx="38">
                  <c:v>2.9692264057292774E-4</c:v>
                </c:pt>
                <c:pt idx="39">
                  <c:v>3.1021768418067078E-4</c:v>
                </c:pt>
                <c:pt idx="40">
                  <c:v>1.8169892930582144E-4</c:v>
                </c:pt>
                <c:pt idx="41">
                  <c:v>1.6840388569807843E-4</c:v>
                </c:pt>
                <c:pt idx="42">
                  <c:v>1.6840388569807843E-4</c:v>
                </c:pt>
                <c:pt idx="43">
                  <c:v>5.3180174430972131E-5</c:v>
                </c:pt>
                <c:pt idx="44">
                  <c:v>1.0636034886194426E-4</c:v>
                </c:pt>
                <c:pt idx="45">
                  <c:v>4.8748493228391121E-5</c:v>
                </c:pt>
                <c:pt idx="46">
                  <c:v>4.4316812025810112E-5</c:v>
                </c:pt>
                <c:pt idx="47">
                  <c:v>7.5338580443877183E-5</c:v>
                </c:pt>
                <c:pt idx="48">
                  <c:v>6.2043536836134156E-5</c:v>
                </c:pt>
                <c:pt idx="49">
                  <c:v>3.5453449620648087E-5</c:v>
                </c:pt>
                <c:pt idx="50">
                  <c:v>5.3180174430972131E-5</c:v>
                </c:pt>
                <c:pt idx="51">
                  <c:v>4.4316812025810112E-5</c:v>
                </c:pt>
                <c:pt idx="52">
                  <c:v>3.5453449620648087E-5</c:v>
                </c:pt>
                <c:pt idx="53">
                  <c:v>5.3180174430972131E-5</c:v>
                </c:pt>
                <c:pt idx="54">
                  <c:v>2.6590087215486065E-5</c:v>
                </c:pt>
                <c:pt idx="55">
                  <c:v>1.3295043607743033E-5</c:v>
                </c:pt>
                <c:pt idx="56">
                  <c:v>3.5453449620648087E-5</c:v>
                </c:pt>
                <c:pt idx="57">
                  <c:v>2.2158406012905056E-5</c:v>
                </c:pt>
                <c:pt idx="58">
                  <c:v>8.8633624051620218E-6</c:v>
                </c:pt>
                <c:pt idx="59">
                  <c:v>8.8633624051620218E-6</c:v>
                </c:pt>
                <c:pt idx="60">
                  <c:v>4.4316812025810109E-6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20-4EF6-A577-43055DE1D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664"/>
        <c:axId val="81255744"/>
      </c:lineChart>
      <c:catAx>
        <c:axId val="151857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81255744"/>
        <c:crosses val="autoZero"/>
        <c:auto val="1"/>
        <c:lblAlgn val="ctr"/>
        <c:lblOffset val="100"/>
        <c:tickLblSkip val="10"/>
        <c:noMultiLvlLbl val="0"/>
      </c:catAx>
      <c:valAx>
        <c:axId val="8125574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1857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3648293963254596"/>
          <c:y val="7.8319845435987162E-2"/>
          <c:w val="0.21911981072788436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TDFD_School!$C$10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TDFD_School!$C$11:$C$71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6.6028388886311936E-3</c:v>
                </c:pt>
                <c:pt idx="3">
                  <c:v>5.8119401013236822E-2</c:v>
                </c:pt>
                <c:pt idx="4">
                  <c:v>7.1183689538548839E-2</c:v>
                </c:pt>
                <c:pt idx="5">
                  <c:v>9.5997270918970812E-2</c:v>
                </c:pt>
                <c:pt idx="6">
                  <c:v>0.10327955223630615</c:v>
                </c:pt>
                <c:pt idx="7">
                  <c:v>8.0131057920317134E-2</c:v>
                </c:pt>
                <c:pt idx="8">
                  <c:v>6.2301575082478494E-2</c:v>
                </c:pt>
                <c:pt idx="9">
                  <c:v>6.2406287991198878E-2</c:v>
                </c:pt>
                <c:pt idx="10">
                  <c:v>6.9031433725942601E-2</c:v>
                </c:pt>
                <c:pt idx="11">
                  <c:v>5.9530060057315419E-2</c:v>
                </c:pt>
                <c:pt idx="12">
                  <c:v>4.5690012083202849E-2</c:v>
                </c:pt>
                <c:pt idx="13">
                  <c:v>3.7781764165915131E-2</c:v>
                </c:pt>
                <c:pt idx="14">
                  <c:v>3.5418649750848602E-2</c:v>
                </c:pt>
                <c:pt idx="15">
                  <c:v>3.4027695847921244E-2</c:v>
                </c:pt>
                <c:pt idx="16">
                  <c:v>1.4017013369339391E-2</c:v>
                </c:pt>
                <c:pt idx="17">
                  <c:v>2.5619888350465542E-2</c:v>
                </c:pt>
                <c:pt idx="18">
                  <c:v>1.1279959602424873E-2</c:v>
                </c:pt>
                <c:pt idx="19">
                  <c:v>6.9208508726663264E-3</c:v>
                </c:pt>
                <c:pt idx="20">
                  <c:v>8.4795519479756824E-3</c:v>
                </c:pt>
                <c:pt idx="21">
                  <c:v>6.3649981324443595E-3</c:v>
                </c:pt>
                <c:pt idx="22">
                  <c:v>5.6664997900258904E-3</c:v>
                </c:pt>
                <c:pt idx="23">
                  <c:v>9.9566750525764657E-3</c:v>
                </c:pt>
                <c:pt idx="24">
                  <c:v>6.8226736690054739E-3</c:v>
                </c:pt>
                <c:pt idx="25">
                  <c:v>8.8850739498430708E-3</c:v>
                </c:pt>
                <c:pt idx="26">
                  <c:v>8.3930517011799842E-3</c:v>
                </c:pt>
                <c:pt idx="27">
                  <c:v>8.2658970729434598E-3</c:v>
                </c:pt>
                <c:pt idx="28">
                  <c:v>7.4164325343968685E-3</c:v>
                </c:pt>
                <c:pt idx="29">
                  <c:v>1.9586540846164781E-3</c:v>
                </c:pt>
                <c:pt idx="30">
                  <c:v>4.1152191388278136E-3</c:v>
                </c:pt>
                <c:pt idx="31">
                  <c:v>1.4868252847010631E-3</c:v>
                </c:pt>
                <c:pt idx="32">
                  <c:v>4.6497967353388708E-3</c:v>
                </c:pt>
                <c:pt idx="33">
                  <c:v>3.6048375870998818E-3</c:v>
                </c:pt>
                <c:pt idx="34">
                  <c:v>2.7414444287658765E-3</c:v>
                </c:pt>
                <c:pt idx="35">
                  <c:v>1.4326191761415588E-4</c:v>
                </c:pt>
                <c:pt idx="36">
                  <c:v>0</c:v>
                </c:pt>
                <c:pt idx="37">
                  <c:v>7.050601751896824E-4</c:v>
                </c:pt>
                <c:pt idx="38">
                  <c:v>9.7121383601866658E-4</c:v>
                </c:pt>
                <c:pt idx="39">
                  <c:v>2.3077320290564017E-3</c:v>
                </c:pt>
                <c:pt idx="40">
                  <c:v>2.7607620088605359E-3</c:v>
                </c:pt>
                <c:pt idx="41">
                  <c:v>3.2324080901766747E-3</c:v>
                </c:pt>
                <c:pt idx="42">
                  <c:v>2.7629587129026923E-4</c:v>
                </c:pt>
                <c:pt idx="43">
                  <c:v>3.3327977224160525E-3</c:v>
                </c:pt>
                <c:pt idx="44">
                  <c:v>4.7548084915250484E-4</c:v>
                </c:pt>
                <c:pt idx="45">
                  <c:v>0</c:v>
                </c:pt>
                <c:pt idx="46">
                  <c:v>0</c:v>
                </c:pt>
                <c:pt idx="47">
                  <c:v>1.8296976409598779E-4</c:v>
                </c:pt>
                <c:pt idx="48">
                  <c:v>1.4455225484580898E-3</c:v>
                </c:pt>
                <c:pt idx="49">
                  <c:v>2.153888131554862E-4</c:v>
                </c:pt>
                <c:pt idx="50">
                  <c:v>5.877063133944777E-4</c:v>
                </c:pt>
                <c:pt idx="51">
                  <c:v>4.0078730076314557E-3</c:v>
                </c:pt>
                <c:pt idx="52">
                  <c:v>0</c:v>
                </c:pt>
                <c:pt idx="53">
                  <c:v>0</c:v>
                </c:pt>
                <c:pt idx="54">
                  <c:v>1.8271219952683219E-3</c:v>
                </c:pt>
                <c:pt idx="55">
                  <c:v>3.2667824314354466E-3</c:v>
                </c:pt>
                <c:pt idx="56">
                  <c:v>0</c:v>
                </c:pt>
                <c:pt idx="57">
                  <c:v>0</c:v>
                </c:pt>
                <c:pt idx="58">
                  <c:v>1.2048513201160191E-4</c:v>
                </c:pt>
                <c:pt idx="59">
                  <c:v>2.1206221947275231E-3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D-4595-BB53-F284F74F8C11}"/>
            </c:ext>
          </c:extLst>
        </c:ser>
        <c:ser>
          <c:idx val="1"/>
          <c:order val="1"/>
          <c:tx>
            <c:strRef>
              <c:f>TDFD_School!$G$10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TDFD_School!$G$11:$G$71</c:f>
              <c:numCache>
                <c:formatCode>0.00%</c:formatCode>
                <c:ptCount val="61"/>
                <c:pt idx="0">
                  <c:v>7.8883925405941993E-4</c:v>
                </c:pt>
                <c:pt idx="1">
                  <c:v>1.8289548323051835E-2</c:v>
                </c:pt>
                <c:pt idx="2">
                  <c:v>2.2557257321137347E-2</c:v>
                </c:pt>
                <c:pt idx="3">
                  <c:v>4.1489399418563423E-2</c:v>
                </c:pt>
                <c:pt idx="4">
                  <c:v>6.6009891512444158E-2</c:v>
                </c:pt>
                <c:pt idx="5">
                  <c:v>8.0718641423810536E-2</c:v>
                </c:pt>
                <c:pt idx="6">
                  <c:v>8.4126604268595334E-2</c:v>
                </c:pt>
                <c:pt idx="7">
                  <c:v>7.3495001063603488E-2</c:v>
                </c:pt>
                <c:pt idx="8">
                  <c:v>5.9490888463447494E-2</c:v>
                </c:pt>
                <c:pt idx="9">
                  <c:v>4.6488335815074805E-2</c:v>
                </c:pt>
                <c:pt idx="10">
                  <c:v>4.1281110402042118E-2</c:v>
                </c:pt>
                <c:pt idx="11">
                  <c:v>3.235570446004396E-2</c:v>
                </c:pt>
                <c:pt idx="12">
                  <c:v>2.8096858824363611E-2</c:v>
                </c:pt>
                <c:pt idx="13">
                  <c:v>2.6412819967382827E-2</c:v>
                </c:pt>
                <c:pt idx="14">
                  <c:v>2.2987130397787704E-2</c:v>
                </c:pt>
                <c:pt idx="15">
                  <c:v>2.1648762674608239E-2</c:v>
                </c:pt>
                <c:pt idx="16">
                  <c:v>1.9756434801106146E-2</c:v>
                </c:pt>
                <c:pt idx="17">
                  <c:v>1.9525987378571936E-2</c:v>
                </c:pt>
                <c:pt idx="18">
                  <c:v>1.7491845706587249E-2</c:v>
                </c:pt>
                <c:pt idx="19">
                  <c:v>1.5470999078210311E-2</c:v>
                </c:pt>
                <c:pt idx="20">
                  <c:v>1.5236119974473517E-2</c:v>
                </c:pt>
                <c:pt idx="21">
                  <c:v>1.4668864780543148E-2</c:v>
                </c:pt>
                <c:pt idx="22">
                  <c:v>1.3268453520527548E-2</c:v>
                </c:pt>
                <c:pt idx="23">
                  <c:v>1.2506204353683614E-2</c:v>
                </c:pt>
                <c:pt idx="24">
                  <c:v>1.1154541586896405E-2</c:v>
                </c:pt>
                <c:pt idx="25">
                  <c:v>1.1296355385378997E-2</c:v>
                </c:pt>
                <c:pt idx="26">
                  <c:v>1.0804438771892504E-2</c:v>
                </c:pt>
                <c:pt idx="27">
                  <c:v>9.7762887328937103E-3</c:v>
                </c:pt>
                <c:pt idx="28">
                  <c:v>1.0347975608026661E-2</c:v>
                </c:pt>
                <c:pt idx="29">
                  <c:v>9.1824434517478546E-3</c:v>
                </c:pt>
                <c:pt idx="30">
                  <c:v>8.4911011841452173E-3</c:v>
                </c:pt>
                <c:pt idx="31">
                  <c:v>8.0833865135077638E-3</c:v>
                </c:pt>
                <c:pt idx="32">
                  <c:v>7.5471530879954616E-3</c:v>
                </c:pt>
                <c:pt idx="33">
                  <c:v>7.0951216053321987E-3</c:v>
                </c:pt>
                <c:pt idx="34">
                  <c:v>6.501276324186343E-3</c:v>
                </c:pt>
                <c:pt idx="35">
                  <c:v>6.3240090760831027E-3</c:v>
                </c:pt>
                <c:pt idx="36">
                  <c:v>6.0226547543075944E-3</c:v>
                </c:pt>
                <c:pt idx="37">
                  <c:v>5.5839183152520738E-3</c:v>
                </c:pt>
                <c:pt idx="38">
                  <c:v>5.3756292987307665E-3</c:v>
                </c:pt>
                <c:pt idx="39">
                  <c:v>5.3135857618946325E-3</c:v>
                </c:pt>
                <c:pt idx="40">
                  <c:v>4.5336098702403746E-3</c:v>
                </c:pt>
                <c:pt idx="41">
                  <c:v>4.1835070552364746E-3</c:v>
                </c:pt>
                <c:pt idx="42">
                  <c:v>3.8998794582712896E-3</c:v>
                </c:pt>
                <c:pt idx="43">
                  <c:v>4.1303268808055025E-3</c:v>
                </c:pt>
                <c:pt idx="44">
                  <c:v>3.8023824718145076E-3</c:v>
                </c:pt>
                <c:pt idx="45">
                  <c:v>3.5098915124441607E-3</c:v>
                </c:pt>
                <c:pt idx="46">
                  <c:v>2.9736580869318585E-3</c:v>
                </c:pt>
                <c:pt idx="47">
                  <c:v>3.0002481741473446E-3</c:v>
                </c:pt>
                <c:pt idx="48">
                  <c:v>2.6545770403460255E-3</c:v>
                </c:pt>
                <c:pt idx="49">
                  <c:v>2.4994681982556904E-3</c:v>
                </c:pt>
                <c:pt idx="50">
                  <c:v>2.4551513862298801E-3</c:v>
                </c:pt>
                <c:pt idx="51">
                  <c:v>2.3931078493937461E-3</c:v>
                </c:pt>
                <c:pt idx="52">
                  <c:v>2.1405020208466285E-3</c:v>
                </c:pt>
                <c:pt idx="53">
                  <c:v>2.0075515847691981E-3</c:v>
                </c:pt>
                <c:pt idx="54">
                  <c:v>1.8036942494504716E-3</c:v>
                </c:pt>
                <c:pt idx="55">
                  <c:v>1.8081259306530525E-3</c:v>
                </c:pt>
                <c:pt idx="56">
                  <c:v>1.7017655817911082E-3</c:v>
                </c:pt>
                <c:pt idx="57">
                  <c:v>1.5599517833085159E-3</c:v>
                </c:pt>
                <c:pt idx="58">
                  <c:v>1.4402963908388285E-3</c:v>
                </c:pt>
                <c:pt idx="59">
                  <c:v>1.3162093171665602E-3</c:v>
                </c:pt>
                <c:pt idx="60">
                  <c:v>1.2807558675459122E-3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D-4595-BB53-F284F74F8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664896"/>
        <c:axId val="124978880"/>
      </c:lineChart>
      <c:catAx>
        <c:axId val="155664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78880"/>
        <c:crosses val="autoZero"/>
        <c:auto val="1"/>
        <c:lblAlgn val="ctr"/>
        <c:lblOffset val="100"/>
        <c:tickLblSkip val="10"/>
        <c:noMultiLvlLbl val="0"/>
      </c:catAx>
      <c:valAx>
        <c:axId val="12497888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556648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TLFD_Escort!$C$11:$C$71</c:f>
              <c:numCache>
                <c:formatCode>0.00%</c:formatCode>
                <c:ptCount val="61"/>
                <c:pt idx="0">
                  <c:v>6.4066318189716878E-2</c:v>
                </c:pt>
                <c:pt idx="1">
                  <c:v>0.15776957791804286</c:v>
                </c:pt>
                <c:pt idx="2">
                  <c:v>0.16060572870164072</c:v>
                </c:pt>
                <c:pt idx="3">
                  <c:v>0.13095466047236434</c:v>
                </c:pt>
                <c:pt idx="4">
                  <c:v>8.0758191873515753E-2</c:v>
                </c:pt>
                <c:pt idx="5">
                  <c:v>6.4956349017906534E-2</c:v>
                </c:pt>
                <c:pt idx="6">
                  <c:v>5.6548938338871528E-2</c:v>
                </c:pt>
                <c:pt idx="7">
                  <c:v>3.0247956930460323E-2</c:v>
                </c:pt>
                <c:pt idx="8">
                  <c:v>3.2409404789406598E-2</c:v>
                </c:pt>
                <c:pt idx="9">
                  <c:v>3.5901470327245895E-2</c:v>
                </c:pt>
                <c:pt idx="10">
                  <c:v>2.8837287000956936E-2</c:v>
                </c:pt>
                <c:pt idx="11">
                  <c:v>1.8921040986857554E-2</c:v>
                </c:pt>
                <c:pt idx="12">
                  <c:v>2.2719602426820057E-2</c:v>
                </c:pt>
                <c:pt idx="13">
                  <c:v>1.7033498200608985E-2</c:v>
                </c:pt>
                <c:pt idx="14">
                  <c:v>1.5744989636715303E-2</c:v>
                </c:pt>
                <c:pt idx="15">
                  <c:v>1.6551659970862543E-2</c:v>
                </c:pt>
                <c:pt idx="16">
                  <c:v>1.4029713034516781E-2</c:v>
                </c:pt>
                <c:pt idx="17">
                  <c:v>9.4946786830186914E-3</c:v>
                </c:pt>
                <c:pt idx="18">
                  <c:v>3.6425533029219356E-3</c:v>
                </c:pt>
                <c:pt idx="19">
                  <c:v>4.8052150408509024E-3</c:v>
                </c:pt>
                <c:pt idx="20">
                  <c:v>5.2750449171668698E-3</c:v>
                </c:pt>
                <c:pt idx="21">
                  <c:v>2.4506856608189384E-3</c:v>
                </c:pt>
                <c:pt idx="22">
                  <c:v>2.5704254175213108E-3</c:v>
                </c:pt>
                <c:pt idx="23">
                  <c:v>2.3245516322838123E-3</c:v>
                </c:pt>
                <c:pt idx="24">
                  <c:v>3.4076447281381262E-3</c:v>
                </c:pt>
                <c:pt idx="25">
                  <c:v>2.0899044641736126E-4</c:v>
                </c:pt>
                <c:pt idx="26">
                  <c:v>1.837115656058285E-3</c:v>
                </c:pt>
                <c:pt idx="27">
                  <c:v>1.8941774124164464E-3</c:v>
                </c:pt>
                <c:pt idx="28">
                  <c:v>9.9117577308626944E-4</c:v>
                </c:pt>
                <c:pt idx="29">
                  <c:v>2.9242640833915061E-3</c:v>
                </c:pt>
                <c:pt idx="30">
                  <c:v>3.8617724124015272E-4</c:v>
                </c:pt>
                <c:pt idx="31">
                  <c:v>2.5979771710070003E-4</c:v>
                </c:pt>
                <c:pt idx="32">
                  <c:v>1.5967670758878206E-3</c:v>
                </c:pt>
                <c:pt idx="33">
                  <c:v>1.4080642410343631E-3</c:v>
                </c:pt>
                <c:pt idx="34">
                  <c:v>2.0690152661686115E-3</c:v>
                </c:pt>
                <c:pt idx="35">
                  <c:v>8.7924229355395536E-4</c:v>
                </c:pt>
                <c:pt idx="36">
                  <c:v>5.2136214233814511E-4</c:v>
                </c:pt>
                <c:pt idx="37">
                  <c:v>2.5565595856874611E-4</c:v>
                </c:pt>
                <c:pt idx="38">
                  <c:v>0</c:v>
                </c:pt>
                <c:pt idx="39">
                  <c:v>6.575735800080526E-4</c:v>
                </c:pt>
                <c:pt idx="40">
                  <c:v>0</c:v>
                </c:pt>
                <c:pt idx="41">
                  <c:v>6.121218209019666E-4</c:v>
                </c:pt>
                <c:pt idx="42">
                  <c:v>0</c:v>
                </c:pt>
                <c:pt idx="43">
                  <c:v>7.4185946563271499E-5</c:v>
                </c:pt>
                <c:pt idx="44">
                  <c:v>6.6367618753370491E-4</c:v>
                </c:pt>
                <c:pt idx="45">
                  <c:v>1.9439144905150632E-4</c:v>
                </c:pt>
                <c:pt idx="46">
                  <c:v>4.2377401017727479E-4</c:v>
                </c:pt>
                <c:pt idx="47">
                  <c:v>0</c:v>
                </c:pt>
                <c:pt idx="48">
                  <c:v>0</c:v>
                </c:pt>
                <c:pt idx="49">
                  <c:v>1.1528449927229617E-4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F-4686-B84D-16296A86AF67}"/>
            </c:ext>
          </c:extLst>
        </c:ser>
        <c:ser>
          <c:idx val="1"/>
          <c:order val="1"/>
          <c:tx>
            <c:strRef>
              <c:f>TLFD_Escort!$G$10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TLFD_Escort!$G$11:$G$71</c:f>
              <c:numCache>
                <c:formatCode>0.00%</c:formatCode>
                <c:ptCount val="61"/>
                <c:pt idx="0">
                  <c:v>0.11622675352823209</c:v>
                </c:pt>
                <c:pt idx="1">
                  <c:v>0.13268893013290817</c:v>
                </c:pt>
                <c:pt idx="2">
                  <c:v>0.12993859070016567</c:v>
                </c:pt>
                <c:pt idx="3">
                  <c:v>0.11821975311717592</c:v>
                </c:pt>
                <c:pt idx="4">
                  <c:v>9.3307258255377987E-2</c:v>
                </c:pt>
                <c:pt idx="5">
                  <c:v>7.1346894034703109E-2</c:v>
                </c:pt>
                <c:pt idx="6">
                  <c:v>5.1568864363921725E-2</c:v>
                </c:pt>
                <c:pt idx="7">
                  <c:v>3.8494787060450168E-2</c:v>
                </c:pt>
                <c:pt idx="8">
                  <c:v>3.0350892490128425E-2</c:v>
                </c:pt>
                <c:pt idx="9">
                  <c:v>2.5278708536266365E-2</c:v>
                </c:pt>
                <c:pt idx="10">
                  <c:v>2.1668888030791842E-2</c:v>
                </c:pt>
                <c:pt idx="11">
                  <c:v>1.9558799715997558E-2</c:v>
                </c:pt>
                <c:pt idx="12">
                  <c:v>1.7314183928949563E-2</c:v>
                </c:pt>
                <c:pt idx="13">
                  <c:v>1.5243955605934157E-2</c:v>
                </c:pt>
                <c:pt idx="14">
                  <c:v>1.3086533550902455E-2</c:v>
                </c:pt>
                <c:pt idx="15">
                  <c:v>1.1778627570658064E-2</c:v>
                </c:pt>
                <c:pt idx="16">
                  <c:v>9.9973841880395108E-3</c:v>
                </c:pt>
                <c:pt idx="17">
                  <c:v>8.9959018945952336E-3</c:v>
                </c:pt>
                <c:pt idx="18">
                  <c:v>8.0093670980680362E-3</c:v>
                </c:pt>
                <c:pt idx="19">
                  <c:v>6.6092848868349917E-3</c:v>
                </c:pt>
                <c:pt idx="20">
                  <c:v>6.016367509124201E-3</c:v>
                </c:pt>
                <c:pt idx="21">
                  <c:v>5.4184676324410506E-3</c:v>
                </c:pt>
                <c:pt idx="22">
                  <c:v>4.9451302300668899E-3</c:v>
                </c:pt>
                <c:pt idx="23">
                  <c:v>4.606320299946438E-3</c:v>
                </c:pt>
                <c:pt idx="24">
                  <c:v>4.1728428893511539E-3</c:v>
                </c:pt>
                <c:pt idx="25">
                  <c:v>3.953612934567332E-3</c:v>
                </c:pt>
                <c:pt idx="26">
                  <c:v>3.4877492806517107E-3</c:v>
                </c:pt>
                <c:pt idx="27">
                  <c:v>3.3332918125085638E-3</c:v>
                </c:pt>
                <c:pt idx="28">
                  <c:v>2.9645868885539543E-3</c:v>
                </c:pt>
                <c:pt idx="29">
                  <c:v>2.593390715113165E-3</c:v>
                </c:pt>
                <c:pt idx="30">
                  <c:v>2.2919495272854099E-3</c:v>
                </c:pt>
                <c:pt idx="31">
                  <c:v>2.0527895766121497E-3</c:v>
                </c:pt>
                <c:pt idx="32">
                  <c:v>1.8111383764527098E-3</c:v>
                </c:pt>
                <c:pt idx="33">
                  <c:v>1.5943996711550678E-3</c:v>
                </c:pt>
                <c:pt idx="34">
                  <c:v>1.3552397204818077E-3</c:v>
                </c:pt>
                <c:pt idx="35">
                  <c:v>1.3029234812720321E-3</c:v>
                </c:pt>
                <c:pt idx="36">
                  <c:v>1.0463247841955132E-3</c:v>
                </c:pt>
                <c:pt idx="37">
                  <c:v>9.6162230166540032E-4</c:v>
                </c:pt>
                <c:pt idx="38">
                  <c:v>7.9470858609135414E-4</c:v>
                </c:pt>
                <c:pt idx="39">
                  <c:v>6.6267236332382502E-4</c:v>
                </c:pt>
                <c:pt idx="40">
                  <c:v>5.9789987668315038E-4</c:v>
                </c:pt>
                <c:pt idx="41">
                  <c:v>5.4807488695955459E-4</c:v>
                </c:pt>
                <c:pt idx="42">
                  <c:v>4.2849491162292447E-4</c:v>
                </c:pt>
                <c:pt idx="43">
                  <c:v>4.7333740237416074E-4</c:v>
                </c:pt>
                <c:pt idx="44">
                  <c:v>4.0358241676112652E-4</c:v>
                </c:pt>
                <c:pt idx="45">
                  <c:v>3.8863491984404778E-4</c:v>
                </c:pt>
                <c:pt idx="46">
                  <c:v>3.5126617755135088E-4</c:v>
                </c:pt>
                <c:pt idx="47">
                  <c:v>2.6905494450741771E-4</c:v>
                </c:pt>
                <c:pt idx="48">
                  <c:v>2.4414244964561976E-4</c:v>
                </c:pt>
                <c:pt idx="49">
                  <c:v>1.7687871351876534E-4</c:v>
                </c:pt>
                <c:pt idx="50">
                  <c:v>1.7687871351876534E-4</c:v>
                </c:pt>
                <c:pt idx="51">
                  <c:v>1.6442246608786636E-4</c:v>
                </c:pt>
                <c:pt idx="52">
                  <c:v>1.3203622276752907E-4</c:v>
                </c:pt>
                <c:pt idx="53">
                  <c:v>6.9754985613034218E-5</c:v>
                </c:pt>
                <c:pt idx="54">
                  <c:v>7.4737484585393798E-5</c:v>
                </c:pt>
                <c:pt idx="55">
                  <c:v>8.221123304393318E-5</c:v>
                </c:pt>
                <c:pt idx="56">
                  <c:v>5.4807488695955453E-5</c:v>
                </c:pt>
                <c:pt idx="57">
                  <c:v>3.4877492806517109E-5</c:v>
                </c:pt>
                <c:pt idx="58">
                  <c:v>3.9859991778876695E-5</c:v>
                </c:pt>
                <c:pt idx="59">
                  <c:v>3.9859991778876695E-5</c:v>
                </c:pt>
                <c:pt idx="60">
                  <c:v>3.2386243320337313E-5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9F-4686-B84D-16296A86A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990592"/>
        <c:axId val="124980608"/>
      </c:lineChart>
      <c:catAx>
        <c:axId val="186990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0608"/>
        <c:crosses val="autoZero"/>
        <c:auto val="1"/>
        <c:lblAlgn val="ctr"/>
        <c:lblOffset val="100"/>
        <c:tickLblSkip val="10"/>
        <c:noMultiLvlLbl val="0"/>
      </c:catAx>
      <c:valAx>
        <c:axId val="12498060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8699059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4822002883442396"/>
          <c:y val="7.8319845435987162E-2"/>
          <c:w val="0.2073827215260064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Escort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TDFD_Escort!$C$10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TDFD_Escort!$C$11:$C$71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6.5081752111777972E-3</c:v>
                </c:pt>
                <c:pt idx="3">
                  <c:v>4.7366533541234129E-2</c:v>
                </c:pt>
                <c:pt idx="4">
                  <c:v>5.5385836363964151E-2</c:v>
                </c:pt>
                <c:pt idx="5">
                  <c:v>7.8595856724216817E-2</c:v>
                </c:pt>
                <c:pt idx="6">
                  <c:v>6.970376314749932E-2</c:v>
                </c:pt>
                <c:pt idx="7">
                  <c:v>8.1868844658636489E-2</c:v>
                </c:pt>
                <c:pt idx="8">
                  <c:v>8.1877163743169293E-2</c:v>
                </c:pt>
                <c:pt idx="9">
                  <c:v>6.7146710431919499E-2</c:v>
                </c:pt>
                <c:pt idx="10">
                  <c:v>5.0662969160957062E-2</c:v>
                </c:pt>
                <c:pt idx="11">
                  <c:v>5.4314410006326246E-2</c:v>
                </c:pt>
                <c:pt idx="12">
                  <c:v>2.7826498821403284E-2</c:v>
                </c:pt>
                <c:pt idx="13">
                  <c:v>3.5343072478042893E-2</c:v>
                </c:pt>
                <c:pt idx="14">
                  <c:v>3.365559004069963E-2</c:v>
                </c:pt>
                <c:pt idx="15">
                  <c:v>2.6064353379338347E-2</c:v>
                </c:pt>
                <c:pt idx="16">
                  <c:v>1.9172504100799348E-2</c:v>
                </c:pt>
                <c:pt idx="17">
                  <c:v>2.3988419065773803E-2</c:v>
                </c:pt>
                <c:pt idx="18">
                  <c:v>2.0106491629662656E-2</c:v>
                </c:pt>
                <c:pt idx="19">
                  <c:v>1.7148057362142331E-2</c:v>
                </c:pt>
                <c:pt idx="20">
                  <c:v>1.3487104739435062E-2</c:v>
                </c:pt>
                <c:pt idx="21">
                  <c:v>1.3795012288692392E-2</c:v>
                </c:pt>
                <c:pt idx="22">
                  <c:v>1.5672989187851621E-2</c:v>
                </c:pt>
                <c:pt idx="23">
                  <c:v>9.2434584150311999E-3</c:v>
                </c:pt>
                <c:pt idx="24">
                  <c:v>1.4336623011616837E-2</c:v>
                </c:pt>
                <c:pt idx="25">
                  <c:v>1.9270722251778886E-2</c:v>
                </c:pt>
                <c:pt idx="26">
                  <c:v>8.8611507611170027E-3</c:v>
                </c:pt>
                <c:pt idx="27">
                  <c:v>7.995041328769565E-3</c:v>
                </c:pt>
                <c:pt idx="28">
                  <c:v>5.6299210632429564E-3</c:v>
                </c:pt>
                <c:pt idx="29">
                  <c:v>7.2003278747823155E-3</c:v>
                </c:pt>
                <c:pt idx="30">
                  <c:v>4.4803535690568705E-3</c:v>
                </c:pt>
                <c:pt idx="31">
                  <c:v>7.6121963200392675E-3</c:v>
                </c:pt>
                <c:pt idx="32">
                  <c:v>4.7592231245155827E-3</c:v>
                </c:pt>
                <c:pt idx="33">
                  <c:v>8.5101840340339376E-3</c:v>
                </c:pt>
                <c:pt idx="34">
                  <c:v>2.7448423219561379E-3</c:v>
                </c:pt>
                <c:pt idx="35">
                  <c:v>3.0969448428493232E-3</c:v>
                </c:pt>
                <c:pt idx="36">
                  <c:v>2.7223159800124001E-3</c:v>
                </c:pt>
                <c:pt idx="37">
                  <c:v>2.4091556602787267E-3</c:v>
                </c:pt>
                <c:pt idx="38">
                  <c:v>6.4198224657262297E-3</c:v>
                </c:pt>
                <c:pt idx="39">
                  <c:v>6.3953029680223926E-3</c:v>
                </c:pt>
                <c:pt idx="40">
                  <c:v>3.5690222597630924E-3</c:v>
                </c:pt>
                <c:pt idx="41">
                  <c:v>7.0593946501764492E-3</c:v>
                </c:pt>
                <c:pt idx="42">
                  <c:v>2.418473425818351E-3</c:v>
                </c:pt>
                <c:pt idx="43">
                  <c:v>3.0854198108652506E-3</c:v>
                </c:pt>
                <c:pt idx="44">
                  <c:v>1.8880916404403474E-3</c:v>
                </c:pt>
                <c:pt idx="45">
                  <c:v>5.5329073046167391E-4</c:v>
                </c:pt>
                <c:pt idx="46">
                  <c:v>8.3632612834863627E-4</c:v>
                </c:pt>
                <c:pt idx="47">
                  <c:v>1.0122463272552423E-3</c:v>
                </c:pt>
                <c:pt idx="48">
                  <c:v>2.2082563547457606E-3</c:v>
                </c:pt>
                <c:pt idx="49">
                  <c:v>6.3456769092055758E-4</c:v>
                </c:pt>
                <c:pt idx="50">
                  <c:v>3.6687124335498515E-4</c:v>
                </c:pt>
                <c:pt idx="51">
                  <c:v>3.0787951063987427E-3</c:v>
                </c:pt>
                <c:pt idx="52">
                  <c:v>1.2296903134571585E-3</c:v>
                </c:pt>
                <c:pt idx="53">
                  <c:v>1.2713743466333249E-4</c:v>
                </c:pt>
                <c:pt idx="54">
                  <c:v>8.2206089733300304E-4</c:v>
                </c:pt>
                <c:pt idx="55">
                  <c:v>5.5888488700739727E-4</c:v>
                </c:pt>
                <c:pt idx="56">
                  <c:v>9.1786887293472154E-4</c:v>
                </c:pt>
                <c:pt idx="57">
                  <c:v>5.6482747516302921E-4</c:v>
                </c:pt>
                <c:pt idx="58">
                  <c:v>2.2914851222018444E-4</c:v>
                </c:pt>
                <c:pt idx="59">
                  <c:v>9.840548860988159E-5</c:v>
                </c:pt>
                <c:pt idx="60">
                  <c:v>1.1732978676461158E-4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D9-4201-A276-B8BF8229103C}"/>
            </c:ext>
          </c:extLst>
        </c:ser>
        <c:ser>
          <c:idx val="1"/>
          <c:order val="1"/>
          <c:tx>
            <c:strRef>
              <c:f>TDFD_Escort!$G$10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TDFD_Escort!$G$11:$G$71</c:f>
              <c:numCache>
                <c:formatCode>0.00%</c:formatCode>
                <c:ptCount val="61"/>
                <c:pt idx="0">
                  <c:v>6.0213500080965607E-3</c:v>
                </c:pt>
                <c:pt idx="1">
                  <c:v>3.2607964524607319E-2</c:v>
                </c:pt>
                <c:pt idx="2">
                  <c:v>1.6554352835664726E-2</c:v>
                </c:pt>
                <c:pt idx="3">
                  <c:v>2.5607553468442096E-2</c:v>
                </c:pt>
                <c:pt idx="4">
                  <c:v>4.003687049239546E-2</c:v>
                </c:pt>
                <c:pt idx="5">
                  <c:v>5.3275370261954884E-2</c:v>
                </c:pt>
                <c:pt idx="6">
                  <c:v>6.112529739290741E-2</c:v>
                </c:pt>
                <c:pt idx="7">
                  <c:v>6.4568204182807884E-2</c:v>
                </c:pt>
                <c:pt idx="8">
                  <c:v>6.2106849690462249E-2</c:v>
                </c:pt>
                <c:pt idx="9">
                  <c:v>5.7356036920317384E-2</c:v>
                </c:pt>
                <c:pt idx="10">
                  <c:v>5.2749716620370944E-2</c:v>
                </c:pt>
                <c:pt idx="11">
                  <c:v>4.7159352773383491E-2</c:v>
                </c:pt>
                <c:pt idx="12">
                  <c:v>4.2019905083394579E-2</c:v>
                </c:pt>
                <c:pt idx="13">
                  <c:v>3.8046362152937808E-2</c:v>
                </c:pt>
                <c:pt idx="14">
                  <c:v>3.3235759395124624E-2</c:v>
                </c:pt>
                <c:pt idx="15">
                  <c:v>2.9907450081588422E-2</c:v>
                </c:pt>
                <c:pt idx="16">
                  <c:v>2.6930406945603568E-2</c:v>
                </c:pt>
                <c:pt idx="17">
                  <c:v>2.3569711388747028E-2</c:v>
                </c:pt>
                <c:pt idx="18">
                  <c:v>2.0924004434424087E-2</c:v>
                </c:pt>
                <c:pt idx="19">
                  <c:v>1.8786512375281821E-2</c:v>
                </c:pt>
                <c:pt idx="20">
                  <c:v>1.750351888989923E-2</c:v>
                </c:pt>
                <c:pt idx="21">
                  <c:v>1.5719784257794498E-2</c:v>
                </c:pt>
                <c:pt idx="22">
                  <c:v>1.4187665823793924E-2</c:v>
                </c:pt>
                <c:pt idx="23">
                  <c:v>1.2986883571455263E-2</c:v>
                </c:pt>
                <c:pt idx="24">
                  <c:v>1.2022770020303683E-2</c:v>
                </c:pt>
                <c:pt idx="25">
                  <c:v>1.1188201442433453E-2</c:v>
                </c:pt>
                <c:pt idx="26">
                  <c:v>1.0321246621242884E-2</c:v>
                </c:pt>
                <c:pt idx="27">
                  <c:v>9.6884692517532171E-3</c:v>
                </c:pt>
                <c:pt idx="28">
                  <c:v>9.0806043771253474E-3</c:v>
                </c:pt>
                <c:pt idx="29">
                  <c:v>8.3730895230502856E-3</c:v>
                </c:pt>
                <c:pt idx="30">
                  <c:v>8.0990520795705088E-3</c:v>
                </c:pt>
                <c:pt idx="31">
                  <c:v>7.3765897285783689E-3</c:v>
                </c:pt>
                <c:pt idx="32">
                  <c:v>7.0502360458888158E-3</c:v>
                </c:pt>
                <c:pt idx="33">
                  <c:v>6.2704749567145399E-3</c:v>
                </c:pt>
                <c:pt idx="34">
                  <c:v>5.9042612822461102E-3</c:v>
                </c:pt>
                <c:pt idx="35">
                  <c:v>5.5355563582915011E-3</c:v>
                </c:pt>
                <c:pt idx="36">
                  <c:v>5.244080168408465E-3</c:v>
                </c:pt>
                <c:pt idx="37">
                  <c:v>4.8778664939400354E-3</c:v>
                </c:pt>
                <c:pt idx="38">
                  <c:v>4.7508127701448664E-3</c:v>
                </c:pt>
                <c:pt idx="39">
                  <c:v>4.1404566460308163E-3</c:v>
                </c:pt>
                <c:pt idx="40">
                  <c:v>4.230141627533289E-3</c:v>
                </c:pt>
                <c:pt idx="41">
                  <c:v>3.8315417097445222E-3</c:v>
                </c:pt>
                <c:pt idx="42">
                  <c:v>3.7667692231038476E-3</c:v>
                </c:pt>
                <c:pt idx="43">
                  <c:v>3.3980642991492385E-3</c:v>
                </c:pt>
                <c:pt idx="44">
                  <c:v>3.1090793587523822E-3</c:v>
                </c:pt>
                <c:pt idx="45">
                  <c:v>2.9894993834157523E-3</c:v>
                </c:pt>
                <c:pt idx="46">
                  <c:v>2.7652869296595707E-3</c:v>
                </c:pt>
                <c:pt idx="47">
                  <c:v>2.618303209974963E-3</c:v>
                </c:pt>
                <c:pt idx="48">
                  <c:v>2.5610044717928279E-3</c:v>
                </c:pt>
                <c:pt idx="49">
                  <c:v>2.3517395149537249E-3</c:v>
                </c:pt>
                <c:pt idx="50">
                  <c:v>2.2371420385894547E-3</c:v>
                </c:pt>
                <c:pt idx="51">
                  <c:v>2.1399833086284425E-3</c:v>
                </c:pt>
                <c:pt idx="52">
                  <c:v>2.0104383353470932E-3</c:v>
                </c:pt>
                <c:pt idx="53">
                  <c:v>1.773769634160013E-3</c:v>
                </c:pt>
                <c:pt idx="54">
                  <c:v>1.6815934031713606E-3</c:v>
                </c:pt>
                <c:pt idx="55">
                  <c:v>1.6616634072819222E-3</c:v>
                </c:pt>
                <c:pt idx="56">
                  <c:v>1.5420834319452921E-3</c:v>
                </c:pt>
                <c:pt idx="57">
                  <c:v>1.3527484709956279E-3</c:v>
                </c:pt>
                <c:pt idx="58">
                  <c:v>1.2406422441175371E-3</c:v>
                </c:pt>
                <c:pt idx="59">
                  <c:v>1.2157297492557393E-3</c:v>
                </c:pt>
                <c:pt idx="60">
                  <c:v>1.1434835141565251E-3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D9-4201-A276-B8BF82291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7696"/>
        <c:axId val="124982336"/>
      </c:lineChart>
      <c:catAx>
        <c:axId val="58397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4982336"/>
        <c:crosses val="autoZero"/>
        <c:auto val="1"/>
        <c:lblAlgn val="ctr"/>
        <c:lblOffset val="100"/>
        <c:tickLblSkip val="10"/>
        <c:noMultiLvlLbl val="0"/>
      </c:catAx>
      <c:valAx>
        <c:axId val="124982336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76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 Business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TLFD_PerBus!$C$11:$C$71</c:f>
              <c:numCache>
                <c:formatCode>0.00%</c:formatCode>
                <c:ptCount val="61"/>
                <c:pt idx="0">
                  <c:v>0.11790257293232795</c:v>
                </c:pt>
                <c:pt idx="1">
                  <c:v>0.18703310300855217</c:v>
                </c:pt>
                <c:pt idx="2">
                  <c:v>0.13614319711823253</c:v>
                </c:pt>
                <c:pt idx="3">
                  <c:v>0.10923807653308748</c:v>
                </c:pt>
                <c:pt idx="4">
                  <c:v>8.024426355709724E-2</c:v>
                </c:pt>
                <c:pt idx="5">
                  <c:v>5.1201607903720442E-2</c:v>
                </c:pt>
                <c:pt idx="6">
                  <c:v>5.5863475913085409E-2</c:v>
                </c:pt>
                <c:pt idx="7">
                  <c:v>3.7189568296798765E-2</c:v>
                </c:pt>
                <c:pt idx="8">
                  <c:v>3.3169014946726437E-2</c:v>
                </c:pt>
                <c:pt idx="9">
                  <c:v>2.3824488941884669E-2</c:v>
                </c:pt>
                <c:pt idx="10">
                  <c:v>2.391293012030311E-2</c:v>
                </c:pt>
                <c:pt idx="11">
                  <c:v>1.5135650544230037E-2</c:v>
                </c:pt>
                <c:pt idx="12">
                  <c:v>1.4765722943206928E-2</c:v>
                </c:pt>
                <c:pt idx="13">
                  <c:v>1.4478052604244529E-2</c:v>
                </c:pt>
                <c:pt idx="14">
                  <c:v>1.0240453035136913E-2</c:v>
                </c:pt>
                <c:pt idx="15">
                  <c:v>1.2951498194924469E-2</c:v>
                </c:pt>
                <c:pt idx="16">
                  <c:v>7.5125661548275111E-3</c:v>
                </c:pt>
                <c:pt idx="17">
                  <c:v>8.2839859640212749E-3</c:v>
                </c:pt>
                <c:pt idx="18">
                  <c:v>7.6156621359967378E-3</c:v>
                </c:pt>
                <c:pt idx="19">
                  <c:v>6.5639551400528302E-3</c:v>
                </c:pt>
                <c:pt idx="20">
                  <c:v>4.9781746624256978E-3</c:v>
                </c:pt>
                <c:pt idx="21">
                  <c:v>3.9889727620867352E-3</c:v>
                </c:pt>
                <c:pt idx="22">
                  <c:v>2.9294539810683978E-3</c:v>
                </c:pt>
                <c:pt idx="23">
                  <c:v>1.5639538198211221E-3</c:v>
                </c:pt>
                <c:pt idx="24">
                  <c:v>1.4808628386814896E-3</c:v>
                </c:pt>
                <c:pt idx="25">
                  <c:v>2.4258573354291775E-3</c:v>
                </c:pt>
                <c:pt idx="26">
                  <c:v>3.2027698368685131E-3</c:v>
                </c:pt>
                <c:pt idx="27">
                  <c:v>3.3534391717964574E-3</c:v>
                </c:pt>
                <c:pt idx="28">
                  <c:v>4.3723114531956592E-3</c:v>
                </c:pt>
                <c:pt idx="29">
                  <c:v>2.5449445047630685E-3</c:v>
                </c:pt>
                <c:pt idx="30">
                  <c:v>1.8798290221424387E-3</c:v>
                </c:pt>
                <c:pt idx="31">
                  <c:v>2.2145098560525851E-3</c:v>
                </c:pt>
                <c:pt idx="32">
                  <c:v>3.1682074379841382E-3</c:v>
                </c:pt>
                <c:pt idx="33">
                  <c:v>2.8032769503615624E-3</c:v>
                </c:pt>
                <c:pt idx="34">
                  <c:v>5.1618624982491062E-4</c:v>
                </c:pt>
                <c:pt idx="35">
                  <c:v>8.050662133613735E-4</c:v>
                </c:pt>
                <c:pt idx="36">
                  <c:v>6.5243200737491079E-4</c:v>
                </c:pt>
                <c:pt idx="37">
                  <c:v>3.6865780579102791E-4</c:v>
                </c:pt>
                <c:pt idx="38">
                  <c:v>3.1217162716019913E-4</c:v>
                </c:pt>
                <c:pt idx="39">
                  <c:v>0</c:v>
                </c:pt>
                <c:pt idx="40">
                  <c:v>1.424117524434525E-3</c:v>
                </c:pt>
                <c:pt idx="41">
                  <c:v>0</c:v>
                </c:pt>
                <c:pt idx="42">
                  <c:v>1.385270834392932E-4</c:v>
                </c:pt>
                <c:pt idx="43">
                  <c:v>6.960598983161121E-4</c:v>
                </c:pt>
                <c:pt idx="44">
                  <c:v>4.7034504470214406E-4</c:v>
                </c:pt>
                <c:pt idx="45">
                  <c:v>4.7271837537422332E-5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5.7942677111013684E-5</c:v>
                </c:pt>
                <c:pt idx="51">
                  <c:v>2.0295153777696965E-4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1.3186087203541884E-4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5-4495-9B2C-744DEB858FF7}"/>
            </c:ext>
          </c:extLst>
        </c:ser>
        <c:ser>
          <c:idx val="1"/>
          <c:order val="1"/>
          <c:tx>
            <c:strRef>
              <c:f>TLFD_PerBus!$G$10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TLFD_PerBus!$G$11:$G$71</c:f>
              <c:numCache>
                <c:formatCode>0.00%</c:formatCode>
                <c:ptCount val="61"/>
                <c:pt idx="0">
                  <c:v>0.16124485573142147</c:v>
                </c:pt>
                <c:pt idx="1">
                  <c:v>0.15442349833169175</c:v>
                </c:pt>
                <c:pt idx="2">
                  <c:v>0.13146727138068734</c:v>
                </c:pt>
                <c:pt idx="3">
                  <c:v>0.10390849882798482</c:v>
                </c:pt>
                <c:pt idx="4">
                  <c:v>8.084843209565476E-2</c:v>
                </c:pt>
                <c:pt idx="5">
                  <c:v>6.2120622122454588E-2</c:v>
                </c:pt>
                <c:pt idx="6">
                  <c:v>4.5701720228142111E-2</c:v>
                </c:pt>
                <c:pt idx="7">
                  <c:v>3.5142130700689465E-2</c:v>
                </c:pt>
                <c:pt idx="8">
                  <c:v>2.7699261668613664E-2</c:v>
                </c:pt>
                <c:pt idx="9">
                  <c:v>2.369837597636118E-2</c:v>
                </c:pt>
                <c:pt idx="10">
                  <c:v>2.0862633712806652E-2</c:v>
                </c:pt>
                <c:pt idx="11">
                  <c:v>1.8805689809194403E-2</c:v>
                </c:pt>
                <c:pt idx="12">
                  <c:v>1.6927411411686556E-2</c:v>
                </c:pt>
                <c:pt idx="13">
                  <c:v>1.4471905994456788E-2</c:v>
                </c:pt>
                <c:pt idx="14">
                  <c:v>1.2089699246398057E-2</c:v>
                </c:pt>
                <c:pt idx="15">
                  <c:v>1.0703132754579257E-2</c:v>
                </c:pt>
                <c:pt idx="16">
                  <c:v>9.2325782043353108E-3</c:v>
                </c:pt>
                <c:pt idx="17">
                  <c:v>8.0613265532064344E-3</c:v>
                </c:pt>
                <c:pt idx="18">
                  <c:v>7.1221873544525128E-3</c:v>
                </c:pt>
                <c:pt idx="19">
                  <c:v>6.2258057127150285E-3</c:v>
                </c:pt>
                <c:pt idx="20">
                  <c:v>5.4653320200655107E-3</c:v>
                </c:pt>
                <c:pt idx="21">
                  <c:v>4.972093058768735E-3</c:v>
                </c:pt>
                <c:pt idx="22">
                  <c:v>4.378068427361782E-3</c:v>
                </c:pt>
                <c:pt idx="23">
                  <c:v>3.9016270777500364E-3</c:v>
                </c:pt>
                <c:pt idx="24">
                  <c:v>3.6084324010658849E-3</c:v>
                </c:pt>
                <c:pt idx="25">
                  <c:v>3.2801154454039443E-3</c:v>
                </c:pt>
                <c:pt idx="26">
                  <c:v>2.9579067121729237E-3</c:v>
                </c:pt>
                <c:pt idx="27">
                  <c:v>2.5685075322017851E-3</c:v>
                </c:pt>
                <c:pt idx="28">
                  <c:v>2.3608279695505113E-3</c:v>
                </c:pt>
                <c:pt idx="29">
                  <c:v>2.2081224087775156E-3</c:v>
                </c:pt>
                <c:pt idx="30">
                  <c:v>1.8981301204083346E-3</c:v>
                </c:pt>
                <c:pt idx="31">
                  <c:v>1.6919776133647907E-3</c:v>
                </c:pt>
                <c:pt idx="32">
                  <c:v>1.3239572119018714E-3</c:v>
                </c:pt>
                <c:pt idx="33">
                  <c:v>1.2582938207694834E-3</c:v>
                </c:pt>
                <c:pt idx="34">
                  <c:v>9.9869436745539083E-4</c:v>
                </c:pt>
                <c:pt idx="35">
                  <c:v>9.1165219781478343E-4</c:v>
                </c:pt>
                <c:pt idx="36">
                  <c:v>7.8032541555000728E-4</c:v>
                </c:pt>
                <c:pt idx="37">
                  <c:v>5.8944346458376278E-4</c:v>
                </c:pt>
                <c:pt idx="38">
                  <c:v>5.9707874262241258E-4</c:v>
                </c:pt>
                <c:pt idx="39">
                  <c:v>4.8560368325812584E-4</c:v>
                </c:pt>
                <c:pt idx="40">
                  <c:v>4.3215673698757741E-4</c:v>
                </c:pt>
                <c:pt idx="41">
                  <c:v>3.7870979071702899E-4</c:v>
                </c:pt>
                <c:pt idx="42">
                  <c:v>3.2678990005421049E-4</c:v>
                </c:pt>
                <c:pt idx="43">
                  <c:v>2.7487000939139199E-4</c:v>
                </c:pt>
                <c:pt idx="44">
                  <c:v>2.1989600751311358E-4</c:v>
                </c:pt>
                <c:pt idx="45">
                  <c:v>2.1531484068992371E-4</c:v>
                </c:pt>
                <c:pt idx="46">
                  <c:v>2.0309839582808407E-4</c:v>
                </c:pt>
                <c:pt idx="47">
                  <c:v>1.4201617151888586E-4</c:v>
                </c:pt>
                <c:pt idx="48">
                  <c:v>1.1605622618747661E-4</c:v>
                </c:pt>
                <c:pt idx="49">
                  <c:v>1.0842094814882684E-4</c:v>
                </c:pt>
                <c:pt idx="50">
                  <c:v>1.0536683693336692E-4</c:v>
                </c:pt>
                <c:pt idx="51">
                  <c:v>1.0231272571790701E-4</c:v>
                </c:pt>
                <c:pt idx="52">
                  <c:v>5.6501057486008351E-5</c:v>
                </c:pt>
                <c:pt idx="53">
                  <c:v>4.7338723839628623E-5</c:v>
                </c:pt>
                <c:pt idx="54">
                  <c:v>3.8176390193248888E-5</c:v>
                </c:pt>
                <c:pt idx="55">
                  <c:v>4.12305014087088E-5</c:v>
                </c:pt>
                <c:pt idx="56">
                  <c:v>3.3595223370059021E-5</c:v>
                </c:pt>
                <c:pt idx="57">
                  <c:v>2.1378778508219378E-5</c:v>
                </c:pt>
                <c:pt idx="58">
                  <c:v>2.7487000939139198E-5</c:v>
                </c:pt>
                <c:pt idx="59">
                  <c:v>2.7487000939139198E-5</c:v>
                </c:pt>
                <c:pt idx="60">
                  <c:v>1.0689389254109689E-5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5-4495-9B2C-744DEB85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00096"/>
        <c:axId val="124984064"/>
      </c:lineChart>
      <c:catAx>
        <c:axId val="58500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24984064"/>
        <c:crosses val="autoZero"/>
        <c:auto val="1"/>
        <c:lblAlgn val="ctr"/>
        <c:lblOffset val="100"/>
        <c:tickLblSkip val="10"/>
        <c:noMultiLvlLbl val="0"/>
      </c:catAx>
      <c:valAx>
        <c:axId val="124984064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0009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Personal Business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TDFD_PerBus!$C$10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TDFD_PerBus!$C$11:$C$71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5.8800320672592454E-3</c:v>
                </c:pt>
                <c:pt idx="3">
                  <c:v>6.3969611763212406E-2</c:v>
                </c:pt>
                <c:pt idx="4">
                  <c:v>7.1127068024624221E-2</c:v>
                </c:pt>
                <c:pt idx="5">
                  <c:v>9.1250478051902367E-2</c:v>
                </c:pt>
                <c:pt idx="6">
                  <c:v>8.5351248261967674E-2</c:v>
                </c:pt>
                <c:pt idx="7">
                  <c:v>7.2292497001986214E-2</c:v>
                </c:pt>
                <c:pt idx="8">
                  <c:v>7.3925114432595501E-2</c:v>
                </c:pt>
                <c:pt idx="9">
                  <c:v>5.2091908625046583E-2</c:v>
                </c:pt>
                <c:pt idx="10">
                  <c:v>4.4084658114072077E-2</c:v>
                </c:pt>
                <c:pt idx="11">
                  <c:v>4.9745697730513648E-2</c:v>
                </c:pt>
                <c:pt idx="12">
                  <c:v>3.6126635742258606E-2</c:v>
                </c:pt>
                <c:pt idx="13">
                  <c:v>2.9928632544314111E-2</c:v>
                </c:pt>
                <c:pt idx="14">
                  <c:v>2.2607854761403662E-2</c:v>
                </c:pt>
                <c:pt idx="15">
                  <c:v>2.9121411992474696E-2</c:v>
                </c:pt>
                <c:pt idx="16">
                  <c:v>2.7066516442512012E-2</c:v>
                </c:pt>
                <c:pt idx="17">
                  <c:v>2.6323674481918351E-2</c:v>
                </c:pt>
                <c:pt idx="18">
                  <c:v>2.3873820390903581E-2</c:v>
                </c:pt>
                <c:pt idx="19">
                  <c:v>1.2793966741509647E-2</c:v>
                </c:pt>
                <c:pt idx="20">
                  <c:v>1.182892539782879E-2</c:v>
                </c:pt>
                <c:pt idx="21">
                  <c:v>1.250125589148759E-2</c:v>
                </c:pt>
                <c:pt idx="22">
                  <c:v>1.4882159319141539E-2</c:v>
                </c:pt>
                <c:pt idx="23">
                  <c:v>1.2676675582066537E-2</c:v>
                </c:pt>
                <c:pt idx="24">
                  <c:v>1.2151493389221625E-2</c:v>
                </c:pt>
                <c:pt idx="25">
                  <c:v>5.186928264824006E-3</c:v>
                </c:pt>
                <c:pt idx="26">
                  <c:v>1.0252432067925529E-2</c:v>
                </c:pt>
                <c:pt idx="27">
                  <c:v>5.9312012337730631E-3</c:v>
                </c:pt>
                <c:pt idx="28">
                  <c:v>5.7671179690640759E-3</c:v>
                </c:pt>
                <c:pt idx="29">
                  <c:v>5.3131497219920812E-3</c:v>
                </c:pt>
                <c:pt idx="30">
                  <c:v>4.3860954295025477E-3</c:v>
                </c:pt>
                <c:pt idx="31">
                  <c:v>4.9623527113695038E-3</c:v>
                </c:pt>
                <c:pt idx="32">
                  <c:v>4.2038248785192332E-3</c:v>
                </c:pt>
                <c:pt idx="33">
                  <c:v>5.1588612978710141E-3</c:v>
                </c:pt>
                <c:pt idx="34">
                  <c:v>3.4585826319668026E-3</c:v>
                </c:pt>
                <c:pt idx="35">
                  <c:v>4.7938052829641677E-3</c:v>
                </c:pt>
                <c:pt idx="36">
                  <c:v>3.4088081468561108E-3</c:v>
                </c:pt>
                <c:pt idx="37">
                  <c:v>4.146799631077361E-3</c:v>
                </c:pt>
                <c:pt idx="38">
                  <c:v>4.6031864828276455E-3</c:v>
                </c:pt>
                <c:pt idx="39">
                  <c:v>3.9570823938968012E-3</c:v>
                </c:pt>
                <c:pt idx="40">
                  <c:v>2.8801464428874876E-3</c:v>
                </c:pt>
                <c:pt idx="41">
                  <c:v>3.187603647300254E-3</c:v>
                </c:pt>
                <c:pt idx="42">
                  <c:v>2.7696396812182606E-3</c:v>
                </c:pt>
                <c:pt idx="43">
                  <c:v>9.6444869492288662E-4</c:v>
                </c:pt>
                <c:pt idx="44">
                  <c:v>8.3463276596690446E-4</c:v>
                </c:pt>
                <c:pt idx="45">
                  <c:v>1.1492673302814474E-3</c:v>
                </c:pt>
                <c:pt idx="46">
                  <c:v>1.6200871327535621E-3</c:v>
                </c:pt>
                <c:pt idx="47">
                  <c:v>7.0778708773196284E-4</c:v>
                </c:pt>
                <c:pt idx="48">
                  <c:v>3.3521429012734506E-3</c:v>
                </c:pt>
                <c:pt idx="49">
                  <c:v>2.5988251488960746E-3</c:v>
                </c:pt>
                <c:pt idx="50">
                  <c:v>1.4235233618437556E-3</c:v>
                </c:pt>
                <c:pt idx="51">
                  <c:v>2.0182086831059924E-3</c:v>
                </c:pt>
                <c:pt idx="52">
                  <c:v>1.7894493355098365E-3</c:v>
                </c:pt>
                <c:pt idx="53">
                  <c:v>6.7470319328749367E-4</c:v>
                </c:pt>
                <c:pt idx="54">
                  <c:v>1.2210327341267467E-3</c:v>
                </c:pt>
                <c:pt idx="55">
                  <c:v>2.2459014314398147E-3</c:v>
                </c:pt>
                <c:pt idx="56">
                  <c:v>5.6675048069614075E-4</c:v>
                </c:pt>
                <c:pt idx="57">
                  <c:v>8.4985766270958434E-4</c:v>
                </c:pt>
                <c:pt idx="58">
                  <c:v>3.1956256671634585E-4</c:v>
                </c:pt>
                <c:pt idx="59">
                  <c:v>6.3537703446853654E-4</c:v>
                </c:pt>
                <c:pt idx="60">
                  <c:v>1.0766144679711471E-3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48-4FBD-B191-FEF4647299DD}"/>
            </c:ext>
          </c:extLst>
        </c:ser>
        <c:ser>
          <c:idx val="1"/>
          <c:order val="1"/>
          <c:tx>
            <c:strRef>
              <c:f>TDFD_PerBus!$G$10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TDFD_PerBus!$G$11:$G$71</c:f>
              <c:numCache>
                <c:formatCode>0.00%</c:formatCode>
                <c:ptCount val="61"/>
                <c:pt idx="0">
                  <c:v>6.7343152300891034E-3</c:v>
                </c:pt>
                <c:pt idx="1">
                  <c:v>4.7294439227004451E-2</c:v>
                </c:pt>
                <c:pt idx="2">
                  <c:v>2.0528208534713793E-2</c:v>
                </c:pt>
                <c:pt idx="3">
                  <c:v>3.2830168510586316E-2</c:v>
                </c:pt>
                <c:pt idx="4">
                  <c:v>4.8633666994983622E-2</c:v>
                </c:pt>
                <c:pt idx="5">
                  <c:v>6.1586152659749108E-2</c:v>
                </c:pt>
                <c:pt idx="6">
                  <c:v>6.8233425720197596E-2</c:v>
                </c:pt>
                <c:pt idx="7">
                  <c:v>6.6645287888158447E-2</c:v>
                </c:pt>
                <c:pt idx="8">
                  <c:v>5.9439112475280789E-2</c:v>
                </c:pt>
                <c:pt idx="9">
                  <c:v>5.3611868276183278E-2</c:v>
                </c:pt>
                <c:pt idx="10">
                  <c:v>4.8134319811255925E-2</c:v>
                </c:pt>
                <c:pt idx="11">
                  <c:v>4.3592856433867039E-2</c:v>
                </c:pt>
                <c:pt idx="12">
                  <c:v>3.8032846966122275E-2</c:v>
                </c:pt>
                <c:pt idx="13">
                  <c:v>3.4164815111742297E-2</c:v>
                </c:pt>
                <c:pt idx="14">
                  <c:v>3.0449488818135313E-2</c:v>
                </c:pt>
                <c:pt idx="15">
                  <c:v>2.7502271495216498E-2</c:v>
                </c:pt>
                <c:pt idx="16">
                  <c:v>2.4203831382519796E-2</c:v>
                </c:pt>
                <c:pt idx="17">
                  <c:v>2.1478037122721824E-2</c:v>
                </c:pt>
                <c:pt idx="18">
                  <c:v>1.9312672270960746E-2</c:v>
                </c:pt>
                <c:pt idx="19">
                  <c:v>1.7359568148674134E-2</c:v>
                </c:pt>
                <c:pt idx="20">
                  <c:v>1.6089057883042809E-2</c:v>
                </c:pt>
                <c:pt idx="21">
                  <c:v>1.4549785830451016E-2</c:v>
                </c:pt>
                <c:pt idx="22">
                  <c:v>1.3215139229295035E-2</c:v>
                </c:pt>
                <c:pt idx="23">
                  <c:v>1.2598208763772132E-2</c:v>
                </c:pt>
                <c:pt idx="24">
                  <c:v>1.165448839819502E-2</c:v>
                </c:pt>
                <c:pt idx="25">
                  <c:v>1.0722984477479748E-2</c:v>
                </c:pt>
                <c:pt idx="26">
                  <c:v>9.9518213955761201E-3</c:v>
                </c:pt>
                <c:pt idx="27">
                  <c:v>9.1669148132029234E-3</c:v>
                </c:pt>
                <c:pt idx="28">
                  <c:v>8.3392506738132876E-3</c:v>
                </c:pt>
                <c:pt idx="29">
                  <c:v>7.6398592054729673E-3</c:v>
                </c:pt>
                <c:pt idx="30">
                  <c:v>7.3191775278496768E-3</c:v>
                </c:pt>
                <c:pt idx="31">
                  <c:v>6.6778141726030957E-3</c:v>
                </c:pt>
                <c:pt idx="32">
                  <c:v>6.1815211000908598E-3</c:v>
                </c:pt>
                <c:pt idx="33">
                  <c:v>5.6852280275786239E-3</c:v>
                </c:pt>
                <c:pt idx="34">
                  <c:v>5.4195203518336123E-3</c:v>
                </c:pt>
                <c:pt idx="35">
                  <c:v>5.1461773980499498E-3</c:v>
                </c:pt>
                <c:pt idx="36">
                  <c:v>4.6834795489077733E-3</c:v>
                </c:pt>
                <c:pt idx="37">
                  <c:v>4.4269342068091405E-3</c:v>
                </c:pt>
                <c:pt idx="38">
                  <c:v>4.1719159203182383E-3</c:v>
                </c:pt>
                <c:pt idx="39">
                  <c:v>3.9550740240205844E-3</c:v>
                </c:pt>
                <c:pt idx="40">
                  <c:v>3.7153262936069817E-3</c:v>
                </c:pt>
                <c:pt idx="41">
                  <c:v>3.4725244519779189E-3</c:v>
                </c:pt>
                <c:pt idx="42">
                  <c:v>3.3732658374754716E-3</c:v>
                </c:pt>
                <c:pt idx="43">
                  <c:v>3.0571653266753709E-3</c:v>
                </c:pt>
                <c:pt idx="44">
                  <c:v>2.9212573775874049E-3</c:v>
                </c:pt>
                <c:pt idx="45">
                  <c:v>2.7838223728917089E-3</c:v>
                </c:pt>
                <c:pt idx="46">
                  <c:v>2.5456016980858359E-3</c:v>
                </c:pt>
                <c:pt idx="47">
                  <c:v>2.3104351344954226E-3</c:v>
                </c:pt>
                <c:pt idx="48">
                  <c:v>2.1378778508219375E-3</c:v>
                </c:pt>
                <c:pt idx="49">
                  <c:v>2.0004428461262418E-3</c:v>
                </c:pt>
                <c:pt idx="50">
                  <c:v>1.885913675546495E-3</c:v>
                </c:pt>
                <c:pt idx="51">
                  <c:v>1.785128005436318E-3</c:v>
                </c:pt>
                <c:pt idx="52">
                  <c:v>1.7438975040276093E-3</c:v>
                </c:pt>
                <c:pt idx="53">
                  <c:v>1.6156248329782929E-3</c:v>
                </c:pt>
                <c:pt idx="54">
                  <c:v>1.508730940437196E-3</c:v>
                </c:pt>
                <c:pt idx="55">
                  <c:v>1.4277969932275083E-3</c:v>
                </c:pt>
                <c:pt idx="56">
                  <c:v>1.3025784333936521E-3</c:v>
                </c:pt>
                <c:pt idx="57">
                  <c:v>1.2827267104931627E-3</c:v>
                </c:pt>
                <c:pt idx="58">
                  <c:v>1.2063739301066648E-3</c:v>
                </c:pt>
                <c:pt idx="59">
                  <c:v>1.065884814195509E-3</c:v>
                </c:pt>
                <c:pt idx="60">
                  <c:v>1.0872635927037283E-3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48-4FBD-B191-FEF464729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48736"/>
        <c:axId val="130090112"/>
      </c:lineChart>
      <c:catAx>
        <c:axId val="58548736"/>
        <c:scaling>
          <c:orientation val="minMax"/>
        </c:scaling>
        <c:delete val="0"/>
        <c:axPos val="b"/>
        <c:title>
          <c:overlay val="0"/>
        </c:title>
        <c:majorTickMark val="none"/>
        <c:minorTickMark val="none"/>
        <c:tickLblPos val="nextTo"/>
        <c:crossAx val="130090112"/>
        <c:crosses val="autoZero"/>
        <c:auto val="1"/>
        <c:lblAlgn val="ctr"/>
        <c:lblOffset val="100"/>
        <c:tickLblSkip val="10"/>
        <c:noMultiLvlLbl val="0"/>
      </c:catAx>
      <c:valAx>
        <c:axId val="1300901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4873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TLFD_Shop!$C$11:$C$71</c:f>
              <c:numCache>
                <c:formatCode>0.00%</c:formatCode>
                <c:ptCount val="61"/>
                <c:pt idx="0">
                  <c:v>0.16217582429932312</c:v>
                </c:pt>
                <c:pt idx="1">
                  <c:v>0.1991030158685835</c:v>
                </c:pt>
                <c:pt idx="2">
                  <c:v>0.1505151054288828</c:v>
                </c:pt>
                <c:pt idx="3">
                  <c:v>0.11414867471505125</c:v>
                </c:pt>
                <c:pt idx="4">
                  <c:v>7.2639637542175867E-2</c:v>
                </c:pt>
                <c:pt idx="5">
                  <c:v>6.1445033942482949E-2</c:v>
                </c:pt>
                <c:pt idx="6">
                  <c:v>4.5532521159441057E-2</c:v>
                </c:pt>
                <c:pt idx="7">
                  <c:v>2.5919962055070245E-2</c:v>
                </c:pt>
                <c:pt idx="8">
                  <c:v>2.9226078690040156E-2</c:v>
                </c:pt>
                <c:pt idx="9">
                  <c:v>1.5327190690271322E-2</c:v>
                </c:pt>
                <c:pt idx="10">
                  <c:v>1.9238854789550848E-2</c:v>
                </c:pt>
                <c:pt idx="11">
                  <c:v>1.8536454360682082E-2</c:v>
                </c:pt>
                <c:pt idx="12">
                  <c:v>9.706479737567858E-3</c:v>
                </c:pt>
                <c:pt idx="13">
                  <c:v>8.8347976813430845E-3</c:v>
                </c:pt>
                <c:pt idx="14">
                  <c:v>1.2803497909016505E-2</c:v>
                </c:pt>
                <c:pt idx="15">
                  <c:v>8.6029382281324722E-3</c:v>
                </c:pt>
                <c:pt idx="16">
                  <c:v>9.161103941627927E-3</c:v>
                </c:pt>
                <c:pt idx="17">
                  <c:v>5.1635722033588393E-3</c:v>
                </c:pt>
                <c:pt idx="18">
                  <c:v>4.3898559261577224E-3</c:v>
                </c:pt>
                <c:pt idx="19">
                  <c:v>6.3824321211210754E-3</c:v>
                </c:pt>
                <c:pt idx="20">
                  <c:v>2.4233832022034557E-3</c:v>
                </c:pt>
                <c:pt idx="21">
                  <c:v>1.3274274478668076E-3</c:v>
                </c:pt>
                <c:pt idx="22">
                  <c:v>1.881246146132708E-3</c:v>
                </c:pt>
                <c:pt idx="23">
                  <c:v>3.3355152152983267E-3</c:v>
                </c:pt>
                <c:pt idx="24">
                  <c:v>8.1353351003324715E-4</c:v>
                </c:pt>
                <c:pt idx="25">
                  <c:v>1.3208784303271822E-3</c:v>
                </c:pt>
                <c:pt idx="26">
                  <c:v>1.9559990321408077E-3</c:v>
                </c:pt>
                <c:pt idx="27">
                  <c:v>7.8413322665006559E-4</c:v>
                </c:pt>
                <c:pt idx="28">
                  <c:v>1.8868464006494821E-3</c:v>
                </c:pt>
                <c:pt idx="29">
                  <c:v>9.8608647044884932E-4</c:v>
                </c:pt>
                <c:pt idx="30">
                  <c:v>3.3484952170434234E-4</c:v>
                </c:pt>
                <c:pt idx="31">
                  <c:v>2.6057423686002277E-4</c:v>
                </c:pt>
                <c:pt idx="32">
                  <c:v>3.9650008530563695E-4</c:v>
                </c:pt>
                <c:pt idx="33">
                  <c:v>4.8567346523676209E-4</c:v>
                </c:pt>
                <c:pt idx="34">
                  <c:v>0</c:v>
                </c:pt>
                <c:pt idx="35">
                  <c:v>1.8222884114012868E-4</c:v>
                </c:pt>
                <c:pt idx="36">
                  <c:v>6.852522468962656E-4</c:v>
                </c:pt>
                <c:pt idx="37">
                  <c:v>5.0937161722442988E-4</c:v>
                </c:pt>
                <c:pt idx="38">
                  <c:v>7.9244029076246594E-5</c:v>
                </c:pt>
                <c:pt idx="39">
                  <c:v>0</c:v>
                </c:pt>
                <c:pt idx="40">
                  <c:v>0</c:v>
                </c:pt>
                <c:pt idx="41">
                  <c:v>1.3453052261027437E-3</c:v>
                </c:pt>
                <c:pt idx="42">
                  <c:v>0</c:v>
                </c:pt>
                <c:pt idx="43">
                  <c:v>0</c:v>
                </c:pt>
                <c:pt idx="44">
                  <c:v>1.5292035882212191E-4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30-4932-A28F-6DBB9382CB9C}"/>
            </c:ext>
          </c:extLst>
        </c:ser>
        <c:ser>
          <c:idx val="1"/>
          <c:order val="1"/>
          <c:tx>
            <c:strRef>
              <c:f>TLFD_Shop!$G$10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TLFD_Shop!$G$11:$G$71</c:f>
              <c:numCache>
                <c:formatCode>0.00%</c:formatCode>
                <c:ptCount val="61"/>
                <c:pt idx="0">
                  <c:v>0.17087680974181405</c:v>
                </c:pt>
                <c:pt idx="1">
                  <c:v>0.16318468081150797</c:v>
                </c:pt>
                <c:pt idx="2">
                  <c:v>0.14203713601821943</c:v>
                </c:pt>
                <c:pt idx="3">
                  <c:v>0.11832632288350259</c:v>
                </c:pt>
                <c:pt idx="4">
                  <c:v>8.8315400525202759E-2</c:v>
                </c:pt>
                <c:pt idx="5">
                  <c:v>6.5980339755060305E-2</c:v>
                </c:pt>
                <c:pt idx="6">
                  <c:v>4.7498315168134603E-2</c:v>
                </c:pt>
                <c:pt idx="7">
                  <c:v>3.4277613813297393E-2</c:v>
                </c:pt>
                <c:pt idx="8">
                  <c:v>2.6578513164927611E-2</c:v>
                </c:pt>
                <c:pt idx="9">
                  <c:v>2.2369919360461062E-2</c:v>
                </c:pt>
                <c:pt idx="10">
                  <c:v>1.8568009109711604E-2</c:v>
                </c:pt>
                <c:pt idx="11">
                  <c:v>1.5774674072180521E-2</c:v>
                </c:pt>
                <c:pt idx="12">
                  <c:v>1.4187446259673258E-2</c:v>
                </c:pt>
                <c:pt idx="13">
                  <c:v>1.0910738769724152E-2</c:v>
                </c:pt>
                <c:pt idx="14">
                  <c:v>9.2352025284097514E-3</c:v>
                </c:pt>
                <c:pt idx="15">
                  <c:v>7.9686737468336773E-3</c:v>
                </c:pt>
                <c:pt idx="16">
                  <c:v>6.3140526597104413E-3</c:v>
                </c:pt>
                <c:pt idx="17">
                  <c:v>5.1125932467291019E-3</c:v>
                </c:pt>
                <c:pt idx="18">
                  <c:v>4.5757709558225468E-3</c:v>
                </c:pt>
                <c:pt idx="19">
                  <c:v>3.743812600218447E-3</c:v>
                </c:pt>
                <c:pt idx="20">
                  <c:v>3.1814273430782461E-3</c:v>
                </c:pt>
                <c:pt idx="21">
                  <c:v>2.6934070786177409E-3</c:v>
                </c:pt>
                <c:pt idx="22">
                  <c:v>2.258836652645767E-3</c:v>
                </c:pt>
                <c:pt idx="23">
                  <c:v>1.9590527759057422E-3</c:v>
                </c:pt>
                <c:pt idx="24">
                  <c:v>1.8312379447375149E-3</c:v>
                </c:pt>
                <c:pt idx="25">
                  <c:v>1.5128628198275661E-3</c:v>
                </c:pt>
                <c:pt idx="26">
                  <c:v>1.5500453161674142E-3</c:v>
                </c:pt>
                <c:pt idx="27">
                  <c:v>1.401315330808022E-3</c:v>
                </c:pt>
                <c:pt idx="28">
                  <c:v>1.215402849108782E-3</c:v>
                </c:pt>
                <c:pt idx="29">
                  <c:v>9.2026678441123843E-4</c:v>
                </c:pt>
                <c:pt idx="30">
                  <c:v>9.5512537472984592E-4</c:v>
                </c:pt>
                <c:pt idx="31">
                  <c:v>7.1343914852083383E-4</c:v>
                </c:pt>
                <c:pt idx="32">
                  <c:v>6.204829076712138E-4</c:v>
                </c:pt>
                <c:pt idx="33">
                  <c:v>4.810485463967837E-4</c:v>
                </c:pt>
                <c:pt idx="34">
                  <c:v>3.7414886941972066E-4</c:v>
                </c:pt>
                <c:pt idx="35">
                  <c:v>3.2302293695242966E-4</c:v>
                </c:pt>
                <c:pt idx="36">
                  <c:v>2.6492528642141713E-4</c:v>
                </c:pt>
                <c:pt idx="37">
                  <c:v>1.9520810578420208E-4</c:v>
                </c:pt>
                <c:pt idx="38">
                  <c:v>2.2541888406032859E-4</c:v>
                </c:pt>
                <c:pt idx="39">
                  <c:v>1.6964513955055658E-4</c:v>
                </c:pt>
                <c:pt idx="40">
                  <c:v>1.3711045525318955E-4</c:v>
                </c:pt>
                <c:pt idx="41">
                  <c:v>3.3696637307987267E-4</c:v>
                </c:pt>
                <c:pt idx="42">
                  <c:v>1.3246264321070857E-4</c:v>
                </c:pt>
                <c:pt idx="43">
                  <c:v>9.9927958913341547E-5</c:v>
                </c:pt>
                <c:pt idx="44">
                  <c:v>5.5773744509772025E-5</c:v>
                </c:pt>
                <c:pt idx="45">
                  <c:v>6.7393274615974529E-5</c:v>
                </c:pt>
                <c:pt idx="46">
                  <c:v>5.8097650531012525E-5</c:v>
                </c:pt>
                <c:pt idx="47">
                  <c:v>4.1830308382329016E-5</c:v>
                </c:pt>
                <c:pt idx="48">
                  <c:v>2.556296623364551E-5</c:v>
                </c:pt>
                <c:pt idx="49">
                  <c:v>2.3239060212405011E-5</c:v>
                </c:pt>
                <c:pt idx="50">
                  <c:v>1.6267342148683506E-5</c:v>
                </c:pt>
                <c:pt idx="51">
                  <c:v>2.0915154191164508E-5</c:v>
                </c:pt>
                <c:pt idx="52">
                  <c:v>1.3943436127443006E-5</c:v>
                </c:pt>
                <c:pt idx="53">
                  <c:v>1.3943436127443006E-5</c:v>
                </c:pt>
                <c:pt idx="54">
                  <c:v>1.8591248169924008E-5</c:v>
                </c:pt>
                <c:pt idx="55">
                  <c:v>9.2956240849620042E-6</c:v>
                </c:pt>
                <c:pt idx="56">
                  <c:v>1.1619530106202505E-5</c:v>
                </c:pt>
                <c:pt idx="57">
                  <c:v>2.3239060212405011E-6</c:v>
                </c:pt>
                <c:pt idx="58">
                  <c:v>6.9717180637215032E-6</c:v>
                </c:pt>
                <c:pt idx="59">
                  <c:v>9.2956240849620042E-6</c:v>
                </c:pt>
                <c:pt idx="60">
                  <c:v>2.3239060212405011E-6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30-4932-A28F-6DBB9382C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550784"/>
        <c:axId val="130091840"/>
      </c:lineChart>
      <c:catAx>
        <c:axId val="5855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</a:t>
                </a:r>
                <a:r>
                  <a:rPr baseline="0" lang="en-US"/>
                  <a:t> (mile)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091840"/>
        <c:crosses val="autoZero"/>
        <c:auto val="1"/>
        <c:lblAlgn val="ctr"/>
        <c:lblOffset val="100"/>
        <c:tickLblSkip val="10"/>
        <c:noMultiLvlLbl val="0"/>
      </c:catAx>
      <c:valAx>
        <c:axId val="130091840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</a:t>
                </a:r>
                <a:r>
                  <a:rPr baseline="0" lang="en-US"/>
                  <a:t> Trips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550784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6230453587667735"/>
          <c:y val="7.8319845435987162E-2"/>
          <c:w val="0.19329821448375289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TDFD_Shop!$C$10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TDFD_Shop!$C$11:$C$71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1.037952175397318E-2</c:v>
                </c:pt>
                <c:pt idx="3">
                  <c:v>9.7543102034091833E-2</c:v>
                </c:pt>
                <c:pt idx="4">
                  <c:v>9.7271454575509231E-2</c:v>
                </c:pt>
                <c:pt idx="5">
                  <c:v>9.5764867431094636E-2</c:v>
                </c:pt>
                <c:pt idx="6">
                  <c:v>8.3753224619944847E-2</c:v>
                </c:pt>
                <c:pt idx="7">
                  <c:v>9.3453742627839981E-2</c:v>
                </c:pt>
                <c:pt idx="8">
                  <c:v>5.9723396799450448E-2</c:v>
                </c:pt>
                <c:pt idx="9">
                  <c:v>5.2260866910152019E-2</c:v>
                </c:pt>
                <c:pt idx="10">
                  <c:v>4.1692414034446214E-2</c:v>
                </c:pt>
                <c:pt idx="11">
                  <c:v>4.569573353427462E-2</c:v>
                </c:pt>
                <c:pt idx="12">
                  <c:v>3.5274719135869166E-2</c:v>
                </c:pt>
                <c:pt idx="13">
                  <c:v>3.3434561086216175E-2</c:v>
                </c:pt>
                <c:pt idx="14">
                  <c:v>3.0141744377886422E-2</c:v>
                </c:pt>
                <c:pt idx="15">
                  <c:v>2.9408082803958922E-2</c:v>
                </c:pt>
                <c:pt idx="16">
                  <c:v>1.8277624538830934E-2</c:v>
                </c:pt>
                <c:pt idx="17">
                  <c:v>1.5261908004901931E-2</c:v>
                </c:pt>
                <c:pt idx="18">
                  <c:v>9.8149451912726282E-3</c:v>
                </c:pt>
                <c:pt idx="19">
                  <c:v>1.0041260495763782E-2</c:v>
                </c:pt>
                <c:pt idx="20">
                  <c:v>1.4464102217527853E-2</c:v>
                </c:pt>
                <c:pt idx="21">
                  <c:v>8.489186466299925E-3</c:v>
                </c:pt>
                <c:pt idx="22">
                  <c:v>7.7165134918509171E-3</c:v>
                </c:pt>
                <c:pt idx="23">
                  <c:v>1.0711154594761799E-2</c:v>
                </c:pt>
                <c:pt idx="24">
                  <c:v>8.3158696418787151E-3</c:v>
                </c:pt>
                <c:pt idx="25">
                  <c:v>5.071719077438819E-3</c:v>
                </c:pt>
                <c:pt idx="26">
                  <c:v>6.1852350746185629E-3</c:v>
                </c:pt>
                <c:pt idx="27">
                  <c:v>1.0363485645386956E-2</c:v>
                </c:pt>
                <c:pt idx="28">
                  <c:v>8.5023767774944931E-3</c:v>
                </c:pt>
                <c:pt idx="29">
                  <c:v>1.5014392426214681E-2</c:v>
                </c:pt>
                <c:pt idx="30">
                  <c:v>2.2723941241150538E-3</c:v>
                </c:pt>
                <c:pt idx="31">
                  <c:v>3.5424075625752707E-3</c:v>
                </c:pt>
                <c:pt idx="32">
                  <c:v>5.5205022576760394E-3</c:v>
                </c:pt>
                <c:pt idx="33">
                  <c:v>2.1072965792900411E-3</c:v>
                </c:pt>
                <c:pt idx="34">
                  <c:v>1.8733126685796977E-3</c:v>
                </c:pt>
                <c:pt idx="35">
                  <c:v>8.6395138232895393E-4</c:v>
                </c:pt>
                <c:pt idx="36">
                  <c:v>2.4238524994907094E-3</c:v>
                </c:pt>
                <c:pt idx="37">
                  <c:v>2.6294689642152968E-3</c:v>
                </c:pt>
                <c:pt idx="38">
                  <c:v>1.9144025322459465E-3</c:v>
                </c:pt>
                <c:pt idx="39">
                  <c:v>1.648484368426121E-3</c:v>
                </c:pt>
                <c:pt idx="40">
                  <c:v>2.9060965278540317E-3</c:v>
                </c:pt>
                <c:pt idx="41">
                  <c:v>3.4017007619703533E-4</c:v>
                </c:pt>
                <c:pt idx="42">
                  <c:v>2.3742692380433797E-3</c:v>
                </c:pt>
                <c:pt idx="43">
                  <c:v>4.1561811068239005E-3</c:v>
                </c:pt>
                <c:pt idx="44">
                  <c:v>2.635150870350908E-4</c:v>
                </c:pt>
                <c:pt idx="45">
                  <c:v>1.1308287270212997E-3</c:v>
                </c:pt>
                <c:pt idx="46">
                  <c:v>3.4102418785384489E-4</c:v>
                </c:pt>
                <c:pt idx="47">
                  <c:v>6.6491928837574563E-4</c:v>
                </c:pt>
                <c:pt idx="48">
                  <c:v>1.0144054518188628E-4</c:v>
                </c:pt>
                <c:pt idx="49">
                  <c:v>2.5867500063379986E-4</c:v>
                </c:pt>
                <c:pt idx="50">
                  <c:v>1.1269589329154087E-3</c:v>
                </c:pt>
                <c:pt idx="51">
                  <c:v>7.013457011606838E-4</c:v>
                </c:pt>
                <c:pt idx="52">
                  <c:v>5.5041730360249036E-4</c:v>
                </c:pt>
                <c:pt idx="53">
                  <c:v>3.6185326261752688E-4</c:v>
                </c:pt>
                <c:pt idx="54">
                  <c:v>4.2800959608091778E-4</c:v>
                </c:pt>
                <c:pt idx="55">
                  <c:v>4.2737674377941239E-4</c:v>
                </c:pt>
                <c:pt idx="56">
                  <c:v>2.7585776150632085E-4</c:v>
                </c:pt>
                <c:pt idx="57">
                  <c:v>1.4970546552009339E-3</c:v>
                </c:pt>
                <c:pt idx="58">
                  <c:v>8.7550374200253051E-4</c:v>
                </c:pt>
                <c:pt idx="59">
                  <c:v>0</c:v>
                </c:pt>
                <c:pt idx="60">
                  <c:v>1.0852733136134388E-4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1-4AC4-8DEC-B8ECE6F8A247}"/>
            </c:ext>
          </c:extLst>
        </c:ser>
        <c:ser>
          <c:idx val="1"/>
          <c:order val="1"/>
          <c:tx>
            <c:strRef>
              <c:f>TDFD_Shop!$G$10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TDFD_Shop!$G$11:$G$71</c:f>
              <c:numCache>
                <c:formatCode>0.00%</c:formatCode>
                <c:ptCount val="61"/>
                <c:pt idx="0">
                  <c:v>7.5736097232227927E-3</c:v>
                </c:pt>
                <c:pt idx="1">
                  <c:v>4.5416095373103114E-2</c:v>
                </c:pt>
                <c:pt idx="2">
                  <c:v>2.3710813134716832E-2</c:v>
                </c:pt>
                <c:pt idx="3">
                  <c:v>3.6039134577397693E-2</c:v>
                </c:pt>
                <c:pt idx="4">
                  <c:v>5.3538146917338665E-2</c:v>
                </c:pt>
                <c:pt idx="5">
                  <c:v>6.6837861076898056E-2</c:v>
                </c:pt>
                <c:pt idx="6">
                  <c:v>7.1585601078292399E-2</c:v>
                </c:pt>
                <c:pt idx="7">
                  <c:v>7.1341590946062142E-2</c:v>
                </c:pt>
                <c:pt idx="8">
                  <c:v>6.6263856289651646E-2</c:v>
                </c:pt>
                <c:pt idx="9">
                  <c:v>6.1464990355790013E-2</c:v>
                </c:pt>
                <c:pt idx="10">
                  <c:v>5.3579977225720991E-2</c:v>
                </c:pt>
                <c:pt idx="11">
                  <c:v>4.7421626269433664E-2</c:v>
                </c:pt>
                <c:pt idx="12">
                  <c:v>4.2311356928725799E-2</c:v>
                </c:pt>
                <c:pt idx="13">
                  <c:v>3.7133694313401966E-2</c:v>
                </c:pt>
                <c:pt idx="14">
                  <c:v>3.2792637865724707E-2</c:v>
                </c:pt>
                <c:pt idx="15">
                  <c:v>2.8974460272826567E-2</c:v>
                </c:pt>
                <c:pt idx="16">
                  <c:v>2.5012200506611511E-2</c:v>
                </c:pt>
                <c:pt idx="17">
                  <c:v>2.1960911900722736E-2</c:v>
                </c:pt>
                <c:pt idx="18">
                  <c:v>1.9174548581255373E-2</c:v>
                </c:pt>
                <c:pt idx="19">
                  <c:v>1.6850642560014874E-2</c:v>
                </c:pt>
                <c:pt idx="20">
                  <c:v>1.5068206641723409E-2</c:v>
                </c:pt>
                <c:pt idx="21">
                  <c:v>1.3622737096511817E-2</c:v>
                </c:pt>
                <c:pt idx="22">
                  <c:v>1.2044804908089516E-2</c:v>
                </c:pt>
                <c:pt idx="23">
                  <c:v>1.1222142176570379E-2</c:v>
                </c:pt>
                <c:pt idx="24">
                  <c:v>9.5210429690223333E-3</c:v>
                </c:pt>
                <c:pt idx="25">
                  <c:v>8.8633775650112708E-3</c:v>
                </c:pt>
                <c:pt idx="26">
                  <c:v>8.277753247658665E-3</c:v>
                </c:pt>
                <c:pt idx="27">
                  <c:v>7.201784759824313E-3</c:v>
                </c:pt>
                <c:pt idx="28">
                  <c:v>6.4674304571123147E-3</c:v>
                </c:pt>
                <c:pt idx="29">
                  <c:v>6.12116845994748E-3</c:v>
                </c:pt>
                <c:pt idx="30">
                  <c:v>5.3031535404708232E-3</c:v>
                </c:pt>
                <c:pt idx="31">
                  <c:v>4.9266807650298625E-3</c:v>
                </c:pt>
                <c:pt idx="32">
                  <c:v>4.2341567707001931E-3</c:v>
                </c:pt>
                <c:pt idx="33">
                  <c:v>3.8948664915990799E-3</c:v>
                </c:pt>
                <c:pt idx="34">
                  <c:v>3.609026050986498E-3</c:v>
                </c:pt>
                <c:pt idx="35">
                  <c:v>3.2790313959703467E-3</c:v>
                </c:pt>
                <c:pt idx="36">
                  <c:v>3.209314215333132E-3</c:v>
                </c:pt>
                <c:pt idx="37">
                  <c:v>2.8955869024656642E-3</c:v>
                </c:pt>
                <c:pt idx="38">
                  <c:v>2.7143222328089053E-3</c:v>
                </c:pt>
                <c:pt idx="39">
                  <c:v>2.3099625851130579E-3</c:v>
                </c:pt>
                <c:pt idx="40">
                  <c:v>2.2193302502846787E-3</c:v>
                </c:pt>
                <c:pt idx="41">
                  <c:v>2.0868676070739697E-3</c:v>
                </c:pt>
                <c:pt idx="42">
                  <c:v>1.99391136622435E-3</c:v>
                </c:pt>
                <c:pt idx="43">
                  <c:v>1.7382817038878947E-3</c:v>
                </c:pt>
                <c:pt idx="44">
                  <c:v>1.7057470195905278E-3</c:v>
                </c:pt>
                <c:pt idx="45">
                  <c:v>1.6197624968046292E-3</c:v>
                </c:pt>
                <c:pt idx="46">
                  <c:v>1.4710325114452372E-3</c:v>
                </c:pt>
                <c:pt idx="47">
                  <c:v>1.3687806465106551E-3</c:v>
                </c:pt>
                <c:pt idx="48">
                  <c:v>1.145685668471567E-3</c:v>
                </c:pt>
                <c:pt idx="49">
                  <c:v>1.0782923938555925E-3</c:v>
                </c:pt>
                <c:pt idx="50">
                  <c:v>9.8766005902721304E-4</c:v>
                </c:pt>
                <c:pt idx="51">
                  <c:v>1.0341381794520229E-3</c:v>
                </c:pt>
                <c:pt idx="52">
                  <c:v>7.8083242313680833E-4</c:v>
                </c:pt>
                <c:pt idx="53">
                  <c:v>8.249866375403779E-4</c:v>
                </c:pt>
                <c:pt idx="54">
                  <c:v>7.5991726894564379E-4</c:v>
                </c:pt>
                <c:pt idx="55">
                  <c:v>7.6688898700936537E-4</c:v>
                </c:pt>
                <c:pt idx="56">
                  <c:v>7.1808696056331481E-4</c:v>
                </c:pt>
                <c:pt idx="57">
                  <c:v>5.9956775348004926E-4</c:v>
                </c:pt>
                <c:pt idx="58">
                  <c:v>6.8090446422346682E-4</c:v>
                </c:pt>
                <c:pt idx="59">
                  <c:v>6.0886337756501123E-4</c:v>
                </c:pt>
                <c:pt idx="60">
                  <c:v>4.9266807650298627E-4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1-4AC4-8DEC-B8ECE6F8A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054592"/>
        <c:axId val="130094144"/>
      </c:lineChart>
      <c:catAx>
        <c:axId val="1230545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4144"/>
        <c:crosses val="autoZero"/>
        <c:auto val="1"/>
        <c:lblAlgn val="ctr"/>
        <c:lblOffset val="100"/>
        <c:tickLblSkip val="10"/>
        <c:noMultiLvlLbl val="0"/>
      </c:catAx>
      <c:valAx>
        <c:axId val="130094144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05459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TLFD_Meal!$C$11:$C$71</c:f>
              <c:numCache>
                <c:formatCode>0.00%</c:formatCode>
                <c:ptCount val="61"/>
                <c:pt idx="0">
                  <c:v>0.15899101937076016</c:v>
                </c:pt>
                <c:pt idx="1">
                  <c:v>0.20204209996093447</c:v>
                </c:pt>
                <c:pt idx="2">
                  <c:v>0.15131760950650969</c:v>
                </c:pt>
                <c:pt idx="3">
                  <c:v>9.9234215924136629E-2</c:v>
                </c:pt>
                <c:pt idx="4">
                  <c:v>6.7611426939228378E-2</c:v>
                </c:pt>
                <c:pt idx="5">
                  <c:v>5.9082206223294895E-2</c:v>
                </c:pt>
                <c:pt idx="6">
                  <c:v>7.163102687182453E-2</c:v>
                </c:pt>
                <c:pt idx="7">
                  <c:v>2.8658883458927004E-2</c:v>
                </c:pt>
                <c:pt idx="8">
                  <c:v>2.7634068100307625E-2</c:v>
                </c:pt>
                <c:pt idx="9">
                  <c:v>1.9522944496568839E-2</c:v>
                </c:pt>
                <c:pt idx="10">
                  <c:v>1.2664366287602005E-2</c:v>
                </c:pt>
                <c:pt idx="11">
                  <c:v>6.1863143836783209E-3</c:v>
                </c:pt>
                <c:pt idx="12">
                  <c:v>6.1703741667587051E-3</c:v>
                </c:pt>
                <c:pt idx="13">
                  <c:v>8.6187130606319873E-3</c:v>
                </c:pt>
                <c:pt idx="14">
                  <c:v>1.7059698158678419E-2</c:v>
                </c:pt>
                <c:pt idx="15">
                  <c:v>1.133696293540404E-2</c:v>
                </c:pt>
                <c:pt idx="16">
                  <c:v>4.8957684163857497E-3</c:v>
                </c:pt>
                <c:pt idx="17">
                  <c:v>4.1099630037282489E-3</c:v>
                </c:pt>
                <c:pt idx="18">
                  <c:v>8.7770938526235947E-3</c:v>
                </c:pt>
                <c:pt idx="19">
                  <c:v>3.5139441665273151E-4</c:v>
                </c:pt>
                <c:pt idx="20">
                  <c:v>3.7146363093387303E-3</c:v>
                </c:pt>
                <c:pt idx="21">
                  <c:v>2.4953225741758227E-3</c:v>
                </c:pt>
                <c:pt idx="22">
                  <c:v>1.70434932362296E-3</c:v>
                </c:pt>
                <c:pt idx="23">
                  <c:v>1.4059394000189664E-3</c:v>
                </c:pt>
                <c:pt idx="24">
                  <c:v>1.2156380003529002E-3</c:v>
                </c:pt>
                <c:pt idx="25">
                  <c:v>8.0621313427874054E-4</c:v>
                </c:pt>
                <c:pt idx="26">
                  <c:v>3.9236232402217464E-3</c:v>
                </c:pt>
                <c:pt idx="27">
                  <c:v>1.7335587596488539E-3</c:v>
                </c:pt>
                <c:pt idx="28">
                  <c:v>5.9666895643401365E-4</c:v>
                </c:pt>
                <c:pt idx="29">
                  <c:v>5.4874631773435848E-3</c:v>
                </c:pt>
                <c:pt idx="30">
                  <c:v>1.1463363745646091E-3</c:v>
                </c:pt>
                <c:pt idx="31">
                  <c:v>1.119924155706696E-3</c:v>
                </c:pt>
                <c:pt idx="32">
                  <c:v>1.8830031911092225E-3</c:v>
                </c:pt>
                <c:pt idx="33">
                  <c:v>2.3695509540164932E-3</c:v>
                </c:pt>
                <c:pt idx="34">
                  <c:v>1.0411118688790717E-3</c:v>
                </c:pt>
                <c:pt idx="35">
                  <c:v>0</c:v>
                </c:pt>
                <c:pt idx="36">
                  <c:v>1.5344406365017357E-4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2.0549870597113364E-3</c:v>
                </c:pt>
                <c:pt idx="41">
                  <c:v>0</c:v>
                </c:pt>
                <c:pt idx="42">
                  <c:v>1.0386759273356347E-3</c:v>
                </c:pt>
                <c:pt idx="43">
                  <c:v>0</c:v>
                </c:pt>
                <c:pt idx="44">
                  <c:v>0</c:v>
                </c:pt>
                <c:pt idx="45">
                  <c:v>2.1340399495448249E-4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C5-4517-9472-E775D88C89C2}"/>
            </c:ext>
          </c:extLst>
        </c:ser>
        <c:ser>
          <c:idx val="1"/>
          <c:order val="1"/>
          <c:tx>
            <c:strRef>
              <c:f>TLFD_Meal!$G$10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TLFD_Meal!$G$11:$G$71</c:f>
              <c:numCache>
                <c:formatCode>0.00%</c:formatCode>
                <c:ptCount val="61"/>
                <c:pt idx="0">
                  <c:v>0.15809727172176477</c:v>
                </c:pt>
                <c:pt idx="1">
                  <c:v>0.13910224898611281</c:v>
                </c:pt>
                <c:pt idx="2">
                  <c:v>0.13247741796730983</c:v>
                </c:pt>
                <c:pt idx="3">
                  <c:v>0.11820234730244562</c:v>
                </c:pt>
                <c:pt idx="4">
                  <c:v>9.2378948015239035E-2</c:v>
                </c:pt>
                <c:pt idx="5">
                  <c:v>7.326871082708615E-2</c:v>
                </c:pt>
                <c:pt idx="6">
                  <c:v>5.4534840850436278E-2</c:v>
                </c:pt>
                <c:pt idx="7">
                  <c:v>4.1112357134078896E-2</c:v>
                </c:pt>
                <c:pt idx="8">
                  <c:v>3.1948967678505594E-2</c:v>
                </c:pt>
                <c:pt idx="9">
                  <c:v>2.7444082585719554E-2</c:v>
                </c:pt>
                <c:pt idx="10">
                  <c:v>2.3000645200934006E-2</c:v>
                </c:pt>
                <c:pt idx="11">
                  <c:v>1.909487526115276E-2</c:v>
                </c:pt>
                <c:pt idx="12">
                  <c:v>1.6322047437630577E-2</c:v>
                </c:pt>
                <c:pt idx="13">
                  <c:v>1.2496927614599975E-2</c:v>
                </c:pt>
                <c:pt idx="14">
                  <c:v>9.8047499078284372E-3</c:v>
                </c:pt>
                <c:pt idx="15">
                  <c:v>8.1149379378149204E-3</c:v>
                </c:pt>
                <c:pt idx="16">
                  <c:v>6.8437384785547499E-3</c:v>
                </c:pt>
                <c:pt idx="17">
                  <c:v>5.1731289172913851E-3</c:v>
                </c:pt>
                <c:pt idx="18">
                  <c:v>4.4587993117856705E-3</c:v>
                </c:pt>
                <c:pt idx="19">
                  <c:v>3.5946909180287574E-3</c:v>
                </c:pt>
                <c:pt idx="20">
                  <c:v>2.8957232395231658E-3</c:v>
                </c:pt>
                <c:pt idx="21">
                  <c:v>2.4771107287698169E-3</c:v>
                </c:pt>
                <c:pt idx="22">
                  <c:v>2.28124615951825E-3</c:v>
                </c:pt>
                <c:pt idx="23">
                  <c:v>1.9125599115153004E-3</c:v>
                </c:pt>
                <c:pt idx="24">
                  <c:v>1.7474191962639793E-3</c:v>
                </c:pt>
                <c:pt idx="25">
                  <c:v>1.4862664372618901E-3</c:v>
                </c:pt>
                <c:pt idx="26">
                  <c:v>1.6283642620130269E-3</c:v>
                </c:pt>
                <c:pt idx="27">
                  <c:v>1.1444635615091557E-3</c:v>
                </c:pt>
                <c:pt idx="28">
                  <c:v>1.1559850067592479E-3</c:v>
                </c:pt>
                <c:pt idx="29">
                  <c:v>9.6780140100774243E-4</c:v>
                </c:pt>
                <c:pt idx="30">
                  <c:v>8.3338453975666704E-4</c:v>
                </c:pt>
                <c:pt idx="31">
                  <c:v>6.2983900700503868E-4</c:v>
                </c:pt>
                <c:pt idx="32">
                  <c:v>5.5686985375445492E-4</c:v>
                </c:pt>
                <c:pt idx="33">
                  <c:v>3.9941010200319528E-4</c:v>
                </c:pt>
                <c:pt idx="34">
                  <c:v>3.8020769325304164E-4</c:v>
                </c:pt>
                <c:pt idx="35">
                  <c:v>3.4948383925279588E-4</c:v>
                </c:pt>
                <c:pt idx="36">
                  <c:v>2.4195035025193561E-4</c:v>
                </c:pt>
                <c:pt idx="37">
                  <c:v>2.0354553275162837E-4</c:v>
                </c:pt>
                <c:pt idx="38">
                  <c:v>1.5361927000122894E-4</c:v>
                </c:pt>
                <c:pt idx="39">
                  <c:v>1.8818360575150546E-4</c:v>
                </c:pt>
                <c:pt idx="40">
                  <c:v>1.4209782475113679E-4</c:v>
                </c:pt>
                <c:pt idx="41">
                  <c:v>1.2289541600098315E-4</c:v>
                </c:pt>
                <c:pt idx="42">
                  <c:v>6.9128671500553031E-5</c:v>
                </c:pt>
                <c:pt idx="43">
                  <c:v>8.4490598500675925E-5</c:v>
                </c:pt>
                <c:pt idx="44">
                  <c:v>3.4564335750276515E-5</c:v>
                </c:pt>
                <c:pt idx="45">
                  <c:v>6.1447708000491577E-5</c:v>
                </c:pt>
                <c:pt idx="46">
                  <c:v>6.1447708000491577E-5</c:v>
                </c:pt>
                <c:pt idx="47">
                  <c:v>4.608578100036869E-5</c:v>
                </c:pt>
                <c:pt idx="48">
                  <c:v>2.6883372250215068E-5</c:v>
                </c:pt>
                <c:pt idx="49">
                  <c:v>2.3042890500184345E-5</c:v>
                </c:pt>
                <c:pt idx="50">
                  <c:v>3.8404817500307236E-5</c:v>
                </c:pt>
                <c:pt idx="51">
                  <c:v>1.5361927000122894E-5</c:v>
                </c:pt>
                <c:pt idx="52">
                  <c:v>3.8404817500307236E-6</c:v>
                </c:pt>
                <c:pt idx="53">
                  <c:v>3.8404817500307236E-6</c:v>
                </c:pt>
                <c:pt idx="54">
                  <c:v>2.3042890500184345E-5</c:v>
                </c:pt>
                <c:pt idx="55">
                  <c:v>3.8404817500307236E-6</c:v>
                </c:pt>
                <c:pt idx="56">
                  <c:v>0</c:v>
                </c:pt>
                <c:pt idx="57">
                  <c:v>3.8404817500307236E-6</c:v>
                </c:pt>
                <c:pt idx="58">
                  <c:v>1.1521445250092172E-5</c:v>
                </c:pt>
                <c:pt idx="59">
                  <c:v>1.5361927000122894E-5</c:v>
                </c:pt>
                <c:pt idx="60">
                  <c:v>3.8404817500307236E-6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C5-4517-9472-E775D88C89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187712"/>
        <c:axId val="130095872"/>
      </c:lineChart>
      <c:catAx>
        <c:axId val="123187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095872"/>
        <c:crosses val="autoZero"/>
        <c:auto val="1"/>
        <c:lblAlgn val="ctr"/>
        <c:lblOffset val="100"/>
        <c:tickLblSkip val="10"/>
        <c:noMultiLvlLbl val="0"/>
      </c:catAx>
      <c:valAx>
        <c:axId val="130095872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18771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552622823555506"/>
          <c:y val="7.8319845435987162E-2"/>
          <c:w val="0.20034046800487967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Meal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TDFD_Meal!$C$10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TDFD_Meal!$C$11:$C$71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4.2097142588139996E-3</c:v>
                </c:pt>
                <c:pt idx="3">
                  <c:v>6.7377164208129212E-2</c:v>
                </c:pt>
                <c:pt idx="4">
                  <c:v>8.7468487694370919E-2</c:v>
                </c:pt>
                <c:pt idx="5">
                  <c:v>0.11220554768222743</c:v>
                </c:pt>
                <c:pt idx="6">
                  <c:v>7.9924281048706428E-2</c:v>
                </c:pt>
                <c:pt idx="7">
                  <c:v>0.10802701115958493</c:v>
                </c:pt>
                <c:pt idx="8">
                  <c:v>6.911619996953583E-2</c:v>
                </c:pt>
                <c:pt idx="9">
                  <c:v>5.2757203515866061E-2</c:v>
                </c:pt>
                <c:pt idx="10">
                  <c:v>3.9662502420961074E-2</c:v>
                </c:pt>
                <c:pt idx="11">
                  <c:v>2.903963524678712E-2</c:v>
                </c:pt>
                <c:pt idx="12">
                  <c:v>4.030312267759175E-2</c:v>
                </c:pt>
                <c:pt idx="13">
                  <c:v>3.4173415592222034E-2</c:v>
                </c:pt>
                <c:pt idx="14">
                  <c:v>2.6138152642880438E-2</c:v>
                </c:pt>
                <c:pt idx="15">
                  <c:v>3.6060574004131499E-2</c:v>
                </c:pt>
                <c:pt idx="16">
                  <c:v>1.6394204004630372E-2</c:v>
                </c:pt>
                <c:pt idx="17">
                  <c:v>2.5038394570220626E-2</c:v>
                </c:pt>
                <c:pt idx="18">
                  <c:v>1.8171335437523455E-2</c:v>
                </c:pt>
                <c:pt idx="19">
                  <c:v>1.5649891337010245E-2</c:v>
                </c:pt>
                <c:pt idx="20">
                  <c:v>1.3269775695453085E-2</c:v>
                </c:pt>
                <c:pt idx="21">
                  <c:v>8.5168827306833714E-3</c:v>
                </c:pt>
                <c:pt idx="22">
                  <c:v>1.2622641637445205E-2</c:v>
                </c:pt>
                <c:pt idx="23">
                  <c:v>1.9865038397029805E-3</c:v>
                </c:pt>
                <c:pt idx="24">
                  <c:v>8.6223292035863992E-3</c:v>
                </c:pt>
                <c:pt idx="25">
                  <c:v>4.0306336793301386E-3</c:v>
                </c:pt>
                <c:pt idx="26">
                  <c:v>5.6991843112740087E-3</c:v>
                </c:pt>
                <c:pt idx="27">
                  <c:v>5.6338444594247802E-3</c:v>
                </c:pt>
                <c:pt idx="28">
                  <c:v>8.3893643153679191E-3</c:v>
                </c:pt>
                <c:pt idx="29">
                  <c:v>4.191452941785666E-4</c:v>
                </c:pt>
                <c:pt idx="30">
                  <c:v>2.4027520665772452E-3</c:v>
                </c:pt>
                <c:pt idx="31">
                  <c:v>3.5239815141465663E-3</c:v>
                </c:pt>
                <c:pt idx="32">
                  <c:v>9.4298697188926139E-4</c:v>
                </c:pt>
                <c:pt idx="33">
                  <c:v>8.1953009887039321E-3</c:v>
                </c:pt>
                <c:pt idx="34">
                  <c:v>1.2717864484846247E-2</c:v>
                </c:pt>
                <c:pt idx="35">
                  <c:v>1.9809450013672774E-3</c:v>
                </c:pt>
                <c:pt idx="36">
                  <c:v>1.677483521320631E-3</c:v>
                </c:pt>
                <c:pt idx="37">
                  <c:v>2.9954916050319766E-3</c:v>
                </c:pt>
                <c:pt idx="38">
                  <c:v>0</c:v>
                </c:pt>
                <c:pt idx="39">
                  <c:v>2.9180122326342891E-4</c:v>
                </c:pt>
                <c:pt idx="40">
                  <c:v>2.6881288051348569E-3</c:v>
                </c:pt>
                <c:pt idx="41">
                  <c:v>1.6640187708826832E-3</c:v>
                </c:pt>
                <c:pt idx="42">
                  <c:v>2.0257013516214613E-4</c:v>
                </c:pt>
                <c:pt idx="43">
                  <c:v>5.4287912665750169E-3</c:v>
                </c:pt>
                <c:pt idx="44">
                  <c:v>1.0797631250842666E-3</c:v>
                </c:pt>
                <c:pt idx="45">
                  <c:v>1.6267582698300319E-3</c:v>
                </c:pt>
                <c:pt idx="46">
                  <c:v>1.4882428149058527E-4</c:v>
                </c:pt>
                <c:pt idx="47">
                  <c:v>3.4467126332674478E-3</c:v>
                </c:pt>
                <c:pt idx="48">
                  <c:v>0</c:v>
                </c:pt>
                <c:pt idx="49">
                  <c:v>1.1945379367488676E-3</c:v>
                </c:pt>
                <c:pt idx="50">
                  <c:v>1.3804796197265771E-3</c:v>
                </c:pt>
                <c:pt idx="51">
                  <c:v>1.5673400608490397E-3</c:v>
                </c:pt>
                <c:pt idx="52">
                  <c:v>2.2386200782912435E-3</c:v>
                </c:pt>
                <c:pt idx="53">
                  <c:v>2.7307494042625629E-4</c:v>
                </c:pt>
                <c:pt idx="54">
                  <c:v>3.5651724509689925E-4</c:v>
                </c:pt>
                <c:pt idx="55">
                  <c:v>0</c:v>
                </c:pt>
                <c:pt idx="56">
                  <c:v>2.5365333956911137E-3</c:v>
                </c:pt>
                <c:pt idx="57">
                  <c:v>1.3140345229583634E-3</c:v>
                </c:pt>
                <c:pt idx="58">
                  <c:v>0</c:v>
                </c:pt>
                <c:pt idx="59">
                  <c:v>2.0549870597113364E-3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01-4FA1-A655-C6B6A23892C7}"/>
            </c:ext>
          </c:extLst>
        </c:ser>
        <c:ser>
          <c:idx val="1"/>
          <c:order val="1"/>
          <c:tx>
            <c:strRef>
              <c:f>TDFD_Meal!$G$10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TDFD_Meal!$G$11:$G$71</c:f>
              <c:numCache>
                <c:formatCode>0.00%</c:formatCode>
                <c:ptCount val="61"/>
                <c:pt idx="0">
                  <c:v>6.3022305518004177E-3</c:v>
                </c:pt>
                <c:pt idx="1">
                  <c:v>4.3339836549096719E-2</c:v>
                </c:pt>
                <c:pt idx="2">
                  <c:v>2.0343031829912744E-2</c:v>
                </c:pt>
                <c:pt idx="3">
                  <c:v>3.1599483839252797E-2</c:v>
                </c:pt>
                <c:pt idx="4">
                  <c:v>4.4077209045102615E-2</c:v>
                </c:pt>
                <c:pt idx="5">
                  <c:v>5.6105597886198844E-2</c:v>
                </c:pt>
                <c:pt idx="6">
                  <c:v>6.4470167137765766E-2</c:v>
                </c:pt>
                <c:pt idx="7">
                  <c:v>6.8652451763549213E-2</c:v>
                </c:pt>
                <c:pt idx="8">
                  <c:v>6.428966449551432E-2</c:v>
                </c:pt>
                <c:pt idx="9">
                  <c:v>5.8966756789971736E-2</c:v>
                </c:pt>
                <c:pt idx="10">
                  <c:v>5.5675463930195401E-2</c:v>
                </c:pt>
                <c:pt idx="11">
                  <c:v>5.1397167260661181E-2</c:v>
                </c:pt>
                <c:pt idx="12">
                  <c:v>4.6869239277374956E-2</c:v>
                </c:pt>
                <c:pt idx="13">
                  <c:v>4.1031707017328251E-2</c:v>
                </c:pt>
                <c:pt idx="14">
                  <c:v>3.7221949121297775E-2</c:v>
                </c:pt>
                <c:pt idx="15">
                  <c:v>3.3020462086764166E-2</c:v>
                </c:pt>
                <c:pt idx="16">
                  <c:v>2.8377319650977017E-2</c:v>
                </c:pt>
                <c:pt idx="17">
                  <c:v>2.598854000245791E-2</c:v>
                </c:pt>
                <c:pt idx="18">
                  <c:v>2.2236389332677891E-2</c:v>
                </c:pt>
                <c:pt idx="19">
                  <c:v>1.9855290647658841E-2</c:v>
                </c:pt>
                <c:pt idx="20">
                  <c:v>1.7189996313137518E-2</c:v>
                </c:pt>
                <c:pt idx="21">
                  <c:v>1.5749815656875998E-2</c:v>
                </c:pt>
                <c:pt idx="22">
                  <c:v>1.3829574781860636E-2</c:v>
                </c:pt>
                <c:pt idx="23">
                  <c:v>1.3015392650854123E-2</c:v>
                </c:pt>
                <c:pt idx="24">
                  <c:v>1.0949213469337594E-2</c:v>
                </c:pt>
                <c:pt idx="25">
                  <c:v>9.9545286960796356E-3</c:v>
                </c:pt>
                <c:pt idx="26">
                  <c:v>9.2248371635737982E-3</c:v>
                </c:pt>
                <c:pt idx="27">
                  <c:v>7.9882020400639051E-3</c:v>
                </c:pt>
                <c:pt idx="28">
                  <c:v>7.0242411208061937E-3</c:v>
                </c:pt>
                <c:pt idx="29">
                  <c:v>6.3137519970505101E-3</c:v>
                </c:pt>
                <c:pt idx="30">
                  <c:v>5.4381221580435046E-3</c:v>
                </c:pt>
                <c:pt idx="31">
                  <c:v>4.9081356765392648E-3</c:v>
                </c:pt>
                <c:pt idx="32">
                  <c:v>4.5586518372864688E-3</c:v>
                </c:pt>
                <c:pt idx="33">
                  <c:v>3.9249723485313996E-3</c:v>
                </c:pt>
                <c:pt idx="34">
                  <c:v>3.8212793412805701E-3</c:v>
                </c:pt>
                <c:pt idx="35">
                  <c:v>3.4449121297775594E-3</c:v>
                </c:pt>
                <c:pt idx="36">
                  <c:v>3.1146306992749172E-3</c:v>
                </c:pt>
                <c:pt idx="37">
                  <c:v>2.7036991520216296E-3</c:v>
                </c:pt>
                <c:pt idx="38">
                  <c:v>2.8150731227725204E-3</c:v>
                </c:pt>
                <c:pt idx="39">
                  <c:v>2.5001536192700013E-3</c:v>
                </c:pt>
                <c:pt idx="40">
                  <c:v>2.2274794150178197E-3</c:v>
                </c:pt>
                <c:pt idx="41">
                  <c:v>2.0239338822661914E-3</c:v>
                </c:pt>
                <c:pt idx="42">
                  <c:v>1.9432837655155462E-3</c:v>
                </c:pt>
                <c:pt idx="43">
                  <c:v>1.570757035762566E-3</c:v>
                </c:pt>
                <c:pt idx="44">
                  <c:v>1.5822784810126582E-3</c:v>
                </c:pt>
                <c:pt idx="45">
                  <c:v>1.390254393511122E-3</c:v>
                </c:pt>
                <c:pt idx="46">
                  <c:v>1.4517021015116136E-3</c:v>
                </c:pt>
                <c:pt idx="47">
                  <c:v>1.1636659702593092E-3</c:v>
                </c:pt>
                <c:pt idx="48">
                  <c:v>1.1521445250092172E-3</c:v>
                </c:pt>
                <c:pt idx="49">
                  <c:v>1.002365736758019E-3</c:v>
                </c:pt>
                <c:pt idx="50">
                  <c:v>9.8700380975789612E-4</c:v>
                </c:pt>
                <c:pt idx="51">
                  <c:v>8.3338453975666704E-4</c:v>
                </c:pt>
                <c:pt idx="52">
                  <c:v>8.6026791200688219E-4</c:v>
                </c:pt>
                <c:pt idx="53">
                  <c:v>7.7193683175617552E-4</c:v>
                </c:pt>
                <c:pt idx="54">
                  <c:v>7.3353201425586825E-4</c:v>
                </c:pt>
                <c:pt idx="55">
                  <c:v>6.4904141575519237E-4</c:v>
                </c:pt>
                <c:pt idx="56">
                  <c:v>6.759247880054074E-4</c:v>
                </c:pt>
                <c:pt idx="57">
                  <c:v>6.1447708000491577E-4</c:v>
                </c:pt>
                <c:pt idx="58">
                  <c:v>5.5686985375445492E-4</c:v>
                </c:pt>
                <c:pt idx="59">
                  <c:v>5.0694359100405552E-4</c:v>
                </c:pt>
                <c:pt idx="60">
                  <c:v>4.1861251075334891E-4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01-4FA1-A655-C6B6A2389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286016"/>
        <c:axId val="130146880"/>
      </c:lineChart>
      <c:catAx>
        <c:axId val="1232860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</a:t>
                </a:r>
                <a:r>
                  <a:rPr baseline="0" lang="en-US"/>
                  <a:t> (min)</a:t>
                </a:r>
                <a:endParaRPr lang="en-US"/>
              </a:p>
            </c:rich>
          </c:tx>
          <c:overlay val="0"/>
        </c:title>
        <c:majorTickMark val="none"/>
        <c:minorTickMark val="none"/>
        <c:tickLblPos val="nextTo"/>
        <c:crossAx val="130146880"/>
        <c:crosses val="autoZero"/>
        <c:auto val="1"/>
        <c:lblAlgn val="ctr"/>
        <c:lblOffset val="100"/>
        <c:tickLblSkip val="10"/>
        <c:noMultiLvlLbl val="0"/>
      </c:catAx>
      <c:valAx>
        <c:axId val="13014688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28601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</a:t>
            </a:r>
            <a:r>
              <a:rPr baseline="0" lang="en-US"/>
              <a:t>/Recreation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TLFD_SocRec!$C$11:$C$71</c:f>
              <c:numCache>
                <c:formatCode>0.00%</c:formatCode>
                <c:ptCount val="61"/>
                <c:pt idx="0">
                  <c:v>0.10498034790787446</c:v>
                </c:pt>
                <c:pt idx="1">
                  <c:v>0.14978394127707476</c:v>
                </c:pt>
                <c:pt idx="2">
                  <c:v>0.14963397793782243</c:v>
                </c:pt>
                <c:pt idx="3">
                  <c:v>0.11472541723643997</c:v>
                </c:pt>
                <c:pt idx="4">
                  <c:v>8.8382055142922855E-2</c:v>
                </c:pt>
                <c:pt idx="5">
                  <c:v>5.9212595061484803E-2</c:v>
                </c:pt>
                <c:pt idx="6">
                  <c:v>6.1746403175691987E-2</c:v>
                </c:pt>
                <c:pt idx="7">
                  <c:v>3.6371456535395377E-2</c:v>
                </c:pt>
                <c:pt idx="8">
                  <c:v>3.857732456448703E-2</c:v>
                </c:pt>
                <c:pt idx="9">
                  <c:v>2.9759198074855213E-2</c:v>
                </c:pt>
                <c:pt idx="10">
                  <c:v>2.7984977885883743E-2</c:v>
                </c:pt>
                <c:pt idx="11">
                  <c:v>1.6856715714372878E-2</c:v>
                </c:pt>
                <c:pt idx="12">
                  <c:v>1.2946638929078977E-2</c:v>
                </c:pt>
                <c:pt idx="13">
                  <c:v>1.865620811175334E-2</c:v>
                </c:pt>
                <c:pt idx="14">
                  <c:v>1.3054543946535017E-2</c:v>
                </c:pt>
                <c:pt idx="15">
                  <c:v>1.0218261676427608E-2</c:v>
                </c:pt>
                <c:pt idx="16">
                  <c:v>4.480546049356467E-3</c:v>
                </c:pt>
                <c:pt idx="17">
                  <c:v>4.527653904609949E-3</c:v>
                </c:pt>
                <c:pt idx="18">
                  <c:v>8.4058681505262984E-3</c:v>
                </c:pt>
                <c:pt idx="19">
                  <c:v>5.4357954842886554E-3</c:v>
                </c:pt>
                <c:pt idx="20">
                  <c:v>5.1558828797112176E-3</c:v>
                </c:pt>
                <c:pt idx="21">
                  <c:v>4.3150627016142386E-3</c:v>
                </c:pt>
                <c:pt idx="22">
                  <c:v>5.5594173301006695E-3</c:v>
                </c:pt>
                <c:pt idx="23">
                  <c:v>4.0023026451213636E-3</c:v>
                </c:pt>
                <c:pt idx="24">
                  <c:v>4.2758335700258119E-3</c:v>
                </c:pt>
                <c:pt idx="25">
                  <c:v>3.1580490370479537E-3</c:v>
                </c:pt>
                <c:pt idx="26">
                  <c:v>2.135086837782805E-3</c:v>
                </c:pt>
                <c:pt idx="27">
                  <c:v>9.2422782601253865E-4</c:v>
                </c:pt>
                <c:pt idx="28">
                  <c:v>7.9487800401045132E-4</c:v>
                </c:pt>
                <c:pt idx="29">
                  <c:v>3.4225670326853828E-4</c:v>
                </c:pt>
                <c:pt idx="30">
                  <c:v>3.0348500236379247E-4</c:v>
                </c:pt>
                <c:pt idx="31">
                  <c:v>9.782270586849984E-4</c:v>
                </c:pt>
                <c:pt idx="32">
                  <c:v>1.0621187454328475E-3</c:v>
                </c:pt>
                <c:pt idx="33">
                  <c:v>1.1048350910615948E-4</c:v>
                </c:pt>
                <c:pt idx="34">
                  <c:v>2.5817016698239316E-3</c:v>
                </c:pt>
                <c:pt idx="35">
                  <c:v>4.767947386950524E-4</c:v>
                </c:pt>
                <c:pt idx="36">
                  <c:v>2.0217797303790914E-3</c:v>
                </c:pt>
                <c:pt idx="37">
                  <c:v>1.7464166194605449E-3</c:v>
                </c:pt>
                <c:pt idx="38">
                  <c:v>7.109535849224229E-5</c:v>
                </c:pt>
                <c:pt idx="39">
                  <c:v>0</c:v>
                </c:pt>
                <c:pt idx="40">
                  <c:v>0</c:v>
                </c:pt>
                <c:pt idx="41">
                  <c:v>2.0884033999466066E-3</c:v>
                </c:pt>
                <c:pt idx="42">
                  <c:v>3.9015996118975117E-4</c:v>
                </c:pt>
                <c:pt idx="43">
                  <c:v>0</c:v>
                </c:pt>
                <c:pt idx="44">
                  <c:v>7.4513398738978618E-4</c:v>
                </c:pt>
                <c:pt idx="45">
                  <c:v>4.767947386950524E-4</c:v>
                </c:pt>
                <c:pt idx="46">
                  <c:v>1.8090546379474523E-4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3.635757149679968E-4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C1-4D05-806F-9ED9A0717958}"/>
            </c:ext>
          </c:extLst>
        </c:ser>
        <c:ser>
          <c:idx val="1"/>
          <c:order val="1"/>
          <c:tx>
            <c:strRef>
              <c:f>TLFD_SocRec!$G$10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TLFD_SocRec!$G$11:$G$71</c:f>
              <c:numCache>
                <c:formatCode>0.00%</c:formatCode>
                <c:ptCount val="61"/>
                <c:pt idx="0">
                  <c:v>0.15132021444937807</c:v>
                </c:pt>
                <c:pt idx="1">
                  <c:v>0.14072612492429803</c:v>
                </c:pt>
                <c:pt idx="2">
                  <c:v>0.13294242743076584</c:v>
                </c:pt>
                <c:pt idx="3">
                  <c:v>0.11452835928364308</c:v>
                </c:pt>
                <c:pt idx="4">
                  <c:v>9.0778174389430463E-2</c:v>
                </c:pt>
                <c:pt idx="5">
                  <c:v>7.0044904873671904E-2</c:v>
                </c:pt>
                <c:pt idx="6">
                  <c:v>5.1055920382458909E-2</c:v>
                </c:pt>
                <c:pt idx="7">
                  <c:v>3.8106348360232536E-2</c:v>
                </c:pt>
                <c:pt idx="8">
                  <c:v>2.6725237432077543E-2</c:v>
                </c:pt>
                <c:pt idx="9">
                  <c:v>2.2192887224298311E-2</c:v>
                </c:pt>
                <c:pt idx="10">
                  <c:v>1.9653208228559947E-2</c:v>
                </c:pt>
                <c:pt idx="11">
                  <c:v>1.7830779234914725E-2</c:v>
                </c:pt>
                <c:pt idx="12">
                  <c:v>1.6156265611350969E-2</c:v>
                </c:pt>
                <c:pt idx="13">
                  <c:v>1.3410063268706411E-2</c:v>
                </c:pt>
                <c:pt idx="14">
                  <c:v>1.1411810344586996E-2</c:v>
                </c:pt>
                <c:pt idx="15">
                  <c:v>1.0292677072838551E-2</c:v>
                </c:pt>
                <c:pt idx="16">
                  <c:v>9.0507461353621001E-3</c:v>
                </c:pt>
                <c:pt idx="17">
                  <c:v>7.7725340693750996E-3</c:v>
                </c:pt>
                <c:pt idx="18">
                  <c:v>6.7789893193939375E-3</c:v>
                </c:pt>
                <c:pt idx="19">
                  <c:v>5.802189705648414E-3</c:v>
                </c:pt>
                <c:pt idx="20">
                  <c:v>5.0430768629661773E-3</c:v>
                </c:pt>
                <c:pt idx="21">
                  <c:v>4.429088534326134E-3</c:v>
                </c:pt>
                <c:pt idx="22">
                  <c:v>4.0104601284351952E-3</c:v>
                </c:pt>
                <c:pt idx="23">
                  <c:v>3.7816099332148149E-3</c:v>
                </c:pt>
                <c:pt idx="24">
                  <c:v>3.2346021495173213E-3</c:v>
                </c:pt>
                <c:pt idx="25">
                  <c:v>2.835509735901293E-3</c:v>
                </c:pt>
                <c:pt idx="26">
                  <c:v>2.7127120701732842E-3</c:v>
                </c:pt>
                <c:pt idx="27">
                  <c:v>2.5536332759347274E-3</c:v>
                </c:pt>
                <c:pt idx="28">
                  <c:v>2.2466391116147057E-3</c:v>
                </c:pt>
                <c:pt idx="29">
                  <c:v>1.7917295772132186E-3</c:v>
                </c:pt>
                <c:pt idx="30">
                  <c:v>1.6689319114852098E-3</c:v>
                </c:pt>
                <c:pt idx="31">
                  <c:v>1.3451926109295505E-3</c:v>
                </c:pt>
                <c:pt idx="32">
                  <c:v>1.1498326881804455E-3</c:v>
                </c:pt>
                <c:pt idx="33">
                  <c:v>9.9633560602043468E-4</c:v>
                </c:pt>
                <c:pt idx="34">
                  <c:v>8.4562937989969664E-4</c:v>
                </c:pt>
                <c:pt idx="35">
                  <c:v>7.3957685040732543E-4</c:v>
                </c:pt>
                <c:pt idx="36">
                  <c:v>5.1630836726549139E-4</c:v>
                </c:pt>
                <c:pt idx="37">
                  <c:v>5.1630836726549139E-4</c:v>
                </c:pt>
                <c:pt idx="38">
                  <c:v>4.0467412569457432E-4</c:v>
                </c:pt>
                <c:pt idx="39">
                  <c:v>3.8513813341966381E-4</c:v>
                </c:pt>
                <c:pt idx="40">
                  <c:v>3.3490272471275117E-4</c:v>
                </c:pt>
                <c:pt idx="41">
                  <c:v>2.9303988412365724E-4</c:v>
                </c:pt>
                <c:pt idx="42">
                  <c:v>2.344319072989258E-4</c:v>
                </c:pt>
                <c:pt idx="43">
                  <c:v>2.0931420294546945E-4</c:v>
                </c:pt>
                <c:pt idx="44">
                  <c:v>1.7303307443492142E-4</c:v>
                </c:pt>
                <c:pt idx="45">
                  <c:v>1.5070622612073801E-4</c:v>
                </c:pt>
                <c:pt idx="46">
                  <c:v>1.2558852176728169E-4</c:v>
                </c:pt>
                <c:pt idx="47">
                  <c:v>9.7679961374552419E-5</c:v>
                </c:pt>
                <c:pt idx="48">
                  <c:v>1.2558852176728169E-4</c:v>
                </c:pt>
                <c:pt idx="49">
                  <c:v>7.5353113060369005E-5</c:v>
                </c:pt>
                <c:pt idx="50">
                  <c:v>7.2562257021096085E-5</c:v>
                </c:pt>
                <c:pt idx="51">
                  <c:v>4.7444552667639743E-5</c:v>
                </c:pt>
                <c:pt idx="52">
                  <c:v>4.7444552667639743E-5</c:v>
                </c:pt>
                <c:pt idx="53">
                  <c:v>2.7908560392729262E-5</c:v>
                </c:pt>
                <c:pt idx="54">
                  <c:v>3.6281128510548042E-5</c:v>
                </c:pt>
                <c:pt idx="55">
                  <c:v>2.5117704353456335E-5</c:v>
                </c:pt>
                <c:pt idx="56">
                  <c:v>2.2326848314183408E-5</c:v>
                </c:pt>
                <c:pt idx="57">
                  <c:v>5.581712078545852E-6</c:v>
                </c:pt>
                <c:pt idx="58">
                  <c:v>2.5117704353456335E-5</c:v>
                </c:pt>
                <c:pt idx="59">
                  <c:v>1.3954280196364631E-5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C1-4D05-806F-9ED9A07179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398208"/>
        <c:axId val="130148608"/>
      </c:lineChart>
      <c:catAx>
        <c:axId val="58398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Length (mile)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48608"/>
        <c:crosses val="autoZero"/>
        <c:auto val="1"/>
        <c:lblAlgn val="ctr"/>
        <c:lblOffset val="100"/>
        <c:tickLblSkip val="10"/>
        <c:noMultiLvlLbl val="0"/>
      </c:catAx>
      <c:valAx>
        <c:axId val="130148608"/>
        <c:scaling>
          <c:orientation val="minMax"/>
          <c:max val="0.3000000000000000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5839820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74587261099404822"/>
          <c:y val="7.8319845435987162E-2"/>
          <c:w val="0.20973013936638202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67" footer="0.30000000000000032" header="0.30000000000000032" l="0.70000000000000062" r="0.70000000000000062" t="0.75000000000000167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b="1" baseline="0" i="0" lang="en-US" sz="1800">
                <a:effectLst/>
              </a:rPr>
              <a:t>Social/Recreation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TDFD_SocRec!$C$10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TDFD_SocRec!$C$11:$C$71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9.0458654827487248E-3</c:v>
                </c:pt>
                <c:pt idx="3">
                  <c:v>7.0349469762558556E-2</c:v>
                </c:pt>
                <c:pt idx="4">
                  <c:v>6.4179738367776892E-2</c:v>
                </c:pt>
                <c:pt idx="5">
                  <c:v>6.8090806328784809E-2</c:v>
                </c:pt>
                <c:pt idx="6">
                  <c:v>6.402709486524015E-2</c:v>
                </c:pt>
                <c:pt idx="7">
                  <c:v>7.7650731241653281E-2</c:v>
                </c:pt>
                <c:pt idx="8">
                  <c:v>7.7872662723931882E-2</c:v>
                </c:pt>
                <c:pt idx="9">
                  <c:v>7.4268601030542933E-2</c:v>
                </c:pt>
                <c:pt idx="10">
                  <c:v>4.8162901039659152E-2</c:v>
                </c:pt>
                <c:pt idx="11">
                  <c:v>3.8315478487688771E-2</c:v>
                </c:pt>
                <c:pt idx="12">
                  <c:v>4.1212298669455465E-2</c:v>
                </c:pt>
                <c:pt idx="13">
                  <c:v>3.9461426861789155E-2</c:v>
                </c:pt>
                <c:pt idx="14">
                  <c:v>2.9751755812949442E-2</c:v>
                </c:pt>
                <c:pt idx="15">
                  <c:v>2.0514111850715638E-2</c:v>
                </c:pt>
                <c:pt idx="16">
                  <c:v>3.1297179620258755E-2</c:v>
                </c:pt>
                <c:pt idx="17">
                  <c:v>2.5289050482877402E-2</c:v>
                </c:pt>
                <c:pt idx="18">
                  <c:v>2.4662793370306271E-2</c:v>
                </c:pt>
                <c:pt idx="19">
                  <c:v>1.7832940546839152E-2</c:v>
                </c:pt>
                <c:pt idx="20">
                  <c:v>1.3602302168083804E-2</c:v>
                </c:pt>
                <c:pt idx="21">
                  <c:v>1.1346022056165989E-2</c:v>
                </c:pt>
                <c:pt idx="22">
                  <c:v>1.1026105005035603E-2</c:v>
                </c:pt>
                <c:pt idx="23">
                  <c:v>8.7690071642084495E-3</c:v>
                </c:pt>
                <c:pt idx="24">
                  <c:v>7.099549776749336E-3</c:v>
                </c:pt>
                <c:pt idx="25">
                  <c:v>9.6267209439783261E-3</c:v>
                </c:pt>
                <c:pt idx="26">
                  <c:v>7.7710563496221864E-3</c:v>
                </c:pt>
                <c:pt idx="27">
                  <c:v>4.9467608434641012E-3</c:v>
                </c:pt>
                <c:pt idx="28">
                  <c:v>9.6451748719704952E-3</c:v>
                </c:pt>
                <c:pt idx="29">
                  <c:v>7.2867237660932159E-3</c:v>
                </c:pt>
                <c:pt idx="30">
                  <c:v>9.4421481125947556E-3</c:v>
                </c:pt>
                <c:pt idx="31">
                  <c:v>7.3075348691031324E-3</c:v>
                </c:pt>
                <c:pt idx="32">
                  <c:v>9.7336123323226733E-4</c:v>
                </c:pt>
                <c:pt idx="33">
                  <c:v>5.8977725950976733E-3</c:v>
                </c:pt>
                <c:pt idx="34">
                  <c:v>3.9879005751268029E-3</c:v>
                </c:pt>
                <c:pt idx="35">
                  <c:v>6.3163645607071583E-3</c:v>
                </c:pt>
                <c:pt idx="36">
                  <c:v>2.5048756737353316E-3</c:v>
                </c:pt>
                <c:pt idx="37">
                  <c:v>2.9894821100567258E-3</c:v>
                </c:pt>
                <c:pt idx="38">
                  <c:v>7.291465960352685E-3</c:v>
                </c:pt>
                <c:pt idx="39">
                  <c:v>4.1547065530788095E-3</c:v>
                </c:pt>
                <c:pt idx="40">
                  <c:v>2.300022098471952E-3</c:v>
                </c:pt>
                <c:pt idx="41">
                  <c:v>1.4336115319733382E-3</c:v>
                </c:pt>
                <c:pt idx="42">
                  <c:v>5.4086207725544198E-4</c:v>
                </c:pt>
                <c:pt idx="43">
                  <c:v>2.3703754095782286E-3</c:v>
                </c:pt>
                <c:pt idx="44">
                  <c:v>1.6078942399996208E-3</c:v>
                </c:pt>
                <c:pt idx="45">
                  <c:v>4.9071037754878607E-4</c:v>
                </c:pt>
                <c:pt idx="46">
                  <c:v>1.1191748900633376E-3</c:v>
                </c:pt>
                <c:pt idx="47">
                  <c:v>1.4860165497531737E-3</c:v>
                </c:pt>
                <c:pt idx="48">
                  <c:v>1.4117037491900653E-3</c:v>
                </c:pt>
                <c:pt idx="49">
                  <c:v>3.614224604482962E-3</c:v>
                </c:pt>
                <c:pt idx="50">
                  <c:v>2.7978573504415147E-3</c:v>
                </c:pt>
                <c:pt idx="51">
                  <c:v>1.7697443719098876E-3</c:v>
                </c:pt>
                <c:pt idx="52">
                  <c:v>3.0348500236379247E-4</c:v>
                </c:pt>
                <c:pt idx="53">
                  <c:v>1.4795971845671975E-3</c:v>
                </c:pt>
                <c:pt idx="54">
                  <c:v>5.221561229595004E-4</c:v>
                </c:pt>
                <c:pt idx="55">
                  <c:v>0</c:v>
                </c:pt>
                <c:pt idx="56">
                  <c:v>1.710780475069532E-3</c:v>
                </c:pt>
                <c:pt idx="57">
                  <c:v>0</c:v>
                </c:pt>
                <c:pt idx="58">
                  <c:v>1.8090546379474523E-4</c:v>
                </c:pt>
                <c:pt idx="59">
                  <c:v>2.1354443504032175E-3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96-48A5-AAA5-DA95BA7A82BF}"/>
            </c:ext>
          </c:extLst>
        </c:ser>
        <c:ser>
          <c:idx val="1"/>
          <c:order val="1"/>
          <c:tx>
            <c:strRef>
              <c:f>TDFD_SocRec!$G$10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TDFD_SocRec!$G$11:$G$71</c:f>
              <c:numCache>
                <c:formatCode>0.00%</c:formatCode>
                <c:ptCount val="61"/>
                <c:pt idx="0">
                  <c:v>5.5342675258782123E-3</c:v>
                </c:pt>
                <c:pt idx="1">
                  <c:v>5.0416814349465412E-2</c:v>
                </c:pt>
                <c:pt idx="2">
                  <c:v>1.7512621646437611E-2</c:v>
                </c:pt>
                <c:pt idx="3">
                  <c:v>2.8628601250861675E-2</c:v>
                </c:pt>
                <c:pt idx="4">
                  <c:v>4.3079653822216887E-2</c:v>
                </c:pt>
                <c:pt idx="5">
                  <c:v>5.5323139266507212E-2</c:v>
                </c:pt>
                <c:pt idx="6">
                  <c:v>6.3545001158205258E-2</c:v>
                </c:pt>
                <c:pt idx="7">
                  <c:v>6.4814840656074443E-2</c:v>
                </c:pt>
                <c:pt idx="8">
                  <c:v>6.2291906796571712E-2</c:v>
                </c:pt>
                <c:pt idx="9">
                  <c:v>5.8499133439199803E-2</c:v>
                </c:pt>
                <c:pt idx="10">
                  <c:v>5.284485910363286E-2</c:v>
                </c:pt>
                <c:pt idx="11">
                  <c:v>4.8357162592481989E-2</c:v>
                </c:pt>
                <c:pt idx="12">
                  <c:v>4.2010755959175361E-2</c:v>
                </c:pt>
                <c:pt idx="13">
                  <c:v>3.8717545832833308E-2</c:v>
                </c:pt>
                <c:pt idx="14">
                  <c:v>3.376377636312386E-2</c:v>
                </c:pt>
                <c:pt idx="15">
                  <c:v>3.0827795809808742E-2</c:v>
                </c:pt>
                <c:pt idx="16">
                  <c:v>2.6127994239673134E-2</c:v>
                </c:pt>
                <c:pt idx="17">
                  <c:v>2.2845947537488174E-2</c:v>
                </c:pt>
                <c:pt idx="18">
                  <c:v>1.9898803560015964E-2</c:v>
                </c:pt>
                <c:pt idx="19">
                  <c:v>1.7744262697697265E-2</c:v>
                </c:pt>
                <c:pt idx="20">
                  <c:v>1.6658619698420096E-2</c:v>
                </c:pt>
                <c:pt idx="21">
                  <c:v>1.5045504907720345E-2</c:v>
                </c:pt>
                <c:pt idx="22">
                  <c:v>1.3518906654238055E-2</c:v>
                </c:pt>
                <c:pt idx="23">
                  <c:v>1.2391400814371793E-2</c:v>
                </c:pt>
                <c:pt idx="24">
                  <c:v>1.1436928048940451E-2</c:v>
                </c:pt>
                <c:pt idx="25">
                  <c:v>1.0722468902886582E-2</c:v>
                </c:pt>
                <c:pt idx="26">
                  <c:v>9.9410292118901639E-3</c:v>
                </c:pt>
                <c:pt idx="27">
                  <c:v>9.3130866030537544E-3</c:v>
                </c:pt>
                <c:pt idx="28">
                  <c:v>8.2776790124834982E-3</c:v>
                </c:pt>
                <c:pt idx="29">
                  <c:v>7.8339329022391047E-3</c:v>
                </c:pt>
                <c:pt idx="30">
                  <c:v>6.9157412653183111E-3</c:v>
                </c:pt>
                <c:pt idx="31">
                  <c:v>6.5417665560557389E-3</c:v>
                </c:pt>
                <c:pt idx="32">
                  <c:v>6.1873278390680774E-3</c:v>
                </c:pt>
                <c:pt idx="33">
                  <c:v>5.5872937906243985E-3</c:v>
                </c:pt>
                <c:pt idx="34">
                  <c:v>5.3723978756003831E-3</c:v>
                </c:pt>
                <c:pt idx="35">
                  <c:v>5.0570311431625426E-3</c:v>
                </c:pt>
                <c:pt idx="36">
                  <c:v>4.8756255006098016E-3</c:v>
                </c:pt>
                <c:pt idx="37">
                  <c:v>4.2700097400875771E-3</c:v>
                </c:pt>
                <c:pt idx="38">
                  <c:v>3.9462704395319178E-3</c:v>
                </c:pt>
                <c:pt idx="39">
                  <c:v>3.5499688819551622E-3</c:v>
                </c:pt>
                <c:pt idx="40">
                  <c:v>3.1704124606140444E-3</c:v>
                </c:pt>
                <c:pt idx="41">
                  <c:v>3.1955301649675004E-3</c:v>
                </c:pt>
                <c:pt idx="42">
                  <c:v>2.9471439774722101E-3</c:v>
                </c:pt>
                <c:pt idx="43">
                  <c:v>2.8103920315478365E-3</c:v>
                </c:pt>
                <c:pt idx="44">
                  <c:v>2.7015486460161926E-3</c:v>
                </c:pt>
                <c:pt idx="45">
                  <c:v>2.3219922246750747E-3</c:v>
                </c:pt>
                <c:pt idx="46">
                  <c:v>2.2019854149863387E-3</c:v>
                </c:pt>
                <c:pt idx="47">
                  <c:v>1.9117363869019545E-3</c:v>
                </c:pt>
                <c:pt idx="48">
                  <c:v>1.8419649859201313E-3</c:v>
                </c:pt>
                <c:pt idx="49">
                  <c:v>1.7470758805848518E-3</c:v>
                </c:pt>
                <c:pt idx="50">
                  <c:v>1.5293891095215636E-3</c:v>
                </c:pt>
                <c:pt idx="51">
                  <c:v>1.5935787984248408E-3</c:v>
                </c:pt>
                <c:pt idx="52">
                  <c:v>1.3535651790473691E-3</c:v>
                </c:pt>
                <c:pt idx="53">
                  <c:v>1.2168132331229959E-3</c:v>
                </c:pt>
                <c:pt idx="54">
                  <c:v>1.2363492253979064E-3</c:v>
                </c:pt>
                <c:pt idx="55">
                  <c:v>1.1916955287695394E-3</c:v>
                </c:pt>
                <c:pt idx="56">
                  <c:v>1.0019173180989805E-3</c:v>
                </c:pt>
                <c:pt idx="57">
                  <c:v>9.9075389394188886E-4</c:v>
                </c:pt>
                <c:pt idx="58">
                  <c:v>8.9028307652806347E-4</c:v>
                </c:pt>
                <c:pt idx="59">
                  <c:v>8.0655739534987562E-4</c:v>
                </c:pt>
                <c:pt idx="60">
                  <c:v>7.9260311515351109E-4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96-48A5-AAA5-DA95BA7A8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378176"/>
        <c:axId val="130150912"/>
      </c:lineChart>
      <c:catAx>
        <c:axId val="12337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Trip Duration (min)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30150912"/>
        <c:crosses val="autoZero"/>
        <c:auto val="1"/>
        <c:lblAlgn val="ctr"/>
        <c:lblOffset val="100"/>
        <c:tickLblSkip val="10"/>
        <c:noMultiLvlLbl val="0"/>
      </c:catAx>
      <c:valAx>
        <c:axId val="13015091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% Trips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3378176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    <Relationship Id="rId2" Target="../charts/chart2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3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4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5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charts/chart6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    <Relationship Id="rId1" Target="../charts/chart7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    <Relationship Id="rId1" Target="../charts/chart8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    <Relationship Id="rId1" Target="../charts/chart9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    <Relationship Id="rId1" Target="../charts/chart10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    <Relationship Id="rId1" Target="../charts/chart11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    <Relationship Id="rId1" Target="../charts/chart12.xml" Type="http://schemas.openxmlformats.org/officeDocument/2006/relationships/chart"/>
</Relationships>

</file>

<file path=xl/drawings/_rels/drawing12.xml.rels><?xml version="1.0" encoding="UTF-8" standalone="no"?>
<Relationships xmlns="http://schemas.openxmlformats.org/package/2006/relationships">
    <Relationship Id="rId1" Target="../charts/chart13.xml" Type="http://schemas.openxmlformats.org/officeDocument/2006/relationships/chart"/>
</Relationships>

</file>

<file path=xl/drawings/_rels/drawing13.xml.rels><?xml version="1.0" encoding="UTF-8" standalone="no"?>
<Relationships xmlns="http://schemas.openxmlformats.org/package/2006/relationships">
    <Relationship Id="rId1" Target="../charts/chart14.xml" Type="http://schemas.openxmlformats.org/officeDocument/2006/relationships/chart"/>
</Relationships>

</file>

<file path=xl/drawings/_rels/drawing14.xml.rels><?xml version="1.0" encoding="UTF-8" standalone="no"?>
<Relationships xmlns="http://schemas.openxmlformats.org/package/2006/relationships">
    <Relationship Id="rId1" Target="../charts/chart15.xml" Type="http://schemas.openxmlformats.org/officeDocument/2006/relationships/chart"/>
</Relationships>

</file>

<file path=xl/drawings/_rels/drawing15.xml.rels><?xml version="1.0" encoding="UTF-8" standalone="no"?>
<Relationships xmlns="http://schemas.openxmlformats.org/package/2006/relationships">
    <Relationship Id="rId1" Target="../charts/chart16.xml" Type="http://schemas.openxmlformats.org/officeDocument/2006/relationships/chart"/>
</Relationships>

</file>

<file path=xl/drawings/_rels/drawing16.xml.rels><?xml version="1.0" encoding="UTF-8" standalone="no"?>
<Relationships xmlns="http://schemas.openxmlformats.org/package/2006/relationships">
    <Relationship Id="rId1" Target="../charts/chart17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95250</xdr:colOff>
      <xdr:row>12</xdr:row>
      <xdr:rowOff>76200</xdr:rowOff>
    </xdr:from>
    <xdr:to>
      <xdr:col>17</xdr:col>
      <xdr:colOff>19050</xdr:colOff>
      <xdr:row>26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19050</xdr:colOff>
      <xdr:row>19</xdr:row>
      <xdr:rowOff>114300</xdr:rowOff>
    </xdr:from>
    <xdr:to>
      <xdr:col>24</xdr:col>
      <xdr:colOff>581025</xdr:colOff>
      <xdr:row>34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    <Relationship Id="rId1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    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    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    <Relationship Id="rId2" Target="../drawings/drawing11.xml" Type="http://schemas.openxmlformats.org/officeDocument/2006/relationships/drawing"/>
</Relationships>

</file>

<file path=xl/worksheets/_rels/sheet12.xml.rels><?xml version="1.0" encoding="UTF-8" standalone="no"?>
<Relationships xmlns="http://schemas.openxmlformats.org/package/2006/relationships">
    <Relationship Id="rId1" Target="../drawings/drawing12.xml" Type="http://schemas.openxmlformats.org/officeDocument/2006/relationships/drawing"/>
</Relationships>

</file>

<file path=xl/worksheets/_rels/sheet13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    <Relationship Id="rId2" Target="../drawings/drawing13.xml" Type="http://schemas.openxmlformats.org/officeDocument/2006/relationships/drawing"/>
</Relationships>

</file>

<file path=xl/worksheets/_rels/sheet14.xml.rels><?xml version="1.0" encoding="UTF-8" standalone="no"?>
<Relationships xmlns="http://schemas.openxmlformats.org/package/2006/relationships">
    <Relationship Id="rId1" Target="../drawings/drawing14.xml" Type="http://schemas.openxmlformats.org/officeDocument/2006/relationships/drawing"/>
</Relationships>

</file>

<file path=xl/worksheets/_rels/sheet15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    <Relationship Id="rId2" Target="../drawings/drawing15.xml" Type="http://schemas.openxmlformats.org/officeDocument/2006/relationships/drawing"/>
</Relationships>

</file>

<file path=xl/worksheets/_rels/sheet16.xml.rels><?xml version="1.0" encoding="UTF-8" standalone="no"?>
<Relationships xmlns="http://schemas.openxmlformats.org/package/2006/relationships">
    <Relationship Id="rId1" Target="../drawings/drawing16.xml" Type="http://schemas.openxmlformats.org/officeDocument/2006/relationships/drawing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AE102"/>
  <sheetViews>
    <sheetView tabSelected="1" topLeftCell="I1" workbookViewId="0" zoomScaleNormal="100">
      <selection activeCell="AA26" sqref="AA26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customWidth="true" width="11.140625" collapsed="true"/>
    <col min="20" max="20" bestFit="true" customWidth="true" width="15.28515625" collapsed="true"/>
    <col min="21" max="21" bestFit="true" customWidth="true" width="14.28515625" collapsed="true"/>
    <col min="23" max="23" bestFit="true" customWidth="true" width="12.28515625" collapsed="true"/>
    <col min="25" max="25" bestFit="true" customWidth="true" width="14.28515625" collapsed="true"/>
    <col min="27" max="27" bestFit="true" customWidth="true" width="12.28515625" collapsed="true"/>
  </cols>
  <sheetData>
    <row r="1" spans="1:30" x14ac:dyDescent="0.25">
      <c r="A1" t="s">
        <v>1</v>
      </c>
    </row>
    <row r="2" spans="1:30" x14ac:dyDescent="0.25">
      <c r="A2" t="s">
        <v>19</v>
      </c>
    </row>
    <row r="3" spans="1:30" x14ac:dyDescent="0.25">
      <c r="A3" t="s">
        <v>20</v>
      </c>
    </row>
    <row r="4" spans="1:30" x14ac:dyDescent="0.25">
      <c r="A4" t="s">
        <v>4</v>
      </c>
    </row>
    <row r="5" spans="1:30" x14ac:dyDescent="0.25">
      <c r="A5" t="s">
        <v>6</v>
      </c>
    </row>
    <row r="7" spans="1:30" x14ac:dyDescent="0.25">
      <c r="A7" t="s">
        <v>9</v>
      </c>
      <c r="T7" t="s">
        <v>23</v>
      </c>
    </row>
    <row r="8" spans="1:30" x14ac:dyDescent="0.25">
      <c r="U8" t="s">
        <v>17</v>
      </c>
      <c r="Y8" t="s">
        <v>51</v>
      </c>
      <c r="AC8" t="s">
        <v>49</v>
      </c>
      <c r="AD8" t="s">
        <v>50</v>
      </c>
    </row>
    <row ht="15.75" r="9" spans="1:30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  <c r="S9" t="s">
        <v>40</v>
      </c>
      <c r="T9" s="374" t="s">
        <v>39</v>
      </c>
      <c r="U9" s="374" t="s">
        <v>25</v>
      </c>
      <c r="V9" s="374" t="s">
        <v>24</v>
      </c>
      <c r="W9" s="374" t="s">
        <v>33</v>
      </c>
      <c r="X9" s="374"/>
      <c r="Y9" s="374" t="s">
        <v>25</v>
      </c>
      <c r="Z9" s="374" t="s">
        <v>24</v>
      </c>
      <c r="AA9" s="374" t="s">
        <v>33</v>
      </c>
    </row>
    <row r="10" spans="1:30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  <c r="S10" t="s">
        <v>41</v>
      </c>
      <c r="T10" t="s">
        <v>26</v>
      </c>
      <c r="U10" s="373">
        <f>B102</f>
        <v>1540321.4097250002</v>
      </c>
      <c r="V10" s="6">
        <f>K11</f>
        <v>7.1673812593011483</v>
      </c>
      <c r="W10" s="373">
        <f>U10*V10</f>
        <v>11040070.805363292</v>
      </c>
      <c r="Y10" s="373">
        <f>F102</f>
        <v>1714394</v>
      </c>
      <c r="Z10" s="6">
        <f>L11</f>
        <v>7.8701742735914051</v>
      </c>
      <c r="AA10" s="373">
        <f>Y10*Z10</f>
        <v>13492579.553599464</v>
      </c>
      <c r="AC10" s="6">
        <f>V$19</f>
        <v>6.7651049101246619</v>
      </c>
      <c r="AD10" s="6">
        <f>Z$19</f>
        <v>7.0683125468373165</v>
      </c>
    </row>
    <row r="11" spans="1:30" x14ac:dyDescent="0.25">
      <c r="A11">
        <v>0</v>
      </c>
      <c r="B11" s="6" t="n">
        <v>99178.020948</v>
      </c>
      <c r="C11" s="9">
        <f>B11/B$102</f>
        <v>6.4387874064353007E-2</v>
      </c>
      <c r="E11" s="10">
        <v>0</v>
      </c>
      <c r="F11" s="100" t="n">
        <v>179522.0</v>
      </c>
      <c r="G11" s="9">
        <f>F11/F$102</f>
        <v>9.0720102846836848E-2</v>
      </c>
      <c r="K11" s="6" t="n">
        <v>7.167381259301148</v>
      </c>
      <c r="L11" s="6" t="n">
        <v>8.169941844301068</v>
      </c>
      <c r="S11" t="s">
        <v>42</v>
      </c>
      <c r="T11" t="s">
        <v>27</v>
      </c>
      <c r="U11" s="373">
        <f>TLFD_Work!B102</f>
        <v>725463.41351099999</v>
      </c>
      <c r="V11" s="6">
        <f>TLFD_Work!K11</f>
        <v>9.7146066689582096</v>
      </c>
      <c r="W11" s="373">
        <f ref="W11:W16" si="0" t="shared">U11*V11</f>
        <v>7047591.7149791475</v>
      </c>
      <c r="Y11" s="373">
        <f>TLFD_Work!F102</f>
        <v>852022</v>
      </c>
      <c r="Z11" s="6">
        <f>TLFD_Work!L11</f>
        <v>9.4935984687186163</v>
      </c>
      <c r="AA11" s="373">
        <f ref="AA11:AA16" si="1" t="shared">Y11*Z11</f>
        <v>8088754.7545145731</v>
      </c>
      <c r="AC11" s="6">
        <f ref="AC11:AC17" si="2" t="shared">V$19</f>
        <v>6.7651049101246619</v>
      </c>
      <c r="AD11" s="6">
        <f ref="AD11:AD17" si="3" t="shared">Z$19</f>
        <v>7.0683125468373165</v>
      </c>
    </row>
    <row r="12" spans="1:30" x14ac:dyDescent="0.25">
      <c r="A12">
        <v>1</v>
      </c>
      <c r="B12" s="6" t="n">
        <v>224137.244407</v>
      </c>
      <c r="C12" s="9">
        <f>B12/B$102</f>
        <v>0.14551329546670141</v>
      </c>
      <c r="E12" s="11">
        <v>1</v>
      </c>
      <c r="F12" s="101" t="n">
        <v>227733.0</v>
      </c>
      <c r="G12" s="9">
        <f>F12/F$102</f>
        <v>0.1113028860343655</v>
      </c>
      <c r="K12" s="6"/>
      <c r="L12" s="370"/>
      <c r="S12" t="s">
        <v>43</v>
      </c>
      <c r="T12" t="s">
        <v>28</v>
      </c>
      <c r="U12" s="373">
        <f>TLFD_School!B102</f>
        <v>233774.77809699997</v>
      </c>
      <c r="V12" s="6">
        <f>TLFD_School!K11</f>
        <v>5.0693394575390647</v>
      </c>
      <c r="W12" s="373">
        <f si="0" t="shared"/>
        <v>1185083.706784561</v>
      </c>
      <c r="Y12" s="373">
        <f>TLFD_School!F102</f>
        <v>225648</v>
      </c>
      <c r="Z12" s="6">
        <f>TLFD_School!L11</f>
        <v>5.3900612470421354</v>
      </c>
      <c r="AA12" s="373">
        <f si="1" t="shared"/>
        <v>1216256.5402725637</v>
      </c>
      <c r="AC12" s="6">
        <f si="2" t="shared"/>
        <v>6.7651049101246619</v>
      </c>
      <c r="AD12" s="6">
        <f si="3" t="shared"/>
        <v>7.0683125468373165</v>
      </c>
    </row>
    <row r="13" spans="1:30" x14ac:dyDescent="0.25">
      <c r="A13">
        <v>2</v>
      </c>
      <c r="B13" s="6" t="n">
        <v>207250.602881</v>
      </c>
      <c r="C13" s="9">
        <f ref="C13:C76" si="4" t="shared">B13/B$102</f>
        <v>0.13455023190127657</v>
      </c>
      <c r="E13" s="12">
        <v>2</v>
      </c>
      <c r="F13" s="102" t="n">
        <v>222916.0</v>
      </c>
      <c r="G13" s="9">
        <f ref="G13:G76" si="5" t="shared">F13/F$102</f>
        <v>0.11059884717282024</v>
      </c>
      <c r="S13" t="s">
        <v>44</v>
      </c>
      <c r="T13" t="s">
        <v>29</v>
      </c>
      <c r="U13" s="373">
        <f>TLFD_Escort!B102</f>
        <v>379672.78581499978</v>
      </c>
      <c r="V13" s="6">
        <f>TLFD_Escort!K11</f>
        <v>6.0788709411905471</v>
      </c>
      <c r="W13" s="373">
        <f si="0" t="shared"/>
        <v>2307981.8648516648</v>
      </c>
      <c r="Y13" s="373">
        <f>TLFD_Escort!F102</f>
        <v>401405</v>
      </c>
      <c r="Z13" s="6">
        <f>TLFD_Escort!L11</f>
        <v>6.4722725271986352</v>
      </c>
      <c r="AA13" s="373">
        <f si="1" t="shared"/>
        <v>2598002.5537801683</v>
      </c>
      <c r="AC13" s="6">
        <f si="2" t="shared"/>
        <v>6.7651049101246619</v>
      </c>
      <c r="AD13" s="6">
        <f si="3" t="shared"/>
        <v>7.0683125468373165</v>
      </c>
    </row>
    <row r="14" spans="1:30" x14ac:dyDescent="0.25">
      <c r="A14">
        <v>3</v>
      </c>
      <c r="B14" s="6" t="n">
        <v>170883.827577</v>
      </c>
      <c r="C14" s="9">
        <f si="4" t="shared"/>
        <v>0.11094037030070794</v>
      </c>
      <c r="E14" s="13">
        <v>3</v>
      </c>
      <c r="F14" s="103" t="n">
        <v>201563.0</v>
      </c>
      <c r="G14" s="9">
        <f si="5" t="shared"/>
        <v>9.8883337202533367E-2</v>
      </c>
      <c r="S14" t="s">
        <v>45</v>
      </c>
      <c r="T14" t="s">
        <v>30</v>
      </c>
      <c r="U14" s="373">
        <f>TLFD_PerBus!B102</f>
        <v>595838.58947100013</v>
      </c>
      <c r="V14" s="6">
        <f>TLFD_PerBus!K11</f>
        <v>5.8697969729583006</v>
      </c>
      <c r="W14" s="373">
        <f si="0" t="shared"/>
        <v>3497451.5488486202</v>
      </c>
      <c r="Y14" s="373">
        <f>TLFD_PerBus!F102</f>
        <v>654855</v>
      </c>
      <c r="Z14" s="6">
        <f>TLFD_PerBus!L11</f>
        <v>5.7983930163126542</v>
      </c>
      <c r="AA14" s="373">
        <f si="1" t="shared"/>
        <v>3797106.6586974231</v>
      </c>
      <c r="AC14" s="6">
        <f si="2" t="shared"/>
        <v>6.7651049101246619</v>
      </c>
      <c r="AD14" s="6">
        <f si="3" t="shared"/>
        <v>7.0683125468373165</v>
      </c>
    </row>
    <row r="15" spans="1:30" x14ac:dyDescent="0.25">
      <c r="A15">
        <v>4</v>
      </c>
      <c r="B15" s="6" t="n">
        <v>127707.262261</v>
      </c>
      <c r="C15" s="9">
        <f si="4" t="shared"/>
        <v>8.2909489834202904E-2</v>
      </c>
      <c r="E15" s="14">
        <v>4</v>
      </c>
      <c r="F15" s="104" t="n">
        <v>160698.0</v>
      </c>
      <c r="G15" s="9">
        <f si="5" t="shared"/>
        <v>8.1259033804364694E-2</v>
      </c>
      <c r="S15" t="s">
        <v>46</v>
      </c>
      <c r="T15" t="s">
        <v>31</v>
      </c>
      <c r="U15" s="373">
        <f>TLFD_Shop!B102</f>
        <v>421008.18684899987</v>
      </c>
      <c r="V15" s="6">
        <f>TLFD_Shop!K11</f>
        <v>4.6870559711519544</v>
      </c>
      <c r="W15" s="373">
        <f si="0" t="shared"/>
        <v>1973288.9360744625</v>
      </c>
      <c r="Y15" s="373">
        <f>TLFD_Shop!F102</f>
        <v>430310</v>
      </c>
      <c r="Z15" s="6">
        <f>TLFD_Shop!L11</f>
        <v>4.8075604845546458</v>
      </c>
      <c r="AA15" s="373">
        <f si="1" t="shared"/>
        <v>2068741.3521087097</v>
      </c>
      <c r="AC15" s="6">
        <f si="2" t="shared"/>
        <v>6.7651049101246619</v>
      </c>
      <c r="AD15" s="6">
        <f si="3" t="shared"/>
        <v>7.0683125468373165</v>
      </c>
    </row>
    <row r="16" spans="1:30" x14ac:dyDescent="0.25">
      <c r="A16">
        <v>5</v>
      </c>
      <c r="B16" s="6" t="n">
        <v>93135.608406</v>
      </c>
      <c r="C16" s="9">
        <f si="4" t="shared"/>
        <v>6.046504828016893E-2</v>
      </c>
      <c r="E16" s="15">
        <v>5</v>
      </c>
      <c r="F16" s="105" t="n">
        <v>131306.0</v>
      </c>
      <c r="G16" s="9">
        <f si="5" t="shared"/>
        <v>6.7377743972505733E-2</v>
      </c>
      <c r="S16" t="s">
        <v>34</v>
      </c>
      <c r="T16" t="s">
        <v>48</v>
      </c>
      <c r="U16" s="373">
        <f>TLFD_Meal!B102</f>
        <v>224997.18906499998</v>
      </c>
      <c r="V16" s="6">
        <f>TLFD_Meal!K11</f>
        <v>4.9412453615349561</v>
      </c>
      <c r="W16" s="373">
        <f si="0" t="shared"/>
        <v>1111766.3168258348</v>
      </c>
      <c r="Y16" s="373">
        <f>TLFD_Meal!F102</f>
        <v>260384</v>
      </c>
      <c r="Z16" s="6">
        <f>TLFD_Meal!L11</f>
        <v>5.0846401458710551</v>
      </c>
      <c r="AA16" s="373">
        <f si="1" t="shared"/>
        <v>1323958.9397424888</v>
      </c>
      <c r="AC16" s="6">
        <f si="2" t="shared"/>
        <v>6.7651049101246619</v>
      </c>
      <c r="AD16" s="6">
        <f si="3" t="shared"/>
        <v>7.0683125468373165</v>
      </c>
    </row>
    <row r="17" spans="1:30" x14ac:dyDescent="0.25">
      <c r="A17">
        <v>6</v>
      </c>
      <c r="B17" s="6" t="n">
        <v>101992.500463</v>
      </c>
      <c r="C17" s="9">
        <f si="4" t="shared"/>
        <v>6.621507681387688E-2</v>
      </c>
      <c r="E17" s="16">
        <v>6</v>
      </c>
      <c r="F17" s="106" t="n">
        <v>103985.0</v>
      </c>
      <c r="G17" s="9">
        <f si="5" t="shared"/>
        <v>5.3598531026123518E-2</v>
      </c>
      <c r="S17" t="s">
        <v>47</v>
      </c>
      <c r="T17" t="s">
        <v>32</v>
      </c>
      <c r="U17" s="373">
        <f>TLFD_SocRec!B102</f>
        <v>338167.08305399999</v>
      </c>
      <c r="V17" s="6">
        <f>TLFD_SocRec!K11</f>
        <v>5.9261083299559036</v>
      </c>
      <c r="W17" s="373">
        <f>U17*V17</f>
        <v>2004014.7678031991</v>
      </c>
      <c r="Y17" s="373">
        <f>TLFD_SocRec!F102</f>
        <v>358313</v>
      </c>
      <c r="Z17" s="6">
        <f>TLFD_SocRec!L11</f>
        <v>5.6667377421415166</v>
      </c>
      <c r="AA17" s="373">
        <f>Y17*Z17</f>
        <v>2030465.8005999532</v>
      </c>
      <c r="AC17" s="6">
        <f si="2" t="shared"/>
        <v>6.7651049101246619</v>
      </c>
      <c r="AD17" s="6">
        <f si="3" t="shared"/>
        <v>7.0683125468373165</v>
      </c>
    </row>
    <row r="18" spans="1:30" x14ac:dyDescent="0.25">
      <c r="A18">
        <v>7</v>
      </c>
      <c r="B18" s="6" t="n">
        <v>64739.931336</v>
      </c>
      <c r="C18" s="9">
        <f si="4" t="shared"/>
        <v>4.2030144440801019E-2</v>
      </c>
      <c r="E18" s="17">
        <v>7</v>
      </c>
      <c r="F18" s="107" t="n">
        <v>81509.0</v>
      </c>
      <c r="G18" s="9">
        <f si="5" t="shared"/>
        <v>4.2963869448913145E-2</v>
      </c>
      <c r="T18" s="375" t="s">
        <v>35</v>
      </c>
      <c r="U18" s="376">
        <f>SUM(U10:U15)+U17</f>
        <v>4234246.2465220001</v>
      </c>
      <c r="V18" s="377">
        <f>W18/U18</f>
        <v>6.8620202163657948</v>
      </c>
      <c r="W18" s="376">
        <f>SUM(W10:W15)+W17</f>
        <v>29055483.344704948</v>
      </c>
      <c r="X18" s="375"/>
      <c r="Y18" s="376">
        <f>SUM(Y10:Y15)+Y17</f>
        <v>4636947</v>
      </c>
      <c r="Z18" s="377">
        <f>AA18/Y18</f>
        <v>7.1797040625163175</v>
      </c>
      <c r="AA18" s="376">
        <f>SUM(AA10:AA15)+AA17</f>
        <v>33291907.213572852</v>
      </c>
      <c r="AB18" t="s">
        <v>38</v>
      </c>
    </row>
    <row r="19" spans="1:30" x14ac:dyDescent="0.25">
      <c r="A19">
        <v>8</v>
      </c>
      <c r="B19" s="6" t="n">
        <v>55935.394465</v>
      </c>
      <c r="C19" s="9">
        <f si="4" t="shared"/>
        <v>3.6314105687193149E-2</v>
      </c>
      <c r="E19" s="18">
        <v>8</v>
      </c>
      <c r="F19" s="108" t="n">
        <v>69837.0</v>
      </c>
      <c r="G19" s="9">
        <f si="5" t="shared"/>
        <v>3.5760157816697911E-2</v>
      </c>
      <c r="S19" s="375" t="s">
        <v>36</v>
      </c>
      <c r="U19" s="378">
        <f>U18+U16</f>
        <v>4459243.4355870001</v>
      </c>
      <c r="V19" s="377">
        <f>W19/U19</f>
        <v>6.7651049101246619</v>
      </c>
      <c r="W19" s="378">
        <f>W18+W16</f>
        <v>30167249.661530782</v>
      </c>
      <c r="X19" s="375"/>
      <c r="Y19" s="378">
        <f>Y18+Y16</f>
        <v>4897331</v>
      </c>
      <c r="Z19" s="377">
        <f>AA19/Y19</f>
        <v>7.0683125468373165</v>
      </c>
      <c r="AA19" s="378">
        <f>AA18+AA16</f>
        <v>34615866.153315343</v>
      </c>
      <c r="AB19" t="s">
        <v>37</v>
      </c>
    </row>
    <row r="20" spans="1:30" x14ac:dyDescent="0.25">
      <c r="A20">
        <v>9</v>
      </c>
      <c r="B20" s="6" t="n">
        <v>42726.335589</v>
      </c>
      <c r="C20" s="9">
        <f si="4" t="shared"/>
        <v>2.7738584505313153E-2</v>
      </c>
      <c r="E20" s="19">
        <v>9</v>
      </c>
      <c r="F20" s="109" t="n">
        <v>60627.0</v>
      </c>
      <c r="G20" s="9">
        <f si="5" t="shared"/>
        <v>3.2385787631081304E-2</v>
      </c>
    </row>
    <row r="21" spans="1:30" x14ac:dyDescent="0.25">
      <c r="A21">
        <v>10</v>
      </c>
      <c r="B21" s="6" t="n">
        <v>41234.978212</v>
      </c>
      <c r="C21" s="9">
        <f si="4" t="shared"/>
        <v>2.6770372697320261E-2</v>
      </c>
      <c r="E21" s="20">
        <v>10</v>
      </c>
      <c r="F21" s="110" t="n">
        <v>55596.0</v>
      </c>
      <c r="G21" s="9">
        <f si="5" t="shared"/>
        <v>2.9947608309408454E-2</v>
      </c>
    </row>
    <row r="22" spans="1:30" x14ac:dyDescent="0.25">
      <c r="A22">
        <v>11</v>
      </c>
      <c r="B22" s="6" t="n">
        <v>39603.032949</v>
      </c>
      <c r="C22" s="9">
        <f si="4" t="shared"/>
        <v>2.5710889103379073E-2</v>
      </c>
      <c r="E22" s="21">
        <v>11</v>
      </c>
      <c r="F22" s="111" t="n">
        <v>50322.0</v>
      </c>
      <c r="G22" s="9">
        <f si="5" t="shared"/>
        <v>2.7531010957807831E-2</v>
      </c>
    </row>
    <row r="23" spans="1:30" x14ac:dyDescent="0.25">
      <c r="A23">
        <v>12</v>
      </c>
      <c r="B23" s="6" t="n">
        <v>34442.496222</v>
      </c>
      <c r="C23" s="9">
        <f si="4" t="shared"/>
        <v>2.2360590461538259E-2</v>
      </c>
      <c r="E23" s="22">
        <v>12</v>
      </c>
      <c r="F23" s="112" t="n">
        <v>47948.0</v>
      </c>
      <c r="G23" s="9">
        <f si="5" t="shared"/>
        <v>2.5607882435426162E-2</v>
      </c>
    </row>
    <row r="24" spans="1:30" x14ac:dyDescent="0.25">
      <c r="A24">
        <v>13</v>
      </c>
      <c r="B24" s="6" t="n">
        <v>27095.664702</v>
      </c>
      <c r="C24" s="9">
        <f si="4" t="shared"/>
        <v>1.7590916110708024E-2</v>
      </c>
      <c r="E24" s="23">
        <v>13</v>
      </c>
      <c r="F24" s="113" t="n">
        <v>41088.0</v>
      </c>
      <c r="G24" s="9">
        <f si="5" t="shared"/>
        <v>2.1571470735431877E-2</v>
      </c>
    </row>
    <row r="25" spans="1:30" x14ac:dyDescent="0.25">
      <c r="A25">
        <v>14</v>
      </c>
      <c r="B25" s="6" t="n">
        <v>23690.978946</v>
      </c>
      <c r="C25" s="9">
        <f si="4" t="shared"/>
        <v>1.5380542526010624E-2</v>
      </c>
      <c r="E25" s="24">
        <v>14</v>
      </c>
      <c r="F25" s="114" t="n">
        <v>36228.0</v>
      </c>
      <c r="G25" s="9">
        <f si="5" t="shared"/>
        <v>1.8629906544236623E-2</v>
      </c>
    </row>
    <row r="26" spans="1:30" x14ac:dyDescent="0.25">
      <c r="A26">
        <v>15</v>
      </c>
      <c r="B26" s="6" t="n">
        <v>23630.228384000002</v>
      </c>
      <c r="C26" s="9">
        <f si="4" t="shared"/>
        <v>1.5341102340594489E-2</v>
      </c>
      <c r="E26" s="25">
        <v>15</v>
      </c>
      <c r="F26" s="115" t="n">
        <v>32949.0</v>
      </c>
      <c r="G26" s="9">
        <f si="5" t="shared"/>
        <v>1.6904515531435599E-2</v>
      </c>
    </row>
    <row r="27" spans="1:30" x14ac:dyDescent="0.25">
      <c r="A27">
        <v>16</v>
      </c>
      <c r="B27" s="6" t="n">
        <v>15677.207025</v>
      </c>
      <c r="C27" s="9">
        <f si="4" t="shared"/>
        <v>1.0177880360566381E-2</v>
      </c>
      <c r="E27" s="26">
        <v>16</v>
      </c>
      <c r="F27" s="116" t="n">
        <v>30413.0</v>
      </c>
      <c r="G27" s="9">
        <f si="5" t="shared"/>
        <v>1.4657657457970572E-2</v>
      </c>
    </row>
    <row r="28" spans="1:30" x14ac:dyDescent="0.25">
      <c r="A28">
        <v>17</v>
      </c>
      <c r="B28" s="6" t="n">
        <v>13393.496128</v>
      </c>
      <c r="C28" s="9">
        <f si="4" t="shared"/>
        <v>8.6952606406939421E-3</v>
      </c>
      <c r="E28" s="27">
        <v>17</v>
      </c>
      <c r="F28" s="117" t="n">
        <v>27785.0</v>
      </c>
      <c r="G28" s="9">
        <f si="5" t="shared"/>
        <v>1.2951515229288016E-2</v>
      </c>
    </row>
    <row r="29" spans="1:30" x14ac:dyDescent="0.25">
      <c r="A29">
        <v>18</v>
      </c>
      <c r="B29" s="6" t="n">
        <v>14437.315718</v>
      </c>
      <c r="C29" s="9">
        <f si="4" t="shared"/>
        <v>9.3729241357344718E-3</v>
      </c>
      <c r="E29" s="28">
        <v>18</v>
      </c>
      <c r="F29" s="118" t="n">
        <v>24072.0</v>
      </c>
      <c r="G29" s="9">
        <f si="5" t="shared"/>
        <v>1.1720176342194384E-2</v>
      </c>
    </row>
    <row r="30" spans="1:30" x14ac:dyDescent="0.25">
      <c r="A30">
        <v>19</v>
      </c>
      <c r="B30" s="6" t="n">
        <v>12464.93998</v>
      </c>
      <c r="C30" s="9">
        <f si="4" t="shared"/>
        <v>8.092427918810409E-3</v>
      </c>
      <c r="E30" s="29">
        <v>19</v>
      </c>
      <c r="F30" s="119" t="n">
        <v>21516.0</v>
      </c>
      <c r="G30" s="9">
        <f si="5" t="shared"/>
        <v>1.0257852045679115E-2</v>
      </c>
    </row>
    <row r="31" spans="1:30" x14ac:dyDescent="0.25">
      <c r="A31">
        <v>20</v>
      </c>
      <c r="B31" s="6" t="n">
        <v>8748.110009</v>
      </c>
      <c r="C31" s="9">
        <f si="4" t="shared"/>
        <v>5.6794055797496417E-3</v>
      </c>
      <c r="E31" s="30">
        <v>20</v>
      </c>
      <c r="F31" s="120" t="n">
        <v>19954.0</v>
      </c>
      <c r="G31" s="9">
        <f si="5" t="shared"/>
        <v>9.0031812990479434E-3</v>
      </c>
    </row>
    <row r="32" spans="1:30" x14ac:dyDescent="0.25">
      <c r="A32">
        <v>21</v>
      </c>
      <c r="B32" s="6" t="n">
        <v>12026.8953</v>
      </c>
      <c r="C32" s="9">
        <f si="4" t="shared"/>
        <v>7.8080426747734492E-3</v>
      </c>
      <c r="E32" s="31">
        <v>21</v>
      </c>
      <c r="F32" s="121" t="n">
        <v>17825.0</v>
      </c>
      <c r="G32" s="9">
        <f si="5" t="shared"/>
        <v>8.1124875612023847E-3</v>
      </c>
    </row>
    <row r="33" spans="1:7" x14ac:dyDescent="0.25">
      <c r="A33">
        <v>22</v>
      </c>
      <c r="B33" s="6" t="n">
        <v>8289.055319</v>
      </c>
      <c r="C33" s="9">
        <f si="4" t="shared"/>
        <v>5.3813803188516854E-3</v>
      </c>
      <c r="E33" s="32">
        <v>22</v>
      </c>
      <c r="F33" s="122" t="n">
        <v>15219.0</v>
      </c>
      <c r="G33" s="9">
        <f si="5" t="shared"/>
        <v>7.2906228089925657E-3</v>
      </c>
    </row>
    <row r="34" spans="1:7" x14ac:dyDescent="0.25">
      <c r="A34">
        <v>23</v>
      </c>
      <c r="B34" s="6" t="n">
        <v>8837.985384</v>
      </c>
      <c r="C34" s="9">
        <f si="4" t="shared"/>
        <v>5.7377540350996492E-3</v>
      </c>
      <c r="E34" s="33">
        <v>23</v>
      </c>
      <c r="F34" s="123" t="n">
        <v>14623.0</v>
      </c>
      <c r="G34" s="9">
        <f si="5" t="shared"/>
        <v>6.4950063987624781E-3</v>
      </c>
    </row>
    <row r="35" spans="1:7" x14ac:dyDescent="0.25">
      <c r="A35">
        <v>24</v>
      </c>
      <c r="B35" s="6" t="n">
        <v>6774.198455</v>
      </c>
      <c r="C35" s="9">
        <f si="4" t="shared"/>
        <v>4.3979122878058446E-3</v>
      </c>
      <c r="E35" s="34">
        <v>24</v>
      </c>
      <c r="F35" s="124" t="n">
        <v>13039.0</v>
      </c>
      <c r="G35" s="9">
        <f si="5" t="shared"/>
        <v>5.9723727451215999E-3</v>
      </c>
    </row>
    <row r="36" spans="1:7" x14ac:dyDescent="0.25">
      <c r="A36">
        <v>25</v>
      </c>
      <c r="B36" s="6" t="n">
        <v>6099.6279970000005</v>
      </c>
      <c r="C36" s="9">
        <f si="4" t="shared"/>
        <v>3.9599709245676145E-3</v>
      </c>
      <c r="E36" s="35">
        <v>25</v>
      </c>
      <c r="F36" s="125" t="n">
        <v>12394.0</v>
      </c>
      <c r="G36" s="9">
        <f si="5" t="shared"/>
        <v>5.3587448392843186E-3</v>
      </c>
    </row>
    <row r="37" spans="1:7" x14ac:dyDescent="0.25">
      <c r="A37">
        <v>26</v>
      </c>
      <c r="B37" s="6" t="n">
        <v>5652.436052</v>
      </c>
      <c r="C37" s="9">
        <f si="4" t="shared"/>
        <v>3.6696471374822689E-3</v>
      </c>
      <c r="E37" s="36">
        <v>26</v>
      </c>
      <c r="F37" s="126" t="n">
        <v>11224.0</v>
      </c>
      <c r="G37" s="9">
        <f si="5" t="shared"/>
        <v>5.0956781229985638E-3</v>
      </c>
    </row>
    <row r="38" spans="1:7" x14ac:dyDescent="0.25">
      <c r="A38">
        <v>27</v>
      </c>
      <c r="B38" s="6" t="n">
        <v>5767.636535</v>
      </c>
      <c r="C38" s="9">
        <f si="4" t="shared"/>
        <v>3.7444370367024369E-3</v>
      </c>
      <c r="E38" s="37">
        <v>27</v>
      </c>
      <c r="F38" s="127" t="n">
        <v>10597.0</v>
      </c>
      <c r="G38" s="9">
        <f si="5" t="shared"/>
        <v>4.5782941377536315E-3</v>
      </c>
    </row>
    <row r="39" spans="1:7" x14ac:dyDescent="0.25">
      <c r="A39">
        <v>28</v>
      </c>
      <c r="B39" s="6" t="n">
        <v>4134.036594</v>
      </c>
      <c r="C39" s="9">
        <f si="4" t="shared"/>
        <v>2.683879200729974E-3</v>
      </c>
      <c r="E39" s="38">
        <v>28</v>
      </c>
      <c r="F39" s="128" t="n">
        <v>9550.0</v>
      </c>
      <c r="G39" s="9">
        <f si="5" t="shared"/>
        <v>4.3467254318435549E-3</v>
      </c>
    </row>
    <row r="40" spans="1:7" x14ac:dyDescent="0.25">
      <c r="A40">
        <v>29</v>
      </c>
      <c r="B40" s="6" t="n">
        <v>4883.87121</v>
      </c>
      <c r="C40" s="9">
        <f si="4" t="shared"/>
        <v>3.1706831958350419E-3</v>
      </c>
      <c r="E40" s="39">
        <v>29</v>
      </c>
      <c r="F40" s="129" t="n">
        <v>8896.0</v>
      </c>
      <c r="G40" s="9">
        <f si="5" t="shared"/>
        <v>3.84975682369397E-3</v>
      </c>
    </row>
    <row r="41" spans="1:7" x14ac:dyDescent="0.25">
      <c r="A41">
        <v>30</v>
      </c>
      <c r="B41" s="6" t="n">
        <v>3677.987339</v>
      </c>
      <c r="C41" s="9">
        <f si="4" t="shared"/>
        <v>2.3878051137759915E-3</v>
      </c>
      <c r="E41" s="40">
        <v>30</v>
      </c>
      <c r="F41" s="130" t="n">
        <v>8808.0</v>
      </c>
      <c r="G41" s="9">
        <f si="5" t="shared"/>
        <v>3.6899335858618263E-3</v>
      </c>
    </row>
    <row r="42" spans="1:7" x14ac:dyDescent="0.25">
      <c r="A42">
        <v>31</v>
      </c>
      <c r="B42" s="6" t="n">
        <v>6336.512776</v>
      </c>
      <c r="C42" s="9">
        <f si="4" t="shared"/>
        <v>4.1137601126581E-3</v>
      </c>
      <c r="E42" s="41">
        <v>31</v>
      </c>
      <c r="F42" s="131" t="n">
        <v>7740.0</v>
      </c>
      <c r="G42" s="9">
        <f si="5" t="shared"/>
        <v>3.2635438528132972E-3</v>
      </c>
    </row>
    <row r="43" spans="1:7" x14ac:dyDescent="0.25">
      <c r="A43">
        <v>32</v>
      </c>
      <c r="B43" s="6" t="n">
        <v>3642.931809</v>
      </c>
      <c r="C43" s="9">
        <f si="4" t="shared"/>
        <v>2.3650465324963495E-3</v>
      </c>
      <c r="E43" s="42">
        <v>32</v>
      </c>
      <c r="F43" s="132" t="n">
        <v>6755.0</v>
      </c>
      <c r="G43" s="9">
        <f si="5" t="shared"/>
        <v>2.7490763500105575E-3</v>
      </c>
    </row>
    <row r="44" spans="1:7" x14ac:dyDescent="0.25">
      <c r="A44">
        <v>33</v>
      </c>
      <c r="B44" s="6" t="n">
        <v>2060.695094</v>
      </c>
      <c r="C44" s="9">
        <f si="4" t="shared"/>
        <v>1.337834481160594E-3</v>
      </c>
      <c r="E44" s="43">
        <v>33</v>
      </c>
      <c r="F44" s="133" t="n">
        <v>5790.0</v>
      </c>
      <c r="G44" s="9">
        <f si="5" t="shared"/>
        <v>2.2538576313262879E-3</v>
      </c>
    </row>
    <row r="45" spans="1:7" x14ac:dyDescent="0.25">
      <c r="A45">
        <v>34</v>
      </c>
      <c r="B45" s="6" t="n">
        <v>2421.277432</v>
      </c>
      <c r="C45" s="9">
        <f si="4" t="shared"/>
        <v>1.5719299989683845E-3</v>
      </c>
      <c r="E45" s="44">
        <v>34</v>
      </c>
      <c r="F45" s="134" t="n">
        <v>4823.0</v>
      </c>
      <c r="G45" s="9">
        <f si="5" t="shared"/>
        <v>1.9855412466445871E-3</v>
      </c>
    </row>
    <row r="46" spans="1:7" x14ac:dyDescent="0.25">
      <c r="A46">
        <v>35</v>
      </c>
      <c r="B46" s="6" t="n">
        <v>2001.9670310000001</v>
      </c>
      <c r="C46" s="9">
        <f si="4" t="shared"/>
        <v>1.2997073327425991E-3</v>
      </c>
      <c r="E46" s="45">
        <v>35</v>
      </c>
      <c r="F46" s="135" t="n">
        <v>4064.0</v>
      </c>
      <c r="G46" s="9">
        <f si="5" t="shared"/>
        <v>1.6507290622808993E-3</v>
      </c>
    </row>
    <row r="47" spans="1:7" x14ac:dyDescent="0.25">
      <c r="A47">
        <v>36</v>
      </c>
      <c r="B47" s="6" t="n">
        <v>3978.93282</v>
      </c>
      <c r="C47" s="9">
        <f si="4" t="shared"/>
        <v>2.5831834803298455E-3</v>
      </c>
      <c r="E47" s="46">
        <v>36</v>
      </c>
      <c r="F47" s="136" t="n">
        <v>3470.0</v>
      </c>
      <c r="G47" s="9">
        <f si="5" t="shared"/>
        <v>1.3829959740876369E-3</v>
      </c>
    </row>
    <row r="48" spans="1:7" x14ac:dyDescent="0.25">
      <c r="A48">
        <v>37</v>
      </c>
      <c r="B48" s="6" t="n">
        <v>1161.728808</v>
      </c>
      <c r="C48" s="9">
        <f si="4" t="shared"/>
        <v>7.5421194606871574E-4</v>
      </c>
      <c r="E48" s="47">
        <v>37</v>
      </c>
      <c r="F48" s="137" t="n">
        <v>2882.0</v>
      </c>
      <c r="G48" s="9">
        <f si="5" t="shared"/>
        <v>1.1205125542903206E-3</v>
      </c>
    </row>
    <row r="49" spans="1:7" x14ac:dyDescent="0.25">
      <c r="A49">
        <v>38</v>
      </c>
      <c r="B49" s="6" t="n">
        <v>558.220561</v>
      </c>
      <c r="C49" s="9">
        <f si="4" t="shared"/>
        <v>3.6240524703195636E-4</v>
      </c>
      <c r="E49" s="48">
        <v>38</v>
      </c>
      <c r="F49" s="138" t="n">
        <v>2572.0</v>
      </c>
      <c r="G49" s="9">
        <f si="5" t="shared"/>
        <v>1.0061864425563785E-3</v>
      </c>
    </row>
    <row r="50" spans="1:7" x14ac:dyDescent="0.25">
      <c r="A50">
        <v>39</v>
      </c>
      <c r="B50" s="6" t="n">
        <v>1155.072308</v>
      </c>
      <c r="C50" s="9">
        <f si="4" t="shared"/>
        <v>7.498904454014048E-4</v>
      </c>
      <c r="E50" s="49">
        <v>39</v>
      </c>
      <c r="F50" s="139" t="n">
        <v>2412.0</v>
      </c>
      <c r="G50" s="9">
        <f si="5" t="shared"/>
        <v>8.8544406944961315E-4</v>
      </c>
    </row>
    <row r="51" spans="1:7" x14ac:dyDescent="0.25">
      <c r="A51">
        <v>40</v>
      </c>
      <c r="B51" s="6" t="n">
        <v>1642.9488489999999</v>
      </c>
      <c r="C51" s="9">
        <f si="4" t="shared"/>
        <v>1.0666272887119852E-3</v>
      </c>
      <c r="E51" s="50">
        <v>40</v>
      </c>
      <c r="F51" s="140" t="n">
        <v>2029.0</v>
      </c>
      <c r="G51" s="9">
        <f si="5" t="shared"/>
        <v>8.1019882244104911E-4</v>
      </c>
    </row>
    <row r="52" spans="1:7" x14ac:dyDescent="0.25">
      <c r="A52">
        <v>41</v>
      </c>
      <c r="B52" s="6" t="n">
        <v>1169.955578</v>
      </c>
      <c r="C52" s="9">
        <f si="4" t="shared"/>
        <v>7.5955288981465038E-4</v>
      </c>
      <c r="E52" s="51">
        <v>41</v>
      </c>
      <c r="F52" s="141" t="n">
        <v>1705.0</v>
      </c>
      <c r="G52" s="9">
        <f si="5" t="shared"/>
        <v>6.5620854949329031E-4</v>
      </c>
    </row>
    <row r="53" spans="1:7" x14ac:dyDescent="0.25">
      <c r="A53">
        <v>42</v>
      </c>
      <c r="B53" s="6" t="n">
        <v>458.50397899999996</v>
      </c>
      <c r="C53" s="9">
        <f si="4" t="shared"/>
        <v>2.976677309717188E-4</v>
      </c>
      <c r="E53" s="52">
        <v>42</v>
      </c>
      <c r="F53" s="142" t="n">
        <v>1692.0</v>
      </c>
      <c r="G53" s="9">
        <f si="5" t="shared"/>
        <v>5.9087934278818054E-4</v>
      </c>
    </row>
    <row r="54" spans="1:7" x14ac:dyDescent="0.25">
      <c r="A54">
        <v>43</v>
      </c>
      <c r="B54" s="6" t="n">
        <v>1271.2687660000001</v>
      </c>
      <c r="C54" s="9">
        <f si="4" t="shared"/>
        <v>8.2532694668378652E-4</v>
      </c>
      <c r="E54" s="53">
        <v>43</v>
      </c>
      <c r="F54" s="143" t="n">
        <v>1481.0</v>
      </c>
      <c r="G54" s="9">
        <f si="5" t="shared"/>
        <v>4.9463542219583124E-4</v>
      </c>
    </row>
    <row r="55" spans="1:7" x14ac:dyDescent="0.25">
      <c r="A55">
        <v>44</v>
      </c>
      <c r="B55" s="6" t="n">
        <v>438.268148</v>
      </c>
      <c r="C55" s="9">
        <f si="4" t="shared"/>
        <v>2.8453032284881752E-4</v>
      </c>
      <c r="E55" s="54">
        <v>44</v>
      </c>
      <c r="F55" s="144" t="n">
        <v>1293.0</v>
      </c>
      <c r="G55" s="9">
        <f si="5" t="shared"/>
        <v>4.1822358221039037E-4</v>
      </c>
    </row>
    <row r="56" spans="1:7" x14ac:dyDescent="0.25">
      <c r="A56">
        <v>45</v>
      </c>
      <c r="B56" s="6" t="n">
        <v>603.464442</v>
      </c>
      <c r="C56" s="9">
        <f si="4" t="shared"/>
        <v>3.9177826016697316E-4</v>
      </c>
      <c r="E56" s="55">
        <v>45</v>
      </c>
      <c r="F56" s="145" t="n">
        <v>1015.0</v>
      </c>
      <c r="G56" s="9">
        <f si="5" t="shared"/>
        <v>3.8322579290408154E-4</v>
      </c>
    </row>
    <row r="57" spans="1:7" x14ac:dyDescent="0.25">
      <c r="A57">
        <v>46</v>
      </c>
      <c r="B57" s="6" t="n">
        <v>487.216829</v>
      </c>
      <c r="C57" s="9">
        <f si="4" t="shared"/>
        <v>3.1630854828342925E-4</v>
      </c>
      <c r="E57" s="56">
        <v>46</v>
      </c>
      <c r="F57" s="146" t="n">
        <v>936.0</v>
      </c>
      <c r="G57" s="9">
        <f si="5" t="shared"/>
        <v>3.2547944054867202E-4</v>
      </c>
    </row>
    <row r="58" spans="1:7" x14ac:dyDescent="0.25">
      <c r="A58">
        <v>47</v>
      </c>
      <c r="B58" s="6" t="n">
        <v>20.848398</v>
      </c>
      <c r="C58" s="9">
        <f si="4" t="shared"/>
        <v>1.3535095901654804E-5</v>
      </c>
      <c r="E58" s="57">
        <v>47</v>
      </c>
      <c r="F58" s="147" t="n">
        <v>832.0</v>
      </c>
      <c r="G58" s="9">
        <f si="5" t="shared"/>
        <v>2.7006627414701641E-4</v>
      </c>
    </row>
    <row r="59" spans="1:7" x14ac:dyDescent="0.25">
      <c r="A59">
        <v>48</v>
      </c>
      <c r="B59" s="6" t="n">
        <v>871.882284</v>
      </c>
      <c r="C59" s="9">
        <f si="4" t="shared"/>
        <v>5.6603919058403581E-4</v>
      </c>
      <c r="E59" s="58">
        <v>48</v>
      </c>
      <c r="F59" s="148" t="n">
        <v>638.0</v>
      </c>
      <c r="G59" s="9">
        <f si="5" t="shared"/>
        <v>2.2631903751413036E-4</v>
      </c>
    </row>
    <row r="60" spans="1:7" x14ac:dyDescent="0.25">
      <c r="A60">
        <v>49</v>
      </c>
      <c r="B60" s="6" t="n">
        <v>73.132648</v>
      </c>
      <c r="C60" s="9">
        <f si="4" t="shared"/>
        <v>4.7478823275628343E-5</v>
      </c>
      <c r="E60" s="59">
        <v>49</v>
      </c>
      <c r="F60" s="149" t="n">
        <v>572.0</v>
      </c>
      <c r="G60" s="9">
        <f si="5" t="shared"/>
        <v>1.9365443416157545E-4</v>
      </c>
    </row>
    <row r="61" spans="1:7" x14ac:dyDescent="0.25">
      <c r="A61">
        <v>50</v>
      </c>
      <c r="B61" s="6" t="n">
        <v>288.781469</v>
      </c>
      <c r="C61" s="9">
        <f si="4" t="shared"/>
        <v>1.8748130563968292E-4</v>
      </c>
      <c r="E61" s="60">
        <v>50</v>
      </c>
      <c r="F61" s="150" t="n">
        <v>521.0</v>
      </c>
      <c r="G61" s="9">
        <f si="5" t="shared"/>
        <v>1.6098983080902057E-4</v>
      </c>
    </row>
    <row r="62" spans="1:7" x14ac:dyDescent="0.25">
      <c r="A62">
        <v>51</v>
      </c>
      <c r="B62" s="6" t="n">
        <v>221.438194</v>
      </c>
      <c r="C62" s="9">
        <f si="4" t="shared"/>
        <v>1.4376103104321212E-4</v>
      </c>
      <c r="E62" s="61">
        <v>51</v>
      </c>
      <c r="F62" s="151" t="n">
        <v>493.0</v>
      </c>
      <c r="G62" s="9">
        <f si="5" t="shared"/>
        <v>1.3940786073679678E-4</v>
      </c>
    </row>
    <row r="63" spans="1:7" x14ac:dyDescent="0.25">
      <c r="A63">
        <v>52</v>
      </c>
      <c r="B63" s="6" t="n">
        <v>373.052908</v>
      </c>
      <c r="C63" s="9">
        <f si="4" t="shared"/>
        <v>2.4219160082089794E-4</v>
      </c>
      <c r="E63" s="62">
        <v>52</v>
      </c>
      <c r="F63" s="152" t="n">
        <v>331.0</v>
      </c>
      <c r="G63" s="9">
        <f si="5" t="shared"/>
        <v>1.1490940822238062E-4</v>
      </c>
    </row>
    <row r="64" spans="1:7" x14ac:dyDescent="0.25">
      <c r="A64">
        <v>53</v>
      </c>
      <c r="B64" s="6" t="n">
        <v>73.667099</v>
      </c>
      <c r="C64" s="9">
        <f si="4" t="shared"/>
        <v>4.7825796963474059E-5</v>
      </c>
      <c r="E64" s="63">
        <v>53</v>
      </c>
      <c r="F64" s="153" t="n">
        <v>331.0</v>
      </c>
      <c r="G64" s="9">
        <f si="5" t="shared"/>
        <v>9.5077327615472292E-5</v>
      </c>
    </row>
    <row r="65" spans="1:7" x14ac:dyDescent="0.25">
      <c r="A65">
        <v>54</v>
      </c>
      <c r="B65" s="6" t="n">
        <v>0.0</v>
      </c>
      <c r="C65" s="9">
        <f si="4" t="shared"/>
        <v>0</v>
      </c>
      <c r="E65" s="64">
        <v>54</v>
      </c>
      <c r="F65" s="154" t="n">
        <v>275.0</v>
      </c>
      <c r="G65" s="9">
        <f si="5" t="shared"/>
        <v>6.2996020751355879E-5</v>
      </c>
    </row>
    <row r="66" spans="1:7" x14ac:dyDescent="0.25">
      <c r="A66">
        <v>55</v>
      </c>
      <c r="B66" s="6" t="n">
        <v>367.396103</v>
      </c>
      <c r="C66" s="9">
        <f si="4" t="shared"/>
        <v>2.3851911729617047E-4</v>
      </c>
      <c r="E66" s="65">
        <v>55</v>
      </c>
      <c r="F66" s="155" t="n">
        <v>205.0</v>
      </c>
      <c r="G66" s="9">
        <f si="5" t="shared"/>
        <v>6.53292067051098E-5</v>
      </c>
    </row>
    <row r="67" spans="1:7" x14ac:dyDescent="0.25">
      <c r="A67">
        <v>56</v>
      </c>
      <c r="B67" s="6" t="n">
        <v>267.485589</v>
      </c>
      <c r="C67" s="9">
        <f si="4" t="shared"/>
        <v>1.7365569764284149E-4</v>
      </c>
      <c r="E67" s="66">
        <v>56</v>
      </c>
      <c r="F67" s="156" t="n">
        <v>203.0</v>
      </c>
      <c r="G67" s="9">
        <f si="5" t="shared"/>
        <v>4.7830312051955383E-5</v>
      </c>
    </row>
    <row r="68" spans="1:7" x14ac:dyDescent="0.25">
      <c r="A68">
        <v>57</v>
      </c>
      <c r="B68" s="6" t="n">
        <v>0.0</v>
      </c>
      <c r="C68" s="9">
        <f si="4" t="shared"/>
        <v>0</v>
      </c>
      <c r="E68" s="67">
        <v>57</v>
      </c>
      <c r="F68" s="157" t="n">
        <v>164.0</v>
      </c>
      <c r="G68" s="9">
        <f si="5" t="shared"/>
        <v>4.1414050679132102E-5</v>
      </c>
    </row>
    <row r="69" spans="1:7" x14ac:dyDescent="0.25">
      <c r="A69">
        <v>58</v>
      </c>
      <c r="B69" s="6" t="n">
        <v>60.463179</v>
      </c>
      <c r="C69" s="9">
        <f si="4" t="shared"/>
        <v>3.9253612017763703E-5</v>
      </c>
      <c r="E69" s="68">
        <v>58</v>
      </c>
      <c r="F69" s="158" t="n">
        <v>111.0</v>
      </c>
      <c r="G69" s="9">
        <f si="5" t="shared"/>
        <v>4.8413608540393863E-5</v>
      </c>
    </row>
    <row r="70" spans="1:7" x14ac:dyDescent="0.25">
      <c r="A70">
        <v>59</v>
      </c>
      <c r="B70" s="6" t="n">
        <v>0.0</v>
      </c>
      <c r="C70" s="9">
        <f si="4" t="shared"/>
        <v>0</v>
      </c>
      <c r="E70" s="69">
        <v>59</v>
      </c>
      <c r="F70" s="159" t="n">
        <v>88.0</v>
      </c>
      <c r="G70" s="9">
        <f si="5" t="shared"/>
        <v>3.208130686411642E-5</v>
      </c>
    </row>
    <row r="71" spans="1:7" x14ac:dyDescent="0.25">
      <c r="A71">
        <v>60</v>
      </c>
      <c r="B71" s="6" t="n">
        <v>0.0</v>
      </c>
      <c r="C71" s="9">
        <f si="4" t="shared"/>
        <v>0</v>
      </c>
      <c r="E71" s="70">
        <v>60</v>
      </c>
      <c r="F71" s="160" t="n">
        <v>77.0</v>
      </c>
      <c r="G71" s="9">
        <f si="5" t="shared"/>
        <v>1.749889465315441E-5</v>
      </c>
    </row>
    <row r="72" spans="1:7" x14ac:dyDescent="0.25">
      <c r="A72">
        <v>61</v>
      </c>
      <c r="B72" s="6" t="n">
        <v>0.0</v>
      </c>
      <c r="C72" s="9">
        <f si="4" t="shared"/>
        <v>0</v>
      </c>
      <c r="E72" s="71">
        <v>61</v>
      </c>
      <c r="F72" s="161" t="n">
        <v>51.0</v>
      </c>
      <c r="G72" s="9">
        <f si="5" t="shared"/>
        <v>1.4582412210962008E-5</v>
      </c>
    </row>
    <row r="73" spans="1:7" x14ac:dyDescent="0.25">
      <c r="A73">
        <v>62</v>
      </c>
      <c r="B73" s="6" t="n">
        <v>0.0</v>
      </c>
      <c r="C73" s="9">
        <f si="4" t="shared"/>
        <v>0</v>
      </c>
      <c r="E73" s="72">
        <v>62</v>
      </c>
      <c r="F73" s="162" t="n">
        <v>40.0</v>
      </c>
      <c r="G73" s="9">
        <f si="5" t="shared"/>
        <v>1.4582412210962008E-5</v>
      </c>
    </row>
    <row r="74" spans="1:7" x14ac:dyDescent="0.25">
      <c r="A74">
        <v>63</v>
      </c>
      <c r="B74" s="6" t="n">
        <v>65.389831</v>
      </c>
      <c r="C74" s="9">
        <f si="4" t="shared"/>
        <v>4.2452069150732842E-5</v>
      </c>
      <c r="E74" s="73">
        <v>63</v>
      </c>
      <c r="F74" s="163" t="n">
        <v>38.0</v>
      </c>
      <c r="G74" s="9">
        <f si="5" t="shared"/>
        <v>1.2249226257208086E-5</v>
      </c>
    </row>
    <row r="75" spans="1:7" x14ac:dyDescent="0.25">
      <c r="A75">
        <v>64</v>
      </c>
      <c r="B75" s="6" t="n">
        <v>0.0</v>
      </c>
      <c r="C75" s="9">
        <f si="4" t="shared"/>
        <v>0</v>
      </c>
      <c r="E75" s="74">
        <v>64</v>
      </c>
      <c r="F75" s="164" t="n">
        <v>17.0</v>
      </c>
      <c r="G75" s="9">
        <f si="5" t="shared"/>
        <v>8.166150838138725E-6</v>
      </c>
    </row>
    <row r="76" spans="1:7" x14ac:dyDescent="0.25">
      <c r="A76">
        <v>65</v>
      </c>
      <c r="B76" s="6" t="n">
        <v>0.0</v>
      </c>
      <c r="C76" s="9">
        <f si="4" t="shared"/>
        <v>0</v>
      </c>
      <c r="E76" s="75">
        <v>65</v>
      </c>
      <c r="F76" s="165" t="n">
        <v>22.0</v>
      </c>
      <c r="G76" s="9">
        <f si="5" t="shared"/>
        <v>4.6663719075078426E-6</v>
      </c>
    </row>
    <row r="77" spans="1:7" x14ac:dyDescent="0.25">
      <c r="A77">
        <v>66</v>
      </c>
      <c r="B77" s="6" t="n">
        <v>0.0</v>
      </c>
      <c r="C77" s="9">
        <f ref="C77:C102" si="6" t="shared">B77/B$102</f>
        <v>0</v>
      </c>
      <c r="E77" s="76">
        <v>66</v>
      </c>
      <c r="F77" s="166" t="n">
        <v>17.0</v>
      </c>
      <c r="G77" s="9">
        <f ref="G77:G102" si="7" t="shared">F77/F$102</f>
        <v>8.166150838138725E-6</v>
      </c>
    </row>
    <row r="78" spans="1:7" x14ac:dyDescent="0.25">
      <c r="A78">
        <v>67</v>
      </c>
      <c r="B78" s="6" t="n">
        <v>0.0</v>
      </c>
      <c r="C78" s="9">
        <f si="6" t="shared"/>
        <v>0</v>
      </c>
      <c r="E78" s="77">
        <v>67</v>
      </c>
      <c r="F78" s="167" t="n">
        <v>17.0</v>
      </c>
      <c r="G78" s="9">
        <f si="7" t="shared"/>
        <v>4.6663719075078426E-6</v>
      </c>
    </row>
    <row r="79" spans="1:7" x14ac:dyDescent="0.25">
      <c r="A79">
        <v>68</v>
      </c>
      <c r="B79" s="6" t="n">
        <v>0.0</v>
      </c>
      <c r="C79" s="9">
        <f si="6" t="shared"/>
        <v>0</v>
      </c>
      <c r="E79" s="78">
        <v>68</v>
      </c>
      <c r="F79" s="168" t="n">
        <v>6.0</v>
      </c>
      <c r="G79" s="9">
        <f si="7" t="shared"/>
        <v>5.2496683959463227E-6</v>
      </c>
    </row>
    <row r="80" spans="1:7" x14ac:dyDescent="0.25">
      <c r="A80">
        <v>69</v>
      </c>
      <c r="B80" s="6" t="n">
        <v>0.0</v>
      </c>
      <c r="C80" s="9">
        <f si="6" t="shared"/>
        <v>0</v>
      </c>
      <c r="E80" s="79">
        <v>69</v>
      </c>
      <c r="F80" s="169" t="n">
        <v>8.0</v>
      </c>
      <c r="G80" s="9">
        <f si="7" t="shared"/>
        <v>2.3331859537539213E-6</v>
      </c>
    </row>
    <row r="81" spans="1:7" x14ac:dyDescent="0.25">
      <c r="A81">
        <v>70</v>
      </c>
      <c r="B81" s="6" t="n">
        <v>0.0</v>
      </c>
      <c r="C81" s="9">
        <f si="6" t="shared"/>
        <v>0</v>
      </c>
      <c r="E81" s="80">
        <v>70</v>
      </c>
      <c r="F81" s="170" t="n">
        <v>10.0</v>
      </c>
      <c r="G81" s="9">
        <f si="7" t="shared"/>
        <v>1.1665929768769606E-6</v>
      </c>
    </row>
    <row r="82" spans="1:7" x14ac:dyDescent="0.25">
      <c r="A82">
        <v>71</v>
      </c>
      <c r="B82" s="6" t="n">
        <v>0.0</v>
      </c>
      <c r="C82" s="9">
        <f si="6" t="shared"/>
        <v>0</v>
      </c>
      <c r="E82" s="81">
        <v>71</v>
      </c>
      <c r="F82" s="171" t="n">
        <v>9.0</v>
      </c>
      <c r="G82" s="9">
        <f si="7" t="shared"/>
        <v>1.1665929768769606E-6</v>
      </c>
    </row>
    <row r="83" spans="1:7" x14ac:dyDescent="0.25">
      <c r="A83">
        <v>72</v>
      </c>
      <c r="B83" s="6" t="n">
        <v>0.0</v>
      </c>
      <c r="C83" s="9">
        <f si="6" t="shared"/>
        <v>0</v>
      </c>
      <c r="E83" s="82">
        <v>72</v>
      </c>
      <c r="F83" s="172" t="n">
        <v>7.0</v>
      </c>
      <c r="G83" s="9">
        <f si="7" t="shared"/>
        <v>2.3331859537539213E-6</v>
      </c>
    </row>
    <row r="84" spans="1:7" x14ac:dyDescent="0.25">
      <c r="A84">
        <v>73</v>
      </c>
      <c r="B84" s="6" t="n">
        <v>0.0</v>
      </c>
      <c r="C84" s="9">
        <f si="6" t="shared"/>
        <v>0</v>
      </c>
      <c r="E84" s="83">
        <v>73</v>
      </c>
      <c r="F84" s="173" t="n">
        <v>5.0</v>
      </c>
      <c r="G84" s="9">
        <f si="7" t="shared"/>
        <v>5.8329648843848032E-7</v>
      </c>
    </row>
    <row r="85" spans="1:7" x14ac:dyDescent="0.25">
      <c r="A85">
        <v>74</v>
      </c>
      <c r="B85" s="6" t="n">
        <v>0.0</v>
      </c>
      <c r="C85" s="9">
        <f si="6" t="shared"/>
        <v>0</v>
      </c>
      <c r="E85" s="84">
        <v>74</v>
      </c>
      <c r="F85" s="174" t="n">
        <v>2.0</v>
      </c>
      <c r="G85" s="9">
        <f si="7" t="shared"/>
        <v>0</v>
      </c>
    </row>
    <row r="86" spans="1:7" x14ac:dyDescent="0.25">
      <c r="A86">
        <v>75</v>
      </c>
      <c r="B86" s="6" t="n">
        <v>0.0</v>
      </c>
      <c r="C86" s="9">
        <f si="6" t="shared"/>
        <v>0</v>
      </c>
      <c r="E86" s="85">
        <v>75</v>
      </c>
      <c r="F86" s="175" t="n">
        <v>4.0</v>
      </c>
      <c r="G86" s="9">
        <f si="7" t="shared"/>
        <v>5.8329648843848032E-7</v>
      </c>
    </row>
    <row r="87" spans="1:7" x14ac:dyDescent="0.25">
      <c r="A87">
        <v>76</v>
      </c>
      <c r="B87" s="6" t="n">
        <v>0.0</v>
      </c>
      <c r="C87" s="9">
        <f si="6" t="shared"/>
        <v>0</v>
      </c>
      <c r="E87" s="86">
        <v>76</v>
      </c>
      <c r="F87" s="176" t="n">
        <v>2.0</v>
      </c>
      <c r="G87" s="9">
        <f si="7" t="shared"/>
        <v>5.8329648843848032E-7</v>
      </c>
    </row>
    <row r="88" spans="1:7" x14ac:dyDescent="0.25">
      <c r="A88">
        <v>77</v>
      </c>
      <c r="B88" s="6" t="n">
        <v>0.0</v>
      </c>
      <c r="C88" s="9">
        <f si="6" t="shared"/>
        <v>0</v>
      </c>
      <c r="E88" s="87">
        <v>77</v>
      </c>
      <c r="F88" s="177" t="n">
        <v>4.0</v>
      </c>
      <c r="G88" s="9">
        <f si="7" t="shared"/>
        <v>1.1665929768769606E-6</v>
      </c>
    </row>
    <row r="89" spans="1:7" x14ac:dyDescent="0.25">
      <c r="A89">
        <v>78</v>
      </c>
      <c r="B89" s="6" t="n">
        <v>0.0</v>
      </c>
      <c r="C89" s="9">
        <f si="6" t="shared"/>
        <v>0</v>
      </c>
      <c r="E89" s="88">
        <v>78</v>
      </c>
      <c r="F89" s="178" t="n">
        <v>3.0</v>
      </c>
      <c r="G89" s="9">
        <f si="7" t="shared"/>
        <v>0</v>
      </c>
    </row>
    <row r="90" spans="1:7" x14ac:dyDescent="0.25">
      <c r="A90">
        <v>79</v>
      </c>
      <c r="B90" s="6" t="n">
        <v>0.0</v>
      </c>
      <c r="C90" s="9">
        <f si="6" t="shared"/>
        <v>0</v>
      </c>
      <c r="E90" s="89">
        <v>79</v>
      </c>
      <c r="F90" s="179" t="n">
        <v>2.0</v>
      </c>
      <c r="G90" s="9">
        <f si="7" t="shared"/>
        <v>5.8329648843848032E-7</v>
      </c>
    </row>
    <row r="91" spans="1:7" x14ac:dyDescent="0.25">
      <c r="A91">
        <v>80</v>
      </c>
      <c r="B91" s="6" t="n">
        <v>0.0</v>
      </c>
      <c r="C91" s="9">
        <f si="6" t="shared"/>
        <v>0</v>
      </c>
      <c r="E91" s="90">
        <v>80</v>
      </c>
      <c r="F91" s="180" t="n">
        <v>2.0</v>
      </c>
      <c r="G91" s="9">
        <f si="7" t="shared"/>
        <v>5.8329648843848032E-7</v>
      </c>
    </row>
    <row r="92" spans="1:7" x14ac:dyDescent="0.25">
      <c r="A92">
        <v>81</v>
      </c>
      <c r="B92" s="6" t="n">
        <v>0.0</v>
      </c>
      <c r="C92" s="9">
        <f si="6" t="shared"/>
        <v>0</v>
      </c>
      <c r="E92" s="91">
        <v>81</v>
      </c>
      <c r="F92" s="181" t="n">
        <v>1.0</v>
      </c>
      <c r="G92" s="9">
        <f si="7" t="shared"/>
        <v>0</v>
      </c>
    </row>
    <row r="93" spans="1:7" x14ac:dyDescent="0.25">
      <c r="A93">
        <v>82</v>
      </c>
      <c r="B93" s="6" t="n">
        <v>0.0</v>
      </c>
      <c r="C93" s="9">
        <f si="6" t="shared"/>
        <v>0</v>
      </c>
      <c r="E93" s="92">
        <v>82</v>
      </c>
      <c r="F93" s="182" t="n">
        <v>0.0</v>
      </c>
      <c r="G93" s="9">
        <f si="7" t="shared"/>
        <v>0</v>
      </c>
    </row>
    <row r="94" spans="1:7" x14ac:dyDescent="0.25">
      <c r="A94">
        <v>83</v>
      </c>
      <c r="B94" s="6" t="n">
        <v>0.0</v>
      </c>
      <c r="C94" s="9">
        <f si="6" t="shared"/>
        <v>0</v>
      </c>
      <c r="E94" s="93">
        <v>83</v>
      </c>
      <c r="F94" s="183" t="n">
        <v>1.0</v>
      </c>
      <c r="G94" s="9">
        <f si="7" t="shared"/>
        <v>0</v>
      </c>
    </row>
    <row r="95" spans="1:7" x14ac:dyDescent="0.25">
      <c r="A95">
        <v>84</v>
      </c>
      <c r="B95" s="6" t="n">
        <v>0.0</v>
      </c>
      <c r="C95" s="9">
        <f si="6" t="shared"/>
        <v>0</v>
      </c>
      <c r="E95" s="94">
        <v>84</v>
      </c>
      <c r="F95" s="184" t="n">
        <v>0.0</v>
      </c>
      <c r="G95" s="9">
        <f si="7" t="shared"/>
        <v>0</v>
      </c>
    </row>
    <row r="96" spans="1:7" x14ac:dyDescent="0.25">
      <c r="A96">
        <v>85</v>
      </c>
      <c r="B96" s="6" t="n">
        <v>0.0</v>
      </c>
      <c r="C96" s="9">
        <f si="6" t="shared"/>
        <v>0</v>
      </c>
      <c r="E96" s="95">
        <v>85</v>
      </c>
      <c r="F96" s="185" t="n">
        <v>1.0</v>
      </c>
      <c r="G96" s="9">
        <f si="7" t="shared"/>
        <v>0</v>
      </c>
    </row>
    <row r="97" spans="1:7" x14ac:dyDescent="0.25">
      <c r="A97">
        <v>86</v>
      </c>
      <c r="B97" s="6" t="n">
        <v>0.0</v>
      </c>
      <c r="C97" s="9">
        <f si="6" t="shared"/>
        <v>0</v>
      </c>
      <c r="E97" s="96">
        <v>86</v>
      </c>
      <c r="F97" s="186" t="n">
        <v>2.0</v>
      </c>
      <c r="G97" s="9">
        <f si="7" t="shared"/>
        <v>0</v>
      </c>
    </row>
    <row r="98" spans="1:7" x14ac:dyDescent="0.25">
      <c r="A98">
        <v>87</v>
      </c>
      <c r="B98" s="6" t="n">
        <v>0.0</v>
      </c>
      <c r="C98" s="9">
        <f si="6" t="shared"/>
        <v>0</v>
      </c>
      <c r="E98" s="97">
        <v>87</v>
      </c>
      <c r="F98" s="187" t="n">
        <v>2.0</v>
      </c>
      <c r="G98" s="9">
        <f si="7" t="shared"/>
        <v>0</v>
      </c>
    </row>
    <row r="99" spans="1:7" x14ac:dyDescent="0.25">
      <c r="A99">
        <v>88</v>
      </c>
      <c r="B99" s="6" t="n">
        <v>0.0</v>
      </c>
      <c r="C99" s="9">
        <f si="6" t="shared"/>
        <v>0</v>
      </c>
      <c r="E99" s="98">
        <v>88</v>
      </c>
      <c r="F99" s="188" t="n">
        <v>0.0</v>
      </c>
      <c r="G99" s="9">
        <f si="7" t="shared"/>
        <v>0</v>
      </c>
    </row>
    <row r="100" spans="1:7" x14ac:dyDescent="0.25">
      <c r="A100">
        <v>89</v>
      </c>
      <c r="B100" s="6" t="n">
        <v>0.0</v>
      </c>
      <c r="C100" s="9">
        <f si="6" t="shared"/>
        <v>0</v>
      </c>
      <c r="E100" s="99">
        <v>89</v>
      </c>
      <c r="F100" s="189" t="n">
        <v>0.0</v>
      </c>
      <c r="G100" s="9">
        <f si="7" t="shared"/>
        <v>5.8329648843848032E-7</v>
      </c>
    </row>
    <row ht="15.75" r="101" spans="1:7" thickBot="1" x14ac:dyDescent="0.3">
      <c r="A101" s="1">
        <v>90</v>
      </c>
      <c r="B101" s="7" t="n">
        <v>0.0</v>
      </c>
      <c r="C101" s="9">
        <f si="6" t="shared"/>
        <v>0</v>
      </c>
      <c r="E101" s="372">
        <v>90</v>
      </c>
      <c r="F101" s="372" t="n">
        <v>4.0</v>
      </c>
      <c r="G101" s="9">
        <f si="7" t="shared"/>
        <v>5.8329648843848032E-7</v>
      </c>
    </row>
    <row r="102" spans="1:7" x14ac:dyDescent="0.25">
      <c r="B102" s="6">
        <f>SUM(B11:B101)</f>
        <v>1540321.4097250002</v>
      </c>
      <c r="C102" s="9">
        <f si="6" t="shared"/>
        <v>1</v>
      </c>
      <c r="F102" s="6">
        <f>SUM(F11:F101)</f>
        <v>1714394</v>
      </c>
      <c r="G102" s="9">
        <f si="7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K11" sqref="K1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190">
        <v>0</v>
      </c>
      <c r="F11" s="280" t="n">
        <v>6793.0</v>
      </c>
      <c r="G11" s="9">
        <f>F11/F$102</f>
        <v>2.6306671628575462E-3</v>
      </c>
      <c r="K11" s="6" t="n">
        <v>15.89923160220783</v>
      </c>
      <c r="L11" s="6" t="n">
        <v>20.757328826630925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191">
        <v>1</v>
      </c>
      <c r="F12" s="281" t="n">
        <v>48317.0</v>
      </c>
      <c r="G12" s="9">
        <f>F12/F$102</f>
        <v>2.9532884506128697E-2</v>
      </c>
      <c r="K12" s="6"/>
      <c r="L12" s="371"/>
    </row>
    <row r="13" spans="1:12" x14ac:dyDescent="0.25">
      <c r="A13">
        <v>2</v>
      </c>
      <c r="B13" s="6" t="n">
        <v>6897.59452</v>
      </c>
      <c r="C13" s="9">
        <f ref="C13:C76" si="0" t="shared">B13/B$102</f>
        <v>4.4780228830497539E-3</v>
      </c>
      <c r="E13" s="192">
        <v>2</v>
      </c>
      <c r="F13" s="282" t="n">
        <v>22170.0</v>
      </c>
      <c r="G13" s="9">
        <f ref="G13:G76" si="1" t="shared">F13/F$102</f>
        <v>1.0283517091170407E-2</v>
      </c>
    </row>
    <row r="14" spans="1:12" x14ac:dyDescent="0.25">
      <c r="A14">
        <v>3</v>
      </c>
      <c r="B14" s="6" t="n">
        <v>65637.44097</v>
      </c>
      <c r="C14" s="9">
        <f si="0" t="shared"/>
        <v>4.2612821295341587E-2</v>
      </c>
      <c r="E14" s="193">
        <v>3</v>
      </c>
      <c r="F14" s="283" t="n">
        <v>39488.0</v>
      </c>
      <c r="G14" s="9">
        <f si="1" t="shared"/>
        <v>1.8849809320377931E-2</v>
      </c>
    </row>
    <row r="15" spans="1:12" x14ac:dyDescent="0.25">
      <c r="A15">
        <v>4</v>
      </c>
      <c r="B15" s="6" t="n">
        <v>83827.652678</v>
      </c>
      <c r="C15" s="9">
        <f si="0" t="shared"/>
        <v>5.4422182376187428E-2</v>
      </c>
      <c r="E15" s="194">
        <v>4</v>
      </c>
      <c r="F15" s="284" t="n">
        <v>64808.0</v>
      </c>
      <c r="G15" s="9">
        <f si="1" t="shared"/>
        <v>3.2080723567627978E-2</v>
      </c>
    </row>
    <row r="16" spans="1:12" x14ac:dyDescent="0.25">
      <c r="A16">
        <v>5</v>
      </c>
      <c r="B16" s="6" t="n">
        <v>100534.28004</v>
      </c>
      <c r="C16" s="9">
        <f si="0" t="shared"/>
        <v>6.5268378018551912E-2</v>
      </c>
      <c r="E16" s="195">
        <v>5</v>
      </c>
      <c r="F16" s="285" t="n">
        <v>86928.0</v>
      </c>
      <c r="G16" s="9">
        <f si="1" t="shared"/>
        <v>4.4538186671208603E-2</v>
      </c>
    </row>
    <row r="17" spans="1:7" x14ac:dyDescent="0.25">
      <c r="A17">
        <v>6</v>
      </c>
      <c r="B17" s="6" t="n">
        <v>116845.179361</v>
      </c>
      <c r="C17" s="9">
        <f si="0" t="shared"/>
        <v>7.5857661020150957E-2</v>
      </c>
      <c r="E17" s="196">
        <v>6</v>
      </c>
      <c r="F17" s="286" t="n">
        <v>99016.0</v>
      </c>
      <c r="G17" s="9">
        <f si="1" t="shared"/>
        <v>5.1947218667354182E-2</v>
      </c>
    </row>
    <row r="18" spans="1:7" x14ac:dyDescent="0.25">
      <c r="A18">
        <v>7</v>
      </c>
      <c r="B18" s="6" t="n">
        <v>102353.366391</v>
      </c>
      <c r="C18" s="9">
        <f si="0" t="shared"/>
        <v>6.6449356442610019E-2</v>
      </c>
      <c r="E18" s="197">
        <v>7</v>
      </c>
      <c r="F18" s="287" t="n">
        <v>102834.0</v>
      </c>
      <c r="G18" s="9">
        <f si="1" t="shared"/>
        <v>5.4072167774735565E-2</v>
      </c>
    </row>
    <row r="19" spans="1:7" x14ac:dyDescent="0.25">
      <c r="A19">
        <v>8</v>
      </c>
      <c r="B19" s="6" t="n">
        <v>101173.53692</v>
      </c>
      <c r="C19" s="9">
        <f si="0" t="shared"/>
        <v>6.5683393271838642E-2</v>
      </c>
      <c r="E19" s="198">
        <v>8</v>
      </c>
      <c r="F19" s="288" t="n">
        <v>100216.0</v>
      </c>
      <c r="G19" s="9">
        <f si="1" t="shared"/>
        <v>5.1876639792253119E-2</v>
      </c>
    </row>
    <row r="20" spans="1:7" x14ac:dyDescent="0.25">
      <c r="A20">
        <v>9</v>
      </c>
      <c r="B20" s="6" t="n">
        <v>91742.299981</v>
      </c>
      <c r="C20" s="9">
        <f si="0" t="shared"/>
        <v>5.9560491337570395E-2</v>
      </c>
      <c r="E20" s="199">
        <v>9</v>
      </c>
      <c r="F20" s="289" t="n">
        <v>94864.0</v>
      </c>
      <c r="G20" s="9">
        <f si="1" t="shared"/>
        <v>4.8695924040798089E-2</v>
      </c>
    </row>
    <row r="21" spans="1:7" x14ac:dyDescent="0.25">
      <c r="A21">
        <v>10</v>
      </c>
      <c r="B21" s="6" t="n">
        <v>83449.360493</v>
      </c>
      <c r="C21" s="9">
        <f si="0" t="shared"/>
        <v>5.4176589357346289E-2</v>
      </c>
      <c r="E21" s="200">
        <v>10</v>
      </c>
      <c r="F21" s="290" t="n">
        <v>84759.0</v>
      </c>
      <c r="G21" s="9">
        <f si="1" t="shared"/>
        <v>4.4576684239445545E-2</v>
      </c>
    </row>
    <row r="22" spans="1:7" x14ac:dyDescent="0.25">
      <c r="A22">
        <v>11</v>
      </c>
      <c r="B22" s="6" t="n">
        <v>64527.772961</v>
      </c>
      <c r="C22" s="9">
        <f si="0" t="shared"/>
        <v>4.1892408008871646E-2</v>
      </c>
      <c r="E22" s="201">
        <v>11</v>
      </c>
      <c r="F22" s="291" t="n">
        <v>78297.0</v>
      </c>
      <c r="G22" s="9">
        <f si="1" t="shared"/>
        <v>4.0536189464032188E-2</v>
      </c>
    </row>
    <row r="23" spans="1:7" x14ac:dyDescent="0.25">
      <c r="A23">
        <v>12</v>
      </c>
      <c r="B23" s="6" t="n">
        <v>66986.279316</v>
      </c>
      <c r="C23" s="9">
        <f si="0" t="shared"/>
        <v>4.3488507588789145E-2</v>
      </c>
      <c r="E23" s="202">
        <v>12</v>
      </c>
      <c r="F23" s="292" t="n">
        <v>71350.0</v>
      </c>
      <c r="G23" s="9">
        <f si="1" t="shared"/>
        <v>3.6999079558141246E-2</v>
      </c>
    </row>
    <row r="24" spans="1:7" x14ac:dyDescent="0.25">
      <c r="A24">
        <v>13</v>
      </c>
      <c r="B24" s="6" t="n">
        <v>54116.035744</v>
      </c>
      <c r="C24" s="9">
        <f si="0" t="shared"/>
        <v>3.5132950436403791E-2</v>
      </c>
      <c r="E24" s="203">
        <v>13</v>
      </c>
      <c r="F24" s="293" t="n">
        <v>66462.0</v>
      </c>
      <c r="G24" s="9">
        <f si="1" t="shared"/>
        <v>3.4434908194965683E-2</v>
      </c>
    </row>
    <row r="25" spans="1:7" x14ac:dyDescent="0.25">
      <c r="A25">
        <v>14</v>
      </c>
      <c r="B25" s="6" t="n">
        <v>40905.738889</v>
      </c>
      <c r="C25" s="9">
        <f si="0" t="shared"/>
        <v>2.6556625539797634E-2</v>
      </c>
      <c r="E25" s="204">
        <v>14</v>
      </c>
      <c r="F25" s="294" t="n">
        <v>59830.0</v>
      </c>
      <c r="G25" s="9">
        <f si="1" t="shared"/>
        <v>3.0689561442702202E-2</v>
      </c>
    </row>
    <row r="26" spans="1:7" x14ac:dyDescent="0.25">
      <c r="A26">
        <v>15</v>
      </c>
      <c r="B26" s="6" t="n">
        <v>44574.154688</v>
      </c>
      <c r="C26" s="9">
        <f si="0" t="shared"/>
        <v>2.893821666476612E-2</v>
      </c>
      <c r="E26" s="205">
        <v>15</v>
      </c>
      <c r="F26" s="295" t="n">
        <v>55394.0</v>
      </c>
      <c r="G26" s="9">
        <f si="1" t="shared"/>
        <v>2.7952734318948853E-2</v>
      </c>
    </row>
    <row r="27" spans="1:7" x14ac:dyDescent="0.25">
      <c r="A27">
        <v>16</v>
      </c>
      <c r="B27" s="6" t="n">
        <v>39407.368166</v>
      </c>
      <c r="C27" s="9">
        <f si="0" t="shared"/>
        <v>2.5583860561306872E-2</v>
      </c>
      <c r="E27" s="206">
        <v>16</v>
      </c>
      <c r="F27" s="296" t="n">
        <v>50800.0</v>
      </c>
      <c r="G27" s="9">
        <f si="1" t="shared"/>
        <v>2.567379493861971E-2</v>
      </c>
    </row>
    <row r="28" spans="1:7" x14ac:dyDescent="0.25">
      <c r="A28">
        <v>17</v>
      </c>
      <c r="B28" s="6" t="n">
        <v>41002.011213</v>
      </c>
      <c r="C28" s="9">
        <f si="0" t="shared"/>
        <v>2.6619126991372723E-2</v>
      </c>
      <c r="E28" s="207">
        <v>17</v>
      </c>
      <c r="F28" s="297" t="n">
        <v>46452.0</v>
      </c>
      <c r="G28" s="9">
        <f si="1" t="shared"/>
        <v>2.3269446813276296E-2</v>
      </c>
    </row>
    <row r="29" spans="1:7" x14ac:dyDescent="0.25">
      <c r="A29">
        <v>18</v>
      </c>
      <c r="B29" s="6" t="n">
        <v>34562.276633</v>
      </c>
      <c r="C29" s="9">
        <f si="0" t="shared"/>
        <v>2.2438353719416635E-2</v>
      </c>
      <c r="E29" s="208">
        <v>18</v>
      </c>
      <c r="F29" s="298" t="n">
        <v>43657.0</v>
      </c>
      <c r="G29" s="9">
        <f si="1" t="shared"/>
        <v>2.1461810995605443E-2</v>
      </c>
    </row>
    <row r="30" spans="1:7" x14ac:dyDescent="0.25">
      <c r="A30">
        <v>19</v>
      </c>
      <c r="B30" s="6" t="n">
        <v>26693.597094</v>
      </c>
      <c r="C30" s="9">
        <f si="0" t="shared"/>
        <v>1.7329887726981436E-2</v>
      </c>
      <c r="E30" s="209">
        <v>19</v>
      </c>
      <c r="F30" s="299" t="n">
        <v>40756.0</v>
      </c>
      <c r="G30" s="9">
        <f si="1" t="shared"/>
        <v>2.0048483604119007E-2</v>
      </c>
    </row>
    <row r="31" spans="1:7" x14ac:dyDescent="0.25">
      <c r="A31">
        <v>20</v>
      </c>
      <c r="B31" s="6" t="n">
        <v>21050.78065</v>
      </c>
      <c r="C31" s="9">
        <f si="0" t="shared"/>
        <v>1.366648578478066E-2</v>
      </c>
      <c r="E31" s="210">
        <v>20</v>
      </c>
      <c r="F31" s="300" t="n">
        <v>38230.0</v>
      </c>
      <c r="G31" s="9">
        <f si="1" t="shared"/>
        <v>1.851616372899112E-2</v>
      </c>
    </row>
    <row r="32" spans="1:7" x14ac:dyDescent="0.25">
      <c r="A32">
        <v>21</v>
      </c>
      <c r="B32" s="6" t="n">
        <v>24215.700092</v>
      </c>
      <c r="C32" s="9">
        <f si="0" t="shared"/>
        <v>1.5721199445201083E-2</v>
      </c>
      <c r="E32" s="211">
        <v>21</v>
      </c>
      <c r="F32" s="301" t="n">
        <v>35700.0</v>
      </c>
      <c r="G32" s="9">
        <f si="1" t="shared"/>
        <v>1.7494811577735341E-2</v>
      </c>
    </row>
    <row r="33" spans="1:7" x14ac:dyDescent="0.25">
      <c r="A33">
        <v>22</v>
      </c>
      <c r="B33" s="6" t="n">
        <v>21445.771</v>
      </c>
      <c r="C33" s="9">
        <f si="0" t="shared"/>
        <v>1.3922919505370519E-2</v>
      </c>
      <c r="E33" s="212">
        <v>22</v>
      </c>
      <c r="F33" s="302" t="n">
        <v>33700.0</v>
      </c>
      <c r="G33" s="9">
        <f si="1" t="shared"/>
        <v>1.649270821059803E-2</v>
      </c>
    </row>
    <row r="34" spans="1:7" x14ac:dyDescent="0.25">
      <c r="A34">
        <v>23</v>
      </c>
      <c r="B34" s="6" t="n">
        <v>21184.149495999998</v>
      </c>
      <c r="C34" s="9">
        <f si="0" t="shared"/>
        <v>1.375307086056936E-2</v>
      </c>
      <c r="E34" s="213">
        <v>23</v>
      </c>
      <c r="F34" s="303" t="n">
        <v>32074.0</v>
      </c>
      <c r="G34" s="9">
        <f si="1" t="shared"/>
        <v>1.5534935376582047E-2</v>
      </c>
    </row>
    <row r="35" spans="1:7" x14ac:dyDescent="0.25">
      <c r="A35">
        <v>24</v>
      </c>
      <c r="B35" s="6" t="n">
        <v>19003.173031</v>
      </c>
      <c r="C35" s="9">
        <f si="0" t="shared"/>
        <v>1.2337147890707258E-2</v>
      </c>
      <c r="E35" s="214">
        <v>24</v>
      </c>
      <c r="F35" s="304" t="n">
        <v>30981.0</v>
      </c>
      <c r="G35" s="9">
        <f si="1" t="shared"/>
        <v>1.4640741859805856E-2</v>
      </c>
    </row>
    <row r="36" spans="1:7" x14ac:dyDescent="0.25">
      <c r="A36">
        <v>25</v>
      </c>
      <c r="B36" s="6" t="n">
        <v>16997.938718</v>
      </c>
      <c r="C36" s="9">
        <f si="0" t="shared"/>
        <v>1.1035319388980464E-2</v>
      </c>
      <c r="E36" s="215">
        <v>25</v>
      </c>
      <c r="F36" s="305" t="n">
        <v>28226.0</v>
      </c>
      <c r="G36" s="9">
        <f si="1" t="shared"/>
        <v>1.3818293811107598E-2</v>
      </c>
    </row>
    <row r="37" spans="1:7" x14ac:dyDescent="0.25">
      <c r="A37">
        <v>26</v>
      </c>
      <c r="B37" s="6" t="n">
        <v>20930.443307999998</v>
      </c>
      <c r="C37" s="9">
        <f si="0" t="shared"/>
        <v>1.358836095885781E-2</v>
      </c>
      <c r="E37" s="216">
        <v>26</v>
      </c>
      <c r="F37" s="306" t="n">
        <v>26509.0</v>
      </c>
      <c r="G37" s="9">
        <f si="1" t="shared"/>
        <v>1.3149252738868661E-2</v>
      </c>
    </row>
    <row r="38" spans="1:7" x14ac:dyDescent="0.25">
      <c r="A38">
        <v>27</v>
      </c>
      <c r="B38" s="6" t="n">
        <v>12372.514316</v>
      </c>
      <c r="C38" s="9">
        <f si="0" t="shared"/>
        <v>8.0324237771965575E-3</v>
      </c>
      <c r="E38" s="217">
        <v>27</v>
      </c>
      <c r="F38" s="307" t="n">
        <v>26058.0</v>
      </c>
      <c r="G38" s="9">
        <f si="1" t="shared"/>
        <v>1.2296473272771603E-2</v>
      </c>
    </row>
    <row r="39" spans="1:7" x14ac:dyDescent="0.25">
      <c r="A39">
        <v>28</v>
      </c>
      <c r="B39" s="6" t="n">
        <v>14008.973964</v>
      </c>
      <c r="C39" s="9">
        <f si="0" t="shared"/>
        <v>9.0948381782871481E-3</v>
      </c>
      <c r="E39" s="218">
        <v>28</v>
      </c>
      <c r="F39" s="308" t="n">
        <v>25052.0</v>
      </c>
      <c r="G39" s="9">
        <f si="1" t="shared"/>
        <v>1.141511227874106E-2</v>
      </c>
    </row>
    <row r="40" spans="1:7" x14ac:dyDescent="0.25">
      <c r="A40">
        <v>29</v>
      </c>
      <c r="B40" s="6" t="n">
        <v>14903.964722</v>
      </c>
      <c r="C40" s="9">
        <f si="0" t="shared"/>
        <v>9.6758797403594353E-3</v>
      </c>
      <c r="E40" s="219">
        <v>29</v>
      </c>
      <c r="F40" s="309" t="n">
        <v>23830.0</v>
      </c>
      <c r="G40" s="9">
        <f si="1" t="shared"/>
        <v>1.084289842358291E-2</v>
      </c>
    </row>
    <row r="41" spans="1:7" x14ac:dyDescent="0.25">
      <c r="A41">
        <v>30</v>
      </c>
      <c r="B41" s="6" t="n">
        <v>15132.600129</v>
      </c>
      <c r="C41" s="9">
        <f si="0" t="shared"/>
        <v>9.8243133111430934E-3</v>
      </c>
      <c r="E41" s="220">
        <v>30</v>
      </c>
      <c r="F41" s="310" t="n">
        <v>22136.0</v>
      </c>
      <c r="G41" s="9">
        <f si="1" t="shared"/>
        <v>1.0242103040491276E-2</v>
      </c>
    </row>
    <row r="42" spans="1:7" x14ac:dyDescent="0.25">
      <c r="A42">
        <v>31</v>
      </c>
      <c r="B42" s="6" t="n">
        <v>11639.07404</v>
      </c>
      <c r="C42" s="9">
        <f si="0" t="shared"/>
        <v>7.5562632360462881E-3</v>
      </c>
      <c r="E42" s="221">
        <v>31</v>
      </c>
      <c r="F42" s="311" t="n">
        <v>21041.0</v>
      </c>
      <c r="G42" s="9">
        <f si="1" t="shared"/>
        <v>9.5053995755934751E-3</v>
      </c>
    </row>
    <row r="43" spans="1:7" x14ac:dyDescent="0.25">
      <c r="A43">
        <v>32</v>
      </c>
      <c r="B43" s="6" t="n">
        <v>8869.509017</v>
      </c>
      <c r="C43" s="9">
        <f si="0" t="shared"/>
        <v>5.7582196553273369E-3</v>
      </c>
      <c r="E43" s="222">
        <v>32</v>
      </c>
      <c r="F43" s="312" t="n">
        <v>20107.0</v>
      </c>
      <c r="G43" s="9">
        <f si="1" t="shared"/>
        <v>9.0895091793368379E-3</v>
      </c>
    </row>
    <row r="44" spans="1:7" x14ac:dyDescent="0.25">
      <c r="A44">
        <v>33</v>
      </c>
      <c r="B44" s="6" t="n">
        <v>7743.080989</v>
      </c>
      <c r="C44" s="9">
        <f si="0" t="shared"/>
        <v>5.0269255105545863E-3</v>
      </c>
      <c r="E44" s="223">
        <v>33</v>
      </c>
      <c r="F44" s="313" t="n">
        <v>19127.0</v>
      </c>
      <c r="G44" s="9">
        <f si="1" t="shared"/>
        <v>8.6806183409414636E-3</v>
      </c>
    </row>
    <row r="45" spans="1:7" x14ac:dyDescent="0.25">
      <c r="A45">
        <v>34</v>
      </c>
      <c r="B45" s="6" t="n">
        <v>7748.254953</v>
      </c>
      <c r="C45" s="9">
        <f si="0" t="shared"/>
        <v>5.0302845263855249E-3</v>
      </c>
      <c r="E45" s="224">
        <v>34</v>
      </c>
      <c r="F45" s="314" t="n">
        <v>18006.0</v>
      </c>
      <c r="G45" s="9">
        <f si="1" t="shared"/>
        <v>8.1008216314336148E-3</v>
      </c>
    </row>
    <row r="46" spans="1:7" x14ac:dyDescent="0.25">
      <c r="A46">
        <v>35</v>
      </c>
      <c r="B46" s="6" t="n">
        <v>6847.745761</v>
      </c>
      <c r="C46" s="9">
        <f si="0" t="shared"/>
        <v>4.4456603133384755E-3</v>
      </c>
      <c r="E46" s="225">
        <v>35</v>
      </c>
      <c r="F46" s="315" t="n">
        <v>17267.0</v>
      </c>
      <c r="G46" s="9">
        <f si="1" t="shared"/>
        <v>7.7625096681392955E-3</v>
      </c>
    </row>
    <row r="47" spans="1:7" x14ac:dyDescent="0.25">
      <c r="A47">
        <v>36</v>
      </c>
      <c r="B47" s="6" t="n">
        <v>5891.153165</v>
      </c>
      <c r="C47" s="9">
        <f si="0" t="shared"/>
        <v>3.824625904571291E-3</v>
      </c>
      <c r="E47" s="226">
        <v>36</v>
      </c>
      <c r="F47" s="316" t="n">
        <v>16227.0</v>
      </c>
      <c r="G47" s="9">
        <f si="1" t="shared"/>
        <v>7.4848605396425792E-3</v>
      </c>
    </row>
    <row r="48" spans="1:7" x14ac:dyDescent="0.25">
      <c r="A48">
        <v>37</v>
      </c>
      <c r="B48" s="6" t="n">
        <v>7069.774098</v>
      </c>
      <c r="C48" s="9">
        <f si="0" t="shared"/>
        <v>4.5898044741598453E-3</v>
      </c>
      <c r="E48" s="227">
        <v>37</v>
      </c>
      <c r="F48" s="317" t="n">
        <v>15488.0</v>
      </c>
      <c r="G48" s="9">
        <f si="1" t="shared"/>
        <v>7.2357929390793486E-3</v>
      </c>
    </row>
    <row r="49" spans="1:7" x14ac:dyDescent="0.25">
      <c r="A49">
        <v>38</v>
      </c>
      <c r="B49" s="6" t="n">
        <v>7859.602062</v>
      </c>
      <c r="C49" s="9">
        <f si="0" t="shared"/>
        <v>5.1025727568139263E-3</v>
      </c>
      <c r="E49" s="228">
        <v>38</v>
      </c>
      <c r="F49" s="318" t="n">
        <v>14851.0</v>
      </c>
      <c r="G49" s="9">
        <f si="1" t="shared"/>
        <v>6.9768092982126625E-3</v>
      </c>
    </row>
    <row r="50" spans="1:7" x14ac:dyDescent="0.25">
      <c r="A50">
        <v>39</v>
      </c>
      <c r="B50" s="6" t="n">
        <v>7189.175994</v>
      </c>
      <c r="C50" s="9">
        <f si="0" t="shared"/>
        <v>4.6673219943644878E-3</v>
      </c>
      <c r="E50" s="229">
        <v>39</v>
      </c>
      <c r="F50" s="319" t="n">
        <v>14336.0</v>
      </c>
      <c r="G50" s="9">
        <f si="1" t="shared"/>
        <v>6.5580024195138337E-3</v>
      </c>
    </row>
    <row r="51" spans="1:7" x14ac:dyDescent="0.25">
      <c r="A51">
        <v>40</v>
      </c>
      <c r="B51" s="6" t="n">
        <v>7352.022587</v>
      </c>
      <c r="C51" s="9">
        <f si="0" t="shared"/>
        <v>4.7730444701879421E-3</v>
      </c>
      <c r="E51" s="230">
        <v>40</v>
      </c>
      <c r="F51" s="320" t="n">
        <v>13015.0</v>
      </c>
      <c r="G51" s="9">
        <f si="1" t="shared"/>
        <v>5.9566237399337613E-3</v>
      </c>
    </row>
    <row r="52" spans="1:7" x14ac:dyDescent="0.25">
      <c r="A52">
        <v>41</v>
      </c>
      <c r="B52" s="6" t="n">
        <v>5624.218963</v>
      </c>
      <c r="C52" s="9">
        <f si="0" t="shared"/>
        <v>3.6513281757241303E-3</v>
      </c>
      <c r="E52" s="231">
        <v>41</v>
      </c>
      <c r="F52" s="321" t="n">
        <v>11963.0</v>
      </c>
      <c r="G52" s="9">
        <f si="1" t="shared"/>
        <v>5.6451434151076124E-3</v>
      </c>
    </row>
    <row r="53" spans="1:7" x14ac:dyDescent="0.25">
      <c r="A53">
        <v>42</v>
      </c>
      <c r="B53" s="6" t="n">
        <v>7671.009074</v>
      </c>
      <c r="C53" s="9">
        <f si="0" t="shared"/>
        <v>4.9801353312160625E-3</v>
      </c>
      <c r="E53" s="232">
        <v>42</v>
      </c>
      <c r="F53" s="322" t="n">
        <v>12161.0</v>
      </c>
      <c r="G53" s="9">
        <f si="1" t="shared"/>
        <v>5.6095623293128654E-3</v>
      </c>
    </row>
    <row r="54" spans="1:7" x14ac:dyDescent="0.25">
      <c r="A54">
        <v>43</v>
      </c>
      <c r="B54" s="6" t="n">
        <v>5680.200287</v>
      </c>
      <c r="C54" s="9">
        <f si="0" t="shared"/>
        <v>3.6876720995614246E-3</v>
      </c>
      <c r="E54" s="233">
        <v>43</v>
      </c>
      <c r="F54" s="323" t="n">
        <v>10549.0</v>
      </c>
      <c r="G54" s="9">
        <f si="1" t="shared"/>
        <v>5.2864160747179466E-3</v>
      </c>
    </row>
    <row r="55" spans="1:7" x14ac:dyDescent="0.25">
      <c r="A55">
        <v>44</v>
      </c>
      <c r="B55" s="6" t="n">
        <v>6261.251474</v>
      </c>
      <c r="C55" s="9">
        <f si="0" t="shared"/>
        <v>4.0648993349497444E-3</v>
      </c>
      <c r="E55" s="234">
        <v>44</v>
      </c>
      <c r="F55" s="324" t="n">
        <v>10782.0</v>
      </c>
      <c r="G55" s="9">
        <f si="1" t="shared"/>
        <v>5.1137603141401568E-3</v>
      </c>
    </row>
    <row r="56" spans="1:7" x14ac:dyDescent="0.25">
      <c r="A56">
        <v>45</v>
      </c>
      <c r="B56" s="6" t="n">
        <v>4624.006501</v>
      </c>
      <c r="C56" s="9">
        <f si="0" t="shared"/>
        <v>3.001975088968962E-3</v>
      </c>
      <c r="E56" s="235">
        <v>45</v>
      </c>
      <c r="F56" s="325" t="n">
        <v>10075.0</v>
      </c>
      <c r="G56" s="9">
        <f si="1" t="shared"/>
        <v>4.7387006720742142E-3</v>
      </c>
    </row>
    <row r="57" spans="1:7" x14ac:dyDescent="0.25">
      <c r="A57">
        <v>46</v>
      </c>
      <c r="B57" s="6" t="n">
        <v>4570.20707</v>
      </c>
      <c r="C57" s="9">
        <f si="0" t="shared"/>
        <v>2.9670476831299398E-3</v>
      </c>
      <c r="E57" s="236">
        <v>46</v>
      </c>
      <c r="F57" s="326" t="n">
        <v>9593.0</v>
      </c>
      <c r="G57" s="9">
        <f si="1" t="shared"/>
        <v>4.5380466800513768E-3</v>
      </c>
    </row>
    <row r="58" spans="1:7" x14ac:dyDescent="0.25">
      <c r="A58">
        <v>47</v>
      </c>
      <c r="B58" s="6" t="n">
        <v>3569.516191</v>
      </c>
      <c r="C58" s="9">
        <f si="0" t="shared"/>
        <v>2.3173840008088205E-3</v>
      </c>
      <c r="E58" s="237">
        <v>47</v>
      </c>
      <c r="F58" s="327" t="n">
        <v>9288.0</v>
      </c>
      <c r="G58" s="9">
        <f si="1" t="shared"/>
        <v>4.4068049701527189E-3</v>
      </c>
    </row>
    <row r="59" spans="1:7" x14ac:dyDescent="0.25">
      <c r="A59">
        <v>48</v>
      </c>
      <c r="B59" s="6" t="n">
        <v>2961.344209</v>
      </c>
      <c r="C59" s="9">
        <f si="0" t="shared"/>
        <v>1.9225495343395268E-3</v>
      </c>
      <c r="E59" s="238">
        <v>48</v>
      </c>
      <c r="F59" s="328" t="n">
        <v>9135.0</v>
      </c>
      <c r="G59" s="9">
        <f si="1" t="shared"/>
        <v>4.1157400224219173E-3</v>
      </c>
    </row>
    <row r="60" spans="1:7" x14ac:dyDescent="0.25">
      <c r="A60">
        <v>49</v>
      </c>
      <c r="B60" s="6" t="n">
        <v>2011.104656</v>
      </c>
      <c r="C60" s="9">
        <f si="0" t="shared"/>
        <v>1.3056396173569077E-3</v>
      </c>
      <c r="E60" s="239">
        <v>49</v>
      </c>
      <c r="F60" s="329" t="n">
        <v>8763.0</v>
      </c>
      <c r="G60" s="9">
        <f si="1" t="shared"/>
        <v>3.969915900312297E-3</v>
      </c>
    </row>
    <row r="61" spans="1:7" x14ac:dyDescent="0.25">
      <c r="A61">
        <v>50</v>
      </c>
      <c r="B61" s="6" t="n">
        <v>5654.125689</v>
      </c>
      <c r="C61" s="9">
        <f si="0" t="shared"/>
        <v>3.6707440754260891E-3</v>
      </c>
      <c r="E61" s="240">
        <v>50</v>
      </c>
      <c r="F61" s="330" t="n">
        <v>8186.0</v>
      </c>
      <c r="G61" s="9">
        <f si="1" t="shared"/>
        <v>3.7791779485929137E-3</v>
      </c>
    </row>
    <row r="62" spans="1:7" x14ac:dyDescent="0.25">
      <c r="A62">
        <v>51</v>
      </c>
      <c r="B62" s="6" t="n">
        <v>1700.112135</v>
      </c>
      <c r="C62" s="9">
        <f si="0" t="shared"/>
        <v>1.1037385601901941E-3</v>
      </c>
      <c r="E62" s="241">
        <v>51</v>
      </c>
      <c r="F62" s="331" t="n">
        <v>7742.0</v>
      </c>
      <c r="G62" s="9">
        <f si="1" t="shared"/>
        <v>3.4904461868158661E-3</v>
      </c>
    </row>
    <row r="63" spans="1:7" x14ac:dyDescent="0.25">
      <c r="A63">
        <v>52</v>
      </c>
      <c r="B63" s="6" t="n">
        <v>2607.2326319999997</v>
      </c>
      <c r="C63" s="9">
        <f si="0" t="shared"/>
        <v>1.6926549326257056E-3</v>
      </c>
      <c r="E63" s="242">
        <v>52</v>
      </c>
      <c r="F63" s="332" t="n">
        <v>7468.0</v>
      </c>
      <c r="G63" s="9">
        <f si="1" t="shared"/>
        <v>3.30087482807336E-3</v>
      </c>
    </row>
    <row r="64" spans="1:7" x14ac:dyDescent="0.25">
      <c r="A64">
        <v>53</v>
      </c>
      <c r="B64" s="6" t="n">
        <v>1438.204806</v>
      </c>
      <c r="C64" s="9">
        <f si="0" t="shared"/>
        <v>9.3370435346787123E-4</v>
      </c>
      <c r="E64" s="243">
        <v>53</v>
      </c>
      <c r="F64" s="333" t="n">
        <v>7218.0</v>
      </c>
      <c r="G64" s="9">
        <f si="1" t="shared"/>
        <v>3.1993812390850645E-3</v>
      </c>
    </row>
    <row r="65" spans="1:7" x14ac:dyDescent="0.25">
      <c r="A65">
        <v>54</v>
      </c>
      <c r="B65" s="6" t="n">
        <v>3496.283108</v>
      </c>
      <c r="C65" s="9">
        <f si="0" t="shared"/>
        <v>2.2698399736092801E-3</v>
      </c>
      <c r="E65" s="244">
        <v>54</v>
      </c>
      <c r="F65" s="334" t="n">
        <v>6995.0</v>
      </c>
      <c r="G65" s="9">
        <f si="1" t="shared"/>
        <v>2.9456472666143257E-3</v>
      </c>
    </row>
    <row r="66" spans="1:7" x14ac:dyDescent="0.25">
      <c r="A66">
        <v>55</v>
      </c>
      <c r="B66" s="6" t="n">
        <v>1970.997447</v>
      </c>
      <c r="C66" s="9">
        <f si="0" t="shared"/>
        <v>1.2796014095213361E-3</v>
      </c>
      <c r="E66" s="245">
        <v>55</v>
      </c>
      <c r="F66" s="335" t="n">
        <v>6620.0</v>
      </c>
      <c r="G66" s="9">
        <f si="1" t="shared"/>
        <v>2.7683251341290276E-3</v>
      </c>
    </row>
    <row r="67" spans="1:7" x14ac:dyDescent="0.25">
      <c r="A67">
        <v>56</v>
      </c>
      <c r="B67" s="6" t="n">
        <v>1842.696031</v>
      </c>
      <c r="C67" s="9">
        <f si="0" t="shared"/>
        <v>1.1963061860764408E-3</v>
      </c>
      <c r="E67" s="246">
        <v>56</v>
      </c>
      <c r="F67" s="336" t="n">
        <v>6376.0</v>
      </c>
      <c r="G67" s="9">
        <f si="1" t="shared"/>
        <v>2.6872469222360786E-3</v>
      </c>
    </row>
    <row r="68" spans="1:7" x14ac:dyDescent="0.25">
      <c r="A68">
        <v>57</v>
      </c>
      <c r="B68" s="6" t="n">
        <v>1925.580668</v>
      </c>
      <c r="C68" s="9">
        <f si="0" t="shared"/>
        <v>1.2501161483847605E-3</v>
      </c>
      <c r="E68" s="247">
        <v>57</v>
      </c>
      <c r="F68" s="337" t="n">
        <v>6175.0</v>
      </c>
      <c r="G68" s="9">
        <f si="1" t="shared"/>
        <v>2.5297568703576889E-3</v>
      </c>
    </row>
    <row r="69" spans="1:7" x14ac:dyDescent="0.25">
      <c r="A69">
        <v>58</v>
      </c>
      <c r="B69" s="6" t="n">
        <v>2505.218292</v>
      </c>
      <c r="C69" s="9">
        <f si="0" t="shared"/>
        <v>1.6264256772534696E-3</v>
      </c>
      <c r="E69" s="248">
        <v>58</v>
      </c>
      <c r="F69" s="338" t="n">
        <v>5739.0</v>
      </c>
      <c r="G69" s="9">
        <f si="1" t="shared"/>
        <v>2.4125142761815543E-3</v>
      </c>
    </row>
    <row r="70" spans="1:7" x14ac:dyDescent="0.25">
      <c r="A70">
        <v>59</v>
      </c>
      <c r="B70" s="6" t="n">
        <v>1521.790086</v>
      </c>
      <c r="C70" s="9">
        <f si="0" t="shared"/>
        <v>9.8796918382877815E-4</v>
      </c>
      <c r="E70" s="249">
        <v>59</v>
      </c>
      <c r="F70" s="339" t="n">
        <v>5217.0</v>
      </c>
      <c r="G70" s="9">
        <f si="1" t="shared"/>
        <v>2.3623507781758454E-3</v>
      </c>
    </row>
    <row r="71" spans="1:7" x14ac:dyDescent="0.25">
      <c r="A71">
        <v>60</v>
      </c>
      <c r="B71" s="6" t="n">
        <v>726.0255179999999</v>
      </c>
      <c r="C71" s="9">
        <f si="0" t="shared"/>
        <v>4.7134676789931839E-4</v>
      </c>
      <c r="E71" s="250">
        <v>60</v>
      </c>
      <c r="F71" s="340" t="n">
        <v>4828.0</v>
      </c>
      <c r="G71" s="9">
        <f si="1" t="shared"/>
        <v>2.2235262139274868E-3</v>
      </c>
    </row>
    <row r="72" spans="1:7" x14ac:dyDescent="0.25">
      <c r="A72">
        <v>61</v>
      </c>
      <c r="B72" s="6" t="n">
        <v>2649.854658</v>
      </c>
      <c r="C72" s="9">
        <f si="0" t="shared"/>
        <v>1.7203257977652156E-3</v>
      </c>
      <c r="E72" s="251">
        <v>61</v>
      </c>
      <c r="F72" s="341" t="n">
        <v>4828.0</v>
      </c>
      <c r="G72" s="9">
        <f si="1" t="shared"/>
        <v>2.0957842829594595E-3</v>
      </c>
    </row>
    <row r="73" spans="1:7" x14ac:dyDescent="0.25">
      <c r="A73">
        <v>62</v>
      </c>
      <c r="B73" s="6" t="n">
        <v>1920.309241</v>
      </c>
      <c r="C73" s="9">
        <f si="0" t="shared"/>
        <v>1.246693858097345E-3</v>
      </c>
      <c r="E73" s="252">
        <v>62</v>
      </c>
      <c r="F73" s="342" t="n">
        <v>4873.0</v>
      </c>
      <c r="G73" s="9">
        <f si="1" t="shared"/>
        <v>1.9913742115289716E-3</v>
      </c>
    </row>
    <row r="74" spans="1:7" x14ac:dyDescent="0.25">
      <c r="A74">
        <v>63</v>
      </c>
      <c r="B74" s="6" t="n">
        <v>2279.783967</v>
      </c>
      <c r="C74" s="9">
        <f si="0" t="shared"/>
        <v>1.4800702974108637E-3</v>
      </c>
      <c r="E74" s="253">
        <v>63</v>
      </c>
      <c r="F74" s="343" t="n">
        <v>4110.0</v>
      </c>
      <c r="G74" s="9">
        <f si="1" t="shared"/>
        <v>1.8023861492749041E-3</v>
      </c>
    </row>
    <row r="75" spans="1:7" x14ac:dyDescent="0.25">
      <c r="A75">
        <v>64</v>
      </c>
      <c r="B75" s="6" t="n">
        <v>1184.836518</v>
      </c>
      <c r="C75" s="9">
        <f si="0" t="shared"/>
        <v>7.6921382155658983E-4</v>
      </c>
      <c r="E75" s="254">
        <v>64</v>
      </c>
      <c r="F75" s="344" t="n">
        <v>4042.0</v>
      </c>
      <c r="G75" s="9">
        <f si="1" t="shared"/>
        <v>1.7662217669917183E-3</v>
      </c>
    </row>
    <row r="76" spans="1:7" x14ac:dyDescent="0.25">
      <c r="A76">
        <v>65</v>
      </c>
      <c r="B76" s="6" t="n">
        <v>927.20497</v>
      </c>
      <c r="C76" s="9">
        <f si="0" t="shared"/>
        <v>6.0195551665125427E-4</v>
      </c>
      <c r="E76" s="255">
        <v>65</v>
      </c>
      <c r="F76" s="345" t="n">
        <v>3859.0</v>
      </c>
      <c r="G76" s="9">
        <f si="1" t="shared"/>
        <v>1.714891676009132E-3</v>
      </c>
    </row>
    <row r="77" spans="1:7" x14ac:dyDescent="0.25">
      <c r="A77">
        <v>66</v>
      </c>
      <c r="B77" s="6" t="n">
        <v>1273.982508</v>
      </c>
      <c r="C77" s="9">
        <f ref="C77:C102" si="2" t="shared">B77/B$102</f>
        <v>8.2708874911207686E-4</v>
      </c>
      <c r="E77" s="256">
        <v>66</v>
      </c>
      <c r="F77" s="346" t="n">
        <v>3654.0</v>
      </c>
      <c r="G77" s="9">
        <f ref="G77:G102" si="3" t="shared">F77/F$102</f>
        <v>1.6250640167896062E-3</v>
      </c>
    </row>
    <row r="78" spans="1:7" x14ac:dyDescent="0.25">
      <c r="A78">
        <v>67</v>
      </c>
      <c r="B78" s="6" t="n">
        <v>998.9744529999999</v>
      </c>
      <c r="C78" s="9">
        <f si="2" t="shared"/>
        <v>6.4854935255256353E-4</v>
      </c>
      <c r="E78" s="257">
        <v>67</v>
      </c>
      <c r="F78" s="347" t="n">
        <v>3717.0</v>
      </c>
      <c r="G78" s="9">
        <f si="3" t="shared"/>
        <v>1.5078214226134717E-3</v>
      </c>
    </row>
    <row r="79" spans="1:7" x14ac:dyDescent="0.25">
      <c r="A79">
        <v>68</v>
      </c>
      <c r="B79" s="6" t="n">
        <v>1508.743609</v>
      </c>
      <c r="C79" s="9">
        <f si="2" t="shared"/>
        <v>9.7949921326443389E-4</v>
      </c>
      <c r="E79" s="258">
        <v>68</v>
      </c>
      <c r="F79" s="348" t="n">
        <v>3214.0</v>
      </c>
      <c r="G79" s="9">
        <f si="3" t="shared"/>
        <v>1.4599911105615162E-3</v>
      </c>
    </row>
    <row r="80" spans="1:7" x14ac:dyDescent="0.25">
      <c r="A80">
        <v>69</v>
      </c>
      <c r="B80" s="6" t="n">
        <v>1717.614562</v>
      </c>
      <c r="C80" s="9">
        <f si="2" t="shared"/>
        <v>1.1151014010164634E-3</v>
      </c>
      <c r="E80" s="259">
        <v>69</v>
      </c>
      <c r="F80" s="349" t="n">
        <v>3103.0</v>
      </c>
      <c r="G80" s="9">
        <f si="3" t="shared"/>
        <v>1.4582412210962007E-3</v>
      </c>
    </row>
    <row r="81" spans="1:7" x14ac:dyDescent="0.25">
      <c r="A81">
        <v>70</v>
      </c>
      <c r="B81" s="6" t="n">
        <v>965.219003</v>
      </c>
      <c r="C81" s="9">
        <f si="2" t="shared"/>
        <v>6.2663480290930018E-4</v>
      </c>
      <c r="E81" s="260">
        <v>70</v>
      </c>
      <c r="F81" s="350" t="n">
        <v>2917.0</v>
      </c>
      <c r="G81" s="9">
        <f si="3" t="shared"/>
        <v>1.2978346867756187E-3</v>
      </c>
    </row>
    <row r="82" spans="1:7" x14ac:dyDescent="0.25">
      <c r="A82">
        <v>71</v>
      </c>
      <c r="B82" s="6" t="n">
        <v>569.895367</v>
      </c>
      <c r="C82" s="9">
        <f si="2" t="shared"/>
        <v>3.6998470799788874E-4</v>
      </c>
      <c r="E82" s="261">
        <v>71</v>
      </c>
      <c r="F82" s="351" t="n">
        <v>2815.0</v>
      </c>
      <c r="G82" s="9">
        <f si="3" t="shared"/>
        <v>1.3054175411253189E-3</v>
      </c>
    </row>
    <row r="83" spans="1:7" x14ac:dyDescent="0.25">
      <c r="A83">
        <v>72</v>
      </c>
      <c r="B83" s="6" t="n">
        <v>1359.66316</v>
      </c>
      <c r="C83" s="9">
        <f si="2" t="shared"/>
        <v>8.8271392672698587E-4</v>
      </c>
      <c r="E83" s="262">
        <v>72</v>
      </c>
      <c r="F83" s="352" t="n">
        <v>2769.0</v>
      </c>
      <c r="G83" s="9">
        <f si="3" t="shared"/>
        <v>1.2885019429606029E-3</v>
      </c>
    </row>
    <row r="84" spans="1:7" x14ac:dyDescent="0.25">
      <c r="A84">
        <v>73</v>
      </c>
      <c r="B84" s="6" t="n">
        <v>226.888481</v>
      </c>
      <c r="C84" s="9">
        <f si="2" t="shared"/>
        <v>1.4729943995293006E-4</v>
      </c>
      <c r="E84" s="263">
        <v>73</v>
      </c>
      <c r="F84" s="353" t="n">
        <v>2519.0</v>
      </c>
      <c r="G84" s="9">
        <f si="3" t="shared"/>
        <v>1.2103402135098466E-3</v>
      </c>
    </row>
    <row r="85" spans="1:7" x14ac:dyDescent="0.25">
      <c r="A85">
        <v>74</v>
      </c>
      <c r="B85" s="6" t="n">
        <v>643.161801</v>
      </c>
      <c r="C85" s="9">
        <f si="2" t="shared"/>
        <v>4.1755038717200381E-4</v>
      </c>
      <c r="E85" s="264">
        <v>74</v>
      </c>
      <c r="F85" s="354" t="n">
        <v>2311.0</v>
      </c>
      <c r="G85" s="9">
        <f si="3" t="shared"/>
        <v>1.1969243942757616E-3</v>
      </c>
    </row>
    <row r="86" spans="1:7" x14ac:dyDescent="0.25">
      <c r="A86">
        <v>75</v>
      </c>
      <c r="B86" s="6" t="n">
        <v>1291.297064</v>
      </c>
      <c r="C86" s="9">
        <f si="2" t="shared"/>
        <v>8.383296212382984E-4</v>
      </c>
      <c r="E86" s="265">
        <v>75</v>
      </c>
      <c r="F86" s="355" t="n">
        <v>2273.0</v>
      </c>
      <c r="G86" s="9">
        <f si="3" t="shared"/>
        <v>1.1275121121515825E-3</v>
      </c>
    </row>
    <row r="87" spans="1:7" x14ac:dyDescent="0.25">
      <c r="A87">
        <v>76</v>
      </c>
      <c r="B87" s="6" t="n">
        <v>1230.966737</v>
      </c>
      <c r="C87" s="9">
        <f si="2" t="shared"/>
        <v>7.9916225875206824E-4</v>
      </c>
      <c r="E87" s="266">
        <v>76</v>
      </c>
      <c r="F87" s="356" t="n">
        <v>2040.0</v>
      </c>
      <c r="G87" s="9">
        <f si="3" t="shared"/>
        <v>1.0866813579608887E-3</v>
      </c>
    </row>
    <row r="88" spans="1:7" x14ac:dyDescent="0.25">
      <c r="A88">
        <v>77</v>
      </c>
      <c r="B88" s="6" t="n">
        <v>1403.861754</v>
      </c>
      <c r="C88" s="9">
        <f si="2" t="shared"/>
        <v>9.1140832370215411E-4</v>
      </c>
      <c r="E88" s="267">
        <v>77</v>
      </c>
      <c r="F88" s="357" t="n">
        <v>2020.0</v>
      </c>
      <c r="G88" s="9">
        <f si="3" t="shared"/>
        <v>9.9277062332229354E-4</v>
      </c>
    </row>
    <row r="89" spans="1:7" x14ac:dyDescent="0.25">
      <c r="A89">
        <v>78</v>
      </c>
      <c r="B89" s="6" t="n">
        <v>595.721993</v>
      </c>
      <c r="C89" s="9">
        <f si="2" t="shared"/>
        <v>3.8675174495325442E-4</v>
      </c>
      <c r="E89" s="268">
        <v>78</v>
      </c>
      <c r="F89" s="358" t="n">
        <v>1740.0</v>
      </c>
      <c r="G89" s="9">
        <f si="3" t="shared"/>
        <v>9.5835613050442318E-4</v>
      </c>
    </row>
    <row r="90" spans="1:7" x14ac:dyDescent="0.25">
      <c r="A90">
        <v>79</v>
      </c>
      <c r="B90" s="6" t="n">
        <v>61.657408</v>
      </c>
      <c r="C90" s="9">
        <f si="2" t="shared"/>
        <v>4.002892358096094E-5</v>
      </c>
      <c r="E90" s="269">
        <v>79</v>
      </c>
      <c r="F90" s="359" t="n">
        <v>1705.0</v>
      </c>
      <c r="G90" s="9">
        <f si="3" t="shared"/>
        <v>9.6710557783100039E-4</v>
      </c>
    </row>
    <row r="91" spans="1:7" x14ac:dyDescent="0.25">
      <c r="A91">
        <v>80</v>
      </c>
      <c r="B91" s="6" t="n">
        <v>638.901331</v>
      </c>
      <c r="C91" s="9">
        <f si="2" t="shared"/>
        <v>4.1478442548822735E-4</v>
      </c>
      <c r="E91" s="270">
        <v>80</v>
      </c>
      <c r="F91" s="360" t="n">
        <v>1627.0</v>
      </c>
      <c r="G91" s="9">
        <f si="3" t="shared"/>
        <v>8.8602736593805162E-4</v>
      </c>
    </row>
    <row r="92" spans="1:7" x14ac:dyDescent="0.25">
      <c r="A92">
        <v>81</v>
      </c>
      <c r="B92" s="6" t="n">
        <v>336.035611</v>
      </c>
      <c r="C92" s="9">
        <f si="2" t="shared"/>
        <v>2.1815941067779751E-4</v>
      </c>
      <c r="E92" s="271">
        <v>81</v>
      </c>
      <c r="F92" s="361" t="n">
        <v>1519.0</v>
      </c>
      <c r="G92" s="9">
        <f si="3" t="shared"/>
        <v>8.2478123465201116E-4</v>
      </c>
    </row>
    <row r="93" spans="1:7" x14ac:dyDescent="0.25">
      <c r="A93">
        <v>82</v>
      </c>
      <c r="B93" s="6" t="n">
        <v>1580.015256</v>
      </c>
      <c r="C93" s="9">
        <f si="2" t="shared"/>
        <v>1.0257698464907321E-3</v>
      </c>
      <c r="E93" s="272">
        <v>82</v>
      </c>
      <c r="F93" s="362" t="n">
        <v>1543.0</v>
      </c>
      <c r="G93" s="9">
        <f si="3" t="shared"/>
        <v>7.658682893197246E-4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273">
        <v>83</v>
      </c>
      <c r="F94" s="363" t="n">
        <v>1361.0</v>
      </c>
      <c r="G94" s="9">
        <f si="3" t="shared"/>
        <v>7.0870523345275356E-4</v>
      </c>
    </row>
    <row r="95" spans="1:7" x14ac:dyDescent="0.25">
      <c r="A95">
        <v>84</v>
      </c>
      <c r="B95" s="6" t="n">
        <v>20.848398</v>
      </c>
      <c r="C95" s="9">
        <f si="2" t="shared"/>
        <v>1.3535095901654815E-5</v>
      </c>
      <c r="E95" s="274">
        <v>84</v>
      </c>
      <c r="F95" s="364" t="n">
        <v>1262.0</v>
      </c>
      <c r="G95" s="9">
        <f si="3" t="shared"/>
        <v>6.5912503193548278E-4</v>
      </c>
    </row>
    <row r="96" spans="1:7" x14ac:dyDescent="0.25">
      <c r="A96">
        <v>85</v>
      </c>
      <c r="B96" s="6" t="n">
        <v>288.496806</v>
      </c>
      <c r="C96" s="9">
        <f si="2" t="shared"/>
        <v>1.872964981065262E-4</v>
      </c>
      <c r="E96" s="275">
        <v>85</v>
      </c>
      <c r="F96" s="365" t="n">
        <v>1251.0</v>
      </c>
      <c r="G96" s="9">
        <f si="3" t="shared"/>
        <v>6.1946087072166606E-4</v>
      </c>
    </row>
    <row r="97" spans="1:7" x14ac:dyDescent="0.25">
      <c r="A97">
        <v>86</v>
      </c>
      <c r="B97" s="6" t="n">
        <v>476.341966</v>
      </c>
      <c r="C97" s="9">
        <f si="2" t="shared"/>
        <v>3.09248422434798E-4</v>
      </c>
      <c r="E97" s="276">
        <v>86</v>
      </c>
      <c r="F97" s="366" t="n">
        <v>1233.0</v>
      </c>
      <c r="G97" s="9">
        <f si="3" t="shared"/>
        <v>5.7454704111190307E-4</v>
      </c>
    </row>
    <row r="98" spans="1:7" x14ac:dyDescent="0.25">
      <c r="A98">
        <v>87</v>
      </c>
      <c r="B98" s="6" t="n">
        <v>457.67477199999996</v>
      </c>
      <c r="C98" s="9">
        <f si="2" t="shared"/>
        <v>2.9712939722217516E-4</v>
      </c>
      <c r="E98" s="277">
        <v>87</v>
      </c>
      <c r="F98" s="367" t="n">
        <v>1089.0</v>
      </c>
      <c r="G98" s="9">
        <f si="3" t="shared"/>
        <v>5.5238177455124086E-4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278">
        <v>88</v>
      </c>
      <c r="F99" s="368" t="n">
        <v>1001.0</v>
      </c>
      <c r="G99" s="9">
        <f si="3" t="shared"/>
        <v>5.1971717119868592E-4</v>
      </c>
    </row>
    <row r="100" spans="1:7" x14ac:dyDescent="0.25">
      <c r="A100">
        <v>89</v>
      </c>
      <c r="B100" s="6" t="n">
        <v>34.089124</v>
      </c>
      <c r="C100" s="9">
        <f si="2" t="shared"/>
        <v>2.2131175860294052E-5</v>
      </c>
      <c r="E100" s="279">
        <v>89</v>
      </c>
      <c r="F100" s="369" t="n">
        <v>906.0</v>
      </c>
      <c r="G100" s="9">
        <f si="3" t="shared"/>
        <v>4.5788774342420704E-4</v>
      </c>
    </row>
    <row ht="15.75" r="101" spans="1:7" thickBot="1" x14ac:dyDescent="0.3">
      <c r="A101" s="1">
        <v>90</v>
      </c>
      <c r="B101" s="7" t="n">
        <v>626.89622</v>
      </c>
      <c r="C101" s="9">
        <f si="2" t="shared"/>
        <v>4.0699052551111583E-4</v>
      </c>
      <c r="E101" s="372">
        <v>90</v>
      </c>
      <c r="F101" s="372" t="n">
        <v>14193.0</v>
      </c>
      <c r="G101" s="9">
        <f si="3" t="shared"/>
        <v>9.510065947500982E-3</v>
      </c>
    </row>
    <row r="102" spans="1:7" x14ac:dyDescent="0.25">
      <c r="B102" s="6">
        <f>SUM(B11:B101)</f>
        <v>1540321.4097249988</v>
      </c>
      <c r="C102" s="9">
        <f si="2" t="shared"/>
        <v>1</v>
      </c>
      <c r="F102" s="6">
        <f>SUM(F11:F101)</f>
        <v>1714394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M102"/>
  <sheetViews>
    <sheetView workbookViewId="0">
      <selection activeCell="L30" sqref="L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59761.774945</v>
      </c>
      <c r="C11" s="9">
        <f>B11/B$102</f>
        <v>8.2377379523211267E-2</v>
      </c>
      <c r="E11" s="371">
        <v>0</v>
      </c>
      <c r="F11" s="371" t="n">
        <v>67588.0</v>
      </c>
      <c r="G11" s="9">
        <f>F11/F$102</f>
        <v>7.8682240599421138E-2</v>
      </c>
      <c r="K11" s="6" t="n">
        <v>9.71460666895821</v>
      </c>
      <c r="L11" s="6" t="n">
        <v>10.597123518097652</v>
      </c>
    </row>
    <row r="12" spans="1:12" x14ac:dyDescent="0.25">
      <c r="A12">
        <v>1</v>
      </c>
      <c r="B12" s="6" t="n">
        <v>68341.516429</v>
      </c>
      <c r="C12" s="9">
        <f>B12/B$102</f>
        <v>9.4203946272424607E-2</v>
      </c>
      <c r="E12" s="371">
        <v>1</v>
      </c>
      <c r="F12" s="371" t="n">
        <v>81774.0</v>
      </c>
      <c r="G12" s="9">
        <f>F12/F$102</f>
        <v>9.1380269523556906E-2</v>
      </c>
      <c r="K12" s="6"/>
      <c r="L12" s="371"/>
    </row>
    <row r="13" spans="1:12" x14ac:dyDescent="0.25">
      <c r="A13">
        <v>2</v>
      </c>
      <c r="B13" s="6" t="n">
        <v>63532.654426</v>
      </c>
      <c r="C13" s="9">
        <f ref="C13:C76" si="0" t="shared">B13/B$102</f>
        <v>8.7575270155283547E-2</v>
      </c>
      <c r="E13" s="371">
        <v>2</v>
      </c>
      <c r="F13" s="371" t="n">
        <v>74027.0</v>
      </c>
      <c r="G13" s="9">
        <f ref="G13:G76" si="1" t="shared">F13/F$102</f>
        <v>8.6926159183683044E-2</v>
      </c>
    </row>
    <row r="14" spans="1:12" x14ac:dyDescent="0.25">
      <c r="A14">
        <v>3</v>
      </c>
      <c r="B14" s="6" t="n">
        <v>55759.462135</v>
      </c>
      <c r="C14" s="9">
        <f si="0" t="shared"/>
        <v>7.6860474417507665E-2</v>
      </c>
      <c r="E14" s="371">
        <v>3</v>
      </c>
      <c r="F14" s="371" t="n">
        <v>65491.0</v>
      </c>
      <c r="G14" s="9">
        <f si="1" t="shared"/>
        <v>7.3452328695737909E-2</v>
      </c>
    </row>
    <row r="15" spans="1:12" x14ac:dyDescent="0.25">
      <c r="A15">
        <v>4</v>
      </c>
      <c r="B15" s="6" t="n">
        <v>47189.272067</v>
      </c>
      <c r="C15" s="9">
        <f si="0" t="shared"/>
        <v>6.504707361963262E-2</v>
      </c>
      <c r="E15" s="371">
        <v>4</v>
      </c>
      <c r="F15" s="371" t="n">
        <v>56132.0</v>
      </c>
      <c r="G15" s="9">
        <f si="1" t="shared"/>
        <v>6.4951374495024777E-2</v>
      </c>
    </row>
    <row r="16" spans="1:12" x14ac:dyDescent="0.25">
      <c r="A16">
        <v>5</v>
      </c>
      <c r="B16" s="6" t="n">
        <v>39133.874738</v>
      </c>
      <c r="C16" s="9">
        <f si="0" t="shared"/>
        <v>5.3943278198696674E-2</v>
      </c>
      <c r="E16" s="371">
        <v>5</v>
      </c>
      <c r="F16" s="371" t="n">
        <v>52318.0</v>
      </c>
      <c r="G16" s="9">
        <f si="1" t="shared"/>
        <v>5.8154601641741646E-2</v>
      </c>
    </row>
    <row r="17" spans="1:7" x14ac:dyDescent="0.25">
      <c r="A17">
        <v>6</v>
      </c>
      <c r="B17" s="6" t="n">
        <v>31856.78459</v>
      </c>
      <c r="C17" s="9">
        <f si="0" t="shared"/>
        <v>4.3912324173349872E-2</v>
      </c>
      <c r="E17" s="371">
        <v>6</v>
      </c>
      <c r="F17" s="371" t="n">
        <v>43877.0</v>
      </c>
      <c r="G17" s="9">
        <f si="1" t="shared"/>
        <v>4.9798009910542215E-2</v>
      </c>
    </row>
    <row r="18" spans="1:7" x14ac:dyDescent="0.25">
      <c r="A18">
        <v>7</v>
      </c>
      <c r="B18" s="6" t="n">
        <v>33201.232815</v>
      </c>
      <c r="C18" s="9">
        <f si="0" t="shared"/>
        <v>4.576555095220744E-2</v>
      </c>
      <c r="E18" s="371">
        <v>7</v>
      </c>
      <c r="F18" s="371" t="n">
        <v>37246.0</v>
      </c>
      <c r="G18" s="9">
        <f si="1" t="shared"/>
        <v>4.3968348235139468E-2</v>
      </c>
    </row>
    <row r="19" spans="1:7" x14ac:dyDescent="0.25">
      <c r="A19">
        <v>8</v>
      </c>
      <c r="B19" s="6" t="n">
        <v>32012.983834</v>
      </c>
      <c r="C19" s="9">
        <f si="0" t="shared"/>
        <v>4.4127633782478262E-2</v>
      </c>
      <c r="E19" s="371">
        <v>8</v>
      </c>
      <c r="F19" s="371" t="n">
        <v>34499.0</v>
      </c>
      <c r="G19" s="9">
        <f si="1" t="shared"/>
        <v>3.9854604693306039E-2</v>
      </c>
    </row>
    <row r="20" spans="1:7" x14ac:dyDescent="0.25">
      <c r="A20">
        <v>9</v>
      </c>
      <c r="B20" s="6" t="n">
        <v>24370.467094</v>
      </c>
      <c r="C20" s="9">
        <f si="0" t="shared"/>
        <v>3.359296504844414E-2</v>
      </c>
      <c r="E20" s="371">
        <v>9</v>
      </c>
      <c r="F20" s="371" t="n">
        <v>32501.0</v>
      </c>
      <c r="G20" s="9">
        <f si="1" t="shared"/>
        <v>4.0638622007412951E-2</v>
      </c>
    </row>
    <row r="21" spans="1:7" x14ac:dyDescent="0.25">
      <c r="A21">
        <v>10</v>
      </c>
      <c r="B21" s="6" t="n">
        <v>25107.529338</v>
      </c>
      <c r="C21" s="9">
        <f si="0" t="shared"/>
        <v>3.4608953215832024E-2</v>
      </c>
      <c r="E21" s="371">
        <v>10</v>
      </c>
      <c r="F21" s="371" t="n">
        <v>31965.0</v>
      </c>
      <c r="G21" s="9">
        <f si="1" t="shared"/>
        <v>3.9017771841572166E-2</v>
      </c>
    </row>
    <row r="22" spans="1:7" x14ac:dyDescent="0.25">
      <c r="A22">
        <v>11</v>
      </c>
      <c r="B22" s="6" t="n">
        <v>28988.414013999998</v>
      </c>
      <c r="C22" s="9">
        <f si="0" t="shared"/>
        <v>3.9958478228013981E-2</v>
      </c>
      <c r="E22" s="371">
        <v>11</v>
      </c>
      <c r="F22" s="371" t="n">
        <v>30360.0</v>
      </c>
      <c r="G22" s="9">
        <f si="1" t="shared"/>
        <v>3.6058928055848323E-2</v>
      </c>
    </row>
    <row r="23" spans="1:7" x14ac:dyDescent="0.25">
      <c r="A23">
        <v>12</v>
      </c>
      <c r="B23" s="6" t="n">
        <v>21202.715955</v>
      </c>
      <c r="C23" s="9">
        <f si="0" t="shared"/>
        <v>2.9226444173643375E-2</v>
      </c>
      <c r="E23" s="371">
        <v>12</v>
      </c>
      <c r="F23" s="371" t="n">
        <v>30700.0</v>
      </c>
      <c r="G23" s="9">
        <f si="1" t="shared"/>
        <v>3.2677559969108781E-2</v>
      </c>
    </row>
    <row r="24" spans="1:7" x14ac:dyDescent="0.25">
      <c r="A24">
        <v>13</v>
      </c>
      <c r="B24" s="6" t="n">
        <v>18444.436919</v>
      </c>
      <c r="C24" s="9">
        <f si="0" t="shared"/>
        <v>2.5424351628892079E-2</v>
      </c>
      <c r="E24" s="371">
        <v>13</v>
      </c>
      <c r="F24" s="371" t="n">
        <v>26701.0</v>
      </c>
      <c r="G24" s="9">
        <f si="1" t="shared"/>
        <v>2.7996929656745953E-2</v>
      </c>
    </row>
    <row r="25" spans="1:7" x14ac:dyDescent="0.25">
      <c r="A25">
        <v>14</v>
      </c>
      <c r="B25" s="6" t="n">
        <v>18636.917099</v>
      </c>
      <c r="C25" s="9">
        <f si="0" t="shared"/>
        <v>2.5689671941970939E-2</v>
      </c>
      <c r="E25" s="371">
        <v>14</v>
      </c>
      <c r="F25" s="371" t="n">
        <v>25008.0</v>
      </c>
      <c r="G25" s="9">
        <f si="1" t="shared"/>
        <v>2.518362201914974E-2</v>
      </c>
    </row>
    <row r="26" spans="1:7" x14ac:dyDescent="0.25">
      <c r="A26">
        <v>15</v>
      </c>
      <c r="B26" s="6" t="n">
        <v>14290.785529</v>
      </c>
      <c r="C26" s="9">
        <f si="0" t="shared"/>
        <v>1.9698836995565887E-2</v>
      </c>
      <c r="E26" s="371">
        <v>15</v>
      </c>
      <c r="F26" s="371" t="n">
        <v>23392.0</v>
      </c>
      <c r="G26" s="9">
        <f si="1" t="shared"/>
        <v>2.3346814988345371E-2</v>
      </c>
    </row>
    <row r="27" spans="1:7" x14ac:dyDescent="0.25">
      <c r="A27">
        <v>16</v>
      </c>
      <c r="B27" s="6" t="n">
        <v>13419.977026</v>
      </c>
      <c r="C27" s="9">
        <f si="0" t="shared"/>
        <v>1.8498489070664235E-2</v>
      </c>
      <c r="E27" s="371">
        <v>16</v>
      </c>
      <c r="F27" s="371" t="n">
        <v>22224.0</v>
      </c>
      <c r="G27" s="9">
        <f si="1" t="shared"/>
        <v>2.0348066129747825E-2</v>
      </c>
    </row>
    <row r="28" spans="1:7" x14ac:dyDescent="0.25">
      <c r="A28">
        <v>17</v>
      </c>
      <c r="B28" s="6" t="n">
        <v>9106.843873</v>
      </c>
      <c r="C28" s="9">
        <f si="0" t="shared"/>
        <v>1.2553140107956547E-2</v>
      </c>
      <c r="E28" s="371">
        <v>17</v>
      </c>
      <c r="F28" s="371" t="n">
        <v>19810.0</v>
      </c>
      <c r="G28" s="9">
        <f si="1" t="shared"/>
        <v>1.7950240721483719E-2</v>
      </c>
    </row>
    <row r="29" spans="1:7" x14ac:dyDescent="0.25">
      <c r="A29">
        <v>18</v>
      </c>
      <c r="B29" s="6" t="n">
        <v>15442.822591</v>
      </c>
      <c r="C29" s="9">
        <f si="0" t="shared"/>
        <v>2.1286838596397177E-2</v>
      </c>
      <c r="E29" s="371">
        <v>18</v>
      </c>
      <c r="F29" s="371" t="n">
        <v>17459.0</v>
      </c>
      <c r="G29" s="9">
        <f si="1" t="shared"/>
        <v>1.6904493076469858E-2</v>
      </c>
    </row>
    <row r="30" spans="1:7" x14ac:dyDescent="0.25">
      <c r="A30">
        <v>19</v>
      </c>
      <c r="B30" s="6" t="n">
        <v>9970.460064</v>
      </c>
      <c r="C30" s="9">
        <f si="0" t="shared"/>
        <v>1.3743573939513108E-2</v>
      </c>
      <c r="E30" s="371">
        <v>19</v>
      </c>
      <c r="F30" s="371" t="n">
        <v>14937.0</v>
      </c>
      <c r="G30" s="9">
        <f si="1" t="shared"/>
        <v>1.4338831626413402E-2</v>
      </c>
    </row>
    <row r="31" spans="1:7" x14ac:dyDescent="0.25">
      <c r="A31">
        <v>20</v>
      </c>
      <c r="B31" s="6" t="n">
        <v>7849.207625</v>
      </c>
      <c r="C31" s="9">
        <f si="0" t="shared"/>
        <v>1.0819577498763808E-2</v>
      </c>
      <c r="E31" s="371">
        <v>20</v>
      </c>
      <c r="F31" s="371" t="n">
        <v>13651.0</v>
      </c>
      <c r="G31" s="9">
        <f si="1" t="shared"/>
        <v>1.235062005441174E-2</v>
      </c>
    </row>
    <row r="32" spans="1:7" x14ac:dyDescent="0.25">
      <c r="A32">
        <v>21</v>
      </c>
      <c r="B32" s="6" t="n">
        <v>10598.531284</v>
      </c>
      <c r="C32" s="9">
        <f si="0" t="shared"/>
        <v>1.4609325689777597E-2</v>
      </c>
      <c r="E32" s="371">
        <v>21</v>
      </c>
      <c r="F32" s="371" t="n">
        <v>12042.0</v>
      </c>
      <c r="G32" s="9">
        <f si="1" t="shared"/>
        <v>1.0914037430958356E-2</v>
      </c>
    </row>
    <row r="33" spans="1:7" x14ac:dyDescent="0.25">
      <c r="A33">
        <v>22</v>
      </c>
      <c r="B33" s="6" t="n">
        <v>6549.894816</v>
      </c>
      <c r="C33" s="9">
        <f si="0" t="shared"/>
        <v>9.0285666982166651E-3</v>
      </c>
      <c r="E33" s="371">
        <v>22</v>
      </c>
      <c r="F33" s="371" t="n">
        <v>10355.0</v>
      </c>
      <c r="G33" s="9">
        <f si="1" t="shared"/>
        <v>9.6194699197908028E-3</v>
      </c>
    </row>
    <row r="34" spans="1:7" x14ac:dyDescent="0.25">
      <c r="A34">
        <v>23</v>
      </c>
      <c r="B34" s="6" t="n">
        <v>5704.290829</v>
      </c>
      <c r="C34" s="9">
        <f si="0" t="shared"/>
        <v>7.8629614157840737E-3</v>
      </c>
      <c r="E34" s="371">
        <v>23</v>
      </c>
      <c r="F34" s="371" t="n">
        <v>10367.0</v>
      </c>
      <c r="G34" s="9">
        <f si="1" t="shared"/>
        <v>8.523254094377845E-3</v>
      </c>
    </row>
    <row r="35" spans="1:7" x14ac:dyDescent="0.25">
      <c r="A35">
        <v>24</v>
      </c>
      <c r="B35" s="6" t="n">
        <v>8224.050435</v>
      </c>
      <c r="C35" s="9">
        <f si="0" t="shared"/>
        <v>1.1336271797909627E-2</v>
      </c>
      <c r="E35" s="371">
        <v>24</v>
      </c>
      <c r="F35" s="371" t="n">
        <v>9224.0</v>
      </c>
      <c r="G35" s="9">
        <f si="1" t="shared"/>
        <v>8.0549563274187764E-3</v>
      </c>
    </row>
    <row r="36" spans="1:7" x14ac:dyDescent="0.25">
      <c r="A36">
        <v>25</v>
      </c>
      <c r="B36" s="6" t="n">
        <v>4687.184774</v>
      </c>
      <c r="C36" s="9">
        <f si="0" t="shared"/>
        <v>6.4609526637816172E-3</v>
      </c>
      <c r="E36" s="371">
        <v>25</v>
      </c>
      <c r="F36" s="371" t="n">
        <v>9100.0</v>
      </c>
      <c r="G36" s="9">
        <f si="1" t="shared"/>
        <v>7.4751590921361185E-3</v>
      </c>
    </row>
    <row r="37" spans="1:7" x14ac:dyDescent="0.25">
      <c r="A37">
        <v>26</v>
      </c>
      <c r="B37" s="6" t="n">
        <v>6962.482467</v>
      </c>
      <c r="C37" s="9">
        <f si="0" t="shared"/>
        <v>9.5972895908064005E-3</v>
      </c>
      <c r="E37" s="371">
        <v>26</v>
      </c>
      <c r="F37" s="371" t="n">
        <v>8446.0</v>
      </c>
      <c r="G37" s="9">
        <f si="1" t="shared"/>
        <v>7.3014546572741082E-3</v>
      </c>
    </row>
    <row r="38" spans="1:7" x14ac:dyDescent="0.25">
      <c r="A38">
        <v>27</v>
      </c>
      <c r="B38" s="6" t="n">
        <v>5200.28765</v>
      </c>
      <c r="C38" s="9">
        <f si="0" t="shared"/>
        <v>7.1682286841073754E-3</v>
      </c>
      <c r="E38" s="371">
        <v>27</v>
      </c>
      <c r="F38" s="371" t="n">
        <v>8165.0</v>
      </c>
      <c r="G38" s="9">
        <f si="1" t="shared"/>
        <v>6.8319832117011061E-3</v>
      </c>
    </row>
    <row r="39" spans="1:7" x14ac:dyDescent="0.25">
      <c r="A39">
        <v>28</v>
      </c>
      <c r="B39" s="6" t="n">
        <v>6206.783621</v>
      </c>
      <c r="C39" s="9">
        <f si="0" t="shared"/>
        <v>8.5556121858182278E-3</v>
      </c>
      <c r="E39" s="371">
        <v>28</v>
      </c>
      <c r="F39" s="371" t="n">
        <v>7569.0</v>
      </c>
      <c r="G39" s="9">
        <f si="1" t="shared"/>
        <v>6.4118062679132696E-3</v>
      </c>
    </row>
    <row r="40" spans="1:7" x14ac:dyDescent="0.25">
      <c r="A40">
        <v>29</v>
      </c>
      <c r="B40" s="6" t="n">
        <v>4023.010153</v>
      </c>
      <c r="C40" s="9">
        <f si="0" t="shared"/>
        <v>5.5454349290062445E-3</v>
      </c>
      <c r="E40" s="371">
        <v>29</v>
      </c>
      <c r="F40" s="371" t="n">
        <v>7137.0</v>
      </c>
      <c r="G40" s="9">
        <f si="1" t="shared"/>
        <v>5.9341190720427405E-3</v>
      </c>
    </row>
    <row r="41" spans="1:7" x14ac:dyDescent="0.25">
      <c r="A41">
        <v>30</v>
      </c>
      <c r="B41" s="6" t="n">
        <v>3205.106615</v>
      </c>
      <c r="C41" s="9">
        <f si="0" t="shared"/>
        <v>4.4180127561338446E-3</v>
      </c>
      <c r="E41" s="371">
        <v>30</v>
      </c>
      <c r="F41" s="371" t="n">
        <v>6879.0</v>
      </c>
      <c r="G41" s="9">
        <f si="1" t="shared"/>
        <v>5.5925785953883818E-3</v>
      </c>
    </row>
    <row r="42" spans="1:7" x14ac:dyDescent="0.25">
      <c r="A42">
        <v>31</v>
      </c>
      <c r="B42" s="6" t="n">
        <v>4432.386911</v>
      </c>
      <c r="C42" s="9">
        <f si="0" t="shared"/>
        <v>6.109731832717423E-3</v>
      </c>
      <c r="E42" s="371">
        <v>31</v>
      </c>
      <c r="F42" s="371" t="n">
        <v>6408.0</v>
      </c>
      <c r="G42" s="9">
        <f si="1" t="shared"/>
        <v>4.8202980674207944E-3</v>
      </c>
    </row>
    <row r="43" spans="1:7" x14ac:dyDescent="0.25">
      <c r="A43">
        <v>32</v>
      </c>
      <c r="B43" s="6" t="n">
        <v>3184.4521</v>
      </c>
      <c r="C43" s="9">
        <f si="0" t="shared"/>
        <v>4.3895419681997724E-3</v>
      </c>
      <c r="E43" s="371">
        <v>32</v>
      </c>
      <c r="F43" s="371" t="n">
        <v>5381.0</v>
      </c>
      <c r="G43" s="9">
        <f si="1" t="shared"/>
        <v>4.0621016828203968E-3</v>
      </c>
    </row>
    <row r="44" spans="1:7" x14ac:dyDescent="0.25">
      <c r="A44">
        <v>33</v>
      </c>
      <c r="B44" s="6" t="n">
        <v>1418.534641</v>
      </c>
      <c r="C44" s="9">
        <f si="0" t="shared"/>
        <v>1.9553496628241626E-3</v>
      </c>
      <c r="E44" s="371">
        <v>33</v>
      </c>
      <c r="F44" s="371" t="n">
        <v>4572.0</v>
      </c>
      <c r="G44" s="9">
        <f si="1" t="shared"/>
        <v>3.2651739039602262E-3</v>
      </c>
    </row>
    <row r="45" spans="1:7" x14ac:dyDescent="0.25">
      <c r="A45">
        <v>34</v>
      </c>
      <c r="B45" s="6" t="n">
        <v>2408.190534</v>
      </c>
      <c r="C45" s="9">
        <f si="0" t="shared"/>
        <v>3.3195203081919241E-3</v>
      </c>
      <c r="E45" s="371">
        <v>34</v>
      </c>
      <c r="F45" s="371" t="n">
        <v>3710.0</v>
      </c>
      <c r="G45" s="9">
        <f si="1" t="shared"/>
        <v>2.719413348481612E-3</v>
      </c>
    </row>
    <row r="46" spans="1:7" x14ac:dyDescent="0.25">
      <c r="A46">
        <v>35</v>
      </c>
      <c r="B46" s="6" t="n">
        <v>2139.934891</v>
      </c>
      <c r="C46" s="9">
        <f si="0" t="shared"/>
        <v>2.949748879331394E-3</v>
      </c>
      <c r="E46" s="371">
        <v>35</v>
      </c>
      <c r="F46" s="371" t="n">
        <v>3110.0</v>
      </c>
      <c r="G46" s="9">
        <f si="1" t="shared"/>
        <v>2.1853895791423225E-3</v>
      </c>
    </row>
    <row r="47" spans="1:7" x14ac:dyDescent="0.25">
      <c r="A47">
        <v>36</v>
      </c>
      <c r="B47" s="6" t="n">
        <v>2229.1477999999997</v>
      </c>
      <c r="C47" s="9">
        <f si="0" t="shared"/>
        <v>3.0727225639287179E-3</v>
      </c>
      <c r="E47" s="371">
        <v>36</v>
      </c>
      <c r="F47" s="371" t="n">
        <v>2485.0</v>
      </c>
      <c r="G47" s="9">
        <f si="1" t="shared"/>
        <v>1.9224855696214416E-3</v>
      </c>
    </row>
    <row r="48" spans="1:7" x14ac:dyDescent="0.25">
      <c r="A48">
        <v>37</v>
      </c>
      <c r="B48" s="6" t="n">
        <v>707.65512</v>
      </c>
      <c r="C48" s="9">
        <f si="0" t="shared"/>
        <v>9.7545252706154569E-4</v>
      </c>
      <c r="E48" s="371">
        <v>37</v>
      </c>
      <c r="F48" s="371" t="n">
        <v>2153.0</v>
      </c>
      <c r="G48" s="9">
        <f si="1" t="shared"/>
        <v>1.4706193032574277E-3</v>
      </c>
    </row>
    <row r="49" spans="1:7" x14ac:dyDescent="0.25">
      <c r="A49">
        <v>38</v>
      </c>
      <c r="B49" s="6" t="n">
        <v>933.759933</v>
      </c>
      <c r="C49" s="9">
        <f si="0" t="shared"/>
        <v>1.2871220182985035E-3</v>
      </c>
      <c r="E49" s="371">
        <v>38</v>
      </c>
      <c r="F49" s="371" t="n">
        <v>1887.0</v>
      </c>
      <c r="G49" s="9">
        <f si="1" t="shared"/>
        <v>1.3344725840412572E-3</v>
      </c>
    </row>
    <row r="50" spans="1:7" x14ac:dyDescent="0.25">
      <c r="A50">
        <v>39</v>
      </c>
      <c r="B50" s="6" t="n">
        <v>912.4904710000001</v>
      </c>
      <c r="C50" s="9">
        <f si="0" t="shared"/>
        <v>1.257803569423097E-3</v>
      </c>
      <c r="E50" s="371">
        <v>39</v>
      </c>
      <c r="F50" s="371" t="n">
        <v>1718.0</v>
      </c>
      <c r="G50" s="9">
        <f si="1" t="shared"/>
        <v>1.1537260774956515E-3</v>
      </c>
    </row>
    <row r="51" spans="1:7" x14ac:dyDescent="0.25">
      <c r="A51">
        <v>40</v>
      </c>
      <c r="B51" s="6" t="n">
        <v>1188.936006</v>
      </c>
      <c r="C51" s="9">
        <f si="0" t="shared"/>
        <v>1.6388641850950797E-3</v>
      </c>
      <c r="E51" s="371">
        <v>40</v>
      </c>
      <c r="F51" s="371" t="n">
        <v>1437.0</v>
      </c>
      <c r="G51" s="9">
        <f si="1" t="shared"/>
        <v>1.0117109652098186E-3</v>
      </c>
    </row>
    <row r="52" spans="1:7" x14ac:dyDescent="0.25">
      <c r="A52">
        <v>41</v>
      </c>
      <c r="B52" s="6" t="n">
        <v>658.130011</v>
      </c>
      <c r="C52" s="9">
        <f si="0" t="shared"/>
        <v>9.0718566745478049E-4</v>
      </c>
      <c r="E52" s="371">
        <v>41</v>
      </c>
      <c r="F52" s="371" t="n">
        <v>1368.0</v>
      </c>
      <c r="G52" s="9">
        <f si="1" t="shared"/>
        <v>8.0279617192983283E-4</v>
      </c>
    </row>
    <row r="53" spans="1:7" x14ac:dyDescent="0.25">
      <c r="A53">
        <v>42</v>
      </c>
      <c r="B53" s="6" t="n">
        <v>707.2737950000001</v>
      </c>
      <c r="C53" s="9">
        <f si="0" t="shared"/>
        <v>9.7492689752200147E-4</v>
      </c>
      <c r="E53" s="371">
        <v>42</v>
      </c>
      <c r="F53" s="371" t="n">
        <v>1212.0</v>
      </c>
      <c r="G53" s="9">
        <f si="1" t="shared"/>
        <v>7.5819638460039769E-4</v>
      </c>
    </row>
    <row r="54" spans="1:7" x14ac:dyDescent="0.25">
      <c r="A54">
        <v>43</v>
      </c>
      <c r="B54" s="6" t="n">
        <v>1067.479327</v>
      </c>
      <c r="C54" s="9">
        <f si="0" t="shared"/>
        <v>1.4714447443100645E-3</v>
      </c>
      <c r="E54" s="371">
        <v>43</v>
      </c>
      <c r="F54" s="371" t="n">
        <v>1084.0</v>
      </c>
      <c r="G54" s="9">
        <f si="1" t="shared"/>
        <v>6.643020954857973E-4</v>
      </c>
    </row>
    <row r="55" spans="1:7" x14ac:dyDescent="0.25">
      <c r="A55">
        <v>44</v>
      </c>
      <c r="B55" s="6" t="n">
        <v>467.973919</v>
      </c>
      <c r="C55" s="9">
        <f si="0" t="shared"/>
        <v>6.4506894528996712E-4</v>
      </c>
      <c r="E55" s="371">
        <v>44</v>
      </c>
      <c r="F55" s="371" t="n">
        <v>974.0</v>
      </c>
      <c r="G55" s="9">
        <f si="1" t="shared"/>
        <v>4.9177133923771919E-4</v>
      </c>
    </row>
    <row r="56" spans="1:7" x14ac:dyDescent="0.25">
      <c r="A56">
        <v>45</v>
      </c>
      <c r="B56" s="6" t="n">
        <v>759.868714</v>
      </c>
      <c r="C56" s="9">
        <f si="0" t="shared"/>
        <v>1.0474252730713045E-3</v>
      </c>
      <c r="E56" s="371">
        <v>45</v>
      </c>
      <c r="F56" s="371" t="n">
        <v>723.0</v>
      </c>
      <c r="G56" s="9">
        <f si="1" t="shared"/>
        <v>4.6360305250333912E-4</v>
      </c>
    </row>
    <row r="57" spans="1:7" x14ac:dyDescent="0.25">
      <c r="A57">
        <v>46</v>
      </c>
      <c r="B57" s="6" t="n">
        <v>367.050419</v>
      </c>
      <c r="C57" s="9">
        <f si="0" t="shared"/>
        <v>5.0595303934570439E-4</v>
      </c>
      <c r="E57" s="371">
        <v>46</v>
      </c>
      <c r="F57" s="371" t="n">
        <v>636.0</v>
      </c>
      <c r="G57" s="9">
        <f si="1" t="shared"/>
        <v>3.7088244200267128E-4</v>
      </c>
    </row>
    <row r="58" spans="1:7" x14ac:dyDescent="0.25">
      <c r="A58">
        <v>47</v>
      </c>
      <c r="B58" s="6" t="n">
        <v>450.318993</v>
      </c>
      <c r="C58" s="9">
        <f si="0" t="shared"/>
        <v>6.2073287861700265E-4</v>
      </c>
      <c r="E58" s="371">
        <v>47</v>
      </c>
      <c r="F58" s="371" t="n">
        <v>541.0</v>
      </c>
      <c r="G58" s="9">
        <f si="1" t="shared"/>
        <v>2.9694068932492352E-4</v>
      </c>
    </row>
    <row r="59" spans="1:7" x14ac:dyDescent="0.25">
      <c r="A59">
        <v>48</v>
      </c>
      <c r="B59" s="6" t="n">
        <v>367.795839</v>
      </c>
      <c r="C59" s="9">
        <f si="0" t="shared"/>
        <v>5.069805480885539E-4</v>
      </c>
      <c r="E59" s="371">
        <v>48</v>
      </c>
      <c r="F59" s="371" t="n">
        <v>476.0</v>
      </c>
      <c r="G59" s="9">
        <f si="1" t="shared"/>
        <v>2.6759872397661094E-4</v>
      </c>
    </row>
    <row r="60" spans="1:7" x14ac:dyDescent="0.25">
      <c r="A60">
        <v>49</v>
      </c>
      <c r="B60" s="6" t="n">
        <v>248.77021000000002</v>
      </c>
      <c r="C60" s="9">
        <f si="0" t="shared"/>
        <v>3.4291213776865121E-4</v>
      </c>
      <c r="E60" s="371">
        <v>49</v>
      </c>
      <c r="F60" s="371" t="n">
        <v>385.0</v>
      </c>
      <c r="G60" s="9">
        <f si="1" t="shared"/>
        <v>2.3708308001436581E-4</v>
      </c>
    </row>
    <row r="61" spans="1:7" x14ac:dyDescent="0.25">
      <c r="A61">
        <v>50</v>
      </c>
      <c r="B61" s="6" t="n">
        <v>288.781469</v>
      </c>
      <c r="C61" s="9">
        <f si="0" t="shared"/>
        <v>3.9806482811089594E-4</v>
      </c>
      <c r="E61" s="371">
        <v>50</v>
      </c>
      <c r="F61" s="371" t="n">
        <v>402.0</v>
      </c>
      <c r="G61" s="9">
        <f si="1" t="shared"/>
        <v>1.9483064991279568E-4</v>
      </c>
    </row>
    <row r="62" spans="1:7" x14ac:dyDescent="0.25">
      <c r="A62">
        <v>51</v>
      </c>
      <c r="B62" s="6" t="n">
        <v>781.4601720000001</v>
      </c>
      <c r="C62" s="9">
        <f si="0" t="shared"/>
        <v>1.0771875706563816E-3</v>
      </c>
      <c r="E62" s="371">
        <v>51</v>
      </c>
      <c r="F62" s="371" t="n">
        <v>281.0</v>
      </c>
      <c r="G62" s="9">
        <f si="1" t="shared"/>
        <v>1.408414336719005E-4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212.0</v>
      </c>
      <c r="G63" s="9">
        <f si="1" t="shared"/>
        <v>1.3262568337437297E-4</v>
      </c>
    </row>
    <row r="64" spans="1:7" x14ac:dyDescent="0.25">
      <c r="A64">
        <v>53</v>
      </c>
      <c r="B64" s="6" t="n">
        <v>79.818923</v>
      </c>
      <c r="C64" s="9">
        <f si="0" t="shared"/>
        <v>1.1002473937824533E-4</v>
      </c>
      <c r="E64" s="371">
        <v>53</v>
      </c>
      <c r="F64" s="371" t="n">
        <v>218.0</v>
      </c>
      <c r="G64" s="9">
        <f si="1" t="shared"/>
        <v>1.1971521862111542E-4</v>
      </c>
    </row>
    <row r="65" spans="1:7" x14ac:dyDescent="0.25">
      <c r="A65">
        <v>54</v>
      </c>
      <c r="B65" s="6" t="n">
        <v>28.166385</v>
      </c>
      <c r="C65" s="9">
        <f si="0" t="shared"/>
        <v>3.8825369378290387E-5</v>
      </c>
      <c r="E65" s="371">
        <v>54</v>
      </c>
      <c r="F65" s="371" t="n">
        <v>173.0</v>
      </c>
      <c r="G65" s="9">
        <f si="1" t="shared"/>
        <v>7.746278851954527E-5</v>
      </c>
    </row>
    <row r="66" spans="1:7" x14ac:dyDescent="0.25">
      <c r="A66">
        <v>55</v>
      </c>
      <c r="B66" s="6" t="n">
        <v>293.729004</v>
      </c>
      <c r="C66" s="9">
        <f si="0" t="shared"/>
        <v>4.0488465514539176E-4</v>
      </c>
      <c r="E66" s="371">
        <v>55</v>
      </c>
      <c r="F66" s="371" t="n">
        <v>139.0</v>
      </c>
      <c r="G66" s="9">
        <f si="1" t="shared"/>
        <v>8.4504860203140288E-5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120.0</v>
      </c>
      <c r="G67" s="9">
        <f si="1" t="shared"/>
        <v>5.1641859013030178E-5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83.0</v>
      </c>
      <c r="G68" s="9">
        <f si="1" t="shared"/>
        <v>5.7510252082692702E-5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87.0</v>
      </c>
      <c r="G69" s="9">
        <f si="1" t="shared"/>
        <v>5.0468180399097677E-5</v>
      </c>
    </row>
    <row r="70" spans="1:7" x14ac:dyDescent="0.25">
      <c r="A70">
        <v>59</v>
      </c>
      <c r="B70" s="6" t="n">
        <v>60.463179</v>
      </c>
      <c r="C70" s="9">
        <f si="0" t="shared"/>
        <v>8.3344215399338279E-5</v>
      </c>
      <c r="E70" s="371">
        <v>59</v>
      </c>
      <c r="F70" s="371" t="n">
        <v>60.0</v>
      </c>
      <c r="G70" s="9">
        <f si="1" t="shared"/>
        <v>3.4036679804042618E-5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56.0</v>
      </c>
      <c r="G71" s="9">
        <f si="1" t="shared"/>
        <v>1.5257821981122553E-5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33.0</v>
      </c>
      <c r="G72" s="9">
        <f si="1" t="shared"/>
        <v>1.5257821981122553E-5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25.0</v>
      </c>
      <c r="G73" s="9">
        <f si="1" t="shared"/>
        <v>1.8778857822920067E-5</v>
      </c>
    </row>
    <row r="74" spans="1:7" x14ac:dyDescent="0.25">
      <c r="A74">
        <v>63</v>
      </c>
      <c r="B74" s="6" t="n">
        <v>65.389831</v>
      </c>
      <c r="C74" s="9">
        <f si="0" t="shared"/>
        <v>9.0135256695489467E-5</v>
      </c>
      <c r="E74" s="371">
        <v>63</v>
      </c>
      <c r="F74" s="371" t="n">
        <v>31.0</v>
      </c>
      <c r="G74" s="9">
        <f si="1" t="shared"/>
        <v>1.0563107525392536E-5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10.0</v>
      </c>
      <c r="G75" s="9">
        <f si="1" t="shared"/>
        <v>7.0420716835950243E-6</v>
      </c>
    </row>
    <row r="76" spans="1:7" x14ac:dyDescent="0.25">
      <c r="A76">
        <v>65</v>
      </c>
      <c r="B76" s="6" t="n">
        <v>233.699164</v>
      </c>
      <c r="C76" s="9">
        <f si="0" t="shared"/>
        <v>3.2213776690539678E-4</v>
      </c>
      <c r="E76" s="371">
        <v>65</v>
      </c>
      <c r="F76" s="371" t="n">
        <v>16.0</v>
      </c>
      <c r="G76" s="9">
        <f si="1" t="shared"/>
        <v>5.8683930696625201E-6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15.0</v>
      </c>
      <c r="G77" s="9">
        <f ref="G77:G102" si="3" t="shared">F77/F$102</f>
        <v>9.3894289114600335E-6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8.0</v>
      </c>
      <c r="G78" s="9">
        <f si="3" t="shared"/>
        <v>8.2157502975275294E-6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11.0</v>
      </c>
      <c r="G79" s="9">
        <f si="3" t="shared"/>
        <v>5.8683930696625201E-6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5.0</v>
      </c>
      <c r="G80" s="9">
        <f si="3" t="shared"/>
        <v>5.8683930696625201E-6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12.0</v>
      </c>
      <c r="G81" s="9">
        <f si="3" t="shared"/>
        <v>3.5210358417975122E-6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10.0</v>
      </c>
      <c r="G82" s="9">
        <f si="3" t="shared"/>
        <v>4.6947144557300168E-6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3.5210358417975122E-6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4.0</v>
      </c>
      <c r="G86" s="9">
        <f si="3" t="shared"/>
        <v>1.1736786139325042E-6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2.0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4.0</v>
      </c>
      <c r="G90" s="9">
        <f si="3" t="shared"/>
        <v>1.1736786139325042E-6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1.1736786139325042E-6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2.0</v>
      </c>
      <c r="G98" s="9">
        <f si="3" t="shared"/>
        <v>1.1736786139325042E-6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0</v>
      </c>
    </row>
    <row r="102" spans="1:7" x14ac:dyDescent="0.25">
      <c r="B102" s="6">
        <f>SUM(B11:B101)</f>
        <v>725463.41351099999</v>
      </c>
      <c r="C102" s="9">
        <f si="2" t="shared"/>
        <v>1</v>
      </c>
      <c r="F102" s="6">
        <f>SUM(F11:F101)</f>
        <v>852022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M102"/>
  <sheetViews>
    <sheetView workbookViewId="0">
      <selection activeCell="U25" sqref="U25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22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1130.0</v>
      </c>
      <c r="G11" s="9">
        <f>F11/F$102</f>
        <v>1.0727422531343087E-3</v>
      </c>
      <c r="K11" s="6" t="n">
        <v>21.186228185378866</v>
      </c>
      <c r="L11" s="6" t="n">
        <v>27.783921727815002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11313.0</v>
      </c>
      <c r="G12" s="9">
        <f>F12/F$102</f>
        <v>1.6007802615425424E-2</v>
      </c>
      <c r="K12" s="6"/>
      <c r="L12" s="371"/>
    </row>
    <row r="13" spans="1:12" x14ac:dyDescent="0.25">
      <c r="A13">
        <v>2</v>
      </c>
      <c r="B13" s="6" t="n">
        <v>1634.554707</v>
      </c>
      <c r="C13" s="9">
        <f ref="C13:C76" si="0" t="shared">B13/B$102</f>
        <v>2.2531180436643986E-3</v>
      </c>
      <c r="E13" s="371">
        <v>2</v>
      </c>
      <c r="F13" s="371" t="n">
        <v>7961.0</v>
      </c>
      <c r="G13" s="9">
        <f ref="G13:G76" si="1" t="shared">F13/F$102</f>
        <v>8.4328808411050418E-3</v>
      </c>
    </row>
    <row r="14" spans="1:12" x14ac:dyDescent="0.25">
      <c r="A14">
        <v>3</v>
      </c>
      <c r="B14" s="6" t="n">
        <v>24423.036645</v>
      </c>
      <c r="C14" s="9">
        <f si="0" t="shared"/>
        <v>3.3665428455999867E-2</v>
      </c>
      <c r="E14" s="371">
        <v>3</v>
      </c>
      <c r="F14" s="371" t="n">
        <v>12993.0</v>
      </c>
      <c r="G14" s="9">
        <f si="1" t="shared"/>
        <v>1.4593519885636756E-2</v>
      </c>
    </row>
    <row r="15" spans="1:12" x14ac:dyDescent="0.25">
      <c r="A15">
        <v>4</v>
      </c>
      <c r="B15" s="6" t="n">
        <v>19895.591947</v>
      </c>
      <c r="C15" s="9">
        <f si="0" t="shared"/>
        <v>2.7424666187798513E-2</v>
      </c>
      <c r="E15" s="371">
        <v>4</v>
      </c>
      <c r="F15" s="371" t="n">
        <v>18912.0</v>
      </c>
      <c r="G15" s="9">
        <f si="1" t="shared"/>
        <v>2.2866780435246977E-2</v>
      </c>
    </row>
    <row r="16" spans="1:12" x14ac:dyDescent="0.25">
      <c r="A16">
        <v>5</v>
      </c>
      <c r="B16" s="6" t="n">
        <v>37590.896021</v>
      </c>
      <c r="C16" s="9">
        <f si="0" t="shared"/>
        <v>5.1816391179636032E-2</v>
      </c>
      <c r="E16" s="371">
        <v>5</v>
      </c>
      <c r="F16" s="371" t="n">
        <v>22811.0</v>
      </c>
      <c r="G16" s="9">
        <f si="1" t="shared"/>
        <v>3.1840727117374901E-2</v>
      </c>
    </row>
    <row r="17" spans="1:7" x14ac:dyDescent="0.25">
      <c r="A17">
        <v>6</v>
      </c>
      <c r="B17" s="6" t="n">
        <v>43531.056908</v>
      </c>
      <c r="C17" s="9">
        <f si="0" t="shared"/>
        <v>6.0004482786146701E-2</v>
      </c>
      <c r="E17" s="371">
        <v>6</v>
      </c>
      <c r="F17" s="371" t="n">
        <v>26290.0</v>
      </c>
      <c r="G17" s="9">
        <f si="1" t="shared"/>
        <v>3.7253732884831615E-2</v>
      </c>
    </row>
    <row r="18" spans="1:7" x14ac:dyDescent="0.25">
      <c r="A18">
        <v>7</v>
      </c>
      <c r="B18" s="6" t="n">
        <v>30877.09673</v>
      </c>
      <c r="C18" s="9">
        <f si="0" t="shared"/>
        <v>4.256189375638561E-2</v>
      </c>
      <c r="E18" s="371">
        <v>7</v>
      </c>
      <c r="F18" s="371" t="n">
        <v>27779.0</v>
      </c>
      <c r="G18" s="9">
        <f si="1" t="shared"/>
        <v>3.8783036118785662E-2</v>
      </c>
    </row>
    <row r="19" spans="1:7" x14ac:dyDescent="0.25">
      <c r="A19">
        <v>8</v>
      </c>
      <c r="B19" s="6" t="n">
        <v>32240.342156</v>
      </c>
      <c r="C19" s="9">
        <f si="0" t="shared"/>
        <v>4.4441031147205011E-2</v>
      </c>
      <c r="E19" s="371">
        <v>8</v>
      </c>
      <c r="F19" s="371" t="n">
        <v>29385.0</v>
      </c>
      <c r="G19" s="9">
        <f si="1" t="shared"/>
        <v>3.6528399501421324E-2</v>
      </c>
    </row>
    <row r="20" spans="1:7" x14ac:dyDescent="0.25">
      <c r="A20">
        <v>9</v>
      </c>
      <c r="B20" s="6" t="n">
        <v>23764.628634</v>
      </c>
      <c r="C20" s="9">
        <f si="0" t="shared"/>
        <v>3.2757859585209367E-2</v>
      </c>
      <c r="E20" s="371">
        <v>9</v>
      </c>
      <c r="F20" s="371" t="n">
        <v>28333.0</v>
      </c>
      <c r="G20" s="9">
        <f si="1" t="shared"/>
        <v>3.3644671146989165E-2</v>
      </c>
    </row>
    <row r="21" spans="1:7" x14ac:dyDescent="0.25">
      <c r="A21">
        <v>10</v>
      </c>
      <c r="B21" s="6" t="n">
        <v>26976.129262</v>
      </c>
      <c r="C21" s="9">
        <f si="0" t="shared"/>
        <v>3.7184686035984342E-2</v>
      </c>
      <c r="E21" s="371">
        <v>10</v>
      </c>
      <c r="F21" s="371" t="n">
        <v>27686.0</v>
      </c>
      <c r="G21" s="9">
        <f si="1" t="shared"/>
        <v>3.3105952663194139E-2</v>
      </c>
    </row>
    <row r="22" spans="1:7" x14ac:dyDescent="0.25">
      <c r="A22">
        <v>11</v>
      </c>
      <c r="B22" s="6" t="n">
        <v>29558.423296</v>
      </c>
      <c r="C22" s="9">
        <f si="0" t="shared"/>
        <v>4.0744195703746315E-2</v>
      </c>
      <c r="E22" s="371">
        <v>11</v>
      </c>
      <c r="F22" s="371" t="n">
        <v>27204.0</v>
      </c>
      <c r="G22" s="9">
        <f si="1" t="shared"/>
        <v>3.2185788629871058E-2</v>
      </c>
    </row>
    <row r="23" spans="1:7" x14ac:dyDescent="0.25">
      <c r="A23">
        <v>12</v>
      </c>
      <c r="B23" s="6" t="n">
        <v>22243.383026</v>
      </c>
      <c r="C23" s="9">
        <f si="0" t="shared"/>
        <v>3.0660930119617597E-2</v>
      </c>
      <c r="E23" s="371">
        <v>12</v>
      </c>
      <c r="F23" s="371" t="n">
        <v>26318.0</v>
      </c>
      <c r="G23" s="9">
        <f si="1" t="shared"/>
        <v>3.0125982662419514E-2</v>
      </c>
    </row>
    <row r="24" spans="1:7" x14ac:dyDescent="0.25">
      <c r="A24">
        <v>13</v>
      </c>
      <c r="B24" s="6" t="n">
        <v>23935.212885</v>
      </c>
      <c r="C24" s="9">
        <f si="0" t="shared"/>
        <v>3.2992997908966357E-2</v>
      </c>
      <c r="E24" s="371">
        <v>13</v>
      </c>
      <c r="F24" s="371" t="n">
        <v>25032.0</v>
      </c>
      <c r="G24" s="9">
        <f si="1" t="shared"/>
        <v>2.7898340653175622E-2</v>
      </c>
    </row>
    <row r="25" spans="1:7" x14ac:dyDescent="0.25">
      <c r="A25">
        <v>14</v>
      </c>
      <c r="B25" s="6" t="n">
        <v>20570.704742</v>
      </c>
      <c r="C25" s="9">
        <f si="0" t="shared"/>
        <v>2.8355261421723104E-2</v>
      </c>
      <c r="E25" s="371">
        <v>14</v>
      </c>
      <c r="F25" s="371" t="n">
        <v>24137.0</v>
      </c>
      <c r="G25" s="9">
        <f si="1" t="shared"/>
        <v>2.7501637281666436E-2</v>
      </c>
    </row>
    <row r="26" spans="1:7" x14ac:dyDescent="0.25">
      <c r="A26">
        <v>15</v>
      </c>
      <c r="B26" s="6" t="n">
        <v>16718.803432</v>
      </c>
      <c r="C26" s="9">
        <f si="0" t="shared"/>
        <v>2.3045687929438924E-2</v>
      </c>
      <c r="E26" s="371">
        <v>15</v>
      </c>
      <c r="F26" s="371" t="n">
        <v>22795.0</v>
      </c>
      <c r="G26" s="9">
        <f si="1" t="shared"/>
        <v>2.5955902547117327E-2</v>
      </c>
    </row>
    <row r="27" spans="1:7" x14ac:dyDescent="0.25">
      <c r="A27">
        <v>16</v>
      </c>
      <c r="B27" s="6" t="n">
        <v>19363.552683</v>
      </c>
      <c r="C27" s="9">
        <f si="0" t="shared"/>
        <v>2.6691287696076777E-2</v>
      </c>
      <c r="E27" s="371">
        <v>16</v>
      </c>
      <c r="F27" s="371" t="n">
        <v>22062.0</v>
      </c>
      <c r="G27" s="9">
        <f si="1" t="shared"/>
        <v>2.4521667280891807E-2</v>
      </c>
    </row>
    <row r="28" spans="1:7" x14ac:dyDescent="0.25">
      <c r="A28">
        <v>17</v>
      </c>
      <c r="B28" s="6" t="n">
        <v>18015.601368</v>
      </c>
      <c r="C28" s="9">
        <f si="0" t="shared"/>
        <v>2.4833232155444661E-2</v>
      </c>
      <c r="E28" s="371">
        <v>17</v>
      </c>
      <c r="F28" s="371" t="n">
        <v>20717.0</v>
      </c>
      <c r="G28" s="9">
        <f si="1" t="shared"/>
        <v>2.3222405055268527E-2</v>
      </c>
    </row>
    <row r="29" spans="1:7" x14ac:dyDescent="0.25">
      <c r="A29">
        <v>18</v>
      </c>
      <c r="B29" s="6" t="n">
        <v>17401.111929</v>
      </c>
      <c r="C29" s="9">
        <f si="0" t="shared"/>
        <v>2.3986201929583815E-2</v>
      </c>
      <c r="E29" s="371">
        <v>18</v>
      </c>
      <c r="F29" s="371" t="n">
        <v>20894.0</v>
      </c>
      <c r="G29" s="9">
        <f si="1" t="shared"/>
        <v>2.1967742616974678E-2</v>
      </c>
    </row>
    <row r="30" spans="1:7" x14ac:dyDescent="0.25">
      <c r="A30">
        <v>19</v>
      </c>
      <c r="B30" s="6" t="n">
        <v>20842.301365</v>
      </c>
      <c r="C30" s="9">
        <f si="0" t="shared"/>
        <v>2.8729638155190008E-2</v>
      </c>
      <c r="E30" s="371">
        <v>19</v>
      </c>
      <c r="F30" s="371" t="n">
        <v>20223.0</v>
      </c>
      <c r="G30" s="9">
        <f si="1" t="shared"/>
        <v>2.0903216114137899E-2</v>
      </c>
    </row>
    <row r="31" spans="1:7" x14ac:dyDescent="0.25">
      <c r="A31">
        <v>20</v>
      </c>
      <c r="B31" s="6" t="n">
        <v>16572.623057</v>
      </c>
      <c r="C31" s="9">
        <f si="0" t="shared"/>
        <v>2.2844188622544129E-2</v>
      </c>
      <c r="E31" s="371">
        <v>20</v>
      </c>
      <c r="F31" s="371" t="n">
        <v>19578.0</v>
      </c>
      <c r="G31" s="9">
        <f si="1" t="shared"/>
        <v>2.0387971202621528E-2</v>
      </c>
    </row>
    <row r="32" spans="1:7" x14ac:dyDescent="0.25">
      <c r="A32">
        <v>21</v>
      </c>
      <c r="B32" s="6" t="n">
        <v>16689.327587</v>
      </c>
      <c r="C32" s="9">
        <f si="0" t="shared"/>
        <v>2.3005057562075052E-2</v>
      </c>
      <c r="E32" s="371">
        <v>21</v>
      </c>
      <c r="F32" s="371" t="n">
        <v>19262.0</v>
      </c>
      <c r="G32" s="9">
        <f si="1" t="shared"/>
        <v>1.9387997023551037E-2</v>
      </c>
    </row>
    <row r="33" spans="1:7" x14ac:dyDescent="0.25">
      <c r="A33">
        <v>22</v>
      </c>
      <c r="B33" s="6" t="n">
        <v>14912.994521999999</v>
      </c>
      <c r="C33" s="9">
        <f si="0" t="shared"/>
        <v>2.0556508080574468E-2</v>
      </c>
      <c r="E33" s="371">
        <v>22</v>
      </c>
      <c r="F33" s="371" t="n">
        <v>18484.0</v>
      </c>
      <c r="G33" s="9">
        <f si="1" t="shared"/>
        <v>1.8324644199328187E-2</v>
      </c>
    </row>
    <row r="34" spans="1:7" x14ac:dyDescent="0.25">
      <c r="A34">
        <v>23</v>
      </c>
      <c r="B34" s="6" t="n">
        <v>10540.307594</v>
      </c>
      <c r="C34" s="9">
        <f si="0" t="shared"/>
        <v>1.4529068451554914E-2</v>
      </c>
      <c r="E34" s="371">
        <v>23</v>
      </c>
      <c r="F34" s="371" t="n">
        <v>18759.0</v>
      </c>
      <c r="G34" s="9">
        <f si="1" t="shared"/>
        <v>1.7714331320083283E-2</v>
      </c>
    </row>
    <row r="35" spans="1:7" x14ac:dyDescent="0.25">
      <c r="A35">
        <v>24</v>
      </c>
      <c r="B35" s="6" t="n">
        <v>11025.623775</v>
      </c>
      <c r="C35" s="9">
        <f si="0" t="shared"/>
        <v>1.5198042478310077E-2</v>
      </c>
      <c r="E35" s="371">
        <v>24</v>
      </c>
      <c r="F35" s="371" t="n">
        <v>17581.0</v>
      </c>
      <c r="G35" s="9">
        <f si="1" t="shared"/>
        <v>1.7122797298661303E-2</v>
      </c>
    </row>
    <row r="36" spans="1:7" x14ac:dyDescent="0.25">
      <c r="A36">
        <v>25</v>
      </c>
      <c r="B36" s="6" t="n">
        <v>14217.507582</v>
      </c>
      <c r="C36" s="9">
        <f si="0" t="shared"/>
        <v>1.9597828528928888E-2</v>
      </c>
      <c r="E36" s="371">
        <v>25</v>
      </c>
      <c r="F36" s="371" t="n">
        <v>17493.0</v>
      </c>
      <c r="G36" s="9">
        <f si="1" t="shared"/>
        <v>1.6344648377624053E-2</v>
      </c>
    </row>
    <row r="37" spans="1:7" x14ac:dyDescent="0.25">
      <c r="A37">
        <v>26</v>
      </c>
      <c r="B37" s="6" t="n">
        <v>11860.338017</v>
      </c>
      <c r="C37" s="9">
        <f si="0" t="shared"/>
        <v>1.6348637017544337E-2</v>
      </c>
      <c r="E37" s="371">
        <v>26</v>
      </c>
      <c r="F37" s="371" t="n">
        <v>16205.0</v>
      </c>
      <c r="G37" s="9">
        <f si="1" t="shared"/>
        <v>1.5829403466107683E-2</v>
      </c>
    </row>
    <row r="38" spans="1:7" x14ac:dyDescent="0.25">
      <c r="A38">
        <v>27</v>
      </c>
      <c r="B38" s="6" t="n">
        <v>12771.319694</v>
      </c>
      <c r="C38" s="9">
        <f si="0" t="shared"/>
        <v>1.7604360821162707E-2</v>
      </c>
      <c r="E38" s="371">
        <v>27</v>
      </c>
      <c r="F38" s="371" t="n">
        <v>15263.0</v>
      </c>
      <c r="G38" s="9">
        <f si="1" t="shared"/>
        <v>1.5032475687247512E-2</v>
      </c>
    </row>
    <row r="39" spans="1:7" x14ac:dyDescent="0.25">
      <c r="A39">
        <v>28</v>
      </c>
      <c r="B39" s="6" t="n">
        <v>6507.122855</v>
      </c>
      <c r="C39" s="9">
        <f si="0" t="shared"/>
        <v>8.9696085754451885E-3</v>
      </c>
      <c r="E39" s="371">
        <v>28</v>
      </c>
      <c r="F39" s="371" t="n">
        <v>14801.0</v>
      </c>
      <c r="G39" s="9">
        <f si="1" t="shared"/>
        <v>1.4307142303837225E-2</v>
      </c>
    </row>
    <row r="40" spans="1:7" x14ac:dyDescent="0.25">
      <c r="A40">
        <v>29</v>
      </c>
      <c r="B40" s="6" t="n">
        <v>9060.617688</v>
      </c>
      <c r="C40" s="9">
        <f si="0" t="shared"/>
        <v>1.2489420581734991E-2</v>
      </c>
      <c r="E40" s="371">
        <v>29</v>
      </c>
      <c r="F40" s="371" t="n">
        <v>15015.0</v>
      </c>
      <c r="G40" s="9">
        <f si="1" t="shared"/>
        <v>1.3645187565579293E-2</v>
      </c>
    </row>
    <row r="41" spans="1:7" x14ac:dyDescent="0.25">
      <c r="A41">
        <v>30</v>
      </c>
      <c r="B41" s="6" t="n">
        <v>8409.50262</v>
      </c>
      <c r="C41" s="9">
        <f si="0" t="shared"/>
        <v>1.159190451700497E-2</v>
      </c>
      <c r="E41" s="371">
        <v>30</v>
      </c>
      <c r="F41" s="371" t="n">
        <v>13964.0</v>
      </c>
      <c r="G41" s="9">
        <f si="1" t="shared"/>
        <v>1.3099427010100678E-2</v>
      </c>
    </row>
    <row r="42" spans="1:7" x14ac:dyDescent="0.25">
      <c r="A42">
        <v>31</v>
      </c>
      <c r="B42" s="6" t="n">
        <v>10165.760424</v>
      </c>
      <c r="C42" s="9">
        <f si="0" t="shared"/>
        <v>1.4012781671237052E-2</v>
      </c>
      <c r="E42" s="371">
        <v>31</v>
      </c>
      <c r="F42" s="371" t="n">
        <v>14107.0</v>
      </c>
      <c r="G42" s="9">
        <f si="1" t="shared"/>
        <v>1.227080990866433E-2</v>
      </c>
    </row>
    <row r="43" spans="1:7" x14ac:dyDescent="0.25">
      <c r="A43">
        <v>32</v>
      </c>
      <c r="B43" s="6" t="n">
        <v>5814.299967</v>
      </c>
      <c r="C43" s="9">
        <f si="0" t="shared"/>
        <v>8.0146012310403619E-3</v>
      </c>
      <c r="E43" s="371">
        <v>32</v>
      </c>
      <c r="F43" s="371" t="n">
        <v>13070.0</v>
      </c>
      <c r="G43" s="9">
        <f si="1" t="shared"/>
        <v>1.1850632964876495E-2</v>
      </c>
    </row>
    <row r="44" spans="1:7" x14ac:dyDescent="0.25">
      <c r="A44">
        <v>33</v>
      </c>
      <c r="B44" s="6" t="n">
        <v>11635.483409</v>
      </c>
      <c r="C44" s="9">
        <f si="0" t="shared"/>
        <v>1.6038690845466851E-2</v>
      </c>
      <c r="E44" s="371">
        <v>33</v>
      </c>
      <c r="F44" s="371" t="n">
        <v>12975.0</v>
      </c>
      <c r="G44" s="9">
        <f si="1" t="shared"/>
        <v>1.1384682555145289E-2</v>
      </c>
    </row>
    <row r="45" spans="1:7" x14ac:dyDescent="0.25">
      <c r="A45">
        <v>34</v>
      </c>
      <c r="B45" s="6" t="n">
        <v>5275.292912</v>
      </c>
      <c r="C45" s="9">
        <f si="0" t="shared"/>
        <v>7.2716181322905757E-3</v>
      </c>
      <c r="E45" s="371">
        <v>34</v>
      </c>
      <c r="F45" s="371" t="n">
        <v>12406.0</v>
      </c>
      <c r="G45" s="9">
        <f si="1" t="shared"/>
        <v>1.1384682555145289E-2</v>
      </c>
    </row>
    <row r="46" spans="1:7" x14ac:dyDescent="0.25">
      <c r="A46">
        <v>35</v>
      </c>
      <c r="B46" s="6" t="n">
        <v>8569.211539</v>
      </c>
      <c r="C46" s="9">
        <f si="0" t="shared"/>
        <v>1.1812051964864624E-2</v>
      </c>
      <c r="E46" s="371">
        <v>35</v>
      </c>
      <c r="F46" s="371" t="n">
        <v>12115.0</v>
      </c>
      <c r="G46" s="9">
        <f si="1" t="shared"/>
        <v>1.0651133421437475E-2</v>
      </c>
    </row>
    <row r="47" spans="1:7" x14ac:dyDescent="0.25">
      <c r="A47">
        <v>36</v>
      </c>
      <c r="B47" s="6" t="n">
        <v>6070.735551</v>
      </c>
      <c r="C47" s="9">
        <f si="0" t="shared"/>
        <v>8.3680795446591533E-3</v>
      </c>
      <c r="E47" s="371">
        <v>36</v>
      </c>
      <c r="F47" s="371" t="n">
        <v>11647.0</v>
      </c>
      <c r="G47" s="9">
        <f si="1" t="shared"/>
        <v>1.0202788190915258E-2</v>
      </c>
    </row>
    <row r="48" spans="1:7" x14ac:dyDescent="0.25">
      <c r="A48">
        <v>37</v>
      </c>
      <c r="B48" s="6" t="n">
        <v>6287.769725</v>
      </c>
      <c r="C48" s="9">
        <f si="0" t="shared"/>
        <v>8.6672458016446401E-3</v>
      </c>
      <c r="E48" s="371">
        <v>37</v>
      </c>
      <c r="F48" s="371" t="n">
        <v>10612.0</v>
      </c>
      <c r="G48" s="9">
        <f si="1" t="shared"/>
        <v>9.5150125231508106E-3</v>
      </c>
    </row>
    <row r="49" spans="1:7" x14ac:dyDescent="0.25">
      <c r="A49">
        <v>38</v>
      </c>
      <c r="B49" s="6" t="n">
        <v>5596.570907</v>
      </c>
      <c r="C49" s="9">
        <f si="0" t="shared"/>
        <v>7.7144771228565131E-3</v>
      </c>
      <c r="E49" s="371">
        <v>38</v>
      </c>
      <c r="F49" s="371" t="n">
        <v>10469.0</v>
      </c>
      <c r="G49" s="9">
        <f si="1" t="shared"/>
        <v>9.046714756191742E-3</v>
      </c>
    </row>
    <row r="50" spans="1:7" x14ac:dyDescent="0.25">
      <c r="A50">
        <v>39</v>
      </c>
      <c r="B50" s="6" t="n">
        <v>7737.772385</v>
      </c>
      <c r="C50" s="9">
        <f si="0" t="shared"/>
        <v>1.0665971902775604E-2</v>
      </c>
      <c r="E50" s="371">
        <v>39</v>
      </c>
      <c r="F50" s="371" t="n">
        <v>10176.0</v>
      </c>
      <c r="G50" s="9">
        <f si="1" t="shared"/>
        <v>9.3577395888838552E-3</v>
      </c>
    </row>
    <row r="51" spans="1:7" x14ac:dyDescent="0.25">
      <c r="A51">
        <v>40</v>
      </c>
      <c r="B51" s="6" t="n">
        <v>6195.1343560000005</v>
      </c>
      <c r="C51" s="9">
        <f si="0" t="shared"/>
        <v>8.5395544980244129E-3</v>
      </c>
      <c r="E51" s="371">
        <v>40</v>
      </c>
      <c r="F51" s="371" t="n">
        <v>9388.0</v>
      </c>
      <c r="G51" s="9">
        <f si="1" t="shared"/>
        <v>8.6077589545809855E-3</v>
      </c>
    </row>
    <row r="52" spans="1:7" x14ac:dyDescent="0.25">
      <c r="A52">
        <v>41</v>
      </c>
      <c r="B52" s="6" t="n">
        <v>5033.72285</v>
      </c>
      <c r="C52" s="9">
        <f si="0" t="shared"/>
        <v>6.938630889238742E-3</v>
      </c>
      <c r="E52" s="371">
        <v>41</v>
      </c>
      <c r="F52" s="371" t="n">
        <v>8916.0</v>
      </c>
      <c r="G52" s="9">
        <f si="1" t="shared"/>
        <v>8.3425075878322385E-3</v>
      </c>
    </row>
    <row r="53" spans="1:7" x14ac:dyDescent="0.25">
      <c r="A53">
        <v>42</v>
      </c>
      <c r="B53" s="6" t="n">
        <v>7926.970869</v>
      </c>
      <c r="C53" s="9">
        <f si="0" t="shared"/>
        <v>1.0926768630048647E-2</v>
      </c>
      <c r="E53" s="371">
        <v>42</v>
      </c>
      <c r="F53" s="371" t="n">
        <v>8460.0</v>
      </c>
      <c r="G53" s="9">
        <f si="1" t="shared"/>
        <v>8.4176230191239185E-3</v>
      </c>
    </row>
    <row r="54" spans="1:7" x14ac:dyDescent="0.25">
      <c r="A54">
        <v>43</v>
      </c>
      <c r="B54" s="6" t="n">
        <v>5104.530854</v>
      </c>
      <c r="C54" s="9">
        <f si="0" t="shared"/>
        <v>7.0362347141612325E-3</v>
      </c>
      <c r="E54" s="371">
        <v>43</v>
      </c>
      <c r="F54" s="371" t="n">
        <v>8410.0</v>
      </c>
      <c r="G54" s="9">
        <f si="1" t="shared"/>
        <v>7.7274999941316065E-3</v>
      </c>
    </row>
    <row r="55" spans="1:7" x14ac:dyDescent="0.25">
      <c r="A55">
        <v>44</v>
      </c>
      <c r="B55" s="6" t="n">
        <v>4714.725543</v>
      </c>
      <c r="C55" s="9">
        <f si="0" t="shared"/>
        <v>6.4989156657567467E-3</v>
      </c>
      <c r="E55" s="371">
        <v>44</v>
      </c>
      <c r="F55" s="371" t="n">
        <v>7905.0</v>
      </c>
      <c r="G55" s="9">
        <f si="1" t="shared"/>
        <v>7.5232799153073515E-3</v>
      </c>
    </row>
    <row r="56" spans="1:7" x14ac:dyDescent="0.25">
      <c r="A56">
        <v>45</v>
      </c>
      <c r="B56" s="6" t="n">
        <v>4674.667992</v>
      </c>
      <c r="C56" s="9">
        <f si="0" t="shared"/>
        <v>6.4436991651669589E-3</v>
      </c>
      <c r="E56" s="371">
        <v>45</v>
      </c>
      <c r="F56" s="371" t="n">
        <v>7639.0</v>
      </c>
      <c r="G56" s="9">
        <f si="1" t="shared"/>
        <v>6.858977819821554E-3</v>
      </c>
    </row>
    <row r="57" spans="1:7" x14ac:dyDescent="0.25">
      <c r="A57">
        <v>46</v>
      </c>
      <c r="B57" s="6" t="n">
        <v>3900.7418239999997</v>
      </c>
      <c r="C57" s="9">
        <f si="0" t="shared"/>
        <v>5.3768966861081503E-3</v>
      </c>
      <c r="E57" s="371">
        <v>46</v>
      </c>
      <c r="F57" s="371" t="n">
        <v>7856.0</v>
      </c>
      <c r="G57" s="9">
        <f si="1" t="shared"/>
        <v>6.8155517111060512E-3</v>
      </c>
    </row>
    <row r="58" spans="1:7" x14ac:dyDescent="0.25">
      <c r="A58">
        <v>47</v>
      </c>
      <c r="B58" s="6" t="n">
        <v>3505.58723</v>
      </c>
      <c r="C58" s="9">
        <f si="0" t="shared"/>
        <v>4.8322040294687422E-3</v>
      </c>
      <c r="E58" s="371">
        <v>47</v>
      </c>
      <c r="F58" s="371" t="n">
        <v>6990.0</v>
      </c>
      <c r="G58" s="9">
        <f si="1" t="shared"/>
        <v>6.418848339596865E-3</v>
      </c>
    </row>
    <row r="59" spans="1:7" x14ac:dyDescent="0.25">
      <c r="A59">
        <v>48</v>
      </c>
      <c r="B59" s="6" t="n">
        <v>2293.5464</v>
      </c>
      <c r="C59" s="9">
        <f si="0" t="shared"/>
        <v>3.1614914788052578E-3</v>
      </c>
      <c r="E59" s="371">
        <v>48</v>
      </c>
      <c r="F59" s="371" t="n">
        <v>7137.0</v>
      </c>
      <c r="G59" s="9">
        <f si="1" t="shared"/>
        <v>6.3343434793937245E-3</v>
      </c>
    </row>
    <row r="60" spans="1:7" x14ac:dyDescent="0.25">
      <c r="A60">
        <v>49</v>
      </c>
      <c r="B60" s="6" t="n">
        <v>3514.670774</v>
      </c>
      <c r="C60" s="9">
        <f si="0" t="shared"/>
        <v>4.8447250523498808E-3</v>
      </c>
      <c r="E60" s="371">
        <v>49</v>
      </c>
      <c r="F60" s="371" t="n">
        <v>6766.0</v>
      </c>
      <c r="G60" s="9">
        <f si="1" t="shared"/>
        <v>5.9470295367959987E-3</v>
      </c>
    </row>
    <row r="61" spans="1:7" x14ac:dyDescent="0.25">
      <c r="A61">
        <v>50</v>
      </c>
      <c r="B61" s="6" t="n">
        <v>5758.765969</v>
      </c>
      <c r="C61" s="9">
        <f si="0" t="shared"/>
        <v>7.9380515429847871E-3</v>
      </c>
      <c r="E61" s="371">
        <v>50</v>
      </c>
      <c r="F61" s="371" t="n">
        <v>6626.0</v>
      </c>
      <c r="G61" s="9">
        <f si="1" t="shared"/>
        <v>6.0045397888786912E-3</v>
      </c>
    </row>
    <row r="62" spans="1:7" x14ac:dyDescent="0.25">
      <c r="A62">
        <v>51</v>
      </c>
      <c r="B62" s="6" t="n">
        <v>2228.468305</v>
      </c>
      <c r="C62" s="9">
        <f si="0" t="shared"/>
        <v>3.0717859281351777E-3</v>
      </c>
      <c r="E62" s="371">
        <v>51</v>
      </c>
      <c r="F62" s="371" t="n">
        <v>5994.0</v>
      </c>
      <c r="G62" s="9">
        <f si="1" t="shared"/>
        <v>5.8132301748076926E-3</v>
      </c>
    </row>
    <row r="63" spans="1:7" x14ac:dyDescent="0.25">
      <c r="A63">
        <v>52</v>
      </c>
      <c r="B63" s="6" t="n">
        <v>2117.06734</v>
      </c>
      <c r="C63" s="9">
        <f si="0" t="shared"/>
        <v>2.9182275778100297E-3</v>
      </c>
      <c r="E63" s="371">
        <v>52</v>
      </c>
      <c r="F63" s="371" t="n">
        <v>5842.0</v>
      </c>
      <c r="G63" s="9">
        <f si="1" t="shared"/>
        <v>5.4928159132041189E-3</v>
      </c>
    </row>
    <row r="64" spans="1:7" x14ac:dyDescent="0.25">
      <c r="A64">
        <v>53</v>
      </c>
      <c r="B64" s="6" t="n">
        <v>2388.976928</v>
      </c>
      <c r="C64" s="9">
        <f si="0" t="shared"/>
        <v>3.2930357113919134E-3</v>
      </c>
      <c r="E64" s="371">
        <v>53</v>
      </c>
      <c r="F64" s="371" t="n">
        <v>6545.0</v>
      </c>
      <c r="G64" s="9">
        <f si="1" t="shared"/>
        <v>5.2674696193290779E-3</v>
      </c>
    </row>
    <row r="65" spans="1:7" x14ac:dyDescent="0.25">
      <c r="A65">
        <v>54</v>
      </c>
      <c r="B65" s="6" t="n">
        <v>2029.988022</v>
      </c>
      <c r="C65" s="9">
        <f si="0" t="shared"/>
        <v>2.7981948974870269E-3</v>
      </c>
      <c r="E65" s="371">
        <v>54</v>
      </c>
      <c r="F65" s="371" t="n">
        <v>5625.0</v>
      </c>
      <c r="G65" s="9">
        <f si="1" t="shared"/>
        <v>5.194701545265263E-3</v>
      </c>
    </row>
    <row r="66" spans="1:7" x14ac:dyDescent="0.25">
      <c r="A66">
        <v>55</v>
      </c>
      <c r="B66" s="6" t="n">
        <v>1802.002923</v>
      </c>
      <c r="C66" s="9">
        <f si="0" t="shared"/>
        <v>2.4839335650007634E-3</v>
      </c>
      <c r="E66" s="371">
        <v>55</v>
      </c>
      <c r="F66" s="371" t="n">
        <v>5507.0</v>
      </c>
      <c r="G66" s="9">
        <f si="1" t="shared"/>
        <v>4.802692888211807E-3</v>
      </c>
    </row>
    <row r="67" spans="1:7" x14ac:dyDescent="0.25">
      <c r="A67">
        <v>56</v>
      </c>
      <c r="B67" s="6" t="n">
        <v>1332.6348799999998</v>
      </c>
      <c r="C67" s="9">
        <f si="0" t="shared"/>
        <v>1.8369429183899076E-3</v>
      </c>
      <c r="E67" s="371">
        <v>56</v>
      </c>
      <c r="F67" s="371" t="n">
        <v>5113.0</v>
      </c>
      <c r="G67" s="9">
        <f si="1" t="shared"/>
        <v>4.5562203792859808E-3</v>
      </c>
    </row>
    <row r="68" spans="1:7" x14ac:dyDescent="0.25">
      <c r="A68">
        <v>57</v>
      </c>
      <c r="B68" s="6" t="n">
        <v>2872.084732</v>
      </c>
      <c r="C68" s="9">
        <f si="0" t="shared"/>
        <v>3.9589656466617294E-3</v>
      </c>
      <c r="E68" s="371">
        <v>57</v>
      </c>
      <c r="F68" s="371" t="n">
        <v>4769.0</v>
      </c>
      <c r="G68" s="9">
        <f si="1" t="shared"/>
        <v>4.5632624509695761E-3</v>
      </c>
    </row>
    <row r="69" spans="1:7" x14ac:dyDescent="0.25">
      <c r="A69">
        <v>58</v>
      </c>
      <c r="B69" s="6" t="n">
        <v>1113.219869</v>
      </c>
      <c r="C69" s="9">
        <f si="0" t="shared"/>
        <v>1.534494846008001E-3</v>
      </c>
      <c r="E69" s="371">
        <v>58</v>
      </c>
      <c r="F69" s="371" t="n">
        <v>4584.0</v>
      </c>
      <c r="G69" s="9">
        <f si="1" t="shared"/>
        <v>4.3426108715502653E-3</v>
      </c>
    </row>
    <row r="70" spans="1:7" x14ac:dyDescent="0.25">
      <c r="A70">
        <v>59</v>
      </c>
      <c r="B70" s="6" t="n">
        <v>1624.579357</v>
      </c>
      <c r="C70" s="9">
        <f si="0" t="shared"/>
        <v>2.2393677292939984E-3</v>
      </c>
      <c r="E70" s="371">
        <v>59</v>
      </c>
      <c r="F70" s="371" t="n">
        <v>4500.0</v>
      </c>
      <c r="G70" s="9">
        <f si="1" t="shared"/>
        <v>4.0867489337129796E-3</v>
      </c>
    </row>
    <row r="71" spans="1:7" x14ac:dyDescent="0.25">
      <c r="A71">
        <v>60</v>
      </c>
      <c r="B71" s="6" t="n">
        <v>2413.706439</v>
      </c>
      <c r="C71" s="9">
        <f si="0" t="shared"/>
        <v>3.3271235930678717E-3</v>
      </c>
      <c r="E71" s="371">
        <v>60</v>
      </c>
      <c r="F71" s="371" t="n">
        <v>4348.0</v>
      </c>
      <c r="G71" s="9">
        <f si="1" t="shared"/>
        <v>3.7921556016159209E-3</v>
      </c>
    </row>
    <row r="72" spans="1:7" x14ac:dyDescent="0.25">
      <c r="A72">
        <v>61</v>
      </c>
      <c r="B72" s="6" t="n">
        <v>1347.777761</v>
      </c>
      <c r="C72" s="9">
        <f si="0" t="shared"/>
        <v>1.8578163087194265E-3</v>
      </c>
      <c r="E72" s="371">
        <v>61</v>
      </c>
      <c r="F72" s="371" t="n">
        <v>3736.0</v>
      </c>
      <c r="G72" s="9">
        <f si="1" t="shared"/>
        <v>3.7499031715143506E-3</v>
      </c>
    </row>
    <row r="73" spans="1:7" x14ac:dyDescent="0.25">
      <c r="A73">
        <v>62</v>
      </c>
      <c r="B73" s="6" t="n">
        <v>2149.091038</v>
      </c>
      <c r="C73" s="9">
        <f si="0" t="shared"/>
        <v>2.9623699803124743E-3</v>
      </c>
      <c r="E73" s="371">
        <v>62</v>
      </c>
      <c r="F73" s="371" t="n">
        <v>3846.0</v>
      </c>
      <c r="G73" s="9">
        <f si="1" t="shared"/>
        <v>3.4071890162460593E-3</v>
      </c>
    </row>
    <row r="74" spans="1:7" x14ac:dyDescent="0.25">
      <c r="A74">
        <v>63</v>
      </c>
      <c r="B74" s="6" t="n">
        <v>1502.288326</v>
      </c>
      <c r="C74" s="9">
        <f si="0" t="shared"/>
        <v>2.0707981932947227E-3</v>
      </c>
      <c r="E74" s="371">
        <v>63</v>
      </c>
      <c r="F74" s="371" t="n">
        <v>3819.0</v>
      </c>
      <c r="G74" s="9">
        <f si="1" t="shared"/>
        <v>3.3625892289166244E-3</v>
      </c>
    </row>
    <row r="75" spans="1:7" x14ac:dyDescent="0.25">
      <c r="A75">
        <v>64</v>
      </c>
      <c r="B75" s="6" t="n">
        <v>1329.64749</v>
      </c>
      <c r="C75" s="9">
        <f si="0" t="shared"/>
        <v>1.8328250125874057E-3</v>
      </c>
      <c r="E75" s="371">
        <v>64</v>
      </c>
      <c r="F75" s="371" t="n">
        <v>3435.0</v>
      </c>
      <c r="G75" s="9">
        <f si="1" t="shared"/>
        <v>3.1618901859341662E-3</v>
      </c>
    </row>
    <row r="76" spans="1:7" x14ac:dyDescent="0.25">
      <c r="A76">
        <v>65</v>
      </c>
      <c r="B76" s="6" t="n">
        <v>1419.6798589999999</v>
      </c>
      <c r="C76" s="9">
        <f si="0" t="shared"/>
        <v>1.956928264830373E-3</v>
      </c>
      <c r="E76" s="371">
        <v>65</v>
      </c>
      <c r="F76" s="371" t="n">
        <v>3324.0</v>
      </c>
      <c r="G76" s="9">
        <f si="1" t="shared"/>
        <v>3.1935795085103434E-3</v>
      </c>
    </row>
    <row r="77" spans="1:7" x14ac:dyDescent="0.25">
      <c r="A77">
        <v>66</v>
      </c>
      <c r="B77" s="6" t="n">
        <v>693.9473889999999</v>
      </c>
      <c r="C77" s="9">
        <f ref="C77:C102" si="2" t="shared">B77/B$102</f>
        <v>9.5655738949194881E-4</v>
      </c>
      <c r="E77" s="371">
        <v>66</v>
      </c>
      <c r="F77" s="371" t="n">
        <v>3157.0</v>
      </c>
      <c r="G77" s="9">
        <f ref="G77:G102" si="3" t="shared">F77/F$102</f>
        <v>2.8543863890838498E-3</v>
      </c>
    </row>
    <row r="78" spans="1:7" x14ac:dyDescent="0.25">
      <c r="A78">
        <v>67</v>
      </c>
      <c r="B78" s="6" t="n">
        <v>914.7472359999999</v>
      </c>
      <c r="C78" s="9">
        <f si="2" t="shared"/>
        <v>1.2609143603437287E-3</v>
      </c>
      <c r="E78" s="371">
        <v>67</v>
      </c>
      <c r="F78" s="371" t="n">
        <v>3031.0</v>
      </c>
      <c r="G78" s="9">
        <f si="3" t="shared"/>
        <v>2.8180023520519423E-3</v>
      </c>
    </row>
    <row r="79" spans="1:7" x14ac:dyDescent="0.25">
      <c r="A79">
        <v>68</v>
      </c>
      <c r="B79" s="6" t="n">
        <v>1542.071748</v>
      </c>
      <c r="C79" s="9">
        <f si="2" t="shared"/>
        <v>2.1256368264484767E-3</v>
      </c>
      <c r="E79" s="371">
        <v>68</v>
      </c>
      <c r="F79" s="371" t="n">
        <v>3080.0</v>
      </c>
      <c r="G79" s="9">
        <f si="3" t="shared"/>
        <v>2.9353702134451926E-3</v>
      </c>
    </row>
    <row r="80" spans="1:7" x14ac:dyDescent="0.25">
      <c r="A80">
        <v>69</v>
      </c>
      <c r="B80" s="6" t="n">
        <v>1378.917172</v>
      </c>
      <c r="C80" s="9">
        <f si="2" t="shared"/>
        <v>1.900739784142254E-3</v>
      </c>
      <c r="E80" s="371">
        <v>69</v>
      </c>
      <c r="F80" s="371" t="n">
        <v>2811.0</v>
      </c>
      <c r="G80" s="9">
        <f si="3" t="shared"/>
        <v>2.5504036280753315E-3</v>
      </c>
    </row>
    <row r="81" spans="1:7" x14ac:dyDescent="0.25">
      <c r="A81">
        <v>70</v>
      </c>
      <c r="B81" s="6" t="n">
        <v>577.638788</v>
      </c>
      <c r="C81" s="9">
        <f si="2" t="shared"/>
        <v>7.9623421008155604E-4</v>
      </c>
      <c r="E81" s="371">
        <v>70</v>
      </c>
      <c r="F81" s="371" t="n">
        <v>2690.0</v>
      </c>
      <c r="G81" s="9">
        <f si="3" t="shared"/>
        <v>2.6302137738227417E-3</v>
      </c>
    </row>
    <row r="82" spans="1:7" x14ac:dyDescent="0.25">
      <c r="A82">
        <v>71</v>
      </c>
      <c r="B82" s="6" t="n">
        <v>742.281796</v>
      </c>
      <c r="C82" s="9">
        <f si="2" t="shared"/>
        <v>1.0231829506158073E-3</v>
      </c>
      <c r="E82" s="371">
        <v>71</v>
      </c>
      <c r="F82" s="371" t="n">
        <v>2280.0</v>
      </c>
      <c r="G82" s="9">
        <f si="3" t="shared"/>
        <v>2.4048674799477007E-3</v>
      </c>
    </row>
    <row r="83" spans="1:7" x14ac:dyDescent="0.25">
      <c r="A83">
        <v>72</v>
      </c>
      <c r="B83" s="6" t="n">
        <v>1198.05632</v>
      </c>
      <c r="C83" s="9">
        <f si="2" t="shared"/>
        <v>1.6514358928202998E-3</v>
      </c>
      <c r="E83" s="371">
        <v>72</v>
      </c>
      <c r="F83" s="371" t="n">
        <v>2409.0</v>
      </c>
      <c r="G83" s="9">
        <f si="3" t="shared"/>
        <v>2.4588566961885961E-3</v>
      </c>
    </row>
    <row r="84" spans="1:7" x14ac:dyDescent="0.25">
      <c r="A84">
        <v>73</v>
      </c>
      <c r="B84" s="6" t="n">
        <v>1004.179702</v>
      </c>
      <c r="C84" s="9">
        <f si="2" t="shared"/>
        <v>1.3841906887352281E-3</v>
      </c>
      <c r="E84" s="371">
        <v>73</v>
      </c>
      <c r="F84" s="371" t="n">
        <v>2106.0</v>
      </c>
      <c r="G84" s="9">
        <f si="3" t="shared"/>
        <v>2.214731544490635E-3</v>
      </c>
    </row>
    <row r="85" spans="1:7" x14ac:dyDescent="0.25">
      <c r="A85">
        <v>74</v>
      </c>
      <c r="B85" s="6" t="n">
        <v>891.5502160000001</v>
      </c>
      <c r="C85" s="9">
        <f si="2" t="shared"/>
        <v>1.2289389091107933E-3</v>
      </c>
      <c r="E85" s="371">
        <v>74</v>
      </c>
      <c r="F85" s="371" t="n">
        <v>1973.0</v>
      </c>
      <c r="G85" s="9">
        <f si="3" t="shared"/>
        <v>2.205342115579175E-3</v>
      </c>
    </row>
    <row r="86" spans="1:7" x14ac:dyDescent="0.25">
      <c r="A86">
        <v>75</v>
      </c>
      <c r="B86" s="6" t="n">
        <v>598.849929</v>
      </c>
      <c r="C86" s="9">
        <f si="2" t="shared"/>
        <v>8.2547226758378786E-4</v>
      </c>
      <c r="E86" s="371">
        <v>75</v>
      </c>
      <c r="F86" s="371" t="n">
        <v>1749.0</v>
      </c>
      <c r="G86" s="9">
        <f si="3" t="shared"/>
        <v>2.092668968641655E-3</v>
      </c>
    </row>
    <row r="87" spans="1:7" x14ac:dyDescent="0.25">
      <c r="A87">
        <v>76</v>
      </c>
      <c r="B87" s="6" t="n">
        <v>450.281124</v>
      </c>
      <c r="C87" s="9">
        <f si="2" t="shared"/>
        <v>6.2068067887916E-4</v>
      </c>
      <c r="E87" s="371">
        <v>76</v>
      </c>
      <c r="F87" s="371" t="n">
        <v>1860.0</v>
      </c>
      <c r="G87" s="9">
        <f si="3" t="shared"/>
        <v>2.018727215963907E-3</v>
      </c>
    </row>
    <row r="88" spans="1:7" x14ac:dyDescent="0.25">
      <c r="A88">
        <v>77</v>
      </c>
      <c r="B88" s="6" t="n">
        <v>597.492973</v>
      </c>
      <c r="C88" s="9">
        <f si="2" t="shared"/>
        <v>8.2360179972182812E-4</v>
      </c>
      <c r="E88" s="371">
        <v>77</v>
      </c>
      <c r="F88" s="371" t="n">
        <v>1859.0</v>
      </c>
      <c r="G88" s="9">
        <f si="3" t="shared"/>
        <v>1.990558929229527E-3</v>
      </c>
    </row>
    <row r="89" spans="1:7" x14ac:dyDescent="0.25">
      <c r="A89">
        <v>78</v>
      </c>
      <c r="B89" s="6" t="n">
        <v>813.390886</v>
      </c>
      <c r="C89" s="9">
        <f si="2" t="shared"/>
        <v>1.1212018012920334E-3</v>
      </c>
      <c r="E89" s="371">
        <v>78</v>
      </c>
      <c r="F89" s="371" t="n">
        <v>1668.0</v>
      </c>
      <c r="G89" s="9">
        <f si="3" t="shared"/>
        <v>1.8544122100133565E-3</v>
      </c>
    </row>
    <row r="90" spans="1:7" x14ac:dyDescent="0.25">
      <c r="A90">
        <v>79</v>
      </c>
      <c r="B90" s="6" t="n">
        <v>28.166385</v>
      </c>
      <c r="C90" s="9">
        <f si="2" t="shared"/>
        <v>3.8825369378290414E-5</v>
      </c>
      <c r="E90" s="371">
        <v>79</v>
      </c>
      <c r="F90" s="371" t="n">
        <v>1533.0</v>
      </c>
      <c r="G90" s="9">
        <f si="3" t="shared"/>
        <v>1.9459591419000919E-3</v>
      </c>
    </row>
    <row r="91" spans="1:7" x14ac:dyDescent="0.25">
      <c r="A91">
        <v>80</v>
      </c>
      <c r="B91" s="6" t="n">
        <v>849.409579</v>
      </c>
      <c r="C91" s="9">
        <f si="2" t="shared"/>
        <v>1.1708510218167208E-3</v>
      </c>
      <c r="E91" s="371">
        <v>80</v>
      </c>
      <c r="F91" s="371" t="n">
        <v>1479.0</v>
      </c>
      <c r="G91" s="9">
        <f si="3" t="shared"/>
        <v>1.8767121036780739E-3</v>
      </c>
    </row>
    <row r="92" spans="1:7" x14ac:dyDescent="0.25">
      <c r="A92">
        <v>81</v>
      </c>
      <c r="B92" s="6" t="n">
        <v>454.50588</v>
      </c>
      <c r="C92" s="9">
        <f si="2" t="shared"/>
        <v>6.2650420618779931E-4</v>
      </c>
      <c r="E92" s="371">
        <v>81</v>
      </c>
      <c r="F92" s="371" t="n">
        <v>1406.0</v>
      </c>
      <c r="G92" s="9">
        <f si="3" t="shared"/>
        <v>1.9835168575459321E-3</v>
      </c>
    </row>
    <row r="93" spans="1:7" x14ac:dyDescent="0.25">
      <c r="A93">
        <v>82</v>
      </c>
      <c r="B93" s="6" t="n">
        <v>279.137938</v>
      </c>
      <c r="C93" s="9">
        <f si="2" t="shared"/>
        <v>3.8477190276083815E-4</v>
      </c>
      <c r="E93" s="371">
        <v>82</v>
      </c>
      <c r="F93" s="371" t="n">
        <v>1357.0</v>
      </c>
      <c r="G93" s="9">
        <f si="3" t="shared"/>
        <v>1.8520648527854914E-3</v>
      </c>
    </row>
    <row r="94" spans="1:7" x14ac:dyDescent="0.25">
      <c r="A94">
        <v>83</v>
      </c>
      <c r="B94" s="6" t="n">
        <v>957.408357</v>
      </c>
      <c r="C94" s="9">
        <f si="2" t="shared"/>
        <v>1.3197196980154586E-3</v>
      </c>
      <c r="E94" s="371">
        <v>83</v>
      </c>
      <c r="F94" s="371" t="n">
        <v>1355.0</v>
      </c>
      <c r="G94" s="9">
        <f si="3" t="shared"/>
        <v>1.6818814537652783E-3</v>
      </c>
    </row>
    <row r="95" spans="1:7" x14ac:dyDescent="0.25">
      <c r="A95">
        <v>84</v>
      </c>
      <c r="B95" s="6" t="n">
        <v>344.580514</v>
      </c>
      <c r="C95" s="9">
        <f si="2" t="shared"/>
        <v>4.7497986470791947E-4</v>
      </c>
      <c r="E95" s="371">
        <v>84</v>
      </c>
      <c r="F95" s="371" t="n">
        <v>1443.0</v>
      </c>
      <c r="G95" s="9">
        <f si="3" t="shared"/>
        <v>1.6408027022776408E-3</v>
      </c>
    </row>
    <row r="96" spans="1:7" x14ac:dyDescent="0.25">
      <c r="A96">
        <v>85</v>
      </c>
      <c r="B96" s="6" t="n">
        <v>28.166385</v>
      </c>
      <c r="C96" s="9">
        <f si="2" t="shared"/>
        <v>3.8825369378290414E-5</v>
      </c>
      <c r="E96" s="371">
        <v>85</v>
      </c>
      <c r="F96" s="371" t="n">
        <v>1156.0</v>
      </c>
      <c r="G96" s="9">
        <f si="3" t="shared"/>
        <v>1.5774240571252854E-3</v>
      </c>
    </row>
    <row r="97" spans="1:7" x14ac:dyDescent="0.25">
      <c r="A97">
        <v>86</v>
      </c>
      <c r="B97" s="6" t="n">
        <v>367.396103</v>
      </c>
      <c r="C97" s="9">
        <f si="2" t="shared"/>
        <v>5.0642954028780871E-4</v>
      </c>
      <c r="E97" s="371">
        <v>86</v>
      </c>
      <c r="F97" s="371" t="n">
        <v>1098.0</v>
      </c>
      <c r="G97" s="9">
        <f si="3" t="shared"/>
        <v>1.5187401264286603E-3</v>
      </c>
    </row>
    <row r="98" spans="1:7" x14ac:dyDescent="0.25">
      <c r="A98">
        <v>87</v>
      </c>
      <c r="B98" s="6" t="n">
        <v>63.433932</v>
      </c>
      <c r="C98" s="9">
        <f si="2" t="shared"/>
        <v>8.7439188274155761E-5</v>
      </c>
      <c r="E98" s="371">
        <v>87</v>
      </c>
      <c r="F98" s="371" t="n">
        <v>1067.0</v>
      </c>
      <c r="G98" s="9">
        <f si="3" t="shared"/>
        <v>1.4647509101877651E-3</v>
      </c>
    </row>
    <row r="99" spans="1:7" x14ac:dyDescent="0.25">
      <c r="A99">
        <v>88</v>
      </c>
      <c r="B99" s="6" t="n">
        <v>429.148431</v>
      </c>
      <c r="C99" s="9">
        <f si="2" t="shared"/>
        <v>5.9155075639592293E-4</v>
      </c>
      <c r="E99" s="371">
        <v>88</v>
      </c>
      <c r="F99" s="371" t="n">
        <v>1007.0</v>
      </c>
      <c r="G99" s="9">
        <f si="3" t="shared"/>
        <v>1.40137226503541E-3</v>
      </c>
    </row>
    <row r="100" spans="1:7" x14ac:dyDescent="0.25">
      <c r="A100">
        <v>89</v>
      </c>
      <c r="B100" s="6" t="n">
        <v>131.867175</v>
      </c>
      <c r="C100" s="9">
        <f si="2" t="shared"/>
        <v>1.8176957313644133E-4</v>
      </c>
      <c r="E100" s="371">
        <v>89</v>
      </c>
      <c r="F100" s="371" t="n">
        <v>857.0</v>
      </c>
      <c r="G100" s="9">
        <f si="3" t="shared"/>
        <v>1.2077152937365466E-3</v>
      </c>
    </row>
    <row ht="15.75" r="101" spans="1:7" thickBot="1" x14ac:dyDescent="0.3">
      <c r="A101" s="1">
        <v>90</v>
      </c>
      <c r="B101" s="7" t="n">
        <v>529.900077</v>
      </c>
      <c r="C101" s="9">
        <f si="2" t="shared"/>
        <v>7.3042977375724772E-4</v>
      </c>
      <c r="E101" s="372">
        <v>90</v>
      </c>
      <c r="F101" s="372" t="n">
        <v>13763.0</v>
      </c>
      <c r="G101" s="9">
        <f si="3" t="shared"/>
        <v>2.1762348859536491E-2</v>
      </c>
    </row>
    <row r="102" spans="1:7" x14ac:dyDescent="0.25">
      <c r="B102" s="6">
        <f>SUM(B11:B101)</f>
        <v>725463.41351099953</v>
      </c>
      <c r="C102" s="9">
        <f si="2" t="shared"/>
        <v>1</v>
      </c>
      <c r="F102" s="6">
        <f>SUM(F11:F101)</f>
        <v>852022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M102"/>
  <sheetViews>
    <sheetView topLeftCell="A4" workbookViewId="0">
      <selection activeCell="I11" sqref="I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20025.612749</v>
      </c>
      <c r="C11" s="9">
        <f>B11/B$102</f>
        <v>8.5661990194214999E-2</v>
      </c>
      <c r="E11" s="371">
        <v>0</v>
      </c>
      <c r="F11" s="371" t="n">
        <v>42825.0</v>
      </c>
      <c r="G11" s="9">
        <f>F11/F$102</f>
        <v>0.14699443380840957</v>
      </c>
      <c r="K11" s="6" t="n">
        <v>5.069339457539065</v>
      </c>
      <c r="L11" s="6" t="n">
        <v>5.295910254273399</v>
      </c>
    </row>
    <row r="12" spans="1:12" x14ac:dyDescent="0.25">
      <c r="A12">
        <v>1</v>
      </c>
      <c r="B12" s="6" t="n">
        <v>40897.688176999996</v>
      </c>
      <c r="C12" s="9">
        <f>B12/B$102</f>
        <v>0.1749448272817111</v>
      </c>
      <c r="E12" s="371">
        <v>1</v>
      </c>
      <c r="F12" s="371" t="n">
        <v>60323.0</v>
      </c>
      <c r="G12" s="9">
        <f>F12/F$102</f>
        <v>0.20688417358008934</v>
      </c>
      <c r="K12" s="6"/>
      <c r="L12" s="371"/>
    </row>
    <row r="13" spans="1:12" x14ac:dyDescent="0.25">
      <c r="A13">
        <v>2</v>
      </c>
      <c r="B13" s="6" t="n">
        <v>39658.558019</v>
      </c>
      <c r="C13" s="9">
        <f ref="C13:C76" si="0" t="shared">B13/B$102</f>
        <v>0.16964429756637178</v>
      </c>
      <c r="E13" s="371">
        <v>2</v>
      </c>
      <c r="F13" s="371" t="n">
        <v>43456.0</v>
      </c>
      <c r="G13" s="9">
        <f ref="G13:G76" si="1" t="shared">F13/F$102</f>
        <v>0.15397433170247465</v>
      </c>
    </row>
    <row r="14" spans="1:12" x14ac:dyDescent="0.25">
      <c r="A14">
        <v>3</v>
      </c>
      <c r="B14" s="6" t="n">
        <v>28162.981789999998</v>
      </c>
      <c r="C14" s="9">
        <f si="0" t="shared"/>
        <v>0.12047057436758364</v>
      </c>
      <c r="E14" s="371">
        <v>3</v>
      </c>
      <c r="F14" s="371" t="n">
        <v>27718.0</v>
      </c>
      <c r="G14" s="9">
        <f si="1" t="shared"/>
        <v>9.5179217187832371E-2</v>
      </c>
    </row>
    <row r="15" spans="1:12" x14ac:dyDescent="0.25">
      <c r="A15">
        <v>4</v>
      </c>
      <c r="B15" s="6" t="n">
        <v>24928.037588</v>
      </c>
      <c r="C15" s="9">
        <f si="0" t="shared"/>
        <v>0.10663270773229706</v>
      </c>
      <c r="E15" s="371">
        <v>4</v>
      </c>
      <c r="F15" s="371" t="n">
        <v>17130.0</v>
      </c>
      <c r="G15" s="9">
        <f si="1" t="shared"/>
        <v>6.0434836559597249E-2</v>
      </c>
    </row>
    <row r="16" spans="1:12" x14ac:dyDescent="0.25">
      <c r="A16">
        <v>5</v>
      </c>
      <c r="B16" s="6" t="n">
        <v>16486.133636</v>
      </c>
      <c r="C16" s="9">
        <f si="0" t="shared"/>
        <v>7.0521438498208827E-2</v>
      </c>
      <c r="E16" s="371">
        <v>5</v>
      </c>
      <c r="F16" s="371" t="n">
        <v>12613.0</v>
      </c>
      <c r="G16" s="9">
        <f si="1" t="shared"/>
        <v>4.5229738353541799E-2</v>
      </c>
    </row>
    <row r="17" spans="1:7" x14ac:dyDescent="0.25">
      <c r="A17">
        <v>6</v>
      </c>
      <c r="B17" s="6" t="n">
        <v>13796.239927</v>
      </c>
      <c r="C17" s="9">
        <f si="0" t="shared"/>
        <v>5.9015091530855983E-2</v>
      </c>
      <c r="E17" s="371">
        <v>6</v>
      </c>
      <c r="F17" s="371" t="n">
        <v>10651.0</v>
      </c>
      <c r="G17" s="9">
        <f si="1" t="shared"/>
        <v>3.7266007232503721E-2</v>
      </c>
    </row>
    <row r="18" spans="1:7" x14ac:dyDescent="0.25">
      <c r="A18">
        <v>7</v>
      </c>
      <c r="B18" s="6" t="n">
        <v>12152.653305</v>
      </c>
      <c r="C18" s="9">
        <f si="0" t="shared"/>
        <v>5.1984450178613834E-2</v>
      </c>
      <c r="E18" s="371">
        <v>7</v>
      </c>
      <c r="F18" s="371" t="n">
        <v>8996.0</v>
      </c>
      <c r="G18" s="9">
        <f si="1" t="shared"/>
        <v>3.2532971708147201E-2</v>
      </c>
    </row>
    <row r="19" spans="1:7" x14ac:dyDescent="0.25">
      <c r="A19">
        <v>8</v>
      </c>
      <c r="B19" s="6" t="n">
        <v>5490.30655</v>
      </c>
      <c r="C19" s="9">
        <f si="0" t="shared"/>
        <v>2.3485452941899111E-2</v>
      </c>
      <c r="E19" s="371">
        <v>8</v>
      </c>
      <c r="F19" s="371" t="n">
        <v>7991.0</v>
      </c>
      <c r="G19" s="9">
        <f si="1" t="shared"/>
        <v>2.8234240941643621E-2</v>
      </c>
    </row>
    <row r="20" spans="1:7" x14ac:dyDescent="0.25">
      <c r="A20">
        <v>9</v>
      </c>
      <c r="B20" s="6" t="n">
        <v>4572.835898</v>
      </c>
      <c r="C20" s="9">
        <f si="0" t="shared"/>
        <v>1.95608608217889E-2</v>
      </c>
      <c r="E20" s="371">
        <v>9</v>
      </c>
      <c r="F20" s="371" t="n">
        <v>7156.0</v>
      </c>
      <c r="G20" s="9">
        <f si="1" t="shared"/>
        <v>2.5269446217116926E-2</v>
      </c>
    </row>
    <row r="21" spans="1:7" x14ac:dyDescent="0.25">
      <c r="A21">
        <v>10</v>
      </c>
      <c r="B21" s="6" t="n">
        <v>4976.1017</v>
      </c>
      <c r="C21" s="9">
        <f si="0" t="shared"/>
        <v>2.1285879257407617E-2</v>
      </c>
      <c r="E21" s="371">
        <v>10</v>
      </c>
      <c r="F21" s="371" t="n">
        <v>6086.0</v>
      </c>
      <c r="G21" s="9">
        <f si="1" t="shared"/>
        <v>2.2016592214422464E-2</v>
      </c>
    </row>
    <row r="22" spans="1:7" x14ac:dyDescent="0.25">
      <c r="A22">
        <v>11</v>
      </c>
      <c r="B22" s="6" t="n">
        <v>4446.069245</v>
      </c>
      <c r="C22" s="9">
        <f si="0" t="shared"/>
        <v>1.9018601070621897E-2</v>
      </c>
      <c r="E22" s="371">
        <v>11</v>
      </c>
      <c r="F22" s="371" t="n">
        <v>5275.0</v>
      </c>
      <c r="G22" s="9">
        <f si="1" t="shared"/>
        <v>1.936644685527902E-2</v>
      </c>
    </row>
    <row r="23" spans="1:7" x14ac:dyDescent="0.25">
      <c r="A23">
        <v>12</v>
      </c>
      <c r="B23" s="6" t="n">
        <v>1836.816713</v>
      </c>
      <c r="C23" s="9">
        <f si="0" t="shared"/>
        <v>7.8572065299441808E-3</v>
      </c>
      <c r="E23" s="371">
        <v>12</v>
      </c>
      <c r="F23" s="371" t="n">
        <v>4835.0</v>
      </c>
      <c r="G23" s="9">
        <f si="1" t="shared"/>
        <v>1.762479614266468E-2</v>
      </c>
    </row>
    <row r="24" spans="1:7" x14ac:dyDescent="0.25">
      <c r="A24">
        <v>13</v>
      </c>
      <c r="B24" s="6" t="n">
        <v>1325.114678</v>
      </c>
      <c r="C24" s="9">
        <f si="0" t="shared"/>
        <v>5.6683389405257877E-3</v>
      </c>
      <c r="E24" s="371">
        <v>13</v>
      </c>
      <c r="F24" s="371" t="n">
        <v>4275.0</v>
      </c>
      <c r="G24" s="9">
        <f si="1" t="shared"/>
        <v>1.5533042615046445E-2</v>
      </c>
    </row>
    <row r="25" spans="1:7" x14ac:dyDescent="0.25">
      <c r="A25">
        <v>14</v>
      </c>
      <c r="B25" s="6" t="n">
        <v>3462.464006</v>
      </c>
      <c r="C25" s="9">
        <f si="0" t="shared"/>
        <v>1.481111022406071E-2</v>
      </c>
      <c r="E25" s="371">
        <v>14</v>
      </c>
      <c r="F25" s="371" t="n">
        <v>3588.0</v>
      </c>
      <c r="G25" s="9">
        <f si="1" t="shared"/>
        <v>1.3490037580656597E-2</v>
      </c>
    </row>
    <row r="26" spans="1:7" x14ac:dyDescent="0.25">
      <c r="A26">
        <v>15</v>
      </c>
      <c r="B26" s="6" t="n">
        <v>1925.819765</v>
      </c>
      <c r="C26" s="9">
        <f si="0" t="shared"/>
        <v>8.237927892293502E-3</v>
      </c>
      <c r="E26" s="371">
        <v>15</v>
      </c>
      <c r="F26" s="371" t="n">
        <v>3110.0</v>
      </c>
      <c r="G26" s="9">
        <f si="1" t="shared"/>
        <v>1.1602141388357088E-2</v>
      </c>
    </row>
    <row r="27" spans="1:7" x14ac:dyDescent="0.25">
      <c r="A27">
        <v>16</v>
      </c>
      <c r="B27" s="6" t="n">
        <v>1305.900293</v>
      </c>
      <c r="C27" s="9">
        <f si="0" t="shared"/>
        <v>5.5861470755332885E-3</v>
      </c>
      <c r="E27" s="371">
        <v>16</v>
      </c>
      <c r="F27" s="371" t="n">
        <v>2859.0</v>
      </c>
      <c r="G27" s="9">
        <f si="1" t="shared"/>
        <v>9.341983975040772E-3</v>
      </c>
    </row>
    <row r="28" spans="1:7" x14ac:dyDescent="0.25">
      <c r="A28">
        <v>17</v>
      </c>
      <c r="B28" s="6" t="n">
        <v>1953.115808</v>
      </c>
      <c r="C28" s="9">
        <f si="0" t="shared"/>
        <v>8.354690030716639E-3</v>
      </c>
      <c r="E28" s="371">
        <v>17</v>
      </c>
      <c r="F28" s="371" t="n">
        <v>2384.0</v>
      </c>
      <c r="G28" s="9">
        <f si="1" t="shared"/>
        <v>8.5841664893994193E-3</v>
      </c>
    </row>
    <row r="29" spans="1:7" x14ac:dyDescent="0.25">
      <c r="A29">
        <v>18</v>
      </c>
      <c r="B29" s="6" t="n">
        <v>361.914428</v>
      </c>
      <c r="C29" s="9">
        <f si="0" t="shared"/>
        <v>1.5481329121391834E-3</v>
      </c>
      <c r="E29" s="371">
        <v>18</v>
      </c>
      <c r="F29" s="371" t="n">
        <v>1978.0</v>
      </c>
      <c r="G29" s="9">
        <f si="1" t="shared"/>
        <v>7.1615968233709141E-3</v>
      </c>
    </row>
    <row r="30" spans="1:7" x14ac:dyDescent="0.25">
      <c r="A30">
        <v>19</v>
      </c>
      <c r="B30" s="6" t="n">
        <v>536.754789</v>
      </c>
      <c r="C30" s="9">
        <f si="0" t="shared"/>
        <v>2.2960337867470233E-3</v>
      </c>
      <c r="E30" s="371">
        <v>19</v>
      </c>
      <c r="F30" s="371" t="n">
        <v>1690.0</v>
      </c>
      <c r="G30" s="9">
        <f si="1" t="shared"/>
        <v>5.9118627242430687E-3</v>
      </c>
    </row>
    <row r="31" spans="1:7" x14ac:dyDescent="0.25">
      <c r="A31">
        <v>20</v>
      </c>
      <c r="B31" s="6" t="n">
        <v>706.236307</v>
      </c>
      <c r="C31" s="9">
        <f si="0" t="shared"/>
        <v>3.0210115597113815E-3</v>
      </c>
      <c r="E31" s="371">
        <v>20</v>
      </c>
      <c r="F31" s="371" t="n">
        <v>1531.0</v>
      </c>
      <c r="G31" s="9">
        <f si="1" t="shared"/>
        <v>4.9945047153087995E-3</v>
      </c>
    </row>
    <row r="32" spans="1:7" x14ac:dyDescent="0.25">
      <c r="A32">
        <v>21</v>
      </c>
      <c r="B32" s="6" t="n">
        <v>231.201239</v>
      </c>
      <c r="C32" s="9">
        <f si="0" t="shared"/>
        <v>9.8899137401412852E-4</v>
      </c>
      <c r="E32" s="371">
        <v>21</v>
      </c>
      <c r="F32" s="371" t="n">
        <v>1242.0</v>
      </c>
      <c r="G32" s="9">
        <f si="1" t="shared"/>
        <v>4.2145288236545416E-3</v>
      </c>
    </row>
    <row r="33" spans="1:7" x14ac:dyDescent="0.25">
      <c r="A33">
        <v>22</v>
      </c>
      <c r="B33" s="6" t="n">
        <v>566.09002</v>
      </c>
      <c r="C33" s="9">
        <f si="0" t="shared"/>
        <v>2.4215187994536891E-3</v>
      </c>
      <c r="E33" s="371">
        <v>22</v>
      </c>
      <c r="F33" s="371" t="n">
        <v>1051.0</v>
      </c>
      <c r="G33" s="9">
        <f si="1" t="shared"/>
        <v>4.0195348507409768E-3</v>
      </c>
    </row>
    <row r="34" spans="1:7" x14ac:dyDescent="0.25">
      <c r="A34">
        <v>23</v>
      </c>
      <c r="B34" s="6" t="n">
        <v>108.976317</v>
      </c>
      <c r="C34" s="9">
        <f si="0" t="shared"/>
        <v>4.661594286907313E-4</v>
      </c>
      <c r="E34" s="371">
        <v>23</v>
      </c>
      <c r="F34" s="371" t="n">
        <v>854.0</v>
      </c>
      <c r="G34" s="9">
        <f si="1" t="shared"/>
        <v>3.3858044387718926E-3</v>
      </c>
    </row>
    <row r="35" spans="1:7" x14ac:dyDescent="0.25">
      <c r="A35">
        <v>24</v>
      </c>
      <c r="B35" s="6" t="n">
        <v>336.275785</v>
      </c>
      <c r="C35" s="9">
        <f si="0" t="shared"/>
        <v>1.438460503470008E-3</v>
      </c>
      <c r="E35" s="371">
        <v>24</v>
      </c>
      <c r="F35" s="371" t="n">
        <v>805.0</v>
      </c>
      <c r="G35" s="9">
        <f si="1" t="shared"/>
        <v>2.9559313621215343E-3</v>
      </c>
    </row>
    <row r="36" spans="1:7" x14ac:dyDescent="0.25">
      <c r="A36">
        <v>25</v>
      </c>
      <c r="B36" s="6" t="n">
        <v>769.222996</v>
      </c>
      <c r="C36" s="9">
        <f si="0" t="shared"/>
        <v>3.290444770225926E-3</v>
      </c>
      <c r="E36" s="371">
        <v>25</v>
      </c>
      <c r="F36" s="371" t="n">
        <v>658.0</v>
      </c>
      <c r="G36" s="9">
        <f si="1" t="shared"/>
        <v>2.3798128057860028E-3</v>
      </c>
    </row>
    <row r="37" spans="1:7" x14ac:dyDescent="0.25">
      <c r="A37">
        <v>26</v>
      </c>
      <c r="B37" s="6" t="n">
        <v>137.390913</v>
      </c>
      <c r="C37" s="9">
        <f si="0" t="shared"/>
        <v>5.8770631339447803E-4</v>
      </c>
      <c r="E37" s="371">
        <v>26</v>
      </c>
      <c r="F37" s="371" t="n">
        <v>627.0</v>
      </c>
      <c r="G37" s="9">
        <f si="1" t="shared"/>
        <v>2.1183436148337234E-3</v>
      </c>
    </row>
    <row r="38" spans="1:7" x14ac:dyDescent="0.25">
      <c r="A38">
        <v>27</v>
      </c>
      <c r="B38" s="6" t="n">
        <v>438.045597</v>
      </c>
      <c r="C38" s="9">
        <f si="0" t="shared"/>
        <v>1.8737932319552544E-3</v>
      </c>
      <c r="E38" s="371">
        <v>27</v>
      </c>
      <c r="F38" s="371" t="n">
        <v>510.0</v>
      </c>
      <c r="G38" s="9">
        <f si="1" t="shared"/>
        <v>2.051868396795008E-3</v>
      </c>
    </row>
    <row r="39" spans="1:7" x14ac:dyDescent="0.25">
      <c r="A39">
        <v>28</v>
      </c>
      <c r="B39" s="6" t="n">
        <v>156.06887799999998</v>
      </c>
      <c r="C39" s="9">
        <f si="0" t="shared"/>
        <v>6.6760357670082979E-4</v>
      </c>
      <c r="E39" s="371">
        <v>28</v>
      </c>
      <c r="F39" s="371" t="n">
        <v>454.0</v>
      </c>
      <c r="G39" s="9">
        <f si="1" t="shared"/>
        <v>1.6042685953343259E-3</v>
      </c>
    </row>
    <row r="40" spans="1:7" x14ac:dyDescent="0.25">
      <c r="A40">
        <v>29</v>
      </c>
      <c r="B40" s="6" t="n">
        <v>360.58228</v>
      </c>
      <c r="C40" s="9">
        <f si="0" t="shared"/>
        <v>1.542434487309764E-3</v>
      </c>
      <c r="E40" s="371">
        <v>29</v>
      </c>
      <c r="F40" s="371" t="n">
        <v>361.0</v>
      </c>
      <c r="G40" s="9">
        <f si="1" t="shared"/>
        <v>1.4713181592568958E-3</v>
      </c>
    </row>
    <row r="41" spans="1:7" x14ac:dyDescent="0.25">
      <c r="A41">
        <v>30</v>
      </c>
      <c r="B41" s="6" t="n">
        <v>819.90468</v>
      </c>
      <c r="C41" s="9">
        <f si="0" t="shared"/>
        <v>3.5072418276868075E-3</v>
      </c>
      <c r="E41" s="371">
        <v>30</v>
      </c>
      <c r="F41" s="371" t="n">
        <v>374.0</v>
      </c>
      <c r="G41" s="9">
        <f si="1" t="shared"/>
        <v>1.2718925051407501E-3</v>
      </c>
    </row>
    <row r="42" spans="1:7" x14ac:dyDescent="0.25">
      <c r="A42">
        <v>31</v>
      </c>
      <c r="B42" s="6" t="n">
        <v>28.166385</v>
      </c>
      <c r="C42" s="9">
        <f si="0" t="shared"/>
        <v>1.2048513201160196E-4</v>
      </c>
      <c r="E42" s="371">
        <v>31</v>
      </c>
      <c r="F42" s="371" t="n">
        <v>350.0</v>
      </c>
      <c r="G42" s="9">
        <f si="1" t="shared"/>
        <v>1.2275756931149401E-3</v>
      </c>
    </row>
    <row r="43" spans="1:7" x14ac:dyDescent="0.25">
      <c r="A43">
        <v>32</v>
      </c>
      <c r="B43" s="6" t="n">
        <v>0.0</v>
      </c>
      <c r="C43" s="9">
        <f si="0" t="shared"/>
        <v>0</v>
      </c>
      <c r="E43" s="371">
        <v>32</v>
      </c>
      <c r="F43" s="371" t="n">
        <v>336.0</v>
      </c>
      <c r="G43" s="9">
        <f si="1" t="shared"/>
        <v>1.0192866765936326E-3</v>
      </c>
    </row>
    <row r="44" spans="1:7" x14ac:dyDescent="0.25">
      <c r="A44">
        <v>33</v>
      </c>
      <c r="B44" s="6" t="n">
        <v>77.550021</v>
      </c>
      <c r="C44" s="9">
        <f si="0" t="shared"/>
        <v>3.317296315337416E-4</v>
      </c>
      <c r="E44" s="371">
        <v>33</v>
      </c>
      <c r="F44" s="371" t="n">
        <v>236.0</v>
      </c>
      <c r="G44" s="9">
        <f si="1" t="shared"/>
        <v>7.3565907962844788E-4</v>
      </c>
    </row>
    <row r="45" spans="1:7" x14ac:dyDescent="0.25">
      <c r="A45">
        <v>34</v>
      </c>
      <c r="B45" s="6" t="n">
        <v>49.705394</v>
      </c>
      <c r="C45" s="9">
        <f si="0" t="shared"/>
        <v>2.1262085843741355E-4</v>
      </c>
      <c r="E45" s="371">
        <v>34</v>
      </c>
      <c r="F45" s="371" t="n">
        <v>179.0</v>
      </c>
      <c r="G45" s="9">
        <f si="1" t="shared"/>
        <v>7.5781748564135291E-4</v>
      </c>
    </row>
    <row r="46" spans="1:7" x14ac:dyDescent="0.25">
      <c r="A46">
        <v>35</v>
      </c>
      <c r="B46" s="6" t="n">
        <v>90.013899</v>
      </c>
      <c r="C46" s="9">
        <f si="0" t="shared"/>
        <v>3.8504538313645879E-4</v>
      </c>
      <c r="E46" s="371">
        <v>35</v>
      </c>
      <c r="F46" s="371" t="n">
        <v>174.0</v>
      </c>
      <c r="G46" s="9">
        <f si="1" t="shared"/>
        <v>5.7168687513295044E-4</v>
      </c>
    </row>
    <row r="47" spans="1:7" x14ac:dyDescent="0.25">
      <c r="A47">
        <v>36</v>
      </c>
      <c r="B47" s="6" t="n">
        <v>344.985323</v>
      </c>
      <c r="C47" s="9">
        <f si="0" t="shared"/>
        <v>1.4757166098425534E-3</v>
      </c>
      <c r="E47" s="371">
        <v>36</v>
      </c>
      <c r="F47" s="371" t="n">
        <v>136.0</v>
      </c>
      <c r="G47" s="9">
        <f si="1" t="shared"/>
        <v>4.0771467063745301E-4</v>
      </c>
    </row>
    <row r="48" spans="1:7" x14ac:dyDescent="0.25">
      <c r="A48">
        <v>37</v>
      </c>
      <c r="B48" s="6" t="n">
        <v>56.488517</v>
      </c>
      <c r="C48" s="9">
        <f si="0" t="shared"/>
        <v>2.4163649072767496E-4</v>
      </c>
      <c r="E48" s="371">
        <v>37</v>
      </c>
      <c r="F48" s="371" t="n">
        <v>93.0</v>
      </c>
      <c r="G48" s="9">
        <f si="1" t="shared"/>
        <v>3.0135432177550873E-4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82.0</v>
      </c>
      <c r="G49" s="9">
        <f si="1" t="shared"/>
        <v>2.9692264057292774E-4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77.0</v>
      </c>
      <c r="G50" s="9">
        <f si="1" t="shared"/>
        <v>3.1021768418067078E-4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52.0</v>
      </c>
      <c r="G51" s="9">
        <f si="1" t="shared"/>
        <v>1.8169892930582144E-4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47.0</v>
      </c>
      <c r="G52" s="9">
        <f si="1" t="shared"/>
        <v>1.6840388569807843E-4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26.0</v>
      </c>
      <c r="G53" s="9">
        <f si="1" t="shared"/>
        <v>1.6840388569807843E-4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30.0</v>
      </c>
      <c r="G54" s="9">
        <f si="1" t="shared"/>
        <v>5.3180174430972131E-5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28.0</v>
      </c>
      <c r="G55" s="9">
        <f si="1" t="shared"/>
        <v>1.0636034886194426E-4</v>
      </c>
    </row>
    <row r="56" spans="1:7" x14ac:dyDescent="0.25">
      <c r="A56">
        <v>45</v>
      </c>
      <c r="B56" s="6" t="n">
        <v>73.805143</v>
      </c>
      <c r="C56" s="9">
        <f si="0" t="shared"/>
        <v>3.1571046115751671E-4</v>
      </c>
      <c r="E56" s="371">
        <v>45</v>
      </c>
      <c r="F56" s="371" t="n">
        <v>22.0</v>
      </c>
      <c r="G56" s="9">
        <f si="1" t="shared"/>
        <v>4.8748493228391121E-5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15.0</v>
      </c>
      <c r="G57" s="9">
        <f si="1" t="shared"/>
        <v>4.4316812025810112E-5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13.0</v>
      </c>
      <c r="G58" s="9">
        <f si="1" t="shared"/>
        <v>7.5338580443877183E-5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9.0</v>
      </c>
      <c r="G59" s="9">
        <f si="1" t="shared"/>
        <v>6.2043536836134156E-5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5.0</v>
      </c>
      <c r="G60" s="9">
        <f si="1" t="shared"/>
        <v>3.5453449620648087E-5</v>
      </c>
    </row>
    <row r="61" spans="1:7" x14ac:dyDescent="0.25">
      <c r="A61">
        <v>50</v>
      </c>
      <c r="B61" s="6" t="n">
        <v>122.949339</v>
      </c>
      <c r="C61" s="9">
        <f si="0" t="shared"/>
        <v>5.2593072700505238E-4</v>
      </c>
      <c r="E61" s="371">
        <v>50</v>
      </c>
      <c r="F61" s="371" t="n">
        <v>9.0</v>
      </c>
      <c r="G61" s="9">
        <f si="1" t="shared"/>
        <v>5.3180174430972131E-5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4.0</v>
      </c>
      <c r="G62" s="9">
        <f si="1" t="shared"/>
        <v>4.4316812025810112E-5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3.0</v>
      </c>
      <c r="G63" s="9">
        <f si="1" t="shared"/>
        <v>3.5453449620648087E-5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5.0</v>
      </c>
      <c r="G64" s="9">
        <f si="1" t="shared"/>
        <v>5.3180174430972131E-5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3.0</v>
      </c>
      <c r="G65" s="9">
        <f si="1" t="shared"/>
        <v>2.6590087215486065E-5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2.0</v>
      </c>
      <c r="G66" s="9">
        <f si="1" t="shared"/>
        <v>1.3295043607743033E-5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5.0</v>
      </c>
      <c r="G67" s="9">
        <f si="1" t="shared"/>
        <v>3.5453449620648087E-5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4.0</v>
      </c>
      <c r="G68" s="9">
        <f si="1" t="shared"/>
        <v>2.2158406012905056E-5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2.0</v>
      </c>
      <c r="G69" s="9">
        <f si="1" t="shared"/>
        <v>8.8633624051620218E-6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0.0</v>
      </c>
      <c r="G70" s="9">
        <f si="1" t="shared"/>
        <v>8.8633624051620218E-6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4.4316812025810109E-6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3.0</v>
      </c>
      <c r="G72" s="9">
        <f si="1" t="shared"/>
        <v>0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0.0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0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8.8633624051620218E-6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4.4316812025810109E-6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0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1.0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0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4.4316812025810109E-6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4.4316812025810109E-6</v>
      </c>
    </row>
    <row r="102" spans="1:7" x14ac:dyDescent="0.25">
      <c r="B102" s="6">
        <f>SUM(B11:B101)</f>
        <v>233774.77809699997</v>
      </c>
      <c r="C102" s="9">
        <f si="2" t="shared"/>
        <v>1</v>
      </c>
      <c r="F102" s="6">
        <f>SUM(F11:F101)</f>
        <v>225648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M102"/>
  <sheetViews>
    <sheetView workbookViewId="0">
      <selection activeCell="V13" sqref="V13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291.0</v>
      </c>
      <c r="G11" s="9">
        <f>F11/F$102</f>
        <v>7.8883925405941993E-4</v>
      </c>
      <c r="K11" s="6" t="n">
        <v>11.937860947453315</v>
      </c>
      <c r="L11" s="6" t="n">
        <v>16.904430036262877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5897.0</v>
      </c>
      <c r="G12" s="9">
        <f>F12/F$102</f>
        <v>1.8289548323051835E-2</v>
      </c>
      <c r="K12" s="6"/>
      <c r="L12" s="371"/>
    </row>
    <row r="13" spans="1:12" x14ac:dyDescent="0.25">
      <c r="A13">
        <v>2</v>
      </c>
      <c r="B13" s="6" t="n">
        <v>1543.577196</v>
      </c>
      <c r="C13" s="9">
        <f ref="C13:C76" si="0" t="shared">B13/B$102</f>
        <v>6.6028388886311936E-3</v>
      </c>
      <c r="E13" s="371">
        <v>2</v>
      </c>
      <c r="F13" s="371" t="n">
        <v>6820.0</v>
      </c>
      <c r="G13" s="9">
        <f ref="G13:G76" si="1" t="shared">F13/F$102</f>
        <v>2.2557257321137347E-2</v>
      </c>
    </row>
    <row r="14" spans="1:12" x14ac:dyDescent="0.25">
      <c r="A14">
        <v>3</v>
      </c>
      <c r="B14" s="6" t="n">
        <v>13586.850075</v>
      </c>
      <c r="C14" s="9">
        <f si="0" t="shared"/>
        <v>5.8119401013236822E-2</v>
      </c>
      <c r="E14" s="371">
        <v>3</v>
      </c>
      <c r="F14" s="371" t="n">
        <v>11877.0</v>
      </c>
      <c r="G14" s="9">
        <f si="1" t="shared"/>
        <v>4.1489399418563423E-2</v>
      </c>
    </row>
    <row r="15" spans="1:12" x14ac:dyDescent="0.25">
      <c r="A15">
        <v>4</v>
      </c>
      <c r="B15" s="6" t="n">
        <v>16640.951226</v>
      </c>
      <c r="C15" s="9">
        <f si="0" t="shared"/>
        <v>7.1183689538548839E-2</v>
      </c>
      <c r="E15" s="371">
        <v>4</v>
      </c>
      <c r="F15" s="371" t="n">
        <v>18064.0</v>
      </c>
      <c r="G15" s="9">
        <f si="1" t="shared"/>
        <v>6.6009891512444158E-2</v>
      </c>
    </row>
    <row r="16" spans="1:12" x14ac:dyDescent="0.25">
      <c r="A16">
        <v>5</v>
      </c>
      <c r="B16" s="6" t="n">
        <v>22441.740707</v>
      </c>
      <c r="C16" s="9">
        <f si="0" t="shared"/>
        <v>9.5997270918970812E-2</v>
      </c>
      <c r="E16" s="371">
        <v>5</v>
      </c>
      <c r="F16" s="371" t="n">
        <v>21841.0</v>
      </c>
      <c r="G16" s="9">
        <f si="1" t="shared"/>
        <v>8.0718641423810536E-2</v>
      </c>
    </row>
    <row r="17" spans="1:7" x14ac:dyDescent="0.25">
      <c r="A17">
        <v>6</v>
      </c>
      <c r="B17" s="6" t="n">
        <v>24144.154406</v>
      </c>
      <c r="C17" s="9">
        <f si="0" t="shared"/>
        <v>0.10327955223630615</v>
      </c>
      <c r="E17" s="371">
        <v>6</v>
      </c>
      <c r="F17" s="371" t="n">
        <v>21977.0</v>
      </c>
      <c r="G17" s="9">
        <f si="1" t="shared"/>
        <v>8.4126604268595334E-2</v>
      </c>
    </row>
    <row r="18" spans="1:7" x14ac:dyDescent="0.25">
      <c r="A18">
        <v>7</v>
      </c>
      <c r="B18" s="6" t="n">
        <v>18732.620284</v>
      </c>
      <c r="C18" s="9">
        <f si="0" t="shared"/>
        <v>8.0131057920317134E-2</v>
      </c>
      <c r="E18" s="371">
        <v>7</v>
      </c>
      <c r="F18" s="371" t="n">
        <v>19605.0</v>
      </c>
      <c r="G18" s="9">
        <f si="1" t="shared"/>
        <v>7.3495001063603488E-2</v>
      </c>
    </row>
    <row r="19" spans="1:7" x14ac:dyDescent="0.25">
      <c r="A19">
        <v>8</v>
      </c>
      <c r="B19" s="6" t="n">
        <v>14564.53689</v>
      </c>
      <c r="C19" s="9">
        <f si="0" t="shared"/>
        <v>6.2301575082478494E-2</v>
      </c>
      <c r="E19" s="371">
        <v>8</v>
      </c>
      <c r="F19" s="371" t="n">
        <v>16496.0</v>
      </c>
      <c r="G19" s="9">
        <f si="1" t="shared"/>
        <v>5.9490888463447494E-2</v>
      </c>
    </row>
    <row r="20" spans="1:7" x14ac:dyDescent="0.25">
      <c r="A20">
        <v>9</v>
      </c>
      <c r="B20" s="6" t="n">
        <v>14589.016126999999</v>
      </c>
      <c r="C20" s="9">
        <f si="0" t="shared"/>
        <v>6.2406287991198878E-2</v>
      </c>
      <c r="E20" s="371">
        <v>9</v>
      </c>
      <c r="F20" s="371" t="n">
        <v>13770.0</v>
      </c>
      <c r="G20" s="9">
        <f si="1" t="shared"/>
        <v>4.6488335815074805E-2</v>
      </c>
    </row>
    <row r="21" spans="1:7" x14ac:dyDescent="0.25">
      <c r="A21">
        <v>10</v>
      </c>
      <c r="B21" s="6" t="n">
        <v>16137.808101</v>
      </c>
      <c r="C21" s="9">
        <f si="0" t="shared"/>
        <v>6.9031433725942601E-2</v>
      </c>
      <c r="E21" s="371">
        <v>10</v>
      </c>
      <c r="F21" s="371" t="n">
        <v>11343.0</v>
      </c>
      <c r="G21" s="9">
        <f si="1" t="shared"/>
        <v>4.1281110402042118E-2</v>
      </c>
    </row>
    <row r="22" spans="1:7" x14ac:dyDescent="0.25">
      <c r="A22">
        <v>11</v>
      </c>
      <c r="B22" s="6" t="n">
        <v>13916.62658</v>
      </c>
      <c r="C22" s="9">
        <f si="0" t="shared"/>
        <v>5.9530060057315419E-2</v>
      </c>
      <c r="E22" s="371">
        <v>11</v>
      </c>
      <c r="F22" s="371" t="n">
        <v>9021.0</v>
      </c>
      <c r="G22" s="9">
        <f si="1" t="shared"/>
        <v>3.235570446004396E-2</v>
      </c>
    </row>
    <row r="23" spans="1:7" x14ac:dyDescent="0.25">
      <c r="A23">
        <v>12</v>
      </c>
      <c r="B23" s="6" t="n">
        <v>10681.172435999999</v>
      </c>
      <c r="C23" s="9">
        <f si="0" t="shared"/>
        <v>4.5690012083202849E-2</v>
      </c>
      <c r="E23" s="371">
        <v>12</v>
      </c>
      <c r="F23" s="371" t="n">
        <v>7785.0</v>
      </c>
      <c r="G23" s="9">
        <f si="1" t="shared"/>
        <v>2.8096858824363611E-2</v>
      </c>
    </row>
    <row r="24" spans="1:7" x14ac:dyDescent="0.25">
      <c r="A24">
        <v>13</v>
      </c>
      <c r="B24" s="6" t="n">
        <v>8832.423534</v>
      </c>
      <c r="C24" s="9">
        <f si="0" t="shared"/>
        <v>3.7781764165915131E-2</v>
      </c>
      <c r="E24" s="371">
        <v>13</v>
      </c>
      <c r="F24" s="371" t="n">
        <v>6882.0</v>
      </c>
      <c r="G24" s="9">
        <f si="1" t="shared"/>
        <v>2.6412819967382827E-2</v>
      </c>
    </row>
    <row r="25" spans="1:7" x14ac:dyDescent="0.25">
      <c r="A25">
        <v>14</v>
      </c>
      <c r="B25" s="6" t="n">
        <v>8279.986986</v>
      </c>
      <c r="C25" s="9">
        <f si="0" t="shared"/>
        <v>3.5418649750848602E-2</v>
      </c>
      <c r="E25" s="371">
        <v>14</v>
      </c>
      <c r="F25" s="371" t="n">
        <v>6552.0</v>
      </c>
      <c r="G25" s="9">
        <f si="1" t="shared"/>
        <v>2.2987130397787704E-2</v>
      </c>
    </row>
    <row r="26" spans="1:7" x14ac:dyDescent="0.25">
      <c r="A26">
        <v>15</v>
      </c>
      <c r="B26" s="6" t="n">
        <v>7954.817046</v>
      </c>
      <c r="C26" s="9">
        <f si="0" t="shared"/>
        <v>3.4027695847921244E-2</v>
      </c>
      <c r="E26" s="371">
        <v>15</v>
      </c>
      <c r="F26" s="371" t="n">
        <v>6217.0</v>
      </c>
      <c r="G26" s="9">
        <f si="1" t="shared"/>
        <v>2.1648762674608239E-2</v>
      </c>
    </row>
    <row r="27" spans="1:7" x14ac:dyDescent="0.25">
      <c r="A27">
        <v>16</v>
      </c>
      <c r="B27" s="6" t="n">
        <v>3276.82419</v>
      </c>
      <c r="C27" s="9">
        <f si="0" t="shared"/>
        <v>1.4017013369339391E-2</v>
      </c>
      <c r="E27" s="371">
        <v>16</v>
      </c>
      <c r="F27" s="371" t="n">
        <v>5792.0</v>
      </c>
      <c r="G27" s="9">
        <f si="1" t="shared"/>
        <v>1.9756434801106146E-2</v>
      </c>
    </row>
    <row r="28" spans="1:7" x14ac:dyDescent="0.25">
      <c r="A28">
        <v>17</v>
      </c>
      <c r="B28" s="6" t="n">
        <v>5989.283714</v>
      </c>
      <c r="C28" s="9">
        <f si="0" t="shared"/>
        <v>2.5619888350465542E-2</v>
      </c>
      <c r="E28" s="371">
        <v>17</v>
      </c>
      <c r="F28" s="371" t="n">
        <v>5236.0</v>
      </c>
      <c r="G28" s="9">
        <f si="1" t="shared"/>
        <v>1.9525987378571936E-2</v>
      </c>
    </row>
    <row r="29" spans="1:7" x14ac:dyDescent="0.25">
      <c r="A29">
        <v>18</v>
      </c>
      <c r="B29" s="6" t="n">
        <v>2636.970053</v>
      </c>
      <c r="C29" s="9">
        <f si="0" t="shared"/>
        <v>1.1279959602424873E-2</v>
      </c>
      <c r="E29" s="371">
        <v>18</v>
      </c>
      <c r="F29" s="371" t="n">
        <v>4999.0</v>
      </c>
      <c r="G29" s="9">
        <f si="1" t="shared"/>
        <v>1.7491845706587249E-2</v>
      </c>
    </row>
    <row r="30" spans="1:7" x14ac:dyDescent="0.25">
      <c r="A30">
        <v>19</v>
      </c>
      <c r="B30" s="6" t="n">
        <v>1617.920377</v>
      </c>
      <c r="C30" s="9">
        <f si="0" t="shared"/>
        <v>6.9208508726663264E-3</v>
      </c>
      <c r="E30" s="371">
        <v>19</v>
      </c>
      <c r="F30" s="371" t="n">
        <v>4498.0</v>
      </c>
      <c r="G30" s="9">
        <f si="1" t="shared"/>
        <v>1.5470999078210311E-2</v>
      </c>
    </row>
    <row r="31" spans="1:7" x14ac:dyDescent="0.25">
      <c r="A31">
        <v>20</v>
      </c>
      <c r="B31" s="6" t="n">
        <v>1982.305375</v>
      </c>
      <c r="C31" s="9">
        <f si="0" t="shared"/>
        <v>8.4795519479756824E-3</v>
      </c>
      <c r="E31" s="371">
        <v>20</v>
      </c>
      <c r="F31" s="371" t="n">
        <v>4265.0</v>
      </c>
      <c r="G31" s="9">
        <f si="1" t="shared"/>
        <v>1.5236119974473517E-2</v>
      </c>
    </row>
    <row r="32" spans="1:7" x14ac:dyDescent="0.25">
      <c r="A32">
        <v>21</v>
      </c>
      <c r="B32" s="6" t="n">
        <v>1487.976026</v>
      </c>
      <c r="C32" s="9">
        <f si="0" t="shared"/>
        <v>6.3649981324443595E-3</v>
      </c>
      <c r="E32" s="371">
        <v>21</v>
      </c>
      <c r="F32" s="371" t="n">
        <v>3987.0</v>
      </c>
      <c r="G32" s="9">
        <f si="1" t="shared"/>
        <v>1.4668864780543148E-2</v>
      </c>
    </row>
    <row r="33" spans="1:7" x14ac:dyDescent="0.25">
      <c r="A33">
        <v>22</v>
      </c>
      <c r="B33" s="6" t="n">
        <v>1324.684731</v>
      </c>
      <c r="C33" s="9">
        <f si="0" t="shared"/>
        <v>5.6664997900258904E-3</v>
      </c>
      <c r="E33" s="371">
        <v>22</v>
      </c>
      <c r="F33" s="371" t="n">
        <v>3547.0</v>
      </c>
      <c r="G33" s="9">
        <f si="1" t="shared"/>
        <v>1.3268453520527548E-2</v>
      </c>
    </row>
    <row r="34" spans="1:7" x14ac:dyDescent="0.25">
      <c r="A34">
        <v>23</v>
      </c>
      <c r="B34" s="6" t="n">
        <v>2327.619501</v>
      </c>
      <c r="C34" s="9">
        <f si="0" t="shared"/>
        <v>9.9566750525764657E-3</v>
      </c>
      <c r="E34" s="371">
        <v>23</v>
      </c>
      <c r="F34" s="371" t="n">
        <v>3584.0</v>
      </c>
      <c r="G34" s="9">
        <f si="1" t="shared"/>
        <v>1.2506204353683614E-2</v>
      </c>
    </row>
    <row r="35" spans="1:7" x14ac:dyDescent="0.25">
      <c r="A35">
        <v>24</v>
      </c>
      <c r="B35" s="6" t="n">
        <v>1594.969023</v>
      </c>
      <c r="C35" s="9">
        <f si="0" t="shared"/>
        <v>6.8226736690054739E-3</v>
      </c>
      <c r="E35" s="371">
        <v>24</v>
      </c>
      <c r="F35" s="371" t="n">
        <v>3377.0</v>
      </c>
      <c r="G35" s="9">
        <f si="1" t="shared"/>
        <v>1.1154541586896405E-2</v>
      </c>
    </row>
    <row r="36" spans="1:7" x14ac:dyDescent="0.25">
      <c r="A36">
        <v>25</v>
      </c>
      <c r="B36" s="6" t="n">
        <v>2077.106191</v>
      </c>
      <c r="C36" s="9">
        <f si="0" t="shared"/>
        <v>8.8850739498430708E-3</v>
      </c>
      <c r="E36" s="371">
        <v>25</v>
      </c>
      <c r="F36" s="371" t="n">
        <v>3295.0</v>
      </c>
      <c r="G36" s="9">
        <f si="1" t="shared"/>
        <v>1.1296355385378997E-2</v>
      </c>
    </row>
    <row r="37" spans="1:7" x14ac:dyDescent="0.25">
      <c r="A37">
        <v>26</v>
      </c>
      <c r="B37" s="6" t="n">
        <v>1962.083799</v>
      </c>
      <c r="C37" s="9">
        <f si="0" t="shared"/>
        <v>8.3930517011799842E-3</v>
      </c>
      <c r="E37" s="371">
        <v>26</v>
      </c>
      <c r="F37" s="371" t="n">
        <v>3145.0</v>
      </c>
      <c r="G37" s="9">
        <f si="1" t="shared"/>
        <v>1.0804438771892504E-2</v>
      </c>
    </row>
    <row r="38" spans="1:7" x14ac:dyDescent="0.25">
      <c r="A38">
        <v>27</v>
      </c>
      <c r="B38" s="6" t="n">
        <v>1932.358254</v>
      </c>
      <c r="C38" s="9">
        <f si="0" t="shared"/>
        <v>8.2658970729434598E-3</v>
      </c>
      <c r="E38" s="371">
        <v>27</v>
      </c>
      <c r="F38" s="371" t="n">
        <v>2965.0</v>
      </c>
      <c r="G38" s="9">
        <f si="1" t="shared"/>
        <v>9.7762887328937103E-3</v>
      </c>
    </row>
    <row r="39" spans="1:7" x14ac:dyDescent="0.25">
      <c r="A39">
        <v>28</v>
      </c>
      <c r="B39" s="6" t="n">
        <v>1733.77487</v>
      </c>
      <c r="C39" s="9">
        <f si="0" t="shared"/>
        <v>7.4164325343968685E-3</v>
      </c>
      <c r="E39" s="371">
        <v>28</v>
      </c>
      <c r="F39" s="371" t="n">
        <v>2736.0</v>
      </c>
      <c r="G39" s="9">
        <f si="1" t="shared"/>
        <v>1.0347975608026661E-2</v>
      </c>
    </row>
    <row r="40" spans="1:7" x14ac:dyDescent="0.25">
      <c r="A40">
        <v>29</v>
      </c>
      <c r="B40" s="6" t="n">
        <v>457.88392400000004</v>
      </c>
      <c r="C40" s="9">
        <f si="0" t="shared"/>
        <v>1.9586540846164781E-3</v>
      </c>
      <c r="E40" s="371">
        <v>29</v>
      </c>
      <c r="F40" s="371" t="n">
        <v>2717.0</v>
      </c>
      <c r="G40" s="9">
        <f si="1" t="shared"/>
        <v>9.1824434517478546E-3</v>
      </c>
    </row>
    <row r="41" spans="1:7" x14ac:dyDescent="0.25">
      <c r="A41">
        <v>30</v>
      </c>
      <c r="B41" s="6" t="n">
        <v>962.034441</v>
      </c>
      <c r="C41" s="9">
        <f si="0" t="shared"/>
        <v>4.1152191388278136E-3</v>
      </c>
      <c r="E41" s="371">
        <v>30</v>
      </c>
      <c r="F41" s="371" t="n">
        <v>2509.0</v>
      </c>
      <c r="G41" s="9">
        <f si="1" t="shared"/>
        <v>8.4911011841452173E-3</v>
      </c>
    </row>
    <row r="42" spans="1:7" x14ac:dyDescent="0.25">
      <c r="A42">
        <v>31</v>
      </c>
      <c r="B42" s="6" t="n">
        <v>347.582251</v>
      </c>
      <c r="C42" s="9">
        <f si="0" t="shared"/>
        <v>1.4868252847010631E-3</v>
      </c>
      <c r="E42" s="371">
        <v>31</v>
      </c>
      <c r="F42" s="371" t="n">
        <v>2471.0</v>
      </c>
      <c r="G42" s="9">
        <f si="1" t="shared"/>
        <v>8.0833865135077638E-3</v>
      </c>
    </row>
    <row r="43" spans="1:7" x14ac:dyDescent="0.25">
      <c r="A43">
        <v>32</v>
      </c>
      <c r="B43" s="6" t="n">
        <v>1087.0052</v>
      </c>
      <c r="C43" s="9">
        <f si="0" t="shared"/>
        <v>4.6497967353388708E-3</v>
      </c>
      <c r="E43" s="371">
        <v>32</v>
      </c>
      <c r="F43" s="371" t="n">
        <v>2294.0</v>
      </c>
      <c r="G43" s="9">
        <f si="1" t="shared"/>
        <v>7.5471530879954616E-3</v>
      </c>
    </row>
    <row r="44" spans="1:7" x14ac:dyDescent="0.25">
      <c r="A44">
        <v>33</v>
      </c>
      <c r="B44" s="6" t="n">
        <v>842.7201070000001</v>
      </c>
      <c r="C44" s="9">
        <f si="0" t="shared"/>
        <v>3.6048375870998818E-3</v>
      </c>
      <c r="E44" s="371">
        <v>33</v>
      </c>
      <c r="F44" s="371" t="n">
        <v>2298.0</v>
      </c>
      <c r="G44" s="9">
        <f si="1" t="shared"/>
        <v>7.0951216053321987E-3</v>
      </c>
    </row>
    <row r="45" spans="1:7" x14ac:dyDescent="0.25">
      <c r="A45">
        <v>34</v>
      </c>
      <c r="B45" s="6" t="n">
        <v>640.8805629999999</v>
      </c>
      <c r="C45" s="9">
        <f si="0" t="shared"/>
        <v>2.7414444287658765E-3</v>
      </c>
      <c r="E45" s="371">
        <v>34</v>
      </c>
      <c r="F45" s="371" t="n">
        <v>2108.0</v>
      </c>
      <c r="G45" s="9">
        <f si="1" t="shared"/>
        <v>6.501276324186343E-3</v>
      </c>
    </row>
    <row r="46" spans="1:7" x14ac:dyDescent="0.25">
      <c r="A46">
        <v>35</v>
      </c>
      <c r="B46" s="6" t="n">
        <v>33.491023</v>
      </c>
      <c r="C46" s="9">
        <f si="0" t="shared"/>
        <v>1.4326191761415588E-4</v>
      </c>
      <c r="E46" s="371">
        <v>35</v>
      </c>
      <c r="F46" s="371" t="n">
        <v>1933.0</v>
      </c>
      <c r="G46" s="9">
        <f si="1" t="shared"/>
        <v>6.3240090760831027E-3</v>
      </c>
    </row>
    <row r="47" spans="1:7" x14ac:dyDescent="0.25">
      <c r="A47">
        <v>36</v>
      </c>
      <c r="B47" s="6" t="n">
        <v>0.0</v>
      </c>
      <c r="C47" s="9">
        <f si="0" t="shared"/>
        <v>0</v>
      </c>
      <c r="E47" s="371">
        <v>36</v>
      </c>
      <c r="F47" s="371" t="n">
        <v>1931.0</v>
      </c>
      <c r="G47" s="9">
        <f si="1" t="shared"/>
        <v>6.0226547543075944E-3</v>
      </c>
    </row>
    <row r="48" spans="1:7" x14ac:dyDescent="0.25">
      <c r="A48">
        <v>37</v>
      </c>
      <c r="B48" s="6" t="n">
        <v>164.825286</v>
      </c>
      <c r="C48" s="9">
        <f si="0" t="shared"/>
        <v>7.050601751896824E-4</v>
      </c>
      <c r="E48" s="371">
        <v>37</v>
      </c>
      <c r="F48" s="371" t="n">
        <v>1810.0</v>
      </c>
      <c r="G48" s="9">
        <f si="1" t="shared"/>
        <v>5.5839183152520738E-3</v>
      </c>
    </row>
    <row r="49" spans="1:7" x14ac:dyDescent="0.25">
      <c r="A49">
        <v>38</v>
      </c>
      <c r="B49" s="6" t="n">
        <v>227.045299</v>
      </c>
      <c r="C49" s="9">
        <f si="0" t="shared"/>
        <v>9.7121383601866658E-4</v>
      </c>
      <c r="E49" s="371">
        <v>38</v>
      </c>
      <c r="F49" s="371" t="n">
        <v>1690.0</v>
      </c>
      <c r="G49" s="9">
        <f si="1" t="shared"/>
        <v>5.3756292987307665E-3</v>
      </c>
    </row>
    <row r="50" spans="1:7" x14ac:dyDescent="0.25">
      <c r="A50">
        <v>39</v>
      </c>
      <c r="B50" s="6" t="n">
        <v>539.489543</v>
      </c>
      <c r="C50" s="9">
        <f si="0" t="shared"/>
        <v>2.3077320290564017E-3</v>
      </c>
      <c r="E50" s="371">
        <v>39</v>
      </c>
      <c r="F50" s="371" t="n">
        <v>1554.0</v>
      </c>
      <c r="G50" s="9">
        <f si="1" t="shared"/>
        <v>5.3135857618946325E-3</v>
      </c>
    </row>
    <row r="51" spans="1:7" x14ac:dyDescent="0.25">
      <c r="A51">
        <v>40</v>
      </c>
      <c r="B51" s="6" t="n">
        <v>645.396526</v>
      </c>
      <c r="C51" s="9">
        <f si="0" t="shared"/>
        <v>2.7607620088605359E-3</v>
      </c>
      <c r="E51" s="371">
        <v>40</v>
      </c>
      <c r="F51" s="371" t="n">
        <v>1556.0</v>
      </c>
      <c r="G51" s="9">
        <f si="1" t="shared"/>
        <v>4.5336098702403746E-3</v>
      </c>
    </row>
    <row r="52" spans="1:7" x14ac:dyDescent="0.25">
      <c r="A52">
        <v>41</v>
      </c>
      <c r="B52" s="6" t="n">
        <v>755.655484</v>
      </c>
      <c r="C52" s="9">
        <f si="0" t="shared"/>
        <v>3.2324080901766747E-3</v>
      </c>
      <c r="E52" s="371">
        <v>41</v>
      </c>
      <c r="F52" s="371" t="n">
        <v>1344.0</v>
      </c>
      <c r="G52" s="9">
        <f si="1" t="shared"/>
        <v>4.1835070552364746E-3</v>
      </c>
    </row>
    <row r="53" spans="1:7" x14ac:dyDescent="0.25">
      <c r="A53">
        <v>42</v>
      </c>
      <c r="B53" s="6" t="n">
        <v>64.591006</v>
      </c>
      <c r="C53" s="9">
        <f si="0" t="shared"/>
        <v>2.7629587129026923E-4</v>
      </c>
      <c r="E53" s="371">
        <v>42</v>
      </c>
      <c r="F53" s="371" t="n">
        <v>1338.0</v>
      </c>
      <c r="G53" s="9">
        <f si="1" t="shared"/>
        <v>3.8998794582712896E-3</v>
      </c>
    </row>
    <row r="54" spans="1:7" x14ac:dyDescent="0.25">
      <c r="A54">
        <v>43</v>
      </c>
      <c r="B54" s="6" t="n">
        <v>779.124048</v>
      </c>
      <c r="C54" s="9">
        <f si="0" t="shared"/>
        <v>3.3327977224160525E-3</v>
      </c>
      <c r="E54" s="371">
        <v>43</v>
      </c>
      <c r="F54" s="371" t="n">
        <v>1202.0</v>
      </c>
      <c r="G54" s="9">
        <f si="1" t="shared"/>
        <v>4.1303268808055025E-3</v>
      </c>
    </row>
    <row r="55" spans="1:7" x14ac:dyDescent="0.25">
      <c r="A55">
        <v>44</v>
      </c>
      <c r="B55" s="6" t="n">
        <v>111.15543</v>
      </c>
      <c r="C55" s="9">
        <f si="0" t="shared"/>
        <v>4.7548084915250484E-4</v>
      </c>
      <c r="E55" s="371">
        <v>44</v>
      </c>
      <c r="F55" s="371" t="n">
        <v>1189.0</v>
      </c>
      <c r="G55" s="9">
        <f si="1" t="shared"/>
        <v>3.8023824718145076E-3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1143.0</v>
      </c>
      <c r="G56" s="9">
        <f si="1" t="shared"/>
        <v>3.5098915124441607E-3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1057.0</v>
      </c>
      <c r="G57" s="9">
        <f si="1" t="shared"/>
        <v>2.9736580869318585E-3</v>
      </c>
    </row>
    <row r="58" spans="1:7" x14ac:dyDescent="0.25">
      <c r="A58">
        <v>47</v>
      </c>
      <c r="B58" s="6" t="n">
        <v>42.773716</v>
      </c>
      <c r="C58" s="9">
        <f si="0" t="shared"/>
        <v>1.8296976409598779E-4</v>
      </c>
      <c r="E58" s="371">
        <v>47</v>
      </c>
      <c r="F58" s="371" t="n">
        <v>1041.0</v>
      </c>
      <c r="G58" s="9">
        <f si="1" t="shared"/>
        <v>3.0002481741473446E-3</v>
      </c>
    </row>
    <row r="59" spans="1:7" x14ac:dyDescent="0.25">
      <c r="A59">
        <v>48</v>
      </c>
      <c r="B59" s="6" t="n">
        <v>337.926713</v>
      </c>
      <c r="C59" s="9">
        <f si="0" t="shared"/>
        <v>1.4455225484580898E-3</v>
      </c>
      <c r="E59" s="371">
        <v>48</v>
      </c>
      <c r="F59" s="371" t="n">
        <v>992.0</v>
      </c>
      <c r="G59" s="9">
        <f si="1" t="shared"/>
        <v>2.6545770403460255E-3</v>
      </c>
    </row>
    <row r="60" spans="1:7" x14ac:dyDescent="0.25">
      <c r="A60">
        <v>49</v>
      </c>
      <c r="B60" s="6" t="n">
        <v>50.352472</v>
      </c>
      <c r="C60" s="9">
        <f si="0" t="shared"/>
        <v>2.153888131554862E-4</v>
      </c>
      <c r="E60" s="371">
        <v>49</v>
      </c>
      <c r="F60" s="371" t="n">
        <v>989.0</v>
      </c>
      <c r="G60" s="9">
        <f si="1" t="shared"/>
        <v>2.4994681982556904E-3</v>
      </c>
    </row>
    <row r="61" spans="1:7" x14ac:dyDescent="0.25">
      <c r="A61">
        <v>50</v>
      </c>
      <c r="B61" s="6" t="n">
        <v>137.390913</v>
      </c>
      <c r="C61" s="9">
        <f si="0" t="shared"/>
        <v>5.877063133944777E-4</v>
      </c>
      <c r="E61" s="371">
        <v>50</v>
      </c>
      <c r="F61" s="371" t="n">
        <v>838.0</v>
      </c>
      <c r="G61" s="9">
        <f si="1" t="shared"/>
        <v>2.4551513862298801E-3</v>
      </c>
    </row>
    <row r="62" spans="1:7" x14ac:dyDescent="0.25">
      <c r="A62">
        <v>51</v>
      </c>
      <c r="B62" s="6" t="n">
        <v>936.939623</v>
      </c>
      <c r="C62" s="9">
        <f si="0" t="shared"/>
        <v>4.0078730076314557E-3</v>
      </c>
      <c r="E62" s="371">
        <v>51</v>
      </c>
      <c r="F62" s="371" t="n">
        <v>740.0</v>
      </c>
      <c r="G62" s="9">
        <f si="1" t="shared"/>
        <v>2.3931078493937461E-3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733.0</v>
      </c>
      <c r="G63" s="9">
        <f si="1" t="shared"/>
        <v>2.1405020208466285E-3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751.0</v>
      </c>
      <c r="G64" s="9">
        <f si="1" t="shared"/>
        <v>2.0075515847691981E-3</v>
      </c>
    </row>
    <row r="65" spans="1:7" x14ac:dyDescent="0.25">
      <c r="A65">
        <v>54</v>
      </c>
      <c r="B65" s="6" t="n">
        <v>427.135039</v>
      </c>
      <c r="C65" s="9">
        <f si="0" t="shared"/>
        <v>1.8271219952683219E-3</v>
      </c>
      <c r="E65" s="371">
        <v>54</v>
      </c>
      <c r="F65" s="371" t="n">
        <v>694.0</v>
      </c>
      <c r="G65" s="9">
        <f si="1" t="shared"/>
        <v>1.8036942494504716E-3</v>
      </c>
    </row>
    <row r="66" spans="1:7" x14ac:dyDescent="0.25">
      <c r="A66">
        <v>55</v>
      </c>
      <c r="B66" s="6" t="n">
        <v>763.691338</v>
      </c>
      <c r="C66" s="9">
        <f si="0" t="shared"/>
        <v>3.2667824314354466E-3</v>
      </c>
      <c r="E66" s="371">
        <v>55</v>
      </c>
      <c r="F66" s="371" t="n">
        <v>661.0</v>
      </c>
      <c r="G66" s="9">
        <f si="1" t="shared"/>
        <v>1.8081259306530525E-3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613.0</v>
      </c>
      <c r="G67" s="9">
        <f si="1" t="shared"/>
        <v>1.7017655817911082E-3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536.0</v>
      </c>
      <c r="G68" s="9">
        <f si="1" t="shared"/>
        <v>1.5599517833085159E-3</v>
      </c>
    </row>
    <row r="69" spans="1:7" x14ac:dyDescent="0.25">
      <c r="A69">
        <v>58</v>
      </c>
      <c r="B69" s="6" t="n">
        <v>28.166385</v>
      </c>
      <c r="C69" s="9">
        <f si="0" t="shared"/>
        <v>1.2048513201160191E-4</v>
      </c>
      <c r="E69" s="371">
        <v>58</v>
      </c>
      <c r="F69" s="371" t="n">
        <v>544.0</v>
      </c>
      <c r="G69" s="9">
        <f si="1" t="shared"/>
        <v>1.4402963908388285E-3</v>
      </c>
    </row>
    <row r="70" spans="1:7" x14ac:dyDescent="0.25">
      <c r="A70">
        <v>59</v>
      </c>
      <c r="B70" s="6" t="n">
        <v>495.74798300000003</v>
      </c>
      <c r="C70" s="9">
        <f si="0" t="shared"/>
        <v>2.1206221947275231E-3</v>
      </c>
      <c r="E70" s="371">
        <v>59</v>
      </c>
      <c r="F70" s="371" t="n">
        <v>527.0</v>
      </c>
      <c r="G70" s="9">
        <f si="1" t="shared"/>
        <v>1.3162093171665602E-3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471.0</v>
      </c>
      <c r="G71" s="9">
        <f si="1" t="shared"/>
        <v>1.2807558675459122E-3</v>
      </c>
    </row>
    <row r="72" spans="1:7" x14ac:dyDescent="0.25">
      <c r="A72">
        <v>61</v>
      </c>
      <c r="B72" s="6" t="n">
        <v>90.013899</v>
      </c>
      <c r="C72" s="9">
        <f si="0" t="shared"/>
        <v>3.8504538313645863E-4</v>
      </c>
      <c r="E72" s="371">
        <v>61</v>
      </c>
      <c r="F72" s="371" t="n">
        <v>428.0</v>
      </c>
      <c r="G72" s="9">
        <f si="1" t="shared"/>
        <v>1.1212153442529957E-3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372.0</v>
      </c>
      <c r="G73" s="9">
        <f si="1" t="shared"/>
        <v>1.0458767638091187E-3</v>
      </c>
    </row>
    <row r="74" spans="1:7" x14ac:dyDescent="0.25">
      <c r="A74">
        <v>63</v>
      </c>
      <c r="B74" s="6" t="n">
        <v>73.805143</v>
      </c>
      <c r="C74" s="9">
        <f si="0" t="shared"/>
        <v>3.1571046115751655E-4</v>
      </c>
      <c r="E74" s="371">
        <v>63</v>
      </c>
      <c r="F74" s="371" t="n">
        <v>352.0</v>
      </c>
      <c r="G74" s="9">
        <f si="1" t="shared"/>
        <v>1.0192866765936326E-3</v>
      </c>
    </row>
    <row r="75" spans="1:7" x14ac:dyDescent="0.25">
      <c r="A75">
        <v>64</v>
      </c>
      <c r="B75" s="6" t="n">
        <v>60.583943</v>
      </c>
      <c r="C75" s="9">
        <f si="0" t="shared"/>
        <v>2.5915517274007177E-4</v>
      </c>
      <c r="E75" s="371">
        <v>64</v>
      </c>
      <c r="F75" s="371" t="n">
        <v>377.0</v>
      </c>
      <c r="G75" s="9">
        <f si="1" t="shared"/>
        <v>1.0370134014039566E-3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273.0</v>
      </c>
      <c r="G76" s="9">
        <f si="1" t="shared"/>
        <v>8.7747287811104017E-4</v>
      </c>
    </row>
    <row r="77" spans="1:7" x14ac:dyDescent="0.25">
      <c r="A77">
        <v>66</v>
      </c>
      <c r="B77" s="6" t="n">
        <v>41.793933</v>
      </c>
      <c r="C77" s="9">
        <f ref="C77:C102" si="2" t="shared">B77/B$102</f>
        <v>1.787786233408741E-4</v>
      </c>
      <c r="E77" s="371">
        <v>66</v>
      </c>
      <c r="F77" s="371" t="n">
        <v>247.0</v>
      </c>
      <c r="G77" s="9">
        <f ref="G77:G102" si="3" t="shared">F77/F$102</f>
        <v>8.5088279089555409E-4</v>
      </c>
    </row>
    <row r="78" spans="1:7" x14ac:dyDescent="0.25">
      <c r="A78">
        <v>67</v>
      </c>
      <c r="B78" s="6" t="n">
        <v>28.166385</v>
      </c>
      <c r="C78" s="9">
        <f si="2" t="shared"/>
        <v>1.2048513201160191E-4</v>
      </c>
      <c r="E78" s="371">
        <v>67</v>
      </c>
      <c r="F78" s="371" t="n">
        <v>289.0</v>
      </c>
      <c r="G78" s="9">
        <f si="3" t="shared"/>
        <v>7.7111252924909595E-4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286.0</v>
      </c>
      <c r="G79" s="9">
        <f si="3" t="shared"/>
        <v>8.1542934127490601E-4</v>
      </c>
    </row>
    <row r="80" spans="1:7" x14ac:dyDescent="0.25">
      <c r="A80">
        <v>69</v>
      </c>
      <c r="B80" s="6" t="n">
        <v>37.12421</v>
      </c>
      <c r="C80" s="9">
        <f si="2" t="shared"/>
        <v>1.5880331617552029E-4</v>
      </c>
      <c r="E80" s="371">
        <v>69</v>
      </c>
      <c r="F80" s="371" t="n">
        <v>274.0</v>
      </c>
      <c r="G80" s="9">
        <f si="3" t="shared"/>
        <v>8.3758774728781116E-4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227.0</v>
      </c>
      <c r="G81" s="9">
        <f si="3" t="shared"/>
        <v>8.3758774728781116E-4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259.0</v>
      </c>
      <c r="G82" s="9">
        <f si="3" t="shared"/>
        <v>6.4702545557682764E-4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229.0</v>
      </c>
      <c r="G83" s="9">
        <f si="3" t="shared"/>
        <v>6.1600368715876051E-4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199.0</v>
      </c>
      <c r="G84" s="9">
        <f si="3" t="shared"/>
        <v>6.6032049918457068E-4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226.0</v>
      </c>
      <c r="G85" s="9">
        <f si="3" t="shared"/>
        <v>5.1407501949939734E-4</v>
      </c>
    </row>
    <row r="86" spans="1:7" x14ac:dyDescent="0.25">
      <c r="A86">
        <v>75</v>
      </c>
      <c r="B86" s="6" t="n">
        <v>172.654733</v>
      </c>
      <c r="C86" s="9">
        <f si="2" t="shared"/>
        <v>7.3855158544246561E-4</v>
      </c>
      <c r="E86" s="371">
        <v>75</v>
      </c>
      <c r="F86" s="371" t="n">
        <v>194.0</v>
      </c>
      <c r="G86" s="9">
        <f si="3" t="shared"/>
        <v>5.4509678791746436E-4</v>
      </c>
    </row>
    <row r="87" spans="1:7" x14ac:dyDescent="0.25">
      <c r="A87">
        <v>76</v>
      </c>
      <c r="B87" s="6" t="n">
        <v>56.488517</v>
      </c>
      <c r="C87" s="9">
        <f si="2" t="shared"/>
        <v>2.4163649072767482E-4</v>
      </c>
      <c r="E87" s="371">
        <v>76</v>
      </c>
      <c r="F87" s="371" t="n">
        <v>174.0</v>
      </c>
      <c r="G87" s="9">
        <f si="3" t="shared"/>
        <v>4.3873643905552009E-4</v>
      </c>
    </row>
    <row r="88" spans="1:7" x14ac:dyDescent="0.25">
      <c r="A88">
        <v>77</v>
      </c>
      <c r="B88" s="6" t="n">
        <v>56.488517</v>
      </c>
      <c r="C88" s="9">
        <f si="2" t="shared"/>
        <v>2.4163649072767482E-4</v>
      </c>
      <c r="E88" s="371">
        <v>77</v>
      </c>
      <c r="F88" s="371" t="n">
        <v>166.0</v>
      </c>
      <c r="G88" s="9">
        <f si="3" t="shared"/>
        <v>3.9441962702970997E-4</v>
      </c>
    </row>
    <row r="89" spans="1:7" x14ac:dyDescent="0.25">
      <c r="A89">
        <v>78</v>
      </c>
      <c r="B89" s="6" t="n">
        <v>288.496806</v>
      </c>
      <c r="C89" s="9">
        <f si="2" t="shared"/>
        <v>1.2340801191148777E-3</v>
      </c>
      <c r="E89" s="371">
        <v>78</v>
      </c>
      <c r="F89" s="371" t="n">
        <v>151.0</v>
      </c>
      <c r="G89" s="9">
        <f si="3" t="shared"/>
        <v>5.007799758916543E-4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141.0</v>
      </c>
      <c r="G90" s="9">
        <f si="3" t="shared"/>
        <v>4.2987307665035809E-4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114.0</v>
      </c>
      <c r="G91" s="9">
        <f si="3" t="shared"/>
        <v>4.2100971424519605E-4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149.0</v>
      </c>
      <c r="G92" s="9">
        <f si="3" t="shared"/>
        <v>4.0771467063745301E-4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128.0</v>
      </c>
      <c r="G93" s="9">
        <f si="3" t="shared"/>
        <v>3.4567113380131885E-4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119.0</v>
      </c>
      <c r="G94" s="9">
        <f si="3" t="shared"/>
        <v>3.545344962064809E-4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101.0</v>
      </c>
      <c r="G95" s="9">
        <f si="3" t="shared"/>
        <v>3.7226122101680493E-4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87.0</v>
      </c>
      <c r="G96" s="9">
        <f si="3" t="shared"/>
        <v>2.9692264057292774E-4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104.0</v>
      </c>
      <c r="G97" s="9">
        <f si="3" t="shared"/>
        <v>3.1464936538325177E-4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94.0</v>
      </c>
      <c r="G98" s="9">
        <f si="3" t="shared"/>
        <v>2.6590087215486066E-4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94.0</v>
      </c>
      <c r="G99" s="9">
        <f si="3" t="shared"/>
        <v>2.2601574133163156E-4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85.0</v>
      </c>
      <c r="G100" s="9">
        <f si="3" t="shared"/>
        <v>1.5510884209033539E-4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1282.0</v>
      </c>
      <c r="G101" s="9">
        <f si="3" t="shared"/>
        <v>4.7241721619513581E-3</v>
      </c>
    </row>
    <row r="102" spans="1:7" x14ac:dyDescent="0.25">
      <c r="B102" s="6">
        <f>SUM(B11:B101)</f>
        <v>233774.77809700009</v>
      </c>
      <c r="C102" s="9">
        <f si="2" t="shared"/>
        <v>1</v>
      </c>
      <c r="F102" s="6">
        <f>SUM(F11:F101)</f>
        <v>225648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M102"/>
  <sheetViews>
    <sheetView workbookViewId="0">
      <selection activeCell="O103" sqref="O10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24324.237504</v>
      </c>
      <c r="C11" s="9">
        <f>B11/B$102</f>
        <v>6.4066318189716878E-2</v>
      </c>
      <c r="E11" s="371">
        <v>0</v>
      </c>
      <c r="F11" s="371" t="n">
        <v>54491.0</v>
      </c>
      <c r="G11" s="9">
        <f>F11/F$102</f>
        <v>0.11622675352823209</v>
      </c>
      <c r="K11" s="6" t="n">
        <v>6.078870941190547</v>
      </c>
      <c r="L11" s="6" t="n">
        <v>6.492450942582374</v>
      </c>
    </row>
    <row r="12" spans="1:12" x14ac:dyDescent="0.25">
      <c r="A12">
        <v>1</v>
      </c>
      <c r="B12" s="6" t="n">
        <v>59900.815165</v>
      </c>
      <c r="C12" s="9">
        <f>B12/B$102</f>
        <v>0.15776957791804286</v>
      </c>
      <c r="E12" s="371">
        <v>1</v>
      </c>
      <c r="F12" s="371" t="n">
        <v>62958.0</v>
      </c>
      <c r="G12" s="9">
        <f>F12/F$102</f>
        <v>0.13268893013290817</v>
      </c>
      <c r="K12" s="6"/>
      <c r="L12" s="371"/>
    </row>
    <row r="13" spans="1:12" x14ac:dyDescent="0.25">
      <c r="A13">
        <v>2</v>
      </c>
      <c r="B13" s="6" t="n">
        <v>60977.624434</v>
      </c>
      <c r="C13" s="9">
        <f ref="C13:C76" si="0" t="shared">B13/B$102</f>
        <v>0.16060572870164072</v>
      </c>
      <c r="E13" s="371">
        <v>2</v>
      </c>
      <c r="F13" s="371" t="n">
        <v>60197.0</v>
      </c>
      <c r="G13" s="9">
        <f ref="G13:G76" si="1" t="shared">F13/F$102</f>
        <v>0.12993859070016567</v>
      </c>
    </row>
    <row r="14" spans="1:12" x14ac:dyDescent="0.25">
      <c r="A14">
        <v>3</v>
      </c>
      <c r="B14" s="6" t="n">
        <v>49719.920757</v>
      </c>
      <c r="C14" s="9">
        <f si="0" t="shared"/>
        <v>0.13095466047236434</v>
      </c>
      <c r="E14" s="371">
        <v>3</v>
      </c>
      <c r="F14" s="371" t="n">
        <v>54161.0</v>
      </c>
      <c r="G14" s="9">
        <f si="1" t="shared"/>
        <v>0.11821975311717592</v>
      </c>
    </row>
    <row r="15" spans="1:12" x14ac:dyDescent="0.25">
      <c r="A15">
        <v>4</v>
      </c>
      <c r="B15" s="6" t="n">
        <v>30661.687686</v>
      </c>
      <c r="C15" s="9">
        <f si="0" t="shared"/>
        <v>8.0758191873515753E-2</v>
      </c>
      <c r="E15" s="371">
        <v>4</v>
      </c>
      <c r="F15" s="371" t="n">
        <v>41869.0</v>
      </c>
      <c r="G15" s="9">
        <f si="1" t="shared"/>
        <v>9.3307258255377987E-2</v>
      </c>
    </row>
    <row r="16" spans="1:12" x14ac:dyDescent="0.25">
      <c r="A16">
        <v>5</v>
      </c>
      <c r="B16" s="6" t="n">
        <v>24662.157988</v>
      </c>
      <c r="C16" s="9">
        <f si="0" t="shared"/>
        <v>6.4956349017906534E-2</v>
      </c>
      <c r="E16" s="371">
        <v>5</v>
      </c>
      <c r="F16" s="371" t="n">
        <v>32270.0</v>
      </c>
      <c r="G16" s="9">
        <f si="1" t="shared"/>
        <v>7.1346894034703109E-2</v>
      </c>
    </row>
    <row r="17" spans="1:7" x14ac:dyDescent="0.25">
      <c r="A17">
        <v>6</v>
      </c>
      <c r="B17" s="6" t="n">
        <v>21470.092954</v>
      </c>
      <c r="C17" s="9">
        <f si="0" t="shared"/>
        <v>5.6548938338871528E-2</v>
      </c>
      <c r="E17" s="371">
        <v>6</v>
      </c>
      <c r="F17" s="371" t="n">
        <v>23156.0</v>
      </c>
      <c r="G17" s="9">
        <f si="1" t="shared"/>
        <v>5.1568864363921725E-2</v>
      </c>
    </row>
    <row r="18" spans="1:7" x14ac:dyDescent="0.25">
      <c r="A18">
        <v>7</v>
      </c>
      <c r="B18" s="6" t="n">
        <v>11484.326073</v>
      </c>
      <c r="C18" s="9">
        <f si="0" t="shared"/>
        <v>3.0247956930460323E-2</v>
      </c>
      <c r="E18" s="371">
        <v>7</v>
      </c>
      <c r="F18" s="371" t="n">
        <v>17137.0</v>
      </c>
      <c r="G18" s="9">
        <f si="1" t="shared"/>
        <v>3.8494787060450168E-2</v>
      </c>
    </row>
    <row r="19" spans="1:7" x14ac:dyDescent="0.25">
      <c r="A19">
        <v>8</v>
      </c>
      <c r="B19" s="6" t="n">
        <v>12304.969003</v>
      </c>
      <c r="C19" s="9">
        <f si="0" t="shared"/>
        <v>3.2409404789406598E-2</v>
      </c>
      <c r="E19" s="371">
        <v>8</v>
      </c>
      <c r="F19" s="371" t="n">
        <v>13557.0</v>
      </c>
      <c r="G19" s="9">
        <f si="1" t="shared"/>
        <v>3.0350892490128425E-2</v>
      </c>
    </row>
    <row r="20" spans="1:7" x14ac:dyDescent="0.25">
      <c r="A20">
        <v>9</v>
      </c>
      <c r="B20" s="6" t="n">
        <v>13630.811254</v>
      </c>
      <c r="C20" s="9">
        <f si="0" t="shared"/>
        <v>3.5901470327245895E-2</v>
      </c>
      <c r="E20" s="371">
        <v>9</v>
      </c>
      <c r="F20" s="371" t="n">
        <v>10906.0</v>
      </c>
      <c r="G20" s="9">
        <f si="1" t="shared"/>
        <v>2.5278708536266365E-2</v>
      </c>
    </row>
    <row r="21" spans="1:7" x14ac:dyDescent="0.25">
      <c r="A21">
        <v>10</v>
      </c>
      <c r="B21" s="6" t="n">
        <v>10948.733091</v>
      </c>
      <c r="C21" s="9">
        <f si="0" t="shared"/>
        <v>2.8837287000956936E-2</v>
      </c>
      <c r="E21" s="371">
        <v>10</v>
      </c>
      <c r="F21" s="371" t="n">
        <v>9094.0</v>
      </c>
      <c r="G21" s="9">
        <f si="1" t="shared"/>
        <v>2.1668888030791842E-2</v>
      </c>
    </row>
    <row r="22" spans="1:7" x14ac:dyDescent="0.25">
      <c r="A22">
        <v>11</v>
      </c>
      <c r="B22" s="6" t="n">
        <v>7183.804342</v>
      </c>
      <c r="C22" s="9">
        <f si="0" t="shared"/>
        <v>1.8921040986857554E-2</v>
      </c>
      <c r="E22" s="371">
        <v>11</v>
      </c>
      <c r="F22" s="371" t="n">
        <v>8563.0</v>
      </c>
      <c r="G22" s="9">
        <f si="1" t="shared"/>
        <v>1.9558799715997558E-2</v>
      </c>
    </row>
    <row r="23" spans="1:7" x14ac:dyDescent="0.25">
      <c r="A23">
        <v>12</v>
      </c>
      <c r="B23" s="6" t="n">
        <v>8626.014746</v>
      </c>
      <c r="C23" s="9">
        <f si="0" t="shared"/>
        <v>2.2719602426820057E-2</v>
      </c>
      <c r="E23" s="371">
        <v>12</v>
      </c>
      <c r="F23" s="371" t="n">
        <v>7777.0</v>
      </c>
      <c r="G23" s="9">
        <f si="1" t="shared"/>
        <v>1.7314183928949563E-2</v>
      </c>
    </row>
    <row r="24" spans="1:7" x14ac:dyDescent="0.25">
      <c r="A24">
        <v>13</v>
      </c>
      <c r="B24" s="6" t="n">
        <v>6467.1557139999995</v>
      </c>
      <c r="C24" s="9">
        <f si="0" t="shared"/>
        <v>1.7033498200608985E-2</v>
      </c>
      <c r="E24" s="371">
        <v>13</v>
      </c>
      <c r="F24" s="371" t="n">
        <v>6718.0</v>
      </c>
      <c r="G24" s="9">
        <f si="1" t="shared"/>
        <v>1.5243955605934157E-2</v>
      </c>
    </row>
    <row r="25" spans="1:7" x14ac:dyDescent="0.25">
      <c r="A25">
        <v>14</v>
      </c>
      <c r="B25" s="6" t="n">
        <v>5977.944078</v>
      </c>
      <c r="C25" s="9">
        <f si="0" t="shared"/>
        <v>1.5744989636715303E-2</v>
      </c>
      <c r="E25" s="371">
        <v>14</v>
      </c>
      <c r="F25" s="371" t="n">
        <v>5952.0</v>
      </c>
      <c r="G25" s="9">
        <f si="1" t="shared"/>
        <v>1.3086533550902455E-2</v>
      </c>
    </row>
    <row r="26" spans="1:7" x14ac:dyDescent="0.25">
      <c r="A26">
        <v>15</v>
      </c>
      <c r="B26" s="6" t="n">
        <v>6284.214851</v>
      </c>
      <c r="C26" s="9">
        <f si="0" t="shared"/>
        <v>1.6551659970862543E-2</v>
      </c>
      <c r="E26" s="371">
        <v>15</v>
      </c>
      <c r="F26" s="371" t="n">
        <v>5174.0</v>
      </c>
      <c r="G26" s="9">
        <f si="1" t="shared"/>
        <v>1.1778627570658064E-2</v>
      </c>
    </row>
    <row r="27" spans="1:7" x14ac:dyDescent="0.25">
      <c r="A27">
        <v>16</v>
      </c>
      <c r="B27" s="6" t="n">
        <v>5326.700232</v>
      </c>
      <c r="C27" s="9">
        <f si="0" t="shared"/>
        <v>1.4029713034516781E-2</v>
      </c>
      <c r="E27" s="371">
        <v>16</v>
      </c>
      <c r="F27" s="371" t="n">
        <v>4661.0</v>
      </c>
      <c r="G27" s="9">
        <f si="1" t="shared"/>
        <v>9.9973841880395108E-3</v>
      </c>
    </row>
    <row r="28" spans="1:7" x14ac:dyDescent="0.25">
      <c r="A28">
        <v>17</v>
      </c>
      <c r="B28" s="6" t="n">
        <v>3604.871106</v>
      </c>
      <c r="C28" s="9">
        <f si="0" t="shared"/>
        <v>9.4946786830186914E-3</v>
      </c>
      <c r="E28" s="371">
        <v>17</v>
      </c>
      <c r="F28" s="371" t="n">
        <v>4041.0</v>
      </c>
      <c r="G28" s="9">
        <f si="1" t="shared"/>
        <v>8.9959018945952336E-3</v>
      </c>
    </row>
    <row r="29" spans="1:7" x14ac:dyDescent="0.25">
      <c r="A29">
        <v>18</v>
      </c>
      <c r="B29" s="6" t="n">
        <v>1382.97836</v>
      </c>
      <c r="C29" s="9">
        <f si="0" t="shared"/>
        <v>3.6425533029219356E-3</v>
      </c>
      <c r="E29" s="371">
        <v>18</v>
      </c>
      <c r="F29" s="371" t="n">
        <v>3480.0</v>
      </c>
      <c r="G29" s="9">
        <f si="1" t="shared"/>
        <v>8.0093670980680362E-3</v>
      </c>
    </row>
    <row r="30" spans="1:7" x14ac:dyDescent="0.25">
      <c r="A30">
        <v>19</v>
      </c>
      <c r="B30" s="6" t="n">
        <v>1824.409381</v>
      </c>
      <c r="C30" s="9">
        <f si="0" t="shared"/>
        <v>4.8052150408509024E-3</v>
      </c>
      <c r="E30" s="371">
        <v>19</v>
      </c>
      <c r="F30" s="371" t="n">
        <v>3173.0</v>
      </c>
      <c r="G30" s="9">
        <f si="1" t="shared"/>
        <v>6.6092848868349917E-3</v>
      </c>
    </row>
    <row r="31" spans="1:7" x14ac:dyDescent="0.25">
      <c r="A31">
        <v>20</v>
      </c>
      <c r="B31" s="6" t="n">
        <v>2002.790999</v>
      </c>
      <c r="C31" s="9">
        <f si="0" t="shared"/>
        <v>5.2750449171668698E-3</v>
      </c>
      <c r="E31" s="371">
        <v>20</v>
      </c>
      <c r="F31" s="371" t="n">
        <v>2874.0</v>
      </c>
      <c r="G31" s="9">
        <f si="1" t="shared"/>
        <v>6.016367509124201E-3</v>
      </c>
    </row>
    <row r="32" spans="1:7" x14ac:dyDescent="0.25">
      <c r="A32">
        <v>21</v>
      </c>
      <c r="B32" s="6" t="n">
        <v>930.458652</v>
      </c>
      <c r="C32" s="9">
        <f si="0" t="shared"/>
        <v>2.4506856608189384E-3</v>
      </c>
      <c r="E32" s="371">
        <v>21</v>
      </c>
      <c r="F32" s="371" t="n">
        <v>2528.0</v>
      </c>
      <c r="G32" s="9">
        <f si="1" t="shared"/>
        <v>5.4184676324410506E-3</v>
      </c>
    </row>
    <row r="33" spans="1:7" x14ac:dyDescent="0.25">
      <c r="A33">
        <v>22</v>
      </c>
      <c r="B33" s="6" t="n">
        <v>975.920579</v>
      </c>
      <c r="C33" s="9">
        <f si="0" t="shared"/>
        <v>2.5704254175213108E-3</v>
      </c>
      <c r="E33" s="371">
        <v>22</v>
      </c>
      <c r="F33" s="371" t="n">
        <v>2239.0</v>
      </c>
      <c r="G33" s="9">
        <f si="1" t="shared"/>
        <v>4.9451302300668899E-3</v>
      </c>
    </row>
    <row r="34" spans="1:7" x14ac:dyDescent="0.25">
      <c r="A34">
        <v>23</v>
      </c>
      <c r="B34" s="6" t="n">
        <v>882.568994</v>
      </c>
      <c r="C34" s="9">
        <f si="0" t="shared"/>
        <v>2.3245516322838123E-3</v>
      </c>
      <c r="E34" s="371">
        <v>23</v>
      </c>
      <c r="F34" s="371" t="n">
        <v>2083.0</v>
      </c>
      <c r="G34" s="9">
        <f si="1" t="shared"/>
        <v>4.606320299946438E-3</v>
      </c>
    </row>
    <row r="35" spans="1:7" x14ac:dyDescent="0.25">
      <c r="A35">
        <v>24</v>
      </c>
      <c r="B35" s="6" t="n">
        <v>1293.789967</v>
      </c>
      <c r="C35" s="9">
        <f si="0" t="shared"/>
        <v>3.4076447281381262E-3</v>
      </c>
      <c r="E35" s="371">
        <v>24</v>
      </c>
      <c r="F35" s="371" t="n">
        <v>1947.0</v>
      </c>
      <c r="G35" s="9">
        <f si="1" t="shared"/>
        <v>4.1728428893511539E-3</v>
      </c>
    </row>
    <row r="36" spans="1:7" x14ac:dyDescent="0.25">
      <c r="A36">
        <v>25</v>
      </c>
      <c r="B36" s="6" t="n">
        <v>79.347985</v>
      </c>
      <c r="C36" s="9">
        <f si="0" t="shared"/>
        <v>2.0899044641736126E-4</v>
      </c>
      <c r="E36" s="371">
        <v>25</v>
      </c>
      <c r="F36" s="371" t="n">
        <v>1862.0</v>
      </c>
      <c r="G36" s="9">
        <f si="1" t="shared"/>
        <v>3.953612934567332E-3</v>
      </c>
    </row>
    <row r="37" spans="1:7" x14ac:dyDescent="0.25">
      <c r="A37">
        <v>26</v>
      </c>
      <c r="B37" s="6" t="n">
        <v>697.502819</v>
      </c>
      <c r="C37" s="9">
        <f si="0" t="shared"/>
        <v>1.837115656058285E-3</v>
      </c>
      <c r="E37" s="371">
        <v>26</v>
      </c>
      <c r="F37" s="371" t="n">
        <v>1655.0</v>
      </c>
      <c r="G37" s="9">
        <f si="1" t="shared"/>
        <v>3.4877492806517107E-3</v>
      </c>
    </row>
    <row r="38" spans="1:7" x14ac:dyDescent="0.25">
      <c r="A38">
        <v>27</v>
      </c>
      <c r="B38" s="6" t="n">
        <v>719.167615</v>
      </c>
      <c r="C38" s="9">
        <f si="0" t="shared"/>
        <v>1.8941774124164464E-3</v>
      </c>
      <c r="E38" s="371">
        <v>27</v>
      </c>
      <c r="F38" s="371" t="n">
        <v>1483.0</v>
      </c>
      <c r="G38" s="9">
        <f si="1" t="shared"/>
        <v>3.3332918125085638E-3</v>
      </c>
    </row>
    <row r="39" spans="1:7" x14ac:dyDescent="0.25">
      <c r="A39">
        <v>28</v>
      </c>
      <c r="B39" s="6" t="n">
        <v>376.322467</v>
      </c>
      <c r="C39" s="9">
        <f si="0" t="shared"/>
        <v>9.9117577308626944E-4</v>
      </c>
      <c r="E39" s="371">
        <v>28</v>
      </c>
      <c r="F39" s="371" t="n">
        <v>1363.0</v>
      </c>
      <c r="G39" s="9">
        <f si="1" t="shared"/>
        <v>2.9645868885539543E-3</v>
      </c>
    </row>
    <row r="40" spans="1:7" x14ac:dyDescent="0.25">
      <c r="A40">
        <v>29</v>
      </c>
      <c r="B40" s="6" t="n">
        <v>1110.263491</v>
      </c>
      <c r="C40" s="9">
        <f si="0" t="shared"/>
        <v>2.9242640833915061E-3</v>
      </c>
      <c r="E40" s="371">
        <v>29</v>
      </c>
      <c r="F40" s="371" t="n">
        <v>1201.0</v>
      </c>
      <c r="G40" s="9">
        <f si="1" t="shared"/>
        <v>2.593390715113165E-3</v>
      </c>
    </row>
    <row r="41" spans="1:7" x14ac:dyDescent="0.25">
      <c r="A41">
        <v>30</v>
      </c>
      <c r="B41" s="6" t="n">
        <v>146.620989</v>
      </c>
      <c r="C41" s="9">
        <f si="0" t="shared"/>
        <v>3.8617724124015272E-4</v>
      </c>
      <c r="E41" s="371">
        <v>30</v>
      </c>
      <c r="F41" s="371" t="n">
        <v>1137.0</v>
      </c>
      <c r="G41" s="9">
        <f si="1" t="shared"/>
        <v>2.2919495272854099E-3</v>
      </c>
    </row>
    <row r="42" spans="1:7" x14ac:dyDescent="0.25">
      <c r="A42">
        <v>31</v>
      </c>
      <c r="B42" s="6" t="n">
        <v>98.638123</v>
      </c>
      <c r="C42" s="9">
        <f si="0" t="shared"/>
        <v>2.5979771710070003E-4</v>
      </c>
      <c r="E42" s="371">
        <v>31</v>
      </c>
      <c r="F42" s="371" t="n">
        <v>1035.0</v>
      </c>
      <c r="G42" s="9">
        <f si="1" t="shared"/>
        <v>2.0527895766121497E-3</v>
      </c>
    </row>
    <row r="43" spans="1:7" x14ac:dyDescent="0.25">
      <c r="A43">
        <v>32</v>
      </c>
      <c r="B43" s="6" t="n">
        <v>606.249004</v>
      </c>
      <c r="C43" s="9">
        <f si="0" t="shared"/>
        <v>1.5967670758878206E-3</v>
      </c>
      <c r="E43" s="371">
        <v>32</v>
      </c>
      <c r="F43" s="371" t="n">
        <v>896.0</v>
      </c>
      <c r="G43" s="9">
        <f si="1" t="shared"/>
        <v>1.8111383764527098E-3</v>
      </c>
    </row>
    <row r="44" spans="1:7" x14ac:dyDescent="0.25">
      <c r="A44">
        <v>33</v>
      </c>
      <c r="B44" s="6" t="n">
        <v>534.603673</v>
      </c>
      <c r="C44" s="9">
        <f si="0" t="shared"/>
        <v>1.4080642410343631E-3</v>
      </c>
      <c r="E44" s="371">
        <v>33</v>
      </c>
      <c r="F44" s="371" t="n">
        <v>721.0</v>
      </c>
      <c r="G44" s="9">
        <f si="1" t="shared"/>
        <v>1.5943996711550678E-3</v>
      </c>
    </row>
    <row r="45" spans="1:7" x14ac:dyDescent="0.25">
      <c r="A45">
        <v>34</v>
      </c>
      <c r="B45" s="6" t="n">
        <v>785.54879</v>
      </c>
      <c r="C45" s="9">
        <f si="0" t="shared"/>
        <v>2.0690152661686115E-3</v>
      </c>
      <c r="E45" s="371">
        <v>34</v>
      </c>
      <c r="F45" s="371" t="n">
        <v>737.0</v>
      </c>
      <c r="G45" s="9">
        <f si="1" t="shared"/>
        <v>1.3552397204818077E-3</v>
      </c>
    </row>
    <row r="46" spans="1:7" x14ac:dyDescent="0.25">
      <c r="A46">
        <v>35</v>
      </c>
      <c r="B46" s="6" t="n">
        <v>333.82437100000004</v>
      </c>
      <c r="C46" s="9">
        <f si="0" t="shared"/>
        <v>8.7924229355395536E-4</v>
      </c>
      <c r="E46" s="371">
        <v>35</v>
      </c>
      <c r="F46" s="371" t="n">
        <v>611.0</v>
      </c>
      <c r="G46" s="9">
        <f si="1" t="shared"/>
        <v>1.3029234812720321E-3</v>
      </c>
    </row>
    <row r="47" spans="1:7" x14ac:dyDescent="0.25">
      <c r="A47">
        <v>36</v>
      </c>
      <c r="B47" s="6" t="n">
        <v>197.947017</v>
      </c>
      <c r="C47" s="9">
        <f si="0" t="shared"/>
        <v>5.2136214233814511E-4</v>
      </c>
      <c r="E47" s="371">
        <v>36</v>
      </c>
      <c r="F47" s="371" t="n">
        <v>539.0</v>
      </c>
      <c r="G47" s="9">
        <f si="1" t="shared"/>
        <v>1.0463247841955132E-3</v>
      </c>
    </row>
    <row r="48" spans="1:7" x14ac:dyDescent="0.25">
      <c r="A48">
        <v>37</v>
      </c>
      <c r="B48" s="6" t="n">
        <v>97.06561</v>
      </c>
      <c r="C48" s="9">
        <f si="0" t="shared"/>
        <v>2.5565595856874611E-4</v>
      </c>
      <c r="E48" s="371">
        <v>37</v>
      </c>
      <c r="F48" s="371" t="n">
        <v>435.0</v>
      </c>
      <c r="G48" s="9">
        <f si="1" t="shared"/>
        <v>9.6162230166540032E-4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367.0</v>
      </c>
      <c r="G49" s="9">
        <f si="1" t="shared"/>
        <v>7.9470858609135414E-4</v>
      </c>
    </row>
    <row r="50" spans="1:7" x14ac:dyDescent="0.25">
      <c r="A50">
        <v>39</v>
      </c>
      <c r="B50" s="6" t="n">
        <v>249.662793</v>
      </c>
      <c r="C50" s="9">
        <f si="0" t="shared"/>
        <v>6.575735800080526E-4</v>
      </c>
      <c r="E50" s="371">
        <v>39</v>
      </c>
      <c r="F50" s="371" t="n">
        <v>323.0</v>
      </c>
      <c r="G50" s="9">
        <f si="1" t="shared"/>
        <v>6.6267236332382502E-4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327.0</v>
      </c>
      <c r="G51" s="9">
        <f si="1" t="shared"/>
        <v>5.9789987668315038E-4</v>
      </c>
    </row>
    <row r="52" spans="1:7" x14ac:dyDescent="0.25">
      <c r="A52">
        <v>41</v>
      </c>
      <c r="B52" s="6" t="n">
        <v>232.405997</v>
      </c>
      <c r="C52" s="9">
        <f si="0" t="shared"/>
        <v>6.121218209019666E-4</v>
      </c>
      <c r="E52" s="371">
        <v>41</v>
      </c>
      <c r="F52" s="371" t="n">
        <v>302.0</v>
      </c>
      <c r="G52" s="9">
        <f si="1" t="shared"/>
        <v>5.4807488695955459E-4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266.0</v>
      </c>
      <c r="G53" s="9">
        <f si="1" t="shared"/>
        <v>4.2849491162292447E-4</v>
      </c>
    </row>
    <row r="54" spans="1:7" x14ac:dyDescent="0.25">
      <c r="A54">
        <v>43</v>
      </c>
      <c r="B54" s="6" t="n">
        <v>28.166385</v>
      </c>
      <c r="C54" s="9">
        <f si="0" t="shared"/>
        <v>7.4185946563271499E-5</v>
      </c>
      <c r="E54" s="371">
        <v>43</v>
      </c>
      <c r="F54" s="371" t="n">
        <v>273.0</v>
      </c>
      <c r="G54" s="9">
        <f si="1" t="shared"/>
        <v>4.7333740237416074E-4</v>
      </c>
    </row>
    <row r="55" spans="1:7" x14ac:dyDescent="0.25">
      <c r="A55">
        <v>44</v>
      </c>
      <c r="B55" s="6" t="n">
        <v>251.979787</v>
      </c>
      <c r="C55" s="9">
        <f si="0" t="shared"/>
        <v>6.6367618753370491E-4</v>
      </c>
      <c r="E55" s="371">
        <v>44</v>
      </c>
      <c r="F55" s="371" t="n">
        <v>230.0</v>
      </c>
      <c r="G55" s="9">
        <f si="1" t="shared"/>
        <v>4.0358241676112652E-4</v>
      </c>
    </row>
    <row r="56" spans="1:7" x14ac:dyDescent="0.25">
      <c r="A56">
        <v>45</v>
      </c>
      <c r="B56" s="6" t="n">
        <v>73.805143</v>
      </c>
      <c r="C56" s="9">
        <f si="0" t="shared"/>
        <v>1.9439144905150632E-4</v>
      </c>
      <c r="E56" s="371">
        <v>45</v>
      </c>
      <c r="F56" s="371" t="n">
        <v>213.0</v>
      </c>
      <c r="G56" s="9">
        <f si="1" t="shared"/>
        <v>3.8863491984404778E-4</v>
      </c>
    </row>
    <row r="57" spans="1:7" x14ac:dyDescent="0.25">
      <c r="A57">
        <v>46</v>
      </c>
      <c r="B57" s="6" t="n">
        <v>160.895459</v>
      </c>
      <c r="C57" s="9">
        <f si="0" t="shared"/>
        <v>4.2377401017727479E-4</v>
      </c>
      <c r="E57" s="371">
        <v>46</v>
      </c>
      <c r="F57" s="371" t="n">
        <v>187.0</v>
      </c>
      <c r="G57" s="9">
        <f si="1" t="shared"/>
        <v>3.5126617755135088E-4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163.0</v>
      </c>
      <c r="G58" s="9">
        <f si="1" t="shared"/>
        <v>2.6905494450741771E-4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142.0</v>
      </c>
      <c r="G59" s="9">
        <f si="1" t="shared"/>
        <v>2.4414244964561976E-4</v>
      </c>
    </row>
    <row r="60" spans="1:7" x14ac:dyDescent="0.25">
      <c r="A60">
        <v>49</v>
      </c>
      <c r="B60" s="6" t="n">
        <v>43.770387</v>
      </c>
      <c r="C60" s="9">
        <f si="0" t="shared"/>
        <v>1.1528449927229617E-4</v>
      </c>
      <c r="E60" s="371">
        <v>49</v>
      </c>
      <c r="F60" s="371" t="n">
        <v>101.0</v>
      </c>
      <c r="G60" s="9">
        <f si="1" t="shared"/>
        <v>1.7687871351876534E-4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84.0</v>
      </c>
      <c r="G61" s="9">
        <f si="1" t="shared"/>
        <v>1.7687871351876534E-4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77.0</v>
      </c>
      <c r="G62" s="9">
        <f si="1" t="shared"/>
        <v>1.6442246608786636E-4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88.0</v>
      </c>
      <c r="G63" s="9">
        <f si="1" t="shared"/>
        <v>1.3203622276752907E-4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68.0</v>
      </c>
      <c r="G64" s="9">
        <f si="1" t="shared"/>
        <v>6.9754985613034218E-5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62.0</v>
      </c>
      <c r="G65" s="9">
        <f si="1" t="shared"/>
        <v>7.4737484585393798E-5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57.0</v>
      </c>
      <c r="G66" s="9">
        <f si="1" t="shared"/>
        <v>8.221123304393318E-5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56.0</v>
      </c>
      <c r="G67" s="9">
        <f si="1" t="shared"/>
        <v>5.4807488695955453E-5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52.0</v>
      </c>
      <c r="G68" s="9">
        <f si="1" t="shared"/>
        <v>3.4877492806517109E-5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34.0</v>
      </c>
      <c r="G69" s="9">
        <f si="1" t="shared"/>
        <v>3.9859991778876695E-5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33.0</v>
      </c>
      <c r="G70" s="9">
        <f si="1" t="shared"/>
        <v>3.9859991778876695E-5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18.0</v>
      </c>
      <c r="G71" s="9">
        <f si="1" t="shared"/>
        <v>3.2386243320337313E-5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19.0</v>
      </c>
      <c r="G72" s="9">
        <f si="1" t="shared"/>
        <v>2.7403744347977727E-5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12.0</v>
      </c>
      <c r="G73" s="9">
        <f si="1" t="shared"/>
        <v>3.2386243320337313E-5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7.0</v>
      </c>
      <c r="G74" s="9">
        <f si="1" t="shared"/>
        <v>1.2456247430898967E-5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4.0</v>
      </c>
      <c r="G75" s="9">
        <f si="1" t="shared"/>
        <v>2.4912494861797934E-5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2.0</v>
      </c>
      <c r="G76" s="9">
        <f si="1" t="shared"/>
        <v>7.4737484585393808E-6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5.0</v>
      </c>
      <c r="G77" s="9">
        <f ref="G77:G102" si="3" t="shared">F77/F$102</f>
        <v>1.2456247430898967E-5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3.0</v>
      </c>
      <c r="G78" s="9">
        <f si="3" t="shared"/>
        <v>4.9824989723595869E-6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3.0</v>
      </c>
      <c r="G79" s="9">
        <f si="3" t="shared"/>
        <v>4.9824989723595869E-6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3.0</v>
      </c>
      <c r="G80" s="9">
        <f si="3" t="shared"/>
        <v>2.4912494861797934E-6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2.0</v>
      </c>
      <c r="G81" s="9">
        <f si="3" t="shared"/>
        <v>9.9649979447191738E-6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1.0</v>
      </c>
      <c r="G82" s="9">
        <f si="3" t="shared"/>
        <v>2.4912494861797934E-6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4.0</v>
      </c>
      <c r="G83" s="9">
        <f si="3" t="shared"/>
        <v>2.4912494861797934E-6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2.0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2.4912494861797934E-6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3.0</v>
      </c>
      <c r="G88" s="9">
        <f si="3" t="shared"/>
        <v>7.4737484585393808E-6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4.9824989723595869E-6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1.0</v>
      </c>
      <c r="G91" s="9">
        <f si="3" t="shared"/>
        <v>2.4912494861797934E-6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2.4912494861797934E-6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0.0</v>
      </c>
      <c r="G101" s="9">
        <f si="3" t="shared"/>
        <v>2.4912494861797934E-6</v>
      </c>
    </row>
    <row r="102" spans="1:7" x14ac:dyDescent="0.25">
      <c r="B102" s="6">
        <f>SUM(B11:B101)</f>
        <v>379672.78581499978</v>
      </c>
      <c r="C102" s="9">
        <f si="2" t="shared"/>
        <v>1</v>
      </c>
      <c r="F102" s="6">
        <f>SUM(F11:F101)</f>
        <v>401405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1:M102"/>
  <sheetViews>
    <sheetView workbookViewId="0">
      <selection activeCell="W24" sqref="W24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3536.0</v>
      </c>
      <c r="G11" s="9">
        <f>F11/F$102</f>
        <v>6.0213500080965607E-3</v>
      </c>
      <c r="K11" s="6" t="n">
        <v>14.041960274819795</v>
      </c>
      <c r="L11" s="6" t="n">
        <v>16.630389396290433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13610.0</v>
      </c>
      <c r="G12" s="9">
        <f>F12/F$102</f>
        <v>3.2607964524607319E-2</v>
      </c>
      <c r="K12" s="6"/>
      <c r="L12" s="371"/>
    </row>
    <row r="13" spans="1:12" x14ac:dyDescent="0.25">
      <c r="A13">
        <v>2</v>
      </c>
      <c r="B13" s="6" t="n">
        <v>2470.977013</v>
      </c>
      <c r="C13" s="9">
        <f ref="C13:C76" si="0" t="shared">B13/B$102</f>
        <v>6.5081752111777972E-3</v>
      </c>
      <c r="E13" s="371">
        <v>2</v>
      </c>
      <c r="F13" s="371" t="n">
        <v>8076.0</v>
      </c>
      <c r="G13" s="9">
        <f ref="G13:G76" si="1" t="shared">F13/F$102</f>
        <v>1.6554352835664726E-2</v>
      </c>
    </row>
    <row r="14" spans="1:12" x14ac:dyDescent="0.25">
      <c r="A14">
        <v>3</v>
      </c>
      <c r="B14" s="6" t="n">
        <v>17983.783744</v>
      </c>
      <c r="C14" s="9">
        <f si="0" t="shared"/>
        <v>4.7366533541234129E-2</v>
      </c>
      <c r="E14" s="371">
        <v>3</v>
      </c>
      <c r="F14" s="371" t="n">
        <v>12624.0</v>
      </c>
      <c r="G14" s="9">
        <f si="1" t="shared"/>
        <v>2.5607553468442096E-2</v>
      </c>
    </row>
    <row r="15" spans="1:12" x14ac:dyDescent="0.25">
      <c r="A15">
        <v>4</v>
      </c>
      <c r="B15" s="6" t="n">
        <v>21028.494787</v>
      </c>
      <c r="C15" s="9">
        <f si="0" t="shared"/>
        <v>5.5385836363964151E-2</v>
      </c>
      <c r="E15" s="371">
        <v>4</v>
      </c>
      <c r="F15" s="371" t="n">
        <v>18396.0</v>
      </c>
      <c r="G15" s="9">
        <f si="1" t="shared"/>
        <v>4.003687049239546E-2</v>
      </c>
    </row>
    <row r="16" spans="1:12" x14ac:dyDescent="0.25">
      <c r="A16">
        <v>5</v>
      </c>
      <c r="B16" s="6" t="n">
        <v>29840.707876</v>
      </c>
      <c r="C16" s="9">
        <f si="0" t="shared"/>
        <v>7.8595856724216817E-2</v>
      </c>
      <c r="E16" s="371">
        <v>5</v>
      </c>
      <c r="F16" s="371" t="n">
        <v>23510.0</v>
      </c>
      <c r="G16" s="9">
        <f si="1" t="shared"/>
        <v>5.3275370261954884E-2</v>
      </c>
    </row>
    <row r="17" spans="1:7" x14ac:dyDescent="0.25">
      <c r="A17">
        <v>6</v>
      </c>
      <c r="B17" s="6" t="n">
        <v>26464.621936</v>
      </c>
      <c r="C17" s="9">
        <f si="0" t="shared"/>
        <v>6.970376314749932E-2</v>
      </c>
      <c r="E17" s="371">
        <v>6</v>
      </c>
      <c r="F17" s="371" t="n">
        <v>26596.0</v>
      </c>
      <c r="G17" s="9">
        <f si="1" t="shared"/>
        <v>6.112529739290741E-2</v>
      </c>
    </row>
    <row r="18" spans="1:7" x14ac:dyDescent="0.25">
      <c r="A18">
        <v>7</v>
      </c>
      <c r="B18" s="6" t="n">
        <v>31083.372323</v>
      </c>
      <c r="C18" s="9">
        <f si="0" t="shared"/>
        <v>8.1868844658636489E-2</v>
      </c>
      <c r="E18" s="371">
        <v>7</v>
      </c>
      <c r="F18" s="371" t="n">
        <v>27789.0</v>
      </c>
      <c r="G18" s="9">
        <f si="1" t="shared"/>
        <v>6.4568204182807884E-2</v>
      </c>
    </row>
    <row r="19" spans="1:7" x14ac:dyDescent="0.25">
      <c r="A19">
        <v>8</v>
      </c>
      <c r="B19" s="6" t="n">
        <v>31086.530853</v>
      </c>
      <c r="C19" s="9">
        <f si="0" t="shared"/>
        <v>8.1877163743169293E-2</v>
      </c>
      <c r="E19" s="371">
        <v>8</v>
      </c>
      <c r="F19" s="371" t="n">
        <v>26796.0</v>
      </c>
      <c r="G19" s="9">
        <f si="1" t="shared"/>
        <v>6.2106849690462249E-2</v>
      </c>
    </row>
    <row r="20" spans="1:7" x14ac:dyDescent="0.25">
      <c r="A20">
        <v>9</v>
      </c>
      <c r="B20" s="6" t="n">
        <v>25493.778608</v>
      </c>
      <c r="C20" s="9">
        <f si="0" t="shared"/>
        <v>6.7146710431919499E-2</v>
      </c>
      <c r="E20" s="371">
        <v>9</v>
      </c>
      <c r="F20" s="371" t="n">
        <v>25151.0</v>
      </c>
      <c r="G20" s="9">
        <f si="1" t="shared"/>
        <v>5.7356036920317384E-2</v>
      </c>
    </row>
    <row r="21" spans="1:7" x14ac:dyDescent="0.25">
      <c r="A21">
        <v>10</v>
      </c>
      <c r="B21" s="6" t="n">
        <v>19235.350639</v>
      </c>
      <c r="C21" s="9">
        <f si="0" t="shared"/>
        <v>5.0662969160957062E-2</v>
      </c>
      <c r="E21" s="371">
        <v>10</v>
      </c>
      <c r="F21" s="371" t="n">
        <v>22928.0</v>
      </c>
      <c r="G21" s="9">
        <f si="1" t="shared"/>
        <v>5.2749716620370944E-2</v>
      </c>
    </row>
    <row r="22" spans="1:7" x14ac:dyDescent="0.25">
      <c r="A22">
        <v>11</v>
      </c>
      <c r="B22" s="6" t="n">
        <v>20621.703357</v>
      </c>
      <c r="C22" s="9">
        <f si="0" t="shared"/>
        <v>5.4314410006326246E-2</v>
      </c>
      <c r="E22" s="371">
        <v>11</v>
      </c>
      <c r="F22" s="371" t="n">
        <v>20837.0</v>
      </c>
      <c r="G22" s="9">
        <f si="1" t="shared"/>
        <v>4.7159352773383491E-2</v>
      </c>
    </row>
    <row r="23" spans="1:7" x14ac:dyDescent="0.25">
      <c r="A23">
        <v>12</v>
      </c>
      <c r="B23" s="6" t="n">
        <v>10564.964327</v>
      </c>
      <c r="C23" s="9">
        <f si="0" t="shared"/>
        <v>2.7826498821403284E-2</v>
      </c>
      <c r="E23" s="371">
        <v>12</v>
      </c>
      <c r="F23" s="371" t="n">
        <v>18593.0</v>
      </c>
      <c r="G23" s="9">
        <f si="1" t="shared"/>
        <v>4.2019905083394579E-2</v>
      </c>
    </row>
    <row r="24" spans="1:7" x14ac:dyDescent="0.25">
      <c r="A24">
        <v>13</v>
      </c>
      <c r="B24" s="6" t="n">
        <v>13418.802787</v>
      </c>
      <c r="C24" s="9">
        <f si="0" t="shared"/>
        <v>3.5343072478042893E-2</v>
      </c>
      <c r="E24" s="371">
        <v>13</v>
      </c>
      <c r="F24" s="371" t="n">
        <v>16778.0</v>
      </c>
      <c r="G24" s="9">
        <f si="1" t="shared"/>
        <v>3.8046362152937808E-2</v>
      </c>
    </row>
    <row r="25" spans="1:7" x14ac:dyDescent="0.25">
      <c r="A25">
        <v>14</v>
      </c>
      <c r="B25" s="6" t="n">
        <v>12778.111628999999</v>
      </c>
      <c r="C25" s="9">
        <f si="0" t="shared"/>
        <v>3.365559004069963E-2</v>
      </c>
      <c r="E25" s="371">
        <v>14</v>
      </c>
      <c r="F25" s="371" t="n">
        <v>15037.0</v>
      </c>
      <c r="G25" s="9">
        <f si="1" t="shared"/>
        <v>3.3235759395124624E-2</v>
      </c>
    </row>
    <row r="26" spans="1:7" x14ac:dyDescent="0.25">
      <c r="A26">
        <v>15</v>
      </c>
      <c r="B26" s="6" t="n">
        <v>9895.925658</v>
      </c>
      <c r="C26" s="9">
        <f si="0" t="shared"/>
        <v>2.6064353379338347E-2</v>
      </c>
      <c r="E26" s="371">
        <v>15</v>
      </c>
      <c r="F26" s="371" t="n">
        <v>13681.0</v>
      </c>
      <c r="G26" s="9">
        <f si="1" t="shared"/>
        <v>2.9907450081588422E-2</v>
      </c>
    </row>
    <row r="27" spans="1:7" x14ac:dyDescent="0.25">
      <c r="A27">
        <v>16</v>
      </c>
      <c r="B27" s="6" t="n">
        <v>7279.278043</v>
      </c>
      <c r="C27" s="9">
        <f si="0" t="shared"/>
        <v>1.9172504100799348E-2</v>
      </c>
      <c r="E27" s="371">
        <v>16</v>
      </c>
      <c r="F27" s="371" t="n">
        <v>12571.0</v>
      </c>
      <c r="G27" s="9">
        <f si="1" t="shared"/>
        <v>2.6930406945603568E-2</v>
      </c>
    </row>
    <row r="28" spans="1:7" x14ac:dyDescent="0.25">
      <c r="A28">
        <v>17</v>
      </c>
      <c r="B28" s="6" t="n">
        <v>9107.749894</v>
      </c>
      <c r="C28" s="9">
        <f si="0" t="shared"/>
        <v>2.3988419065773803E-2</v>
      </c>
      <c r="E28" s="371">
        <v>17</v>
      </c>
      <c r="F28" s="371" t="n">
        <v>11013.0</v>
      </c>
      <c r="G28" s="9">
        <f si="1" t="shared"/>
        <v>2.3569711388747028E-2</v>
      </c>
    </row>
    <row r="29" spans="1:7" x14ac:dyDescent="0.25">
      <c r="A29">
        <v>18</v>
      </c>
      <c r="B29" s="6" t="n">
        <v>7633.8876900000005</v>
      </c>
      <c r="C29" s="9">
        <f si="0" t="shared"/>
        <v>2.0106491629662656E-2</v>
      </c>
      <c r="E29" s="371">
        <v>18</v>
      </c>
      <c r="F29" s="371" t="n">
        <v>10249.0</v>
      </c>
      <c r="G29" s="9">
        <f si="1" t="shared"/>
        <v>2.0924004434424087E-2</v>
      </c>
    </row>
    <row r="30" spans="1:7" x14ac:dyDescent="0.25">
      <c r="A30">
        <v>19</v>
      </c>
      <c r="B30" s="6" t="n">
        <v>6510.65071</v>
      </c>
      <c r="C30" s="9">
        <f si="0" t="shared"/>
        <v>1.7148057362142331E-2</v>
      </c>
      <c r="E30" s="371">
        <v>19</v>
      </c>
      <c r="F30" s="371" t="n">
        <v>9092.0</v>
      </c>
      <c r="G30" s="9">
        <f si="1" t="shared"/>
        <v>1.8786512375281821E-2</v>
      </c>
    </row>
    <row r="31" spans="1:7" x14ac:dyDescent="0.25">
      <c r="A31">
        <v>20</v>
      </c>
      <c r="B31" s="6" t="n">
        <v>5120.686629</v>
      </c>
      <c r="C31" s="9">
        <f si="0" t="shared"/>
        <v>1.3487104739435062E-2</v>
      </c>
      <c r="E31" s="371">
        <v>20</v>
      </c>
      <c r="F31" s="371" t="n">
        <v>8270.0</v>
      </c>
      <c r="G31" s="9">
        <f si="1" t="shared"/>
        <v>1.750351888989923E-2</v>
      </c>
    </row>
    <row r="32" spans="1:7" x14ac:dyDescent="0.25">
      <c r="A32">
        <v>21</v>
      </c>
      <c r="B32" s="6" t="n">
        <v>5237.590746</v>
      </c>
      <c r="C32" s="9">
        <f si="0" t="shared"/>
        <v>1.3795012288692392E-2</v>
      </c>
      <c r="E32" s="371">
        <v>21</v>
      </c>
      <c r="F32" s="371" t="n">
        <v>7621.0</v>
      </c>
      <c r="G32" s="9">
        <f si="1" t="shared"/>
        <v>1.5719784257794498E-2</v>
      </c>
    </row>
    <row r="33" spans="1:7" x14ac:dyDescent="0.25">
      <c r="A33">
        <v>22</v>
      </c>
      <c r="B33" s="6" t="n">
        <v>5950.607467</v>
      </c>
      <c r="C33" s="9">
        <f si="0" t="shared"/>
        <v>1.5672989187851621E-2</v>
      </c>
      <c r="E33" s="371">
        <v>22</v>
      </c>
      <c r="F33" s="371" t="n">
        <v>7053.0</v>
      </c>
      <c r="G33" s="9">
        <f si="1" t="shared"/>
        <v>1.4187665823793924E-2</v>
      </c>
    </row>
    <row r="34" spans="1:7" x14ac:dyDescent="0.25">
      <c r="A34">
        <v>23</v>
      </c>
      <c r="B34" s="6" t="n">
        <v>3509.489607</v>
      </c>
      <c r="C34" s="9">
        <f si="0" t="shared"/>
        <v>9.2434584150311999E-3</v>
      </c>
      <c r="E34" s="371">
        <v>23</v>
      </c>
      <c r="F34" s="371" t="n">
        <v>6517.0</v>
      </c>
      <c r="G34" s="9">
        <f si="1" t="shared"/>
        <v>1.2986883571455263E-2</v>
      </c>
    </row>
    <row r="35" spans="1:7" x14ac:dyDescent="0.25">
      <c r="A35">
        <v>24</v>
      </c>
      <c r="B35" s="6" t="n">
        <v>5443.225598</v>
      </c>
      <c r="C35" s="9">
        <f si="0" t="shared"/>
        <v>1.4336623011616837E-2</v>
      </c>
      <c r="E35" s="371">
        <v>24</v>
      </c>
      <c r="F35" s="371" t="n">
        <v>5985.0</v>
      </c>
      <c r="G35" s="9">
        <f si="1" t="shared"/>
        <v>1.2022770020303683E-2</v>
      </c>
    </row>
    <row r="36" spans="1:7" x14ac:dyDescent="0.25">
      <c r="A36">
        <v>25</v>
      </c>
      <c r="B36" s="6" t="n">
        <v>7316.568802</v>
      </c>
      <c r="C36" s="9">
        <f si="0" t="shared"/>
        <v>1.9270722251778886E-2</v>
      </c>
      <c r="E36" s="371">
        <v>25</v>
      </c>
      <c r="F36" s="371" t="n">
        <v>5375.0</v>
      </c>
      <c r="G36" s="9">
        <f si="1" t="shared"/>
        <v>1.1188201442433453E-2</v>
      </c>
    </row>
    <row r="37" spans="1:7" x14ac:dyDescent="0.25">
      <c r="A37">
        <v>26</v>
      </c>
      <c r="B37" s="6" t="n">
        <v>3364.337795</v>
      </c>
      <c r="C37" s="9">
        <f si="0" t="shared"/>
        <v>8.8611507611170027E-3</v>
      </c>
      <c r="E37" s="371">
        <v>26</v>
      </c>
      <c r="F37" s="371" t="n">
        <v>5096.0</v>
      </c>
      <c r="G37" s="9">
        <f si="1" t="shared"/>
        <v>1.0321246621242884E-2</v>
      </c>
    </row>
    <row r="38" spans="1:7" x14ac:dyDescent="0.25">
      <c r="A38">
        <v>27</v>
      </c>
      <c r="B38" s="6" t="n">
        <v>3035.499614</v>
      </c>
      <c r="C38" s="9">
        <f si="0" t="shared"/>
        <v>7.995041328769565E-3</v>
      </c>
      <c r="E38" s="371">
        <v>27</v>
      </c>
      <c r="F38" s="371" t="n">
        <v>4679.0</v>
      </c>
      <c r="G38" s="9">
        <f si="1" t="shared"/>
        <v>9.6884692517532171E-3</v>
      </c>
    </row>
    <row r="39" spans="1:7" x14ac:dyDescent="0.25">
      <c r="A39">
        <v>28</v>
      </c>
      <c r="B39" s="6" t="n">
        <v>2137.527814</v>
      </c>
      <c r="C39" s="9">
        <f si="0" t="shared"/>
        <v>5.6299210632429564E-3</v>
      </c>
      <c r="E39" s="371">
        <v>28</v>
      </c>
      <c r="F39" s="371" t="n">
        <v>4528.0</v>
      </c>
      <c r="G39" s="9">
        <f si="1" t="shared"/>
        <v>9.0806043771253474E-3</v>
      </c>
    </row>
    <row r="40" spans="1:7" x14ac:dyDescent="0.25">
      <c r="A40">
        <v>29</v>
      </c>
      <c r="B40" s="6" t="n">
        <v>2733.768543</v>
      </c>
      <c r="C40" s="9">
        <f si="0" t="shared"/>
        <v>7.2003278747823155E-3</v>
      </c>
      <c r="E40" s="371">
        <v>29</v>
      </c>
      <c r="F40" s="371" t="n">
        <v>4234.0</v>
      </c>
      <c r="G40" s="9">
        <f si="1" t="shared"/>
        <v>8.3730895230502856E-3</v>
      </c>
    </row>
    <row r="41" spans="1:7" x14ac:dyDescent="0.25">
      <c r="A41">
        <v>30</v>
      </c>
      <c r="B41" s="6" t="n">
        <v>1701.068321</v>
      </c>
      <c r="C41" s="9">
        <f si="0" t="shared"/>
        <v>4.4803535690568705E-3</v>
      </c>
      <c r="E41" s="371">
        <v>30</v>
      </c>
      <c r="F41" s="371" t="n">
        <v>3956.0</v>
      </c>
      <c r="G41" s="9">
        <f si="1" t="shared"/>
        <v>8.0990520795705088E-3</v>
      </c>
    </row>
    <row r="42" spans="1:7" x14ac:dyDescent="0.25">
      <c r="A42">
        <v>31</v>
      </c>
      <c r="B42" s="6" t="n">
        <v>2890.143783</v>
      </c>
      <c r="C42" s="9">
        <f si="0" t="shared"/>
        <v>7.6121963200392675E-3</v>
      </c>
      <c r="E42" s="371">
        <v>31</v>
      </c>
      <c r="F42" s="371" t="n">
        <v>3566.0</v>
      </c>
      <c r="G42" s="9">
        <f si="1" t="shared"/>
        <v>7.3765897285783689E-3</v>
      </c>
    </row>
    <row r="43" spans="1:7" x14ac:dyDescent="0.25">
      <c r="A43">
        <v>32</v>
      </c>
      <c r="B43" s="6" t="n">
        <v>1806.947502</v>
      </c>
      <c r="C43" s="9">
        <f si="0" t="shared"/>
        <v>4.7592231245155827E-3</v>
      </c>
      <c r="E43" s="371">
        <v>32</v>
      </c>
      <c r="F43" s="371" t="n">
        <v>3386.0</v>
      </c>
      <c r="G43" s="9">
        <f si="1" t="shared"/>
        <v>7.0502360458888158E-3</v>
      </c>
    </row>
    <row r="44" spans="1:7" x14ac:dyDescent="0.25">
      <c r="A44">
        <v>33</v>
      </c>
      <c r="B44" s="6" t="n">
        <v>3231.08528</v>
      </c>
      <c r="C44" s="9">
        <f si="0" t="shared"/>
        <v>8.5101840340339376E-3</v>
      </c>
      <c r="E44" s="371">
        <v>33</v>
      </c>
      <c r="F44" s="371" t="n">
        <v>3212.0</v>
      </c>
      <c r="G44" s="9">
        <f si="1" t="shared"/>
        <v>6.2704749567145399E-3</v>
      </c>
    </row>
    <row r="45" spans="1:7" x14ac:dyDescent="0.25">
      <c r="A45">
        <v>34</v>
      </c>
      <c r="B45" s="6" t="n">
        <v>1042.141931</v>
      </c>
      <c r="C45" s="9">
        <f si="0" t="shared"/>
        <v>2.7448423219561379E-3</v>
      </c>
      <c r="E45" s="371">
        <v>34</v>
      </c>
      <c r="F45" s="371" t="n">
        <v>2857.0</v>
      </c>
      <c r="G45" s="9">
        <f si="1" t="shared"/>
        <v>5.9042612822461102E-3</v>
      </c>
    </row>
    <row r="46" spans="1:7" x14ac:dyDescent="0.25">
      <c r="A46">
        <v>35</v>
      </c>
      <c r="B46" s="6" t="n">
        <v>1175.825676</v>
      </c>
      <c r="C46" s="9">
        <f si="0" t="shared"/>
        <v>3.0969448428493232E-3</v>
      </c>
      <c r="E46" s="371">
        <v>35</v>
      </c>
      <c r="F46" s="371" t="n">
        <v>2771.0</v>
      </c>
      <c r="G46" s="9">
        <f si="1" t="shared"/>
        <v>5.5355563582915011E-3</v>
      </c>
    </row>
    <row r="47" spans="1:7" x14ac:dyDescent="0.25">
      <c r="A47">
        <v>36</v>
      </c>
      <c r="B47" s="6" t="n">
        <v>1033.589292</v>
      </c>
      <c r="C47" s="9">
        <f si="0" t="shared"/>
        <v>2.7223159800124001E-3</v>
      </c>
      <c r="E47" s="371">
        <v>36</v>
      </c>
      <c r="F47" s="371" t="n">
        <v>2613.0</v>
      </c>
      <c r="G47" s="9">
        <f si="1" t="shared"/>
        <v>5.244080168408465E-3</v>
      </c>
    </row>
    <row r="48" spans="1:7" x14ac:dyDescent="0.25">
      <c r="A48">
        <v>37</v>
      </c>
      <c r="B48" s="6" t="n">
        <v>914.690841</v>
      </c>
      <c r="C48" s="9">
        <f si="0" t="shared"/>
        <v>2.4091556602787267E-3</v>
      </c>
      <c r="E48" s="371">
        <v>37</v>
      </c>
      <c r="F48" s="371" t="n">
        <v>2234.0</v>
      </c>
      <c r="G48" s="9">
        <f si="1" t="shared"/>
        <v>4.8778664939400354E-3</v>
      </c>
    </row>
    <row r="49" spans="1:7" x14ac:dyDescent="0.25">
      <c r="A49">
        <v>38</v>
      </c>
      <c r="B49" s="6" t="n">
        <v>2437.43188</v>
      </c>
      <c r="C49" s="9">
        <f si="0" t="shared"/>
        <v>6.4198224657262297E-3</v>
      </c>
      <c r="E49" s="371">
        <v>38</v>
      </c>
      <c r="F49" s="371" t="n">
        <v>2190.0</v>
      </c>
      <c r="G49" s="9">
        <f si="1" t="shared"/>
        <v>4.7508127701448664E-3</v>
      </c>
    </row>
    <row r="50" spans="1:7" x14ac:dyDescent="0.25">
      <c r="A50">
        <v>39</v>
      </c>
      <c r="B50" s="6" t="n">
        <v>2428.1224939999997</v>
      </c>
      <c r="C50" s="9">
        <f si="0" t="shared"/>
        <v>6.3953029680223926E-3</v>
      </c>
      <c r="E50" s="371">
        <v>39</v>
      </c>
      <c r="F50" s="371" t="n">
        <v>2068.0</v>
      </c>
      <c r="G50" s="9">
        <f si="1" t="shared"/>
        <v>4.1404566460308163E-3</v>
      </c>
    </row>
    <row r="51" spans="1:7" x14ac:dyDescent="0.25">
      <c r="A51">
        <v>40</v>
      </c>
      <c r="B51" s="6" t="n">
        <v>1355.060624</v>
      </c>
      <c r="C51" s="9">
        <f si="0" t="shared"/>
        <v>3.5690222597630924E-3</v>
      </c>
      <c r="E51" s="371">
        <v>40</v>
      </c>
      <c r="F51" s="371" t="n">
        <v>1912.0</v>
      </c>
      <c r="G51" s="9">
        <f si="1" t="shared"/>
        <v>4.230141627533289E-3</v>
      </c>
    </row>
    <row r="52" spans="1:7" x14ac:dyDescent="0.25">
      <c r="A52">
        <v>41</v>
      </c>
      <c r="B52" s="6" t="n">
        <v>2680.260033</v>
      </c>
      <c r="C52" s="9">
        <f si="0" t="shared"/>
        <v>7.0593946501764492E-3</v>
      </c>
      <c r="E52" s="371">
        <v>41</v>
      </c>
      <c r="F52" s="371" t="n">
        <v>1767.0</v>
      </c>
      <c r="G52" s="9">
        <f si="1" t="shared"/>
        <v>3.8315417097445222E-3</v>
      </c>
    </row>
    <row r="53" spans="1:7" x14ac:dyDescent="0.25">
      <c r="A53">
        <v>42</v>
      </c>
      <c r="B53" s="6" t="n">
        <v>918.2285430000001</v>
      </c>
      <c r="C53" s="9">
        <f si="0" t="shared"/>
        <v>2.418473425818351E-3</v>
      </c>
      <c r="E53" s="371">
        <v>42</v>
      </c>
      <c r="F53" s="371" t="n">
        <v>1737.0</v>
      </c>
      <c r="G53" s="9">
        <f si="1" t="shared"/>
        <v>3.7667692231038476E-3</v>
      </c>
    </row>
    <row r="54" spans="1:7" x14ac:dyDescent="0.25">
      <c r="A54">
        <v>43</v>
      </c>
      <c r="B54" s="6" t="n">
        <v>1171.449935</v>
      </c>
      <c r="C54" s="9">
        <f si="0" t="shared"/>
        <v>3.0854198108652506E-3</v>
      </c>
      <c r="E54" s="371">
        <v>43</v>
      </c>
      <c r="F54" s="371" t="n">
        <v>1577.0</v>
      </c>
      <c r="G54" s="9">
        <f si="1" t="shared"/>
        <v>3.3980642991492385E-3</v>
      </c>
    </row>
    <row r="55" spans="1:7" x14ac:dyDescent="0.25">
      <c r="A55">
        <v>44</v>
      </c>
      <c r="B55" s="6" t="n">
        <v>716.857013</v>
      </c>
      <c r="C55" s="9">
        <f si="0" t="shared"/>
        <v>1.8880916404403474E-3</v>
      </c>
      <c r="E55" s="371">
        <v>44</v>
      </c>
      <c r="F55" s="371" t="n">
        <v>1506.0</v>
      </c>
      <c r="G55" s="9">
        <f si="1" t="shared"/>
        <v>3.1090793587523822E-3</v>
      </c>
    </row>
    <row r="56" spans="1:7" x14ac:dyDescent="0.25">
      <c r="A56">
        <v>45</v>
      </c>
      <c r="B56" s="6" t="n">
        <v>210.069433</v>
      </c>
      <c r="C56" s="9">
        <f si="0" t="shared"/>
        <v>5.5329073046167391E-4</v>
      </c>
      <c r="E56" s="371">
        <v>45</v>
      </c>
      <c r="F56" s="371" t="n">
        <v>1457.0</v>
      </c>
      <c r="G56" s="9">
        <f si="1" t="shared"/>
        <v>2.9894993834157523E-3</v>
      </c>
    </row>
    <row r="57" spans="1:7" x14ac:dyDescent="0.25">
      <c r="A57">
        <v>46</v>
      </c>
      <c r="B57" s="6" t="n">
        <v>317.53027099999997</v>
      </c>
      <c r="C57" s="9">
        <f si="0" t="shared"/>
        <v>8.3632612834863627E-4</v>
      </c>
      <c r="E57" s="371">
        <v>46</v>
      </c>
      <c r="F57" s="371" t="n">
        <v>1356.0</v>
      </c>
      <c r="G57" s="9">
        <f si="1" t="shared"/>
        <v>2.7652869296595707E-3</v>
      </c>
    </row>
    <row r="58" spans="1:7" x14ac:dyDescent="0.25">
      <c r="A58">
        <v>47</v>
      </c>
      <c r="B58" s="6" t="n">
        <v>384.322383</v>
      </c>
      <c r="C58" s="9">
        <f si="0" t="shared"/>
        <v>1.0122463272552423E-3</v>
      </c>
      <c r="E58" s="371">
        <v>47</v>
      </c>
      <c r="F58" s="371" t="n">
        <v>1265.0</v>
      </c>
      <c r="G58" s="9">
        <f si="1" t="shared"/>
        <v>2.618303209974963E-3</v>
      </c>
    </row>
    <row r="59" spans="1:7" x14ac:dyDescent="0.25">
      <c r="A59">
        <v>48</v>
      </c>
      <c r="B59" s="6" t="n">
        <v>838.4148419999999</v>
      </c>
      <c r="C59" s="9">
        <f si="0" t="shared"/>
        <v>2.2082563547457606E-3</v>
      </c>
      <c r="E59" s="371">
        <v>48</v>
      </c>
      <c r="F59" s="371" t="n">
        <v>1169.0</v>
      </c>
      <c r="G59" s="9">
        <f si="1" t="shared"/>
        <v>2.5610044717928279E-3</v>
      </c>
    </row>
    <row r="60" spans="1:7" x14ac:dyDescent="0.25">
      <c r="A60">
        <v>49</v>
      </c>
      <c r="B60" s="6" t="n">
        <v>240.928083</v>
      </c>
      <c r="C60" s="9">
        <f si="0" t="shared"/>
        <v>6.3456769092055758E-4</v>
      </c>
      <c r="E60" s="371">
        <v>49</v>
      </c>
      <c r="F60" s="371" t="n">
        <v>1076.0</v>
      </c>
      <c r="G60" s="9">
        <f si="1" t="shared"/>
        <v>2.3517395149537249E-3</v>
      </c>
    </row>
    <row r="61" spans="1:7" x14ac:dyDescent="0.25">
      <c r="A61">
        <v>50</v>
      </c>
      <c r="B61" s="6" t="n">
        <v>139.291027</v>
      </c>
      <c r="C61" s="9">
        <f si="0" t="shared"/>
        <v>3.6687124335498515E-4</v>
      </c>
      <c r="E61" s="371">
        <v>50</v>
      </c>
      <c r="F61" s="371" t="n">
        <v>981.0</v>
      </c>
      <c r="G61" s="9">
        <f si="1" t="shared"/>
        <v>2.2371420385894547E-3</v>
      </c>
    </row>
    <row r="62" spans="1:7" x14ac:dyDescent="0.25">
      <c r="A62">
        <v>51</v>
      </c>
      <c r="B62" s="6" t="n">
        <v>1168.934715</v>
      </c>
      <c r="C62" s="9">
        <f si="0" t="shared"/>
        <v>3.0787951063987427E-3</v>
      </c>
      <c r="E62" s="371">
        <v>51</v>
      </c>
      <c r="F62" s="371" t="n">
        <v>950.0</v>
      </c>
      <c r="G62" s="9">
        <f si="1" t="shared"/>
        <v>2.1399833086284425E-3</v>
      </c>
    </row>
    <row r="63" spans="1:7" x14ac:dyDescent="0.25">
      <c r="A63">
        <v>52</v>
      </c>
      <c r="B63" s="6" t="n">
        <v>466.879947</v>
      </c>
      <c r="C63" s="9">
        <f si="0" t="shared"/>
        <v>1.2296903134571585E-3</v>
      </c>
      <c r="E63" s="371">
        <v>52</v>
      </c>
      <c r="F63" s="371" t="n">
        <v>941.0</v>
      </c>
      <c r="G63" s="9">
        <f si="1" t="shared"/>
        <v>2.0104383353470932E-3</v>
      </c>
    </row>
    <row r="64" spans="1:7" x14ac:dyDescent="0.25">
      <c r="A64">
        <v>53</v>
      </c>
      <c r="B64" s="6" t="n">
        <v>48.270624</v>
      </c>
      <c r="C64" s="9">
        <f si="0" t="shared"/>
        <v>1.2713743466333249E-4</v>
      </c>
      <c r="E64" s="371">
        <v>53</v>
      </c>
      <c r="F64" s="371" t="n">
        <v>846.0</v>
      </c>
      <c r="G64" s="9">
        <f si="1" t="shared"/>
        <v>1.773769634160013E-3</v>
      </c>
    </row>
    <row r="65" spans="1:7" x14ac:dyDescent="0.25">
      <c r="A65">
        <v>54</v>
      </c>
      <c r="B65" s="6" t="n">
        <v>312.114151</v>
      </c>
      <c r="C65" s="9">
        <f si="0" t="shared"/>
        <v>8.2206089733300304E-4</v>
      </c>
      <c r="E65" s="371">
        <v>54</v>
      </c>
      <c r="F65" s="371" t="n">
        <v>771.0</v>
      </c>
      <c r="G65" s="9">
        <f si="1" t="shared"/>
        <v>1.6815934031713606E-3</v>
      </c>
    </row>
    <row r="66" spans="1:7" x14ac:dyDescent="0.25">
      <c r="A66">
        <v>55</v>
      </c>
      <c r="B66" s="6" t="n">
        <v>212.193382</v>
      </c>
      <c r="C66" s="9">
        <f si="0" t="shared"/>
        <v>5.5888488700739727E-4</v>
      </c>
      <c r="E66" s="371">
        <v>55</v>
      </c>
      <c r="F66" s="371" t="n">
        <v>753.0</v>
      </c>
      <c r="G66" s="9">
        <f si="1" t="shared"/>
        <v>1.6616634072819222E-3</v>
      </c>
    </row>
    <row r="67" spans="1:7" x14ac:dyDescent="0.25">
      <c r="A67">
        <v>56</v>
      </c>
      <c r="B67" s="6" t="n">
        <v>348.489832</v>
      </c>
      <c r="C67" s="9">
        <f si="0" t="shared"/>
        <v>9.1786887293472154E-4</v>
      </c>
      <c r="E67" s="371">
        <v>56</v>
      </c>
      <c r="F67" s="371" t="n">
        <v>753.0</v>
      </c>
      <c r="G67" s="9">
        <f si="1" t="shared"/>
        <v>1.5420834319452921E-3</v>
      </c>
    </row>
    <row r="68" spans="1:7" x14ac:dyDescent="0.25">
      <c r="A68">
        <v>57</v>
      </c>
      <c r="B68" s="6" t="n">
        <v>214.449621</v>
      </c>
      <c r="C68" s="9">
        <f si="0" t="shared"/>
        <v>5.6482747516302921E-4</v>
      </c>
      <c r="E68" s="371">
        <v>57</v>
      </c>
      <c r="F68" s="371" t="n">
        <v>716.0</v>
      </c>
      <c r="G68" s="9">
        <f si="1" t="shared"/>
        <v>1.3527484709956279E-3</v>
      </c>
    </row>
    <row r="69" spans="1:7" x14ac:dyDescent="0.25">
      <c r="A69">
        <v>58</v>
      </c>
      <c r="B69" s="6" t="n">
        <v>87.001454</v>
      </c>
      <c r="C69" s="9">
        <f si="0" t="shared"/>
        <v>2.2914851222018444E-4</v>
      </c>
      <c r="E69" s="371">
        <v>58</v>
      </c>
      <c r="F69" s="371" t="n">
        <v>664.0</v>
      </c>
      <c r="G69" s="9">
        <f si="1" t="shared"/>
        <v>1.2406422441175371E-3</v>
      </c>
    </row>
    <row r="70" spans="1:7" x14ac:dyDescent="0.25">
      <c r="A70">
        <v>59</v>
      </c>
      <c r="B70" s="6" t="n">
        <v>37.361886</v>
      </c>
      <c r="C70" s="9">
        <f si="0" t="shared"/>
        <v>9.840548860988159E-5</v>
      </c>
      <c r="E70" s="371">
        <v>59</v>
      </c>
      <c r="F70" s="371" t="n">
        <v>589.0</v>
      </c>
      <c r="G70" s="9">
        <f si="1" t="shared"/>
        <v>1.2157297492557393E-3</v>
      </c>
    </row>
    <row r="71" spans="1:7" x14ac:dyDescent="0.25">
      <c r="A71">
        <v>60</v>
      </c>
      <c r="B71" s="6" t="n">
        <v>44.546927</v>
      </c>
      <c r="C71" s="9">
        <f si="0" t="shared"/>
        <v>1.1732978676461158E-4</v>
      </c>
      <c r="E71" s="371">
        <v>60</v>
      </c>
      <c r="F71" s="371" t="n">
        <v>585.0</v>
      </c>
      <c r="G71" s="9">
        <f si="1" t="shared"/>
        <v>1.1434835141565251E-3</v>
      </c>
    </row>
    <row r="72" spans="1:7" x14ac:dyDescent="0.25">
      <c r="A72">
        <v>61</v>
      </c>
      <c r="B72" s="6" t="n">
        <v>249.725428</v>
      </c>
      <c r="C72" s="9">
        <f si="0" t="shared"/>
        <v>6.5773855101029452E-4</v>
      </c>
      <c r="E72" s="371">
        <v>61</v>
      </c>
      <c r="F72" s="371" t="n">
        <v>567.0</v>
      </c>
      <c r="G72" s="9">
        <f si="1" t="shared"/>
        <v>1.0687460295711313E-3</v>
      </c>
    </row>
    <row r="73" spans="1:7" x14ac:dyDescent="0.25">
      <c r="A73">
        <v>62</v>
      </c>
      <c r="B73" s="6" t="n">
        <v>211.864841</v>
      </c>
      <c r="C73" s="9">
        <f si="0" t="shared"/>
        <v>5.5801956030431324E-4</v>
      </c>
      <c r="E73" s="371">
        <v>62</v>
      </c>
      <c r="F73" s="371" t="n">
        <v>537.0</v>
      </c>
      <c r="G73" s="9">
        <f si="1" t="shared"/>
        <v>1.0413422852231537E-3</v>
      </c>
    </row>
    <row r="74" spans="1:7" x14ac:dyDescent="0.25">
      <c r="A74">
        <v>63</v>
      </c>
      <c r="B74" s="6" t="n">
        <v>248.801478</v>
      </c>
      <c r="C74" s="9">
        <f si="0" t="shared"/>
        <v>6.5530500814254156E-4</v>
      </c>
      <c r="E74" s="371">
        <v>63</v>
      </c>
      <c r="F74" s="371" t="n">
        <v>520.0</v>
      </c>
      <c r="G74" s="9">
        <f si="1" t="shared"/>
        <v>1.0562897821402325E-3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442.0</v>
      </c>
      <c r="G75" s="9">
        <f si="1" t="shared"/>
        <v>9.6909605012393963E-4</v>
      </c>
    </row>
    <row r="76" spans="1:7" x14ac:dyDescent="0.25">
      <c r="A76">
        <v>65</v>
      </c>
      <c r="B76" s="6" t="n">
        <v>666.2067969999999</v>
      </c>
      <c r="C76" s="9">
        <f si="0" t="shared"/>
        <v>1.7546867247014565E-3</v>
      </c>
      <c r="E76" s="371">
        <v>65</v>
      </c>
      <c r="F76" s="371" t="n">
        <v>403.0</v>
      </c>
      <c r="G76" s="9">
        <f si="1" t="shared"/>
        <v>8.4951607478730962E-4</v>
      </c>
    </row>
    <row r="77" spans="1:7" x14ac:dyDescent="0.25">
      <c r="A77">
        <v>66</v>
      </c>
      <c r="B77" s="6" t="n">
        <v>116.12886900000001</v>
      </c>
      <c r="C77" s="9">
        <f ref="C77:C102" si="2" t="shared">B77/B$102</f>
        <v>3.0586566469524405E-4</v>
      </c>
      <c r="E77" s="371">
        <v>66</v>
      </c>
      <c r="F77" s="371" t="n">
        <v>436.0</v>
      </c>
      <c r="G77" s="9">
        <f ref="G77:G102" si="3" t="shared">F77/F$102</f>
        <v>7.548485943124774E-4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376.0</v>
      </c>
      <c r="G78" s="9">
        <f si="3" t="shared"/>
        <v>7.2744484996449966E-4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375.0</v>
      </c>
      <c r="G79" s="9">
        <f si="3" t="shared"/>
        <v>6.5021611589292613E-4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352.0</v>
      </c>
      <c r="G80" s="9">
        <f si="3" t="shared"/>
        <v>6.1533862308640896E-4</v>
      </c>
    </row>
    <row r="81" spans="1:7" x14ac:dyDescent="0.25">
      <c r="A81">
        <v>70</v>
      </c>
      <c r="B81" s="6" t="n">
        <v>330.58705</v>
      </c>
      <c r="C81" s="9">
        <f si="2" t="shared"/>
        <v>8.707156855879641E-4</v>
      </c>
      <c r="E81" s="371">
        <v>70</v>
      </c>
      <c r="F81" s="371" t="n">
        <v>295.0</v>
      </c>
      <c r="G81" s="9">
        <f si="3" t="shared"/>
        <v>5.7796988079371206E-4</v>
      </c>
    </row>
    <row r="82" spans="1:7" x14ac:dyDescent="0.25">
      <c r="A82">
        <v>71</v>
      </c>
      <c r="B82" s="6" t="n">
        <v>242.616006</v>
      </c>
      <c r="C82" s="9">
        <f si="2" t="shared"/>
        <v>6.390134217263006E-4</v>
      </c>
      <c r="E82" s="371">
        <v>71</v>
      </c>
      <c r="F82" s="371" t="n">
        <v>286.0</v>
      </c>
      <c r="G82" s="9">
        <f si="3" t="shared"/>
        <v>5.4309238798719501E-4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306.0</v>
      </c>
      <c r="G83" s="9">
        <f si="3" t="shared"/>
        <v>4.7831990134652037E-4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288.0</v>
      </c>
      <c r="G84" s="9">
        <f si="3" t="shared"/>
        <v>4.5589865597090221E-4</v>
      </c>
    </row>
    <row r="85" spans="1:7" x14ac:dyDescent="0.25">
      <c r="A85">
        <v>74</v>
      </c>
      <c r="B85" s="6" t="n">
        <v>48.532805</v>
      </c>
      <c r="C85" s="9">
        <f si="2" t="shared"/>
        <v>1.2782797928437297E-4</v>
      </c>
      <c r="E85" s="371">
        <v>74</v>
      </c>
      <c r="F85" s="371" t="n">
        <v>254.0</v>
      </c>
      <c r="G85" s="9">
        <f si="3" t="shared"/>
        <v>4.0607366624730636E-4</v>
      </c>
    </row>
    <row r="86" spans="1:7" x14ac:dyDescent="0.25">
      <c r="A86">
        <v>75</v>
      </c>
      <c r="B86" s="6" t="n">
        <v>131.144915</v>
      </c>
      <c r="C86" s="9">
        <f si="2" t="shared"/>
        <v>3.4541563130074298E-4</v>
      </c>
      <c r="E86" s="371">
        <v>75</v>
      </c>
      <c r="F86" s="371" t="n">
        <v>248.0</v>
      </c>
      <c r="G86" s="9">
        <f si="3" t="shared"/>
        <v>3.9361741881640736E-4</v>
      </c>
    </row>
    <row r="87" spans="1:7" x14ac:dyDescent="0.25">
      <c r="A87">
        <v>76</v>
      </c>
      <c r="B87" s="6" t="n">
        <v>111.15543</v>
      </c>
      <c r="C87" s="9">
        <f si="2" t="shared"/>
        <v>2.9276638767088717E-4</v>
      </c>
      <c r="E87" s="371">
        <v>76</v>
      </c>
      <c r="F87" s="371" t="n">
        <v>208.0</v>
      </c>
      <c r="G87" s="9">
        <f si="3" t="shared"/>
        <v>3.4877492806517109E-4</v>
      </c>
    </row>
    <row r="88" spans="1:7" x14ac:dyDescent="0.25">
      <c r="A88">
        <v>77</v>
      </c>
      <c r="B88" s="6" t="n">
        <v>38.178395</v>
      </c>
      <c r="C88" s="9">
        <f si="2" t="shared"/>
        <v>1.0055604833000295E-4</v>
      </c>
      <c r="E88" s="371">
        <v>77</v>
      </c>
      <c r="F88" s="371" t="n">
        <v>243.0</v>
      </c>
      <c r="G88" s="9">
        <f si="3" t="shared"/>
        <v>3.5873992600989025E-4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188.0</v>
      </c>
      <c r="G89" s="9">
        <f si="3" t="shared"/>
        <v>3.9859991778876694E-4</v>
      </c>
    </row>
    <row r="90" spans="1:7" x14ac:dyDescent="0.25">
      <c r="A90">
        <v>79</v>
      </c>
      <c r="B90" s="6" t="n">
        <v>79.971202</v>
      </c>
      <c r="C90" s="9">
        <f si="2" t="shared"/>
        <v>2.106319045973627E-4</v>
      </c>
      <c r="E90" s="371">
        <v>79</v>
      </c>
      <c r="F90" s="371" t="n">
        <v>232.0</v>
      </c>
      <c r="G90" s="9">
        <f si="3" t="shared"/>
        <v>3.0642368680011461E-4</v>
      </c>
    </row>
    <row r="91" spans="1:7" x14ac:dyDescent="0.25">
      <c r="A91">
        <v>80</v>
      </c>
      <c r="B91" s="6" t="n">
        <v>232.405997</v>
      </c>
      <c r="C91" s="9">
        <f si="2" t="shared"/>
        <v>6.1212182090196617E-4</v>
      </c>
      <c r="E91" s="371">
        <v>80</v>
      </c>
      <c r="F91" s="371" t="n">
        <v>203.0</v>
      </c>
      <c r="G91" s="9">
        <f si="3" t="shared"/>
        <v>2.5410744759033892E-4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154.0</v>
      </c>
      <c r="G92" s="9">
        <f si="3" t="shared"/>
        <v>2.590899465626985E-4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146.0</v>
      </c>
      <c r="G93" s="9">
        <f si="3" t="shared"/>
        <v>2.8151119193831666E-4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161.0</v>
      </c>
      <c r="G94" s="9">
        <f si="3" t="shared"/>
        <v>2.4414244964561976E-4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148.0</v>
      </c>
      <c r="G95" s="9">
        <f si="3" t="shared"/>
        <v>2.7652869296595708E-4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137.0</v>
      </c>
      <c r="G96" s="9">
        <f si="3" t="shared"/>
        <v>2.0677370735292287E-4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140.0</v>
      </c>
      <c r="G97" s="9">
        <f si="3" t="shared"/>
        <v>1.843524619773047E-4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136.0</v>
      </c>
      <c r="G98" s="9">
        <f si="3" t="shared"/>
        <v>1.918262104358441E-4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106.0</v>
      </c>
      <c r="G99" s="9">
        <f si="3" t="shared"/>
        <v>1.6193121660168657E-4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113.0</v>
      </c>
      <c r="G100" s="9">
        <f si="3" t="shared"/>
        <v>1.2456247430898967E-4</v>
      </c>
    </row>
    <row ht="15.75" r="101" spans="1:7" thickBot="1" x14ac:dyDescent="0.3">
      <c r="A101" s="1">
        <v>90</v>
      </c>
      <c r="B101" s="7" t="n">
        <v>43.770387</v>
      </c>
      <c r="C101" s="9">
        <f si="2" t="shared"/>
        <v>1.1528449927229609E-4</v>
      </c>
      <c r="E101" s="372">
        <v>90</v>
      </c>
      <c r="F101" s="372" t="n">
        <v>1832.0</v>
      </c>
      <c r="G101" s="9">
        <f si="3" t="shared"/>
        <v>3.2834668227849678E-3</v>
      </c>
    </row>
    <row r="102" spans="1:7" x14ac:dyDescent="0.25">
      <c r="B102" s="6">
        <f>SUM(B11:B101)</f>
        <v>379672.78581500001</v>
      </c>
      <c r="C102" s="9">
        <f si="2" t="shared"/>
        <v>1</v>
      </c>
      <c r="F102" s="6">
        <f>SUM(F11:F101)</f>
        <v>401405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9"/>
  <dimension ref="A1:M102"/>
  <sheetViews>
    <sheetView workbookViewId="0">
      <selection activeCell="K30" sqref="K3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5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70250.902751</v>
      </c>
      <c r="C11" s="9">
        <f>B11/B$102</f>
        <v>0.11790257293232795</v>
      </c>
      <c r="E11" s="371">
        <v>0</v>
      </c>
      <c r="F11" s="371" t="n">
        <v>120577.0</v>
      </c>
      <c r="G11" s="9">
        <f>F11/F$102</f>
        <v>0.16124485573142147</v>
      </c>
      <c r="K11" s="6" t="n">
        <v>5.869796972958301</v>
      </c>
      <c r="L11" s="6" t="n">
        <v>5.977952387746683</v>
      </c>
    </row>
    <row r="12" spans="1:12" x14ac:dyDescent="0.25">
      <c r="A12">
        <v>1</v>
      </c>
      <c r="B12" s="6" t="n">
        <v>111441.540281</v>
      </c>
      <c r="C12" s="9">
        <f>B12/B$102</f>
        <v>0.18703310300855217</v>
      </c>
      <c r="E12" s="371">
        <v>1</v>
      </c>
      <c r="F12" s="371" t="n">
        <v>122886.0</v>
      </c>
      <c r="G12" s="9">
        <f>F12/F$102</f>
        <v>0.15442349833169175</v>
      </c>
      <c r="K12" s="6"/>
      <c r="L12" s="371"/>
    </row>
    <row r="13" spans="1:12" x14ac:dyDescent="0.25">
      <c r="A13">
        <v>2</v>
      </c>
      <c r="B13" s="6" t="n">
        <v>81119.370537</v>
      </c>
      <c r="C13" s="9">
        <f ref="C13:C76" si="0" t="shared">B13/B$102</f>
        <v>0.13614319711823253</v>
      </c>
      <c r="E13" s="371">
        <v>2</v>
      </c>
      <c r="F13" s="371" t="n">
        <v>102819.0</v>
      </c>
      <c r="G13" s="9">
        <f ref="G13:G76" si="1" t="shared">F13/F$102</f>
        <v>0.13146727138068734</v>
      </c>
    </row>
    <row r="14" spans="1:12" x14ac:dyDescent="0.25">
      <c r="A14">
        <v>3</v>
      </c>
      <c r="B14" s="6" t="n">
        <v>65088.261438</v>
      </c>
      <c r="C14" s="9">
        <f si="0" t="shared"/>
        <v>0.10923807653308748</v>
      </c>
      <c r="E14" s="371">
        <v>3</v>
      </c>
      <c r="F14" s="371" t="n">
        <v>82166.0</v>
      </c>
      <c r="G14" s="9">
        <f si="1" t="shared"/>
        <v>0.10390849882798482</v>
      </c>
    </row>
    <row r="15" spans="1:12" x14ac:dyDescent="0.25">
      <c r="A15">
        <v>4</v>
      </c>
      <c r="B15" s="6" t="n">
        <v>47812.628811</v>
      </c>
      <c r="C15" s="9">
        <f si="0" t="shared"/>
        <v>8.024426355709724E-2</v>
      </c>
      <c r="E15" s="371">
        <v>4</v>
      </c>
      <c r="F15" s="371" t="n">
        <v>61307.0</v>
      </c>
      <c r="G15" s="9">
        <f si="1" t="shared"/>
        <v>8.084843209565476E-2</v>
      </c>
    </row>
    <row r="16" spans="1:12" x14ac:dyDescent="0.25">
      <c r="A16">
        <v>5</v>
      </c>
      <c r="B16" s="6" t="n">
        <v>30507.893832</v>
      </c>
      <c r="C16" s="9">
        <f si="0" t="shared"/>
        <v>5.1201607903720442E-2</v>
      </c>
      <c r="E16" s="371">
        <v>5</v>
      </c>
      <c r="F16" s="371" t="n">
        <v>46638.0</v>
      </c>
      <c r="G16" s="9">
        <f si="1" t="shared"/>
        <v>6.2120622122454588E-2</v>
      </c>
    </row>
    <row r="17" spans="1:7" x14ac:dyDescent="0.25">
      <c r="A17">
        <v>6</v>
      </c>
      <c r="B17" s="6" t="n">
        <v>33285.614691</v>
      </c>
      <c r="C17" s="9">
        <f si="0" t="shared"/>
        <v>5.5863475913085409E-2</v>
      </c>
      <c r="E17" s="371">
        <v>6</v>
      </c>
      <c r="F17" s="371" t="n">
        <v>34724.0</v>
      </c>
      <c r="G17" s="9">
        <f si="1" t="shared"/>
        <v>4.5701720228142111E-2</v>
      </c>
    </row>
    <row r="18" spans="1:7" x14ac:dyDescent="0.25">
      <c r="A18">
        <v>7</v>
      </c>
      <c r="B18" s="6" t="n">
        <v>22158.979917</v>
      </c>
      <c r="C18" s="9">
        <f si="0" t="shared"/>
        <v>3.7189568296798765E-2</v>
      </c>
      <c r="E18" s="371">
        <v>7</v>
      </c>
      <c r="F18" s="371" t="n">
        <v>26553.0</v>
      </c>
      <c r="G18" s="9">
        <f si="1" t="shared"/>
        <v>3.5142130700689465E-2</v>
      </c>
    </row>
    <row r="19" spans="1:7" x14ac:dyDescent="0.25">
      <c r="A19">
        <v>8</v>
      </c>
      <c r="B19" s="6" t="n">
        <v>19763.37908</v>
      </c>
      <c r="C19" s="9">
        <f si="0" t="shared"/>
        <v>3.3169014946726437E-2</v>
      </c>
      <c r="E19" s="371">
        <v>8</v>
      </c>
      <c r="F19" s="371" t="n">
        <v>21403.0</v>
      </c>
      <c r="G19" s="9">
        <f si="1" t="shared"/>
        <v>2.7699261668613664E-2</v>
      </c>
    </row>
    <row r="20" spans="1:7" x14ac:dyDescent="0.25">
      <c r="A20">
        <v>9</v>
      </c>
      <c r="B20" s="6" t="n">
        <v>14195.549886</v>
      </c>
      <c r="C20" s="9">
        <f si="0" t="shared"/>
        <v>2.3824488941884669E-2</v>
      </c>
      <c r="E20" s="371">
        <v>9</v>
      </c>
      <c r="F20" s="371" t="n">
        <v>17723.0</v>
      </c>
      <c r="G20" s="9">
        <f si="1" t="shared"/>
        <v>2.369837597636118E-2</v>
      </c>
    </row>
    <row r="21" spans="1:7" x14ac:dyDescent="0.25">
      <c r="A21">
        <v>10</v>
      </c>
      <c r="B21" s="6" t="n">
        <v>14248.246552999999</v>
      </c>
      <c r="C21" s="9">
        <f si="0" t="shared"/>
        <v>2.391293012030311E-2</v>
      </c>
      <c r="E21" s="371">
        <v>10</v>
      </c>
      <c r="F21" s="371" t="n">
        <v>15694.0</v>
      </c>
      <c r="G21" s="9">
        <f si="1" t="shared"/>
        <v>2.0862633712806652E-2</v>
      </c>
    </row>
    <row r="22" spans="1:7" x14ac:dyDescent="0.25">
      <c r="A22">
        <v>11</v>
      </c>
      <c r="B22" s="6" t="n">
        <v>9018.404671</v>
      </c>
      <c r="C22" s="9">
        <f si="0" t="shared"/>
        <v>1.5135650544230037E-2</v>
      </c>
      <c r="E22" s="371">
        <v>11</v>
      </c>
      <c r="F22" s="371" t="n">
        <v>14294.0</v>
      </c>
      <c r="G22" s="9">
        <f si="1" t="shared"/>
        <v>1.8805689809194403E-2</v>
      </c>
    </row>
    <row r="23" spans="1:7" x14ac:dyDescent="0.25">
      <c r="A23">
        <v>12</v>
      </c>
      <c r="B23" s="6" t="n">
        <v>8797.987531</v>
      </c>
      <c r="C23" s="9">
        <f si="0" t="shared"/>
        <v>1.4765722943206928E-2</v>
      </c>
      <c r="E23" s="371">
        <v>12</v>
      </c>
      <c r="F23" s="371" t="n">
        <v>12966.0</v>
      </c>
      <c r="G23" s="9">
        <f si="1" t="shared"/>
        <v>1.6927411411686556E-2</v>
      </c>
    </row>
    <row r="24" spans="1:7" x14ac:dyDescent="0.25">
      <c r="A24">
        <v>13</v>
      </c>
      <c r="B24" s="6" t="n">
        <v>8626.582442</v>
      </c>
      <c r="C24" s="9">
        <f si="0" t="shared"/>
        <v>1.4478052604244529E-2</v>
      </c>
      <c r="E24" s="371">
        <v>13</v>
      </c>
      <c r="F24" s="371" t="n">
        <v>11167.0</v>
      </c>
      <c r="G24" s="9">
        <f si="1" t="shared"/>
        <v>1.4471905994456788E-2</v>
      </c>
    </row>
    <row r="25" spans="1:7" x14ac:dyDescent="0.25">
      <c r="A25">
        <v>14</v>
      </c>
      <c r="B25" s="6" t="n">
        <v>6101.657092</v>
      </c>
      <c r="C25" s="9">
        <f si="0" t="shared"/>
        <v>1.0240453035136913E-2</v>
      </c>
      <c r="E25" s="371">
        <v>14</v>
      </c>
      <c r="F25" s="371" t="n">
        <v>9931.0</v>
      </c>
      <c r="G25" s="9">
        <f si="1" t="shared"/>
        <v>1.2089699246398057E-2</v>
      </c>
    </row>
    <row r="26" spans="1:7" x14ac:dyDescent="0.25">
      <c r="A26">
        <v>15</v>
      </c>
      <c r="B26" s="6" t="n">
        <v>7717.002416</v>
      </c>
      <c r="C26" s="9">
        <f si="0" t="shared"/>
        <v>1.2951498194924469E-2</v>
      </c>
      <c r="E26" s="371">
        <v>15</v>
      </c>
      <c r="F26" s="371" t="n">
        <v>8968.0</v>
      </c>
      <c r="G26" s="9">
        <f si="1" t="shared"/>
        <v>1.0703132754579257E-2</v>
      </c>
    </row>
    <row r="27" spans="1:7" x14ac:dyDescent="0.25">
      <c r="A27">
        <v>16</v>
      </c>
      <c r="B27" s="6" t="n">
        <v>4476.2768209999995</v>
      </c>
      <c r="C27" s="9">
        <f si="0" t="shared"/>
        <v>7.5125661548275111E-3</v>
      </c>
      <c r="E27" s="371">
        <v>16</v>
      </c>
      <c r="F27" s="371" t="n">
        <v>8015.0</v>
      </c>
      <c r="G27" s="9">
        <f si="1" t="shared"/>
        <v>9.2325782043353108E-3</v>
      </c>
    </row>
    <row r="28" spans="1:7" x14ac:dyDescent="0.25">
      <c r="A28">
        <v>17</v>
      </c>
      <c r="B28" s="6" t="n">
        <v>4935.918512</v>
      </c>
      <c r="C28" s="9">
        <f si="0" t="shared"/>
        <v>8.2839859640212749E-3</v>
      </c>
      <c r="E28" s="371">
        <v>17</v>
      </c>
      <c r="F28" s="371" t="n">
        <v>6898.0</v>
      </c>
      <c r="G28" s="9">
        <f si="1" t="shared"/>
        <v>8.0613265532064344E-3</v>
      </c>
    </row>
    <row r="29" spans="1:7" x14ac:dyDescent="0.25">
      <c r="A29">
        <v>18</v>
      </c>
      <c r="B29" s="6" t="n">
        <v>4537.705385</v>
      </c>
      <c r="C29" s="9">
        <f si="0" t="shared"/>
        <v>7.6156621359967378E-3</v>
      </c>
      <c r="E29" s="371">
        <v>18</v>
      </c>
      <c r="F29" s="371" t="n">
        <v>5947.0</v>
      </c>
      <c r="G29" s="9">
        <f si="1" t="shared"/>
        <v>7.1221873544525128E-3</v>
      </c>
    </row>
    <row r="30" spans="1:7" x14ac:dyDescent="0.25">
      <c r="A30">
        <v>19</v>
      </c>
      <c r="B30" s="6" t="n">
        <v>3911.0577719999997</v>
      </c>
      <c r="C30" s="9">
        <f si="0" t="shared"/>
        <v>6.5639551400528302E-3</v>
      </c>
      <c r="E30" s="371">
        <v>19</v>
      </c>
      <c r="F30" s="371" t="n">
        <v>5249.0</v>
      </c>
      <c r="G30" s="9">
        <f si="1" t="shared"/>
        <v>6.2258057127150285E-3</v>
      </c>
    </row>
    <row r="31" spans="1:7" x14ac:dyDescent="0.25">
      <c r="A31">
        <v>20</v>
      </c>
      <c r="B31" s="6" t="n">
        <v>2966.188569</v>
      </c>
      <c r="C31" s="9">
        <f si="0" t="shared"/>
        <v>4.9781746624256978E-3</v>
      </c>
      <c r="E31" s="371">
        <v>20</v>
      </c>
      <c r="F31" s="371" t="n">
        <v>4705.0</v>
      </c>
      <c r="G31" s="9">
        <f si="1" t="shared"/>
        <v>5.4653320200655107E-3</v>
      </c>
    </row>
    <row r="32" spans="1:7" x14ac:dyDescent="0.25">
      <c r="A32">
        <v>21</v>
      </c>
      <c r="B32" s="6" t="n">
        <v>2376.783904</v>
      </c>
      <c r="C32" s="9">
        <f si="0" t="shared"/>
        <v>3.9889727620867352E-3</v>
      </c>
      <c r="E32" s="371">
        <v>21</v>
      </c>
      <c r="F32" s="371" t="n">
        <v>4033.0</v>
      </c>
      <c r="G32" s="9">
        <f si="1" t="shared"/>
        <v>4.972093058768735E-3</v>
      </c>
    </row>
    <row r="33" spans="1:7" x14ac:dyDescent="0.25">
      <c r="A33">
        <v>22</v>
      </c>
      <c r="B33" s="6" t="n">
        <v>1745.481728</v>
      </c>
      <c r="C33" s="9">
        <f si="0" t="shared"/>
        <v>2.9294539810683978E-3</v>
      </c>
      <c r="E33" s="371">
        <v>22</v>
      </c>
      <c r="F33" s="371" t="n">
        <v>3664.0</v>
      </c>
      <c r="G33" s="9">
        <f si="1" t="shared"/>
        <v>4.378068427361782E-3</v>
      </c>
    </row>
    <row r="34" spans="1:7" x14ac:dyDescent="0.25">
      <c r="A34">
        <v>23</v>
      </c>
      <c r="B34" s="6" t="n">
        <v>931.864038</v>
      </c>
      <c r="C34" s="9">
        <f si="0" t="shared"/>
        <v>1.5639538198211221E-3</v>
      </c>
      <c r="E34" s="371">
        <v>23</v>
      </c>
      <c r="F34" s="371" t="n">
        <v>3197.0</v>
      </c>
      <c r="G34" s="9">
        <f si="1" t="shared"/>
        <v>3.9016270777500364E-3</v>
      </c>
    </row>
    <row r="35" spans="1:7" x14ac:dyDescent="0.25">
      <c r="A35">
        <v>24</v>
      </c>
      <c r="B35" s="6" t="n">
        <v>882.355225</v>
      </c>
      <c r="C35" s="9">
        <f si="0" t="shared"/>
        <v>1.4808628386814896E-3</v>
      </c>
      <c r="E35" s="371">
        <v>24</v>
      </c>
      <c r="F35" s="371" t="n">
        <v>3058.0</v>
      </c>
      <c r="G35" s="9">
        <f si="1" t="shared"/>
        <v>3.6084324010658849E-3</v>
      </c>
    </row>
    <row r="36" spans="1:7" x14ac:dyDescent="0.25">
      <c r="A36">
        <v>25</v>
      </c>
      <c r="B36" s="6" t="n">
        <v>1445.419413</v>
      </c>
      <c r="C36" s="9">
        <f si="0" t="shared"/>
        <v>2.4258573354291775E-3</v>
      </c>
      <c r="E36" s="371">
        <v>25</v>
      </c>
      <c r="F36" s="371" t="n">
        <v>2738.0</v>
      </c>
      <c r="G36" s="9">
        <f si="1" t="shared"/>
        <v>3.2801154454039443E-3</v>
      </c>
    </row>
    <row r="37" spans="1:7" x14ac:dyDescent="0.25">
      <c r="A37">
        <v>26</v>
      </c>
      <c r="B37" s="6" t="n">
        <v>1908.333862</v>
      </c>
      <c r="C37" s="9">
        <f si="0" t="shared"/>
        <v>3.2027698368685131E-3</v>
      </c>
      <c r="E37" s="371">
        <v>26</v>
      </c>
      <c r="F37" s="371" t="n">
        <v>2524.0</v>
      </c>
      <c r="G37" s="9">
        <f si="1" t="shared"/>
        <v>2.9579067121729237E-3</v>
      </c>
    </row>
    <row r="38" spans="1:7" x14ac:dyDescent="0.25">
      <c r="A38">
        <v>27</v>
      </c>
      <c r="B38" s="6" t="n">
        <v>1998.1084660000001</v>
      </c>
      <c r="C38" s="9">
        <f si="0" t="shared"/>
        <v>3.3534391717964574E-3</v>
      </c>
      <c r="E38" s="371">
        <v>27</v>
      </c>
      <c r="F38" s="371" t="n">
        <v>2291.0</v>
      </c>
      <c r="G38" s="9">
        <f si="1" t="shared"/>
        <v>2.5685075322017851E-3</v>
      </c>
    </row>
    <row r="39" spans="1:7" x14ac:dyDescent="0.25">
      <c r="A39">
        <v>28</v>
      </c>
      <c r="B39" s="6" t="n">
        <v>2605.191889</v>
      </c>
      <c r="C39" s="9">
        <f si="0" t="shared"/>
        <v>4.3723114531956592E-3</v>
      </c>
      <c r="E39" s="371">
        <v>28</v>
      </c>
      <c r="F39" s="371" t="n">
        <v>2065.0</v>
      </c>
      <c r="G39" s="9">
        <f si="1" t="shared"/>
        <v>2.3608279695505113E-3</v>
      </c>
    </row>
    <row r="40" spans="1:7" x14ac:dyDescent="0.25">
      <c r="A40">
        <v>29</v>
      </c>
      <c r="B40" s="6" t="n">
        <v>1516.3761439999998</v>
      </c>
      <c r="C40" s="9">
        <f si="0" t="shared"/>
        <v>2.5449445047630685E-3</v>
      </c>
      <c r="E40" s="371">
        <v>29</v>
      </c>
      <c r="F40" s="371" t="n">
        <v>1923.0</v>
      </c>
      <c r="G40" s="9">
        <f si="1" t="shared"/>
        <v>2.2081224087775156E-3</v>
      </c>
    </row>
    <row r="41" spans="1:7" x14ac:dyDescent="0.25">
      <c r="A41">
        <v>30</v>
      </c>
      <c r="B41" s="6" t="n">
        <v>1120.074673</v>
      </c>
      <c r="C41" s="9">
        <f si="0" t="shared"/>
        <v>1.8798290221424387E-3</v>
      </c>
      <c r="E41" s="371">
        <v>30</v>
      </c>
      <c r="F41" s="371" t="n">
        <v>1772.0</v>
      </c>
      <c r="G41" s="9">
        <f si="1" t="shared"/>
        <v>1.8981301204083346E-3</v>
      </c>
    </row>
    <row r="42" spans="1:7" x14ac:dyDescent="0.25">
      <c r="A42">
        <v>31</v>
      </c>
      <c r="B42" s="6" t="n">
        <v>1319.490429</v>
      </c>
      <c r="C42" s="9">
        <f si="0" t="shared"/>
        <v>2.2145098560525851E-3</v>
      </c>
      <c r="E42" s="371">
        <v>31</v>
      </c>
      <c r="F42" s="371" t="n">
        <v>1506.0</v>
      </c>
      <c r="G42" s="9">
        <f si="1" t="shared"/>
        <v>1.6919776133647907E-3</v>
      </c>
    </row>
    <row r="43" spans="1:7" x14ac:dyDescent="0.25">
      <c r="A43">
        <v>32</v>
      </c>
      <c r="B43" s="6" t="n">
        <v>1887.740251</v>
      </c>
      <c r="C43" s="9">
        <f si="0" t="shared"/>
        <v>3.1682074379841382E-3</v>
      </c>
      <c r="E43" s="371">
        <v>32</v>
      </c>
      <c r="F43" s="371" t="n">
        <v>1345.0</v>
      </c>
      <c r="G43" s="9">
        <f si="1" t="shared"/>
        <v>1.3239572119018714E-3</v>
      </c>
    </row>
    <row r="44" spans="1:7" x14ac:dyDescent="0.25">
      <c r="A44">
        <v>33</v>
      </c>
      <c r="B44" s="6" t="n">
        <v>1670.300584</v>
      </c>
      <c r="C44" s="9">
        <f si="0" t="shared"/>
        <v>2.8032769503615624E-3</v>
      </c>
      <c r="E44" s="371">
        <v>33</v>
      </c>
      <c r="F44" s="371" t="n">
        <v>1077.0</v>
      </c>
      <c r="G44" s="9">
        <f si="1" t="shared"/>
        <v>1.2582938207694834E-3</v>
      </c>
    </row>
    <row r="45" spans="1:7" x14ac:dyDescent="0.25">
      <c r="A45">
        <v>34</v>
      </c>
      <c r="B45" s="6" t="n">
        <v>307.563687</v>
      </c>
      <c r="C45" s="9">
        <f si="0" t="shared"/>
        <v>5.1618624982491062E-4</v>
      </c>
      <c r="E45" s="371">
        <v>34</v>
      </c>
      <c r="F45" s="371" t="n">
        <v>929.0</v>
      </c>
      <c r="G45" s="9">
        <f si="1" t="shared"/>
        <v>9.9869436745539083E-4</v>
      </c>
    </row>
    <row r="46" spans="1:7" x14ac:dyDescent="0.25">
      <c r="A46">
        <v>35</v>
      </c>
      <c r="B46" s="6" t="n">
        <v>479.689517</v>
      </c>
      <c r="C46" s="9">
        <f si="0" t="shared"/>
        <v>8.050662133613735E-4</v>
      </c>
      <c r="E46" s="371">
        <v>35</v>
      </c>
      <c r="F46" s="371" t="n">
        <v>753.0</v>
      </c>
      <c r="G46" s="9">
        <f si="1" t="shared"/>
        <v>9.1165219781478343E-4</v>
      </c>
    </row>
    <row r="47" spans="1:7" x14ac:dyDescent="0.25">
      <c r="A47">
        <v>36</v>
      </c>
      <c r="B47" s="6" t="n">
        <v>388.744167</v>
      </c>
      <c r="C47" s="9">
        <f si="0" t="shared"/>
        <v>6.5243200737491079E-4</v>
      </c>
      <c r="E47" s="371">
        <v>36</v>
      </c>
      <c r="F47" s="371" t="n">
        <v>697.0</v>
      </c>
      <c r="G47" s="9">
        <f si="1" t="shared"/>
        <v>7.8032541555000728E-4</v>
      </c>
    </row>
    <row r="48" spans="1:7" x14ac:dyDescent="0.25">
      <c r="A48">
        <v>37</v>
      </c>
      <c r="B48" s="6" t="n">
        <v>219.66054699999998</v>
      </c>
      <c r="C48" s="9">
        <f si="0" t="shared"/>
        <v>3.6865780579102791E-4</v>
      </c>
      <c r="E48" s="371">
        <v>37</v>
      </c>
      <c r="F48" s="371" t="n">
        <v>643.0</v>
      </c>
      <c r="G48" s="9">
        <f si="1" t="shared"/>
        <v>5.8944346458376278E-4</v>
      </c>
    </row>
    <row r="49" spans="1:7" x14ac:dyDescent="0.25">
      <c r="A49">
        <v>38</v>
      </c>
      <c r="B49" s="6" t="n">
        <v>186.003902</v>
      </c>
      <c r="C49" s="9">
        <f si="0" t="shared"/>
        <v>3.1217162716019913E-4</v>
      </c>
      <c r="E49" s="371">
        <v>38</v>
      </c>
      <c r="F49" s="371" t="n">
        <v>500.0</v>
      </c>
      <c r="G49" s="9">
        <f si="1" t="shared"/>
        <v>5.9707874262241258E-4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414.0</v>
      </c>
      <c r="G50" s="9">
        <f si="1" t="shared"/>
        <v>4.8560368325812584E-4</v>
      </c>
    </row>
    <row r="51" spans="1:7" x14ac:dyDescent="0.25">
      <c r="A51">
        <v>40</v>
      </c>
      <c r="B51" s="6" t="n">
        <v>848.544177</v>
      </c>
      <c r="C51" s="9">
        <f si="0" t="shared"/>
        <v>1.424117524434525E-3</v>
      </c>
      <c r="E51" s="371">
        <v>40</v>
      </c>
      <c r="F51" s="371" t="n">
        <v>415.0</v>
      </c>
      <c r="G51" s="9">
        <f si="1" t="shared"/>
        <v>4.3215673698757741E-4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355.0</v>
      </c>
      <c r="G52" s="9">
        <f si="1" t="shared"/>
        <v>3.7870979071702899E-4</v>
      </c>
    </row>
    <row r="53" spans="1:7" x14ac:dyDescent="0.25">
      <c r="A53">
        <v>42</v>
      </c>
      <c r="B53" s="6" t="n">
        <v>82.539782</v>
      </c>
      <c r="C53" s="9">
        <f si="0" t="shared"/>
        <v>1.385270834392932E-4</v>
      </c>
      <c r="E53" s="371">
        <v>42</v>
      </c>
      <c r="F53" s="371" t="n">
        <v>261.0</v>
      </c>
      <c r="G53" s="9">
        <f si="1" t="shared"/>
        <v>3.2678990005421049E-4</v>
      </c>
    </row>
    <row r="54" spans="1:7" x14ac:dyDescent="0.25">
      <c r="A54">
        <v>43</v>
      </c>
      <c r="B54" s="6" t="n">
        <v>414.739348</v>
      </c>
      <c r="C54" s="9">
        <f si="0" t="shared"/>
        <v>6.960598983161121E-4</v>
      </c>
      <c r="E54" s="371">
        <v>43</v>
      </c>
      <c r="F54" s="371" t="n">
        <v>245.0</v>
      </c>
      <c r="G54" s="9">
        <f si="1" t="shared"/>
        <v>2.7487000939139199E-4</v>
      </c>
    </row>
    <row r="55" spans="1:7" x14ac:dyDescent="0.25">
      <c r="A55">
        <v>44</v>
      </c>
      <c r="B55" s="6" t="n">
        <v>280.249728</v>
      </c>
      <c r="C55" s="9">
        <f si="0" t="shared"/>
        <v>4.7034504470214406E-4</v>
      </c>
      <c r="E55" s="371">
        <v>44</v>
      </c>
      <c r="F55" s="371" t="n">
        <v>208.0</v>
      </c>
      <c r="G55" s="9">
        <f si="1" t="shared"/>
        <v>2.1989600751311358E-4</v>
      </c>
    </row>
    <row r="56" spans="1:7" x14ac:dyDescent="0.25">
      <c r="A56">
        <v>45</v>
      </c>
      <c r="B56" s="6" t="n">
        <v>28.166385</v>
      </c>
      <c r="C56" s="9">
        <f si="0" t="shared"/>
        <v>4.7271837537422332E-5</v>
      </c>
      <c r="E56" s="371">
        <v>45</v>
      </c>
      <c r="F56" s="371" t="n">
        <v>166.0</v>
      </c>
      <c r="G56" s="9">
        <f si="1" t="shared"/>
        <v>2.1531484068992371E-4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159.0</v>
      </c>
      <c r="G57" s="9">
        <f si="1" t="shared"/>
        <v>2.0309839582808407E-4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147.0</v>
      </c>
      <c r="G58" s="9">
        <f si="1" t="shared"/>
        <v>1.4201617151888586E-4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107.0</v>
      </c>
      <c r="G59" s="9">
        <f si="1" t="shared"/>
        <v>1.1605622618747661E-4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107.0</v>
      </c>
      <c r="G60" s="9">
        <f si="1" t="shared"/>
        <v>1.0842094814882684E-4</v>
      </c>
    </row>
    <row r="61" spans="1:7" x14ac:dyDescent="0.25">
      <c r="A61">
        <v>50</v>
      </c>
      <c r="B61" s="6" t="n">
        <v>34.524483</v>
      </c>
      <c r="C61" s="9">
        <f si="0" t="shared"/>
        <v>5.7942677111013684E-5</v>
      </c>
      <c r="E61" s="371">
        <v>50</v>
      </c>
      <c r="F61" s="371" t="n">
        <v>89.0</v>
      </c>
      <c r="G61" s="9">
        <f si="1" t="shared"/>
        <v>1.0536683693336692E-4</v>
      </c>
    </row>
    <row r="62" spans="1:7" x14ac:dyDescent="0.25">
      <c r="A62">
        <v>51</v>
      </c>
      <c r="B62" s="6" t="n">
        <v>120.926358</v>
      </c>
      <c r="C62" s="9">
        <f si="0" t="shared"/>
        <v>2.0295153777696965E-4</v>
      </c>
      <c r="E62" s="371">
        <v>51</v>
      </c>
      <c r="F62" s="371" t="n">
        <v>73.0</v>
      </c>
      <c r="G62" s="9">
        <f si="1" t="shared"/>
        <v>1.0231272571790701E-4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47.0</v>
      </c>
      <c r="G63" s="9">
        <f si="1" t="shared"/>
        <v>5.6501057486008351E-5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41.0</v>
      </c>
      <c r="G64" s="9">
        <f si="1" t="shared"/>
        <v>4.7338723839628623E-5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48.0</v>
      </c>
      <c r="G65" s="9">
        <f si="1" t="shared"/>
        <v>3.8176390193248888E-5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37.0</v>
      </c>
      <c r="G66" s="9">
        <f si="1" t="shared"/>
        <v>4.12305014087088E-5</v>
      </c>
    </row>
    <row r="67" spans="1:7" x14ac:dyDescent="0.25">
      <c r="A67">
        <v>56</v>
      </c>
      <c r="B67" s="6" t="n">
        <v>78.567796</v>
      </c>
      <c r="C67" s="9">
        <f si="0" t="shared"/>
        <v>1.3186087203541884E-4</v>
      </c>
      <c r="E67" s="371">
        <v>56</v>
      </c>
      <c r="F67" s="371" t="n">
        <v>34.0</v>
      </c>
      <c r="G67" s="9">
        <f si="1" t="shared"/>
        <v>3.3595223370059021E-5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32.0</v>
      </c>
      <c r="G68" s="9">
        <f si="1" t="shared"/>
        <v>2.1378778508219378E-5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18.0</v>
      </c>
      <c r="G69" s="9">
        <f si="1" t="shared"/>
        <v>2.7487000939139198E-5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14.0</v>
      </c>
      <c r="G70" s="9">
        <f si="1" t="shared"/>
        <v>2.7487000939139198E-5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15.0</v>
      </c>
      <c r="G71" s="9">
        <f si="1" t="shared"/>
        <v>1.0689389254109689E-5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8.0</v>
      </c>
      <c r="G72" s="9">
        <f si="1" t="shared"/>
        <v>1.8324667292759466E-5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4.0</v>
      </c>
      <c r="G73" s="9">
        <f si="1" t="shared"/>
        <v>4.5811668231898666E-6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7.0</v>
      </c>
      <c r="G74" s="9">
        <f si="1" t="shared"/>
        <v>7.6352780386497773E-6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1.0689389254109689E-5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4.0</v>
      </c>
      <c r="G76" s="9">
        <f si="1" t="shared"/>
        <v>1.5270556077299554E-6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2.0</v>
      </c>
      <c r="G77" s="9">
        <f ref="G77:G102" si="3" t="shared">F77/F$102</f>
        <v>1.679761168502951E-5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1.5270556077299554E-6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3.0</v>
      </c>
      <c r="G79" s="9">
        <f si="3" t="shared"/>
        <v>1.5270556077299554E-6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3.0</v>
      </c>
      <c r="G80" s="9">
        <f si="3" t="shared"/>
        <v>1.5270556077299554E-6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1.5270556077299554E-6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1.5270556077299554E-6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1.5270556077299554E-6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3.0541112154599108E-6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3.0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3.0541112154599108E-6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1.0</v>
      </c>
      <c r="G94" s="9">
        <f si="3" t="shared"/>
        <v>1.5270556077299554E-6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7.0</v>
      </c>
      <c r="G101" s="9">
        <f si="3" t="shared"/>
        <v>1.5270556077299554E-6</v>
      </c>
    </row>
    <row r="102" spans="1:7" x14ac:dyDescent="0.25">
      <c r="B102" s="6">
        <f>SUM(B11:B101)</f>
        <v>595838.58947100013</v>
      </c>
      <c r="C102" s="9">
        <f si="2" t="shared"/>
        <v>1</v>
      </c>
      <c r="F102" s="6">
        <f>SUM(F11:F101)</f>
        <v>654855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0"/>
  <dimension ref="A1:M102"/>
  <sheetViews>
    <sheetView topLeftCell="A61" workbookViewId="0">
      <selection activeCell="T17" sqref="T17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5679.0</v>
      </c>
      <c r="G11" s="9">
        <f>F11/F$102</f>
        <v>6.7343152300891034E-3</v>
      </c>
      <c r="K11" s="6" t="n">
        <v>13.677376595118524</v>
      </c>
      <c r="L11" s="6" t="n">
        <v>16.018263387892738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29873.0</v>
      </c>
      <c r="G12" s="9">
        <f>F12/F$102</f>
        <v>4.7294439227004451E-2</v>
      </c>
      <c r="K12" s="6"/>
      <c r="L12" s="371"/>
    </row>
    <row r="13" spans="1:12" x14ac:dyDescent="0.25">
      <c r="A13">
        <v>2</v>
      </c>
      <c r="B13" s="6" t="n">
        <v>3503.550013</v>
      </c>
      <c r="C13" s="9">
        <f ref="C13:C76" si="0" t="shared">B13/B$102</f>
        <v>5.8800320672592454E-3</v>
      </c>
      <c r="E13" s="371">
        <v>2</v>
      </c>
      <c r="F13" s="371" t="n">
        <v>17531.0</v>
      </c>
      <c r="G13" s="9">
        <f ref="G13:G76" si="1" t="shared">F13/F$102</f>
        <v>2.0528208534713793E-2</v>
      </c>
    </row>
    <row r="14" spans="1:12" x14ac:dyDescent="0.25">
      <c r="A14">
        <v>3</v>
      </c>
      <c r="B14" s="6" t="n">
        <v>38115.563242</v>
      </c>
      <c r="C14" s="9">
        <f si="0" t="shared"/>
        <v>6.3969611763212406E-2</v>
      </c>
      <c r="E14" s="371">
        <v>3</v>
      </c>
      <c r="F14" s="371" t="n">
        <v>26495.0</v>
      </c>
      <c r="G14" s="9">
        <f si="1" t="shared"/>
        <v>3.2830168510586316E-2</v>
      </c>
    </row>
    <row r="15" spans="1:12" x14ac:dyDescent="0.25">
      <c r="A15">
        <v>4</v>
      </c>
      <c r="B15" s="6" t="n">
        <v>42380.251885</v>
      </c>
      <c r="C15" s="9">
        <f si="0" t="shared"/>
        <v>7.1127068024624221E-2</v>
      </c>
      <c r="E15" s="371">
        <v>4</v>
      </c>
      <c r="F15" s="371" t="n">
        <v>37506.0</v>
      </c>
      <c r="G15" s="9">
        <f si="1" t="shared"/>
        <v>4.8633666994983622E-2</v>
      </c>
    </row>
    <row r="16" spans="1:12" x14ac:dyDescent="0.25">
      <c r="A16">
        <v>5</v>
      </c>
      <c r="B16" s="6" t="n">
        <v>54370.556131</v>
      </c>
      <c r="C16" s="9">
        <f si="0" t="shared"/>
        <v>9.1250478051902367E-2</v>
      </c>
      <c r="E16" s="371">
        <v>5</v>
      </c>
      <c r="F16" s="371" t="n">
        <v>45527.0</v>
      </c>
      <c r="G16" s="9">
        <f si="1" t="shared"/>
        <v>6.1586152659749108E-2</v>
      </c>
    </row>
    <row r="17" spans="1:7" x14ac:dyDescent="0.25">
      <c r="A17">
        <v>6</v>
      </c>
      <c r="B17" s="6" t="n">
        <v>50855.567374</v>
      </c>
      <c r="C17" s="9">
        <f si="0" t="shared"/>
        <v>8.5351248261967674E-2</v>
      </c>
      <c r="E17" s="371">
        <v>6</v>
      </c>
      <c r="F17" s="371" t="n">
        <v>48732.0</v>
      </c>
      <c r="G17" s="9">
        <f si="1" t="shared"/>
        <v>6.8233425720197596E-2</v>
      </c>
    </row>
    <row r="18" spans="1:7" x14ac:dyDescent="0.25">
      <c r="A18">
        <v>7</v>
      </c>
      <c r="B18" s="6" t="n">
        <v>43074.659443</v>
      </c>
      <c r="C18" s="9">
        <f si="0" t="shared"/>
        <v>7.2292497001986214E-2</v>
      </c>
      <c r="E18" s="371">
        <v>7</v>
      </c>
      <c r="F18" s="371" t="n">
        <v>47412.0</v>
      </c>
      <c r="G18" s="9">
        <f si="1" t="shared"/>
        <v>6.6645287888158447E-2</v>
      </c>
    </row>
    <row r="19" spans="1:7" x14ac:dyDescent="0.25">
      <c r="A19">
        <v>8</v>
      </c>
      <c r="B19" s="6" t="n">
        <v>44047.43591</v>
      </c>
      <c r="C19" s="9">
        <f si="0" t="shared"/>
        <v>7.3925114432595501E-2</v>
      </c>
      <c r="E19" s="371">
        <v>8</v>
      </c>
      <c r="F19" s="371" t="n">
        <v>44427.0</v>
      </c>
      <c r="G19" s="9">
        <f si="1" t="shared"/>
        <v>5.9439112475280789E-2</v>
      </c>
    </row>
    <row r="20" spans="1:7" x14ac:dyDescent="0.25">
      <c r="A20">
        <v>9</v>
      </c>
      <c r="B20" s="6" t="n">
        <v>31038.369358</v>
      </c>
      <c r="C20" s="9">
        <f si="0" t="shared"/>
        <v>5.2091908625046583E-2</v>
      </c>
      <c r="E20" s="371">
        <v>9</v>
      </c>
      <c r="F20" s="371" t="n">
        <v>40101.0</v>
      </c>
      <c r="G20" s="9">
        <f si="1" t="shared"/>
        <v>5.3611868276183278E-2</v>
      </c>
    </row>
    <row r="21" spans="1:7" x14ac:dyDescent="0.25">
      <c r="A21">
        <v>10</v>
      </c>
      <c r="B21" s="6" t="n">
        <v>26267.340508</v>
      </c>
      <c r="C21" s="9">
        <f si="0" t="shared"/>
        <v>4.4084658114072077E-2</v>
      </c>
      <c r="E21" s="371">
        <v>10</v>
      </c>
      <c r="F21" s="371" t="n">
        <v>36256.0</v>
      </c>
      <c r="G21" s="9">
        <f si="1" t="shared"/>
        <v>4.8134319811255925E-2</v>
      </c>
    </row>
    <row r="22" spans="1:7" x14ac:dyDescent="0.25">
      <c r="A22">
        <v>11</v>
      </c>
      <c r="B22" s="6" t="n">
        <v>29640.406368</v>
      </c>
      <c r="C22" s="9">
        <f si="0" t="shared"/>
        <v>4.9745697730513648E-2</v>
      </c>
      <c r="E22" s="371">
        <v>11</v>
      </c>
      <c r="F22" s="371" t="n">
        <v>32176.0</v>
      </c>
      <c r="G22" s="9">
        <f si="1" t="shared"/>
        <v>4.3592856433867039E-2</v>
      </c>
    </row>
    <row r="23" spans="1:7" x14ac:dyDescent="0.25">
      <c r="A23">
        <v>12</v>
      </c>
      <c r="B23" s="6" t="n">
        <v>21525.643683</v>
      </c>
      <c r="C23" s="9">
        <f si="0" t="shared"/>
        <v>3.6126635742258606E-2</v>
      </c>
      <c r="E23" s="371">
        <v>12</v>
      </c>
      <c r="F23" s="371" t="n">
        <v>29098.0</v>
      </c>
      <c r="G23" s="9">
        <f si="1" t="shared"/>
        <v>3.8032846966122275E-2</v>
      </c>
    </row>
    <row r="24" spans="1:7" x14ac:dyDescent="0.25">
      <c r="A24">
        <v>13</v>
      </c>
      <c r="B24" s="6" t="n">
        <v>17832.6342</v>
      </c>
      <c r="C24" s="9">
        <f si="0" t="shared"/>
        <v>2.9928632544314111E-2</v>
      </c>
      <c r="E24" s="371">
        <v>13</v>
      </c>
      <c r="F24" s="371" t="n">
        <v>27005.0</v>
      </c>
      <c r="G24" s="9">
        <f si="1" t="shared"/>
        <v>3.4164815111742297E-2</v>
      </c>
    </row>
    <row r="25" spans="1:7" x14ac:dyDescent="0.25">
      <c r="A25">
        <v>14</v>
      </c>
      <c r="B25" s="6" t="n">
        <v>13470.632292</v>
      </c>
      <c r="C25" s="9">
        <f si="0" t="shared"/>
        <v>2.2607854761403662E-2</v>
      </c>
      <c r="E25" s="371">
        <v>14</v>
      </c>
      <c r="F25" s="371" t="n">
        <v>23675.0</v>
      </c>
      <c r="G25" s="9">
        <f si="1" t="shared"/>
        <v>3.0449488818135313E-2</v>
      </c>
    </row>
    <row r="26" spans="1:7" x14ac:dyDescent="0.25">
      <c r="A26">
        <v>15</v>
      </c>
      <c r="B26" s="6" t="n">
        <v>17351.661045</v>
      </c>
      <c r="C26" s="9">
        <f si="0" t="shared"/>
        <v>2.9121411992474696E-2</v>
      </c>
      <c r="E26" s="371">
        <v>15</v>
      </c>
      <c r="F26" s="371" t="n">
        <v>21682.0</v>
      </c>
      <c r="G26" s="9">
        <f si="1" t="shared"/>
        <v>2.7502271495216498E-2</v>
      </c>
    </row>
    <row r="27" spans="1:7" x14ac:dyDescent="0.25">
      <c r="A27">
        <v>16</v>
      </c>
      <c r="B27" s="6" t="n">
        <v>16127.274979</v>
      </c>
      <c r="C27" s="9">
        <f si="0" t="shared"/>
        <v>2.7066516442512012E-2</v>
      </c>
      <c r="E27" s="371">
        <v>16</v>
      </c>
      <c r="F27" s="371" t="n">
        <v>19302.0</v>
      </c>
      <c r="G27" s="9">
        <f si="1" t="shared"/>
        <v>2.4203831382519796E-2</v>
      </c>
    </row>
    <row r="28" spans="1:7" x14ac:dyDescent="0.25">
      <c r="A28">
        <v>17</v>
      </c>
      <c r="B28" s="6" t="n">
        <v>15684.661073</v>
      </c>
      <c r="C28" s="9">
        <f si="0" t="shared"/>
        <v>2.6323674481918351E-2</v>
      </c>
      <c r="E28" s="371">
        <v>17</v>
      </c>
      <c r="F28" s="371" t="n">
        <v>17646.0</v>
      </c>
      <c r="G28" s="9">
        <f si="1" t="shared"/>
        <v>2.1478037122721824E-2</v>
      </c>
    </row>
    <row r="29" spans="1:7" x14ac:dyDescent="0.25">
      <c r="A29">
        <v>18</v>
      </c>
      <c r="B29" s="6" t="n">
        <v>14224.943467</v>
      </c>
      <c r="C29" s="9">
        <f si="0" t="shared"/>
        <v>2.3873820390903581E-2</v>
      </c>
      <c r="E29" s="371">
        <v>18</v>
      </c>
      <c r="F29" s="371" t="n">
        <v>15870.0</v>
      </c>
      <c r="G29" s="9">
        <f si="1" t="shared"/>
        <v>1.9312672270960746E-2</v>
      </c>
    </row>
    <row r="30" spans="1:7" x14ac:dyDescent="0.25">
      <c r="A30">
        <v>19</v>
      </c>
      <c r="B30" s="6" t="n">
        <v>7623.139097</v>
      </c>
      <c r="C30" s="9">
        <f si="0" t="shared"/>
        <v>1.2793966741509647E-2</v>
      </c>
      <c r="E30" s="371">
        <v>19</v>
      </c>
      <c r="F30" s="371" t="n">
        <v>14788.0</v>
      </c>
      <c r="G30" s="9">
        <f si="1" t="shared"/>
        <v>1.7359568148674134E-2</v>
      </c>
    </row>
    <row r="31" spans="1:7" x14ac:dyDescent="0.25">
      <c r="A31">
        <v>20</v>
      </c>
      <c r="B31" s="6" t="n">
        <v>7048.1302239999995</v>
      </c>
      <c r="C31" s="9">
        <f si="0" t="shared"/>
        <v>1.182892539782879E-2</v>
      </c>
      <c r="E31" s="371">
        <v>20</v>
      </c>
      <c r="F31" s="371" t="n">
        <v>13114.0</v>
      </c>
      <c r="G31" s="9">
        <f si="1" t="shared"/>
        <v>1.6089057883042809E-2</v>
      </c>
    </row>
    <row r="32" spans="1:7" x14ac:dyDescent="0.25">
      <c r="A32">
        <v>21</v>
      </c>
      <c r="B32" s="6" t="n">
        <v>7448.730677</v>
      </c>
      <c r="C32" s="9">
        <f si="0" t="shared"/>
        <v>1.250125589148759E-2</v>
      </c>
      <c r="E32" s="371">
        <v>21</v>
      </c>
      <c r="F32" s="371" t="n">
        <v>12124.0</v>
      </c>
      <c r="G32" s="9">
        <f si="1" t="shared"/>
        <v>1.4549785830451016E-2</v>
      </c>
    </row>
    <row r="33" spans="1:7" x14ac:dyDescent="0.25">
      <c r="A33">
        <v>22</v>
      </c>
      <c r="B33" s="6" t="n">
        <v>8867.364817</v>
      </c>
      <c r="C33" s="9">
        <f si="0" t="shared"/>
        <v>1.4882159319141539E-2</v>
      </c>
      <c r="E33" s="371">
        <v>22</v>
      </c>
      <c r="F33" s="371" t="n">
        <v>11373.0</v>
      </c>
      <c r="G33" s="9">
        <f si="1" t="shared"/>
        <v>1.3215139229295035E-2</v>
      </c>
    </row>
    <row r="34" spans="1:7" x14ac:dyDescent="0.25">
      <c r="A34">
        <v>23</v>
      </c>
      <c r="B34" s="6" t="n">
        <v>7553.252498</v>
      </c>
      <c r="C34" s="9">
        <f si="0" t="shared"/>
        <v>1.2676675582066537E-2</v>
      </c>
      <c r="E34" s="371">
        <v>23</v>
      </c>
      <c r="F34" s="371" t="n">
        <v>10558.0</v>
      </c>
      <c r="G34" s="9">
        <f si="1" t="shared"/>
        <v>1.2598208763772132E-2</v>
      </c>
    </row>
    <row r="35" spans="1:7" x14ac:dyDescent="0.25">
      <c r="A35">
        <v>24</v>
      </c>
      <c r="B35" s="6" t="n">
        <v>7240.328681</v>
      </c>
      <c r="C35" s="9">
        <f si="0" t="shared"/>
        <v>1.2151493389221625E-2</v>
      </c>
      <c r="E35" s="371">
        <v>24</v>
      </c>
      <c r="F35" s="371" t="n">
        <v>9796.0</v>
      </c>
      <c r="G35" s="9">
        <f si="1" t="shared"/>
        <v>1.165448839819502E-2</v>
      </c>
    </row>
    <row r="36" spans="1:7" x14ac:dyDescent="0.25">
      <c r="A36">
        <v>25</v>
      </c>
      <c r="B36" s="6" t="n">
        <v>3090.572021</v>
      </c>
      <c r="C36" s="9">
        <f si="0" t="shared"/>
        <v>5.186928264824006E-3</v>
      </c>
      <c r="E36" s="371">
        <v>25</v>
      </c>
      <c r="F36" s="371" t="n">
        <v>8931.0</v>
      </c>
      <c r="G36" s="9">
        <f si="1" t="shared"/>
        <v>1.0722984477479748E-2</v>
      </c>
    </row>
    <row r="37" spans="1:7" x14ac:dyDescent="0.25">
      <c r="A37">
        <v>26</v>
      </c>
      <c r="B37" s="6" t="n">
        <v>6108.794661999999</v>
      </c>
      <c r="C37" s="9">
        <f si="0" t="shared"/>
        <v>1.0252432067925529E-2</v>
      </c>
      <c r="E37" s="371">
        <v>26</v>
      </c>
      <c r="F37" s="371" t="n">
        <v>8480.0</v>
      </c>
      <c r="G37" s="9">
        <f si="1" t="shared"/>
        <v>9.9518213955761201E-3</v>
      </c>
    </row>
    <row r="38" spans="1:7" x14ac:dyDescent="0.25">
      <c r="A38">
        <v>27</v>
      </c>
      <c r="B38" s="6" t="n">
        <v>3534.038577</v>
      </c>
      <c r="C38" s="9">
        <f si="0" t="shared"/>
        <v>5.9312012337730631E-3</v>
      </c>
      <c r="E38" s="371">
        <v>27</v>
      </c>
      <c r="F38" s="371" t="n">
        <v>7789.0</v>
      </c>
      <c r="G38" s="9">
        <f si="1" t="shared"/>
        <v>9.1669148132029234E-3</v>
      </c>
    </row>
    <row r="39" spans="1:7" x14ac:dyDescent="0.25">
      <c r="A39">
        <v>28</v>
      </c>
      <c r="B39" s="6" t="n">
        <v>3436.271436</v>
      </c>
      <c r="C39" s="9">
        <f si="0" t="shared"/>
        <v>5.7671179690640759E-3</v>
      </c>
      <c r="E39" s="371">
        <v>28</v>
      </c>
      <c r="F39" s="371" t="n">
        <v>7069.0</v>
      </c>
      <c r="G39" s="9">
        <f si="1" t="shared"/>
        <v>8.3392506738132876E-3</v>
      </c>
    </row>
    <row r="40" spans="1:7" x14ac:dyDescent="0.25">
      <c r="A40">
        <v>29</v>
      </c>
      <c r="B40" s="6" t="n">
        <v>3165.779636</v>
      </c>
      <c r="C40" s="9">
        <f si="0" t="shared"/>
        <v>5.3131497219920812E-3</v>
      </c>
      <c r="E40" s="371">
        <v>29</v>
      </c>
      <c r="F40" s="371" t="n">
        <v>6890.0</v>
      </c>
      <c r="G40" s="9">
        <f si="1" t="shared"/>
        <v>7.6398592054729673E-3</v>
      </c>
    </row>
    <row r="41" spans="1:7" x14ac:dyDescent="0.25">
      <c r="A41">
        <v>30</v>
      </c>
      <c r="B41" s="6" t="n">
        <v>2613.404914</v>
      </c>
      <c r="C41" s="9">
        <f si="0" t="shared"/>
        <v>4.3860954295025477E-3</v>
      </c>
      <c r="E41" s="371">
        <v>30</v>
      </c>
      <c r="F41" s="371" t="n">
        <v>6356.0</v>
      </c>
      <c r="G41" s="9">
        <f si="1" t="shared"/>
        <v>7.3191775278496768E-3</v>
      </c>
    </row>
    <row r="42" spans="1:7" x14ac:dyDescent="0.25">
      <c r="A42">
        <v>31</v>
      </c>
      <c r="B42" s="6" t="n">
        <v>2956.76124</v>
      </c>
      <c r="C42" s="9">
        <f si="0" t="shared"/>
        <v>4.9623527113695038E-3</v>
      </c>
      <c r="E42" s="371">
        <v>31</v>
      </c>
      <c r="F42" s="371" t="n">
        <v>5876.0</v>
      </c>
      <c r="G42" s="9">
        <f si="1" t="shared"/>
        <v>6.6778141726030957E-3</v>
      </c>
    </row>
    <row r="43" spans="1:7" x14ac:dyDescent="0.25">
      <c r="A43">
        <v>32</v>
      </c>
      <c r="B43" s="6" t="n">
        <v>2504.801086</v>
      </c>
      <c r="C43" s="9">
        <f si="0" t="shared"/>
        <v>4.2038248785192332E-3</v>
      </c>
      <c r="E43" s="371">
        <v>32</v>
      </c>
      <c r="F43" s="371" t="n">
        <v>5532.0</v>
      </c>
      <c r="G43" s="9">
        <f si="1" t="shared"/>
        <v>6.1815211000908598E-3</v>
      </c>
    </row>
    <row r="44" spans="1:7" x14ac:dyDescent="0.25">
      <c r="A44">
        <v>33</v>
      </c>
      <c r="B44" s="6" t="n">
        <v>3073.848639</v>
      </c>
      <c r="C44" s="9">
        <f si="0" t="shared"/>
        <v>5.1588612978710141E-3</v>
      </c>
      <c r="E44" s="371">
        <v>33</v>
      </c>
      <c r="F44" s="371" t="n">
        <v>5058.0</v>
      </c>
      <c r="G44" s="9">
        <f si="1" t="shared"/>
        <v>5.6852280275786239E-3</v>
      </c>
    </row>
    <row r="45" spans="1:7" x14ac:dyDescent="0.25">
      <c r="A45">
        <v>34</v>
      </c>
      <c r="B45" s="6" t="n">
        <v>2060.756997</v>
      </c>
      <c r="C45" s="9">
        <f si="0" t="shared"/>
        <v>3.4585826319668026E-3</v>
      </c>
      <c r="E45" s="371">
        <v>34</v>
      </c>
      <c r="F45" s="371" t="n">
        <v>4728.0</v>
      </c>
      <c r="G45" s="9">
        <f si="1" t="shared"/>
        <v>5.4195203518336123E-3</v>
      </c>
    </row>
    <row r="46" spans="1:7" x14ac:dyDescent="0.25">
      <c r="A46">
        <v>35</v>
      </c>
      <c r="B46" s="6" t="n">
        <v>2856.334178</v>
      </c>
      <c r="C46" s="9">
        <f si="0" t="shared"/>
        <v>4.7938052829641677E-3</v>
      </c>
      <c r="E46" s="371">
        <v>35</v>
      </c>
      <c r="F46" s="371" t="n">
        <v>4387.0</v>
      </c>
      <c r="G46" s="9">
        <f si="1" t="shared"/>
        <v>5.1461773980499498E-3</v>
      </c>
    </row>
    <row r="47" spans="1:7" x14ac:dyDescent="0.25">
      <c r="A47">
        <v>36</v>
      </c>
      <c r="B47" s="6" t="n">
        <v>2031.099438</v>
      </c>
      <c r="C47" s="9">
        <f si="0" t="shared"/>
        <v>3.4088081468561108E-3</v>
      </c>
      <c r="E47" s="371">
        <v>36</v>
      </c>
      <c r="F47" s="371" t="n">
        <v>4100.0</v>
      </c>
      <c r="G47" s="9">
        <f si="1" t="shared"/>
        <v>4.6834795489077733E-3</v>
      </c>
    </row>
    <row r="48" spans="1:7" x14ac:dyDescent="0.25">
      <c r="A48">
        <v>37</v>
      </c>
      <c r="B48" s="6" t="n">
        <v>2470.823243</v>
      </c>
      <c r="C48" s="9">
        <f si="0" t="shared"/>
        <v>4.146799631077361E-3</v>
      </c>
      <c r="E48" s="371">
        <v>37</v>
      </c>
      <c r="F48" s="371" t="n">
        <v>3851.0</v>
      </c>
      <c r="G48" s="9">
        <f si="1" t="shared"/>
        <v>4.4269342068091405E-3</v>
      </c>
    </row>
    <row r="49" spans="1:7" x14ac:dyDescent="0.25">
      <c r="A49">
        <v>38</v>
      </c>
      <c r="B49" s="6" t="n">
        <v>2742.756141</v>
      </c>
      <c r="C49" s="9">
        <f si="0" t="shared"/>
        <v>4.6031864828276455E-3</v>
      </c>
      <c r="E49" s="371">
        <v>38</v>
      </c>
      <c r="F49" s="371" t="n">
        <v>3716.0</v>
      </c>
      <c r="G49" s="9">
        <f si="1" t="shared"/>
        <v>4.1719159203182383E-3</v>
      </c>
    </row>
    <row r="50" spans="1:7" x14ac:dyDescent="0.25">
      <c r="A50">
        <v>39</v>
      </c>
      <c r="B50" s="6" t="n">
        <v>2357.782392</v>
      </c>
      <c r="C50" s="9">
        <f si="0" t="shared"/>
        <v>3.9570823938968012E-3</v>
      </c>
      <c r="E50" s="371">
        <v>39</v>
      </c>
      <c r="F50" s="371" t="n">
        <v>3526.0</v>
      </c>
      <c r="G50" s="9">
        <f si="1" t="shared"/>
        <v>3.9550740240205844E-3</v>
      </c>
    </row>
    <row r="51" spans="1:7" x14ac:dyDescent="0.25">
      <c r="A51">
        <v>40</v>
      </c>
      <c r="B51" s="6" t="n">
        <v>1716.102394</v>
      </c>
      <c r="C51" s="9">
        <f si="0" t="shared"/>
        <v>2.8801464428874876E-3</v>
      </c>
      <c r="E51" s="371">
        <v>40</v>
      </c>
      <c r="F51" s="371" t="n">
        <v>3098.0</v>
      </c>
      <c r="G51" s="9">
        <f si="1" t="shared"/>
        <v>3.7153262936069817E-3</v>
      </c>
    </row>
    <row r="52" spans="1:7" x14ac:dyDescent="0.25">
      <c r="A52">
        <v>41</v>
      </c>
      <c r="B52" s="6" t="n">
        <v>1899.297261</v>
      </c>
      <c r="C52" s="9">
        <f si="0" t="shared"/>
        <v>3.187603647300254E-3</v>
      </c>
      <c r="E52" s="371">
        <v>41</v>
      </c>
      <c r="F52" s="371" t="n">
        <v>3070.0</v>
      </c>
      <c r="G52" s="9">
        <f si="1" t="shared"/>
        <v>3.4725244519779189E-3</v>
      </c>
    </row>
    <row r="53" spans="1:7" x14ac:dyDescent="0.25">
      <c r="A53">
        <v>42</v>
      </c>
      <c r="B53" s="6" t="n">
        <v>1650.2582009999999</v>
      </c>
      <c r="C53" s="9">
        <f si="0" t="shared"/>
        <v>2.7696396812182606E-3</v>
      </c>
      <c r="E53" s="371">
        <v>42</v>
      </c>
      <c r="F53" s="371" t="n">
        <v>2838.0</v>
      </c>
      <c r="G53" s="9">
        <f si="1" t="shared"/>
        <v>3.3732658374754716E-3</v>
      </c>
    </row>
    <row r="54" spans="1:7" x14ac:dyDescent="0.25">
      <c r="A54">
        <v>43</v>
      </c>
      <c r="B54" s="6" t="n">
        <v>574.65575</v>
      </c>
      <c r="C54" s="9">
        <f si="0" t="shared"/>
        <v>9.6444869492288662E-4</v>
      </c>
      <c r="E54" s="371">
        <v>43</v>
      </c>
      <c r="F54" s="371" t="n">
        <v>2613.0</v>
      </c>
      <c r="G54" s="9">
        <f si="1" t="shared"/>
        <v>3.0571653266753709E-3</v>
      </c>
    </row>
    <row r="55" spans="1:7" x14ac:dyDescent="0.25">
      <c r="A55">
        <v>44</v>
      </c>
      <c r="B55" s="6" t="n">
        <v>497.30641</v>
      </c>
      <c r="C55" s="9">
        <f si="0" t="shared"/>
        <v>8.3463276596690446E-4</v>
      </c>
      <c r="E55" s="371">
        <v>44</v>
      </c>
      <c r="F55" s="371" t="n">
        <v>2740.0</v>
      </c>
      <c r="G55" s="9">
        <f si="1" t="shared"/>
        <v>2.9212573775874049E-3</v>
      </c>
    </row>
    <row r="56" spans="1:7" x14ac:dyDescent="0.25">
      <c r="A56">
        <v>45</v>
      </c>
      <c r="B56" s="6" t="n">
        <v>684.777825</v>
      </c>
      <c r="C56" s="9">
        <f si="0" t="shared"/>
        <v>1.1492673302814474E-3</v>
      </c>
      <c r="E56" s="371">
        <v>45</v>
      </c>
      <c r="F56" s="371" t="n">
        <v>2504.0</v>
      </c>
      <c r="G56" s="9">
        <f si="1" t="shared"/>
        <v>2.7838223728917089E-3</v>
      </c>
    </row>
    <row r="57" spans="1:7" x14ac:dyDescent="0.25">
      <c r="A57">
        <v>46</v>
      </c>
      <c r="B57" s="6" t="n">
        <v>965.310432</v>
      </c>
      <c r="C57" s="9">
        <f si="0" t="shared"/>
        <v>1.6200871327535621E-3</v>
      </c>
      <c r="E57" s="371">
        <v>46</v>
      </c>
      <c r="F57" s="371" t="n">
        <v>2229.0</v>
      </c>
      <c r="G57" s="9">
        <f si="1" t="shared"/>
        <v>2.5456016980858359E-3</v>
      </c>
    </row>
    <row r="58" spans="1:7" x14ac:dyDescent="0.25">
      <c r="A58">
        <v>47</v>
      </c>
      <c r="B58" s="6" t="n">
        <v>421.72686</v>
      </c>
      <c r="C58" s="9">
        <f si="0" t="shared"/>
        <v>7.0778708773196284E-4</v>
      </c>
      <c r="E58" s="371">
        <v>47</v>
      </c>
      <c r="F58" s="371" t="n">
        <v>2059.0</v>
      </c>
      <c r="G58" s="9">
        <f si="1" t="shared"/>
        <v>2.3104351344954226E-3</v>
      </c>
    </row>
    <row r="59" spans="1:7" x14ac:dyDescent="0.25">
      <c r="A59">
        <v>48</v>
      </c>
      <c r="B59" s="6" t="n">
        <v>1997.336098</v>
      </c>
      <c r="C59" s="9">
        <f si="0" t="shared"/>
        <v>3.3521429012734506E-3</v>
      </c>
      <c r="E59" s="371">
        <v>48</v>
      </c>
      <c r="F59" s="371" t="n">
        <v>1993.0</v>
      </c>
      <c r="G59" s="9">
        <f si="1" t="shared"/>
        <v>2.1378778508219375E-3</v>
      </c>
    </row>
    <row r="60" spans="1:7" x14ac:dyDescent="0.25">
      <c r="A60">
        <v>49</v>
      </c>
      <c r="B60" s="6" t="n">
        <v>1548.480311</v>
      </c>
      <c r="C60" s="9">
        <f si="0" t="shared"/>
        <v>2.5988251488960746E-3</v>
      </c>
      <c r="E60" s="371">
        <v>49</v>
      </c>
      <c r="F60" s="371" t="n">
        <v>1845.0</v>
      </c>
      <c r="G60" s="9">
        <f si="1" t="shared"/>
        <v>2.0004428461262418E-3</v>
      </c>
    </row>
    <row r="61" spans="1:7" x14ac:dyDescent="0.25">
      <c r="A61">
        <v>50</v>
      </c>
      <c r="B61" s="6" t="n">
        <v>848.190152</v>
      </c>
      <c r="C61" s="9">
        <f si="0" t="shared"/>
        <v>1.4235233618437556E-3</v>
      </c>
      <c r="E61" s="371">
        <v>50</v>
      </c>
      <c r="F61" s="371" t="n">
        <v>1745.0</v>
      </c>
      <c r="G61" s="9">
        <f si="1" t="shared"/>
        <v>1.885913675546495E-3</v>
      </c>
    </row>
    <row r="62" spans="1:7" x14ac:dyDescent="0.25">
      <c r="A62">
        <v>51</v>
      </c>
      <c r="B62" s="6" t="n">
        <v>1202.526615</v>
      </c>
      <c r="C62" s="9">
        <f si="0" t="shared"/>
        <v>2.0182086831059924E-3</v>
      </c>
      <c r="E62" s="371">
        <v>51</v>
      </c>
      <c r="F62" s="371" t="n">
        <v>1582.0</v>
      </c>
      <c r="G62" s="9">
        <f si="1" t="shared"/>
        <v>1.785128005436318E-3</v>
      </c>
    </row>
    <row r="63" spans="1:7" x14ac:dyDescent="0.25">
      <c r="A63">
        <v>52</v>
      </c>
      <c r="B63" s="6" t="n">
        <v>1066.222968</v>
      </c>
      <c r="C63" s="9">
        <f si="0" t="shared"/>
        <v>1.7894493355098365E-3</v>
      </c>
      <c r="E63" s="371">
        <v>52</v>
      </c>
      <c r="F63" s="371" t="n">
        <v>1483.0</v>
      </c>
      <c r="G63" s="9">
        <f si="1" t="shared"/>
        <v>1.7438975040276093E-3</v>
      </c>
    </row>
    <row r="64" spans="1:7" x14ac:dyDescent="0.25">
      <c r="A64">
        <v>53</v>
      </c>
      <c r="B64" s="6" t="n">
        <v>402.014199</v>
      </c>
      <c r="C64" s="9">
        <f si="0" t="shared"/>
        <v>6.7470319328749367E-4</v>
      </c>
      <c r="E64" s="371">
        <v>53</v>
      </c>
      <c r="F64" s="371" t="n">
        <v>1376.0</v>
      </c>
      <c r="G64" s="9">
        <f si="1" t="shared"/>
        <v>1.6156248329782929E-3</v>
      </c>
    </row>
    <row r="65" spans="1:7" x14ac:dyDescent="0.25">
      <c r="A65">
        <v>54</v>
      </c>
      <c r="B65" s="6" t="n">
        <v>727.538422</v>
      </c>
      <c r="C65" s="9">
        <f si="0" t="shared"/>
        <v>1.2210327341267467E-3</v>
      </c>
      <c r="E65" s="371">
        <v>54</v>
      </c>
      <c r="F65" s="371" t="n">
        <v>1312.0</v>
      </c>
      <c r="G65" s="9">
        <f si="1" t="shared"/>
        <v>1.508730940437196E-3</v>
      </c>
    </row>
    <row r="66" spans="1:7" x14ac:dyDescent="0.25">
      <c r="A66">
        <v>55</v>
      </c>
      <c r="B66" s="6" t="n">
        <v>1338.194741</v>
      </c>
      <c r="C66" s="9">
        <f si="0" t="shared"/>
        <v>2.2459014314398147E-3</v>
      </c>
      <c r="E66" s="371">
        <v>55</v>
      </c>
      <c r="F66" s="371" t="n">
        <v>1316.0</v>
      </c>
      <c r="G66" s="9">
        <f si="1" t="shared"/>
        <v>1.4277969932275083E-3</v>
      </c>
    </row>
    <row r="67" spans="1:7" x14ac:dyDescent="0.25">
      <c r="A67">
        <v>56</v>
      </c>
      <c r="B67" s="6" t="n">
        <v>337.691807</v>
      </c>
      <c r="C67" s="9">
        <f si="0" t="shared"/>
        <v>5.6675048069614075E-4</v>
      </c>
      <c r="E67" s="371">
        <v>56</v>
      </c>
      <c r="F67" s="371" t="n">
        <v>1280.0</v>
      </c>
      <c r="G67" s="9">
        <f si="1" t="shared"/>
        <v>1.3025784333936521E-3</v>
      </c>
    </row>
    <row r="68" spans="1:7" x14ac:dyDescent="0.25">
      <c r="A68">
        <v>57</v>
      </c>
      <c r="B68" s="6" t="n">
        <v>506.377991</v>
      </c>
      <c r="C68" s="9">
        <f si="0" t="shared"/>
        <v>8.4985766270958434E-4</v>
      </c>
      <c r="E68" s="371">
        <v>57</v>
      </c>
      <c r="F68" s="371" t="n">
        <v>1177.0</v>
      </c>
      <c r="G68" s="9">
        <f si="1" t="shared"/>
        <v>1.2827267104931627E-3</v>
      </c>
    </row>
    <row r="69" spans="1:7" x14ac:dyDescent="0.25">
      <c r="A69">
        <v>58</v>
      </c>
      <c r="B69" s="6" t="n">
        <v>190.40770899999998</v>
      </c>
      <c r="C69" s="9">
        <f si="0" t="shared"/>
        <v>3.1956256671634585E-4</v>
      </c>
      <c r="E69" s="371">
        <v>58</v>
      </c>
      <c r="F69" s="371" t="n">
        <v>1107.0</v>
      </c>
      <c r="G69" s="9">
        <f si="1" t="shared"/>
        <v>1.2063739301066648E-3</v>
      </c>
    </row>
    <row r="70" spans="1:7" x14ac:dyDescent="0.25">
      <c r="A70">
        <v>59</v>
      </c>
      <c r="B70" s="6" t="n">
        <v>378.58215600000005</v>
      </c>
      <c r="C70" s="9">
        <f si="0" t="shared"/>
        <v>6.3537703446853654E-4</v>
      </c>
      <c r="E70" s="371">
        <v>59</v>
      </c>
      <c r="F70" s="371" t="n">
        <v>1034.0</v>
      </c>
      <c r="G70" s="9">
        <f si="1" t="shared"/>
        <v>1.065884814195509E-3</v>
      </c>
    </row>
    <row r="71" spans="1:7" x14ac:dyDescent="0.25">
      <c r="A71">
        <v>60</v>
      </c>
      <c r="B71" s="6" t="n">
        <v>641.488446</v>
      </c>
      <c r="C71" s="9">
        <f si="0" t="shared"/>
        <v>1.0766144679711471E-3</v>
      </c>
      <c r="E71" s="371">
        <v>60</v>
      </c>
      <c r="F71" s="371" t="n">
        <v>921.0</v>
      </c>
      <c r="G71" s="9">
        <f si="1" t="shared"/>
        <v>1.0872635927037283E-3</v>
      </c>
    </row>
    <row r="72" spans="1:7" x14ac:dyDescent="0.25">
      <c r="A72">
        <v>61</v>
      </c>
      <c r="B72" s="6" t="n">
        <v>92.983749</v>
      </c>
      <c r="C72" s="9">
        <f si="0" t="shared"/>
        <v>1.560552650383943E-4</v>
      </c>
      <c r="E72" s="371">
        <v>61</v>
      </c>
      <c r="F72" s="371" t="n">
        <v>969.0</v>
      </c>
      <c r="G72" s="9">
        <f si="1" t="shared"/>
        <v>9.1470630903024328E-4</v>
      </c>
    </row>
    <row r="73" spans="1:7" x14ac:dyDescent="0.25">
      <c r="A73">
        <v>62</v>
      </c>
      <c r="B73" s="6" t="n">
        <v>295.694318</v>
      </c>
      <c r="C73" s="9">
        <f si="0" t="shared"/>
        <v>4.962658062522006E-4</v>
      </c>
      <c r="E73" s="371">
        <v>62</v>
      </c>
      <c r="F73" s="371" t="n">
        <v>834.0</v>
      </c>
      <c r="G73" s="9">
        <f si="1" t="shared"/>
        <v>8.9332753052202396E-4</v>
      </c>
    </row>
    <row r="74" spans="1:7" x14ac:dyDescent="0.25">
      <c r="A74">
        <v>63</v>
      </c>
      <c r="B74" s="6" t="n">
        <v>1936.065349</v>
      </c>
      <c r="C74" s="9">
        <f si="0" t="shared"/>
        <v>3.2493117821034124E-3</v>
      </c>
      <c r="E74" s="371">
        <v>63</v>
      </c>
      <c r="F74" s="371" t="n">
        <v>753.0</v>
      </c>
      <c r="G74" s="9">
        <f si="1" t="shared"/>
        <v>9.1928747585343323E-4</v>
      </c>
    </row>
    <row r="75" spans="1:7" x14ac:dyDescent="0.25">
      <c r="A75">
        <v>64</v>
      </c>
      <c r="B75" s="6" t="n">
        <v>34.524483</v>
      </c>
      <c r="C75" s="9">
        <f si="0" t="shared"/>
        <v>5.794267711101365E-5</v>
      </c>
      <c r="E75" s="371">
        <v>64</v>
      </c>
      <c r="F75" s="371" t="n">
        <v>676.0</v>
      </c>
      <c r="G75" s="9">
        <f si="1" t="shared"/>
        <v>7.4214902535675836E-4</v>
      </c>
    </row>
    <row r="76" spans="1:7" x14ac:dyDescent="0.25">
      <c r="A76">
        <v>65</v>
      </c>
      <c r="B76" s="6" t="n">
        <v>378.222329</v>
      </c>
      <c r="C76" s="9">
        <f si="0" t="shared"/>
        <v>6.3477313434128976E-4</v>
      </c>
      <c r="E76" s="371">
        <v>65</v>
      </c>
      <c r="F76" s="371" t="n">
        <v>653.0</v>
      </c>
      <c r="G76" s="9">
        <f si="1" t="shared"/>
        <v>7.6200074825724781E-4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664.0</v>
      </c>
      <c r="G77" s="9">
        <f ref="G77:G102" si="3" t="shared">F77/F$102</f>
        <v>7.390949141412985E-4</v>
      </c>
    </row>
    <row r="78" spans="1:7" x14ac:dyDescent="0.25">
      <c r="A78">
        <v>67</v>
      </c>
      <c r="B78" s="6" t="n">
        <v>86.443646</v>
      </c>
      <c r="C78" s="9">
        <f si="2" t="shared"/>
        <v>1.4507896522235445E-4</v>
      </c>
      <c r="E78" s="371">
        <v>67</v>
      </c>
      <c r="F78" s="371" t="n">
        <v>598.0</v>
      </c>
      <c r="G78" s="9">
        <f si="3" t="shared"/>
        <v>7.2840552488718873E-4</v>
      </c>
    </row>
    <row r="79" spans="1:7" x14ac:dyDescent="0.25">
      <c r="A79">
        <v>68</v>
      </c>
      <c r="B79" s="6" t="n">
        <v>380.838781</v>
      </c>
      <c r="C79" s="9">
        <f si="2" t="shared"/>
        <v>6.3916434371616925E-4</v>
      </c>
      <c r="E79" s="371">
        <v>68</v>
      </c>
      <c r="F79" s="371" t="n">
        <v>512.0</v>
      </c>
      <c r="G79" s="9">
        <f si="3" t="shared"/>
        <v>6.4594452206977117E-4</v>
      </c>
    </row>
    <row r="80" spans="1:7" x14ac:dyDescent="0.25">
      <c r="A80">
        <v>69</v>
      </c>
      <c r="B80" s="6" t="n">
        <v>380.838781</v>
      </c>
      <c r="C80" s="9">
        <f si="2" t="shared"/>
        <v>6.3916434371616925E-4</v>
      </c>
      <c r="E80" s="371">
        <v>69</v>
      </c>
      <c r="F80" s="371" t="n">
        <v>516.0</v>
      </c>
      <c r="G80" s="9">
        <f si="3" t="shared"/>
        <v>6.2914691038474168E-4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428.0</v>
      </c>
      <c r="G81" s="9">
        <f si="3" t="shared"/>
        <v>6.1540340991517205E-4</v>
      </c>
    </row>
    <row r="82" spans="1:7" x14ac:dyDescent="0.25">
      <c r="A82">
        <v>71</v>
      </c>
      <c r="B82" s="6" t="n">
        <v>65.52827099999999</v>
      </c>
      <c r="C82" s="9">
        <f si="2" t="shared"/>
        <v>1.099765476052458E-4</v>
      </c>
      <c r="E82" s="371">
        <v>71</v>
      </c>
      <c r="F82" s="371" t="n">
        <v>466.0</v>
      </c>
      <c r="G82" s="9">
        <f si="3" t="shared"/>
        <v>5.5432118560597382E-4</v>
      </c>
    </row>
    <row r="83" spans="1:7" x14ac:dyDescent="0.25">
      <c r="A83">
        <v>72</v>
      </c>
      <c r="B83" s="6" t="n">
        <v>402.993255</v>
      </c>
      <c r="C83" s="9">
        <f si="2" t="shared"/>
        <v>6.7634634970149701E-4</v>
      </c>
      <c r="E83" s="371">
        <v>72</v>
      </c>
      <c r="F83" s="371" t="n">
        <v>427.0</v>
      </c>
      <c r="G83" s="9">
        <f si="3" t="shared"/>
        <v>5.085095173740752E-4</v>
      </c>
    </row>
    <row r="84" spans="1:7" x14ac:dyDescent="0.25">
      <c r="A84">
        <v>73</v>
      </c>
      <c r="B84" s="6" t="n">
        <v>252.485084</v>
      </c>
      <c r="C84" s="9">
        <f si="2" t="shared"/>
        <v>4.2374745184624952E-4</v>
      </c>
      <c r="E84" s="371">
        <v>73</v>
      </c>
      <c r="F84" s="371" t="n">
        <v>405.0</v>
      </c>
      <c r="G84" s="9">
        <f si="3" t="shared"/>
        <v>4.8865779447358575E-4</v>
      </c>
    </row>
    <row r="85" spans="1:7" x14ac:dyDescent="0.25">
      <c r="A85">
        <v>74</v>
      </c>
      <c r="B85" s="6" t="n">
        <v>34.524483</v>
      </c>
      <c r="C85" s="9">
        <f si="2" t="shared"/>
        <v>5.794267711101365E-5</v>
      </c>
      <c r="E85" s="371">
        <v>74</v>
      </c>
      <c r="F85" s="371" t="n">
        <v>363.0</v>
      </c>
      <c r="G85" s="9">
        <f si="3" t="shared"/>
        <v>4.1841323651800778E-4</v>
      </c>
    </row>
    <row r="86" spans="1:7" x14ac:dyDescent="0.25">
      <c r="A86">
        <v>75</v>
      </c>
      <c r="B86" s="6" t="n">
        <v>870.42512</v>
      </c>
      <c r="C86" s="9">
        <f si="2" t="shared"/>
        <v>1.4608404614625311E-3</v>
      </c>
      <c r="E86" s="371">
        <v>75</v>
      </c>
      <c r="F86" s="371" t="n">
        <v>361.0</v>
      </c>
      <c r="G86" s="9">
        <f si="3" t="shared"/>
        <v>4.5200845988806681E-4</v>
      </c>
    </row>
    <row r="87" spans="1:7" x14ac:dyDescent="0.25">
      <c r="A87">
        <v>76</v>
      </c>
      <c r="B87" s="6" t="n">
        <v>181.65561</v>
      </c>
      <c r="C87" s="9">
        <f si="2" t="shared"/>
        <v>3.0487385881011519E-4</v>
      </c>
      <c r="E87" s="371">
        <v>76</v>
      </c>
      <c r="F87" s="371" t="n">
        <v>344.0</v>
      </c>
      <c r="G87" s="9">
        <f si="3" t="shared"/>
        <v>4.1077795847935803E-4</v>
      </c>
    </row>
    <row r="88" spans="1:7" x14ac:dyDescent="0.25">
      <c r="A88">
        <v>77</v>
      </c>
      <c r="B88" s="6" t="n">
        <v>159.623356</v>
      </c>
      <c r="C88" s="9">
        <f si="2" t="shared"/>
        <v>2.678969754908244E-4</v>
      </c>
      <c r="E88" s="371">
        <v>77</v>
      </c>
      <c r="F88" s="371" t="n">
        <v>310.0</v>
      </c>
      <c r="G88" s="9">
        <f si="3" t="shared"/>
        <v>3.5427690099334969E-4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282.0</v>
      </c>
      <c r="G89" s="9">
        <f si="3" t="shared"/>
        <v>3.7260156828610916E-4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259.0</v>
      </c>
      <c r="G90" s="9">
        <f si="3" t="shared"/>
        <v>3.0082995472280121E-4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274.0</v>
      </c>
      <c r="G91" s="9">
        <f si="3" t="shared"/>
        <v>3.0999228836918095E-4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262.0</v>
      </c>
      <c r="G92" s="9">
        <f si="3" t="shared"/>
        <v>3.2678990005421049E-4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249.0</v>
      </c>
      <c r="G93" s="9">
        <f si="3" t="shared"/>
        <v>3.6802040146291927E-4</v>
      </c>
    </row>
    <row r="94" spans="1:7" x14ac:dyDescent="0.25">
      <c r="A94">
        <v>83</v>
      </c>
      <c r="B94" s="6" t="n">
        <v>316.766747</v>
      </c>
      <c r="C94" s="9">
        <f si="2" t="shared"/>
        <v>5.3163180867696563E-4</v>
      </c>
      <c r="E94" s="371">
        <v>83</v>
      </c>
      <c r="F94" s="371" t="n">
        <v>261.0</v>
      </c>
      <c r="G94" s="9">
        <f si="3" t="shared"/>
        <v>2.6876178696047217E-4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217.0</v>
      </c>
      <c r="G95" s="9">
        <f si="3" t="shared"/>
        <v>2.580723977063625E-4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224.0</v>
      </c>
      <c r="G96" s="9">
        <f si="3" t="shared"/>
        <v>2.4738300845225279E-4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192.0</v>
      </c>
      <c r="G97" s="9">
        <f si="3" t="shared"/>
        <v>2.7945117621458183E-4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157.0</v>
      </c>
      <c r="G98" s="9">
        <f si="3" t="shared"/>
        <v>1.7103022806575502E-4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186.0</v>
      </c>
      <c r="G99" s="9">
        <f si="3" t="shared"/>
        <v>2.1531484068992371E-4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190.0</v>
      </c>
      <c r="G100" s="9">
        <f si="3" t="shared"/>
        <v>1.8171961731986471E-4</v>
      </c>
    </row>
    <row ht="15.75" r="101" spans="1:7" thickBot="1" x14ac:dyDescent="0.3">
      <c r="A101" s="1">
        <v>90</v>
      </c>
      <c r="B101" s="7" t="n">
        <v>78.567796</v>
      </c>
      <c r="C101" s="9">
        <f si="2" t="shared"/>
        <v>1.3186087203541876E-4</v>
      </c>
      <c r="E101" s="372">
        <v>90</v>
      </c>
      <c r="F101" s="372" t="n">
        <v>3033.0</v>
      </c>
      <c r="G101" s="9">
        <f si="3" t="shared"/>
        <v>4.3322567591298836E-3</v>
      </c>
    </row>
    <row r="102" spans="1:7" x14ac:dyDescent="0.25">
      <c r="B102" s="6">
        <f>SUM(B11:B101)</f>
        <v>595838.58947100048</v>
      </c>
      <c r="C102" s="9">
        <f si="2" t="shared"/>
        <v>1</v>
      </c>
      <c r="F102" s="6">
        <f>SUM(F11:F101)</f>
        <v>654855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1"/>
  <dimension ref="A1:M102"/>
  <sheetViews>
    <sheetView workbookViewId="0">
      <selection activeCell="F11" sqref="F1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68277.349739</v>
      </c>
      <c r="C11" s="9">
        <f>B11/B$102</f>
        <v>0.16217582429932312</v>
      </c>
      <c r="E11" s="371">
        <v>0</v>
      </c>
      <c r="F11" s="371" t="n">
        <v>83361.0</v>
      </c>
      <c r="G11" s="9">
        <f>F11/F$102</f>
        <v>0.17087680974181405</v>
      </c>
      <c r="K11" s="6" t="n">
        <v>4.687055971151954</v>
      </c>
      <c r="L11" s="6" t="n">
        <v>4.969554850582699</v>
      </c>
    </row>
    <row r="12" spans="1:12" x14ac:dyDescent="0.25">
      <c r="A12">
        <v>1</v>
      </c>
      <c r="B12" s="6" t="n">
        <v>83823.999707</v>
      </c>
      <c r="C12" s="9">
        <f>B12/B$102</f>
        <v>0.1991030158685835</v>
      </c>
      <c r="E12" s="371">
        <v>1</v>
      </c>
      <c r="F12" s="371" t="n">
        <v>82883.0</v>
      </c>
      <c r="G12" s="9">
        <f>F12/F$102</f>
        <v>0.16318468081150797</v>
      </c>
      <c r="K12" s="6"/>
      <c r="L12" s="371"/>
    </row>
    <row r="13" spans="1:12" x14ac:dyDescent="0.25">
      <c r="A13">
        <v>2</v>
      </c>
      <c r="B13" s="6" t="n">
        <v>63368.09163</v>
      </c>
      <c r="C13" s="9">
        <f ref="C13:C76" si="0" t="shared">B13/B$102</f>
        <v>0.1505151054288828</v>
      </c>
      <c r="E13" s="371">
        <v>2</v>
      </c>
      <c r="F13" s="371" t="n">
        <v>70279.0</v>
      </c>
      <c r="G13" s="9">
        <f ref="G13:G76" si="1" t="shared">F13/F$102</f>
        <v>0.14203713601821943</v>
      </c>
    </row>
    <row r="14" spans="1:12" x14ac:dyDescent="0.25">
      <c r="A14">
        <v>3</v>
      </c>
      <c r="B14" s="6" t="n">
        <v>48057.526573</v>
      </c>
      <c r="C14" s="9">
        <f si="0" t="shared"/>
        <v>0.11414867471505125</v>
      </c>
      <c r="E14" s="371">
        <v>3</v>
      </c>
      <c r="F14" s="371" t="n">
        <v>59367.0</v>
      </c>
      <c r="G14" s="9">
        <f si="1" t="shared"/>
        <v>0.11832632288350259</v>
      </c>
    </row>
    <row r="15" spans="1:12" x14ac:dyDescent="0.25">
      <c r="A15">
        <v>4</v>
      </c>
      <c r="B15" s="6" t="n">
        <v>30581.882095</v>
      </c>
      <c r="C15" s="9">
        <f si="0" t="shared"/>
        <v>7.2639637542175867E-2</v>
      </c>
      <c r="E15" s="371">
        <v>4</v>
      </c>
      <c r="F15" s="371" t="n">
        <v>43507.0</v>
      </c>
      <c r="G15" s="9">
        <f si="1" t="shared"/>
        <v>8.8315400525202759E-2</v>
      </c>
    </row>
    <row r="16" spans="1:12" x14ac:dyDescent="0.25">
      <c r="A16">
        <v>5</v>
      </c>
      <c r="B16" s="6" t="n">
        <v>25868.862331</v>
      </c>
      <c r="C16" s="9">
        <f si="0" t="shared"/>
        <v>6.1445033942482949E-2</v>
      </c>
      <c r="E16" s="371">
        <v>5</v>
      </c>
      <c r="F16" s="371" t="n">
        <v>32856.0</v>
      </c>
      <c r="G16" s="9">
        <f si="1" t="shared"/>
        <v>6.5980339755060305E-2</v>
      </c>
    </row>
    <row r="17" spans="1:7" x14ac:dyDescent="0.25">
      <c r="A17">
        <v>6</v>
      </c>
      <c r="B17" s="6" t="n">
        <v>19169.564176</v>
      </c>
      <c r="C17" s="9">
        <f si="0" t="shared"/>
        <v>4.5532521159441057E-2</v>
      </c>
      <c r="E17" s="371">
        <v>6</v>
      </c>
      <c r="F17" s="371" t="n">
        <v>23700.0</v>
      </c>
      <c r="G17" s="9">
        <f si="1" t="shared"/>
        <v>4.7498315168134603E-2</v>
      </c>
    </row>
    <row r="18" spans="1:7" x14ac:dyDescent="0.25">
      <c r="A18">
        <v>7</v>
      </c>
      <c r="B18" s="6" t="n">
        <v>10912.516228</v>
      </c>
      <c r="C18" s="9">
        <f si="0" t="shared"/>
        <v>2.5919962055070245E-2</v>
      </c>
      <c r="E18" s="371">
        <v>7</v>
      </c>
      <c r="F18" s="371" t="n">
        <v>17503.0</v>
      </c>
      <c r="G18" s="9">
        <f si="1" t="shared"/>
        <v>3.4277613813297393E-2</v>
      </c>
    </row>
    <row r="19" spans="1:7" x14ac:dyDescent="0.25">
      <c r="A19">
        <v>8</v>
      </c>
      <c r="B19" s="6" t="n">
        <v>12304.418398</v>
      </c>
      <c r="C19" s="9">
        <f si="0" t="shared"/>
        <v>2.9226078690040156E-2</v>
      </c>
      <c r="E19" s="371">
        <v>8</v>
      </c>
      <c r="F19" s="371" t="n">
        <v>13412.0</v>
      </c>
      <c r="G19" s="9">
        <f si="1" t="shared"/>
        <v>2.6578513164927611E-2</v>
      </c>
    </row>
    <row r="20" spans="1:7" x14ac:dyDescent="0.25">
      <c r="A20">
        <v>9</v>
      </c>
      <c r="B20" s="6" t="n">
        <v>6452.872762</v>
      </c>
      <c r="C20" s="9">
        <f si="0" t="shared"/>
        <v>1.5327190690271322E-2</v>
      </c>
      <c r="E20" s="371">
        <v>9</v>
      </c>
      <c r="F20" s="371" t="n">
        <v>10859.0</v>
      </c>
      <c r="G20" s="9">
        <f si="1" t="shared"/>
        <v>2.2369919360461062E-2</v>
      </c>
    </row>
    <row r="21" spans="1:7" x14ac:dyDescent="0.25">
      <c r="A21">
        <v>10</v>
      </c>
      <c r="B21" s="6" t="n">
        <v>8099.715372</v>
      </c>
      <c r="C21" s="9">
        <f si="0" t="shared"/>
        <v>1.9238854789550848E-2</v>
      </c>
      <c r="E21" s="371">
        <v>10</v>
      </c>
      <c r="F21" s="371" t="n">
        <v>9111.0</v>
      </c>
      <c r="G21" s="9">
        <f si="1" t="shared"/>
        <v>1.8568009109711604E-2</v>
      </c>
    </row>
    <row r="22" spans="1:7" x14ac:dyDescent="0.25">
      <c r="A22">
        <v>11</v>
      </c>
      <c r="B22" s="6" t="n">
        <v>7803.999041</v>
      </c>
      <c r="C22" s="9">
        <f si="0" t="shared"/>
        <v>1.8536454360682082E-2</v>
      </c>
      <c r="E22" s="371">
        <v>11</v>
      </c>
      <c r="F22" s="371" t="n">
        <v>8189.0</v>
      </c>
      <c r="G22" s="9">
        <f si="1" t="shared"/>
        <v>1.5774674072180521E-2</v>
      </c>
    </row>
    <row r="23" spans="1:7" x14ac:dyDescent="0.25">
      <c r="A23">
        <v>12</v>
      </c>
      <c r="B23" s="6" t="n">
        <v>4086.507435</v>
      </c>
      <c r="C23" s="9">
        <f si="0" t="shared"/>
        <v>9.706479737567858E-3</v>
      </c>
      <c r="E23" s="371">
        <v>12</v>
      </c>
      <c r="F23" s="371" t="n">
        <v>7359.0</v>
      </c>
      <c r="G23" s="9">
        <f si="1" t="shared"/>
        <v>1.4187446259673258E-2</v>
      </c>
    </row>
    <row r="24" spans="1:7" x14ac:dyDescent="0.25">
      <c r="A24">
        <v>13</v>
      </c>
      <c r="B24" s="6" t="n">
        <v>3719.522153</v>
      </c>
      <c r="C24" s="9">
        <f si="0" t="shared"/>
        <v>8.8347976813430845E-3</v>
      </c>
      <c r="E24" s="371">
        <v>13</v>
      </c>
      <c r="F24" s="371" t="n">
        <v>5907.0</v>
      </c>
      <c r="G24" s="9">
        <f si="1" t="shared"/>
        <v>1.0910738769724152E-2</v>
      </c>
    </row>
    <row r="25" spans="1:7" x14ac:dyDescent="0.25">
      <c r="A25">
        <v>14</v>
      </c>
      <c r="B25" s="6" t="n">
        <v>5390.37744</v>
      </c>
      <c r="C25" s="9">
        <f si="0" t="shared"/>
        <v>1.2803497909016505E-2</v>
      </c>
      <c r="E25" s="371">
        <v>14</v>
      </c>
      <c r="F25" s="371" t="n">
        <v>5129.0</v>
      </c>
      <c r="G25" s="9">
        <f si="1" t="shared"/>
        <v>9.2352025284097514E-3</v>
      </c>
    </row>
    <row r="26" spans="1:7" x14ac:dyDescent="0.25">
      <c r="A26">
        <v>15</v>
      </c>
      <c r="B26" s="6" t="n">
        <v>3621.907425</v>
      </c>
      <c r="C26" s="9">
        <f si="0" t="shared"/>
        <v>8.6029382281324722E-3</v>
      </c>
      <c r="E26" s="371">
        <v>15</v>
      </c>
      <c r="F26" s="371" t="n">
        <v>4408.0</v>
      </c>
      <c r="G26" s="9">
        <f si="1" t="shared"/>
        <v>7.9686737468336773E-3</v>
      </c>
    </row>
    <row r="27" spans="1:7" x14ac:dyDescent="0.25">
      <c r="A27">
        <v>16</v>
      </c>
      <c r="B27" s="6" t="n">
        <v>3856.89976</v>
      </c>
      <c r="C27" s="9">
        <f si="0" t="shared"/>
        <v>9.161103941627927E-3</v>
      </c>
      <c r="E27" s="371">
        <v>16</v>
      </c>
      <c r="F27" s="371" t="n">
        <v>3487.0</v>
      </c>
      <c r="G27" s="9">
        <f si="1" t="shared"/>
        <v>6.3140526597104413E-3</v>
      </c>
    </row>
    <row r="28" spans="1:7" x14ac:dyDescent="0.25">
      <c r="A28">
        <v>17</v>
      </c>
      <c r="B28" s="6" t="n">
        <v>2173.906171</v>
      </c>
      <c r="C28" s="9">
        <f si="0" t="shared"/>
        <v>5.1635722033588393E-3</v>
      </c>
      <c r="E28" s="371">
        <v>17</v>
      </c>
      <c r="F28" s="371" t="n">
        <v>2974.0</v>
      </c>
      <c r="G28" s="9">
        <f si="1" t="shared"/>
        <v>5.1125932467291019E-3</v>
      </c>
    </row>
    <row r="29" spans="1:7" x14ac:dyDescent="0.25">
      <c r="A29">
        <v>18</v>
      </c>
      <c r="B29" s="6" t="n">
        <v>1848.165284</v>
      </c>
      <c r="C29" s="9">
        <f si="0" t="shared"/>
        <v>4.3898559261577224E-3</v>
      </c>
      <c r="E29" s="371">
        <v>18</v>
      </c>
      <c r="F29" s="371" t="n">
        <v>2525.0</v>
      </c>
      <c r="G29" s="9">
        <f si="1" t="shared"/>
        <v>4.5757709558225468E-3</v>
      </c>
    </row>
    <row r="30" spans="1:7" x14ac:dyDescent="0.25">
      <c r="A30">
        <v>19</v>
      </c>
      <c r="B30" s="6" t="n">
        <v>2687.056175</v>
      </c>
      <c r="C30" s="9">
        <f si="0" t="shared"/>
        <v>6.3824321211210754E-3</v>
      </c>
      <c r="E30" s="371">
        <v>19</v>
      </c>
      <c r="F30" s="371" t="n">
        <v>2081.0</v>
      </c>
      <c r="G30" s="9">
        <f si="1" t="shared"/>
        <v>3.743812600218447E-3</v>
      </c>
    </row>
    <row r="31" spans="1:7" x14ac:dyDescent="0.25">
      <c r="A31">
        <v>20</v>
      </c>
      <c r="B31" s="6" t="n">
        <v>1020.264168</v>
      </c>
      <c r="C31" s="9">
        <f si="0" t="shared"/>
        <v>2.4233832022034557E-3</v>
      </c>
      <c r="E31" s="371">
        <v>20</v>
      </c>
      <c r="F31" s="371" t="n">
        <v>1770.0</v>
      </c>
      <c r="G31" s="9">
        <f si="1" t="shared"/>
        <v>3.1814273430782461E-3</v>
      </c>
    </row>
    <row r="32" spans="1:7" x14ac:dyDescent="0.25">
      <c r="A32">
        <v>21</v>
      </c>
      <c r="B32" s="6" t="n">
        <v>558.8578229999999</v>
      </c>
      <c r="C32" s="9">
        <f si="0" t="shared"/>
        <v>1.3274274478668076E-3</v>
      </c>
      <c r="E32" s="371">
        <v>21</v>
      </c>
      <c r="F32" s="371" t="n">
        <v>1511.0</v>
      </c>
      <c r="G32" s="9">
        <f si="1" t="shared"/>
        <v>2.6934070786177409E-3</v>
      </c>
    </row>
    <row r="33" spans="1:7" x14ac:dyDescent="0.25">
      <c r="A33">
        <v>22</v>
      </c>
      <c r="B33" s="6" t="n">
        <v>792.020029</v>
      </c>
      <c r="C33" s="9">
        <f si="0" t="shared"/>
        <v>1.881246146132708E-3</v>
      </c>
      <c r="E33" s="371">
        <v>22</v>
      </c>
      <c r="F33" s="371" t="n">
        <v>1268.0</v>
      </c>
      <c r="G33" s="9">
        <f si="1" t="shared"/>
        <v>2.258836652645767E-3</v>
      </c>
    </row>
    <row r="34" spans="1:7" x14ac:dyDescent="0.25">
      <c r="A34">
        <v>23</v>
      </c>
      <c r="B34" s="6" t="n">
        <v>1404.279213</v>
      </c>
      <c r="C34" s="9">
        <f si="0" t="shared"/>
        <v>3.3355152152983267E-3</v>
      </c>
      <c r="E34" s="371">
        <v>23</v>
      </c>
      <c r="F34" s="371" t="n">
        <v>1195.0</v>
      </c>
      <c r="G34" s="9">
        <f si="1" t="shared"/>
        <v>1.9590527759057422E-3</v>
      </c>
    </row>
    <row r="35" spans="1:7" x14ac:dyDescent="0.25">
      <c r="A35">
        <v>24</v>
      </c>
      <c r="B35" s="6" t="n">
        <v>342.504268</v>
      </c>
      <c r="C35" s="9">
        <f si="0" t="shared"/>
        <v>8.1353351003324715E-4</v>
      </c>
      <c r="E35" s="371">
        <v>24</v>
      </c>
      <c r="F35" s="371" t="n">
        <v>1007.0</v>
      </c>
      <c r="G35" s="9">
        <f si="1" t="shared"/>
        <v>1.8312379447375149E-3</v>
      </c>
    </row>
    <row r="36" spans="1:7" x14ac:dyDescent="0.25">
      <c r="A36">
        <v>25</v>
      </c>
      <c r="B36" s="6" t="n">
        <v>556.100633</v>
      </c>
      <c r="C36" s="9">
        <f si="0" t="shared"/>
        <v>1.3208784303271822E-3</v>
      </c>
      <c r="E36" s="371">
        <v>25</v>
      </c>
      <c r="F36" s="371" t="n">
        <v>938.0</v>
      </c>
      <c r="G36" s="9">
        <f si="1" t="shared"/>
        <v>1.5128628198275661E-3</v>
      </c>
    </row>
    <row r="37" spans="1:7" x14ac:dyDescent="0.25">
      <c r="A37">
        <v>26</v>
      </c>
      <c r="B37" s="6" t="n">
        <v>823.491606</v>
      </c>
      <c r="C37" s="9">
        <f si="0" t="shared"/>
        <v>1.9559990321408077E-3</v>
      </c>
      <c r="E37" s="371">
        <v>26</v>
      </c>
      <c r="F37" s="371" t="n">
        <v>819.0</v>
      </c>
      <c r="G37" s="9">
        <f si="1" t="shared"/>
        <v>1.5500453161674142E-3</v>
      </c>
    </row>
    <row r="38" spans="1:7" x14ac:dyDescent="0.25">
      <c r="A38">
        <v>27</v>
      </c>
      <c r="B38" s="6" t="n">
        <v>330.126508</v>
      </c>
      <c r="C38" s="9">
        <f si="0" t="shared"/>
        <v>7.8413322665006559E-4</v>
      </c>
      <c r="E38" s="371">
        <v>27</v>
      </c>
      <c r="F38" s="371" t="n">
        <v>796.0</v>
      </c>
      <c r="G38" s="9">
        <f si="1" t="shared"/>
        <v>1.401315330808022E-3</v>
      </c>
    </row>
    <row r="39" spans="1:7" x14ac:dyDescent="0.25">
      <c r="A39">
        <v>28</v>
      </c>
      <c r="B39" s="6" t="n">
        <v>794.377782</v>
      </c>
      <c r="C39" s="9">
        <f si="0" t="shared"/>
        <v>1.8868464006494821E-3</v>
      </c>
      <c r="E39" s="371">
        <v>28</v>
      </c>
      <c r="F39" s="371" t="n">
        <v>759.0</v>
      </c>
      <c r="G39" s="9">
        <f si="1" t="shared"/>
        <v>1.215402849108782E-3</v>
      </c>
    </row>
    <row r="40" spans="1:7" x14ac:dyDescent="0.25">
      <c r="A40">
        <v>29</v>
      </c>
      <c r="B40" s="6" t="n">
        <v>415.15047699999997</v>
      </c>
      <c r="C40" s="9">
        <f si="0" t="shared"/>
        <v>9.8608647044884932E-4</v>
      </c>
      <c r="E40" s="371">
        <v>29</v>
      </c>
      <c r="F40" s="371" t="n">
        <v>642.0</v>
      </c>
      <c r="G40" s="9">
        <f si="1" t="shared"/>
        <v>9.2026678441123843E-4</v>
      </c>
    </row>
    <row r="41" spans="1:7" x14ac:dyDescent="0.25">
      <c r="A41">
        <v>30</v>
      </c>
      <c r="B41" s="6" t="n">
        <v>140.97439</v>
      </c>
      <c r="C41" s="9">
        <f si="0" t="shared"/>
        <v>3.3484952170434234E-4</v>
      </c>
      <c r="E41" s="371">
        <v>30</v>
      </c>
      <c r="F41" s="371" t="n">
        <v>578.0</v>
      </c>
      <c r="G41" s="9">
        <f si="1" t="shared"/>
        <v>9.5512537472984592E-4</v>
      </c>
    </row>
    <row r="42" spans="1:7" x14ac:dyDescent="0.25">
      <c r="A42">
        <v>31</v>
      </c>
      <c r="B42" s="6" t="n">
        <v>109.70388700000001</v>
      </c>
      <c r="C42" s="9">
        <f si="0" t="shared"/>
        <v>2.6057423686002277E-4</v>
      </c>
      <c r="E42" s="371">
        <v>31</v>
      </c>
      <c r="F42" s="371" t="n">
        <v>397.0</v>
      </c>
      <c r="G42" s="9">
        <f si="1" t="shared"/>
        <v>7.1343914852083383E-4</v>
      </c>
    </row>
    <row r="43" spans="1:7" x14ac:dyDescent="0.25">
      <c r="A43">
        <v>32</v>
      </c>
      <c r="B43" s="6" t="n">
        <v>166.929782</v>
      </c>
      <c r="C43" s="9">
        <f si="0" t="shared"/>
        <v>3.9650008530563695E-4</v>
      </c>
      <c r="E43" s="371">
        <v>32</v>
      </c>
      <c r="F43" s="371" t="n">
        <v>348.0</v>
      </c>
      <c r="G43" s="9">
        <f si="1" t="shared"/>
        <v>6.204829076712138E-4</v>
      </c>
    </row>
    <row r="44" spans="1:7" x14ac:dyDescent="0.25">
      <c r="A44">
        <v>33</v>
      </c>
      <c r="B44" s="6" t="n">
        <v>204.47250499999998</v>
      </c>
      <c r="C44" s="9">
        <f si="0" t="shared"/>
        <v>4.8567346523676209E-4</v>
      </c>
      <c r="E44" s="371">
        <v>33</v>
      </c>
      <c r="F44" s="371" t="n">
        <v>283.0</v>
      </c>
      <c r="G44" s="9">
        <f si="1" t="shared"/>
        <v>4.810485463967837E-4</v>
      </c>
    </row>
    <row r="45" spans="1:7" x14ac:dyDescent="0.25">
      <c r="A45">
        <v>34</v>
      </c>
      <c r="B45" s="6" t="n">
        <v>0.0</v>
      </c>
      <c r="C45" s="9">
        <f si="0" t="shared"/>
        <v>0</v>
      </c>
      <c r="E45" s="371">
        <v>34</v>
      </c>
      <c r="F45" s="371" t="n">
        <v>211.0</v>
      </c>
      <c r="G45" s="9">
        <f si="1" t="shared"/>
        <v>3.7414886941972066E-4</v>
      </c>
    </row>
    <row r="46" spans="1:7" x14ac:dyDescent="0.25">
      <c r="A46">
        <v>35</v>
      </c>
      <c r="B46" s="6" t="n">
        <v>76.719834</v>
      </c>
      <c r="C46" s="9">
        <f si="0" t="shared"/>
        <v>1.8222884114012868E-4</v>
      </c>
      <c r="E46" s="371">
        <v>35</v>
      </c>
      <c r="F46" s="371" t="n">
        <v>189.0</v>
      </c>
      <c r="G46" s="9">
        <f si="1" t="shared"/>
        <v>3.2302293695242966E-4</v>
      </c>
    </row>
    <row r="47" spans="1:7" x14ac:dyDescent="0.25">
      <c r="A47">
        <v>36</v>
      </c>
      <c r="B47" s="6" t="n">
        <v>288.496806</v>
      </c>
      <c r="C47" s="9">
        <f si="0" t="shared"/>
        <v>6.852522468962656E-4</v>
      </c>
      <c r="E47" s="371">
        <v>36</v>
      </c>
      <c r="F47" s="371" t="n">
        <v>214.0</v>
      </c>
      <c r="G47" s="9">
        <f si="1" t="shared"/>
        <v>2.6492528642141713E-4</v>
      </c>
    </row>
    <row r="48" spans="1:7" x14ac:dyDescent="0.25">
      <c r="A48">
        <v>37</v>
      </c>
      <c r="B48" s="6" t="n">
        <v>214.449621</v>
      </c>
      <c r="C48" s="9">
        <f si="0" t="shared"/>
        <v>5.0937161722442988E-4</v>
      </c>
      <c r="E48" s="371">
        <v>37</v>
      </c>
      <c r="F48" s="371" t="n">
        <v>176.0</v>
      </c>
      <c r="G48" s="9">
        <f si="1" t="shared"/>
        <v>1.9520810578420208E-4</v>
      </c>
    </row>
    <row r="49" spans="1:7" x14ac:dyDescent="0.25">
      <c r="A49">
        <v>38</v>
      </c>
      <c r="B49" s="6" t="n">
        <v>33.362385</v>
      </c>
      <c r="C49" s="9">
        <f si="0" t="shared"/>
        <v>7.9244029076246594E-5</v>
      </c>
      <c r="E49" s="371">
        <v>38</v>
      </c>
      <c r="F49" s="371" t="n">
        <v>114.0</v>
      </c>
      <c r="G49" s="9">
        <f si="1" t="shared"/>
        <v>2.2541888406032859E-4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97.0</v>
      </c>
      <c r="G50" s="9">
        <f si="1" t="shared"/>
        <v>1.6964513955055658E-4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83.0</v>
      </c>
      <c r="G51" s="9">
        <f si="1" t="shared"/>
        <v>1.3711045525318955E-4</v>
      </c>
    </row>
    <row r="52" spans="1:7" x14ac:dyDescent="0.25">
      <c r="A52">
        <v>41</v>
      </c>
      <c r="B52" s="6" t="n">
        <v>566.384514</v>
      </c>
      <c r="C52" s="9">
        <f si="0" t="shared"/>
        <v>1.3453052261027437E-3</v>
      </c>
      <c r="E52" s="371">
        <v>41</v>
      </c>
      <c r="F52" s="371" t="n">
        <v>79.0</v>
      </c>
      <c r="G52" s="9">
        <f si="1" t="shared"/>
        <v>3.3696637307987267E-4</v>
      </c>
    </row>
    <row r="53" spans="1:7" x14ac:dyDescent="0.25">
      <c r="A53">
        <v>42</v>
      </c>
      <c r="B53" s="6" t="n">
        <v>0.0</v>
      </c>
      <c r="C53" s="9">
        <f si="0" t="shared"/>
        <v>0</v>
      </c>
      <c r="E53" s="371">
        <v>42</v>
      </c>
      <c r="F53" s="371" t="n">
        <v>63.0</v>
      </c>
      <c r="G53" s="9">
        <f si="1" t="shared"/>
        <v>1.3246264321070857E-4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60.0</v>
      </c>
      <c r="G54" s="9">
        <f si="1" t="shared"/>
        <v>9.9927958913341547E-5</v>
      </c>
    </row>
    <row r="55" spans="1:7" x14ac:dyDescent="0.25">
      <c r="A55">
        <v>44</v>
      </c>
      <c r="B55" s="6" t="n">
        <v>64.380723</v>
      </c>
      <c r="C55" s="9">
        <f si="0" t="shared"/>
        <v>1.5292035882212191E-4</v>
      </c>
      <c r="E55" s="371">
        <v>44</v>
      </c>
      <c r="F55" s="371" t="n">
        <v>45.0</v>
      </c>
      <c r="G55" s="9">
        <f si="1" t="shared"/>
        <v>5.5773744509772025E-5</v>
      </c>
    </row>
    <row r="56" spans="1:7" x14ac:dyDescent="0.25">
      <c r="A56">
        <v>45</v>
      </c>
      <c r="B56" s="6" t="n">
        <v>0.0</v>
      </c>
      <c r="C56" s="9">
        <f si="0" t="shared"/>
        <v>0</v>
      </c>
      <c r="E56" s="371">
        <v>45</v>
      </c>
      <c r="F56" s="371" t="n">
        <v>46.0</v>
      </c>
      <c r="G56" s="9">
        <f si="1" t="shared"/>
        <v>6.7393274615974529E-5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34.0</v>
      </c>
      <c r="G57" s="9">
        <f si="1" t="shared"/>
        <v>5.8097650531012525E-5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25.0</v>
      </c>
      <c r="G58" s="9">
        <f si="1" t="shared"/>
        <v>4.1830308382329016E-5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44.0</v>
      </c>
      <c r="G59" s="9">
        <f si="1" t="shared"/>
        <v>2.556296623364551E-5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13.0</v>
      </c>
      <c r="G60" s="9">
        <f si="1" t="shared"/>
        <v>2.3239060212405011E-5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16.0</v>
      </c>
      <c r="G61" s="9">
        <f si="1" t="shared"/>
        <v>1.6267342148683506E-5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7.0</v>
      </c>
      <c r="G62" s="9">
        <f si="1" t="shared"/>
        <v>2.0915154191164508E-5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20.0</v>
      </c>
      <c r="G63" s="9">
        <f si="1" t="shared"/>
        <v>1.3943436127443006E-5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14.0</v>
      </c>
      <c r="G64" s="9">
        <f si="1" t="shared"/>
        <v>1.3943436127443006E-5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14.0</v>
      </c>
      <c r="G65" s="9">
        <f si="1" t="shared"/>
        <v>1.8591248169924008E-5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7.0</v>
      </c>
      <c r="G66" s="9">
        <f si="1" t="shared"/>
        <v>9.2956240849620042E-6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4.0</v>
      </c>
      <c r="G67" s="9">
        <f si="1" t="shared"/>
        <v>1.1619530106202505E-5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23.0</v>
      </c>
      <c r="G68" s="9">
        <f si="1" t="shared"/>
        <v>2.3239060212405011E-6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4.0</v>
      </c>
      <c r="G69" s="9">
        <f si="1" t="shared"/>
        <v>6.9717180637215032E-6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6.0</v>
      </c>
      <c r="G70" s="9">
        <f si="1" t="shared"/>
        <v>9.2956240849620042E-6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1.0</v>
      </c>
      <c r="G71" s="9">
        <f si="1" t="shared"/>
        <v>2.3239060212405011E-6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2.0</v>
      </c>
      <c r="G72" s="9">
        <f si="1" t="shared"/>
        <v>4.6478120424810021E-6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2.3239060212405011E-6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2.0</v>
      </c>
      <c r="G74" s="9">
        <f si="1" t="shared"/>
        <v>2.3239060212405011E-6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1.0</v>
      </c>
      <c r="G75" s="9">
        <f si="1" t="shared"/>
        <v>1.1619530106202505E-5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4.0</v>
      </c>
      <c r="G76" s="9">
        <f si="1" t="shared"/>
        <v>2.3239060212405011E-6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0.0</v>
      </c>
      <c r="G77" s="9">
        <f ref="G77:G102" si="3" t="shared">F77/F$102</f>
        <v>1.3711045525318955E-4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3.0</v>
      </c>
      <c r="G78" s="9">
        <f si="3" t="shared"/>
        <v>9.2956240849620042E-6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7.0</v>
      </c>
      <c r="G79" s="9">
        <f si="3" t="shared"/>
        <v>2.3239060212405011E-6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5.0</v>
      </c>
      <c r="G80" s="9">
        <f si="3" t="shared"/>
        <v>2.3239060212405011E-6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1.0</v>
      </c>
      <c r="G81" s="9">
        <f si="3" t="shared"/>
        <v>2.3239060212405011E-6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2.3239060212405011E-6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4.6478120424810021E-6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2.3239060212405011E-6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2.0</v>
      </c>
      <c r="G88" s="9">
        <f si="3" t="shared"/>
        <v>2.3239060212405011E-6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2.3239060212405011E-6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1.6267342148683506E-5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6.0</v>
      </c>
      <c r="G101" s="9">
        <f si="3" t="shared"/>
        <v>6.9717180637215032E-6</v>
      </c>
    </row>
    <row r="102" spans="1:7" x14ac:dyDescent="0.25">
      <c r="B102" s="6">
        <f>SUM(B11:B101)</f>
        <v>421008.18684899987</v>
      </c>
      <c r="C102" s="9">
        <f si="2" t="shared"/>
        <v>1</v>
      </c>
      <c r="F102" s="6">
        <f>SUM(F11:F101)</f>
        <v>430310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2"/>
  <dimension ref="A1:M102"/>
  <sheetViews>
    <sheetView workbookViewId="0">
      <selection activeCell="O30" sqref="O3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4524.0</v>
      </c>
      <c r="G11" s="9">
        <f>F11/F$102</f>
        <v>7.5736097232227927E-3</v>
      </c>
      <c r="K11" s="6" t="n">
        <v>11.561422390249957</v>
      </c>
      <c r="L11" s="6" t="n">
        <v>13.938762293446507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19408.0</v>
      </c>
      <c r="G12" s="9">
        <f>F12/F$102</f>
        <v>4.5416095373103114E-2</v>
      </c>
      <c r="K12" s="6"/>
      <c r="L12" s="371"/>
    </row>
    <row r="13" spans="1:12" x14ac:dyDescent="0.25">
      <c r="A13">
        <v>2</v>
      </c>
      <c r="B13" s="6" t="n">
        <v>4369.863634</v>
      </c>
      <c r="C13" s="9">
        <f ref="C13:C76" si="0" t="shared">B13/B$102</f>
        <v>1.037952175397318E-2</v>
      </c>
      <c r="E13" s="371">
        <v>2</v>
      </c>
      <c r="F13" s="371" t="n">
        <v>13441.0</v>
      </c>
      <c r="G13" s="9">
        <f ref="G13:G76" si="1" t="shared">F13/F$102</f>
        <v>2.3710813134716832E-2</v>
      </c>
    </row>
    <row r="14" spans="1:12" x14ac:dyDescent="0.25">
      <c r="A14">
        <v>3</v>
      </c>
      <c r="B14" s="6" t="n">
        <v>41066.444527</v>
      </c>
      <c r="C14" s="9">
        <f si="0" t="shared"/>
        <v>9.7543102034091833E-2</v>
      </c>
      <c r="E14" s="371">
        <v>3</v>
      </c>
      <c r="F14" s="371" t="n">
        <v>19865.0</v>
      </c>
      <c r="G14" s="9">
        <f si="1" t="shared"/>
        <v>3.6039134577397693E-2</v>
      </c>
    </row>
    <row r="15" spans="1:12" x14ac:dyDescent="0.25">
      <c r="A15">
        <v>4</v>
      </c>
      <c r="B15" s="6" t="n">
        <v>40952.078723</v>
      </c>
      <c r="C15" s="9">
        <f si="0" t="shared"/>
        <v>9.7271454575509231E-2</v>
      </c>
      <c r="E15" s="371">
        <v>4</v>
      </c>
      <c r="F15" s="371" t="n">
        <v>26265.0</v>
      </c>
      <c r="G15" s="9">
        <f si="1" t="shared"/>
        <v>5.3538146917338665E-2</v>
      </c>
    </row>
    <row r="16" spans="1:12" x14ac:dyDescent="0.25">
      <c r="A16">
        <v>5</v>
      </c>
      <c r="B16" s="6" t="n">
        <v>40317.793201</v>
      </c>
      <c r="C16" s="9">
        <f si="0" t="shared"/>
        <v>9.5764867431094636E-2</v>
      </c>
      <c r="E16" s="371">
        <v>5</v>
      </c>
      <c r="F16" s="371" t="n">
        <v>30416.0</v>
      </c>
      <c r="G16" s="9">
        <f si="1" t="shared"/>
        <v>6.6837861076898056E-2</v>
      </c>
    </row>
    <row r="17" spans="1:7" x14ac:dyDescent="0.25">
      <c r="A17">
        <v>6</v>
      </c>
      <c r="B17" s="6" t="n">
        <v>35260.79324</v>
      </c>
      <c r="C17" s="9">
        <f si="0" t="shared"/>
        <v>8.3753224619944847E-2</v>
      </c>
      <c r="E17" s="371">
        <v>6</v>
      </c>
      <c r="F17" s="371" t="n">
        <v>32705.0</v>
      </c>
      <c r="G17" s="9">
        <f si="1" t="shared"/>
        <v>7.1585601078292399E-2</v>
      </c>
    </row>
    <row r="18" spans="1:7" x14ac:dyDescent="0.25">
      <c r="A18">
        <v>7</v>
      </c>
      <c r="B18" s="6" t="n">
        <v>39344.790738</v>
      </c>
      <c r="C18" s="9">
        <f si="0" t="shared"/>
        <v>9.3453742627839981E-2</v>
      </c>
      <c r="E18" s="371">
        <v>7</v>
      </c>
      <c r="F18" s="371" t="n">
        <v>32563.0</v>
      </c>
      <c r="G18" s="9">
        <f si="1" t="shared"/>
        <v>7.1341590946062142E-2</v>
      </c>
    </row>
    <row r="19" spans="1:7" x14ac:dyDescent="0.25">
      <c r="A19">
        <v>8</v>
      </c>
      <c r="B19" s="6" t="n">
        <v>25144.038999</v>
      </c>
      <c r="C19" s="9">
        <f si="0" t="shared"/>
        <v>5.9723396799450448E-2</v>
      </c>
      <c r="E19" s="371">
        <v>8</v>
      </c>
      <c r="F19" s="371" t="n">
        <v>30982.0</v>
      </c>
      <c r="G19" s="9">
        <f si="1" t="shared"/>
        <v>6.6263856289651646E-2</v>
      </c>
    </row>
    <row r="20" spans="1:7" x14ac:dyDescent="0.25">
      <c r="A20">
        <v>9</v>
      </c>
      <c r="B20" s="6" t="n">
        <v>22002.252821</v>
      </c>
      <c r="C20" s="9">
        <f si="0" t="shared"/>
        <v>5.2260866910152019E-2</v>
      </c>
      <c r="E20" s="371">
        <v>9</v>
      </c>
      <c r="F20" s="371" t="n">
        <v>29256.0</v>
      </c>
      <c r="G20" s="9">
        <f si="1" t="shared"/>
        <v>6.1464990355790013E-2</v>
      </c>
    </row>
    <row r="21" spans="1:7" x14ac:dyDescent="0.25">
      <c r="A21">
        <v>10</v>
      </c>
      <c r="B21" s="6" t="n">
        <v>17552.847638</v>
      </c>
      <c r="C21" s="9">
        <f si="0" t="shared"/>
        <v>4.1692414034446214E-2</v>
      </c>
      <c r="E21" s="371">
        <v>10</v>
      </c>
      <c r="F21" s="371" t="n">
        <v>26137.0</v>
      </c>
      <c r="G21" s="9">
        <f si="1" t="shared"/>
        <v>5.3579977225720991E-2</v>
      </c>
    </row>
    <row r="22" spans="1:7" x14ac:dyDescent="0.25">
      <c r="A22">
        <v>11</v>
      </c>
      <c r="B22" s="6" t="n">
        <v>19238.277922</v>
      </c>
      <c r="C22" s="9">
        <f si="0" t="shared"/>
        <v>4.569573353427462E-2</v>
      </c>
      <c r="E22" s="371">
        <v>11</v>
      </c>
      <c r="F22" s="371" t="n">
        <v>23145.0</v>
      </c>
      <c r="G22" s="9">
        <f si="1" t="shared"/>
        <v>4.7421626269433664E-2</v>
      </c>
    </row>
    <row r="23" spans="1:7" x14ac:dyDescent="0.25">
      <c r="A23">
        <v>12</v>
      </c>
      <c r="B23" s="6" t="n">
        <v>14850.945545</v>
      </c>
      <c r="C23" s="9">
        <f si="0" t="shared"/>
        <v>3.5274719135869166E-2</v>
      </c>
      <c r="E23" s="371">
        <v>12</v>
      </c>
      <c r="F23" s="371" t="n">
        <v>21319.0</v>
      </c>
      <c r="G23" s="9">
        <f si="1" t="shared"/>
        <v>4.2311356928725799E-2</v>
      </c>
    </row>
    <row r="24" spans="1:7" x14ac:dyDescent="0.25">
      <c r="A24">
        <v>13</v>
      </c>
      <c r="B24" s="6" t="n">
        <v>14076.223941</v>
      </c>
      <c r="C24" s="9">
        <f si="0" t="shared"/>
        <v>3.3434561086216175E-2</v>
      </c>
      <c r="E24" s="371">
        <v>13</v>
      </c>
      <c r="F24" s="371" t="n">
        <v>19830.0</v>
      </c>
      <c r="G24" s="9">
        <f si="1" t="shared"/>
        <v>3.7133694313401966E-2</v>
      </c>
    </row>
    <row r="25" spans="1:7" x14ac:dyDescent="0.25">
      <c r="A25">
        <v>14</v>
      </c>
      <c r="B25" s="6" t="n">
        <v>12689.921149</v>
      </c>
      <c r="C25" s="9">
        <f si="0" t="shared"/>
        <v>3.0141744377886422E-2</v>
      </c>
      <c r="E25" s="371">
        <v>14</v>
      </c>
      <c r="F25" s="371" t="n">
        <v>16546.0</v>
      </c>
      <c r="G25" s="9">
        <f si="1" t="shared"/>
        <v>3.2792637865724707E-2</v>
      </c>
    </row>
    <row r="26" spans="1:7" x14ac:dyDescent="0.25">
      <c r="A26">
        <v>15</v>
      </c>
      <c r="B26" s="6" t="n">
        <v>12381.04362</v>
      </c>
      <c r="C26" s="9">
        <f si="0" t="shared"/>
        <v>2.9408082803958922E-2</v>
      </c>
      <c r="E26" s="371">
        <v>15</v>
      </c>
      <c r="F26" s="371" t="n">
        <v>15040.0</v>
      </c>
      <c r="G26" s="9">
        <f si="1" t="shared"/>
        <v>2.8974460272826567E-2</v>
      </c>
    </row>
    <row r="27" spans="1:7" x14ac:dyDescent="0.25">
      <c r="A27">
        <v>16</v>
      </c>
      <c r="B27" s="6" t="n">
        <v>7695.029567</v>
      </c>
      <c r="C27" s="9">
        <f si="0" t="shared"/>
        <v>1.8277624538830934E-2</v>
      </c>
      <c r="E27" s="371">
        <v>16</v>
      </c>
      <c r="F27" s="371" t="n">
        <v>13107.0</v>
      </c>
      <c r="G27" s="9">
        <f si="1" t="shared"/>
        <v>2.5012200506611511E-2</v>
      </c>
    </row>
    <row r="28" spans="1:7" x14ac:dyDescent="0.25">
      <c r="A28">
        <v>17</v>
      </c>
      <c r="B28" s="6" t="n">
        <v>6425.388217</v>
      </c>
      <c r="C28" s="9">
        <f si="0" t="shared"/>
        <v>1.5261908004901931E-2</v>
      </c>
      <c r="E28" s="371">
        <v>17</v>
      </c>
      <c r="F28" s="371" t="n">
        <v>11576.0</v>
      </c>
      <c r="G28" s="9">
        <f si="1" t="shared"/>
        <v>2.1960911900722736E-2</v>
      </c>
    </row>
    <row r="29" spans="1:7" x14ac:dyDescent="0.25">
      <c r="A29">
        <v>18</v>
      </c>
      <c r="B29" s="6" t="n">
        <v>4132.172279</v>
      </c>
      <c r="C29" s="9">
        <f si="0" t="shared"/>
        <v>9.8149451912726282E-3</v>
      </c>
      <c r="E29" s="371">
        <v>18</v>
      </c>
      <c r="F29" s="371" t="n">
        <v>10579.0</v>
      </c>
      <c r="G29" s="9">
        <f si="1" t="shared"/>
        <v>1.9174548581255373E-2</v>
      </c>
    </row>
    <row r="30" spans="1:7" x14ac:dyDescent="0.25">
      <c r="A30">
        <v>19</v>
      </c>
      <c r="B30" s="6" t="n">
        <v>4227.452875</v>
      </c>
      <c r="C30" s="9">
        <f si="0" t="shared"/>
        <v>1.0041260495763782E-2</v>
      </c>
      <c r="E30" s="371">
        <v>19</v>
      </c>
      <c r="F30" s="371" t="n">
        <v>9498.0</v>
      </c>
      <c r="G30" s="9">
        <f si="1" t="shared"/>
        <v>1.6850642560014874E-2</v>
      </c>
    </row>
    <row r="31" spans="1:7" x14ac:dyDescent="0.25">
      <c r="A31">
        <v>20</v>
      </c>
      <c r="B31" s="6" t="n">
        <v>6089.505449</v>
      </c>
      <c r="C31" s="9">
        <f si="0" t="shared"/>
        <v>1.4464102217527853E-2</v>
      </c>
      <c r="E31" s="371">
        <v>20</v>
      </c>
      <c r="F31" s="371" t="n">
        <v>8312.0</v>
      </c>
      <c r="G31" s="9">
        <f si="1" t="shared"/>
        <v>1.5068206641723409E-2</v>
      </c>
    </row>
    <row r="32" spans="1:7" x14ac:dyDescent="0.25">
      <c r="A32">
        <v>21</v>
      </c>
      <c r="B32" s="6" t="n">
        <v>3574.017002</v>
      </c>
      <c r="C32" s="9">
        <f si="0" t="shared"/>
        <v>8.489186466299925E-3</v>
      </c>
      <c r="E32" s="371">
        <v>21</v>
      </c>
      <c r="F32" s="371" t="n">
        <v>7662.0</v>
      </c>
      <c r="G32" s="9">
        <f si="1" t="shared"/>
        <v>1.3622737096511817E-2</v>
      </c>
    </row>
    <row r="33" spans="1:7" x14ac:dyDescent="0.25">
      <c r="A33">
        <v>22</v>
      </c>
      <c r="B33" s="6" t="n">
        <v>3248.715354</v>
      </c>
      <c r="C33" s="9">
        <f si="0" t="shared"/>
        <v>7.7165134918509171E-3</v>
      </c>
      <c r="E33" s="371">
        <v>22</v>
      </c>
      <c r="F33" s="371" t="n">
        <v>6689.0</v>
      </c>
      <c r="G33" s="9">
        <f si="1" t="shared"/>
        <v>1.2044804908089516E-2</v>
      </c>
    </row>
    <row r="34" spans="1:7" x14ac:dyDescent="0.25">
      <c r="A34">
        <v>23</v>
      </c>
      <c r="B34" s="6" t="n">
        <v>4509.483775</v>
      </c>
      <c r="C34" s="9">
        <f si="0" t="shared"/>
        <v>1.0711154594761799E-2</v>
      </c>
      <c r="E34" s="371">
        <v>23</v>
      </c>
      <c r="F34" s="371" t="n">
        <v>6176.0</v>
      </c>
      <c r="G34" s="9">
        <f si="1" t="shared"/>
        <v>1.1222142176570379E-2</v>
      </c>
    </row>
    <row r="35" spans="1:7" x14ac:dyDescent="0.25">
      <c r="A35">
        <v>24</v>
      </c>
      <c r="B35" s="6" t="n">
        <v>3501.0492</v>
      </c>
      <c r="C35" s="9">
        <f si="0" t="shared"/>
        <v>8.3158696418787151E-3</v>
      </c>
      <c r="E35" s="371">
        <v>24</v>
      </c>
      <c r="F35" s="371" t="n">
        <v>5799.0</v>
      </c>
      <c r="G35" s="9">
        <f si="1" t="shared"/>
        <v>9.5210429690223333E-3</v>
      </c>
    </row>
    <row r="36" spans="1:7" x14ac:dyDescent="0.25">
      <c r="A36">
        <v>25</v>
      </c>
      <c r="B36" s="6" t="n">
        <v>2135.235253</v>
      </c>
      <c r="C36" s="9">
        <f si="0" t="shared"/>
        <v>5.071719077438819E-3</v>
      </c>
      <c r="E36" s="371">
        <v>25</v>
      </c>
      <c r="F36" s="371" t="n">
        <v>4981.0</v>
      </c>
      <c r="G36" s="9">
        <f si="1" t="shared"/>
        <v>8.8633775650112708E-3</v>
      </c>
    </row>
    <row r="37" spans="1:7" x14ac:dyDescent="0.25">
      <c r="A37">
        <v>26</v>
      </c>
      <c r="B37" s="6" t="n">
        <v>2604.034604</v>
      </c>
      <c r="C37" s="9">
        <f si="0" t="shared"/>
        <v>6.1852350746185629E-3</v>
      </c>
      <c r="E37" s="371">
        <v>26</v>
      </c>
      <c r="F37" s="371" t="n">
        <v>4653.0</v>
      </c>
      <c r="G37" s="9">
        <f si="1" t="shared"/>
        <v>8.277753247658665E-3</v>
      </c>
    </row>
    <row r="38" spans="1:7" x14ac:dyDescent="0.25">
      <c r="A38">
        <v>27</v>
      </c>
      <c r="B38" s="6" t="n">
        <v>4363.112301</v>
      </c>
      <c r="C38" s="9">
        <f si="0" t="shared"/>
        <v>1.0363485645386956E-2</v>
      </c>
      <c r="E38" s="371">
        <v>27</v>
      </c>
      <c r="F38" s="371" t="n">
        <v>3987.0</v>
      </c>
      <c r="G38" s="9">
        <f si="1" t="shared"/>
        <v>7.201784759824313E-3</v>
      </c>
    </row>
    <row r="39" spans="1:7" x14ac:dyDescent="0.25">
      <c r="A39">
        <v>28</v>
      </c>
      <c r="B39" s="6" t="n">
        <v>3579.5702309999997</v>
      </c>
      <c r="C39" s="9">
        <f si="0" t="shared"/>
        <v>8.5023767774944931E-3</v>
      </c>
      <c r="E39" s="371">
        <v>28</v>
      </c>
      <c r="F39" s="371" t="n">
        <v>3640.0</v>
      </c>
      <c r="G39" s="9">
        <f si="1" t="shared"/>
        <v>6.4674304571123147E-3</v>
      </c>
    </row>
    <row r="40" spans="1:7" x14ac:dyDescent="0.25">
      <c r="A40">
        <v>29</v>
      </c>
      <c r="B40" s="6" t="n">
        <v>6321.182132</v>
      </c>
      <c r="C40" s="9">
        <f si="0" t="shared"/>
        <v>1.5014392426214681E-2</v>
      </c>
      <c r="E40" s="371">
        <v>29</v>
      </c>
      <c r="F40" s="371" t="n">
        <v>3463.0</v>
      </c>
      <c r="G40" s="9">
        <f si="1" t="shared"/>
        <v>6.12116845994748E-3</v>
      </c>
    </row>
    <row r="41" spans="1:7" x14ac:dyDescent="0.25">
      <c r="A41">
        <v>30</v>
      </c>
      <c r="B41" s="6" t="n">
        <v>956.69653</v>
      </c>
      <c r="C41" s="9">
        <f si="0" t="shared"/>
        <v>2.2723941241150538E-3</v>
      </c>
      <c r="E41" s="371">
        <v>30</v>
      </c>
      <c r="F41" s="371" t="n">
        <v>3291.0</v>
      </c>
      <c r="G41" s="9">
        <f si="1" t="shared"/>
        <v>5.3031535404708232E-3</v>
      </c>
    </row>
    <row r="42" spans="1:7" x14ac:dyDescent="0.25">
      <c r="A42">
        <v>31</v>
      </c>
      <c r="B42" s="6" t="n">
        <v>1491.382585</v>
      </c>
      <c r="C42" s="9">
        <f si="0" t="shared"/>
        <v>3.5424075625752707E-3</v>
      </c>
      <c r="E42" s="371">
        <v>31</v>
      </c>
      <c r="F42" s="371" t="n">
        <v>2809.0</v>
      </c>
      <c r="G42" s="9">
        <f si="1" t="shared"/>
        <v>4.9266807650298625E-3</v>
      </c>
    </row>
    <row r="43" spans="1:7" x14ac:dyDescent="0.25">
      <c r="A43">
        <v>32</v>
      </c>
      <c r="B43" s="6" t="n">
        <v>2324.176646</v>
      </c>
      <c r="C43" s="9">
        <f si="0" t="shared"/>
        <v>5.5205022576760394E-3</v>
      </c>
      <c r="E43" s="371">
        <v>32</v>
      </c>
      <c r="F43" s="371" t="n">
        <v>2615.0</v>
      </c>
      <c r="G43" s="9">
        <f si="1" t="shared"/>
        <v>4.2341567707001931E-3</v>
      </c>
    </row>
    <row r="44" spans="1:7" x14ac:dyDescent="0.25">
      <c r="A44">
        <v>33</v>
      </c>
      <c r="B44" s="6" t="n">
        <v>887.189112</v>
      </c>
      <c r="C44" s="9">
        <f si="0" t="shared"/>
        <v>2.1072965792900411E-3</v>
      </c>
      <c r="E44" s="371">
        <v>33</v>
      </c>
      <c r="F44" s="371" t="n">
        <v>2320.0</v>
      </c>
      <c r="G44" s="9">
        <f si="1" t="shared"/>
        <v>3.8948664915990799E-3</v>
      </c>
    </row>
    <row r="45" spans="1:7" x14ac:dyDescent="0.25">
      <c r="A45">
        <v>34</v>
      </c>
      <c r="B45" s="6" t="n">
        <v>788.67997</v>
      </c>
      <c r="C45" s="9">
        <f si="0" t="shared"/>
        <v>1.8733126685796977E-3</v>
      </c>
      <c r="E45" s="371">
        <v>34</v>
      </c>
      <c r="F45" s="371" t="n">
        <v>2111.0</v>
      </c>
      <c r="G45" s="9">
        <f si="1" t="shared"/>
        <v>3.609026050986498E-3</v>
      </c>
    </row>
    <row r="46" spans="1:7" x14ac:dyDescent="0.25">
      <c r="A46">
        <v>35</v>
      </c>
      <c r="B46" s="6" t="n">
        <v>363.730605</v>
      </c>
      <c r="C46" s="9">
        <f si="0" t="shared"/>
        <v>8.6395138232895393E-4</v>
      </c>
      <c r="E46" s="371">
        <v>35</v>
      </c>
      <c r="F46" s="371" t="n">
        <v>1881.0</v>
      </c>
      <c r="G46" s="9">
        <f si="1" t="shared"/>
        <v>3.2790313959703467E-3</v>
      </c>
    </row>
    <row r="47" spans="1:7" x14ac:dyDescent="0.25">
      <c r="A47">
        <v>36</v>
      </c>
      <c r="B47" s="6" t="n">
        <v>1020.4617460000001</v>
      </c>
      <c r="C47" s="9">
        <f si="0" t="shared"/>
        <v>2.4238524994907094E-3</v>
      </c>
      <c r="E47" s="371">
        <v>36</v>
      </c>
      <c r="F47" s="371" t="n">
        <v>1878.0</v>
      </c>
      <c r="G47" s="9">
        <f si="1" t="shared"/>
        <v>3.209314215333132E-3</v>
      </c>
    </row>
    <row r="48" spans="1:7" x14ac:dyDescent="0.25">
      <c r="A48">
        <v>37</v>
      </c>
      <c r="B48" s="6" t="n">
        <v>1107.027961</v>
      </c>
      <c r="C48" s="9">
        <f si="0" t="shared"/>
        <v>2.6294689642152968E-3</v>
      </c>
      <c r="E48" s="371">
        <v>37</v>
      </c>
      <c r="F48" s="371" t="n">
        <v>1615.0</v>
      </c>
      <c r="G48" s="9">
        <f si="1" t="shared"/>
        <v>2.8955869024656642E-3</v>
      </c>
    </row>
    <row r="49" spans="1:7" x14ac:dyDescent="0.25">
      <c r="A49">
        <v>38</v>
      </c>
      <c r="B49" s="6" t="n">
        <v>805.979139</v>
      </c>
      <c r="C49" s="9">
        <f si="0" t="shared"/>
        <v>1.9144025322459465E-3</v>
      </c>
      <c r="E49" s="371">
        <v>38</v>
      </c>
      <c r="F49" s="371" t="n">
        <v>1565.0</v>
      </c>
      <c r="G49" s="9">
        <f si="1" t="shared"/>
        <v>2.7143222328089053E-3</v>
      </c>
    </row>
    <row r="50" spans="1:7" x14ac:dyDescent="0.25">
      <c r="A50">
        <v>39</v>
      </c>
      <c r="B50" s="6" t="n">
        <v>694.025415</v>
      </c>
      <c r="C50" s="9">
        <f si="0" t="shared"/>
        <v>1.648484368426121E-3</v>
      </c>
      <c r="E50" s="371">
        <v>39</v>
      </c>
      <c r="F50" s="371" t="n">
        <v>1467.0</v>
      </c>
      <c r="G50" s="9">
        <f si="1" t="shared"/>
        <v>2.3099625851130579E-3</v>
      </c>
    </row>
    <row r="51" spans="1:7" x14ac:dyDescent="0.25">
      <c r="A51">
        <v>40</v>
      </c>
      <c r="B51" s="6" t="n">
        <v>1223.49043</v>
      </c>
      <c r="C51" s="9">
        <f si="0" t="shared"/>
        <v>2.9060965278540317E-3</v>
      </c>
      <c r="E51" s="371">
        <v>40</v>
      </c>
      <c r="F51" s="371" t="n">
        <v>1387.0</v>
      </c>
      <c r="G51" s="9">
        <f si="1" t="shared"/>
        <v>2.2193302502846787E-3</v>
      </c>
    </row>
    <row r="52" spans="1:7" x14ac:dyDescent="0.25">
      <c r="A52">
        <v>41</v>
      </c>
      <c r="B52" s="6" t="n">
        <v>143.214387</v>
      </c>
      <c r="C52" s="9">
        <f si="0" t="shared"/>
        <v>3.4017007619703533E-4</v>
      </c>
      <c r="E52" s="371">
        <v>41</v>
      </c>
      <c r="F52" s="371" t="n">
        <v>1227.0</v>
      </c>
      <c r="G52" s="9">
        <f si="1" t="shared"/>
        <v>2.0868676070739697E-3</v>
      </c>
    </row>
    <row r="53" spans="1:7" x14ac:dyDescent="0.25">
      <c r="A53">
        <v>42</v>
      </c>
      <c r="B53" s="6" t="n">
        <v>999.586787</v>
      </c>
      <c r="C53" s="9">
        <f si="0" t="shared"/>
        <v>2.3742692380433797E-3</v>
      </c>
      <c r="E53" s="371">
        <v>42</v>
      </c>
      <c r="F53" s="371" t="n">
        <v>1081.0</v>
      </c>
      <c r="G53" s="9">
        <f si="1" t="shared"/>
        <v>1.99391136622435E-3</v>
      </c>
    </row>
    <row r="54" spans="1:7" x14ac:dyDescent="0.25">
      <c r="A54">
        <v>43</v>
      </c>
      <c r="B54" s="6" t="n">
        <v>1749.786272</v>
      </c>
      <c r="C54" s="9">
        <f si="0" t="shared"/>
        <v>4.1561811068239005E-3</v>
      </c>
      <c r="E54" s="371">
        <v>43</v>
      </c>
      <c r="F54" s="371" t="n">
        <v>996.0</v>
      </c>
      <c r="G54" s="9">
        <f si="1" t="shared"/>
        <v>1.7382817038878947E-3</v>
      </c>
    </row>
    <row r="55" spans="1:7" x14ac:dyDescent="0.25">
      <c r="A55">
        <v>44</v>
      </c>
      <c r="B55" s="6" t="n">
        <v>110.94200899999998</v>
      </c>
      <c r="C55" s="9">
        <f si="0" t="shared"/>
        <v>2.635150870350908E-4</v>
      </c>
      <c r="E55" s="371">
        <v>44</v>
      </c>
      <c r="F55" s="371" t="n">
        <v>1034.0</v>
      </c>
      <c r="G55" s="9">
        <f si="1" t="shared"/>
        <v>1.7057470195905278E-3</v>
      </c>
    </row>
    <row r="56" spans="1:7" x14ac:dyDescent="0.25">
      <c r="A56">
        <v>45</v>
      </c>
      <c r="B56" s="6" t="n">
        <v>476.08815200000004</v>
      </c>
      <c r="C56" s="9">
        <f si="0" t="shared"/>
        <v>1.1308287270212997E-3</v>
      </c>
      <c r="E56" s="371">
        <v>45</v>
      </c>
      <c r="F56" s="371" t="n">
        <v>858.0</v>
      </c>
      <c r="G56" s="9">
        <f si="1" t="shared"/>
        <v>1.6197624968046292E-3</v>
      </c>
    </row>
    <row r="57" spans="1:7" x14ac:dyDescent="0.25">
      <c r="A57">
        <v>46</v>
      </c>
      <c r="B57" s="6" t="n">
        <v>143.573975</v>
      </c>
      <c r="C57" s="9">
        <f si="0" t="shared"/>
        <v>3.4102418785384489E-4</v>
      </c>
      <c r="E57" s="371">
        <v>46</v>
      </c>
      <c r="F57" s="371" t="n">
        <v>829.0</v>
      </c>
      <c r="G57" s="9">
        <f si="1" t="shared"/>
        <v>1.4710325114452372E-3</v>
      </c>
    </row>
    <row r="58" spans="1:7" x14ac:dyDescent="0.25">
      <c r="A58">
        <v>47</v>
      </c>
      <c r="B58" s="6" t="n">
        <v>279.936464</v>
      </c>
      <c r="C58" s="9">
        <f si="0" t="shared"/>
        <v>6.6491928837574563E-4</v>
      </c>
      <c r="E58" s="371">
        <v>47</v>
      </c>
      <c r="F58" s="371" t="n">
        <v>743.0</v>
      </c>
      <c r="G58" s="9">
        <f si="1" t="shared"/>
        <v>1.3687806465106551E-3</v>
      </c>
    </row>
    <row r="59" spans="1:7" x14ac:dyDescent="0.25">
      <c r="A59">
        <v>48</v>
      </c>
      <c r="B59" s="6" t="n">
        <v>42.7073</v>
      </c>
      <c r="C59" s="9">
        <f si="0" t="shared"/>
        <v>1.0144054518188628E-4</v>
      </c>
      <c r="E59" s="371">
        <v>48</v>
      </c>
      <c r="F59" s="371" t="n">
        <v>713.0</v>
      </c>
      <c r="G59" s="9">
        <f si="1" t="shared"/>
        <v>1.145685668471567E-3</v>
      </c>
    </row>
    <row r="60" spans="1:7" x14ac:dyDescent="0.25">
      <c r="A60">
        <v>49</v>
      </c>
      <c r="B60" s="6" t="n">
        <v>108.904293</v>
      </c>
      <c r="C60" s="9">
        <f si="0" t="shared"/>
        <v>2.5867500063379986E-4</v>
      </c>
      <c r="E60" s="371">
        <v>49</v>
      </c>
      <c r="F60" s="371" t="n">
        <v>613.0</v>
      </c>
      <c r="G60" s="9">
        <f si="1" t="shared"/>
        <v>1.0782923938555925E-3</v>
      </c>
    </row>
    <row r="61" spans="1:7" x14ac:dyDescent="0.25">
      <c r="A61">
        <v>50</v>
      </c>
      <c r="B61" s="6" t="n">
        <v>474.458937</v>
      </c>
      <c r="C61" s="9">
        <f si="0" t="shared"/>
        <v>1.1269589329154087E-3</v>
      </c>
      <c r="E61" s="371">
        <v>50</v>
      </c>
      <c r="F61" s="371" t="n">
        <v>636.0</v>
      </c>
      <c r="G61" s="9">
        <f si="1" t="shared"/>
        <v>9.8766005902721304E-4</v>
      </c>
    </row>
    <row r="62" spans="1:7" x14ac:dyDescent="0.25">
      <c r="A62">
        <v>51</v>
      </c>
      <c r="B62" s="6" t="n">
        <v>295.272282</v>
      </c>
      <c r="C62" s="9">
        <f si="0" t="shared"/>
        <v>7.013457011606838E-4</v>
      </c>
      <c r="E62" s="371">
        <v>51</v>
      </c>
      <c r="F62" s="371" t="n">
        <v>540.0</v>
      </c>
      <c r="G62" s="9">
        <f si="1" t="shared"/>
        <v>1.0341381794520229E-3</v>
      </c>
    </row>
    <row r="63" spans="1:7" x14ac:dyDescent="0.25">
      <c r="A63">
        <v>52</v>
      </c>
      <c r="B63" s="6" t="n">
        <v>231.730191</v>
      </c>
      <c r="C63" s="9">
        <f si="0" t="shared"/>
        <v>5.5041730360249036E-4</v>
      </c>
      <c r="E63" s="371">
        <v>52</v>
      </c>
      <c r="F63" s="371" t="n">
        <v>474.0</v>
      </c>
      <c r="G63" s="9">
        <f si="1" t="shared"/>
        <v>7.8083242313680833E-4</v>
      </c>
    </row>
    <row r="64" spans="1:7" x14ac:dyDescent="0.25">
      <c r="A64">
        <v>53</v>
      </c>
      <c r="B64" s="6" t="n">
        <v>152.343186</v>
      </c>
      <c r="C64" s="9">
        <f si="0" t="shared"/>
        <v>3.6185326261752688E-4</v>
      </c>
      <c r="E64" s="371">
        <v>53</v>
      </c>
      <c r="F64" s="371" t="n">
        <v>470.0</v>
      </c>
      <c r="G64" s="9">
        <f si="1" t="shared"/>
        <v>8.249866375403779E-4</v>
      </c>
    </row>
    <row r="65" spans="1:7" x14ac:dyDescent="0.25">
      <c r="A65">
        <v>54</v>
      </c>
      <c r="B65" s="6" t="n">
        <v>180.195544</v>
      </c>
      <c r="C65" s="9">
        <f si="0" t="shared"/>
        <v>4.2800959608091778E-4</v>
      </c>
      <c r="E65" s="371">
        <v>54</v>
      </c>
      <c r="F65" s="371" t="n">
        <v>446.0</v>
      </c>
      <c r="G65" s="9">
        <f si="1" t="shared"/>
        <v>7.5991726894564379E-4</v>
      </c>
    </row>
    <row r="66" spans="1:7" x14ac:dyDescent="0.25">
      <c r="A66">
        <v>55</v>
      </c>
      <c r="B66" s="6" t="n">
        <v>179.929108</v>
      </c>
      <c r="C66" s="9">
        <f si="0" t="shared"/>
        <v>4.2737674377941239E-4</v>
      </c>
      <c r="E66" s="371">
        <v>55</v>
      </c>
      <c r="F66" s="371" t="n">
        <v>401.0</v>
      </c>
      <c r="G66" s="9">
        <f si="1" t="shared"/>
        <v>7.6688898700936537E-4</v>
      </c>
    </row>
    <row r="67" spans="1:7" x14ac:dyDescent="0.25">
      <c r="A67">
        <v>56</v>
      </c>
      <c r="B67" s="6" t="n">
        <v>116.138376</v>
      </c>
      <c r="C67" s="9">
        <f si="0" t="shared"/>
        <v>2.7585776150632085E-4</v>
      </c>
      <c r="E67" s="371">
        <v>56</v>
      </c>
      <c r="F67" s="371" t="n">
        <v>355.0</v>
      </c>
      <c r="G67" s="9">
        <f si="1" t="shared"/>
        <v>7.1808696056331481E-4</v>
      </c>
    </row>
    <row r="68" spans="1:7" x14ac:dyDescent="0.25">
      <c r="A68">
        <v>57</v>
      </c>
      <c r="B68" s="6" t="n">
        <v>630.272266</v>
      </c>
      <c r="C68" s="9">
        <f si="0" t="shared"/>
        <v>1.4970546552009339E-3</v>
      </c>
      <c r="E68" s="371">
        <v>57</v>
      </c>
      <c r="F68" s="371" t="n">
        <v>385.0</v>
      </c>
      <c r="G68" s="9">
        <f si="1" t="shared"/>
        <v>5.9956775348004926E-4</v>
      </c>
    </row>
    <row r="69" spans="1:7" x14ac:dyDescent="0.25">
      <c r="A69">
        <v>58</v>
      </c>
      <c r="B69" s="6" t="n">
        <v>368.594243</v>
      </c>
      <c r="C69" s="9">
        <f si="0" t="shared"/>
        <v>8.7550374200253051E-4</v>
      </c>
      <c r="E69" s="371">
        <v>58</v>
      </c>
      <c r="F69" s="371" t="n">
        <v>335.0</v>
      </c>
      <c r="G69" s="9">
        <f si="1" t="shared"/>
        <v>6.8090446422346682E-4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310.0</v>
      </c>
      <c r="G70" s="9">
        <f si="1" t="shared"/>
        <v>6.0886337756501123E-4</v>
      </c>
    </row>
    <row r="71" spans="1:7" x14ac:dyDescent="0.25">
      <c r="A71">
        <v>60</v>
      </c>
      <c r="B71" s="6" t="n">
        <v>45.690895</v>
      </c>
      <c r="C71" s="9">
        <f si="0" t="shared"/>
        <v>1.0852733136134388E-4</v>
      </c>
      <c r="E71" s="371">
        <v>60</v>
      </c>
      <c r="F71" s="371" t="n">
        <v>315.0</v>
      </c>
      <c r="G71" s="9">
        <f si="1" t="shared"/>
        <v>4.9266807650298627E-4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274.0</v>
      </c>
      <c r="G72" s="9">
        <f si="1" t="shared"/>
        <v>4.7872464037554321E-4</v>
      </c>
    </row>
    <row r="73" spans="1:7" x14ac:dyDescent="0.25">
      <c r="A73">
        <v>62</v>
      </c>
      <c r="B73" s="6" t="n">
        <v>76.719834</v>
      </c>
      <c r="C73" s="9">
        <f si="0" t="shared"/>
        <v>1.8222884114012865E-4</v>
      </c>
      <c r="E73" s="371">
        <v>62</v>
      </c>
      <c r="F73" s="371" t="n">
        <v>275.0</v>
      </c>
      <c r="G73" s="9">
        <f si="1" t="shared"/>
        <v>4.0435964769584717E-4</v>
      </c>
    </row>
    <row r="74" spans="1:7" x14ac:dyDescent="0.25">
      <c r="A74">
        <v>63</v>
      </c>
      <c r="B74" s="6" t="n">
        <v>71.965201</v>
      </c>
      <c r="C74" s="9">
        <f si="0" t="shared"/>
        <v>1.7093539567156031E-4</v>
      </c>
      <c r="E74" s="371">
        <v>63</v>
      </c>
      <c r="F74" s="371" t="n">
        <v>229.0</v>
      </c>
      <c r="G74" s="9">
        <f si="1" t="shared"/>
        <v>3.8112058748344219E-4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255.0</v>
      </c>
      <c r="G75" s="9">
        <f si="1" t="shared"/>
        <v>3.7879668146220165E-4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208.0</v>
      </c>
      <c r="G76" s="9">
        <f si="1" t="shared"/>
        <v>3.9506402361088515E-4</v>
      </c>
    </row>
    <row r="77" spans="1:7" x14ac:dyDescent="0.25">
      <c r="A77">
        <v>66</v>
      </c>
      <c r="B77" s="6" t="n">
        <v>91.06761900000001</v>
      </c>
      <c r="C77" s="9">
        <f ref="C77:C102" si="2" t="shared">B77/B$102</f>
        <v>2.163084278279429E-4</v>
      </c>
      <c r="E77" s="371">
        <v>66</v>
      </c>
      <c r="F77" s="371" t="n">
        <v>199.0</v>
      </c>
      <c r="G77" s="9">
        <f ref="G77:G102" si="3" t="shared">F77/F$102</f>
        <v>3.6020543329227765E-4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233.0</v>
      </c>
      <c r="G78" s="9">
        <f si="3" t="shared"/>
        <v>3.4858590318607513E-4</v>
      </c>
    </row>
    <row r="79" spans="1:7" x14ac:dyDescent="0.25">
      <c r="A79">
        <v>68</v>
      </c>
      <c r="B79" s="6" t="n">
        <v>34.460798</v>
      </c>
      <c r="C79" s="9">
        <f si="2" t="shared"/>
        <v>8.1853035348122125E-5</v>
      </c>
      <c r="E79" s="371">
        <v>68</v>
      </c>
      <c r="F79" s="371" t="n">
        <v>161.0</v>
      </c>
      <c r="G79" s="9">
        <f si="3" t="shared"/>
        <v>2.8816434663382211E-4</v>
      </c>
    </row>
    <row r="80" spans="1:7" x14ac:dyDescent="0.25">
      <c r="A80">
        <v>69</v>
      </c>
      <c r="B80" s="6" t="n">
        <v>40.752751</v>
      </c>
      <c r="C80" s="9">
        <f si="2" t="shared"/>
        <v>9.6798001257435186E-5</v>
      </c>
      <c r="E80" s="371">
        <v>69</v>
      </c>
      <c r="F80" s="371" t="n">
        <v>143.0</v>
      </c>
      <c r="G80" s="9">
        <f si="3" t="shared"/>
        <v>3.5788152727103716E-4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137.0</v>
      </c>
      <c r="G81" s="9">
        <f si="3" t="shared"/>
        <v>3.3929027910111316E-4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142.0</v>
      </c>
      <c r="G82" s="9">
        <f si="3" t="shared"/>
        <v>3.1605121888870813E-4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124.0</v>
      </c>
      <c r="G83" s="9">
        <f si="3" t="shared"/>
        <v>2.3006669610280961E-4</v>
      </c>
    </row>
    <row r="84" spans="1:7" x14ac:dyDescent="0.25">
      <c r="A84">
        <v>73</v>
      </c>
      <c r="B84" s="6" t="n">
        <v>47.062368</v>
      </c>
      <c r="C84" s="9">
        <f si="2" t="shared"/>
        <v>1.1178492359551082E-4</v>
      </c>
      <c r="E84" s="371">
        <v>73</v>
      </c>
      <c r="F84" s="371" t="n">
        <v>99.0</v>
      </c>
      <c r="G84" s="9">
        <f si="3" t="shared"/>
        <v>2.9745997071878414E-4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103.0</v>
      </c>
      <c r="G85" s="9">
        <f si="3" t="shared"/>
        <v>2.904882526550626E-4</v>
      </c>
    </row>
    <row r="86" spans="1:7" x14ac:dyDescent="0.25">
      <c r="A86">
        <v>75</v>
      </c>
      <c r="B86" s="6" t="n">
        <v>64.380723</v>
      </c>
      <c r="C86" s="9">
        <f si="2" t="shared"/>
        <v>1.5292035882212188E-4</v>
      </c>
      <c r="E86" s="371">
        <v>75</v>
      </c>
      <c r="F86" s="371" t="n">
        <v>97.0</v>
      </c>
      <c r="G86" s="9">
        <f si="3" t="shared"/>
        <v>2.161232599753666E-4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112.0</v>
      </c>
      <c r="G87" s="9">
        <f si="3" t="shared"/>
        <v>2.230949780390881E-4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79.0</v>
      </c>
      <c r="G88" s="9">
        <f si="3" t="shared"/>
        <v>2.1147544793288558E-4</v>
      </c>
    </row>
    <row r="89" spans="1:7" x14ac:dyDescent="0.25">
      <c r="A89">
        <v>78</v>
      </c>
      <c r="B89" s="6" t="n">
        <v>288.496806</v>
      </c>
      <c r="C89" s="9">
        <f si="2" t="shared"/>
        <v>6.8525224689626549E-4</v>
      </c>
      <c r="E89" s="371">
        <v>78</v>
      </c>
      <c r="F89" s="371" t="n">
        <v>111.0</v>
      </c>
      <c r="G89" s="9">
        <f si="3" t="shared"/>
        <v>2.1844716599660709E-4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86.0</v>
      </c>
      <c r="G90" s="9">
        <f si="3" t="shared"/>
        <v>1.9520810578420208E-4</v>
      </c>
    </row>
    <row r="91" spans="1:7" x14ac:dyDescent="0.25">
      <c r="A91">
        <v>80</v>
      </c>
      <c r="B91" s="6" t="n">
        <v>247.812006</v>
      </c>
      <c r="C91" s="9">
        <f si="2" t="shared"/>
        <v>5.8861564630067629E-4</v>
      </c>
      <c r="E91" s="371">
        <v>80</v>
      </c>
      <c r="F91" s="371" t="n">
        <v>78.0</v>
      </c>
      <c r="G91" s="9">
        <f si="3" t="shared"/>
        <v>1.6267342148683508E-4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107.0</v>
      </c>
      <c r="G92" s="9">
        <f si="3" t="shared"/>
        <v>1.5570170342311357E-4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82.0</v>
      </c>
      <c r="G93" s="9">
        <f si="3" t="shared"/>
        <v>1.8126466965675907E-4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88.0</v>
      </c>
      <c r="G94" s="9">
        <f si="3" t="shared"/>
        <v>1.4872998535939207E-4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84.0</v>
      </c>
      <c r="G95" s="9">
        <f si="3" t="shared"/>
        <v>1.4640607933815158E-4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63.0</v>
      </c>
      <c r="G96" s="9">
        <f si="3" t="shared"/>
        <v>1.5570170342311357E-4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56.0</v>
      </c>
      <c r="G97" s="9">
        <f si="3" t="shared"/>
        <v>1.3711045525318955E-4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52.0</v>
      </c>
      <c r="G98" s="9">
        <f si="3" t="shared"/>
        <v>1.0457577095582255E-4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56.0</v>
      </c>
      <c r="G99" s="9">
        <f si="3" t="shared"/>
        <v>1.3711045525318955E-4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55.0</v>
      </c>
      <c r="G100" s="9">
        <f si="3" t="shared"/>
        <v>7.2041086658455528E-5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1802.0</v>
      </c>
      <c r="G101" s="9">
        <f si="3" t="shared"/>
        <v>4.2155655225302692E-3</v>
      </c>
    </row>
    <row r="102" spans="1:7" x14ac:dyDescent="0.25">
      <c r="B102" s="6">
        <f>SUM(B11:B101)</f>
        <v>421008.18684899993</v>
      </c>
      <c r="C102" s="9">
        <f si="2" t="shared"/>
        <v>1</v>
      </c>
      <c r="F102" s="6">
        <f>SUM(F11:F101)</f>
        <v>430310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3"/>
  <dimension ref="A1:M102"/>
  <sheetViews>
    <sheetView workbookViewId="0">
      <selection activeCell="T17" sqref="T17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35772.532445</v>
      </c>
      <c r="C11" s="9">
        <f>B11/B$102</f>
        <v>0.15899101937076016</v>
      </c>
      <c r="E11" s="371">
        <v>0</v>
      </c>
      <c r="F11" s="371" t="n">
        <v>47745.0</v>
      </c>
      <c r="G11" s="9">
        <f>F11/F$102</f>
        <v>0.15809727172176477</v>
      </c>
      <c r="K11" s="6" t="n">
        <v>4.941245361534956</v>
      </c>
      <c r="L11" s="6" t="n">
        <v>5.239207522574992</v>
      </c>
    </row>
    <row r="12" spans="1:12" x14ac:dyDescent="0.25">
      <c r="A12">
        <v>1</v>
      </c>
      <c r="B12" s="6" t="n">
        <v>45458.904564</v>
      </c>
      <c r="C12" s="9">
        <f>B12/B$102</f>
        <v>0.20204209996093447</v>
      </c>
      <c r="E12" s="371">
        <v>1</v>
      </c>
      <c r="F12" s="371" t="n">
        <v>44329.0</v>
      </c>
      <c r="G12" s="9">
        <f>F12/F$102</f>
        <v>0.13910224898611281</v>
      </c>
      <c r="K12" s="6"/>
      <c r="L12" s="371"/>
    </row>
    <row r="13" spans="1:12" x14ac:dyDescent="0.25">
      <c r="A13">
        <v>2</v>
      </c>
      <c r="B13" s="6" t="n">
        <v>34046.036795</v>
      </c>
      <c r="C13" s="9">
        <f ref="C13:C76" si="0" t="shared">B13/B$102</f>
        <v>0.15131760950650969</v>
      </c>
      <c r="E13" s="371">
        <v>2</v>
      </c>
      <c r="F13" s="371" t="n">
        <v>39954.0</v>
      </c>
      <c r="G13" s="9">
        <f ref="G13:G76" si="1" t="shared">F13/F$102</f>
        <v>0.13247741796730983</v>
      </c>
    </row>
    <row r="14" spans="1:12" x14ac:dyDescent="0.25">
      <c r="A14">
        <v>3</v>
      </c>
      <c r="B14" s="6" t="n">
        <v>22327.419642</v>
      </c>
      <c r="C14" s="9">
        <f si="0" t="shared"/>
        <v>9.9234215924136629E-2</v>
      </c>
      <c r="E14" s="371">
        <v>3</v>
      </c>
      <c r="F14" s="371" t="n">
        <v>36778.0</v>
      </c>
      <c r="G14" s="9">
        <f si="1" t="shared"/>
        <v>0.11820234730244562</v>
      </c>
    </row>
    <row r="15" spans="1:12" x14ac:dyDescent="0.25">
      <c r="A15">
        <v>4</v>
      </c>
      <c r="B15" s="6" t="n">
        <v>15212.38101</v>
      </c>
      <c r="C15" s="9">
        <f si="0" t="shared"/>
        <v>6.7611426939228378E-2</v>
      </c>
      <c r="E15" s="371">
        <v>4</v>
      </c>
      <c r="F15" s="371" t="n">
        <v>28056.0</v>
      </c>
      <c r="G15" s="9">
        <f si="1" t="shared"/>
        <v>9.2378948015239035E-2</v>
      </c>
    </row>
    <row r="16" spans="1:12" x14ac:dyDescent="0.25">
      <c r="A16">
        <v>5</v>
      </c>
      <c r="B16" s="6" t="n">
        <v>13293.330324</v>
      </c>
      <c r="C16" s="9">
        <f si="0" t="shared"/>
        <v>5.9082206223294895E-2</v>
      </c>
      <c r="E16" s="371">
        <v>5</v>
      </c>
      <c r="F16" s="371" t="n">
        <v>22258.0</v>
      </c>
      <c r="G16" s="9">
        <f si="1" t="shared"/>
        <v>7.326871082708615E-2</v>
      </c>
    </row>
    <row r="17" spans="1:7" x14ac:dyDescent="0.25">
      <c r="A17">
        <v>6</v>
      </c>
      <c r="B17" s="6" t="n">
        <v>16116.779696</v>
      </c>
      <c r="C17" s="9">
        <f si="0" t="shared"/>
        <v>7.163102687182453E-2</v>
      </c>
      <c r="E17" s="371">
        <v>6</v>
      </c>
      <c r="F17" s="371" t="n">
        <v>16321.0</v>
      </c>
      <c r="G17" s="9">
        <f si="1" t="shared"/>
        <v>5.4534840850436278E-2</v>
      </c>
    </row>
    <row r="18" spans="1:7" x14ac:dyDescent="0.25">
      <c r="A18">
        <v>7</v>
      </c>
      <c r="B18" s="6" t="n">
        <v>6448.16822</v>
      </c>
      <c r="C18" s="9">
        <f si="0" t="shared"/>
        <v>2.8658883458927004E-2</v>
      </c>
      <c r="E18" s="371">
        <v>7</v>
      </c>
      <c r="F18" s="371" t="n">
        <v>12410.0</v>
      </c>
      <c r="G18" s="9">
        <f si="1" t="shared"/>
        <v>4.1112357134078896E-2</v>
      </c>
    </row>
    <row r="19" spans="1:7" x14ac:dyDescent="0.25">
      <c r="A19">
        <v>8</v>
      </c>
      <c r="B19" s="6" t="n">
        <v>6217.587645</v>
      </c>
      <c r="C19" s="9">
        <f si="0" t="shared"/>
        <v>2.7634068100307625E-2</v>
      </c>
      <c r="E19" s="371">
        <v>8</v>
      </c>
      <c r="F19" s="371" t="n">
        <v>9764.0</v>
      </c>
      <c r="G19" s="9">
        <f si="1" t="shared"/>
        <v>3.1948967678505594E-2</v>
      </c>
    </row>
    <row r="20" spans="1:7" x14ac:dyDescent="0.25">
      <c r="A20">
        <v>9</v>
      </c>
      <c r="B20" s="6" t="n">
        <v>4392.607634</v>
      </c>
      <c r="C20" s="9">
        <f si="0" t="shared"/>
        <v>1.9522944496568839E-2</v>
      </c>
      <c r="E20" s="371">
        <v>9</v>
      </c>
      <c r="F20" s="371" t="n">
        <v>8220.0</v>
      </c>
      <c r="G20" s="9">
        <f si="1" t="shared"/>
        <v>2.7444082585719554E-2</v>
      </c>
    </row>
    <row r="21" spans="1:7" x14ac:dyDescent="0.25">
      <c r="A21">
        <v>10</v>
      </c>
      <c r="B21" s="6" t="n">
        <v>2849.446816</v>
      </c>
      <c r="C21" s="9">
        <f si="0" t="shared"/>
        <v>1.2664366287602005E-2</v>
      </c>
      <c r="E21" s="371">
        <v>10</v>
      </c>
      <c r="F21" s="371" t="n">
        <v>6782.0</v>
      </c>
      <c r="G21" s="9">
        <f si="1" t="shared"/>
        <v>2.3000645200934006E-2</v>
      </c>
    </row>
    <row r="22" spans="1:7" x14ac:dyDescent="0.25">
      <c r="A22">
        <v>11</v>
      </c>
      <c r="B22" s="6" t="n">
        <v>1391.903347</v>
      </c>
      <c r="C22" s="9">
        <f si="0" t="shared"/>
        <v>6.1863143836783209E-3</v>
      </c>
      <c r="E22" s="371">
        <v>11</v>
      </c>
      <c r="F22" s="371" t="n">
        <v>5885.0</v>
      </c>
      <c r="G22" s="9">
        <f si="1" t="shared"/>
        <v>1.909487526115276E-2</v>
      </c>
    </row>
    <row r="23" spans="1:7" x14ac:dyDescent="0.25">
      <c r="A23">
        <v>12</v>
      </c>
      <c r="B23" s="6" t="n">
        <v>1388.316843</v>
      </c>
      <c r="C23" s="9">
        <f si="0" t="shared"/>
        <v>6.1703741667587051E-3</v>
      </c>
      <c r="E23" s="371">
        <v>12</v>
      </c>
      <c r="F23" s="371" t="n">
        <v>5128.0</v>
      </c>
      <c r="G23" s="9">
        <f si="1" t="shared"/>
        <v>1.6322047437630577E-2</v>
      </c>
    </row>
    <row r="24" spans="1:7" x14ac:dyDescent="0.25">
      <c r="A24">
        <v>13</v>
      </c>
      <c r="B24" s="6" t="n">
        <v>1939.186212</v>
      </c>
      <c r="C24" s="9">
        <f si="0" t="shared"/>
        <v>8.6187130606319873E-3</v>
      </c>
      <c r="E24" s="371">
        <v>13</v>
      </c>
      <c r="F24" s="371" t="n">
        <v>4201.0</v>
      </c>
      <c r="G24" s="9">
        <f si="1" t="shared"/>
        <v>1.2496927614599975E-2</v>
      </c>
    </row>
    <row r="25" spans="1:7" x14ac:dyDescent="0.25">
      <c r="A25">
        <v>14</v>
      </c>
      <c r="B25" s="6" t="n">
        <v>3838.384132</v>
      </c>
      <c r="C25" s="9">
        <f si="0" t="shared"/>
        <v>1.7059698158678419E-2</v>
      </c>
      <c r="E25" s="371">
        <v>14</v>
      </c>
      <c r="F25" s="371" t="n">
        <v>3450.0</v>
      </c>
      <c r="G25" s="9">
        <f si="1" t="shared"/>
        <v>9.8047499078284372E-3</v>
      </c>
    </row>
    <row r="26" spans="1:7" x14ac:dyDescent="0.25">
      <c r="A26">
        <v>15</v>
      </c>
      <c r="B26" s="6" t="n">
        <v>2550.784793</v>
      </c>
      <c r="C26" s="9">
        <f si="0" t="shared"/>
        <v>1.133696293540404E-2</v>
      </c>
      <c r="E26" s="371">
        <v>15</v>
      </c>
      <c r="F26" s="371" t="n">
        <v>2972.0</v>
      </c>
      <c r="G26" s="9">
        <f si="1" t="shared"/>
        <v>8.1149379378149204E-3</v>
      </c>
    </row>
    <row r="27" spans="1:7" x14ac:dyDescent="0.25">
      <c r="A27">
        <v>16</v>
      </c>
      <c r="B27" s="6" t="n">
        <v>1101.534132</v>
      </c>
      <c r="C27" s="9">
        <f si="0" t="shared"/>
        <v>4.8957684163857497E-3</v>
      </c>
      <c r="E27" s="371">
        <v>16</v>
      </c>
      <c r="F27" s="371" t="n">
        <v>2394.0</v>
      </c>
      <c r="G27" s="9">
        <f si="1" t="shared"/>
        <v>6.8437384785547499E-3</v>
      </c>
    </row>
    <row r="28" spans="1:7" x14ac:dyDescent="0.25">
      <c r="A28">
        <v>17</v>
      </c>
      <c r="B28" s="6" t="n">
        <v>924.730123</v>
      </c>
      <c r="C28" s="9">
        <f si="0" t="shared"/>
        <v>4.1099630037282489E-3</v>
      </c>
      <c r="E28" s="371">
        <v>17</v>
      </c>
      <c r="F28" s="371" t="n">
        <v>1819.0</v>
      </c>
      <c r="G28" s="9">
        <f si="1" t="shared"/>
        <v>5.1731289172913851E-3</v>
      </c>
    </row>
    <row r="29" spans="1:7" x14ac:dyDescent="0.25">
      <c r="A29">
        <v>18</v>
      </c>
      <c r="B29" s="6" t="n">
        <v>1974.821445</v>
      </c>
      <c r="C29" s="9">
        <f si="0" t="shared"/>
        <v>8.7770938526235947E-3</v>
      </c>
      <c r="E29" s="371">
        <v>18</v>
      </c>
      <c r="F29" s="371" t="n">
        <v>1561.0</v>
      </c>
      <c r="G29" s="9">
        <f si="1" t="shared"/>
        <v>4.4587993117856705E-3</v>
      </c>
    </row>
    <row r="30" spans="1:7" x14ac:dyDescent="0.25">
      <c r="A30">
        <v>19</v>
      </c>
      <c r="B30" s="6" t="n">
        <v>79.06275600000001</v>
      </c>
      <c r="C30" s="9">
        <f si="0" t="shared"/>
        <v>3.5139441665273151E-4</v>
      </c>
      <c r="E30" s="371">
        <v>19</v>
      </c>
      <c r="F30" s="371" t="n">
        <v>1257.0</v>
      </c>
      <c r="G30" s="9">
        <f si="1" t="shared"/>
        <v>3.5946909180287574E-3</v>
      </c>
    </row>
    <row r="31" spans="1:7" x14ac:dyDescent="0.25">
      <c r="A31">
        <v>20</v>
      </c>
      <c r="B31" s="6" t="n">
        <v>835.782728</v>
      </c>
      <c r="C31" s="9">
        <f si="0" t="shared"/>
        <v>3.7146363093387303E-3</v>
      </c>
      <c r="E31" s="371">
        <v>20</v>
      </c>
      <c r="F31" s="371" t="n">
        <v>992.0</v>
      </c>
      <c r="G31" s="9">
        <f si="1" t="shared"/>
        <v>2.8957232395231658E-3</v>
      </c>
    </row>
    <row r="32" spans="1:7" x14ac:dyDescent="0.25">
      <c r="A32">
        <v>21</v>
      </c>
      <c r="B32" s="6" t="n">
        <v>561.440565</v>
      </c>
      <c r="C32" s="9">
        <f si="0" t="shared"/>
        <v>2.4953225741758227E-3</v>
      </c>
      <c r="E32" s="371">
        <v>21</v>
      </c>
      <c r="F32" s="371" t="n">
        <v>856.0</v>
      </c>
      <c r="G32" s="9">
        <f si="1" t="shared"/>
        <v>2.4771107287698169E-3</v>
      </c>
    </row>
    <row r="33" spans="1:7" x14ac:dyDescent="0.25">
      <c r="A33">
        <v>22</v>
      </c>
      <c r="B33" s="6" t="n">
        <v>383.47380699999997</v>
      </c>
      <c r="C33" s="9">
        <f si="0" t="shared"/>
        <v>1.70434932362296E-3</v>
      </c>
      <c r="E33" s="371">
        <v>22</v>
      </c>
      <c r="F33" s="371" t="n">
        <v>747.0</v>
      </c>
      <c r="G33" s="9">
        <f si="1" t="shared"/>
        <v>2.28124615951825E-3</v>
      </c>
    </row>
    <row r="34" spans="1:7" x14ac:dyDescent="0.25">
      <c r="A34">
        <v>23</v>
      </c>
      <c r="B34" s="6" t="n">
        <v>316.33241300000003</v>
      </c>
      <c r="C34" s="9">
        <f si="0" t="shared"/>
        <v>1.4059394000189664E-3</v>
      </c>
      <c r="E34" s="371">
        <v>23</v>
      </c>
      <c r="F34" s="371" t="n">
        <v>699.0</v>
      </c>
      <c r="G34" s="9">
        <f si="1" t="shared"/>
        <v>1.9125599115153004E-3</v>
      </c>
    </row>
    <row r="35" spans="1:7" x14ac:dyDescent="0.25">
      <c r="A35">
        <v>24</v>
      </c>
      <c r="B35" s="6" t="n">
        <v>273.515133</v>
      </c>
      <c r="C35" s="9">
        <f si="0" t="shared"/>
        <v>1.2156380003529002E-3</v>
      </c>
      <c r="E35" s="371">
        <v>24</v>
      </c>
      <c r="F35" s="371" t="n">
        <v>636.0</v>
      </c>
      <c r="G35" s="9">
        <f si="1" t="shared"/>
        <v>1.7474191962639793E-3</v>
      </c>
    </row>
    <row r="36" spans="1:7" x14ac:dyDescent="0.25">
      <c r="A36">
        <v>25</v>
      </c>
      <c r="B36" s="6" t="n">
        <v>181.395689</v>
      </c>
      <c r="C36" s="9">
        <f si="0" t="shared"/>
        <v>8.0621313427874054E-4</v>
      </c>
      <c r="E36" s="371">
        <v>25</v>
      </c>
      <c r="F36" s="371" t="n">
        <v>540.0</v>
      </c>
      <c r="G36" s="9">
        <f si="1" t="shared"/>
        <v>1.4862664372618901E-3</v>
      </c>
    </row>
    <row r="37" spans="1:7" x14ac:dyDescent="0.25">
      <c r="A37">
        <v>26</v>
      </c>
      <c r="B37" s="6" t="n">
        <v>882.8042</v>
      </c>
      <c r="C37" s="9">
        <f si="0" t="shared"/>
        <v>3.9236232402217464E-3</v>
      </c>
      <c r="E37" s="371">
        <v>26</v>
      </c>
      <c r="F37" s="371" t="n">
        <v>485.0</v>
      </c>
      <c r="G37" s="9">
        <f si="1" t="shared"/>
        <v>1.6283642620130269E-3</v>
      </c>
    </row>
    <row r="38" spans="1:7" x14ac:dyDescent="0.25">
      <c r="A38">
        <v>27</v>
      </c>
      <c r="B38" s="6" t="n">
        <v>390.04584800000003</v>
      </c>
      <c r="C38" s="9">
        <f si="0" t="shared"/>
        <v>1.7335587596488539E-3</v>
      </c>
      <c r="E38" s="371">
        <v>27</v>
      </c>
      <c r="F38" s="371" t="n">
        <v>457.0</v>
      </c>
      <c r="G38" s="9">
        <f si="1" t="shared"/>
        <v>1.1444635615091557E-3</v>
      </c>
    </row>
    <row r="39" spans="1:7" x14ac:dyDescent="0.25">
      <c r="A39">
        <v>28</v>
      </c>
      <c r="B39" s="6" t="n">
        <v>134.248838</v>
      </c>
      <c r="C39" s="9">
        <f si="0" t="shared"/>
        <v>5.9666895643401365E-4</v>
      </c>
      <c r="E39" s="371">
        <v>28</v>
      </c>
      <c r="F39" s="371" t="n">
        <v>465.0</v>
      </c>
      <c r="G39" s="9">
        <f si="1" t="shared"/>
        <v>1.1559850067592479E-3</v>
      </c>
    </row>
    <row r="40" spans="1:7" x14ac:dyDescent="0.25">
      <c r="A40">
        <v>29</v>
      </c>
      <c r="B40" s="6" t="n">
        <v>1234.66379</v>
      </c>
      <c r="C40" s="9">
        <f si="0" t="shared"/>
        <v>5.4874631773435848E-3</v>
      </c>
      <c r="E40" s="371">
        <v>29</v>
      </c>
      <c r="F40" s="371" t="n">
        <v>395.0</v>
      </c>
      <c r="G40" s="9">
        <f si="1" t="shared"/>
        <v>9.6780140100774243E-4</v>
      </c>
    </row>
    <row r="41" spans="1:7" x14ac:dyDescent="0.25">
      <c r="A41">
        <v>30</v>
      </c>
      <c r="B41" s="6" t="n">
        <v>257.922462</v>
      </c>
      <c r="C41" s="9">
        <f si="0" t="shared"/>
        <v>1.1463363745646091E-3</v>
      </c>
      <c r="E41" s="371">
        <v>30</v>
      </c>
      <c r="F41" s="371" t="n">
        <v>321.0</v>
      </c>
      <c r="G41" s="9">
        <f si="1" t="shared"/>
        <v>8.3338453975666704E-4</v>
      </c>
    </row>
    <row r="42" spans="1:7" x14ac:dyDescent="0.25">
      <c r="A42">
        <v>31</v>
      </c>
      <c r="B42" s="6" t="n">
        <v>251.979787</v>
      </c>
      <c r="C42" s="9">
        <f si="0" t="shared"/>
        <v>1.119924155706696E-3</v>
      </c>
      <c r="E42" s="371">
        <v>31</v>
      </c>
      <c r="F42" s="371" t="n">
        <v>254.0</v>
      </c>
      <c r="G42" s="9">
        <f si="1" t="shared"/>
        <v>6.2983900700503868E-4</v>
      </c>
    </row>
    <row r="43" spans="1:7" x14ac:dyDescent="0.25">
      <c r="A43">
        <v>32</v>
      </c>
      <c r="B43" s="6" t="n">
        <v>423.670425</v>
      </c>
      <c r="C43" s="9">
        <f si="0" t="shared"/>
        <v>1.8830031911092225E-3</v>
      </c>
      <c r="E43" s="371">
        <v>32</v>
      </c>
      <c r="F43" s="371" t="n">
        <v>231.0</v>
      </c>
      <c r="G43" s="9">
        <f si="1" t="shared"/>
        <v>5.5686985375445492E-4</v>
      </c>
    </row>
    <row r="44" spans="1:7" x14ac:dyDescent="0.25">
      <c r="A44">
        <v>33</v>
      </c>
      <c r="B44" s="6" t="n">
        <v>533.142304</v>
      </c>
      <c r="C44" s="9">
        <f si="0" t="shared"/>
        <v>2.3695509540164932E-3</v>
      </c>
      <c r="E44" s="371">
        <v>33</v>
      </c>
      <c r="F44" s="371" t="n">
        <v>195.0</v>
      </c>
      <c r="G44" s="9">
        <f si="1" t="shared"/>
        <v>3.9941010200319528E-4</v>
      </c>
    </row>
    <row r="45" spans="1:7" x14ac:dyDescent="0.25">
      <c r="A45">
        <v>34</v>
      </c>
      <c r="B45" s="6" t="n">
        <v>234.247244</v>
      </c>
      <c r="C45" s="9">
        <f si="0" t="shared"/>
        <v>1.0411118688790717E-3</v>
      </c>
      <c r="E45" s="371">
        <v>34</v>
      </c>
      <c r="F45" s="371" t="n">
        <v>130.0</v>
      </c>
      <c r="G45" s="9">
        <f si="1" t="shared"/>
        <v>3.8020769325304164E-4</v>
      </c>
    </row>
    <row r="46" spans="1:7" x14ac:dyDescent="0.25">
      <c r="A46">
        <v>35</v>
      </c>
      <c r="B46" s="6" t="n">
        <v>0.0</v>
      </c>
      <c r="C46" s="9">
        <f si="0" t="shared"/>
        <v>0</v>
      </c>
      <c r="E46" s="371">
        <v>35</v>
      </c>
      <c r="F46" s="371" t="n">
        <v>135.0</v>
      </c>
      <c r="G46" s="9">
        <f si="1" t="shared"/>
        <v>3.4948383925279588E-4</v>
      </c>
    </row>
    <row r="47" spans="1:7" x14ac:dyDescent="0.25">
      <c r="A47">
        <v>36</v>
      </c>
      <c r="B47" s="6" t="n">
        <v>34.524483</v>
      </c>
      <c r="C47" s="9">
        <f si="0" t="shared"/>
        <v>1.5344406365017357E-4</v>
      </c>
      <c r="E47" s="371">
        <v>36</v>
      </c>
      <c r="F47" s="371" t="n">
        <v>108.0</v>
      </c>
      <c r="G47" s="9">
        <f si="1" t="shared"/>
        <v>2.4195035025193561E-4</v>
      </c>
    </row>
    <row r="48" spans="1:7" x14ac:dyDescent="0.25">
      <c r="A48">
        <v>37</v>
      </c>
      <c r="B48" s="6" t="n">
        <v>0.0</v>
      </c>
      <c r="C48" s="9">
        <f si="0" t="shared"/>
        <v>0</v>
      </c>
      <c r="E48" s="371">
        <v>37</v>
      </c>
      <c r="F48" s="371" t="n">
        <v>83.0</v>
      </c>
      <c r="G48" s="9">
        <f si="1" t="shared"/>
        <v>2.0354553275162837E-4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45.0</v>
      </c>
      <c r="G49" s="9">
        <f si="1" t="shared"/>
        <v>1.5361927000122894E-4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63.0</v>
      </c>
      <c r="G50" s="9">
        <f si="1" t="shared"/>
        <v>1.8818360575150546E-4</v>
      </c>
    </row>
    <row r="51" spans="1:7" x14ac:dyDescent="0.25">
      <c r="A51">
        <v>40</v>
      </c>
      <c r="B51" s="6" t="n">
        <v>462.366312</v>
      </c>
      <c r="C51" s="9">
        <f si="0" t="shared"/>
        <v>2.0549870597113364E-3</v>
      </c>
      <c r="E51" s="371">
        <v>40</v>
      </c>
      <c r="F51" s="371" t="n">
        <v>41.0</v>
      </c>
      <c r="G51" s="9">
        <f si="1" t="shared"/>
        <v>1.4209782475113679E-4</v>
      </c>
    </row>
    <row r="52" spans="1:7" x14ac:dyDescent="0.25">
      <c r="A52">
        <v>41</v>
      </c>
      <c r="B52" s="6" t="n">
        <v>0.0</v>
      </c>
      <c r="C52" s="9">
        <f si="0" t="shared"/>
        <v>0</v>
      </c>
      <c r="E52" s="371">
        <v>41</v>
      </c>
      <c r="F52" s="371" t="n">
        <v>42.0</v>
      </c>
      <c r="G52" s="9">
        <f si="1" t="shared"/>
        <v>1.2289541600098315E-4</v>
      </c>
    </row>
    <row r="53" spans="1:7" x14ac:dyDescent="0.25">
      <c r="A53">
        <v>42</v>
      </c>
      <c r="B53" s="6" t="n">
        <v>233.699164</v>
      </c>
      <c r="C53" s="9">
        <f si="0" t="shared"/>
        <v>1.0386759273356347E-3</v>
      </c>
      <c r="E53" s="371">
        <v>42</v>
      </c>
      <c r="F53" s="371" t="n">
        <v>30.0</v>
      </c>
      <c r="G53" s="9">
        <f si="1" t="shared"/>
        <v>6.9128671500553031E-5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22.0</v>
      </c>
      <c r="G54" s="9">
        <f si="1" t="shared"/>
        <v>8.4490598500675925E-5</v>
      </c>
    </row>
    <row r="55" spans="1:7" x14ac:dyDescent="0.25">
      <c r="A55">
        <v>44</v>
      </c>
      <c r="B55" s="6" t="n">
        <v>0.0</v>
      </c>
      <c r="C55" s="9">
        <f si="0" t="shared"/>
        <v>0</v>
      </c>
      <c r="E55" s="371">
        <v>44</v>
      </c>
      <c r="F55" s="371" t="n">
        <v>27.0</v>
      </c>
      <c r="G55" s="9">
        <f si="1" t="shared"/>
        <v>3.4564335750276515E-5</v>
      </c>
    </row>
    <row r="56" spans="1:7" x14ac:dyDescent="0.25">
      <c r="A56">
        <v>45</v>
      </c>
      <c r="B56" s="6" t="n">
        <v>48.015299</v>
      </c>
      <c r="C56" s="9">
        <f si="0" t="shared"/>
        <v>2.1340399495448249E-4</v>
      </c>
      <c r="E56" s="371">
        <v>45</v>
      </c>
      <c r="F56" s="371" t="n">
        <v>20.0</v>
      </c>
      <c r="G56" s="9">
        <f si="1" t="shared"/>
        <v>6.1447708000491577E-5</v>
      </c>
    </row>
    <row r="57" spans="1:7" x14ac:dyDescent="0.25">
      <c r="A57">
        <v>46</v>
      </c>
      <c r="B57" s="6" t="n">
        <v>0.0</v>
      </c>
      <c r="C57" s="9">
        <f si="0" t="shared"/>
        <v>0</v>
      </c>
      <c r="E57" s="371">
        <v>46</v>
      </c>
      <c r="F57" s="371" t="n">
        <v>23.0</v>
      </c>
      <c r="G57" s="9">
        <f si="1" t="shared"/>
        <v>6.1447708000491577E-5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12.0</v>
      </c>
      <c r="G58" s="9">
        <f si="1" t="shared"/>
        <v>4.608578100036869E-5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13.0</v>
      </c>
      <c r="G59" s="9">
        <f si="1" t="shared"/>
        <v>2.6883372250215068E-5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7.0</v>
      </c>
      <c r="G60" s="9">
        <f si="1" t="shared"/>
        <v>2.3042890500184345E-5</v>
      </c>
    </row>
    <row r="61" spans="1:7" x14ac:dyDescent="0.25">
      <c r="A61">
        <v>50</v>
      </c>
      <c r="B61" s="6" t="n">
        <v>0.0</v>
      </c>
      <c r="C61" s="9">
        <f si="0" t="shared"/>
        <v>0</v>
      </c>
      <c r="E61" s="371">
        <v>50</v>
      </c>
      <c r="F61" s="371" t="n">
        <v>4.0</v>
      </c>
      <c r="G61" s="9">
        <f si="1" t="shared"/>
        <v>3.8404817500307236E-5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7.0</v>
      </c>
      <c r="G62" s="9">
        <f si="1" t="shared"/>
        <v>1.5361927000122894E-5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2.0</v>
      </c>
      <c r="G63" s="9">
        <f si="1" t="shared"/>
        <v>3.8404817500307236E-6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5.0</v>
      </c>
      <c r="G64" s="9">
        <f si="1" t="shared"/>
        <v>3.8404817500307236E-6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7.0</v>
      </c>
      <c r="G65" s="9">
        <f si="1" t="shared"/>
        <v>2.3042890500184345E-5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3.0</v>
      </c>
      <c r="G66" s="9">
        <f si="1" t="shared"/>
        <v>3.8404817500307236E-6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5.0</v>
      </c>
      <c r="G67" s="9">
        <f si="1" t="shared"/>
        <v>0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5.0</v>
      </c>
      <c r="G68" s="9">
        <f si="1" t="shared"/>
        <v>3.8404817500307236E-6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2.0</v>
      </c>
      <c r="G69" s="9">
        <f si="1" t="shared"/>
        <v>1.1521445250092172E-5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3.0</v>
      </c>
      <c r="G70" s="9">
        <f si="1" t="shared"/>
        <v>1.5361927000122894E-5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0.0</v>
      </c>
      <c r="G71" s="9">
        <f si="1" t="shared"/>
        <v>3.8404817500307236E-6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0.0</v>
      </c>
      <c r="G72" s="9">
        <f si="1" t="shared"/>
        <v>3.8404817500307236E-6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1.0</v>
      </c>
      <c r="G73" s="9">
        <f si="1" t="shared"/>
        <v>0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3.8404817500307236E-6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3.8404817500307236E-6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0.0</v>
      </c>
      <c r="G76" s="9">
        <f si="1" t="shared"/>
        <v>0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1.0</v>
      </c>
      <c r="G77" s="9">
        <f ref="G77:G102" si="3" t="shared">F77/F$102</f>
        <v>7.2969153250583758E-5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0.0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0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0.0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3.8404817500307236E-6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3.8404817500307236E-6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1.0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0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3.8404817500307236E-6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3.8404817500307236E-6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1.0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0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0</v>
      </c>
    </row>
    <row r="102" spans="1:7" x14ac:dyDescent="0.25">
      <c r="B102" s="6">
        <f>SUM(B11:B101)</f>
        <v>224997.18906499998</v>
      </c>
      <c r="C102" s="9">
        <f si="2" t="shared"/>
        <v>1</v>
      </c>
      <c r="F102" s="6">
        <f>SUM(F11:F101)</f>
        <v>260384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4"/>
  <dimension ref="A1:M102"/>
  <sheetViews>
    <sheetView workbookViewId="0">
      <selection activeCell="T20" sqref="T2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2145.0</v>
      </c>
      <c r="G11" s="9">
        <f>F11/F$102</f>
        <v>6.3022305518004177E-3</v>
      </c>
      <c r="K11" s="6" t="n">
        <v>12.300238656293047</v>
      </c>
      <c r="L11" s="6" t="n">
        <v>14.302843863112367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10768.0</v>
      </c>
      <c r="G12" s="9">
        <f>F12/F$102</f>
        <v>4.3339836549096719E-2</v>
      </c>
      <c r="K12" s="6"/>
      <c r="L12" s="371"/>
    </row>
    <row r="13" spans="1:12" x14ac:dyDescent="0.25">
      <c r="A13">
        <v>2</v>
      </c>
      <c r="B13" s="6" t="n">
        <v>947.173875</v>
      </c>
      <c r="C13" s="9">
        <f ref="C13:C76" si="0" t="shared">B13/B$102</f>
        <v>4.2097142588139996E-3</v>
      </c>
      <c r="E13" s="371">
        <v>2</v>
      </c>
      <c r="F13" s="371" t="n">
        <v>6830.0</v>
      </c>
      <c r="G13" s="9">
        <f ref="G13:G76" si="1" t="shared">F13/F$102</f>
        <v>2.0343031829912744E-2</v>
      </c>
    </row>
    <row r="14" spans="1:12" x14ac:dyDescent="0.25">
      <c r="A14">
        <v>3</v>
      </c>
      <c r="B14" s="6" t="n">
        <v>15159.672554</v>
      </c>
      <c r="C14" s="9">
        <f si="0" t="shared"/>
        <v>6.7377164208129212E-2</v>
      </c>
      <c r="E14" s="371">
        <v>3</v>
      </c>
      <c r="F14" s="371" t="n">
        <v>10619.0</v>
      </c>
      <c r="G14" s="9">
        <f si="1" t="shared"/>
        <v>3.1599483839252797E-2</v>
      </c>
    </row>
    <row r="15" spans="1:12" x14ac:dyDescent="0.25">
      <c r="A15">
        <v>4</v>
      </c>
      <c r="B15" s="6" t="n">
        <v>19680.163863</v>
      </c>
      <c r="C15" s="9">
        <f si="0" t="shared"/>
        <v>8.7468487694370919E-2</v>
      </c>
      <c r="E15" s="371">
        <v>4</v>
      </c>
      <c r="F15" s="371" t="n">
        <v>13771.0</v>
      </c>
      <c r="G15" s="9">
        <f si="1" t="shared"/>
        <v>4.4077209045102615E-2</v>
      </c>
    </row>
    <row r="16" spans="1:12" x14ac:dyDescent="0.25">
      <c r="A16">
        <v>5</v>
      </c>
      <c r="B16" s="6" t="n">
        <v>25245.932826</v>
      </c>
      <c r="C16" s="9">
        <f si="0" t="shared"/>
        <v>0.11220554768222743</v>
      </c>
      <c r="E16" s="371">
        <v>5</v>
      </c>
      <c r="F16" s="371" t="n">
        <v>16237.0</v>
      </c>
      <c r="G16" s="9">
        <f si="1" t="shared"/>
        <v>5.6105597886198844E-2</v>
      </c>
    </row>
    <row r="17" spans="1:7" x14ac:dyDescent="0.25">
      <c r="A17">
        <v>6</v>
      </c>
      <c r="B17" s="6" t="n">
        <v>17982.738574</v>
      </c>
      <c r="C17" s="9">
        <f si="0" t="shared"/>
        <v>7.9924281048706428E-2</v>
      </c>
      <c r="E17" s="371">
        <v>6</v>
      </c>
      <c r="F17" s="371" t="n">
        <v>17414.0</v>
      </c>
      <c r="G17" s="9">
        <f si="1" t="shared"/>
        <v>6.4470167137765766E-2</v>
      </c>
    </row>
    <row r="18" spans="1:7" x14ac:dyDescent="0.25">
      <c r="A18">
        <v>7</v>
      </c>
      <c r="B18" s="6" t="n">
        <v>24305.773854</v>
      </c>
      <c r="C18" s="9">
        <f si="0" t="shared"/>
        <v>0.10802701115958493</v>
      </c>
      <c r="E18" s="371">
        <v>7</v>
      </c>
      <c r="F18" s="371" t="n">
        <v>18467.0</v>
      </c>
      <c r="G18" s="9">
        <f si="1" t="shared"/>
        <v>6.8652451763549213E-2</v>
      </c>
    </row>
    <row r="19" spans="1:7" x14ac:dyDescent="0.25">
      <c r="A19">
        <v>8</v>
      </c>
      <c r="B19" s="6" t="n">
        <v>15550.950712</v>
      </c>
      <c r="C19" s="9">
        <f si="0" t="shared"/>
        <v>6.911619996953583E-2</v>
      </c>
      <c r="E19" s="371">
        <v>8</v>
      </c>
      <c r="F19" s="371" t="n">
        <v>19264.0</v>
      </c>
      <c r="G19" s="9">
        <f si="1" t="shared"/>
        <v>6.428966449551432E-2</v>
      </c>
    </row>
    <row r="20" spans="1:7" x14ac:dyDescent="0.25">
      <c r="A20">
        <v>9</v>
      </c>
      <c r="B20" s="6" t="n">
        <v>11870.222494</v>
      </c>
      <c r="C20" s="9">
        <f si="0" t="shared"/>
        <v>5.2757203515866061E-2</v>
      </c>
      <c r="E20" s="371">
        <v>9</v>
      </c>
      <c r="F20" s="371" t="n">
        <v>18310.0</v>
      </c>
      <c r="G20" s="9">
        <f si="1" t="shared"/>
        <v>5.8966756789971736E-2</v>
      </c>
    </row>
    <row r="21" spans="1:7" x14ac:dyDescent="0.25">
      <c r="A21">
        <v>10</v>
      </c>
      <c r="B21" s="6" t="n">
        <v>8923.951556</v>
      </c>
      <c r="C21" s="9">
        <f si="0" t="shared"/>
        <v>3.9662502420961074E-2</v>
      </c>
      <c r="E21" s="371">
        <v>10</v>
      </c>
      <c r="F21" s="371" t="n">
        <v>16830.0</v>
      </c>
      <c r="G21" s="9">
        <f si="1" t="shared"/>
        <v>5.5675463930195401E-2</v>
      </c>
    </row>
    <row r="22" spans="1:7" x14ac:dyDescent="0.25">
      <c r="A22">
        <v>11</v>
      </c>
      <c r="B22" s="6" t="n">
        <v>6533.836302</v>
      </c>
      <c r="C22" s="9">
        <f si="0" t="shared"/>
        <v>2.903963524678712E-2</v>
      </c>
      <c r="E22" s="371">
        <v>11</v>
      </c>
      <c r="F22" s="371" t="n">
        <v>14984.0</v>
      </c>
      <c r="G22" s="9">
        <f si="1" t="shared"/>
        <v>5.1397167260661181E-2</v>
      </c>
    </row>
    <row r="23" spans="1:7" x14ac:dyDescent="0.25">
      <c r="A23">
        <v>12</v>
      </c>
      <c r="B23" s="6" t="n">
        <v>9068.089313</v>
      </c>
      <c r="C23" s="9">
        <f si="0" t="shared"/>
        <v>4.030312267759175E-2</v>
      </c>
      <c r="E23" s="371">
        <v>12</v>
      </c>
      <c r="F23" s="371" t="n">
        <v>13918.0</v>
      </c>
      <c r="G23" s="9">
        <f si="1" t="shared"/>
        <v>4.6869239277374956E-2</v>
      </c>
    </row>
    <row r="24" spans="1:7" x14ac:dyDescent="0.25">
      <c r="A24">
        <v>13</v>
      </c>
      <c r="B24" s="6" t="n">
        <v>7688.922449</v>
      </c>
      <c r="C24" s="9">
        <f si="0" t="shared"/>
        <v>3.4173415592222034E-2</v>
      </c>
      <c r="E24" s="371">
        <v>13</v>
      </c>
      <c r="F24" s="371" t="n">
        <v>13520.0</v>
      </c>
      <c r="G24" s="9">
        <f si="1" t="shared"/>
        <v>4.1031707017328251E-2</v>
      </c>
    </row>
    <row r="25" spans="1:7" x14ac:dyDescent="0.25">
      <c r="A25">
        <v>14</v>
      </c>
      <c r="B25" s="6" t="n">
        <v>5881.010872</v>
      </c>
      <c r="C25" s="9">
        <f si="0" t="shared"/>
        <v>2.6138152642880438E-2</v>
      </c>
      <c r="E25" s="371">
        <v>14</v>
      </c>
      <c r="F25" s="371" t="n">
        <v>11232.0</v>
      </c>
      <c r="G25" s="9">
        <f si="1" t="shared"/>
        <v>3.7221949121297775E-2</v>
      </c>
    </row>
    <row r="26" spans="1:7" x14ac:dyDescent="0.25">
      <c r="A26">
        <v>15</v>
      </c>
      <c r="B26" s="6" t="n">
        <v>8113.527787</v>
      </c>
      <c r="C26" s="9">
        <f si="0" t="shared"/>
        <v>3.6060574004131499E-2</v>
      </c>
      <c r="E26" s="371">
        <v>15</v>
      </c>
      <c r="F26" s="371" t="n">
        <v>10215.0</v>
      </c>
      <c r="G26" s="9">
        <f si="1" t="shared"/>
        <v>3.3020462086764166E-2</v>
      </c>
    </row>
    <row r="27" spans="1:7" x14ac:dyDescent="0.25">
      <c r="A27">
        <v>16</v>
      </c>
      <c r="B27" s="6" t="n">
        <v>3688.649818</v>
      </c>
      <c r="C27" s="9">
        <f si="0" t="shared"/>
        <v>1.6394204004630372E-2</v>
      </c>
      <c r="E27" s="371">
        <v>16</v>
      </c>
      <c r="F27" s="371" t="n">
        <v>9316.0</v>
      </c>
      <c r="G27" s="9">
        <f si="1" t="shared"/>
        <v>2.8377319650977017E-2</v>
      </c>
    </row>
    <row r="28" spans="1:7" x14ac:dyDescent="0.25">
      <c r="A28">
        <v>17</v>
      </c>
      <c r="B28" s="6" t="n">
        <v>5633.568397</v>
      </c>
      <c r="C28" s="9">
        <f si="0" t="shared"/>
        <v>2.5038394570220626E-2</v>
      </c>
      <c r="E28" s="371">
        <v>17</v>
      </c>
      <c r="F28" s="371" t="n">
        <v>8024.0</v>
      </c>
      <c r="G28" s="9">
        <f si="1" t="shared"/>
        <v>2.598854000245791E-2</v>
      </c>
    </row>
    <row r="29" spans="1:7" x14ac:dyDescent="0.25">
      <c r="A29">
        <v>18</v>
      </c>
      <c r="B29" s="6" t="n">
        <v>4088.499395</v>
      </c>
      <c r="C29" s="9">
        <f si="0" t="shared"/>
        <v>1.8171335437523455E-2</v>
      </c>
      <c r="E29" s="371">
        <v>18</v>
      </c>
      <c r="F29" s="371" t="n">
        <v>7260.0</v>
      </c>
      <c r="G29" s="9">
        <f si="1" t="shared"/>
        <v>2.2236389332677891E-2</v>
      </c>
    </row>
    <row r="30" spans="1:7" x14ac:dyDescent="0.25">
      <c r="A30">
        <v>19</v>
      </c>
      <c r="B30" s="6" t="n">
        <v>3521.18156</v>
      </c>
      <c r="C30" s="9">
        <f si="0" t="shared"/>
        <v>1.5649891337010245E-2</v>
      </c>
      <c r="E30" s="371">
        <v>19</v>
      </c>
      <c r="F30" s="371" t="n">
        <v>6883.0</v>
      </c>
      <c r="G30" s="9">
        <f si="1" t="shared"/>
        <v>1.9855290647658841E-2</v>
      </c>
    </row>
    <row r="31" spans="1:7" x14ac:dyDescent="0.25">
      <c r="A31">
        <v>20</v>
      </c>
      <c r="B31" s="6" t="n">
        <v>2985.662231</v>
      </c>
      <c r="C31" s="9">
        <f si="0" t="shared"/>
        <v>1.3269775695453085E-2</v>
      </c>
      <c r="E31" s="371">
        <v>20</v>
      </c>
      <c r="F31" s="371" t="n">
        <v>5982.0</v>
      </c>
      <c r="G31" s="9">
        <f si="1" t="shared"/>
        <v>1.7189996313137518E-2</v>
      </c>
    </row>
    <row r="32" spans="1:7" x14ac:dyDescent="0.25">
      <c r="A32">
        <v>21</v>
      </c>
      <c r="B32" s="6" t="n">
        <v>1916.274674</v>
      </c>
      <c r="C32" s="9">
        <f si="0" t="shared"/>
        <v>8.5168827306833714E-3</v>
      </c>
      <c r="E32" s="371">
        <v>21</v>
      </c>
      <c r="F32" s="371" t="n">
        <v>5326.0</v>
      </c>
      <c r="G32" s="9">
        <f si="1" t="shared"/>
        <v>1.5749815656875998E-2</v>
      </c>
    </row>
    <row r="33" spans="1:7" x14ac:dyDescent="0.25">
      <c r="A33">
        <v>22</v>
      </c>
      <c r="B33" s="6" t="n">
        <v>2840.058887</v>
      </c>
      <c r="C33" s="9">
        <f si="0" t="shared"/>
        <v>1.2622641637445205E-2</v>
      </c>
      <c r="E33" s="371">
        <v>22</v>
      </c>
      <c r="F33" s="371" t="n">
        <v>4794.0</v>
      </c>
      <c r="G33" s="9">
        <f si="1" t="shared"/>
        <v>1.3829574781860636E-2</v>
      </c>
    </row>
    <row r="34" spans="1:7" x14ac:dyDescent="0.25">
      <c r="A34">
        <v>23</v>
      </c>
      <c r="B34" s="6" t="n">
        <v>446.95778</v>
      </c>
      <c r="C34" s="9">
        <f si="0" t="shared"/>
        <v>1.9865038397029805E-3</v>
      </c>
      <c r="E34" s="371">
        <v>23</v>
      </c>
      <c r="F34" s="371" t="n">
        <v>4308.0</v>
      </c>
      <c r="G34" s="9">
        <f si="1" t="shared"/>
        <v>1.3015392650854123E-2</v>
      </c>
    </row>
    <row r="35" spans="1:7" x14ac:dyDescent="0.25">
      <c r="A35">
        <v>24</v>
      </c>
      <c r="B35" s="6" t="n">
        <v>1939.999834</v>
      </c>
      <c r="C35" s="9">
        <f si="0" t="shared"/>
        <v>8.6223292035863992E-3</v>
      </c>
      <c r="E35" s="371">
        <v>24</v>
      </c>
      <c r="F35" s="371" t="n">
        <v>3949.0</v>
      </c>
      <c r="G35" s="9">
        <f si="1" t="shared"/>
        <v>1.0949213469337594E-2</v>
      </c>
    </row>
    <row r="36" spans="1:7" x14ac:dyDescent="0.25">
      <c r="A36">
        <v>25</v>
      </c>
      <c r="B36" s="6" t="n">
        <v>906.8812479999999</v>
      </c>
      <c r="C36" s="9">
        <f si="0" t="shared"/>
        <v>4.0306336793301386E-3</v>
      </c>
      <c r="E36" s="371">
        <v>25</v>
      </c>
      <c r="F36" s="371" t="n">
        <v>3439.0</v>
      </c>
      <c r="G36" s="9">
        <f si="1" t="shared"/>
        <v>9.9545286960796356E-3</v>
      </c>
    </row>
    <row r="37" spans="1:7" x14ac:dyDescent="0.25">
      <c r="A37">
        <v>26</v>
      </c>
      <c r="B37" s="6" t="n">
        <v>1282.30045</v>
      </c>
      <c r="C37" s="9">
        <f si="0" t="shared"/>
        <v>5.6991843112740087E-3</v>
      </c>
      <c r="E37" s="371">
        <v>26</v>
      </c>
      <c r="F37" s="371" t="n">
        <v>3158.0</v>
      </c>
      <c r="G37" s="9">
        <f si="1" t="shared"/>
        <v>9.2248371635737982E-3</v>
      </c>
    </row>
    <row r="38" spans="1:7" x14ac:dyDescent="0.25">
      <c r="A38">
        <v>27</v>
      </c>
      <c r="B38" s="6" t="n">
        <v>1267.599167</v>
      </c>
      <c r="C38" s="9">
        <f si="0" t="shared"/>
        <v>5.6338444594247802E-3</v>
      </c>
      <c r="E38" s="371">
        <v>27</v>
      </c>
      <c r="F38" s="371" t="n">
        <v>2727.0</v>
      </c>
      <c r="G38" s="9">
        <f si="1" t="shared"/>
        <v>7.9882020400639051E-3</v>
      </c>
    </row>
    <row r="39" spans="1:7" x14ac:dyDescent="0.25">
      <c r="A39">
        <v>28</v>
      </c>
      <c r="B39" s="6" t="n">
        <v>1887.5833890000001</v>
      </c>
      <c r="C39" s="9">
        <f si="0" t="shared"/>
        <v>8.3893643153679191E-3</v>
      </c>
      <c r="E39" s="371">
        <v>28</v>
      </c>
      <c r="F39" s="371" t="n">
        <v>2459.0</v>
      </c>
      <c r="G39" s="9">
        <f si="1" t="shared"/>
        <v>7.0242411208061937E-3</v>
      </c>
    </row>
    <row r="40" spans="1:7" x14ac:dyDescent="0.25">
      <c r="A40">
        <v>29</v>
      </c>
      <c r="B40" s="6" t="n">
        <v>94.306513</v>
      </c>
      <c r="C40" s="9">
        <f si="0" t="shared"/>
        <v>4.191452941785666E-4</v>
      </c>
      <c r="E40" s="371">
        <v>29</v>
      </c>
      <c r="F40" s="371" t="n">
        <v>2257.0</v>
      </c>
      <c r="G40" s="9">
        <f si="1" t="shared"/>
        <v>6.3137519970505101E-3</v>
      </c>
    </row>
    <row r="41" spans="1:7" x14ac:dyDescent="0.25">
      <c r="A41">
        <v>30</v>
      </c>
      <c r="B41" s="6" t="n">
        <v>540.6124609999999</v>
      </c>
      <c r="C41" s="9">
        <f si="0" t="shared"/>
        <v>2.4027520665772452E-3</v>
      </c>
      <c r="E41" s="371">
        <v>30</v>
      </c>
      <c r="F41" s="371" t="n">
        <v>2046.0</v>
      </c>
      <c r="G41" s="9">
        <f si="1" t="shared"/>
        <v>5.4381221580435046E-3</v>
      </c>
    </row>
    <row r="42" spans="1:7" x14ac:dyDescent="0.25">
      <c r="A42">
        <v>31</v>
      </c>
      <c r="B42" s="6" t="n">
        <v>792.885935</v>
      </c>
      <c r="C42" s="9">
        <f si="0" t="shared"/>
        <v>3.5239815141465663E-3</v>
      </c>
      <c r="E42" s="371">
        <v>31</v>
      </c>
      <c r="F42" s="371" t="n">
        <v>1765.0</v>
      </c>
      <c r="G42" s="9">
        <f si="1" t="shared"/>
        <v>4.9081356765392648E-3</v>
      </c>
    </row>
    <row r="43" spans="1:7" x14ac:dyDescent="0.25">
      <c r="A43">
        <v>32</v>
      </c>
      <c r="B43" s="6" t="n">
        <v>212.169418</v>
      </c>
      <c r="C43" s="9">
        <f si="0" t="shared"/>
        <v>9.4298697188926139E-4</v>
      </c>
      <c r="E43" s="371">
        <v>32</v>
      </c>
      <c r="F43" s="371" t="n">
        <v>1835.0</v>
      </c>
      <c r="G43" s="9">
        <f si="1" t="shared"/>
        <v>4.5586518372864688E-3</v>
      </c>
    </row>
    <row r="44" spans="1:7" x14ac:dyDescent="0.25">
      <c r="A44">
        <v>33</v>
      </c>
      <c r="B44" s="6" t="n">
        <v>1843.919686</v>
      </c>
      <c r="C44" s="9">
        <f si="0" t="shared"/>
        <v>8.1953009887039321E-3</v>
      </c>
      <c r="E44" s="371">
        <v>33</v>
      </c>
      <c r="F44" s="371" t="n">
        <v>1522.0</v>
      </c>
      <c r="G44" s="9">
        <f si="1" t="shared"/>
        <v>3.9249723485313996E-3</v>
      </c>
    </row>
    <row r="45" spans="1:7" x14ac:dyDescent="0.25">
      <c r="A45">
        <v>34</v>
      </c>
      <c r="B45" s="6" t="n">
        <v>2861.48376</v>
      </c>
      <c r="C45" s="9">
        <f si="0" t="shared"/>
        <v>1.2717864484846247E-2</v>
      </c>
      <c r="E45" s="371">
        <v>34</v>
      </c>
      <c r="F45" s="371" t="n">
        <v>1386.0</v>
      </c>
      <c r="G45" s="9">
        <f si="1" t="shared"/>
        <v>3.8212793412805701E-3</v>
      </c>
    </row>
    <row r="46" spans="1:7" x14ac:dyDescent="0.25">
      <c r="A46">
        <v>35</v>
      </c>
      <c r="B46" s="6" t="n">
        <v>445.707057</v>
      </c>
      <c r="C46" s="9">
        <f si="0" t="shared"/>
        <v>1.9809450013672774E-3</v>
      </c>
      <c r="E46" s="371">
        <v>35</v>
      </c>
      <c r="F46" s="371" t="n">
        <v>1268.0</v>
      </c>
      <c r="G46" s="9">
        <f si="1" t="shared"/>
        <v>3.4449121297775594E-3</v>
      </c>
    </row>
    <row r="47" spans="1:7" x14ac:dyDescent="0.25">
      <c r="A47">
        <v>36</v>
      </c>
      <c r="B47" s="6" t="n">
        <v>377.429077</v>
      </c>
      <c r="C47" s="9">
        <f si="0" t="shared"/>
        <v>1.677483521320631E-3</v>
      </c>
      <c r="E47" s="371">
        <v>36</v>
      </c>
      <c r="F47" s="371" t="n">
        <v>1142.0</v>
      </c>
      <c r="G47" s="9">
        <f si="1" t="shared"/>
        <v>3.1146306992749172E-3</v>
      </c>
    </row>
    <row r="48" spans="1:7" x14ac:dyDescent="0.25">
      <c r="A48">
        <v>37</v>
      </c>
      <c r="B48" s="6" t="n">
        <v>673.977191</v>
      </c>
      <c r="C48" s="9">
        <f si="0" t="shared"/>
        <v>2.9954916050319766E-3</v>
      </c>
      <c r="E48" s="371">
        <v>37</v>
      </c>
      <c r="F48" s="371" t="n">
        <v>1044.0</v>
      </c>
      <c r="G48" s="9">
        <f si="1" t="shared"/>
        <v>2.7036991520216296E-3</v>
      </c>
    </row>
    <row r="49" spans="1:7" x14ac:dyDescent="0.25">
      <c r="A49">
        <v>38</v>
      </c>
      <c r="B49" s="6" t="n">
        <v>0.0</v>
      </c>
      <c r="C49" s="9">
        <f si="0" t="shared"/>
        <v>0</v>
      </c>
      <c r="E49" s="371">
        <v>38</v>
      </c>
      <c r="F49" s="371" t="n">
        <v>980.0</v>
      </c>
      <c r="G49" s="9">
        <f si="1" t="shared"/>
        <v>2.8150731227725204E-3</v>
      </c>
    </row>
    <row r="50" spans="1:7" x14ac:dyDescent="0.25">
      <c r="A50">
        <v>39</v>
      </c>
      <c r="B50" s="6" t="n">
        <v>65.654455</v>
      </c>
      <c r="C50" s="9">
        <f si="0" t="shared"/>
        <v>2.9180122326342891E-4</v>
      </c>
      <c r="E50" s="371">
        <v>39</v>
      </c>
      <c r="F50" s="371" t="n">
        <v>892.0</v>
      </c>
      <c r="G50" s="9">
        <f si="1" t="shared"/>
        <v>2.5001536192700013E-3</v>
      </c>
    </row>
    <row r="51" spans="1:7" x14ac:dyDescent="0.25">
      <c r="A51">
        <v>40</v>
      </c>
      <c r="B51" s="6" t="n">
        <v>604.821425</v>
      </c>
      <c r="C51" s="9">
        <f si="0" t="shared"/>
        <v>2.6881288051348569E-3</v>
      </c>
      <c r="E51" s="371">
        <v>40</v>
      </c>
      <c r="F51" s="371" t="n">
        <v>807.0</v>
      </c>
      <c r="G51" s="9">
        <f si="1" t="shared"/>
        <v>2.2274794150178197E-3</v>
      </c>
    </row>
    <row r="52" spans="1:7" x14ac:dyDescent="0.25">
      <c r="A52">
        <v>41</v>
      </c>
      <c r="B52" s="6" t="n">
        <v>374.399546</v>
      </c>
      <c r="C52" s="9">
        <f si="0" t="shared"/>
        <v>1.6640187708826832E-3</v>
      </c>
      <c r="E52" s="371">
        <v>41</v>
      </c>
      <c r="F52" s="371" t="n">
        <v>762.0</v>
      </c>
      <c r="G52" s="9">
        <f si="1" t="shared"/>
        <v>2.0239338822661914E-3</v>
      </c>
    </row>
    <row r="53" spans="1:7" x14ac:dyDescent="0.25">
      <c r="A53">
        <v>42</v>
      </c>
      <c r="B53" s="6" t="n">
        <v>45.577711</v>
      </c>
      <c r="C53" s="9">
        <f si="0" t="shared"/>
        <v>2.0257013516214613E-4</v>
      </c>
      <c r="E53" s="371">
        <v>42</v>
      </c>
      <c r="F53" s="371" t="n">
        <v>664.0</v>
      </c>
      <c r="G53" s="9">
        <f si="1" t="shared"/>
        <v>1.9432837655155462E-3</v>
      </c>
    </row>
    <row r="54" spans="1:7" x14ac:dyDescent="0.25">
      <c r="A54">
        <v>43</v>
      </c>
      <c r="B54" s="6" t="n">
        <v>1221.462775</v>
      </c>
      <c r="C54" s="9">
        <f si="0" t="shared"/>
        <v>5.4287912665750169E-3</v>
      </c>
      <c r="E54" s="371">
        <v>43</v>
      </c>
      <c r="F54" s="371" t="n">
        <v>574.0</v>
      </c>
      <c r="G54" s="9">
        <f si="1" t="shared"/>
        <v>1.570757035762566E-3</v>
      </c>
    </row>
    <row r="55" spans="1:7" x14ac:dyDescent="0.25">
      <c r="A55">
        <v>44</v>
      </c>
      <c r="B55" s="6" t="n">
        <v>242.943668</v>
      </c>
      <c r="C55" s="9">
        <f si="0" t="shared"/>
        <v>1.0797631250842666E-3</v>
      </c>
      <c r="E55" s="371">
        <v>44</v>
      </c>
      <c r="F55" s="371" t="n">
        <v>678.0</v>
      </c>
      <c r="G55" s="9">
        <f si="1" t="shared"/>
        <v>1.5822784810126582E-3</v>
      </c>
    </row>
    <row r="56" spans="1:7" x14ac:dyDescent="0.25">
      <c r="A56">
        <v>45</v>
      </c>
      <c r="B56" s="6" t="n">
        <v>366.016038</v>
      </c>
      <c r="C56" s="9">
        <f si="0" t="shared"/>
        <v>1.6267582698300319E-3</v>
      </c>
      <c r="E56" s="371">
        <v>45</v>
      </c>
      <c r="F56" s="371" t="n">
        <v>490.0</v>
      </c>
      <c r="G56" s="9">
        <f si="1" t="shared"/>
        <v>1.390254393511122E-3</v>
      </c>
    </row>
    <row r="57" spans="1:7" x14ac:dyDescent="0.25">
      <c r="A57">
        <v>46</v>
      </c>
      <c r="B57" s="6" t="n">
        <v>33.485045</v>
      </c>
      <c r="C57" s="9">
        <f si="0" t="shared"/>
        <v>1.4882428149058527E-4</v>
      </c>
      <c r="E57" s="371">
        <v>46</v>
      </c>
      <c r="F57" s="371" t="n">
        <v>472.0</v>
      </c>
      <c r="G57" s="9">
        <f si="1" t="shared"/>
        <v>1.4517021015116136E-3</v>
      </c>
    </row>
    <row r="58" spans="1:7" x14ac:dyDescent="0.25">
      <c r="A58">
        <v>47</v>
      </c>
      <c r="B58" s="6" t="n">
        <v>775.500654</v>
      </c>
      <c r="C58" s="9">
        <f si="0" t="shared"/>
        <v>3.4467126332674478E-3</v>
      </c>
      <c r="E58" s="371">
        <v>47</v>
      </c>
      <c r="F58" s="371" t="n">
        <v>452.0</v>
      </c>
      <c r="G58" s="9">
        <f si="1" t="shared"/>
        <v>1.1636659702593092E-3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432.0</v>
      </c>
      <c r="G59" s="9">
        <f si="1" t="shared"/>
        <v>1.1521445250092172E-3</v>
      </c>
    </row>
    <row r="60" spans="1:7" x14ac:dyDescent="0.25">
      <c r="A60">
        <v>49</v>
      </c>
      <c r="B60" s="6" t="n">
        <v>268.767678</v>
      </c>
      <c r="C60" s="9">
        <f si="0" t="shared"/>
        <v>1.1945379367488676E-3</v>
      </c>
      <c r="E60" s="371">
        <v>49</v>
      </c>
      <c r="F60" s="371" t="n">
        <v>382.0</v>
      </c>
      <c r="G60" s="9">
        <f si="1" t="shared"/>
        <v>1.002365736758019E-3</v>
      </c>
    </row>
    <row r="61" spans="1:7" x14ac:dyDescent="0.25">
      <c r="A61">
        <v>50</v>
      </c>
      <c r="B61" s="6" t="n">
        <v>310.604034</v>
      </c>
      <c r="C61" s="9">
        <f si="0" t="shared"/>
        <v>1.3804796197265771E-3</v>
      </c>
      <c r="E61" s="371">
        <v>50</v>
      </c>
      <c r="F61" s="371" t="n">
        <v>346.0</v>
      </c>
      <c r="G61" s="9">
        <f si="1" t="shared"/>
        <v>9.8700380975789612E-4</v>
      </c>
    </row>
    <row r="62" spans="1:7" x14ac:dyDescent="0.25">
      <c r="A62">
        <v>51</v>
      </c>
      <c r="B62" s="6" t="n">
        <v>352.647108</v>
      </c>
      <c r="C62" s="9">
        <f si="0" t="shared"/>
        <v>1.5673400608490397E-3</v>
      </c>
      <c r="E62" s="371">
        <v>51</v>
      </c>
      <c r="F62" s="371" t="n">
        <v>316.0</v>
      </c>
      <c r="G62" s="9">
        <f si="1" t="shared"/>
        <v>8.3338453975666704E-4</v>
      </c>
    </row>
    <row r="63" spans="1:7" x14ac:dyDescent="0.25">
      <c r="A63">
        <v>52</v>
      </c>
      <c r="B63" s="6" t="n">
        <v>503.68322500000005</v>
      </c>
      <c r="C63" s="9">
        <f si="0" t="shared"/>
        <v>2.2386200782912435E-3</v>
      </c>
      <c r="E63" s="371">
        <v>52</v>
      </c>
      <c r="F63" s="371" t="n">
        <v>297.0</v>
      </c>
      <c r="G63" s="9">
        <f si="1" t="shared"/>
        <v>8.6026791200688219E-4</v>
      </c>
    </row>
    <row r="64" spans="1:7" x14ac:dyDescent="0.25">
      <c r="A64">
        <v>53</v>
      </c>
      <c r="B64" s="6" t="n">
        <v>61.441094</v>
      </c>
      <c r="C64" s="9">
        <f si="0" t="shared"/>
        <v>2.7307494042625629E-4</v>
      </c>
      <c r="E64" s="371">
        <v>53</v>
      </c>
      <c r="F64" s="371" t="n">
        <v>272.0</v>
      </c>
      <c r="G64" s="9">
        <f si="1" t="shared"/>
        <v>7.7193683175617552E-4</v>
      </c>
    </row>
    <row r="65" spans="1:7" x14ac:dyDescent="0.25">
      <c r="A65">
        <v>54</v>
      </c>
      <c r="B65" s="6" t="n">
        <v>80.21537799999999</v>
      </c>
      <c r="C65" s="9">
        <f si="0" t="shared"/>
        <v>3.5651724509689925E-4</v>
      </c>
      <c r="E65" s="371">
        <v>54</v>
      </c>
      <c r="F65" s="371" t="n">
        <v>265.0</v>
      </c>
      <c r="G65" s="9">
        <f si="1" t="shared"/>
        <v>7.3353201425586825E-4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236.0</v>
      </c>
      <c r="G66" s="9">
        <f si="1" t="shared"/>
        <v>6.4904141575519237E-4</v>
      </c>
    </row>
    <row r="67" spans="1:7" x14ac:dyDescent="0.25">
      <c r="A67">
        <v>56</v>
      </c>
      <c r="B67" s="6" t="n">
        <v>570.712884</v>
      </c>
      <c r="C67" s="9">
        <f si="0" t="shared"/>
        <v>2.5365333956911137E-3</v>
      </c>
      <c r="E67" s="371">
        <v>56</v>
      </c>
      <c r="F67" s="371" t="n">
        <v>228.0</v>
      </c>
      <c r="G67" s="9">
        <f si="1" t="shared"/>
        <v>6.759247880054074E-4</v>
      </c>
    </row>
    <row r="68" spans="1:7" x14ac:dyDescent="0.25">
      <c r="A68">
        <v>57</v>
      </c>
      <c r="B68" s="6" t="n">
        <v>295.654074</v>
      </c>
      <c r="C68" s="9">
        <f si="0" t="shared"/>
        <v>1.3140345229583634E-3</v>
      </c>
      <c r="E68" s="371">
        <v>57</v>
      </c>
      <c r="F68" s="371" t="n">
        <v>231.0</v>
      </c>
      <c r="G68" s="9">
        <f si="1" t="shared"/>
        <v>6.1447708000491577E-4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216.0</v>
      </c>
      <c r="G69" s="9">
        <f si="1" t="shared"/>
        <v>5.5686985375445492E-4</v>
      </c>
    </row>
    <row r="70" spans="1:7" x14ac:dyDescent="0.25">
      <c r="A70">
        <v>59</v>
      </c>
      <c r="B70" s="6" t="n">
        <v>462.366312</v>
      </c>
      <c r="C70" s="9">
        <f si="0" t="shared"/>
        <v>2.0549870597113364E-3</v>
      </c>
      <c r="E70" s="371">
        <v>59</v>
      </c>
      <c r="F70" s="371" t="n">
        <v>183.0</v>
      </c>
      <c r="G70" s="9">
        <f si="1" t="shared"/>
        <v>5.0694359100405552E-4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155.0</v>
      </c>
      <c r="G71" s="9">
        <f si="1" t="shared"/>
        <v>4.1861251075334891E-4</v>
      </c>
    </row>
    <row r="72" spans="1:7" x14ac:dyDescent="0.25">
      <c r="A72">
        <v>61</v>
      </c>
      <c r="B72" s="6" t="n">
        <v>222.426854</v>
      </c>
      <c r="C72" s="9">
        <f si="0" t="shared"/>
        <v>9.8857614588128266E-4</v>
      </c>
      <c r="E72" s="371">
        <v>61</v>
      </c>
      <c r="F72" s="371" t="n">
        <v>150.0</v>
      </c>
      <c r="G72" s="9">
        <f si="1" t="shared"/>
        <v>4.3781491950350249E-4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162.0</v>
      </c>
      <c r="G73" s="9">
        <f si="1" t="shared"/>
        <v>3.8404817500307237E-4</v>
      </c>
    </row>
    <row r="74" spans="1:7" x14ac:dyDescent="0.25">
      <c r="A74">
        <v>63</v>
      </c>
      <c r="B74" s="6" t="n">
        <v>238.136848</v>
      </c>
      <c r="C74" s="9">
        <f si="0" t="shared"/>
        <v>1.0583992137395283E-3</v>
      </c>
      <c r="E74" s="371">
        <v>63</v>
      </c>
      <c r="F74" s="371" t="n">
        <v>98.0</v>
      </c>
      <c r="G74" s="9">
        <f si="1" t="shared"/>
        <v>2.880361312523043E-4</v>
      </c>
    </row>
    <row r="75" spans="1:7" x14ac:dyDescent="0.25">
      <c r="A75">
        <v>64</v>
      </c>
      <c r="B75" s="6" t="n">
        <v>135.37043</v>
      </c>
      <c r="C75" s="9">
        <f si="0" t="shared"/>
        <v>6.0165387204411916E-4</v>
      </c>
      <c r="E75" s="371">
        <v>64</v>
      </c>
      <c r="F75" s="371" t="n">
        <v>121.0</v>
      </c>
      <c r="G75" s="9">
        <f si="1" t="shared"/>
        <v>3.6100528450288806E-4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96.0</v>
      </c>
      <c r="G76" s="9">
        <f si="1" t="shared"/>
        <v>3.8404817500307237E-4</v>
      </c>
    </row>
    <row r="77" spans="1:7" x14ac:dyDescent="0.25">
      <c r="A77">
        <v>66</v>
      </c>
      <c r="B77" s="6" t="n">
        <v>163.550678</v>
      </c>
      <c r="C77" s="9">
        <f ref="C77:C102" si="2" t="shared">B77/B$102</f>
        <v>7.2690098342851489E-4</v>
      </c>
      <c r="E77" s="371">
        <v>66</v>
      </c>
      <c r="F77" s="371" t="n">
        <v>118.0</v>
      </c>
      <c r="G77" s="9">
        <f ref="G77:G102" si="3" t="shared">F77/F$102</f>
        <v>3.8404817500307237E-4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102.0</v>
      </c>
      <c r="G78" s="9">
        <f si="3" t="shared"/>
        <v>3.4564335750276515E-4</v>
      </c>
    </row>
    <row r="79" spans="1:7" x14ac:dyDescent="0.25">
      <c r="A79">
        <v>68</v>
      </c>
      <c r="B79" s="6" t="n">
        <v>233.699164</v>
      </c>
      <c r="C79" s="9">
        <f si="2" t="shared"/>
        <v>1.0386759273356347E-3</v>
      </c>
      <c r="E79" s="371">
        <v>68</v>
      </c>
      <c r="F79" s="371" t="n">
        <v>89.0</v>
      </c>
      <c r="G79" s="9">
        <f si="3" t="shared"/>
        <v>2.265884232518127E-4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90.0</v>
      </c>
      <c r="G80" s="9">
        <f si="3" t="shared"/>
        <v>2.9955757650239649E-4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80.0</v>
      </c>
      <c r="G81" s="9">
        <f si="3" t="shared"/>
        <v>2.9571709475236576E-4</v>
      </c>
    </row>
    <row r="82" spans="1:7" x14ac:dyDescent="0.25">
      <c r="A82">
        <v>71</v>
      </c>
      <c r="B82" s="6" t="n">
        <v>78.567796</v>
      </c>
      <c r="C82" s="9">
        <f si="2" t="shared"/>
        <v>3.4919456694768909E-4</v>
      </c>
      <c r="E82" s="371">
        <v>71</v>
      </c>
      <c r="F82" s="371" t="n">
        <v>69.0</v>
      </c>
      <c r="G82" s="9">
        <f si="3" t="shared"/>
        <v>2.4963131375199704E-4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81.0</v>
      </c>
      <c r="G83" s="9">
        <f si="3" t="shared"/>
        <v>2.4963131375199704E-4</v>
      </c>
    </row>
    <row r="84" spans="1:7" x14ac:dyDescent="0.25">
      <c r="A84">
        <v>73</v>
      </c>
      <c r="B84" s="6" t="n">
        <v>41.793933</v>
      </c>
      <c r="C84" s="9">
        <f si="2" t="shared"/>
        <v>1.8575313395549154E-4</v>
      </c>
      <c r="E84" s="371">
        <v>73</v>
      </c>
      <c r="F84" s="371" t="n">
        <v>71.0</v>
      </c>
      <c r="G84" s="9">
        <f si="3" t="shared"/>
        <v>2.4195035025193561E-4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55.0</v>
      </c>
      <c r="G85" s="9">
        <f si="3" t="shared"/>
        <v>1.8050264225144403E-4</v>
      </c>
    </row>
    <row r="86" spans="1:7" x14ac:dyDescent="0.25">
      <c r="A86">
        <v>75</v>
      </c>
      <c r="B86" s="6" t="n">
        <v>48.015299</v>
      </c>
      <c r="C86" s="9">
        <f si="2" t="shared"/>
        <v>2.1340399495448247E-4</v>
      </c>
      <c r="E86" s="371">
        <v>75</v>
      </c>
      <c r="F86" s="371" t="n">
        <v>64.0</v>
      </c>
      <c r="G86" s="9">
        <f si="3" t="shared"/>
        <v>1.6514071525132112E-4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42.0</v>
      </c>
      <c r="G87" s="9">
        <f si="3" t="shared"/>
        <v>1.6514071525132112E-4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46.0</v>
      </c>
      <c r="G88" s="9">
        <f si="3" t="shared"/>
        <v>1.766621605014133E-4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43.0</v>
      </c>
      <c r="G89" s="9">
        <f si="3" t="shared"/>
        <v>1.1521445250092171E-4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53.0</v>
      </c>
      <c r="G90" s="9">
        <f si="3" t="shared"/>
        <v>1.1137397075089099E-4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42.0</v>
      </c>
      <c r="G91" s="9">
        <f si="3" t="shared"/>
        <v>1.5361927000122894E-4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49.0</v>
      </c>
      <c r="G92" s="9">
        <f si="3" t="shared"/>
        <v>1.1905493425095244E-4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35.0</v>
      </c>
      <c r="G93" s="9">
        <f si="3" t="shared"/>
        <v>1.2289541600098315E-4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44.0</v>
      </c>
      <c r="G94" s="9">
        <f si="3" t="shared"/>
        <v>9.2171562000737379E-5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32.0</v>
      </c>
      <c r="G95" s="9">
        <f si="3" t="shared"/>
        <v>1.3057637950104461E-4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31.0</v>
      </c>
      <c r="G96" s="9">
        <f si="3" t="shared"/>
        <v>8.0650116750645198E-5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35.0</v>
      </c>
      <c r="G97" s="9">
        <f si="3" t="shared"/>
        <v>1.2289541600098315E-4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31.0</v>
      </c>
      <c r="G98" s="9">
        <f si="3" t="shared"/>
        <v>8.0650116750645198E-5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32.0</v>
      </c>
      <c r="G99" s="9">
        <f si="3" t="shared"/>
        <v>6.9128671500553031E-5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23.0</v>
      </c>
      <c r="G100" s="9">
        <f si="3" t="shared"/>
        <v>1.1521445250092171E-4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678.0</v>
      </c>
      <c r="G101" s="9">
        <f si="3" t="shared"/>
        <v>2.4463868747695711E-3</v>
      </c>
    </row>
    <row r="102" spans="1:7" x14ac:dyDescent="0.25">
      <c r="B102" s="6">
        <f>SUM(B11:B101)</f>
        <v>224997.18906500001</v>
      </c>
      <c r="C102" s="9">
        <f si="2" t="shared"/>
        <v>1</v>
      </c>
      <c r="F102" s="6">
        <f>SUM(F11:F101)</f>
        <v>260384</v>
      </c>
      <c r="G102" s="9">
        <f si="3" t="shared"/>
        <v>1</v>
      </c>
    </row>
  </sheetData>
  <pageMargins bottom="0.75" footer="0.3" header="0.3" left="0.7" right="0.7" top="0.75"/>
  <drawing r:id="rId1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5"/>
  <dimension ref="A1:M102"/>
  <sheetViews>
    <sheetView workbookViewId="0">
      <selection activeCell="B11" sqref="B11:B101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12.0" collapsed="true"/>
  </cols>
  <sheetData>
    <row r="1" spans="1:12" x14ac:dyDescent="0.25">
      <c r="A1" t="s">
        <v>1</v>
      </c>
    </row>
    <row r="2" spans="1:12" x14ac:dyDescent="0.25">
      <c r="A2" t="s">
        <v>19</v>
      </c>
    </row>
    <row r="3" spans="1:12" x14ac:dyDescent="0.25">
      <c r="A3" t="s">
        <v>20</v>
      </c>
    </row>
    <row r="4" spans="1:12" x14ac:dyDescent="0.25">
      <c r="A4" t="s">
        <v>4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3" t="s">
        <v>16</v>
      </c>
      <c r="B9" s="1"/>
      <c r="E9" s="3" t="s">
        <v>10</v>
      </c>
      <c r="F9" s="1"/>
      <c r="G9" s="5"/>
      <c r="J9" s="8" t="s">
        <v>14</v>
      </c>
    </row>
    <row r="10" spans="1:12" x14ac:dyDescent="0.25">
      <c r="A10" s="2" t="s">
        <v>2</v>
      </c>
      <c r="B10" s="4" t="s">
        <v>3</v>
      </c>
      <c r="C10" s="4" t="s">
        <v>17</v>
      </c>
      <c r="E10" s="2" t="s">
        <v>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35500.89803</v>
      </c>
      <c r="C11" s="9">
        <f>B11/B$102</f>
        <v>0.10498034790787446</v>
      </c>
      <c r="E11" s="371">
        <v>0</v>
      </c>
      <c r="F11" s="371" t="n">
        <v>67403.0</v>
      </c>
      <c r="G11" s="9">
        <f>F11/F$102</f>
        <v>0.15132021444937807</v>
      </c>
      <c r="K11" s="6" t="n">
        <v>5.926108329955904</v>
      </c>
      <c r="L11" s="6" t="n">
        <v>5.761545674600489</v>
      </c>
    </row>
    <row r="12" spans="1:12" x14ac:dyDescent="0.25">
      <c r="A12">
        <v>1</v>
      </c>
      <c r="B12" s="6" t="n">
        <v>50651.99851</v>
      </c>
      <c r="C12" s="9">
        <f>B12/B$102</f>
        <v>0.14978394127707476</v>
      </c>
      <c r="E12" s="371">
        <v>1</v>
      </c>
      <c r="F12" s="371" t="n">
        <v>63311.0</v>
      </c>
      <c r="G12" s="9">
        <f>F12/F$102</f>
        <v>0.14072612492429803</v>
      </c>
      <c r="K12" s="6"/>
      <c r="L12" s="371"/>
    </row>
    <row r="13" spans="1:12" x14ac:dyDescent="0.25">
      <c r="A13">
        <v>2</v>
      </c>
      <c r="B13" s="6" t="n">
        <v>50601.285845</v>
      </c>
      <c r="C13" s="9">
        <f ref="C13:C76" si="0" t="shared">B13/B$102</f>
        <v>0.14963397793782243</v>
      </c>
      <c r="E13" s="371">
        <v>2</v>
      </c>
      <c r="F13" s="371" t="n">
        <v>57437.0</v>
      </c>
      <c r="G13" s="9">
        <f ref="G13:G76" si="1" t="shared">F13/F$102</f>
        <v>0.13294242743076584</v>
      </c>
    </row>
    <row r="14" spans="1:12" x14ac:dyDescent="0.25">
      <c r="A14">
        <v>3</v>
      </c>
      <c r="B14" s="6" t="n">
        <v>38796.359699</v>
      </c>
      <c r="C14" s="9">
        <f si="0" t="shared"/>
        <v>0.11472541723643997</v>
      </c>
      <c r="E14" s="371">
        <v>3</v>
      </c>
      <c r="F14" s="371" t="n">
        <v>50738.0</v>
      </c>
      <c r="G14" s="9">
        <f si="1" t="shared"/>
        <v>0.11452835928364308</v>
      </c>
    </row>
    <row r="15" spans="1:12" x14ac:dyDescent="0.25">
      <c r="A15">
        <v>4</v>
      </c>
      <c r="B15" s="6" t="n">
        <v>29887.901782</v>
      </c>
      <c r="C15" s="9">
        <f si="0" t="shared"/>
        <v>8.8382055142922855E-2</v>
      </c>
      <c r="E15" s="371">
        <v>4</v>
      </c>
      <c r="F15" s="371" t="n">
        <v>38219.0</v>
      </c>
      <c r="G15" s="9">
        <f si="1" t="shared"/>
        <v>9.0778174389430463E-2</v>
      </c>
    </row>
    <row r="16" spans="1:12" x14ac:dyDescent="0.25">
      <c r="A16">
        <v>5</v>
      </c>
      <c r="B16" s="6" t="n">
        <v>20023.750552</v>
      </c>
      <c r="C16" s="9">
        <f si="0" t="shared"/>
        <v>5.9212595061484803E-2</v>
      </c>
      <c r="E16" s="371">
        <v>5</v>
      </c>
      <c r="F16" s="371" t="n">
        <v>29525.0</v>
      </c>
      <c r="G16" s="9">
        <f si="1" t="shared"/>
        <v>7.0044904873671904E-2</v>
      </c>
    </row>
    <row r="17" spans="1:7" x14ac:dyDescent="0.25">
      <c r="A17">
        <v>6</v>
      </c>
      <c r="B17" s="6" t="n">
        <v>20880.601051</v>
      </c>
      <c r="C17" s="9">
        <f si="0" t="shared"/>
        <v>6.1746403175691987E-2</v>
      </c>
      <c r="E17" s="371">
        <v>6</v>
      </c>
      <c r="F17" s="371" t="n">
        <v>21550.0</v>
      </c>
      <c r="G17" s="9">
        <f si="1" t="shared"/>
        <v>5.1055920382458909E-2</v>
      </c>
    </row>
    <row r="18" spans="1:7" x14ac:dyDescent="0.25">
      <c r="A18">
        <v>7</v>
      </c>
      <c r="B18" s="6" t="n">
        <v>12299.629363</v>
      </c>
      <c r="C18" s="9">
        <f si="0" t="shared"/>
        <v>3.6371456535395377E-2</v>
      </c>
      <c r="E18" s="371">
        <v>7</v>
      </c>
      <c r="F18" s="371" t="n">
        <v>16358.0</v>
      </c>
      <c r="G18" s="9">
        <f si="1" t="shared"/>
        <v>3.8106348360232536E-2</v>
      </c>
    </row>
    <row r="19" spans="1:7" x14ac:dyDescent="0.25">
      <c r="A19">
        <v>8</v>
      </c>
      <c r="B19" s="6" t="n">
        <v>13045.58132</v>
      </c>
      <c r="C19" s="9">
        <f si="0" t="shared"/>
        <v>3.857732456448703E-2</v>
      </c>
      <c r="E19" s="371">
        <v>8</v>
      </c>
      <c r="F19" s="371" t="n">
        <v>11832.0</v>
      </c>
      <c r="G19" s="9">
        <f si="1" t="shared"/>
        <v>2.6725237432077543E-2</v>
      </c>
    </row>
    <row r="20" spans="1:7" x14ac:dyDescent="0.25">
      <c r="A20">
        <v>9</v>
      </c>
      <c r="B20" s="6" t="n">
        <v>10063.581207</v>
      </c>
      <c r="C20" s="9">
        <f si="0" t="shared"/>
        <v>2.9759198074855213E-2</v>
      </c>
      <c r="E20" s="371">
        <v>9</v>
      </c>
      <c r="F20" s="371" t="n">
        <v>9849.0</v>
      </c>
      <c r="G20" s="9">
        <f si="1" t="shared"/>
        <v>2.2192887224298311E-2</v>
      </c>
    </row>
    <row r="21" spans="1:7" x14ac:dyDescent="0.25">
      <c r="A21">
        <v>10</v>
      </c>
      <c r="B21" s="6" t="n">
        <v>9463.598341</v>
      </c>
      <c r="C21" s="9">
        <f si="0" t="shared"/>
        <v>2.7984977885883743E-2</v>
      </c>
      <c r="E21" s="371">
        <v>10</v>
      </c>
      <c r="F21" s="371" t="n">
        <v>8572.0</v>
      </c>
      <c r="G21" s="9">
        <f si="1" t="shared"/>
        <v>1.9653208228559947E-2</v>
      </c>
    </row>
    <row r="22" spans="1:7" x14ac:dyDescent="0.25">
      <c r="A22">
        <v>11</v>
      </c>
      <c r="B22" s="6" t="n">
        <v>5700.386383</v>
      </c>
      <c r="C22" s="9">
        <f si="0" t="shared"/>
        <v>1.6856715714372878E-2</v>
      </c>
      <c r="E22" s="371">
        <v>11</v>
      </c>
      <c r="F22" s="371" t="n">
        <v>7704.0</v>
      </c>
      <c r="G22" s="9">
        <f si="1" t="shared"/>
        <v>1.7830779234914725E-2</v>
      </c>
    </row>
    <row r="23" spans="1:7" x14ac:dyDescent="0.25">
      <c r="A23">
        <v>12</v>
      </c>
      <c r="B23" s="6" t="n">
        <v>4378.127122</v>
      </c>
      <c r="C23" s="9">
        <f si="0" t="shared"/>
        <v>1.2946638929078977E-2</v>
      </c>
      <c r="E23" s="371">
        <v>12</v>
      </c>
      <c r="F23" s="371" t="n">
        <v>6909.0</v>
      </c>
      <c r="G23" s="9">
        <f si="1" t="shared"/>
        <v>1.6156265611350969E-2</v>
      </c>
    </row>
    <row r="24" spans="1:7" x14ac:dyDescent="0.25">
      <c r="A24">
        <v>13</v>
      </c>
      <c r="B24" s="6" t="n">
        <v>6308.915478</v>
      </c>
      <c r="C24" s="9">
        <f si="0" t="shared"/>
        <v>1.865620811175334E-2</v>
      </c>
      <c r="E24" s="371">
        <v>13</v>
      </c>
      <c r="F24" s="371" t="n">
        <v>6126.0</v>
      </c>
      <c r="G24" s="9">
        <f si="1" t="shared"/>
        <v>1.3410063268706411E-2</v>
      </c>
    </row>
    <row r="25" spans="1:7" x14ac:dyDescent="0.25">
      <c r="A25">
        <v>14</v>
      </c>
      <c r="B25" s="6" t="n">
        <v>4414.617047</v>
      </c>
      <c r="C25" s="9">
        <f si="0" t="shared"/>
        <v>1.3054543946535017E-2</v>
      </c>
      <c r="E25" s="371">
        <v>14</v>
      </c>
      <c r="F25" s="371" t="n">
        <v>5366.0</v>
      </c>
      <c r="G25" s="9">
        <f si="1" t="shared"/>
        <v>1.1411810344586996E-2</v>
      </c>
    </row>
    <row r="26" spans="1:7" x14ac:dyDescent="0.25">
      <c r="A26">
        <v>15</v>
      </c>
      <c r="B26" s="6" t="n">
        <v>3455.479745</v>
      </c>
      <c r="C26" s="9">
        <f si="0" t="shared"/>
        <v>1.0218261676427608E-2</v>
      </c>
      <c r="E26" s="371">
        <v>15</v>
      </c>
      <c r="F26" s="371" t="n">
        <v>4924.0</v>
      </c>
      <c r="G26" s="9">
        <f si="1" t="shared"/>
        <v>1.0292677072838551E-2</v>
      </c>
    </row>
    <row r="27" spans="1:7" x14ac:dyDescent="0.25">
      <c r="A27">
        <v>16</v>
      </c>
      <c r="B27" s="6" t="n">
        <v>1515.173188</v>
      </c>
      <c r="C27" s="9">
        <f si="0" t="shared"/>
        <v>4.480546049356467E-3</v>
      </c>
      <c r="E27" s="371">
        <v>16</v>
      </c>
      <c r="F27" s="371" t="n">
        <v>4103.0</v>
      </c>
      <c r="G27" s="9">
        <f si="1" t="shared"/>
        <v>9.0507461353621001E-3</v>
      </c>
    </row>
    <row r="28" spans="1:7" x14ac:dyDescent="0.25">
      <c r="A28">
        <v>17</v>
      </c>
      <c r="B28" s="6" t="n">
        <v>1531.103514</v>
      </c>
      <c r="C28" s="9">
        <f si="0" t="shared"/>
        <v>4.527653904609949E-3</v>
      </c>
      <c r="E28" s="371">
        <v>17</v>
      </c>
      <c r="F28" s="371" t="n">
        <v>3442.0</v>
      </c>
      <c r="G28" s="9">
        <f si="1" t="shared"/>
        <v>7.7725340693750996E-3</v>
      </c>
    </row>
    <row r="29" spans="1:7" x14ac:dyDescent="0.25">
      <c r="A29">
        <v>18</v>
      </c>
      <c r="B29" s="6" t="n">
        <v>2842.587913</v>
      </c>
      <c r="C29" s="9">
        <f si="0" t="shared"/>
        <v>8.4058681505262984E-3</v>
      </c>
      <c r="E29" s="371">
        <v>18</v>
      </c>
      <c r="F29" s="371" t="n">
        <v>3181.0</v>
      </c>
      <c r="G29" s="9">
        <f si="1" t="shared"/>
        <v>6.7789893193939375E-3</v>
      </c>
    </row>
    <row r="30" spans="1:7" x14ac:dyDescent="0.25">
      <c r="A30">
        <v>19</v>
      </c>
      <c r="B30" s="6" t="n">
        <v>1838.207103</v>
      </c>
      <c r="C30" s="9">
        <f si="0" t="shared"/>
        <v>5.4357954842886554E-3</v>
      </c>
      <c r="E30" s="371">
        <v>19</v>
      </c>
      <c r="F30" s="371" t="n">
        <v>2742.0</v>
      </c>
      <c r="G30" s="9">
        <f si="1" t="shared"/>
        <v>5.802189705648414E-3</v>
      </c>
    </row>
    <row r="31" spans="1:7" x14ac:dyDescent="0.25">
      <c r="A31">
        <v>20</v>
      </c>
      <c r="B31" s="6" t="n">
        <v>1743.549874</v>
      </c>
      <c r="C31" s="9">
        <f si="0" t="shared"/>
        <v>5.1558828797112176E-3</v>
      </c>
      <c r="E31" s="371">
        <v>20</v>
      </c>
      <c r="F31" s="371" t="n">
        <v>2534.0</v>
      </c>
      <c r="G31" s="9">
        <f si="1" t="shared"/>
        <v>5.0430768629661773E-3</v>
      </c>
    </row>
    <row r="32" spans="1:7" x14ac:dyDescent="0.25">
      <c r="A32">
        <v>21</v>
      </c>
      <c r="B32" s="6" t="n">
        <v>1459.212167</v>
      </c>
      <c r="C32" s="9">
        <f si="0" t="shared"/>
        <v>4.3150627016142386E-3</v>
      </c>
      <c r="E32" s="371">
        <v>21</v>
      </c>
      <c r="F32" s="371" t="n">
        <v>2203.0</v>
      </c>
      <c r="G32" s="9">
        <f si="1" t="shared"/>
        <v>4.429088534326134E-3</v>
      </c>
    </row>
    <row r="33" spans="1:7" x14ac:dyDescent="0.25">
      <c r="A33">
        <v>22</v>
      </c>
      <c r="B33" s="6" t="n">
        <v>1880.011942</v>
      </c>
      <c r="C33" s="9">
        <f si="0" t="shared"/>
        <v>5.5594173301006695E-3</v>
      </c>
      <c r="E33" s="371">
        <v>22</v>
      </c>
      <c r="F33" s="371" t="n">
        <v>1895.0</v>
      </c>
      <c r="G33" s="9">
        <f si="1" t="shared"/>
        <v>4.0104601284351952E-3</v>
      </c>
    </row>
    <row r="34" spans="1:7" x14ac:dyDescent="0.25">
      <c r="A34">
        <v>23</v>
      </c>
      <c r="B34" s="6" t="n">
        <v>1353.447011</v>
      </c>
      <c r="C34" s="9">
        <f si="0" t="shared"/>
        <v>4.0023026451213636E-3</v>
      </c>
      <c r="E34" s="371">
        <v>23</v>
      </c>
      <c r="F34" s="371" t="n">
        <v>1668.0</v>
      </c>
      <c r="G34" s="9">
        <f si="1" t="shared"/>
        <v>3.7816099332148149E-3</v>
      </c>
    </row>
    <row r="35" spans="1:7" x14ac:dyDescent="0.25">
      <c r="A35">
        <v>24</v>
      </c>
      <c r="B35" s="6" t="n">
        <v>1445.946166</v>
      </c>
      <c r="C35" s="9">
        <f si="0" t="shared"/>
        <v>4.2758335700258119E-3</v>
      </c>
      <c r="E35" s="371">
        <v>24</v>
      </c>
      <c r="F35" s="371" t="n">
        <v>1535.0</v>
      </c>
      <c r="G35" s="9">
        <f si="1" t="shared"/>
        <v>3.2346021495173213E-3</v>
      </c>
    </row>
    <row r="36" spans="1:7" x14ac:dyDescent="0.25">
      <c r="A36">
        <v>25</v>
      </c>
      <c r="B36" s="6" t="n">
        <v>1067.948231</v>
      </c>
      <c r="C36" s="9">
        <f si="0" t="shared"/>
        <v>3.1580490370479537E-3</v>
      </c>
      <c r="E36" s="371">
        <v>25</v>
      </c>
      <c r="F36" s="371" t="n">
        <v>1376.0</v>
      </c>
      <c r="G36" s="9">
        <f si="1" t="shared"/>
        <v>2.835509735901293E-3</v>
      </c>
    </row>
    <row r="37" spans="1:7" x14ac:dyDescent="0.25">
      <c r="A37">
        <v>26</v>
      </c>
      <c r="B37" s="6" t="n">
        <v>722.016088</v>
      </c>
      <c r="C37" s="9">
        <f si="0" t="shared"/>
        <v>2.135086837782805E-3</v>
      </c>
      <c r="E37" s="371">
        <v>26</v>
      </c>
      <c r="F37" s="371" t="n">
        <v>1226.0</v>
      </c>
      <c r="G37" s="9">
        <f si="1" t="shared"/>
        <v>2.7127120701732842E-3</v>
      </c>
    </row>
    <row r="38" spans="1:7" x14ac:dyDescent="0.25">
      <c r="A38">
        <v>27</v>
      </c>
      <c r="B38" s="6" t="n">
        <v>312.543428</v>
      </c>
      <c r="C38" s="9">
        <f si="0" t="shared"/>
        <v>9.2422782601253865E-4</v>
      </c>
      <c r="E38" s="371">
        <v>27</v>
      </c>
      <c r="F38" s="371" t="n">
        <v>1171.0</v>
      </c>
      <c r="G38" s="9">
        <f si="1" t="shared"/>
        <v>2.5536332759347274E-3</v>
      </c>
    </row>
    <row r="39" spans="1:7" x14ac:dyDescent="0.25">
      <c r="A39">
        <v>28</v>
      </c>
      <c r="B39" s="6" t="n">
        <v>268.801576</v>
      </c>
      <c r="C39" s="9">
        <f si="0" t="shared"/>
        <v>7.9487800401045132E-4</v>
      </c>
      <c r="E39" s="371">
        <v>28</v>
      </c>
      <c r="F39" s="371" t="n">
        <v>1092.0</v>
      </c>
      <c r="G39" s="9">
        <f si="1" t="shared"/>
        <v>2.2466391116147057E-3</v>
      </c>
    </row>
    <row r="40" spans="1:7" x14ac:dyDescent="0.25">
      <c r="A40">
        <v>29</v>
      </c>
      <c r="B40" s="6" t="n">
        <v>115.739951</v>
      </c>
      <c r="C40" s="9">
        <f si="0" t="shared"/>
        <v>3.4225670326853828E-4</v>
      </c>
      <c r="E40" s="371">
        <v>29</v>
      </c>
      <c r="F40" s="371" t="n">
        <v>909.0</v>
      </c>
      <c r="G40" s="9">
        <f si="1" t="shared"/>
        <v>1.7917295772132186E-3</v>
      </c>
    </row>
    <row r="41" spans="1:7" x14ac:dyDescent="0.25">
      <c r="A41">
        <v>30</v>
      </c>
      <c r="B41" s="6" t="n">
        <v>102.628638</v>
      </c>
      <c r="C41" s="9">
        <f si="0" t="shared"/>
        <v>3.0348500236379247E-4</v>
      </c>
      <c r="E41" s="371">
        <v>30</v>
      </c>
      <c r="F41" s="371" t="n">
        <v>793.0</v>
      </c>
      <c r="G41" s="9">
        <f si="1" t="shared"/>
        <v>1.6689319114852098E-3</v>
      </c>
    </row>
    <row r="42" spans="1:7" x14ac:dyDescent="0.25">
      <c r="A42">
        <v>31</v>
      </c>
      <c r="B42" s="6" t="n">
        <v>330.804191</v>
      </c>
      <c r="C42" s="9">
        <f si="0" t="shared"/>
        <v>9.782270586849984E-4</v>
      </c>
      <c r="E42" s="371">
        <v>31</v>
      </c>
      <c r="F42" s="371" t="n">
        <v>636.0</v>
      </c>
      <c r="G42" s="9">
        <f si="1" t="shared"/>
        <v>1.3451926109295505E-3</v>
      </c>
    </row>
    <row r="43" spans="1:7" x14ac:dyDescent="0.25">
      <c r="A43">
        <v>32</v>
      </c>
      <c r="B43" s="6" t="n">
        <v>359.173598</v>
      </c>
      <c r="C43" s="9">
        <f si="0" t="shared"/>
        <v>1.0621187454328475E-3</v>
      </c>
      <c r="E43" s="371">
        <v>32</v>
      </c>
      <c r="F43" s="371" t="n">
        <v>629.0</v>
      </c>
      <c r="G43" s="9">
        <f si="1" t="shared"/>
        <v>1.1498326881804455E-3</v>
      </c>
    </row>
    <row r="44" spans="1:7" x14ac:dyDescent="0.25">
      <c r="A44">
        <v>33</v>
      </c>
      <c r="B44" s="6" t="n">
        <v>37.361886</v>
      </c>
      <c r="C44" s="9">
        <f si="0" t="shared"/>
        <v>1.1048350910615948E-4</v>
      </c>
      <c r="E44" s="371">
        <v>33</v>
      </c>
      <c r="F44" s="371" t="n">
        <v>472.0</v>
      </c>
      <c r="G44" s="9">
        <f si="1" t="shared"/>
        <v>9.9633560602043468E-4</v>
      </c>
    </row>
    <row r="45" spans="1:7" x14ac:dyDescent="0.25">
      <c r="A45">
        <v>34</v>
      </c>
      <c r="B45" s="6" t="n">
        <v>873.046523</v>
      </c>
      <c r="C45" s="9">
        <f si="0" t="shared"/>
        <v>2.5817016698239316E-3</v>
      </c>
      <c r="E45" s="371">
        <v>34</v>
      </c>
      <c r="F45" s="371" t="n">
        <v>376.0</v>
      </c>
      <c r="G45" s="9">
        <f si="1" t="shared"/>
        <v>8.4562937989969664E-4</v>
      </c>
    </row>
    <row r="46" spans="1:7" x14ac:dyDescent="0.25">
      <c r="A46">
        <v>35</v>
      </c>
      <c r="B46" s="6" t="n">
        <v>161.236286</v>
      </c>
      <c r="C46" s="9">
        <f si="0" t="shared"/>
        <v>4.767947386950524E-4</v>
      </c>
      <c r="E46" s="371">
        <v>35</v>
      </c>
      <c r="F46" s="371" t="n">
        <v>321.0</v>
      </c>
      <c r="G46" s="9">
        <f si="1" t="shared"/>
        <v>7.3957685040732543E-4</v>
      </c>
    </row>
    <row r="47" spans="1:7" x14ac:dyDescent="0.25">
      <c r="A47">
        <v>36</v>
      </c>
      <c r="B47" s="6" t="n">
        <v>683.699354</v>
      </c>
      <c r="C47" s="9">
        <f si="0" t="shared"/>
        <v>2.0217797303790914E-3</v>
      </c>
      <c r="E47" s="371">
        <v>36</v>
      </c>
      <c r="F47" s="371" t="n">
        <v>296.0</v>
      </c>
      <c r="G47" s="9">
        <f si="1" t="shared"/>
        <v>5.1630836726549139E-4</v>
      </c>
    </row>
    <row r="48" spans="1:7" x14ac:dyDescent="0.25">
      <c r="A48">
        <v>37</v>
      </c>
      <c r="B48" s="6" t="n">
        <v>590.580614</v>
      </c>
      <c r="C48" s="9">
        <f si="0" t="shared"/>
        <v>1.7464166194605449E-3</v>
      </c>
      <c r="E48" s="371">
        <v>37</v>
      </c>
      <c r="F48" s="371" t="n">
        <v>249.0</v>
      </c>
      <c r="G48" s="9">
        <f si="1" t="shared"/>
        <v>5.1630836726549139E-4</v>
      </c>
    </row>
    <row r="49" spans="1:7" x14ac:dyDescent="0.25">
      <c r="A49">
        <v>38</v>
      </c>
      <c r="B49" s="6" t="n">
        <v>24.04211</v>
      </c>
      <c r="C49" s="9">
        <f si="0" t="shared"/>
        <v>7.109535849224229E-5</v>
      </c>
      <c r="E49" s="371">
        <v>38</v>
      </c>
      <c r="F49" s="371" t="n">
        <v>186.0</v>
      </c>
      <c r="G49" s="9">
        <f si="1" t="shared"/>
        <v>4.0467412569457432E-4</v>
      </c>
    </row>
    <row r="50" spans="1:7" x14ac:dyDescent="0.25">
      <c r="A50">
        <v>39</v>
      </c>
      <c r="B50" s="6" t="n">
        <v>0.0</v>
      </c>
      <c r="C50" s="9">
        <f si="0" t="shared"/>
        <v>0</v>
      </c>
      <c r="E50" s="371">
        <v>39</v>
      </c>
      <c r="F50" s="371" t="n">
        <v>171.0</v>
      </c>
      <c r="G50" s="9">
        <f si="1" t="shared"/>
        <v>3.8513813341966381E-4</v>
      </c>
    </row>
    <row r="51" spans="1:7" x14ac:dyDescent="0.25">
      <c r="A51">
        <v>40</v>
      </c>
      <c r="B51" s="6" t="n">
        <v>0.0</v>
      </c>
      <c r="C51" s="9">
        <f si="0" t="shared"/>
        <v>0</v>
      </c>
      <c r="E51" s="371">
        <v>40</v>
      </c>
      <c r="F51" s="371" t="n">
        <v>136.0</v>
      </c>
      <c r="G51" s="9">
        <f si="1" t="shared"/>
        <v>3.3490272471275117E-4</v>
      </c>
    </row>
    <row r="52" spans="1:7" x14ac:dyDescent="0.25">
      <c r="A52">
        <v>41</v>
      </c>
      <c r="B52" s="6" t="n">
        <v>706.229286</v>
      </c>
      <c r="C52" s="9">
        <f si="0" t="shared"/>
        <v>2.0884033999466066E-3</v>
      </c>
      <c r="E52" s="371">
        <v>41</v>
      </c>
      <c r="F52" s="371" t="n">
        <v>118.0</v>
      </c>
      <c r="G52" s="9">
        <f si="1" t="shared"/>
        <v>2.9303988412365724E-4</v>
      </c>
    </row>
    <row r="53" spans="1:7" x14ac:dyDescent="0.25">
      <c r="A53">
        <v>42</v>
      </c>
      <c r="B53" s="6" t="n">
        <v>131.939256</v>
      </c>
      <c r="C53" s="9">
        <f si="0" t="shared"/>
        <v>3.9015996118975117E-4</v>
      </c>
      <c r="E53" s="371">
        <v>42</v>
      </c>
      <c r="F53" s="371" t="n">
        <v>105.0</v>
      </c>
      <c r="G53" s="9">
        <f si="1" t="shared"/>
        <v>2.344319072989258E-4</v>
      </c>
    </row>
    <row r="54" spans="1:7" x14ac:dyDescent="0.25">
      <c r="A54">
        <v>43</v>
      </c>
      <c r="B54" s="6" t="n">
        <v>0.0</v>
      </c>
      <c r="C54" s="9">
        <f si="0" t="shared"/>
        <v>0</v>
      </c>
      <c r="E54" s="371">
        <v>43</v>
      </c>
      <c r="F54" s="371" t="n">
        <v>106.0</v>
      </c>
      <c r="G54" s="9">
        <f si="1" t="shared"/>
        <v>2.0931420294546945E-4</v>
      </c>
    </row>
    <row r="55" spans="1:7" x14ac:dyDescent="0.25">
      <c r="A55">
        <v>44</v>
      </c>
      <c r="B55" s="6" t="n">
        <v>251.979787</v>
      </c>
      <c r="C55" s="9">
        <f si="0" t="shared"/>
        <v>7.4513398738978618E-4</v>
      </c>
      <c r="E55" s="371">
        <v>44</v>
      </c>
      <c r="F55" s="371" t="n">
        <v>85.0</v>
      </c>
      <c r="G55" s="9">
        <f si="1" t="shared"/>
        <v>1.7303307443492142E-4</v>
      </c>
    </row>
    <row r="56" spans="1:7" x14ac:dyDescent="0.25">
      <c r="A56">
        <v>45</v>
      </c>
      <c r="B56" s="6" t="n">
        <v>161.236286</v>
      </c>
      <c r="C56" s="9">
        <f si="0" t="shared"/>
        <v>4.767947386950524E-4</v>
      </c>
      <c r="E56" s="371">
        <v>45</v>
      </c>
      <c r="F56" s="371" t="n">
        <v>72.0</v>
      </c>
      <c r="G56" s="9">
        <f si="1" t="shared"/>
        <v>1.5070622612073801E-4</v>
      </c>
    </row>
    <row r="57" spans="1:7" x14ac:dyDescent="0.25">
      <c r="A57">
        <v>46</v>
      </c>
      <c r="B57" s="6" t="n">
        <v>61.176273</v>
      </c>
      <c r="C57" s="9">
        <f si="0" t="shared"/>
        <v>1.8090546379474523E-4</v>
      </c>
      <c r="E57" s="371">
        <v>46</v>
      </c>
      <c r="F57" s="371" t="n">
        <v>84.0</v>
      </c>
      <c r="G57" s="9">
        <f si="1" t="shared"/>
        <v>1.2558852176728169E-4</v>
      </c>
    </row>
    <row r="58" spans="1:7" x14ac:dyDescent="0.25">
      <c r="A58">
        <v>47</v>
      </c>
      <c r="B58" s="6" t="n">
        <v>0.0</v>
      </c>
      <c r="C58" s="9">
        <f si="0" t="shared"/>
        <v>0</v>
      </c>
      <c r="E58" s="371">
        <v>47</v>
      </c>
      <c r="F58" s="371" t="n">
        <v>56.0</v>
      </c>
      <c r="G58" s="9">
        <f si="1" t="shared"/>
        <v>9.7679961374552419E-5</v>
      </c>
    </row>
    <row r="59" spans="1:7" x14ac:dyDescent="0.25">
      <c r="A59">
        <v>48</v>
      </c>
      <c r="B59" s="6" t="n">
        <v>0.0</v>
      </c>
      <c r="C59" s="9">
        <f si="0" t="shared"/>
        <v>0</v>
      </c>
      <c r="E59" s="371">
        <v>48</v>
      </c>
      <c r="F59" s="371" t="n">
        <v>31.0</v>
      </c>
      <c r="G59" s="9">
        <f si="1" t="shared"/>
        <v>1.2558852176728169E-4</v>
      </c>
    </row>
    <row r="60" spans="1:7" x14ac:dyDescent="0.25">
      <c r="A60">
        <v>49</v>
      </c>
      <c r="B60" s="6" t="n">
        <v>0.0</v>
      </c>
      <c r="C60" s="9">
        <f si="0" t="shared"/>
        <v>0</v>
      </c>
      <c r="E60" s="371">
        <v>49</v>
      </c>
      <c r="F60" s="371" t="n">
        <v>39.0</v>
      </c>
      <c r="G60" s="9">
        <f si="1" t="shared"/>
        <v>7.5353113060369005E-5</v>
      </c>
    </row>
    <row r="61" spans="1:7" x14ac:dyDescent="0.25">
      <c r="A61">
        <v>50</v>
      </c>
      <c r="B61" s="6" t="n">
        <v>122.949339</v>
      </c>
      <c r="C61" s="9">
        <f si="0" t="shared"/>
        <v>3.635757149679968E-4</v>
      </c>
      <c r="E61" s="371">
        <v>50</v>
      </c>
      <c r="F61" s="371" t="n">
        <v>36.0</v>
      </c>
      <c r="G61" s="9">
        <f si="1" t="shared"/>
        <v>7.2562257021096085E-5</v>
      </c>
    </row>
    <row r="62" spans="1:7" x14ac:dyDescent="0.25">
      <c r="A62">
        <v>51</v>
      </c>
      <c r="B62" s="6" t="n">
        <v>0.0</v>
      </c>
      <c r="C62" s="9">
        <f si="0" t="shared"/>
        <v>0</v>
      </c>
      <c r="E62" s="371">
        <v>51</v>
      </c>
      <c r="F62" s="371" t="n">
        <v>21.0</v>
      </c>
      <c r="G62" s="9">
        <f si="1" t="shared"/>
        <v>4.7444552667639743E-5</v>
      </c>
    </row>
    <row r="63" spans="1:7" x14ac:dyDescent="0.25">
      <c r="A63">
        <v>52</v>
      </c>
      <c r="B63" s="6" t="n">
        <v>0.0</v>
      </c>
      <c r="C63" s="9">
        <f si="0" t="shared"/>
        <v>0</v>
      </c>
      <c r="E63" s="371">
        <v>52</v>
      </c>
      <c r="F63" s="371" t="n">
        <v>23.0</v>
      </c>
      <c r="G63" s="9">
        <f si="1" t="shared"/>
        <v>4.7444552667639743E-5</v>
      </c>
    </row>
    <row r="64" spans="1:7" x14ac:dyDescent="0.25">
      <c r="A64">
        <v>53</v>
      </c>
      <c r="B64" s="6" t="n">
        <v>0.0</v>
      </c>
      <c r="C64" s="9">
        <f si="0" t="shared"/>
        <v>0</v>
      </c>
      <c r="E64" s="371">
        <v>53</v>
      </c>
      <c r="F64" s="371" t="n">
        <v>20.0</v>
      </c>
      <c r="G64" s="9">
        <f si="1" t="shared"/>
        <v>2.7908560392729262E-5</v>
      </c>
    </row>
    <row r="65" spans="1:7" x14ac:dyDescent="0.25">
      <c r="A65">
        <v>54</v>
      </c>
      <c r="B65" s="6" t="n">
        <v>0.0</v>
      </c>
      <c r="C65" s="9">
        <f si="0" t="shared"/>
        <v>0</v>
      </c>
      <c r="E65" s="371">
        <v>54</v>
      </c>
      <c r="F65" s="371" t="n">
        <v>10.0</v>
      </c>
      <c r="G65" s="9">
        <f si="1" t="shared"/>
        <v>3.6281128510548042E-5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11.0</v>
      </c>
      <c r="G66" s="9">
        <f si="1" t="shared"/>
        <v>2.5117704353456335E-5</v>
      </c>
    </row>
    <row r="67" spans="1:7" x14ac:dyDescent="0.25">
      <c r="A67">
        <v>56</v>
      </c>
      <c r="B67" s="6" t="n">
        <v>0.0</v>
      </c>
      <c r="C67" s="9">
        <f si="0" t="shared"/>
        <v>0</v>
      </c>
      <c r="E67" s="371">
        <v>56</v>
      </c>
      <c r="F67" s="371" t="n">
        <v>11.0</v>
      </c>
      <c r="G67" s="9">
        <f si="1" t="shared"/>
        <v>2.2326848314183408E-5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14.0</v>
      </c>
      <c r="G68" s="9">
        <f si="1" t="shared"/>
        <v>5.581712078545852E-6</v>
      </c>
    </row>
    <row r="69" spans="1:7" x14ac:dyDescent="0.25">
      <c r="A69">
        <v>58</v>
      </c>
      <c r="B69" s="6" t="n">
        <v>0.0</v>
      </c>
      <c r="C69" s="9">
        <f si="0" t="shared"/>
        <v>0</v>
      </c>
      <c r="E69" s="371">
        <v>58</v>
      </c>
      <c r="F69" s="371" t="n">
        <v>9.0</v>
      </c>
      <c r="G69" s="9">
        <f si="1" t="shared"/>
        <v>2.5117704353456335E-5</v>
      </c>
    </row>
    <row r="70" spans="1:7" x14ac:dyDescent="0.25">
      <c r="A70">
        <v>59</v>
      </c>
      <c r="B70" s="6" t="n">
        <v>0.0</v>
      </c>
      <c r="C70" s="9">
        <f si="0" t="shared"/>
        <v>0</v>
      </c>
      <c r="E70" s="371">
        <v>59</v>
      </c>
      <c r="F70" s="371" t="n">
        <v>6.0</v>
      </c>
      <c r="G70" s="9">
        <f si="1" t="shared"/>
        <v>1.3954280196364631E-5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6.0</v>
      </c>
      <c r="G71" s="9">
        <f si="1" t="shared"/>
        <v>0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3.0</v>
      </c>
      <c r="G72" s="9">
        <f si="1" t="shared"/>
        <v>2.790856039272926E-6</v>
      </c>
    </row>
    <row r="73" spans="1:7" x14ac:dyDescent="0.25">
      <c r="A73">
        <v>62</v>
      </c>
      <c r="B73" s="6" t="n">
        <v>0.0</v>
      </c>
      <c r="C73" s="9">
        <f si="0" t="shared"/>
        <v>0</v>
      </c>
      <c r="E73" s="371">
        <v>62</v>
      </c>
      <c r="F73" s="371" t="n">
        <v>2.0</v>
      </c>
      <c r="G73" s="9">
        <f si="1" t="shared"/>
        <v>8.3725681178187789E-6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0.0</v>
      </c>
      <c r="G74" s="9">
        <f si="1" t="shared"/>
        <v>8.3725681178187789E-6</v>
      </c>
    </row>
    <row r="75" spans="1:7" x14ac:dyDescent="0.25">
      <c r="A75">
        <v>64</v>
      </c>
      <c r="B75" s="6" t="n">
        <v>0.0</v>
      </c>
      <c r="C75" s="9">
        <f si="0" t="shared"/>
        <v>0</v>
      </c>
      <c r="E75" s="371">
        <v>64</v>
      </c>
      <c r="F75" s="371" t="n">
        <v>0.0</v>
      </c>
      <c r="G75" s="9">
        <f si="1" t="shared"/>
        <v>5.581712078545852E-6</v>
      </c>
    </row>
    <row r="76" spans="1:7" x14ac:dyDescent="0.25">
      <c r="A76">
        <v>65</v>
      </c>
      <c r="B76" s="6" t="n">
        <v>0.0</v>
      </c>
      <c r="C76" s="9">
        <f si="0" t="shared"/>
        <v>0</v>
      </c>
      <c r="E76" s="371">
        <v>65</v>
      </c>
      <c r="F76" s="371" t="n">
        <v>2.0</v>
      </c>
      <c r="G76" s="9">
        <f si="1" t="shared"/>
        <v>5.581712078545852E-6</v>
      </c>
    </row>
    <row r="77" spans="1:7" x14ac:dyDescent="0.25">
      <c r="A77">
        <v>66</v>
      </c>
      <c r="B77" s="6" t="n">
        <v>0.0</v>
      </c>
      <c r="C77" s="9">
        <f ref="C77:C102" si="2" t="shared">B77/B$102</f>
        <v>0</v>
      </c>
      <c r="E77" s="371">
        <v>66</v>
      </c>
      <c r="F77" s="371" t="n">
        <v>3.0</v>
      </c>
      <c r="G77" s="9">
        <f ref="G77:G102" si="3" t="shared">F77/F$102</f>
        <v>2.5117704353456335E-5</v>
      </c>
    </row>
    <row r="78" spans="1:7" x14ac:dyDescent="0.25">
      <c r="A78">
        <v>67</v>
      </c>
      <c r="B78" s="6" t="n">
        <v>0.0</v>
      </c>
      <c r="C78" s="9">
        <f si="2" t="shared"/>
        <v>0</v>
      </c>
      <c r="E78" s="371">
        <v>67</v>
      </c>
      <c r="F78" s="371" t="n">
        <v>1.0</v>
      </c>
      <c r="G78" s="9">
        <f si="3" t="shared"/>
        <v>0</v>
      </c>
    </row>
    <row r="79" spans="1:7" x14ac:dyDescent="0.25">
      <c r="A79">
        <v>68</v>
      </c>
      <c r="B79" s="6" t="n">
        <v>0.0</v>
      </c>
      <c r="C79" s="9">
        <f si="2" t="shared"/>
        <v>0</v>
      </c>
      <c r="E79" s="371">
        <v>68</v>
      </c>
      <c r="F79" s="371" t="n">
        <v>0.0</v>
      </c>
      <c r="G79" s="9">
        <f si="3" t="shared"/>
        <v>5.581712078545852E-6</v>
      </c>
    </row>
    <row r="80" spans="1:7" x14ac:dyDescent="0.25">
      <c r="A80">
        <v>69</v>
      </c>
      <c r="B80" s="6" t="n">
        <v>0.0</v>
      </c>
      <c r="C80" s="9">
        <f si="2" t="shared"/>
        <v>0</v>
      </c>
      <c r="E80" s="371">
        <v>69</v>
      </c>
      <c r="F80" s="371" t="n">
        <v>1.0</v>
      </c>
      <c r="G80" s="9">
        <f si="3" t="shared"/>
        <v>0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0.0</v>
      </c>
      <c r="G81" s="9">
        <f si="3" t="shared"/>
        <v>2.790856039272926E-6</v>
      </c>
    </row>
    <row r="82" spans="1:7" x14ac:dyDescent="0.25">
      <c r="A82">
        <v>71</v>
      </c>
      <c r="B82" s="6" t="n">
        <v>0.0</v>
      </c>
      <c r="C82" s="9">
        <f si="2" t="shared"/>
        <v>0</v>
      </c>
      <c r="E82" s="371">
        <v>71</v>
      </c>
      <c r="F82" s="371" t="n">
        <v>0.0</v>
      </c>
      <c r="G82" s="9">
        <f si="3" t="shared"/>
        <v>0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0.0</v>
      </c>
      <c r="G83" s="9">
        <f si="3" t="shared"/>
        <v>0</v>
      </c>
    </row>
    <row r="84" spans="1:7" x14ac:dyDescent="0.25">
      <c r="A84">
        <v>73</v>
      </c>
      <c r="B84" s="6" t="n">
        <v>0.0</v>
      </c>
      <c r="C84" s="9">
        <f si="2" t="shared"/>
        <v>0</v>
      </c>
      <c r="E84" s="371">
        <v>73</v>
      </c>
      <c r="F84" s="371" t="n">
        <v>0.0</v>
      </c>
      <c r="G84" s="9">
        <f si="3" t="shared"/>
        <v>0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0.0</v>
      </c>
      <c r="G85" s="9">
        <f si="3" t="shared"/>
        <v>0</v>
      </c>
    </row>
    <row r="86" spans="1:7" x14ac:dyDescent="0.25">
      <c r="A86">
        <v>75</v>
      </c>
      <c r="B86" s="6" t="n">
        <v>0.0</v>
      </c>
      <c r="C86" s="9">
        <f si="2" t="shared"/>
        <v>0</v>
      </c>
      <c r="E86" s="371">
        <v>75</v>
      </c>
      <c r="F86" s="371" t="n">
        <v>0.0</v>
      </c>
      <c r="G86" s="9">
        <f si="3" t="shared"/>
        <v>0</v>
      </c>
    </row>
    <row r="87" spans="1:7" x14ac:dyDescent="0.25">
      <c r="A87">
        <v>76</v>
      </c>
      <c r="B87" s="6" t="n">
        <v>0.0</v>
      </c>
      <c r="C87" s="9">
        <f si="2" t="shared"/>
        <v>0</v>
      </c>
      <c r="E87" s="371">
        <v>76</v>
      </c>
      <c r="F87" s="371" t="n">
        <v>0.0</v>
      </c>
      <c r="G87" s="9">
        <f si="3" t="shared"/>
        <v>2.790856039272926E-6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0.0</v>
      </c>
      <c r="G88" s="9">
        <f si="3" t="shared"/>
        <v>0</v>
      </c>
    </row>
    <row r="89" spans="1:7" x14ac:dyDescent="0.25">
      <c r="A89">
        <v>78</v>
      </c>
      <c r="B89" s="6" t="n">
        <v>0.0</v>
      </c>
      <c r="C89" s="9">
        <f si="2" t="shared"/>
        <v>0</v>
      </c>
      <c r="E89" s="371">
        <v>78</v>
      </c>
      <c r="F89" s="371" t="n">
        <v>0.0</v>
      </c>
      <c r="G89" s="9">
        <f si="3" t="shared"/>
        <v>0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0.0</v>
      </c>
      <c r="G90" s="9">
        <f si="3" t="shared"/>
        <v>0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0.0</v>
      </c>
      <c r="G91" s="9">
        <f si="3" t="shared"/>
        <v>0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0.0</v>
      </c>
      <c r="G92" s="9">
        <f si="3" t="shared"/>
        <v>0</v>
      </c>
    </row>
    <row r="93" spans="1:7" x14ac:dyDescent="0.25">
      <c r="A93">
        <v>82</v>
      </c>
      <c r="B93" s="6" t="n">
        <v>0.0</v>
      </c>
      <c r="C93" s="9">
        <f si="2" t="shared"/>
        <v>0</v>
      </c>
      <c r="E93" s="371">
        <v>82</v>
      </c>
      <c r="F93" s="371" t="n">
        <v>0.0</v>
      </c>
      <c r="G93" s="9">
        <f si="3" t="shared"/>
        <v>0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0.0</v>
      </c>
      <c r="G94" s="9">
        <f si="3" t="shared"/>
        <v>0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0.0</v>
      </c>
      <c r="G95" s="9">
        <f si="3" t="shared"/>
        <v>0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0.0</v>
      </c>
      <c r="G96" s="9">
        <f si="3" t="shared"/>
        <v>0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0.0</v>
      </c>
      <c r="G97" s="9">
        <f si="3" t="shared"/>
        <v>0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0.0</v>
      </c>
      <c r="G98" s="9">
        <f si="3" t="shared"/>
        <v>0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0.0</v>
      </c>
      <c r="G99" s="9">
        <f si="3" t="shared"/>
        <v>2.790856039272926E-6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0.0</v>
      </c>
      <c r="G100" s="9">
        <f si="3" t="shared"/>
        <v>0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1.0</v>
      </c>
      <c r="G101" s="9">
        <f si="3" t="shared"/>
        <v>0</v>
      </c>
    </row>
    <row r="102" spans="1:7" x14ac:dyDescent="0.25">
      <c r="B102" s="6">
        <f>SUM(B11:B101)</f>
        <v>338167.08305399999</v>
      </c>
      <c r="C102" s="9">
        <f si="2" t="shared"/>
        <v>1</v>
      </c>
      <c r="F102" s="6">
        <f>SUM(F11:F101)</f>
        <v>358313</v>
      </c>
      <c r="G102" s="9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6"/>
  <dimension ref="A1:M102"/>
  <sheetViews>
    <sheetView workbookViewId="0">
      <selection activeCell="T17" sqref="T17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19</v>
      </c>
    </row>
    <row r="3" spans="1:12" x14ac:dyDescent="0.25">
      <c r="A3" t="s">
        <v>21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3" t="s">
        <v>18</v>
      </c>
      <c r="B9" s="1"/>
      <c r="E9" s="3" t="s">
        <v>11</v>
      </c>
      <c r="F9" s="1"/>
      <c r="J9" s="8" t="s">
        <v>15</v>
      </c>
    </row>
    <row r="10" spans="1:12" x14ac:dyDescent="0.25">
      <c r="A10" s="2" t="s">
        <v>12</v>
      </c>
      <c r="B10" s="4" t="s">
        <v>3</v>
      </c>
      <c r="C10" s="4" t="s">
        <v>17</v>
      </c>
      <c r="E10" s="2" t="s">
        <v>12</v>
      </c>
      <c r="F10" s="4" t="s">
        <v>3</v>
      </c>
      <c r="G10" s="4" t="s">
        <v>13</v>
      </c>
      <c r="J10" s="2"/>
      <c r="K10" s="4" t="s">
        <v>17</v>
      </c>
      <c r="L10" s="4" t="s">
        <v>13</v>
      </c>
    </row>
    <row r="11" spans="1:12" x14ac:dyDescent="0.25">
      <c r="A11">
        <v>0</v>
      </c>
      <c r="B11" s="6" t="n">
        <v>0.0</v>
      </c>
      <c r="C11" s="9">
        <f>B11/B$102</f>
        <v>0</v>
      </c>
      <c r="E11" s="371">
        <v>0</v>
      </c>
      <c r="F11" s="371" t="n">
        <v>2936.0</v>
      </c>
      <c r="G11" s="9">
        <f>F11/F$102</f>
        <v>5.5342675258782123E-3</v>
      </c>
      <c r="K11" s="6" t="n">
        <v>13.755531650873817</v>
      </c>
      <c r="L11" s="6" t="n">
        <v>15.261316410802687</v>
      </c>
    </row>
    <row r="12" spans="1:12" x14ac:dyDescent="0.25">
      <c r="A12">
        <v>1</v>
      </c>
      <c r="B12" s="6" t="n">
        <v>0.0</v>
      </c>
      <c r="C12" s="9">
        <f>B12/B$102</f>
        <v>0</v>
      </c>
      <c r="E12" s="371">
        <v>1</v>
      </c>
      <c r="F12" s="371" t="n">
        <v>20903.0</v>
      </c>
      <c r="G12" s="9">
        <f>F12/F$102</f>
        <v>5.0416814349465412E-2</v>
      </c>
      <c r="K12" s="6"/>
      <c r="L12" s="371"/>
    </row>
    <row r="13" spans="1:12" x14ac:dyDescent="0.25">
      <c r="A13">
        <v>2</v>
      </c>
      <c r="B13" s="6" t="n">
        <v>3059.013944</v>
      </c>
      <c r="C13" s="9">
        <f ref="C13:C76" si="0" t="shared">B13/B$102</f>
        <v>9.0458654827487248E-3</v>
      </c>
      <c r="E13" s="371">
        <v>2</v>
      </c>
      <c r="F13" s="371" t="n">
        <v>9399.0</v>
      </c>
      <c r="G13" s="9">
        <f ref="G13:G76" si="1" t="shared">F13/F$102</f>
        <v>1.7512621646437611E-2</v>
      </c>
    </row>
    <row r="14" spans="1:12" x14ac:dyDescent="0.25">
      <c r="A14">
        <v>3</v>
      </c>
      <c r="B14" s="6" t="n">
        <v>23789.874984</v>
      </c>
      <c r="C14" s="9">
        <f si="0" t="shared"/>
        <v>7.0349469762558556E-2</v>
      </c>
      <c r="E14" s="371">
        <v>3</v>
      </c>
      <c r="F14" s="371" t="n">
        <v>13962.0</v>
      </c>
      <c r="G14" s="9">
        <f si="1" t="shared"/>
        <v>2.8628601250861675E-2</v>
      </c>
    </row>
    <row r="15" spans="1:12" x14ac:dyDescent="0.25">
      <c r="A15">
        <v>4</v>
      </c>
      <c r="B15" s="6" t="n">
        <v>21703.474915</v>
      </c>
      <c r="C15" s="9">
        <f si="0" t="shared"/>
        <v>6.4179738367776892E-2</v>
      </c>
      <c r="E15" s="371">
        <v>4</v>
      </c>
      <c r="F15" s="371" t="n">
        <v>19328.0</v>
      </c>
      <c r="G15" s="9">
        <f si="1" t="shared"/>
        <v>4.3079653822216887E-2</v>
      </c>
    </row>
    <row r="16" spans="1:12" x14ac:dyDescent="0.25">
      <c r="A16">
        <v>5</v>
      </c>
      <c r="B16" s="6" t="n">
        <v>23026.069359</v>
      </c>
      <c r="C16" s="9">
        <f si="0" t="shared"/>
        <v>6.8090806328784809E-2</v>
      </c>
      <c r="E16" s="371">
        <v>5</v>
      </c>
      <c r="F16" s="371" t="n">
        <v>23459.0</v>
      </c>
      <c r="G16" s="9">
        <f si="1" t="shared"/>
        <v>5.5323139266507212E-2</v>
      </c>
    </row>
    <row r="17" spans="1:7" x14ac:dyDescent="0.25">
      <c r="A17">
        <v>6</v>
      </c>
      <c r="B17" s="6" t="n">
        <v>21651.855907</v>
      </c>
      <c r="C17" s="9">
        <f si="0" t="shared"/>
        <v>6.402709486524015E-2</v>
      </c>
      <c r="E17" s="371">
        <v>6</v>
      </c>
      <c r="F17" s="371" t="n">
        <v>26039.0</v>
      </c>
      <c r="G17" s="9">
        <f si="1" t="shared"/>
        <v>6.3545001158205258E-2</v>
      </c>
    </row>
    <row r="18" spans="1:7" x14ac:dyDescent="0.25">
      <c r="A18">
        <v>7</v>
      </c>
      <c r="B18" s="6" t="n">
        <v>26258.921281</v>
      </c>
      <c r="C18" s="9">
        <f si="0" t="shared"/>
        <v>7.7650731241653281E-2</v>
      </c>
      <c r="E18" s="371">
        <v>7</v>
      </c>
      <c r="F18" s="371" t="n">
        <v>26406.0</v>
      </c>
      <c r="G18" s="9">
        <f si="1" t="shared"/>
        <v>6.4814840656074443E-2</v>
      </c>
    </row>
    <row r="19" spans="1:7" x14ac:dyDescent="0.25">
      <c r="A19">
        <v>8</v>
      </c>
      <c r="B19" s="6" t="n">
        <v>26333.971203</v>
      </c>
      <c r="C19" s="9">
        <f si="0" t="shared"/>
        <v>7.7872662723931882E-2</v>
      </c>
      <c r="E19" s="371">
        <v>8</v>
      </c>
      <c r="F19" s="371" t="n">
        <v>25381.0</v>
      </c>
      <c r="G19" s="9">
        <f si="1" t="shared"/>
        <v>6.2291906796571712E-2</v>
      </c>
    </row>
    <row r="20" spans="1:7" x14ac:dyDescent="0.25">
      <c r="A20">
        <v>9</v>
      </c>
      <c r="B20" s="6" t="n">
        <v>25115.196173</v>
      </c>
      <c r="C20" s="9">
        <f si="0" t="shared"/>
        <v>7.4268601030542933E-2</v>
      </c>
      <c r="E20" s="371">
        <v>9</v>
      </c>
      <c r="F20" s="371" t="n">
        <v>23209.0</v>
      </c>
      <c r="G20" s="9">
        <f si="1" t="shared"/>
        <v>5.8499133439199803E-2</v>
      </c>
    </row>
    <row r="21" spans="1:7" x14ac:dyDescent="0.25">
      <c r="A21">
        <v>10</v>
      </c>
      <c r="B21" s="6" t="n">
        <v>16287.107756</v>
      </c>
      <c r="C21" s="9">
        <f si="0" t="shared"/>
        <v>4.8162901039659152E-2</v>
      </c>
      <c r="E21" s="371">
        <v>10</v>
      </c>
      <c r="F21" s="371" t="n">
        <v>21619.0</v>
      </c>
      <c r="G21" s="9">
        <f si="1" t="shared"/>
        <v>5.284485910363286E-2</v>
      </c>
    </row>
    <row r="22" spans="1:7" x14ac:dyDescent="0.25">
      <c r="A22">
        <v>11</v>
      </c>
      <c r="B22" s="6" t="n">
        <v>12957.033596</v>
      </c>
      <c r="C22" s="9">
        <f si="0" t="shared"/>
        <v>3.8315478487688771E-2</v>
      </c>
      <c r="E22" s="371">
        <v>11</v>
      </c>
      <c r="F22" s="371" t="n">
        <v>19932.0</v>
      </c>
      <c r="G22" s="9">
        <f si="1" t="shared"/>
        <v>4.8357162592481989E-2</v>
      </c>
    </row>
    <row r="23" spans="1:7" x14ac:dyDescent="0.25">
      <c r="A23">
        <v>12</v>
      </c>
      <c r="B23" s="6" t="n">
        <v>13936.642827</v>
      </c>
      <c r="C23" s="9">
        <f si="0" t="shared"/>
        <v>4.1212298669455465E-2</v>
      </c>
      <c r="E23" s="371">
        <v>12</v>
      </c>
      <c r="F23" s="371" t="n">
        <v>18340.0</v>
      </c>
      <c r="G23" s="9">
        <f si="1" t="shared"/>
        <v>4.2010755959175361E-2</v>
      </c>
    </row>
    <row r="24" spans="1:7" x14ac:dyDescent="0.25">
      <c r="A24">
        <v>13</v>
      </c>
      <c r="B24" s="6" t="n">
        <v>13344.555615</v>
      </c>
      <c r="C24" s="9">
        <f si="0" t="shared"/>
        <v>3.9461426861789155E-2</v>
      </c>
      <c r="E24" s="371">
        <v>13</v>
      </c>
      <c r="F24" s="371" t="n">
        <v>16843.0</v>
      </c>
      <c r="G24" s="9">
        <f si="1" t="shared"/>
        <v>3.8717545832833308E-2</v>
      </c>
    </row>
    <row r="25" spans="1:7" x14ac:dyDescent="0.25">
      <c r="A25">
        <v>14</v>
      </c>
      <c r="B25" s="6" t="n">
        <v>10061.064479</v>
      </c>
      <c r="C25" s="9">
        <f si="0" t="shared"/>
        <v>2.9751755812949442E-2</v>
      </c>
      <c r="E25" s="371">
        <v>14</v>
      </c>
      <c r="F25" s="371" t="n">
        <v>14480.0</v>
      </c>
      <c r="G25" s="9">
        <f si="1" t="shared"/>
        <v>3.376377636312386E-2</v>
      </c>
    </row>
    <row r="26" spans="1:7" x14ac:dyDescent="0.25">
      <c r="A26">
        <v>15</v>
      </c>
      <c r="B26" s="6" t="n">
        <v>6937.197366</v>
      </c>
      <c r="C26" s="9">
        <f si="0" t="shared"/>
        <v>2.0514111850715638E-2</v>
      </c>
      <c r="E26" s="371">
        <v>15</v>
      </c>
      <c r="F26" s="371" t="n">
        <v>13149.0</v>
      </c>
      <c r="G26" s="9">
        <f si="1" t="shared"/>
        <v>3.0827795809808742E-2</v>
      </c>
    </row>
    <row r="27" spans="1:7" x14ac:dyDescent="0.25">
      <c r="A27">
        <v>16</v>
      </c>
      <c r="B27" s="6" t="n">
        <v>10583.67594</v>
      </c>
      <c r="C27" s="9">
        <f si="0" t="shared"/>
        <v>3.1297179620258755E-2</v>
      </c>
      <c r="E27" s="371">
        <v>16</v>
      </c>
      <c r="F27" s="371" t="n">
        <v>11865.0</v>
      </c>
      <c r="G27" s="9">
        <f si="1" t="shared"/>
        <v>2.6127994239673134E-2</v>
      </c>
    </row>
    <row r="28" spans="1:7" x14ac:dyDescent="0.25">
      <c r="A28">
        <v>17</v>
      </c>
      <c r="B28" s="6" t="n">
        <v>8551.924435</v>
      </c>
      <c r="C28" s="9">
        <f si="0" t="shared"/>
        <v>2.5289050482877402E-2</v>
      </c>
      <c r="E28" s="371">
        <v>17</v>
      </c>
      <c r="F28" s="371" t="n">
        <v>10714.0</v>
      </c>
      <c r="G28" s="9">
        <f si="1" t="shared"/>
        <v>2.2845947537488174E-2</v>
      </c>
    </row>
    <row r="29" spans="1:7" x14ac:dyDescent="0.25">
      <c r="A29">
        <v>18</v>
      </c>
      <c r="B29" s="6" t="n">
        <v>8340.144894000001</v>
      </c>
      <c r="C29" s="9">
        <f si="0" t="shared"/>
        <v>2.4662793370306271E-2</v>
      </c>
      <c r="E29" s="371">
        <v>18</v>
      </c>
      <c r="F29" s="371" t="n">
        <v>9367.0</v>
      </c>
      <c r="G29" s="9">
        <f si="1" t="shared"/>
        <v>1.9898803560015964E-2</v>
      </c>
    </row>
    <row r="30" spans="1:7" x14ac:dyDescent="0.25">
      <c r="A30">
        <v>19</v>
      </c>
      <c r="B30" s="6" t="n">
        <v>6030.513487</v>
      </c>
      <c r="C30" s="9">
        <f si="0" t="shared"/>
        <v>1.7832940546839152E-2</v>
      </c>
      <c r="E30" s="371">
        <v>19</v>
      </c>
      <c r="F30" s="371" t="n">
        <v>8789.0</v>
      </c>
      <c r="G30" s="9">
        <f si="1" t="shared"/>
        <v>1.7744262697697265E-2</v>
      </c>
    </row>
    <row r="31" spans="1:7" x14ac:dyDescent="0.25">
      <c r="A31">
        <v>20</v>
      </c>
      <c r="B31" s="6" t="n">
        <v>4599.850847</v>
      </c>
      <c r="C31" s="9">
        <f si="0" t="shared"/>
        <v>1.3602302168083804E-2</v>
      </c>
      <c r="E31" s="371">
        <v>20</v>
      </c>
      <c r="F31" s="371" t="n">
        <v>7890.0</v>
      </c>
      <c r="G31" s="9">
        <f si="1" t="shared"/>
        <v>1.6658619698420096E-2</v>
      </c>
    </row>
    <row r="32" spans="1:7" x14ac:dyDescent="0.25">
      <c r="A32">
        <v>21</v>
      </c>
      <c r="B32" s="6" t="n">
        <v>3836.8511829999998</v>
      </c>
      <c r="C32" s="9">
        <f si="0" t="shared"/>
        <v>1.1346022056165989E-2</v>
      </c>
      <c r="E32" s="371">
        <v>21</v>
      </c>
      <c r="F32" s="371" t="n">
        <v>7219.0</v>
      </c>
      <c r="G32" s="9">
        <f si="1" t="shared"/>
        <v>1.5045504907720345E-2</v>
      </c>
    </row>
    <row r="33" spans="1:7" x14ac:dyDescent="0.25">
      <c r="A33">
        <v>22</v>
      </c>
      <c r="B33" s="6" t="n">
        <v>3728.665767</v>
      </c>
      <c r="C33" s="9">
        <f si="0" t="shared"/>
        <v>1.1026105005035603E-2</v>
      </c>
      <c r="E33" s="371">
        <v>22</v>
      </c>
      <c r="F33" s="371" t="n">
        <v>6514.0</v>
      </c>
      <c r="G33" s="9">
        <f si="1" t="shared"/>
        <v>1.3518906654238055E-2</v>
      </c>
    </row>
    <row r="34" spans="1:7" x14ac:dyDescent="0.25">
      <c r="A34">
        <v>23</v>
      </c>
      <c r="B34" s="6" t="n">
        <v>2965.389574</v>
      </c>
      <c r="C34" s="9">
        <f si="0" t="shared"/>
        <v>8.7690071642084495E-3</v>
      </c>
      <c r="E34" s="371">
        <v>23</v>
      </c>
      <c r="F34" s="371" t="n">
        <v>6002.0</v>
      </c>
      <c r="G34" s="9">
        <f si="1" t="shared"/>
        <v>1.2391400814371793E-2</v>
      </c>
    </row>
    <row r="35" spans="1:7" x14ac:dyDescent="0.25">
      <c r="A35">
        <v>24</v>
      </c>
      <c r="B35" s="6" t="n">
        <v>2400.834039</v>
      </c>
      <c r="C35" s="9">
        <f si="0" t="shared"/>
        <v>7.099549776749336E-3</v>
      </c>
      <c r="E35" s="371">
        <v>24</v>
      </c>
      <c r="F35" s="371" t="n">
        <v>5550.0</v>
      </c>
      <c r="G35" s="9">
        <f si="1" t="shared"/>
        <v>1.1436928048940451E-2</v>
      </c>
    </row>
    <row r="36" spans="1:7" x14ac:dyDescent="0.25">
      <c r="A36">
        <v>25</v>
      </c>
      <c r="B36" s="6" t="n">
        <v>3255.440141</v>
      </c>
      <c r="C36" s="9">
        <f si="0" t="shared"/>
        <v>9.6267209439783261E-3</v>
      </c>
      <c r="E36" s="371">
        <v>25</v>
      </c>
      <c r="F36" s="371" t="n">
        <v>5135.0</v>
      </c>
      <c r="G36" s="9">
        <f si="1" t="shared"/>
        <v>1.0722468902886582E-2</v>
      </c>
    </row>
    <row r="37" spans="1:7" x14ac:dyDescent="0.25">
      <c r="A37">
        <v>26</v>
      </c>
      <c r="B37" s="6" t="n">
        <v>2627.915458</v>
      </c>
      <c r="C37" s="9">
        <f si="0" t="shared"/>
        <v>7.7710563496221864E-3</v>
      </c>
      <c r="E37" s="371">
        <v>26</v>
      </c>
      <c r="F37" s="371" t="n">
        <v>4603.0</v>
      </c>
      <c r="G37" s="9">
        <f si="1" t="shared"/>
        <v>9.9410292118901639E-3</v>
      </c>
    </row>
    <row r="38" spans="1:7" x14ac:dyDescent="0.25">
      <c r="A38">
        <v>27</v>
      </c>
      <c r="B38" s="6" t="n">
        <v>1672.8316849999999</v>
      </c>
      <c r="C38" s="9">
        <f si="0" t="shared"/>
        <v>4.9467608434641012E-3</v>
      </c>
      <c r="E38" s="371">
        <v>27</v>
      </c>
      <c r="F38" s="371" t="n">
        <v>4114.0</v>
      </c>
      <c r="G38" s="9">
        <f si="1" t="shared"/>
        <v>9.3130866030537544E-3</v>
      </c>
    </row>
    <row r="39" spans="1:7" x14ac:dyDescent="0.25">
      <c r="A39">
        <v>28</v>
      </c>
      <c r="B39" s="6" t="n">
        <v>3261.680652</v>
      </c>
      <c r="C39" s="9">
        <f si="0" t="shared"/>
        <v>9.6451748719704952E-3</v>
      </c>
      <c r="E39" s="371">
        <v>28</v>
      </c>
      <c r="F39" s="371" t="n">
        <v>3728.0</v>
      </c>
      <c r="G39" s="9">
        <f si="1" t="shared"/>
        <v>8.2776790124834982E-3</v>
      </c>
    </row>
    <row r="40" spans="1:7" x14ac:dyDescent="0.25">
      <c r="A40">
        <v>29</v>
      </c>
      <c r="B40" s="6" t="n">
        <v>2464.130121</v>
      </c>
      <c r="C40" s="9">
        <f si="0" t="shared"/>
        <v>7.2867237660932159E-3</v>
      </c>
      <c r="E40" s="371">
        <v>29</v>
      </c>
      <c r="F40" s="371" t="n">
        <v>3650.0</v>
      </c>
      <c r="G40" s="9">
        <f si="1" t="shared"/>
        <v>7.8339329022391047E-3</v>
      </c>
    </row>
    <row r="41" spans="1:7" x14ac:dyDescent="0.25">
      <c r="A41">
        <v>30</v>
      </c>
      <c r="B41" s="6" t="n">
        <v>3193.023685</v>
      </c>
      <c r="C41" s="9">
        <f si="0" t="shared"/>
        <v>9.4421481125947556E-3</v>
      </c>
      <c r="E41" s="371">
        <v>30</v>
      </c>
      <c r="F41" s="371" t="n">
        <v>3488.0</v>
      </c>
      <c r="G41" s="9">
        <f si="1" t="shared"/>
        <v>6.9157412653183111E-3</v>
      </c>
    </row>
    <row r="42" spans="1:7" x14ac:dyDescent="0.25">
      <c r="A42">
        <v>31</v>
      </c>
      <c r="B42" s="6" t="n">
        <v>2471.167751</v>
      </c>
      <c r="C42" s="9">
        <f si="0" t="shared"/>
        <v>7.3075348691031324E-3</v>
      </c>
      <c r="E42" s="371">
        <v>31</v>
      </c>
      <c r="F42" s="371" t="n">
        <v>3265.0</v>
      </c>
      <c r="G42" s="9">
        <f si="1" t="shared"/>
        <v>6.5417665560557389E-3</v>
      </c>
    </row>
    <row r="43" spans="1:7" x14ac:dyDescent="0.25">
      <c r="A43">
        <v>32</v>
      </c>
      <c r="B43" s="6" t="n">
        <v>329.158729</v>
      </c>
      <c r="C43" s="9">
        <f si="0" t="shared"/>
        <v>9.7336123323226733E-4</v>
      </c>
      <c r="E43" s="371">
        <v>32</v>
      </c>
      <c r="F43" s="371" t="n">
        <v>2925.0</v>
      </c>
      <c r="G43" s="9">
        <f si="1" t="shared"/>
        <v>6.1873278390680774E-3</v>
      </c>
    </row>
    <row r="44" spans="1:7" x14ac:dyDescent="0.25">
      <c r="A44">
        <v>33</v>
      </c>
      <c r="B44" s="6" t="n">
        <v>1994.4325549999999</v>
      </c>
      <c r="C44" s="9">
        <f si="0" t="shared"/>
        <v>5.8977725950976733E-3</v>
      </c>
      <c r="E44" s="371">
        <v>33</v>
      </c>
      <c r="F44" s="371" t="n">
        <v>2764.0</v>
      </c>
      <c r="G44" s="9">
        <f si="1" t="shared"/>
        <v>5.5872937906243985E-3</v>
      </c>
    </row>
    <row r="45" spans="1:7" x14ac:dyDescent="0.25">
      <c r="A45">
        <v>34</v>
      </c>
      <c r="B45" s="6" t="n">
        <v>1348.576705</v>
      </c>
      <c r="C45" s="9">
        <f si="0" t="shared"/>
        <v>3.9879005751268029E-3</v>
      </c>
      <c r="E45" s="371">
        <v>34</v>
      </c>
      <c r="F45" s="371" t="n">
        <v>2513.0</v>
      </c>
      <c r="G45" s="9">
        <f si="1" t="shared"/>
        <v>5.3723978756003831E-3</v>
      </c>
    </row>
    <row r="46" spans="1:7" x14ac:dyDescent="0.25">
      <c r="A46">
        <v>35</v>
      </c>
      <c r="B46" s="6" t="n">
        <v>2135.986579</v>
      </c>
      <c r="C46" s="9">
        <f si="0" t="shared"/>
        <v>6.3163645607071583E-3</v>
      </c>
      <c r="E46" s="371">
        <v>35</v>
      </c>
      <c r="F46" s="371" t="n">
        <v>2399.0</v>
      </c>
      <c r="G46" s="9">
        <f si="1" t="shared"/>
        <v>5.0570311431625426E-3</v>
      </c>
    </row>
    <row r="47" spans="1:7" x14ac:dyDescent="0.25">
      <c r="A47">
        <v>36</v>
      </c>
      <c r="B47" s="6" t="n">
        <v>847.0665</v>
      </c>
      <c r="C47" s="9">
        <f si="0" t="shared"/>
        <v>2.5048756737353316E-3</v>
      </c>
      <c r="E47" s="371">
        <v>36</v>
      </c>
      <c r="F47" s="371" t="n">
        <v>2231.0</v>
      </c>
      <c r="G47" s="9">
        <f si="1" t="shared"/>
        <v>4.8756255006098016E-3</v>
      </c>
    </row>
    <row r="48" spans="1:7" x14ac:dyDescent="0.25">
      <c r="A48">
        <v>37</v>
      </c>
      <c r="B48" s="6" t="n">
        <v>1010.944445</v>
      </c>
      <c r="C48" s="9">
        <f si="0" t="shared"/>
        <v>2.9894821100567258E-3</v>
      </c>
      <c r="E48" s="371">
        <v>37</v>
      </c>
      <c r="F48" s="371" t="n">
        <v>1991.0</v>
      </c>
      <c r="G48" s="9">
        <f si="1" t="shared"/>
        <v>4.2700097400875771E-3</v>
      </c>
    </row>
    <row r="49" spans="1:7" x14ac:dyDescent="0.25">
      <c r="A49">
        <v>38</v>
      </c>
      <c r="B49" s="6" t="n">
        <v>2465.733775</v>
      </c>
      <c r="C49" s="9">
        <f si="0" t="shared"/>
        <v>7.291465960352685E-3</v>
      </c>
      <c r="E49" s="371">
        <v>38</v>
      </c>
      <c r="F49" s="371" t="n">
        <v>1911.0</v>
      </c>
      <c r="G49" s="9">
        <f si="1" t="shared"/>
        <v>3.9462704395319178E-3</v>
      </c>
    </row>
    <row r="50" spans="1:7" x14ac:dyDescent="0.25">
      <c r="A50">
        <v>39</v>
      </c>
      <c r="B50" s="6" t="n">
        <v>1404.984996</v>
      </c>
      <c r="C50" s="9">
        <f si="0" t="shared"/>
        <v>4.1547065530788095E-3</v>
      </c>
      <c r="E50" s="371">
        <v>39</v>
      </c>
      <c r="F50" s="371" t="n">
        <v>1789.0</v>
      </c>
      <c r="G50" s="9">
        <f si="1" t="shared"/>
        <v>3.5499688819551622E-3</v>
      </c>
    </row>
    <row r="51" spans="1:7" x14ac:dyDescent="0.25">
      <c r="A51">
        <v>40</v>
      </c>
      <c r="B51" s="6" t="n">
        <v>777.791764</v>
      </c>
      <c r="C51" s="9">
        <f si="0" t="shared"/>
        <v>2.300022098471952E-3</v>
      </c>
      <c r="E51" s="371">
        <v>40</v>
      </c>
      <c r="F51" s="371" t="n">
        <v>1596.0</v>
      </c>
      <c r="G51" s="9">
        <f si="1" t="shared"/>
        <v>3.1704124606140444E-3</v>
      </c>
    </row>
    <row r="52" spans="1:7" x14ac:dyDescent="0.25">
      <c r="A52">
        <v>41</v>
      </c>
      <c r="B52" s="6" t="n">
        <v>484.80023</v>
      </c>
      <c r="C52" s="9">
        <f si="0" t="shared"/>
        <v>1.4336115319733382E-3</v>
      </c>
      <c r="E52" s="371">
        <v>41</v>
      </c>
      <c r="F52" s="371" t="n">
        <v>1532.0</v>
      </c>
      <c r="G52" s="9">
        <f si="1" t="shared"/>
        <v>3.1955301649675004E-3</v>
      </c>
    </row>
    <row r="53" spans="1:7" x14ac:dyDescent="0.25">
      <c r="A53">
        <v>42</v>
      </c>
      <c r="B53" s="6" t="n">
        <v>182.901751</v>
      </c>
      <c r="C53" s="9">
        <f si="0" t="shared"/>
        <v>5.4086207725544198E-4</v>
      </c>
      <c r="E53" s="371">
        <v>42</v>
      </c>
      <c r="F53" s="371" t="n">
        <v>1394.0</v>
      </c>
      <c r="G53" s="9">
        <f si="1" t="shared"/>
        <v>2.9471439774722101E-3</v>
      </c>
    </row>
    <row r="54" spans="1:7" x14ac:dyDescent="0.25">
      <c r="A54">
        <v>43</v>
      </c>
      <c r="B54" s="6" t="n">
        <v>801.582938</v>
      </c>
      <c r="C54" s="9">
        <f si="0" t="shared"/>
        <v>2.3703754095782286E-3</v>
      </c>
      <c r="E54" s="371">
        <v>43</v>
      </c>
      <c r="F54" s="371" t="n">
        <v>1320.0</v>
      </c>
      <c r="G54" s="9">
        <f si="1" t="shared"/>
        <v>2.8103920315478365E-3</v>
      </c>
    </row>
    <row r="55" spans="1:7" x14ac:dyDescent="0.25">
      <c r="A55">
        <v>44</v>
      </c>
      <c r="B55" s="6" t="n">
        <v>543.736905</v>
      </c>
      <c r="C55" s="9">
        <f si="0" t="shared"/>
        <v>1.6078942399996208E-3</v>
      </c>
      <c r="E55" s="371">
        <v>44</v>
      </c>
      <c r="F55" s="371" t="n">
        <v>1178.0</v>
      </c>
      <c r="G55" s="9">
        <f si="1" t="shared"/>
        <v>2.7015486460161926E-3</v>
      </c>
    </row>
    <row r="56" spans="1:7" x14ac:dyDescent="0.25">
      <c r="A56">
        <v>45</v>
      </c>
      <c r="B56" s="6" t="n">
        <v>165.94209700000002</v>
      </c>
      <c r="C56" s="9">
        <f si="0" t="shared"/>
        <v>4.9071037754878607E-4</v>
      </c>
      <c r="E56" s="371">
        <v>45</v>
      </c>
      <c r="F56" s="371" t="n">
        <v>1180.0</v>
      </c>
      <c r="G56" s="9">
        <f si="1" t="shared"/>
        <v>2.3219922246750747E-3</v>
      </c>
    </row>
    <row r="57" spans="1:7" x14ac:dyDescent="0.25">
      <c r="A57">
        <v>46</v>
      </c>
      <c r="B57" s="6" t="n">
        <v>378.46810800000003</v>
      </c>
      <c r="C57" s="9">
        <f si="0" t="shared"/>
        <v>1.1191748900633376E-3</v>
      </c>
      <c r="E57" s="371">
        <v>46</v>
      </c>
      <c r="F57" s="371" t="n">
        <v>980.0</v>
      </c>
      <c r="G57" s="9">
        <f si="1" t="shared"/>
        <v>2.2019854149863387E-3</v>
      </c>
    </row>
    <row r="58" spans="1:7" x14ac:dyDescent="0.25">
      <c r="A58">
        <v>47</v>
      </c>
      <c r="B58" s="6" t="n">
        <v>502.521882</v>
      </c>
      <c r="C58" s="9">
        <f si="0" t="shared"/>
        <v>1.4860165497531737E-3</v>
      </c>
      <c r="E58" s="371">
        <v>47</v>
      </c>
      <c r="F58" s="371" t="n">
        <v>989.0</v>
      </c>
      <c r="G58" s="9">
        <f si="1" t="shared"/>
        <v>1.9117363869019545E-3</v>
      </c>
    </row>
    <row r="59" spans="1:7" x14ac:dyDescent="0.25">
      <c r="A59">
        <v>48</v>
      </c>
      <c r="B59" s="6" t="n">
        <v>477.391739</v>
      </c>
      <c r="C59" s="9">
        <f si="0" t="shared"/>
        <v>1.4117037491900653E-3</v>
      </c>
      <c r="E59" s="371">
        <v>48</v>
      </c>
      <c r="F59" s="371" t="n">
        <v>940.0</v>
      </c>
      <c r="G59" s="9">
        <f si="1" t="shared"/>
        <v>1.8419649859201313E-3</v>
      </c>
    </row>
    <row r="60" spans="1:7" x14ac:dyDescent="0.25">
      <c r="A60">
        <v>49</v>
      </c>
      <c r="B60" s="6" t="n">
        <v>1222.211792</v>
      </c>
      <c r="C60" s="9">
        <f si="0" t="shared"/>
        <v>3.614224604482962E-3</v>
      </c>
      <c r="E60" s="371">
        <v>49</v>
      </c>
      <c r="F60" s="371" t="n">
        <v>804.0</v>
      </c>
      <c r="G60" s="9">
        <f si="1" t="shared"/>
        <v>1.7470758805848518E-3</v>
      </c>
    </row>
    <row r="61" spans="1:7" x14ac:dyDescent="0.25">
      <c r="A61">
        <v>50</v>
      </c>
      <c r="B61" s="6" t="n">
        <v>946.1432590000001</v>
      </c>
      <c r="C61" s="9">
        <f si="0" t="shared"/>
        <v>2.7978573504415147E-3</v>
      </c>
      <c r="E61" s="371">
        <v>50</v>
      </c>
      <c r="F61" s="371" t="n">
        <v>815.0</v>
      </c>
      <c r="G61" s="9">
        <f si="1" t="shared"/>
        <v>1.5293891095215636E-3</v>
      </c>
    </row>
    <row r="62" spans="1:7" x14ac:dyDescent="0.25">
      <c r="A62">
        <v>51</v>
      </c>
      <c r="B62" s="6" t="n">
        <v>598.469292</v>
      </c>
      <c r="C62" s="9">
        <f si="0" t="shared"/>
        <v>1.7697443719098876E-3</v>
      </c>
      <c r="E62" s="371">
        <v>51</v>
      </c>
      <c r="F62" s="371" t="n">
        <v>757.0</v>
      </c>
      <c r="G62" s="9">
        <f si="1" t="shared"/>
        <v>1.5935787984248408E-3</v>
      </c>
    </row>
    <row r="63" spans="1:7" x14ac:dyDescent="0.25">
      <c r="A63">
        <v>52</v>
      </c>
      <c r="B63" s="6" t="n">
        <v>102.628638</v>
      </c>
      <c r="C63" s="9">
        <f si="0" t="shared"/>
        <v>3.0348500236379247E-4</v>
      </c>
      <c r="E63" s="371">
        <v>52</v>
      </c>
      <c r="F63" s="371" t="n">
        <v>712.0</v>
      </c>
      <c r="G63" s="9">
        <f si="1" t="shared"/>
        <v>1.3535651790473691E-3</v>
      </c>
    </row>
    <row r="64" spans="1:7" x14ac:dyDescent="0.25">
      <c r="A64">
        <v>53</v>
      </c>
      <c r="B64" s="6" t="n">
        <v>500.351064</v>
      </c>
      <c r="C64" s="9">
        <f si="0" t="shared"/>
        <v>1.4795971845671975E-3</v>
      </c>
      <c r="E64" s="371">
        <v>53</v>
      </c>
      <c r="F64" s="371" t="n">
        <v>666.0</v>
      </c>
      <c r="G64" s="9">
        <f si="1" t="shared"/>
        <v>1.2168132331229959E-3</v>
      </c>
    </row>
    <row r="65" spans="1:7" x14ac:dyDescent="0.25">
      <c r="A65">
        <v>54</v>
      </c>
      <c r="B65" s="6" t="n">
        <v>176.576013</v>
      </c>
      <c r="C65" s="9">
        <f si="0" t="shared"/>
        <v>5.221561229595004E-4</v>
      </c>
      <c r="E65" s="371">
        <v>54</v>
      </c>
      <c r="F65" s="371" t="n">
        <v>586.0</v>
      </c>
      <c r="G65" s="9">
        <f si="1" t="shared"/>
        <v>1.2363492253979064E-3</v>
      </c>
    </row>
    <row r="66" spans="1:7" x14ac:dyDescent="0.25">
      <c r="A66">
        <v>55</v>
      </c>
      <c r="B66" s="6" t="n">
        <v>0.0</v>
      </c>
      <c r="C66" s="9">
        <f si="0" t="shared"/>
        <v>0</v>
      </c>
      <c r="E66" s="371">
        <v>55</v>
      </c>
      <c r="F66" s="371" t="n">
        <v>584.0</v>
      </c>
      <c r="G66" s="9">
        <f si="1" t="shared"/>
        <v>1.1916955287695394E-3</v>
      </c>
    </row>
    <row r="67" spans="1:7" x14ac:dyDescent="0.25">
      <c r="A67">
        <v>56</v>
      </c>
      <c r="B67" s="6" t="n">
        <v>578.529643</v>
      </c>
      <c r="C67" s="9">
        <f si="0" t="shared"/>
        <v>1.710780475069532E-3</v>
      </c>
      <c r="E67" s="371">
        <v>56</v>
      </c>
      <c r="F67" s="371" t="n">
        <v>511.0</v>
      </c>
      <c r="G67" s="9">
        <f si="1" t="shared"/>
        <v>1.0019173180989805E-3</v>
      </c>
    </row>
    <row r="68" spans="1:7" x14ac:dyDescent="0.25">
      <c r="A68">
        <v>57</v>
      </c>
      <c r="B68" s="6" t="n">
        <v>0.0</v>
      </c>
      <c r="C68" s="9">
        <f si="0" t="shared"/>
        <v>0</v>
      </c>
      <c r="E68" s="371">
        <v>57</v>
      </c>
      <c r="F68" s="371" t="n">
        <v>520.0</v>
      </c>
      <c r="G68" s="9">
        <f si="1" t="shared"/>
        <v>9.9075389394188886E-4</v>
      </c>
    </row>
    <row r="69" spans="1:7" x14ac:dyDescent="0.25">
      <c r="A69">
        <v>58</v>
      </c>
      <c r="B69" s="6" t="n">
        <v>61.176273</v>
      </c>
      <c r="C69" s="9">
        <f si="0" t="shared"/>
        <v>1.8090546379474523E-4</v>
      </c>
      <c r="E69" s="371">
        <v>58</v>
      </c>
      <c r="F69" s="371" t="n">
        <v>490.0</v>
      </c>
      <c r="G69" s="9">
        <f si="1" t="shared"/>
        <v>8.9028307652806347E-4</v>
      </c>
    </row>
    <row r="70" spans="1:7" x14ac:dyDescent="0.25">
      <c r="A70">
        <v>59</v>
      </c>
      <c r="B70" s="6" t="n">
        <v>722.136987</v>
      </c>
      <c r="C70" s="9">
        <f si="0" t="shared"/>
        <v>2.1354443504032175E-3</v>
      </c>
      <c r="E70" s="371">
        <v>59</v>
      </c>
      <c r="F70" s="371" t="n">
        <v>400.0</v>
      </c>
      <c r="G70" s="9">
        <f si="1" t="shared"/>
        <v>8.0655739534987562E-4</v>
      </c>
    </row>
    <row r="71" spans="1:7" x14ac:dyDescent="0.25">
      <c r="A71">
        <v>60</v>
      </c>
      <c r="B71" s="6" t="n">
        <v>0.0</v>
      </c>
      <c r="C71" s="9">
        <f si="0" t="shared"/>
        <v>0</v>
      </c>
      <c r="E71" s="371">
        <v>60</v>
      </c>
      <c r="F71" s="371" t="n">
        <v>376.0</v>
      </c>
      <c r="G71" s="9">
        <f si="1" t="shared"/>
        <v>7.9260311515351109E-4</v>
      </c>
    </row>
    <row r="72" spans="1:7" x14ac:dyDescent="0.25">
      <c r="A72">
        <v>61</v>
      </c>
      <c r="B72" s="6" t="n">
        <v>0.0</v>
      </c>
      <c r="C72" s="9">
        <f si="0" t="shared"/>
        <v>0</v>
      </c>
      <c r="E72" s="371">
        <v>61</v>
      </c>
      <c r="F72" s="371" t="n">
        <v>365.0</v>
      </c>
      <c r="G72" s="9">
        <f si="1" t="shared"/>
        <v>7.0608657793605034E-4</v>
      </c>
    </row>
    <row r="73" spans="1:7" x14ac:dyDescent="0.25">
      <c r="A73">
        <v>62</v>
      </c>
      <c r="B73" s="6" t="n">
        <v>54.563678</v>
      </c>
      <c r="C73" s="9">
        <f si="0" t="shared"/>
        <v>1.6135123947379302E-4</v>
      </c>
      <c r="E73" s="371">
        <v>62</v>
      </c>
      <c r="F73" s="371" t="n">
        <v>352.0</v>
      </c>
      <c r="G73" s="9">
        <f si="1" t="shared"/>
        <v>6.5026945715059177E-4</v>
      </c>
    </row>
    <row r="74" spans="1:7" x14ac:dyDescent="0.25">
      <c r="A74">
        <v>63</v>
      </c>
      <c r="B74" s="6" t="n">
        <v>0.0</v>
      </c>
      <c r="C74" s="9">
        <f si="0" t="shared"/>
        <v>0</v>
      </c>
      <c r="E74" s="371">
        <v>63</v>
      </c>
      <c r="F74" s="371" t="n">
        <v>303.0</v>
      </c>
      <c r="G74" s="9">
        <f si="1" t="shared"/>
        <v>5.8049805616876868E-4</v>
      </c>
    </row>
    <row r="75" spans="1:7" x14ac:dyDescent="0.25">
      <c r="A75">
        <v>64</v>
      </c>
      <c r="B75" s="6" t="n">
        <v>412.986437</v>
      </c>
      <c r="C75" s="9">
        <f si="0" t="shared"/>
        <v>1.2212496653142687E-3</v>
      </c>
      <c r="E75" s="371">
        <v>64</v>
      </c>
      <c r="F75" s="371" t="n">
        <v>288.0</v>
      </c>
      <c r="G75" s="9">
        <f si="1" t="shared"/>
        <v>5.6096206389385811E-4</v>
      </c>
    </row>
    <row r="76" spans="1:7" x14ac:dyDescent="0.25">
      <c r="A76">
        <v>65</v>
      </c>
      <c r="B76" s="6" t="n">
        <v>251.979787</v>
      </c>
      <c r="C76" s="9">
        <f si="0" t="shared"/>
        <v>7.4513398738978618E-4</v>
      </c>
      <c r="E76" s="371">
        <v>65</v>
      </c>
      <c r="F76" s="371" t="n">
        <v>240.0</v>
      </c>
      <c r="G76" s="9">
        <f si="1" t="shared"/>
        <v>5.6375291993313113E-4</v>
      </c>
    </row>
    <row r="77" spans="1:7" x14ac:dyDescent="0.25">
      <c r="A77">
        <v>66</v>
      </c>
      <c r="B77" s="6" t="n">
        <v>35.398008</v>
      </c>
      <c r="C77" s="9">
        <f ref="C77:C102" si="2" t="shared">B77/B$102</f>
        <v>1.0467608993849792E-4</v>
      </c>
      <c r="E77" s="371">
        <v>66</v>
      </c>
      <c r="F77" s="371" t="n">
        <v>273.0</v>
      </c>
      <c r="G77" s="9">
        <f ref="G77:G102" si="3" t="shared">F77/F$102</f>
        <v>4.5770039044075987E-4</v>
      </c>
    </row>
    <row r="78" spans="1:7" x14ac:dyDescent="0.25">
      <c r="A78">
        <v>67</v>
      </c>
      <c r="B78" s="6" t="n">
        <v>94.917119</v>
      </c>
      <c r="C78" s="9">
        <f si="2" t="shared"/>
        <v>2.806811299988155E-4</v>
      </c>
      <c r="E78" s="371">
        <v>67</v>
      </c>
      <c r="F78" s="371" t="n">
        <v>201.0</v>
      </c>
      <c r="G78" s="9">
        <f si="3" t="shared"/>
        <v>5.7212548805094985E-4</v>
      </c>
    </row>
    <row r="79" spans="1:7" x14ac:dyDescent="0.25">
      <c r="A79">
        <v>68</v>
      </c>
      <c r="B79" s="6" t="n">
        <v>85.218383</v>
      </c>
      <c r="C79" s="9">
        <f si="2" t="shared"/>
        <v>2.5200082228698752E-4</v>
      </c>
      <c r="E79" s="371">
        <v>68</v>
      </c>
      <c r="F79" s="371" t="n">
        <v>232.0</v>
      </c>
      <c r="G79" s="9">
        <f si="3" t="shared"/>
        <v>4.1304669381239309E-4</v>
      </c>
    </row>
    <row r="80" spans="1:7" x14ac:dyDescent="0.25">
      <c r="A80">
        <v>69</v>
      </c>
      <c r="B80" s="6" t="n">
        <v>489.62784</v>
      </c>
      <c r="C80" s="9">
        <f si="2" t="shared"/>
        <v>1.4478873448537689E-3</v>
      </c>
      <c r="E80" s="371">
        <v>69</v>
      </c>
      <c r="F80" s="371" t="n">
        <v>192.0</v>
      </c>
      <c r="G80" s="9">
        <f si="3" t="shared"/>
        <v>3.9351070153748258E-4</v>
      </c>
    </row>
    <row r="81" spans="1:7" x14ac:dyDescent="0.25">
      <c r="A81">
        <v>70</v>
      </c>
      <c r="B81" s="6" t="n">
        <v>0.0</v>
      </c>
      <c r="C81" s="9">
        <f si="2" t="shared"/>
        <v>0</v>
      </c>
      <c r="E81" s="371">
        <v>70</v>
      </c>
      <c r="F81" s="371" t="n">
        <v>177.0</v>
      </c>
      <c r="G81" s="9">
        <f si="3" t="shared"/>
        <v>4.3537354212657651E-4</v>
      </c>
    </row>
    <row r="82" spans="1:7" x14ac:dyDescent="0.25">
      <c r="A82">
        <v>71</v>
      </c>
      <c r="B82" s="6" t="n">
        <v>546.362548</v>
      </c>
      <c r="C82" s="9">
        <f si="2" t="shared"/>
        <v>1.615658576422574E-3</v>
      </c>
      <c r="E82" s="371">
        <v>71</v>
      </c>
      <c r="F82" s="371" t="n">
        <v>164.0</v>
      </c>
      <c r="G82" s="9">
        <f si="3" t="shared"/>
        <v>4.0188326965530136E-4</v>
      </c>
    </row>
    <row r="83" spans="1:7" x14ac:dyDescent="0.25">
      <c r="A83">
        <v>72</v>
      </c>
      <c r="B83" s="6" t="n">
        <v>0.0</v>
      </c>
      <c r="C83" s="9">
        <f si="2" t="shared"/>
        <v>0</v>
      </c>
      <c r="E83" s="371">
        <v>72</v>
      </c>
      <c r="F83" s="371" t="n">
        <v>222.0</v>
      </c>
      <c r="G83" s="9">
        <f si="3" t="shared"/>
        <v>3.3211186867347821E-4</v>
      </c>
    </row>
    <row r="84" spans="1:7" x14ac:dyDescent="0.25">
      <c r="A84">
        <v>73</v>
      </c>
      <c r="B84" s="6" t="n">
        <v>37.361886</v>
      </c>
      <c r="C84" s="9">
        <f si="2" t="shared"/>
        <v>1.1048350910615948E-4</v>
      </c>
      <c r="E84" s="371">
        <v>73</v>
      </c>
      <c r="F84" s="371" t="n">
        <v>127.0</v>
      </c>
      <c r="G84" s="9">
        <f si="3" t="shared"/>
        <v>2.9862159620220311E-4</v>
      </c>
    </row>
    <row r="85" spans="1:7" x14ac:dyDescent="0.25">
      <c r="A85">
        <v>74</v>
      </c>
      <c r="B85" s="6" t="n">
        <v>0.0</v>
      </c>
      <c r="C85" s="9">
        <f si="2" t="shared"/>
        <v>0</v>
      </c>
      <c r="E85" s="371">
        <v>74</v>
      </c>
      <c r="F85" s="371" t="n">
        <v>124.0</v>
      </c>
      <c r="G85" s="9">
        <f si="3" t="shared"/>
        <v>2.8466731600583847E-4</v>
      </c>
    </row>
    <row r="86" spans="1:7" x14ac:dyDescent="0.25">
      <c r="A86">
        <v>75</v>
      </c>
      <c r="B86" s="6" t="n">
        <v>314.725454</v>
      </c>
      <c r="C86" s="9">
        <f si="2" t="shared"/>
        <v>9.3068033457810939E-4</v>
      </c>
      <c r="E86" s="371">
        <v>75</v>
      </c>
      <c r="F86" s="371" t="n">
        <v>131.0</v>
      </c>
      <c r="G86" s="9">
        <f si="3" t="shared"/>
        <v>3.1815758847711357E-4</v>
      </c>
    </row>
    <row r="87" spans="1:7" x14ac:dyDescent="0.25">
      <c r="A87">
        <v>76</v>
      </c>
      <c r="B87" s="6" t="n">
        <v>193.55729300000002</v>
      </c>
      <c r="C87" s="9">
        <f si="2" t="shared"/>
        <v>5.723717733020512E-4</v>
      </c>
      <c r="E87" s="371">
        <v>76</v>
      </c>
      <c r="F87" s="371" t="n">
        <v>130.0</v>
      </c>
      <c r="G87" s="9">
        <f si="3" t="shared"/>
        <v>2.4280447541674457E-4</v>
      </c>
    </row>
    <row r="88" spans="1:7" x14ac:dyDescent="0.25">
      <c r="A88">
        <v>77</v>
      </c>
      <c r="B88" s="6" t="n">
        <v>0.0</v>
      </c>
      <c r="C88" s="9">
        <f si="2" t="shared"/>
        <v>0</v>
      </c>
      <c r="E88" s="371">
        <v>77</v>
      </c>
      <c r="F88" s="371" t="n">
        <v>114.0</v>
      </c>
      <c r="G88" s="9">
        <f si="3" t="shared"/>
        <v>2.5954961165238215E-4</v>
      </c>
    </row>
    <row r="89" spans="1:7" x14ac:dyDescent="0.25">
      <c r="A89">
        <v>78</v>
      </c>
      <c r="B89" s="6" t="n">
        <v>149.633111</v>
      </c>
      <c r="C89" s="9">
        <f si="2" t="shared"/>
        <v>4.424827799579356E-4</v>
      </c>
      <c r="E89" s="371">
        <v>78</v>
      </c>
      <c r="F89" s="371" t="n">
        <v>113.0</v>
      </c>
      <c r="G89" s="9">
        <f si="3" t="shared"/>
        <v>2.2605933918110703E-4</v>
      </c>
    </row>
    <row r="90" spans="1:7" x14ac:dyDescent="0.25">
      <c r="A90">
        <v>79</v>
      </c>
      <c r="B90" s="6" t="n">
        <v>0.0</v>
      </c>
      <c r="C90" s="9">
        <f si="2" t="shared"/>
        <v>0</v>
      </c>
      <c r="E90" s="371">
        <v>79</v>
      </c>
      <c r="F90" s="371" t="n">
        <v>120.0</v>
      </c>
      <c r="G90" s="9">
        <f si="3" t="shared"/>
        <v>2.2605933918110703E-4</v>
      </c>
    </row>
    <row r="91" spans="1:7" x14ac:dyDescent="0.25">
      <c r="A91">
        <v>80</v>
      </c>
      <c r="B91" s="6" t="n">
        <v>0.0</v>
      </c>
      <c r="C91" s="9">
        <f si="2" t="shared"/>
        <v>0</v>
      </c>
      <c r="E91" s="371">
        <v>80</v>
      </c>
      <c r="F91" s="371" t="n">
        <v>120.0</v>
      </c>
      <c r="G91" s="9">
        <f si="3" t="shared"/>
        <v>1.9815077878837777E-4</v>
      </c>
    </row>
    <row r="92" spans="1:7" x14ac:dyDescent="0.25">
      <c r="A92">
        <v>81</v>
      </c>
      <c r="B92" s="6" t="n">
        <v>0.0</v>
      </c>
      <c r="C92" s="9">
        <f si="2" t="shared"/>
        <v>0</v>
      </c>
      <c r="E92" s="371">
        <v>81</v>
      </c>
      <c r="F92" s="371" t="n">
        <v>108.0</v>
      </c>
      <c r="G92" s="9">
        <f si="3" t="shared"/>
        <v>1.6466050631710265E-4</v>
      </c>
    </row>
    <row r="93" spans="1:7" x14ac:dyDescent="0.25">
      <c r="A93">
        <v>82</v>
      </c>
      <c r="B93" s="6" t="n">
        <v>294.487787</v>
      </c>
      <c r="C93" s="9">
        <f si="2" t="shared"/>
        <v>8.7083516331769924E-4</v>
      </c>
      <c r="E93" s="371">
        <v>82</v>
      </c>
      <c r="F93" s="371" t="n">
        <v>106.0</v>
      </c>
      <c r="G93" s="9">
        <f si="3" t="shared"/>
        <v>1.9815077878837777E-4</v>
      </c>
    </row>
    <row r="94" spans="1:7" x14ac:dyDescent="0.25">
      <c r="A94">
        <v>83</v>
      </c>
      <c r="B94" s="6" t="n">
        <v>0.0</v>
      </c>
      <c r="C94" s="9">
        <f si="2" t="shared"/>
        <v>0</v>
      </c>
      <c r="E94" s="371">
        <v>83</v>
      </c>
      <c r="F94" s="371" t="n">
        <v>98.0</v>
      </c>
      <c r="G94" s="9">
        <f si="3" t="shared"/>
        <v>2.2326848314183409E-4</v>
      </c>
    </row>
    <row r="95" spans="1:7" x14ac:dyDescent="0.25">
      <c r="A95">
        <v>84</v>
      </c>
      <c r="B95" s="6" t="n">
        <v>0.0</v>
      </c>
      <c r="C95" s="9">
        <f si="2" t="shared"/>
        <v>0</v>
      </c>
      <c r="E95" s="371">
        <v>84</v>
      </c>
      <c r="F95" s="371" t="n">
        <v>76.0</v>
      </c>
      <c r="G95" s="9">
        <f si="3" t="shared"/>
        <v>1.9535992274910484E-4</v>
      </c>
    </row>
    <row r="96" spans="1:7" x14ac:dyDescent="0.25">
      <c r="A96">
        <v>85</v>
      </c>
      <c r="B96" s="6" t="n">
        <v>0.0</v>
      </c>
      <c r="C96" s="9">
        <f si="2" t="shared"/>
        <v>0</v>
      </c>
      <c r="E96" s="371">
        <v>85</v>
      </c>
      <c r="F96" s="371" t="n">
        <v>78.0</v>
      </c>
      <c r="G96" s="9">
        <f si="3" t="shared"/>
        <v>1.395428019636463E-4</v>
      </c>
    </row>
    <row r="97" spans="1:7" x14ac:dyDescent="0.25">
      <c r="A97">
        <v>86</v>
      </c>
      <c r="B97" s="6" t="n">
        <v>0.0</v>
      </c>
      <c r="C97" s="9">
        <f si="2" t="shared"/>
        <v>0</v>
      </c>
      <c r="E97" s="371">
        <v>86</v>
      </c>
      <c r="F97" s="371" t="n">
        <v>62.0</v>
      </c>
      <c r="G97" s="9">
        <f si="3" t="shared"/>
        <v>1.5349708216001094E-4</v>
      </c>
    </row>
    <row r="98" spans="1:7" x14ac:dyDescent="0.25">
      <c r="A98">
        <v>87</v>
      </c>
      <c r="B98" s="6" t="n">
        <v>0.0</v>
      </c>
      <c r="C98" s="9">
        <f si="2" t="shared"/>
        <v>0</v>
      </c>
      <c r="E98" s="371">
        <v>87</v>
      </c>
      <c r="F98" s="371" t="n">
        <v>67.0</v>
      </c>
      <c r="G98" s="9">
        <f si="3" t="shared"/>
        <v>1.395428019636463E-4</v>
      </c>
    </row>
    <row r="99" spans="1:7" x14ac:dyDescent="0.25">
      <c r="A99">
        <v>88</v>
      </c>
      <c r="B99" s="6" t="n">
        <v>0.0</v>
      </c>
      <c r="C99" s="9">
        <f si="2" t="shared"/>
        <v>0</v>
      </c>
      <c r="E99" s="371">
        <v>88</v>
      </c>
      <c r="F99" s="371" t="n">
        <v>83.0</v>
      </c>
      <c r="G99" s="9">
        <f si="3" t="shared"/>
        <v>1.1442509761018997E-4</v>
      </c>
    </row>
    <row r="100" spans="1:7" x14ac:dyDescent="0.25">
      <c r="A100">
        <v>89</v>
      </c>
      <c r="B100" s="6" t="n">
        <v>0.0</v>
      </c>
      <c r="C100" s="9">
        <f si="2" t="shared"/>
        <v>0</v>
      </c>
      <c r="E100" s="371">
        <v>89</v>
      </c>
      <c r="F100" s="371" t="n">
        <v>57.0</v>
      </c>
      <c r="G100" s="9">
        <f si="3" t="shared"/>
        <v>1.5070622612073801E-4</v>
      </c>
    </row>
    <row ht="15.75" r="101" spans="1:7" thickBot="1" x14ac:dyDescent="0.3">
      <c r="A101" s="1">
        <v>90</v>
      </c>
      <c r="B101" s="7" t="n">
        <v>0.0</v>
      </c>
      <c r="C101" s="9">
        <f si="2" t="shared"/>
        <v>0</v>
      </c>
      <c r="E101" s="372">
        <v>90</v>
      </c>
      <c r="F101" s="372" t="n">
        <v>1187.0</v>
      </c>
      <c r="G101" s="9">
        <f si="3" t="shared"/>
        <v>2.7182937822518302E-3</v>
      </c>
    </row>
    <row r="102" spans="1:7" x14ac:dyDescent="0.25">
      <c r="B102" s="6">
        <f>SUM(B11:B101)</f>
        <v>338167.08305399999</v>
      </c>
      <c r="C102" s="9">
        <f si="2" t="shared"/>
        <v>1</v>
      </c>
      <c r="F102" s="6">
        <f>SUM(F11:F101)</f>
        <v>358313</v>
      </c>
      <c r="G102" s="9">
        <f si="3" t="shared"/>
        <v>1</v>
      </c>
    </row>
  </sheetData>
  <pageMargins bottom="0.75" footer="0.3" header="0.3" left="0.7" right="0.7" top="0.7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baseType="lpstr" size="36">
      <vt:lpstr>TLFD_Home</vt:lpstr>
      <vt:lpstr>TDFD_Home</vt:lpstr>
      <vt:lpstr>TLFD_Work</vt:lpstr>
      <vt:lpstr>TDFD_Work</vt:lpstr>
      <vt:lpstr>TLFD_School</vt:lpstr>
      <vt:lpstr>TDFD_School</vt:lpstr>
      <vt:lpstr>TLFD_Escort</vt:lpstr>
      <vt:lpstr>TDFD_Escort</vt:lpstr>
      <vt:lpstr>TLFD_PerBus</vt:lpstr>
      <vt:lpstr>TDFD_PerBus</vt:lpstr>
      <vt:lpstr>TLFD_Shop</vt:lpstr>
      <vt:lpstr>TDFD_Shop</vt:lpstr>
      <vt:lpstr>TLFD_Meal</vt:lpstr>
      <vt:lpstr>TDFD_Meal</vt:lpstr>
      <vt:lpstr>TLFD_SocRec</vt:lpstr>
      <vt:lpstr>TDFD_SocRec</vt:lpstr>
      <vt:lpstr>AVGD</vt:lpstr>
      <vt:lpstr>AVGT</vt:lpstr>
      <vt:lpstr>out_1</vt:lpstr>
      <vt:lpstr>out_2</vt:lpstr>
      <vt:lpstr>out_3</vt:lpstr>
      <vt:lpstr>out_4</vt:lpstr>
      <vt:lpstr>out_5</vt:lpstr>
      <vt:lpstr>out_6</vt:lpstr>
      <vt:lpstr>out_7</vt:lpstr>
      <vt:lpstr>out_8</vt:lpstr>
      <vt:lpstr>out1</vt:lpstr>
      <vt:lpstr>out2</vt:lpstr>
      <vt:lpstr>out3</vt:lpstr>
      <vt:lpstr>out4</vt:lpstr>
      <vt:lpstr>out5</vt:lpstr>
      <vt:lpstr>out6</vt:lpstr>
      <vt:lpstr>out7</vt:lpstr>
      <vt:lpstr>out8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2020-06-03T00:19:30Z</dcterms:modified>
</cp:coreProperties>
</file>