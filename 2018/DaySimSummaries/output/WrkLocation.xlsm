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6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7185" windowWidth="20415" xWindow="-15" yWindow="-15"/>
  </bookViews>
  <sheets>
    <sheet name="TLFD" r:id="rId1" sheetId="3"/>
    <sheet name="TDFD" r:id="rId2" sheetId="4"/>
    <sheet name="TDFD_Agg" r:id="rId3" sheetId="10"/>
    <sheet name="County_Flow" r:id="rId4" sheetId="1"/>
    <sheet name="Flow_ODData" r:id="rId5" sheetId="17"/>
    <sheet name="WorkAtHome" r:id="rId6" sheetId="8"/>
    <sheet name="Documentation" r:id="rId7" sheetId="7"/>
    <sheet name="CoeffDef" r:id="rId8" sheetId="11"/>
    <sheet name="County Codes" r:id="rId9" sheetId="16"/>
    <sheet name="WorkLocationCoefficients" r:id="rId10" sheetId="13"/>
    <sheet name="calibration_flow" r:id="rId11" sheetId="18"/>
    <sheet name="calibration_dist" r:id="rId12" sheetId="12"/>
  </sheets>
  <definedNames>
    <definedName name="athm">WorkAtHome!$I$7:$K$12</definedName>
    <definedName name="avgdist">TLFD!$O$11:$O$14</definedName>
    <definedName name="avgtime">TDFD!$O$11:$O$14</definedName>
    <definedName name="flows">County_Flow!$AX$7:$AZ$12</definedName>
    <definedName name="out1">TLFD!$B$11:$D$101</definedName>
    <definedName name="out10">County_Flow!$AX$7:$BE$14</definedName>
    <definedName name="out11">WorkAtHome!$B$18:$D$24</definedName>
    <definedName name="out12">WorkAtHome!$I$18:$K$24</definedName>
    <definedName name="out13">WorkAtHome!$B$7:$D$13</definedName>
    <definedName name="out14">WorkAtHome!$I$7:$K$13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County_Flow!$B$7:$I$14</definedName>
    <definedName hidden="1" localSheetId="10" name="solver_adj">calibration_flow!$U$4:$U$23</definedName>
    <definedName hidden="1" localSheetId="10" name="solver_cvg">0.0001</definedName>
    <definedName hidden="1" localSheetId="10" name="solver_drv">1</definedName>
    <definedName hidden="1" localSheetId="10" name="solver_eng">1</definedName>
    <definedName hidden="1" localSheetId="10" name="solver_est">1</definedName>
    <definedName hidden="1" localSheetId="10" name="solver_itr">2147483647</definedName>
    <definedName hidden="1" localSheetId="10" name="solver_lhs1">calibration_flow!$AC$160</definedName>
    <definedName hidden="1" localSheetId="10" name="solver_lhs2">calibration_flow!$AC$4:$AC$23</definedName>
    <definedName hidden="1" localSheetId="10" name="solver_lhs3">calibration_flow!$AW$30:$AW$49</definedName>
    <definedName hidden="1" localSheetId="10" name="solver_lhs4">calibration_flow!$AW$30:$AW$49</definedName>
    <definedName hidden="1" localSheetId="10" name="solver_mip">2147483647</definedName>
    <definedName hidden="1" localSheetId="10" name="solver_mni">30</definedName>
    <definedName hidden="1" localSheetId="10" name="solver_mrt">0.075</definedName>
    <definedName hidden="1" localSheetId="10" name="solver_msl">2</definedName>
    <definedName hidden="1" localSheetId="10" name="solver_neg">1</definedName>
    <definedName hidden="1" localSheetId="10" name="solver_nod">2147483647</definedName>
    <definedName hidden="1" localSheetId="10" name="solver_num">3</definedName>
    <definedName hidden="1" localSheetId="10" name="solver_nwt">1</definedName>
    <definedName hidden="1" localSheetId="10" name="solver_opt">calibration_flow!$U$26</definedName>
    <definedName hidden="1" localSheetId="10" name="solver_pre">0.000001</definedName>
    <definedName hidden="1" localSheetId="10" name="solver_rbv">1</definedName>
    <definedName hidden="1" localSheetId="10" name="solver_rel1">1</definedName>
    <definedName hidden="1" localSheetId="10" name="solver_rel2">1</definedName>
    <definedName hidden="1" localSheetId="10" name="solver_rel3">1</definedName>
    <definedName hidden="1" localSheetId="10" name="solver_rel4">1</definedName>
    <definedName hidden="1" localSheetId="10" name="solver_rhs1">1.5</definedName>
    <definedName hidden="1" localSheetId="10" name="solver_rhs2">0.02</definedName>
    <definedName hidden="1" localSheetId="10" name="solver_rhs3">0.25</definedName>
    <definedName hidden="1" localSheetId="10" name="solver_rhs4">0.25</definedName>
    <definedName hidden="1" localSheetId="10" name="solver_rlx">2</definedName>
    <definedName hidden="1" localSheetId="10" name="solver_rsd">0</definedName>
    <definedName hidden="1" localSheetId="10" name="solver_scl">1</definedName>
    <definedName hidden="1" localSheetId="10" name="solver_sho">2</definedName>
    <definedName hidden="1" localSheetId="10" name="solver_ssz">100</definedName>
    <definedName hidden="1" localSheetId="10" name="solver_tim">2147483647</definedName>
    <definedName hidden="1" localSheetId="10" name="solver_tol">0.01</definedName>
    <definedName hidden="1" localSheetId="10" name="solver_typ">2</definedName>
    <definedName hidden="1" localSheetId="10" name="solver_val">0</definedName>
    <definedName hidden="1" localSheetId="10" name="solver_ver">3</definedName>
    <definedName name="tot">WorkAtHome!$I$18:$K$23</definedName>
    <definedName name="Wrk_dist">TLFD!$H$11:$J$101</definedName>
    <definedName name="Wrk_time">TDFD!$H$11:$J$101</definedName>
    <definedName name="out_1">TLFD!$B$11:$D$100</definedName>
    <definedName name="out_3">TDFD!$B$11:$D$100</definedName>
    <definedName name="out_5">TLFD!$N$11:$N$14</definedName>
    <definedName name="out_7">TDFD!$N$11:$N$14</definedName>
    <definedName name="out_9">County_Flow!$B$7:$U$26</definedName>
    <definedName name="out_11">WorkAtHome!$B$18:$D$24</definedName>
    <definedName name="out_13">WorkAtHome!$B$7:$D$13</definedName>
    <definedName name="out_2">TLFD!$H$11:$J$100</definedName>
    <definedName name="out_4">TDFD!$H$11:$J$100</definedName>
    <definedName name="out_6">TLFD!$O$11:$O$14</definedName>
    <definedName name="out_8">TDFD!$O$11:$O$14</definedName>
    <definedName name="out_10">County_Flow!$AX$7:$BQ$26</definedName>
    <definedName name="out_12">WorkAtHome!$I$18:$K$24</definedName>
    <definedName name="out_14">WorkAtHome!$I$7:$K$13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8" l="1" r="CW30"/>
  <c i="18" r="CW31"/>
  <c i="18" r="CW32"/>
  <c i="18" r="CW33"/>
  <c i="18" r="CW34"/>
  <c i="18" r="CW35"/>
  <c i="18" r="CW36"/>
  <c i="18" r="CW37"/>
  <c i="18" r="CW38"/>
  <c i="18" r="CW39"/>
  <c i="18" r="CW40"/>
  <c i="18" r="CW41"/>
  <c i="18" r="CW42"/>
  <c i="18" r="CW43"/>
  <c i="18" r="CW44"/>
  <c i="18" r="CW45"/>
  <c i="18" r="CW46"/>
  <c i="18" r="CW47"/>
  <c i="18" r="CW48"/>
  <c i="18" r="CW49"/>
  <c i="18" r="CW50"/>
  <c i="18" r="CW51"/>
  <c i="18" r="CW52"/>
  <c i="18" r="CW53"/>
  <c i="18" r="CW54"/>
  <c i="18" r="CW55"/>
  <c i="18" r="CW56"/>
  <c i="18" r="CW57"/>
  <c i="18" r="CW58"/>
  <c i="18" r="CW59"/>
  <c i="18" r="CW60"/>
  <c i="18" r="CW61"/>
  <c i="18" r="CW62"/>
  <c i="18" r="CW63"/>
  <c i="18" r="CW64"/>
  <c i="18" r="CW65"/>
  <c i="18" r="CW66"/>
  <c i="18" r="CW67"/>
  <c i="18" r="CW68"/>
  <c i="18" r="CW69"/>
  <c i="18" r="CW70"/>
  <c i="18" r="CW71"/>
  <c i="18" r="CW72"/>
  <c i="18" r="CW73"/>
  <c i="18" r="CW74"/>
  <c i="18" r="CW75"/>
  <c i="18" r="CW76"/>
  <c i="18" r="CW77"/>
  <c i="18" r="CW78"/>
  <c i="18" r="CW79"/>
  <c i="18" r="CW80"/>
  <c i="18" r="CW81"/>
  <c i="18" r="CW82"/>
  <c i="18" r="CW83"/>
  <c i="18" r="CW84"/>
  <c i="18" r="CW85"/>
  <c i="18" r="CW86"/>
  <c i="18" r="CW87"/>
  <c i="18" r="CW88"/>
  <c i="18" r="CW89"/>
  <c i="18" r="CW90"/>
  <c i="18" r="CW91"/>
  <c i="18" r="CW92"/>
  <c i="18" r="CW93"/>
  <c i="18" r="CW94"/>
  <c i="18" r="CW95"/>
  <c i="18" r="CW96"/>
  <c i="18" r="CW97"/>
  <c i="18" r="CW98"/>
  <c i="18" r="CW99"/>
  <c i="18" r="CW100"/>
  <c i="18" r="CW101"/>
  <c i="18" r="CW102"/>
  <c i="18" r="CW103"/>
  <c i="18" r="CW104"/>
  <c i="18" r="CW105"/>
  <c i="18" r="CW106"/>
  <c i="18" r="CW107"/>
  <c i="18" r="CW108"/>
  <c i="18" r="CW109"/>
  <c i="18" r="CW110"/>
  <c i="18" r="CW111"/>
  <c i="18" r="CW112"/>
  <c i="18" r="CW113"/>
  <c i="18" r="CW114"/>
  <c i="18" r="CW115"/>
  <c i="18" r="CW116"/>
  <c i="18" r="CW117"/>
  <c i="18" r="CW118"/>
  <c i="18" r="CW119"/>
  <c i="18" r="CW120"/>
  <c i="18" r="CW121"/>
  <c i="18" r="CW122"/>
  <c i="18" r="CW123"/>
  <c i="18" r="CW124"/>
  <c i="18" r="CW125"/>
  <c i="18" r="CW126"/>
  <c i="18" r="CW127"/>
  <c i="18" r="CW128"/>
  <c i="18" r="CW129"/>
  <c i="18" r="CW130"/>
  <c i="18" r="CW131"/>
  <c i="18" r="CW132"/>
  <c i="18" r="CW133"/>
  <c i="18" r="CW134"/>
  <c i="18" r="CW135"/>
  <c i="18" r="CW136"/>
  <c i="18" r="CW137"/>
  <c i="18" r="CW138"/>
  <c i="18" r="CW139"/>
  <c i="18" r="CW140"/>
  <c i="18" r="CW141"/>
  <c i="18" r="CW142"/>
  <c i="18" r="CW143"/>
  <c i="18" r="CW144"/>
  <c i="18" r="CW145"/>
  <c i="18" r="CW146"/>
  <c i="18" r="CW147"/>
  <c i="18" r="CW148"/>
  <c i="18" r="CW149"/>
  <c i="18" r="CW150"/>
  <c i="18" r="CW151"/>
  <c i="18" r="CW152"/>
  <c i="18" r="CW153"/>
  <c i="18" r="CW154"/>
  <c i="18" r="CW155"/>
  <c i="18" r="CW156"/>
  <c i="18" r="CW157"/>
  <c i="18" r="CW158"/>
  <c i="18" r="CW159"/>
  <c i="18" r="CW160"/>
  <c i="18" r="CW161"/>
  <c i="18" r="CW162"/>
  <c i="18" r="CW163"/>
  <c i="18" r="CW164"/>
  <c i="18" r="CW165"/>
  <c i="18" r="CW166"/>
  <c i="18" r="CW167"/>
  <c i="18" r="CW168"/>
  <c i="18" r="CW169"/>
  <c i="18" r="CW170"/>
  <c i="18" r="CW171"/>
  <c i="18" r="CW172"/>
  <c i="18" r="CW173"/>
  <c i="18" r="CW174"/>
  <c i="18" r="CW175"/>
  <c i="18" r="CW176"/>
  <c i="18" r="CW177"/>
  <c i="18" r="CW178"/>
  <c i="18" r="CW179"/>
  <c i="18" r="CW180"/>
  <c i="18" r="CW181"/>
  <c i="18" r="CW182"/>
  <c i="18" r="CW183"/>
  <c i="18" r="CW184"/>
  <c i="18" r="CW185"/>
  <c i="18" r="CW186"/>
  <c i="18" r="CW187"/>
  <c i="18" r="CW188"/>
  <c i="18" r="CW189"/>
  <c i="18" r="CW190"/>
  <c i="18" r="CW191"/>
  <c i="18" r="CW192"/>
  <c i="18" r="CW193"/>
  <c i="18" r="CW194"/>
  <c i="18" r="CW195"/>
  <c i="18" r="CW196"/>
  <c i="18" r="CW197"/>
  <c i="18" r="CW198"/>
  <c i="18" r="CW199"/>
  <c i="18" r="CW200"/>
  <c i="18" r="CW201"/>
  <c i="18" r="CW202"/>
  <c i="18" r="CW203"/>
  <c i="18" r="CW204"/>
  <c i="18" r="CW205"/>
  <c i="18" r="CW206"/>
  <c i="18" r="CW207"/>
  <c i="18" r="CW208"/>
  <c i="18" r="CW209"/>
  <c i="18" r="CW210"/>
  <c i="18" r="CW211"/>
  <c i="18" r="CW212"/>
  <c i="18" r="CW213"/>
  <c i="18" r="CW214"/>
  <c i="18" r="CW215"/>
  <c i="18" r="CW216"/>
  <c i="18" r="CW217"/>
  <c i="18" r="CW218"/>
  <c i="18" r="CW219"/>
  <c i="18" r="CW220"/>
  <c i="18" r="CW221"/>
  <c i="18" r="CW222"/>
  <c i="18" r="CW223"/>
  <c i="18" r="CW224"/>
  <c i="18" r="CW225"/>
  <c i="18" r="CW226"/>
  <c i="18" r="CW227"/>
  <c i="18" r="CW228"/>
  <c i="18" r="CW229"/>
  <c i="18" r="CW230"/>
  <c i="18" r="CW231"/>
  <c i="18" r="CW232"/>
  <c i="18" r="CW233"/>
  <c i="18" r="CW234"/>
  <c i="18" r="CW235"/>
  <c i="18" r="CW236"/>
  <c i="18" r="CW237"/>
  <c i="18" r="CW238"/>
  <c i="18" r="CW239"/>
  <c i="18" r="CW240"/>
  <c i="18" r="CW241"/>
  <c i="18" r="CW242"/>
  <c i="18" r="CW243"/>
  <c i="18" r="CW244"/>
  <c i="18" r="CW245"/>
  <c i="18" r="CW246"/>
  <c i="18" r="CW247"/>
  <c i="18" r="CW248"/>
  <c i="18" r="CW249"/>
  <c i="18" r="CW250"/>
  <c i="18" r="CW251"/>
  <c i="18" r="CW252"/>
  <c i="18" r="CW253"/>
  <c i="18" r="CW254"/>
  <c i="18" r="CW255"/>
  <c i="18" r="CW256"/>
  <c i="18" r="CW257"/>
  <c i="18" r="CW258"/>
  <c i="18" r="CW259"/>
  <c i="18" r="CW260"/>
  <c i="18" r="CW261"/>
  <c i="18" r="CW262"/>
  <c i="18" r="CW263"/>
  <c i="18" r="CW264"/>
  <c i="18" r="CW265"/>
  <c i="18" r="CW266"/>
  <c i="18" r="CW267"/>
  <c i="18" r="CW268"/>
  <c i="18" r="CW269"/>
  <c i="18" r="CW270"/>
  <c i="18" r="CW271"/>
  <c i="18" r="CW272"/>
  <c i="18" r="CW273"/>
  <c i="18" r="CW274"/>
  <c i="18" r="CW275"/>
  <c i="18" r="CW276"/>
  <c i="18" r="CW277"/>
  <c i="18" r="CW278"/>
  <c i="18" r="CW279"/>
  <c i="18" r="CW280"/>
  <c i="18" r="CW281"/>
  <c i="18" r="CW282"/>
  <c i="18" r="CW283"/>
  <c i="18" r="CW284"/>
  <c i="18" r="CW285"/>
  <c i="18" r="CW286"/>
  <c i="18" r="CW287"/>
  <c i="18" r="CW288"/>
  <c i="18" r="CW289"/>
  <c i="18" r="CW290"/>
  <c i="18" r="CW291"/>
  <c i="18" r="CW292"/>
  <c i="18" r="CW293"/>
  <c i="18" r="CW294"/>
  <c i="18" r="CW295"/>
  <c i="18" r="CW296"/>
  <c i="18" r="CW297"/>
  <c i="18" r="CW298"/>
  <c i="18" r="CW299"/>
  <c i="18" r="CW300"/>
  <c i="18" r="CW301"/>
  <c i="18" r="CW302"/>
  <c i="18" r="CW303"/>
  <c i="18" r="CW304"/>
  <c i="18" r="CW305"/>
  <c i="18" r="CW306"/>
  <c i="18" r="CW307"/>
  <c i="18" r="CW308"/>
  <c i="18" r="CW309"/>
  <c i="18" r="CW310"/>
  <c i="18" r="CW311"/>
  <c i="18" r="CW312"/>
  <c i="18" r="CW313"/>
  <c i="18" r="CW314"/>
  <c i="18" r="CW315"/>
  <c i="18" r="CW316"/>
  <c i="18" r="CW317"/>
  <c i="18" r="CW318"/>
  <c i="18" r="CW319"/>
  <c i="18" r="CW320"/>
  <c i="18" r="CW321"/>
  <c i="18" r="CW322"/>
  <c i="18" r="CW323"/>
  <c i="18" r="CW324"/>
  <c i="18" r="CW325"/>
  <c i="18" r="CW326"/>
  <c i="18" r="CW327"/>
  <c i="18" r="CW328"/>
  <c i="18" r="CW329"/>
  <c i="18" r="CW330"/>
  <c i="18" r="CW331"/>
  <c i="18" r="CW332"/>
  <c i="18" r="CW333"/>
  <c i="18" r="CW334"/>
  <c i="18" r="CW335"/>
  <c i="18" r="CW336"/>
  <c i="18" r="CW337"/>
  <c i="18" r="CW338"/>
  <c i="18" r="CW339"/>
  <c i="18" r="CW340"/>
  <c i="18" r="CW341"/>
  <c i="18" r="CW342"/>
  <c i="18" r="CW343"/>
  <c i="18" r="CW344"/>
  <c i="18" r="CW345"/>
  <c i="18" r="CW346"/>
  <c i="18" r="CW347"/>
  <c i="18" r="CW348"/>
  <c i="18" r="CW349"/>
  <c i="18" r="CW350"/>
  <c i="18" r="CW351"/>
  <c i="18" r="CW352"/>
  <c i="18" r="CW353"/>
  <c i="18" r="CW354"/>
  <c i="18" r="CW355"/>
  <c i="18" r="CW356"/>
  <c i="18" r="CW357"/>
  <c i="18" r="CW358"/>
  <c i="18" r="CW359"/>
  <c i="18" r="CW360"/>
  <c i="18" r="CW361"/>
  <c i="18" r="CW362"/>
  <c i="18" r="CW363"/>
  <c i="18" r="CW364"/>
  <c i="18" r="CW365"/>
  <c i="18" r="CW366"/>
  <c i="18" r="CW367"/>
  <c i="18" r="CW368"/>
  <c i="18" r="CW369"/>
  <c i="18" r="CW370"/>
  <c i="18" r="CW371"/>
  <c i="18" r="CW372"/>
  <c i="18" r="CW373"/>
  <c i="18" r="CW374"/>
  <c i="18" r="CW375"/>
  <c i="18" r="CW376"/>
  <c i="18" r="CW377"/>
  <c i="18" r="CW378"/>
  <c i="18" r="CW379"/>
  <c i="18" r="CW380"/>
  <c i="18" r="CW381"/>
  <c i="18" r="CW382"/>
  <c i="18" r="CW383"/>
  <c i="18" r="CW384"/>
  <c i="18" r="CW385"/>
  <c i="18" r="CW386"/>
  <c i="18" r="CW387"/>
  <c i="18" r="CW388"/>
  <c i="18" r="CW389"/>
  <c i="18" r="CW390"/>
  <c i="18" r="CW391"/>
  <c i="18" r="CW392"/>
  <c i="18" r="CW393"/>
  <c i="18" r="CW394"/>
  <c i="18" r="CW395"/>
  <c i="18" r="CW396"/>
  <c i="18" r="CW397"/>
  <c i="18" r="CW398"/>
  <c i="18" r="CW399"/>
  <c i="18" r="CW400"/>
  <c i="18" r="CW401"/>
  <c i="18" r="CW3"/>
  <c i="18" r="CW4"/>
  <c i="18" r="CW5"/>
  <c i="18" r="CW6"/>
  <c i="18" r="CW7"/>
  <c i="18" r="CW8"/>
  <c i="18" r="CW9"/>
  <c i="18" r="CW10"/>
  <c i="18" r="CW11"/>
  <c i="18" r="CW12"/>
  <c i="18" r="CW13"/>
  <c i="18" r="CW14"/>
  <c i="18" r="CW15"/>
  <c i="18" r="CW16"/>
  <c i="18" r="CW17"/>
  <c i="18" r="CW18"/>
  <c i="18" r="CW19"/>
  <c i="18" r="CW20"/>
  <c i="18" r="CW21"/>
  <c i="18" r="CW22"/>
  <c i="18" r="CW23"/>
  <c i="18" r="CW24"/>
  <c i="18" r="CW25"/>
  <c i="18" r="CW26"/>
  <c i="18" r="CW27"/>
  <c i="18" r="CW28"/>
  <c i="18" r="CW29"/>
  <c i="18" r="CW2"/>
  <c i="18" l="1" r="CV3"/>
  <c i="18" r="CV4" s="1"/>
  <c i="8" r="J17"/>
  <c i="8" r="K17"/>
  <c i="8" r="L17"/>
  <c i="8" r="I17"/>
  <c i="8" r="C17"/>
  <c i="8" r="D17"/>
  <c i="8" r="E17"/>
  <c i="8" r="B17"/>
  <c i="8" r="P8"/>
  <c i="8" r="Q8"/>
  <c i="8" r="R8"/>
  <c i="8" r="P9"/>
  <c i="8" r="Q9"/>
  <c i="8" r="R9"/>
  <c i="8" r="P10"/>
  <c i="8" r="Q10"/>
  <c i="8" r="R10"/>
  <c i="8" r="P11"/>
  <c i="8" r="Q11"/>
  <c i="8" r="R11"/>
  <c i="8" r="P12"/>
  <c i="8" r="Q12"/>
  <c i="8" r="R12"/>
  <c i="8" r="P13"/>
  <c i="8" r="Q13"/>
  <c i="8" r="R13"/>
  <c i="8" r="J14"/>
  <c i="8" r="K14"/>
  <c i="8" r="I14"/>
  <c i="8" r="L8"/>
  <c i="8" r="L9"/>
  <c i="8" r="L10"/>
  <c i="8" r="L11"/>
  <c i="8" r="L12"/>
  <c i="8" r="L13"/>
  <c i="8" r="C14"/>
  <c i="8" r="D14"/>
  <c i="8" r="B14"/>
  <c i="18" l="1" r="CV5"/>
  <c i="8" r="I30"/>
  <c i="8" r="J30"/>
  <c i="8" r="K30"/>
  <c i="8" r="I31"/>
  <c i="8" r="J31"/>
  <c i="8" r="K31"/>
  <c i="8" r="I32"/>
  <c i="8" r="J32"/>
  <c i="8" r="K32"/>
  <c i="8" r="I33"/>
  <c i="8" r="J33"/>
  <c i="8" r="K33"/>
  <c i="8" r="I34"/>
  <c i="8" r="J34"/>
  <c i="8" r="K34"/>
  <c i="8" r="I35"/>
  <c i="8" r="J35"/>
  <c i="8" r="K35"/>
  <c i="8" r="J29"/>
  <c i="8" r="K29"/>
  <c i="8" r="I29"/>
  <c i="8" r="B30"/>
  <c i="8" r="C30"/>
  <c i="8" r="D30"/>
  <c i="8" r="B31"/>
  <c i="8" r="C31"/>
  <c i="8" r="D31"/>
  <c i="8" r="B32"/>
  <c i="8" r="C32"/>
  <c i="8" r="D32"/>
  <c i="8" r="B33"/>
  <c i="8" r="C33"/>
  <c i="8" r="D33"/>
  <c i="8" r="B34"/>
  <c i="8" r="C34"/>
  <c i="8" r="D34"/>
  <c i="8" r="B35"/>
  <c i="8" r="C35"/>
  <c i="8" r="D35"/>
  <c i="8" r="C29"/>
  <c i="8" r="D29"/>
  <c i="8" r="B29"/>
  <c i="18" l="1" r="CV6"/>
  <c i="12" r="T94"/>
  <c i="12" r="U94"/>
  <c i="12" r="V94"/>
  <c i="12" r="T95"/>
  <c i="12" r="U95"/>
  <c i="12" r="V95"/>
  <c i="18" l="1" r="CV7"/>
  <c i="12" r="T93"/>
  <c i="12" r="U93"/>
  <c i="12" r="V93"/>
  <c i="12" r="T90"/>
  <c i="12" r="U90"/>
  <c i="12" r="V90"/>
  <c i="12" r="T91"/>
  <c i="12" r="U91"/>
  <c i="12" r="V91"/>
  <c i="12" r="T92"/>
  <c i="12" r="U92"/>
  <c i="12" r="V92"/>
  <c i="12" r="T77"/>
  <c i="12" r="U77"/>
  <c i="12" r="V77"/>
  <c i="12" r="T78"/>
  <c i="12" r="U78"/>
  <c i="12" r="V78"/>
  <c i="12" r="T79"/>
  <c i="12" r="U79"/>
  <c i="12" r="V79"/>
  <c i="12" r="T80"/>
  <c i="12" r="U80"/>
  <c i="12" r="V80"/>
  <c i="12" r="T81"/>
  <c i="12" r="U81"/>
  <c i="12" r="V81"/>
  <c i="12" r="T82"/>
  <c i="12" r="U82"/>
  <c i="12" r="V82"/>
  <c i="12" r="T83"/>
  <c i="12" r="U83"/>
  <c i="12" r="V83"/>
  <c i="12" r="T84"/>
  <c i="12" r="U84"/>
  <c i="12" r="V84"/>
  <c i="12" r="T85"/>
  <c i="12" r="U85"/>
  <c i="12" r="V85"/>
  <c i="12" r="T86"/>
  <c i="12" r="U86"/>
  <c i="12" r="V86"/>
  <c i="12" r="T87"/>
  <c i="12" r="U87"/>
  <c i="12" r="V87"/>
  <c i="12" r="T88"/>
  <c i="12" r="U88"/>
  <c i="12" r="V88"/>
  <c i="12" r="T89"/>
  <c i="12" r="U89"/>
  <c i="12" r="V89"/>
  <c i="18" l="1" r="CV8"/>
  <c i="18" r="AK11"/>
  <c i="18" r="AK10"/>
  <c i="18" r="AK6"/>
  <c i="18" l="1" r="CV9"/>
  <c i="17" r="X24"/>
  <c i="17" r="C51" s="1"/>
  <c i="17" r="X23"/>
  <c i="17" r="X22"/>
  <c i="17" r="X21"/>
  <c i="17" r="X20"/>
  <c i="17" r="X19"/>
  <c i="17" r="X18"/>
  <c i="17" r="X17"/>
  <c i="17" r="X16"/>
  <c i="17" r="X15"/>
  <c i="17" r="X14"/>
  <c i="17" r="X13"/>
  <c i="17" r="X12"/>
  <c i="17" r="X11"/>
  <c i="17" r="X10"/>
  <c i="17" r="X9"/>
  <c i="17" r="X8"/>
  <c i="17" r="X7"/>
  <c i="17" r="X6"/>
  <c i="17" r="X5"/>
  <c i="17" r="X4"/>
  <c i="17" r="W25"/>
  <c i="1" r="CQ8" s="1"/>
  <c i="17" r="V25"/>
  <c i="1" r="CP8" s="1"/>
  <c i="1" r="BY41" s="1"/>
  <c i="18" r="E23" s="1"/>
  <c i="17" r="U25"/>
  <c i="1" r="CO8" s="1"/>
  <c i="1" r="BY40" s="1"/>
  <c i="18" r="E22" s="1"/>
  <c i="17" r="T25"/>
  <c i="1" r="CN8" s="1"/>
  <c i="1" r="BY39" s="1"/>
  <c i="18" r="E21" s="1"/>
  <c i="17" r="S25"/>
  <c i="1" r="CM8" s="1"/>
  <c i="1" r="BY38" s="1"/>
  <c i="18" r="E20" s="1"/>
  <c i="17" r="R25"/>
  <c i="1" r="CL8" s="1"/>
  <c i="1" r="BY37" s="1"/>
  <c i="18" r="E19" s="1"/>
  <c i="17" r="Q25"/>
  <c i="1" r="CK8" s="1"/>
  <c i="1" r="BY36" s="1"/>
  <c i="18" r="E18" s="1"/>
  <c i="17" r="P25"/>
  <c i="1" r="CJ8" s="1"/>
  <c i="1" r="BY35" s="1"/>
  <c i="18" r="E17" s="1"/>
  <c i="17" r="O25"/>
  <c i="1" r="CI8" s="1"/>
  <c i="1" r="BY34" s="1"/>
  <c i="18" r="E16" s="1"/>
  <c i="17" r="N25"/>
  <c i="1" r="CH8" s="1"/>
  <c i="1" r="BY33" s="1"/>
  <c i="18" r="E15" s="1"/>
  <c i="17" r="M25"/>
  <c i="1" r="CG8" s="1"/>
  <c i="1" r="BY32" s="1"/>
  <c i="18" r="E14" s="1"/>
  <c i="17" r="L25"/>
  <c i="1" r="CF8" s="1"/>
  <c i="1" r="BY31" s="1"/>
  <c i="18" r="E13" s="1"/>
  <c i="17" r="K25"/>
  <c i="1" r="CE8" s="1"/>
  <c i="1" r="BY30" s="1"/>
  <c i="18" r="E12" s="1"/>
  <c i="17" r="J25"/>
  <c i="1" r="CD8" s="1"/>
  <c i="1" r="BY29" s="1"/>
  <c i="18" r="E11" s="1"/>
  <c i="17" r="I25"/>
  <c i="1" r="CC8" s="1"/>
  <c i="1" r="BY28" s="1"/>
  <c i="18" r="E10" s="1"/>
  <c i="17" r="H25"/>
  <c i="1" r="CB8" s="1"/>
  <c i="1" r="BY27" s="1"/>
  <c i="18" r="E9" s="1"/>
  <c i="17" r="G25"/>
  <c i="1" r="CA8" s="1"/>
  <c i="1" r="BY26" s="1"/>
  <c i="18" r="E8" s="1"/>
  <c i="17" r="F25"/>
  <c i="1" r="BZ8" s="1"/>
  <c i="1" r="BY25" s="1"/>
  <c i="18" r="E7" s="1"/>
  <c i="17" r="E25"/>
  <c i="1" r="BY8" s="1"/>
  <c i="1" r="BY24" s="1"/>
  <c i="18" r="E6" s="1"/>
  <c i="17" r="D25"/>
  <c i="1" r="BX8" s="1"/>
  <c i="1" r="BY23" s="1"/>
  <c i="18" r="E5" s="1"/>
  <c i="17" r="C25"/>
  <c i="1" r="BW8" s="1"/>
  <c i="1" r="BY22" s="1"/>
  <c i="18" r="E4" s="1"/>
  <c i="18" l="1" r="CV10"/>
  <c i="17" r="J51"/>
  <c i="1" r="BY42"/>
  <c i="18" r="E24" s="1"/>
  <c i="17" r="W51"/>
  <c i="17" r="V51"/>
  <c i="17" r="U51"/>
  <c i="17" r="X51"/>
  <c i="17" r="T51"/>
  <c i="17" r="R51"/>
  <c i="17" r="Q51"/>
  <c i="17" r="P51"/>
  <c i="17" r="X25"/>
  <c i="17" r="O51"/>
  <c i="17" r="N51"/>
  <c i="17" r="M51"/>
  <c i="17" r="L51"/>
  <c i="17" r="S51"/>
  <c i="17" r="K51"/>
  <c i="17" r="I51"/>
  <c i="17" r="H51"/>
  <c i="17" r="G51"/>
  <c i="17" r="F51"/>
  <c i="17" r="E51"/>
  <c i="17" r="D51"/>
  <c i="18" l="1" r="CV11"/>
  <c i="1" r="CR8"/>
  <c i="18" l="1" r="CV12"/>
  <c i="8" r="J25"/>
  <c i="8" r="J36" s="1"/>
  <c i="8" r="K25"/>
  <c i="8" r="K36" s="1"/>
  <c i="8" r="I25"/>
  <c i="8" r="I36" s="1"/>
  <c i="8" r="C25"/>
  <c i="8" r="C36" s="1"/>
  <c i="8" r="D25"/>
  <c i="8" r="D36" s="1"/>
  <c i="8" r="B25"/>
  <c i="8" r="B36" s="1"/>
  <c i="1" r="AT28"/>
  <c i="1" r="CQ9" s="1"/>
  <c i="1" r="AS28"/>
  <c i="1" r="CP9" s="1"/>
  <c i="1" r="BZ41" s="1"/>
  <c i="18" r="F23" s="1"/>
  <c i="1" r="AR28"/>
  <c i="1" r="CO9" s="1"/>
  <c i="1" r="BZ40" s="1"/>
  <c i="18" r="F22" s="1"/>
  <c i="1" r="AQ28"/>
  <c i="1" r="CN9" s="1"/>
  <c i="1" r="BZ39" s="1"/>
  <c i="18" r="F21" s="1"/>
  <c i="1" r="AP28"/>
  <c i="1" r="CM9" s="1"/>
  <c i="1" r="BZ38" s="1"/>
  <c i="18" r="F20" s="1"/>
  <c i="1" r="AO28"/>
  <c i="1" r="CL9" s="1"/>
  <c i="1" r="BZ37" s="1"/>
  <c i="18" r="F19" s="1"/>
  <c i="1" r="AN28"/>
  <c i="1" r="CK9" s="1"/>
  <c i="1" r="BZ36" s="1"/>
  <c i="18" r="F18" s="1"/>
  <c i="1" r="AM28"/>
  <c i="1" r="CJ9" s="1"/>
  <c i="1" r="BZ35" s="1"/>
  <c i="18" r="F17" s="1"/>
  <c i="1" r="AL28"/>
  <c i="1" r="CI9" s="1"/>
  <c i="1" r="BZ34" s="1"/>
  <c i="18" r="F16" s="1"/>
  <c i="1" r="AK28"/>
  <c i="1" r="CH9" s="1"/>
  <c i="1" r="BZ33" s="1"/>
  <c i="18" r="F15" s="1"/>
  <c i="1" r="AJ28"/>
  <c i="1" r="CG9" s="1"/>
  <c i="1" r="BZ32" s="1"/>
  <c i="18" r="F14" s="1"/>
  <c i="1" r="AI28"/>
  <c i="1" r="CF9" s="1"/>
  <c i="1" r="BZ31" s="1"/>
  <c i="18" r="F13" s="1"/>
  <c i="1" r="AH28"/>
  <c i="1" r="CE9" s="1"/>
  <c i="1" r="BZ30" s="1"/>
  <c i="18" r="F12" s="1"/>
  <c i="1" r="AG28"/>
  <c i="1" r="CD9" s="1"/>
  <c i="1" r="BZ29" s="1"/>
  <c i="18" r="F11" s="1"/>
  <c i="1" r="AF28"/>
  <c i="1" r="CC9" s="1"/>
  <c i="1" r="BZ28" s="1"/>
  <c i="18" r="F10" s="1"/>
  <c i="1" r="AE28"/>
  <c i="1" r="CB9" s="1"/>
  <c i="1" r="BZ27" s="1"/>
  <c i="18" r="F9" s="1"/>
  <c i="1" r="AD28"/>
  <c i="1" r="CA9" s="1"/>
  <c i="1" r="BZ26" s="1"/>
  <c i="18" r="F8" s="1"/>
  <c i="1" r="AC28"/>
  <c i="1" r="BZ9" s="1"/>
  <c i="1" r="BZ25" s="1"/>
  <c i="18" r="F7" s="1"/>
  <c i="1" r="AB28"/>
  <c i="1" r="BY9" s="1"/>
  <c i="1" r="BZ24" s="1"/>
  <c i="18" r="F6" s="1"/>
  <c i="1" r="AA28"/>
  <c i="1" r="BX9" s="1"/>
  <c i="1" r="BZ23" s="1"/>
  <c i="18" r="F5" s="1"/>
  <c i="1" r="Z28"/>
  <c i="1" r="BW9" s="1"/>
  <c i="1" r="BZ22" s="1"/>
  <c i="18" r="F4" s="1"/>
  <c i="1" r="AU27"/>
  <c i="1" r="AR54" s="1"/>
  <c i="18" r="U50" s="1"/>
  <c i="1" r="AU26"/>
  <c i="1" r="AU25"/>
  <c i="1" r="AU24"/>
  <c i="1" r="AU23"/>
  <c i="1" r="AU22"/>
  <c i="1" r="AU21"/>
  <c i="1" r="AU20"/>
  <c i="1" r="AU19"/>
  <c i="1" r="AU18"/>
  <c i="1" r="AU17"/>
  <c i="1" r="AU16"/>
  <c i="1" r="AU15"/>
  <c i="1" r="AU14"/>
  <c i="1" r="AU13"/>
  <c i="1" r="AU12"/>
  <c i="1" r="AU11"/>
  <c i="1" r="AU10"/>
  <c i="1" r="AU9"/>
  <c i="1" r="AU8"/>
  <c i="1" r="AU7"/>
  <c i="18" l="1" r="CV13"/>
  <c i="1" r="AP54"/>
  <c i="18" r="S50" s="1"/>
  <c i="18" r="AQ130" s="1"/>
  <c i="18" r="AQ156" s="1"/>
  <c i="1" r="AK54"/>
  <c i="18" r="N50" s="1"/>
  <c i="18" r="AL130" s="1"/>
  <c i="18" r="AL156" s="1"/>
  <c i="1" r="AJ54"/>
  <c i="18" r="M50" s="1"/>
  <c i="18" r="AK130" s="1"/>
  <c i="18" r="AK156" s="1"/>
  <c i="1" r="AQ54"/>
  <c i="18" r="T50" s="1"/>
  <c i="18" r="AR130" s="1"/>
  <c i="18" r="AR156" s="1"/>
  <c i="1" r="AI54"/>
  <c i="18" r="L50" s="1"/>
  <c i="18" r="AJ130" s="1"/>
  <c i="18" r="AJ156" s="1"/>
  <c i="1" r="AH54"/>
  <c i="18" r="K50" s="1"/>
  <c i="18" r="AI130" s="1"/>
  <c i="18" r="AI156" s="1"/>
  <c i="1" r="AG54"/>
  <c i="18" r="J50" s="1"/>
  <c i="18" r="AH130" s="1"/>
  <c i="18" r="AH156" s="1"/>
  <c i="1" r="AO54"/>
  <c i="18" r="R50" s="1"/>
  <c i="18" r="AP130" s="1"/>
  <c i="18" r="AP156" s="1"/>
  <c i="1" r="AF54"/>
  <c i="18" r="I50" s="1"/>
  <c i="18" r="AG130" s="1"/>
  <c i="18" r="AG156" s="1"/>
  <c i="1" r="AM54"/>
  <c i="18" r="P50" s="1"/>
  <c i="18" r="AN130" s="1"/>
  <c i="18" r="AN156" s="1"/>
  <c i="1" r="AN54"/>
  <c i="18" r="Q50" s="1"/>
  <c i="18" r="AO130" s="1"/>
  <c i="18" r="AO156" s="1"/>
  <c i="1" r="AL54"/>
  <c i="18" r="O50" s="1"/>
  <c i="18" r="AM130" s="1"/>
  <c i="18" r="AM156" s="1"/>
  <c i="1" r="AE54"/>
  <c i="18" r="H50" s="1"/>
  <c i="18" r="AF130" s="1"/>
  <c i="18" r="AF156" s="1"/>
  <c i="1" r="AD54"/>
  <c i="18" r="G50" s="1"/>
  <c i="18" r="AE130" s="1"/>
  <c i="18" r="AE156" s="1"/>
  <c i="18" r="AS130"/>
  <c i="18" r="AS156" s="1"/>
  <c i="1" r="AC54"/>
  <c i="18" r="F50" s="1"/>
  <c i="18" r="AD130" s="1"/>
  <c i="18" r="AD156" s="1"/>
  <c i="1" r="AB54"/>
  <c i="18" r="E50" s="1"/>
  <c i="18" r="AC130" s="1"/>
  <c i="18" r="AC156" s="1"/>
  <c i="1" r="AA54"/>
  <c i="18" r="D50" s="1"/>
  <c i="18" r="AB130" s="1"/>
  <c i="18" r="AB156" s="1"/>
  <c i="1" r="Z54"/>
  <c i="18" r="C50" s="1"/>
  <c i="18" r="AA130" s="1"/>
  <c i="18" r="AA156" s="1"/>
  <c i="1" r="AT54"/>
  <c i="18" r="W50" s="1"/>
  <c i="18" r="AU130" s="1"/>
  <c i="18" r="AU156" s="1"/>
  <c i="1" r="AS54"/>
  <c i="18" r="V50" s="1"/>
  <c i="18" r="AT130" s="1"/>
  <c i="18" r="AT156" s="1"/>
  <c i="1" r="BZ42"/>
  <c i="18" r="F24" s="1"/>
  <c i="1" r="AU28"/>
  <c i="1" r="AX35"/>
  <c i="18" r="AA31" s="1"/>
  <c i="1" r="AY35"/>
  <c i="18" r="AB31" s="1"/>
  <c i="1" r="AZ35"/>
  <c i="18" r="AC31" s="1"/>
  <c i="1" r="BA35"/>
  <c i="18" r="AD31" s="1"/>
  <c i="1" r="BB35"/>
  <c i="18" r="AE31" s="1"/>
  <c i="1" r="BC35"/>
  <c i="18" r="AF31" s="1"/>
  <c i="1" r="BD35"/>
  <c i="18" r="AG31" s="1"/>
  <c i="1" r="BE35"/>
  <c i="18" r="AH31" s="1"/>
  <c i="1" r="BF35"/>
  <c i="18" r="AI31" s="1"/>
  <c i="1" r="BG35"/>
  <c i="18" r="AJ31" s="1"/>
  <c i="1" r="BH35"/>
  <c i="18" r="AK31" s="1"/>
  <c i="1" r="BI35"/>
  <c i="18" r="AL31" s="1"/>
  <c i="1" r="BJ35"/>
  <c i="18" r="AM31" s="1"/>
  <c i="1" r="BK35"/>
  <c i="18" r="AN31" s="1"/>
  <c i="1" r="BL35"/>
  <c i="18" r="AO31" s="1"/>
  <c i="1" r="BM35"/>
  <c i="18" r="AP31" s="1"/>
  <c i="1" r="BN35"/>
  <c i="18" r="AQ31" s="1"/>
  <c i="1" r="BO35"/>
  <c i="18" r="AR31" s="1"/>
  <c i="1" r="BP35"/>
  <c i="18" r="AS31" s="1"/>
  <c i="1" r="BQ35"/>
  <c i="18" r="AT31" s="1"/>
  <c i="1" r="BR35"/>
  <c i="18" r="AU31" s="1"/>
  <c i="1" r="AX36"/>
  <c i="18" r="AA32" s="1"/>
  <c i="1" r="AY36"/>
  <c i="18" r="AB32" s="1"/>
  <c i="1" r="AZ36"/>
  <c i="18" r="AC32" s="1"/>
  <c i="1" r="BA36"/>
  <c i="18" r="AD32" s="1"/>
  <c i="1" r="BB36"/>
  <c i="18" r="AE32" s="1"/>
  <c i="1" r="BC36"/>
  <c i="18" r="AF32" s="1"/>
  <c i="1" r="BD36"/>
  <c i="18" r="AG32" s="1"/>
  <c i="1" r="BE36"/>
  <c i="18" r="AH32" s="1"/>
  <c i="1" r="BF36"/>
  <c i="18" r="AI32" s="1"/>
  <c i="1" r="BG36"/>
  <c i="18" r="AJ32" s="1"/>
  <c i="1" r="BH36"/>
  <c i="18" r="AK32" s="1"/>
  <c i="1" r="BI36"/>
  <c i="18" r="AL32" s="1"/>
  <c i="1" r="BJ36"/>
  <c i="18" r="AM32" s="1"/>
  <c i="1" r="BK36"/>
  <c i="18" r="AN32" s="1"/>
  <c i="1" r="BL36"/>
  <c i="18" r="AO32" s="1"/>
  <c i="1" r="BM36"/>
  <c i="18" r="AP32" s="1"/>
  <c i="1" r="BN36"/>
  <c i="18" r="AQ32" s="1"/>
  <c i="1" r="BO36"/>
  <c i="18" r="AR32" s="1"/>
  <c i="1" r="BP36"/>
  <c i="18" r="AS32" s="1"/>
  <c i="1" r="BQ36"/>
  <c i="18" r="AT32" s="1"/>
  <c i="1" r="BR36"/>
  <c i="18" r="AU32" s="1"/>
  <c i="1" r="AX37"/>
  <c i="18" r="AA33" s="1"/>
  <c i="1" r="AY37"/>
  <c i="18" r="AB33" s="1"/>
  <c i="1" r="AZ37"/>
  <c i="18" r="AC33" s="1"/>
  <c i="1" r="BA37"/>
  <c i="18" r="AD33" s="1"/>
  <c i="1" r="BB37"/>
  <c i="18" r="AE33" s="1"/>
  <c i="1" r="BC37"/>
  <c i="18" r="AF33" s="1"/>
  <c i="1" r="BD37"/>
  <c i="18" r="AG33" s="1"/>
  <c i="1" r="BE37"/>
  <c i="18" r="AH33" s="1"/>
  <c i="1" r="BF37"/>
  <c i="18" r="AI33" s="1"/>
  <c i="1" r="BG37"/>
  <c i="18" r="AJ33" s="1"/>
  <c i="1" r="BH37"/>
  <c i="18" r="AK33" s="1"/>
  <c i="1" r="BI37"/>
  <c i="18" r="AL33" s="1"/>
  <c i="1" r="BJ37"/>
  <c i="18" r="AM33" s="1"/>
  <c i="1" r="BK37"/>
  <c i="18" r="AN33" s="1"/>
  <c i="1" r="BL37"/>
  <c i="18" r="AO33" s="1"/>
  <c i="1" r="BM37"/>
  <c i="18" r="AP33" s="1"/>
  <c i="1" r="BN37"/>
  <c i="18" r="AQ33" s="1"/>
  <c i="1" r="BO37"/>
  <c i="18" r="AR33" s="1"/>
  <c i="1" r="BP37"/>
  <c i="18" r="AS33" s="1"/>
  <c i="1" r="BQ37"/>
  <c i="18" r="AT33" s="1"/>
  <c i="1" r="BR37"/>
  <c i="18" r="AU33" s="1"/>
  <c i="1" r="AX38"/>
  <c i="18" r="AA34" s="1"/>
  <c i="1" r="AY38"/>
  <c i="18" r="AB34" s="1"/>
  <c i="1" r="AZ38"/>
  <c i="18" r="AC34" s="1"/>
  <c i="1" r="BA38"/>
  <c i="18" r="AD34" s="1"/>
  <c i="1" r="BB38"/>
  <c i="18" r="AE34" s="1"/>
  <c i="1" r="BC38"/>
  <c i="18" r="AF34" s="1"/>
  <c i="1" r="BD38"/>
  <c i="18" r="AG34" s="1"/>
  <c i="1" r="BE38"/>
  <c i="18" r="AH34" s="1"/>
  <c i="1" r="BF38"/>
  <c i="18" r="AI34" s="1"/>
  <c i="1" r="BG38"/>
  <c i="18" r="AJ34" s="1"/>
  <c i="1" r="BH38"/>
  <c i="18" r="AK34" s="1"/>
  <c i="1" r="BI38"/>
  <c i="18" r="AL34" s="1"/>
  <c i="1" r="BJ38"/>
  <c i="18" r="AM34" s="1"/>
  <c i="1" r="BK38"/>
  <c i="18" r="AN34" s="1"/>
  <c i="1" r="BL38"/>
  <c i="18" r="AO34" s="1"/>
  <c i="1" r="BM38"/>
  <c i="18" r="AP34" s="1"/>
  <c i="1" r="BN38"/>
  <c i="18" r="AQ34" s="1"/>
  <c i="1" r="BO38"/>
  <c i="18" r="AR34" s="1"/>
  <c i="1" r="BP38"/>
  <c i="18" r="AS34" s="1"/>
  <c i="1" r="BQ38"/>
  <c i="18" r="AT34" s="1"/>
  <c i="1" r="BR38"/>
  <c i="18" r="AU34" s="1"/>
  <c i="1" r="AX39"/>
  <c i="18" r="AA35" s="1"/>
  <c i="1" r="AY39"/>
  <c i="18" r="AB35" s="1"/>
  <c i="1" r="AZ39"/>
  <c i="18" r="AC35" s="1"/>
  <c i="1" r="BA39"/>
  <c i="18" r="AD35" s="1"/>
  <c i="1" r="BB39"/>
  <c i="18" r="AE35" s="1"/>
  <c i="1" r="BC39"/>
  <c i="18" r="AF35" s="1"/>
  <c i="1" r="BD39"/>
  <c i="18" r="AG35" s="1"/>
  <c i="1" r="BE39"/>
  <c i="18" r="AH35" s="1"/>
  <c i="1" r="BF39"/>
  <c i="18" r="AI35" s="1"/>
  <c i="1" r="BG39"/>
  <c i="18" r="AJ35" s="1"/>
  <c i="1" r="BH39"/>
  <c i="18" r="AK35" s="1"/>
  <c i="1" r="BI39"/>
  <c i="18" r="AL35" s="1"/>
  <c i="1" r="BJ39"/>
  <c i="18" r="AM35" s="1"/>
  <c i="1" r="BK39"/>
  <c i="18" r="AN35" s="1"/>
  <c i="1" r="BL39"/>
  <c i="18" r="AO35" s="1"/>
  <c i="1" r="BM39"/>
  <c i="18" r="AP35" s="1"/>
  <c i="1" r="BN39"/>
  <c i="18" r="AQ35" s="1"/>
  <c i="1" r="BO39"/>
  <c i="18" r="AR35" s="1"/>
  <c i="1" r="BP39"/>
  <c i="18" r="AS35" s="1"/>
  <c i="1" r="BQ39"/>
  <c i="18" r="AT35" s="1"/>
  <c i="1" r="BR39"/>
  <c i="18" r="AU35" s="1"/>
  <c i="1" r="AX40"/>
  <c i="18" r="AA36" s="1"/>
  <c i="1" r="AY40"/>
  <c i="18" r="AB36" s="1"/>
  <c i="1" r="AZ40"/>
  <c i="18" r="AC36" s="1"/>
  <c i="1" r="BA40"/>
  <c i="18" r="AD36" s="1"/>
  <c i="1" r="BB40"/>
  <c i="18" r="AE36" s="1"/>
  <c i="1" r="BC40"/>
  <c i="18" r="AF36" s="1"/>
  <c i="1" r="BD40"/>
  <c i="18" r="AG36" s="1"/>
  <c i="1" r="BE40"/>
  <c i="18" r="AH36" s="1"/>
  <c i="1" r="BF40"/>
  <c i="18" r="AI36" s="1"/>
  <c i="1" r="BG40"/>
  <c i="18" r="AJ36" s="1"/>
  <c i="1" r="BH40"/>
  <c i="18" r="AK36" s="1"/>
  <c i="1" r="BI40"/>
  <c i="18" r="AL36" s="1"/>
  <c i="1" r="BJ40"/>
  <c i="18" r="AM36" s="1"/>
  <c i="1" r="BK40"/>
  <c i="18" r="AN36" s="1"/>
  <c i="1" r="BL40"/>
  <c i="18" r="AO36" s="1"/>
  <c i="1" r="BM40"/>
  <c i="18" r="AP36" s="1"/>
  <c i="1" r="BN40"/>
  <c i="18" r="AQ36" s="1"/>
  <c i="1" r="BO40"/>
  <c i="18" r="AR36" s="1"/>
  <c i="1" r="BP40"/>
  <c i="18" r="AS36" s="1"/>
  <c i="1" r="BQ40"/>
  <c i="18" r="AT36" s="1"/>
  <c i="1" r="BR40"/>
  <c i="18" r="AU36" s="1"/>
  <c i="1" r="AX41"/>
  <c i="18" r="AA37" s="1"/>
  <c i="1" r="AY41"/>
  <c i="18" r="AB37" s="1"/>
  <c i="1" r="AZ41"/>
  <c i="18" r="AC37" s="1"/>
  <c i="1" r="BA41"/>
  <c i="18" r="AD37" s="1"/>
  <c i="1" r="BB41"/>
  <c i="18" r="AE37" s="1"/>
  <c i="1" r="BC41"/>
  <c i="18" r="AF37" s="1"/>
  <c i="1" r="BD41"/>
  <c i="18" r="AG37" s="1"/>
  <c i="1" r="BE41"/>
  <c i="18" r="AH37" s="1"/>
  <c i="1" r="BF41"/>
  <c i="18" r="AI37" s="1"/>
  <c i="1" r="BG41"/>
  <c i="18" r="AJ37" s="1"/>
  <c i="1" r="BH41"/>
  <c i="18" r="AK37" s="1"/>
  <c i="1" r="BI41"/>
  <c i="18" r="AL37" s="1"/>
  <c i="1" r="BJ41"/>
  <c i="18" r="AM37" s="1"/>
  <c i="1" r="BK41"/>
  <c i="18" r="AN37" s="1"/>
  <c i="1" r="BL41"/>
  <c i="18" r="AO37" s="1"/>
  <c i="1" r="BM41"/>
  <c i="18" r="AP37" s="1"/>
  <c i="1" r="BN41"/>
  <c i="18" r="AQ37" s="1"/>
  <c i="1" r="BO41"/>
  <c i="18" r="AR37" s="1"/>
  <c i="1" r="BP41"/>
  <c i="18" r="AS37" s="1"/>
  <c i="1" r="BQ41"/>
  <c i="18" r="AT37" s="1"/>
  <c i="1" r="BR41"/>
  <c i="18" r="AU37" s="1"/>
  <c i="1" r="AX42"/>
  <c i="18" r="AA38" s="1"/>
  <c i="1" r="AY42"/>
  <c i="18" r="AB38" s="1"/>
  <c i="1" r="AZ42"/>
  <c i="18" r="AC38" s="1"/>
  <c i="1" r="BA42"/>
  <c i="18" r="AD38" s="1"/>
  <c i="1" r="BB42"/>
  <c i="18" r="AE38" s="1"/>
  <c i="1" r="BC42"/>
  <c i="18" r="AF38" s="1"/>
  <c i="1" r="BD42"/>
  <c i="18" r="AG38" s="1"/>
  <c i="1" r="BE42"/>
  <c i="18" r="AH38" s="1"/>
  <c i="1" r="BF42"/>
  <c i="18" r="AI38" s="1"/>
  <c i="1" r="BG42"/>
  <c i="18" r="AJ38" s="1"/>
  <c i="1" r="BH42"/>
  <c i="18" r="AK38" s="1"/>
  <c i="1" r="BI42"/>
  <c i="18" r="AL38" s="1"/>
  <c i="1" r="BJ42"/>
  <c i="18" r="AM38" s="1"/>
  <c i="1" r="BK42"/>
  <c i="18" r="AN38" s="1"/>
  <c i="1" r="BL42"/>
  <c i="18" r="AO38" s="1"/>
  <c i="1" r="BM42"/>
  <c i="18" r="AP38" s="1"/>
  <c i="1" r="BN42"/>
  <c i="18" r="AQ38" s="1"/>
  <c i="1" r="BO42"/>
  <c i="18" r="AR38" s="1"/>
  <c i="1" r="BP42"/>
  <c i="18" r="AS38" s="1"/>
  <c i="1" r="BQ42"/>
  <c i="18" r="AT38" s="1"/>
  <c i="1" r="BR42"/>
  <c i="18" r="AU38" s="1"/>
  <c i="1" r="AX43"/>
  <c i="18" r="AA39" s="1"/>
  <c i="1" r="AY43"/>
  <c i="18" r="AB39" s="1"/>
  <c i="1" r="AZ43"/>
  <c i="18" r="AC39" s="1"/>
  <c i="1" r="BA43"/>
  <c i="18" r="AD39" s="1"/>
  <c i="1" r="BB43"/>
  <c i="18" r="AE39" s="1"/>
  <c i="1" r="BC43"/>
  <c i="18" r="AF39" s="1"/>
  <c i="1" r="BD43"/>
  <c i="18" r="AG39" s="1"/>
  <c i="1" r="BE43"/>
  <c i="18" r="AH39" s="1"/>
  <c i="1" r="BF43"/>
  <c i="18" r="AI39" s="1"/>
  <c i="1" r="BG43"/>
  <c i="18" r="AJ39" s="1"/>
  <c i="1" r="BH43"/>
  <c i="18" r="AK39" s="1"/>
  <c i="1" r="BI43"/>
  <c i="18" r="AL39" s="1"/>
  <c i="1" r="BJ43"/>
  <c i="18" r="AM39" s="1"/>
  <c i="1" r="BK43"/>
  <c i="18" r="AN39" s="1"/>
  <c i="1" r="BL43"/>
  <c i="18" r="AO39" s="1"/>
  <c i="1" r="BM43"/>
  <c i="18" r="AP39" s="1"/>
  <c i="1" r="BN43"/>
  <c i="18" r="AQ39" s="1"/>
  <c i="1" r="BO43"/>
  <c i="18" r="AR39" s="1"/>
  <c i="1" r="BP43"/>
  <c i="18" r="AS39" s="1"/>
  <c i="1" r="BQ43"/>
  <c i="18" r="AT39" s="1"/>
  <c i="1" r="BR43"/>
  <c i="18" r="AU39" s="1"/>
  <c i="1" r="AX44"/>
  <c i="18" r="AA40" s="1"/>
  <c i="1" r="AY44"/>
  <c i="18" r="AB40" s="1"/>
  <c i="1" r="AZ44"/>
  <c i="18" r="AC40" s="1"/>
  <c i="1" r="BA44"/>
  <c i="18" r="AD40" s="1"/>
  <c i="1" r="BB44"/>
  <c i="18" r="AE40" s="1"/>
  <c i="1" r="BC44"/>
  <c i="18" r="AF40" s="1"/>
  <c i="1" r="BD44"/>
  <c i="18" r="AG40" s="1"/>
  <c i="1" r="BE44"/>
  <c i="18" r="AH40" s="1"/>
  <c i="1" r="BF44"/>
  <c i="18" r="AI40" s="1"/>
  <c i="1" r="BG44"/>
  <c i="18" r="AJ40" s="1"/>
  <c i="1" r="BH44"/>
  <c i="18" r="AK40" s="1"/>
  <c i="1" r="BI44"/>
  <c i="18" r="AL40" s="1"/>
  <c i="1" r="BJ44"/>
  <c i="18" r="AM40" s="1"/>
  <c i="1" r="BK44"/>
  <c i="18" r="AN40" s="1"/>
  <c i="1" r="BL44"/>
  <c i="18" r="AO40" s="1"/>
  <c i="1" r="BM44"/>
  <c i="18" r="AP40" s="1"/>
  <c i="1" r="BN44"/>
  <c i="18" r="AQ40" s="1"/>
  <c i="1" r="BO44"/>
  <c i="18" r="AR40" s="1"/>
  <c i="1" r="BP44"/>
  <c i="18" r="AS40" s="1"/>
  <c i="1" r="BQ44"/>
  <c i="18" r="AT40" s="1"/>
  <c i="1" r="BR44"/>
  <c i="18" r="AU40" s="1"/>
  <c i="1" r="AX45"/>
  <c i="18" r="AA41" s="1"/>
  <c i="1" r="AY45"/>
  <c i="18" r="AB41" s="1"/>
  <c i="1" r="AZ45"/>
  <c i="18" r="AC41" s="1"/>
  <c i="1" r="BA45"/>
  <c i="18" r="AD41" s="1"/>
  <c i="1" r="BB45"/>
  <c i="18" r="AE41" s="1"/>
  <c i="1" r="BC45"/>
  <c i="18" r="AF41" s="1"/>
  <c i="1" r="BD45"/>
  <c i="18" r="AG41" s="1"/>
  <c i="1" r="BE45"/>
  <c i="18" r="AH41" s="1"/>
  <c i="1" r="BF45"/>
  <c i="18" r="AI41" s="1"/>
  <c i="1" r="BG45"/>
  <c i="18" r="AJ41" s="1"/>
  <c i="1" r="BH45"/>
  <c i="18" r="AK41" s="1"/>
  <c i="1" r="BI45"/>
  <c i="18" r="AL41" s="1"/>
  <c i="1" r="BJ45"/>
  <c i="18" r="AM41" s="1"/>
  <c i="1" r="BK45"/>
  <c i="18" r="AN41" s="1"/>
  <c i="1" r="BL45"/>
  <c i="18" r="AO41" s="1"/>
  <c i="1" r="BM45"/>
  <c i="18" r="AP41" s="1"/>
  <c i="1" r="BN45"/>
  <c i="18" r="AQ41" s="1"/>
  <c i="1" r="BO45"/>
  <c i="18" r="AR41" s="1"/>
  <c i="1" r="BP45"/>
  <c i="18" r="AS41" s="1"/>
  <c i="1" r="BQ45"/>
  <c i="18" r="AT41" s="1"/>
  <c i="1" r="BR45"/>
  <c i="18" r="AU41" s="1"/>
  <c i="1" r="AX46"/>
  <c i="18" r="AA42" s="1"/>
  <c i="1" r="AY46"/>
  <c i="18" r="AB42" s="1"/>
  <c i="1" r="AZ46"/>
  <c i="18" r="AC42" s="1"/>
  <c i="1" r="BA46"/>
  <c i="18" r="AD42" s="1"/>
  <c i="1" r="BB46"/>
  <c i="18" r="AE42" s="1"/>
  <c i="1" r="BC46"/>
  <c i="18" r="AF42" s="1"/>
  <c i="1" r="BD46"/>
  <c i="18" r="AG42" s="1"/>
  <c i="1" r="BE46"/>
  <c i="18" r="AH42" s="1"/>
  <c i="1" r="BF46"/>
  <c i="18" r="AI42" s="1"/>
  <c i="1" r="BG46"/>
  <c i="18" r="AJ42" s="1"/>
  <c i="1" r="BH46"/>
  <c i="18" r="AK42" s="1"/>
  <c i="1" r="BI46"/>
  <c i="18" r="AL42" s="1"/>
  <c i="1" r="BJ46"/>
  <c i="18" r="AM42" s="1"/>
  <c i="1" r="BK46"/>
  <c i="18" r="AN42" s="1"/>
  <c i="1" r="BL46"/>
  <c i="18" r="AO42" s="1"/>
  <c i="1" r="BM46"/>
  <c i="18" r="AP42" s="1"/>
  <c i="1" r="BN46"/>
  <c i="18" r="AQ42" s="1"/>
  <c i="1" r="BO46"/>
  <c i="18" r="AR42" s="1"/>
  <c i="1" r="BP46"/>
  <c i="18" r="AS42" s="1"/>
  <c i="1" r="BQ46"/>
  <c i="18" r="AT42" s="1"/>
  <c i="1" r="BR46"/>
  <c i="18" r="AU42" s="1"/>
  <c i="1" r="AX47"/>
  <c i="18" r="AA43" s="1"/>
  <c i="1" r="AY47"/>
  <c i="18" r="AB43" s="1"/>
  <c i="1" r="AZ47"/>
  <c i="18" r="AC43" s="1"/>
  <c i="1" r="BA47"/>
  <c i="18" r="AD43" s="1"/>
  <c i="1" r="BB47"/>
  <c i="18" r="AE43" s="1"/>
  <c i="1" r="BC47"/>
  <c i="18" r="AF43" s="1"/>
  <c i="1" r="BD47"/>
  <c i="18" r="AG43" s="1"/>
  <c i="1" r="BE47"/>
  <c i="18" r="AH43" s="1"/>
  <c i="1" r="BF47"/>
  <c i="18" r="AI43" s="1"/>
  <c i="1" r="BG47"/>
  <c i="18" r="AJ43" s="1"/>
  <c i="1" r="BH47"/>
  <c i="18" r="AK43" s="1"/>
  <c i="1" r="BI47"/>
  <c i="18" r="AL43" s="1"/>
  <c i="1" r="BJ47"/>
  <c i="18" r="AM43" s="1"/>
  <c i="1" r="BK47"/>
  <c i="18" r="AN43" s="1"/>
  <c i="1" r="BL47"/>
  <c i="18" r="AO43" s="1"/>
  <c i="1" r="BM47"/>
  <c i="18" r="AP43" s="1"/>
  <c i="1" r="BN47"/>
  <c i="18" r="AQ43" s="1"/>
  <c i="1" r="BO47"/>
  <c i="18" r="AR43" s="1"/>
  <c i="1" r="BP47"/>
  <c i="18" r="AS43" s="1"/>
  <c i="1" r="BQ47"/>
  <c i="18" r="AT43" s="1"/>
  <c i="1" r="BR47"/>
  <c i="18" r="AU43" s="1"/>
  <c i="1" r="AX48"/>
  <c i="18" r="AA44" s="1"/>
  <c i="1" r="AY48"/>
  <c i="18" r="AB44" s="1"/>
  <c i="1" r="AZ48"/>
  <c i="18" r="AC44" s="1"/>
  <c i="1" r="BA48"/>
  <c i="18" r="AD44" s="1"/>
  <c i="1" r="BB48"/>
  <c i="18" r="AE44" s="1"/>
  <c i="1" r="BC48"/>
  <c i="18" r="AF44" s="1"/>
  <c i="1" r="BD48"/>
  <c i="18" r="AG44" s="1"/>
  <c i="1" r="BE48"/>
  <c i="18" r="AH44" s="1"/>
  <c i="1" r="BF48"/>
  <c i="18" r="AI44" s="1"/>
  <c i="1" r="BG48"/>
  <c i="18" r="AJ44" s="1"/>
  <c i="1" r="BH48"/>
  <c i="18" r="AK44" s="1"/>
  <c i="1" r="BI48"/>
  <c i="18" r="AL44" s="1"/>
  <c i="1" r="BJ48"/>
  <c i="18" r="AM44" s="1"/>
  <c i="1" r="BK48"/>
  <c i="18" r="AN44" s="1"/>
  <c i="1" r="BL48"/>
  <c i="18" r="AO44" s="1"/>
  <c i="1" r="BM48"/>
  <c i="18" r="AP44" s="1"/>
  <c i="1" r="BN48"/>
  <c i="18" r="AQ44" s="1"/>
  <c i="1" r="BO48"/>
  <c i="18" r="AR44" s="1"/>
  <c i="1" r="BP48"/>
  <c i="18" r="AS44" s="1"/>
  <c i="1" r="BQ48"/>
  <c i="18" r="AT44" s="1"/>
  <c i="1" r="BR48"/>
  <c i="18" r="AU44" s="1"/>
  <c i="1" r="AX49"/>
  <c i="18" r="AA45" s="1"/>
  <c i="1" r="AY49"/>
  <c i="18" r="AB45" s="1"/>
  <c i="1" r="AZ49"/>
  <c i="18" r="AC45" s="1"/>
  <c i="1" r="BA49"/>
  <c i="18" r="AD45" s="1"/>
  <c i="1" r="BB49"/>
  <c i="18" r="AE45" s="1"/>
  <c i="1" r="BC49"/>
  <c i="18" r="AF45" s="1"/>
  <c i="1" r="BD49"/>
  <c i="18" r="AG45" s="1"/>
  <c i="1" r="BE49"/>
  <c i="18" r="AH45" s="1"/>
  <c i="1" r="BF49"/>
  <c i="18" r="AI45" s="1"/>
  <c i="1" r="BG49"/>
  <c i="18" r="AJ45" s="1"/>
  <c i="1" r="BH49"/>
  <c i="18" r="AK45" s="1"/>
  <c i="1" r="BI49"/>
  <c i="18" r="AL45" s="1"/>
  <c i="1" r="BJ49"/>
  <c i="18" r="AM45" s="1"/>
  <c i="1" r="BK49"/>
  <c i="18" r="AN45" s="1"/>
  <c i="1" r="BL49"/>
  <c i="18" r="AO45" s="1"/>
  <c i="1" r="BM49"/>
  <c i="18" r="AP45" s="1"/>
  <c i="1" r="BN49"/>
  <c i="18" r="AQ45" s="1"/>
  <c i="1" r="BO49"/>
  <c i="18" r="AR45" s="1"/>
  <c i="1" r="BP49"/>
  <c i="18" r="AS45" s="1"/>
  <c i="1" r="BQ49"/>
  <c i="18" r="AT45" s="1"/>
  <c i="1" r="BR49"/>
  <c i="18" r="AU45" s="1"/>
  <c i="1" r="AX50"/>
  <c i="18" r="AA46" s="1"/>
  <c i="1" r="AY50"/>
  <c i="18" r="AB46" s="1"/>
  <c i="1" r="AZ50"/>
  <c i="18" r="AC46" s="1"/>
  <c i="1" r="BA50"/>
  <c i="18" r="AD46" s="1"/>
  <c i="1" r="BB50"/>
  <c i="18" r="AE46" s="1"/>
  <c i="1" r="BC50"/>
  <c i="18" r="AF46" s="1"/>
  <c i="1" r="BD50"/>
  <c i="18" r="AG46" s="1"/>
  <c i="1" r="BE50"/>
  <c i="18" r="AH46" s="1"/>
  <c i="1" r="BF50"/>
  <c i="18" r="AI46" s="1"/>
  <c i="1" r="BG50"/>
  <c i="18" r="AJ46" s="1"/>
  <c i="1" r="BH50"/>
  <c i="18" r="AK46" s="1"/>
  <c i="1" r="BI50"/>
  <c i="18" r="AL46" s="1"/>
  <c i="1" r="BJ50"/>
  <c i="18" r="AM46" s="1"/>
  <c i="1" r="BK50"/>
  <c i="18" r="AN46" s="1"/>
  <c i="1" r="BL50"/>
  <c i="18" r="AO46" s="1"/>
  <c i="1" r="BM50"/>
  <c i="18" r="AP46" s="1"/>
  <c i="1" r="BN50"/>
  <c i="18" r="AQ46" s="1"/>
  <c i="1" r="BO50"/>
  <c i="18" r="AR46" s="1"/>
  <c i="1" r="BP50"/>
  <c i="18" r="AS46" s="1"/>
  <c i="1" r="BQ50"/>
  <c i="18" r="AT46" s="1"/>
  <c i="1" r="BR50"/>
  <c i="18" r="AU46" s="1"/>
  <c i="1" r="AX51"/>
  <c i="18" r="AA47" s="1"/>
  <c i="1" r="AY51"/>
  <c i="18" r="AB47" s="1"/>
  <c i="1" r="AZ51"/>
  <c i="18" r="AC47" s="1"/>
  <c i="1" r="BA51"/>
  <c i="18" r="AD47" s="1"/>
  <c i="1" r="BB51"/>
  <c i="18" r="AE47" s="1"/>
  <c i="1" r="BC51"/>
  <c i="18" r="AF47" s="1"/>
  <c i="1" r="BD51"/>
  <c i="18" r="AG47" s="1"/>
  <c i="1" r="BE51"/>
  <c i="18" r="AH47" s="1"/>
  <c i="1" r="BF51"/>
  <c i="18" r="AI47" s="1"/>
  <c i="1" r="BG51"/>
  <c i="18" r="AJ47" s="1"/>
  <c i="1" r="BH51"/>
  <c i="18" r="AK47" s="1"/>
  <c i="1" r="BI51"/>
  <c i="18" r="AL47" s="1"/>
  <c i="1" r="BJ51"/>
  <c i="18" r="AM47" s="1"/>
  <c i="1" r="BK51"/>
  <c i="18" r="AN47" s="1"/>
  <c i="1" r="BL51"/>
  <c i="18" r="AO47" s="1"/>
  <c i="1" r="BM51"/>
  <c i="18" r="AP47" s="1"/>
  <c i="1" r="BN51"/>
  <c i="18" r="AQ47" s="1"/>
  <c i="1" r="BO51"/>
  <c i="18" r="AR47" s="1"/>
  <c i="1" r="BP51"/>
  <c i="18" r="AS47" s="1"/>
  <c i="1" r="BQ51"/>
  <c i="18" r="AT47" s="1"/>
  <c i="1" r="BR51"/>
  <c i="18" r="AU47" s="1"/>
  <c i="1" r="AX52"/>
  <c i="18" r="AA48" s="1"/>
  <c i="1" r="AY52"/>
  <c i="18" r="AB48" s="1"/>
  <c i="1" r="AZ52"/>
  <c i="18" r="AC48" s="1"/>
  <c i="1" r="BA52"/>
  <c i="18" r="AD48" s="1"/>
  <c i="1" r="BB52"/>
  <c i="18" r="AE48" s="1"/>
  <c i="1" r="BC52"/>
  <c i="18" r="AF48" s="1"/>
  <c i="1" r="BD52"/>
  <c i="18" r="AG48" s="1"/>
  <c i="1" r="BE52"/>
  <c i="18" r="AH48" s="1"/>
  <c i="1" r="BF52"/>
  <c i="18" r="AI48" s="1"/>
  <c i="1" r="BG52"/>
  <c i="18" r="AJ48" s="1"/>
  <c i="1" r="BH52"/>
  <c i="18" r="AK48" s="1"/>
  <c i="1" r="BI52"/>
  <c i="18" r="AL48" s="1"/>
  <c i="1" r="BJ52"/>
  <c i="18" r="AM48" s="1"/>
  <c i="1" r="BK52"/>
  <c i="18" r="AN48" s="1"/>
  <c i="1" r="BL52"/>
  <c i="18" r="AO48" s="1"/>
  <c i="1" r="BM52"/>
  <c i="18" r="AP48" s="1"/>
  <c i="1" r="BN52"/>
  <c i="18" r="AQ48" s="1"/>
  <c i="1" r="BO52"/>
  <c i="18" r="AR48" s="1"/>
  <c i="1" r="BP52"/>
  <c i="18" r="AS48" s="1"/>
  <c i="1" r="BQ52"/>
  <c i="18" r="AT48" s="1"/>
  <c i="1" r="BR52"/>
  <c i="18" r="AU48" s="1"/>
  <c i="1" r="AX53"/>
  <c i="18" r="AA49" s="1"/>
  <c i="1" r="AY53"/>
  <c i="18" r="AB49" s="1"/>
  <c i="1" r="AZ53"/>
  <c i="18" r="AC49" s="1"/>
  <c i="1" r="BA53"/>
  <c i="18" r="AD49" s="1"/>
  <c i="1" r="BB53"/>
  <c i="18" r="AE49" s="1"/>
  <c i="1" r="BC53"/>
  <c i="18" r="AF49" s="1"/>
  <c i="1" r="BD53"/>
  <c i="18" r="AG49" s="1"/>
  <c i="1" r="BE53"/>
  <c i="18" r="AH49" s="1"/>
  <c i="1" r="BF53"/>
  <c i="18" r="AI49" s="1"/>
  <c i="1" r="BG53"/>
  <c i="18" r="AJ49" s="1"/>
  <c i="1" r="BH53"/>
  <c i="18" r="AK49" s="1"/>
  <c i="1" r="BI53"/>
  <c i="18" r="AL49" s="1"/>
  <c i="1" r="BJ53"/>
  <c i="18" r="AM49" s="1"/>
  <c i="1" r="BK53"/>
  <c i="18" r="AN49" s="1"/>
  <c i="1" r="BL53"/>
  <c i="18" r="AO49" s="1"/>
  <c i="1" r="BM53"/>
  <c i="18" r="AP49" s="1"/>
  <c i="1" r="BN53"/>
  <c i="18" r="AQ49" s="1"/>
  <c i="1" r="BO53"/>
  <c i="18" r="AR49" s="1"/>
  <c i="1" r="BP53"/>
  <c i="18" r="AS49" s="1"/>
  <c i="1" r="BQ53"/>
  <c i="18" r="AT49" s="1"/>
  <c i="1" r="BR53"/>
  <c i="18" r="AU49" s="1"/>
  <c i="1" r="AX54"/>
  <c i="18" r="AA50" s="1"/>
  <c i="1" r="AY54"/>
  <c i="18" r="AB50" s="1"/>
  <c i="18" r="BA50" s="1"/>
  <c i="18" r="BY50" s="1"/>
  <c i="1" r="AZ54"/>
  <c i="18" r="AC50" s="1"/>
  <c i="1" r="BA54"/>
  <c i="18" r="AD50" s="1"/>
  <c i="1" r="BB54"/>
  <c i="18" r="AE50" s="1"/>
  <c i="18" r="BD50" s="1"/>
  <c i="18" r="CB50" s="1"/>
  <c i="1" r="BC54"/>
  <c i="18" r="AF50" s="1"/>
  <c i="18" r="BE50" s="1"/>
  <c i="18" r="CC50" s="1"/>
  <c i="1" r="BD54"/>
  <c i="18" r="AG50" s="1"/>
  <c i="18" r="BF50" s="1"/>
  <c i="18" r="CD50" s="1"/>
  <c i="1" r="BE54"/>
  <c i="18" r="AH50" s="1"/>
  <c i="18" r="BG50" s="1"/>
  <c i="18" r="CE50" s="1"/>
  <c i="1" r="BF54"/>
  <c i="18" r="AI50" s="1"/>
  <c i="18" r="BH50" s="1"/>
  <c i="18" r="CF50" s="1"/>
  <c i="1" r="BG54"/>
  <c i="18" r="AJ50" s="1"/>
  <c i="18" r="BI50" s="1"/>
  <c i="18" r="CG50" s="1"/>
  <c i="1" r="BH54"/>
  <c i="18" r="AK50" s="1"/>
  <c i="18" r="BJ50" s="1"/>
  <c i="18" r="CH50" s="1"/>
  <c i="1" r="BI54"/>
  <c i="18" r="AL50" s="1"/>
  <c i="18" r="BK50" s="1"/>
  <c i="18" r="CI50" s="1"/>
  <c i="1" r="BJ54"/>
  <c i="18" r="AM50" s="1"/>
  <c i="18" r="BL50" s="1"/>
  <c i="18" r="CJ50" s="1"/>
  <c i="1" r="BK54"/>
  <c i="18" r="AN50" s="1"/>
  <c i="18" r="BM50" s="1"/>
  <c i="18" r="CK50" s="1"/>
  <c i="1" r="BL54"/>
  <c i="18" r="AO50" s="1"/>
  <c i="18" r="BN50" s="1"/>
  <c i="18" r="CL50" s="1"/>
  <c i="1" r="BM54"/>
  <c i="18" r="AP50" s="1"/>
  <c i="18" r="BO50" s="1"/>
  <c i="18" r="CM50" s="1"/>
  <c i="1" r="BN54"/>
  <c i="18" r="AQ50" s="1"/>
  <c i="18" r="BP50" s="1"/>
  <c i="18" r="CN50" s="1"/>
  <c i="1" r="BO54"/>
  <c i="18" r="AR50" s="1"/>
  <c i="18" r="BQ50" s="1"/>
  <c i="18" r="CO50" s="1"/>
  <c i="1" r="BP54"/>
  <c i="18" r="AS50" s="1"/>
  <c i="18" r="BR50" s="1"/>
  <c i="18" r="CP50" s="1"/>
  <c i="1" r="BQ54"/>
  <c i="18" r="AT50" s="1"/>
  <c i="1" r="BR54"/>
  <c i="18" r="AU50" s="1"/>
  <c i="1" r="AY34"/>
  <c i="18" r="AB30" s="1"/>
  <c i="1" r="AZ34"/>
  <c i="18" r="AC30" s="1"/>
  <c i="1" r="BA34"/>
  <c i="18" r="AD30" s="1"/>
  <c i="1" r="BB34"/>
  <c i="18" r="AE30" s="1"/>
  <c i="1" r="BC34"/>
  <c i="18" r="AF30" s="1"/>
  <c i="1" r="BD34"/>
  <c i="18" r="AG30" s="1"/>
  <c i="1" r="BE34"/>
  <c i="18" r="AH30" s="1"/>
  <c i="1" r="BF34"/>
  <c i="18" r="AI30" s="1"/>
  <c i="1" r="BG34"/>
  <c i="18" r="AJ30" s="1"/>
  <c i="1" r="BH34"/>
  <c i="18" r="AK30" s="1"/>
  <c i="1" r="BI34"/>
  <c i="18" r="AL30" s="1"/>
  <c i="1" r="BJ34"/>
  <c i="18" r="AM30" s="1"/>
  <c i="1" r="BK34"/>
  <c i="18" r="AN30" s="1"/>
  <c i="1" r="BL34"/>
  <c i="18" r="AO30" s="1"/>
  <c i="1" r="BM34"/>
  <c i="18" r="AP30" s="1"/>
  <c i="1" r="BN34"/>
  <c i="18" r="AQ30" s="1"/>
  <c i="1" r="BO34"/>
  <c i="18" r="AR30" s="1"/>
  <c i="1" r="BP34"/>
  <c i="18" r="AS30" s="1"/>
  <c i="1" r="BQ34"/>
  <c i="18" r="AT30" s="1"/>
  <c i="1" r="BR34"/>
  <c i="18" r="AU30" s="1"/>
  <c i="1" r="AX34"/>
  <c i="18" r="AA30" s="1"/>
  <c i="1" r="BR28"/>
  <c i="1" r="CQ10" s="1"/>
  <c i="1" r="BQ28"/>
  <c i="1" r="CP10" s="1"/>
  <c i="1" r="CA41" s="1"/>
  <c i="18" r="G23" s="1"/>
  <c i="1" r="BP28"/>
  <c i="1" r="CO10" s="1"/>
  <c i="1" r="CA40" s="1"/>
  <c i="18" r="G22" s="1"/>
  <c i="1" r="BO28"/>
  <c i="1" r="CN10" s="1"/>
  <c i="1" r="CA39" s="1"/>
  <c i="18" r="G21" s="1"/>
  <c i="1" r="BN28"/>
  <c i="1" r="CM10" s="1"/>
  <c i="1" r="CA38" s="1"/>
  <c i="18" r="G20" s="1"/>
  <c i="1" r="BM28"/>
  <c i="1" r="CL10" s="1"/>
  <c i="1" r="CA37" s="1"/>
  <c i="18" r="G19" s="1"/>
  <c i="1" r="BL28"/>
  <c i="1" r="CK10" s="1"/>
  <c i="1" r="CA36" s="1"/>
  <c i="18" r="G18" s="1"/>
  <c i="1" r="BK28"/>
  <c i="1" r="CJ10" s="1"/>
  <c i="1" r="CA35" s="1"/>
  <c i="18" r="G17" s="1"/>
  <c i="1" r="BJ28"/>
  <c i="1" r="CI10" s="1"/>
  <c i="1" r="CA34" s="1"/>
  <c i="18" r="G16" s="1"/>
  <c i="1" r="BI28"/>
  <c i="1" r="CH10" s="1"/>
  <c i="1" r="CA33" s="1"/>
  <c i="18" r="G15" s="1"/>
  <c i="1" r="BH28"/>
  <c i="1" r="CG10" s="1"/>
  <c i="1" r="CA32" s="1"/>
  <c i="18" r="G14" s="1"/>
  <c i="1" r="BG28"/>
  <c i="1" r="CF10" s="1"/>
  <c i="1" r="CA31" s="1"/>
  <c i="18" r="G13" s="1"/>
  <c i="1" r="BF28"/>
  <c i="1" r="CE10" s="1"/>
  <c i="1" r="CA30" s="1"/>
  <c i="18" r="G12" s="1"/>
  <c i="1" r="BE28"/>
  <c i="1" r="CD10" s="1"/>
  <c i="1" r="CA29" s="1"/>
  <c i="18" r="G11" s="1"/>
  <c i="1" r="BD28"/>
  <c i="1" r="CC10" s="1"/>
  <c i="1" r="CA28" s="1"/>
  <c i="18" r="G10" s="1"/>
  <c i="1" r="BC28"/>
  <c i="1" r="CB10" s="1"/>
  <c i="1" r="CA27" s="1"/>
  <c i="18" r="G9" s="1"/>
  <c i="1" r="BB28"/>
  <c i="1" r="CA10" s="1"/>
  <c i="1" r="CA26" s="1"/>
  <c i="18" r="G8" s="1"/>
  <c i="1" r="BA28"/>
  <c i="1" r="BZ10" s="1"/>
  <c i="1" r="CA25" s="1"/>
  <c i="18" r="G7" s="1"/>
  <c i="1" r="AZ28"/>
  <c i="1" r="BY10" s="1"/>
  <c i="1" r="CA24" s="1"/>
  <c i="18" r="G6" s="1"/>
  <c i="1" r="AY28"/>
  <c i="1" r="BX10" s="1"/>
  <c i="1" r="CA23" s="1"/>
  <c i="18" r="G5" s="1"/>
  <c i="1" r="AX28"/>
  <c i="1" r="BW10" s="1"/>
  <c i="1" r="CA22" s="1"/>
  <c i="18" r="G4" s="1"/>
  <c i="1" r="BS27"/>
  <c i="1" r="BS26"/>
  <c i="1" r="BS25"/>
  <c i="1" r="BS24"/>
  <c i="1" r="BS23"/>
  <c i="1" r="BS22"/>
  <c i="1" r="BS21"/>
  <c i="1" r="BS20"/>
  <c i="1" r="BS19"/>
  <c i="1" r="BS18"/>
  <c i="1" r="BS17"/>
  <c i="1" r="BS16"/>
  <c i="1" r="BS15"/>
  <c i="1" r="BS14"/>
  <c i="1" r="BS13"/>
  <c i="1" r="BS12"/>
  <c i="1" r="BS11"/>
  <c i="1" r="BS10"/>
  <c i="1" r="BS9"/>
  <c i="1" r="BS8"/>
  <c i="1" r="BS7"/>
  <c i="1" r="W8"/>
  <c i="1" r="W9"/>
  <c i="1" r="K36" s="1"/>
  <c i="1" r="W10"/>
  <c i="1" r="T37" s="1"/>
  <c i="1" r="W11"/>
  <c i="1" r="W12"/>
  <c i="1" r="W13"/>
  <c i="1" r="W14"/>
  <c i="1" r="W15"/>
  <c i="1" r="W16"/>
  <c i="1" r="W17"/>
  <c i="1" r="W18"/>
  <c i="1" r="W19"/>
  <c i="1" r="W20"/>
  <c i="1" r="W21"/>
  <c i="1" r="W22"/>
  <c i="1" r="W23"/>
  <c i="1" r="W24"/>
  <c i="1" r="W25"/>
  <c i="1" r="W26"/>
  <c i="1" r="W27"/>
  <c i="1" r="E54" s="1"/>
  <c i="1" r="W7"/>
  <c i="1" r="C28"/>
  <c i="1" r="BX7" s="1"/>
  <c i="1" r="BX23" s="1"/>
  <c i="18" r="D5" s="1"/>
  <c i="1" r="D28"/>
  <c i="1" r="BY7" s="1"/>
  <c i="1" r="BX24" s="1"/>
  <c i="18" r="D6" s="1"/>
  <c i="1" r="E28"/>
  <c i="1" r="BZ7" s="1"/>
  <c i="1" r="BX25" s="1"/>
  <c i="18" r="D7" s="1"/>
  <c i="1" r="F28"/>
  <c i="1" r="CA7" s="1"/>
  <c i="1" r="BX26" s="1"/>
  <c i="18" r="D8" s="1"/>
  <c i="1" r="G28"/>
  <c i="1" r="CB7" s="1"/>
  <c i="1" r="BX27" s="1"/>
  <c i="18" r="D9" s="1"/>
  <c i="1" r="H28"/>
  <c i="1" r="CC7" s="1"/>
  <c i="1" r="BX28" s="1"/>
  <c i="18" r="D10" s="1"/>
  <c i="1" r="I28"/>
  <c i="1" r="CD7" s="1"/>
  <c i="1" r="BX29" s="1"/>
  <c i="18" r="D11" s="1"/>
  <c i="1" r="J28"/>
  <c i="1" r="CE7" s="1"/>
  <c i="1" r="BX30" s="1"/>
  <c i="18" r="D12" s="1"/>
  <c i="1" r="K28"/>
  <c i="1" r="CF7" s="1"/>
  <c i="1" r="BX31" s="1"/>
  <c i="18" r="D13" s="1"/>
  <c i="1" r="L28"/>
  <c i="1" r="CG7" s="1"/>
  <c i="1" r="BX32" s="1"/>
  <c i="18" r="D14" s="1"/>
  <c i="1" r="M28"/>
  <c i="1" r="CH7" s="1"/>
  <c i="1" r="BX33" s="1"/>
  <c i="18" r="D15" s="1"/>
  <c i="1" r="N28"/>
  <c i="1" r="CI7" s="1"/>
  <c i="1" r="BX34" s="1"/>
  <c i="18" r="D16" s="1"/>
  <c i="1" r="O28"/>
  <c i="1" r="CJ7" s="1"/>
  <c i="1" r="BX35" s="1"/>
  <c i="18" r="D17" s="1"/>
  <c i="1" r="P28"/>
  <c i="1" r="CK7" s="1"/>
  <c i="1" r="BX36" s="1"/>
  <c i="18" r="D18" s="1"/>
  <c i="1" r="Q28"/>
  <c i="1" r="CL7" s="1"/>
  <c i="1" r="BX37" s="1"/>
  <c i="18" r="D19" s="1"/>
  <c i="1" r="R28"/>
  <c i="1" r="CM7" s="1"/>
  <c i="1" r="BX38" s="1"/>
  <c i="18" r="D20" s="1"/>
  <c i="1" r="S28"/>
  <c i="1" r="CN7" s="1"/>
  <c i="1" r="BX39" s="1"/>
  <c i="18" r="D21" s="1"/>
  <c i="1" r="T28"/>
  <c i="1" r="CO7" s="1"/>
  <c i="1" r="BX40" s="1"/>
  <c i="18" r="D22" s="1"/>
  <c i="1" r="U28"/>
  <c i="1" r="CP7" s="1"/>
  <c i="1" r="BX41" s="1"/>
  <c i="18" r="D23" s="1"/>
  <c i="1" r="V28"/>
  <c i="1" r="CQ7" s="1"/>
  <c i="1" r="B28"/>
  <c i="1" r="BW7" s="1"/>
  <c i="1" r="BX22" s="1"/>
  <c i="18" r="D4" s="1"/>
  <c i="18" l="1" r="CV14"/>
  <c i="18" r="BB50"/>
  <c i="18" r="BZ50" s="1"/>
  <c i="18" r="BC50"/>
  <c i="18" r="CA50" s="1"/>
  <c i="18" r="BT50"/>
  <c i="18" r="CR50" s="1"/>
  <c i="18" r="BS50"/>
  <c i="18" r="CQ50" s="1"/>
  <c i="1" r="V35"/>
  <c i="18" r="AV38"/>
  <c i="18" r="AG51"/>
  <c i="18" r="AV36"/>
  <c i="18" r="AF51"/>
  <c i="18" r="AE51"/>
  <c i="18" r="AV34"/>
  <c i="18" r="AC51"/>
  <c i="18" r="AV32"/>
  <c i="18" r="AK51"/>
  <c i="18" r="AV49"/>
  <c i="18" r="AV47"/>
  <c i="18" r="AI51"/>
  <c i="18" r="AV43"/>
  <c i="18" r="AH51"/>
  <c i="18" r="AJ51"/>
  <c i="18" r="AV41"/>
  <c i="18" r="AV37"/>
  <c i="18" r="AV35"/>
  <c i="18" r="AV40"/>
  <c i="18" r="AV33"/>
  <c i="18" r="AV39"/>
  <c i="18" r="AB51"/>
  <c i="18" r="AV45"/>
  <c i="18" r="AV30"/>
  <c i="18" r="AA51"/>
  <c i="18" r="AV31"/>
  <c i="18" r="AZ50"/>
  <c i="18" r="BX50" s="1"/>
  <c i="18" r="AV50"/>
  <c i="18" r="AS51"/>
  <c i="18" r="AV48"/>
  <c i="18" r="AT51"/>
  <c i="18" r="AR51"/>
  <c i="18" r="AQ51"/>
  <c i="18" r="AV46"/>
  <c i="18" r="AP51"/>
  <c i="18" r="AO51"/>
  <c i="18" r="AV44"/>
  <c i="18" r="AD51"/>
  <c i="18" r="AU51"/>
  <c i="18" r="AN51"/>
  <c i="18" r="AM51"/>
  <c i="18" r="AV42"/>
  <c i="18" r="AL51"/>
  <c i="18" r="X50"/>
  <c i="1" r="AG47"/>
  <c i="18" r="J43" s="1"/>
  <c i="17" r="O44"/>
  <c i="17" r="I44"/>
  <c i="17" r="G44"/>
  <c i="17" r="U44"/>
  <c i="17" r="H44"/>
  <c i="17" r="L44"/>
  <c i="17" r="T44"/>
  <c i="17" r="J44"/>
  <c i="17" r="S44"/>
  <c i="17" r="Q44"/>
  <c i="17" r="D44"/>
  <c i="17" r="N44"/>
  <c i="17" r="F44"/>
  <c i="17" r="R44"/>
  <c i="17" r="P44"/>
  <c i="17" r="W44"/>
  <c i="17" r="X44"/>
  <c i="17" r="V44"/>
  <c i="17" r="E44"/>
  <c i="17" r="M44"/>
  <c i="17" r="K44"/>
  <c i="17" r="C44"/>
  <c i="1" r="AL49"/>
  <c i="18" r="O45" s="1"/>
  <c i="17" r="E46"/>
  <c i="17" r="V46"/>
  <c i="17" r="H46"/>
  <c i="17" r="K46"/>
  <c i="17" r="C46"/>
  <c i="17" r="D46"/>
  <c i="17" r="F46"/>
  <c i="17" r="W46"/>
  <c i="17" r="M46"/>
  <c i="17" r="P46"/>
  <c i="17" r="N46"/>
  <c i="17" r="T46"/>
  <c i="17" r="L46"/>
  <c i="17" r="X46"/>
  <c i="17" r="S46"/>
  <c i="17" r="R46"/>
  <c i="17" r="G46"/>
  <c i="17" r="I46"/>
  <c i="17" r="J46"/>
  <c i="17" r="Q46"/>
  <c i="17" r="O46"/>
  <c i="17" r="U46"/>
  <c i="1" r="AB52"/>
  <c i="18" r="E48" s="1"/>
  <c i="17" r="H49"/>
  <c i="17" r="J49"/>
  <c i="17" r="K49"/>
  <c i="17" r="N49"/>
  <c i="17" r="D49"/>
  <c i="17" r="I49"/>
  <c i="17" r="L49"/>
  <c i="17" r="X49"/>
  <c i="17" r="W49"/>
  <c i="17" r="M49"/>
  <c i="17" r="F49"/>
  <c i="17" r="G49"/>
  <c i="17" r="P49"/>
  <c i="17" r="U49"/>
  <c i="17" r="Q49"/>
  <c i="17" r="R49"/>
  <c i="17" r="O49"/>
  <c i="17" r="E49"/>
  <c i="17" r="C49"/>
  <c i="17" r="S49"/>
  <c i="17" r="V49"/>
  <c i="17" r="T49"/>
  <c i="1" r="AF48"/>
  <c i="18" r="I44" s="1"/>
  <c i="17" r="G45"/>
  <c i="17" r="I45"/>
  <c i="17" r="F45"/>
  <c i="17" r="C45"/>
  <c i="17" r="H45"/>
  <c i="17" r="D45"/>
  <c i="17" r="E45"/>
  <c i="17" r="P45"/>
  <c i="17" r="U45"/>
  <c i="17" r="X45"/>
  <c i="17" r="S45"/>
  <c i="17" r="T45"/>
  <c i="17" r="V45"/>
  <c i="17" r="K45"/>
  <c i="17" r="L45"/>
  <c i="17" r="O45"/>
  <c i="17" r="N45"/>
  <c i="17" r="M45"/>
  <c i="17" r="R45"/>
  <c i="17" r="J45"/>
  <c i="17" r="W45"/>
  <c i="17" r="Q45"/>
  <c i="1" r="AB51"/>
  <c i="18" r="E47" s="1"/>
  <c i="17" r="J48"/>
  <c i="17" r="G48"/>
  <c i="17" r="C48"/>
  <c i="17" r="K48"/>
  <c i="17" r="H48"/>
  <c i="17" r="D48"/>
  <c i="17" r="E48"/>
  <c i="17" r="I48"/>
  <c i="17" r="L48"/>
  <c i="17" r="M48"/>
  <c i="17" r="F48"/>
  <c i="17" r="U48"/>
  <c i="17" r="T48"/>
  <c i="17" r="N48"/>
  <c i="17" r="S48"/>
  <c i="17" r="R48"/>
  <c i="17" r="V48"/>
  <c i="17" r="Q48"/>
  <c i="17" r="O48"/>
  <c i="17" r="P48"/>
  <c i="17" r="W48"/>
  <c i="17" r="X48"/>
  <c i="1" r="AE50"/>
  <c i="18" r="H46" s="1"/>
  <c i="17" r="L47"/>
  <c i="17" r="O47"/>
  <c i="17" r="M47"/>
  <c i="17" r="X47"/>
  <c i="17" r="R47"/>
  <c i="17" r="N47"/>
  <c i="17" r="U47"/>
  <c i="17" r="T47"/>
  <c i="17" r="V47"/>
  <c i="17" r="F47"/>
  <c i="17" r="S47"/>
  <c i="17" r="D47"/>
  <c i="17" r="H47"/>
  <c i="17" r="K47"/>
  <c i="17" r="Q47"/>
  <c i="17" r="P47"/>
  <c i="17" r="C47"/>
  <c i="17" r="G47"/>
  <c i="17" r="J47"/>
  <c i="17" r="W47"/>
  <c i="17" r="E47"/>
  <c i="17" r="I47"/>
  <c i="1" r="AT34"/>
  <c i="18" r="W30" s="1"/>
  <c i="17" r="P31"/>
  <c i="17" r="I31"/>
  <c i="17" r="G31"/>
  <c i="17" r="H31"/>
  <c i="17" r="L31"/>
  <c i="17" r="J31"/>
  <c i="17" r="O31"/>
  <c i="17" r="N31"/>
  <c i="17" r="Q31"/>
  <c i="17" r="M31"/>
  <c i="17" r="K31"/>
  <c i="17" r="V31"/>
  <c i="17" r="C31"/>
  <c i="17" r="S31"/>
  <c i="17" r="F31"/>
  <c i="17" r="X31"/>
  <c i="17" r="R31"/>
  <c i="17" r="E31"/>
  <c i="17" r="U31"/>
  <c i="17" r="T31"/>
  <c i="17" r="D31"/>
  <c i="17" r="W31"/>
  <c i="1" r="AA35"/>
  <c i="18" r="D31" s="1"/>
  <c i="17" r="G32"/>
  <c i="17" r="L32"/>
  <c i="17" r="O32"/>
  <c i="17" r="D32"/>
  <c i="17" r="M32"/>
  <c i="17" r="R32"/>
  <c i="17" r="X32"/>
  <c i="17" r="F32"/>
  <c i="17" r="P32"/>
  <c i="17" r="S32"/>
  <c i="17" r="C32"/>
  <c i="17" r="H32"/>
  <c i="17" r="K32"/>
  <c i="17" r="N32"/>
  <c i="17" r="V32"/>
  <c i="17" r="E32"/>
  <c i="17" r="I32"/>
  <c i="17" r="Q32"/>
  <c i="17" r="U32"/>
  <c i="17" r="J32"/>
  <c i="17" r="W32"/>
  <c i="17" r="T32"/>
  <c i="1" r="AR36"/>
  <c i="18" r="U32" s="1"/>
  <c i="17" r="U33"/>
  <c i="17" r="F33"/>
  <c i="17" r="S33"/>
  <c i="17" r="C33"/>
  <c i="17" r="T33"/>
  <c i="17" r="O33"/>
  <c i="17" r="G33"/>
  <c i="17" r="R33"/>
  <c i="17" r="J33"/>
  <c i="17" r="M33"/>
  <c i="17" r="W33"/>
  <c i="17" r="H33"/>
  <c i="17" r="N33"/>
  <c i="17" r="Q33"/>
  <c i="17" r="I33"/>
  <c i="17" r="K33"/>
  <c i="17" r="E33"/>
  <c i="17" r="P33"/>
  <c i="17" r="X33"/>
  <c i="17" r="L33"/>
  <c i="17" r="V33"/>
  <c i="17" r="D33"/>
  <c i="1" r="AI46"/>
  <c i="18" r="L42" s="1"/>
  <c i="17" r="Q43"/>
  <c i="17" r="V43"/>
  <c i="17" r="L43"/>
  <c i="17" r="X43"/>
  <c i="17" r="M43"/>
  <c i="17" r="C43"/>
  <c i="17" r="E43"/>
  <c i="17" r="T43"/>
  <c i="17" r="G43"/>
  <c i="17" r="W43"/>
  <c i="17" r="P43"/>
  <c i="17" r="N43"/>
  <c i="17" r="R43"/>
  <c i="17" r="K43"/>
  <c i="17" r="I43"/>
  <c i="17" r="F43"/>
  <c i="17" r="O43"/>
  <c i="17" r="S43"/>
  <c i="17" r="D43"/>
  <c i="17" r="H43"/>
  <c i="17" r="J43"/>
  <c i="17" r="U43"/>
  <c i="1" r="AE37"/>
  <c i="18" r="H33" s="1"/>
  <c i="17" r="K34"/>
  <c i="17" r="D34"/>
  <c i="17" r="E34"/>
  <c i="17" r="L34"/>
  <c i="17" r="F34"/>
  <c i="17" r="G34"/>
  <c i="17" r="H34"/>
  <c i="17" r="I34"/>
  <c i="17" r="J34"/>
  <c i="17" r="N34"/>
  <c i="17" r="R34"/>
  <c i="17" r="T34"/>
  <c i="17" r="O34"/>
  <c i="17" r="Q34"/>
  <c i="17" r="V34"/>
  <c i="17" r="U34"/>
  <c i="17" r="X34"/>
  <c i="17" r="P34"/>
  <c i="17" r="C34"/>
  <c i="17" r="W34"/>
  <c i="17" r="M34"/>
  <c i="17" r="S34"/>
  <c i="1" r="AM38"/>
  <c i="18" r="P34" s="1"/>
  <c i="17" r="V35"/>
  <c i="17" r="W35"/>
  <c i="17" r="X35"/>
  <c i="17" r="I35"/>
  <c i="17" r="O35"/>
  <c i="17" r="K35"/>
  <c i="17" r="C35"/>
  <c i="17" r="U35"/>
  <c i="17" r="H35"/>
  <c i="17" r="N35"/>
  <c i="17" r="J35"/>
  <c i="17" r="R35"/>
  <c i="17" r="F35"/>
  <c i="17" r="G35"/>
  <c i="17" r="T35"/>
  <c i="17" r="S35"/>
  <c i="17" r="M35"/>
  <c i="17" r="L35"/>
  <c i="17" r="P35"/>
  <c i="17" r="E35"/>
  <c i="17" r="D35"/>
  <c i="17" r="Q35"/>
  <c i="1" r="Z39"/>
  <c i="18" r="C35" s="1"/>
  <c i="17" r="E36"/>
  <c i="17" r="G36"/>
  <c i="17" r="D36"/>
  <c i="17" r="C36"/>
  <c i="17" r="F36"/>
  <c i="17" r="H36"/>
  <c i="17" r="Q36"/>
  <c i="17" r="K36"/>
  <c i="17" r="O36"/>
  <c i="17" r="N36"/>
  <c i="17" r="P36"/>
  <c i="17" r="M36"/>
  <c i="17" r="R36"/>
  <c i="17" r="X36"/>
  <c i="17" r="T36"/>
  <c i="17" r="L36"/>
  <c i="17" r="J36"/>
  <c i="17" r="W36"/>
  <c i="17" r="I36"/>
  <c i="17" r="V36"/>
  <c i="17" r="S36"/>
  <c i="17" r="U36"/>
  <c i="1" r="AJ45"/>
  <c i="18" r="M41" s="1"/>
  <c i="17" r="R42"/>
  <c i="17" r="P42"/>
  <c i="17" r="S42"/>
  <c i="17" r="Q42"/>
  <c i="17" r="X42"/>
  <c i="17" r="U42"/>
  <c i="17" r="D42"/>
  <c i="17" r="T42"/>
  <c i="17" r="N42"/>
  <c i="17" r="M42"/>
  <c i="17" r="L42"/>
  <c i="17" r="E42"/>
  <c i="17" r="H42"/>
  <c i="17" r="I42"/>
  <c i="17" r="G42"/>
  <c i="17" r="F42"/>
  <c i="17" r="K42"/>
  <c i="17" r="O42"/>
  <c i="17" r="W42"/>
  <c i="17" r="J42"/>
  <c i="17" r="V42"/>
  <c i="17" r="C42"/>
  <c i="1" r="AS53"/>
  <c i="18" r="V49" s="1"/>
  <c i="17" r="K50"/>
  <c i="17" r="M50"/>
  <c i="17" r="J50"/>
  <c i="17" r="L50"/>
  <c i="17" r="P50"/>
  <c i="17" r="S50"/>
  <c i="17" r="O50"/>
  <c i="17" r="Q50"/>
  <c i="17" r="R50"/>
  <c i="17" r="N50"/>
  <c i="17" r="T50"/>
  <c i="17" r="V50"/>
  <c i="17" r="U50"/>
  <c i="17" r="E50"/>
  <c i="17" r="I50"/>
  <c i="17" r="C50"/>
  <c i="17" r="F50"/>
  <c i="17" r="H50"/>
  <c i="17" r="G50"/>
  <c i="17" r="X50"/>
  <c i="17" r="D50"/>
  <c i="17" r="W50"/>
  <c i="1" r="Z40"/>
  <c i="18" r="C36" s="1"/>
  <c i="17" r="K37"/>
  <c i="17" r="W37"/>
  <c i="17" r="H37"/>
  <c i="17" r="Q37"/>
  <c i="17" r="P37"/>
  <c i="17" r="J37"/>
  <c i="17" r="N37"/>
  <c i="17" r="L37"/>
  <c i="17" r="E37"/>
  <c i="17" r="I37"/>
  <c i="17" r="F37"/>
  <c i="17" r="U37"/>
  <c i="17" r="X37"/>
  <c i="17" r="S37"/>
  <c i="17" r="T37"/>
  <c i="17" r="V37"/>
  <c i="17" r="G37"/>
  <c i="17" r="R37"/>
  <c i="17" r="M37"/>
  <c i="17" r="C37"/>
  <c i="17" r="D37"/>
  <c i="17" r="O37"/>
  <c i="1" r="AS41"/>
  <c i="18" r="V37" s="1"/>
  <c i="17" r="P38"/>
  <c i="17" r="G38"/>
  <c i="17" r="S38"/>
  <c i="17" r="U38"/>
  <c i="17" r="T38"/>
  <c i="17" r="J38"/>
  <c i="17" r="M38"/>
  <c i="17" r="I38"/>
  <c i="17" r="F38"/>
  <c i="17" r="C38"/>
  <c i="17" r="R38"/>
  <c i="17" r="W38"/>
  <c i="17" r="V38"/>
  <c i="17" r="L38"/>
  <c i="17" r="O38"/>
  <c i="17" r="H38"/>
  <c i="17" r="N38"/>
  <c i="17" r="X38"/>
  <c i="17" r="D38"/>
  <c i="17" r="K38"/>
  <c i="17" r="E38"/>
  <c i="17" r="Q38"/>
  <c i="1" r="AM42"/>
  <c i="18" r="P38" s="1"/>
  <c i="17" r="G39"/>
  <c i="17" r="C39"/>
  <c i="17" r="L39"/>
  <c i="17" r="I39"/>
  <c i="17" r="N39"/>
  <c i="17" r="O39"/>
  <c i="17" r="S39"/>
  <c i="17" r="F39"/>
  <c i="17" r="H39"/>
  <c i="17" r="D39"/>
  <c i="17" r="V39"/>
  <c i="17" r="X39"/>
  <c i="17" r="Q39"/>
  <c i="17" r="E39"/>
  <c i="17" r="M39"/>
  <c i="17" r="T39"/>
  <c i="17" r="R39"/>
  <c i="17" r="W39"/>
  <c i="17" r="K39"/>
  <c i="17" r="J39"/>
  <c i="17" r="P39"/>
  <c i="17" r="U39"/>
  <c i="1" r="AT43"/>
  <c i="18" r="W39" s="1"/>
  <c i="18" r="AU119" s="1"/>
  <c i="18" r="AU145" s="1"/>
  <c i="17" r="K40"/>
  <c i="17" r="T40"/>
  <c i="17" r="V40"/>
  <c i="17" r="N40"/>
  <c i="17" r="P40"/>
  <c i="17" r="F40"/>
  <c i="17" r="I40"/>
  <c i="17" r="S40"/>
  <c i="17" r="L40"/>
  <c i="17" r="E40"/>
  <c i="17" r="W40"/>
  <c i="17" r="O40"/>
  <c i="17" r="H40"/>
  <c i="17" r="X40"/>
  <c i="17" r="G40"/>
  <c i="17" r="C40"/>
  <c i="17" r="J40"/>
  <c i="17" r="D40"/>
  <c i="17" r="Q40"/>
  <c i="17" r="U40"/>
  <c i="17" r="M40"/>
  <c i="17" r="R40"/>
  <c i="1" r="AO44"/>
  <c i="18" r="R40" s="1"/>
  <c i="17" r="U41"/>
  <c i="17" r="W41"/>
  <c i="17" r="F41"/>
  <c i="17" r="J41"/>
  <c i="17" r="X41"/>
  <c i="17" r="R41"/>
  <c i="17" r="O41"/>
  <c i="17" r="P41"/>
  <c i="17" r="C41"/>
  <c i="17" r="T41"/>
  <c i="17" r="L41"/>
  <c i="17" r="S41"/>
  <c i="17" r="V41"/>
  <c i="17" r="D41"/>
  <c i="17" r="G41"/>
  <c i="17" r="N41"/>
  <c i="17" r="M41"/>
  <c i="17" r="H41"/>
  <c i="17" r="I41"/>
  <c i="17" r="K41"/>
  <c i="17" r="E41"/>
  <c i="17" r="Q41"/>
  <c i="1" r="AE49"/>
  <c i="18" r="H45" s="1"/>
  <c i="1" r="AM47"/>
  <c i="18" r="P43" s="1"/>
  <c i="1" r="AJ49"/>
  <c i="18" r="M45" s="1"/>
  <c i="1" r="AS43"/>
  <c i="18" r="V39" s="1"/>
  <c i="1" r="AQ45"/>
  <c i="18" r="T41" s="1"/>
  <c i="1" r="AN47"/>
  <c i="18" r="Q43" s="1"/>
  <c i="1" r="AK49"/>
  <c i="18" r="N45" s="1"/>
  <c i="1" r="AM49"/>
  <c i="18" r="P45" s="1"/>
  <c i="1" r="AC48"/>
  <c i="18" r="F44" s="1"/>
  <c i="1" r="AB35"/>
  <c i="18" r="E31" s="1"/>
  <c i="1" r="AQ38"/>
  <c i="18" r="T34" s="1"/>
  <c i="1" r="AG46"/>
  <c i="18" r="J42" s="1"/>
  <c i="1" r="AD48"/>
  <c i="18" r="G44" s="1"/>
  <c i="1" r="AT36"/>
  <c i="18" r="W32" s="1"/>
  <c i="18" r="AU112" s="1"/>
  <c i="18" r="AU138" s="1"/>
  <c i="1" r="AK42"/>
  <c i="18" r="N38" s="1"/>
  <c i="1" r="AI44"/>
  <c i="18" r="L40" s="1"/>
  <c i="1" r="AR45"/>
  <c i="18" r="U41" s="1"/>
  <c i="1" r="AO47"/>
  <c i="18" r="R43" s="1"/>
  <c i="1" r="AE40"/>
  <c i="18" r="H36" s="1"/>
  <c i="1" r="AH46"/>
  <c i="18" r="K42" s="1"/>
  <c i="1" r="AM43"/>
  <c i="18" r="P39" s="1"/>
  <c i="1" r="AB42"/>
  <c i="18" r="E38" s="1"/>
  <c i="1" r="AE48"/>
  <c i="18" r="H44" s="1"/>
  <c i="1" r="AK45"/>
  <c i="18" r="N41" s="1"/>
  <c i="18" r="V24" s="1"/>
  <c i="1" r="AS45"/>
  <c i="18" r="V41" s="1"/>
  <c i="1" r="AT38"/>
  <c i="18" r="W34" s="1"/>
  <c i="18" r="AU114" s="1"/>
  <c i="18" r="AU140" s="1"/>
  <c i="1" r="AH47"/>
  <c i="18" r="K43" s="1"/>
  <c i="1" r="AP47"/>
  <c i="18" r="S43" s="1"/>
  <c i="1" r="AQ40"/>
  <c i="18" r="T36" s="1"/>
  <c i="1" r="AN42"/>
  <c i="18" r="Q38" s="1"/>
  <c i="1" r="AL36"/>
  <c i="18" r="O32" s="1"/>
  <c i="1" r="AL44"/>
  <c i="18" r="O40" s="1"/>
  <c i="1" r="AQ34"/>
  <c i="1" r="AF40"/>
  <c i="18" r="I36" s="1"/>
  <c i="1" r="AJ46"/>
  <c i="18" r="M42" s="1"/>
  <c i="1" r="AD36"/>
  <c i="18" r="G32" s="1"/>
  <c i="1" r="AC42"/>
  <c i="18" r="F38" s="1"/>
  <c i="1" r="AG48"/>
  <c i="18" r="J44" s="1"/>
  <c i="1" r="AT39"/>
  <c i="18" r="W35" s="1"/>
  <c i="18" r="AU115" s="1"/>
  <c i="18" r="AU141" s="1"/>
  <c i="1" r="AA44"/>
  <c i="18" r="D40" s="1"/>
  <c i="1" r="AF35"/>
  <c i="18" r="I31" s="1"/>
  <c i="1" r="AQ41"/>
  <c i="18" r="T37" s="1"/>
  <c i="1" r="AT45"/>
  <c i="18" r="W41" s="1"/>
  <c i="18" r="AU121" s="1"/>
  <c i="18" r="AU147" s="1"/>
  <c i="1" r="AC37"/>
  <c i="18" r="F33" s="1"/>
  <c i="1" r="AL45"/>
  <c i="18" r="O41" s="1"/>
  <c i="1" r="AQ47"/>
  <c i="18" r="T43" s="1"/>
  <c i="1" r="AR40"/>
  <c i="18" r="U36" s="1"/>
  <c i="1" r="AI47"/>
  <c i="18" r="L43" s="1"/>
  <c i="1" r="AN49"/>
  <c i="18" r="Q45" s="1"/>
  <c i="1" r="AK46"/>
  <c i="18" r="N42" s="1"/>
  <c i="1" r="AF49"/>
  <c i="18" r="I45" s="1"/>
  <c i="1" r="AR47"/>
  <c i="18" r="U43" s="1"/>
  <c i="1" r="AH48"/>
  <c i="18" r="K44" s="1"/>
  <c i="1" r="AO49"/>
  <c i="18" r="R45" s="1"/>
  <c i="1" r="AU54"/>
  <c i="1" r="AO43"/>
  <c i="18" r="R39" s="1"/>
  <c i="1" r="AA46"/>
  <c i="18" r="D42" s="1"/>
  <c i="1" r="AD37"/>
  <c i="18" r="G33" s="1"/>
  <c i="1" r="AM45"/>
  <c i="18" r="P41" s="1"/>
  <c i="1" r="AS47"/>
  <c i="18" r="V43" s="1"/>
  <c i="1" r="AA39"/>
  <c i="18" r="D35" s="1"/>
  <c i="1" r="AJ47"/>
  <c i="18" r="M43" s="1"/>
  <c i="1" r="AP49"/>
  <c i="18" r="S45" s="1"/>
  <c i="1" r="AG49"/>
  <c i="18" r="J45" s="1"/>
  <c i="1" r="AD44"/>
  <c i="18" r="G40" s="1"/>
  <c i="1" r="AG50"/>
  <c i="18" r="J46" s="1"/>
  <c i="1" r="AN45"/>
  <c i="18" r="Q41" s="1"/>
  <c i="1" r="AB46"/>
  <c i="18" r="E42" s="1"/>
  <c i="1" r="AD52"/>
  <c i="18" r="G48" s="1"/>
  <c i="1" r="AK47"/>
  <c i="18" r="N43" s="1"/>
  <c i="1" r="AT47"/>
  <c i="18" r="W43" s="1"/>
  <c i="18" r="AU123" s="1"/>
  <c i="18" r="AU149" s="1"/>
  <c i="1" r="AD38"/>
  <c i="18" r="G34" s="1"/>
  <c i="1" r="AQ49"/>
  <c i="18" r="T45" s="1"/>
  <c i="1" r="AI35"/>
  <c i="18" r="L31" s="1"/>
  <c i="1" r="J49"/>
  <c i="1" r="AA40"/>
  <c i="18" r="D36" s="1"/>
  <c i="1" r="AP36"/>
  <c i="18" r="S32" s="1"/>
  <c i="1" r="AF37"/>
  <c i="18" r="I33" s="1"/>
  <c i="1" r="AT41"/>
  <c i="18" r="W37" s="1"/>
  <c i="18" r="AU117" s="1"/>
  <c i="18" r="AU143" s="1"/>
  <c i="1" r="AC39"/>
  <c i="18" r="F35" s="1"/>
  <c i="1" r="CA42"/>
  <c i="18" r="G24" s="1"/>
  <c i="1" r="AQ43"/>
  <c i="18" r="T39" s="1"/>
  <c i="1" r="AG42"/>
  <c i="18" r="J38" s="1"/>
  <c i="1" r="Z41"/>
  <c i="18" r="C37" s="1"/>
  <c i="1" r="D38"/>
  <c i="1" r="AO45"/>
  <c i="18" r="R41" s="1"/>
  <c i="1" r="AE44"/>
  <c i="18" r="H40" s="1"/>
  <c i="1" r="AR42"/>
  <c i="18" r="U38" s="1"/>
  <c i="1" r="AL47"/>
  <c i="18" r="O43" s="1"/>
  <c i="1" r="AC46"/>
  <c i="18" r="F42" s="1"/>
  <c i="1" r="AP44"/>
  <c i="18" r="S40" s="1"/>
  <c i="1" r="T44"/>
  <c i="1" r="AI49"/>
  <c i="18" r="L45" s="1"/>
  <c i="1" r="AR49"/>
  <c i="18" r="U45" s="1"/>
  <c i="1" r="AN46"/>
  <c i="18" r="Q42" s="1"/>
  <c i="1" r="Z34"/>
  <c i="1" r="AD46"/>
  <c i="18" r="G42" s="1"/>
  <c i="1" r="AK48"/>
  <c i="18" r="N44" s="1"/>
  <c i="1" r="AH36"/>
  <c i="18" r="K32" s="1"/>
  <c i="1" r="AA48"/>
  <c i="18" r="D44" s="1"/>
  <c i="1" r="AB40"/>
  <c i="18" r="E36" s="1"/>
  <c i="1" r="AS49"/>
  <c i="18" r="V45" s="1"/>
  <c i="1" r="AR43"/>
  <c i="18" r="U39" s="1"/>
  <c i="1" r="AH44"/>
  <c i="18" r="K40" s="1"/>
  <c i="1" r="Z42"/>
  <c i="18" r="C38" s="1"/>
  <c i="1" r="AP45"/>
  <c i="18" r="S41" s="1"/>
  <c i="1" r="AF46"/>
  <c i="18" r="I42" s="1"/>
  <c i="1" r="AB36"/>
  <c i="18" r="E32" s="1"/>
  <c i="1" r="AD50"/>
  <c i="18" r="G46" s="1"/>
  <c i="1" r="AF51"/>
  <c i="18" r="I47" s="1"/>
  <c i="1" r="AA52"/>
  <c i="18" r="D48" s="1"/>
  <c i="1" r="AA38"/>
  <c i="18" r="D34" s="1"/>
  <c i="1" r="AD53"/>
  <c i="18" r="G49" s="1"/>
  <c i="1" r="AI38"/>
  <c i="18" r="L34" s="1"/>
  <c i="1" r="AJ40"/>
  <c i="18" r="M36" s="1"/>
  <c i="1" r="AN40"/>
  <c i="18" r="Q36" s="1"/>
  <c i="1" r="AT53"/>
  <c i="18" r="W49" s="1"/>
  <c i="18" r="AU129" s="1"/>
  <c i="18" r="AU155" s="1"/>
  <c i="1" r="AN43"/>
  <c i="18" r="Q39" s="1"/>
  <c i="1" r="AE38"/>
  <c i="18" r="H34" s="1"/>
  <c i="1" r="AH50"/>
  <c i="18" r="K46" s="1"/>
  <c i="1" r="AE52"/>
  <c i="18" r="H48" s="1"/>
  <c i="1" r="AJ51"/>
  <c i="18" r="M47" s="1"/>
  <c i="1" r="AO51"/>
  <c i="18" r="R47" s="1"/>
  <c i="1" r="AA50"/>
  <c i="18" r="D46" s="1"/>
  <c i="1" r="AO42"/>
  <c i="18" r="R38" s="1"/>
  <c i="1" r="AM53"/>
  <c i="18" r="P49" s="1"/>
  <c i="1" r="AS51"/>
  <c i="18" r="V47" s="1"/>
  <c i="1" r="AM44"/>
  <c i="18" r="P40" s="1"/>
  <c i="1" r="AA34"/>
  <c i="1" r="AN51"/>
  <c i="18" r="Q47" s="1"/>
  <c i="1" r="AC51"/>
  <c i="18" r="F47" s="1"/>
  <c i="1" r="AK51"/>
  <c i="18" r="N47" s="1"/>
  <c i="1" r="AQ36"/>
  <c i="18" r="T32" s="1"/>
  <c i="1" r="AQ53"/>
  <c i="18" r="T49" s="1"/>
  <c i="1" r="AB34"/>
  <c i="1" r="AA53"/>
  <c i="18" r="D49" s="1"/>
  <c i="1" r="AI53"/>
  <c i="18" r="L49" s="1"/>
  <c i="1" r="AN38"/>
  <c i="18" r="Q34" s="1"/>
  <c i="1" r="AC35"/>
  <c i="18" r="F31" s="1"/>
  <c i="1" r="AO35"/>
  <c i="18" r="R31" s="1"/>
  <c i="1" r="B51"/>
  <c i="1" r="Z51"/>
  <c i="18" r="C47" s="1"/>
  <c i="1" r="AG51"/>
  <c i="18" r="J47" s="1"/>
  <c i="1" r="AM36"/>
  <c i="18" r="P32" s="1"/>
  <c i="1" r="AK40"/>
  <c i="18" r="N36" s="1"/>
  <c i="1" r="AR38"/>
  <c i="18" r="U34" s="1"/>
  <c i="1" r="AL37"/>
  <c i="18" r="O33" s="1"/>
  <c i="1" r="AR34"/>
  <c i="1" r="AE53"/>
  <c i="18" r="H49" s="1"/>
  <c i="1" r="AJ38"/>
  <c i="18" r="M34" s="1"/>
  <c i="1" r="AH42"/>
  <c i="18" r="K38" s="1"/>
  <c i="1" r="AO40"/>
  <c i="18" r="R36" s="1"/>
  <c i="1" r="AP53"/>
  <c i="18" r="S49" s="1"/>
  <c i="1" r="AE36"/>
  <c i="18" r="H32" s="1"/>
  <c i="1" r="AI36"/>
  <c i="18" r="L32" s="1"/>
  <c i="1" r="AG40"/>
  <c i="18" r="J36" s="1"/>
  <c i="1" r="AF44"/>
  <c i="18" r="I40" s="1"/>
  <c i="1" r="AL42"/>
  <c i="18" r="O38" s="1"/>
  <c i="1" r="AQ35"/>
  <c i="18" r="T31" s="1"/>
  <c i="1" r="AB38"/>
  <c i="18" r="E34" s="1"/>
  <c i="1" r="AF38"/>
  <c i="18" r="I34" s="1"/>
  <c i="1" r="AD42"/>
  <c i="18" r="G38" s="1"/>
  <c i="1" r="AJ44"/>
  <c i="18" r="M40" s="1"/>
  <c i="1" r="AC34"/>
  <c i="1" r="AA51"/>
  <c i="18" r="D47" s="1"/>
  <c i="1" r="U50"/>
  <c i="1" r="AO50"/>
  <c i="18" r="R46" s="1"/>
  <c i="1" r="AS50"/>
  <c i="18" r="V46" s="1"/>
  <c i="1" r="AK50"/>
  <c i="18" r="N46" s="1"/>
  <c i="1" r="AJ50"/>
  <c i="18" r="M46" s="1"/>
  <c i="1" r="AM50"/>
  <c i="18" r="P46" s="1"/>
  <c i="1" r="AQ50"/>
  <c i="18" r="T46" s="1"/>
  <c i="1" r="AI50"/>
  <c i="18" r="L46" s="1"/>
  <c i="1" r="AL50"/>
  <c i="18" r="O46" s="1"/>
  <c i="1" r="AT50"/>
  <c i="18" r="W46" s="1"/>
  <c i="18" r="AU126" s="1"/>
  <c i="18" r="AU152" s="1"/>
  <c i="1" r="AN50"/>
  <c i="18" r="Q46" s="1"/>
  <c i="1" r="AP50"/>
  <c i="18" r="S46" s="1"/>
  <c i="1" r="AR50"/>
  <c i="18" r="U46" s="1"/>
  <c i="1" r="AR41"/>
  <c i="18" r="U37" s="1"/>
  <c i="1" r="AC40"/>
  <c i="18" r="F36" s="1"/>
  <c i="1" r="AB44"/>
  <c i="18" r="E40" s="1"/>
  <c i="1" r="AG35"/>
  <c i="18" r="J31" s="1"/>
  <c i="1" r="R52"/>
  <c i="1" r="AP52"/>
  <c i="18" r="S48" s="1"/>
  <c i="1" r="AG52"/>
  <c i="18" r="J48" s="1"/>
  <c i="1" r="AN52"/>
  <c i="18" r="Q48" s="1"/>
  <c i="1" r="AJ52"/>
  <c i="18" r="M48" s="1"/>
  <c i="1" r="AH52"/>
  <c i="18" r="K48" s="1"/>
  <c i="1" r="AF52"/>
  <c i="18" r="I48" s="1"/>
  <c i="1" r="AQ52"/>
  <c i="18" r="T48" s="1"/>
  <c i="1" r="AL52"/>
  <c i="18" r="O48" s="1"/>
  <c i="1" r="AR52"/>
  <c i="18" r="U48" s="1"/>
  <c i="1" r="AI52"/>
  <c i="18" r="L48" s="1"/>
  <c i="1" r="AS52"/>
  <c i="18" r="V48" s="1"/>
  <c i="1" r="AK52"/>
  <c i="18" r="N48" s="1"/>
  <c i="1" r="AM52"/>
  <c i="18" r="P48" s="1"/>
  <c i="1" r="AO52"/>
  <c i="18" r="R48" s="1"/>
  <c i="1" r="BX42"/>
  <c i="18" r="D24" s="1"/>
  <c i="1" r="AL51"/>
  <c i="18" r="O47" s="1"/>
  <c i="1" r="AN53"/>
  <c i="18" r="Q49" s="1"/>
  <c i="1" r="AT51"/>
  <c i="18" r="W47" s="1"/>
  <c i="18" r="AU127" s="1"/>
  <c i="18" r="AU153" s="1"/>
  <c i="1" r="AS40"/>
  <c i="18" r="V36" s="1"/>
  <c i="1" r="Z53"/>
  <c i="18" r="C49" s="1"/>
  <c i="1" r="AP51"/>
  <c i="18" r="S47" s="1"/>
  <c i="1" r="AJ53"/>
  <c i="18" r="M49" s="1"/>
  <c i="1" r="AR53"/>
  <c i="18" r="U49" s="1"/>
  <c i="1" r="AP42"/>
  <c i="18" r="S38" s="1"/>
  <c i="1" r="Z48"/>
  <c i="18" r="C44" s="1"/>
  <c i="1" r="AB50"/>
  <c i="18" r="E46" s="1"/>
  <c i="1" r="Z36"/>
  <c i="18" r="C32" s="1"/>
  <c i="1" r="AA36"/>
  <c i="18" r="D32" s="1"/>
  <c i="1" r="J54"/>
  <c i="1" r="AD51"/>
  <c i="18" r="G47" s="1"/>
  <c i="1" r="AH51"/>
  <c i="18" r="K47" s="1"/>
  <c i="1" r="AN36"/>
  <c i="18" r="Q32" s="1"/>
  <c i="1" r="AO38"/>
  <c i="18" r="R34" s="1"/>
  <c i="1" r="AJ35"/>
  <c i="18" r="M31" s="1"/>
  <c i="1" r="AN44"/>
  <c i="18" r="Q40" s="1"/>
  <c i="1" r="AL53"/>
  <c i="18" r="O49" s="1"/>
  <c i="1" r="AB53"/>
  <c i="18" r="E49" s="1"/>
  <c i="1" r="AF53"/>
  <c i="18" r="I49" s="1"/>
  <c i="1" r="AK38"/>
  <c i="18" r="N34" s="1"/>
  <c i="1" r="AL40"/>
  <c i="18" r="O36" s="1"/>
  <c i="1" r="AD35"/>
  <c i="18" r="G31" s="1"/>
  <c i="1" r="AL46"/>
  <c i="18" r="O42" s="1"/>
  <c i="18" r="V25" s="1"/>
  <c i="1" r="AL43"/>
  <c i="18" r="O39" s="1"/>
  <c i="1" r="D54"/>
  <c i="1" r="AS34"/>
  <c i="1" r="AJ36"/>
  <c i="18" r="M32" s="1"/>
  <c i="1" r="AH40"/>
  <c i="18" r="K36" s="1"/>
  <c i="1" r="AI42"/>
  <c i="18" r="L38" s="1"/>
  <c i="1" r="AA37"/>
  <c i="18" r="D33" s="1"/>
  <c i="1" r="AI48"/>
  <c i="18" r="L44" s="1"/>
  <c i="1" r="AT52"/>
  <c i="18" r="W48" s="1"/>
  <c i="18" r="AU128" s="1"/>
  <c i="18" r="AU154" s="1"/>
  <c i="1" r="C39"/>
  <c i="1" r="AE39"/>
  <c i="18" r="H35" s="1"/>
  <c i="1" r="AO39"/>
  <c i="18" r="R35" s="1"/>
  <c i="1" r="AH39"/>
  <c i="18" r="K35" s="1"/>
  <c i="1" r="AP39"/>
  <c i="18" r="S35" s="1"/>
  <c i="1" r="AG39"/>
  <c i="18" r="J35" s="1"/>
  <c i="1" r="AF39"/>
  <c i="18" r="I35" s="1"/>
  <c i="1" r="AN39"/>
  <c i="18" r="Q35" s="1"/>
  <c i="1" r="AD39"/>
  <c i="18" r="G35" s="1"/>
  <c i="1" r="AJ39"/>
  <c i="18" r="M35" s="1"/>
  <c i="1" r="AI39"/>
  <c i="18" r="L35" s="1"/>
  <c i="1" r="AQ39"/>
  <c i="18" r="T35" s="1"/>
  <c i="1" r="AK39"/>
  <c i="18" r="N35" s="1"/>
  <c i="1" r="AL39"/>
  <c i="18" r="O35" s="1"/>
  <c i="1" r="AM39"/>
  <c i="18" r="P35" s="1"/>
  <c i="1" r="AF36"/>
  <c i="18" r="I32" s="1"/>
  <c i="1" r="AG38"/>
  <c i="18" r="J34" s="1"/>
  <c i="1" r="AE42"/>
  <c i="18" r="H38" s="1"/>
  <c i="1" r="AG44"/>
  <c i="18" r="J40" s="1"/>
  <c i="1" r="AS38"/>
  <c i="18" r="V34" s="1"/>
  <c i="1" r="AF50"/>
  <c i="18" r="I46" s="1"/>
  <c i="1" r="Z46"/>
  <c i="18" r="C42" s="1"/>
  <c i="1" r="AC38"/>
  <c i="18" r="F34" s="1"/>
  <c i="1" r="AD40"/>
  <c i="18" r="G36" s="1"/>
  <c i="1" r="AC44"/>
  <c i="18" r="F40" s="1"/>
  <c i="1" r="AE46"/>
  <c i="18" r="H42" s="1"/>
  <c i="1" r="AP40"/>
  <c i="18" r="S36" s="1"/>
  <c i="1" r="AC52"/>
  <c i="18" r="F48" s="1"/>
  <c i="1" r="Z37"/>
  <c i="18" r="C33" s="1"/>
  <c i="1" r="AH53"/>
  <c i="18" r="K49" s="1"/>
  <c i="1" r="AA42"/>
  <c i="18" r="D38" s="1"/>
  <c i="1" r="AB48"/>
  <c i="18" r="E44" s="1"/>
  <c i="1" r="AD49"/>
  <c i="18" r="G45" s="1"/>
  <c i="1" r="AP43"/>
  <c i="18" r="S39" s="1"/>
  <c i="1" r="AT49"/>
  <c i="18" r="W45" s="1"/>
  <c i="18" r="AU125" s="1"/>
  <c i="18" r="AU151" s="1"/>
  <c i="1" r="AK44"/>
  <c i="18" r="N40" s="1"/>
  <c i="1" r="AH35"/>
  <c i="18" r="K31" s="1"/>
  <c i="1" r="Z44"/>
  <c i="18" r="C40" s="1"/>
  <c i="1" r="AQ51"/>
  <c i="18" r="T47" s="1"/>
  <c i="1" r="AR39"/>
  <c i="18" r="U35" s="1"/>
  <c i="1" r="P41"/>
  <c i="1" r="AL41"/>
  <c i="18" r="O37" s="1"/>
  <c i="1" r="AB41"/>
  <c i="18" r="E37" s="1"/>
  <c i="1" r="AM41"/>
  <c i="18" r="P37" s="1"/>
  <c i="1" r="AI41"/>
  <c i="18" r="L37" s="1"/>
  <c i="1" r="AK41"/>
  <c i="18" r="N37" s="1"/>
  <c i="1" r="AE41"/>
  <c i="18" r="H37" s="1"/>
  <c i="1" r="AA41"/>
  <c i="18" r="D37" s="1"/>
  <c i="1" r="AG41"/>
  <c i="18" r="J37" s="1"/>
  <c i="1" r="AN41"/>
  <c i="18" r="Q37" s="1"/>
  <c i="1" r="AC41"/>
  <c i="18" r="F37" s="1"/>
  <c i="1" r="AD41"/>
  <c i="18" r="G37" s="1"/>
  <c i="1" r="AF41"/>
  <c i="18" r="I37" s="1"/>
  <c i="1" r="AH41"/>
  <c i="18" r="K37" s="1"/>
  <c i="1" r="AJ41"/>
  <c i="18" r="M37" s="1"/>
  <c i="1" r="AM51"/>
  <c i="18" r="P47" s="1"/>
  <c i="1" r="AO53"/>
  <c i="18" r="R49" s="1"/>
  <c i="1" r="AB39"/>
  <c i="18" r="E35" s="1"/>
  <c i="1" r="Z50"/>
  <c i="18" r="C46" s="1"/>
  <c i="1" r="AR51"/>
  <c i="18" r="U47" s="1"/>
  <c i="1" r="S44"/>
  <c i="1" r="J43"/>
  <c i="1" r="AJ43"/>
  <c i="18" r="M39" s="1"/>
  <c i="1" r="AA43"/>
  <c i="18" r="D39" s="1"/>
  <c i="1" r="AF43"/>
  <c i="18" r="I39" s="1"/>
  <c i="1" r="AH43"/>
  <c i="18" r="K39" s="1"/>
  <c i="1" r="Z43"/>
  <c i="18" r="C39" s="1"/>
  <c i="1" r="AB43"/>
  <c i="18" r="E39" s="1"/>
  <c i="1" r="AD43"/>
  <c i="18" r="G39" s="1"/>
  <c i="1" r="AC43"/>
  <c i="18" r="F39" s="1"/>
  <c i="1" r="AI43"/>
  <c i="18" r="L39" s="1"/>
  <c i="1" r="AK43"/>
  <c i="18" r="N39" s="1"/>
  <c i="1" r="AE43"/>
  <c i="18" r="H39" s="1"/>
  <c i="1" r="AG43"/>
  <c i="18" r="J39" s="1"/>
  <c i="1" r="AD45"/>
  <c i="18" r="G41" s="1"/>
  <c i="1" r="AH45"/>
  <c i="18" r="K41" s="1"/>
  <c i="1" r="Z45"/>
  <c i="18" r="C41" s="1"/>
  <c i="1" r="AI45"/>
  <c i="18" r="L41" s="1"/>
  <c i="1" r="AB45"/>
  <c i="18" r="E41" s="1"/>
  <c i="1" r="AG45"/>
  <c i="18" r="J41" s="1"/>
  <c i="1" r="AA45"/>
  <c i="18" r="D41" s="1"/>
  <c i="1" r="AC45"/>
  <c i="18" r="F41" s="1"/>
  <c i="1" r="AE45"/>
  <c i="18" r="H41" s="1"/>
  <c i="1" r="AF45"/>
  <c i="18" r="I41" s="1"/>
  <c i="1" r="CR9"/>
  <c i="1" r="AH49"/>
  <c i="18" r="K45" s="1"/>
  <c i="1" r="AK53"/>
  <c i="18" r="N49" s="1"/>
  <c i="1" r="AC50"/>
  <c i="18" r="F46" s="1"/>
  <c i="1" r="AT40"/>
  <c i="18" r="W36" s="1"/>
  <c i="18" r="AU116" s="1"/>
  <c i="18" r="AU142" s="1"/>
  <c i="1" r="AO41"/>
  <c i="18" r="R37" s="1"/>
  <c i="1" r="U44"/>
  <c i="1" r="AS42"/>
  <c i="18" r="V38" s="1"/>
  <c i="1" r="AT42"/>
  <c i="18" r="W38" s="1"/>
  <c i="18" r="AU118" s="1"/>
  <c i="18" r="AU144" s="1"/>
  <c i="1" r="O44"/>
  <c i="1" r="AP46"/>
  <c i="18" r="S42" s="1"/>
  <c i="1" r="AO46"/>
  <c i="18" r="R42" s="1"/>
  <c i="1" r="AR46"/>
  <c i="18" r="U42" s="1"/>
  <c i="1" r="AS46"/>
  <c i="18" r="V42" s="1"/>
  <c i="1" r="AQ46"/>
  <c i="18" r="T42" s="1"/>
  <c i="1" r="AT46"/>
  <c i="18" r="W42" s="1"/>
  <c i="18" r="AU122" s="1"/>
  <c i="18" r="AU148" s="1"/>
  <c i="1" r="AE51"/>
  <c i="18" r="H47" s="1"/>
  <c i="1" r="AI51"/>
  <c i="18" r="L47" s="1"/>
  <c i="1" r="AO36"/>
  <c i="18" r="R32" s="1"/>
  <c i="1" r="AS36"/>
  <c i="18" r="V32" s="1"/>
  <c i="1" r="Z52"/>
  <c i="18" r="C48" s="1"/>
  <c i="1" r="AQ42"/>
  <c i="18" r="T38" s="1"/>
  <c i="1" r="Z38"/>
  <c i="18" r="C34" s="1"/>
  <c i="1" r="AN35"/>
  <c i="18" r="Q31" s="1"/>
  <c i="1" r="AK35"/>
  <c i="18" r="N31" s="1"/>
  <c i="1" r="AR35"/>
  <c i="18" r="U31" s="1"/>
  <c i="1" r="AM35"/>
  <c i="18" r="P31" s="1"/>
  <c i="1" r="AT35"/>
  <c i="18" r="W31" s="1"/>
  <c i="18" r="AU111" s="1"/>
  <c i="18" r="AU137" s="1"/>
  <c i="1" r="AL35"/>
  <c i="18" r="O31" s="1"/>
  <c i="1" r="AP35"/>
  <c i="18" r="S31" s="1"/>
  <c i="1" r="AS35"/>
  <c i="18" r="V31" s="1"/>
  <c i="1" r="AE47"/>
  <c i="18" r="H43" s="1"/>
  <c i="1" r="AC47"/>
  <c i="18" r="F43" s="1"/>
  <c i="1" r="AF47"/>
  <c i="18" r="I43" s="1"/>
  <c i="1" r="AA47"/>
  <c i="18" r="D43" s="1"/>
  <c i="1" r="AD47"/>
  <c i="18" r="G43" s="1"/>
  <c i="1" r="Z47"/>
  <c i="18" r="C43" s="1"/>
  <c i="1" r="AB47"/>
  <c i="18" r="E43" s="1"/>
  <c i="1" r="AC36"/>
  <c i="18" r="F32" s="1"/>
  <c i="1" r="AC53"/>
  <c i="18" r="F49" s="1"/>
  <c i="1" r="AG53"/>
  <c i="18" r="J49" s="1"/>
  <c i="1" r="AL38"/>
  <c i="18" r="O34" s="1"/>
  <c i="1" r="AP38"/>
  <c i="18" r="S34" s="1"/>
  <c i="1" r="AP34"/>
  <c i="1" r="P44"/>
  <c i="1" r="AR44"/>
  <c i="18" r="U40" s="1"/>
  <c i="1" r="AT44"/>
  <c i="18" r="W40" s="1"/>
  <c i="18" r="AU120" s="1"/>
  <c i="18" r="AU146" s="1"/>
  <c i="1" r="AQ44"/>
  <c i="18" r="T40" s="1"/>
  <c i="1" r="AS44"/>
  <c i="18" r="V40" s="1"/>
  <c i="1" r="AP48"/>
  <c i="18" r="S44" s="1"/>
  <c i="1" r="AN48"/>
  <c i="18" r="Q44" s="1"/>
  <c i="1" r="AO48"/>
  <c i="18" r="R44" s="1"/>
  <c i="1" r="AL48"/>
  <c i="18" r="O44" s="1"/>
  <c i="1" r="AR48"/>
  <c i="18" r="U44" s="1"/>
  <c i="1" r="AM48"/>
  <c i="18" r="P44" s="1"/>
  <c i="1" r="AQ48"/>
  <c i="18" r="T44" s="1"/>
  <c i="1" r="AT48"/>
  <c i="18" r="W44" s="1"/>
  <c i="18" r="AU124" s="1"/>
  <c i="18" r="AU150" s="1"/>
  <c i="1" r="AS48"/>
  <c i="18" r="V44" s="1"/>
  <c i="1" r="AS39"/>
  <c i="18" r="V35" s="1"/>
  <c i="1" r="AK36"/>
  <c i="18" r="N32" s="1"/>
  <c i="1" r="AI40"/>
  <c i="18" r="L36" s="1"/>
  <c i="1" r="AM40"/>
  <c i="18" r="P36" s="1"/>
  <c i="1" r="AE35"/>
  <c i="18" r="H31" s="1"/>
  <c i="1" r="AM46"/>
  <c i="18" r="P42" s="1"/>
  <c i="1" r="AJ34"/>
  <c i="1" r="AM34"/>
  <c i="1" r="AE34"/>
  <c i="1" r="AF34"/>
  <c i="1" r="AD34"/>
  <c i="1" r="AL34"/>
  <c i="1" r="AH34"/>
  <c i="1" r="AN34"/>
  <c i="1" r="AO34"/>
  <c i="1" r="AG34"/>
  <c i="1" r="AI34"/>
  <c i="1" r="AK34"/>
  <c i="1" r="W37"/>
  <c i="1" r="AM37"/>
  <c i="18" r="P33" s="1"/>
  <c i="1" r="AK37"/>
  <c i="18" r="N33" s="1"/>
  <c i="1" r="AS37"/>
  <c i="18" r="V33" s="1"/>
  <c i="1" r="AH37"/>
  <c i="18" r="K33" s="1"/>
  <c i="1" r="AQ37"/>
  <c i="18" r="T33" s="1"/>
  <c i="1" r="AJ37"/>
  <c i="18" r="M33" s="1"/>
  <c i="1" r="AI37"/>
  <c i="18" r="L33" s="1"/>
  <c i="1" r="AG37"/>
  <c i="18" r="J33" s="1"/>
  <c i="1" r="AO37"/>
  <c i="18" r="R33" s="1"/>
  <c i="1" r="AR37"/>
  <c i="18" r="U33" s="1"/>
  <c i="1" r="AN37"/>
  <c i="18" r="Q33" s="1"/>
  <c i="1" r="AT37"/>
  <c i="18" r="W33" s="1"/>
  <c i="18" r="AU113" s="1"/>
  <c i="18" r="AU139" s="1"/>
  <c i="1" r="AP37"/>
  <c i="18" r="S33" s="1"/>
  <c i="1" r="C49"/>
  <c i="1" r="AB49"/>
  <c i="18" r="E45" s="1"/>
  <c i="1" r="AA49"/>
  <c i="18" r="D45" s="1"/>
  <c i="1" r="Z49"/>
  <c i="18" r="C45" s="1"/>
  <c i="1" r="AC49"/>
  <c i="18" r="F45" s="1"/>
  <c i="1" r="AP41"/>
  <c i="18" r="S37" s="1"/>
  <c i="1" r="AG36"/>
  <c i="18" r="J32" s="1"/>
  <c i="1" r="AH38"/>
  <c i="18" r="K34" s="1"/>
  <c i="1" r="AF42"/>
  <c i="18" r="I38" s="1"/>
  <c i="1" r="AJ42"/>
  <c i="18" r="M38" s="1"/>
  <c i="1" r="AB37"/>
  <c i="18" r="E33" s="1"/>
  <c i="1" r="AJ48"/>
  <c i="18" r="M44" s="1"/>
  <c i="1" r="Z35"/>
  <c i="18" r="C31" s="1"/>
  <c i="1" r="R44"/>
  <c i="1" r="V43"/>
  <c i="1" r="U43"/>
  <c i="1" r="T43"/>
  <c i="1" r="S43"/>
  <c i="1" r="N43"/>
  <c i="1" r="M43"/>
  <c i="1" r="G39"/>
  <c i="1" r="F39"/>
  <c i="1" r="D39"/>
  <c i="1" r="G43"/>
  <c i="1" r="V37"/>
  <c i="1" r="G38"/>
  <c i="1" r="F43"/>
  <c i="1" r="E39"/>
  <c i="1" r="H38"/>
  <c i="1" r="P36"/>
  <c i="1" r="T41"/>
  <c i="1" r="O36"/>
  <c i="1" r="N36"/>
  <c i="1" r="M36"/>
  <c i="1" r="L36"/>
  <c i="1" r="C36"/>
  <c i="1" r="J36"/>
  <c i="1" r="B36"/>
  <c i="1" r="R34"/>
  <c i="1" r="BE55"/>
  <c i="1" r="CD14" s="1"/>
  <c i="1" r="CE29" s="1"/>
  <c i="18" r="K11" s="1"/>
  <c i="1" r="I36"/>
  <c i="1" r="Q44"/>
  <c i="1" r="V41"/>
  <c i="1" r="H36"/>
  <c i="1" r="W43"/>
  <c i="1" r="U41"/>
  <c i="1" r="G36"/>
  <c i="1" r="E42"/>
  <c i="1" r="F36"/>
  <c i="1" r="BS42"/>
  <c i="1" r="W41"/>
  <c i="1" r="S41"/>
  <c i="1" r="E36"/>
  <c i="1" r="I40"/>
  <c i="1" r="R41"/>
  <c i="1" r="D36"/>
  <c i="1" r="B39"/>
  <c i="1" r="Q41"/>
  <c i="1" r="B37"/>
  <c i="1" r="O41"/>
  <c i="1" r="W35"/>
  <c i="1" r="Q36"/>
  <c i="1" r="N41"/>
  <c i="1" r="B35"/>
  <c i="1" r="M41"/>
  <c i="1" r="U35"/>
  <c i="1" r="K41"/>
  <c i="1" r="T35"/>
  <c i="1" r="F41"/>
  <c i="1" r="S35"/>
  <c i="1" r="U54"/>
  <c i="1" r="BF55"/>
  <c i="1" r="CE14" s="1"/>
  <c i="1" r="CE30" s="1"/>
  <c i="18" r="K12" s="1"/>
  <c i="1" r="T54"/>
  <c i="1" r="B41"/>
  <c i="1" r="R35"/>
  <c i="1" r="S54"/>
  <c i="1" r="U40"/>
  <c i="1" r="Q35"/>
  <c i="1" r="R54"/>
  <c i="1" r="N39"/>
  <c i="1" r="P35"/>
  <c i="1" r="Q54"/>
  <c i="1" r="M39"/>
  <c i="1" r="O35"/>
  <c i="1" r="P54"/>
  <c i="1" r="L39"/>
  <c i="1" r="N35"/>
  <c i="1" r="O54"/>
  <c i="1" r="K39"/>
  <c i="1" r="L35"/>
  <c i="1" r="N54"/>
  <c i="1" r="J39"/>
  <c i="1" r="K35"/>
  <c i="1" r="C53"/>
  <c i="1" r="M38"/>
  <c i="1" r="M54"/>
  <c i="1" r="I39"/>
  <c i="1" r="L54"/>
  <c i="1" r="H39"/>
  <c i="1" r="D47"/>
  <c i="1" r="H47"/>
  <c i="1" r="W50"/>
  <c i="1" r="V50"/>
  <c i="1" r="R50"/>
  <c i="1" r="Q50"/>
  <c i="1" r="F47"/>
  <c i="1" r="I47"/>
  <c i="1" r="K50"/>
  <c i="1" r="E47"/>
  <c i="1" r="P50"/>
  <c i="1" r="I50"/>
  <c i="1" r="M50"/>
  <c i="1" r="N50"/>
  <c i="1" r="O50"/>
  <c i="1" r="S50"/>
  <c i="1" r="T50"/>
  <c i="1" r="S46"/>
  <c i="1" r="BS40"/>
  <c i="1" r="P45"/>
  <c i="1" r="Q45"/>
  <c i="1" r="B47"/>
  <c i="1" r="J47"/>
  <c i="1" r="K47"/>
  <c i="1" r="R46"/>
  <c i="1" r="N46"/>
  <c i="1" r="Q46"/>
  <c i="1" r="W46"/>
  <c i="1" r="BD55"/>
  <c i="1" r="CC14" s="1"/>
  <c i="1" r="CE28" s="1"/>
  <c i="18" r="K10" s="1"/>
  <c i="1" r="G34"/>
  <c i="1" r="L47"/>
  <c i="1" r="V44"/>
  <c i="1" r="BG55"/>
  <c i="1" r="CF14" s="1"/>
  <c i="1" r="CE31" s="1"/>
  <c i="18" r="K13" s="1"/>
  <c i="1" r="BC55"/>
  <c i="1" r="CB14" s="1"/>
  <c i="1" r="CE27" s="1"/>
  <c i="18" r="K9" s="1"/>
  <c i="1" r="G47"/>
  <c i="1" r="BB55"/>
  <c i="1" r="CA14" s="1"/>
  <c i="1" r="CE26" s="1"/>
  <c i="18" r="K8" s="1"/>
  <c i="1" r="BS38"/>
  <c i="1" r="BA55"/>
  <c i="1" r="BZ14" s="1"/>
  <c i="1" r="CE25" s="1"/>
  <c i="18" r="K7" s="1"/>
  <c i="1" r="C47"/>
  <c i="1" r="K54"/>
  <c i="1" r="L41"/>
  <c i="1" r="BS53"/>
  <c i="1" r="AZ55"/>
  <c i="1" r="BY14" s="1"/>
  <c i="1" r="CE24" s="1"/>
  <c i="18" r="K6" s="1"/>
  <c i="1" r="B52"/>
  <c i="1" r="I54"/>
  <c i="1" r="L50"/>
  <c i="1" r="V46"/>
  <c i="1" r="R43"/>
  <c i="1" r="J41"/>
  <c i="1" r="L38"/>
  <c i="1" r="BS51"/>
  <c i="1" r="BS36"/>
  <c i="1" r="G51"/>
  <c i="1" r="H54"/>
  <c i="1" r="U46"/>
  <c i="1" r="Q43"/>
  <c i="1" r="I41"/>
  <c i="1" r="K38"/>
  <c i="1" r="C50"/>
  <c i="1" r="G54"/>
  <c i="1" r="J50"/>
  <c i="1" r="T46"/>
  <c i="1" r="P43"/>
  <c i="1" r="H41"/>
  <c i="1" r="J38"/>
  <c i="1" r="BS49"/>
  <c i="1" r="K49"/>
  <c i="1" r="F54"/>
  <c i="1" r="O43"/>
  <c i="1" r="G41"/>
  <c i="1" r="I38"/>
  <c i="1" r="E48"/>
  <c i="1" r="BS47"/>
  <c i="1" r="O47"/>
  <c i="1" r="I49"/>
  <c i="1" r="E41"/>
  <c i="1" r="K46"/>
  <c i="1" r="B53"/>
  <c i="1" r="H49"/>
  <c i="1" r="P46"/>
  <c i="1" r="L43"/>
  <c i="1" r="D41"/>
  <c i="1" r="F38"/>
  <c i="1" r="BS45"/>
  <c i="1" r="S45"/>
  <c i="1" r="W52"/>
  <c i="1" r="G49"/>
  <c i="1" r="O46"/>
  <c i="1" r="K43"/>
  <c i="1" r="C41"/>
  <c i="1" r="E38"/>
  <c i="1" r="B44"/>
  <c i="1" r="F49"/>
  <c i="1" r="U52"/>
  <c i="1" r="E49"/>
  <c i="1" r="M46"/>
  <c i="1" r="I43"/>
  <c i="1" r="W40"/>
  <c i="1" r="C38"/>
  <c i="1" r="T52"/>
  <c i="1" r="D49"/>
  <c i="1" r="R45"/>
  <c i="1" r="H43"/>
  <c i="1" r="V40"/>
  <c i="1" r="B38"/>
  <c i="1" r="BS41"/>
  <c i="1" r="S52"/>
  <c i="1" r="B49"/>
  <c i="1" r="H40"/>
  <c i="1" r="BS39"/>
  <c i="1" r="Q52"/>
  <c i="1" r="W48"/>
  <c i="1" r="O45"/>
  <c i="1" r="E43"/>
  <c i="1" r="G40"/>
  <c i="1" r="U37"/>
  <c i="1" r="M35"/>
  <c i="1" r="V52"/>
  <c i="1" r="N45"/>
  <c i="1" r="S37"/>
  <c i="1" r="N52"/>
  <c i="1" r="T48"/>
  <c i="1" r="L45"/>
  <c i="1" r="B43"/>
  <c i="1" r="D40"/>
  <c i="1" r="R37"/>
  <c i="1" r="AX55"/>
  <c i="1" r="BW14" s="1"/>
  <c i="1" r="CE22" s="1"/>
  <c i="18" r="K4" s="1"/>
  <c i="1" r="BS35"/>
  <c i="1" r="C43"/>
  <c i="1" r="M52"/>
  <c i="1" r="S48"/>
  <c i="1" r="K45"/>
  <c i="1" r="W42"/>
  <c i="1" r="C40"/>
  <c i="1" r="Q37"/>
  <c i="1" r="BR55"/>
  <c i="1" r="CQ14" s="1"/>
  <c i="1" r="BS54"/>
  <c i="1" r="L52"/>
  <c i="1" r="R48"/>
  <c i="1" r="J45"/>
  <c i="1" r="V42"/>
  <c i="1" r="B40"/>
  <c i="1" r="P37"/>
  <c i="1" r="O52"/>
  <c i="1" r="K52"/>
  <c i="1" r="Q48"/>
  <c i="1" r="I45"/>
  <c i="1" r="U42"/>
  <c i="1" r="W39"/>
  <c i="1" r="O37"/>
  <c i="1" r="BP55"/>
  <c i="1" r="CO14" s="1"/>
  <c i="1" r="CE40" s="1"/>
  <c i="18" r="K22" s="1"/>
  <c i="1" r="BQ55"/>
  <c i="1" r="CP14" s="1"/>
  <c i="1" r="CE41" s="1"/>
  <c i="18" r="K23" s="1"/>
  <c i="1" r="BS52"/>
  <c i="1" r="Q34"/>
  <c i="1" r="J52"/>
  <c i="1" r="P48"/>
  <c i="1" r="H45"/>
  <c i="1" r="T42"/>
  <c i="1" r="V39"/>
  <c i="1" r="N37"/>
  <c i="1" r="BO55"/>
  <c i="1" r="CN14" s="1"/>
  <c i="1" r="CE39" s="1"/>
  <c i="18" r="K21" s="1"/>
  <c i="1" r="V48"/>
  <c i="1" r="P34"/>
  <c i="1" r="I52"/>
  <c i="1" r="O48"/>
  <c i="1" r="G45"/>
  <c i="1" r="S42"/>
  <c i="1" r="U39"/>
  <c i="1" r="M37"/>
  <c i="1" r="BN55"/>
  <c i="1" r="CM14" s="1"/>
  <c i="1" r="CE38" s="1"/>
  <c i="18" r="K20" s="1"/>
  <c i="1" r="BS50"/>
  <c i="1" r="BS34"/>
  <c i="1" r="F40"/>
  <c i="1" r="U48"/>
  <c i="1" r="O34"/>
  <c i="1" r="H52"/>
  <c i="1" r="N48"/>
  <c i="1" r="F45"/>
  <c i="1" r="R42"/>
  <c i="1" r="T39"/>
  <c i="1" r="L37"/>
  <c i="1" r="BM55"/>
  <c i="1" r="CL14" s="1"/>
  <c i="1" r="CE37" s="1"/>
  <c i="18" r="K19" s="1"/>
  <c i="1" r="N34"/>
  <c i="1" r="G52"/>
  <c i="1" r="M48"/>
  <c i="1" r="E45"/>
  <c i="1" r="Q42"/>
  <c i="1" r="S39"/>
  <c i="1" r="K37"/>
  <c i="1" r="BL55"/>
  <c i="1" r="CK14" s="1"/>
  <c i="1" r="CE36" s="1"/>
  <c i="18" r="K18" s="1"/>
  <c i="1" r="BS48"/>
  <c i="1" r="BS43"/>
  <c i="1" r="M45"/>
  <c i="1" r="M34"/>
  <c i="1" r="F51"/>
  <c i="1" r="L48"/>
  <c i="1" r="D45"/>
  <c i="1" r="D42"/>
  <c i="1" r="R39"/>
  <c i="1" r="J37"/>
  <c i="1" r="BK55"/>
  <c i="1" r="CJ14" s="1"/>
  <c i="1" r="CE35" s="1"/>
  <c i="18" r="K17" s="1"/>
  <c i="1" r="P52"/>
  <c i="1" r="BS37"/>
  <c i="1" r="E40"/>
  <c i="1" r="L34"/>
  <c i="1" r="E51"/>
  <c i="1" r="K48"/>
  <c i="1" r="C45"/>
  <c i="1" r="C42"/>
  <c i="1" r="Q39"/>
  <c i="1" r="I37"/>
  <c i="1" r="BJ55"/>
  <c i="1" r="CI14" s="1"/>
  <c i="1" r="CE34" s="1"/>
  <c i="18" r="K16" s="1"/>
  <c i="1" r="BS46"/>
  <c i="1" r="K34"/>
  <c i="1" r="D51"/>
  <c i="1" r="N47"/>
  <c i="1" r="B45"/>
  <c i="1" r="B42"/>
  <c i="1" r="P39"/>
  <c i="1" r="H37"/>
  <c i="1" r="BI55"/>
  <c i="1" r="CH14" s="1"/>
  <c i="1" r="CE33" s="1"/>
  <c i="18" r="K15" s="1"/>
  <c i="1" r="D43"/>
  <c i="1" r="H34"/>
  <c i="1" r="C51"/>
  <c i="1" r="M47"/>
  <c i="1" r="W44"/>
  <c i="1" r="O39"/>
  <c i="1" r="G37"/>
  <c i="1" r="BH55"/>
  <c i="1" r="CG14" s="1"/>
  <c i="1" r="CE32" s="1"/>
  <c i="18" r="K14" s="1"/>
  <c i="1" r="BS44"/>
  <c i="1" r="J34"/>
  <c i="1" r="I34"/>
  <c i="1" r="AY55"/>
  <c i="1" r="BX14" s="1"/>
  <c i="1" r="CE23" s="1"/>
  <c i="18" r="K5" s="1"/>
  <c i="1" r="J48"/>
  <c i="1" r="R53"/>
  <c i="1" r="U51"/>
  <c i="1" r="F34"/>
  <c i="1" r="Q53"/>
  <c i="1" r="J46"/>
  <c i="1" r="V53"/>
  <c i="1" r="U53"/>
  <c i="1" r="F50"/>
  <c i="1" r="B50"/>
  <c i="1" r="S51"/>
  <c i="1" r="R51"/>
  <c i="1" r="V49"/>
  <c i="1" r="D48"/>
  <c i="1" r="H46"/>
  <c i="1" r="L44"/>
  <c i="1" r="P42"/>
  <c i="1" r="T40"/>
  <c i="1" r="F37"/>
  <c i="1" r="J35"/>
  <c i="1" r="D34"/>
  <c i="1" r="C54"/>
  <c i="1" r="C52"/>
  <c i="1" r="M44"/>
  <c i="1" r="M53"/>
  <c i="1" r="Q51"/>
  <c i="1" r="U49"/>
  <c i="1" r="C48"/>
  <c i="1" r="G46"/>
  <c i="1" r="K44"/>
  <c i="1" r="O42"/>
  <c i="1" r="S40"/>
  <c i="1" r="W38"/>
  <c i="1" r="E37"/>
  <c i="1" r="I35"/>
  <c i="1" r="C34"/>
  <c i="1" r="F52"/>
  <c i="1" r="E52"/>
  <c i="1" r="I48"/>
  <c i="1" r="G48"/>
  <c i="1" r="N44"/>
  <c i="1" r="O53"/>
  <c i="1" r="L53"/>
  <c i="1" r="P51"/>
  <c i="1" r="T49"/>
  <c i="1" r="B48"/>
  <c i="1" r="F46"/>
  <c i="1" r="J44"/>
  <c i="1" r="N42"/>
  <c i="1" r="R40"/>
  <c i="1" r="V38"/>
  <c i="1" r="D37"/>
  <c i="1" r="H35"/>
  <c i="1" r="D52"/>
  <c i="1" r="S53"/>
  <c i="1" r="W49"/>
  <c i="1" r="K53"/>
  <c i="1" r="O51"/>
  <c i="1" r="S49"/>
  <c i="1" r="W47"/>
  <c i="1" r="E46"/>
  <c i="1" r="I44"/>
  <c i="1" r="M42"/>
  <c i="1" r="Q40"/>
  <c i="1" r="U38"/>
  <c i="1" r="C37"/>
  <c i="1" r="G35"/>
  <c i="1" r="B54"/>
  <c i="1" r="L46"/>
  <c i="1" r="J53"/>
  <c i="1" r="N51"/>
  <c i="1" r="R49"/>
  <c i="1" r="V47"/>
  <c i="1" r="D46"/>
  <c i="1" r="H44"/>
  <c i="1" r="L42"/>
  <c i="1" r="P40"/>
  <c i="1" r="T38"/>
  <c i="1" r="F35"/>
  <c i="1" r="H48"/>
  <c i="1" r="F48"/>
  <c i="1" r="B34"/>
  <c i="1" r="I53"/>
  <c i="1" r="M51"/>
  <c i="1" r="Q49"/>
  <c i="1" r="U47"/>
  <c i="1" r="C46"/>
  <c i="1" r="G44"/>
  <c i="1" r="K42"/>
  <c i="1" r="O40"/>
  <c i="1" r="S38"/>
  <c i="1" r="W36"/>
  <c i="1" r="E35"/>
  <c i="1" r="H50"/>
  <c i="1" r="E50"/>
  <c i="1" r="D50"/>
  <c i="1" r="W34"/>
  <c i="1" r="H53"/>
  <c i="1" r="L51"/>
  <c i="1" r="P49"/>
  <c i="1" r="T47"/>
  <c i="1" r="B46"/>
  <c i="1" r="F44"/>
  <c i="1" r="J42"/>
  <c i="1" r="N40"/>
  <c i="1" r="R38"/>
  <c i="1" r="V36"/>
  <c i="1" r="D35"/>
  <c i="1" r="V34"/>
  <c i="1" r="G53"/>
  <c i="1" r="K51"/>
  <c i="1" r="O49"/>
  <c i="1" r="S47"/>
  <c i="1" r="W45"/>
  <c i="1" r="E44"/>
  <c i="1" r="I42"/>
  <c i="1" r="M40"/>
  <c i="1" r="Q38"/>
  <c i="1" r="U36"/>
  <c i="1" r="C35"/>
  <c i="1" r="G50"/>
  <c i="1" r="W51"/>
  <c i="1" r="V51"/>
  <c i="1" r="T51"/>
  <c i="1" r="N53"/>
  <c i="1" r="U34"/>
  <c i="1" r="F53"/>
  <c i="1" r="J51"/>
  <c i="1" r="N49"/>
  <c i="1" r="R47"/>
  <c i="1" r="V45"/>
  <c i="1" r="D44"/>
  <c i="1" r="H42"/>
  <c i="1" r="L40"/>
  <c i="1" r="P38"/>
  <c i="1" r="T36"/>
  <c i="1" r="W53"/>
  <c i="1" r="T53"/>
  <c i="1" r="I46"/>
  <c i="1" r="T34"/>
  <c i="1" r="W54"/>
  <c i="1" r="E53"/>
  <c i="1" r="I51"/>
  <c i="1" r="M49"/>
  <c i="1" r="Q47"/>
  <c i="1" r="U45"/>
  <c i="1" r="C44"/>
  <c i="1" r="G42"/>
  <c i="1" r="K40"/>
  <c i="1" r="O38"/>
  <c i="1" r="S36"/>
  <c i="1" r="S34"/>
  <c i="1" r="V54"/>
  <c i="1" r="D53"/>
  <c i="1" r="H51"/>
  <c i="1" r="L49"/>
  <c i="1" r="P47"/>
  <c i="1" r="T45"/>
  <c i="1" r="F42"/>
  <c i="1" r="J40"/>
  <c i="1" r="N38"/>
  <c i="1" r="R36"/>
  <c i="1" r="E34"/>
  <c i="1" r="P53"/>
  <c i="1" r="BS28"/>
  <c i="1" r="AT55" s="1"/>
  <c i="1" r="CQ13" s="1"/>
  <c i="1" r="W28"/>
  <c i="1" r="CR7" s="1"/>
  <c i="8" r="Q24"/>
  <c i="8" r="R24"/>
  <c i="8" r="P24"/>
  <c i="8" r="L24"/>
  <c i="8" r="E24"/>
  <c i="8" r="E18"/>
  <c i="8" r="E19"/>
  <c i="8" r="E20"/>
  <c i="8" r="E21"/>
  <c i="8" r="E22"/>
  <c i="8" r="E23"/>
  <c i="8" r="P7"/>
  <c i="8" r="Q7"/>
  <c i="8" r="R7"/>
  <c i="8" r="E13"/>
  <c i="8" r="S13" s="1"/>
  <c i="8" r="H13"/>
  <c i="8" r="O13" s="1"/>
  <c i="18" l="1" r="CV15"/>
  <c i="8" r="E35"/>
  <c i="8" r="L35"/>
  <c i="18" r="E30"/>
  <c i="18" r="CX4" s="1"/>
  <c i="1" r="AB55"/>
  <c i="18" r="D30"/>
  <c i="1" r="AA55"/>
  <c i="18" r="F30"/>
  <c i="18" r="CX5" s="1"/>
  <c i="1" r="AC55"/>
  <c i="1" r="BZ13" s="1"/>
  <c i="1" r="CD25" s="1"/>
  <c i="18" r="S30"/>
  <c i="18" r="S51" s="1"/>
  <c i="1" r="AP55"/>
  <c i="1" r="CM13" s="1"/>
  <c i="1" r="CD38" s="1"/>
  <c i="18" r="N30"/>
  <c i="1" r="AK55"/>
  <c i="1" r="CH13" s="1"/>
  <c i="1" r="CD33" s="1"/>
  <c i="18" r="L30"/>
  <c i="1" r="AI55"/>
  <c i="1" r="CF13" s="1"/>
  <c i="1" r="CD31" s="1"/>
  <c i="18" r="T30"/>
  <c i="18" r="T51" s="1"/>
  <c i="1" r="AQ55"/>
  <c i="1" r="CN13" s="1"/>
  <c i="1" r="CD39" s="1"/>
  <c i="18" r="J30"/>
  <c i="1" r="AG55"/>
  <c i="1" r="CD13" s="1"/>
  <c i="1" r="CD29" s="1"/>
  <c i="18" r="R30"/>
  <c i="18" r="R51" s="1"/>
  <c i="1" r="AO55"/>
  <c i="1" r="CL13" s="1"/>
  <c i="1" r="CD37" s="1"/>
  <c i="18" r="Q30"/>
  <c i="18" r="Q51" s="1"/>
  <c i="1" r="AN55"/>
  <c i="1" r="CK13" s="1"/>
  <c i="1" r="CD36" s="1"/>
  <c i="18" r="C30"/>
  <c i="1" r="Z55"/>
  <c i="1" r="BW13" s="1"/>
  <c i="1" r="CD22" s="1"/>
  <c i="18" r="K30"/>
  <c i="1" r="AH55"/>
  <c i="1" r="CE13" s="1"/>
  <c i="1" r="CD30" s="1"/>
  <c i="18" r="O30"/>
  <c i="18" r="O51" s="1"/>
  <c i="1" r="AL55"/>
  <c i="1" r="CI13" s="1"/>
  <c i="1" r="CD34" s="1"/>
  <c i="18" r="V30"/>
  <c i="18" r="V51" s="1"/>
  <c i="1" r="AS55"/>
  <c i="1" r="CP13" s="1"/>
  <c i="1" r="CD41" s="1"/>
  <c i="18" r="U30"/>
  <c i="18" r="U51" s="1"/>
  <c i="1" r="AR55"/>
  <c i="1" r="CO13" s="1"/>
  <c i="1" r="CD40" s="1"/>
  <c i="18" r="G30"/>
  <c i="1" r="AD55"/>
  <c i="1" r="CA13" s="1"/>
  <c i="1" r="CD26" s="1"/>
  <c i="18" r="I30"/>
  <c i="1" r="AF55"/>
  <c i="1" r="CC13" s="1"/>
  <c i="1" r="CD28" s="1"/>
  <c i="18" r="H30"/>
  <c i="1" r="AE55"/>
  <c i="1" r="CB13" s="1"/>
  <c i="1" r="CD27" s="1"/>
  <c i="18" r="P30"/>
  <c i="18" r="P51" s="1"/>
  <c i="1" r="AM55"/>
  <c i="1" r="CJ13" s="1"/>
  <c i="1" r="CD35" s="1"/>
  <c i="18" r="M30"/>
  <c i="1" r="AJ55"/>
  <c i="1" r="CG13" s="1"/>
  <c i="1" r="CD32" s="1"/>
  <c i="18" r="BT47"/>
  <c i="18" r="CR47" s="1"/>
  <c i="18" r="BT46"/>
  <c i="18" r="CR46" s="1"/>
  <c i="18" r="X41"/>
  <c i="18" r="BU41" s="1"/>
  <c i="18" r="CS41" s="1"/>
  <c i="18" r="BT33"/>
  <c i="18" r="CR33" s="1"/>
  <c i="18" r="BT42"/>
  <c i="18" r="CR42" s="1"/>
  <c i="18" r="X32"/>
  <c i="18" r="AW32" s="1"/>
  <c i="18" r="BT44"/>
  <c i="18" r="CR44" s="1"/>
  <c i="18" r="BT45"/>
  <c i="18" r="CR45" s="1"/>
  <c i="18" r="BT36"/>
  <c i="18" r="CR36" s="1"/>
  <c i="18" r="X33"/>
  <c i="18" r="BT43"/>
  <c i="18" r="CR43" s="1"/>
  <c i="18" r="X31"/>
  <c i="18" r="BU31" s="1"/>
  <c i="18" r="CS31" s="1"/>
  <c i="18" r="X39"/>
  <c i="18" r="X36"/>
  <c i="18" r="AV130"/>
  <c i="18" r="AV156" s="1"/>
  <c i="18" r="CS50"/>
  <c i="18" r="X48"/>
  <c i="18" r="BT37"/>
  <c i="18" r="CR37" s="1"/>
  <c i="18" r="X35"/>
  <c i="18" r="AW35" s="1"/>
  <c i="18" r="BT34"/>
  <c i="18" r="CR34" s="1"/>
  <c i="18" r="BT31"/>
  <c i="18" r="CR31" s="1"/>
  <c i="18" r="X47"/>
  <c i="18" r="BU47" s="1"/>
  <c i="18" r="CS47" s="1"/>
  <c i="18" r="X45"/>
  <c i="18" r="BU45" s="1"/>
  <c i="18" r="CS45" s="1"/>
  <c i="18" r="BT41"/>
  <c i="18" r="CR41" s="1"/>
  <c i="18" r="X46"/>
  <c i="18" r="AV51"/>
  <c i="18" r="X43"/>
  <c i="18" r="X42"/>
  <c i="18" r="BU42" s="1"/>
  <c i="18" r="CS42" s="1"/>
  <c i="18" r="X40"/>
  <c i="18" r="BU40" s="1"/>
  <c i="18" r="CS40" s="1"/>
  <c i="18" r="BU46"/>
  <c i="18" r="CS46" s="1"/>
  <c i="18" r="AW46"/>
  <c i="18" r="E51"/>
  <c i="18" r="X38"/>
  <c i="18" r="BT35"/>
  <c i="18" r="CR35" s="1"/>
  <c i="18" r="X44"/>
  <c i="18" r="BT32"/>
  <c i="18" r="CR32" s="1"/>
  <c i="18" r="X37"/>
  <c i="18" r="AW37" s="1"/>
  <c i="18" r="X49"/>
  <c i="18" r="BU49" s="1"/>
  <c i="18" r="CS49" s="1"/>
  <c i="18" r="BT49"/>
  <c i="18" r="CR49" s="1"/>
  <c i="18" r="X34"/>
  <c i="18" r="AU110"/>
  <c i="18" r="AU136" s="1"/>
  <c i="18" r="W51"/>
  <c i="18" r="BT39"/>
  <c i="18" r="CR39" s="1"/>
  <c i="18" r="BT40"/>
  <c i="18" r="CR40" s="1"/>
  <c i="18" r="BT38"/>
  <c i="18" r="CR38" s="1"/>
  <c i="18" r="BT48"/>
  <c i="18" r="CR48" s="1"/>
  <c i="1" r="CR10"/>
  <c i="17" r="Q52"/>
  <c i="1" r="CK12" s="1"/>
  <c i="1" r="CC36" s="1"/>
  <c i="18" r="I18" s="1"/>
  <c i="17" r="H52"/>
  <c i="1" r="CB12" s="1"/>
  <c i="1" r="CC27" s="1"/>
  <c i="18" r="I9" s="1"/>
  <c i="17" r="V52"/>
  <c i="1" r="CP12" s="1"/>
  <c i="1" r="CC41" s="1"/>
  <c i="18" r="I23" s="1"/>
  <c i="17" r="S52"/>
  <c i="1" r="CM12" s="1"/>
  <c i="1" r="CC38" s="1"/>
  <c i="18" r="I20" s="1"/>
  <c i="17" r="T52"/>
  <c i="1" r="CN12" s="1"/>
  <c i="1" r="CC39" s="1"/>
  <c i="18" r="I21" s="1"/>
  <c i="17" r="U52"/>
  <c i="1" r="CO12" s="1"/>
  <c i="1" r="CC40" s="1"/>
  <c i="18" r="I22" s="1"/>
  <c i="17" r="E52"/>
  <c i="1" r="BY12" s="1"/>
  <c i="1" r="CC24" s="1"/>
  <c i="18" r="I6" s="1"/>
  <c i="17" r="M52"/>
  <c i="1" r="CG12" s="1"/>
  <c i="1" r="CC32" s="1"/>
  <c i="18" r="I14" s="1"/>
  <c i="17" r="N52"/>
  <c i="1" r="CH12" s="1"/>
  <c i="1" r="CC33" s="1"/>
  <c i="18" r="I15" s="1"/>
  <c i="17" r="R52"/>
  <c i="1" r="CL12" s="1"/>
  <c i="1" r="CC37" s="1"/>
  <c i="18" r="I19" s="1"/>
  <c i="17" r="G52"/>
  <c i="1" r="CA12" s="1"/>
  <c i="1" r="CC26" s="1"/>
  <c i="18" r="I8" s="1"/>
  <c i="17" r="C52"/>
  <c i="1" r="BW12" s="1"/>
  <c i="1" r="CC22" s="1"/>
  <c i="18" r="I4" s="1"/>
  <c i="17" r="J52"/>
  <c i="1" r="CD12" s="1"/>
  <c i="1" r="CC29" s="1"/>
  <c i="18" r="I11" s="1"/>
  <c i="17" r="P52"/>
  <c i="1" r="CJ12" s="1"/>
  <c i="1" r="CC35" s="1"/>
  <c i="18" r="I17" s="1"/>
  <c i="17" r="D52"/>
  <c i="1" r="BX12" s="1"/>
  <c i="1" r="CC23" s="1"/>
  <c i="18" r="I5" s="1"/>
  <c i="17" r="W52"/>
  <c i="1" r="CQ12" s="1"/>
  <c i="17" r="L52"/>
  <c i="1" r="CF12" s="1"/>
  <c i="1" r="CC31" s="1"/>
  <c i="18" r="I13" s="1"/>
  <c i="17" r="I52"/>
  <c i="1" r="CC12" s="1"/>
  <c i="1" r="CC28" s="1"/>
  <c i="18" r="I10" s="1"/>
  <c i="17" r="F52"/>
  <c i="1" r="BZ12" s="1"/>
  <c i="1" r="CC25" s="1"/>
  <c i="18" r="I7" s="1"/>
  <c i="17" r="K52"/>
  <c i="1" r="CE12" s="1"/>
  <c i="1" r="CC30" s="1"/>
  <c i="18" r="I12" s="1"/>
  <c i="17" r="O52"/>
  <c i="1" r="CI12" s="1"/>
  <c i="1" r="CC34" s="1"/>
  <c i="18" r="I16" s="1"/>
  <c i="17" r="X52"/>
  <c i="17" r="G71" s="1"/>
  <c i="1" r="AU39"/>
  <c i="1" r="AU42"/>
  <c i="1" r="AU34"/>
  <c i="1" r="AU41"/>
  <c i="1" r="BY13"/>
  <c i="1" r="CD24" s="1"/>
  <c i="1" r="AU37"/>
  <c i="1" r="AU51"/>
  <c i="1" r="AU40"/>
  <c i="1" r="CE42"/>
  <c i="1" r="CI30" s="1"/>
  <c i="18" r="O12" s="1"/>
  <c i="1" r="AU47"/>
  <c i="1" r="AU46"/>
  <c i="1" r="AU50"/>
  <c i="1" r="AU48"/>
  <c i="1" r="AU35"/>
  <c i="1" r="AU53"/>
  <c i="1" r="AU49"/>
  <c i="1" r="AU44"/>
  <c i="1" r="AU45"/>
  <c i="1" r="AU52"/>
  <c i="1" r="AU36"/>
  <c i="1" r="AU38"/>
  <c i="1" r="AU43"/>
  <c i="1" r="BS55"/>
  <c i="1" r="CR14" s="1"/>
  <c i="1" r="BX13"/>
  <c i="1" r="CD23" s="1"/>
  <c i="1" r="I55"/>
  <c i="1" r="CD11" s="1"/>
  <c i="1" r="CB29" s="1"/>
  <c i="18" r="H11" s="1"/>
  <c i="1" r="N55"/>
  <c i="1" r="CI11" s="1"/>
  <c i="1" r="CB34" s="1"/>
  <c i="18" r="H16" s="1"/>
  <c i="1" r="Q55"/>
  <c i="1" r="CL11" s="1"/>
  <c i="1" r="CB37" s="1"/>
  <c i="18" r="H19" s="1"/>
  <c i="1" r="U55"/>
  <c i="1" r="CP11" s="1"/>
  <c i="1" r="CB41" s="1"/>
  <c i="18" r="H23" s="1"/>
  <c i="1" r="B55"/>
  <c i="1" r="BW11" s="1"/>
  <c i="1" r="CB22" s="1"/>
  <c i="18" r="H4" s="1"/>
  <c i="1" r="C55"/>
  <c i="1" r="BX11" s="1"/>
  <c i="1" r="CB23" s="1"/>
  <c i="18" r="H5" s="1"/>
  <c i="1" r="M55"/>
  <c i="1" r="CH11" s="1"/>
  <c i="1" r="CB33" s="1"/>
  <c i="18" r="H15" s="1"/>
  <c i="1" r="D55"/>
  <c i="1" r="BY11" s="1"/>
  <c i="1" r="CB24" s="1"/>
  <c i="18" r="H6" s="1"/>
  <c i="1" r="V55"/>
  <c i="1" r="CQ11" s="1"/>
  <c i="1" r="E55"/>
  <c i="1" r="BZ11" s="1"/>
  <c i="1" r="CB25" s="1"/>
  <c i="18" r="H7" s="1"/>
  <c i="1" r="J55"/>
  <c i="1" r="CE11" s="1"/>
  <c i="1" r="CB30" s="1"/>
  <c i="18" r="H12" s="1"/>
  <c i="1" r="K55"/>
  <c i="1" r="CF11" s="1"/>
  <c i="1" r="CB31" s="1"/>
  <c i="18" r="H13" s="1"/>
  <c i="1" r="P55"/>
  <c i="1" r="CK11" s="1"/>
  <c i="1" r="CB36" s="1"/>
  <c i="18" r="H18" s="1"/>
  <c i="1" r="T55"/>
  <c i="1" r="CO11" s="1"/>
  <c i="1" r="CB40" s="1"/>
  <c i="18" r="H22" s="1"/>
  <c i="1" r="F55"/>
  <c i="1" r="CA11" s="1"/>
  <c i="1" r="CB26" s="1"/>
  <c i="18" r="H8" s="1"/>
  <c i="1" r="H55"/>
  <c i="1" r="CC11" s="1"/>
  <c i="1" r="CB28" s="1"/>
  <c i="18" r="H10" s="1"/>
  <c i="1" r="G55"/>
  <c i="1" r="CB11" s="1"/>
  <c i="1" r="CB27" s="1"/>
  <c i="18" r="H9" s="1"/>
  <c i="1" r="R55"/>
  <c i="1" r="CM11" s="1"/>
  <c i="1" r="CB38" s="1"/>
  <c i="18" r="H20" s="1"/>
  <c i="1" r="L55"/>
  <c i="1" r="CG11" s="1"/>
  <c i="1" r="CB32" s="1"/>
  <c i="18" r="H14" s="1"/>
  <c i="1" r="S55"/>
  <c i="1" r="CN11" s="1"/>
  <c i="1" r="CB39" s="1"/>
  <c i="18" r="H21" s="1"/>
  <c i="1" r="W55"/>
  <c i="1" r="CR11" s="1"/>
  <c i="1" r="O55"/>
  <c i="1" r="CJ11" s="1"/>
  <c i="1" r="CB35" s="1"/>
  <c i="18" r="H17" s="1"/>
  <c i="8" r="S24"/>
  <c i="8" r="P35"/>
  <c i="8" r="R35"/>
  <c i="8" r="Q35"/>
  <c i="8" r="E7"/>
  <c i="10" r="H11"/>
  <c i="1" l="1" r="BH80"/>
  <c i="18" r="H51"/>
  <c i="18" r="CX7"/>
  <c i="18" r="K51"/>
  <c i="18" r="BH57" s="1"/>
  <c i="18" r="CX10"/>
  <c i="18" r="L51"/>
  <c i="18" r="CX11"/>
  <c i="18" r="G51"/>
  <c i="18" r="CX6"/>
  <c i="18" r="N51"/>
  <c i="18" r="CX13"/>
  <c i="18" r="D51"/>
  <c i="18" r="BA57" s="1"/>
  <c i="18" r="CX3"/>
  <c i="18" r="I51"/>
  <c i="18" r="BF57" s="1"/>
  <c i="18" r="CX8"/>
  <c i="18" r="M51"/>
  <c i="18" r="BJ57" s="1"/>
  <c i="18" r="CX12"/>
  <c i="18" r="CX14"/>
  <c i="18" r="C51"/>
  <c i="18" r="AZ57" s="1"/>
  <c i="18" r="CX2"/>
  <c i="18" r="F51"/>
  <c i="18" r="J51"/>
  <c i="18" r="BG57" s="1"/>
  <c i="18" r="CX9"/>
  <c i="18" r="CV16"/>
  <c i="18" r="CX15"/>
  <c i="1" r="BL78"/>
  <c i="1" r="BC82"/>
  <c i="18" r="AW41"/>
  <c i="18" r="BU32"/>
  <c i="18" r="CS32" s="1"/>
  <c i="8" r="E29"/>
  <c i="18" r="AW40"/>
  <c i="18" r="AW42"/>
  <c i="18" r="X30"/>
  <c i="18" r="BU30" s="1"/>
  <c i="18" r="CS30" s="1"/>
  <c i="1" r="CI40"/>
  <c i="18" r="O22" s="1"/>
  <c i="18" r="AW47"/>
  <c i="1" r="CI27"/>
  <c i="18" r="O9" s="1"/>
  <c i="1" r="CI24"/>
  <c i="18" r="O6" s="1"/>
  <c i="1" r="CI26"/>
  <c i="18" r="O8" s="1"/>
  <c i="1" r="CI25"/>
  <c i="18" r="O7" s="1"/>
  <c i="1" r="BC76"/>
  <c i="18" r="AW31"/>
  <c i="1" r="AX69"/>
  <c i="1" r="BR62"/>
  <c i="18" r="AW49"/>
  <c i="1" r="BI79"/>
  <c i="1" r="BC74"/>
  <c i="1" r="BF72"/>
  <c i="1" r="BH70"/>
  <c i="1" r="AY78"/>
  <c i="1" r="BO62"/>
  <c i="1" r="BN82"/>
  <c i="1" r="BP66"/>
  <c i="1" r="AY63"/>
  <c i="1" r="AZ79"/>
  <c i="18" r="BU35"/>
  <c i="18" r="CS35" s="1"/>
  <c i="1" r="BD72"/>
  <c i="1" r="AY61"/>
  <c i="1" r="AZ65"/>
  <c i="1" r="BH75"/>
  <c i="1" r="BQ82"/>
  <c i="1" r="BK82"/>
  <c i="1" r="BF79"/>
  <c i="1" r="BO80"/>
  <c i="1" r="BM70"/>
  <c i="1" r="BL68"/>
  <c i="1" r="BB63"/>
  <c i="1" r="BS78"/>
  <c i="1" r="BE74"/>
  <c i="1" r="BN64"/>
  <c i="1" r="BC79"/>
  <c i="1" r="BA77"/>
  <c i="1" r="BO79"/>
  <c i="1" r="BI73"/>
  <c i="1" r="BD82"/>
  <c i="1" r="CK41"/>
  <c i="18" r="Q23" s="1"/>
  <c i="18" r="J23"/>
  <c i="1" r="CK37"/>
  <c i="18" r="Q19" s="1"/>
  <c i="18" r="J19"/>
  <c i="1" r="CK39"/>
  <c i="18" r="Q21" s="1"/>
  <c i="18" r="J21"/>
  <c i="18" r="BR32"/>
  <c i="18" r="BG32"/>
  <c i="18" r="BJ32"/>
  <c i="18" r="BO32"/>
  <c i="18" r="AZ32"/>
  <c i="18" r="BC32"/>
  <c i="18" r="BL32"/>
  <c i="18" r="BF32"/>
  <c i="18" r="BQ32"/>
  <c i="18" r="BN32"/>
  <c i="18" r="BI32"/>
  <c i="18" r="BB32"/>
  <c i="18" r="BE32"/>
  <c i="18" r="BH32"/>
  <c i="18" r="BS32"/>
  <c i="18" r="BP32"/>
  <c i="18" r="BK32"/>
  <c i="18" r="BA32"/>
  <c i="18" r="BD32"/>
  <c i="18" r="BM32"/>
  <c i="18" r="AV122"/>
  <c i="18" r="AV148" s="1"/>
  <c i="18" r="BM42"/>
  <c i="18" r="AZ42"/>
  <c i="18" r="BE42"/>
  <c i="18" r="BJ42"/>
  <c i="18" r="BB42"/>
  <c i="18" r="BG42"/>
  <c i="18" r="BO42"/>
  <c i="18" r="BQ42"/>
  <c i="18" r="BL42"/>
  <c i="18" r="W25" s="1"/>
  <c i="18" r="R25" s="1"/>
  <c i="18" r="BS42"/>
  <c i="18" r="BD42"/>
  <c i="18" r="BI42"/>
  <c i="18" r="BF42"/>
  <c i="18" r="BA42"/>
  <c i="18" r="BN42"/>
  <c i="18" r="BK42"/>
  <c i="18" r="BC42"/>
  <c i="18" r="BR42"/>
  <c i="18" r="BP42"/>
  <c i="18" r="BH42"/>
  <c i="18" r="AW45"/>
  <c i="18" r="BD48"/>
  <c i="18" r="BA48"/>
  <c i="18" r="BQ48"/>
  <c i="18" r="BI48"/>
  <c i="18" r="BS48"/>
  <c i="18" r="BP48"/>
  <c i="18" r="BM48"/>
  <c i="18" r="BF48"/>
  <c i="18" r="BO48"/>
  <c i="18" r="BC48"/>
  <c i="18" r="BR48"/>
  <c i="18" r="AZ48"/>
  <c i="18" r="BH48"/>
  <c i="18" r="BL48"/>
  <c i="18" r="BE48"/>
  <c i="18" r="BK48"/>
  <c i="18" r="BJ48"/>
  <c i="18" r="BN48"/>
  <c i="18" r="BB48"/>
  <c i="18" r="BG48"/>
  <c i="18" r="AV127"/>
  <c i="18" r="AV153" s="1"/>
  <c i="18" r="BH47"/>
  <c i="18" r="BE47"/>
  <c i="18" r="BQ47"/>
  <c i="18" r="BK47"/>
  <c i="18" r="BM47"/>
  <c i="18" r="BD47"/>
  <c i="18" r="AZ47"/>
  <c i="18" r="BS47"/>
  <c i="18" r="BN47"/>
  <c i="18" r="BG47"/>
  <c i="18" r="BJ47"/>
  <c i="18" r="BC47"/>
  <c i="18" r="BL47"/>
  <c i="18" r="BP47"/>
  <c i="18" r="BA47"/>
  <c i="18" r="BF47"/>
  <c i="18" r="BI47"/>
  <c i="18" r="BR47"/>
  <c i="18" r="BB47"/>
  <c i="18" r="BO47"/>
  <c i="17" r="O72"/>
  <c i="18" r="BU37"/>
  <c i="18" r="CS37" s="1"/>
  <c i="18" r="BQ57"/>
  <c i="18" r="BP33"/>
  <c i="18" r="BE33"/>
  <c i="18" r="BK33"/>
  <c i="18" r="BS33"/>
  <c i="18" r="BB33"/>
  <c i="18" r="BO33"/>
  <c i="18" r="BJ33"/>
  <c i="18" r="BR33"/>
  <c i="18" r="BI33"/>
  <c i="18" r="BD33"/>
  <c i="18" r="BN33"/>
  <c i="18" r="BH33"/>
  <c i="18" r="BA33"/>
  <c i="18" r="BG33"/>
  <c i="18" r="BQ33"/>
  <c i="18" r="BM33"/>
  <c i="18" r="BF33"/>
  <c i="18" r="BC33"/>
  <c i="18" r="AZ33"/>
  <c i="18" r="BL33"/>
  <c i="18" r="BI43"/>
  <c i="18" r="BL43"/>
  <c i="18" r="BE43"/>
  <c i="18" r="BO43"/>
  <c i="18" r="AZ43"/>
  <c i="18" r="BH43"/>
  <c i="18" r="BD43"/>
  <c i="18" r="BR43"/>
  <c i="18" r="BK43"/>
  <c i="18" r="BN43"/>
  <c i="18" r="BP43"/>
  <c i="18" r="BB43"/>
  <c i="18" r="BQ43"/>
  <c i="18" r="BG43"/>
  <c i="18" r="BC43"/>
  <c i="18" r="BJ43"/>
  <c i="18" r="BM43"/>
  <c i="18" r="BA43"/>
  <c i="18" r="BF43"/>
  <c i="18" r="BS43"/>
  <c i="18" r="BD57"/>
  <c i="18" r="BI57"/>
  <c i="18" r="BN57"/>
  <c i="1" r="CK28"/>
  <c i="18" r="Q10" s="1"/>
  <c i="18" r="J10"/>
  <c i="18" r="BP34"/>
  <c i="18" r="BE34"/>
  <c i="18" r="BH34"/>
  <c i="18" r="BM34"/>
  <c i="18" r="BR34"/>
  <c i="18" r="BF34"/>
  <c i="18" r="BA34"/>
  <c i="18" r="BJ34"/>
  <c i="18" r="BD34"/>
  <c i="18" r="BO34"/>
  <c i="18" r="BL34"/>
  <c i="18" r="BG34"/>
  <c i="18" r="AZ34"/>
  <c i="18" r="BC34"/>
  <c i="18" r="BQ34"/>
  <c i="18" r="BN34"/>
  <c i="18" r="BI34"/>
  <c i="18" r="BS34"/>
  <c i="18" r="BB34"/>
  <c i="18" r="BK34"/>
  <c i="18" r="BL38"/>
  <c i="18" r="BA38"/>
  <c i="18" r="BQ38"/>
  <c i="18" r="BD38"/>
  <c i="18" r="BI38"/>
  <c i="18" r="BN38"/>
  <c i="18" r="BF38"/>
  <c i="18" r="AZ38"/>
  <c i="18" r="BK38"/>
  <c i="18" r="BS38"/>
  <c i="18" r="BP38"/>
  <c i="18" r="BH38"/>
  <c i="18" r="BC38"/>
  <c i="18" r="BB38"/>
  <c i="18" r="BM38"/>
  <c i="18" r="BJ38"/>
  <c i="18" r="BE38"/>
  <c i="18" r="BR38"/>
  <c i="18" r="BO38"/>
  <c i="18" r="BG38"/>
  <c i="18" r="BU33"/>
  <c i="18" r="CS33" s="1"/>
  <c i="1" r="CK35"/>
  <c i="18" r="Q17" s="1"/>
  <c i="18" r="J17"/>
  <c i="18" r="AW33"/>
  <c i="18" r="AW43"/>
  <c i="1" r="CK34"/>
  <c i="18" r="Q16" s="1"/>
  <c i="18" r="J16"/>
  <c i="1" r="CK36"/>
  <c i="18" r="Q18" s="1"/>
  <c i="18" r="J18"/>
  <c i="18" r="BU43"/>
  <c i="18" r="CS43" s="1"/>
  <c i="18" r="BR57"/>
  <c i="18" r="BC44"/>
  <c i="18" r="BH44"/>
  <c i="18" r="AZ44"/>
  <c i="18" r="BS44"/>
  <c i="18" r="BE44"/>
  <c i="18" r="BQ44"/>
  <c i="18" r="BP44"/>
  <c i="18" r="BM44"/>
  <c i="18" r="BJ44"/>
  <c i="18" r="BB44"/>
  <c i="18" r="BO44"/>
  <c i="18" r="BG44"/>
  <c i="18" r="BR44"/>
  <c i="18" r="BD44"/>
  <c i="18" r="BL44"/>
  <c i="18" r="BI44"/>
  <c i="18" r="BA44"/>
  <c i="18" r="BK44"/>
  <c i="18" r="BN44"/>
  <c i="18" r="BF44"/>
  <c i="1" r="CK29"/>
  <c i="18" r="Q11" s="1"/>
  <c i="18" r="J11"/>
  <c i="18" r="BP57"/>
  <c i="18" r="BN36"/>
  <c i="18" r="BC36"/>
  <c i="18" r="BS36"/>
  <c i="18" r="BF36"/>
  <c i="18" r="BK36"/>
  <c i="18" r="BP36"/>
  <c i="18" r="BD36"/>
  <c i="18" r="BH36"/>
  <c i="18" r="BB36"/>
  <c i="18" r="BM36"/>
  <c i="18" r="BR36"/>
  <c i="18" r="BJ36"/>
  <c i="18" r="BE36"/>
  <c i="18" r="BA36"/>
  <c i="18" r="BO36"/>
  <c i="18" r="BL36"/>
  <c i="18" r="BG36"/>
  <c i="18" r="BQ36"/>
  <c i="18" r="AZ36"/>
  <c i="18" r="BI36"/>
  <c i="18" r="BM57"/>
  <c i="1" r="CK30"/>
  <c i="18" r="Q12" s="1"/>
  <c i="18" r="J12"/>
  <c i="18" r="BS57"/>
  <c i="18" r="BN35"/>
  <c i="18" r="BC35"/>
  <c i="18" r="BI35"/>
  <c i="18" r="BQ35"/>
  <c i="18" r="AZ35"/>
  <c i="18" r="BM35"/>
  <c i="18" r="BH35"/>
  <c i="18" r="BF35"/>
  <c i="18" r="BP35"/>
  <c i="18" r="BG35"/>
  <c i="18" r="BB35"/>
  <c i="18" r="BL35"/>
  <c i="18" r="BS35"/>
  <c i="18" r="BE35"/>
  <c i="18" r="BO35"/>
  <c i="18" r="BK35"/>
  <c i="18" r="BD35"/>
  <c i="18" r="BA35"/>
  <c i="18" r="BR35"/>
  <c i="18" r="BJ35"/>
  <c i="18" r="AW38"/>
  <c i="18" r="BB57"/>
  <c i="18" r="BE39"/>
  <c i="18" r="BM39"/>
  <c i="18" r="BB39"/>
  <c i="18" r="BP39"/>
  <c i="18" r="BI39"/>
  <c i="18" r="BS39"/>
  <c i="18" r="BD39"/>
  <c i="18" r="BL39"/>
  <c i="18" r="AZ39"/>
  <c i="18" r="BH39"/>
  <c i="18" r="BO39"/>
  <c i="18" r="BR39"/>
  <c i="18" r="BA39"/>
  <c i="18" r="BK39"/>
  <c i="18" r="BG39"/>
  <c i="18" r="BJ39"/>
  <c i="18" r="BN39"/>
  <c i="18" r="BQ39"/>
  <c i="18" r="BF39"/>
  <c i="18" r="BC39"/>
  <c i="1" r="CK22"/>
  <c i="18" r="Q4" s="1"/>
  <c i="18" r="J4"/>
  <c i="1" r="CK25"/>
  <c i="18" r="Q7" s="1"/>
  <c i="18" r="J7"/>
  <c i="1" r="BP76"/>
  <c i="1" r="CI42"/>
  <c i="18" r="O24" s="1"/>
  <c i="18" r="K24"/>
  <c i="18" r="BU38"/>
  <c i="18" r="CS38" s="1"/>
  <c i="1" r="CK40"/>
  <c i="18" r="Q22" s="1"/>
  <c i="18" r="J22"/>
  <c i="18" r="BK57"/>
  <c i="18" r="AU131"/>
  <c i="18" r="AU157" s="1"/>
  <c i="18" r="BT57"/>
  <c i="1" r="CK23"/>
  <c i="18" r="Q5" s="1"/>
  <c i="18" r="J5"/>
  <c i="18" r="AW44"/>
  <c i="18" r="AW34"/>
  <c i="18" r="AV121"/>
  <c i="18" r="AV147" s="1"/>
  <c i="18" r="BR41"/>
  <c i="18" r="BC41"/>
  <c i="18" r="BK41"/>
  <c i="18" r="W24" s="1"/>
  <c i="18" r="R24" s="1"/>
  <c i="18" r="BN41"/>
  <c i="18" r="BG41"/>
  <c i="18" r="AZ41"/>
  <c i="18" r="BQ41"/>
  <c i="18" r="BJ41"/>
  <c i="18" r="BF41"/>
  <c i="18" r="BB41"/>
  <c i="18" r="BM41"/>
  <c i="18" r="BP41"/>
  <c i="18" r="BA41"/>
  <c i="18" r="BI41"/>
  <c i="18" r="BE41"/>
  <c i="18" r="BL41"/>
  <c i="18" r="BS41"/>
  <c i="18" r="BO41"/>
  <c i="18" r="BD41"/>
  <c i="18" r="BH41"/>
  <c i="18" r="AW39"/>
  <c i="1" r="CK31"/>
  <c i="18" r="Q13" s="1"/>
  <c i="18" r="J13"/>
  <c i="18" r="BU44"/>
  <c i="18" r="CS44" s="1"/>
  <c i="18" r="AV126"/>
  <c i="18" r="AV152" s="1"/>
  <c i="18" r="BA46"/>
  <c i="18" r="BF46"/>
  <c i="18" r="BQ46"/>
  <c i="18" r="BC46"/>
  <c i="18" r="BK46"/>
  <c i="18" r="BH46"/>
  <c i="18" r="BP46"/>
  <c i="18" r="AZ46"/>
  <c i="18" r="BM46"/>
  <c i="18" r="BE46"/>
  <c i="18" r="BB46"/>
  <c i="18" r="BJ46"/>
  <c i="18" r="BR46"/>
  <c i="18" r="BO46"/>
  <c i="18" r="BG46"/>
  <c i="18" r="BS46"/>
  <c i="18" r="BN46"/>
  <c i="18" r="BL46"/>
  <c i="18" r="BD46"/>
  <c i="18" r="BI46"/>
  <c i="18" r="BU34"/>
  <c i="18" r="CS34" s="1"/>
  <c i="18" r="AV111"/>
  <c i="18" r="AV137" s="1"/>
  <c i="18" r="BR31"/>
  <c i="18" r="BG31"/>
  <c i="18" r="BM31"/>
  <c i="18" r="BD31"/>
  <c i="18" r="BA31"/>
  <c i="18" r="BQ31"/>
  <c i="18" r="BL31"/>
  <c i="18" r="BK31"/>
  <c i="18" r="BF31"/>
  <c i="18" r="BP31"/>
  <c i="18" r="BJ31"/>
  <c i="18" r="BC31"/>
  <c i="18" r="BI31"/>
  <c i="18" r="AZ31"/>
  <c i="18" r="BS31"/>
  <c i="18" r="BO31"/>
  <c i="18" r="BH31"/>
  <c i="18" r="BE31"/>
  <c i="18" r="BB31"/>
  <c i="18" r="BN31"/>
  <c i="18" r="BL57"/>
  <c i="18" r="BU39"/>
  <c i="18" r="CS39" s="1"/>
  <c i="1" r="CK32"/>
  <c i="18" r="Q14" s="1"/>
  <c i="18" r="J14"/>
  <c i="18" r="AW48"/>
  <c i="1" r="CK38"/>
  <c i="18" r="Q20" s="1"/>
  <c i="18" r="J20"/>
  <c i="1" r="BS68"/>
  <c i="1" r="CK24"/>
  <c i="18" r="Q6" s="1"/>
  <c i="18" r="J6"/>
  <c i="18" r="BU48"/>
  <c i="18" r="CS48" s="1"/>
  <c i="18" r="BO57"/>
  <c i="1" r="CK33"/>
  <c i="18" r="Q15" s="1"/>
  <c i="18" r="J15"/>
  <c i="1" r="BB67"/>
  <c i="1" r="CK26"/>
  <c i="18" r="Q8" s="1"/>
  <c i="18" r="J8"/>
  <c i="18" r="AW36"/>
  <c i="1" r="CK27"/>
  <c i="18" r="Q9" s="1"/>
  <c i="18" r="J9"/>
  <c i="18" r="AV120"/>
  <c i="18" r="AV146" s="1"/>
  <c i="18" r="BO40"/>
  <c i="18" r="BB40"/>
  <c i="18" r="BG40"/>
  <c i="18" r="BL40"/>
  <c i="18" r="AZ40"/>
  <c i="18" r="BD40"/>
  <c i="18" r="BJ40"/>
  <c i="18" r="BI40"/>
  <c i="18" r="BQ40"/>
  <c i="18" r="BS40"/>
  <c i="18" r="BN40"/>
  <c i="18" r="BR40"/>
  <c i="18" r="BF40"/>
  <c i="18" r="BA40"/>
  <c i="18" r="BK40"/>
  <c i="18" r="BH40"/>
  <c i="18" r="BC40"/>
  <c i="18" r="BP40"/>
  <c i="18" r="BM40"/>
  <c i="18" r="BE40"/>
  <c i="18" r="BU36"/>
  <c i="18" r="CS36" s="1"/>
  <c i="18" r="AV125"/>
  <c i="18" r="AV151" s="1"/>
  <c i="18" r="BG45"/>
  <c i="18" r="BJ45"/>
  <c i="18" r="BC45"/>
  <c i="18" r="BS45"/>
  <c i="18" r="BM45"/>
  <c i="18" r="BF45"/>
  <c i="18" r="AZ45"/>
  <c i="18" r="BB45"/>
  <c i="18" r="BP45"/>
  <c i="18" r="BI45"/>
  <c i="18" r="BL45"/>
  <c i="18" r="BN45"/>
  <c i="18" r="BE45"/>
  <c i="18" r="BA45"/>
  <c i="18" r="BR45"/>
  <c i="18" r="BH45"/>
  <c i="18" r="BK45"/>
  <c i="18" r="BO45"/>
  <c i="18" r="BD45"/>
  <c i="18" r="BQ45"/>
  <c i="18" r="AV117"/>
  <c i="18" r="AV143" s="1"/>
  <c i="18" r="BL37"/>
  <c i="18" r="BA37"/>
  <c i="18" r="BG37"/>
  <c i="18" r="BO37"/>
  <c i="18" r="BR37"/>
  <c i="18" r="BK37"/>
  <c i="18" r="BF37"/>
  <c i="18" r="BN37"/>
  <c i="18" r="BE37"/>
  <c i="18" r="AZ37"/>
  <c i="18" r="BJ37"/>
  <c i="18" r="BQ37"/>
  <c i="18" r="BC37"/>
  <c i="18" r="BM37"/>
  <c i="18" r="BI37"/>
  <c i="18" r="BD37"/>
  <c i="18" r="BP37"/>
  <c i="18" r="BB37"/>
  <c i="18" r="BS37"/>
  <c i="18" r="BH37"/>
  <c i="1" r="BS77"/>
  <c i="18" r="BE57"/>
  <c i="1" r="BA76"/>
  <c i="18" r="AV129"/>
  <c i="18" r="AV155" s="1"/>
  <c i="18" r="BF49"/>
  <c i="18" r="BO49"/>
  <c i="18" r="BI49"/>
  <c i="18" r="BK49"/>
  <c i="18" r="BB49"/>
  <c i="18" r="BQ49"/>
  <c i="18" r="BL49"/>
  <c i="18" r="BE49"/>
  <c i="18" r="BH49"/>
  <c i="18" r="BA49"/>
  <c i="18" r="BS49"/>
  <c i="18" r="BN49"/>
  <c i="18" r="BD49"/>
  <c i="18" r="BG49"/>
  <c i="18" r="BP49"/>
  <c i="18" r="BJ49"/>
  <c i="18" r="AZ49"/>
  <c i="18" r="BM49"/>
  <c i="18" r="BC49"/>
  <c i="18" r="BR49"/>
  <c i="1" r="BC67"/>
  <c i="1" r="BI72"/>
  <c i="1" r="AX65"/>
  <c i="1" r="BB81"/>
  <c i="1" r="AY81"/>
  <c i="1" r="BD77"/>
  <c i="1" r="BE75"/>
  <c i="1" r="AX75"/>
  <c i="1" r="BJ61"/>
  <c i="1" r="BQ80"/>
  <c i="1" r="BQ68"/>
  <c i="1" r="BE76"/>
  <c i="1" r="AX76"/>
  <c i="1" r="BL71"/>
  <c i="1" r="BS61"/>
  <c i="1" r="BR73"/>
  <c i="1" r="BA61"/>
  <c i="1" r="BS82"/>
  <c i="1" r="BP82"/>
  <c i="1" r="BC77"/>
  <c i="1" r="BP69"/>
  <c i="1" r="AZ82"/>
  <c i="1" r="BC72"/>
  <c i="1" r="BD80"/>
  <c i="1" r="BE81"/>
  <c i="1" r="BA67"/>
  <c i="1" r="AY74"/>
  <c i="1" r="BE79"/>
  <c i="1" r="BB79"/>
  <c i="1" r="BK73"/>
  <c i="1" r="BB66"/>
  <c i="1" r="BH78"/>
  <c i="1" r="BB61"/>
  <c i="1" r="BO68"/>
  <c i="1" r="BJ81"/>
  <c i="1" r="BL66"/>
  <c i="1" r="BL77"/>
  <c i="1" r="BF77"/>
  <c i="1" r="BO71"/>
  <c i="1" r="BF64"/>
  <c i="1" r="BL76"/>
  <c i="1" r="BP71"/>
  <c i="1" r="AZ72"/>
  <c i="1" r="BN81"/>
  <c i="1" r="BR70"/>
  <c i="1" r="BS69"/>
  <c i="1" r="BJ62"/>
  <c i="1" r="AX82"/>
  <c i="1" r="BG63"/>
  <c i="1" r="BH68"/>
  <c i="1" r="AX74"/>
  <c i="1" r="BB80"/>
  <c i="1" r="BK75"/>
  <c i="1" r="BM77"/>
  <c i="1" r="BE66"/>
  <c i="1" r="BM80"/>
  <c i="1" r="BP63"/>
  <c i="1" r="BG64"/>
  <c i="1" r="BD70"/>
  <c i="1" r="BI64"/>
  <c i="1" r="BQ78"/>
  <c i="1" r="AX62"/>
  <c i="1" r="BC65"/>
  <c i="1" r="BL63"/>
  <c i="1" r="AY77"/>
  <c i="1" r="BB74"/>
  <c i="1" r="BR66"/>
  <c i="1" r="AY67"/>
  <c i="1" r="BN66"/>
  <c i="1" r="BC75"/>
  <c i="1" r="BQ72"/>
  <c i="1" r="BB68"/>
  <c i="1" r="BQ75"/>
  <c i="1" r="BG73"/>
  <c i="1" r="AY71"/>
  <c i="1" r="BE80"/>
  <c i="1" r="AZ77"/>
  <c i="1" r="BM61"/>
  <c i="1" r="BA63"/>
  <c i="1" r="BB65"/>
  <c i="1" r="BN73"/>
  <c i="1" r="BS79"/>
  <c i="1" r="BG68"/>
  <c i="1" r="BO81"/>
  <c i="1" r="BE72"/>
  <c i="1" r="AZ63"/>
  <c i="1" r="BS62"/>
  <c i="1" r="BP62"/>
  <c i="1" r="BL82"/>
  <c i="1" r="AX66"/>
  <c i="1" r="BG67"/>
  <c i="1" r="BB82"/>
  <c i="1" r="BM76"/>
  <c i="1" r="BQ62"/>
  <c i="1" r="BD74"/>
  <c i="1" r="BF76"/>
  <c i="1" r="AX67"/>
  <c i="1" r="BD61"/>
  <c i="1" r="AZ70"/>
  <c i="1" r="BS75"/>
  <c i="1" r="BD63"/>
  <c i="1" r="BH74"/>
  <c i="1" r="AX78"/>
  <c i="1" r="BI70"/>
  <c i="1" r="AZ61"/>
  <c i="1" r="BP77"/>
  <c i="1" r="BO82"/>
  <c i="1" r="BP80"/>
  <c i="1" r="BB64"/>
  <c i="1" r="BC78"/>
  <c i="1" r="BF80"/>
  <c i="1" r="BJ82"/>
  <c i="1" r="BH72"/>
  <c i="1" r="BA81"/>
  <c i="1" r="BH79"/>
  <c i="1" r="BM75"/>
  <c i="1" r="BD67"/>
  <c i="1" r="BR71"/>
  <c i="1" r="BM62"/>
  <c i="1" r="BA74"/>
  <c i="1" r="BG74"/>
  <c i="1" r="BB76"/>
  <c i="1" r="BM68"/>
  <c i="1" r="BC81"/>
  <c i="1" r="BR82"/>
  <c i="1" r="BS80"/>
  <c i="1" r="AX79"/>
  <c i="1" r="BF62"/>
  <c i="1" r="BG76"/>
  <c i="1" r="AZ78"/>
  <c i="1" r="BE68"/>
  <c i="1" r="BH73"/>
  <c i="1" r="BK63"/>
  <c i="1" r="BN72"/>
  <c i="1" r="AZ69"/>
  <c i="1" r="BC70"/>
  <c i="1" r="BI61"/>
  <c i="1" r="BH66"/>
  <c i="1" r="BP79"/>
  <c i="1" r="BD76"/>
  <c i="1" r="BF74"/>
  <c i="1" r="BQ66"/>
  <c i="1" r="BG79"/>
  <c i="1" r="AZ81"/>
  <c i="1" r="BA79"/>
  <c i="1" r="BB77"/>
  <c i="1" r="BH81"/>
  <c i="1" r="BK74"/>
  <c i="1" r="BF66"/>
  <c i="1" r="BN62"/>
  <c i="1" r="BN79"/>
  <c i="1" r="BP64"/>
  <c i="1" r="AZ76"/>
  <c i="1" r="BA65"/>
  <c i="1" r="AX68"/>
  <c i="1" r="BF63"/>
  <c i="1" r="AY72"/>
  <c i="1" r="BO77"/>
  <c i="1" r="BA78"/>
  <c i="1" r="BM72"/>
  <c i="1" r="BJ72"/>
  <c i="1" r="AY65"/>
  <c i="1" r="BK77"/>
  <c i="1" r="BD79"/>
  <c i="1" r="BE77"/>
  <c i="1" r="BF75"/>
  <c i="1" r="AY75"/>
  <c i="1" r="BO72"/>
  <c i="1" r="BJ77"/>
  <c i="1" r="BL73"/>
  <c i="1" r="BK62"/>
  <c i="1" r="BA82"/>
  <c i="1" r="BG65"/>
  <c i="1" r="BR80"/>
  <c i="1" r="AX63"/>
  <c i="1" r="BS64"/>
  <c i="1" r="BD81"/>
  <c i="1" r="BI77"/>
  <c i="1" r="BQ73"/>
  <c i="1" r="BK79"/>
  <c i="1" r="BR64"/>
  <c i="8" r="S35"/>
  <c i="1" r="BL72"/>
  <c i="1" r="BN70"/>
  <c i="1" r="BC63"/>
  <c i="1" r="BO75"/>
  <c i="1" r="BH77"/>
  <c i="1" r="BI75"/>
  <c i="1" r="BJ73"/>
  <c i="1" r="BC73"/>
  <c i="1" r="BS70"/>
  <c i="1" r="BG80"/>
  <c i="1" r="BI74"/>
  <c i="1" r="AX61"/>
  <c i="1" r="BN80"/>
  <c i="1" r="BI66"/>
  <c i="1" r="BG70"/>
  <c i="1" r="BK68"/>
  <c i="1" r="BE61"/>
  <c i="1" r="BB78"/>
  <c i="1" r="BJ74"/>
  <c i="1" r="BA68"/>
  <c i="1" r="BK66"/>
  <c i="1" r="BJ63"/>
  <c i="1" r="BR68"/>
  <c i="1" r="BC61"/>
  <c i="1" r="BS73"/>
  <c i="1" r="BL75"/>
  <c i="1" r="BM73"/>
  <c i="1" r="BN71"/>
  <c i="1" r="BG71"/>
  <c i="1" r="BA69"/>
  <c i="1" r="BG77"/>
  <c i="1" r="BI78"/>
  <c i="1" r="BF65"/>
  <c i="1" r="BM82"/>
  <c i="1" r="AY79"/>
  <c i="1" r="AX81"/>
  <c i="1" r="BL61"/>
  <c i="1" r="BI82"/>
  <c i="1" r="BH65"/>
  <c i="1" r="AX70"/>
  <c i="1" r="BK72"/>
  <c i="1" r="AZ67"/>
  <c i="1" r="BF81"/>
  <c i="1" r="BA72"/>
  <c i="1" r="BP73"/>
  <c i="1" r="BQ71"/>
  <c i="1" r="BR69"/>
  <c i="1" r="BK69"/>
  <c i="1" r="BE67"/>
  <c i="1" r="BA70"/>
  <c i="1" r="BM64"/>
  <c i="1" r="BQ74"/>
  <c i="1" r="BO66"/>
  <c i="1" r="BP75"/>
  <c i="1" r="BF70"/>
  <c i="1" r="BQ79"/>
  <c i="1" r="BO64"/>
  <c i="1" r="BQ70"/>
  <c i="1" r="BD65"/>
  <c i="1" r="BJ79"/>
  <c i="1" r="BE70"/>
  <c i="1" r="AX72"/>
  <c i="1" r="AY70"/>
  <c i="1" r="AZ68"/>
  <c i="1" r="BO67"/>
  <c i="1" r="BI65"/>
  <c i="1" r="BJ64"/>
  <c i="1" r="BI81"/>
  <c i="1" r="BG75"/>
  <c i="1" r="BJ75"/>
  <c i="1" r="BB72"/>
  <c i="1" r="BD68"/>
  <c i="1" r="BL64"/>
  <c i="1" r="BP70"/>
  <c i="1" r="BH63"/>
  <c i="1" r="BN77"/>
  <c i="1" r="BI68"/>
  <c i="1" r="BB70"/>
  <c i="1" r="BC68"/>
  <c i="1" r="BD66"/>
  <c i="1" r="BS65"/>
  <c i="1" r="BM63"/>
  <c i="1" r="BC66"/>
  <c i="1" r="BO73"/>
  <c i="1" r="BG61"/>
  <c i="1" r="BD75"/>
  <c i="1" r="BP81"/>
  <c i="1" r="AX80"/>
  <c i="1" r="BL70"/>
  <c i="1" r="BG81"/>
  <c i="1" r="BE65"/>
  <c i="1" r="BR79"/>
  <c i="1" r="BL81"/>
  <c i="1" r="BO70"/>
  <c i="1" r="BH61"/>
  <c i="1" r="BR75"/>
  <c i="1" r="BM66"/>
  <c i="1" r="BF68"/>
  <c i="1" r="BG66"/>
  <c i="1" r="BH64"/>
  <c i="1" r="BA64"/>
  <c i="1" r="BN75"/>
  <c i="1" r="BS71"/>
  <c i="1" r="BR78"/>
  <c i="1" r="BR77"/>
  <c i="1" r="BH82"/>
  <c i="1" r="BP68"/>
  <c i="1" r="BI63"/>
  <c i="1" r="BK61"/>
  <c i="1" r="BM81"/>
  <c i="1" r="BJ68"/>
  <c i="1" r="AY69"/>
  <c i="1" r="BK81"/>
  <c i="1" r="AZ74"/>
  <c i="1" r="BQ64"/>
  <c i="1" r="BJ66"/>
  <c i="1" r="BK64"/>
  <c i="1" r="BL62"/>
  <c i="1" r="BE62"/>
  <c i="1" r="CR12"/>
  <c i="17" r="X64"/>
  <c i="17" r="J62"/>
  <c i="17" r="I76"/>
  <c i="17" r="H77"/>
  <c i="17" r="U72"/>
  <c i="17" r="F79"/>
  <c i="17" r="K73"/>
  <c i="17" r="F67"/>
  <c i="17" r="U71"/>
  <c i="17" r="H61"/>
  <c i="17" r="I66"/>
  <c i="17" r="I74"/>
  <c i="17" r="O61"/>
  <c i="17" r="L66"/>
  <c i="17" r="O63"/>
  <c i="17" r="X70"/>
  <c i="17" r="W59"/>
  <c i="17" r="E59"/>
  <c i="17" r="I72"/>
  <c i="17" r="Q67"/>
  <c i="17" r="Q60"/>
  <c i="17" r="L77"/>
  <c i="17" r="O70"/>
  <c i="17" r="T64"/>
  <c i="17" r="Q75"/>
  <c i="17" r="E78"/>
  <c i="17" r="I60"/>
  <c i="17" r="F68"/>
  <c i="17" r="N61"/>
  <c i="17" r="J75"/>
  <c i="17" r="T78"/>
  <c i="17" r="S79"/>
  <c i="17" r="N69"/>
  <c i="17" r="O74"/>
  <c i="17" r="Q73"/>
  <c i="17" r="I75"/>
  <c i="17" r="C77"/>
  <c i="17" r="R66"/>
  <c i="17" r="N79"/>
  <c i="17" r="W71"/>
  <c i="17" r="C62"/>
  <c i="17" r="L73"/>
  <c i="17" r="N72"/>
  <c i="17" r="G79"/>
  <c i="17" r="E76"/>
  <c i="17" r="P66"/>
  <c i="17" r="O71"/>
  <c i="17" r="R76"/>
  <c i="17" r="R65"/>
  <c i="17" r="I65"/>
  <c i="17" r="W68"/>
  <c i="17" r="X79"/>
  <c i="17" r="K64"/>
  <c i="17" r="K70"/>
  <c i="17" r="K71"/>
  <c i="17" r="G60"/>
  <c i="17" r="P72"/>
  <c i="17" r="W75"/>
  <c i="17" r="C72"/>
  <c i="17" r="S74"/>
  <c i="17" r="I59"/>
  <c i="17" r="D77"/>
  <c i="17" r="R77"/>
  <c i="17" r="W58"/>
  <c i="17" r="V65"/>
  <c i="17" r="L69"/>
  <c i="17" r="M72"/>
  <c i="17" r="E79"/>
  <c i="17" r="O64"/>
  <c i="17" r="N75"/>
  <c i="17" r="O66"/>
  <c i="17" r="U68"/>
  <c i="17" r="F74"/>
  <c i="17" r="W69"/>
  <c i="17" r="V64"/>
  <c i="17" r="F71"/>
  <c i="17" r="L62"/>
  <c i="17" r="R72"/>
  <c i="17" r="S76"/>
  <c i="17" r="W66"/>
  <c i="17" r="O75"/>
  <c i="17" r="S75"/>
  <c i="17" r="D73"/>
  <c i="17" r="D58"/>
  <c i="17" r="T62"/>
  <c i="17" r="L79"/>
  <c i="17" r="K78"/>
  <c i="17" r="C70"/>
  <c i="17" r="W63"/>
  <c i="17" r="K79"/>
  <c i="17" r="K58"/>
  <c i="17" r="X77"/>
  <c i="17" r="K77"/>
  <c i="17" r="T79"/>
  <c i="17" r="P64"/>
  <c i="17" r="F65"/>
  <c i="17" r="G58"/>
  <c i="17" r="S60"/>
  <c i="17" r="F62"/>
  <c i="17" r="C74"/>
  <c i="17" r="I58"/>
  <c i="17" r="S77"/>
  <c i="17" r="S68"/>
  <c i="17" r="V66"/>
  <c i="17" r="X65"/>
  <c i="17" r="V60"/>
  <c i="17" r="M76"/>
  <c i="17" r="I63"/>
  <c i="17" r="L76"/>
  <c i="17" r="J61"/>
  <c i="17" r="T68"/>
  <c i="17" r="T67"/>
  <c i="17" r="Q65"/>
  <c i="17" r="K68"/>
  <c i="17" r="H63"/>
  <c i="17" r="H66"/>
  <c i="17" r="N78"/>
  <c i="17" r="D79"/>
  <c i="17" r="L74"/>
  <c i="17" r="W79"/>
  <c i="17" r="Q71"/>
  <c i="17" r="F63"/>
  <c i="17" r="F76"/>
  <c i="17" r="M64"/>
  <c i="17" r="W64"/>
  <c i="17" r="V74"/>
  <c i="17" r="N58"/>
  <c i="17" r="X73"/>
  <c i="17" r="V79"/>
  <c i="17" r="J71"/>
  <c i="17" r="O79"/>
  <c i="17" r="W72"/>
  <c i="17" r="E77"/>
  <c i="17" r="P69"/>
  <c i="17" r="X59"/>
  <c i="17" r="N64"/>
  <c i="17" r="O67"/>
  <c i="17" r="F64"/>
  <c i="17" r="R59"/>
  <c i="17" r="R70"/>
  <c i="17" r="L59"/>
  <c i="17" r="F75"/>
  <c i="17" r="O60"/>
  <c i="17" r="T75"/>
  <c i="17" r="Q70"/>
  <c i="17" r="V67"/>
  <c i="17" r="P78"/>
  <c i="17" r="F72"/>
  <c i="17" r="G73"/>
  <c i="17" r="E60"/>
  <c i="17" r="G62"/>
  <c i="17" r="O78"/>
  <c i="17" r="F60"/>
  <c i="17" r="X63"/>
  <c i="17" r="D62"/>
  <c i="17" r="H70"/>
  <c i="17" r="F77"/>
  <c i="17" r="X69"/>
  <c i="17" r="E58"/>
  <c i="17" r="K67"/>
  <c i="17" r="Q77"/>
  <c i="17" r="H60"/>
  <c i="17" r="E69"/>
  <c i="17" r="X76"/>
  <c i="17" r="P58"/>
  <c i="17" r="P59"/>
  <c i="17" r="P75"/>
  <c i="17" r="H78"/>
  <c i="17" r="T77"/>
  <c i="17" r="C65"/>
  <c i="17" r="C63"/>
  <c i="17" r="M65"/>
  <c i="17" r="C58"/>
  <c i="17" r="P67"/>
  <c i="17" r="L61"/>
  <c i="17" r="J72"/>
  <c i="17" r="C64"/>
  <c i="17" r="I67"/>
  <c i="17" r="F78"/>
  <c i="17" r="V63"/>
  <c i="17" r="E67"/>
  <c i="17" r="E65"/>
  <c i="17" r="P63"/>
  <c i="17" r="H65"/>
  <c i="17" r="J73"/>
  <c i="17" r="N76"/>
  <c i="17" r="S62"/>
  <c i="17" r="G75"/>
  <c i="17" r="C67"/>
  <c i="17" r="J67"/>
  <c i="17" r="D78"/>
  <c i="17" r="C59"/>
  <c i="17" r="W60"/>
  <c i="17" r="M67"/>
  <c i="17" r="C68"/>
  <c i="17" r="U73"/>
  <c i="17" r="R60"/>
  <c i="17" r="U69"/>
  <c i="17" r="D66"/>
  <c i="17" r="V69"/>
  <c i="17" r="J69"/>
  <c i="17" r="D68"/>
  <c i="17" r="F73"/>
  <c i="17" r="H67"/>
  <c i="17" r="Q74"/>
  <c i="17" r="K59"/>
  <c i="17" r="O59"/>
  <c i="17" r="J78"/>
  <c i="17" r="K76"/>
  <c i="17" r="G74"/>
  <c i="17" r="T60"/>
  <c i="17" r="Q62"/>
  <c i="17" r="R62"/>
  <c i="17" r="C78"/>
  <c i="17" r="P71"/>
  <c i="17" r="H59"/>
  <c i="17" r="D69"/>
  <c i="17" r="U77"/>
  <c i="17" r="M58"/>
  <c i="17" r="E64"/>
  <c i="17" r="V78"/>
  <c i="17" r="R74"/>
  <c i="17" r="M60"/>
  <c i="17" r="R63"/>
  <c i="17" r="W74"/>
  <c i="17" r="G63"/>
  <c i="17" r="Q58"/>
  <c i="17" r="U66"/>
  <c i="17" r="Q63"/>
  <c i="17" r="R79"/>
  <c i="17" r="H71"/>
  <c i="17" r="V62"/>
  <c i="17" r="U76"/>
  <c i="17" r="C75"/>
  <c i="17" r="P79"/>
  <c i="17" r="P60"/>
  <c i="17" r="J59"/>
  <c i="17" r="L60"/>
  <c i="17" r="K65"/>
  <c i="17" r="L65"/>
  <c i="17" r="Q79"/>
  <c i="17" r="I71"/>
  <c i="17" r="L75"/>
  <c i="17" r="E75"/>
  <c i="17" r="H74"/>
  <c i="17" r="E71"/>
  <c i="17" r="D64"/>
  <c i="17" r="V70"/>
  <c i="17" r="D60"/>
  <c i="17" r="X68"/>
  <c i="17" r="G66"/>
  <c i="17" r="E61"/>
  <c i="17" r="D67"/>
  <c i="17" r="H68"/>
  <c i="17" r="W67"/>
  <c i="17" r="N66"/>
  <c i="17" r="S69"/>
  <c i="17" r="S61"/>
  <c i="17" r="W73"/>
  <c i="17" r="X60"/>
  <c i="17" r="H73"/>
  <c i="17" r="O69"/>
  <c i="17" r="L71"/>
  <c i="17" r="N65"/>
  <c i="17" r="G65"/>
  <c i="17" r="E73"/>
  <c i="17" r="H79"/>
  <c i="17" r="S78"/>
  <c i="17" r="C73"/>
  <c i="17" r="X72"/>
  <c i="17" r="X74"/>
  <c i="17" r="J58"/>
  <c i="17" r="J64"/>
  <c i="17" r="G61"/>
  <c i="17" r="Q78"/>
  <c i="17" r="W76"/>
  <c i="17" r="I77"/>
  <c i="17" r="E72"/>
  <c i="17" r="J68"/>
  <c i="17" r="K63"/>
  <c i="17" r="G68"/>
  <c i="17" r="I70"/>
  <c i="17" r="U65"/>
  <c i="17" r="N63"/>
  <c i="17" r="S72"/>
  <c i="17" r="N73"/>
  <c i="17" r="D71"/>
  <c i="17" r="I78"/>
  <c i="17" r="R58"/>
  <c i="17" r="P76"/>
  <c i="17" r="Q64"/>
  <c i="17" r="T69"/>
  <c i="17" r="M73"/>
  <c i="17" r="N62"/>
  <c i="17" r="C61"/>
  <c i="17" r="O73"/>
  <c i="17" r="V58"/>
  <c i="17" r="U78"/>
  <c i="17" r="F61"/>
  <c i="17" r="J70"/>
  <c i="17" r="H69"/>
  <c i="17" r="R68"/>
  <c i="17" r="D59"/>
  <c i="17" r="G64"/>
  <c i="17" r="G72"/>
  <c i="17" r="T72"/>
  <c i="17" r="Q69"/>
  <c i="17" r="O65"/>
  <c i="17" r="P73"/>
  <c i="17" r="C69"/>
  <c i="17" r="Q68"/>
  <c i="17" r="J65"/>
  <c i="17" r="G70"/>
  <c i="17" r="W62"/>
  <c i="17" r="W61"/>
  <c i="17" r="N77"/>
  <c i="17" r="M69"/>
  <c i="17" r="D70"/>
  <c i="17" r="V59"/>
  <c i="17" r="N70"/>
  <c i="17" r="D61"/>
  <c i="17" r="Q76"/>
  <c i="17" r="T59"/>
  <c i="17" r="T65"/>
  <c i="17" r="O77"/>
  <c i="17" r="K66"/>
  <c i="17" r="E68"/>
  <c i="17" r="U62"/>
  <c i="17" r="X58"/>
  <c i="17" r="P74"/>
  <c i="17" r="R64"/>
  <c i="17" r="C76"/>
  <c i="17" r="P77"/>
  <c i="17" r="F66"/>
  <c i="17" r="J77"/>
  <c i="17" r="E74"/>
  <c i="17" r="H62"/>
  <c i="17" r="E70"/>
  <c i="17" r="S67"/>
  <c i="17" r="S71"/>
  <c i="17" r="D74"/>
  <c i="17" r="G67"/>
  <c i="17" r="H64"/>
  <c i="17" r="G69"/>
  <c i="17" r="U61"/>
  <c i="17" r="O58"/>
  <c i="17" r="M79"/>
  <c i="17" r="S64"/>
  <c i="17" r="U64"/>
  <c i="17" r="D65"/>
  <c i="17" r="U59"/>
  <c i="17" r="V71"/>
  <c i="17" r="U79"/>
  <c i="17" r="M66"/>
  <c i="17" r="W65"/>
  <c i="17" r="R69"/>
  <c i="17" r="M71"/>
  <c i="17" r="M70"/>
  <c i="17" r="U60"/>
  <c i="17" r="G77"/>
  <c i="17" r="R71"/>
  <c i="17" r="N71"/>
  <c i="17" r="D76"/>
  <c i="17" r="Q66"/>
  <c i="17" r="X67"/>
  <c i="17" r="T73"/>
  <c i="17" r="L68"/>
  <c i="17" r="U70"/>
  <c i="17" r="F69"/>
  <c i="17" r="F59"/>
  <c i="17" r="K72"/>
  <c i="17" r="O76"/>
  <c i="17" r="R61"/>
  <c i="17" r="T58"/>
  <c i="17" r="L58"/>
  <c i="17" r="N68"/>
  <c i="17" r="U67"/>
  <c i="17" r="V77"/>
  <c i="17" r="X62"/>
  <c i="17" r="L78"/>
  <c i="17" r="M61"/>
  <c i="17" r="P61"/>
  <c i="17" r="S59"/>
  <c i="17" r="X78"/>
  <c i="17" r="V73"/>
  <c i="17" r="K75"/>
  <c i="17" r="M77"/>
  <c i="17" r="M68"/>
  <c i="17" r="C71"/>
  <c i="17" r="S73"/>
  <c i="17" r="E62"/>
  <c i="17" r="X66"/>
  <c i="17" r="T70"/>
  <c i="17" r="V76"/>
  <c i="17" r="H72"/>
  <c i="17" r="X75"/>
  <c i="17" r="Q72"/>
  <c i="17" r="R73"/>
  <c i="17" r="I73"/>
  <c i="17" r="N59"/>
  <c i="17" r="G76"/>
  <c i="17" r="F70"/>
  <c i="17" r="G78"/>
  <c i="17" r="H76"/>
  <c i="17" r="P70"/>
  <c i="17" r="D75"/>
  <c i="17" r="L63"/>
  <c i="17" r="T66"/>
  <c i="17" r="C79"/>
  <c i="17" r="Q59"/>
  <c i="17" r="R78"/>
  <c i="17" r="T76"/>
  <c i="17" r="V68"/>
  <c i="17" r="K61"/>
  <c i="17" r="X71"/>
  <c i="17" r="U63"/>
  <c i="17" r="V61"/>
  <c i="17" r="W70"/>
  <c i="17" r="M59"/>
  <c i="17" r="T61"/>
  <c i="17" r="S58"/>
  <c i="17" r="I79"/>
  <c i="17" r="I61"/>
  <c i="17" r="T71"/>
  <c i="17" r="H58"/>
  <c i="17" r="V72"/>
  <c i="17" r="L72"/>
  <c i="17" r="U58"/>
  <c i="17" r="I69"/>
  <c i="17" r="H75"/>
  <c i="17" r="R75"/>
  <c i="17" r="Q61"/>
  <c i="17" r="M74"/>
  <c i="17" r="G59"/>
  <c i="17" r="E63"/>
  <c i="17" r="R67"/>
  <c i="17" r="E66"/>
  <c i="17" r="D63"/>
  <c i="17" r="W78"/>
  <c i="17" r="N67"/>
  <c i="17" r="J66"/>
  <c i="17" r="C66"/>
  <c i="17" r="S66"/>
  <c i="17" r="O68"/>
  <c i="17" r="L64"/>
  <c i="17" r="M75"/>
  <c i="17" r="D72"/>
  <c i="17" r="M63"/>
  <c i="17" r="V75"/>
  <c i="17" r="W77"/>
  <c i="17" r="J74"/>
  <c i="17" r="J79"/>
  <c i="17" r="P62"/>
  <c i="17" r="N60"/>
  <c i="17" r="P68"/>
  <c i="17" r="K62"/>
  <c i="17" r="I62"/>
  <c i="17" r="S63"/>
  <c i="17" r="I68"/>
  <c i="17" r="M78"/>
  <c i="17" r="S65"/>
  <c i="17" r="L70"/>
  <c i="17" r="K60"/>
  <c i="17" r="T74"/>
  <c i="17" r="U75"/>
  <c i="1" r="CC42"/>
  <c i="17" r="X61"/>
  <c i="17" r="J76"/>
  <c i="17" r="K74"/>
  <c i="17" r="P65"/>
  <c i="1" r="BP74"/>
  <c i="17" r="T63"/>
  <c i="1" r="AX73"/>
  <c i="17" r="J63"/>
  <c i="1" r="BP78"/>
  <c i="1" r="BB71"/>
  <c i="17" r="O62"/>
  <c i="1" r="BN69"/>
  <c i="1" r="BF69"/>
  <c i="17" r="L67"/>
  <c i="1" r="BD64"/>
  <c i="1" r="BA71"/>
  <c i="17" r="S70"/>
  <c i="1" r="BK80"/>
  <c i="1" r="BE69"/>
  <c i="17" r="C60"/>
  <c i="1" r="BG62"/>
  <c i="1" r="BI67"/>
  <c i="17" r="M62"/>
  <c i="1" r="BE82"/>
  <c i="1" r="BM65"/>
  <c i="17" r="F58"/>
  <c i="1" r="BI80"/>
  <c i="1" r="BQ63"/>
  <c i="17" r="J60"/>
  <c i="1" r="BM78"/>
  <c i="1" r="AY62"/>
  <c i="1" r="CI36"/>
  <c i="18" r="O18" s="1"/>
  <c i="17" r="N74"/>
  <c i="17" r="I64"/>
  <c i="1" r="BQ76"/>
  <c i="1" r="BJ71"/>
  <c i="17" r="U74"/>
  <c i="17" r="K69"/>
  <c i="1" r="BE63"/>
  <c i="1" r="CI33"/>
  <c i="18" r="O15" s="1"/>
  <c i="1" r="BL80"/>
  <c i="1" r="BJ78"/>
  <c i="1" r="BF73"/>
  <c i="1" r="BN76"/>
  <c i="1" r="BR67"/>
  <c i="1" r="BK71"/>
  <c i="1" r="BR74"/>
  <c i="1" r="AZ66"/>
  <c i="1" r="BO69"/>
  <c i="1" r="AZ73"/>
  <c i="1" r="BH62"/>
  <c i="1" r="BS67"/>
  <c i="1" r="BD71"/>
  <c i="1" r="BP61"/>
  <c i="1" r="BA66"/>
  <c i="1" r="BH69"/>
  <c i="1" r="BS81"/>
  <c i="1" r="BE64"/>
  <c i="1" r="BL67"/>
  <c i="1" r="BA80"/>
  <c i="1" r="BI62"/>
  <c i="1" r="BP65"/>
  <c i="1" r="BE78"/>
  <c i="1" r="CI35"/>
  <c i="18" r="O17" s="1"/>
  <c i="1" r="AY76"/>
  <c i="1" r="AX64"/>
  <c i="1" r="BI76"/>
  <c i="1" r="CI28"/>
  <c i="18" r="O10" s="1"/>
  <c i="1" r="BS76"/>
  <c i="1" r="BB62"/>
  <c i="1" r="BM74"/>
  <c i="1" r="CI23"/>
  <c i="18" r="O5" s="1"/>
  <c i="1" r="BC69"/>
  <c i="1" r="BA75"/>
  <c i="1" r="BK78"/>
  <c i="1" r="BJ67"/>
  <c i="1" r="BK65"/>
  <c i="1" r="BE73"/>
  <c i="1" r="BO76"/>
  <c i="1" r="BN65"/>
  <c i="1" r="BO63"/>
  <c i="1" r="BI71"/>
  <c i="1" r="BS74"/>
  <c i="1" r="BR63"/>
  <c i="1" r="BS66"/>
  <c i="1" r="BM69"/>
  <c i="1" r="BA73"/>
  <c i="1" r="AZ62"/>
  <c i="1" r="BO61"/>
  <c i="1" r="BQ67"/>
  <c i="1" r="BE71"/>
  <c i="1" r="BL79"/>
  <c i="1" r="BR81"/>
  <c i="1" r="AY66"/>
  <c i="1" r="BI69"/>
  <c i="1" r="BR61"/>
  <c i="1" r="AZ80"/>
  <c i="1" r="CI32"/>
  <c i="18" r="O14" s="1"/>
  <c i="1" r="BR76"/>
  <c i="1" r="BM67"/>
  <c i="1" r="AY82"/>
  <c i="1" r="BD78"/>
  <c i="1" r="BM71"/>
  <c i="1" r="AZ75"/>
  <c i="1" r="BQ65"/>
  <c i="1" r="BC80"/>
  <c i="1" r="BH76"/>
  <c i="1" r="CI37"/>
  <c i="18" r="O19" s="1"/>
  <c i="1" r="BQ69"/>
  <c i="1" r="BD73"/>
  <c i="1" r="AY64"/>
  <c i="1" r="BG78"/>
  <c i="1" r="BL74"/>
  <c i="1" r="AY68"/>
  <c i="1" r="BH71"/>
  <c i="1" r="BC62"/>
  <c i="1" r="BK76"/>
  <c i="1" r="BP72"/>
  <c i="1" r="CI31"/>
  <c i="18" r="O13" s="1"/>
  <c i="1" r="BL69"/>
  <c i="1" r="BF61"/>
  <c i="1" r="BO74"/>
  <c i="1" r="BB69"/>
  <c i="1" r="BP67"/>
  <c i="1" r="BN68"/>
  <c i="1" r="BS72"/>
  <c i="1" r="BF67"/>
  <c i="1" r="CI41"/>
  <c i="18" r="O23" s="1"/>
  <c i="1" r="BQ61"/>
  <c i="1" r="AX71"/>
  <c i="1" r="CB42"/>
  <c i="1" r="CF30" s="1"/>
  <c i="18" r="L12" s="1"/>
  <c i="1" r="BC64"/>
  <c i="1" r="BB73"/>
  <c i="1" r="AY73"/>
  <c i="1" r="BF78"/>
  <c i="1" r="BJ65"/>
  <c i="1" r="BQ77"/>
  <c i="1" r="BF71"/>
  <c i="1" r="BC71"/>
  <c i="1" r="BJ76"/>
  <c i="1" r="BN63"/>
  <c i="1" r="BJ70"/>
  <c i="1" r="BJ69"/>
  <c i="1" r="BG69"/>
  <c i="1" r="BN74"/>
  <c i="1" r="BK70"/>
  <c i="1" r="AX77"/>
  <c i="1" r="BN67"/>
  <c i="1" r="BK67"/>
  <c i="1" r="BR72"/>
  <c i="1" r="BB75"/>
  <c i="1" r="BO78"/>
  <c i="1" r="BR65"/>
  <c i="1" r="BO65"/>
  <c i="1" r="AZ71"/>
  <c i="1" r="BG82"/>
  <c i="1" r="CI39"/>
  <c i="18" r="O21" s="1"/>
  <c i="1" r="CI22"/>
  <c i="18" r="O4" s="1"/>
  <c i="1" r="BF82"/>
  <c i="1" r="AZ64"/>
  <c i="1" r="BS63"/>
  <c i="1" r="BD69"/>
  <c i="1" r="BN61"/>
  <c i="1" r="AU55"/>
  <c i="1" r="CR13" s="1"/>
  <c i="1" r="BJ80"/>
  <c i="1" r="BD62"/>
  <c i="1" r="BA62"/>
  <c i="1" r="BH67"/>
  <c i="1" r="BQ81"/>
  <c i="1" r="CI38"/>
  <c i="18" r="O20" s="1"/>
  <c i="1" r="BN78"/>
  <c i="1" r="BG72"/>
  <c i="1" r="BM79"/>
  <c i="1" r="BL65"/>
  <c i="1" r="AY80"/>
  <c i="1" r="CI29"/>
  <c i="18" r="O11" s="1"/>
  <c i="1" r="CI34"/>
  <c i="18" r="O16" s="1"/>
  <c i="1" r="CD42"/>
  <c i="1" r="AC81"/>
  <c i="1" r="AG79"/>
  <c i="1" r="BE106" s="1"/>
  <c i="1" r="AK77"/>
  <c i="1" r="AO75"/>
  <c i="1" r="AS73"/>
  <c i="1" r="AA72"/>
  <c i="1" r="AE70"/>
  <c i="1" r="AI68"/>
  <c i="1" r="AM66"/>
  <c i="1" r="AQ64"/>
  <c i="1" r="AU62"/>
  <c i="1" r="AC61"/>
  <c i="1" r="AU61"/>
  <c i="1" r="AP70"/>
  <c i="1" r="AJ72"/>
  <c i="1" r="AE81"/>
  <c i="1" r="AT82"/>
  <c i="1" r="AB81"/>
  <c i="1" r="AF79"/>
  <c i="1" r="AJ77"/>
  <c i="1" r="AN75"/>
  <c i="1" r="AR73"/>
  <c i="1" r="Z72"/>
  <c i="1" r="AD70"/>
  <c i="1" r="AH68"/>
  <c i="1" r="AL66"/>
  <c i="1" r="AP64"/>
  <c i="1" r="AT62"/>
  <c i="1" r="BR89" s="1"/>
  <c i="1" r="AB61"/>
  <c i="1" r="AR72"/>
  <c i="1" r="AR70"/>
  <c i="1" r="AR79"/>
  <c i="1" r="BP106" s="1"/>
  <c i="1" r="AL81"/>
  <c i="1" r="AH61"/>
  <c i="1" r="AS82"/>
  <c i="1" r="AA81"/>
  <c i="1" r="AE79"/>
  <c i="1" r="AI77"/>
  <c i="1" r="AM75"/>
  <c i="1" r="AQ73"/>
  <c i="1" r="AU71"/>
  <c i="1" r="AC70"/>
  <c i="1" r="AG68"/>
  <c i="1" r="AK66"/>
  <c i="1" r="AO64"/>
  <c i="1" r="AS62"/>
  <c i="1" r="AA61"/>
  <c i="1" r="AJ65"/>
  <c i="1" r="AP61"/>
  <c i="1" r="AO61"/>
  <c i="1" r="AJ63"/>
  <c i="1" r="AE65"/>
  <c i="1" r="AR82"/>
  <c i="1" r="Z81"/>
  <c i="1" r="AD79"/>
  <c i="1" r="AH77"/>
  <c i="1" r="AL75"/>
  <c i="1" r="AP73"/>
  <c i="1" r="BN100" s="1"/>
  <c i="1" r="AT71"/>
  <c i="1" r="AB70"/>
  <c i="1" r="AF68"/>
  <c i="1" r="AJ66"/>
  <c i="1" r="AN64"/>
  <c i="1" r="AR62"/>
  <c i="1" r="Z61"/>
  <c i="1" r="AR65"/>
  <c i="1" r="AR63"/>
  <c i="1" r="AJ76"/>
  <c i="1" r="AL74"/>
  <c i="1" r="AC67"/>
  <c i="1" r="AU66"/>
  <c i="1" r="AR66"/>
  <c i="1" r="AQ82"/>
  <c i="1" r="AU80"/>
  <c i="1" r="AC79"/>
  <c i="1" r="AG77"/>
  <c i="1" r="AK75"/>
  <c i="1" r="AO73"/>
  <c i="1" r="AS71"/>
  <c i="1" r="AA70"/>
  <c i="1" r="AE68"/>
  <c i="1" r="AI66"/>
  <c i="1" r="AM64"/>
  <c i="1" r="AQ62"/>
  <c i="1" r="AS63"/>
  <c i="1" r="AH67"/>
  <c i="1" r="AD78"/>
  <c i="1" r="AN72"/>
  <c i="1" r="AD76"/>
  <c i="1" r="AB76"/>
  <c i="1" r="AL79"/>
  <c i="1" r="AP82"/>
  <c i="1" r="BN109" s="1"/>
  <c i="1" r="AT80"/>
  <c i="1" r="AB79"/>
  <c i="1" r="AF77"/>
  <c i="1" r="AJ75"/>
  <c i="1" r="AN73"/>
  <c i="1" r="AR71"/>
  <c i="1" r="BP98" s="1"/>
  <c i="1" r="Z70"/>
  <c i="1" r="AD68"/>
  <c i="1" r="AH66"/>
  <c i="1" r="AL64"/>
  <c i="1" r="AP62"/>
  <c i="1" r="AM67"/>
  <c i="1" r="Z71"/>
  <c i="1" r="AP72"/>
  <c i="1" r="AA78"/>
  <c i="1" r="AC76"/>
  <c i="1" r="BA103" s="1"/>
  <c i="1" r="AQ68"/>
  <c i="1" r="AF72"/>
  <c i="1" r="AO82"/>
  <c i="1" r="AS80"/>
  <c i="1" r="AA79"/>
  <c i="1" r="AE77"/>
  <c i="1" r="BC104" s="1"/>
  <c i="1" r="AI75"/>
  <c i="1" r="AM73"/>
  <c i="1" r="AQ71"/>
  <c i="1" r="AU69"/>
  <c i="1" r="AC68"/>
  <c i="1" r="AG66"/>
  <c i="1" r="AK64"/>
  <c i="1" r="AO62"/>
  <c i="1" r="AN74"/>
  <c i="1" r="AB78"/>
  <c i="1" r="AP79"/>
  <c i="1" r="Z65"/>
  <c i="1" r="AN82"/>
  <c i="1" r="AR80"/>
  <c i="1" r="Z79"/>
  <c i="1" r="AD77"/>
  <c i="1" r="AH75"/>
  <c i="1" r="AL73"/>
  <c i="1" r="AP71"/>
  <c i="1" r="AT69"/>
  <c i="1" r="AB68"/>
  <c i="1" r="AF66"/>
  <c i="1" r="AJ64"/>
  <c i="1" r="AN62"/>
  <c i="1" r="Z62"/>
  <c i="1" r="AD69"/>
  <c i="1" r="AH76"/>
  <c i="1" r="AE76"/>
  <c i="1" r="AG74"/>
  <c i="1" r="AE74"/>
  <c i="1" r="BC101" s="1"/>
  <c i="1" r="AM82"/>
  <c i="1" r="AQ80"/>
  <c i="1" r="AU78"/>
  <c i="1" r="AC77"/>
  <c i="1" r="AG75"/>
  <c i="1" r="AK73"/>
  <c i="1" r="AO71"/>
  <c i="1" r="AS69"/>
  <c i="1" r="AA68"/>
  <c i="1" r="AE66"/>
  <c i="1" r="AI64"/>
  <c i="1" r="AM62"/>
  <c i="1" r="AU63"/>
  <c i="1" r="AR81"/>
  <c i="1" r="AM72"/>
  <c i="1" r="AM81"/>
  <c i="1" r="AA76"/>
  <c i="1" r="AL82"/>
  <c i="1" r="AP80"/>
  <c i="1" r="AT78"/>
  <c i="1" r="AB77"/>
  <c i="1" r="AF75"/>
  <c i="1" r="AJ73"/>
  <c i="1" r="AN71"/>
  <c i="1" r="AR69"/>
  <c i="1" r="Z68"/>
  <c i="1" r="AX95" s="1"/>
  <c i="1" r="AD66"/>
  <c i="1" r="AH64"/>
  <c i="1" r="AL62"/>
  <c i="1" r="AC62"/>
  <c i="1" r="AP81"/>
  <c i="1" r="AH74"/>
  <c i="1" r="AD63"/>
  <c i="1" r="AK82"/>
  <c i="1" r="AO80"/>
  <c i="1" r="AS78"/>
  <c i="1" r="AA77"/>
  <c i="1" r="AE75"/>
  <c i="1" r="AI73"/>
  <c i="1" r="AM71"/>
  <c i="1" r="AQ69"/>
  <c i="1" r="AU67"/>
  <c i="1" r="AC66"/>
  <c i="1" r="AG64"/>
  <c i="1" r="AK62"/>
  <c i="1" r="AS61"/>
  <c i="1" r="AI74"/>
  <c i="1" r="AU77"/>
  <c i="1" r="AS77"/>
  <c i="1" r="AC72"/>
  <c i="1" r="AJ82"/>
  <c i="1" r="AN80"/>
  <c i="1" r="AR78"/>
  <c i="1" r="Z77"/>
  <c i="1" r="AD75"/>
  <c i="1" r="AH73"/>
  <c i="1" r="AL71"/>
  <c i="1" r="AP69"/>
  <c i="1" r="AT67"/>
  <c i="1" r="AB66"/>
  <c i="1" r="AF64"/>
  <c i="1" r="AJ62"/>
  <c i="1" r="AP63"/>
  <c i="1" r="AR61"/>
  <c i="1" r="AD67"/>
  <c i="1" r="BB94" s="1"/>
  <c i="1" r="AT68"/>
  <c i="1" r="AL61"/>
  <c i="1" r="AG63"/>
  <c i="1" r="AJ70"/>
  <c i="1" r="BH97" s="1"/>
  <c i="1" r="AI82"/>
  <c i="1" r="AM80"/>
  <c i="1" r="AQ78"/>
  <c i="1" r="AU76"/>
  <c i="1" r="AC75"/>
  <c i="1" r="AG73"/>
  <c i="1" r="AK71"/>
  <c i="1" r="AO69"/>
  <c i="1" r="AS67"/>
  <c i="1" r="AA66"/>
  <c i="1" r="AE64"/>
  <c i="1" r="AI62"/>
  <c i="1" r="AQ63"/>
  <c i="1" r="AF67"/>
  <c i="1" r="AU68"/>
  <c i="1" r="AA67"/>
  <c i="1" r="AA63"/>
  <c i="1" r="AH82"/>
  <c i="1" r="AL80"/>
  <c i="1" r="AP78"/>
  <c i="1" r="AT76"/>
  <c i="1" r="AB75"/>
  <c i="1" r="AF73"/>
  <c i="1" r="AJ71"/>
  <c i="1" r="AN69"/>
  <c i="1" r="AR67"/>
  <c i="1" r="Z66"/>
  <c i="1" r="AD64"/>
  <c i="1" r="AH62"/>
  <c i="1" r="Z64"/>
  <c i="1" r="AN65"/>
  <c i="1" r="AF78"/>
  <c i="1" r="AT70"/>
  <c i="1" r="AG65"/>
  <c i="1" r="AM61"/>
  <c i="1" r="AC65"/>
  <c i="1" r="BA92" s="1"/>
  <c i="1" r="AM77"/>
  <c i="1" r="AG82"/>
  <c i="1" r="AK80"/>
  <c i="1" r="AO78"/>
  <c i="1" r="AS76"/>
  <c i="1" r="AA75"/>
  <c i="1" r="AE73"/>
  <c i="1" r="AI71"/>
  <c i="1" r="AM69"/>
  <c i="1" r="AQ67"/>
  <c i="1" r="AU65"/>
  <c i="1" r="AC64"/>
  <c i="1" r="AG62"/>
  <c i="1" r="AF71"/>
  <c i="1" r="AA62"/>
  <c i="1" r="AT61"/>
  <c i="1" r="Z80"/>
  <c i="1" r="AJ74"/>
  <c i="1" r="AN81"/>
  <c i="1" r="AT77"/>
  <c i="1" r="AH81"/>
  <c i="1" r="AF82"/>
  <c i="1" r="AJ80"/>
  <c i="1" r="BH107" s="1"/>
  <c i="1" r="AN78"/>
  <c i="1" r="BL105" s="1"/>
  <c i="1" r="AR76"/>
  <c i="1" r="Z75"/>
  <c i="1" r="AD73"/>
  <c i="1" r="AH71"/>
  <c i="1" r="AL69"/>
  <c i="1" r="AP67"/>
  <c i="1" r="AT65"/>
  <c i="1" r="AB64"/>
  <c i="1" r="AF62"/>
  <c i="1" r="AD62"/>
  <c i="1" r="AB80"/>
  <c i="1" r="AT79"/>
  <c i="1" r="AB67"/>
  <c i="1" r="AD65"/>
  <c i="1" r="AN68"/>
  <c i="1" r="AE82"/>
  <c i="1" r="AI80"/>
  <c i="1" r="AM78"/>
  <c i="1" r="AQ76"/>
  <c i="1" r="AU74"/>
  <c i="1" r="AC73"/>
  <c i="1" r="AG71"/>
  <c i="1" r="AK69"/>
  <c i="1" r="AO67"/>
  <c i="1" r="AS65"/>
  <c i="1" r="AA64"/>
  <c i="1" r="AE62"/>
  <c i="1" r="AN67"/>
  <c i="1" r="AK72"/>
  <c i="1" r="AO79"/>
  <c i="1" r="AG70"/>
  <c i="1" r="AD82"/>
  <c i="1" r="AH80"/>
  <c i="1" r="AL78"/>
  <c i="1" r="AP76"/>
  <c i="1" r="AT74"/>
  <c i="1" r="AB73"/>
  <c i="1" r="AJ69"/>
  <c i="1" r="AB69"/>
  <c i="1" r="AK63"/>
  <c i="1" r="AN61"/>
  <c i="1" r="AS68"/>
  <c i="1" r="Z67"/>
  <c i="1" r="AO66"/>
  <c i="1" r="AC82"/>
  <c i="1" r="AG80"/>
  <c i="1" r="AK78"/>
  <c i="1" r="AO76"/>
  <c i="1" r="AS74"/>
  <c i="1" r="AA73"/>
  <c i="1" r="AE71"/>
  <c i="1" r="AI69"/>
  <c i="1" r="AQ65"/>
  <c i="1" r="AH65"/>
  <c i="1" r="AF65"/>
  <c i="1" r="AN70"/>
  <c i="1" r="AP77"/>
  <c i="1" r="AB82"/>
  <c i="1" r="AF80"/>
  <c i="1" r="AJ78"/>
  <c i="1" r="AN76"/>
  <c i="1" r="AR74"/>
  <c i="1" r="Z73"/>
  <c i="1" r="AD71"/>
  <c i="1" r="AH69"/>
  <c i="1" r="AL67"/>
  <c i="1" r="AP65"/>
  <c i="1" r="AT63"/>
  <c i="1" r="AB62"/>
  <c i="1" r="AT81"/>
  <c i="1" r="AQ70"/>
  <c i="1" r="AQ79"/>
  <c i="1" r="AI72"/>
  <c i="1" r="AE61"/>
  <c i="1" r="AA82"/>
  <c i="1" r="AE80"/>
  <c i="1" r="AI78"/>
  <c i="1" r="AM76"/>
  <c i="1" r="AQ74"/>
  <c i="1" r="AU72"/>
  <c i="1" r="AC71"/>
  <c i="1" r="AG69"/>
  <c i="1" r="AK67"/>
  <c i="1" r="AO65"/>
  <c i="1" r="AF76"/>
  <c i="1" r="Z78"/>
  <c i="1" r="AF74"/>
  <c i="1" r="AT75"/>
  <c i="1" r="Z82"/>
  <c i="1" r="AD80"/>
  <c i="1" r="AH78"/>
  <c i="1" r="AL76"/>
  <c i="1" r="AP74"/>
  <c i="1" r="AT72"/>
  <c i="1" r="AB71"/>
  <c i="1" r="AF69"/>
  <c i="1" r="AJ67"/>
  <c i="1" r="AL65"/>
  <c i="1" r="AN63"/>
  <c i="1" r="Z69"/>
  <c i="1" r="AX96" s="1"/>
  <c i="1" r="AH63"/>
  <c i="1" r="AK61"/>
  <c i="1" r="AQ75"/>
  <c i="1" r="AU81"/>
  <c i="1" r="AC80"/>
  <c i="1" r="AG78"/>
  <c i="1" r="AK76"/>
  <c i="1" r="AO74"/>
  <c i="1" r="AS72"/>
  <c i="1" r="AA71"/>
  <c i="1" r="AE69"/>
  <c i="1" r="AI67"/>
  <c i="1" r="BG94" s="1"/>
  <c i="1" r="AM65"/>
  <c i="1" r="AS79"/>
  <c i="1" r="AO70"/>
  <c i="1" r="AM70"/>
  <c i="1" r="AB74"/>
  <c i="1" r="AS81"/>
  <c i="1" r="BQ108" s="1"/>
  <c i="1" r="AA80"/>
  <c i="1" r="AE78"/>
  <c i="1" r="AI76"/>
  <c i="1" r="AM74"/>
  <c i="1" r="AQ72"/>
  <c i="1" r="AU70"/>
  <c i="1" r="AC69"/>
  <c i="1" r="AG67"/>
  <c i="1" r="AK65"/>
  <c i="1" r="AO63"/>
  <c i="1" r="AL63"/>
  <c i="1" r="AL72"/>
  <c i="1" r="AR68"/>
  <c i="1" r="AQ81"/>
  <c i="1" r="AU79"/>
  <c i="1" r="AC78"/>
  <c i="1" r="AG76"/>
  <c i="1" r="AK74"/>
  <c i="1" r="BI101" s="1"/>
  <c i="1" r="AO72"/>
  <c i="1" r="AS70"/>
  <c i="1" r="AA69"/>
  <c i="1" r="AE67"/>
  <c i="1" r="AI65"/>
  <c i="1" r="AM63"/>
  <c i="1" r="AQ61"/>
  <c i="1" r="AO81"/>
  <c i="1" r="AI63"/>
  <c i="1" r="AK81"/>
  <c i="1" r="AK68"/>
  <c i="1" r="AJ81"/>
  <c i="1" r="AN79"/>
  <c i="1" r="AR77"/>
  <c i="1" r="Z76"/>
  <c i="1" r="AD74"/>
  <c i="1" r="AH72"/>
  <c i="1" r="BF99" s="1"/>
  <c i="1" r="AL70"/>
  <c i="1" r="AP68"/>
  <c i="1" r="AT66"/>
  <c i="1" r="AB65"/>
  <c i="1" r="AF63"/>
  <c i="1" r="AJ61"/>
  <c i="1" r="AU73"/>
  <c i="1" r="AI81"/>
  <c i="1" r="AM79"/>
  <c i="1" r="BK106" s="1"/>
  <c i="1" r="AQ77"/>
  <c i="1" r="AU75"/>
  <c i="1" r="AC74"/>
  <c i="1" r="AG72"/>
  <c i="1" r="AK70"/>
  <c i="1" r="AO68"/>
  <c i="1" r="AS66"/>
  <c i="1" r="AA65"/>
  <c i="1" r="AE63"/>
  <c i="1" r="AI61"/>
  <c i="1" r="AS64"/>
  <c i="1" r="AG81"/>
  <c i="1" r="AK79"/>
  <c i="1" r="BI106" s="1"/>
  <c i="1" r="AO77"/>
  <c i="1" r="AS75"/>
  <c i="1" r="AA74"/>
  <c i="1" r="AY101" s="1"/>
  <c i="1" r="AE72"/>
  <c i="1" r="AI70"/>
  <c i="1" r="AM68"/>
  <c i="1" r="AQ66"/>
  <c i="1" r="AU64"/>
  <c i="1" r="AC63"/>
  <c i="1" r="AG61"/>
  <c i="1" r="AI79"/>
  <c i="1" r="AF81"/>
  <c i="1" r="AJ79"/>
  <c i="1" r="AN77"/>
  <c i="1" r="AR75"/>
  <c i="1" r="Z74"/>
  <c i="1" r="AD72"/>
  <c i="1" r="AH70"/>
  <c i="1" r="AL68"/>
  <c i="1" r="AP66"/>
  <c i="1" r="AT64"/>
  <c i="1" r="AB63"/>
  <c i="1" r="AF61"/>
  <c i="1" r="AD81"/>
  <c i="1" r="AH79"/>
  <c i="1" r="AL77"/>
  <c i="1" r="AP75"/>
  <c i="1" r="AT73"/>
  <c i="1" r="AB72"/>
  <c i="1" r="AF70"/>
  <c i="1" r="BD97" s="1"/>
  <c i="1" r="AJ68"/>
  <c i="1" r="AN66"/>
  <c i="1" r="AR64"/>
  <c i="1" r="Z63"/>
  <c i="1" r="AD61"/>
  <c i="1" r="M63"/>
  <c i="1" r="I65"/>
  <c i="1" r="E67"/>
  <c i="1" r="W68"/>
  <c i="1" r="S70"/>
  <c i="1" r="O72"/>
  <c i="1" r="K74"/>
  <c i="1" r="G76"/>
  <c i="1" r="C78"/>
  <c i="1" r="U79"/>
  <c i="1" r="Q81"/>
  <c i="1" r="N61"/>
  <c i="1" r="K80"/>
  <c i="1" r="B75"/>
  <c i="1" r="I81"/>
  <c i="1" r="N63"/>
  <c i="1" r="J65"/>
  <c i="1" r="F67"/>
  <c i="1" r="B69"/>
  <c i="1" r="T70"/>
  <c i="1" r="P72"/>
  <c i="1" r="L74"/>
  <c i="1" r="H76"/>
  <c i="1" r="D78"/>
  <c i="1" r="V79"/>
  <c i="1" r="R81"/>
  <c i="1" r="O61"/>
  <c i="1" r="M69"/>
  <c i="1" r="F61"/>
  <c i="1" r="O63"/>
  <c i="1" r="K65"/>
  <c i="1" r="G67"/>
  <c i="1" r="C69"/>
  <c i="1" r="U70"/>
  <c i="1" r="Q72"/>
  <c i="1" r="M74"/>
  <c i="1" r="I76"/>
  <c i="1" r="E78"/>
  <c i="1" r="W79"/>
  <c i="1" r="S81"/>
  <c i="1" r="P61"/>
  <c i="1" r="C64"/>
  <c i="1" r="H62"/>
  <c i="1" r="V65"/>
  <c i="1" r="N69"/>
  <c i="1" r="T76"/>
  <c i="1" r="P63"/>
  <c i="1" r="L65"/>
  <c i="1" r="H67"/>
  <c i="1" r="D69"/>
  <c i="1" r="V70"/>
  <c i="1" r="R72"/>
  <c i="1" r="N74"/>
  <c i="1" r="J76"/>
  <c i="1" r="F78"/>
  <c i="1" r="B80"/>
  <c i="1" r="T81"/>
  <c i="1" r="Q61"/>
  <c i="1" r="U65"/>
  <c i="1" r="R67"/>
  <c i="1" r="H82"/>
  <c i="1" r="V64"/>
  <c i="1" r="H81"/>
  <c i="1" r="Q63"/>
  <c i="1" r="M65"/>
  <c i="1" r="I67"/>
  <c i="1" r="E69"/>
  <c i="1" r="W70"/>
  <c i="1" r="S72"/>
  <c i="1" r="O74"/>
  <c i="1" r="K76"/>
  <c i="1" r="G78"/>
  <c i="1" r="C80"/>
  <c i="1" r="U81"/>
  <c i="1" r="R61"/>
  <c i="1" r="I71"/>
  <c i="1" r="Q77"/>
  <c i="1" r="R63"/>
  <c i="1" r="N65"/>
  <c i="1" r="J67"/>
  <c i="1" r="F69"/>
  <c i="1" r="B71"/>
  <c i="1" r="T72"/>
  <c i="1" r="P74"/>
  <c i="1" r="L76"/>
  <c i="1" r="H78"/>
  <c i="1" r="D80"/>
  <c i="1" r="V81"/>
  <c i="1" r="S61"/>
  <c i="1" r="Q67"/>
  <c i="1" r="S63"/>
  <c i="1" r="O65"/>
  <c i="1" r="K67"/>
  <c i="1" r="G69"/>
  <c i="1" r="C71"/>
  <c i="1" r="U72"/>
  <c i="1" r="Q74"/>
  <c i="1" r="M76"/>
  <c i="1" r="I78"/>
  <c i="1" r="E80"/>
  <c i="1" r="W81"/>
  <c i="1" r="T61"/>
  <c i="1" r="N68"/>
  <c i="1" r="B62"/>
  <c i="1" r="T63"/>
  <c i="1" r="P65"/>
  <c i="1" r="L67"/>
  <c i="1" r="H69"/>
  <c i="1" r="D71"/>
  <c i="1" r="V72"/>
  <c i="1" r="R74"/>
  <c i="1" r="N76"/>
  <c i="1" r="J78"/>
  <c i="1" r="F80"/>
  <c i="1" r="B82"/>
  <c i="1" r="U61"/>
  <c i="1" r="G82"/>
  <c i="1" r="C62"/>
  <c i="1" r="U63"/>
  <c i="1" r="Q65"/>
  <c i="1" r="M67"/>
  <c i="1" r="I69"/>
  <c i="1" r="E71"/>
  <c i="1" r="W72"/>
  <c i="1" r="S74"/>
  <c i="1" r="O76"/>
  <c i="1" r="K78"/>
  <c i="1" r="G80"/>
  <c i="1" r="C82"/>
  <c i="1" r="V61"/>
  <c i="1" r="W74"/>
  <c i="1" r="M79"/>
  <c i="1" r="D62"/>
  <c i="1" r="V63"/>
  <c i="1" r="R65"/>
  <c i="1" r="N67"/>
  <c i="1" r="J69"/>
  <c i="1" r="F71"/>
  <c i="1" r="B73"/>
  <c i="1" r="T74"/>
  <c i="1" r="P76"/>
  <c i="1" r="L78"/>
  <c i="1" r="H80"/>
  <c i="1" r="D82"/>
  <c i="1" r="W61"/>
  <c i="1" r="R66"/>
  <c i="1" r="E62"/>
  <c i="1" r="W63"/>
  <c i="1" r="S65"/>
  <c i="1" r="O67"/>
  <c i="1" r="K69"/>
  <c i="1" r="G71"/>
  <c i="1" r="C73"/>
  <c i="1" r="U74"/>
  <c i="1" r="Q76"/>
  <c i="1" r="M78"/>
  <c i="1" r="I80"/>
  <c i="1" r="E82"/>
  <c i="1" r="B61"/>
  <c i="1" r="S76"/>
  <c i="1" r="D64"/>
  <c i="1" r="J71"/>
  <c i="1" r="P78"/>
  <c i="1" r="F62"/>
  <c i="1" r="B64"/>
  <c i="1" r="T65"/>
  <c i="1" r="P67"/>
  <c i="1" r="L69"/>
  <c i="1" r="H71"/>
  <c i="1" r="D73"/>
  <c i="1" r="V74"/>
  <c i="1" r="R76"/>
  <c i="1" r="N78"/>
  <c i="1" r="J80"/>
  <c i="1" r="F82"/>
  <c i="1" r="E73"/>
  <c i="1" r="F73"/>
  <c i="1" r="G62"/>
  <c i="1" r="O78"/>
  <c i="1" r="L80"/>
  <c i="1" r="I62"/>
  <c i="1" r="E64"/>
  <c i="1" r="W65"/>
  <c i="1" r="S67"/>
  <c i="1" r="O69"/>
  <c i="1" r="K71"/>
  <c i="1" r="G73"/>
  <c i="1" r="C75"/>
  <c i="1" r="U76"/>
  <c i="1" r="Q78"/>
  <c i="1" r="M80"/>
  <c i="1" r="I82"/>
  <c i="1" r="J62"/>
  <c i="1" r="F64"/>
  <c i="1" r="B66"/>
  <c i="1" r="T67"/>
  <c i="1" r="P69"/>
  <c i="1" r="L71"/>
  <c i="1" r="H73"/>
  <c i="1" r="D75"/>
  <c i="1" r="V76"/>
  <c i="1" r="R78"/>
  <c i="1" r="N80"/>
  <c i="1" r="J82"/>
  <c i="1" r="D63"/>
  <c i="1" r="K62"/>
  <c i="1" r="G64"/>
  <c i="1" r="C66"/>
  <c i="1" r="U67"/>
  <c i="1" r="Q69"/>
  <c i="1" r="M71"/>
  <c i="1" r="I73"/>
  <c i="1" r="E75"/>
  <c i="1" r="W76"/>
  <c i="1" r="S78"/>
  <c i="1" r="O80"/>
  <c i="1" r="K82"/>
  <c i="1" r="S66"/>
  <c i="1" r="L62"/>
  <c i="1" r="H64"/>
  <c i="1" r="D66"/>
  <c i="1" r="V67"/>
  <c i="1" r="R69"/>
  <c i="1" r="N71"/>
  <c i="1" r="J73"/>
  <c i="1" r="F75"/>
  <c i="1" r="B77"/>
  <c i="1" r="T78"/>
  <c i="1" r="P80"/>
  <c i="1" r="L82"/>
  <c i="1" r="P77"/>
  <c i="1" r="C74"/>
  <c i="1" r="M62"/>
  <c i="1" r="I64"/>
  <c i="1" r="E66"/>
  <c i="1" r="W67"/>
  <c i="1" r="S69"/>
  <c i="1" r="O71"/>
  <c i="1" r="K73"/>
  <c i="1" r="G75"/>
  <c i="1" r="C77"/>
  <c i="1" r="U78"/>
  <c i="1" r="Q80"/>
  <c i="1" r="M82"/>
  <c i="1" r="N62"/>
  <c i="1" r="J64"/>
  <c i="1" r="F66"/>
  <c i="1" r="B68"/>
  <c i="1" r="T69"/>
  <c i="1" r="P71"/>
  <c i="1" r="L73"/>
  <c i="1" r="H75"/>
  <c i="1" r="D77"/>
  <c i="1" r="V78"/>
  <c i="1" r="R80"/>
  <c i="1" r="N82"/>
  <c i="1" r="T75"/>
  <c i="1" r="O62"/>
  <c i="1" r="K64"/>
  <c i="1" r="G66"/>
  <c i="1" r="C68"/>
  <c i="1" r="U69"/>
  <c i="1" r="Q71"/>
  <c i="1" r="M73"/>
  <c i="1" r="I75"/>
  <c i="1" r="E77"/>
  <c i="1" r="W78"/>
  <c i="1" r="S80"/>
  <c i="1" r="O82"/>
  <c i="1" r="O68"/>
  <c i="1" r="P62"/>
  <c i="1" r="L64"/>
  <c i="1" r="H66"/>
  <c i="1" r="D68"/>
  <c i="1" r="V69"/>
  <c i="1" r="R71"/>
  <c i="1" r="N73"/>
  <c i="1" r="J75"/>
  <c i="1" r="F77"/>
  <c i="1" r="B79"/>
  <c i="1" r="T80"/>
  <c i="1" r="P82"/>
  <c i="1" r="Q62"/>
  <c i="1" r="M64"/>
  <c i="1" r="I66"/>
  <c i="1" r="E68"/>
  <c i="1" r="W69"/>
  <c i="1" r="S71"/>
  <c i="1" r="O73"/>
  <c i="1" r="K75"/>
  <c i="1" r="G77"/>
  <c i="1" r="C79"/>
  <c i="1" r="U80"/>
  <c i="1" r="Q82"/>
  <c i="1" r="R62"/>
  <c i="1" r="N64"/>
  <c i="1" r="J66"/>
  <c i="1" r="F68"/>
  <c i="1" r="B70"/>
  <c i="1" r="T71"/>
  <c i="1" r="P73"/>
  <c i="1" r="L75"/>
  <c i="1" r="H77"/>
  <c i="1" r="D79"/>
  <c i="1" r="V80"/>
  <c i="1" r="R82"/>
  <c i="1" r="G72"/>
  <c i="1" r="S62"/>
  <c i="1" r="O64"/>
  <c i="1" r="K66"/>
  <c i="1" r="G68"/>
  <c i="1" r="C70"/>
  <c i="1" r="U71"/>
  <c i="1" r="Q73"/>
  <c i="1" r="M75"/>
  <c i="1" r="I77"/>
  <c i="1" r="E79"/>
  <c i="1" r="W80"/>
  <c i="1" r="S82"/>
  <c i="1" r="B74"/>
  <c i="1" r="E63"/>
  <c i="1" r="T62"/>
  <c i="1" r="P64"/>
  <c i="1" r="L66"/>
  <c i="1" r="H68"/>
  <c i="1" r="D70"/>
  <c i="1" r="V71"/>
  <c i="1" r="R73"/>
  <c i="1" r="N75"/>
  <c i="1" r="J77"/>
  <c i="1" r="F79"/>
  <c i="1" r="B81"/>
  <c i="1" r="T82"/>
  <c i="1" r="Q75"/>
  <c i="1" r="E61"/>
  <c i="1" r="U62"/>
  <c i="1" r="Q64"/>
  <c i="1" r="M66"/>
  <c i="1" r="I68"/>
  <c i="1" r="E70"/>
  <c i="1" r="W71"/>
  <c i="1" r="S73"/>
  <c i="1" r="O75"/>
  <c i="1" r="K77"/>
  <c i="1" r="G79"/>
  <c i="1" r="C81"/>
  <c i="1" r="U82"/>
  <c i="1" r="S64"/>
  <c i="1" r="W82"/>
  <c i="1" r="F72"/>
  <c i="1" r="V62"/>
  <c i="1" r="R64"/>
  <c i="1" r="N66"/>
  <c i="1" r="J68"/>
  <c i="1" r="F70"/>
  <c i="1" r="B72"/>
  <c i="1" r="T73"/>
  <c i="1" r="P75"/>
  <c i="1" r="L77"/>
  <c i="1" r="H79"/>
  <c i="1" r="D81"/>
  <c i="1" r="V82"/>
  <c i="1" r="W62"/>
  <c i="1" r="O66"/>
  <c i="1" r="K68"/>
  <c i="1" r="G70"/>
  <c i="1" r="C72"/>
  <c i="1" r="U73"/>
  <c i="1" r="M77"/>
  <c i="1" r="I79"/>
  <c i="1" r="E81"/>
  <c i="1" r="L79"/>
  <c i="1" r="U75"/>
  <c i="1" r="B63"/>
  <c i="1" r="T64"/>
  <c i="1" r="P66"/>
  <c i="1" r="L68"/>
  <c i="1" r="H70"/>
  <c i="1" r="D72"/>
  <c i="1" r="V73"/>
  <c i="1" r="R75"/>
  <c i="1" r="N77"/>
  <c i="1" r="J79"/>
  <c i="1" r="F81"/>
  <c i="1" r="C61"/>
  <c i="1" r="W64"/>
  <c i="1" r="C63"/>
  <c i="1" r="U64"/>
  <c i="1" r="Q66"/>
  <c i="1" r="M68"/>
  <c i="1" r="I70"/>
  <c i="1" r="E72"/>
  <c i="1" r="W73"/>
  <c i="1" r="S75"/>
  <c i="1" r="O77"/>
  <c i="1" r="K79"/>
  <c i="1" r="G81"/>
  <c i="1" r="D61"/>
  <c i="1" r="J70"/>
  <c i="1" r="F63"/>
  <c i="1" r="B65"/>
  <c i="1" r="T66"/>
  <c i="1" r="P68"/>
  <c i="1" r="L70"/>
  <c i="1" r="H72"/>
  <c i="1" r="D74"/>
  <c i="1" r="V75"/>
  <c i="1" r="R77"/>
  <c i="1" r="N79"/>
  <c i="1" r="J81"/>
  <c i="1" r="G61"/>
  <c i="1" r="G63"/>
  <c i="1" r="C65"/>
  <c i="1" r="U66"/>
  <c i="1" r="Q68"/>
  <c i="1" r="M70"/>
  <c i="1" r="I72"/>
  <c i="1" r="E74"/>
  <c i="1" r="W75"/>
  <c i="1" r="S77"/>
  <c i="1" r="O79"/>
  <c i="1" r="K81"/>
  <c i="1" r="H61"/>
  <c i="1" r="H63"/>
  <c i="1" r="D65"/>
  <c i="1" r="V66"/>
  <c i="1" r="R68"/>
  <c i="1" r="N70"/>
  <c i="1" r="J72"/>
  <c i="1" r="F74"/>
  <c i="1" r="B76"/>
  <c i="1" r="T77"/>
  <c i="1" r="P79"/>
  <c i="1" r="L81"/>
  <c i="1" r="I61"/>
  <c i="1" r="L63"/>
  <c i="1" r="H65"/>
  <c i="1" r="D67"/>
  <c i="1" r="V68"/>
  <c i="1" r="R70"/>
  <c i="1" r="N72"/>
  <c i="1" r="J74"/>
  <c i="1" r="F76"/>
  <c i="1" r="B78"/>
  <c i="1" r="T79"/>
  <c i="1" r="P81"/>
  <c i="1" r="M61"/>
  <c i="1" r="K70"/>
  <c i="1" r="C67"/>
  <c i="1" r="V77"/>
  <c i="1" r="Q79"/>
  <c i="1" r="S68"/>
  <c i="1" r="E65"/>
  <c i="1" r="T68"/>
  <c i="1" r="U68"/>
  <c i="1" r="O70"/>
  <c i="1" r="P70"/>
  <c i="1" r="Q70"/>
  <c i="1" r="G65"/>
  <c i="1" r="K72"/>
  <c i="1" r="U77"/>
  <c i="1" r="F65"/>
  <c i="1" r="L72"/>
  <c i="1" r="R79"/>
  <c i="1" r="M72"/>
  <c i="1" r="G74"/>
  <c i="1" r="H74"/>
  <c i="1" r="L61"/>
  <c i="1" r="I74"/>
  <c i="1" r="C76"/>
  <c i="1" r="D76"/>
  <c i="1" r="W77"/>
  <c i="1" r="E76"/>
  <c i="1" r="S79"/>
  <c i="1" r="M81"/>
  <c i="1" r="N81"/>
  <c i="1" r="O81"/>
  <c i="1" r="K61"/>
  <c i="1" r="J61"/>
  <c i="1" r="I63"/>
  <c i="1" r="J63"/>
  <c i="1" r="K63"/>
  <c i="1" r="B67"/>
  <c i="1" r="W66"/>
  <c i="1" l="1" r="BI99"/>
  <c i="18" r="BN30"/>
  <c i="18" r="BE30"/>
  <c i="18" r="CY7" s="1"/>
  <c i="18" r="CZ7" s="1"/>
  <c i="18" r="DA7" s="1"/>
  <c i="1" r="BA91"/>
  <c i="1" r="BC109"/>
  <c i="1" r="BN95"/>
  <c i="18" r="AV110"/>
  <c i="18" r="AV136" s="1"/>
  <c i="1" r="AZ106"/>
  <c i="1" r="BB100"/>
  <c i="1" r="BA106"/>
  <c i="1" r="BA98"/>
  <c i="1" r="BL88"/>
  <c i="1" r="BC93"/>
  <c i="1" r="BH96"/>
  <c i="1" r="BD109"/>
  <c i="1" r="BF108"/>
  <c i="1" r="AZ88"/>
  <c i="18" r="X51"/>
  <c i="18" r="V61" s="1"/>
  <c i="1" r="BC103"/>
  <c i="18" r="BC57"/>
  <c i="1" r="BQ98"/>
  <c i="1" r="BI102"/>
  <c i="1" r="BK101"/>
  <c i="1" r="BP103"/>
  <c i="1" r="AY94"/>
  <c i="1" r="BE97"/>
  <c i="1" r="AX99"/>
  <c i="1" r="BP89"/>
  <c i="18" r="CV17"/>
  <c i="18" r="CY16"/>
  <c i="18" r="CX16"/>
  <c i="18" r="BQ30"/>
  <c i="18" r="BQ51" s="1"/>
  <c i="18" r="BB30"/>
  <c i="18" r="CY4" s="1"/>
  <c i="18" r="CZ4" s="1"/>
  <c i="18" r="DA4" s="1"/>
  <c i="18" r="BS30"/>
  <c i="18" r="BS51" s="1"/>
  <c i="18" r="AW30"/>
  <c a="1" i="18" r="AK9" s="1"/>
  <c i="18" r="AK9" s="1"/>
  <c i="18" r="BL30"/>
  <c i="18" r="CY14" s="1"/>
  <c i="18" r="CZ14" s="1"/>
  <c i="18" r="DA14" s="1"/>
  <c i="18" r="BJ30"/>
  <c i="18" r="CY12" s="1"/>
  <c i="18" r="CZ12" s="1"/>
  <c i="18" r="DA12" s="1"/>
  <c i="18" r="BO30"/>
  <c i="18" r="CM30" s="1"/>
  <c i="1" r="BL90"/>
  <c i="1" r="BD107"/>
  <c i="18" r="BG30"/>
  <c i="18" r="CY9" s="1"/>
  <c i="18" r="CZ9" s="1"/>
  <c i="18" r="DA9" s="1"/>
  <c i="18" r="BF30"/>
  <c i="18" r="CY8" s="1"/>
  <c i="18" r="CZ8" s="1"/>
  <c i="18" r="DA8" s="1"/>
  <c i="18" r="BM30"/>
  <c i="18" r="CY15" s="1"/>
  <c i="18" r="CZ15" s="1"/>
  <c i="18" r="DA15" s="1"/>
  <c i="18" r="BR30"/>
  <c i="18" r="BR51" s="1"/>
  <c i="18" r="BT30"/>
  <c i="18" r="BT51" s="1"/>
  <c i="18" r="AZ30"/>
  <c i="18" r="CY2" s="1"/>
  <c i="18" r="CZ2" s="1"/>
  <c i="18" r="DA2" s="1"/>
  <c i="18" r="BC30"/>
  <c i="18" r="CY5" s="1"/>
  <c i="18" r="CZ5" s="1"/>
  <c i="18" r="DA5" s="1"/>
  <c i="18" r="BD30"/>
  <c i="18" r="CY6" s="1"/>
  <c i="18" r="CZ6" s="1"/>
  <c i="18" r="DA6" s="1"/>
  <c i="1" r="BC90"/>
  <c i="18" r="BK30"/>
  <c i="18" r="CY13" s="1"/>
  <c i="18" r="CZ13" s="1"/>
  <c i="18" r="DA13" s="1"/>
  <c i="18" r="BP30"/>
  <c i="18" r="BP51" s="1"/>
  <c i="18" r="BA30"/>
  <c i="18" r="CY3" s="1"/>
  <c i="18" r="CZ3" s="1"/>
  <c i="18" r="DA3" s="1"/>
  <c i="1" r="BM90"/>
  <c i="18" r="BI30"/>
  <c i="18" r="CY11" s="1"/>
  <c i="18" r="CZ11" s="1"/>
  <c i="18" r="DA11" s="1"/>
  <c i="18" r="AV112"/>
  <c i="18" r="AV138" s="1"/>
  <c i="1" r="BI97"/>
  <c i="18" r="BH30"/>
  <c i="18" r="CY10" s="1"/>
  <c i="18" r="CZ10" s="1"/>
  <c i="18" r="DA10" s="1"/>
  <c i="1" r="BE96"/>
  <c i="1" r="BH91"/>
  <c i="1" r="BB91"/>
  <c i="1" r="BP108"/>
  <c i="1" r="BR103"/>
  <c i="1" r="BN93"/>
  <c i="1" r="BR88"/>
  <c i="1" r="BD106"/>
  <c i="1" r="BO90"/>
  <c i="1" r="BO107"/>
  <c i="1" r="BK109"/>
  <c i="1" r="AX88"/>
  <c i="1" r="BO89"/>
  <c i="1" r="AZ92"/>
  <c i="1" r="AY90"/>
  <c i="1" r="BD99"/>
  <c i="1" r="BM97"/>
  <c i="1" r="AY105"/>
  <c i="1" r="BR106"/>
  <c i="1" r="BM91"/>
  <c i="1" r="AX91"/>
  <c i="1" r="BN107"/>
  <c i="1" r="BQ101"/>
  <c i="1" r="BA108"/>
  <c i="1" r="BM92"/>
  <c i="1" r="AZ90"/>
  <c i="1" r="BO95"/>
  <c i="1" r="BJ101"/>
  <c i="1" r="BC88"/>
  <c i="1" r="BR104"/>
  <c i="1" r="BE102"/>
  <c i="1" r="BN103"/>
  <c i="1" r="BJ105"/>
  <c i="1" r="BS105"/>
  <c i="1" r="BJ95"/>
  <c i="1" r="AZ95"/>
  <c i="1" r="BJ89"/>
  <c i="1" r="BL95"/>
  <c i="1" r="AY88"/>
  <c i="1" r="BR109"/>
  <c i="1" r="BB109"/>
  <c i="1" r="BJ91"/>
  <c i="1" r="BB90"/>
  <c i="1" r="AX103"/>
  <c i="1" r="BL102"/>
  <c i="1" r="BN92"/>
  <c i="1" r="BN108"/>
  <c i="1" r="BO94"/>
  <c i="1" r="AY102"/>
  <c i="1" r="BN91"/>
  <c i="1" r="BC108"/>
  <c i="1" r="BN99"/>
  <c i="1" r="BD104"/>
  <c i="1" r="BQ103"/>
  <c i="1" r="BB99"/>
  <c i="1" r="BC106"/>
  <c i="1" r="BR101"/>
  <c i="1" r="BL91"/>
  <c i="1" r="BG109"/>
  <c i="1" r="BC94"/>
  <c i="1" r="BQ109"/>
  <c i="1" r="AX101"/>
  <c i="1" r="BG90"/>
  <c i="1" r="BL103"/>
  <c i="1" r="BF106"/>
  <c i="1" r="BE101"/>
  <c i="1" r="BH102"/>
  <c i="1" r="BP93"/>
  <c i="1" r="BF109"/>
  <c i="1" r="BG101"/>
  <c i="1" r="BM109"/>
  <c i="1" r="BS93"/>
  <c i="1" r="BP97"/>
  <c i="1" r="BA104"/>
  <c i="1" r="AZ100"/>
  <c i="1" r="BJ93"/>
  <c i="1" r="BD88"/>
  <c i="1" r="AX98"/>
  <c i="1" r="BJ88"/>
  <c i="1" r="BF102"/>
  <c i="1" r="BJ106"/>
  <c i="1" r="BS89"/>
  <c i="1" r="BG91"/>
  <c i="1" r="BP90"/>
  <c i="1" r="BO106"/>
  <c i="1" r="BO96"/>
  <c i="1" r="AZ101"/>
  <c i="1" r="BI100"/>
  <c i="1" r="BQ88"/>
  <c i="1" r="BK104"/>
  <c i="1" r="BR95"/>
  <c i="1" r="BM88"/>
  <c i="1" r="BM104"/>
  <c i="1" r="AX106"/>
  <c i="1" r="BB103"/>
  <c i="1" r="BE103"/>
  <c i="1" r="BD92"/>
  <c i="1" r="BG95"/>
  <c i="1" r="BL109"/>
  <c i="1" r="BS106"/>
  <c i="1" r="BR97"/>
  <c i="1" r="AX92"/>
  <c i="1" r="BO108"/>
  <c i="1" r="BP95"/>
  <c i="1" r="BR105"/>
  <c i="1" r="AZ105"/>
  <c i="1" r="AY92"/>
  <c i="1" r="BJ99"/>
  <c i="1" r="BB107"/>
  <c i="1" r="BE95"/>
  <c i="1" r="AX90"/>
  <c i="1" r="BJ90"/>
  <c i="1" r="AX109"/>
  <c i="1" r="BF89"/>
  <c i="1" r="BM95"/>
  <c i="1" r="BM103"/>
  <c i="1" r="BI92"/>
  <c i="1" r="BD101"/>
  <c i="1" r="BI105"/>
  <c i="1" r="AX93"/>
  <c i="1" r="BK108"/>
  <c i="1" r="BE93"/>
  <c i="1" r="BS91"/>
  <c i="1" r="BH95"/>
  <c i="1" r="BE99"/>
  <c i="1" r="BA95"/>
  <c i="1" r="BK102"/>
  <c i="1" r="BA96"/>
  <c i="1" r="BA109"/>
  <c i="1" r="BS96"/>
  <c i="1" r="BM100"/>
  <c i="1" r="AZ99"/>
  <c i="1" r="BR100"/>
  <c i="1" r="BO99"/>
  <c i="1" r="AX94"/>
  <c i="1" r="BL107"/>
  <c i="1" r="BK89"/>
  <c i="1" r="BE104"/>
  <c i="1" r="AY108"/>
  <c i="1" r="BN102"/>
  <c i="1" r="BQ95"/>
  <c i="1" r="AX102"/>
  <c i="1" r="BH109"/>
  <c i="1" r="BG102"/>
  <c i="18" r="AV115"/>
  <c i="18" r="AV141" s="1"/>
  <c i="1" r="BJ104"/>
  <c i="1" r="BG103"/>
  <c i="1" r="BS107"/>
  <c i="1" r="BF88"/>
  <c i="1" r="BS100"/>
  <c i="1" r="BS99"/>
  <c i="1" r="BI90"/>
  <c i="1" r="AY106"/>
  <c i="1" r="BB108"/>
  <c i="1" r="BO101"/>
  <c i="1" r="AZ96"/>
  <c i="1" r="BS104"/>
  <c i="1" r="BQ107"/>
  <c i="1" r="BD90"/>
  <c i="1" r="BR91"/>
  <c i="1" r="BS95"/>
  <c i="1" r="BH101"/>
  <c i="1" r="BA93"/>
  <c i="1" r="BG99"/>
  <c i="1" r="BS94"/>
  <c i="1" r="BB97"/>
  <c i="1" r="BC99"/>
  <c i="1" r="BO103"/>
  <c i="1" r="BE90"/>
  <c i="1" r="AZ109"/>
  <c i="1" r="BK93"/>
  <c i="1" r="AZ98"/>
  <c i="1" r="BO92"/>
  <c i="1" r="AZ93"/>
  <c i="1" r="BR94"/>
  <c i="1" r="BL101"/>
  <c i="1" r="BK91"/>
  <c i="1" r="BI104"/>
  <c i="1" r="BQ93"/>
  <c i="1" r="BN96"/>
  <c i="1" r="BG93"/>
  <c i="1" r="AZ91"/>
  <c i="1" r="BJ98"/>
  <c i="1" r="BI91"/>
  <c i="1" r="BC95"/>
  <c i="1" r="BS98"/>
  <c i="1" r="BF100"/>
  <c i="1" r="AY97"/>
  <c i="1" r="AX105"/>
  <c i="1" r="BP94"/>
  <c i="1" r="BK99"/>
  <c i="1" r="BD103"/>
  <c i="1" r="BL96"/>
  <c i="1" r="BG104"/>
  <c i="1" r="BS102"/>
  <c i="1" r="BP105"/>
  <c i="18" r="CQ42"/>
  <c i="18" r="AT122"/>
  <c i="18" r="AT148" s="1"/>
  <c i="18" r="BY49"/>
  <c i="18" r="AB129"/>
  <c i="18" r="AB155" s="1"/>
  <c i="18" r="CF45"/>
  <c i="18" r="AI125"/>
  <c i="18" r="AI151" s="1"/>
  <c i="18" r="CB31"/>
  <c i="18" r="AE111"/>
  <c i="18" r="AE137" s="1"/>
  <c i="18" r="CI35"/>
  <c i="18" r="AL115"/>
  <c i="18" r="AL141" s="1"/>
  <c i="18" r="CQ36"/>
  <c i="18" r="AT116"/>
  <c i="18" r="AT142" s="1"/>
  <c i="18" r="CK34"/>
  <c i="18" r="AN114"/>
  <c i="18" r="AN140" s="1"/>
  <c i="18" r="CD33"/>
  <c i="18" r="AG113"/>
  <c i="18" r="AG139" s="1"/>
  <c i="18" r="CB47"/>
  <c i="18" r="AE127"/>
  <c i="18" r="AE153" s="1"/>
  <c i="18" r="CJ42"/>
  <c i="18" r="AM122"/>
  <c i="18" r="AM148" s="1"/>
  <c i="18" r="CF49"/>
  <c i="18" r="AI129"/>
  <c i="18" r="AI155" s="1"/>
  <c i="18" r="CP45"/>
  <c i="18" r="AS125"/>
  <c i="18" r="AS151" s="1"/>
  <c i="18" r="AN111"/>
  <c i="18" r="AN137" s="1"/>
  <c i="18" r="CK31"/>
  <c i="18" r="AA110"/>
  <c i="18" r="AA136" s="1"/>
  <c i="18" r="BX30"/>
  <c i="18" r="AZ51"/>
  <c i="18" r="CM35"/>
  <c i="18" r="AP115"/>
  <c i="18" r="AP141" s="1"/>
  <c i="18" r="CA36"/>
  <c i="18" r="AD116"/>
  <c i="18" r="AD142" s="1"/>
  <c i="18" r="CF34"/>
  <c i="18" r="AI114"/>
  <c i="18" r="AI140" s="1"/>
  <c i="18" r="CK33"/>
  <c i="18" r="AN113"/>
  <c i="18" r="AN139" s="1"/>
  <c i="18" r="CK47"/>
  <c i="18" r="AN127"/>
  <c i="18" r="AN153" s="1"/>
  <c i="18" r="CO42"/>
  <c i="18" r="AR122"/>
  <c i="18" r="AR148" s="1"/>
  <c i="18" r="CC49"/>
  <c i="18" r="AF129"/>
  <c i="18" r="AF155" s="1"/>
  <c i="18" r="BY45"/>
  <c i="18" r="AB125"/>
  <c i="18" r="AB151" s="1"/>
  <c i="18" r="CE31"/>
  <c i="18" r="AH111"/>
  <c i="18" r="AH137" s="1"/>
  <c i="18" r="CC35"/>
  <c i="18" r="AF115"/>
  <c i="18" r="AF141" s="1"/>
  <c i="18" r="CL36"/>
  <c i="18" r="AO116"/>
  <c i="18" r="AO142" s="1"/>
  <c i="18" r="CC34"/>
  <c i="18" r="AF114"/>
  <c i="18" r="AF140" s="1"/>
  <c i="18" r="CO33"/>
  <c i="18" r="AR113"/>
  <c i="18" r="AR139" s="1"/>
  <c i="18" r="CI47"/>
  <c i="18" r="AL127"/>
  <c i="18" r="AL153" s="1"/>
  <c i="18" r="CM42"/>
  <c i="18" r="AP122"/>
  <c i="18" r="AP148" s="1"/>
  <c i="18" r="CB35"/>
  <c i="18" r="AE115"/>
  <c i="18" r="AE141" s="1"/>
  <c i="1" r="CH28"/>
  <c i="18" r="N10" s="1"/>
  <c i="18" r="R10" s="1"/>
  <c i="18" r="AE10" s="1"/>
  <c i="18" r="J24"/>
  <c i="18" r="CJ49"/>
  <c i="18" r="AM129"/>
  <c i="18" r="AM155" s="1"/>
  <c i="18" r="CC45"/>
  <c i="18" r="AF125"/>
  <c i="18" r="AF151" s="1"/>
  <c i="18" r="CP31"/>
  <c i="18" r="AS111"/>
  <c i="18" r="AS137" s="1"/>
  <c i="18" r="AE110"/>
  <c i="18" r="AE136" s="1"/>
  <c i="18" r="CB30"/>
  <c i="18" r="BD51"/>
  <c i="18" r="CQ35"/>
  <c i="18" r="AT115"/>
  <c i="18" r="AT141" s="1"/>
  <c i="18" r="AV116"/>
  <c i="18" r="AV142" s="1"/>
  <c i="18" r="CE38"/>
  <c i="18" r="AH118"/>
  <c i="18" r="AH144" s="1"/>
  <c i="18" r="CN34"/>
  <c i="18" r="AQ114"/>
  <c i="18" r="AQ140" s="1"/>
  <c i="18" r="CE33"/>
  <c i="18" r="AH113"/>
  <c i="18" r="AH139" s="1"/>
  <c i="18" r="CO47"/>
  <c i="18" r="AR127"/>
  <c i="18" r="AR153" s="1"/>
  <c i="18" r="CE42"/>
  <c i="18" r="AH122"/>
  <c i="18" r="AH148" s="1"/>
  <c i="18" r="CQ49"/>
  <c i="18" r="AT129"/>
  <c i="18" r="AT155" s="1"/>
  <c i="18" r="CO49"/>
  <c i="18" r="AR129"/>
  <c i="18" r="AR155" s="1"/>
  <c i="18" r="CL45"/>
  <c i="18" r="AO125"/>
  <c i="18" r="AO151" s="1"/>
  <c i="18" r="CJ35"/>
  <c i="18" r="AM115"/>
  <c i="18" r="AM141" s="1"/>
  <c i="18" r="CM38"/>
  <c i="18" r="AP118"/>
  <c i="18" r="AP144" s="1"/>
  <c i="18" r="AV114"/>
  <c i="18" r="AV140" s="1"/>
  <c i="18" r="BY33"/>
  <c i="18" r="AB113"/>
  <c i="18" r="AB139" s="1"/>
  <c i="18" r="CC47"/>
  <c i="18" r="AF127"/>
  <c i="18" r="AF153" s="1"/>
  <c i="18" r="BZ42"/>
  <c i="18" r="AC122"/>
  <c i="18" r="AC148" s="1"/>
  <c i="18" r="BZ49"/>
  <c i="18" r="AC129"/>
  <c i="18" r="AC155" s="1"/>
  <c i="18" r="CJ45"/>
  <c i="18" r="AM125"/>
  <c i="18" r="AM151" s="1"/>
  <c i="18" r="CN30"/>
  <c i="18" r="AQ110"/>
  <c i="18" r="AQ136" s="1"/>
  <c i="18" r="BZ35"/>
  <c i="18" r="AC115"/>
  <c i="18" r="AC141" s="1"/>
  <c i="18" r="CP38"/>
  <c i="18" r="AS118"/>
  <c i="18" r="AS144" s="1"/>
  <c i="18" r="CF33"/>
  <c i="18" r="AI113"/>
  <c i="18" r="AI139" s="1"/>
  <c i="18" r="CF47"/>
  <c i="18" r="AI127"/>
  <c i="18" r="AI153" s="1"/>
  <c i="18" r="CH42"/>
  <c i="18" r="AK122"/>
  <c i="18" r="AK148" s="1"/>
  <c i="18" r="CP34"/>
  <c i="18" r="AS114"/>
  <c i="18" r="AS140" s="1"/>
  <c i="18" r="CI49"/>
  <c i="18" r="AL129"/>
  <c i="18" r="AL155" s="1"/>
  <c i="18" r="CG45"/>
  <c i="18" r="AJ125"/>
  <c i="18" r="AJ151" s="1"/>
  <c i="18" r="CG46"/>
  <c i="18" r="AJ126"/>
  <c i="18" r="AJ152" s="1"/>
  <c i="18" r="CE35"/>
  <c i="18" r="AH115"/>
  <c i="18" r="AH141" s="1"/>
  <c i="18" r="CC38"/>
  <c i="18" r="AF118"/>
  <c i="18" r="AF144" s="1"/>
  <c i="18" r="CL33"/>
  <c i="18" r="AO113"/>
  <c i="18" r="AO139" s="1"/>
  <c i="18" r="CC42"/>
  <c i="18" r="AF122"/>
  <c i="18" r="AF148" s="1"/>
  <c i="18" r="CG49"/>
  <c i="18" r="AJ129"/>
  <c i="18" r="AJ155" s="1"/>
  <c i="18" r="CN45"/>
  <c i="18" r="AQ125"/>
  <c i="18" r="AQ151" s="1"/>
  <c i="18" r="CB46"/>
  <c i="18" r="AE126"/>
  <c i="18" r="AE152" s="1"/>
  <c i="18" r="CN35"/>
  <c i="18" r="AQ115"/>
  <c i="18" r="AQ141" s="1"/>
  <c i="18" r="CH38"/>
  <c i="18" r="AK118"/>
  <c i="18" r="AK144" s="1"/>
  <c i="18" r="CB33"/>
  <c i="18" r="AE113"/>
  <c i="18" r="AE139" s="1"/>
  <c i="18" r="CE48"/>
  <c i="18" r="AH128"/>
  <c i="18" r="AH154" s="1"/>
  <c i="18" r="BX42"/>
  <c i="18" r="AA122"/>
  <c i="18" r="AA148" s="1"/>
  <c i="18" r="CM49"/>
  <c i="18" r="AP129"/>
  <c i="18" r="AP155" s="1"/>
  <c i="18" r="BZ45"/>
  <c i="18" r="AC125"/>
  <c i="18" r="AC151" s="1"/>
  <c i="18" r="CJ46"/>
  <c i="18" r="AM126"/>
  <c i="18" r="AM152" s="1"/>
  <c i="18" r="CD35"/>
  <c i="18" r="AG115"/>
  <c i="18" r="AG141" s="1"/>
  <c i="18" r="CD44"/>
  <c i="18" r="AG124"/>
  <c i="18" r="AG150" s="1"/>
  <c i="18" r="CK38"/>
  <c i="18" r="AN118"/>
  <c i="18" r="AN144" s="1"/>
  <c i="18" r="CG33"/>
  <c i="18" r="AJ113"/>
  <c i="18" r="AJ139" s="1"/>
  <c i="18" r="BZ48"/>
  <c i="18" r="AC128"/>
  <c i="18" r="AC154" s="1"/>
  <c i="18" r="CK42"/>
  <c i="18" r="AN122"/>
  <c i="18" r="AN148" s="1"/>
  <c i="18" r="BX47"/>
  <c i="18" r="AA127"/>
  <c i="18" r="AA153" s="1"/>
  <c i="18" r="CD49"/>
  <c i="18" r="AG129"/>
  <c i="18" r="AG155" s="1"/>
  <c i="18" r="BX45"/>
  <c i="18" r="AA125"/>
  <c i="18" r="AA151" s="1"/>
  <c i="18" r="CL46"/>
  <c i="18" r="AO126"/>
  <c i="18" r="AO152" s="1"/>
  <c i="18" r="BN51"/>
  <c i="18" r="CL30"/>
  <c i="18" r="AO110"/>
  <c i="18" r="AO136" s="1"/>
  <c i="18" r="CF35"/>
  <c i="18" r="AI115"/>
  <c i="18" r="AI141" s="1"/>
  <c i="18" r="CL44"/>
  <c i="18" r="AO124"/>
  <c i="18" r="AO150" s="1"/>
  <c i="18" r="BZ38"/>
  <c i="18" r="AC118"/>
  <c i="18" r="AC144" s="1"/>
  <c i="18" r="CP33"/>
  <c i="18" r="AS113"/>
  <c i="18" r="AS139" s="1"/>
  <c i="18" r="CL48"/>
  <c i="18" r="AO128"/>
  <c i="18" r="AO154" s="1"/>
  <c i="18" r="CP30"/>
  <c i="18" r="AS110"/>
  <c i="18" r="AS136" s="1"/>
  <c i="18" r="CD45"/>
  <c i="18" r="AG125"/>
  <c i="18" r="AG151" s="1"/>
  <c i="18" r="CQ46"/>
  <c i="18" r="AT126"/>
  <c i="18" r="AT152" s="1"/>
  <c i="18" r="AF110"/>
  <c i="18" r="AF136" s="1"/>
  <c i="18" r="CC30"/>
  <c i="18" r="BE51"/>
  <c i="18" r="CK35"/>
  <c i="18" r="AN115"/>
  <c i="18" r="AN141" s="1"/>
  <c i="18" r="CI44"/>
  <c i="18" r="AL124"/>
  <c i="18" r="AL150" s="1"/>
  <c i="18" r="CA38"/>
  <c i="18" r="AD118"/>
  <c i="18" r="AD144" s="1"/>
  <c i="18" r="CH33"/>
  <c i="18" r="AK113"/>
  <c i="18" r="AK139" s="1"/>
  <c i="18" r="CH48"/>
  <c i="18" r="AK128"/>
  <c i="18" r="AK154" s="1"/>
  <c i="18" r="CK32"/>
  <c i="18" r="AN112"/>
  <c i="18" r="AN138" s="1"/>
  <c i="1" r="CF42"/>
  <c i="18" r="L24" s="1"/>
  <c i="18" r="H24"/>
  <c i="18" r="CK45"/>
  <c i="18" r="AN125"/>
  <c i="18" r="AN151" s="1"/>
  <c i="18" r="CE46"/>
  <c i="18" r="AH126"/>
  <c i="18" r="AH152" s="1"/>
  <c i="18" r="BX35"/>
  <c i="18" r="AA115"/>
  <c i="18" r="AA141" s="1"/>
  <c i="18" r="BY44"/>
  <c i="18" r="AB124"/>
  <c i="18" r="AB150" s="1"/>
  <c i="18" r="CF38"/>
  <c i="18" r="AI118"/>
  <c i="18" r="AI144" s="1"/>
  <c i="18" r="CM33"/>
  <c i="18" r="AP113"/>
  <c i="18" r="AP139" s="1"/>
  <c i="18" r="CI48"/>
  <c i="18" r="AL128"/>
  <c i="18" r="AL154" s="1"/>
  <c i="18" r="CB32"/>
  <c i="18" r="AE112"/>
  <c i="18" r="AE138" s="1"/>
  <c i="18" r="CQ45"/>
  <c i="18" r="AT125"/>
  <c i="18" r="AT151" s="1"/>
  <c i="18" r="CM46"/>
  <c i="18" r="AP126"/>
  <c i="18" r="AP152" s="1"/>
  <c i="18" r="CA39"/>
  <c i="18" r="AD119"/>
  <c i="18" r="AD145" s="1"/>
  <c i="18" r="CO35"/>
  <c i="18" r="AR115"/>
  <c i="18" r="AR141" s="1"/>
  <c i="18" r="CG44"/>
  <c i="18" r="AJ124"/>
  <c i="18" r="AJ150" s="1"/>
  <c i="18" r="CN38"/>
  <c i="18" r="AQ118"/>
  <c i="18" r="AQ144" s="1"/>
  <c i="18" r="BZ33"/>
  <c i="18" r="AC113"/>
  <c i="18" r="AC139" s="1"/>
  <c i="18" r="CC48"/>
  <c i="18" r="AF128"/>
  <c i="18" r="AF154" s="1"/>
  <c i="18" r="BY32"/>
  <c i="18" r="AB112"/>
  <c i="18" r="AB138" s="1"/>
  <c i="18" r="CA33"/>
  <c i="18" r="AD113"/>
  <c i="18" r="AD139" s="1"/>
  <c i="18" r="CA45"/>
  <c i="18" r="AD125"/>
  <c i="18" r="AD151" s="1"/>
  <c i="18" r="CP46"/>
  <c i="18" r="AS126"/>
  <c i="18" r="AS152" s="1"/>
  <c i="18" r="CF41"/>
  <c i="18" r="AI121"/>
  <c i="18" r="AI147" s="1"/>
  <c i="18" r="CD39"/>
  <c i="18" r="AG119"/>
  <c i="18" r="AG145" s="1"/>
  <c i="18" r="CG35"/>
  <c i="18" r="AJ115"/>
  <c i="18" r="AJ141" s="1"/>
  <c i="18" r="CJ44"/>
  <c i="18" r="AM124"/>
  <c i="18" r="AM150" s="1"/>
  <c i="18" r="CQ38"/>
  <c i="18" r="AT118"/>
  <c i="18" r="AT144" s="1"/>
  <c i="18" r="CQ33"/>
  <c i="18" r="AT113"/>
  <c i="18" r="AT139" s="1"/>
  <c i="18" r="CJ48"/>
  <c i="18" r="AM128"/>
  <c i="18" r="AM154" s="1"/>
  <c i="18" r="CI32"/>
  <c i="18" r="AL112"/>
  <c i="18" r="AL138" s="1"/>
  <c i="18" r="CI45"/>
  <c i="18" r="AL125"/>
  <c i="18" r="AL151" s="1"/>
  <c i="18" r="CH45"/>
  <c i="18" r="AK125"/>
  <c i="18" r="AK151" s="1"/>
  <c i="18" r="CH46"/>
  <c i="18" r="AK126"/>
  <c i="18" r="AK152" s="1"/>
  <c i="18" r="CB41"/>
  <c i="18" r="AE121"/>
  <c i="18" r="AE147" s="1"/>
  <c i="18" r="CO39"/>
  <c i="18" r="AR119"/>
  <c i="18" r="AR145" s="1"/>
  <c i="18" r="CA35"/>
  <c i="18" r="AD115"/>
  <c i="18" r="AD141" s="1"/>
  <c i="18" r="CB44"/>
  <c i="18" r="AE124"/>
  <c i="18" r="AE150" s="1"/>
  <c i="18" r="CI38"/>
  <c i="18" r="AL118"/>
  <c i="18" r="AL144" s="1"/>
  <c i="18" r="CI33"/>
  <c i="18" r="AL113"/>
  <c i="18" r="AL139" s="1"/>
  <c i="18" r="CF48"/>
  <c i="18" r="AI128"/>
  <c i="18" r="AI154" s="1"/>
  <c i="18" r="CN32"/>
  <c i="18" r="AQ112"/>
  <c i="18" r="AQ138" s="1"/>
  <c i="18" r="CF37"/>
  <c i="18" r="AI117"/>
  <c i="18" r="AI143" s="1"/>
  <c i="18" r="CE45"/>
  <c i="18" r="AH125"/>
  <c i="18" r="AH151" s="1"/>
  <c i="18" r="BZ46"/>
  <c i="18" r="AC126"/>
  <c i="18" r="AC152" s="1"/>
  <c i="18" r="CM41"/>
  <c i="18" r="AP121"/>
  <c i="18" r="AP147" s="1"/>
  <c i="18" r="CL39"/>
  <c i="18" r="AO119"/>
  <c i="18" r="AO145" s="1"/>
  <c i="18" r="CL35"/>
  <c i="18" r="AO115"/>
  <c i="18" r="AO141" s="1"/>
  <c i="18" r="CP44"/>
  <c i="18" r="AS124"/>
  <c i="18" r="AS150" s="1"/>
  <c i="18" r="BX38"/>
  <c i="18" r="AA118"/>
  <c i="18" r="AA144" s="1"/>
  <c i="18" r="CC33"/>
  <c i="18" r="AF113"/>
  <c i="18" r="AF139" s="1"/>
  <c i="18" r="BX48"/>
  <c i="18" r="AA128"/>
  <c i="18" r="AA154" s="1"/>
  <c i="18" r="CQ32"/>
  <c i="18" r="AT112"/>
  <c i="18" r="AT138" s="1"/>
  <c i="18" r="CD36"/>
  <c i="18" r="AG116"/>
  <c i="18" r="AG142" s="1"/>
  <c i="18" r="CQ37"/>
  <c i="18" r="AT117"/>
  <c i="18" r="AT143" s="1"/>
  <c i="18" r="S64"/>
  <c i="18" r="X75"/>
  <c i="18" r="E76"/>
  <c i="18" r="W57"/>
  <c i="18" r="D60"/>
  <c i="18" r="M67"/>
  <c i="18" r="V74"/>
  <c i="18" r="N60"/>
  <c i="18" r="G62"/>
  <c i="18" r="P69"/>
  <c i="18" r="G57"/>
  <c i="18" r="M63"/>
  <c i="18" r="O75"/>
  <c i="18" r="D66"/>
  <c i="18" r="R69"/>
  <c i="18" r="Q66"/>
  <c i="18" r="P59"/>
  <c i="18" r="R61"/>
  <c i="18" r="M78"/>
  <c i="18" r="BJ59" s="1"/>
  <c i="18" r="N58"/>
  <c i="18" r="R74"/>
  <c i="18" r="N76"/>
  <c i="18" r="K71"/>
  <c i="18" r="K58"/>
  <c i="18" r="U78"/>
  <c i="18" r="BR59" s="1"/>
  <c i="18" r="Q62"/>
  <c i="18" r="X60"/>
  <c i="18" r="O66"/>
  <c i="18" r="Q57"/>
  <c i="18" r="R77"/>
  <c i="18" r="W77"/>
  <c i="18" r="E58"/>
  <c i="18" r="I58"/>
  <c i="18" r="R59"/>
  <c i="18" r="BU57"/>
  <c i="18" r="E72"/>
  <c i="18" r="D78"/>
  <c i="18" r="BA59" s="1"/>
  <c i="18" r="V58"/>
  <c i="18" r="T62"/>
  <c i="18" r="K68"/>
  <c i="18" r="R57"/>
  <c i="18" r="O57"/>
  <c i="18" r="T57"/>
  <c i="18" r="W59"/>
  <c i="18" r="R63"/>
  <c i="18" r="E71"/>
  <c i="18" r="N78"/>
  <c i="18" r="BK59" s="1"/>
  <c i="18" r="F64"/>
  <c i="18" r="K60"/>
  <c i="18" r="H60"/>
  <c i="18" r="E74"/>
  <c i="18" r="C76"/>
  <c i="18" r="P60"/>
  <c i="18" r="T71"/>
  <c i="18" r="N61"/>
  <c i="18" r="E57"/>
  <c i="18" r="W78"/>
  <c i="18" r="BT59" s="1"/>
  <c i="18" r="R60"/>
  <c i="18" r="I66"/>
  <c i="18" r="P64"/>
  <c i="18" r="G70"/>
  <c i="18" r="L59"/>
  <c i="18" r="O59"/>
  <c i="18" r="X65"/>
  <c i="18" r="Q67"/>
  <c i="18" r="X73"/>
  <c i="18" r="I60"/>
  <c i="18" r="M76"/>
  <c i="18" r="N62"/>
  <c i="18" r="E68"/>
  <c i="18" r="L66"/>
  <c i="18" r="C72"/>
  <c i="18" r="H61"/>
  <c i="18" r="K61"/>
  <c i="18" r="P61"/>
  <c i="18" r="O63"/>
  <c i="18" r="J67"/>
  <c i="18" r="S74"/>
  <c i="18" r="F61"/>
  <c i="18" r="L78"/>
  <c i="18" r="BI59" s="1"/>
  <c i="18" r="W64"/>
  <c i="18" r="R67"/>
  <c i="18" r="U69"/>
  <c i="18" r="K70"/>
  <c i="18" r="N74"/>
  <c i="18" r="C63"/>
  <c i="18" r="T76"/>
  <c i="18" r="C78"/>
  <c i="18" r="AZ59" s="1"/>
  <c i="18" r="I70"/>
  <c i="18" r="O61"/>
  <c i="18" r="J64"/>
  <c i="18" r="W69"/>
  <c i="18" r="H68"/>
  <c i="18" r="U73"/>
  <c i="18" r="D63"/>
  <c i="18" r="G63"/>
  <c i="18" r="L63"/>
  <c i="18" r="K65"/>
  <c i="18" r="F69"/>
  <c i="18" r="O76"/>
  <c i="18" r="E70"/>
  <c i="18" r="I65"/>
  <c i="18" r="J63"/>
  <c i="18" r="Q71"/>
  <c i="18" r="I78"/>
  <c i="18" r="BF59" s="1"/>
  <c i="18" r="F73"/>
  <c i="18" r="H59"/>
  <c i="18" r="K69"/>
  <c i="18" r="Q77"/>
  <c i="18" r="C73"/>
  <c i="18" r="D58"/>
  <c i="18" r="I62"/>
  <c i="18" r="D71"/>
  <c i="18" r="J65"/>
  <c i="18" r="G73"/>
  <c i="18" r="U76"/>
  <c i="18" r="S58"/>
  <c i="18" r="F66"/>
  <c i="18" r="S71"/>
  <c i="18" r="D70"/>
  <c i="18" r="Q75"/>
  <c i="18" r="V64"/>
  <c i="18" r="C65"/>
  <c i="18" r="H65"/>
  <c i="18" r="G67"/>
  <c i="18" r="X70"/>
  <c i="18" r="K78"/>
  <c i="18" r="BH59" s="1"/>
  <c i="18" r="C64"/>
  <c i="18" r="L71"/>
  <c i="18" r="U70"/>
  <c i="18" r="R65"/>
  <c i="18" r="V73"/>
  <c i="18" r="X69"/>
  <c i="18" r="V65"/>
  <c i="18" r="N77"/>
  <c i="18" r="N69"/>
  <c i="18" r="R72"/>
  <c i="18" r="G72"/>
  <c i="18" r="U64"/>
  <c i="18" r="V57"/>
  <c i="18" r="M60"/>
  <c i="18" r="F74"/>
  <c i="18" r="N63"/>
  <c i="18" r="Q78"/>
  <c i="18" r="BN59" s="1"/>
  <c i="18" r="O60"/>
  <c i="18" r="X67"/>
  <c i="18" r="O73"/>
  <c i="18" r="V71"/>
  <c i="18" r="M77"/>
  <c i="18" r="R66"/>
  <c i="18" r="U66"/>
  <c i="18" r="D67"/>
  <c i="18" r="C69"/>
  <c i="18" r="T72"/>
  <c i="18" r="L58"/>
  <c i="18" r="U65"/>
  <c i="18" r="H73"/>
  <c i="18" r="V68"/>
  <c i="18" r="E73"/>
  <c i="18" r="H67"/>
  <c i="18" r="Q74"/>
  <c i="18" r="H64"/>
  <c i="18" r="K77"/>
  <c i="18" r="J71"/>
  <c i="18" r="X66"/>
  <c i="18" r="O67"/>
  <c i="18" r="D61"/>
  <c i="18" r="P65"/>
  <c i="18" r="L67"/>
  <c i="18" r="V59"/>
  <c i="18" r="Q76"/>
  <c i="18" r="N59"/>
  <c i="18" r="G75"/>
  <c i="18" r="K62"/>
  <c i="18" r="T69"/>
  <c i="18" r="K75"/>
  <c i="18" r="R73"/>
  <c i="18" r="J57"/>
  <c i="18" r="N68"/>
  <c i="18" r="Q68"/>
  <c i="18" r="D75"/>
  <c i="18" r="K64"/>
  <c i="18" r="S65"/>
  <c i="18" r="T68"/>
  <c i="18" r="G76"/>
  <c i="18" r="G71"/>
  <c i="18" r="R64"/>
  <c i="18" r="G64"/>
  <c i="18" r="P71"/>
  <c i="18" r="G77"/>
  <c i="18" r="N75"/>
  <c i="18" r="U77"/>
  <c i="18" r="J70"/>
  <c i="18" r="M70"/>
  <c i="18" r="R70"/>
  <c i="18" r="Q72"/>
  <c i="18" r="L76"/>
  <c i="18" r="D62"/>
  <c i="18" r="M69"/>
  <c i="18" r="X25" s="1"/>
  <c i="18" r="V76"/>
  <c i="18" r="H75"/>
  <c i="18" r="J74"/>
  <c i="18" r="C71"/>
  <c i="18" r="W71"/>
  <c i="18" r="E67"/>
  <c i="18" r="P73"/>
  <c i="18" r="E62"/>
  <c i="18" r="K59"/>
  <c i="18" r="S70"/>
  <c i="18" r="H57"/>
  <c i="18" r="F60"/>
  <c i="18" r="P70"/>
  <c i="18" r="P78"/>
  <c i="18" r="BM59" s="1"/>
  <c i="18" r="H74"/>
  <c i="18" r="H69"/>
  <c i="18" r="S57"/>
  <c i="18" r="M65"/>
  <c i="18" r="X68"/>
  <c i="18" r="C66"/>
  <c i="18" r="L73"/>
  <c i="18" r="D57"/>
  <c i="18" r="J77"/>
  <c i="18" r="J59"/>
  <c i="18" r="F72"/>
  <c i="18" r="I72"/>
  <c i="18" r="N72"/>
  <c i="18" r="M74"/>
  <c i="18" r="H78"/>
  <c i="18" r="BE59" s="1"/>
  <c i="18" r="V63"/>
  <c i="18" r="I71"/>
  <c i="18" r="R78"/>
  <c i="18" r="BO59" s="1"/>
  <c i="18" r="U67"/>
  <c i="18" r="I76"/>
  <c i="18" r="T58"/>
  <c i="18" r="F68"/>
  <c i="18" r="E63"/>
  <c i="18" r="D64"/>
  <c i="18" r="K57"/>
  <c i="18" r="V70"/>
  <c i="18" r="I75"/>
  <c i="18" r="X74"/>
  <c i="18" r="L72"/>
  <c i="18" r="N66"/>
  <c i="18" r="D74"/>
  <c i="18" r="T77"/>
  <c i="18" r="M58"/>
  <c i="18" r="L75"/>
  <c i="18" r="J58"/>
  <c i="18" r="C74"/>
  <c i="18" r="U75"/>
  <c i="18" r="M68"/>
  <c i="18" r="X24" s="1"/>
  <c i="18" r="W65"/>
  <c i="18" r="J60"/>
  <c i="18" r="E69"/>
  <c i="18" r="O69"/>
  <c i="18" r="S72"/>
  <c i="18" r="Q69"/>
  <c i="18" r="D77"/>
  <c i="18" r="S68"/>
  <c i="18" r="G59"/>
  <c i="18" r="X62"/>
  <c i="18" r="T75"/>
  <c i="18" r="W75"/>
  <c i="18" r="F76"/>
  <c i="18" r="E78"/>
  <c i="18" r="BB59" s="1"/>
  <c i="18" r="E60"/>
  <c i="18" r="N67"/>
  <c i="18" r="W74"/>
  <c i="18" r="P76"/>
  <c i="18" r="O72"/>
  <c i="18" r="K74"/>
  <c i="18" r="F78"/>
  <c i="18" r="BC59" s="1"/>
  <c i="18" r="T63"/>
  <c i="18" r="G58"/>
  <c i="18" r="C60"/>
  <c i="18" r="V77"/>
  <c i="18" r="Q63"/>
  <c i="18" r="I67"/>
  <c i="18" r="S67"/>
  <c i="18" r="F62"/>
  <c i="18" r="W70"/>
  <c i="18" r="M71"/>
  <c i="18" r="V78"/>
  <c i="18" r="BS59" s="1"/>
  <c i="18" r="D59"/>
  <c i="18" r="C61"/>
  <c i="18" r="T64"/>
  <c i="18" r="P77"/>
  <c i="18" r="S77"/>
  <c i="18" r="X77"/>
  <c i="18" r="X57"/>
  <c i="18" r="W61"/>
  <c i="18" r="J69"/>
  <c i="18" r="S76"/>
  <c i="18" r="Q61"/>
  <c i="18" r="R75"/>
  <c i="18" r="I73"/>
  <c i="18" r="E65"/>
  <c i="18" r="V60"/>
  <c i="18" r="U62"/>
  <c i="18" r="P66"/>
  <c i="18" r="M57"/>
  <c i="18" r="P57"/>
  <c i="18" r="U57"/>
  <c i="18" r="F58"/>
  <c i="18" r="S63"/>
  <c i="18" r="F71"/>
  <c i="18" r="O78"/>
  <c i="18" r="BL59" s="1"/>
  <c i="18" r="L60"/>
  <c i="18" r="G69"/>
  <c i="18" r="U72"/>
  <c i="18" r="H77"/>
  <c i="18" r="N71"/>
  <c i="18" r="E75"/>
  <c i="18" r="W58"/>
  <c i="18" r="R62"/>
  <c i="18" r="Q64"/>
  <c i="18" r="L68"/>
  <c i="18" r="I63"/>
  <c i="18" r="O70"/>
  <c i="18" r="C58"/>
  <c i="18" r="X59"/>
  <c i="18" r="O65"/>
  <c i="18" r="X72"/>
  <c i="18" r="P58"/>
  <c i="18" r="H62"/>
  <c i="18" r="S73"/>
  <c i="18" r="W63"/>
  <c i="18" r="V67"/>
  <c i="18" r="X61"/>
  <c i="18" r="C57"/>
  <c i="18" r="Q58"/>
  <c i="18" r="D76"/>
  <c i="18" r="Q59"/>
  <c i="18" r="X63"/>
  <c i="18" r="P67"/>
  <c i="18" r="W76"/>
  <c i="18" r="S60"/>
  <c i="18" r="N64"/>
  <c i="18" r="M66"/>
  <c i="18" r="H70"/>
  <c i="18" r="M59"/>
  <c i="18" r="H63"/>
  <c i="18" r="U59"/>
  <c i="18" r="T61"/>
  <c i="18" r="K67"/>
  <c i="18" r="T74"/>
  <c i="18" r="L62"/>
  <c i="18" r="S66"/>
  <c i="18" r="M73"/>
  <c i="18" r="M61"/>
  <c i="18" r="N57"/>
  <c i="18" r="U61"/>
  <c i="18" r="E64"/>
  <c i="18" r="V72"/>
  <c i="18" r="K63"/>
  <c i="18" r="S78"/>
  <c i="18" r="BP59" s="1"/>
  <c i="18" r="O62"/>
  <c i="18" r="J66"/>
  <c i="18" r="I68"/>
  <c i="18" r="D72"/>
  <c i="18" r="I61"/>
  <c i="18" r="W66"/>
  <c i="18" r="P63"/>
  <c i="18" r="W68"/>
  <c i="18" r="W62"/>
  <c i="18" r="R58"/>
  <c i="18" r="H58"/>
  <c i="18" r="O68"/>
  <c i="18" r="F65"/>
  <c i="18" r="Q65"/>
  <c i="18" r="G61"/>
  <c i="18" r="J76"/>
  <c i="18" r="E77"/>
  <c i="18" r="D73"/>
  <c i="18" r="J73"/>
  <c i="18" r="V62"/>
  <c i="18" r="I74"/>
  <c i="18" r="F75"/>
  <c i="18" r="X58"/>
  <c i="18" r="E59"/>
  <c i="18" r="X76"/>
  <c i="18" r="T60"/>
  <c i="18" r="W60"/>
  <c i="18" r="U74"/>
  <c i="18" r="J72"/>
  <c i="18" r="T78"/>
  <c i="18" r="BQ59" s="1"/>
  <c i="18" r="P62"/>
  <c i="18" r="S62"/>
  <c i="18" r="J68"/>
  <c i="18" r="C59"/>
  <c i="18" r="U58"/>
  <c i="18" r="L64"/>
  <c i="18" r="O64"/>
  <c i="18" r="F70"/>
  <c i="18" r="W73"/>
  <c i="18" r="K72"/>
  <c i="18" r="Q60"/>
  <c i="18" r="H66"/>
  <c i="18" r="K66"/>
  <c i="18" r="X71"/>
  <c i="18" r="S75"/>
  <c i="18" r="S59"/>
  <c i="18" r="M62"/>
  <c i="18" r="D68"/>
  <c i="18" r="G68"/>
  <c i="18" r="T73"/>
  <c i="18" r="O77"/>
  <c i="18" r="J61"/>
  <c i="18" r="I64"/>
  <c i="18" r="V69"/>
  <c i="18" r="C70"/>
  <c i="18" r="P75"/>
  <c i="18" r="L57"/>
  <c i="18" r="F63"/>
  <c i="18" r="F67"/>
  <c i="18" r="E66"/>
  <c i="18" r="R71"/>
  <c i="18" r="U71"/>
  <c i="18" r="L77"/>
  <c i="18" r="L61"/>
  <c i="18" r="X64"/>
  <c i="18" r="G65"/>
  <c i="18" r="J78"/>
  <c i="18" r="BG59" s="1"/>
  <c i="18" r="W67"/>
  <c i="18" r="N73"/>
  <c i="18" r="Q73"/>
  <c i="18" r="I57"/>
  <c i="18" r="D65"/>
  <c i="18" r="T66"/>
  <c i="18" r="C67"/>
  <c i="18" r="T70"/>
  <c i="18" r="T65"/>
  <c i="18" r="S69"/>
  <c i="18" r="J75"/>
  <c i="18" r="M75"/>
  <c i="18" r="G74"/>
  <c i="18" r="V66"/>
  <c i="18" r="P68"/>
  <c i="18" r="U68"/>
  <c i="18" r="P72"/>
  <c i="18" r="O74"/>
  <c i="18" r="G60"/>
  <c i="18" r="C75"/>
  <c i="18" r="O71"/>
  <c i="18" r="F77"/>
  <c i="18" r="I77"/>
  <c i="18" r="I59"/>
  <c i="18" r="R68"/>
  <c i="18" r="L70"/>
  <c i="18" r="Q70"/>
  <c i="18" r="L74"/>
  <c i="18" r="K76"/>
  <c i="18" r="C62"/>
  <c i="18" r="L69"/>
  <c i="18" r="K73"/>
  <c i="18" r="X78"/>
  <c i="18" r="BU59" s="1"/>
  <c i="18" r="F57"/>
  <c i="18" r="E61"/>
  <c i="18" r="N70"/>
  <c i="18" r="H72"/>
  <c i="18" r="M72"/>
  <c i="18" r="H76"/>
  <c i="18" r="G78"/>
  <c i="18" r="BD59" s="1"/>
  <c i="18" r="U63"/>
  <c i="18" r="H71"/>
  <c i="18" r="CC46"/>
  <c i="18" r="AF126"/>
  <c i="18" r="AF152" s="1"/>
  <c i="18" r="CQ41"/>
  <c i="18" r="AT121"/>
  <c i="18" r="AT147" s="1"/>
  <c i="18" r="CH39"/>
  <c i="18" r="AK119"/>
  <c i="18" r="AK145" s="1"/>
  <c i="18" r="CE44"/>
  <c i="18" r="AH124"/>
  <c i="18" r="AH150" s="1"/>
  <c i="18" r="CD38"/>
  <c i="18" r="AG118"/>
  <c i="18" r="AG144" s="1"/>
  <c i="18" r="CQ43"/>
  <c i="18" r="AT123"/>
  <c i="18" r="AT149" s="1"/>
  <c i="18" r="CN33"/>
  <c i="18" r="AQ113"/>
  <c i="18" r="AQ139" s="1"/>
  <c i="18" r="CP48"/>
  <c i="18" r="AS128"/>
  <c i="18" r="AS154" s="1"/>
  <c i="18" r="CF32"/>
  <c i="18" r="AI112"/>
  <c i="18" r="AI138" s="1"/>
  <c i="18" r="BZ37"/>
  <c i="18" r="AC117"/>
  <c i="18" r="AC143" s="1"/>
  <c i="18" r="CK46"/>
  <c i="18" r="AN126"/>
  <c i="18" r="AN152" s="1"/>
  <c i="18" r="CJ41"/>
  <c i="18" r="AM121"/>
  <c i="18" r="AM147" s="1"/>
  <c i="18" r="CE39"/>
  <c i="18" r="AH119"/>
  <c i="18" r="AH145" s="1"/>
  <c i="18" r="CM44"/>
  <c i="18" r="AP124"/>
  <c i="18" r="AP150" s="1"/>
  <c i="18" r="CL38"/>
  <c i="18" r="AO118"/>
  <c i="18" r="AO144" s="1"/>
  <c i="18" r="CD43"/>
  <c i="18" r="AG123"/>
  <c i="18" r="AG149" s="1"/>
  <c i="18" r="AV113"/>
  <c i="18" r="AV139" s="1"/>
  <c i="18" r="CA48"/>
  <c i="18" r="AD128"/>
  <c i="18" r="AD154" s="1"/>
  <c i="18" r="CC32"/>
  <c i="18" r="AF112"/>
  <c i="18" r="AF138" s="1"/>
  <c i="18" r="CN37"/>
  <c i="18" r="AQ117"/>
  <c i="18" r="AQ143" s="1"/>
  <c i="18" r="CC40"/>
  <c i="18" r="AF120"/>
  <c i="18" r="AF146" s="1"/>
  <c i="18" r="BX46"/>
  <c i="18" r="AA126"/>
  <c i="18" r="AA152" s="1"/>
  <c i="18" r="CC41"/>
  <c i="18" r="AF121"/>
  <c i="18" r="AF147" s="1"/>
  <c i="18" r="CI39"/>
  <c i="18" r="AL119"/>
  <c i="18" r="AL145" s="1"/>
  <c i="18" r="BZ44"/>
  <c i="18" r="AC124"/>
  <c i="18" r="AC150" s="1"/>
  <c i="18" r="CG38"/>
  <c i="18" r="AJ118"/>
  <c i="18" r="AJ144" s="1"/>
  <c i="18" r="BY43"/>
  <c i="18" r="AB123"/>
  <c i="18" r="AB149" s="1"/>
  <c i="18" r="CM48"/>
  <c i="18" r="AP128"/>
  <c i="18" r="AP154" s="1"/>
  <c i="18" r="BZ32"/>
  <c i="18" r="AC112"/>
  <c i="18" r="AC138" s="1"/>
  <c i="18" r="BY31"/>
  <c i="18" r="AB111"/>
  <c i="18" r="AB137" s="1"/>
  <c i="18" r="CB37"/>
  <c i="18" r="AE117"/>
  <c i="18" r="AE143" s="1"/>
  <c i="18" r="CK40"/>
  <c i="18" r="AN120"/>
  <c i="18" r="AN146" s="1"/>
  <c i="18" r="CN46"/>
  <c i="18" r="AQ126"/>
  <c i="18" r="AQ152" s="1"/>
  <c i="18" r="CG41"/>
  <c i="18" r="AJ121"/>
  <c i="18" r="AJ147" s="1"/>
  <c i="18" r="BY39"/>
  <c i="18" r="AB119"/>
  <c i="18" r="AB145" s="1"/>
  <c i="18" r="CH44"/>
  <c i="18" r="AK124"/>
  <c i="18" r="AK150" s="1"/>
  <c i="18" r="CB38"/>
  <c i="18" r="AE118"/>
  <c i="18" r="AE144" s="1"/>
  <c i="18" r="CK43"/>
  <c i="18" r="AN123"/>
  <c i="18" r="AN149" s="1"/>
  <c i="18" r="CD48"/>
  <c i="18" r="AG128"/>
  <c i="18" r="AG154" s="1"/>
  <c i="18" r="CG32"/>
  <c i="18" r="AJ112"/>
  <c i="18" r="AJ138" s="1"/>
  <c i="18" r="CG37"/>
  <c i="18" r="AJ117"/>
  <c i="18" r="AJ143" s="1"/>
  <c i="18" r="CN40"/>
  <c i="18" r="AQ120"/>
  <c i="18" r="AQ146" s="1"/>
  <c i="18" r="CF46"/>
  <c i="18" r="AI126"/>
  <c i="18" r="AI152" s="1"/>
  <c i="18" r="BY41"/>
  <c i="18" r="AB121"/>
  <c i="18" r="AB147" s="1"/>
  <c i="18" r="CP39"/>
  <c i="18" r="AS119"/>
  <c i="18" r="AS145" s="1"/>
  <c i="18" r="CK44"/>
  <c i="18" r="AN124"/>
  <c i="18" r="AN150" s="1"/>
  <c i="18" r="CO38"/>
  <c i="18" r="AR118"/>
  <c i="18" r="AR144" s="1"/>
  <c i="18" r="CH43"/>
  <c i="18" r="AK123"/>
  <c i="18" r="AK149" s="1"/>
  <c i="18" r="CK48"/>
  <c i="18" r="AN128"/>
  <c i="18" r="AN154" s="1"/>
  <c i="18" r="CL32"/>
  <c i="18" r="AO112"/>
  <c i="18" r="AO138" s="1"/>
  <c i="1" r="BE89"/>
  <c i="1" r="BH93"/>
  <c i="18" r="CK37"/>
  <c i="18" r="AN117"/>
  <c i="18" r="AN143" s="1"/>
  <c i="18" r="CA40"/>
  <c i="18" r="AD120"/>
  <c i="18" r="AD146" s="1"/>
  <c i="18" r="CI46"/>
  <c i="18" r="AL126"/>
  <c i="18" r="AL152" s="1"/>
  <c i="18" r="CN41"/>
  <c i="18" r="AQ121"/>
  <c i="18" r="AQ147" s="1"/>
  <c i="18" r="CM39"/>
  <c i="18" r="AP119"/>
  <c i="18" r="AP145" s="1"/>
  <c i="18" r="CN44"/>
  <c i="18" r="AQ124"/>
  <c i="18" r="AQ150" s="1"/>
  <c i="18" r="BY38"/>
  <c i="18" r="AB118"/>
  <c i="18" r="AB144" s="1"/>
  <c i="18" r="CA43"/>
  <c i="18" r="AD123"/>
  <c i="18" r="AD149" s="1"/>
  <c i="18" r="CN48"/>
  <c i="18" r="AQ128"/>
  <c i="18" r="AQ154" s="1"/>
  <c i="18" r="CO32"/>
  <c i="18" r="AR112"/>
  <c i="18" r="AR138" s="1"/>
  <c i="1" r="AY104"/>
  <c i="1" r="BF103"/>
  <c i="1" r="BF93"/>
  <c i="1" r="BD95"/>
  <c i="1" r="CG22"/>
  <c i="18" r="M4" s="1"/>
  <c i="18" r="I24"/>
  <c i="18" r="CA37"/>
  <c i="18" r="AD117"/>
  <c i="18" r="AD143" s="1"/>
  <c i="18" r="CF40"/>
  <c i="18" r="AI120"/>
  <c i="18" r="AI146" s="1"/>
  <c i="18" r="CA46"/>
  <c i="18" r="AD126"/>
  <c i="18" r="AD152" s="1"/>
  <c i="18" r="CK41"/>
  <c i="18" r="AN121"/>
  <c i="18" r="AN147" s="1"/>
  <c i="18" r="CF39"/>
  <c i="18" r="AI119"/>
  <c i="18" r="AI145" s="1"/>
  <c i="18" r="CO44"/>
  <c i="18" r="AR124"/>
  <c i="18" r="AR150" s="1"/>
  <c i="18" r="CJ38"/>
  <c i="18" r="AM118"/>
  <c i="18" r="AM144" s="1"/>
  <c i="18" r="CE43"/>
  <c i="18" r="AH123"/>
  <c i="18" r="AH149" s="1"/>
  <c i="18" r="CQ48"/>
  <c i="18" r="AT128"/>
  <c i="18" r="AT154" s="1"/>
  <c i="18" r="CD32"/>
  <c i="18" r="AG112"/>
  <c i="18" r="AG138" s="1"/>
  <c i="1" r="BD108"/>
  <c i="1" r="BI95"/>
  <c i="1" r="BS92"/>
  <c i="1" r="BI98"/>
  <c i="1" r="BQ105"/>
  <c i="1" r="BB96"/>
  <c i="1" r="AZ97"/>
  <c i="18" r="CO37"/>
  <c i="18" r="AR117"/>
  <c i="18" r="AR143" s="1"/>
  <c i="18" r="CI40"/>
  <c i="18" r="AL120"/>
  <c i="18" r="AL146" s="1"/>
  <c i="18" r="CO46"/>
  <c i="18" r="AR126"/>
  <c i="18" r="AR152" s="1"/>
  <c i="18" r="BZ41"/>
  <c i="18" r="AC121"/>
  <c i="18" r="AC147" s="1"/>
  <c i="18" r="BX39"/>
  <c i="18" r="AA119"/>
  <c i="18" r="AA145" s="1"/>
  <c i="18" r="CG36"/>
  <c i="18" r="AJ116"/>
  <c i="18" r="AJ142" s="1"/>
  <c i="18" r="CC44"/>
  <c i="18" r="AF124"/>
  <c i="18" r="AF150" s="1"/>
  <c i="18" r="AV118"/>
  <c i="18" r="AV144" s="1"/>
  <c i="18" r="CO43"/>
  <c i="18" r="AR123"/>
  <c i="18" r="AR149" s="1"/>
  <c i="18" r="CG48"/>
  <c i="18" r="AJ128"/>
  <c i="18" r="AJ154" s="1"/>
  <c i="18" r="CJ32"/>
  <c i="18" r="AM112"/>
  <c i="18" r="AM138" s="1"/>
  <c i="1" r="BG106"/>
  <c i="1" r="BI108"/>
  <c i="1" r="BM107"/>
  <c i="1" r="AX89"/>
  <c i="1" r="AX97"/>
  <c i="18" r="CH37"/>
  <c i="18" r="AK117"/>
  <c i="18" r="AK143" s="1"/>
  <c i="18" r="BY40"/>
  <c i="18" r="AB120"/>
  <c i="18" r="AB146" s="1"/>
  <c i="18" r="AO111"/>
  <c i="18" r="AO137" s="1"/>
  <c i="18" r="CL31"/>
  <c i="18" r="CD46"/>
  <c i="18" r="AG126"/>
  <c i="18" r="AG152" s="1"/>
  <c i="18" r="CD41"/>
  <c i="18" r="AG121"/>
  <c i="18" r="AG147" s="1"/>
  <c i="18" r="CJ39"/>
  <c i="18" r="AM119"/>
  <c i="18" r="AM145" s="1"/>
  <c i="18" r="BX36"/>
  <c i="18" r="AA116"/>
  <c i="18" r="AA142" s="1"/>
  <c i="18" r="CQ44"/>
  <c i="18" r="AT124"/>
  <c i="18" r="AT150" s="1"/>
  <c i="18" r="CI34"/>
  <c i="18" r="AL114"/>
  <c i="18" r="AL140" s="1"/>
  <c i="18" r="BZ43"/>
  <c i="18" r="AC123"/>
  <c i="18" r="AC149" s="1"/>
  <c i="18" r="CO48"/>
  <c i="18" r="AR128"/>
  <c i="18" r="AR154" s="1"/>
  <c i="18" r="CA32"/>
  <c i="18" r="AD112"/>
  <c i="18" r="AD138" s="1"/>
  <c i="1" r="BI109"/>
  <c i="1" r="BL89"/>
  <c i="1" r="AZ108"/>
  <c i="18" r="BX37"/>
  <c i="18" r="AA117"/>
  <c i="18" r="AA143" s="1"/>
  <c i="18" r="CD40"/>
  <c i="18" r="AG120"/>
  <c i="18" r="AG146" s="1"/>
  <c i="18" r="BZ31"/>
  <c i="18" r="AC111"/>
  <c i="18" r="AC137" s="1"/>
  <c i="18" r="BY46"/>
  <c i="18" r="AB126"/>
  <c i="18" r="AB152" s="1"/>
  <c i="18" r="CH41"/>
  <c i="18" r="AK121"/>
  <c i="18" r="AK147" s="1"/>
  <c i="18" r="CB39"/>
  <c i="18" r="AE119"/>
  <c i="18" r="AE145" s="1"/>
  <c i="18" r="CO36"/>
  <c i="18" r="AR116"/>
  <c i="18" r="AR142" s="1"/>
  <c i="18" r="BX44"/>
  <c i="18" r="AA124"/>
  <c i="18" r="AA150" s="1"/>
  <c i="18" r="BZ34"/>
  <c i="18" r="AC114"/>
  <c i="18" r="AC140" s="1"/>
  <c i="18" r="CN43"/>
  <c i="18" r="AQ123"/>
  <c i="18" r="AQ149" s="1"/>
  <c i="18" r="BY48"/>
  <c i="18" r="AB128"/>
  <c i="18" r="AB154" s="1"/>
  <c i="18" r="BX32"/>
  <c i="18" r="AA112"/>
  <c i="18" r="AA138" s="1"/>
  <c i="1" r="BM108"/>
  <c i="1" r="BG98"/>
  <c i="1" r="BL100"/>
  <c i="1" r="BJ102"/>
  <c i="18" r="CC37"/>
  <c i="18" r="AF117"/>
  <c i="18" r="AF143" s="1"/>
  <c i="18" r="CP40"/>
  <c i="18" r="AS120"/>
  <c i="18" r="AS146" s="1"/>
  <c i="18" r="CC31"/>
  <c i="18" r="AF111"/>
  <c i="18" r="AF137" s="1"/>
  <c i="18" r="CO41"/>
  <c i="18" r="AR121"/>
  <c i="18" r="AR147" s="1"/>
  <c i="18" r="CQ39"/>
  <c i="18" r="AT119"/>
  <c i="18" r="AT145" s="1"/>
  <c i="18" r="CE36"/>
  <c i="18" r="AH116"/>
  <c i="18" r="AH142" s="1"/>
  <c i="18" r="CF44"/>
  <c i="18" r="AI124"/>
  <c i="18" r="AI150" s="1"/>
  <c i="18" r="CQ34"/>
  <c i="18" r="AT114"/>
  <c i="18" r="AT140" s="1"/>
  <c i="18" r="CL43"/>
  <c i="18" r="AO123"/>
  <c i="18" r="AO149" s="1"/>
  <c i="18" r="CM47"/>
  <c i="18" r="AP127"/>
  <c i="18" r="AP153" s="1"/>
  <c i="18" r="CB48"/>
  <c i="18" r="AE128"/>
  <c i="18" r="AE154" s="1"/>
  <c i="18" r="CM32"/>
  <c i="18" r="AP112"/>
  <c i="18" r="AP138" s="1"/>
  <c i="1" r="AX100"/>
  <c i="1" r="BF101"/>
  <c i="1" r="BD93"/>
  <c i="18" r="CL37"/>
  <c i="18" r="AO117"/>
  <c i="18" r="AO143" s="1"/>
  <c i="18" r="CL40"/>
  <c i="18" r="AO120"/>
  <c i="18" r="AO146" s="1"/>
  <c i="18" r="CF31"/>
  <c i="18" r="AI111"/>
  <c i="18" r="AI137" s="1"/>
  <c i="18" r="BX41"/>
  <c i="18" r="AA121"/>
  <c i="18" r="AA147" s="1"/>
  <c i="18" r="CG39"/>
  <c i="18" r="AJ119"/>
  <c i="18" r="AJ145" s="1"/>
  <c i="18" r="CJ36"/>
  <c i="18" r="AM116"/>
  <c i="18" r="AM142" s="1"/>
  <c i="18" r="CA44"/>
  <c i="18" r="AD124"/>
  <c i="18" r="AD150" s="1"/>
  <c i="18" r="CG34"/>
  <c i="18" r="AJ114"/>
  <c i="18" r="AJ140" s="1"/>
  <c i="18" r="CI43"/>
  <c i="18" r="AL123"/>
  <c i="18" r="AL149" s="1"/>
  <c i="18" r="BZ47"/>
  <c i="18" r="AC127"/>
  <c i="18" r="AC153" s="1"/>
  <c i="18" r="AV128"/>
  <c i="18" r="AV154" s="1"/>
  <c i="18" r="CH32"/>
  <c i="18" r="AK112"/>
  <c i="18" r="AK138" s="1"/>
  <c i="1" r="BK90"/>
  <c i="1" r="BI88"/>
  <c i="1" r="BP101"/>
  <c i="1" r="BB106"/>
  <c i="18" r="CD37"/>
  <c i="18" r="AG117"/>
  <c i="18" r="AG143" s="1"/>
  <c i="18" r="CQ40"/>
  <c i="18" r="AT120"/>
  <c i="18" r="AT146" s="1"/>
  <c i="18" r="AP111"/>
  <c i="18" r="AP137" s="1"/>
  <c i="18" r="CM31"/>
  <c i="18" r="CE41"/>
  <c i="18" r="AH121"/>
  <c i="18" r="AH147" s="1"/>
  <c i="18" r="CN39"/>
  <c i="18" r="AQ119"/>
  <c i="18" r="AQ145" s="1"/>
  <c i="18" r="CM36"/>
  <c i="18" r="AP116"/>
  <c i="18" r="AP142" s="1"/>
  <c i="18" r="AV124"/>
  <c i="18" r="AV150" s="1"/>
  <c i="18" r="CL34"/>
  <c i="18" r="AO114"/>
  <c i="18" r="AO140" s="1"/>
  <c i="18" r="CP43"/>
  <c i="18" r="AS123"/>
  <c i="18" r="AS149" s="1"/>
  <c i="18" r="CP47"/>
  <c i="18" r="AS127"/>
  <c i="18" r="AS153" s="1"/>
  <c i="18" r="CE32"/>
  <c i="18" r="AH112"/>
  <c i="18" r="AH138" s="1"/>
  <c i="1" r="BG92"/>
  <c i="1" r="BR96"/>
  <c i="1" r="AX108"/>
  <c i="1" r="BN97"/>
  <c i="18" r="CI37"/>
  <c i="18" r="AL117"/>
  <c i="18" r="AL143" s="1"/>
  <c i="18" r="CO40"/>
  <c i="18" r="AR120"/>
  <c i="18" r="AR146" s="1"/>
  <c i="18" r="CQ31"/>
  <c i="18" r="AT111"/>
  <c i="18" r="AT137" s="1"/>
  <c i="18" r="CL41"/>
  <c i="18" r="AO121"/>
  <c i="18" r="AO147" s="1"/>
  <c i="18" r="BZ39"/>
  <c i="18" r="AC119"/>
  <c i="18" r="AC145" s="1"/>
  <c i="18" r="BY36"/>
  <c i="18" r="AB116"/>
  <c i="18" r="AB142" s="1"/>
  <c i="18" r="CO34"/>
  <c i="18" r="AR114"/>
  <c i="18" r="AR140" s="1"/>
  <c i="18" r="CB43"/>
  <c i="18" r="AE123"/>
  <c i="18" r="AE149" s="1"/>
  <c i="18" r="CG47"/>
  <c i="18" r="AJ127"/>
  <c i="18" r="AJ153" s="1"/>
  <c i="18" r="CF42"/>
  <c i="18" r="AI122"/>
  <c i="18" r="AI148" s="1"/>
  <c i="18" r="CP32"/>
  <c i="18" r="AS112"/>
  <c i="18" r="AS138" s="1"/>
  <c i="1" r="BS101"/>
  <c i="1" r="BN98"/>
  <c i="1" r="BR107"/>
  <c i="1" r="BP109"/>
  <c i="1" r="BS88"/>
  <c i="18" r="CP49"/>
  <c i="18" r="AS129"/>
  <c i="18" r="AS155" s="1"/>
  <c i="18" r="CP37"/>
  <c i="18" r="AS117"/>
  <c i="18" r="AS143" s="1"/>
  <c i="18" r="CG40"/>
  <c i="18" r="AJ120"/>
  <c i="18" r="AJ146" s="1"/>
  <c i="18" r="BX31"/>
  <c i="18" r="AA111"/>
  <c i="18" r="AA137" s="1"/>
  <c i="18" r="CI41"/>
  <c i="18" r="AL121"/>
  <c i="18" r="AL147" s="1"/>
  <c i="18" r="CK39"/>
  <c i="18" r="AN119"/>
  <c i="18" r="AN145" s="1"/>
  <c i="18" r="CC36"/>
  <c i="18" r="AF116"/>
  <c i="18" r="AF142" s="1"/>
  <c i="18" r="CA34"/>
  <c i="18" r="AD114"/>
  <c i="18" r="AD140" s="1"/>
  <c i="18" r="CF43"/>
  <c i="18" r="AI123"/>
  <c i="18" r="AI149" s="1"/>
  <c i="18" r="CD47"/>
  <c i="18" r="AG127"/>
  <c i="18" r="AG153" s="1"/>
  <c i="18" r="CN42"/>
  <c i="18" r="AQ122"/>
  <c i="18" r="AQ148" s="1"/>
  <c i="1" r="AY96"/>
  <c i="1" r="BJ100"/>
  <c i="1" r="BC92"/>
  <c i="1" r="BA88"/>
  <c i="18" r="CA49"/>
  <c i="18" r="AD129"/>
  <c i="18" r="AD155" s="1"/>
  <c i="18" r="CM37"/>
  <c i="18" r="AP117"/>
  <c i="18" r="AP143" s="1"/>
  <c i="18" r="CH40"/>
  <c i="18" r="AK120"/>
  <c i="18" r="AK146" s="1"/>
  <c i="18" r="CG31"/>
  <c i="18" r="AJ111"/>
  <c i="18" r="AJ137" s="1"/>
  <c i="18" r="AC110"/>
  <c i="18" r="AC136" s="1"/>
  <c i="18" r="BZ30"/>
  <c i="18" r="BB51"/>
  <c i="18" r="CA41"/>
  <c i="18" r="AD121"/>
  <c i="18" r="AD147" s="1"/>
  <c i="18" r="CC39"/>
  <c i="18" r="AF119"/>
  <c i="18" r="AF145" s="1"/>
  <c i="18" r="CH36"/>
  <c i="18" r="AK116"/>
  <c i="18" r="AK142" s="1"/>
  <c i="18" r="BX34"/>
  <c i="18" r="AA114"/>
  <c i="18" r="AA140" s="1"/>
  <c i="18" r="BX43"/>
  <c i="18" r="AA123"/>
  <c i="18" r="AA149" s="1"/>
  <c i="18" r="BY47"/>
  <c i="18" r="AB127"/>
  <c i="18" r="AB153" s="1"/>
  <c i="18" r="CP42"/>
  <c i="18" r="AS122"/>
  <c i="18" r="AS148" s="1"/>
  <c i="1" r="BB93"/>
  <c i="1" r="BH90"/>
  <c i="18" r="CK49"/>
  <c i="18" r="AN129"/>
  <c i="18" r="AN155" s="1"/>
  <c i="18" r="CE37"/>
  <c i="18" r="AH117"/>
  <c i="18" r="AH143" s="1"/>
  <c i="18" r="CB40"/>
  <c i="18" r="AE120"/>
  <c i="18" r="AE146" s="1"/>
  <c i="18" r="CA31"/>
  <c i="18" r="AD111"/>
  <c i="18" r="AD137" s="1"/>
  <c i="18" r="CP41"/>
  <c i="18" r="AS121"/>
  <c i="18" r="AS147" s="1"/>
  <c i="18" r="AV119"/>
  <c i="18" r="AV145" s="1"/>
  <c i="18" r="CP36"/>
  <c i="18" r="AS116"/>
  <c i="18" r="AS142" s="1"/>
  <c i="18" r="CE34"/>
  <c i="18" r="AH114"/>
  <c i="18" r="AH140" s="1"/>
  <c i="18" r="CM43"/>
  <c i="18" r="AP123"/>
  <c i="18" r="AP149" s="1"/>
  <c i="18" r="CN47"/>
  <c i="18" r="AQ127"/>
  <c i="18" r="AQ153" s="1"/>
  <c i="18" r="CA42"/>
  <c i="18" r="AD122"/>
  <c i="18" r="AD148" s="1"/>
  <c i="1" r="BN104"/>
  <c i="1" r="BB104"/>
  <c i="18" r="BX49"/>
  <c i="18" r="AA129"/>
  <c i="18" r="AA155" s="1"/>
  <c i="18" r="BY37"/>
  <c i="18" r="AB117"/>
  <c i="18" r="AB143" s="1"/>
  <c i="18" r="BX40"/>
  <c i="18" r="AA120"/>
  <c i="18" r="AA146" s="1"/>
  <c i="18" r="CH31"/>
  <c i="18" r="AK111"/>
  <c i="18" r="AK137" s="1"/>
  <c i="18" r="CK36"/>
  <c i="18" r="AN116"/>
  <c i="18" r="AN142" s="1"/>
  <c i="18" r="CJ34"/>
  <c i="18" r="AM114"/>
  <c i="18" r="AM140" s="1"/>
  <c i="18" r="CC43"/>
  <c i="18" r="AF123"/>
  <c i="18" r="AF149" s="1"/>
  <c i="18" r="CJ47"/>
  <c i="18" r="AM127"/>
  <c i="18" r="AM153" s="1"/>
  <c i="18" r="CI42"/>
  <c i="18" r="AL122"/>
  <c i="18" r="AL148" s="1"/>
  <c i="1" r="BD96"/>
  <c i="1" r="BL97"/>
  <c i="1" r="BP96"/>
  <c i="18" r="CH49"/>
  <c i="18" r="AK129"/>
  <c i="18" r="AK155" s="1"/>
  <c i="18" r="CJ37"/>
  <c i="18" r="AM117"/>
  <c i="18" r="AM143" s="1"/>
  <c i="18" r="CJ40"/>
  <c i="18" r="AM120"/>
  <c i="18" r="AM146" s="1"/>
  <c i="18" r="CN31"/>
  <c i="18" r="AQ111"/>
  <c i="18" r="AQ137" s="1"/>
  <c i="18" r="BZ36"/>
  <c i="18" r="AC116"/>
  <c i="18" r="AC142" s="1"/>
  <c i="18" r="CM34"/>
  <c i="18" r="AP114"/>
  <c i="18" r="AP140" s="1"/>
  <c i="18" r="CJ43"/>
  <c i="18" r="AM123"/>
  <c i="18" r="AM149" s="1"/>
  <c i="18" r="CA47"/>
  <c i="18" r="AD127"/>
  <c i="18" r="AD153" s="1"/>
  <c i="18" r="CL42"/>
  <c i="18" r="AO122"/>
  <c i="18" r="AO148" s="1"/>
  <c i="1" r="BK88"/>
  <c i="1" r="BL98"/>
  <c i="1" r="BP107"/>
  <c i="1" r="BL99"/>
  <c i="1" r="BH92"/>
  <c i="18" r="CN49"/>
  <c i="18" r="AQ129"/>
  <c i="18" r="AQ155" s="1"/>
  <c i="18" r="CE40"/>
  <c i="18" r="AH120"/>
  <c i="18" r="AH146" s="1"/>
  <c i="18" r="CD31"/>
  <c i="18" r="AG111"/>
  <c i="18" r="AG137" s="1"/>
  <c i="18" r="CF36"/>
  <c i="18" r="AI116"/>
  <c i="18" r="AI142" s="1"/>
  <c i="18" r="CB34"/>
  <c i="18" r="AE114"/>
  <c i="18" r="AE140" s="1"/>
  <c i="18" r="CG43"/>
  <c i="18" r="AJ123"/>
  <c i="18" r="AJ149" s="1"/>
  <c i="18" r="CH47"/>
  <c i="18" r="AK127"/>
  <c i="18" r="AK153" s="1"/>
  <c i="18" r="BY42"/>
  <c i="18" r="AB122"/>
  <c i="18" r="AB148" s="1"/>
  <c i="18" r="BU51"/>
  <c i="1" r="BE108"/>
  <c i="1" r="BF92"/>
  <c i="1" r="BH100"/>
  <c i="1" r="BC97"/>
  <c i="18" r="CE49"/>
  <c i="18" r="AH129"/>
  <c i="18" r="AH155" s="1"/>
  <c i="18" r="CO45"/>
  <c i="18" r="AR125"/>
  <c i="18" r="AR151" s="1"/>
  <c i="18" r="BZ40"/>
  <c i="18" r="AC120"/>
  <c i="18" r="AC146" s="1"/>
  <c i="18" r="CI31"/>
  <c i="18" r="AL111"/>
  <c i="18" r="AL137" s="1"/>
  <c i="18" r="CH35"/>
  <c i="18" r="AK115"/>
  <c i="18" r="AK141" s="1"/>
  <c i="18" r="CB36"/>
  <c i="18" r="AE116"/>
  <c i="18" r="AE142" s="1"/>
  <c i="18" r="CH34"/>
  <c i="18" r="AK114"/>
  <c i="18" r="AK140" s="1"/>
  <c i="18" r="AV123"/>
  <c i="18" r="AV149" s="1"/>
  <c i="18" r="CE47"/>
  <c i="18" r="AH127"/>
  <c i="18" r="AH153" s="1"/>
  <c i="18" r="CD42"/>
  <c i="18" r="AG122"/>
  <c i="18" r="AG148" s="1"/>
  <c i="1" r="BQ91"/>
  <c i="1" r="AZ94"/>
  <c i="1" r="BD102"/>
  <c i="1" r="BQ89"/>
  <c i="18" r="CB49"/>
  <c i="18" r="AE129"/>
  <c i="18" r="AE155" s="1"/>
  <c i="18" r="CB45"/>
  <c i="18" r="AE125"/>
  <c i="18" r="AE151" s="1"/>
  <c i="18" r="CM40"/>
  <c i="18" r="AP120"/>
  <c i="18" r="AP146" s="1"/>
  <c i="18" r="CJ31"/>
  <c i="18" r="AM111"/>
  <c i="18" r="AM137" s="1"/>
  <c i="18" r="CP35"/>
  <c i="18" r="AS115"/>
  <c i="18" r="AS141" s="1"/>
  <c i="18" r="CN36"/>
  <c i="18" r="AQ116"/>
  <c i="18" r="AQ142" s="1"/>
  <c i="18" r="BY34"/>
  <c i="18" r="AB114"/>
  <c i="18" r="AB140" s="1"/>
  <c i="18" r="CJ33"/>
  <c i="18" r="AM113"/>
  <c i="18" r="AM139" s="1"/>
  <c i="18" r="CL47"/>
  <c i="18" r="AO127"/>
  <c i="18" r="AO153" s="1"/>
  <c i="18" r="CG42"/>
  <c i="18" r="AJ122"/>
  <c i="18" r="AJ148" s="1"/>
  <c i="1" r="BG88"/>
  <c i="1" r="BD91"/>
  <c i="1" r="BN106"/>
  <c i="1" r="BQ100"/>
  <c i="18" r="CL49"/>
  <c i="18" r="AO129"/>
  <c i="18" r="AO155" s="1"/>
  <c i="18" r="CM45"/>
  <c i="18" r="AP125"/>
  <c i="18" r="AP151" s="1"/>
  <c i="18" r="CO31"/>
  <c i="18" r="AR111"/>
  <c i="18" r="AR137" s="1"/>
  <c i="18" r="BY35"/>
  <c i="18" r="AB115"/>
  <c i="18" r="AB141" s="1"/>
  <c i="18" r="CI36"/>
  <c i="18" r="AL116"/>
  <c i="18" r="AL142" s="1"/>
  <c i="18" r="CD34"/>
  <c i="18" r="AG114"/>
  <c i="18" r="AG140" s="1"/>
  <c i="18" r="BX33"/>
  <c i="18" r="AA113"/>
  <c i="18" r="AA139" s="1"/>
  <c i="18" r="CQ47"/>
  <c i="18" r="AT127"/>
  <c i="18" r="AT153" s="1"/>
  <c i="18" r="CB42"/>
  <c i="18" r="AE122"/>
  <c i="18" r="AE148" s="1"/>
  <c i="1" r="BQ97"/>
  <c i="1" r="BQ102"/>
  <c i="1" r="BM99"/>
  <c i="1" r="BG107"/>
  <c i="1" r="AZ103"/>
  <c i="1" r="BO91"/>
  <c i="1" r="BA105"/>
  <c i="1" r="BB92"/>
  <c i="1" r="BE92"/>
  <c i="1" r="BB105"/>
  <c i="1" r="AY99"/>
  <c i="1" r="BP91"/>
  <c i="1" r="BR102"/>
  <c i="1" r="AY103"/>
  <c i="1" r="BL93"/>
  <c i="1" r="BO100"/>
  <c i="1" r="BS97"/>
  <c i="1" r="BM93"/>
  <c i="1" r="BO98"/>
  <c i="1" r="BO104"/>
  <c i="1" r="BI94"/>
  <c i="1" r="BK100"/>
  <c i="1" r="BA97"/>
  <c i="1" r="BG108"/>
  <c i="1" r="BA99"/>
  <c i="1" r="BC105"/>
  <c i="1" r="BO109"/>
  <c i="1" r="BJ108"/>
  <c i="1" r="BM102"/>
  <c i="1" r="BH88"/>
  <c i="1" r="BB88"/>
  <c i="1" r="BM98"/>
  <c i="1" r="BA94"/>
  <c i="1" r="AZ104"/>
  <c i="1" r="BE94"/>
  <c i="1" r="BA101"/>
  <c i="1" r="BI89"/>
  <c i="1" r="AY109"/>
  <c i="1" r="BL108"/>
  <c i="1" r="BE91"/>
  <c i="1" r="BD94"/>
  <c i="1" r="BF107"/>
  <c i="1" r="AX107"/>
  <c i="1" r="BP92"/>
  <c i="1" r="BG89"/>
  <c i="1" r="BF95"/>
  <c i="1" r="BB89"/>
  <c i="1" r="BO97"/>
  <c i="1" r="AY89"/>
  <c i="1" r="BK98"/>
  <c i="1" r="BP102"/>
  <c i="1" r="BP104"/>
  <c i="1" r="AY98"/>
  <c i="1" r="BG100"/>
  <c i="1" r="BN89"/>
  <c i="1" r="BL104"/>
  <c i="1" r="BQ99"/>
  <c i="1" r="BC102"/>
  <c i="1" r="BP100"/>
  <c i="1" r="BQ90"/>
  <c i="1" r="BI93"/>
  <c i="1" r="BB101"/>
  <c i="1" r="BH106"/>
  <c i="1" r="BH108"/>
  <c i="1" r="BR90"/>
  <c i="1" r="BM96"/>
  <c i="1" r="BB95"/>
  <c i="1" r="BH104"/>
  <c i="1" r="BR98"/>
  <c i="1" r="BE88"/>
  <c i="1" r="BK96"/>
  <c i="1" r="BA90"/>
  <c i="1" r="BQ106"/>
  <c i="1" r="BO102"/>
  <c i="1" r="BC100"/>
  <c i="1" r="BF104"/>
  <c i="1" r="BF91"/>
  <c i="1" r="BJ109"/>
  <c i="1" r="BO93"/>
  <c i="1" r="BH99"/>
  <c i="1" r="BK95"/>
  <c i="1" r="BF90"/>
  <c i="1" r="BA100"/>
  <c i="1" r="BM89"/>
  <c i="1" r="BE107"/>
  <c i="1" r="BR93"/>
  <c i="1" r="BF97"/>
  <c i="1" r="BG97"/>
  <c i="1" r="BH105"/>
  <c i="1" r="BM105"/>
  <c i="1" r="CG37"/>
  <c i="1" r="CG42"/>
  <c i="18" r="M24" s="1"/>
  <c i="1" r="CG29"/>
  <c i="1" r="CG35"/>
  <c i="1" r="CG23"/>
  <c i="18" r="M5" s="1"/>
  <c i="1" r="CG31"/>
  <c i="1" r="CG28"/>
  <c i="1" r="CG25"/>
  <c i="1" r="CG30"/>
  <c i="1" r="CF31"/>
  <c i="18" r="L13" s="1"/>
  <c i="1" r="CG34"/>
  <c i="1" r="CF23"/>
  <c i="18" r="L5" s="1"/>
  <c i="1" r="CF32"/>
  <c i="18" r="L14" s="1"/>
  <c i="1" r="BC91"/>
  <c i="1" r="BR108"/>
  <c i="1" r="BD98"/>
  <c i="1" r="AY93"/>
  <c i="1" r="BL106"/>
  <c i="1" r="AZ89"/>
  <c i="1" r="BQ94"/>
  <c i="1" r="BL94"/>
  <c i="1" r="BE105"/>
  <c i="1" r="BA107"/>
  <c i="1" r="BF96"/>
  <c i="1" r="BS108"/>
  <c i="1" r="BB98"/>
  <c i="1" r="CG36"/>
  <c i="1" r="BO88"/>
  <c i="1" r="BI96"/>
  <c i="1" r="CG27"/>
  <c i="1" r="BE98"/>
  <c i="1" r="BK107"/>
  <c i="1" r="CG41"/>
  <c i="18" r="M23" s="1"/>
  <c i="1" r="CG38"/>
  <c i="18" r="M20" s="1"/>
  <c i="1" r="CG39"/>
  <c i="1" r="BI107"/>
  <c i="1" r="CG40"/>
  <c i="1" r="BE109"/>
  <c i="1" r="CG24"/>
  <c i="1" r="CG32"/>
  <c i="1" r="BP88"/>
  <c i="1" r="CG33"/>
  <c i="1" r="BH89"/>
  <c i="1" r="CF25"/>
  <c i="18" r="L7" s="1"/>
  <c i="1" r="CG26"/>
  <c i="1" r="CH34"/>
  <c i="1" r="CH33"/>
  <c i="1" r="CH32"/>
  <c i="1" r="AZ102"/>
  <c i="1" r="AY95"/>
  <c i="1" r="BQ96"/>
  <c i="1" r="BK103"/>
  <c i="1" r="BP99"/>
  <c i="1" r="BC107"/>
  <c i="1" r="BC96"/>
  <c i="1" r="BK94"/>
  <c i="1" r="CF36"/>
  <c i="18" r="L18" s="1"/>
  <c i="1" r="BM106"/>
  <c i="1" r="BM101"/>
  <c i="1" r="CF33"/>
  <c i="18" r="L15" s="1"/>
  <c i="1" r="BI103"/>
  <c i="1" r="BC89"/>
  <c i="1" r="BJ94"/>
  <c i="1" r="BE100"/>
  <c i="1" r="BH98"/>
  <c i="1" r="BQ92"/>
  <c i="1" r="BA102"/>
  <c i="1" r="BM94"/>
  <c i="1" r="BS103"/>
  <c i="1" r="BK92"/>
  <c i="1" r="BJ97"/>
  <c i="1" r="BK105"/>
  <c i="1" r="CH29"/>
  <c i="1" r="CH26"/>
  <c i="1" r="BG105"/>
  <c i="1" r="BK97"/>
  <c i="1" r="BH103"/>
  <c i="1" r="AY91"/>
  <c i="1" r="CF38"/>
  <c i="18" r="L20" s="1"/>
  <c i="1" r="CF27"/>
  <c i="18" r="L9" s="1"/>
  <c i="1" r="BJ92"/>
  <c i="1" r="BH94"/>
  <c i="1" r="BN88"/>
  <c i="1" r="BF94"/>
  <c i="1" r="BJ103"/>
  <c i="1" r="BD105"/>
  <c i="1" r="BF105"/>
  <c i="1" r="AZ107"/>
  <c i="1" r="BL92"/>
  <c i="1" r="BD100"/>
  <c i="1" r="BD89"/>
  <c i="1" r="CH36"/>
  <c i="1" r="CH35"/>
  <c i="1" r="CH31"/>
  <c i="1" r="CH23"/>
  <c i="1" r="BO105"/>
  <c i="1" r="BA89"/>
  <c i="1" r="BR99"/>
  <c i="1" r="BN90"/>
  <c i="1" r="BC98"/>
  <c i="1" r="CF40"/>
  <c i="18" r="L22" s="1"/>
  <c i="1" r="BG96"/>
  <c i="1" r="AY100"/>
  <c i="1" r="CF26"/>
  <c i="18" r="L8" s="1"/>
  <c i="1" r="CF22"/>
  <c i="18" r="L4" s="1"/>
  <c i="1" r="AU82"/>
  <c i="1" r="BS109" s="1"/>
  <c i="1" r="BR92"/>
  <c i="1" r="BN94"/>
  <c i="1" r="BB102"/>
  <c i="1" r="CH30"/>
  <c i="1" r="BN101"/>
  <c i="1" r="BJ96"/>
  <c i="1" r="AX104"/>
  <c i="1" r="CH41"/>
  <c i="1" r="CF24"/>
  <c i="18" r="L6" s="1"/>
  <c i="1" r="CF28"/>
  <c i="18" r="L10" s="1"/>
  <c i="1" r="BF98"/>
  <c i="1" r="BS90"/>
  <c i="1" r="CH40"/>
  <c i="1" r="CF35"/>
  <c i="18" r="L17" s="1"/>
  <c i="1" r="CF39"/>
  <c i="18" r="L21" s="1"/>
  <c i="1" r="CH39"/>
  <c i="1" r="CF29"/>
  <c i="18" r="L11" s="1"/>
  <c i="1" r="CH38"/>
  <c i="1" r="CH27"/>
  <c i="1" r="CF34"/>
  <c i="18" r="L16" s="1"/>
  <c i="1" r="BN105"/>
  <c i="1" r="BQ104"/>
  <c i="1" r="CH25"/>
  <c i="1" r="CF37"/>
  <c i="18" r="L19" s="1"/>
  <c i="1" r="AY107"/>
  <c i="1" r="BJ107"/>
  <c i="1" r="CH37"/>
  <c i="1" r="CF41"/>
  <c i="18" r="L23" s="1"/>
  <c i="1" r="CH24"/>
  <c i="1" r="CH42"/>
  <c i="1" r="CK42"/>
  <c i="1" r="CH22"/>
  <c i="12" r="O39"/>
  <c i="12" r="O38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59"/>
  <c i="12" r="F60"/>
  <c i="12" r="F61"/>
  <c i="12" r="F62"/>
  <c i="12" r="F63"/>
  <c i="12" r="F64"/>
  <c i="12" r="F65"/>
  <c i="12" r="F66"/>
  <c i="12" r="F67"/>
  <c i="12" r="F68"/>
  <c i="12" r="F69"/>
  <c i="12" r="F70"/>
  <c i="12" r="F71"/>
  <c i="12" r="F72"/>
  <c i="12" r="F73"/>
  <c i="12" r="F74"/>
  <c i="12" r="F75"/>
  <c i="12" r="F76"/>
  <c i="12" r="F77"/>
  <c i="12" r="F78"/>
  <c i="12" r="F79"/>
  <c i="12" r="F80"/>
  <c i="12" r="F81"/>
  <c i="12" r="F82"/>
  <c i="12" r="F83"/>
  <c i="12" r="F84"/>
  <c i="12" r="F85"/>
  <c i="12" r="F86"/>
  <c i="12" r="F87"/>
  <c i="12" r="F88"/>
  <c i="12" r="F89"/>
  <c i="12" r="F90"/>
  <c i="12" r="F91"/>
  <c i="12" r="F92"/>
  <c i="12" r="F93"/>
  <c i="12" r="F94"/>
  <c i="12" r="F95"/>
  <c i="12" r="F96"/>
  <c i="12" r="F97"/>
  <c i="12" r="F98"/>
  <c i="12" r="F99"/>
  <c i="12" r="F100"/>
  <c i="12" r="F101"/>
  <c i="12" r="F102"/>
  <c i="12" r="F103"/>
  <c i="12" r="F104"/>
  <c i="12" r="F105"/>
  <c i="12" r="F106"/>
  <c i="12" r="F107"/>
  <c i="12" r="F108"/>
  <c i="12" r="F109"/>
  <c i="12" r="F110"/>
  <c i="12" r="F111"/>
  <c i="12" r="F112"/>
  <c i="12" r="F113"/>
  <c i="12" r="F114"/>
  <c i="12" r="F115"/>
  <c i="12" r="F116"/>
  <c i="12" r="F117"/>
  <c i="12" r="F118"/>
  <c i="12" r="F119"/>
  <c i="12" r="F120"/>
  <c i="12" r="F121"/>
  <c i="12" r="F122"/>
  <c i="12" r="F123"/>
  <c i="12" r="F124"/>
  <c i="12" r="F125"/>
  <c i="12" r="F126"/>
  <c i="12" r="F37"/>
  <c i="12" r="E37"/>
  <c i="12" r="A37"/>
  <c i="12" r="B37" s="1"/>
  <c i="12" r="E38"/>
  <c i="12" r="E39"/>
  <c i="12" r="E40"/>
  <c i="12" r="E41"/>
  <c i="12" r="E42"/>
  <c i="12" r="E43"/>
  <c i="12" r="E44"/>
  <c i="12" r="E45"/>
  <c i="12" r="E46"/>
  <c i="12" r="E47"/>
  <c i="12" r="E48"/>
  <c i="12" r="E49"/>
  <c i="12" r="E50"/>
  <c i="12" r="E51"/>
  <c i="12" r="E52"/>
  <c i="12" r="E53"/>
  <c i="12" r="E54"/>
  <c i="12" r="E55"/>
  <c i="12" r="E56"/>
  <c i="12" r="E57"/>
  <c i="12" r="E58"/>
  <c i="12" r="E59"/>
  <c i="12" r="E60"/>
  <c i="12" r="E61"/>
  <c i="12" r="E62"/>
  <c i="12" r="E63"/>
  <c i="12" r="E64"/>
  <c i="12" r="E65"/>
  <c i="12" r="E66"/>
  <c i="12" r="E67"/>
  <c i="12" r="E68"/>
  <c i="12" r="E69"/>
  <c i="12" r="E70"/>
  <c i="12" r="E71"/>
  <c i="12" r="E72"/>
  <c i="12" r="E73"/>
  <c i="12" r="E74"/>
  <c i="12" r="E75"/>
  <c i="12" r="E76"/>
  <c i="12" r="E77"/>
  <c i="12" r="E78"/>
  <c i="12" r="E79"/>
  <c i="12" r="E80"/>
  <c i="12" r="E81"/>
  <c i="12" r="E82"/>
  <c i="12" r="E83"/>
  <c i="12" r="E84"/>
  <c i="12" r="E85"/>
  <c i="12" r="E86"/>
  <c i="12" r="E87"/>
  <c i="12" r="E88"/>
  <c i="12" r="E89"/>
  <c i="12" r="E90"/>
  <c i="12" r="E91"/>
  <c i="12" r="E92"/>
  <c i="12" r="E93"/>
  <c i="12" r="E94"/>
  <c i="12" r="E95"/>
  <c i="12" r="E96"/>
  <c i="12" r="E97"/>
  <c i="12" r="E98"/>
  <c i="12" r="E99"/>
  <c i="12" r="E100"/>
  <c i="12" r="E101"/>
  <c i="12" r="E102"/>
  <c i="12" r="E103"/>
  <c i="12" r="E104"/>
  <c i="12" r="E105"/>
  <c i="12" r="E106"/>
  <c i="12" r="E107"/>
  <c i="12" r="E108"/>
  <c i="12" r="E109"/>
  <c i="12" r="E110"/>
  <c i="12" r="E111"/>
  <c i="12" r="E112"/>
  <c i="12" r="E113"/>
  <c i="12" r="E114"/>
  <c i="12" r="E115"/>
  <c i="12" r="E116"/>
  <c i="12" r="E117"/>
  <c i="12" r="E118"/>
  <c i="12" r="E119"/>
  <c i="12" r="E120"/>
  <c i="12" r="E121"/>
  <c i="12" r="E122"/>
  <c i="12" r="E123"/>
  <c i="12" r="E124"/>
  <c i="12" r="E125"/>
  <c i="12" r="E126"/>
  <c i="12" r="D38"/>
  <c i="12" r="D39"/>
  <c i="12" r="D40"/>
  <c i="12" r="D41"/>
  <c i="12" r="D42"/>
  <c i="12" r="D43"/>
  <c i="12" r="D44"/>
  <c i="12" r="D45"/>
  <c i="12" r="D46"/>
  <c i="12" r="D47"/>
  <c i="12" r="D48"/>
  <c i="12" r="D49"/>
  <c i="12" r="D50"/>
  <c i="12" r="D51"/>
  <c i="12" r="D52"/>
  <c i="12" r="D53"/>
  <c i="12" r="D54"/>
  <c i="12" r="D55"/>
  <c i="12" r="D56"/>
  <c i="12" r="D57"/>
  <c i="12" r="D58"/>
  <c i="12" r="D59"/>
  <c i="12" r="D60"/>
  <c i="12" r="D61"/>
  <c i="12" r="D62"/>
  <c i="12" r="D63"/>
  <c i="12" r="D64"/>
  <c i="12" r="D65"/>
  <c i="12" r="D66"/>
  <c i="12" r="D67"/>
  <c i="12" r="D68"/>
  <c i="12" r="D69"/>
  <c i="12" r="D70"/>
  <c i="12" r="D71"/>
  <c i="12" r="D72"/>
  <c i="12" r="D73"/>
  <c i="12" r="D74"/>
  <c i="12" r="D75"/>
  <c i="12" r="D76"/>
  <c i="12" r="D77"/>
  <c i="12" r="D78"/>
  <c i="12" r="D79"/>
  <c i="12" r="D80"/>
  <c i="12" r="D81"/>
  <c i="12" r="D82"/>
  <c i="12" r="D83"/>
  <c i="12" r="D84"/>
  <c i="12" r="D85"/>
  <c i="12" r="D86"/>
  <c i="12" r="D87"/>
  <c i="12" r="D88"/>
  <c i="12" r="D89"/>
  <c i="12" r="D90"/>
  <c i="12" r="D91"/>
  <c i="12" r="D92"/>
  <c i="12" r="D93"/>
  <c i="12" r="D94"/>
  <c i="12" r="D95"/>
  <c i="12" r="D96"/>
  <c i="12" r="D97"/>
  <c i="12" r="D98"/>
  <c i="12" r="D99"/>
  <c i="12" r="D100"/>
  <c i="12" r="D101"/>
  <c i="12" r="D102"/>
  <c i="12" r="D103"/>
  <c i="12" r="D104"/>
  <c i="12" r="D105"/>
  <c i="12" r="D106"/>
  <c i="12" r="D107"/>
  <c i="12" r="D108"/>
  <c i="12" r="D109"/>
  <c i="12" r="D110"/>
  <c i="12" r="D111"/>
  <c i="12" r="D112"/>
  <c i="12" r="D113"/>
  <c i="12" r="D114"/>
  <c i="12" r="D115"/>
  <c i="12" r="D116"/>
  <c i="12" r="D117"/>
  <c i="12" r="D118"/>
  <c i="12" r="D119"/>
  <c i="12" r="D120"/>
  <c i="12" r="D121"/>
  <c i="12" r="D122"/>
  <c i="12" r="D123"/>
  <c i="12" r="D124"/>
  <c i="12" r="D125"/>
  <c i="12" r="D126"/>
  <c i="12" r="D37"/>
  <c i="12" r="C38"/>
  <c i="12" r="C39"/>
  <c i="12" r="C40"/>
  <c i="12" r="C41"/>
  <c i="12" r="C42"/>
  <c i="12" r="C43"/>
  <c i="12" r="C44"/>
  <c i="12" r="C45"/>
  <c i="12" r="C46"/>
  <c i="12" r="C47"/>
  <c i="12" r="C48"/>
  <c i="12" r="C49"/>
  <c i="12" r="C50"/>
  <c i="12" r="C51"/>
  <c i="12" r="C52"/>
  <c i="12" r="C53"/>
  <c i="12" r="C54"/>
  <c i="12" r="C55"/>
  <c i="12" r="C56"/>
  <c i="12" r="C57"/>
  <c i="12" r="C58"/>
  <c i="12" r="C59"/>
  <c i="12" r="C60"/>
  <c i="12" r="C61"/>
  <c i="12" r="C62"/>
  <c i="12" r="C63"/>
  <c i="12" r="C64"/>
  <c i="12" r="C65"/>
  <c i="12" r="C66"/>
  <c i="12" r="C67"/>
  <c i="12" r="C68"/>
  <c i="12" r="C69"/>
  <c i="12" r="C70"/>
  <c i="12" r="C71"/>
  <c i="12" r="C72"/>
  <c i="12" r="C73"/>
  <c i="12" r="C74"/>
  <c i="12" r="C75"/>
  <c i="12" r="C76"/>
  <c i="12" r="C77"/>
  <c i="12" r="C78"/>
  <c i="12" r="C79"/>
  <c i="12" r="C80"/>
  <c i="12" r="C81"/>
  <c i="12" r="C82"/>
  <c i="12" r="C83"/>
  <c i="12" r="C84"/>
  <c i="12" r="C85"/>
  <c i="12" r="C86"/>
  <c i="12" r="C87"/>
  <c i="12" r="C88"/>
  <c i="12" r="C89"/>
  <c i="12" r="C90"/>
  <c i="12" r="C91"/>
  <c i="12" r="C92"/>
  <c i="12" r="C93"/>
  <c i="12" r="C94"/>
  <c i="12" r="C95"/>
  <c i="12" r="C96"/>
  <c i="12" r="C97"/>
  <c i="12" r="C98"/>
  <c i="12" r="C99"/>
  <c i="12" r="C100"/>
  <c i="12" r="C101"/>
  <c i="12" r="C102"/>
  <c i="12" r="C103"/>
  <c i="12" r="C104"/>
  <c i="12" r="C105"/>
  <c i="12" r="C106"/>
  <c i="12" r="C107"/>
  <c i="12" r="C108"/>
  <c i="12" r="C109"/>
  <c i="12" r="C110"/>
  <c i="12" r="C111"/>
  <c i="12" r="C112"/>
  <c i="12" r="C113"/>
  <c i="12" r="C114"/>
  <c i="12" r="C115"/>
  <c i="12" r="C116"/>
  <c i="12" r="C117"/>
  <c i="12" r="C118"/>
  <c i="12" r="C119"/>
  <c i="12" r="C120"/>
  <c i="12" r="C121"/>
  <c i="12" r="C122"/>
  <c i="12" r="C123"/>
  <c i="12" r="C124"/>
  <c i="12" r="C125"/>
  <c i="12" r="C126"/>
  <c i="12" r="C37"/>
  <c i="12" r="A38"/>
  <c i="12" r="B38" s="1"/>
  <c i="12" r="A39"/>
  <c i="12" r="B39" s="1"/>
  <c i="12" r="A40"/>
  <c i="12" r="B40" s="1"/>
  <c i="12" r="A41"/>
  <c i="12" r="B41" s="1"/>
  <c i="12" r="A42"/>
  <c i="12" r="B42" s="1"/>
  <c i="12" r="A43"/>
  <c i="12" r="B43" s="1"/>
  <c i="12" r="A44"/>
  <c i="12" r="B44" s="1"/>
  <c i="12" r="A45"/>
  <c i="12" r="B45" s="1"/>
  <c i="12" r="A46"/>
  <c i="12" r="B46" s="1"/>
  <c i="12" r="A47"/>
  <c i="12" r="B47" s="1"/>
  <c i="12" r="A48"/>
  <c i="12" r="B48" s="1"/>
  <c i="12" r="A49"/>
  <c i="12" r="B49" s="1"/>
  <c i="12" r="A50"/>
  <c i="12" r="B50" s="1"/>
  <c i="12" r="A51"/>
  <c i="12" r="B51" s="1"/>
  <c i="12" r="A52"/>
  <c i="12" r="B52" s="1"/>
  <c i="12" r="A53"/>
  <c i="12" r="B53" s="1"/>
  <c i="12" r="A54"/>
  <c i="12" r="B54" s="1"/>
  <c i="12" r="A55"/>
  <c i="12" r="B55" s="1"/>
  <c i="12" r="A56"/>
  <c i="12" r="B56" s="1"/>
  <c i="12" r="A57"/>
  <c i="12" r="B57" s="1"/>
  <c i="12" r="A58"/>
  <c i="12" r="B58" s="1"/>
  <c i="12" r="A59"/>
  <c i="12" r="B59" s="1"/>
  <c i="12" r="A60"/>
  <c i="12" r="B60" s="1"/>
  <c i="12" r="A61"/>
  <c i="12" r="B61" s="1"/>
  <c i="12" r="A62"/>
  <c i="12" r="B62" s="1"/>
  <c i="12" r="A63"/>
  <c i="12" r="B63" s="1"/>
  <c i="12" r="A64"/>
  <c i="12" r="B64" s="1"/>
  <c i="12" r="A65"/>
  <c i="12" r="B65" s="1"/>
  <c i="12" r="A66"/>
  <c i="12" r="B66" s="1"/>
  <c i="12" r="A67"/>
  <c i="12" r="B67" s="1"/>
  <c i="12" r="A68"/>
  <c i="12" r="B68" s="1"/>
  <c i="12" r="A69"/>
  <c i="12" r="B69" s="1"/>
  <c i="12" r="A70"/>
  <c i="12" r="B70" s="1"/>
  <c i="12" r="A71"/>
  <c i="12" r="B71" s="1"/>
  <c i="12" r="A72"/>
  <c i="12" r="B72" s="1"/>
  <c i="12" r="A73"/>
  <c i="12" r="B73" s="1"/>
  <c i="12" r="A74"/>
  <c i="12" r="B74" s="1"/>
  <c i="12" r="A75"/>
  <c i="12" r="B75" s="1"/>
  <c i="12" r="A76"/>
  <c i="12" r="B76" s="1"/>
  <c i="12" r="A77"/>
  <c i="12" r="B77" s="1"/>
  <c i="12" r="A78"/>
  <c i="12" r="B78" s="1"/>
  <c i="12" r="A79"/>
  <c i="12" r="B79" s="1"/>
  <c i="12" r="A80"/>
  <c i="12" r="B80" s="1"/>
  <c i="12" r="A81"/>
  <c i="12" r="B81" s="1"/>
  <c i="12" r="A82"/>
  <c i="12" r="B82" s="1"/>
  <c i="12" r="A83"/>
  <c i="12" r="B83" s="1"/>
  <c i="12" r="A84"/>
  <c i="12" r="B84" s="1"/>
  <c i="12" r="A85"/>
  <c i="12" r="B85" s="1"/>
  <c i="12" r="A86"/>
  <c i="12" r="B86" s="1"/>
  <c i="12" r="A87"/>
  <c i="12" r="B87" s="1"/>
  <c i="12" r="A88"/>
  <c i="12" r="B88" s="1"/>
  <c i="12" r="A89"/>
  <c i="12" r="B89" s="1"/>
  <c i="12" r="A90"/>
  <c i="12" r="B90" s="1"/>
  <c i="12" r="A91"/>
  <c i="12" r="B91" s="1"/>
  <c i="12" r="A92"/>
  <c i="12" r="B92" s="1"/>
  <c i="12" r="A93"/>
  <c i="12" r="B93" s="1"/>
  <c i="12" r="A94"/>
  <c i="12" r="B94" s="1"/>
  <c i="12" r="A95"/>
  <c i="12" r="B95" s="1"/>
  <c i="12" r="A96"/>
  <c i="12" r="B96" s="1"/>
  <c i="12" r="A97"/>
  <c i="12" r="B97" s="1"/>
  <c i="12" r="A98"/>
  <c i="12" r="B98" s="1"/>
  <c i="12" r="A99"/>
  <c i="12" r="B99" s="1"/>
  <c i="12" r="A100"/>
  <c i="12" r="B100" s="1"/>
  <c i="12" r="A101"/>
  <c i="12" r="B101" s="1"/>
  <c i="12" r="A102"/>
  <c i="12" r="B102" s="1"/>
  <c i="12" r="A103"/>
  <c i="12" r="B103" s="1"/>
  <c i="12" r="A104"/>
  <c i="12" r="B104" s="1"/>
  <c i="12" r="A105"/>
  <c i="12" r="B105" s="1"/>
  <c i="12" r="A106"/>
  <c i="12" r="B106" s="1"/>
  <c i="12" r="A107"/>
  <c i="12" r="B107" s="1"/>
  <c i="12" r="A108"/>
  <c i="12" r="B108" s="1"/>
  <c i="12" r="A109"/>
  <c i="12" r="B109" s="1"/>
  <c i="12" r="A110"/>
  <c i="12" r="B110" s="1"/>
  <c i="12" r="A111"/>
  <c i="12" r="B111" s="1"/>
  <c i="12" r="A112"/>
  <c i="12" r="B112" s="1"/>
  <c i="12" r="A113"/>
  <c i="12" r="B113" s="1"/>
  <c i="12" r="A114"/>
  <c i="12" r="B114" s="1"/>
  <c i="12" r="A115"/>
  <c i="12" r="B115" s="1"/>
  <c i="12" r="A116"/>
  <c i="12" r="B116" s="1"/>
  <c i="12" r="A117"/>
  <c i="12" r="B117" s="1"/>
  <c i="12" r="A118"/>
  <c i="12" r="B118" s="1"/>
  <c i="12" r="A119"/>
  <c i="12" r="B119" s="1"/>
  <c i="12" r="A120"/>
  <c i="12" r="B120" s="1"/>
  <c i="12" r="A121"/>
  <c i="12" r="B121" s="1"/>
  <c i="12" r="A122"/>
  <c i="12" r="B122" s="1"/>
  <c i="12" r="A123"/>
  <c i="12" r="B123" s="1"/>
  <c i="12" r="A124"/>
  <c i="12" r="B124" s="1"/>
  <c i="12" r="A125"/>
  <c i="12" r="B125" s="1"/>
  <c i="12" r="A126"/>
  <c i="12" r="B126" s="1"/>
  <c i="12" r="T34"/>
  <c i="12" r="T35"/>
  <c i="12" r="T36"/>
  <c i="12" r="T37"/>
  <c i="12" r="T38"/>
  <c i="12" r="T39"/>
  <c i="12" r="T40"/>
  <c i="12" r="T41"/>
  <c i="12" r="T42"/>
  <c i="12" r="T43"/>
  <c i="12" r="T44"/>
  <c i="12" r="T45"/>
  <c i="12" r="T46"/>
  <c i="12" r="T47"/>
  <c i="12" r="T48"/>
  <c i="12" r="T49"/>
  <c i="12" r="T50"/>
  <c i="12" r="T51"/>
  <c i="12" r="T52"/>
  <c i="12" r="T53"/>
  <c i="12" r="T54"/>
  <c i="12" r="T55"/>
  <c i="12" r="T56"/>
  <c i="12" r="T57"/>
  <c i="12" r="T58"/>
  <c i="12" r="T59"/>
  <c i="12" r="T60"/>
  <c i="12" r="T61"/>
  <c i="12" r="T62"/>
  <c i="12" r="T63"/>
  <c i="12" r="T64"/>
  <c i="12" r="T65"/>
  <c i="12" r="T66"/>
  <c i="12" r="T67"/>
  <c i="12" r="T68"/>
  <c i="12" r="T69"/>
  <c i="12" r="T70"/>
  <c i="12" r="T71"/>
  <c i="12" r="T72"/>
  <c i="12" r="T73"/>
  <c i="12" r="T74"/>
  <c i="12" r="T75"/>
  <c i="12" r="T76"/>
  <c i="18" l="1" r="AR110"/>
  <c i="18" r="AR136" s="1"/>
  <c i="18" r="CO30"/>
  <c i="18" r="M64"/>
  <c i="18" r="C68"/>
  <c i="18" r="AT110"/>
  <c i="18" r="AT136" s="1"/>
  <c i="18" r="CQ30"/>
  <c i="1" r="CL22"/>
  <c i="18" r="BL51"/>
  <c i="18" r="CE30"/>
  <c i="18" r="BG51"/>
  <c i="18" r="AH110"/>
  <c i="18" r="AH136" s="1"/>
  <c i="18" r="AK110"/>
  <c i="18" r="AK136" s="1"/>
  <c i="18" r="BJ51"/>
  <c i="18" r="CH30"/>
  <c i="18" r="BF51"/>
  <c i="18" r="CD30"/>
  <c i="18" r="CD51" s="1"/>
  <c i="18" r="AG110"/>
  <c i="18" r="AG136" s="1"/>
  <c i="18" r="AP110"/>
  <c i="18" r="AP136" s="1"/>
  <c i="18" r="BO51"/>
  <c i="18" r="G66"/>
  <c i="18" r="D69"/>
  <c i="18" r="V75"/>
  <c i="18" r="AN110"/>
  <c i="18" r="AN136" s="1"/>
  <c i="18" r="CK30"/>
  <c i="18" r="CK51" s="1"/>
  <c i="18" r="T67"/>
  <c i="18" r="L65"/>
  <c i="18" r="F59"/>
  <c i="18" r="U60"/>
  <c i="18" r="O58"/>
  <c i="18" r="P74"/>
  <c i="18" r="C77"/>
  <c i="18" r="BM51"/>
  <c i="18" r="AN78" s="1"/>
  <c i="18" r="W72"/>
  <c i="18" r="J62"/>
  <c i="18" r="AM110"/>
  <c i="18" r="AM136" s="1"/>
  <c i="18" r="AB161" s="1"/>
  <c i="18" r="N65"/>
  <c i="18" r="R76"/>
  <c i="18" r="CJ30"/>
  <c i="18" r="CJ51" s="1"/>
  <c i="18" r="S61"/>
  <c i="18" r="I69"/>
  <c i="18" r="T59"/>
  <c i="18" r="BH51"/>
  <c i="18" r="AI78" s="1"/>
  <c i="18" r="CF30"/>
  <c i="18" r="CF51" s="1"/>
  <c i="18" r="AI110"/>
  <c i="18" r="AI136" s="1"/>
  <c i="18" r="BC51"/>
  <c i="18" r="BC58" s="1"/>
  <c i="18" r="CA30"/>
  <c i="18" r="AD110"/>
  <c i="18" r="AD136" s="1"/>
  <c i="18" r="CR30"/>
  <c i="18" r="BI51"/>
  <c i="18" r="AJ78" s="1"/>
  <c i="18" r="CG30"/>
  <c i="18" r="CG51" s="1"/>
  <c i="18" r="AJ110"/>
  <c i="18" r="AJ136" s="1"/>
  <c i="18" r="BK51"/>
  <c i="18" r="AL78" s="1"/>
  <c i="18" r="BA51"/>
  <c i="18" r="CI30"/>
  <c i="18" r="BY30"/>
  <c i="18" r="AL110"/>
  <c i="18" r="AL136" s="1"/>
  <c i="18" r="CZ16"/>
  <c i="18" r="DA16" s="1"/>
  <c i="18" r="AB110"/>
  <c i="18" r="AB136" s="1"/>
  <c i="18" r="CV18"/>
  <c i="18" r="CY17"/>
  <c i="18" r="CX17"/>
  <c i="1" r="CL23"/>
  <c i="1" r="CJ28"/>
  <c i="18" r="P10" s="1"/>
  <c i="18" r="CH51"/>
  <c i="12" r="G72"/>
  <c i="12" r="H91"/>
  <c i="1" r="CJ30"/>
  <c i="18" r="P12" s="1"/>
  <c i="18" r="N12"/>
  <c i="18" r="R12" s="1"/>
  <c i="18" r="AE12" s="1"/>
  <c i="18" r="BD58"/>
  <c i="18" r="AE131"/>
  <c i="18" r="AE157" s="1"/>
  <c i="18" r="CL51"/>
  <c i="18" r="CN51"/>
  <c i="18" r="CB51"/>
  <c i="1" r="CL27"/>
  <c i="18" r="M9"/>
  <c i="18" r="BF58"/>
  <c i="18" r="AG131"/>
  <c i="18" r="AG157" s="1"/>
  <c i="18" r="BN58"/>
  <c i="18" r="AO131"/>
  <c i="18" r="AO157" s="1"/>
  <c i="18" r="BP58"/>
  <c i="18" r="AQ131"/>
  <c i="18" r="AQ157" s="1"/>
  <c i="18" r="AJ73"/>
  <c i="18" r="AJ100" s="1"/>
  <c i="18" r="AU67"/>
  <c i="18" r="AU94" s="1"/>
  <c i="18" r="AF71"/>
  <c i="18" r="AF98" s="1"/>
  <c i="18" r="AE76"/>
  <c i="18" r="AE103" s="1"/>
  <c i="18" r="AH73"/>
  <c i="18" r="AH100" s="1"/>
  <c i="18" r="AM70"/>
  <c i="18" r="AM97" s="1"/>
  <c i="18" r="AO65"/>
  <c i="18" r="AO92" s="1"/>
  <c i="18" r="AN64"/>
  <c i="18" r="AN91" s="1"/>
  <c i="18" r="AI63"/>
  <c i="18" r="AI90" s="1"/>
  <c i="18" r="AC77"/>
  <c i="18" r="AC104" s="1"/>
  <c i="18" r="AF78"/>
  <c i="18" r="AP66"/>
  <c i="18" r="AP93" s="1"/>
  <c i="18" r="AA73"/>
  <c i="18" r="AA100" s="1"/>
  <c i="18" r="AB57"/>
  <c i="18" r="AB84" s="1"/>
  <c i="18" r="AH57"/>
  <c i="18" r="AH84" s="1"/>
  <c i="18" r="AS71"/>
  <c i="18" r="AS98" s="1"/>
  <c i="18" r="AB66"/>
  <c i="18" r="AB93" s="1"/>
  <c i="18" r="AH71"/>
  <c i="18" r="AH98" s="1"/>
  <c i="18" r="AR72"/>
  <c i="18" r="AR99" s="1"/>
  <c i="18" r="AB71"/>
  <c i="18" r="AB98" s="1"/>
  <c i="18" r="AV73"/>
  <c i="18" r="AV100" s="1"/>
  <c i="18" r="AH75"/>
  <c i="18" r="AH102" s="1"/>
  <c i="18" r="AQ59"/>
  <c i="18" r="AQ86" s="1"/>
  <c i="18" r="AQ64"/>
  <c i="18" r="AQ91" s="1"/>
  <c i="18" r="AH67"/>
  <c i="18" r="AH94" s="1"/>
  <c i="18" r="AA57"/>
  <c i="18" r="AA84" s="1"/>
  <c i="18" r="AO68"/>
  <c i="18" r="AO95" s="1"/>
  <c i="18" r="AM57"/>
  <c i="18" r="AM84" s="1"/>
  <c i="18" r="AA63"/>
  <c i="18" r="AA90" s="1"/>
  <c i="18" r="AP64"/>
  <c i="18" r="AP91" s="1"/>
  <c i="18" r="AT74"/>
  <c i="18" r="AT101" s="1"/>
  <c i="18" r="AC66"/>
  <c i="18" r="AC93" s="1"/>
  <c i="18" r="AN77"/>
  <c i="18" r="AN104" s="1"/>
  <c i="18" r="AF59"/>
  <c i="18" r="AF86" s="1"/>
  <c i="18" r="AN68"/>
  <c i="18" r="AN95" s="1"/>
  <c i="18" r="AI59"/>
  <c i="18" r="AI86" s="1"/>
  <c i="18" r="AT67"/>
  <c i="18" r="AT94" s="1"/>
  <c i="18" r="AF66"/>
  <c i="18" r="AF93" s="1"/>
  <c i="18" r="AS75"/>
  <c i="18" r="AS102" s="1"/>
  <c i="18" r="AN58"/>
  <c i="18" r="AN85" s="1"/>
  <c i="18" r="AS73"/>
  <c i="18" r="AS100" s="1"/>
  <c i="18" r="AT72"/>
  <c i="18" r="AT99" s="1"/>
  <c i="18" r="AK66"/>
  <c i="18" r="AK93" s="1"/>
  <c i="18" r="AJ59"/>
  <c i="18" r="AJ86" s="1"/>
  <c i="18" r="AD75"/>
  <c i="18" r="AD102" s="1"/>
  <c i="18" r="AB72"/>
  <c i="18" r="AB99" s="1"/>
  <c i="18" r="AH69"/>
  <c i="18" r="AH96" s="1"/>
  <c i="18" r="AD67"/>
  <c i="18" r="AD94" s="1"/>
  <c i="18" r="AQ68"/>
  <c i="18" r="AQ95" s="1"/>
  <c i="18" r="AC61"/>
  <c i="18" r="AC88" s="1"/>
  <c i="18" r="AE70"/>
  <c i="18" r="AE97" s="1"/>
  <c i="18" r="AA66"/>
  <c i="18" r="AA93" s="1"/>
  <c i="18" r="AJ68"/>
  <c i="18" r="AJ95" s="1"/>
  <c i="18" r="AL70"/>
  <c i="18" r="AL97" s="1"/>
  <c i="18" r="AP58"/>
  <c i="18" r="AP85" s="1"/>
  <c i="18" r="AM78"/>
  <c i="18" r="AB58"/>
  <c i="18" r="AB85" s="1"/>
  <c i="18" r="AC59"/>
  <c i="18" r="AC86" s="1"/>
  <c i="18" r="AG64"/>
  <c i="18" r="AG91" s="1"/>
  <c i="18" r="AJ69"/>
  <c i="18" r="AJ96" s="1"/>
  <c i="18" r="AM58"/>
  <c i="18" r="AR58"/>
  <c i="18" r="AR85" s="1"/>
  <c i="18" r="AH66"/>
  <c i="18" r="AH93" s="1"/>
  <c i="18" r="AQ77"/>
  <c i="18" r="AQ104" s="1"/>
  <c i="18" r="AK60"/>
  <c i="18" r="AK87" s="1"/>
  <c i="18" r="AR64"/>
  <c i="18" r="AR91" s="1"/>
  <c i="18" r="AD71"/>
  <c i="18" r="AD98" s="1"/>
  <c i="18" r="AC78"/>
  <c i="18" r="AH77"/>
  <c i="18" r="AH104" s="1"/>
  <c i="18" r="AU70"/>
  <c i="18" r="AU97" s="1"/>
  <c i="18" r="AH78"/>
  <c i="18" r="AC60"/>
  <c i="18" r="AC87" s="1"/>
  <c i="18" r="AA68"/>
  <c i="18" r="AA95" s="1"/>
  <c i="18" r="AA74"/>
  <c i="18" r="AA101" s="1"/>
  <c i="18" r="AI67"/>
  <c i="18" r="AI94" s="1"/>
  <c i="18" r="AS68"/>
  <c i="18" r="AS95" s="1"/>
  <c i="18" r="AG74"/>
  <c i="18" r="AG101" s="1"/>
  <c i="18" r="AA70"/>
  <c i="18" r="AA97" s="1"/>
  <c i="18" r="AE58"/>
  <c i="18" r="AE85" s="1"/>
  <c i="18" r="AF68"/>
  <c i="18" r="AF95" s="1"/>
  <c i="18" r="AV71"/>
  <c i="18" r="AV98" s="1"/>
  <c i="18" r="AS66"/>
  <c i="18" r="AS93" s="1"/>
  <c i="18" r="AR61"/>
  <c i="18" r="AR88" s="1"/>
  <c i="18" r="AS59"/>
  <c i="18" r="AS86" s="1"/>
  <c i="18" r="AN71"/>
  <c i="18" r="AN98" s="1"/>
  <c i="18" r="AJ63"/>
  <c i="18" r="AJ90" s="1"/>
  <c i="18" r="AV59"/>
  <c i="18" r="AV86" s="1"/>
  <c i="18" r="AQ60"/>
  <c i="18" r="AQ87" s="1"/>
  <c i="18" r="AQ78"/>
  <c i="18" r="AE78"/>
  <c i="18" r="AI71"/>
  <c i="18" r="AI98" s="1"/>
  <c i="18" r="AT78"/>
  <c i="18" r="AO73"/>
  <c i="18" r="AO100" s="1"/>
  <c i="18" r="AK62"/>
  <c i="18" r="AK89" s="1"/>
  <c i="18" r="AR75"/>
  <c i="18" r="AR102" s="1"/>
  <c i="18" r="AI74"/>
  <c i="18" r="AI101" s="1"/>
  <c i="18" r="AO67"/>
  <c i="18" r="AO94" s="1"/>
  <c i="18" r="AM69"/>
  <c i="18" r="AM96" s="1"/>
  <c i="18" r="AJ77"/>
  <c i="18" r="AJ104" s="1"/>
  <c i="18" r="AU63"/>
  <c i="18" r="AU90" s="1"/>
  <c i="18" r="AR77"/>
  <c i="18" r="AR104" s="1"/>
  <c i="18" r="AN74"/>
  <c i="18" r="AB78"/>
  <c i="18" r="AA69"/>
  <c i="18" r="AA96" s="1"/>
  <c i="18" r="AJ65"/>
  <c i="18" r="AR73"/>
  <c i="18" r="AR100" s="1"/>
  <c i="18" r="AL76"/>
  <c i="18" r="AL103" s="1"/>
  <c i="18" r="AE66"/>
  <c i="18" r="AE93" s="1"/>
  <c i="18" r="AT60"/>
  <c i="18" r="AT87" s="1"/>
  <c i="18" r="AG72"/>
  <c i="18" r="AG99" s="1"/>
  <c i="18" r="AM59"/>
  <c i="18" r="AM86" s="1"/>
  <c i="18" r="AL61"/>
  <c i="18" r="AL88" s="1"/>
  <c i="18" r="AI69"/>
  <c i="18" r="AI96" s="1"/>
  <c i="18" r="AO61"/>
  <c i="18" r="AO88" s="1"/>
  <c i="18" r="AB59"/>
  <c i="18" r="AB86" s="1"/>
  <c i="18" r="AR60"/>
  <c i="18" r="AR87" s="1"/>
  <c i="18" r="AU78"/>
  <c i="18" r="AT61"/>
  <c i="18" r="AT88" s="1"/>
  <c i="18" r="AU60"/>
  <c i="18" r="AU87" s="1"/>
  <c i="18" r="AI66"/>
  <c i="18" r="AI93" s="1"/>
  <c i="18" r="AU76"/>
  <c i="18" r="AU103" s="1"/>
  <c i="18" r="AO60"/>
  <c i="18" r="AO87" s="1"/>
  <c i="18" r="AN67"/>
  <c i="18" r="AN94" s="1"/>
  <c i="18" r="AN60"/>
  <c i="18" r="AN87" s="1"/>
  <c i="18" r="AT76"/>
  <c i="18" r="AT103" s="1"/>
  <c i="18" r="AM76"/>
  <c i="18" r="AM103" s="1"/>
  <c i="18" r="AV78"/>
  <c i="18" r="AE69"/>
  <c i="18" r="AE96" s="1"/>
  <c i="18" r="AO69"/>
  <c i="18" r="AO96" s="1"/>
  <c i="18" r="AU59"/>
  <c i="18" r="AU86" s="1"/>
  <c i="18" r="AD68"/>
  <c i="18" r="AD95" s="1"/>
  <c i="18" r="AU58"/>
  <c i="18" r="AU85" s="1"/>
  <c i="18" r="AC76"/>
  <c i="18" r="AC103" s="1"/>
  <c i="18" r="AI76"/>
  <c i="18" r="AI103" s="1"/>
  <c i="18" r="AL64"/>
  <c i="18" r="AL91" s="1"/>
  <c i="18" r="AU75"/>
  <c i="18" r="AU102" s="1"/>
  <c i="18" r="AV62"/>
  <c i="18" r="AV89" s="1"/>
  <c i="18" r="AN72"/>
  <c i="18" r="AN99" s="1"/>
  <c i="18" r="AU64"/>
  <c i="18" r="AU91" s="1"/>
  <c i="18" r="AF64"/>
  <c i="18" r="AF91" s="1"/>
  <c i="18" r="AI57"/>
  <c i="18" r="AI84" s="1"/>
  <c i="18" r="AG77"/>
  <c i="18" r="AG104" s="1"/>
  <c i="18" r="AS77"/>
  <c i="18" r="AS104" s="1"/>
  <c i="18" r="AF62"/>
  <c i="18" r="AF89" s="1"/>
  <c i="18" r="AR74"/>
  <c i="18" r="AR101" s="1"/>
  <c i="18" r="AB75"/>
  <c i="18" r="AB102" s="1"/>
  <c i="18" r="AJ74"/>
  <c i="18" r="AJ101" s="1"/>
  <c i="18" r="AD70"/>
  <c i="18" r="AD97" s="1"/>
  <c i="18" r="AI70"/>
  <c i="18" r="AI97" s="1"/>
  <c i="18" r="AP65"/>
  <c i="18" r="AP92" s="1"/>
  <c i="18" r="AJ60"/>
  <c i="18" r="AJ87" s="1"/>
  <c i="18" r="AA77"/>
  <c i="18" r="AV69"/>
  <c i="18" r="AV96" s="1"/>
  <c i="18" r="AN61"/>
  <c i="18" r="AN88" s="1"/>
  <c i="18" r="AS58"/>
  <c i="18" r="AS85" s="1"/>
  <c i="18" r="AD72"/>
  <c i="18" r="AD99" s="1"/>
  <c i="18" r="AV76"/>
  <c i="18" r="AV103" s="1"/>
  <c i="18" r="AR66"/>
  <c i="18" r="AR93" s="1"/>
  <c i="18" r="AF67"/>
  <c i="18" r="AF94" s="1"/>
  <c i="18" r="AQ76"/>
  <c i="18" r="AQ103" s="1"/>
  <c i="18" r="AV57"/>
  <c i="18" r="AV84" s="1"/>
  <c i="18" r="AT65"/>
  <c i="18" r="AT92" s="1"/>
  <c i="18" r="AJ72"/>
  <c i="18" r="AJ99" s="1"/>
  <c i="18" r="AO71"/>
  <c i="18" r="AO98" s="1"/>
  <c i="18" r="AF73"/>
  <c i="18" r="AF100" s="1"/>
  <c i="18" r="AG66"/>
  <c i="18" r="AG93" s="1"/>
  <c i="18" r="AU74"/>
  <c i="18" r="AU101" s="1"/>
  <c i="18" r="AK70"/>
  <c i="18" r="AK97" s="1"/>
  <c i="18" r="AN76"/>
  <c i="18" r="AN103" s="1"/>
  <c i="18" r="AE67"/>
  <c i="18" r="AE94" s="1"/>
  <c i="18" r="AG68"/>
  <c i="18" r="AG95" s="1"/>
  <c i="18" r="AO62"/>
  <c i="18" r="AO89" s="1"/>
  <c i="18" r="AG65"/>
  <c i="18" r="AG92" s="1"/>
  <c i="18" r="AD59"/>
  <c i="18" r="AJ62"/>
  <c i="18" r="AJ89" s="1"/>
  <c i="18" r="AP70"/>
  <c i="18" r="AP97" s="1"/>
  <c i="18" r="AB68"/>
  <c i="18" r="AB95" s="1"/>
  <c i="18" r="AE63"/>
  <c i="18" r="AE90" s="1"/>
  <c i="18" r="AK78"/>
  <c i="18" r="AR65"/>
  <c i="18" r="AR92" s="1"/>
  <c i="18" r="AM72"/>
  <c i="18" r="AM99" s="1"/>
  <c i="18" r="AT66"/>
  <c i="18" r="AT93" s="1"/>
  <c i="18" r="AC65"/>
  <c i="18" r="AC92" s="1"/>
  <c i="18" r="AS63"/>
  <c i="18" r="AS90" s="1"/>
  <c i="18" r="AO70"/>
  <c i="18" r="AO97" s="1"/>
  <c i="18" r="AQ66"/>
  <c i="18" r="AQ93" s="1"/>
  <c i="18" r="AS69"/>
  <c i="18" r="AS96" s="1"/>
  <c i="18" r="AB70"/>
  <c i="18" r="AB97" s="1"/>
  <c i="18" r="AQ71"/>
  <c i="18" r="AQ98" s="1"/>
  <c i="18" r="AT64"/>
  <c i="18" r="AT91" s="1"/>
  <c i="18" r="AI65"/>
  <c i="18" r="AI92" s="1"/>
  <c i="18" r="AE71"/>
  <c i="18" r="AE98" s="1"/>
  <c i="18" r="AQ57"/>
  <c i="18" r="AQ84" s="1"/>
  <c i="18" r="AF76"/>
  <c i="18" r="AF103" s="1"/>
  <c i="18" r="AG58"/>
  <c i="18" r="AG85" s="1"/>
  <c i="18" r="AJ75"/>
  <c i="18" r="AJ102" s="1"/>
  <c i="18" r="AK71"/>
  <c i="18" r="AK98" s="1"/>
  <c i="18" r="AK74"/>
  <c i="18" r="AK101" s="1"/>
  <c i="18" r="AA67"/>
  <c i="18" r="AA94" s="1"/>
  <c i="18" r="AK77"/>
  <c i="18" r="AK104" s="1"/>
  <c i="18" r="AF69"/>
  <c i="18" r="AF96" s="1"/>
  <c i="18" r="AA75"/>
  <c i="18" r="AA102" s="1"/>
  <c i="18" r="AT59"/>
  <c i="18" r="AT86" s="1"/>
  <c i="18" r="AB76"/>
  <c i="18" r="AB103" s="1"/>
  <c i="18" r="AH64"/>
  <c i="18" r="AH91" s="1"/>
  <c i="18" r="AO78"/>
  <c i="18" r="AC58"/>
  <c i="18" r="AC85" s="1"/>
  <c i="18" r="AM67"/>
  <c i="18" r="AM94" s="1"/>
  <c i="18" r="AP57"/>
  <c i="18" r="AP84" s="1"/>
  <c i="18" r="AH72"/>
  <c i="18" r="AH99" s="1"/>
  <c i="18" r="AS65"/>
  <c i="18" r="AS92" s="1"/>
  <c i="18" r="AR78"/>
  <c i="18" r="AR67"/>
  <c i="18" r="AL59"/>
  <c i="18" r="AL86" s="1"/>
  <c i="18" r="AM66"/>
  <c i="18" r="AM93" s="1"/>
  <c i="18" r="AA64"/>
  <c i="18" r="AA91" s="1"/>
  <c i="18" r="AM60"/>
  <c i="18" r="AM87" s="1"/>
  <c i="18" r="AU72"/>
  <c i="18" r="AK73"/>
  <c i="18" r="AK100" s="1"/>
  <c i="18" r="AV65"/>
  <c i="18" r="AV92" s="1"/>
  <c i="18" r="AF60"/>
  <c i="18" r="AF87" s="1"/>
  <c i="18" r="AP61"/>
  <c i="18" r="AP88" s="1"/>
  <c i="18" r="AL66"/>
  <c i="18" r="AL93" s="1"/>
  <c i="18" r="AN66"/>
  <c i="18" r="AN93" s="1"/>
  <c i="18" r="AG61"/>
  <c i="18" r="AG88" s="1"/>
  <c i="18" r="AI73"/>
  <c i="18" r="AI100" s="1"/>
  <c i="18" r="AI60"/>
  <c i="18" r="AI87" s="1"/>
  <c i="18" r="AQ65"/>
  <c i="18" r="AQ92" s="1"/>
  <c i="18" r="AV63"/>
  <c i="18" r="AV90" s="1"/>
  <c i="18" r="AJ71"/>
  <c i="18" r="AJ98" s="1"/>
  <c i="18" r="AK65"/>
  <c i="18" r="AK92" s="1"/>
  <c i="18" r="AR59"/>
  <c i="18" r="AO74"/>
  <c i="18" r="AO101" s="1"/>
  <c i="18" r="AL74"/>
  <c i="18" r="AL101" s="1"/>
  <c i="18" r="AH68"/>
  <c i="18" r="AH95" s="1"/>
  <c i="18" r="AU62"/>
  <c i="18" r="AU89" s="1"/>
  <c i="18" r="AE73"/>
  <c i="18" r="AE100" s="1"/>
  <c i="18" r="AP69"/>
  <c i="18" r="AP96" s="1"/>
  <c i="18" r="AD65"/>
  <c i="18" r="AD92" s="1"/>
  <c i="18" r="AB67"/>
  <c i="18" r="AB94" s="1"/>
  <c i="18" r="AI62"/>
  <c i="18" r="AI89" s="1"/>
  <c i="18" r="AT63"/>
  <c i="18" r="AT90" s="1"/>
  <c i="18" r="AD74"/>
  <c i="18" r="AD101" s="1"/>
  <c i="18" r="AQ70"/>
  <c i="18" r="AQ97" s="1"/>
  <c i="18" r="AD63"/>
  <c i="18" r="AD90" s="1"/>
  <c i="18" r="AQ67"/>
  <c i="18" r="AQ94" s="1"/>
  <c i="18" r="AN75"/>
  <c i="18" r="AN102" s="1"/>
  <c i="18" r="AR62"/>
  <c i="18" r="AR89" s="1"/>
  <c i="18" r="AM61"/>
  <c i="18" r="AM88" s="1"/>
  <c i="18" r="AG75"/>
  <c i="18" r="AG102" s="1"/>
  <c i="18" r="AA62"/>
  <c i="18" r="AA89" s="1"/>
  <c i="18" r="AI61"/>
  <c i="18" r="AI88" s="1"/>
  <c i="18" r="AB77"/>
  <c i="18" r="AB104" s="1"/>
  <c i="18" r="AA72"/>
  <c i="18" r="AA99" s="1"/>
  <c i="18" r="AT68"/>
  <c i="18" r="AT95" s="1"/>
  <c i="18" r="AE77"/>
  <c i="18" r="AE104" s="1"/>
  <c i="18" r="AC69"/>
  <c i="18" r="AC96" s="1"/>
  <c i="18" r="AS61"/>
  <c i="18" r="AS88" s="1"/>
  <c i="18" r="AH65"/>
  <c i="18" r="AH92" s="1"/>
  <c i="18" r="AR57"/>
  <c i="18" r="AR84" s="1"/>
  <c i="18" r="AC67"/>
  <c i="18" r="AC94" s="1"/>
  <c i="18" r="AR68"/>
  <c i="18" r="AR95" s="1"/>
  <c i="18" r="AO59"/>
  <c i="18" r="AO86" s="1"/>
  <c i="18" r="AG59"/>
  <c i="18" r="AG86" s="1"/>
  <c i="18" r="AM63"/>
  <c i="18" r="AM90" s="1"/>
  <c i="18" r="AP63"/>
  <c i="18" r="AP90" s="1"/>
  <c i="18" r="AH59"/>
  <c i="18" r="AH86" s="1"/>
  <c i="18" r="AU57"/>
  <c i="18" r="AU84" s="1"/>
  <c i="18" r="AV72"/>
  <c i="18" r="AV99" s="1"/>
  <c i="18" r="AJ76"/>
  <c i="18" r="AJ103" s="1"/>
  <c i="18" r="AD64"/>
  <c i="18" r="AD91" s="1"/>
  <c i="18" r="AK57"/>
  <c i="18" r="AK84" s="1"/>
  <c i="18" r="AB62"/>
  <c i="18" r="AB89" s="1"/>
  <c i="18" r="AD62"/>
  <c i="18" r="AD89" s="1"/>
  <c i="18" r="AF57"/>
  <c i="18" r="AF84" s="1"/>
  <c i="18" r="AC57"/>
  <c i="18" r="AC84" s="1"/>
  <c i="18" r="AQ74"/>
  <c i="18" r="AQ101" s="1"/>
  <c i="18" r="AD77"/>
  <c i="18" r="AD104" s="1"/>
  <c i="18" r="AJ64"/>
  <c i="18" r="AJ91" s="1"/>
  <c i="18" r="AB60"/>
  <c i="18" r="AB87" s="1"/>
  <c i="18" r="AD57"/>
  <c i="18" r="AD84" s="1"/>
  <c i="18" r="AB64"/>
  <c i="18" r="AB91" s="1"/>
  <c i="18" r="AA61"/>
  <c i="18" r="AA88" s="1"/>
  <c i="18" r="AJ61"/>
  <c i="18" r="AJ88" s="1"/>
  <c i="18" r="AN62"/>
  <c i="18" r="AN89" s="1"/>
  <c i="18" r="AN69"/>
  <c i="18" r="AN96" s="1"/>
  <c i="18" r="AD61"/>
  <c i="18" r="AD88" s="1"/>
  <c i="18" r="AU69"/>
  <c i="18" r="AU96" s="1"/>
  <c i="18" r="AO64"/>
  <c i="18" r="AO91" s="1"/>
  <c i="18" r="AH70"/>
  <c i="18" r="AH97" s="1"/>
  <c i="18" r="AL57"/>
  <c i="18" r="AL84" s="1"/>
  <c i="18" r="AL63"/>
  <c i="18" r="AL90" s="1"/>
  <c i="18" r="AI75"/>
  <c i="18" r="AI102" s="1"/>
  <c i="18" r="AE68"/>
  <c i="18" r="AE95" s="1"/>
  <c i="18" r="AE64"/>
  <c i="18" r="AE91" s="1"/>
  <c i="18" r="AP74"/>
  <c i="18" r="AP101" s="1"/>
  <c i="18" r="AO72"/>
  <c i="18" r="AO99" s="1"/>
  <c i="18" r="AO77"/>
  <c i="18" r="AO104" s="1"/>
  <c i="18" r="AF63"/>
  <c i="18" r="AF90" s="1"/>
  <c i="18" r="AE61"/>
  <c i="18" r="AE88" s="1"/>
  <c i="18" r="CS51"/>
  <c i="18" r="AM71"/>
  <c i="18" r="AM98" s="1"/>
  <c i="18" r="AJ67"/>
  <c i="18" r="AJ94" s="1"/>
  <c i="18" r="AJ57"/>
  <c i="18" r="AJ84" s="1"/>
  <c i="18" r="AP76"/>
  <c i="18" r="AC62"/>
  <c i="18" r="AC89" s="1"/>
  <c i="18" r="AS72"/>
  <c i="18" r="AS99" s="1"/>
  <c i="18" r="AM65"/>
  <c i="18" r="AM92" s="1"/>
  <c i="18" r="AL73"/>
  <c i="18" r="AL100" s="1"/>
  <c i="18" r="AK58"/>
  <c i="18" r="AK85" s="1"/>
  <c i="18" r="AI72"/>
  <c i="18" r="AI99" s="1"/>
  <c i="18" r="AV68"/>
  <c i="18" r="AV95" s="1"/>
  <c i="18" r="AV66"/>
  <c i="18" r="AV93" s="1"/>
  <c i="18" r="AT57"/>
  <c i="18" r="AT84" s="1"/>
  <c i="18" r="AN65"/>
  <c i="18" r="AN92" s="1"/>
  <c i="18" r="AH60"/>
  <c i="18" r="AH87" s="1"/>
  <c i="18" r="AU68"/>
  <c i="18" r="AU95" s="1"/>
  <c i="18" r="AO63"/>
  <c i="18" r="AO90" s="1"/>
  <c i="18" r="AG63"/>
  <c i="18" r="AG90" s="1"/>
  <c i="18" r="AE60"/>
  <c i="18" r="AE87" s="1"/>
  <c i="18" r="AL75"/>
  <c i="18" r="AL102" s="1"/>
  <c i="18" r="AE74"/>
  <c i="18" r="AE101" s="1"/>
  <c i="18" r="AC73"/>
  <c i="18" r="AC100" s="1"/>
  <c i="18" r="AQ58"/>
  <c i="18" r="AQ85" s="1"/>
  <c i="18" r="AS76"/>
  <c i="18" r="AS103" s="1"/>
  <c i="18" r="AP77"/>
  <c i="18" r="AP104" s="1"/>
  <c i="18" r="AS64"/>
  <c i="18" r="AS91" s="1"/>
  <c i="18" r="AO66"/>
  <c i="18" r="AO93" s="1"/>
  <c i="18" r="AV74"/>
  <c i="18" r="AV101" s="1"/>
  <c i="18" r="AP59"/>
  <c i="18" r="AP86" s="1"/>
  <c i="18" r="AQ72"/>
  <c i="18" r="AQ99" s="1"/>
  <c i="18" r="AS67"/>
  <c i="18" r="AS94" s="1"/>
  <c i="18" r="AP75"/>
  <c i="18" r="AP102" s="1"/>
  <c i="18" r="AU61"/>
  <c i="18" r="AU88" s="1"/>
  <c i="18" r="AD73"/>
  <c i="18" r="AD100" s="1"/>
  <c i="18" r="AR63"/>
  <c i="18" r="AR90" s="1"/>
  <c i="18" r="AM77"/>
  <c i="18" r="AM104" s="1"/>
  <c i="18" r="AM75"/>
  <c i="18" r="AM102" s="1"/>
  <c i="18" r="AK59"/>
  <c i="18" r="AK86" s="1"/>
  <c i="18" r="AN59"/>
  <c i="18" r="AN86" s="1"/>
  <c i="18" r="AG76"/>
  <c i="18" r="AG103" s="1"/>
  <c i="18" r="AR76"/>
  <c i="18" r="AR103" s="1"/>
  <c i="18" r="AN63"/>
  <c i="18" r="AN90" s="1"/>
  <c i="18" r="AC72"/>
  <c i="18" r="AC99" s="1"/>
  <c i="18" r="AC64"/>
  <c i="18" r="AC91" s="1"/>
  <c i="18" r="AF75"/>
  <c i="18" r="AF102" s="1"/>
  <c i="18" r="AK63"/>
  <c i="18" r="AK90" s="1"/>
  <c i="18" r="AM64"/>
  <c i="18" r="AM91" s="1"/>
  <c i="18" r="AV77"/>
  <c i="18" r="AV104" s="1"/>
  <c i="18" r="AO58"/>
  <c i="18" r="AO85" s="1"/>
  <c i="18" r="AV61"/>
  <c i="18" r="AV88" s="1"/>
  <c i="18" r="AL58"/>
  <c i="18" r="AL85" s="1"/>
  <c i="18" r="AI77"/>
  <c i="18" r="AI104" s="1"/>
  <c i="18" r="AF77"/>
  <c i="18" r="AF104" s="1"/>
  <c i="18" r="AK64"/>
  <c i="18" r="AK91" s="1"/>
  <c i="18" r="AC74"/>
  <c i="18" r="AC101" s="1"/>
  <c i="18" r="AN70"/>
  <c i="18" r="AN97" s="1"/>
  <c i="18" r="AO76"/>
  <c i="18" r="AO103" s="1"/>
  <c i="18" r="AP62"/>
  <c i="18" r="AP89" s="1"/>
  <c i="18" r="AK61"/>
  <c i="18" r="AK88" s="1"/>
  <c i="18" r="AA71"/>
  <c i="18" r="AA98" s="1"/>
  <c i="18" r="AR70"/>
  <c i="18" r="AR97" s="1"/>
  <c i="18" r="AG71"/>
  <c i="18" r="AG98" s="1"/>
  <c i="18" r="AC63"/>
  <c i="18" r="AC90" s="1"/>
  <c i="18" r="AP73"/>
  <c i="18" r="AP100" s="1"/>
  <c i="18" r="AT77"/>
  <c i="18" r="AT104" s="1"/>
  <c i="18" r="AG67"/>
  <c i="18" r="AG94" s="1"/>
  <c i="18" r="AG62"/>
  <c i="18" r="AG89" s="1"/>
  <c i="18" r="AK72"/>
  <c i="18" r="AK99" s="1"/>
  <c i="18" r="AQ63"/>
  <c i="18" r="AQ90" s="1"/>
  <c i="18" r="AO57"/>
  <c i="18" r="AO84" s="1"/>
  <c i="18" r="AD60"/>
  <c i="18" r="AD87" s="1"/>
  <c i="18" r="AQ75"/>
  <c i="18" r="AQ102" s="1"/>
  <c i="18" r="AQ73"/>
  <c i="18" r="AQ100" s="1"/>
  <c i="18" r="AE62"/>
  <c i="18" r="AE89" s="1"/>
  <c i="18" r="AU65"/>
  <c i="18" r="AU92" s="1"/>
  <c i="18" r="AM74"/>
  <c i="18" r="AM101" s="1"/>
  <c i="18" r="AI64"/>
  <c i="18" r="AI91" s="1"/>
  <c i="18" r="AV70"/>
  <c i="18" r="AV97" s="1"/>
  <c i="18" r="AB63"/>
  <c i="18" r="AB90" s="1"/>
  <c i="18" r="AL60"/>
  <c i="18" r="AL87" s="1"/>
  <c i="18" r="AJ58"/>
  <c i="18" r="AJ85" s="1"/>
  <c i="18" r="AS74"/>
  <c i="18" r="AS101" s="1"/>
  <c i="18" r="AO75"/>
  <c i="18" r="AO102" s="1"/>
  <c i="18" r="AS62"/>
  <c i="18" r="AS89" s="1"/>
  <c i="18" r="AA76"/>
  <c i="18" r="AA103" s="1"/>
  <c i="18" r="AB65"/>
  <c i="18" r="AB92" s="1"/>
  <c i="18" r="AT73"/>
  <c i="18" r="AT100" s="1"/>
  <c i="18" r="AH58"/>
  <c i="18" r="AH85" s="1"/>
  <c i="18" r="AA60"/>
  <c i="18" r="AA87" s="1"/>
  <c i="18" r="AU71"/>
  <c i="18" r="AU98" s="1"/>
  <c i="18" r="AF70"/>
  <c i="18" r="AF97" s="1"/>
  <c i="18" r="AN73"/>
  <c i="18" r="AN100" s="1"/>
  <c i="18" r="AU66"/>
  <c i="18" r="AU93" s="1"/>
  <c i="18" r="AM62"/>
  <c i="18" r="AM89" s="1"/>
  <c i="18" r="AG69"/>
  <c i="18" r="AA65"/>
  <c i="18" r="AA92" s="1"/>
  <c i="18" r="AK75"/>
  <c i="18" r="AK102" s="1"/>
  <c i="18" r="BU58"/>
  <c i="18" r="AQ61"/>
  <c i="18" r="AF74"/>
  <c i="18" r="AF101" s="1"/>
  <c i="18" r="AR69"/>
  <c i="18" r="AR96" s="1"/>
  <c i="18" r="AH61"/>
  <c i="18" r="AH88" s="1"/>
  <c i="18" r="AK76"/>
  <c i="18" r="AK103" s="1"/>
  <c i="18" r="AU73"/>
  <c i="18" r="AU100" s="1"/>
  <c i="18" r="AC70"/>
  <c i="18" r="AC97" s="1"/>
  <c i="18" r="AV60"/>
  <c i="18" r="AV87" s="1"/>
  <c i="18" r="AE72"/>
  <c i="18" r="AE99" s="1"/>
  <c i="18" r="AG60"/>
  <c i="18" r="AG87" s="1"/>
  <c i="18" r="AF65"/>
  <c i="18" r="AF92" s="1"/>
  <c i="18" r="AC71"/>
  <c i="18" r="AC98" s="1"/>
  <c i="18" r="AH76"/>
  <c i="18" r="AH103" s="1"/>
  <c i="18" r="AA58"/>
  <c i="18" r="AA85" s="1"/>
  <c i="18" r="AR71"/>
  <c i="18" r="AR98" s="1"/>
  <c i="18" r="AP78"/>
  <c i="18" r="AI68"/>
  <c i="18" r="AI95" s="1"/>
  <c i="18" r="AP67"/>
  <c i="18" r="AP94" s="1"/>
  <c i="18" r="AB61"/>
  <c i="18" r="AB88" s="1"/>
  <c i="18" r="AI58"/>
  <c i="18" r="AI85" s="1"/>
  <c i="18" r="AP68"/>
  <c i="18" r="AP95" s="1"/>
  <c i="18" r="AH63"/>
  <c i="18" r="AH90" s="1"/>
  <c i="18" r="AH62"/>
  <c i="18" r="AV64"/>
  <c i="18" r="AV91" s="1"/>
  <c i="18" r="AC68"/>
  <c i="18" r="AC95" s="1"/>
  <c i="18" r="AK67"/>
  <c i="18" r="AK94" s="1"/>
  <c i="18" r="AV67"/>
  <c i="18" r="AV94" s="1"/>
  <c i="18" r="AL67"/>
  <c i="18" r="AL94" s="1"/>
  <c i="18" r="AV75"/>
  <c i="18" r="AV102" s="1"/>
  <c i="18" r="AS78"/>
  <c i="18" r="AG70"/>
  <c i="18" r="AG97" s="1"/>
  <c i="18" r="AA59"/>
  <c i="18" r="AA86" s="1"/>
  <c i="18" r="AM68"/>
  <c i="18" r="AM95" s="1"/>
  <c i="18" r="AL69"/>
  <c i="18" r="AL96" s="1"/>
  <c i="18" r="AQ62"/>
  <c i="18" r="AQ89" s="1"/>
  <c i="18" r="AF61"/>
  <c i="18" r="AF88" s="1"/>
  <c i="18" r="AT62"/>
  <c i="18" r="AT89" s="1"/>
  <c i="18" r="AJ70"/>
  <c i="18" r="AJ97" s="1"/>
  <c i="18" r="AK69"/>
  <c i="18" r="AK68"/>
  <c i="18" r="AL68"/>
  <c i="18" r="AL95" s="1"/>
  <c i="18" r="AG73"/>
  <c i="18" r="AG100" s="1"/>
  <c i="18" r="AL65"/>
  <c i="18" r="AD69"/>
  <c i="18" r="AD96" s="1"/>
  <c i="18" r="AT69"/>
  <c i="18" r="AT96" s="1"/>
  <c i="18" r="AN57"/>
  <c i="18" r="AN84" s="1"/>
  <c i="18" r="AT75"/>
  <c i="18" r="AH74"/>
  <c i="18" r="AH101" s="1"/>
  <c i="18" r="AV58"/>
  <c i="18" r="AV85" s="1"/>
  <c i="18" r="AG57"/>
  <c i="18" r="AG84" s="1"/>
  <c i="18" r="AS70"/>
  <c i="18" r="AS97" s="1"/>
  <c i="18" r="AS60"/>
  <c i="18" r="AJ66"/>
  <c i="18" r="AJ93" s="1"/>
  <c i="18" r="AD58"/>
  <c i="18" r="AD85" s="1"/>
  <c i="18" r="AQ69"/>
  <c i="18" r="AQ96" s="1"/>
  <c i="18" r="AL62"/>
  <c i="18" r="AL89" s="1"/>
  <c i="18" r="AC75"/>
  <c i="18" r="AC102" s="1"/>
  <c i="18" r="AP72"/>
  <c i="18" r="AP99" s="1"/>
  <c i="18" r="AF72"/>
  <c i="18" r="AF99" s="1"/>
  <c i="18" r="AL71"/>
  <c i="18" r="AL98" s="1"/>
  <c i="18" r="AB73"/>
  <c i="18" r="AB100" s="1"/>
  <c i="18" r="AD66"/>
  <c i="18" r="AD93" s="1"/>
  <c i="18" r="AS57"/>
  <c i="18" r="AS84" s="1"/>
  <c i="18" r="AP71"/>
  <c i="18" r="AP98" s="1"/>
  <c i="18" r="AL77"/>
  <c i="18" r="AL104" s="1"/>
  <c i="18" r="AE57"/>
  <c i="18" r="AE84" s="1"/>
  <c i="18" r="AE75"/>
  <c i="18" r="AE102" s="1"/>
  <c i="18" r="AT58"/>
  <c i="18" r="AT85" s="1"/>
  <c i="18" r="AB74"/>
  <c i="18" r="AB101" s="1"/>
  <c i="18" r="AU77"/>
  <c i="18" r="AU104" s="1"/>
  <c i="18" r="AP60"/>
  <c i="18" r="AP87" s="1"/>
  <c i="18" r="AD76"/>
  <c i="18" r="AD103" s="1"/>
  <c i="18" r="AT71"/>
  <c i="18" r="AT98" s="1"/>
  <c i="18" r="AA78"/>
  <c i="18" r="AE65"/>
  <c i="18" r="AE92" s="1"/>
  <c i="18" r="AE59"/>
  <c i="18" r="AE86" s="1"/>
  <c i="18" r="AB69"/>
  <c i="18" r="AB96" s="1"/>
  <c i="18" r="AL72"/>
  <c i="18" r="AL99" s="1"/>
  <c i="18" r="AF58"/>
  <c i="18" r="AF85" s="1"/>
  <c i="18" r="AM73"/>
  <c i="18" r="AM100" s="1"/>
  <c i="18" r="AT70"/>
  <c i="18" r="AT97" s="1"/>
  <c i="18" r="AG78"/>
  <c i="1" r="CL36"/>
  <c i="18" r="M18"/>
  <c i="18" r="AZ58"/>
  <c a="1" i="18" r="AK8" s="1"/>
  <c i="18" r="AK8" s="1"/>
  <c i="18" r="AA131"/>
  <c i="18" r="AA157" s="1"/>
  <c i="18" r="BX51"/>
  <c i="18" r="BS58"/>
  <c i="18" r="AT131"/>
  <c i="18" r="AT157" s="1"/>
  <c i="18" r="CQ51"/>
  <c i="1" r="CJ22"/>
  <c i="18" r="P4" s="1"/>
  <c i="18" r="N4"/>
  <c i="18" r="R4" s="1"/>
  <c i="18" r="AE4" s="1"/>
  <c i="18" r="AF4" s="1"/>
  <c i="1" r="CJ42"/>
  <c i="18" r="N24"/>
  <c i="1" r="CJ24"/>
  <c i="18" r="P6" s="1"/>
  <c i="18" r="N6"/>
  <c i="18" r="R6" s="1"/>
  <c i="18" r="AE6" s="1"/>
  <c i="18" r="BO58"/>
  <c i="18" r="AP131"/>
  <c i="18" r="AP157" s="1"/>
  <c i="18" r="CM51"/>
  <c i="18" r="AV131"/>
  <c i="18" r="AV157" s="1"/>
  <c i="18" r="BA58"/>
  <c i="18" r="AB131"/>
  <c i="18" r="AB157" s="1"/>
  <c i="18" r="CI51"/>
  <c i="1" r="CL39"/>
  <c i="18" r="M21"/>
  <c i="1" r="CJ23"/>
  <c i="18" r="P5" s="1"/>
  <c i="18" r="N5"/>
  <c i="18" r="R5" s="1"/>
  <c i="18" r="AE5" s="1"/>
  <c i="1" r="CL41"/>
  <c i="18" r="BE58"/>
  <c i="18" r="AF131"/>
  <c i="18" r="AF157" s="1"/>
  <c i="18" r="BY51"/>
  <c i="18" r="BJ58"/>
  <c i="18" r="AK131"/>
  <c i="18" r="AK157" s="1"/>
  <c i="1" r="CJ36"/>
  <c i="18" r="P18" s="1"/>
  <c i="18" r="N18"/>
  <c i="18" r="R18" s="1"/>
  <c i="18" r="AE18" s="1"/>
  <c i="1" r="CJ25"/>
  <c i="18" r="P7" s="1"/>
  <c i="18" r="N7"/>
  <c i="18" r="R7" s="1"/>
  <c i="18" r="AE7" s="1"/>
  <c i="1" r="CL38"/>
  <c i="18" r="CC51"/>
  <c i="1" r="CJ32"/>
  <c i="18" r="P14" s="1"/>
  <c i="18" r="N14"/>
  <c i="18" r="R14" s="1"/>
  <c i="18" r="AE14" s="1"/>
  <c i="1" r="CJ33"/>
  <c i="18" r="P15" s="1"/>
  <c i="18" r="N15"/>
  <c i="18" r="R15" s="1"/>
  <c i="18" r="AE15" s="1"/>
  <c i="1" r="CL34"/>
  <c i="18" r="M16"/>
  <c i="18" r="BL58"/>
  <c i="18" r="AM131"/>
  <c i="18" r="AM157" s="1"/>
  <c i="1" r="CJ37"/>
  <c i="18" r="P19" s="1"/>
  <c i="18" r="N19"/>
  <c i="18" r="R19" s="1"/>
  <c i="18" r="AE19" s="1"/>
  <c i="12" r="H90"/>
  <c i="1" r="CJ27"/>
  <c i="18" r="P9" s="1"/>
  <c i="18" r="N9"/>
  <c i="18" r="R9" s="1"/>
  <c i="18" r="AE9" s="1"/>
  <c i="18" r="AF9" s="1"/>
  <c i="1" r="CJ34"/>
  <c i="18" r="P16" s="1"/>
  <c i="18" r="N16"/>
  <c i="18" r="R16" s="1"/>
  <c i="18" r="AE16" s="1"/>
  <c i="18" r="AF16" s="1"/>
  <c i="18" r="CO51"/>
  <c i="1" r="CJ31"/>
  <c i="18" r="P13" s="1"/>
  <c i="18" r="N13"/>
  <c i="18" r="R13" s="1"/>
  <c i="18" r="AE13" s="1"/>
  <c i="1" r="CJ38"/>
  <c i="18" r="P20" s="1"/>
  <c i="18" r="N20"/>
  <c i="18" r="R20" s="1"/>
  <c i="18" r="AE20" s="1"/>
  <c i="1" r="CL26"/>
  <c i="18" r="M8"/>
  <c i="1" r="CL30"/>
  <c i="18" r="M12"/>
  <c i="18" r="BQ58"/>
  <c i="18" r="AR131"/>
  <c i="18" r="AR157" s="1"/>
  <c i="18" r="CA51"/>
  <c i="1" r="CJ29"/>
  <c i="18" r="P11" s="1"/>
  <c i="18" r="N11"/>
  <c i="18" r="R11" s="1"/>
  <c i="18" r="AE11" s="1"/>
  <c i="1" r="CL25"/>
  <c i="18" r="M7"/>
  <c i="1" r="CJ35"/>
  <c i="18" r="P17" s="1"/>
  <c i="18" r="N17"/>
  <c i="18" r="R17" s="1"/>
  <c i="18" r="AE17" s="1"/>
  <c i="1" r="CJ39"/>
  <c i="18" r="P21" s="1"/>
  <c i="18" r="N21"/>
  <c i="18" r="R21" s="1"/>
  <c i="18" r="AE21" s="1"/>
  <c i="1" r="CL28"/>
  <c i="18" r="M10"/>
  <c i="18" r="CE51"/>
  <c i="18" r="CP51"/>
  <c i="18" r="CR51"/>
  <c i="18" r="BT58"/>
  <c i="1" r="CL33"/>
  <c i="18" r="M15"/>
  <c i="1" r="CL31"/>
  <c i="18" r="M13"/>
  <c i="18" r="BG58"/>
  <c i="18" r="AH131"/>
  <c i="18" r="AH157" s="1"/>
  <c i="18" r="BR58"/>
  <c i="18" r="AS131"/>
  <c i="18" r="AS157" s="1"/>
  <c i="1" r="CJ40"/>
  <c i="18" r="P22" s="1"/>
  <c i="18" r="N22"/>
  <c i="18" r="R22" s="1"/>
  <c i="18" r="AE22" s="1"/>
  <c i="1" r="CL32"/>
  <c i="18" r="M14"/>
  <c i="1" r="CL35"/>
  <c i="18" r="M17"/>
  <c i="1" r="CL29"/>
  <c i="18" r="M11"/>
  <c i="1" r="CL24"/>
  <c i="18" r="M6"/>
  <c i="1" r="CL37"/>
  <c i="18" r="M19"/>
  <c i="1" r="CL40"/>
  <c i="18" r="M22"/>
  <c i="18" r="BB58"/>
  <c i="18" r="AC131"/>
  <c i="18" r="AC157" s="1"/>
  <c i="1" r="CJ41"/>
  <c i="18" r="P23" s="1"/>
  <c i="18" r="N23"/>
  <c i="18" r="R23" s="1"/>
  <c i="18" r="AE23" s="1"/>
  <c i="1" r="CJ26"/>
  <c i="18" r="P8" s="1"/>
  <c i="18" r="N8"/>
  <c i="18" r="R8" s="1"/>
  <c i="18" r="AE8" s="1"/>
  <c i="18" r="BZ51"/>
  <c i="12" r="G58"/>
  <c i="12" r="H117"/>
  <c i="12" r="G96"/>
  <c i="12" r="G56"/>
  <c i="12" r="G55"/>
  <c i="12" r="H97"/>
  <c i="12" r="H96"/>
  <c i="12" r="H56"/>
  <c i="12" r="H95"/>
  <c i="12" r="G75"/>
  <c i="12" r="G108"/>
  <c i="12" r="H87"/>
  <c i="12" r="H47"/>
  <c i="12" r="H86"/>
  <c i="12" r="H46"/>
  <c i="12" r="G106"/>
  <c i="12" r="H85"/>
  <c i="12" r="H45"/>
  <c i="12" r="G104"/>
  <c i="12" r="H123"/>
  <c i="12" r="H83"/>
  <c i="12" r="H43"/>
  <c i="12" r="G103"/>
  <c i="12" r="H42"/>
  <c i="12" r="G62"/>
  <c i="12" r="H121"/>
  <c i="12" r="G61"/>
  <c i="12" r="H120"/>
  <c i="12" r="H80"/>
  <c i="12" r="H40"/>
  <c i="12" r="G60"/>
  <c i="12" r="H119"/>
  <c i="12" r="H39"/>
  <c i="12" r="G99"/>
  <c i="12" r="G59"/>
  <c i="12" r="H118"/>
  <c i="12" r="G109"/>
  <c i="12" r="H88"/>
  <c i="12" r="H48"/>
  <c i="12" r="G107"/>
  <c i="12" r="G123"/>
  <c i="12" r="G83"/>
  <c i="12" r="H99"/>
  <c i="12" r="H59"/>
  <c i="12" r="G110"/>
  <c i="12" r="H49"/>
  <c i="12" r="G84"/>
  <c i="12" r="H63"/>
  <c i="12" r="H61"/>
  <c i="12" r="H62"/>
  <c i="12" r="G82"/>
  <c i="12" r="G80"/>
  <c i="12" r="G120"/>
  <c i="12" r="G79"/>
  <c i="12" r="G38"/>
  <c i="12" r="H94"/>
  <c i="12" r="H93"/>
  <c i="12" r="H51"/>
  <c i="12" r="H115"/>
  <c i="12" r="H75"/>
  <c i="12" r="H114"/>
  <c i="12" r="H73"/>
  <c i="12" r="H112"/>
  <c i="12" r="H72"/>
  <c i="12" r="H111"/>
  <c i="12" r="H71"/>
  <c i="12" r="G51"/>
  <c i="12" r="H110"/>
  <c i="12" r="H70"/>
  <c i="12" r="H109"/>
  <c i="12" r="H69"/>
  <c i="12" r="G48"/>
  <c i="12" r="H107"/>
  <c i="12" r="H67"/>
  <c i="12" r="H66"/>
  <c i="12" r="G86"/>
  <c i="12" r="G85"/>
  <c i="12" r="H104"/>
  <c i="12" r="H64"/>
  <c i="12" r="G53"/>
  <c i="12" r="G77"/>
  <c i="12" r="G101"/>
  <c i="12" r="G125"/>
  <c i="12" r="G52"/>
  <c i="12" r="H38"/>
  <c i="12" r="G122"/>
  <c i="12" r="G74"/>
  <c i="12" r="G100"/>
  <c i="12" r="G98"/>
  <c i="12" r="G121"/>
  <c i="12" r="G97"/>
  <c i="12" r="G73"/>
  <c i="12" r="G49"/>
  <c i="12" r="H108"/>
  <c i="12" r="H84"/>
  <c i="12" r="H60"/>
  <c i="12" r="G76"/>
  <c i="12" r="G124"/>
  <c i="12" r="H122"/>
  <c i="12" r="H98"/>
  <c i="12" r="H74"/>
  <c i="12" r="H50"/>
  <c i="12" r="G105"/>
  <c i="12" r="G81"/>
  <c i="12" r="G57"/>
  <c i="12" r="H116"/>
  <c i="12" r="H92"/>
  <c i="12" r="H68"/>
  <c i="12" r="H44"/>
  <c i="12" r="G126"/>
  <c i="12" r="G102"/>
  <c i="12" r="G78"/>
  <c i="12" r="G54"/>
  <c i="12" r="H113"/>
  <c i="12" r="H89"/>
  <c i="12" r="H65"/>
  <c i="12" r="H41"/>
  <c i="12" r="G118"/>
  <c i="12" r="G94"/>
  <c i="12" r="G70"/>
  <c i="12" r="G46"/>
  <c i="12" r="H106"/>
  <c i="12" r="H82"/>
  <c i="12" r="H58"/>
  <c i="12" r="H105"/>
  <c i="12" r="H81"/>
  <c i="12" r="H57"/>
  <c i="12" r="G93"/>
  <c i="12" r="G69"/>
  <c i="12" r="G45"/>
  <c i="12" r="G50"/>
  <c i="12" r="H103"/>
  <c i="12" r="H79"/>
  <c i="12" r="H55"/>
  <c i="12" r="H126"/>
  <c i="12" r="H102"/>
  <c i="12" r="H78"/>
  <c i="12" r="H54"/>
  <c i="12" r="H125"/>
  <c i="12" r="H101"/>
  <c i="12" r="H77"/>
  <c i="12" r="H53"/>
  <c i="12" r="H37"/>
  <c i="12" r="G47"/>
  <c i="12" r="H124"/>
  <c i="12" r="H100"/>
  <c i="12" r="H76"/>
  <c i="12" r="H52"/>
  <c i="12" r="G116"/>
  <c i="12" r="G92"/>
  <c i="12" r="G68"/>
  <c i="12" r="G44"/>
  <c i="12" r="G71"/>
  <c i="12" r="G115"/>
  <c i="12" r="G91"/>
  <c i="12" r="G67"/>
  <c i="12" r="G43"/>
  <c i="12" r="G114"/>
  <c i="12" r="G90"/>
  <c i="12" r="G66"/>
  <c i="12" r="G42"/>
  <c i="12" r="G113"/>
  <c i="12" r="G89"/>
  <c i="12" r="G65"/>
  <c i="12" r="G41"/>
  <c i="12" r="G119"/>
  <c i="12" r="G112"/>
  <c i="12" r="G88"/>
  <c i="12" r="G64"/>
  <c i="12" r="G40"/>
  <c i="12" r="G111"/>
  <c i="12" r="G87"/>
  <c i="12" r="G63"/>
  <c i="12" r="G39"/>
  <c i="12" r="G117"/>
  <c i="12" r="G95"/>
  <c i="12" r="G37"/>
  <c i="18" l="1" r="AF22"/>
  <c i="18" r="AF19"/>
  <c i="18" r="AF15"/>
  <c i="18" r="AQ88"/>
  <c i="18" r="AG96"/>
  <c i="18" r="AP103"/>
  <c i="18" r="BH58"/>
  <c i="18" r="AL92"/>
  <c i="18" r="AD78"/>
  <c i="18" r="BC60" s="1"/>
  <c i="18" r="AH89"/>
  <c i="18" r="AM85"/>
  <c i="18" r="AU99"/>
  <c i="18" r="AD131"/>
  <c i="18" r="AD157" s="1"/>
  <c i="18" r="AC160"/>
  <c i="18" r="AK7" s="1"/>
  <c i="18" r="AI131"/>
  <c i="18" r="AI157" s="1"/>
  <c i="18" r="AJ131"/>
  <c i="18" r="AJ157" s="1"/>
  <c i="18" r="BI58"/>
  <c i="18" r="AR86"/>
  <c i="18" r="AA104"/>
  <c i="18" r="AN131"/>
  <c i="18" r="AN157" s="1"/>
  <c i="18" r="BM58"/>
  <c i="18" r="AL131"/>
  <c i="18" r="AL157" s="1"/>
  <c i="18" r="AJ92"/>
  <c i="18" r="AA160"/>
  <c i="18" r="AB160"/>
  <c i="18" r="AR94"/>
  <c i="18" r="AN101"/>
  <c i="18" r="AS87"/>
  <c i="18" r="AD86"/>
  <c i="18" r="AA161"/>
  <c i="18" r="AC161"/>
  <c i="18" r="BK58"/>
  <c i="18" r="AT102"/>
  <c i="18" r="AF13"/>
  <c i="18" r="AF5"/>
  <c i="18" r="AF14"/>
  <c i="18" r="AF17"/>
  <c i="18" r="AF11"/>
  <c i="18" r="AF23"/>
  <c i="18" r="AF21"/>
  <c i="18" r="AF8"/>
  <c i="18" r="AF20"/>
  <c i="18" r="CZ17"/>
  <c i="18" r="DA17" s="1"/>
  <c i="18" r="AF7"/>
  <c i="18" r="AF18"/>
  <c i="18" r="CV19"/>
  <c i="18" r="CX18"/>
  <c i="18" r="CY18"/>
  <c i="18" r="AK96"/>
  <c i="18" r="Y25"/>
  <c i="18" r="AE25" s="1"/>
  <c i="18" r="AK95"/>
  <c i="18" r="Y24"/>
  <c i="18" r="AE24" s="1"/>
  <c i="18" r="AF6"/>
  <c i="18" r="AF12"/>
  <c i="18" r="AF10"/>
  <c i="18" r="AN105"/>
  <c i="18" r="BM60"/>
  <c i="18" r="AK105"/>
  <c i="18" r="BJ60"/>
  <c i="18" r="AP105"/>
  <c i="18" r="BO60"/>
  <c i="18" r="AM105"/>
  <c i="18" r="BL60"/>
  <c i="18" r="BQ60"/>
  <c i="18" r="AR105"/>
  <c i="18" r="BS60"/>
  <c i="18" r="AT105"/>
  <c i="18" r="AK5"/>
  <c i="18" r="AE105"/>
  <c i="18" r="BD60"/>
  <c i="18" r="BE60"/>
  <c i="18" r="AF105"/>
  <c i="18" r="AI105"/>
  <c i="18" r="BH60"/>
  <c i="18" r="BP60"/>
  <c i="18" r="AQ105"/>
  <c i="18" r="BN60"/>
  <c i="18" r="AO105"/>
  <c i="18" r="BU60"/>
  <c i="18" r="AV105"/>
  <c i="18" r="AL105"/>
  <c i="18" r="BK60"/>
  <c i="18" r="BT60"/>
  <c i="18" r="AU105"/>
  <c i="18" r="AZ60"/>
  <c i="18" r="AA105"/>
  <c i="18" r="BR60"/>
  <c i="18" r="AS105"/>
  <c i="18" r="BG60"/>
  <c i="18" r="AH105"/>
  <c i="18" r="BB60"/>
  <c i="18" r="AC105"/>
  <c i="18" r="AJ105"/>
  <c i="18" r="BI60"/>
  <c i="18" r="BF60"/>
  <c i="18" r="AG105"/>
  <c i="18" r="BA60"/>
  <c i="18" r="AB105"/>
  <c i="12" r="B7"/>
  <c i="18" l="1" r="AD105"/>
  <c i="18" r="AF24"/>
  <c i="18" r="AF25"/>
  <c i="18" r="CZ18"/>
  <c i="18" r="DA18" s="1"/>
  <c i="18" r="CV20"/>
  <c i="18" r="CY19"/>
  <c i="18" r="CX19"/>
  <c i="8" r="P19"/>
  <c i="8" r="Q19"/>
  <c i="8" r="R19"/>
  <c i="8" r="P20"/>
  <c i="8" r="Q20"/>
  <c i="8" r="R20"/>
  <c i="8" r="P21"/>
  <c i="8" r="Q21"/>
  <c i="8" r="R21"/>
  <c i="8" r="P22"/>
  <c i="8" r="Q22"/>
  <c i="8" r="R22"/>
  <c i="8" r="P23"/>
  <c i="8" r="Q23"/>
  <c i="8" r="R23"/>
  <c i="8" r="L19"/>
  <c i="8" r="L20"/>
  <c i="8" r="L21"/>
  <c i="8" r="L22"/>
  <c i="8" r="L23"/>
  <c i="8" r="E25"/>
  <c i="18" l="1" r="CZ19"/>
  <c i="18" r="DA19" s="1"/>
  <c i="18" r="CV21"/>
  <c i="18" r="CY20"/>
  <c i="18" r="CX20"/>
  <c i="8" r="P33"/>
  <c i="8" r="R30"/>
  <c i="8" r="R34"/>
  <c i="8" r="Q34"/>
  <c i="8" r="P34"/>
  <c i="8" r="R33"/>
  <c i="8" r="Q33"/>
  <c i="8" r="R32"/>
  <c i="8" r="Q32"/>
  <c i="8" r="P32"/>
  <c i="8" r="S22"/>
  <c i="8" r="S21"/>
  <c i="8" r="Q30"/>
  <c i="8" r="P30"/>
  <c i="8" r="R29"/>
  <c i="8" r="Q29"/>
  <c i="8" r="R31"/>
  <c i="8" r="Q31"/>
  <c i="8" r="P31"/>
  <c i="8" r="S19"/>
  <c i="8" r="S20"/>
  <c i="8" r="S23"/>
  <c i="18" l="1" r="CZ20"/>
  <c i="18" r="DA20" s="1"/>
  <c i="18" r="CV22"/>
  <c i="18" r="CY21"/>
  <c i="18" r="CX21"/>
  <c i="8" r="A19"/>
  <c i="8" r="A30" s="1"/>
  <c i="8" r="A20"/>
  <c i="8" r="A31" s="1"/>
  <c i="8" r="A21"/>
  <c i="8" r="A32" s="1"/>
  <c i="8" r="A22"/>
  <c i="8" r="A33" s="1"/>
  <c i="8" r="A23"/>
  <c i="8" r="A34" s="1"/>
  <c i="8" r="A18"/>
  <c i="8" r="A29" s="1"/>
  <c i="8" r="H8"/>
  <c i="8" r="H9"/>
  <c i="8" r="H10"/>
  <c i="8" r="H11"/>
  <c i="8" r="H12"/>
  <c i="8" r="H7"/>
  <c i="18" l="1" r="CV23"/>
  <c i="18" r="CY22"/>
  <c i="18" r="CX22"/>
  <c i="18" r="CZ21"/>
  <c i="18" r="DA21" s="1"/>
  <c i="8" r="O7"/>
  <c i="8" r="O18" s="1"/>
  <c i="8" r="O29" s="1"/>
  <c i="8" r="H18"/>
  <c i="8" r="H29" s="1"/>
  <c i="8" r="O12"/>
  <c i="8" r="O23" s="1"/>
  <c i="8" r="O34" s="1"/>
  <c i="8" r="H23"/>
  <c i="8" r="H34" s="1"/>
  <c i="8" r="O9"/>
  <c i="8" r="O20" s="1"/>
  <c i="8" r="O31" s="1"/>
  <c i="8" r="H20"/>
  <c i="8" r="H31" s="1"/>
  <c i="8" r="O10"/>
  <c i="8" r="O21" s="1"/>
  <c i="8" r="O32" s="1"/>
  <c i="8" r="H21"/>
  <c i="8" r="H32" s="1"/>
  <c i="8" r="O11"/>
  <c i="8" r="O22" s="1"/>
  <c i="8" r="O33" s="1"/>
  <c i="8" r="H22"/>
  <c i="8" r="H33" s="1"/>
  <c i="8" r="O8"/>
  <c i="8" r="O19" s="1"/>
  <c i="8" r="O30" s="1"/>
  <c i="8" r="H19"/>
  <c i="8" r="H30" s="1"/>
  <c i="12" r="D9"/>
  <c i="12" r="C9"/>
  <c i="12" r="B9"/>
  <c i="3" r="E101"/>
  <c i="18" l="1" r="CZ22"/>
  <c i="18" r="DA22" s="1"/>
  <c i="18" r="CV24"/>
  <c i="18" r="CY23"/>
  <c i="18" r="CX23"/>
  <c i="12" r="U76"/>
  <c i="12" r="V76"/>
  <c i="12" r="U75"/>
  <c i="12" r="V75"/>
  <c i="12" r="T4"/>
  <c i="12" r="W4" s="1"/>
  <c i="12" r="U4"/>
  <c i="12" r="V4"/>
  <c i="12" r="T5"/>
  <c i="12" r="U5"/>
  <c i="12" r="V5"/>
  <c i="12" r="T6"/>
  <c i="12" r="U6"/>
  <c i="12" r="V6"/>
  <c i="12" r="T7"/>
  <c i="12" r="U7"/>
  <c i="12" r="V7"/>
  <c i="12" r="T8"/>
  <c i="12" r="U8"/>
  <c i="12" r="V8"/>
  <c i="12" r="N14" s="1"/>
  <c i="12" r="T9"/>
  <c i="12" r="U9"/>
  <c i="12" r="V9"/>
  <c i="12" r="T10"/>
  <c i="12" r="U10"/>
  <c i="12" r="V10"/>
  <c i="12" r="T11"/>
  <c i="12" r="U11"/>
  <c i="12" r="V11"/>
  <c i="12" r="T12"/>
  <c i="12" r="U12"/>
  <c i="12" r="V12"/>
  <c i="12" r="T13"/>
  <c i="12" r="U13"/>
  <c i="12" r="V13"/>
  <c i="12" r="T14"/>
  <c i="12" r="U14"/>
  <c i="12" r="V14"/>
  <c i="12" r="T15"/>
  <c i="12" r="U15"/>
  <c i="12" r="V15"/>
  <c i="12" r="T16"/>
  <c i="12" r="W16" s="1"/>
  <c i="12" r="U16"/>
  <c i="12" r="V16"/>
  <c i="12" r="T17"/>
  <c i="12" r="U17"/>
  <c i="12" r="V17"/>
  <c i="12" r="T18"/>
  <c i="12" r="U18"/>
  <c i="12" r="V18"/>
  <c i="12" r="T19"/>
  <c i="12" r="U19"/>
  <c i="12" r="V19"/>
  <c i="12" r="T20"/>
  <c i="12" r="U20"/>
  <c i="12" r="V20"/>
  <c i="12" r="T21"/>
  <c i="12" r="U21"/>
  <c i="12" r="V21"/>
  <c i="12" r="T22"/>
  <c i="12" r="U22"/>
  <c i="12" r="V22"/>
  <c i="12" r="T23"/>
  <c i="12" r="U23"/>
  <c i="12" r="V23"/>
  <c i="12" r="T24"/>
  <c i="12" r="U24"/>
  <c i="12" r="V24"/>
  <c i="12" r="T25"/>
  <c i="12" r="U25"/>
  <c i="12" r="V25"/>
  <c i="12" r="T26"/>
  <c i="12" r="U26"/>
  <c i="12" r="V26"/>
  <c i="12" r="T27"/>
  <c i="12" r="U27"/>
  <c i="12" r="V27"/>
  <c i="12" r="T28"/>
  <c i="12" r="U28"/>
  <c i="12" r="V28"/>
  <c i="12" r="T29"/>
  <c i="12" r="W29" s="1"/>
  <c i="12" r="U29"/>
  <c i="12" r="V29"/>
  <c i="12" r="T30"/>
  <c i="12" r="U30"/>
  <c i="12" r="V30"/>
  <c i="12" r="T31"/>
  <c i="12" r="U31"/>
  <c i="12" r="V31"/>
  <c i="12" r="T32"/>
  <c i="12" r="U32"/>
  <c i="12" r="V32"/>
  <c i="12" r="T33"/>
  <c i="12" r="U33"/>
  <c i="12" r="V33"/>
  <c i="12" r="U34"/>
  <c i="12" r="V34"/>
  <c i="12" r="W34" s="1"/>
  <c i="12" r="U35"/>
  <c i="12" r="V35"/>
  <c i="12" r="W35" s="1"/>
  <c i="12" r="U36"/>
  <c i="12" r="V36"/>
  <c i="12" r="W36" s="1"/>
  <c i="12" r="U37"/>
  <c i="12" r="V37"/>
  <c i="12" r="W37" s="1"/>
  <c i="12" r="U38"/>
  <c i="12" r="V38"/>
  <c i="12" r="W38" s="1"/>
  <c i="12" r="U39"/>
  <c i="12" r="V39"/>
  <c i="12" r="U40"/>
  <c i="12" r="V40"/>
  <c i="12" r="W40" s="1"/>
  <c i="12" r="U41"/>
  <c i="12" r="V41"/>
  <c i="12" r="W41" s="1"/>
  <c i="12" r="U42"/>
  <c i="12" r="V42"/>
  <c i="12" r="W42" s="1"/>
  <c i="12" r="U43"/>
  <c i="12" r="V43"/>
  <c i="12" r="W43" s="1"/>
  <c i="12" r="U44"/>
  <c i="12" r="V44"/>
  <c i="12" r="W44" s="1"/>
  <c i="12" r="U45"/>
  <c i="12" r="V45"/>
  <c i="12" r="W45" s="1"/>
  <c i="12" r="U46"/>
  <c i="12" r="V46"/>
  <c i="12" r="W46" s="1"/>
  <c i="12" r="U47"/>
  <c i="12" r="V47"/>
  <c i="12" r="W47" s="1"/>
  <c i="12" r="U48"/>
  <c i="12" r="V48"/>
  <c i="12" r="W48" s="1"/>
  <c i="12" r="U49"/>
  <c i="12" r="V49"/>
  <c i="12" r="W49" s="1"/>
  <c i="12" r="U50"/>
  <c i="12" r="V50"/>
  <c i="12" r="W50" s="1"/>
  <c i="12" r="U51"/>
  <c i="12" r="V51"/>
  <c i="12" r="W51" s="1"/>
  <c i="12" r="U52"/>
  <c i="12" r="V52"/>
  <c i="12" r="W52" s="1"/>
  <c i="12" r="U53"/>
  <c i="12" r="V53"/>
  <c i="12" r="W53" s="1"/>
  <c i="12" r="U54"/>
  <c i="12" r="V54"/>
  <c i="12" r="W54" s="1"/>
  <c i="12" r="U55"/>
  <c i="12" r="V55"/>
  <c i="12" r="W55" s="1"/>
  <c i="12" r="U56"/>
  <c i="12" r="V56"/>
  <c i="12" r="W56" s="1"/>
  <c i="12" r="U57"/>
  <c i="12" r="V57"/>
  <c i="12" r="W57" s="1"/>
  <c i="12" r="U58"/>
  <c i="12" r="V58"/>
  <c i="12" r="W58" s="1"/>
  <c i="12" r="U59"/>
  <c i="12" r="V59"/>
  <c i="12" r="W59" s="1"/>
  <c i="12" r="U60"/>
  <c i="12" r="V60"/>
  <c i="12" r="W60" s="1"/>
  <c i="12" r="U61"/>
  <c i="12" r="V61"/>
  <c i="12" r="W61" s="1"/>
  <c i="12" r="U62"/>
  <c i="12" r="V62"/>
  <c i="12" r="W62" s="1"/>
  <c i="12" r="U63"/>
  <c i="12" r="V63"/>
  <c i="12" r="W63" s="1"/>
  <c i="12" r="U64"/>
  <c i="12" r="V64"/>
  <c i="12" r="W64" s="1"/>
  <c i="12" r="U65"/>
  <c i="12" r="V65"/>
  <c i="12" r="W65" s="1"/>
  <c i="12" r="U66"/>
  <c i="12" r="V66"/>
  <c i="12" r="W66" s="1"/>
  <c i="12" r="U67"/>
  <c i="12" r="V67"/>
  <c i="12" r="W67" s="1"/>
  <c i="12" r="U68"/>
  <c i="12" r="V68"/>
  <c i="12" r="W68" s="1"/>
  <c i="12" r="U69"/>
  <c i="12" r="V69"/>
  <c i="12" r="W69" s="1"/>
  <c i="12" r="U70"/>
  <c i="12" r="V70"/>
  <c i="12" r="W70" s="1"/>
  <c i="12" r="U71"/>
  <c i="12" r="V71"/>
  <c i="12" r="W71" s="1"/>
  <c i="12" r="U72"/>
  <c i="12" r="V72"/>
  <c i="12" r="W72" s="1"/>
  <c i="12" r="U73"/>
  <c i="12" r="V73"/>
  <c i="12" r="W73" s="1"/>
  <c i="12" r="U74"/>
  <c i="12" r="V74"/>
  <c i="12" r="V3"/>
  <c i="12" r="U3"/>
  <c i="12" r="T3"/>
  <c i="12" r="W3" s="1"/>
  <c i="12" l="1" r="W32"/>
  <c i="12" r="W5"/>
  <c i="12" r="W17"/>
  <c i="18" r="CZ23"/>
  <c i="18" r="DA23" s="1"/>
  <c i="18" r="CV25"/>
  <c i="18" r="CY24"/>
  <c i="18" r="CX24"/>
  <c i="12" r="W23"/>
  <c i="12" r="W15"/>
  <c i="12" r="W26"/>
  <c i="12" r="W20"/>
  <c i="12" r="X20" s="1"/>
  <c i="12" r="W27"/>
  <c i="12" r="W14"/>
  <c i="12" r="X14" s="1"/>
  <c i="12" r="W19"/>
  <c i="12" r="X19" s="1"/>
  <c i="12" r="W13"/>
  <c i="12" r="X13" s="1"/>
  <c i="12" r="W25"/>
  <c i="12" r="X25" s="1"/>
  <c i="12" r="W7"/>
  <c i="12" r="X7" s="1"/>
  <c i="12" r="W28"/>
  <c i="12" r="W24"/>
  <c i="12" r="X24" s="1"/>
  <c i="12" r="W22"/>
  <c i="12" r="X22" s="1"/>
  <c i="12" r="W21"/>
  <c i="12" r="X21" s="1"/>
  <c i="12" r="W33"/>
  <c i="12" r="X33" s="1"/>
  <c i="12" r="W6"/>
  <c i="12" r="X6" s="1"/>
  <c i="12" r="W18"/>
  <c i="12" r="X18" s="1"/>
  <c i="12" r="W31"/>
  <c i="12" r="X31" s="1"/>
  <c i="12" r="W30"/>
  <c i="12" r="X30" s="1"/>
  <c i="18" r="AG25"/>
  <c i="18" r="AH25" s="1"/>
  <c i="18" r="AG24"/>
  <c i="18" r="AH24" s="1"/>
  <c i="12" r="X15"/>
  <c i="12" r="X27"/>
  <c i="12" r="X28"/>
  <c i="12" r="X46"/>
  <c i="12" r="X61"/>
  <c i="12" r="X42"/>
  <c i="12" r="X66"/>
  <c i="12" r="X65"/>
  <c i="12" r="X35"/>
  <c i="12" r="X41"/>
  <c i="12" r="X60"/>
  <c i="12" r="X40"/>
  <c i="12" r="X59"/>
  <c i="12" r="X58"/>
  <c i="12" r="X55"/>
  <c i="12" r="X36"/>
  <c i="12" r="X54"/>
  <c i="12" r="X37"/>
  <c i="12" r="X56"/>
  <c i="12" r="X34"/>
  <c i="12" r="X45"/>
  <c i="12" r="X32"/>
  <c i="12" r="X63"/>
  <c i="12" r="X73"/>
  <c i="12" r="X52"/>
  <c i="12" r="X57"/>
  <c i="12" r="X71"/>
  <c i="12" r="X44"/>
  <c i="12" r="X51"/>
  <c i="12" r="X64"/>
  <c i="12" r="X38"/>
  <c i="12" r="X53"/>
  <c i="12" r="X72"/>
  <c i="12" r="X50"/>
  <c i="12" r="X43"/>
  <c i="12" r="X62"/>
  <c i="12" r="X70"/>
  <c i="12" r="X49"/>
  <c i="12" r="X68"/>
  <c i="12" r="X48"/>
  <c i="12" r="X67"/>
  <c i="12" r="X47"/>
  <c i="18" r="AG10"/>
  <c i="18" r="AH10" s="1"/>
  <c i="18" r="AG23"/>
  <c i="18" r="AH23" s="1"/>
  <c i="18" r="AG7"/>
  <c i="18" r="AH7" s="1"/>
  <c i="18" r="AG17"/>
  <c i="18" r="AH17" s="1"/>
  <c i="18" r="AG5"/>
  <c i="18" r="AH5" s="1"/>
  <c i="18" r="AG9"/>
  <c i="18" r="AH9" s="1"/>
  <c i="18" r="AG11"/>
  <c i="18" r="AH11" s="1"/>
  <c i="18" r="AG4"/>
  <c i="18" r="AH4" s="1"/>
  <c i="18" r="AG6"/>
  <c i="18" r="AH6" s="1"/>
  <c i="18" r="AG14"/>
  <c i="18" r="AH14" s="1"/>
  <c i="18" r="AG13"/>
  <c i="18" r="AH13" s="1"/>
  <c i="18" r="AG8"/>
  <c i="18" r="AH8" s="1"/>
  <c i="18" r="AG18"/>
  <c i="18" r="AH18" s="1"/>
  <c i="18" r="AG15"/>
  <c i="18" r="AH15" s="1"/>
  <c i="18" r="AG19"/>
  <c i="18" r="AH19" s="1"/>
  <c i="18" r="AG12"/>
  <c i="18" r="AH12" s="1"/>
  <c i="18" r="AG22"/>
  <c i="18" r="AH22" s="1"/>
  <c i="12" r="X3"/>
  <c i="18" r="AG21"/>
  <c i="18" r="AH21" s="1"/>
  <c i="18" r="AG16"/>
  <c i="18" r="AH16" s="1"/>
  <c i="18" r="AG20"/>
  <c i="18" r="AH20" s="1"/>
  <c i="12" r="X69"/>
  <c i="12" r="X16"/>
  <c i="12" r="X23"/>
  <c i="12" r="X17"/>
  <c i="12" r="X29"/>
  <c i="12" r="X26"/>
  <c i="12" r="X4"/>
  <c i="12" r="X5"/>
  <c i="12" r="P39"/>
  <c i="12" r="P38"/>
  <c i="12" l="1" r="W94"/>
  <c i="12" r="X94" s="1"/>
  <c i="12" r="W95"/>
  <c i="12" r="X95" s="1"/>
  <c i="18" r="CZ24"/>
  <c i="18" r="DA24" s="1"/>
  <c i="18" r="CV26"/>
  <c i="18" r="CY25"/>
  <c i="18" r="CX25"/>
  <c i="12" r="W91"/>
  <c i="12" r="X91" s="1"/>
  <c i="12" r="W92"/>
  <c i="12" r="X92" s="1"/>
  <c i="12" r="W86"/>
  <c i="12" r="X86" s="1"/>
  <c i="12" r="W76"/>
  <c i="12" r="X76" s="1"/>
  <c i="12" r="W88"/>
  <c i="12" r="X88" s="1"/>
  <c i="12" r="W79"/>
  <c i="12" r="X79" s="1"/>
  <c i="12" r="W81"/>
  <c i="12" r="X81" s="1"/>
  <c i="12" r="W85"/>
  <c i="12" r="X85" s="1"/>
  <c i="12" r="W74"/>
  <c i="12" r="X74" s="1"/>
  <c i="12" r="W84"/>
  <c i="12" r="X84" s="1"/>
  <c i="12" r="W82"/>
  <c i="12" r="X82" s="1"/>
  <c i="12" r="W77"/>
  <c i="12" r="X77" s="1"/>
  <c i="12" r="W93"/>
  <c i="12" r="X93" s="1"/>
  <c i="12" r="W75"/>
  <c i="12" r="X75" s="1"/>
  <c i="12" r="W89"/>
  <c i="12" r="X89" s="1"/>
  <c i="12" r="W80"/>
  <c i="12" r="X80" s="1"/>
  <c i="12" r="W87"/>
  <c i="12" r="X87" s="1"/>
  <c i="12" r="W90"/>
  <c i="12" r="X90" s="1"/>
  <c i="12" r="W78"/>
  <c i="12" r="X78" s="1"/>
  <c i="12" r="W83"/>
  <c i="12" r="X83" s="1"/>
  <c i="12" r="Q39"/>
  <c i="12" r="W12" s="1"/>
  <c i="12" r="Q38"/>
  <c i="12" r="W11" s="1"/>
  <c i="12" r="N15"/>
  <c i="12" r="N16"/>
  <c i="12" r="N31"/>
  <c i="12" r="I7"/>
  <c i="12" r="J7"/>
  <c i="12" r="I8"/>
  <c i="12" r="J8"/>
  <c i="12" r="I9"/>
  <c i="12" r="J9"/>
  <c i="12" r="H9"/>
  <c i="12" r="H8"/>
  <c i="12" r="H7"/>
  <c i="12" r="C8"/>
  <c i="12" r="D8"/>
  <c i="12" r="B8"/>
  <c i="12" r="D7"/>
  <c i="12" r="C7"/>
  <c i="18" l="1" r="CZ25"/>
  <c i="18" r="DA25" s="1"/>
  <c i="18" r="CV27"/>
  <c i="18" r="CY26"/>
  <c i="18" r="CX26"/>
  <c i="12" r="X11"/>
  <c i="12" r="X12"/>
  <c i="12" r="J10"/>
  <c i="12" r="J14" s="1"/>
  <c i="12" r="I10"/>
  <c i="12" r="I14" s="1"/>
  <c i="12" r="C10"/>
  <c i="12" r="C14" s="1"/>
  <c i="12" r="B10"/>
  <c i="12" r="B15" s="1"/>
  <c i="12" r="H10"/>
  <c i="12" r="H16" s="1"/>
  <c i="12" r="D10"/>
  <c i="12" r="D15" s="1"/>
  <c i="12" r="E8"/>
  <c i="12" r="E7"/>
  <c i="12" r="K7"/>
  <c i="12" r="K8"/>
  <c i="12" r="K9"/>
  <c i="12" r="E9"/>
  <c i="18" l="1" r="CV28"/>
  <c i="18" r="CY27"/>
  <c i="18" r="CX27"/>
  <c i="18" r="CZ26"/>
  <c i="18" r="DA26" s="1"/>
  <c i="12" r="J16"/>
  <c i="12" r="J15"/>
  <c i="12" r="J17" s="1"/>
  <c i="12" r="D14"/>
  <c i="12" r="E10"/>
  <c i="12" r="E14" s="1"/>
  <c i="12" r="I16"/>
  <c i="12" r="H15"/>
  <c i="12" r="O15" s="1"/>
  <c i="12" r="D16"/>
  <c i="12" r="C15"/>
  <c i="12" r="B16"/>
  <c i="12" r="O16" s="1"/>
  <c i="12" r="H14"/>
  <c i="12" r="K10"/>
  <c i="12" r="K15" s="1"/>
  <c i="12" r="C16"/>
  <c i="12" r="B14"/>
  <c i="12" r="B17" s="1"/>
  <c i="12" r="I15"/>
  <c i="18" l="1" r="CZ27"/>
  <c i="18" r="DA27" s="1"/>
  <c i="18" r="CV29"/>
  <c i="18" r="CY28"/>
  <c i="18" r="CX28"/>
  <c i="12" r="K16"/>
  <c i="12" r="I17"/>
  <c i="12" r="H17"/>
  <c i="12" r="O14"/>
  <c i="12" r="P14" s="1"/>
  <c i="12" r="E16"/>
  <c i="12" r="C17"/>
  <c i="12" r="K14"/>
  <c i="12" r="E15"/>
  <c i="12" r="D17"/>
  <c i="18" l="1" r="CV30"/>
  <c i="18" r="CY29"/>
  <c i="18" r="CX29"/>
  <c i="18" r="CZ28"/>
  <c i="18" r="DA28" s="1"/>
  <c i="12" r="E17"/>
  <c i="12" r="K17"/>
  <c i="12" r="P16"/>
  <c i="12" r="Q16" s="1"/>
  <c i="12" r="W10" s="1"/>
  <c i="12" r="P15"/>
  <c i="12" r="Q15" s="1"/>
  <c i="12" r="W9" s="1"/>
  <c i="12" r="Q14"/>
  <c i="12" r="W8" s="1"/>
  <c i="18" l="1" r="CZ29"/>
  <c i="18" r="DA29" s="1"/>
  <c i="18" r="CV31"/>
  <c i="18" r="CY30"/>
  <c i="18" r="CX30"/>
  <c i="12" r="X8"/>
  <c i="12" r="X9"/>
  <c i="12" r="X10"/>
  <c i="8" r="Q36"/>
  <c i="8" r="R25"/>
  <c i="8" r="P25"/>
  <c i="8" r="Q25"/>
  <c i="8" r="P14"/>
  <c i="8" r="R14"/>
  <c i="8" r="Q14"/>
  <c i="18" l="1" r="CZ30"/>
  <c i="18" r="DA30" s="1"/>
  <c i="18" r="CV32"/>
  <c i="18" r="CY31"/>
  <c i="18" r="CX31"/>
  <c i="8" r="P36"/>
  <c i="8" r="R36"/>
  <c i="8" r="L31"/>
  <c i="8" r="L32"/>
  <c i="8" r="L33"/>
  <c i="8" r="E8"/>
  <c i="8" r="E9"/>
  <c i="8" r="E10"/>
  <c i="8" r="E11"/>
  <c i="18" l="1" r="CV33"/>
  <c i="18" r="CY32"/>
  <c i="18" r="CX32"/>
  <c i="18" r="CZ31"/>
  <c i="18" r="DA31" s="1"/>
  <c i="8" r="E32"/>
  <c i="8" r="S10"/>
  <c i="8" r="E31"/>
  <c i="8" r="S9"/>
  <c i="8" r="E33"/>
  <c i="8" r="S33" s="1"/>
  <c i="8" r="S11"/>
  <c i="8" r="E30"/>
  <c i="8" r="S8"/>
  <c i="8" r="S32"/>
  <c i="8" r="S31"/>
  <c i="18" l="1" r="CZ32"/>
  <c i="18" r="DA32" s="1"/>
  <c i="18" r="CV34"/>
  <c i="18" r="CY33"/>
  <c i="18" r="CX33"/>
  <c i="4" r="E101"/>
  <c i="4" r="E100"/>
  <c i="4" r="E99"/>
  <c i="4" r="E98"/>
  <c i="4" r="E97"/>
  <c i="4" r="E96"/>
  <c i="4" r="E95"/>
  <c i="4" r="E94"/>
  <c i="4" r="E93"/>
  <c i="4" r="E92"/>
  <c i="4" r="E91"/>
  <c i="4" r="E90"/>
  <c i="4" r="E89"/>
  <c i="4" r="E88"/>
  <c i="4" r="E87"/>
  <c i="4" r="E86"/>
  <c i="4" r="E85"/>
  <c i="4" r="E84"/>
  <c i="4" r="E83"/>
  <c i="4" r="E82"/>
  <c i="4" r="E81"/>
  <c i="4" r="E80"/>
  <c i="4" r="E79"/>
  <c i="4" r="E78"/>
  <c i="4" r="E77"/>
  <c i="4" r="E76"/>
  <c i="4" r="E75"/>
  <c i="4" r="E74"/>
  <c i="4" r="E73"/>
  <c i="4" r="E72"/>
  <c i="4" r="E71"/>
  <c i="4" r="E70"/>
  <c i="4" r="E69"/>
  <c i="4" r="E68"/>
  <c i="4" r="E67"/>
  <c i="4" r="E66"/>
  <c i="4" r="E65"/>
  <c i="4" r="E64"/>
  <c i="4" r="E63"/>
  <c i="4" r="E62"/>
  <c i="4" r="E61"/>
  <c i="4" r="E60"/>
  <c i="4" r="E59"/>
  <c i="4" r="E58"/>
  <c i="4" r="E57"/>
  <c i="4" r="E56"/>
  <c i="4" r="E55"/>
  <c i="4" r="E54"/>
  <c i="4" r="E53"/>
  <c i="4" r="E52"/>
  <c i="4" r="E51"/>
  <c i="4" r="E50"/>
  <c i="4" r="E49"/>
  <c i="4" r="E48"/>
  <c i="4" r="E47"/>
  <c i="4" r="E46"/>
  <c i="4" r="E45"/>
  <c i="4" r="E44"/>
  <c i="4" r="E43"/>
  <c i="4" r="E42"/>
  <c i="4" r="E41"/>
  <c i="4" r="E40"/>
  <c i="4" r="E39"/>
  <c i="4" r="E38"/>
  <c i="4" r="E37"/>
  <c i="4" r="E36"/>
  <c i="4" r="E35"/>
  <c i="4" r="E34"/>
  <c i="4" r="E33"/>
  <c i="4" r="E32"/>
  <c i="4" r="E31"/>
  <c i="4" r="E30"/>
  <c i="4" r="E29"/>
  <c i="4" r="E28"/>
  <c i="4" r="E27"/>
  <c i="4" r="E26"/>
  <c i="4" r="E25"/>
  <c i="4" r="E24"/>
  <c i="4" r="E23"/>
  <c i="4" r="E22"/>
  <c i="4" r="E21"/>
  <c i="4" r="E20"/>
  <c i="4" r="E19"/>
  <c i="4" r="E18"/>
  <c i="4" r="E17"/>
  <c i="4" r="E16"/>
  <c i="4" r="E15"/>
  <c i="4" r="E14"/>
  <c i="4" r="E13"/>
  <c i="4" r="E12"/>
  <c i="4" r="E1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8" r="E12"/>
  <c i="12" r="B27"/>
  <c i="12" r="B32" s="1"/>
  <c i="8" r="P18"/>
  <c i="8" r="Q18"/>
  <c i="8" r="R18"/>
  <c i="3" l="1" r="F32"/>
  <c i="18" r="CZ33"/>
  <c i="18" r="DA33" s="1"/>
  <c i="18" r="CV35"/>
  <c i="18" r="CY34"/>
  <c i="18" r="CX34"/>
  <c i="3" r="F72"/>
  <c i="4" r="F23"/>
  <c i="4" r="F62"/>
  <c i="3" r="F73"/>
  <c i="3" r="F36"/>
  <c i="3" r="F41"/>
  <c i="3" r="F76"/>
  <c i="4" r="F64"/>
  <c i="3" r="F38"/>
  <c i="3" r="F83"/>
  <c i="3" r="F47"/>
  <c i="3" r="F74"/>
  <c i="3" r="F78"/>
  <c i="3" r="F48"/>
  <c i="3" r="F75"/>
  <c i="3" r="F39"/>
  <c i="3" r="F84"/>
  <c i="3" r="F13"/>
  <c i="3" r="F86"/>
  <c i="3" r="F55"/>
  <c i="3" r="F80"/>
  <c i="3" r="F45"/>
  <c i="3" r="F11"/>
  <c i="3" r="F101"/>
  <c i="3" r="F54"/>
  <c i="3" r="F16"/>
  <c i="3" r="F77"/>
  <c i="3" r="F81"/>
  <c i="3" r="F49"/>
  <c i="3" r="F15"/>
  <c i="3" r="F18"/>
  <c i="3" r="F87"/>
  <c i="3" r="F61"/>
  <c i="3" r="F37"/>
  <c i="3" r="F82"/>
  <c i="3" r="F88"/>
  <c i="3" r="F92"/>
  <c i="3" r="F57"/>
  <c i="3" r="F93"/>
  <c i="3" r="F97"/>
  <c i="3" r="F63"/>
  <c i="3" r="F44"/>
  <c i="3" r="F89"/>
  <c i="3" r="F52"/>
  <c i="3" r="F95"/>
  <c i="3" r="F98"/>
  <c i="3" r="F24"/>
  <c i="3" r="F20"/>
  <c i="3" r="F65"/>
  <c i="3" r="F33"/>
  <c i="3" r="F35"/>
  <c i="3" r="F79"/>
  <c i="3" r="F58"/>
  <c i="3" r="F66"/>
  <c i="4" r="F25"/>
  <c i="3" r="F50"/>
  <c i="3" r="F12"/>
  <c i="3" r="F19"/>
  <c i="3" r="F60"/>
  <c i="3" r="F62"/>
  <c i="3" r="F67"/>
  <c i="3" r="F34"/>
  <c i="3" r="F40"/>
  <c i="3" r="F85"/>
  <c i="3" r="F51"/>
  <c i="3" r="F17"/>
  <c i="3" r="F100"/>
  <c i="3" r="F28"/>
  <c i="3" r="F68"/>
  <c i="3" r="F43"/>
  <c i="3" r="F46"/>
  <c i="3" r="F91"/>
  <c i="3" r="F94"/>
  <c i="3" r="F56"/>
  <c i="3" r="F22"/>
  <c i="3" r="F64"/>
  <c i="3" r="F29"/>
  <c i="3" r="F69"/>
  <c i="3" r="F42"/>
  <c i="3" r="F90"/>
  <c i="3" r="F53"/>
  <c i="3" r="F96"/>
  <c i="3" r="F99"/>
  <c i="3" r="F26"/>
  <c i="3" r="F70"/>
  <c i="3" r="F14"/>
  <c i="3" r="F59"/>
  <c i="3" r="F21"/>
  <c i="3" r="F23"/>
  <c i="3" r="F25"/>
  <c i="3" r="F27"/>
  <c i="3" r="F30"/>
  <c i="3" r="F31"/>
  <c i="3" r="F71"/>
  <c i="4" r="F85"/>
  <c i="4" r="F65"/>
  <c i="4" r="F70"/>
  <c i="4" r="F86"/>
  <c i="4" r="F26"/>
  <c i="4" r="F61"/>
  <c i="4" r="F31"/>
  <c i="4" r="F67"/>
  <c i="4" r="F29"/>
  <c i="4" r="F33"/>
  <c i="4" r="F46"/>
  <c i="4" r="F28"/>
  <c i="4" r="F30"/>
  <c i="4" r="F71"/>
  <c i="8" r="E34"/>
  <c i="8" r="S12"/>
  <c i="8" r="E14"/>
  <c i="8" r="E36" s="1"/>
  <c i="4" r="F72"/>
  <c i="4" r="F41"/>
  <c i="4" r="F63"/>
  <c i="4" r="F73"/>
  <c i="4" r="F38"/>
  <c i="4" r="F24"/>
  <c i="4" r="F27"/>
  <c i="4" r="F40"/>
  <c i="4" r="F66"/>
  <c i="4" r="F74"/>
  <c i="4" r="F39"/>
  <c i="4" r="F21"/>
  <c i="4" r="F32"/>
  <c i="4" r="F91"/>
  <c i="4" r="F53"/>
  <c i="4" r="F93"/>
  <c i="4" r="F36"/>
  <c i="4" r="F98"/>
  <c i="4" r="F69"/>
  <c i="4" r="F77"/>
  <c i="4" r="F75"/>
  <c i="4" r="F45"/>
  <c i="4" r="F54"/>
  <c i="4" r="F59"/>
  <c i="4" r="F90"/>
  <c i="4" r="F37"/>
  <c i="4" r="F35"/>
  <c i="4" r="F55"/>
  <c i="4" r="F43"/>
  <c i="4" r="F49"/>
  <c i="4" r="F11"/>
  <c i="4" r="F16"/>
  <c i="4" r="F100"/>
  <c i="4" r="F57"/>
  <c i="4" r="F83"/>
  <c i="4" r="F99"/>
  <c i="4" r="F51"/>
  <c i="4" r="F48"/>
  <c i="4" r="F87"/>
  <c i="4" r="F76"/>
  <c i="4" r="F52"/>
  <c i="4" r="F13"/>
  <c i="4" r="F79"/>
  <c i="4" r="F56"/>
  <c i="4" r="F42"/>
  <c i="4" r="F95"/>
  <c i="4" r="F15"/>
  <c i="4" r="F20"/>
  <c i="4" r="F88"/>
  <c i="4" r="F58"/>
  <c i="4" r="F92"/>
  <c i="4" r="F78"/>
  <c i="4" r="F47"/>
  <c i="4" r="F68"/>
  <c i="4" r="F18"/>
  <c i="4" r="F89"/>
  <c i="4" r="F82"/>
  <c i="4" r="F97"/>
  <c i="4" r="F19"/>
  <c i="4" r="F44"/>
  <c i="4" r="F17"/>
  <c i="4" r="F94"/>
  <c i="4" r="F14"/>
  <c i="4" r="F84"/>
  <c i="4" r="F101"/>
  <c i="4" r="F12"/>
  <c i="4" r="F50"/>
  <c i="4" r="F96"/>
  <c i="4" r="F81"/>
  <c i="4" r="F34"/>
  <c i="4" r="F60"/>
  <c i="4" r="F80"/>
  <c i="4" r="F22"/>
  <c i="18" l="1" r="CZ34"/>
  <c i="18" r="DA34" s="1"/>
  <c i="18" r="CV36"/>
  <c i="18" r="CX35"/>
  <c i="18" r="CY35"/>
  <c i="12" r="B26"/>
  <c i="12" r="B31" s="1"/>
  <c i="8" r="L18"/>
  <c i="8" r="L30"/>
  <c i="8" r="S30" s="1"/>
  <c i="8" r="L34"/>
  <c i="8" r="L7"/>
  <c i="8" r="L14" s="1"/>
  <c i="8" r="S18"/>
  <c i="18" l="1" r="CZ35"/>
  <c i="18" r="DA35" s="1"/>
  <c i="18" r="CV37"/>
  <c i="18" r="CY36"/>
  <c i="18" r="CX36"/>
  <c i="8" r="S7"/>
  <c i="8" r="S34"/>
  <c i="8" r="L25"/>
  <c i="8" r="L29"/>
  <c i="8" r="S29" s="1"/>
  <c i="12" r="H26"/>
  <c i="12" r="I31" s="1"/>
  <c i="12" r="H27"/>
  <c i="12" r="H32" s="1"/>
  <c i="8" r="S14"/>
  <c i="18" l="1" r="CZ36"/>
  <c i="18" r="DA36" s="1"/>
  <c i="18" r="CV38"/>
  <c i="18" r="CX37"/>
  <c i="18" r="CY37"/>
  <c i="18" r="CZ37" s="1"/>
  <c i="18" r="DA37" s="1"/>
  <c i="8" r="L36"/>
  <c i="8" r="S36" s="1"/>
  <c i="8" r="S25"/>
  <c i="12" r="H31"/>
  <c i="12" r="O31" s="1"/>
  <c i="10" r="B11"/>
  <c i="10" r="I22"/>
  <c i="10" r="J22"/>
  <c i="10" r="H22"/>
  <c i="10" r="C22"/>
  <c i="10" r="D22"/>
  <c i="10" r="B22"/>
  <c i="10" r="I21"/>
  <c i="10" r="J21"/>
  <c i="10" r="H21"/>
  <c i="10" r="C21"/>
  <c i="10" r="D21"/>
  <c i="10" r="B21"/>
  <c i="10" r="I20"/>
  <c i="10" r="J20"/>
  <c i="10" r="H20"/>
  <c i="10" r="C20"/>
  <c i="10" r="D20"/>
  <c i="10" r="B20"/>
  <c i="10" r="I19"/>
  <c i="10" r="J19"/>
  <c i="10" r="H19"/>
  <c i="10" r="C19"/>
  <c i="10" r="D19"/>
  <c i="10" r="B19"/>
  <c i="10" r="I18"/>
  <c i="10" r="J18"/>
  <c i="10" r="H18"/>
  <c i="10" r="C18"/>
  <c i="10" r="D18"/>
  <c i="10" r="B18"/>
  <c i="10" r="I17"/>
  <c i="10" r="J17"/>
  <c i="10" r="H17"/>
  <c i="10" r="C17"/>
  <c i="10" r="D17"/>
  <c i="10" r="B17"/>
  <c i="10" r="I16"/>
  <c i="10" r="J16"/>
  <c i="10" r="H16"/>
  <c i="10" r="C16"/>
  <c i="10" r="D16"/>
  <c i="10" r="B16"/>
  <c i="10" r="I15"/>
  <c i="10" r="J15"/>
  <c i="10" r="H15"/>
  <c i="10" r="C15"/>
  <c i="10" r="D15"/>
  <c i="10" r="B15"/>
  <c i="10" r="I14"/>
  <c i="10" r="J14"/>
  <c i="10" r="H14"/>
  <c i="10" r="C14"/>
  <c i="10" r="D14"/>
  <c i="10" r="B14"/>
  <c i="10" r="I13"/>
  <c i="10" r="J13"/>
  <c i="10" r="H13"/>
  <c i="10" r="C13"/>
  <c i="10" r="D13"/>
  <c i="10" r="B13"/>
  <c i="10" r="I12"/>
  <c i="10" r="J12"/>
  <c i="10" r="H12"/>
  <c i="10" r="C12"/>
  <c i="10" r="D12"/>
  <c i="10" r="B12"/>
  <c i="10" r="I11"/>
  <c i="10" r="J11"/>
  <c i="10" r="D11"/>
  <c i="10" r="C11"/>
  <c i="8" r="P29"/>
  <c i="4" r="K101"/>
  <c i="4" r="K95"/>
  <c i="4" r="K96"/>
  <c i="4" r="K97"/>
  <c i="4" r="K98"/>
  <c i="4" r="K99"/>
  <c i="4" r="K100"/>
  <c i="4" r="K12"/>
  <c i="4" r="K13"/>
  <c i="4" r="K14"/>
  <c i="4" r="K15"/>
  <c i="4" r="K16"/>
  <c i="4" r="K17"/>
  <c i="4" r="K18"/>
  <c i="4" r="K19"/>
  <c i="4" r="K20"/>
  <c i="4" r="K21"/>
  <c i="4" r="K22"/>
  <c i="4" r="K23"/>
  <c i="4" r="K24"/>
  <c i="4" r="K25"/>
  <c i="4" r="K26"/>
  <c i="4" r="K27"/>
  <c i="4" r="K28"/>
  <c i="4" r="K29"/>
  <c i="4" r="K30"/>
  <c i="4" r="K31"/>
  <c i="4" r="K32"/>
  <c i="4" r="K33"/>
  <c i="4" r="K34"/>
  <c i="4" r="K35"/>
  <c i="4" r="K36"/>
  <c i="4" r="K37"/>
  <c i="4" r="K38"/>
  <c i="4" r="K39"/>
  <c i="4" r="K40"/>
  <c i="4" r="K41"/>
  <c i="4" r="K42"/>
  <c i="4" r="K43"/>
  <c i="4" r="K44"/>
  <c i="4" r="K45"/>
  <c i="4" r="K46"/>
  <c i="4" r="K47"/>
  <c i="4" r="K48"/>
  <c i="4" r="K49"/>
  <c i="4" r="K50"/>
  <c i="4" r="K51"/>
  <c i="4" r="K52"/>
  <c i="4" r="K53"/>
  <c i="4" r="K54"/>
  <c i="4" r="K55"/>
  <c i="4" r="K56"/>
  <c i="4" r="K57"/>
  <c i="4" r="K58"/>
  <c i="4" r="K59"/>
  <c i="4" r="K60"/>
  <c i="4" r="K61"/>
  <c i="4" r="K62"/>
  <c i="4" r="K63"/>
  <c i="4" r="K64"/>
  <c i="4" r="K65"/>
  <c i="4" r="K66"/>
  <c i="4" r="K67"/>
  <c i="4" r="K68"/>
  <c i="4" r="K69"/>
  <c i="4" r="K70"/>
  <c i="4" r="K71"/>
  <c i="4" r="K72"/>
  <c i="4" r="K73"/>
  <c i="4" r="K74"/>
  <c i="4" r="K75"/>
  <c i="4" r="K76"/>
  <c i="4" r="K77"/>
  <c i="4" r="K78"/>
  <c i="4" r="K79"/>
  <c i="4" r="K80"/>
  <c i="4" r="K81"/>
  <c i="4" r="K82"/>
  <c i="4" r="K83"/>
  <c i="4" r="K84"/>
  <c i="4" r="K85"/>
  <c i="4" r="K86"/>
  <c i="4" r="K87"/>
  <c i="4" r="K88"/>
  <c i="4" r="K89"/>
  <c i="4" r="K90"/>
  <c i="4" r="K91"/>
  <c i="4" r="K92"/>
  <c i="4" r="K93"/>
  <c i="4" r="K94"/>
  <c i="4" r="K1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01"/>
  <c i="3" r="K11"/>
  <c i="18" l="1" r="CV39"/>
  <c i="18" r="CX38"/>
  <c i="18" r="CY38"/>
  <c i="10" r="D23"/>
  <c i="10" r="D39" s="1"/>
  <c i="10" r="H23"/>
  <c i="10" r="H30" s="1"/>
  <c i="10" r="J23"/>
  <c i="10" r="J39" s="1"/>
  <c i="10" r="I23"/>
  <c i="10" r="I39" s="1"/>
  <c i="10" r="B23"/>
  <c i="10" r="B39" s="1"/>
  <c i="10" r="I29"/>
  <c i="10" r="C23"/>
  <c i="10" r="C39" s="1"/>
  <c i="10" r="J30"/>
  <c i="10" r="J32"/>
  <c i="10" r="J28"/>
  <c i="3" r="L84"/>
  <c i="3" r="L42"/>
  <c i="3" r="L44"/>
  <c i="3" r="L80"/>
  <c i="3" r="L81"/>
  <c i="3" r="L40"/>
  <c i="3" r="L82"/>
  <c i="3" r="L67"/>
  <c i="3" r="L11"/>
  <c i="3" r="L65"/>
  <c i="3" r="L43"/>
  <c i="3" r="L77"/>
  <c i="3" r="L26"/>
  <c i="3" r="L99"/>
  <c i="3" r="L32"/>
  <c i="3" r="L30"/>
  <c i="3" r="L24"/>
  <c i="3" r="L62"/>
  <c i="3" r="L18"/>
  <c i="3" r="L73"/>
  <c i="3" r="L31"/>
  <c i="3" r="L69"/>
  <c i="3" r="L59"/>
  <c i="3" r="L23"/>
  <c i="3" r="L41"/>
  <c i="3" r="L22"/>
  <c i="3" r="L95"/>
  <c i="3" r="L36"/>
  <c i="3" r="L66"/>
  <c i="3" r="L64"/>
  <c i="3" r="L100"/>
  <c i="3" r="L54"/>
  <c i="3" r="L76"/>
  <c i="3" r="L56"/>
  <c i="3" r="L13"/>
  <c i="3" r="L78"/>
  <c i="3" r="L20"/>
  <c i="3" r="L58"/>
  <c i="3" r="L16"/>
  <c i="3" r="L12"/>
  <c i="3" r="L72"/>
  <c i="3" r="L28"/>
  <c i="3" r="L101"/>
  <c i="3" r="L60"/>
  <c i="3" r="L98"/>
  <c i="3" r="L97"/>
  <c i="3" r="L14"/>
  <c i="3" r="L51"/>
  <c i="3" r="L38"/>
  <c i="3" r="L37"/>
  <c i="3" r="L50"/>
  <c i="3" r="L83"/>
  <c i="3" r="L39"/>
  <c i="3" r="L75"/>
  <c i="3" r="L34"/>
  <c i="3" r="L71"/>
  <c i="3" r="L96"/>
  <c i="3" r="L55"/>
  <c i="3" r="L53"/>
  <c i="3" r="L89"/>
  <c i="3" r="L49"/>
  <c i="3" r="L70"/>
  <c i="3" r="L27"/>
  <c i="3" r="L61"/>
  <c i="3" r="L19"/>
  <c i="3" r="L57"/>
  <c i="3" r="L15"/>
  <c i="3" r="L92"/>
  <c i="3" r="L48"/>
  <c i="3" r="L79"/>
  <c i="3" r="L63"/>
  <c i="3" r="L94"/>
  <c i="3" r="L93"/>
  <c i="3" r="L90"/>
  <c i="3" r="L87"/>
  <c i="3" r="L47"/>
  <c i="3" r="L35"/>
  <c i="3" r="L74"/>
  <c i="3" r="L33"/>
  <c i="3" r="L29"/>
  <c i="3" r="L21"/>
  <c i="3" r="L91"/>
  <c i="3" r="L86"/>
  <c i="3" r="L46"/>
  <c i="3" r="L68"/>
  <c i="3" r="L25"/>
  <c i="3" r="L17"/>
  <c i="3" r="L52"/>
  <c i="3" r="L88"/>
  <c i="3" r="L85"/>
  <c i="3" r="L45"/>
  <c i="4" r="L42"/>
  <c i="4" r="L66"/>
  <c i="4" r="L90"/>
  <c i="4" r="L18"/>
  <c i="4" r="L40"/>
  <c i="4" r="L61"/>
  <c i="4" r="L37"/>
  <c i="4" r="L13"/>
  <c i="4" r="L16"/>
  <c i="4" r="L60"/>
  <c i="4" r="L36"/>
  <c i="4" r="L12"/>
  <c i="4" r="L89"/>
  <c i="4" r="L88"/>
  <c i="4" r="L38"/>
  <c i="4" r="L59"/>
  <c i="4" r="L35"/>
  <c i="4" r="L100"/>
  <c i="4" r="L82"/>
  <c i="4" r="L58"/>
  <c i="4" r="L34"/>
  <c i="4" r="L99"/>
  <c i="4" r="L81"/>
  <c i="4" r="L57"/>
  <c i="4" r="L33"/>
  <c i="4" r="L98"/>
  <c i="4" r="L80"/>
  <c i="4" r="L56"/>
  <c i="4" r="L32"/>
  <c i="4" r="L97"/>
  <c i="4" r="L65"/>
  <c i="4" r="L15"/>
  <c i="4" r="L83"/>
  <c i="4" r="L79"/>
  <c i="4" r="L55"/>
  <c i="4" r="L31"/>
  <c i="4" r="L96"/>
  <c i="4" r="L62"/>
  <c i="4" r="L78"/>
  <c i="4" r="L54"/>
  <c i="4" r="L30"/>
  <c i="4" r="L95"/>
  <c i="4" r="L17"/>
  <c i="4" r="L14"/>
  <c i="4" r="L77"/>
  <c i="4" r="L53"/>
  <c i="4" r="L29"/>
  <c i="10" r="K22"/>
  <c i="4" r="L101"/>
  <c i="4" r="L76"/>
  <c i="4" r="L52"/>
  <c i="4" r="L28"/>
  <c i="4" r="L39"/>
  <c i="4" r="L75"/>
  <c i="4" r="L51"/>
  <c i="4" r="L27"/>
  <c i="4" r="L74"/>
  <c i="4" r="L50"/>
  <c i="4" r="L26"/>
  <c i="4" r="L73"/>
  <c i="4" r="L49"/>
  <c i="4" r="L25"/>
  <c i="4" r="L85"/>
  <c i="4" r="L72"/>
  <c i="4" r="L48"/>
  <c i="4" r="L24"/>
  <c i="4" r="L87"/>
  <c i="4" r="L84"/>
  <c i="4" r="L11"/>
  <c i="4" r="L71"/>
  <c i="4" r="L47"/>
  <c i="4" r="L23"/>
  <c i="4" r="L63"/>
  <c i="4" r="L94"/>
  <c i="4" r="L70"/>
  <c i="4" r="L46"/>
  <c i="4" r="L22"/>
  <c i="4" r="L64"/>
  <c i="4" r="L86"/>
  <c i="4" r="L93"/>
  <c i="4" r="L69"/>
  <c i="4" r="L45"/>
  <c i="4" r="L21"/>
  <c i="4" r="L92"/>
  <c i="4" r="L68"/>
  <c i="4" r="L44"/>
  <c i="4" r="L20"/>
  <c i="4" r="L41"/>
  <c i="4" r="L91"/>
  <c i="4" r="L67"/>
  <c i="4" r="L43"/>
  <c i="4" r="L19"/>
  <c i="12" r="P31"/>
  <c i="12" r="Q31" s="1"/>
  <c i="12" r="W39" s="1"/>
  <c i="10" r="K11"/>
  <c i="10" r="K15"/>
  <c i="10" r="K21"/>
  <c i="10" r="K19"/>
  <c i="10" r="K20"/>
  <c i="10" r="K17"/>
  <c i="10" r="K16"/>
  <c i="10" r="K13"/>
  <c i="10" r="K12"/>
  <c i="10" r="K18"/>
  <c i="10" r="K14"/>
  <c i="10" r="E22"/>
  <c i="18" l="1" r="CZ38"/>
  <c i="18" r="DA38" s="1"/>
  <c i="10" r="B29"/>
  <c i="10" r="D32"/>
  <c i="10" r="J38"/>
  <c i="10" r="J35"/>
  <c i="10" r="D31"/>
  <c i="10" r="D33"/>
  <c i="10" r="D30"/>
  <c i="18" r="CV40"/>
  <c i="18" r="CX39"/>
  <c i="18" r="CY39"/>
  <c i="10" r="I28"/>
  <c i="10" r="D29"/>
  <c i="10" r="D35"/>
  <c i="10" r="D37"/>
  <c i="10" r="D36"/>
  <c i="10" r="J31"/>
  <c i="10" r="C27"/>
  <c i="10" r="D28"/>
  <c i="10" r="B27"/>
  <c i="10" r="B38"/>
  <c i="10" r="C31"/>
  <c i="10" r="B31"/>
  <c i="10" r="C29"/>
  <c i="10" r="I34"/>
  <c i="10" r="I33"/>
  <c i="10" r="I37"/>
  <c i="10" r="I35"/>
  <c i="10" r="J37"/>
  <c i="10" r="J29"/>
  <c i="10" r="J34"/>
  <c i="10" r="J36"/>
  <c i="10" r="D27"/>
  <c i="10" r="I32"/>
  <c i="10" r="H39"/>
  <c i="10" r="H27"/>
  <c i="10" r="H37"/>
  <c i="10" r="H31"/>
  <c i="10" r="H36"/>
  <c i="10" r="H34"/>
  <c i="10" r="C37"/>
  <c i="10" r="B28"/>
  <c i="10" r="I38"/>
  <c i="10" r="B35"/>
  <c i="10" r="B32"/>
  <c i="10" r="H35"/>
  <c i="10" r="B37"/>
  <c i="10" r="C34"/>
  <c i="10" r="H38"/>
  <c i="10" r="I31"/>
  <c i="10" r="I36"/>
  <c i="10" r="C30"/>
  <c i="10" r="H33"/>
  <c i="10" r="C36"/>
  <c i="10" r="H28"/>
  <c i="10" r="C28"/>
  <c i="10" r="C35"/>
  <c i="10" r="H29"/>
  <c i="10" r="I27"/>
  <c i="10" r="C38"/>
  <c i="10" r="H32"/>
  <c i="10" r="C32"/>
  <c i="10" r="B30"/>
  <c i="10" r="I30"/>
  <c i="10" r="B33"/>
  <c i="10" r="B36"/>
  <c i="10" r="C33"/>
  <c i="10" r="K23"/>
  <c i="10" r="K39" s="1"/>
  <c i="10" r="B34"/>
  <c i="10" r="J27"/>
  <c i="10" r="J33"/>
  <c i="10" r="D38"/>
  <c i="10" r="D34"/>
  <c i="12" r="X39"/>
  <c i="10" r="E21"/>
  <c i="10" r="E19"/>
  <c i="10" r="E15"/>
  <c i="10" r="E20"/>
  <c i="10" r="E16"/>
  <c i="10" r="E12"/>
  <c i="10" r="E11"/>
  <c i="10" r="E17"/>
  <c i="10" r="E13"/>
  <c i="10" r="E18"/>
  <c i="10" r="E14"/>
  <c i="10" l="1" r="K30"/>
  <c i="18" r="CZ39"/>
  <c i="18" r="DA39" s="1"/>
  <c i="10" r="K28"/>
  <c i="10" r="K29"/>
  <c i="18" r="CV41"/>
  <c i="18" r="CX40"/>
  <c i="18" r="CY40"/>
  <c i="10" r="K31"/>
  <c i="10" r="K35"/>
  <c i="10" r="K38"/>
  <c i="10" r="K34"/>
  <c i="10" r="K36"/>
  <c i="10" r="K27"/>
  <c i="10" r="K33"/>
  <c i="10" r="K32"/>
  <c i="10" r="E23"/>
  <c i="10" r="K37"/>
  <c i="18" l="1" r="CZ40"/>
  <c i="18" r="DA40" s="1"/>
  <c i="18" r="CV42"/>
  <c i="18" r="CY41"/>
  <c i="18" r="CX41"/>
  <c i="10" r="E39"/>
  <c i="10" r="E38"/>
  <c i="10" r="E27"/>
  <c i="10" r="E32"/>
  <c i="10" r="E37"/>
  <c i="10" r="E34"/>
  <c i="10" r="E28"/>
  <c i="10" r="E29"/>
  <c i="10" r="E31"/>
  <c i="10" r="E30"/>
  <c i="10" r="E35"/>
  <c i="10" r="E33"/>
  <c i="10" r="E36"/>
  <c i="18" l="1" r="CZ41"/>
  <c i="18" r="DA41" s="1"/>
  <c i="18" r="CV43"/>
  <c i="18" r="CY42"/>
  <c i="18" r="CX42"/>
  <c i="18" l="1" r="CZ42"/>
  <c i="18" r="DA42" s="1"/>
  <c i="18" r="CV44"/>
  <c i="18" r="CY43"/>
  <c i="18" r="CX43"/>
  <c i="18" l="1" r="CZ43"/>
  <c i="18" r="DA43" s="1"/>
  <c i="18" r="CV45"/>
  <c i="18" r="CY44"/>
  <c i="18" r="CX44"/>
  <c i="18" l="1" r="CV46"/>
  <c i="18" r="CY45"/>
  <c i="18" r="CX45"/>
  <c i="18" r="CZ44"/>
  <c i="18" r="DA44" s="1"/>
  <c i="18" l="1" r="CZ45"/>
  <c i="18" r="DA45" s="1"/>
  <c i="18" r="CV47"/>
  <c i="18" r="CY46"/>
  <c i="18" r="CX46"/>
  <c i="18" l="1" r="CV48"/>
  <c i="18" r="CY47"/>
  <c i="18" r="CX47"/>
  <c i="18" r="CZ46"/>
  <c i="18" r="DA46" s="1"/>
  <c i="18" l="1" r="CZ47"/>
  <c i="18" r="DA47" s="1"/>
  <c i="18" r="CV49"/>
  <c i="18" r="CY48"/>
  <c i="18" r="CX48"/>
  <c i="18" l="1" r="CZ48"/>
  <c i="18" r="DA48" s="1"/>
  <c i="18" r="CV50"/>
  <c i="18" r="CY49"/>
  <c i="18" r="CX49"/>
  <c i="18" l="1" r="CZ49"/>
  <c i="18" r="DA49" s="1"/>
  <c i="18" r="CV51"/>
  <c i="18" r="CY50"/>
  <c i="18" r="CX50"/>
  <c i="18" l="1" r="CZ50"/>
  <c i="18" r="DA50" s="1"/>
  <c i="18" r="CV52"/>
  <c i="18" r="CY51"/>
  <c i="18" r="CX51"/>
  <c i="18" l="1" r="CZ51"/>
  <c i="18" r="DA51" s="1"/>
  <c i="18" r="CV53"/>
  <c i="18" r="CY52"/>
  <c i="18" r="CX52"/>
  <c i="18" l="1" r="CZ52"/>
  <c i="18" r="DA52" s="1"/>
  <c i="18" r="CV54"/>
  <c i="18" r="CY53"/>
  <c i="18" r="CX53"/>
  <c i="18" l="1" r="CZ53"/>
  <c i="18" r="DA53" s="1"/>
  <c i="18" r="CV55"/>
  <c i="18" r="CY54"/>
  <c i="18" r="CX54"/>
  <c i="18" l="1" r="CZ54"/>
  <c i="18" r="DA54" s="1"/>
  <c i="18" r="CV56"/>
  <c i="18" r="CX55"/>
  <c i="18" r="CY55"/>
  <c i="18" r="CZ55" s="1"/>
  <c i="18" r="DA55" s="1"/>
  <c i="18" l="1" r="CV57"/>
  <c i="18" r="CY56"/>
  <c i="18" r="CX56"/>
  <c i="18" l="1" r="CZ56"/>
  <c i="18" r="DA56" s="1"/>
  <c i="18" r="CV58"/>
  <c i="18" r="CY57"/>
  <c i="18" r="CX57"/>
  <c i="18" l="1" r="CZ57"/>
  <c i="18" r="DA57" s="1"/>
  <c i="18" r="CV59"/>
  <c i="18" r="CX58"/>
  <c i="18" r="CY58"/>
  <c i="18" l="1" r="CZ58"/>
  <c i="18" r="DA58" s="1"/>
  <c i="18" r="CV60"/>
  <c i="18" r="CY59"/>
  <c i="18" r="CX59"/>
  <c i="18" l="1" r="CZ59"/>
  <c i="18" r="DA59" s="1"/>
  <c i="18" r="CV61"/>
  <c i="18" r="CY60"/>
  <c i="18" r="CX60"/>
  <c i="18" l="1" r="CZ60"/>
  <c i="18" r="DA60" s="1"/>
  <c i="18" r="CV62"/>
  <c i="18" r="CY61"/>
  <c i="18" r="CX61"/>
  <c i="18" l="1" r="CZ61"/>
  <c i="18" r="DA61" s="1"/>
  <c i="18" r="CV63"/>
  <c i="18" r="CY62"/>
  <c i="18" r="CX62"/>
  <c i="18" l="1" r="CZ62"/>
  <c i="18" r="DA62" s="1"/>
  <c i="18" r="CV64"/>
  <c i="18" r="CY63"/>
  <c i="18" r="CX63"/>
  <c i="18" l="1" r="CZ63"/>
  <c i="18" r="DA63" s="1"/>
  <c i="18" r="CV65"/>
  <c i="18" r="CY64"/>
  <c i="18" r="CX64"/>
  <c i="18" l="1" r="CZ64"/>
  <c i="18" r="DA64" s="1"/>
  <c i="18" r="CV66"/>
  <c i="18" r="CY65"/>
  <c i="18" r="CX65"/>
  <c i="18" l="1" r="CZ65"/>
  <c i="18" r="DA65" s="1"/>
  <c i="18" r="CV67"/>
  <c i="18" r="CY66"/>
  <c i="18" r="CX66"/>
  <c i="18" l="1" r="CZ66"/>
  <c i="18" r="DA66" s="1"/>
  <c i="18" r="CV68"/>
  <c i="18" r="CY67"/>
  <c i="18" r="CX67"/>
  <c i="18" l="1" r="CV69"/>
  <c i="18" r="CY68"/>
  <c i="18" r="CX68"/>
  <c i="18" r="CZ67"/>
  <c i="18" r="DA67" s="1"/>
  <c i="18" l="1" r="CZ68"/>
  <c i="18" r="DA68" s="1"/>
  <c i="18" r="CV70"/>
  <c i="18" r="CY69"/>
  <c i="18" r="CX69"/>
  <c i="18" l="1" r="CV71"/>
  <c i="18" r="CY70"/>
  <c i="18" r="CX70"/>
  <c i="18" r="CZ69"/>
  <c i="18" r="DA69" s="1"/>
  <c i="18" l="1" r="CZ70"/>
  <c i="18" r="DA70" s="1"/>
  <c i="18" r="CV72"/>
  <c i="18" r="CY71"/>
  <c i="18" r="CX71"/>
  <c i="18" l="1" r="CV73"/>
  <c i="18" r="CY72"/>
  <c i="18" r="CX72"/>
  <c i="18" r="CZ71"/>
  <c i="18" r="DA71" s="1"/>
  <c i="18" l="1" r="CZ72"/>
  <c i="18" r="DA72" s="1"/>
  <c i="18" r="CV74"/>
  <c i="18" r="CY73"/>
  <c i="18" r="CX73"/>
  <c i="18" l="1" r="CZ73"/>
  <c i="18" r="DA73" s="1"/>
  <c i="18" r="CV75"/>
  <c i="18" r="CY74"/>
  <c i="18" r="CX74"/>
  <c i="18" l="1" r="CV76"/>
  <c i="18" r="CX75"/>
  <c i="18" r="CY75"/>
  <c i="18" r="CZ74"/>
  <c i="18" r="DA74" s="1"/>
  <c i="18" l="1" r="CZ75"/>
  <c i="18" r="DA75" s="1"/>
  <c i="18" r="CV77"/>
  <c i="18" r="CY76"/>
  <c i="18" r="CX76"/>
  <c i="18" l="1" r="CZ76"/>
  <c i="18" r="DA76" s="1"/>
  <c i="18" r="CV78"/>
  <c i="18" r="CY77"/>
  <c i="18" r="CX77"/>
  <c i="18" l="1" r="CZ77"/>
  <c i="18" r="DA77" s="1"/>
  <c i="18" r="CV79"/>
  <c i="18" r="CY78"/>
  <c i="18" r="CX78"/>
  <c i="18" l="1" r="CZ78"/>
  <c i="18" r="DA78" s="1"/>
  <c i="18" r="CV80"/>
  <c i="18" r="CX79"/>
  <c i="18" r="CY79"/>
  <c i="18" r="CZ79" s="1"/>
  <c i="18" r="DA79" s="1"/>
  <c i="18" l="1" r="CV81"/>
  <c i="18" r="CX80"/>
  <c i="18" r="CY80"/>
  <c i="18" l="1" r="CZ80"/>
  <c i="18" r="DA80" s="1"/>
  <c i="18" r="CV82"/>
  <c i="18" r="CY81"/>
  <c i="18" r="CX81"/>
  <c i="18" l="1" r="CZ81"/>
  <c i="18" r="DA81" s="1"/>
  <c i="18" r="CV83"/>
  <c i="18" r="CY82"/>
  <c i="18" r="CX82"/>
  <c i="18" l="1" r="CZ82"/>
  <c i="18" r="DA82" s="1"/>
  <c i="18" r="CV84"/>
  <c i="18" r="CY83"/>
  <c i="18" r="CX83"/>
  <c i="18" l="1" r="CZ83"/>
  <c i="18" r="DA83" s="1"/>
  <c i="18" r="CV85"/>
  <c i="18" r="CY84"/>
  <c i="18" r="CX84"/>
  <c i="18" l="1" r="CV86"/>
  <c i="18" r="CY85"/>
  <c i="18" r="CX85"/>
  <c i="18" r="CZ84"/>
  <c i="18" r="DA84" s="1"/>
  <c i="18" l="1" r="CZ85"/>
  <c i="18" r="DA85" s="1"/>
  <c i="18" r="CV87"/>
  <c i="18" r="CY86"/>
  <c i="18" r="CX86"/>
  <c i="18" l="1" r="CZ86"/>
  <c i="18" r="DA86" s="1"/>
  <c i="18" r="CV88"/>
  <c i="18" r="CY87"/>
  <c i="18" r="CX87"/>
  <c i="18" l="1" r="CV89"/>
  <c i="18" r="CY88"/>
  <c i="18" r="CX88"/>
  <c i="18" r="CZ87"/>
  <c i="18" r="DA87" s="1"/>
  <c i="18" l="1" r="CZ88"/>
  <c i="18" r="DA88" s="1"/>
  <c i="18" r="CV90"/>
  <c i="18" r="CY89"/>
  <c i="18" r="CX89"/>
  <c i="18" l="1" r="CZ89"/>
  <c i="18" r="DA89" s="1"/>
  <c i="18" r="CV91"/>
  <c i="18" r="CY90"/>
  <c i="18" r="CX90"/>
  <c i="18" l="1" r="CZ90"/>
  <c i="18" r="DA90" s="1"/>
  <c i="18" r="CV92"/>
  <c i="18" r="CY91"/>
  <c i="18" r="CX91"/>
  <c i="18" l="1" r="CZ91"/>
  <c i="18" r="DA91" s="1"/>
  <c i="18" r="CV93"/>
  <c i="18" r="CY92"/>
  <c i="18" r="CX92"/>
  <c i="18" l="1" r="CZ92"/>
  <c i="18" r="DA92" s="1"/>
  <c i="18" r="CV94"/>
  <c i="18" r="CY93"/>
  <c i="18" r="CX93"/>
  <c i="18" l="1" r="CZ93"/>
  <c i="18" r="DA93" s="1"/>
  <c i="18" r="CV95"/>
  <c i="18" r="CY94"/>
  <c i="18" r="CX94"/>
  <c i="18" l="1" r="CZ94"/>
  <c i="18" r="DA94" s="1"/>
  <c i="18" r="CV96"/>
  <c i="18" r="CX95"/>
  <c i="18" r="CY95"/>
  <c i="18" r="CZ95" s="1"/>
  <c i="18" r="DA95" s="1"/>
  <c i="18" l="1" r="CV97"/>
  <c i="18" r="CY96"/>
  <c i="18" r="CX96"/>
  <c i="18" l="1" r="CZ96"/>
  <c i="18" r="DA96" s="1"/>
  <c i="18" r="CV98"/>
  <c i="18" r="CY97"/>
  <c i="18" r="CX97"/>
  <c i="18" l="1" r="CZ97"/>
  <c i="18" r="DA97" s="1"/>
  <c i="18" r="CV99"/>
  <c i="18" r="CX98"/>
  <c i="18" r="CY98"/>
  <c i="18" l="1" r="CZ98"/>
  <c i="18" r="DA98" s="1"/>
  <c i="18" r="CV100"/>
  <c i="18" r="CY99"/>
  <c i="18" r="CX99"/>
  <c i="18" l="1" r="CZ99"/>
  <c i="18" r="DA99" s="1"/>
  <c i="18" r="CV101"/>
  <c i="18" r="CY100"/>
  <c i="18" r="CX100"/>
  <c i="18" l="1" r="CV102"/>
  <c i="18" r="CY101"/>
  <c i="18" r="CX101"/>
  <c i="18" r="CZ100"/>
  <c i="18" r="DA100" s="1"/>
  <c i="18" l="1" r="CZ101"/>
  <c i="18" r="DA101" s="1"/>
  <c i="18" r="CV103"/>
  <c i="18" r="CY102"/>
  <c i="18" r="CX102"/>
  <c i="18" l="1" r="CZ102"/>
  <c i="18" r="DA102" s="1"/>
  <c i="18" r="CV104"/>
  <c i="18" r="CY103"/>
  <c i="18" r="CX103"/>
  <c i="18" l="1" r="CZ103"/>
  <c i="18" r="DA103" s="1"/>
  <c i="18" r="CV105"/>
  <c i="18" r="CY104"/>
  <c i="18" r="CX104"/>
  <c i="18" l="1" r="CZ104"/>
  <c i="18" r="DA104" s="1"/>
  <c i="18" r="CV106"/>
  <c i="18" r="CY105"/>
  <c i="18" r="CX105"/>
  <c i="18" l="1" r="CZ105"/>
  <c i="18" r="DA105" s="1"/>
  <c i="18" r="CV107"/>
  <c i="18" r="CY106"/>
  <c i="18" r="CX106"/>
  <c i="18" l="1" r="CZ106"/>
  <c i="18" r="DA106" s="1"/>
  <c i="18" r="CV108"/>
  <c i="18" r="CY107"/>
  <c i="18" r="CX107"/>
  <c i="18" l="1" r="CZ107"/>
  <c i="18" r="DA107" s="1"/>
  <c i="18" r="CV109"/>
  <c i="18" r="CY108"/>
  <c i="18" r="CX108"/>
  <c i="18" l="1" r="CZ108"/>
  <c i="18" r="DA108" s="1"/>
  <c i="18" r="CV110"/>
  <c i="18" r="CY109"/>
  <c i="18" r="CX109"/>
  <c i="18" l="1" r="CZ109"/>
  <c i="18" r="DA109" s="1"/>
  <c i="18" r="CV111"/>
  <c i="18" r="CY110"/>
  <c i="18" r="CX110"/>
  <c i="18" l="1" r="CZ110"/>
  <c i="18" r="DA110" s="1"/>
  <c i="18" r="CV112"/>
  <c i="18" r="CY111"/>
  <c i="18" r="CX111"/>
  <c i="18" l="1" r="CZ111"/>
  <c i="18" r="DA111" s="1"/>
  <c i="18" r="CV113"/>
  <c i="18" r="CY112"/>
  <c i="18" r="CX112"/>
  <c i="18" l="1" r="CZ112"/>
  <c i="18" r="DA112" s="1"/>
  <c i="18" r="CV114"/>
  <c i="18" r="CX113"/>
  <c i="18" r="CY113"/>
  <c i="18" l="1" r="CZ113"/>
  <c i="18" r="DA113" s="1"/>
  <c i="18" r="CV115"/>
  <c i="18" r="CY114"/>
  <c i="18" r="CX114"/>
  <c i="18" l="1" r="CZ114"/>
  <c i="18" r="DA114" s="1"/>
  <c i="18" r="CV116"/>
  <c i="18" r="CX115"/>
  <c i="18" r="CY115"/>
  <c i="18" l="1" r="CZ115"/>
  <c i="18" r="DA115" s="1"/>
  <c i="18" r="CV117"/>
  <c i="18" r="CX116"/>
  <c i="18" r="CY116"/>
  <c i="18" l="1" r="CZ116"/>
  <c i="18" r="DA116" s="1"/>
  <c i="18" r="CV118"/>
  <c i="18" r="CX117"/>
  <c i="18" r="CY117"/>
  <c i="18" r="CZ117" s="1"/>
  <c i="18" r="DA117" s="1"/>
  <c i="18" l="1" r="CV119"/>
  <c i="18" r="CX118"/>
  <c i="18" r="CY118"/>
  <c i="18" l="1" r="CZ118"/>
  <c i="18" r="DA118" s="1"/>
  <c i="18" r="CV120"/>
  <c i="18" r="CY119"/>
  <c i="18" r="CX119"/>
  <c i="18" l="1" r="CZ119"/>
  <c i="18" r="DA119" s="1"/>
  <c i="18" r="CV121"/>
  <c i="18" r="CY120"/>
  <c i="18" r="CX120"/>
  <c i="18" l="1" r="CV122"/>
  <c i="18" r="CY121"/>
  <c i="18" r="CX121"/>
  <c i="18" r="CZ120"/>
  <c i="18" r="DA120" s="1"/>
  <c i="18" l="1" r="CZ121"/>
  <c i="18" r="DA121" s="1"/>
  <c i="18" r="CV123"/>
  <c i="18" r="CY122"/>
  <c i="18" r="CX122"/>
  <c i="18" l="1" r="CZ122"/>
  <c i="18" r="DA122" s="1"/>
  <c i="18" r="CV124"/>
  <c i="18" r="CY123"/>
  <c i="18" r="CX123"/>
  <c i="18" l="1" r="CZ123"/>
  <c i="18" r="DA123" s="1"/>
  <c i="18" r="CV125"/>
  <c i="18" r="CY124"/>
  <c i="18" r="CX124"/>
  <c i="18" l="1" r="CZ124"/>
  <c i="18" r="DA124" s="1"/>
  <c i="18" r="CV126"/>
  <c i="18" r="CY125"/>
  <c i="18" r="CX125"/>
  <c i="18" l="1" r="CZ125"/>
  <c i="18" r="DA125" s="1"/>
  <c i="18" r="CV127"/>
  <c i="18" r="CY126"/>
  <c i="18" r="CX126"/>
  <c i="18" l="1" r="CZ126"/>
  <c i="18" r="DA126" s="1"/>
  <c i="18" r="CV128"/>
  <c i="18" r="CY127"/>
  <c i="18" r="CX127"/>
  <c i="18" l="1" r="CZ127"/>
  <c i="18" r="DA127" s="1"/>
  <c i="18" r="CV129"/>
  <c i="18" r="CY128"/>
  <c i="18" r="CX128"/>
  <c i="18" l="1" r="CV130"/>
  <c i="18" r="CY129"/>
  <c i="18" r="CX129"/>
  <c i="18" r="CZ128"/>
  <c i="18" r="DA128" s="1"/>
  <c i="18" l="1" r="CZ129"/>
  <c i="18" r="DA129" s="1"/>
  <c i="18" r="CV131"/>
  <c i="18" r="CY130"/>
  <c i="18" r="CX130"/>
  <c i="18" l="1" r="CZ130"/>
  <c i="18" r="DA130" s="1"/>
  <c i="18" r="CV132"/>
  <c i="18" r="CY131"/>
  <c i="18" r="CX131"/>
  <c i="18" l="1" r="CZ131"/>
  <c i="18" r="DA131" s="1"/>
  <c i="18" r="CV133"/>
  <c i="18" r="CY132"/>
  <c i="18" r="CX132"/>
  <c i="18" l="1" r="CZ132"/>
  <c i="18" r="DA132" s="1"/>
  <c i="18" r="CV134"/>
  <c i="18" r="CY133"/>
  <c i="18" r="CX133"/>
  <c i="18" l="1" r="CV135"/>
  <c i="18" r="CY134"/>
  <c i="18" r="CX134"/>
  <c i="18" r="CZ133"/>
  <c i="18" r="DA133" s="1"/>
  <c i="18" l="1" r="CZ134"/>
  <c i="18" r="DA134" s="1"/>
  <c i="18" r="CV136"/>
  <c i="18" r="CY135"/>
  <c i="18" r="CX135"/>
  <c i="18" l="1" r="CZ135"/>
  <c i="18" r="DA135" s="1"/>
  <c i="18" r="CV137"/>
  <c i="18" r="CY136"/>
  <c i="18" r="CX136"/>
  <c i="18" l="1" r="CZ136"/>
  <c i="18" r="DA136" s="1"/>
  <c i="18" r="CV138"/>
  <c i="18" r="CY137"/>
  <c i="18" r="CX137"/>
  <c i="18" l="1" r="CZ137"/>
  <c i="18" r="DA137" s="1"/>
  <c i="18" r="CV139"/>
  <c i="18" r="CX138"/>
  <c i="18" r="CY138"/>
  <c i="18" l="1" r="CZ138"/>
  <c i="18" r="DA138" s="1"/>
  <c i="18" r="CV140"/>
  <c i="18" r="CY139"/>
  <c i="18" r="CX139"/>
  <c i="18" l="1" r="CZ139"/>
  <c i="18" r="DA139" s="1"/>
  <c i="18" r="CV141"/>
  <c i="18" r="CY140"/>
  <c i="18" r="CX140"/>
  <c i="18" l="1" r="CZ140"/>
  <c i="18" r="DA140" s="1"/>
  <c i="18" r="CV142"/>
  <c i="18" r="CY141"/>
  <c i="18" r="CX141"/>
  <c i="18" l="1" r="CV143"/>
  <c i="18" r="CY142"/>
  <c i="18" r="CX142"/>
  <c i="18" r="CZ141"/>
  <c i="18" r="DA141" s="1"/>
  <c i="18" l="1" r="CZ142"/>
  <c i="18" r="DA142" s="1"/>
  <c i="18" r="CV144"/>
  <c i="18" r="CY143"/>
  <c i="18" r="CX143"/>
  <c i="18" l="1" r="CZ143"/>
  <c i="18" r="DA143" s="1"/>
  <c i="18" r="CV145"/>
  <c i="18" r="CY144"/>
  <c i="18" r="CX144"/>
  <c i="18" l="1" r="CZ144"/>
  <c i="18" r="DA144" s="1"/>
  <c i="18" r="CV146"/>
  <c i="18" r="CY145"/>
  <c i="18" r="CX145"/>
  <c i="18" l="1" r="CZ145"/>
  <c i="18" r="DA145" s="1"/>
  <c i="18" r="CV147"/>
  <c i="18" r="CY146"/>
  <c i="18" r="CX146"/>
  <c i="18" l="1" r="CV148"/>
  <c i="18" r="CY147"/>
  <c i="18" r="CX147"/>
  <c i="18" r="CZ146"/>
  <c i="18" r="DA146" s="1"/>
  <c i="18" l="1" r="CZ147"/>
  <c i="18" r="DA147" s="1"/>
  <c i="18" r="CV149"/>
  <c i="18" r="CX148"/>
  <c i="18" r="CY148"/>
  <c i="18" l="1" r="CZ148"/>
  <c i="18" r="DA148" s="1"/>
  <c i="18" r="CV150"/>
  <c i="18" r="CY149"/>
  <c i="18" r="CX149"/>
  <c i="18" l="1" r="CZ149"/>
  <c i="18" r="DA149" s="1"/>
  <c i="18" r="CV151"/>
  <c i="18" r="CY150"/>
  <c i="18" r="CX150"/>
  <c i="18" l="1" r="CZ150"/>
  <c i="18" r="DA150" s="1"/>
  <c i="18" r="CV152"/>
  <c i="18" r="CY151"/>
  <c i="18" r="CX151"/>
  <c i="18" l="1" r="CZ151"/>
  <c i="18" r="DA151" s="1"/>
  <c i="18" r="CV153"/>
  <c i="18" r="CY152"/>
  <c i="18" r="CX152"/>
  <c i="18" l="1" r="CZ152"/>
  <c i="18" r="DA152" s="1"/>
  <c i="18" r="CV154"/>
  <c i="18" r="CX153"/>
  <c i="18" r="CY153"/>
  <c i="18" l="1" r="CZ153"/>
  <c i="18" r="DA153" s="1"/>
  <c i="18" r="CV155"/>
  <c i="18" r="CX154"/>
  <c i="18" r="CY154"/>
  <c i="18" l="1" r="CZ154"/>
  <c i="18" r="DA154" s="1"/>
  <c i="18" r="CV156"/>
  <c i="18" r="CY155"/>
  <c i="18" r="CX155"/>
  <c i="18" l="1" r="CZ155"/>
  <c i="18" r="DA155" s="1"/>
  <c i="18" r="CV157"/>
  <c i="18" r="CX156"/>
  <c i="18" r="CY156"/>
  <c i="18" r="CZ156" s="1"/>
  <c i="18" r="DA156" s="1"/>
  <c i="18" l="1" r="CV158"/>
  <c i="18" r="CX157"/>
  <c i="18" r="CY157"/>
  <c i="18" l="1" r="CZ157"/>
  <c i="18" r="DA157" s="1"/>
  <c i="18" r="CV159"/>
  <c i="18" r="CY158"/>
  <c i="18" r="CX158"/>
  <c i="18" l="1" r="CZ158"/>
  <c i="18" r="DA158" s="1"/>
  <c i="18" r="CV160"/>
  <c i="18" r="CY159"/>
  <c i="18" r="CX159"/>
  <c i="18" l="1" r="CZ159"/>
  <c i="18" r="DA159" s="1"/>
  <c i="18" r="CV161"/>
  <c i="18" r="CY160"/>
  <c i="18" r="CX160"/>
  <c i="18" l="1" r="CZ160"/>
  <c i="18" r="DA160" s="1"/>
  <c i="18" r="CV162"/>
  <c i="18" r="CY161"/>
  <c i="18" r="CX161"/>
  <c i="18" l="1" r="CZ161"/>
  <c i="18" r="DA161" s="1"/>
  <c i="18" r="CV163"/>
  <c i="18" r="CY162"/>
  <c i="18" r="CX162"/>
  <c i="18" l="1" r="CZ162"/>
  <c i="18" r="DA162" s="1"/>
  <c i="18" r="CV164"/>
  <c i="18" r="CY163"/>
  <c i="18" r="CX163"/>
  <c i="18" l="1" r="CZ163"/>
  <c i="18" r="DA163" s="1"/>
  <c i="18" r="CV165"/>
  <c i="18" r="CY164"/>
  <c i="18" r="CX164"/>
  <c i="18" l="1" r="CZ164"/>
  <c i="18" r="DA164" s="1"/>
  <c i="18" r="CV166"/>
  <c i="18" r="CY165"/>
  <c i="18" r="CX165"/>
  <c i="18" l="1" r="CZ165"/>
  <c i="18" r="DA165" s="1"/>
  <c i="18" r="CV167"/>
  <c i="18" r="CY166"/>
  <c i="18" r="CX166"/>
  <c i="18" l="1" r="CZ166"/>
  <c i="18" r="DA166" s="1"/>
  <c i="18" r="CV168"/>
  <c i="18" r="CY167"/>
  <c i="18" r="CX167"/>
  <c i="18" l="1" r="CZ167"/>
  <c i="18" r="DA167" s="1"/>
  <c i="18" r="CV169"/>
  <c i="18" r="CY168"/>
  <c i="18" r="CX168"/>
  <c i="18" l="1" r="CZ168"/>
  <c i="18" r="DA168" s="1"/>
  <c i="18" r="CV170"/>
  <c i="18" r="CY169"/>
  <c i="18" r="CX169"/>
  <c i="18" l="1" r="CZ169"/>
  <c i="18" r="DA169" s="1"/>
  <c i="18" r="CV171"/>
  <c i="18" r="CY170"/>
  <c i="18" r="CX170"/>
  <c i="18" l="1" r="CZ170"/>
  <c i="18" r="DA170" s="1"/>
  <c i="18" r="CV172"/>
  <c i="18" r="CY171"/>
  <c i="18" r="CX171"/>
  <c i="18" l="1" r="CZ171"/>
  <c i="18" r="DA171" s="1"/>
  <c i="18" r="CV173"/>
  <c i="18" r="CY172"/>
  <c i="18" r="CX172"/>
  <c i="18" l="1" r="CZ172"/>
  <c i="18" r="DA172" s="1"/>
  <c i="18" r="CV174"/>
  <c i="18" r="CY173"/>
  <c i="18" r="CX173"/>
  <c i="18" l="1" r="CZ173"/>
  <c i="18" r="DA173" s="1"/>
  <c i="18" r="CV175"/>
  <c i="18" r="CY174"/>
  <c i="18" r="CX174"/>
  <c i="18" l="1" r="CZ174"/>
  <c i="18" r="DA174" s="1"/>
  <c i="18" r="CV176"/>
  <c i="18" r="CX175"/>
  <c i="18" r="CY175"/>
  <c i="18" l="1" r="CZ175"/>
  <c i="18" r="DA175" s="1"/>
  <c i="18" r="CV177"/>
  <c i="18" r="CY176"/>
  <c i="18" r="CX176"/>
  <c i="18" l="1" r="CZ176"/>
  <c i="18" r="DA176" s="1"/>
  <c i="18" r="CV178"/>
  <c i="18" r="CY177"/>
  <c i="18" r="CX177"/>
  <c i="18" l="1" r="CZ177"/>
  <c i="18" r="DA177" s="1"/>
  <c i="18" r="CV179"/>
  <c i="18" r="CY178"/>
  <c i="18" r="CX178"/>
  <c i="18" l="1" r="CZ178"/>
  <c i="18" r="DA178" s="1"/>
  <c i="18" r="CV180"/>
  <c i="18" r="CY179"/>
  <c i="18" r="CX179"/>
  <c i="18" l="1" r="CZ179"/>
  <c i="18" r="DA179" s="1"/>
  <c i="18" r="CV181"/>
  <c i="18" r="CY180"/>
  <c i="18" r="CX180"/>
  <c i="18" l="1" r="CZ180"/>
  <c i="18" r="DA180" s="1"/>
  <c i="18" r="CV182"/>
  <c i="18" r="CY181"/>
  <c i="18" r="CX181"/>
  <c i="18" l="1" r="CZ181"/>
  <c i="18" r="DA181" s="1"/>
  <c i="18" r="CV183"/>
  <c i="18" r="CY182"/>
  <c i="18" r="CX182"/>
  <c i="18" l="1" r="CZ182"/>
  <c i="18" r="DA182" s="1"/>
  <c i="18" r="CV184"/>
  <c i="18" r="CY183"/>
  <c i="18" r="CX183"/>
  <c i="18" l="1" r="CZ183"/>
  <c i="18" r="DA183" s="1"/>
  <c i="18" r="CV185"/>
  <c i="18" r="CY184"/>
  <c i="18" r="CX184"/>
  <c i="18" l="1" r="CZ184"/>
  <c i="18" r="DA184" s="1"/>
  <c i="18" r="CV186"/>
  <c i="18" r="CY185"/>
  <c i="18" r="CX185"/>
  <c i="18" l="1" r="CZ185"/>
  <c i="18" r="DA185" s="1"/>
  <c i="18" r="CV187"/>
  <c i="18" r="CY186"/>
  <c i="18" r="CX186"/>
  <c i="18" l="1" r="CZ186"/>
  <c i="18" r="DA186" s="1"/>
  <c i="18" r="CV188"/>
  <c i="18" r="CY187"/>
  <c i="18" r="CX187"/>
  <c i="18" l="1" r="CZ187"/>
  <c i="18" r="DA187" s="1"/>
  <c i="18" r="CV189"/>
  <c i="18" r="CX188"/>
  <c i="18" r="CY188"/>
  <c i="18" l="1" r="CZ188"/>
  <c i="18" r="DA188" s="1"/>
  <c i="18" r="CV190"/>
  <c i="18" r="CY189"/>
  <c i="18" r="CX189"/>
  <c i="18" l="1" r="CZ189"/>
  <c i="18" r="DA189" s="1"/>
  <c i="18" r="CV191"/>
  <c i="18" r="CY190"/>
  <c i="18" r="CX190"/>
  <c i="18" l="1" r="CZ190"/>
  <c i="18" r="DA190" s="1"/>
  <c i="18" r="CV192"/>
  <c i="18" r="CY191"/>
  <c i="18" r="CX191"/>
  <c i="18" l="1" r="CZ191"/>
  <c i="18" r="DA191" s="1"/>
  <c i="18" r="CV193"/>
  <c i="18" r="CY192"/>
  <c i="18" r="CX192"/>
  <c i="18" l="1" r="CZ192"/>
  <c i="18" r="DA192" s="1"/>
  <c i="18" r="CV194"/>
  <c i="18" r="CX193"/>
  <c i="18" r="CY193"/>
  <c i="18" l="1" r="CZ193"/>
  <c i="18" r="DA193" s="1"/>
  <c i="18" r="CV195"/>
  <c i="18" r="CX194"/>
  <c i="18" r="CY194"/>
  <c i="18" l="1" r="CZ194"/>
  <c i="18" r="DA194" s="1"/>
  <c i="18" r="CV196"/>
  <c i="18" r="CX195"/>
  <c i="18" r="CY195"/>
  <c i="18" l="1" r="CZ195"/>
  <c i="18" r="DA195" s="1"/>
  <c i="18" r="CV197"/>
  <c i="18" r="CX196"/>
  <c i="18" r="CY196"/>
  <c i="18" l="1" r="CZ196"/>
  <c i="18" r="DA196" s="1"/>
  <c i="18" r="CV198"/>
  <c i="18" r="CX197"/>
  <c i="18" r="CY197"/>
  <c i="18" l="1" r="CZ197"/>
  <c i="18" r="DA197" s="1"/>
  <c i="18" r="CV199"/>
  <c i="18" r="CX198"/>
  <c i="18" r="CY198"/>
  <c i="18" l="1" r="CZ198"/>
  <c i="18" r="DA198" s="1"/>
  <c i="18" r="CV200"/>
  <c i="18" r="CX199"/>
  <c i="18" r="CY199"/>
  <c i="18" l="1" r="CZ199"/>
  <c i="18" r="DA199" s="1"/>
  <c i="18" r="CV201"/>
  <c i="18" r="CX200"/>
  <c i="18" r="CY200"/>
  <c i="18" l="1" r="CZ200"/>
  <c i="18" r="DA200" s="1"/>
  <c i="18" r="CV202"/>
  <c i="18" r="CY201"/>
  <c i="18" r="CX201"/>
  <c i="18" l="1" r="CZ201"/>
  <c i="18" r="DA201" s="1"/>
  <c i="18" r="CV203"/>
  <c i="18" r="CY202"/>
  <c i="18" r="CX202"/>
  <c i="18" l="1" r="CZ202"/>
  <c i="18" r="DA202" s="1"/>
  <c i="18" r="CV204"/>
  <c i="18" r="CY203"/>
  <c i="18" r="CX203"/>
  <c i="18" l="1" r="CZ203"/>
  <c i="18" r="DA203" s="1"/>
  <c i="18" r="CV205"/>
  <c i="18" r="CY204"/>
  <c i="18" r="CX204"/>
  <c i="18" l="1" r="CZ204"/>
  <c i="18" r="DA204" s="1"/>
  <c i="18" r="CV206"/>
  <c i="18" r="CY205"/>
  <c i="18" r="CX205"/>
  <c i="18" l="1" r="CZ205"/>
  <c i="18" r="DA205" s="1"/>
  <c i="18" r="CV207"/>
  <c i="18" r="CY206"/>
  <c i="18" r="CX206"/>
  <c i="18" l="1" r="CZ206"/>
  <c i="18" r="DA206" s="1"/>
  <c i="18" r="CV208"/>
  <c i="18" r="CY207"/>
  <c i="18" r="CX207"/>
  <c i="18" l="1" r="CZ207"/>
  <c i="18" r="DA207" s="1"/>
  <c i="18" r="CV209"/>
  <c i="18" r="CY208"/>
  <c i="18" r="CX208"/>
  <c i="18" l="1" r="CZ208"/>
  <c i="18" r="DA208" s="1"/>
  <c i="18" r="CV210"/>
  <c i="18" r="CY209"/>
  <c i="18" r="CX209"/>
  <c i="18" l="1" r="CZ209"/>
  <c i="18" r="DA209" s="1"/>
  <c i="18" r="CV211"/>
  <c i="18" r="CY210"/>
  <c i="18" r="CX210"/>
  <c i="18" l="1" r="CZ210"/>
  <c i="18" r="DA210" s="1"/>
  <c i="18" r="CV212"/>
  <c i="18" r="CY211"/>
  <c i="18" r="CX211"/>
  <c i="18" l="1" r="CZ211"/>
  <c i="18" r="DA211" s="1"/>
  <c i="18" r="CV213"/>
  <c i="18" r="CX212"/>
  <c i="18" r="CY212"/>
  <c i="18" l="1" r="CZ212"/>
  <c i="18" r="DA212" s="1"/>
  <c i="18" r="CV214"/>
  <c i="18" r="CX213"/>
  <c i="18" r="CY213"/>
  <c i="18" l="1" r="CZ213"/>
  <c i="18" r="DA213" s="1"/>
  <c i="18" r="CV215"/>
  <c i="18" r="CY214"/>
  <c i="18" r="CX214"/>
  <c i="18" l="1" r="CZ214"/>
  <c i="18" r="DA214" s="1"/>
  <c i="18" r="CV216"/>
  <c i="18" r="CX215"/>
  <c i="18" r="CY215"/>
  <c i="18" l="1" r="CZ215"/>
  <c i="18" r="DA215" s="1"/>
  <c i="18" r="CV217"/>
  <c i="18" r="CY216"/>
  <c i="18" r="CX216"/>
  <c i="18" l="1" r="CZ216"/>
  <c i="18" r="DA216" s="1"/>
  <c i="18" r="CV218"/>
  <c i="18" r="CY217"/>
  <c i="18" r="CX217"/>
  <c i="18" l="1" r="CZ217"/>
  <c i="18" r="DA217" s="1"/>
  <c i="18" r="CV219"/>
  <c i="18" r="CX218"/>
  <c i="18" r="CY218"/>
  <c i="18" l="1" r="CZ218"/>
  <c i="18" r="DA218" s="1"/>
  <c i="18" r="CV220"/>
  <c i="18" r="CY219"/>
  <c i="18" r="CX219"/>
  <c i="18" l="1" r="CZ219"/>
  <c i="18" r="DA219" s="1"/>
  <c i="18" r="CV221"/>
  <c i="18" r="CY220"/>
  <c i="18" r="CX220"/>
  <c i="18" l="1" r="CZ220"/>
  <c i="18" r="DA220" s="1"/>
  <c i="18" r="CV222"/>
  <c i="18" r="CY221"/>
  <c i="18" r="CX221"/>
  <c i="18" l="1" r="CZ221"/>
  <c i="18" r="DA221" s="1"/>
  <c i="18" r="CV223"/>
  <c i="18" r="CY222"/>
  <c i="18" r="CX222"/>
  <c i="18" l="1" r="CZ222"/>
  <c i="18" r="DA222" s="1"/>
  <c i="18" r="CV224"/>
  <c i="18" r="CY223"/>
  <c i="18" r="CX223"/>
  <c i="18" l="1" r="CZ223"/>
  <c i="18" r="DA223" s="1"/>
  <c i="18" r="CV225"/>
  <c i="18" r="CY224"/>
  <c i="18" r="CX224"/>
  <c i="18" l="1" r="CZ224"/>
  <c i="18" r="DA224" s="1"/>
  <c i="18" r="CV226"/>
  <c i="18" r="CY225"/>
  <c i="18" r="CX225"/>
  <c i="18" l="1" r="CZ225"/>
  <c i="18" r="DA225" s="1"/>
  <c i="18" r="CV227"/>
  <c i="18" r="CY226"/>
  <c i="18" r="CX226"/>
  <c i="18" l="1" r="CZ226"/>
  <c i="18" r="DA226" s="1"/>
  <c i="18" r="CV228"/>
  <c i="18" r="CY227"/>
  <c i="18" r="CX227"/>
  <c i="18" l="1" r="CZ227"/>
  <c i="18" r="DA227" s="1"/>
  <c i="18" r="CV229"/>
  <c i="18" r="CX228"/>
  <c i="18" r="CY228"/>
  <c i="18" l="1" r="CZ228"/>
  <c i="18" r="DA228" s="1"/>
  <c i="18" r="CV230"/>
  <c i="18" r="CX229"/>
  <c i="18" r="CY229"/>
  <c i="18" l="1" r="CZ229"/>
  <c i="18" r="DA229" s="1"/>
  <c i="18" r="CV231"/>
  <c i="18" r="CY230"/>
  <c i="18" r="CX230"/>
  <c i="18" l="1" r="CZ230"/>
  <c i="18" r="DA230" s="1"/>
  <c i="18" r="CV232"/>
  <c i="18" r="CY231"/>
  <c i="18" r="CX231"/>
  <c i="18" l="1" r="CV233"/>
  <c i="18" r="CY232"/>
  <c i="18" r="CX232"/>
  <c i="18" r="CZ231"/>
  <c i="18" r="DA231" s="1"/>
  <c i="18" l="1" r="CZ232"/>
  <c i="18" r="DA232" s="1"/>
  <c i="18" r="CV234"/>
  <c i="18" r="CX233"/>
  <c i="18" r="CY233"/>
  <c i="18" l="1" r="CZ233"/>
  <c i="18" r="DA233" s="1"/>
  <c i="18" r="CV235"/>
  <c i="18" r="CX234"/>
  <c i="18" r="CY234"/>
  <c i="18" l="1" r="CZ234"/>
  <c i="18" r="DA234" s="1"/>
  <c i="18" r="CV236"/>
  <c i="18" r="CX235"/>
  <c i="18" r="CY235"/>
  <c i="18" l="1" r="CZ235"/>
  <c i="18" r="DA235" s="1"/>
  <c i="18" r="CV237"/>
  <c i="18" r="CX236"/>
  <c i="18" r="CY236"/>
  <c i="18" l="1" r="CZ236"/>
  <c i="18" r="DA236" s="1"/>
  <c i="18" r="CV238"/>
  <c i="18" r="CX237"/>
  <c i="18" r="CY237"/>
  <c i="18" l="1" r="CZ237"/>
  <c i="18" r="DA237" s="1"/>
  <c i="18" r="CV239"/>
  <c i="18" r="CX238"/>
  <c i="18" r="CY238"/>
  <c i="18" l="1" r="CZ238"/>
  <c i="18" r="DA238" s="1"/>
  <c i="18" r="CV240"/>
  <c i="18" r="CY239"/>
  <c i="18" r="CX239"/>
  <c i="18" l="1" r="CZ239"/>
  <c i="18" r="DA239" s="1"/>
  <c i="18" r="CV241"/>
  <c i="18" r="CY240"/>
  <c i="18" r="CX240"/>
  <c i="18" l="1" r="CV242"/>
  <c i="18" r="CY241"/>
  <c i="18" r="CX241"/>
  <c i="18" r="CZ240"/>
  <c i="18" r="DA240" s="1"/>
  <c i="18" l="1" r="CZ241"/>
  <c i="18" r="DA241" s="1"/>
  <c i="18" r="CV243"/>
  <c i="18" r="CY242"/>
  <c i="18" r="CX242"/>
  <c i="18" l="1" r="CZ242"/>
  <c i="18" r="DA242" s="1"/>
  <c i="18" r="CV244"/>
  <c i="18" r="CY243"/>
  <c i="18" r="CX243"/>
  <c i="18" l="1" r="CZ243"/>
  <c i="18" r="DA243" s="1"/>
  <c i="18" r="CV245"/>
  <c i="18" r="CY244"/>
  <c i="18" r="CX244"/>
  <c i="18" l="1" r="CZ244"/>
  <c i="18" r="DA244" s="1"/>
  <c i="18" r="CV246"/>
  <c i="18" r="CY245"/>
  <c i="18" r="CX245"/>
  <c i="18" l="1" r="CZ245"/>
  <c i="18" r="DA245" s="1"/>
  <c i="18" r="CV247"/>
  <c i="18" r="CY246"/>
  <c i="18" r="CX246"/>
  <c i="18" l="1" r="CZ246"/>
  <c i="18" r="DA246" s="1"/>
  <c i="18" r="CV248"/>
  <c i="18" r="CY247"/>
  <c i="18" r="CX247"/>
  <c i="18" l="1" r="CZ247"/>
  <c i="18" r="DA247" s="1"/>
  <c i="18" r="CV249"/>
  <c i="18" r="CY248"/>
  <c i="18" r="CX248"/>
  <c i="18" l="1" r="CZ248"/>
  <c i="18" r="DA248" s="1"/>
  <c i="18" r="CV250"/>
  <c i="18" r="CY249"/>
  <c i="18" r="CX249"/>
  <c i="18" l="1" r="CZ249"/>
  <c i="18" r="DA249" s="1"/>
  <c i="18" r="CV251"/>
  <c i="18" r="CY250"/>
  <c i="18" r="CX250"/>
  <c i="18" l="1" r="CZ250"/>
  <c i="18" r="DA250" s="1"/>
  <c i="18" r="CV252"/>
  <c i="18" r="CY251"/>
  <c i="18" r="CX251"/>
  <c i="18" l="1" r="CZ251"/>
  <c i="18" r="DA251" s="1"/>
  <c i="18" r="CV253"/>
  <c i="18" r="CX252"/>
  <c i="18" r="CY252"/>
  <c i="18" l="1" r="CZ252"/>
  <c i="18" r="DA252" s="1"/>
  <c i="18" r="CV254"/>
  <c i="18" r="CY253"/>
  <c i="18" r="CX253"/>
  <c i="18" l="1" r="CZ253"/>
  <c i="18" r="DA253" s="1"/>
  <c i="18" r="CV255"/>
  <c i="18" r="CX254"/>
  <c i="18" r="CY254"/>
  <c i="18" l="1" r="CZ254"/>
  <c i="18" r="DA254" s="1"/>
  <c i="18" r="CV256"/>
  <c i="18" r="CX255"/>
  <c i="18" r="CY255"/>
  <c i="18" l="1" r="CZ255"/>
  <c i="18" r="DA255" s="1"/>
  <c i="18" r="CV257"/>
  <c i="18" r="CY256"/>
  <c i="18" r="CX256"/>
  <c i="18" l="1" r="CZ256"/>
  <c i="18" r="DA256" s="1"/>
  <c i="18" r="CV258"/>
  <c i="18" r="CY257"/>
  <c i="18" r="CX257"/>
  <c i="18" l="1" r="CZ257"/>
  <c i="18" r="DA257" s="1"/>
  <c i="18" r="CV259"/>
  <c i="18" r="CX258"/>
  <c i="18" r="CY258"/>
  <c i="18" l="1" r="CZ258"/>
  <c i="18" r="DA258" s="1"/>
  <c i="18" r="CV260"/>
  <c i="18" r="CY259"/>
  <c i="18" r="CX259"/>
  <c i="18" l="1" r="CZ259"/>
  <c i="18" r="DA259" s="1"/>
  <c i="18" r="CV261"/>
  <c i="18" r="CY260"/>
  <c i="18" r="CX260"/>
  <c i="18" l="1" r="CZ260"/>
  <c i="18" r="DA260" s="1"/>
  <c i="18" r="CV262"/>
  <c i="18" r="CY261"/>
  <c i="18" r="CX261"/>
  <c i="18" l="1" r="CZ261"/>
  <c i="18" r="DA261" s="1"/>
  <c i="18" r="CV263"/>
  <c i="18" r="CY262"/>
  <c i="18" r="CX262"/>
  <c i="18" l="1" r="CZ262"/>
  <c i="18" r="DA262" s="1"/>
  <c i="18" r="CV264"/>
  <c i="18" r="CY263"/>
  <c i="18" r="CX263"/>
  <c i="18" l="1" r="CZ263"/>
  <c i="18" r="DA263" s="1"/>
  <c i="18" r="CV265"/>
  <c i="18" r="CY264"/>
  <c i="18" r="CX264"/>
  <c i="18" l="1" r="CZ264"/>
  <c i="18" r="DA264" s="1"/>
  <c i="18" r="CV266"/>
  <c i="18" r="CY265"/>
  <c i="18" r="CX265"/>
  <c i="18" l="1" r="CZ265"/>
  <c i="18" r="DA265" s="1"/>
  <c i="18" r="CV267"/>
  <c i="18" r="CY266"/>
  <c i="18" r="CX266"/>
  <c i="18" l="1" r="CZ266"/>
  <c i="18" r="DA266" s="1"/>
  <c i="18" r="CV268"/>
  <c i="18" r="CY267"/>
  <c i="18" r="CX267"/>
  <c i="18" l="1" r="CZ267"/>
  <c i="18" r="DA267" s="1"/>
  <c i="18" r="CV269"/>
  <c i="18" r="CX268"/>
  <c i="18" r="CY268"/>
  <c i="18" l="1" r="CZ268"/>
  <c i="18" r="DA268" s="1"/>
  <c i="18" r="CV270"/>
  <c i="18" r="CX269"/>
  <c i="18" r="CY269"/>
  <c i="18" l="1" r="CZ269"/>
  <c i="18" r="DA269" s="1"/>
  <c i="18" r="CV271"/>
  <c i="18" r="CY270"/>
  <c i="18" r="CX270"/>
  <c i="18" l="1" r="CZ270"/>
  <c i="18" r="DA270" s="1"/>
  <c i="18" r="CV272"/>
  <c i="18" r="CX271"/>
  <c i="18" r="CY271"/>
  <c i="18" r="CZ271" s="1"/>
  <c i="18" r="DA271" s="1"/>
  <c i="18" l="1" r="CV273"/>
  <c i="18" r="CY272"/>
  <c i="18" r="CX272"/>
  <c i="18" l="1" r="CZ272"/>
  <c i="18" r="DA272" s="1"/>
  <c i="18" r="CV274"/>
  <c i="18" r="CX273"/>
  <c i="18" r="CY273"/>
  <c i="18" l="1" r="CZ273"/>
  <c i="18" r="DA273" s="1"/>
  <c i="18" r="CV275"/>
  <c i="18" r="CX274"/>
  <c i="18" r="CY274"/>
  <c i="18" l="1" r="CZ274"/>
  <c i="18" r="DA274" s="1"/>
  <c i="18" r="CV276"/>
  <c i="18" r="CX275"/>
  <c i="18" r="CY275"/>
  <c i="18" l="1" r="CZ275"/>
  <c i="18" r="DA275" s="1"/>
  <c i="18" r="CV277"/>
  <c i="18" r="CX276"/>
  <c i="18" r="CY276"/>
  <c i="18" r="CZ276" s="1"/>
  <c i="18" r="DA276" s="1"/>
  <c i="18" l="1" r="CV278"/>
  <c i="18" r="CX277"/>
  <c i="18" r="CY277"/>
  <c i="18" l="1" r="CZ277"/>
  <c i="18" r="DA277" s="1"/>
  <c i="18" r="CV279"/>
  <c i="18" r="CX278"/>
  <c i="18" r="CY278"/>
  <c i="18" l="1" r="CZ278"/>
  <c i="18" r="DA278" s="1"/>
  <c i="18" r="CV280"/>
  <c i="18" r="CY279"/>
  <c i="18" r="CX279"/>
  <c i="18" l="1" r="CZ279"/>
  <c i="18" r="DA279" s="1"/>
  <c i="18" r="CV281"/>
  <c i="18" r="CX280"/>
  <c i="18" r="CY280"/>
  <c i="18" l="1" r="CZ280"/>
  <c i="18" r="DA280" s="1"/>
  <c i="18" r="CV282"/>
  <c i="18" r="CY281"/>
  <c i="18" r="CX281"/>
  <c i="18" l="1" r="CV283"/>
  <c i="18" r="CY282"/>
  <c i="18" r="CX282"/>
  <c i="18" r="CZ281"/>
  <c i="18" r="DA281" s="1"/>
  <c i="18" l="1" r="CZ282"/>
  <c i="18" r="DA282" s="1"/>
  <c i="18" r="CV284"/>
  <c i="18" r="CY283"/>
  <c i="18" r="CX283"/>
  <c i="18" l="1" r="CZ283"/>
  <c i="18" r="DA283" s="1"/>
  <c i="18" r="CV285"/>
  <c i="18" r="CY284"/>
  <c i="18" r="CX284"/>
  <c i="18" l="1" r="CV286"/>
  <c i="18" r="CY285"/>
  <c i="18" r="CX285"/>
  <c i="18" r="CZ284"/>
  <c i="18" r="DA284" s="1"/>
  <c i="18" l="1" r="CZ285"/>
  <c i="18" r="DA285" s="1"/>
  <c i="18" r="CV287"/>
  <c i="18" r="CY286"/>
  <c i="18" r="CX286"/>
  <c i="18" l="1" r="CZ286"/>
  <c i="18" r="DA286" s="1"/>
  <c i="18" r="CV288"/>
  <c i="18" r="CY287"/>
  <c i="18" r="CX287"/>
  <c i="18" l="1" r="CV289"/>
  <c i="18" r="CY288"/>
  <c i="18" r="CX288"/>
  <c i="18" r="CZ287"/>
  <c i="18" r="DA287" s="1"/>
  <c i="18" l="1" r="CZ288"/>
  <c i="18" r="DA288" s="1"/>
  <c i="18" r="CV290"/>
  <c i="18" r="CY289"/>
  <c i="18" r="CX289"/>
  <c i="18" l="1" r="CZ289"/>
  <c i="18" r="DA289" s="1"/>
  <c i="18" r="CV291"/>
  <c i="18" r="CY290"/>
  <c i="18" r="CX290"/>
  <c i="18" l="1" r="CZ290"/>
  <c i="18" r="DA290" s="1"/>
  <c i="18" r="CV292"/>
  <c i="18" r="CY291"/>
  <c i="18" r="CX291"/>
  <c i="18" l="1" r="CZ291"/>
  <c i="18" r="DA291" s="1"/>
  <c i="18" r="CV293"/>
  <c i="18" r="CX292"/>
  <c i="18" r="CY292"/>
  <c i="18" r="CZ292" s="1"/>
  <c i="18" r="DA292" s="1"/>
  <c i="18" l="1" r="CV294"/>
  <c i="18" r="CX293"/>
  <c i="18" r="CY293"/>
  <c i="18" l="1" r="CZ293"/>
  <c i="18" r="DA293" s="1"/>
  <c i="18" r="CV295"/>
  <c i="18" r="CX294"/>
  <c i="18" r="CY294"/>
  <c i="18" l="1" r="CZ294"/>
  <c i="18" r="DA294" s="1"/>
  <c i="18" r="CV296"/>
  <c i="18" r="CX295"/>
  <c i="18" r="CY295"/>
  <c i="18" l="1" r="CZ295"/>
  <c i="18" r="DA295" s="1"/>
  <c i="18" r="CV297"/>
  <c i="18" r="CY296"/>
  <c i="18" r="CX296"/>
  <c i="18" l="1" r="CV298"/>
  <c i="18" r="CY297"/>
  <c i="18" r="CX297"/>
  <c i="18" r="CZ296"/>
  <c i="18" r="DA296" s="1"/>
  <c i="18" l="1" r="CZ297"/>
  <c i="18" r="DA297" s="1"/>
  <c i="18" r="CV299"/>
  <c i="18" r="CX298"/>
  <c i="18" r="CY298"/>
  <c i="18" l="1" r="CZ298"/>
  <c i="18" r="DA298" s="1"/>
  <c i="18" r="CV300"/>
  <c i="18" r="CY299"/>
  <c i="18" r="CX299"/>
  <c i="18" l="1" r="CZ299"/>
  <c i="18" r="DA299" s="1"/>
  <c i="18" r="CV301"/>
  <c i="18" r="CY300"/>
  <c i="18" r="CX300"/>
  <c i="18" l="1" r="CZ300"/>
  <c i="18" r="DA300" s="1"/>
  <c i="18" r="CV302"/>
  <c i="18" r="CY301"/>
  <c i="18" r="CX301"/>
  <c i="18" l="1" r="CZ301"/>
  <c i="18" r="DA301" s="1"/>
  <c i="18" r="CV303"/>
  <c i="18" r="CY302"/>
  <c i="18" r="CX302"/>
  <c i="18" l="1" r="CZ302"/>
  <c i="18" r="DA302" s="1"/>
  <c i="18" r="CV304"/>
  <c i="18" r="CY303"/>
  <c i="18" r="CX303"/>
  <c i="18" l="1" r="CZ303"/>
  <c i="18" r="DA303" s="1"/>
  <c i="18" r="CV305"/>
  <c i="18" r="CY304"/>
  <c i="18" r="CX304"/>
  <c i="18" l="1" r="CZ304"/>
  <c i="18" r="DA304" s="1"/>
  <c i="18" r="CV306"/>
  <c i="18" r="CY305"/>
  <c i="18" r="CX305"/>
  <c i="18" l="1" r="CZ305"/>
  <c i="18" r="DA305" s="1"/>
  <c i="18" r="CV307"/>
  <c i="18" r="CY306"/>
  <c i="18" r="CX306"/>
  <c i="18" l="1" r="CZ306"/>
  <c i="18" r="DA306" s="1"/>
  <c i="18" r="CV308"/>
  <c i="18" r="CY307"/>
  <c i="18" r="CX307"/>
  <c i="18" l="1" r="CZ307"/>
  <c i="18" r="DA307" s="1"/>
  <c i="18" r="CV309"/>
  <c i="18" r="CX308"/>
  <c i="18" r="CY308"/>
  <c i="18" l="1" r="CZ308"/>
  <c i="18" r="DA308" s="1"/>
  <c i="18" r="CV310"/>
  <c i="18" r="CX309"/>
  <c i="18" r="CY309"/>
  <c i="18" l="1" r="CZ309"/>
  <c i="18" r="DA309" s="1"/>
  <c i="18" r="CV311"/>
  <c i="18" r="CX310"/>
  <c i="18" r="CY310"/>
  <c i="18" l="1" r="CZ310"/>
  <c i="18" r="DA310" s="1"/>
  <c i="18" r="CV312"/>
  <c i="18" r="CX311"/>
  <c i="18" r="CY311"/>
  <c i="18" l="1" r="CZ311"/>
  <c i="18" r="DA311" s="1"/>
  <c i="18" r="CV313"/>
  <c i="18" r="CX312"/>
  <c i="18" r="CY312"/>
  <c i="18" r="CZ312" s="1"/>
  <c i="18" r="DA312" s="1"/>
  <c i="18" l="1" r="CV314"/>
  <c i="18" r="CX313"/>
  <c i="18" r="CY313"/>
  <c i="18" l="1" r="CZ313"/>
  <c i="18" r="DA313" s="1"/>
  <c i="18" r="CV315"/>
  <c i="18" r="CX314"/>
  <c i="18" r="CY314"/>
  <c i="18" r="CZ314" s="1"/>
  <c i="18" r="DA314" s="1"/>
  <c i="18" l="1" r="CV316"/>
  <c i="18" r="CX315"/>
  <c i="18" r="CY315"/>
  <c i="18" l="1" r="CZ315"/>
  <c i="18" r="DA315" s="1"/>
  <c i="18" r="CV317"/>
  <c i="18" r="CX316"/>
  <c i="18" r="CY316"/>
  <c i="18" l="1" r="CZ316"/>
  <c i="18" r="DA316" s="1"/>
  <c i="18" r="CV318"/>
  <c i="18" r="CY317"/>
  <c i="18" r="CX317"/>
  <c i="18" l="1" r="CZ317"/>
  <c i="18" r="DA317" s="1"/>
  <c i="18" r="CV319"/>
  <c i="18" r="CY318"/>
  <c i="18" r="CX318"/>
  <c i="18" l="1" r="CZ318"/>
  <c i="18" r="DA318" s="1"/>
  <c i="18" r="CV320"/>
  <c i="18" r="CY319"/>
  <c i="18" r="CX319"/>
  <c i="18" l="1" r="CZ319"/>
  <c i="18" r="DA319" s="1"/>
  <c i="18" r="CV321"/>
  <c i="18" r="CY320"/>
  <c i="18" r="CX320"/>
  <c i="18" l="1" r="CZ320"/>
  <c i="18" r="DA320" s="1"/>
  <c i="18" r="CV322"/>
  <c i="18" r="CX321"/>
  <c i="18" r="CY321"/>
  <c i="18" l="1" r="CZ321"/>
  <c i="18" r="DA321" s="1"/>
  <c i="18" r="CV323"/>
  <c i="18" r="CY322"/>
  <c i="18" r="CX322"/>
  <c i="18" l="1" r="CV324"/>
  <c i="18" r="CY323"/>
  <c i="18" r="CX323"/>
  <c i="18" r="CZ322"/>
  <c i="18" r="DA322" s="1"/>
  <c i="18" l="1" r="CZ323"/>
  <c i="18" r="DA323" s="1"/>
  <c i="18" r="CV325"/>
  <c i="18" r="CY324"/>
  <c i="18" r="CX324"/>
  <c i="18" l="1" r="CZ324"/>
  <c i="18" r="DA324" s="1"/>
  <c i="18" r="CV326"/>
  <c i="18" r="CY325"/>
  <c i="18" r="CX325"/>
  <c i="18" l="1" r="CZ325"/>
  <c i="18" r="DA325" s="1"/>
  <c i="18" r="CV327"/>
  <c i="18" r="CY326"/>
  <c i="18" r="CX326"/>
  <c i="18" l="1" r="CZ326"/>
  <c i="18" r="DA326" s="1"/>
  <c i="18" r="CV328"/>
  <c i="18" r="CY327"/>
  <c i="18" r="CX327"/>
  <c i="18" l="1" r="CZ327"/>
  <c i="18" r="DA327" s="1"/>
  <c i="18" r="CV329"/>
  <c i="18" r="CY328"/>
  <c i="18" r="CX328"/>
  <c i="18" l="1" r="CZ328"/>
  <c i="18" r="DA328" s="1"/>
  <c i="18" r="CV330"/>
  <c i="18" r="CY329"/>
  <c i="18" r="CX329"/>
  <c i="18" l="1" r="CZ329"/>
  <c i="18" r="DA329" s="1"/>
  <c i="18" r="CV331"/>
  <c i="18" r="CY330"/>
  <c i="18" r="CX330"/>
  <c i="18" l="1" r="CV332"/>
  <c i="18" r="CY331"/>
  <c i="18" r="CX331"/>
  <c i="18" r="CZ330"/>
  <c i="18" r="DA330" s="1"/>
  <c i="18" l="1" r="CZ331"/>
  <c i="18" r="DA331" s="1"/>
  <c i="18" r="CV333"/>
  <c i="18" r="CY332"/>
  <c i="18" r="CX332"/>
  <c i="18" l="1" r="CZ332"/>
  <c i="18" r="DA332" s="1"/>
  <c i="18" r="CV334"/>
  <c i="18" r="CX333"/>
  <c i="18" r="CY333"/>
  <c i="18" l="1" r="CZ333"/>
  <c i="18" r="DA333" s="1"/>
  <c i="18" r="CV335"/>
  <c i="18" r="CY334"/>
  <c i="18" r="CX334"/>
  <c i="18" l="1" r="CZ334"/>
  <c i="18" r="DA334" s="1"/>
  <c i="18" r="CV336"/>
  <c i="18" r="CX335"/>
  <c i="18" r="CY335"/>
  <c i="18" r="CZ335" s="1"/>
  <c i="18" r="DA335" s="1"/>
  <c i="18" l="1" r="CV337"/>
  <c i="18" r="CY336"/>
  <c i="18" r="CZ336" s="1"/>
  <c i="18" r="DA336" s="1"/>
  <c i="18" r="CX336"/>
  <c i="18" l="1" r="CV338"/>
  <c i="18" r="CY337"/>
  <c i="18" r="CX337"/>
  <c i="18" l="1" r="CZ337"/>
  <c i="18" r="DA337" s="1"/>
  <c i="18" r="CV339"/>
  <c i="18" r="CY338"/>
  <c i="18" r="CX338"/>
  <c i="18" l="1" r="CZ338"/>
  <c i="18" r="DA338" s="1"/>
  <c i="18" r="CV340"/>
  <c i="18" r="CY339"/>
  <c i="18" r="CX339"/>
  <c i="18" l="1" r="CZ339"/>
  <c i="18" r="DA339" s="1"/>
  <c i="18" r="CV341"/>
  <c i="18" r="CY340"/>
  <c i="18" r="CX340"/>
  <c i="18" l="1" r="CZ340"/>
  <c i="18" r="DA340" s="1"/>
  <c i="18" r="CV342"/>
  <c i="18" r="CY341"/>
  <c i="18" r="CX341"/>
  <c i="18" l="1" r="CZ341"/>
  <c i="18" r="DA341" s="1"/>
  <c i="18" r="CV343"/>
  <c i="18" r="CY342"/>
  <c i="18" r="CX342"/>
  <c i="18" l="1" r="CZ342"/>
  <c i="18" r="DA342" s="1"/>
  <c i="18" r="CV344"/>
  <c i="18" r="CY343"/>
  <c i="18" r="CX343"/>
  <c i="18" l="1" r="CZ343"/>
  <c i="18" r="DA343" s="1"/>
  <c i="18" r="CV345"/>
  <c i="18" r="CY344"/>
  <c i="18" r="CX344"/>
  <c i="18" l="1" r="CZ344"/>
  <c i="18" r="DA344" s="1"/>
  <c i="18" r="CV346"/>
  <c i="18" r="CX345"/>
  <c i="18" r="CY345"/>
  <c i="18" l="1" r="CZ345"/>
  <c i="18" r="DA345" s="1"/>
  <c i="18" r="CV347"/>
  <c i="18" r="CY346"/>
  <c i="18" r="CX346"/>
  <c i="18" l="1" r="CZ346"/>
  <c i="18" r="DA346" s="1"/>
  <c i="18" r="CV348"/>
  <c i="18" r="CX347"/>
  <c i="18" r="CY347"/>
  <c i="18" l="1" r="CZ347"/>
  <c i="18" r="DA347" s="1"/>
  <c i="18" r="CV349"/>
  <c i="18" r="CY348"/>
  <c i="18" r="CX348"/>
  <c i="18" l="1" r="CZ348"/>
  <c i="18" r="DA348" s="1"/>
  <c i="18" r="CV350"/>
  <c i="18" r="CX349"/>
  <c i="18" r="CY349"/>
  <c i="18" l="1" r="CZ349"/>
  <c i="18" r="DA349" s="1"/>
  <c i="18" r="CV351"/>
  <c i="18" r="CX350"/>
  <c i="18" r="CY350"/>
  <c i="18" l="1" r="CZ350"/>
  <c i="18" r="DA350" s="1"/>
  <c i="18" r="CV352"/>
  <c i="18" r="CX351"/>
  <c i="18" r="CY351"/>
  <c i="18" l="1" r="CZ351"/>
  <c i="18" r="DA351" s="1"/>
  <c i="18" r="CV353"/>
  <c i="18" r="CX352"/>
  <c i="18" r="CY352"/>
  <c i="18" l="1" r="CZ352"/>
  <c i="18" r="DA352" s="1"/>
  <c i="18" r="CV354"/>
  <c i="18" r="CX353"/>
  <c i="18" r="CY353"/>
  <c i="18" l="1" r="CZ353"/>
  <c i="18" r="DA353" s="1"/>
  <c i="18" r="CV355"/>
  <c i="18" r="CY354"/>
  <c i="18" r="CX354"/>
  <c i="18" l="1" r="CV356"/>
  <c i="18" r="CX355"/>
  <c i="18" r="CY355"/>
  <c i="18" r="CZ354"/>
  <c i="18" r="DA354" s="1"/>
  <c i="18" l="1" r="CZ355"/>
  <c i="18" r="DA355" s="1"/>
  <c i="18" r="CV357"/>
  <c i="18" r="CY356"/>
  <c i="18" r="CX356"/>
  <c i="18" l="1" r="CV358"/>
  <c i="18" r="CY357"/>
  <c i="18" r="CX357"/>
  <c i="18" r="CZ356"/>
  <c i="18" r="DA356" s="1"/>
  <c i="18" l="1" r="CZ357"/>
  <c i="18" r="DA357" s="1"/>
  <c i="18" r="CV359"/>
  <c i="18" r="CX358"/>
  <c i="18" r="CY358"/>
  <c i="18" l="1" r="CZ358"/>
  <c i="18" r="DA358" s="1"/>
  <c i="18" r="CV360"/>
  <c i="18" r="CX359"/>
  <c i="18" r="CY359"/>
  <c i="18" l="1" r="CZ359"/>
  <c i="18" r="DA359" s="1"/>
  <c i="18" r="CV361"/>
  <c i="18" r="CX360"/>
  <c i="18" r="CY360"/>
  <c i="18" l="1" r="CZ360"/>
  <c i="18" r="DA360" s="1"/>
  <c i="18" r="CV362"/>
  <c i="18" r="CY361"/>
  <c i="18" r="CX361"/>
  <c i="18" l="1" r="CV363"/>
  <c i="18" r="CX362"/>
  <c i="18" r="CY362"/>
  <c i="18" r="CZ361"/>
  <c i="18" r="DA361" s="1"/>
  <c i="18" l="1" r="CZ362"/>
  <c i="18" r="DA362" s="1"/>
  <c i="18" r="CV364"/>
  <c i="18" r="CY363"/>
  <c i="18" r="CX363"/>
  <c i="18" l="1" r="CZ363"/>
  <c i="18" r="DA363" s="1"/>
  <c i="18" r="CV365"/>
  <c i="18" r="CY364"/>
  <c i="18" r="CX364"/>
  <c i="18" l="1" r="CZ364"/>
  <c i="18" r="DA364" s="1"/>
  <c i="18" r="CV366"/>
  <c i="18" r="CY365"/>
  <c i="18" r="CX365"/>
  <c i="18" l="1" r="CZ365"/>
  <c i="18" r="DA365" s="1"/>
  <c i="18" r="CV367"/>
  <c i="18" r="CY366"/>
  <c i="18" r="CX366"/>
  <c i="18" l="1" r="CZ366"/>
  <c i="18" r="DA366" s="1"/>
  <c i="18" r="CV368"/>
  <c i="18" r="CY367"/>
  <c i="18" r="CX367"/>
  <c i="18" l="1" r="CZ367"/>
  <c i="18" r="DA367" s="1"/>
  <c i="18" r="CV369"/>
  <c i="18" r="CY368"/>
  <c i="18" r="CX368"/>
  <c i="18" l="1" r="CZ368"/>
  <c i="18" r="DA368" s="1"/>
  <c i="18" r="CV370"/>
  <c i="18" r="CY369"/>
  <c i="18" r="CX369"/>
  <c i="18" l="1" r="CZ369"/>
  <c i="18" r="DA369" s="1"/>
  <c i="18" r="CV371"/>
  <c i="18" r="CX370"/>
  <c i="18" r="CY370"/>
  <c i="18" l="1" r="CZ370"/>
  <c i="18" r="DA370" s="1"/>
  <c i="18" r="CV372"/>
  <c i="18" r="CY371"/>
  <c i="18" r="CX371"/>
  <c i="18" l="1" r="CZ371"/>
  <c i="18" r="DA371" s="1"/>
  <c i="18" r="CV373"/>
  <c i="18" r="CX372"/>
  <c i="18" r="CY372"/>
  <c i="18" r="CZ372" s="1"/>
  <c i="18" r="DA372" s="1"/>
  <c i="18" l="1" r="CV374"/>
  <c i="18" r="CX373"/>
  <c i="18" r="CY373"/>
  <c i="18" l="1" r="CZ373"/>
  <c i="18" r="DA373" s="1"/>
  <c i="18" r="CV375"/>
  <c i="18" r="CX374"/>
  <c i="18" r="CY374"/>
  <c i="18" l="1" r="CZ374"/>
  <c i="18" r="DA374" s="1"/>
  <c i="18" r="CV376"/>
  <c i="18" r="CY375"/>
  <c i="18" r="CX375"/>
  <c i="18" l="1" r="CZ375"/>
  <c i="18" r="DA375" s="1"/>
  <c i="18" r="CV377"/>
  <c i="18" r="CY376"/>
  <c i="18" r="CX376"/>
  <c i="18" l="1" r="CZ376"/>
  <c i="18" r="DA376" s="1"/>
  <c i="18" r="CV378"/>
  <c i="18" r="CY377"/>
  <c i="18" r="CX377"/>
  <c i="18" l="1" r="CZ377"/>
  <c i="18" r="DA377" s="1"/>
  <c i="18" r="CV379"/>
  <c i="18" r="CY378"/>
  <c i="18" r="CX378"/>
  <c i="18" l="1" r="CZ378"/>
  <c i="18" r="DA378" s="1"/>
  <c i="18" r="CV380"/>
  <c i="18" r="CY379"/>
  <c i="18" r="CX379"/>
  <c i="18" l="1" r="CZ379"/>
  <c i="18" r="DA379" s="1"/>
  <c i="18" r="CV381"/>
  <c i="18" r="CY380"/>
  <c i="18" r="CX380"/>
  <c i="18" l="1" r="CZ380"/>
  <c i="18" r="DA380" s="1"/>
  <c i="18" r="CV382"/>
  <c i="18" r="CY381"/>
  <c i="18" r="CX381"/>
  <c i="18" l="1" r="CZ381"/>
  <c i="18" r="DA381" s="1"/>
  <c i="18" r="CV383"/>
  <c i="18" r="CY382"/>
  <c i="18" r="CX382"/>
  <c i="18" l="1" r="CZ382"/>
  <c i="18" r="DA382" s="1"/>
  <c i="18" r="CV384"/>
  <c i="18" r="CY383"/>
  <c i="18" r="CX383"/>
  <c i="18" l="1" r="CZ383"/>
  <c i="18" r="DA383" s="1"/>
  <c i="18" r="CV385"/>
  <c i="18" r="CY384"/>
  <c i="18" r="CX384"/>
  <c i="18" l="1" r="CZ384"/>
  <c i="18" r="DA384" s="1"/>
  <c i="18" r="CV386"/>
  <c i="18" r="CX385"/>
  <c i="18" r="CY385"/>
  <c i="18" r="CZ385" s="1"/>
  <c i="18" r="DA385" s="1"/>
  <c i="18" l="1" r="CV387"/>
  <c i="18" r="CX386"/>
  <c i="18" r="CY386"/>
  <c i="18" l="1" r="CZ386"/>
  <c i="18" r="DA386" s="1"/>
  <c i="18" r="CV388"/>
  <c i="18" r="CY387"/>
  <c i="18" r="CX387"/>
  <c i="18" l="1" r="CZ387"/>
  <c i="18" r="DA387" s="1"/>
  <c i="18" r="CV389"/>
  <c i="18" r="CX388"/>
  <c i="18" r="CY388"/>
  <c i="18" l="1" r="CZ388"/>
  <c i="18" r="DA388" s="1"/>
  <c i="18" r="CV390"/>
  <c i="18" r="CY389"/>
  <c i="18" r="CX389"/>
  <c i="18" l="1" r="CZ389"/>
  <c i="18" r="DA389" s="1"/>
  <c i="18" r="CV391"/>
  <c i="18" r="CX390"/>
  <c i="18" r="CY390"/>
  <c i="18" l="1" r="CZ390"/>
  <c i="18" r="DA390" s="1"/>
  <c i="18" r="CV392"/>
  <c i="18" r="CY391"/>
  <c i="18" r="CX391"/>
  <c i="18" l="1" r="CZ391"/>
  <c i="18" r="DA391" s="1"/>
  <c i="18" r="CV393"/>
  <c i="18" r="CX392"/>
  <c i="18" r="CY392"/>
  <c i="18" l="1" r="CZ392"/>
  <c i="18" r="DA392" s="1"/>
  <c i="18" r="CV394"/>
  <c i="18" r="CY393"/>
  <c i="18" r="CX393"/>
  <c i="18" l="1" r="CZ393"/>
  <c i="18" r="DA393" s="1"/>
  <c i="18" r="CV395"/>
  <c i="18" r="CX394"/>
  <c i="18" r="CY394"/>
  <c i="18" r="CZ394" s="1"/>
  <c i="18" r="DA394" s="1"/>
  <c i="18" l="1" r="CV396"/>
  <c i="18" r="CY395"/>
  <c i="18" r="CX395"/>
  <c i="18" l="1" r="CZ395"/>
  <c i="18" r="DA395" s="1"/>
  <c i="18" r="CV397"/>
  <c i="18" r="CX396"/>
  <c i="18" r="CY396"/>
  <c i="18" l="1" r="CZ396"/>
  <c i="18" r="DA396" s="1"/>
  <c i="18" r="CV398"/>
  <c i="18" r="CY397"/>
  <c i="18" r="CX397"/>
  <c i="18" l="1" r="CZ397"/>
  <c i="18" r="DA397" s="1"/>
  <c i="18" r="CV399"/>
  <c i="18" r="CY398"/>
  <c i="18" r="CX398"/>
  <c i="18" l="1" r="CZ398"/>
  <c i="18" r="DA398" s="1"/>
  <c i="18" r="CV400"/>
  <c i="18" r="CY399"/>
  <c i="18" r="CX399"/>
  <c i="18" l="1" r="CZ399"/>
  <c i="18" r="DA399" s="1"/>
  <c i="18" r="CV401"/>
  <c i="18" r="CY400"/>
  <c i="18" r="CX400"/>
  <c i="18" l="1" r="CZ400"/>
  <c i="18" r="DA400" s="1"/>
  <c i="18" r="CX401"/>
  <c i="18" r="CY401"/>
  <c i="18" l="1" r="CZ401"/>
  <c i="18" r="DA401" s="1"/>
</calcChain>
</file>

<file path=xl/sharedStrings.xml><?xml version="1.0" encoding="utf-8"?>
<sst xmlns="http://schemas.openxmlformats.org/spreadsheetml/2006/main" count="1080" uniqueCount="421">
  <si>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</si>
  <si>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</si>
  <si>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</si>
  <si>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</si>
  <si>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</si>
  <si>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</si>
  <si>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</si>
  <si>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</si>
  <si>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</si>
  <si>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</si>
  <si>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</si>
  <si>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</si>
  <si>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</si>
  <si>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</si>
  <si>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</si>
  <si>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</si>
  <si>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</si>
  <si>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Steps for generating distributions of commute time and distance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</si>
  <si>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</si>
  <si>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</si>
  <si>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</si>
  <si>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</si>
  <si>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</si>
  <si>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</si>
  <si>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</si>
  <si>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</si>
  <si>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</si>
  <si>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</si>
  <si>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</si>
  <si>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</si>
  <si>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</si>
  <si>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</si>
  <si>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</si>
  <si>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</si>
  <si>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</si>
  <si>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</si>
  <si>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</si>
  <si>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</si>
  <si>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</si>
  <si>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</si>
  <si>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Table X. Average Trip Duration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</si>
  <si>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</si>
  <si>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</si>
  <si>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</si>
  <si>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</si>
  <si>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</si>
  <si>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</si>
  <si>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</si>
  <si>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</si>
  <si>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</si>
  <si>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</si>
  <si>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</si>
  <si>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</si>
  <si>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Difference Work at Home Counts by County</t>
  </si>
  <si>
    <t>Table X. Difference Counts by County</t>
  </si>
  <si>
    <t>Table X. Difference Work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</si>
  <si>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</si>
  <si>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</si>
  <si>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</si>
  <si>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</si>
  <si>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</si>
  <si>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</si>
  <si>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</si>
  <si>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</si>
  <si>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</si>
  <si>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</si>
  <si>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</si>
  <si>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</si>
  <si>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</si>
  <si>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</si>
  <si>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</si>
  <si>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</si>
  <si>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</si>
  <si>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</si>
  <si>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</si>
  <si>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</si>
  <si>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</si>
  <si>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</si>
  <si>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</si>
  <si>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</si>
  <si>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</si>
  <si>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</si>
  <si>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</si>
  <si>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</si>
  <si>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</si>
  <si>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</si>
  <si>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</si>
  <si>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</si>
  <si>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</si>
  <si>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</si>
  <si>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</si>
  <si>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</si>
  <si>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</si>
  <si>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</si>
  <si>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</si>
  <si>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</si>
  <si>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</si>
  <si>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</si>
  <si>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</si>
  <si>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</si>
  <si>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</si>
  <si>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</si>
  <si>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</si>
  <si>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</si>
  <si>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</si>
  <si>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</si>
  <si>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</si>
  <si>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</si>
  <si>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</si>
  <si>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</si>
  <si>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</si>
  <si>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</si>
  <si>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</si>
  <si>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</si>
  <si>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</si>
  <si>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</si>
  <si>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</si>
  <si>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</si>
  <si>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</si>
  <si>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</si>
  <si>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</si>
  <si>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</si>
  <si>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</si>
  <si>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</si>
  <si>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</si>
  <si>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</si>
  <si>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</si>
  <si>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</si>
  <si>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</si>
  <si>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</si>
  <si>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</si>
  <si>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</si>
  <si>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</si>
  <si>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</si>
  <si>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</si>
  <si>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</si>
  <si>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</si>
  <si>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</si>
  <si>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</si>
  <si>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</si>
  <si>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</si>
  <si>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</si>
  <si>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</si>
  <si>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</si>
  <si>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</si>
  <si>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</si>
  <si>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</si>
  <si>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</si>
  <si>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</si>
  <si>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</si>
  <si>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</si>
  <si>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</si>
  <si>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</si>
  <si>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</si>
  <si>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</si>
  <si>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</si>
  <si>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</si>
  <si>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</si>
  <si>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</si>
  <si>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</si>
  <si>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</si>
  <si>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</si>
  <si>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</si>
  <si>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</si>
  <si>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</si>
  <si>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</si>
  <si>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</si>
  <si>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</si>
  <si>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</si>
  <si>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</si>
  <si>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</si>
  <si>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</si>
  <si>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</si>
  <si>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</si>
  <si>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</si>
  <si>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</si>
  <si>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</si>
  <si>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</si>
  <si>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</si>
  <si>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</si>
  <si>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</si>
  <si>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</si>
  <si>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</si>
  <si>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</si>
  <si>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</si>
  <si>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</si>
  <si>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</si>
  <si>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</si>
  <si>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</si>
  <si>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</si>
  <si>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</si>
  <si>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</si>
  <si>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</si>
  <si>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</si>
  <si>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</si>
  <si>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</si>
  <si>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</si>
  <si>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</si>
  <si>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</si>
  <si>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</si>
  <si>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</si>
  <si>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</si>
  <si>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</si>
  <si>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</si>
  <si>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</si>
  <si>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</si>
  <si>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</si>
  <si>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</si>
  <si>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</si>
  <si>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Survey Preparation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</si>
  <si>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</si>
  <si>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</si>
  <si>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</si>
  <si>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</si>
  <si>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</si>
  <si>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</si>
  <si>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</si>
  <si>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</si>
  <si>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</si>
  <si>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</si>
  <si>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</si>
  <si>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</si>
  <si>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</si>
  <si>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</si>
  <si>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</si>
  <si>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</si>
  <si>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</si>
  <si>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</si>
  <si>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</si>
  <si>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</si>
  <si>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</si>
  <si>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</si>
  <si>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</si>
  <si>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</si>
  <si>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</si>
  <si>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</si>
  <si>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</si>
  <si>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</si>
  <si>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</si>
  <si>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</si>
  <si>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</si>
  <si>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Observed distance (in miles) based on joining AM peak SOV skim values to HH survey</t>
  </si>
  <si>
    <t>Work From Home</t>
  </si>
  <si>
    <t>Share</t>
  </si>
  <si>
    <t>All Workers</t>
  </si>
  <si>
    <t>Calibration:</t>
  </si>
  <si>
    <t>Calibrate work at home shares first</t>
  </si>
  <si>
    <t>Then distance segmented coefficients</t>
  </si>
  <si>
    <t>Observed Sources: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</si>
  <si>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</si>
  <si>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</si>
  <si>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</si>
  <si>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Table X. Average Trip Length (miles)</t>
  </si>
  <si>
    <t>Open "WorkLocationModel.F12" ini Notepad+</t>
  </si>
  <si>
    <t>DaySim</t>
  </si>
  <si>
    <t>UltraEdit Instructions: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</si>
  <si>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</si>
  <si>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</si>
  <si>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</si>
  <si>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</si>
  <si>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</si>
  <si>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</si>
  <si>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"WorkLocationModel.F12" in UltraEdit</t>
  </si>
  <si>
    <t>Open "WorkLocationModel.F12"</t>
  </si>
  <si>
    <t>Choose column mode and select 4th columns from line 4 to line 81</t>
  </si>
  <si>
    <t>Hold Alt and using mouse select the 4th column from line line 4 to line 81</t>
  </si>
  <si>
    <t>Make sure that you select Col 21 to Col 35</t>
  </si>
  <si>
    <t>Instructions</t>
  </si>
  <si>
    <t>WorkLocationModel.F12</t>
  </si>
  <si>
    <t>damp</t>
  </si>
  <si>
    <t>Adjust</t>
  </si>
  <si>
    <t>Distance</t>
  </si>
  <si>
    <t>LN(Distance)</t>
  </si>
  <si>
    <t>Coeff. Index</t>
  </si>
  <si>
    <t>Ratio</t>
  </si>
  <si>
    <t>Use Regression under Data Analysis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</si>
  <si>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</si>
  <si>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</si>
  <si>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</si>
  <si>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</si>
  <si>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</si>
  <si>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</si>
  <si>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</si>
  <si>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</si>
  <si>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</si>
  <si>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</si>
  <si>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</si>
  <si>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Significance F</t>
  </si>
  <si>
    <t>Regression</t>
  </si>
  <si>
    <t>Residual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</si>
  <si>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</si>
  <si>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</si>
  <si>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</si>
  <si>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</si>
  <si>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</si>
  <si>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</si>
  <si>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</si>
  <si>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</si>
  <si>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</si>
  <si>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NHTS (NFTPO) Survey</t>
  </si>
  <si>
    <t>Note: choose J47 as output cell</t>
  </si>
  <si>
    <t>Note: choose J73 as output cell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</si>
  <si>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</si>
  <si>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</si>
  <si>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</si>
  <si>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</si>
  <si>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</si>
  <si>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</si>
  <si>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</si>
  <si>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</si>
  <si>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Copy (Ctrl-c) cells W3:W76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</si>
  <si>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</si>
  <si>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</si>
  <si>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</si>
  <si>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</si>
  <si>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</si>
  <si>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</si>
  <si>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</si>
  <si>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</si>
  <si>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</si>
  <si>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District-level Commuter Flows</t>
  </si>
  <si>
    <t>Table X. Adjusted Worker Flows by District: LEHD (2017)</t>
  </si>
  <si>
    <t>Table X. Observed Worker Flows by District: LEHD (2017)</t>
  </si>
  <si>
    <t>Table X. Observed Worker Flows by District: Survey</t>
  </si>
  <si>
    <t>Table X. Estimated Worker Flows by District: DaySim</t>
  </si>
  <si>
    <t>WORKER FLOWS BY District: EST-OBS (DaySim - LEHD)</t>
  </si>
  <si>
    <t>CBD</t>
  </si>
  <si>
    <t>Inner Core I-24 E</t>
  </si>
  <si>
    <t>Inner Core I-24/65 N</t>
  </si>
  <si>
    <t>Inner Core I-24W</t>
  </si>
  <si>
    <t>Inner Core I-40 W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</si>
  <si>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</si>
  <si>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</si>
  <si>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</si>
  <si>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</si>
  <si>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</si>
  <si>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</si>
  <si>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</si>
  <si>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</si>
  <si>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</si>
  <si>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</si>
  <si>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</si>
  <si>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</si>
  <si>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</si>
  <si>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</si>
  <si>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</si>
  <si>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SURVEY</t>
  </si>
  <si>
    <t>217 LEHD</t>
  </si>
  <si>
    <t>ABM</t>
  </si>
  <si>
    <t>Raw</t>
  </si>
  <si>
    <t>Scaled</t>
  </si>
  <si>
    <t>RAW</t>
  </si>
  <si>
    <t>SCALED</t>
  </si>
  <si>
    <t>District</t>
  </si>
  <si>
    <t>ID</t>
  </si>
  <si>
    <t>ABM-LEHD</t>
  </si>
  <si>
    <t>DIFF</t>
  </si>
  <si>
    <t>ABM-LEHD/LEHD</t>
  </si>
  <si>
    <t>Table X. Observed Worker Flows by District: OD Data</t>
  </si>
  <si>
    <t>Table X. Adjusted Worker Flows by District: OD Data</t>
  </si>
  <si>
    <t>OD Data</t>
  </si>
  <si>
    <t>%</t>
  </si>
  <si>
    <t>ABM-OD Data</t>
  </si>
  <si>
    <t>Data</t>
  </si>
  <si>
    <t>2017 LEHD</t>
  </si>
  <si>
    <t>Description</t>
  </si>
  <si>
    <t>RATIO</t>
  </si>
  <si>
    <t>LN(RATIO)</t>
  </si>
  <si>
    <t>CALIBRATION</t>
  </si>
  <si>
    <t>ADJ</t>
  </si>
  <si>
    <t>OBS</t>
  </si>
  <si>
    <t>% Workers by Work Locatioin District</t>
  </si>
  <si>
    <t>WORKER FLOWS BY District: (DaySim - LEHD)/LEHD</t>
  </si>
  <si>
    <t>District 1-12</t>
  </si>
  <si>
    <t>SUM</t>
  </si>
  <si>
    <t>MIN</t>
  </si>
  <si>
    <t>MAX</t>
  </si>
  <si>
    <t>District 13-20</t>
  </si>
  <si>
    <t>DestD_1</t>
  </si>
  <si>
    <t>DestD_2</t>
  </si>
  <si>
    <t>DestD_3</t>
  </si>
  <si>
    <t>DestD_4</t>
  </si>
  <si>
    <t>DestD_5</t>
  </si>
  <si>
    <t>DestD_6</t>
  </si>
  <si>
    <t>DestD_7</t>
  </si>
  <si>
    <t>DestD_8</t>
  </si>
  <si>
    <t>DestD_9</t>
  </si>
  <si>
    <t>DestD_10</t>
  </si>
  <si>
    <t>DestD_11</t>
  </si>
  <si>
    <t>DestD_12</t>
  </si>
  <si>
    <t>DestD_13</t>
  </si>
  <si>
    <t>DestD_14</t>
  </si>
  <si>
    <t>DestD_15</t>
  </si>
  <si>
    <t>DestD_16</t>
  </si>
  <si>
    <t>DestD_17</t>
  </si>
  <si>
    <t>DestD_18</t>
  </si>
  <si>
    <t>DestD_19</t>
  </si>
  <si>
    <t>DestD_20</t>
  </si>
  <si>
    <t>1. Adjustments (Work from Home)</t>
  </si>
  <si>
    <t>2. Adjustments (Trip Length - FT)</t>
  </si>
  <si>
    <t>3. Adjustments (Trip Length - PT and NotFTPT)</t>
  </si>
  <si>
    <t>Change Flag</t>
  </si>
  <si>
    <t>COEF INDEX</t>
  </si>
  <si>
    <t>OLD COEFF</t>
  </si>
  <si>
    <t>NEW COEFF</t>
  </si>
  <si>
    <t>Solver Load</t>
  </si>
  <si>
    <t>% DIFF</t>
  </si>
  <si>
    <t>Table X. Scaled Estimated Worker Flows by District: DaySim</t>
  </si>
  <si>
    <t>Table X. ABS(DaySim - LEHD)</t>
  </si>
  <si>
    <t>New Ratio</t>
  </si>
  <si>
    <t>usual wsloc</t>
  </si>
  <si>
    <t>Origin</t>
  </si>
  <si>
    <t>Max Dist</t>
  </si>
  <si>
    <t>id</t>
  </si>
  <si>
    <t>Diff</t>
  </si>
  <si>
    <t>% Diff</t>
  </si>
  <si>
    <t>Ref</t>
  </si>
  <si>
    <t>origin_12_dest_12</t>
  </si>
  <si>
    <t>origin_13_dest_13</t>
  </si>
  <si>
    <t>O12_D12</t>
  </si>
  <si>
    <t>O13_D13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</si>
</sst>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_(* #,##0_);_(* \(#,##0\);_(* &quot;-&quot;??_);_(@_)"/>
    <numFmt numFmtId="168" formatCode="0.0"/>
    <numFmt numFmtId="169" formatCode="0.000"/>
    <numFmt numFmtId="170" formatCode="0.00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indexed="8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1">
    <xf borderId="0" fillId="0" fontId="0" numFmtId="0"/>
    <xf borderId="0" fillId="0" fontId="2" numFmtId="0">
      <alignment wrapText="1"/>
    </xf>
    <xf borderId="0" fillId="3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  <xf applyAlignment="0" applyBorder="0" applyFill="0" applyNumberFormat="0" applyProtection="0" borderId="0" fillId="0" fontId="9" numFmtId="0"/>
    <xf applyAlignment="0" applyFill="0" applyNumberFormat="0" applyProtection="0" borderId="8" fillId="0" fontId="10" numFmtId="0"/>
    <xf applyAlignment="0" applyFill="0" applyNumberFormat="0" applyProtection="0" borderId="9" fillId="0" fontId="11" numFmtId="0"/>
    <xf applyAlignment="0" applyFill="0" applyNumberFormat="0" applyProtection="0" borderId="10" fillId="0" fontId="12" numFmtId="0"/>
    <xf applyAlignment="0" applyBorder="0" applyFill="0" applyNumberFormat="0" applyProtection="0" borderId="0" fillId="0" fontId="12" numFmtId="0"/>
    <xf applyAlignment="0" applyBorder="0" applyNumberFormat="0" applyProtection="0" borderId="0" fillId="9" fontId="13" numFmtId="0"/>
    <xf applyAlignment="0" applyBorder="0" applyNumberFormat="0" applyProtection="0" borderId="0" fillId="10" fontId="14" numFmtId="0"/>
    <xf applyAlignment="0" applyNumberFormat="0" applyProtection="0" borderId="11" fillId="12" fontId="15" numFmtId="0"/>
    <xf applyAlignment="0" applyNumberFormat="0" applyProtection="0" borderId="12" fillId="13" fontId="16" numFmtId="0"/>
    <xf applyAlignment="0" applyNumberFormat="0" applyProtection="0" borderId="11" fillId="13" fontId="17" numFmtId="0"/>
    <xf applyAlignment="0" applyFill="0" applyNumberFormat="0" applyProtection="0" borderId="13" fillId="0" fontId="18" numFmtId="0"/>
    <xf applyAlignment="0" applyNumberFormat="0" applyProtection="0" borderId="14" fillId="14" fontId="19" numFmtId="0"/>
    <xf applyAlignment="0" applyBorder="0" applyFill="0" applyNumberFormat="0" applyProtection="0" borderId="0" fillId="0" fontId="20" numFmtId="0"/>
    <xf applyAlignment="0" applyFont="0" applyNumberFormat="0" applyProtection="0" borderId="15" fillId="15" fontId="3" numFmtId="0"/>
    <xf applyAlignment="0" applyBorder="0" applyFill="0" applyNumberFormat="0" applyProtection="0" borderId="0" fillId="0" fontId="21" numFmtId="0"/>
    <xf applyAlignment="0" applyFill="0" applyNumberFormat="0" applyProtection="0" borderId="16" fillId="0" fontId="1" numFmtId="0"/>
    <xf applyAlignment="0" applyBorder="0" applyNumberFormat="0" applyProtection="0" borderId="0" fillId="16" fontId="22" numFmtId="0"/>
    <xf applyAlignment="0" applyBorder="0" applyNumberFormat="0" applyProtection="0" borderId="0" fillId="17" fontId="3" numFmtId="0"/>
    <xf applyAlignment="0" applyBorder="0" applyNumberFormat="0" applyProtection="0" borderId="0" fillId="18" fontId="3" numFmtId="0"/>
    <xf applyAlignment="0" applyBorder="0" applyNumberFormat="0" applyProtection="0" borderId="0" fillId="20" fontId="22" numFmtId="0"/>
    <xf applyAlignment="0" applyBorder="0" applyNumberFormat="0" applyProtection="0" borderId="0" fillId="21" fontId="3" numFmtId="0"/>
    <xf applyAlignment="0" applyBorder="0" applyNumberFormat="0" applyProtection="0" borderId="0" fillId="22" fontId="3" numFmtId="0"/>
    <xf applyAlignment="0" applyBorder="0" applyNumberFormat="0" applyProtection="0" borderId="0" fillId="24" fontId="22" numFmtId="0"/>
    <xf applyAlignment="0" applyBorder="0" applyNumberFormat="0" applyProtection="0" borderId="0" fillId="25" fontId="3" numFmtId="0"/>
    <xf applyAlignment="0" applyBorder="0" applyNumberFormat="0" applyProtection="0" borderId="0" fillId="26" fontId="3" numFmtId="0"/>
    <xf applyAlignment="0" applyBorder="0" applyNumberFormat="0" applyProtection="0" borderId="0" fillId="28" fontId="22" numFmtId="0"/>
    <xf applyAlignment="0" applyBorder="0" applyNumberFormat="0" applyProtection="0" borderId="0" fillId="29" fontId="3" numFmtId="0"/>
    <xf applyAlignment="0" applyBorder="0" applyNumberFormat="0" applyProtection="0" borderId="0" fillId="30" fontId="3" numFmtId="0"/>
    <xf applyAlignment="0" applyBorder="0" applyNumberFormat="0" applyProtection="0" borderId="0" fillId="32" fontId="22" numFmtId="0"/>
    <xf applyAlignment="0" applyBorder="0" applyNumberFormat="0" applyProtection="0" borderId="0" fillId="33" fontId="3" numFmtId="0"/>
    <xf applyAlignment="0" applyBorder="0" applyNumberFormat="0" applyProtection="0" borderId="0" fillId="34" fontId="3" numFmtId="0"/>
    <xf applyAlignment="0" applyBorder="0" applyNumberFormat="0" applyProtection="0" borderId="0" fillId="36" fontId="22" numFmtId="0"/>
    <xf applyAlignment="0" applyBorder="0" applyNumberFormat="0" applyProtection="0" borderId="0" fillId="37" fontId="3" numFmtId="0"/>
    <xf applyAlignment="0" applyBorder="0" applyNumberFormat="0" applyProtection="0" borderId="0" fillId="38" fontId="3" numFmtId="0"/>
    <xf applyAlignment="0" applyBorder="0" applyNumberFormat="0" applyProtection="0" borderId="0" fillId="11" fontId="23" numFmtId="0"/>
    <xf applyAlignment="0" applyBorder="0" applyNumberFormat="0" applyProtection="0" borderId="0" fillId="19" fontId="22" numFmtId="0"/>
    <xf applyAlignment="0" applyBorder="0" applyNumberFormat="0" applyProtection="0" borderId="0" fillId="23" fontId="22" numFmtId="0"/>
    <xf applyAlignment="0" applyBorder="0" applyNumberFormat="0" applyProtection="0" borderId="0" fillId="27" fontId="22" numFmtId="0"/>
    <xf applyAlignment="0" applyBorder="0" applyNumberFormat="0" applyProtection="0" borderId="0" fillId="31" fontId="22" numFmtId="0"/>
    <xf applyAlignment="0" applyBorder="0" applyNumberFormat="0" applyProtection="0" borderId="0" fillId="35" fontId="22" numFmtId="0"/>
    <xf applyAlignment="0" applyBorder="0" applyNumberFormat="0" applyProtection="0" borderId="0" fillId="39" fontId="22" numFmtId="0"/>
  </cellStyleXfs>
  <cellXfs count="217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" xfId="0"/>
    <xf applyBorder="1" applyNumberFormat="1" borderId="1" fillId="0" fontId="0" numFmtId="1" xfId="0"/>
    <xf applyBorder="1" applyNumberFormat="1" borderId="3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Border="1" applyFont="1" applyNumberFormat="1" borderId="1" fillId="0" fontId="1" numFmtId="3" xfId="0"/>
    <xf applyAlignment="1" applyBorder="1" applyNumberFormat="1" borderId="2" fillId="0" fontId="0" numFmtId="3" xfId="0">
      <alignment horizontal="center"/>
    </xf>
    <xf applyBorder="1" applyNumberFormat="1" borderId="2" fillId="0" fontId="0" numFmtId="3" xfId="0"/>
    <xf applyNumberFormat="1" borderId="0" fillId="0" fontId="0" numFmtId="164" xfId="0"/>
    <xf applyBorder="1" applyNumberFormat="1" borderId="1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Border="1" applyFill="1" borderId="3" fillId="2" fontId="0" numFmtId="0" xfId="0"/>
    <xf applyFill="1" applyFont="1" borderId="0" fillId="2" fontId="1" numFmtId="0" xfId="0"/>
    <xf applyAlignment="1" applyBorder="1" applyFill="1" borderId="2" fillId="2" fontId="0" numFmtId="0" xfId="0">
      <alignment horizontal="center" vertical="top"/>
    </xf>
    <xf applyBorder="1" applyNumberFormat="1" borderId="0" fillId="0" fontId="0" numFmtId="164" xfId="0"/>
    <xf applyFont="1" borderId="0" fillId="0" fontId="4" numFmtId="0" xfId="0"/>
    <xf applyBorder="1" applyFill="1" borderId="0" fillId="0" fontId="0" numFmtId="0" xfId="0"/>
    <xf applyNumberFormat="1" borderId="0" fillId="0" fontId="0" numFmtId="11" xfId="0"/>
    <xf applyAlignment="1" borderId="0" fillId="0" fontId="0" numFmtId="0" xfId="0">
      <alignment horizontal="left"/>
    </xf>
    <xf applyFont="1" applyNumberFormat="1" borderId="0" fillId="0" fontId="0" numFmtId="3" xfId="0"/>
    <xf applyFont="1" borderId="0" fillId="0" fontId="5" numFmtId="0" xfId="0"/>
    <xf applyAlignment="1" applyFont="1" borderId="0" fillId="0" fontId="1" numFmtId="0" xfId="0">
      <alignment horizontal="center" vertical="center"/>
    </xf>
    <xf applyAlignment="1" applyFont="1" borderId="0" fillId="0" fontId="1" numFmtId="0" xfId="0">
      <alignment horizontal="center"/>
    </xf>
    <xf applyNumberFormat="1" borderId="0" fillId="0" fontId="0" numFmtId="21" xfId="0"/>
    <xf applyNumberFormat="1" borderId="0" fillId="0" fontId="0" numFmtId="166" xfId="0"/>
    <xf applyAlignment="1" applyFont="1" borderId="0" fillId="0" fontId="1" numFmtId="0" xfId="0">
      <alignment horizontal="right"/>
    </xf>
    <xf applyBorder="1" applyFill="1" applyFont="1" applyNumberFormat="1" borderId="0" fillId="0" fontId="5" numFmtId="3" xfId="0"/>
    <xf applyBorder="1" applyFill="1" applyFont="1" applyNumberFormat="1" borderId="0" fillId="0" fontId="0" numFmtId="3" xfId="0"/>
    <xf applyBorder="1" applyFill="1" applyNumberFormat="1" borderId="0" fillId="0" fontId="0" numFmtId="9" xfId="0"/>
    <xf applyBorder="1" applyFill="1" applyNumberFormat="1" borderId="0" fillId="0" fontId="0" numFmtId="166" xfId="0"/>
    <xf applyBorder="1" applyFill="1" applyNumberFormat="1" borderId="0" fillId="0" fontId="0" numFmtId="2" xfId="0"/>
    <xf applyBorder="1" applyFont="1" applyNumberFormat="1" borderId="3" fillId="0" fontId="0" numFmtId="3" xfId="0"/>
    <xf applyBorder="1" applyFont="1" applyNumberFormat="1" borderId="5" fillId="0" fontId="0" numFmtId="3" xfId="0"/>
    <xf applyBorder="1" applyFill="1" applyFont="1" applyNumberFormat="1" borderId="4" fillId="0" fontId="0" numFmtId="3" xfId="0"/>
    <xf applyNumberFormat="1" borderId="0" fillId="0" fontId="0" numFmtId="9" xfId="0"/>
    <xf applyBorder="1" applyNumberFormat="1" borderId="4" fillId="0" fontId="0" numFmtId="9" xfId="0"/>
    <xf applyAlignment="1" applyBorder="1" borderId="0" fillId="0" fontId="0" numFmtId="0" xfId="0">
      <alignment horizontal="center" vertical="top"/>
    </xf>
    <xf applyBorder="1" applyFill="1" applyFont="1" borderId="0" fillId="0" fontId="1" numFmtId="0" xfId="0"/>
    <xf applyAlignment="1" applyBorder="1" applyFill="1" borderId="0" fillId="0" fontId="0" numFmtId="0" xfId="0">
      <alignment horizontal="center" vertical="top"/>
    </xf>
    <xf applyBorder="1" applyNumberFormat="1" borderId="0" fillId="0" fontId="0" numFmtId="1" xfId="0"/>
    <xf applyBorder="1" applyFill="1" applyNumberFormat="1" borderId="4" fillId="0" fontId="0" numFmtId="9" xfId="0"/>
    <xf applyBorder="1" applyNumberFormat="1" borderId="5" fillId="0" fontId="0" numFmtId="10" xfId="0"/>
    <xf applyFont="1" applyNumberFormat="1" borderId="0" fillId="0" fontId="0" numFmtId="167" xfId="8"/>
    <xf applyBorder="1" applyFont="1" applyNumberFormat="1" borderId="1" fillId="0" fontId="0" numFmtId="167" xfId="8"/>
    <xf applyBorder="1" applyFont="1" applyNumberFormat="1" borderId="3" fillId="0" fontId="0" numFmtId="167" xfId="8"/>
    <xf applyBorder="1" applyFill="1" applyFont="1" applyNumberFormat="1" borderId="4" fillId="0" fontId="0" numFmtId="167" xfId="8"/>
    <xf applyNumberFormat="1" borderId="0" fillId="0" fontId="0" numFmtId="168" xfId="0"/>
    <xf applyBorder="1" applyNumberFormat="1" borderId="3" fillId="0" fontId="0" numFmtId="168" xfId="0"/>
    <xf applyBorder="1" applyNumberFormat="1" borderId="4" fillId="0" fontId="0" numFmtId="168" xfId="0"/>
    <xf applyFill="1" applyNumberFormat="1" borderId="0" fillId="2" fontId="0" numFmtId="168" xfId="0"/>
    <xf applyBorder="1" applyFill="1" applyNumberFormat="1" borderId="3" fillId="2" fontId="0" numFmtId="168" xfId="0"/>
    <xf applyBorder="1" applyFill="1" applyNumberFormat="1" borderId="1" fillId="2" fontId="0" numFmtId="168" xfId="0"/>
    <xf applyAlignment="1" applyFont="1" applyNumberFormat="1" borderId="0" fillId="0" fontId="2" numFmtId="167" xfId="8"/>
    <xf applyAlignment="1" applyBorder="1" applyFont="1" applyNumberFormat="1" borderId="1" fillId="0" fontId="2" numFmtId="167" xfId="8"/>
    <xf applyBorder="1" applyFont="1" applyNumberFormat="1" borderId="5" fillId="0" fontId="0" numFmtId="167" xfId="8"/>
    <xf applyFill="1" applyFont="1" borderId="0" fillId="7" fontId="5" numFmtId="0" xfId="0"/>
    <xf applyFill="1" borderId="0" fillId="7" fontId="0" numFmtId="0" xfId="0"/>
    <xf applyFill="1" applyNumberFormat="1" borderId="0" fillId="7" fontId="0" numFmtId="166" xfId="0"/>
    <xf applyBorder="1" applyFill="1" applyFont="1" borderId="0" fillId="0" fontId="5" numFmtId="0" xfId="0"/>
    <xf applyFont="1" borderId="0" fillId="0" fontId="6" numFmtId="0" xfId="0"/>
    <xf applyFont="1" borderId="0" fillId="0" fontId="7" numFmtId="0" xfId="0"/>
    <xf applyBorder="1" applyFont="1" applyNumberFormat="1" borderId="0" fillId="0" fontId="0" numFmtId="167" xfId="8"/>
    <xf applyFont="1" borderId="0" fillId="0" fontId="0" numFmtId="9" xfId="9"/>
    <xf applyAlignment="1" applyBorder="1" borderId="0" fillId="0" fontId="0" numFmtId="0" xfId="0">
      <alignment horizontal="center"/>
    </xf>
    <xf applyAlignment="1" applyBorder="1" borderId="3" fillId="0" fontId="0" numFmtId="0" xfId="0">
      <alignment horizontal="center" vertical="top"/>
    </xf>
    <xf applyNumberFormat="1" borderId="0" fillId="0" fontId="0" numFmtId="169" xfId="0"/>
    <xf applyAlignment="1" applyBorder="1" borderId="7" fillId="0" fontId="0" numFmtId="0" xfId="0">
      <alignment horizontal="center" vertical="top"/>
    </xf>
    <xf applyBorder="1" applyNumberFormat="1" borderId="6" fillId="0" fontId="0" numFmtId="2" xfId="0"/>
    <xf applyAlignment="1" applyBorder="1" applyFill="1" borderId="0" fillId="0" fontId="0" numFmtId="0" xfId="0"/>
    <xf applyBorder="1" applyFont="1" borderId="0" fillId="0" fontId="5" numFmtId="0" xfId="0"/>
    <xf applyAlignment="1" applyBorder="1" applyFill="1" applyFont="1" borderId="2" fillId="0" fontId="8" numFmtId="0" xfId="0">
      <alignment horizontal="centerContinuous"/>
    </xf>
    <xf applyAlignment="1" applyBorder="1" applyFill="1" applyFont="1" borderId="0" fillId="0" fontId="8" numFmtId="0" xfId="0">
      <alignment horizontal="center"/>
    </xf>
    <xf applyAlignment="1" applyBorder="1" applyFill="1" borderId="1" fillId="0" fontId="0" numFmtId="0" xfId="0"/>
    <xf applyAlignment="1" applyBorder="1" applyFill="1" applyFont="1" borderId="2" fillId="0" fontId="8" numFmtId="0" xfId="0">
      <alignment horizontal="center"/>
    </xf>
    <xf applyAlignment="1" applyBorder="1" applyFill="1" applyFont="1" borderId="0" fillId="0" fontId="5" numFmtId="0" xfId="0">
      <alignment horizontal="left"/>
    </xf>
    <xf applyFill="1" borderId="0" fillId="8" fontId="0" numFmtId="0" xfId="0"/>
    <xf applyBorder="1" applyFill="1" borderId="6" fillId="8" fontId="0" numFmtId="0" xfId="0"/>
    <xf applyBorder="1" applyFill="1" borderId="3" fillId="8" fontId="0" numFmtId="0" xfId="0"/>
    <xf applyBorder="1" applyNumberFormat="1" borderId="3" fillId="0" fontId="0" numFmtId="164" xfId="0"/>
    <xf borderId="0" fillId="0" fontId="0" numFmtId="0" xfId="0"/>
    <xf applyBorder="1" applyNumberFormat="1" borderId="4" fillId="0" fontId="0" numFmtId="3" xfId="0"/>
    <xf applyBorder="1" applyNumberFormat="1" borderId="6" fillId="0" fontId="0" numFmtId="3" xfId="0"/>
    <xf applyAlignment="1" applyBorder="1" applyFill="1" applyFont="1" applyNumberFormat="1" applyProtection="1" borderId="0" fillId="0" fontId="24" numFmtId="0" xfId="0"/>
    <xf applyAlignment="1" applyBorder="1" applyFill="1" applyFont="1" applyNumberFormat="1" applyProtection="1" borderId="0" fillId="0" fontId="4" numFmtId="0" xfId="0"/>
    <xf applyBorder="1" applyFont="1" borderId="0" fillId="0" fontId="0" numFmtId="9" xfId="9"/>
    <xf applyAlignment="1" applyBorder="1" borderId="3" fillId="0" fontId="0" numFmtId="0" xfId="0">
      <alignment horizontal="right"/>
    </xf>
    <xf applyFont="1" applyNumberFormat="1" borderId="0" fillId="0" fontId="0" numFmtId="164" xfId="9"/>
    <xf applyBorder="1" applyFont="1" applyNumberFormat="1" borderId="6" fillId="0" fontId="0" numFmtId="164" xfId="9"/>
    <xf applyBorder="1" applyFont="1" applyNumberFormat="1" borderId="0" fillId="0" fontId="0" numFmtId="164" xfId="9"/>
    <xf applyBorder="1" applyFont="1" applyNumberFormat="1" borderId="3" fillId="0" fontId="0" numFmtId="164" xfId="9"/>
    <xf applyBorder="1" applyFont="1" applyNumberFormat="1" borderId="1" fillId="0" fontId="0" numFmtId="164" xfId="9"/>
    <xf applyBorder="1" applyFont="1" applyNumberFormat="1" borderId="4" fillId="0" fontId="0" numFmtId="167" xfId="8"/>
    <xf applyNumberFormat="1" borderId="0" fillId="0" fontId="0" numFmtId="167" xfId="0"/>
    <xf applyBorder="1" applyFont="1" borderId="4" fillId="0" fontId="1" numFmtId="0" xfId="0"/>
    <xf applyAlignment="1" applyBorder="1" applyFont="1" borderId="4" fillId="0" fontId="1" numFmtId="0" xfId="0">
      <alignment horizontal="left"/>
    </xf>
    <xf applyBorder="1" applyFont="1" applyNumberFormat="1" borderId="4" fillId="0" fontId="1" numFmtId="167" xfId="0"/>
    <xf applyBorder="1" borderId="5" fillId="0" fontId="0" numFmtId="0" xfId="0"/>
    <xf applyAlignment="1" applyBorder="1" borderId="5" fillId="0" fontId="0" numFmtId="0" xfId="0">
      <alignment horizontal="right"/>
    </xf>
    <xf applyAlignment="1" applyBorder="1" borderId="17" fillId="0" fontId="0" numFmtId="0" xfId="0">
      <alignment horizontal="right"/>
    </xf>
    <xf applyBorder="1" applyNumberFormat="1" borderId="18" fillId="0" fontId="0" numFmtId="167" xfId="0"/>
    <xf applyBorder="1" applyNumberFormat="1" borderId="0" fillId="0" fontId="0" numFmtId="167" xfId="0"/>
    <xf applyBorder="1" applyFont="1" applyNumberFormat="1" borderId="19" fillId="0" fontId="1" numFmtId="167" xfId="0"/>
    <xf applyAlignment="1" applyBorder="1" applyFill="1" borderId="17" fillId="0" fontId="0" numFmtId="0" xfId="0">
      <alignment horizontal="right"/>
    </xf>
    <xf applyBorder="1" applyNumberFormat="1" borderId="20" fillId="0" fontId="0" numFmtId="9" xfId="0"/>
    <xf applyAlignment="1" applyBorder="1" borderId="23" fillId="0" fontId="0" numFmtId="0" xfId="0">
      <alignment horizontal="right"/>
    </xf>
    <xf applyBorder="1" applyFont="1" borderId="22" fillId="0" fontId="0" numFmtId="9" xfId="9"/>
    <xf applyBorder="1" applyFont="1" borderId="26" fillId="0" fontId="0" numFmtId="9" xfId="9"/>
    <xf applyBorder="1" applyNumberFormat="1" borderId="22" fillId="0" fontId="0" numFmtId="167" xfId="0"/>
    <xf applyBorder="1" applyFont="1" applyNumberFormat="1" borderId="28" fillId="0" fontId="1" numFmtId="167" xfId="0"/>
    <xf applyBorder="1" applyNumberFormat="1" borderId="18" fillId="0" fontId="0" numFmtId="164" xfId="0"/>
    <xf applyBorder="1" applyNumberFormat="1" borderId="21" fillId="0" fontId="0" numFmtId="164" xfId="0"/>
    <xf applyAlignment="1" borderId="0" fillId="0" fontId="0" numFmtId="0" xfId="0">
      <alignment horizontal="right"/>
    </xf>
    <xf applyAlignment="1" applyBorder="1" borderId="24" fillId="0" fontId="0" numFmtId="0" xfId="0">
      <alignment horizontal="right"/>
    </xf>
    <xf applyAlignment="1" applyBorder="1" borderId="6" fillId="0" fontId="0" numFmtId="0" xfId="0">
      <alignment horizontal="right"/>
    </xf>
    <xf applyBorder="1" applyFont="1" borderId="4" fillId="0" fontId="1" numFmtId="9" xfId="9"/>
    <xf applyBorder="1" applyFont="1" borderId="28" fillId="0" fontId="1" numFmtId="9" xfId="9"/>
    <xf applyBorder="1" applyNumberFormat="1" borderId="24" fillId="0" fontId="0" numFmtId="167" xfId="0"/>
    <xf applyBorder="1" applyNumberFormat="1" borderId="6" fillId="0" fontId="0" numFmtId="167" xfId="0"/>
    <xf applyBorder="1" applyNumberFormat="1" borderId="25" fillId="0" fontId="0" numFmtId="167" xfId="0"/>
    <xf applyBorder="1" applyNumberFormat="1" borderId="3" fillId="0" fontId="0" numFmtId="167" xfId="0"/>
    <xf applyAlignment="1" applyBorder="1" applyFill="1" borderId="26" fillId="0" fontId="0" numFmtId="0" xfId="0">
      <alignment horizontal="right"/>
    </xf>
    <xf applyBorder="1" applyNumberFormat="1" borderId="27" fillId="0" fontId="0" numFmtId="9" xfId="0"/>
    <xf applyAlignment="1" applyBorder="1" applyFill="1" borderId="0" fillId="0" fontId="0" numFmtId="0" xfId="0">
      <alignment horizontal="right"/>
    </xf>
    <xf applyFont="1" applyNumberFormat="1" borderId="0" fillId="0" fontId="0" numFmtId="169" xfId="8"/>
    <xf applyFont="1" applyNumberFormat="1" borderId="0" fillId="0" fontId="0" numFmtId="170" xfId="8"/>
    <xf applyNumberFormat="1" borderId="0" fillId="0" fontId="0" numFmtId="170" xfId="0"/>
    <xf applyBorder="1" applyFont="1" borderId="0" fillId="0" fontId="1" numFmtId="0" xfId="0"/>
    <xf applyFont="1" applyNumberFormat="1" borderId="0" fillId="0" fontId="1" numFmtId="167" xfId="8"/>
    <xf applyBorder="1" borderId="31" fillId="0" fontId="0" numFmtId="0" xfId="0"/>
    <xf applyBorder="1" applyFont="1" applyNumberFormat="1" borderId="32" fillId="0" fontId="0" numFmtId="164" xfId="9"/>
    <xf applyBorder="1" borderId="33" fillId="0" fontId="0" numFmtId="0" xfId="0"/>
    <xf applyBorder="1" applyFont="1" applyNumberFormat="1" borderId="34" fillId="0" fontId="0" numFmtId="164" xfId="9"/>
    <xf applyBorder="1" borderId="35" fillId="0" fontId="0" numFmtId="0" xfId="0"/>
    <xf applyAlignment="1" applyBorder="1" borderId="36" fillId="0" fontId="0" numFmtId="0" xfId="0">
      <alignment horizontal="center"/>
    </xf>
    <xf applyBorder="1" applyFont="1" applyNumberFormat="1" borderId="22" fillId="0" fontId="0" numFmtId="164" xfId="9"/>
    <xf applyBorder="1" borderId="37" fillId="0" fontId="0" numFmtId="0" xfId="0"/>
    <xf applyBorder="1" applyNumberFormat="1" borderId="32" fillId="0" fontId="0" numFmtId="167" xfId="0"/>
    <xf applyBorder="1" applyFont="1" applyNumberFormat="1" borderId="38" fillId="0" fontId="0" numFmtId="167" xfId="8"/>
    <xf applyAlignment="1" borderId="0" fillId="0" fontId="0" numFmtId="0" xfId="0"/>
    <xf applyFill="1" applyNumberFormat="1" borderId="0" fillId="5" fontId="0" numFmtId="170" xfId="0"/>
    <xf applyBorder="1" applyFill="1" applyNumberFormat="1" borderId="3" fillId="5" fontId="0" numFmtId="170" xfId="0"/>
    <xf applyFill="1" applyNumberFormat="1" borderId="0" fillId="4" fontId="0" numFmtId="170" xfId="0"/>
    <xf applyBorder="1" applyFill="1" applyNumberFormat="1" borderId="3" fillId="4" fontId="0" numFmtId="170" xfId="0"/>
    <xf applyBorder="1" applyNumberFormat="1" borderId="3" fillId="0" fontId="0" numFmtId="170" xfId="0"/>
    <xf applyBorder="1" applyFill="1" applyNumberFormat="1" borderId="3" fillId="5" fontId="0" numFmtId="169" xfId="0"/>
    <xf applyBorder="1" applyNumberFormat="1" borderId="6" fillId="0" fontId="0" numFmtId="170" xfId="0"/>
    <xf applyFill="1" applyFont="1" applyNumberFormat="1" borderId="0" fillId="6" fontId="22" numFmtId="166" xfId="0"/>
    <xf applyBorder="1" applyFont="1" applyNumberFormat="1" borderId="0" fillId="0" fontId="0" numFmtId="170" xfId="8"/>
    <xf applyBorder="1" applyNumberFormat="1" borderId="0" fillId="0" fontId="0" numFmtId="170" xfId="0"/>
    <xf applyBorder="1" applyNumberFormat="1" borderId="0" fillId="0" fontId="0" numFmtId="169" xfId="0"/>
    <xf applyBorder="1" applyNumberFormat="1" borderId="0" fillId="0" fontId="0" numFmtId="9" xfId="0"/>
    <xf applyBorder="1" applyFill="1" applyNumberFormat="1" borderId="0" fillId="5" fontId="0" numFmtId="170" xfId="0"/>
    <xf applyAlignment="1" applyBorder="1" borderId="39" fillId="0" fontId="0" numFmtId="0" xfId="0"/>
    <xf applyBorder="1" applyFont="1" borderId="31" fillId="0" fontId="4" numFmtId="0" xfId="0"/>
    <xf applyAlignment="1" applyBorder="1" borderId="0" fillId="0" fontId="0" numFmtId="0" xfId="0">
      <alignment horizontal="left"/>
    </xf>
    <xf applyBorder="1" applyFont="1" borderId="41" fillId="0" fontId="0" numFmtId="43" xfId="8"/>
    <xf applyBorder="1" applyFont="1" borderId="42" fillId="0" fontId="0" numFmtId="43" xfId="8"/>
    <xf applyBorder="1" applyFont="1" borderId="43" fillId="0" fontId="1" numFmtId="0" xfId="0"/>
    <xf applyBorder="1" applyFill="1" borderId="32" fillId="8" fontId="0" numFmtId="0" xfId="0"/>
    <xf applyBorder="1" applyFont="1" applyNumberFormat="1" borderId="1" fillId="0" fontId="0" numFmtId="170" xfId="8"/>
    <xf applyBorder="1" applyNumberFormat="1" borderId="1" fillId="0" fontId="0" numFmtId="170" xfId="0"/>
    <xf applyBorder="1" applyFill="1" applyNumberFormat="1" borderId="1" fillId="5" fontId="0" numFmtId="170" xfId="0"/>
    <xf applyBorder="1" applyFill="1" borderId="34" fillId="8" fontId="0" numFmtId="0" xfId="0"/>
    <xf applyAlignment="1" applyBorder="1" applyFont="1" borderId="40" fillId="0" fontId="8" numFmtId="0" xfId="0">
      <alignment horizontal="right"/>
    </xf>
    <xf applyBorder="1" applyFont="1" borderId="5" fillId="0" fontId="8" numFmtId="0" xfId="0"/>
    <xf applyAlignment="1" applyBorder="1" applyFont="1" borderId="24" fillId="0" fontId="8" numFmtId="0" xfId="0">
      <alignment horizontal="right"/>
    </xf>
    <xf applyAlignment="1" applyBorder="1" applyFont="1" borderId="6" fillId="0" fontId="8" numFmtId="0" xfId="0">
      <alignment horizontal="right"/>
    </xf>
    <xf applyAlignment="1" applyBorder="1" applyFont="1" borderId="17" fillId="0" fontId="8" numFmtId="0" xfId="0">
      <alignment horizontal="right"/>
    </xf>
    <xf applyAlignment="1" applyBorder="1" applyFont="1" borderId="5" fillId="0" fontId="8" numFmtId="0" xfId="0">
      <alignment horizontal="right"/>
    </xf>
    <xf applyAlignment="1" applyBorder="1" applyFont="1" borderId="23" fillId="0" fontId="8" numFmtId="0" xfId="0">
      <alignment horizontal="right"/>
    </xf>
    <xf applyAlignment="1" applyBorder="1" applyFill="1" applyFont="1" borderId="17" fillId="0" fontId="8" numFmtId="0" xfId="0">
      <alignment horizontal="right"/>
    </xf>
    <xf applyAlignment="1" applyBorder="1" applyFill="1" applyFont="1" borderId="26" fillId="0" fontId="8" numFmtId="0" xfId="0">
      <alignment horizontal="right"/>
    </xf>
    <xf applyBorder="1" applyFont="1" borderId="45" fillId="0" fontId="8" numFmtId="0" xfId="0"/>
    <xf applyAlignment="1" applyBorder="1" applyFill="1" applyFont="1" borderId="5" fillId="0" fontId="8" numFmtId="0" xfId="0">
      <alignment horizontal="right"/>
    </xf>
    <xf applyAlignment="1" applyBorder="1" applyFill="1" applyFont="1" borderId="44" fillId="0" fontId="8" numFmtId="0" xfId="0">
      <alignment horizontal="right"/>
    </xf>
    <xf applyBorder="1" applyFill="1" applyNumberFormat="1" borderId="1" fillId="4" fontId="0" numFmtId="43" xfId="0"/>
    <xf applyBorder="1" applyFont="1" applyNumberFormat="1" borderId="6" fillId="0" fontId="0" numFmtId="170" xfId="8"/>
    <xf applyAlignment="1" applyBorder="1" applyFill="1" applyFont="1" borderId="40" fillId="0" fontId="8" numFmtId="0" xfId="0">
      <alignment horizontal="right"/>
    </xf>
    <xf applyBorder="1" applyFill="1" borderId="31" fillId="4" fontId="0" numFmtId="0" xfId="0"/>
    <xf applyBorder="1" applyFill="1" borderId="33" fillId="4" fontId="0" numFmtId="0" xfId="0"/>
    <xf applyAlignment="1" applyBorder="1" borderId="2" fillId="0" fontId="0" numFmtId="0" xfId="0">
      <alignment horizontal="center"/>
    </xf>
    <xf applyBorder="1" applyFont="1" borderId="3" fillId="0" fontId="0" numFmtId="9" xfId="9"/>
    <xf applyFont="1" borderId="0" fillId="0" fontId="1" numFmtId="9" xfId="9"/>
    <xf applyAlignment="1" applyBorder="1" applyFill="1" applyFont="1" borderId="0" fillId="0" fontId="8" numFmtId="0" xfId="0">
      <alignment horizontal="right"/>
    </xf>
    <xf applyAlignment="1" applyBorder="1" applyFont="1" borderId="0" fillId="0" fontId="8" numFmtId="0" xfId="0">
      <alignment horizontal="right"/>
    </xf>
    <xf applyFill="1" applyNumberFormat="1" borderId="0" fillId="0" fontId="0" numFmtId="170" xfId="0"/>
    <xf applyBorder="1" applyFill="1" applyNumberFormat="1" borderId="0" fillId="0" fontId="0" numFmtId="43" xfId="0"/>
    <xf applyBorder="1" applyFill="1" applyFont="1" applyNumberFormat="1" borderId="0" fillId="0" fontId="0" numFmtId="167" xfId="8"/>
    <xf applyBorder="1" applyFill="1" applyNumberFormat="1" borderId="0" fillId="0" fontId="0" numFmtId="164" xfId="0"/>
    <xf applyAlignment="1" applyBorder="1" borderId="2" fillId="0" fontId="0" numFmtId="0" xfId="0">
      <alignment horizontal="center"/>
    </xf>
    <xf applyAlignment="1" applyBorder="1" borderId="30" fillId="0" fontId="0" numFmtId="0" xfId="0">
      <alignment horizontal="center"/>
    </xf>
    <xf applyAlignment="1" applyBorder="1" borderId="29" fillId="0" fontId="0" numFmtId="0" xfId="0">
      <alignment horizontal="center"/>
    </xf>
    <xf applyAlignment="1" applyBorder="1" borderId="21" fillId="0" fontId="0" numFmtId="0" xfId="0">
      <alignment horizontal="center"/>
    </xf>
    <xf applyAlignment="1" applyBorder="1" borderId="3" fillId="0" fontId="0" numFmtId="0" xfId="0">
      <alignment horizontal="center"/>
    </xf>
    <xf applyAlignment="1" applyBorder="1" borderId="26" fillId="0" fontId="0" numFmtId="0" xfId="0">
      <alignment horizontal="center"/>
    </xf>
    <xf applyAlignment="1" applyBorder="1" applyFont="1" borderId="35" fillId="0" fontId="1" numFmtId="0" xfId="0">
      <alignment horizontal="center"/>
    </xf>
    <xf applyAlignment="1" applyBorder="1" applyFont="1" borderId="2" fillId="0" fontId="1" numFmtId="0" xfId="0">
      <alignment horizontal="center"/>
    </xf>
    <xf applyAlignment="1" applyBorder="1" applyFont="1" borderId="36" fillId="0" fontId="1" numFmtId="0" xfId="0">
      <alignment horizontal="center"/>
    </xf>
    <xf applyAlignment="1" applyBorder="1" applyFont="1" borderId="0" fillId="0" fontId="1" numFmtId="0" xfId="0">
      <alignment horizontal="center"/>
    </xf>
    <xf applyAlignment="1" applyBorder="1" applyFont="1" borderId="30" fillId="0" fontId="1" numFmtId="0" xfId="0">
      <alignment horizontal="center"/>
    </xf>
    <xf applyAlignment="1" applyBorder="1" applyFont="1" borderId="29" fillId="0" fontId="1" numFmtId="0" xfId="0">
      <alignment horizontal="center"/>
    </xf>
  </cellXfs>
  <cellStyles count="51">
    <cellStyle builtinId="30" customBuiltin="1" name="20% - Accent1" xfId="27"/>
    <cellStyle builtinId="34" customBuiltin="1" name="20% - Accent2" xfId="30"/>
    <cellStyle builtinId="38" customBuiltin="1" name="20% - Accent3" xfId="33"/>
    <cellStyle builtinId="42" customBuiltin="1" name="20% - Accent4" xfId="36"/>
    <cellStyle builtinId="46" customBuiltin="1" name="20% - Accent5" xfId="39"/>
    <cellStyle builtinId="50" customBuiltin="1" name="20% - Accent6" xfId="42"/>
    <cellStyle builtinId="31" customBuiltin="1" name="40% - Accent1" xfId="28"/>
    <cellStyle builtinId="35" customBuiltin="1" name="40% - Accent2" xfId="31"/>
    <cellStyle builtinId="39" customBuiltin="1" name="40% - Accent3" xfId="34"/>
    <cellStyle builtinId="43" customBuiltin="1" name="40% - Accent4" xfId="37"/>
    <cellStyle builtinId="47" customBuiltin="1" name="40% - Accent5" xfId="40"/>
    <cellStyle builtinId="51" customBuiltin="1" name="40% - Accent6" xfId="43"/>
    <cellStyle name="60% - Accent1 2" xfId="45"/>
    <cellStyle name="60% - Accent2 2" xfId="46"/>
    <cellStyle name="60% - Accent3 2" xfId="47"/>
    <cellStyle name="60% - Accent4 2" xfId="48"/>
    <cellStyle name="60% - Accent5 2" xfId="49"/>
    <cellStyle name="60% - Accent6 2" xfId="50"/>
    <cellStyle builtinId="29" customBuiltin="1" name="Accent1" xfId="26"/>
    <cellStyle builtinId="33" customBuiltin="1" name="Accent2" xfId="29"/>
    <cellStyle builtinId="37" customBuiltin="1" name="Accent3" xfId="32"/>
    <cellStyle builtinId="41" customBuiltin="1" name="Accent4" xfId="35"/>
    <cellStyle builtinId="45" customBuiltin="1" name="Accent5" xfId="38"/>
    <cellStyle builtinId="49" customBuiltin="1" name="Accent6" xfId="41"/>
    <cellStyle builtinId="27" customBuiltin="1" name="Bad" xfId="16"/>
    <cellStyle builtinId="22" customBuiltin="1" name="Calculation" xfId="19"/>
    <cellStyle builtinId="23" customBuiltin="1" name="Check Cell" xfId="21"/>
    <cellStyle builtinId="3" name="Comma" xfId="8"/>
    <cellStyle builtinId="53" customBuiltin="1" name="Explanatory Text" xfId="24"/>
    <cellStyle builtinId="26" customBuiltin="1" name="Good" xfId="15"/>
    <cellStyle builtinId="16" customBuiltin="1" name="Heading 1" xfId="11"/>
    <cellStyle builtinId="17" customBuiltin="1" name="Heading 2" xfId="12"/>
    <cellStyle builtinId="18" customBuiltin="1" name="Heading 3" xfId="13"/>
    <cellStyle builtinId="19" customBuiltin="1" name="Heading 4" xfId="14"/>
    <cellStyle builtinId="20" customBuiltin="1" name="Input" xfId="17"/>
    <cellStyle builtinId="24" customBuiltin="1" name="Linked Cell" xfId="20"/>
    <cellStyle name="Neutral 2" xfId="44"/>
    <cellStyle builtinId="0" name="Normal" xfId="0"/>
    <cellStyle builtinId="10" customBuiltin="1" name="Note" xfId="23"/>
    <cellStyle builtinId="21" customBuiltin="1" name="Output" xfId="18"/>
    <cellStyle builtinId="5" name="Percent" xfId="9"/>
    <cellStyle builtinId="15" customBuiltin="1" name="Title" xfId="10"/>
    <cellStyle builtinId="25" customBuiltin="1" name="Total" xfId="25"/>
    <cellStyle builtinId="11" customBuiltin="1" name="Warning Text" xfId="22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PivotStyle="PivotStyleLight16" defaultTableStyle="TableStyleMedium9">
    <tableStyle count="2" name="MySqlDefault" pivot="0" table="0">
      <tableStyleElement dxfId="1" type="wholeTable"/>
      <tableStyleElement dxfId="0" type="headerRow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theme/theme1.xml" Type="http://schemas.openxmlformats.org/officeDocument/2006/relationships/theme"/>
<Relationship Id="rId14" Target="styles.xml" Type="http://schemas.openxmlformats.org/officeDocument/2006/relationships/styles"/>
<Relationship Id="rId15" Target="sharedStrings.xml" Type="http://schemas.openxmlformats.org/officeDocument/2006/relationships/sharedStrings"/>
<Relationship Id="rId16" Target="calcChain.xml" Type="http://schemas.openxmlformats.org/officeDocument/2006/relationships/calcChain"/>
<Relationship Id="rId17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<Relationship Id="rId1" Target="style2.xml" Type="http://schemas.microsoft.com/office/2011/relationships/chartStyle"/>
<Relationship Id="rId2" Target="colors2.xml" Type="http://schemas.microsoft.com/office/2011/relationships/chartColorStyle"/>
</Relationships>

</file>

<file path=xl/charts/_rels/chart5.xml.rels><?xml version="1.0" encoding="UTF-8" standalone="no"?>
<Relationships xmlns="http://schemas.openxmlformats.org/package/2006/relationships">
<Relationship Id="rId1" Target="style3.xml" Type="http://schemas.microsoft.com/office/2011/relationships/chartStyle"/>
<Relationship Id="rId2" Target="colors3.xml" Type="http://schemas.microsoft.com/office/2011/relationships/chartColorStyle"/>
</Relationships>

</file>

<file path=xl/charts/_rels/chart6.xml.rels><?xml version="1.0" encoding="UTF-8" standalone="no"?>
<Relationships xmlns="http://schemas.openxmlformats.org/package/2006/relationships">
<Relationship Id="rId1" Target="style4.xml" Type="http://schemas.microsoft.com/office/2011/relationships/chartStyle"/>
<Relationship Id="rId2" Target="colors4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TLFD!$F$11:$F$100</c:f>
              <c:numCache>
                <c:formatCode>0%</c:formatCode>
                <c:ptCount val="90"/>
                <c:pt idx="0">
                  <c:v>2.0878220543415045E-2</c:v>
                </c:pt>
                <c:pt idx="1">
                  <c:v>4.941978230744197E-2</c:v>
                </c:pt>
                <c:pt idx="2">
                  <c:v>5.4935785548355105E-2</c:v>
                </c:pt>
                <c:pt idx="3">
                  <c:v>6.3691742782428173E-2</c:v>
                </c:pt>
                <c:pt idx="4">
                  <c:v>5.6649475752135518E-2</c:v>
                </c:pt>
                <c:pt idx="5">
                  <c:v>4.3973544393252288E-2</c:v>
                </c:pt>
                <c:pt idx="6">
                  <c:v>5.3020203701975674E-2</c:v>
                </c:pt>
                <c:pt idx="7">
                  <c:v>4.9800466792234432E-2</c:v>
                </c:pt>
                <c:pt idx="8">
                  <c:v>4.8656228314382231E-2</c:v>
                </c:pt>
                <c:pt idx="9">
                  <c:v>4.285837468317661E-2</c:v>
                </c:pt>
                <c:pt idx="10">
                  <c:v>4.5896679744768062E-2</c:v>
                </c:pt>
                <c:pt idx="11">
                  <c:v>5.3268419073379897E-2</c:v>
                </c:pt>
                <c:pt idx="12">
                  <c:v>3.7360349747165851E-2</c:v>
                </c:pt>
                <c:pt idx="13">
                  <c:v>3.2513536056807783E-2</c:v>
                </c:pt>
                <c:pt idx="14">
                  <c:v>3.459120161476166E-2</c:v>
                </c:pt>
                <c:pt idx="15">
                  <c:v>3.3330587950370735E-2</c:v>
                </c:pt>
                <c:pt idx="16">
                  <c:v>2.3343900061409149E-2</c:v>
                </c:pt>
                <c:pt idx="17">
                  <c:v>2.0589867250675332E-2</c:v>
                </c:pt>
                <c:pt idx="18">
                  <c:v>3.0038090363171645E-2</c:v>
                </c:pt>
                <c:pt idx="19">
                  <c:v>1.8614127558143841E-2</c:v>
                </c:pt>
                <c:pt idx="20">
                  <c:v>1.6922321419059437E-2</c:v>
                </c:pt>
                <c:pt idx="21">
                  <c:v>1.6686254936782365E-2</c:v>
                </c:pt>
                <c:pt idx="22">
                  <c:v>1.2251061520938947E-2</c:v>
                </c:pt>
                <c:pt idx="23">
                  <c:v>1.5154365259501272E-2</c:v>
                </c:pt>
                <c:pt idx="24">
                  <c:v>1.4188706213611691E-2</c:v>
                </c:pt>
                <c:pt idx="25">
                  <c:v>1.0413743399891533E-2</c:v>
                </c:pt>
                <c:pt idx="26">
                  <c:v>1.1464787897689963E-2</c:v>
                </c:pt>
                <c:pt idx="27">
                  <c:v>8.3742517850225549E-3</c:v>
                </c:pt>
                <c:pt idx="28">
                  <c:v>1.0210599188281617E-2</c:v>
                </c:pt>
                <c:pt idx="29">
                  <c:v>9.0662252989619739E-3</c:v>
                </c:pt>
                <c:pt idx="30">
                  <c:v>7.6810646785541326E-3</c:v>
                </c:pt>
                <c:pt idx="31">
                  <c:v>8.9518807985966946E-3</c:v>
                </c:pt>
                <c:pt idx="32">
                  <c:v>4.3040270122152759E-3</c:v>
                </c:pt>
                <c:pt idx="33">
                  <c:v>5.0880374213865855E-3</c:v>
                </c:pt>
                <c:pt idx="34">
                  <c:v>3.9476382154692664E-3</c:v>
                </c:pt>
                <c:pt idx="35">
                  <c:v>2.726229350584987E-3</c:v>
                </c:pt>
                <c:pt idx="36">
                  <c:v>5.2802297759639025E-3</c:v>
                </c:pt>
                <c:pt idx="37">
                  <c:v>1.6099555379131959E-3</c:v>
                </c:pt>
                <c:pt idx="38">
                  <c:v>1.8904166359374262E-3</c:v>
                </c:pt>
                <c:pt idx="39">
                  <c:v>1.9171509982409268E-3</c:v>
                </c:pt>
                <c:pt idx="40">
                  <c:v>2.4163527759883115E-3</c:v>
                </c:pt>
                <c:pt idx="41">
                  <c:v>1.7779911185325506E-3</c:v>
                </c:pt>
                <c:pt idx="42">
                  <c:v>5.606246089190234E-4</c:v>
                </c:pt>
                <c:pt idx="43">
                  <c:v>2.9746091726670504E-3</c:v>
                </c:pt>
                <c:pt idx="44">
                  <c:v>9.2926262484298078E-4</c:v>
                </c:pt>
                <c:pt idx="45">
                  <c:v>1.4913953383388298E-3</c:v>
                </c:pt>
                <c:pt idx="46">
                  <c:v>1.728632659437688E-3</c:v>
                </c:pt>
                <c:pt idx="47">
                  <c:v>3.4711679264121499E-4</c:v>
                </c:pt>
                <c:pt idx="48">
                  <c:v>8.4184268160577658E-4</c:v>
                </c:pt>
                <c:pt idx="49">
                  <c:v>4.267388196964751E-4</c:v>
                </c:pt>
                <c:pt idx="50">
                  <c:v>5.8656749231854972E-4</c:v>
                </c:pt>
                <c:pt idx="51">
                  <c:v>1.4109147083476406E-3</c:v>
                </c:pt>
                <c:pt idx="52">
                  <c:v>1.407500243043681E-3</c:v>
                </c:pt>
                <c:pt idx="53">
                  <c:v>2.3012886165078587E-4</c:v>
                </c:pt>
                <c:pt idx="54">
                  <c:v>0</c:v>
                </c:pt>
                <c:pt idx="55">
                  <c:v>5.9661683242391659E-4</c:v>
                </c:pt>
                <c:pt idx="56">
                  <c:v>3.7597719683058519E-4</c:v>
                </c:pt>
                <c:pt idx="57">
                  <c:v>0</c:v>
                </c:pt>
                <c:pt idx="58">
                  <c:v>0</c:v>
                </c:pt>
                <c:pt idx="59">
                  <c:v>6.1324539289903747E-5</c:v>
                </c:pt>
                <c:pt idx="60">
                  <c:v>1.4405335361456067E-4</c:v>
                </c:pt>
                <c:pt idx="61">
                  <c:v>0</c:v>
                </c:pt>
                <c:pt idx="62">
                  <c:v>0</c:v>
                </c:pt>
                <c:pt idx="63">
                  <c:v>1.3281859575554615E-4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8-4FCD-AB4D-9E8925E7D49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TLFD!$L$11:$L$100</c:f>
              <c:numCache>
                <c:formatCode>0%</c:formatCode>
                <c:ptCount val="90"/>
                <c:pt idx="0">
                  <c:v>2.1399525081626597E-2</c:v>
                </c:pt>
                <c:pt idx="1">
                  <c:v>4.8224992579400418E-2</c:v>
                </c:pt>
                <c:pt idx="2">
                  <c:v>5.3219056099732862E-2</c:v>
                </c:pt>
                <c:pt idx="3">
                  <c:v>4.8079548827545268E-2</c:v>
                </c:pt>
                <c:pt idx="4">
                  <c:v>4.9424161472246958E-2</c:v>
                </c:pt>
                <c:pt idx="5">
                  <c:v>5.0699020480854853E-2</c:v>
                </c:pt>
                <c:pt idx="6">
                  <c:v>4.9759572573463938E-2</c:v>
                </c:pt>
                <c:pt idx="7">
                  <c:v>4.7358266547937074E-2</c:v>
                </c:pt>
                <c:pt idx="8">
                  <c:v>4.5976550905313149E-2</c:v>
                </c:pt>
                <c:pt idx="9">
                  <c:v>4.8894330661917486E-2</c:v>
                </c:pt>
                <c:pt idx="10">
                  <c:v>4.9939151083407539E-2</c:v>
                </c:pt>
                <c:pt idx="11">
                  <c:v>4.7662511130899379E-2</c:v>
                </c:pt>
                <c:pt idx="12">
                  <c:v>4.417631344612645E-2</c:v>
                </c:pt>
                <c:pt idx="13">
                  <c:v>3.8463935886019589E-2</c:v>
                </c:pt>
                <c:pt idx="14">
                  <c:v>3.4830810329474625E-2</c:v>
                </c:pt>
                <c:pt idx="15">
                  <c:v>3.2368655387355297E-2</c:v>
                </c:pt>
                <c:pt idx="16">
                  <c:v>2.8187889581478182E-2</c:v>
                </c:pt>
                <c:pt idx="17">
                  <c:v>2.5645592163846837E-2</c:v>
                </c:pt>
                <c:pt idx="18">
                  <c:v>2.4517661027010983E-2</c:v>
                </c:pt>
                <c:pt idx="19">
                  <c:v>2.1273374888691007E-2</c:v>
                </c:pt>
                <c:pt idx="20">
                  <c:v>1.8511427723360046E-2</c:v>
                </c:pt>
                <c:pt idx="21">
                  <c:v>1.6904125853368951E-2</c:v>
                </c:pt>
                <c:pt idx="22">
                  <c:v>1.4918373404571089E-2</c:v>
                </c:pt>
                <c:pt idx="23">
                  <c:v>1.3521816562778273E-2</c:v>
                </c:pt>
                <c:pt idx="24">
                  <c:v>1.2362718907687741E-2</c:v>
                </c:pt>
                <c:pt idx="25">
                  <c:v>1.1780943900267142E-2</c:v>
                </c:pt>
                <c:pt idx="26">
                  <c:v>1.1500445235975067E-2</c:v>
                </c:pt>
                <c:pt idx="27">
                  <c:v>1.0382902938557436E-2</c:v>
                </c:pt>
                <c:pt idx="28">
                  <c:v>1.0138023152270704E-2</c:v>
                </c:pt>
                <c:pt idx="29">
                  <c:v>9.1392104482042151E-3</c:v>
                </c:pt>
                <c:pt idx="30">
                  <c:v>9.2876224398931433E-3</c:v>
                </c:pt>
                <c:pt idx="31">
                  <c:v>8.1151677055506088E-3</c:v>
                </c:pt>
                <c:pt idx="32">
                  <c:v>6.8536657761947162E-3</c:v>
                </c:pt>
                <c:pt idx="33">
                  <c:v>5.6470762837637278E-3</c:v>
                </c:pt>
                <c:pt idx="34">
                  <c:v>4.7610566933808255E-3</c:v>
                </c:pt>
                <c:pt idx="35">
                  <c:v>3.7919263876521224E-3</c:v>
                </c:pt>
                <c:pt idx="36">
                  <c:v>3.3452062926684475E-3</c:v>
                </c:pt>
                <c:pt idx="37">
                  <c:v>2.6343128524784804E-3</c:v>
                </c:pt>
                <c:pt idx="38">
                  <c:v>2.4280201840308699E-3</c:v>
                </c:pt>
                <c:pt idx="39">
                  <c:v>2.1608785989907986E-3</c:v>
                </c:pt>
                <c:pt idx="40">
                  <c:v>1.7750074205995843E-3</c:v>
                </c:pt>
                <c:pt idx="41">
                  <c:v>1.485604036806174E-3</c:v>
                </c:pt>
                <c:pt idx="42">
                  <c:v>1.3327396853665776E-3</c:v>
                </c:pt>
                <c:pt idx="43">
                  <c:v>1.136835856337192E-3</c:v>
                </c:pt>
                <c:pt idx="44">
                  <c:v>9.4241614722469572E-4</c:v>
                </c:pt>
                <c:pt idx="45">
                  <c:v>8.5336895221133871E-4</c:v>
                </c:pt>
                <c:pt idx="46">
                  <c:v>7.2573463935886025E-4</c:v>
                </c:pt>
                <c:pt idx="47">
                  <c:v>5.78806767586821E-4</c:v>
                </c:pt>
                <c:pt idx="48">
                  <c:v>4.7343425348768181E-4</c:v>
                </c:pt>
                <c:pt idx="49">
                  <c:v>4.0368061739388543E-4</c:v>
                </c:pt>
                <c:pt idx="50">
                  <c:v>3.5322054021964973E-4</c:v>
                </c:pt>
                <c:pt idx="51">
                  <c:v>2.9979222321163549E-4</c:v>
                </c:pt>
                <c:pt idx="52">
                  <c:v>2.3449094686850698E-4</c:v>
                </c:pt>
                <c:pt idx="53">
                  <c:v>2.1074502819827843E-4</c:v>
                </c:pt>
                <c:pt idx="54">
                  <c:v>1.632531908578213E-4</c:v>
                </c:pt>
                <c:pt idx="55">
                  <c:v>1.5138023152270704E-4</c:v>
                </c:pt>
                <c:pt idx="56">
                  <c:v>1.0240427426536064E-4</c:v>
                </c:pt>
                <c:pt idx="57">
                  <c:v>1.0092015434847136E-4</c:v>
                </c:pt>
                <c:pt idx="58">
                  <c:v>1.1427723360047492E-4</c:v>
                </c:pt>
                <c:pt idx="59">
                  <c:v>5.7880676758682102E-5</c:v>
                </c:pt>
                <c:pt idx="60">
                  <c:v>3.116651825467498E-5</c:v>
                </c:pt>
                <c:pt idx="61">
                  <c:v>3.5618878005342832E-5</c:v>
                </c:pt>
                <c:pt idx="62">
                  <c:v>3.4134758088453546E-5</c:v>
                </c:pt>
                <c:pt idx="63">
                  <c:v>2.8198278420896408E-5</c:v>
                </c:pt>
                <c:pt idx="64">
                  <c:v>1.1872959335114277E-5</c:v>
                </c:pt>
                <c:pt idx="65">
                  <c:v>1.3357079252003563E-5</c:v>
                </c:pt>
                <c:pt idx="66">
                  <c:v>2.0777678836449985E-5</c:v>
                </c:pt>
                <c:pt idx="67">
                  <c:v>5.9364796675571383E-6</c:v>
                </c:pt>
                <c:pt idx="68">
                  <c:v>7.4205995844464235E-6</c:v>
                </c:pt>
                <c:pt idx="69">
                  <c:v>5.9364796675571383E-6</c:v>
                </c:pt>
                <c:pt idx="70">
                  <c:v>1.4841199168892846E-6</c:v>
                </c:pt>
                <c:pt idx="71">
                  <c:v>1.4841199168892846E-6</c:v>
                </c:pt>
                <c:pt idx="72">
                  <c:v>1.0388839418224992E-5</c:v>
                </c:pt>
                <c:pt idx="73">
                  <c:v>1.4841199168892846E-6</c:v>
                </c:pt>
                <c:pt idx="74">
                  <c:v>0</c:v>
                </c:pt>
                <c:pt idx="75">
                  <c:v>1.4841199168892846E-6</c:v>
                </c:pt>
                <c:pt idx="76">
                  <c:v>2.9682398337785692E-6</c:v>
                </c:pt>
                <c:pt idx="77">
                  <c:v>1.4841199168892846E-6</c:v>
                </c:pt>
                <c:pt idx="78">
                  <c:v>1.4841199168892846E-6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1.4841199168892846E-6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8-4FCD-AB4D-9E8925E7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79872"/>
        <c:axId val="143800512"/>
      </c:lineChart>
      <c:catAx>
        <c:axId val="177679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</a:t>
                </a:r>
                <a:r>
                  <a:rPr baseline="0" lang="en-US"/>
                  <a:t> Length (miles)</a:t>
                </a:r>
                <a:endParaRPr lang="en-US"/>
              </a:p>
            </c:rich>
          </c:tx>
          <c:layout/>
          <c:overlay val="0"/>
        </c:title>
        <c:majorTickMark val="out"/>
        <c:minorTickMark val="none"/>
        <c:tickLblPos val="nextTo"/>
        <c:crossAx val="143800512"/>
        <c:crosses val="autoZero"/>
        <c:auto val="1"/>
        <c:lblAlgn val="ctr"/>
        <c:lblOffset val="100"/>
        <c:tickLblSkip val="10"/>
        <c:noMultiLvlLbl val="0"/>
      </c:catAx>
      <c:valAx>
        <c:axId val="1438005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776798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footer="0.30000000000000032" header="0.30000000000000032" l="0.70000000000000062" r="0.70000000000000062" t="0.7500000000000048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TDFD!$F$11:$F$100</c:f>
              <c:numCache>
                <c:formatCode>0%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7.3615735819985311E-4</c:v>
                </c:pt>
                <c:pt idx="3">
                  <c:v>8.2698045096672793E-3</c:v>
                </c:pt>
                <c:pt idx="4">
                  <c:v>1.4476015851099219E-2</c:v>
                </c:pt>
                <c:pt idx="5">
                  <c:v>2.1778917777800395E-2</c:v>
                </c:pt>
                <c:pt idx="6">
                  <c:v>2.4866620625521568E-2</c:v>
                </c:pt>
                <c:pt idx="7">
                  <c:v>2.6359353593088764E-2</c:v>
                </c:pt>
                <c:pt idx="8">
                  <c:v>3.0517686069094389E-2</c:v>
                </c:pt>
                <c:pt idx="9">
                  <c:v>2.4984940446450762E-2</c:v>
                </c:pt>
                <c:pt idx="10">
                  <c:v>3.1131632042369555E-2</c:v>
                </c:pt>
                <c:pt idx="11">
                  <c:v>3.2651740766866021E-2</c:v>
                </c:pt>
                <c:pt idx="12">
                  <c:v>3.2038614795724632E-2</c:v>
                </c:pt>
                <c:pt idx="13">
                  <c:v>2.7361521367913335E-2</c:v>
                </c:pt>
                <c:pt idx="14">
                  <c:v>2.2757822374257896E-2</c:v>
                </c:pt>
                <c:pt idx="15">
                  <c:v>2.7123603796106895E-2</c:v>
                </c:pt>
                <c:pt idx="16">
                  <c:v>3.2956178503502527E-2</c:v>
                </c:pt>
                <c:pt idx="17">
                  <c:v>3.1864796902825003E-2</c:v>
                </c:pt>
                <c:pt idx="18">
                  <c:v>2.9082511969416264E-2</c:v>
                </c:pt>
                <c:pt idx="19">
                  <c:v>2.6560091002692524E-2</c:v>
                </c:pt>
                <c:pt idx="20">
                  <c:v>2.9183291242183194E-2</c:v>
                </c:pt>
                <c:pt idx="21">
                  <c:v>2.1327105139141146E-2</c:v>
                </c:pt>
                <c:pt idx="22">
                  <c:v>2.4829288618930693E-2</c:v>
                </c:pt>
                <c:pt idx="23">
                  <c:v>1.8929945505383239E-2</c:v>
                </c:pt>
                <c:pt idx="24">
                  <c:v>2.2447953871934514E-2</c:v>
                </c:pt>
                <c:pt idx="25">
                  <c:v>2.4239172337914974E-2</c:v>
                </c:pt>
                <c:pt idx="26">
                  <c:v>2.1628543628837506E-2</c:v>
                </c:pt>
                <c:pt idx="27">
                  <c:v>1.8956449072245592E-2</c:v>
                </c:pt>
                <c:pt idx="28">
                  <c:v>1.5378896724716361E-2</c:v>
                </c:pt>
                <c:pt idx="29">
                  <c:v>2.0966999992676077E-2</c:v>
                </c:pt>
                <c:pt idx="30">
                  <c:v>2.0501279176510318E-2</c:v>
                </c:pt>
                <c:pt idx="31">
                  <c:v>1.9080277050546157E-2</c:v>
                </c:pt>
                <c:pt idx="32">
                  <c:v>1.0570968473916061E-2</c:v>
                </c:pt>
                <c:pt idx="33">
                  <c:v>2.0611139497738708E-2</c:v>
                </c:pt>
                <c:pt idx="34">
                  <c:v>1.3389071492095686E-2</c:v>
                </c:pt>
                <c:pt idx="35">
                  <c:v>8.7712637744499621E-3</c:v>
                </c:pt>
                <c:pt idx="36">
                  <c:v>1.1625724236426794E-2</c:v>
                </c:pt>
                <c:pt idx="37">
                  <c:v>1.2476667457388103E-2</c:v>
                </c:pt>
                <c:pt idx="38">
                  <c:v>1.1666234496867893E-2</c:v>
                </c:pt>
                <c:pt idx="39">
                  <c:v>1.5866151629591235E-2</c:v>
                </c:pt>
                <c:pt idx="40">
                  <c:v>1.1222083977241972E-2</c:v>
                </c:pt>
                <c:pt idx="41">
                  <c:v>1.3821702713486867E-2</c:v>
                </c:pt>
                <c:pt idx="42">
                  <c:v>1.1906749364082109E-2</c:v>
                </c:pt>
                <c:pt idx="43">
                  <c:v>1.1852193865839427E-2</c:v>
                </c:pt>
                <c:pt idx="44">
                  <c:v>9.6796800272878729E-3</c:v>
                </c:pt>
                <c:pt idx="45">
                  <c:v>1.0210622393541738E-2</c:v>
                </c:pt>
                <c:pt idx="46">
                  <c:v>9.259877339776644E-3</c:v>
                </c:pt>
                <c:pt idx="47">
                  <c:v>7.9622175970315897E-3</c:v>
                </c:pt>
                <c:pt idx="48">
                  <c:v>5.4491327707233512E-3</c:v>
                </c:pt>
                <c:pt idx="49">
                  <c:v>6.291263668541428E-3</c:v>
                </c:pt>
                <c:pt idx="50">
                  <c:v>8.5185601340344343E-3</c:v>
                </c:pt>
                <c:pt idx="51">
                  <c:v>5.169135361445731E-3</c:v>
                </c:pt>
                <c:pt idx="52">
                  <c:v>4.3251259034660259E-3</c:v>
                </c:pt>
                <c:pt idx="53">
                  <c:v>3.3285380671875214E-3</c:v>
                </c:pt>
                <c:pt idx="54">
                  <c:v>3.6572043378055499E-3</c:v>
                </c:pt>
                <c:pt idx="55">
                  <c:v>4.2228543627662613E-3</c:v>
                </c:pt>
                <c:pt idx="56">
                  <c:v>4.177608478998473E-3</c:v>
                </c:pt>
                <c:pt idx="57">
                  <c:v>3.9838554217354319E-3</c:v>
                </c:pt>
                <c:pt idx="58">
                  <c:v>2.981969031192782E-3</c:v>
                </c:pt>
                <c:pt idx="59">
                  <c:v>3.4255840560628204E-3</c:v>
                </c:pt>
                <c:pt idx="60">
                  <c:v>1.7524306956120087E-3</c:v>
                </c:pt>
                <c:pt idx="61">
                  <c:v>3.3005946330305408E-3</c:v>
                </c:pt>
                <c:pt idx="62">
                  <c:v>4.9078810121212088E-3</c:v>
                </c:pt>
                <c:pt idx="63">
                  <c:v>2.6265850104877247E-3</c:v>
                </c:pt>
                <c:pt idx="64">
                  <c:v>2.2021303542200553E-3</c:v>
                </c:pt>
                <c:pt idx="65">
                  <c:v>2.2654945463739772E-3</c:v>
                </c:pt>
                <c:pt idx="66">
                  <c:v>1.6730232842300831E-3</c:v>
                </c:pt>
                <c:pt idx="67">
                  <c:v>1.3401677906364139E-3</c:v>
                </c:pt>
                <c:pt idx="68">
                  <c:v>1.962617239603255E-3</c:v>
                </c:pt>
                <c:pt idx="69">
                  <c:v>1.5921709367536126E-3</c:v>
                </c:pt>
                <c:pt idx="70">
                  <c:v>2.2422761754413425E-3</c:v>
                </c:pt>
                <c:pt idx="71">
                  <c:v>1.6278404847318659E-3</c:v>
                </c:pt>
                <c:pt idx="72">
                  <c:v>2.1151137566880287E-3</c:v>
                </c:pt>
                <c:pt idx="73">
                  <c:v>1.2315566918760406E-3</c:v>
                </c:pt>
                <c:pt idx="74">
                  <c:v>5.8603668252180487E-4</c:v>
                </c:pt>
                <c:pt idx="75">
                  <c:v>2.8335613914726499E-3</c:v>
                </c:pt>
                <c:pt idx="76">
                  <c:v>2.713088873646366E-3</c:v>
                </c:pt>
                <c:pt idx="77">
                  <c:v>1.3496664250349671E-3</c:v>
                </c:pt>
                <c:pt idx="78">
                  <c:v>1.8212638011097422E-3</c:v>
                </c:pt>
                <c:pt idx="79">
                  <c:v>1.1919229135315893E-3</c:v>
                </c:pt>
                <c:pt idx="80">
                  <c:v>8.0594980210019185E-4</c:v>
                </c:pt>
                <c:pt idx="81">
                  <c:v>7.2423899128093991E-4</c:v>
                </c:pt>
                <c:pt idx="82">
                  <c:v>7.6658374114111499E-4</c:v>
                </c:pt>
                <c:pt idx="83">
                  <c:v>1.6634163180893999E-3</c:v>
                </c:pt>
                <c:pt idx="84">
                  <c:v>1.5390646540551405E-4</c:v>
                </c:pt>
                <c:pt idx="85">
                  <c:v>2.8455645480303382E-4</c:v>
                </c:pt>
                <c:pt idx="86">
                  <c:v>1.4987732338669034E-3</c:v>
                </c:pt>
                <c:pt idx="87">
                  <c:v>8.927552145591458E-4</c:v>
                </c:pt>
                <c:pt idx="88">
                  <c:v>5.0193704571762905E-4</c:v>
                </c:pt>
                <c:pt idx="89">
                  <c:v>1.9620679895728781E-3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F-4399-8968-4B25EFE6F2E1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TDFD!$L$11:$L$100</c:f>
              <c:numCache>
                <c:formatCode>0%</c:formatCode>
                <c:ptCount val="90"/>
                <c:pt idx="0">
                  <c:v>7.3315523894330664E-4</c:v>
                </c:pt>
                <c:pt idx="1">
                  <c:v>1.4915405164737312E-3</c:v>
                </c:pt>
                <c:pt idx="2">
                  <c:v>2.5378450578806768E-3</c:v>
                </c:pt>
                <c:pt idx="3">
                  <c:v>5.4303947758978927E-3</c:v>
                </c:pt>
                <c:pt idx="4">
                  <c:v>1.0007420599584446E-2</c:v>
                </c:pt>
                <c:pt idx="5">
                  <c:v>1.4397447313742951E-2</c:v>
                </c:pt>
                <c:pt idx="6">
                  <c:v>1.7232116355001485E-2</c:v>
                </c:pt>
                <c:pt idx="7">
                  <c:v>1.8774116948649451E-2</c:v>
                </c:pt>
                <c:pt idx="8">
                  <c:v>1.8674680914217867E-2</c:v>
                </c:pt>
                <c:pt idx="9">
                  <c:v>1.8837934105075692E-2</c:v>
                </c:pt>
                <c:pt idx="10">
                  <c:v>1.8196794300979518E-2</c:v>
                </c:pt>
                <c:pt idx="11">
                  <c:v>1.8501038883941823E-2</c:v>
                </c:pt>
                <c:pt idx="12">
                  <c:v>1.7422083704363312E-2</c:v>
                </c:pt>
                <c:pt idx="13">
                  <c:v>1.8027604630454139E-2</c:v>
                </c:pt>
                <c:pt idx="14">
                  <c:v>1.8165627782724843E-2</c:v>
                </c:pt>
                <c:pt idx="15">
                  <c:v>1.782428020184031E-2</c:v>
                </c:pt>
                <c:pt idx="16">
                  <c:v>1.7632828732561591E-2</c:v>
                </c:pt>
                <c:pt idx="17">
                  <c:v>1.6651825467497775E-2</c:v>
                </c:pt>
                <c:pt idx="18">
                  <c:v>1.6519738794894628E-2</c:v>
                </c:pt>
                <c:pt idx="19">
                  <c:v>1.5877114870881566E-2</c:v>
                </c:pt>
                <c:pt idx="20">
                  <c:v>1.6728999703176015E-2</c:v>
                </c:pt>
                <c:pt idx="21">
                  <c:v>1.595428910655981E-2</c:v>
                </c:pt>
                <c:pt idx="22">
                  <c:v>1.5676758682101513E-2</c:v>
                </c:pt>
                <c:pt idx="23">
                  <c:v>1.5657465123181953E-2</c:v>
                </c:pt>
                <c:pt idx="24">
                  <c:v>1.5899376669634906E-2</c:v>
                </c:pt>
                <c:pt idx="25">
                  <c:v>1.4848619768477293E-2</c:v>
                </c:pt>
                <c:pt idx="26">
                  <c:v>1.5385871178391214E-2</c:v>
                </c:pt>
                <c:pt idx="27">
                  <c:v>1.4807064410804392E-2</c:v>
                </c:pt>
                <c:pt idx="28">
                  <c:v>1.4758088453547046E-2</c:v>
                </c:pt>
                <c:pt idx="29">
                  <c:v>1.4357376075986941E-2</c:v>
                </c:pt>
                <c:pt idx="30">
                  <c:v>1.3558919560700504E-2</c:v>
                </c:pt>
                <c:pt idx="31">
                  <c:v>1.4057583852775304E-2</c:v>
                </c:pt>
                <c:pt idx="32">
                  <c:v>1.3518848322944494E-2</c:v>
                </c:pt>
                <c:pt idx="33">
                  <c:v>1.2809439002671416E-2</c:v>
                </c:pt>
                <c:pt idx="34">
                  <c:v>1.3622736717126743E-2</c:v>
                </c:pt>
                <c:pt idx="35">
                  <c:v>1.1864054615612941E-2</c:v>
                </c:pt>
                <c:pt idx="36">
                  <c:v>1.1331255565449689E-2</c:v>
                </c:pt>
                <c:pt idx="37">
                  <c:v>1.188780053428317E-2</c:v>
                </c:pt>
                <c:pt idx="38">
                  <c:v>1.1518254674977739E-2</c:v>
                </c:pt>
                <c:pt idx="39">
                  <c:v>1.1271890768774117E-2</c:v>
                </c:pt>
                <c:pt idx="40">
                  <c:v>1.1690412585336896E-2</c:v>
                </c:pt>
                <c:pt idx="41">
                  <c:v>1.0756901157613534E-2</c:v>
                </c:pt>
                <c:pt idx="42">
                  <c:v>1.0051944197091125E-2</c:v>
                </c:pt>
                <c:pt idx="43">
                  <c:v>9.6363906203621244E-3</c:v>
                </c:pt>
                <c:pt idx="44">
                  <c:v>9.8456515286435148E-3</c:v>
                </c:pt>
                <c:pt idx="45">
                  <c:v>1.0089047195013356E-2</c:v>
                </c:pt>
                <c:pt idx="46">
                  <c:v>9.6556841792816862E-3</c:v>
                </c:pt>
                <c:pt idx="47">
                  <c:v>9.6126447016918973E-3</c:v>
                </c:pt>
                <c:pt idx="48">
                  <c:v>1.0011872959335115E-2</c:v>
                </c:pt>
                <c:pt idx="49">
                  <c:v>1.0121697833184921E-2</c:v>
                </c:pt>
                <c:pt idx="50">
                  <c:v>9.698723656871475E-3</c:v>
                </c:pt>
                <c:pt idx="51">
                  <c:v>9.905016325319085E-3</c:v>
                </c:pt>
                <c:pt idx="52">
                  <c:v>9.4582962303354119E-3</c:v>
                </c:pt>
                <c:pt idx="53">
                  <c:v>9.5978035025230043E-3</c:v>
                </c:pt>
                <c:pt idx="54">
                  <c:v>9.2297417631344615E-3</c:v>
                </c:pt>
                <c:pt idx="55">
                  <c:v>9.3440189967349367E-3</c:v>
                </c:pt>
                <c:pt idx="56">
                  <c:v>8.5411101216978334E-3</c:v>
                </c:pt>
                <c:pt idx="57">
                  <c:v>8.6731967943009802E-3</c:v>
                </c:pt>
                <c:pt idx="58">
                  <c:v>7.9667557138616805E-3</c:v>
                </c:pt>
                <c:pt idx="59">
                  <c:v>7.9994063520332451E-3</c:v>
                </c:pt>
                <c:pt idx="60">
                  <c:v>7.5779162956366875E-3</c:v>
                </c:pt>
                <c:pt idx="61">
                  <c:v>7.8628673196794296E-3</c:v>
                </c:pt>
                <c:pt idx="62">
                  <c:v>7.2439893143365986E-3</c:v>
                </c:pt>
                <c:pt idx="63">
                  <c:v>7.2276639952508163E-3</c:v>
                </c:pt>
                <c:pt idx="64">
                  <c:v>7.3033541110121697E-3</c:v>
                </c:pt>
                <c:pt idx="65">
                  <c:v>6.8165627782724846E-3</c:v>
                </c:pt>
                <c:pt idx="66">
                  <c:v>6.8803799346987236E-3</c:v>
                </c:pt>
                <c:pt idx="67">
                  <c:v>6.6369842683288811E-3</c:v>
                </c:pt>
                <c:pt idx="68">
                  <c:v>6.3193826061145745E-3</c:v>
                </c:pt>
                <c:pt idx="69">
                  <c:v>6.4381121994657167E-3</c:v>
                </c:pt>
                <c:pt idx="70">
                  <c:v>6.3193826061145745E-3</c:v>
                </c:pt>
                <c:pt idx="71">
                  <c:v>6.1160581775007421E-3</c:v>
                </c:pt>
                <c:pt idx="72">
                  <c:v>5.7539329177797565E-3</c:v>
                </c:pt>
                <c:pt idx="73">
                  <c:v>5.6292668447610571E-3</c:v>
                </c:pt>
                <c:pt idx="74">
                  <c:v>5.7672899970317602E-3</c:v>
                </c:pt>
                <c:pt idx="75">
                  <c:v>5.8474324725437815E-3</c:v>
                </c:pt>
                <c:pt idx="76">
                  <c:v>5.9513208667260316E-3</c:v>
                </c:pt>
                <c:pt idx="77">
                  <c:v>6.1576135351736417E-3</c:v>
                </c:pt>
                <c:pt idx="78">
                  <c:v>5.7583852775304244E-3</c:v>
                </c:pt>
                <c:pt idx="79">
                  <c:v>5.8637577916295638E-3</c:v>
                </c:pt>
                <c:pt idx="80">
                  <c:v>5.4289106559810034E-3</c:v>
                </c:pt>
                <c:pt idx="81">
                  <c:v>5.604036806173939E-3</c:v>
                </c:pt>
                <c:pt idx="82">
                  <c:v>5.1365390323538139E-3</c:v>
                </c:pt>
                <c:pt idx="83">
                  <c:v>5.3176016622143068E-3</c:v>
                </c:pt>
                <c:pt idx="84">
                  <c:v>5.1009201543484716E-3</c:v>
                </c:pt>
                <c:pt idx="85">
                  <c:v>4.8352626892252896E-3</c:v>
                </c:pt>
                <c:pt idx="86">
                  <c:v>3.9106559810032655E-3</c:v>
                </c:pt>
                <c:pt idx="87">
                  <c:v>3.7295933511427722E-3</c:v>
                </c:pt>
                <c:pt idx="88">
                  <c:v>3.6717126743840904E-3</c:v>
                </c:pt>
                <c:pt idx="89">
                  <c:v>7.345651528643514E-2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F-4399-8968-4B25EFE6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627968"/>
        <c:axId val="192520192"/>
      </c:lineChart>
      <c:catAx>
        <c:axId val="156627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(mins)</a:t>
                </a:r>
              </a:p>
            </c:rich>
          </c:tx>
          <c:overlay val="0"/>
        </c:title>
        <c:majorTickMark val="out"/>
        <c:minorTickMark val="none"/>
        <c:tickLblPos val="nextTo"/>
        <c:crossAx val="192520192"/>
        <c:crosses val="autoZero"/>
        <c:auto val="1"/>
        <c:lblAlgn val="ctr"/>
        <c:lblOffset val="100"/>
        <c:tickLblSkip val="10"/>
        <c:noMultiLvlLbl val="0"/>
      </c:catAx>
      <c:valAx>
        <c:axId val="192520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6627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footer="0.30000000000000032" header="0.30000000000000032" l="0.70000000000000062" r="0.70000000000000062" t="0.750000000000005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Workers</a:t>
            </a:r>
            <a:r>
              <a:rPr baseline="0" lang="en-US"/>
              <a:t> by District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County_Flow!$CH$21</c:f>
              <c:strCache>
                <c:ptCount val="1"/>
                <c:pt idx="0">
                  <c:v>2017 LEHD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County_Flow!$CH$22:$CH$41</c:f>
              <c:numCache>
                <c:formatCode>0%</c:formatCode>
                <c:ptCount val="20"/>
                <c:pt idx="0">
                  <c:v>7.3947894153446034E-2</c:v>
                </c:pt>
                <c:pt idx="1">
                  <c:v>5.0192519024846186E-2</c:v>
                </c:pt>
                <c:pt idx="2">
                  <c:v>2.7578535915392926E-2</c:v>
                </c:pt>
                <c:pt idx="3">
                  <c:v>2.4097482875325593E-2</c:v>
                </c:pt>
                <c:pt idx="4">
                  <c:v>2.2305742980927721E-2</c:v>
                </c:pt>
                <c:pt idx="5">
                  <c:v>0.14440746738487922</c:v>
                </c:pt>
                <c:pt idx="6">
                  <c:v>9.5485251975945137E-2</c:v>
                </c:pt>
                <c:pt idx="7">
                  <c:v>5.2519452114698842E-3</c:v>
                </c:pt>
                <c:pt idx="8">
                  <c:v>5.8660834167614272E-2</c:v>
                </c:pt>
                <c:pt idx="9">
                  <c:v>1.8963034569547708E-2</c:v>
                </c:pt>
                <c:pt idx="10">
                  <c:v>5.3879182748495659E-2</c:v>
                </c:pt>
                <c:pt idx="11">
                  <c:v>0.21147163459391846</c:v>
                </c:pt>
                <c:pt idx="12">
                  <c:v>7.7644106460475287E-2</c:v>
                </c:pt>
                <c:pt idx="13">
                  <c:v>1.6022315587757067E-2</c:v>
                </c:pt>
                <c:pt idx="14">
                  <c:v>3.2752118544292469E-2</c:v>
                </c:pt>
                <c:pt idx="15">
                  <c:v>4.7059575856400471E-3</c:v>
                </c:pt>
                <c:pt idx="16">
                  <c:v>1.2849992381014726E-2</c:v>
                </c:pt>
                <c:pt idx="17">
                  <c:v>1.8456764420687135E-2</c:v>
                </c:pt>
                <c:pt idx="18">
                  <c:v>3.091185328972057E-2</c:v>
                </c:pt>
                <c:pt idx="19">
                  <c:v>2.0415366128604062E-2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2B-4BAE-807C-AE39524602D7}"/>
            </c:ext>
          </c:extLst>
        </c:ser>
        <c:ser>
          <c:idx val="3"/>
          <c:order val="3"/>
          <c:tx>
            <c:strRef>
              <c:f>County_Flow!$CI$21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County_Flow!$CI$22:$CI$41</c:f>
              <c:numCache>
                <c:formatCode>0%</c:formatCode>
                <c:ptCount val="20"/>
                <c:pt idx="0">
                  <c:v>7.3734045710893439E-2</c:v>
                </c:pt>
                <c:pt idx="1">
                  <c:v>5.0630750964677944E-2</c:v>
                </c:pt>
                <c:pt idx="2">
                  <c:v>2.7235084594835264E-2</c:v>
                </c:pt>
                <c:pt idx="3">
                  <c:v>2.3797862867319681E-2</c:v>
                </c:pt>
                <c:pt idx="4">
                  <c:v>2.2518551498961117E-2</c:v>
                </c:pt>
                <c:pt idx="5">
                  <c:v>0.14349213416444048</c:v>
                </c:pt>
                <c:pt idx="6">
                  <c:v>9.5154348471356481E-2</c:v>
                </c:pt>
                <c:pt idx="7">
                  <c:v>5.2344909468685068E-3</c:v>
                </c:pt>
                <c:pt idx="8">
                  <c:v>5.7616503413475809E-2</c:v>
                </c:pt>
                <c:pt idx="9">
                  <c:v>1.8679133273968536E-2</c:v>
                </c:pt>
                <c:pt idx="10">
                  <c:v>5.4528049866429208E-2</c:v>
                </c:pt>
                <c:pt idx="11">
                  <c:v>0.20939151083407539</c:v>
                </c:pt>
                <c:pt idx="12">
                  <c:v>7.8073612347877713E-2</c:v>
                </c:pt>
                <c:pt idx="13">
                  <c:v>1.6454437518551499E-2</c:v>
                </c:pt>
                <c:pt idx="14">
                  <c:v>3.2325615909765508E-2</c:v>
                </c:pt>
                <c:pt idx="15">
                  <c:v>4.7328584149599288E-3</c:v>
                </c:pt>
                <c:pt idx="16">
                  <c:v>1.3643514395963193E-2</c:v>
                </c:pt>
                <c:pt idx="17">
                  <c:v>1.8339269813000891E-2</c:v>
                </c:pt>
                <c:pt idx="18">
                  <c:v>3.2312258830513509E-2</c:v>
                </c:pt>
                <c:pt idx="19">
                  <c:v>2.2105966162065897E-2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2B-4BAE-807C-AE3952460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9070480"/>
        <c:axId val="8090596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County_Flow!$CF$21</c15:sqref>
                        </c15:formulaRef>
                      </c:ext>
                    </c:extLst>
                    <c:strCache>
                      <c:ptCount val="1"/>
                      <c:pt idx="0">
                        <c:v>SURVEY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County_Flow!$CF$22:$CF$41</c15:sqref>
                        </c15:formulaRef>
                      </c:ext>
                    </c:extLst>
                    <c:numCache>
                      <c:formatCode>0%</c:formatCode>
                      <c:ptCount val="20"/>
                      <c:pt idx="0">
                        <c:v>0.10651245735504584</c:v>
                      </c:pt>
                      <c:pt idx="1">
                        <c:v>4.2285817005106585E-2</c:v>
                      </c:pt>
                      <c:pt idx="2">
                        <c:v>2.664091778400891E-2</c:v>
                      </c:pt>
                      <c:pt idx="3">
                        <c:v>3.1308789236908337E-2</c:v>
                      </c:pt>
                      <c:pt idx="4">
                        <c:v>2.9331887139106391E-2</c:v>
                      </c:pt>
                      <c:pt idx="5">
                        <c:v>0.15173320426810527</c:v>
                      </c:pt>
                      <c:pt idx="6">
                        <c:v>9.4404674820417311E-2</c:v>
                      </c:pt>
                      <c:pt idx="7">
                        <c:v>8.9019437806581846E-3</c:v>
                      </c:pt>
                      <c:pt idx="8">
                        <c:v>6.6017345410951417E-2</c:v>
                      </c:pt>
                      <c:pt idx="9">
                        <c:v>1.5750826481073548E-2</c:v>
                      </c:pt>
                      <c:pt idx="10">
                        <c:v>5.350504482839552E-2</c:v>
                      </c:pt>
                      <c:pt idx="11">
                        <c:v>0.18805167502915493</c:v>
                      </c:pt>
                      <c:pt idx="12">
                        <c:v>7.0604009306704296E-2</c:v>
                      </c:pt>
                      <c:pt idx="13">
                        <c:v>1.9060380465616655E-2</c:v>
                      </c:pt>
                      <c:pt idx="14">
                        <c:v>2.2637142858275925E-2</c:v>
                      </c:pt>
                      <c:pt idx="15">
                        <c:v>2.6253408078030587E-3</c:v>
                      </c:pt>
                      <c:pt idx="16">
                        <c:v>1.2095953452224972E-2</c:v>
                      </c:pt>
                      <c:pt idx="17">
                        <c:v>1.5111169761343298E-2</c:v>
                      </c:pt>
                      <c:pt idx="18">
                        <c:v>2.2163555712296633E-2</c:v>
                      </c:pt>
                      <c:pt idx="19">
                        <c:v>2.1257864496803329E-2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022B-4BAE-807C-AE39524602D7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County_Flow!$CG$21</c15:sqref>
                        </c15:formulaRef>
                      </c:ext>
                    </c:extLst>
                    <c:strCache>
                      <c:ptCount val="1"/>
                      <c:pt idx="0">
                        <c:v>OD Data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County_Flow!$CG$22:$CG$41</c15:sqref>
                        </c15:formulaRef>
                      </c:ext>
                    </c:extLst>
                    <c:numCache>
                      <c:formatCode>0%</c:formatCode>
                      <c:ptCount val="20"/>
                      <c:pt idx="0">
                        <c:v>3.6870972841643181E-2</c:v>
                      </c:pt>
                      <c:pt idx="1">
                        <c:v>3.8386374915725142E-2</c:v>
                      </c:pt>
                      <c:pt idx="2">
                        <c:v>4.0552938181218023E-2</c:v>
                      </c:pt>
                      <c:pt idx="3">
                        <c:v>2.2819326010383358E-2</c:v>
                      </c:pt>
                      <c:pt idx="4">
                        <c:v>2.1269754795316141E-2</c:v>
                      </c:pt>
                      <c:pt idx="5">
                        <c:v>6.5743158003646912E-2</c:v>
                      </c:pt>
                      <c:pt idx="6">
                        <c:v>0.1152284122931297</c:v>
                      </c:pt>
                      <c:pt idx="7">
                        <c:v>5.6816245654839129E-3</c:v>
                      </c:pt>
                      <c:pt idx="8">
                        <c:v>7.1266277202357273E-2</c:v>
                      </c:pt>
                      <c:pt idx="9">
                        <c:v>2.7238347156259373E-2</c:v>
                      </c:pt>
                      <c:pt idx="10">
                        <c:v>6.7035881328104327E-2</c:v>
                      </c:pt>
                      <c:pt idx="11">
                        <c:v>0.17010652772954057</c:v>
                      </c:pt>
                      <c:pt idx="12">
                        <c:v>0.11115382452101037</c:v>
                      </c:pt>
                      <c:pt idx="13">
                        <c:v>2.5188476256575575E-2</c:v>
                      </c:pt>
                      <c:pt idx="14">
                        <c:v>4.0609765314979347E-2</c:v>
                      </c:pt>
                      <c:pt idx="15">
                        <c:v>1.1347500853951755E-2</c:v>
                      </c:pt>
                      <c:pt idx="16">
                        <c:v>1.8731275766974836E-2</c:v>
                      </c:pt>
                      <c:pt idx="17">
                        <c:v>3.1253531427716752E-2</c:v>
                      </c:pt>
                      <c:pt idx="18">
                        <c:v>4.1891443406352091E-2</c:v>
                      </c:pt>
                      <c:pt idx="19">
                        <c:v>3.7624587429631297E-2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022B-4BAE-807C-AE39524602D7}"/>
                  </c:ext>
                </c:extLst>
              </c15:ser>
            </c15:filteredBarSeries>
          </c:ext>
        </c:extLst>
      </c:barChart>
      <c:catAx>
        <c:axId val="809070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59664"/>
        <c:crosses val="autoZero"/>
        <c:auto val="1"/>
        <c:lblAlgn val="ctr"/>
        <c:lblOffset val="100"/>
        <c:noMultiLvlLbl val="0"/>
      </c:catAx>
      <c:valAx>
        <c:axId val="8090596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 Location by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calibration_flow!$N$3</c:f>
              <c:strCache>
                <c:ptCount val="1"/>
                <c:pt idx="0">
                  <c:v>2017 LEHD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calibration_flow!$C$4:$C$23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calibration_flow!$N$4:$N$23</c:f>
              <c:numCache>
                <c:formatCode>0.0%</c:formatCode>
                <c:ptCount val="20"/>
                <c:pt idx="0">
                  <c:v>7.3947894153446034E-2</c:v>
                </c:pt>
                <c:pt idx="1">
                  <c:v>5.0192519024846186E-2</c:v>
                </c:pt>
                <c:pt idx="2">
                  <c:v>2.7578535915392926E-2</c:v>
                </c:pt>
                <c:pt idx="3">
                  <c:v>2.4097482875325593E-2</c:v>
                </c:pt>
                <c:pt idx="4">
                  <c:v>2.2305742980927721E-2</c:v>
                </c:pt>
                <c:pt idx="5">
                  <c:v>0.14440746738487922</c:v>
                </c:pt>
                <c:pt idx="6">
                  <c:v>9.5485251975945137E-2</c:v>
                </c:pt>
                <c:pt idx="7">
                  <c:v>5.2519452114698842E-3</c:v>
                </c:pt>
                <c:pt idx="8">
                  <c:v>5.8660834167614272E-2</c:v>
                </c:pt>
                <c:pt idx="9">
                  <c:v>1.8963034569547708E-2</c:v>
                </c:pt>
                <c:pt idx="10">
                  <c:v>5.3879182748495659E-2</c:v>
                </c:pt>
                <c:pt idx="11">
                  <c:v>0.21147163459391846</c:v>
                </c:pt>
                <c:pt idx="12">
                  <c:v>7.7644106460475287E-2</c:v>
                </c:pt>
                <c:pt idx="13">
                  <c:v>1.6022315587757067E-2</c:v>
                </c:pt>
                <c:pt idx="14">
                  <c:v>3.2752118544292469E-2</c:v>
                </c:pt>
                <c:pt idx="15">
                  <c:v>4.7059575856400471E-3</c:v>
                </c:pt>
                <c:pt idx="16">
                  <c:v>1.2849992381014726E-2</c:v>
                </c:pt>
                <c:pt idx="17">
                  <c:v>1.8456764420687135E-2</c:v>
                </c:pt>
                <c:pt idx="18">
                  <c:v>3.091185328972057E-2</c:v>
                </c:pt>
                <c:pt idx="19">
                  <c:v>2.0415366128604062E-2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E-4DDD-A9D1-E7124230E860}"/>
            </c:ext>
          </c:extLst>
        </c:ser>
        <c:ser>
          <c:idx val="1"/>
          <c:order val="1"/>
          <c:tx>
            <c:strRef>
              <c:f>calibration_flow!$O$3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calibration_flow!$C$4:$C$23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calibration_flow!$O$4:$O$23</c:f>
              <c:numCache>
                <c:formatCode>0.0%</c:formatCode>
                <c:ptCount val="20"/>
                <c:pt idx="0">
                  <c:v>7.3734045710893439E-2</c:v>
                </c:pt>
                <c:pt idx="1">
                  <c:v>5.0630750964677944E-2</c:v>
                </c:pt>
                <c:pt idx="2">
                  <c:v>2.7235084594835264E-2</c:v>
                </c:pt>
                <c:pt idx="3">
                  <c:v>2.3797862867319681E-2</c:v>
                </c:pt>
                <c:pt idx="4">
                  <c:v>2.2518551498961117E-2</c:v>
                </c:pt>
                <c:pt idx="5">
                  <c:v>0.14349213416444048</c:v>
                </c:pt>
                <c:pt idx="6">
                  <c:v>9.5154348471356481E-2</c:v>
                </c:pt>
                <c:pt idx="7">
                  <c:v>5.2344909468685068E-3</c:v>
                </c:pt>
                <c:pt idx="8">
                  <c:v>5.7616503413475809E-2</c:v>
                </c:pt>
                <c:pt idx="9">
                  <c:v>1.8679133273968536E-2</c:v>
                </c:pt>
                <c:pt idx="10">
                  <c:v>5.4528049866429208E-2</c:v>
                </c:pt>
                <c:pt idx="11">
                  <c:v>0.20939151083407539</c:v>
                </c:pt>
                <c:pt idx="12">
                  <c:v>7.8073612347877713E-2</c:v>
                </c:pt>
                <c:pt idx="13">
                  <c:v>1.6454437518551499E-2</c:v>
                </c:pt>
                <c:pt idx="14">
                  <c:v>3.2325615909765508E-2</c:v>
                </c:pt>
                <c:pt idx="15">
                  <c:v>4.7328584149599288E-3</c:v>
                </c:pt>
                <c:pt idx="16">
                  <c:v>1.3643514395963193E-2</c:v>
                </c:pt>
                <c:pt idx="17">
                  <c:v>1.8339269813000891E-2</c:v>
                </c:pt>
                <c:pt idx="18">
                  <c:v>3.2312258830513509E-2</c:v>
                </c:pt>
                <c:pt idx="19">
                  <c:v>2.2105966162065897E-2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BE-4DDD-A9D1-E7124230E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240928"/>
        <c:axId val="146238016"/>
      </c:barChart>
      <c:catAx>
        <c:axId val="146240928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District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38016"/>
        <c:crosses val="autoZero"/>
        <c:auto val="1"/>
        <c:lblAlgn val="ctr"/>
        <c:lblOffset val="100"/>
        <c:noMultiLvlLbl val="0"/>
      </c:catAx>
      <c:valAx>
        <c:axId val="146238016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</a:t>
            </a:r>
            <a:r>
              <a:rPr baseline="0" lang="en-US"/>
              <a:t> Locations </a:t>
            </a:r>
            <a:r>
              <a:rPr lang="en-US"/>
              <a:t>by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Work Location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0"/>
            <c:trendlineLbl>
              <c:layout>
                <c:manualLayout>
                  <c:x val="-4.8343200955488635E-2"/>
                  <c:y val="-2.5423723158565071E-4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calibration_flow!$CX$2:$CX$401</c:f>
              <c:numCache>
                <c:formatCode>_(* #,##0_);_(* \(#,##0\);_(* "-"??_);_(@_)</c:formatCode>
                <c:ptCount val="400"/>
                <c:pt idx="0">
                  <c:v>1201.5145058187181</c:v>
                </c:pt>
                <c:pt idx="1">
                  <c:v>308.49696771021144</c:v>
                </c:pt>
                <c:pt idx="2">
                  <c:v>166.42599573840354</c:v>
                </c:pt>
                <c:pt idx="3">
                  <c:v>150.18931322733977</c:v>
                </c:pt>
                <c:pt idx="4">
                  <c:v>174.54433699393545</c:v>
                </c:pt>
                <c:pt idx="5">
                  <c:v>1281.8860842484839</c:v>
                </c:pt>
                <c:pt idx="6">
                  <c:v>211.88870676938208</c:v>
                </c:pt>
                <c:pt idx="7">
                  <c:v>21.107687264382886</c:v>
                </c:pt>
                <c:pt idx="8">
                  <c:v>213.51237502048846</c:v>
                </c:pt>
                <c:pt idx="9">
                  <c:v>106.35027044746762</c:v>
                </c:pt>
                <c:pt idx="10">
                  <c:v>146.13014259957384</c:v>
                </c:pt>
                <c:pt idx="11">
                  <c:v>820.76430093427302</c:v>
                </c:pt>
                <c:pt idx="12">
                  <c:v>51.14554990985085</c:v>
                </c:pt>
                <c:pt idx="13">
                  <c:v>9.7420095066382562</c:v>
                </c:pt>
                <c:pt idx="14">
                  <c:v>23.543189641042453</c:v>
                </c:pt>
                <c:pt idx="15">
                  <c:v>13.801180134404195</c:v>
                </c:pt>
                <c:pt idx="16">
                  <c:v>5.6828388788723156</c:v>
                </c:pt>
                <c:pt idx="17">
                  <c:v>8.9301753810850677</c:v>
                </c:pt>
                <c:pt idx="18">
                  <c:v>26.790526143255203</c:v>
                </c:pt>
                <c:pt idx="19">
                  <c:v>10.553843632191443</c:v>
                </c:pt>
                <c:pt idx="20">
                  <c:v>1702.9552972731337</c:v>
                </c:pt>
                <c:pt idx="21">
                  <c:v>1730.5648189539561</c:v>
                </c:pt>
                <c:pt idx="22">
                  <c:v>675.88109074653551</c:v>
                </c:pt>
                <c:pt idx="23">
                  <c:v>406.4121591417076</c:v>
                </c:pt>
                <c:pt idx="24">
                  <c:v>436.23044255699597</c:v>
                </c:pt>
                <c:pt idx="25">
                  <c:v>2817.2755923111313</c:v>
                </c:pt>
                <c:pt idx="26">
                  <c:v>1232.4890478319176</c:v>
                </c:pt>
                <c:pt idx="27">
                  <c:v>93.872373714796595</c:v>
                </c:pt>
                <c:pt idx="28">
                  <c:v>1201.5663835493965</c:v>
                </c:pt>
                <c:pt idx="29">
                  <c:v>297.07845328565043</c:v>
                </c:pt>
                <c:pt idx="30">
                  <c:v>721.16070630308457</c:v>
                </c:pt>
                <c:pt idx="31">
                  <c:v>2725.6119803308002</c:v>
                </c:pt>
                <c:pt idx="32">
                  <c:v>247.38131426016986</c:v>
                </c:pt>
                <c:pt idx="33">
                  <c:v>51.905900759946356</c:v>
                </c:pt>
                <c:pt idx="34">
                  <c:v>176.7009387572642</c:v>
                </c:pt>
                <c:pt idx="35">
                  <c:v>50.801519892713451</c:v>
                </c:pt>
                <c:pt idx="36">
                  <c:v>49.697139025480553</c:v>
                </c:pt>
                <c:pt idx="37">
                  <c:v>68.471613768439866</c:v>
                </c:pt>
                <c:pt idx="38">
                  <c:v>97.18551631649531</c:v>
                </c:pt>
                <c:pt idx="39">
                  <c:v>39.757711220384444</c:v>
                </c:pt>
                <c:pt idx="40">
                  <c:v>4176.3188726433245</c:v>
                </c:pt>
                <c:pt idx="41">
                  <c:v>1733.7697191227394</c:v>
                </c:pt>
                <c:pt idx="42">
                  <c:v>2712.0470373220469</c:v>
                </c:pt>
                <c:pt idx="43">
                  <c:v>1212.7404771065794</c:v>
                </c:pt>
                <c:pt idx="44">
                  <c:v>1115.7212389380531</c:v>
                </c:pt>
                <c:pt idx="45">
                  <c:v>6068.1940169295885</c:v>
                </c:pt>
                <c:pt idx="46">
                  <c:v>1587.3425355906118</c:v>
                </c:pt>
                <c:pt idx="47">
                  <c:v>229.97152751058098</c:v>
                </c:pt>
                <c:pt idx="48">
                  <c:v>1478.6450557906887</c:v>
                </c:pt>
                <c:pt idx="49">
                  <c:v>632.42170065409778</c:v>
                </c:pt>
                <c:pt idx="50">
                  <c:v>1509.1881492881878</c:v>
                </c:pt>
                <c:pt idx="51">
                  <c:v>4064.9264140053865</c:v>
                </c:pt>
                <c:pt idx="52">
                  <c:v>404.24682570219318</c:v>
                </c:pt>
                <c:pt idx="53">
                  <c:v>159.00375144286264</c:v>
                </c:pt>
                <c:pt idx="54">
                  <c:v>274.88784147749135</c:v>
                </c:pt>
                <c:pt idx="55">
                  <c:v>106.00250096190842</c:v>
                </c:pt>
                <c:pt idx="56">
                  <c:v>111.39245863793768</c:v>
                </c:pt>
                <c:pt idx="57">
                  <c:v>89.832627933820703</c:v>
                </c:pt>
                <c:pt idx="58">
                  <c:v>283.87110427087339</c:v>
                </c:pt>
                <c:pt idx="59">
                  <c:v>66.476144671027313</c:v>
                </c:pt>
                <c:pt idx="60">
                  <c:v>1062.3040986180904</c:v>
                </c:pt>
                <c:pt idx="61">
                  <c:v>631.75722361809039</c:v>
                </c:pt>
                <c:pt idx="62">
                  <c:v>513.483040201005</c:v>
                </c:pt>
                <c:pt idx="63">
                  <c:v>713.97220477386929</c:v>
                </c:pt>
                <c:pt idx="64">
                  <c:v>574.0625</c:v>
                </c:pt>
                <c:pt idx="65">
                  <c:v>1924.8402167085426</c:v>
                </c:pt>
                <c:pt idx="66">
                  <c:v>576.9472361809045</c:v>
                </c:pt>
                <c:pt idx="67">
                  <c:v>103.85050251256281</c:v>
                </c:pt>
                <c:pt idx="68">
                  <c:v>549.54224246231149</c:v>
                </c:pt>
                <c:pt idx="69">
                  <c:v>271.88638505025125</c:v>
                </c:pt>
                <c:pt idx="70">
                  <c:v>468.76962939698495</c:v>
                </c:pt>
                <c:pt idx="71">
                  <c:v>1319.7668027638192</c:v>
                </c:pt>
                <c:pt idx="72">
                  <c:v>142.07325690954772</c:v>
                </c:pt>
                <c:pt idx="73">
                  <c:v>53.367619346733669</c:v>
                </c:pt>
                <c:pt idx="74">
                  <c:v>81.493797110552762</c:v>
                </c:pt>
                <c:pt idx="75">
                  <c:v>34.616834170854268</c:v>
                </c:pt>
                <c:pt idx="76">
                  <c:v>26.683809673366834</c:v>
                </c:pt>
                <c:pt idx="77">
                  <c:v>49.040515075376881</c:v>
                </c:pt>
                <c:pt idx="78">
                  <c:v>69.233668341708537</c:v>
                </c:pt>
                <c:pt idx="79">
                  <c:v>17.308417085427134</c:v>
                </c:pt>
                <c:pt idx="80">
                  <c:v>1226.3123111782477</c:v>
                </c:pt>
                <c:pt idx="81">
                  <c:v>469.38160876132929</c:v>
                </c:pt>
                <c:pt idx="82">
                  <c:v>332.37292296072508</c:v>
                </c:pt>
                <c:pt idx="83">
                  <c:v>390.72847432024167</c:v>
                </c:pt>
                <c:pt idx="84">
                  <c:v>667.28304380664645</c:v>
                </c:pt>
                <c:pt idx="85">
                  <c:v>2185.3731117824773</c:v>
                </c:pt>
                <c:pt idx="86">
                  <c:v>435.55230362537765</c:v>
                </c:pt>
                <c:pt idx="87">
                  <c:v>73.578738670694861</c:v>
                </c:pt>
                <c:pt idx="88">
                  <c:v>377.19675226586105</c:v>
                </c:pt>
                <c:pt idx="89">
                  <c:v>318.8412009063444</c:v>
                </c:pt>
                <c:pt idx="90">
                  <c:v>320.53266616314198</c:v>
                </c:pt>
                <c:pt idx="91">
                  <c:v>1710.0713746223566</c:v>
                </c:pt>
                <c:pt idx="92">
                  <c:v>149.6946752265861</c:v>
                </c:pt>
                <c:pt idx="93">
                  <c:v>49.052492447129914</c:v>
                </c:pt>
                <c:pt idx="94">
                  <c:v>63.429947129909365</c:v>
                </c:pt>
                <c:pt idx="95">
                  <c:v>49.8982250755287</c:v>
                </c:pt>
                <c:pt idx="96">
                  <c:v>29.600641993957701</c:v>
                </c:pt>
                <c:pt idx="97">
                  <c:v>42.286631419939575</c:v>
                </c:pt>
                <c:pt idx="98">
                  <c:v>49.8982250755287</c:v>
                </c:pt>
                <c:pt idx="99">
                  <c:v>16.914652567975832</c:v>
                </c:pt>
                <c:pt idx="100">
                  <c:v>3511.3710547296346</c:v>
                </c:pt>
                <c:pt idx="101">
                  <c:v>1020.5641795244572</c:v>
                </c:pt>
                <c:pt idx="102">
                  <c:v>667.8513811377386</c:v>
                </c:pt>
                <c:pt idx="103">
                  <c:v>671.48759555409652</c:v>
                </c:pt>
                <c:pt idx="104">
                  <c:v>934.50710500398634</c:v>
                </c:pt>
                <c:pt idx="105">
                  <c:v>8695.4007409839141</c:v>
                </c:pt>
                <c:pt idx="106">
                  <c:v>1155.1041129297005</c:v>
                </c:pt>
                <c:pt idx="107">
                  <c:v>75.148431271397087</c:v>
                </c:pt>
                <c:pt idx="108">
                  <c:v>942.99160530882159</c:v>
                </c:pt>
                <c:pt idx="109">
                  <c:v>630.27716550204002</c:v>
                </c:pt>
                <c:pt idx="110">
                  <c:v>584.21844956150642</c:v>
                </c:pt>
                <c:pt idx="111">
                  <c:v>5632.4961309384234</c:v>
                </c:pt>
                <c:pt idx="112">
                  <c:v>469.07165971017213</c:v>
                </c:pt>
                <c:pt idx="113">
                  <c:v>93.329503353186709</c:v>
                </c:pt>
                <c:pt idx="114">
                  <c:v>197.56764995544717</c:v>
                </c:pt>
                <c:pt idx="115">
                  <c:v>138.17614782160109</c:v>
                </c:pt>
                <c:pt idx="116">
                  <c:v>53.331144773249541</c:v>
                </c:pt>
                <c:pt idx="117">
                  <c:v>135.75200487736248</c:v>
                </c:pt>
                <c:pt idx="118">
                  <c:v>178.17450640153825</c:v>
                </c:pt>
                <c:pt idx="119">
                  <c:v>58.179430661726776</c:v>
                </c:pt>
                <c:pt idx="120">
                  <c:v>5293.0668275478001</c:v>
                </c:pt>
                <c:pt idx="121">
                  <c:v>5375.0059402264706</c:v>
                </c:pt>
                <c:pt idx="122">
                  <c:v>2372.2372377946908</c:v>
                </c:pt>
                <c:pt idx="123">
                  <c:v>1869.6107295340635</c:v>
                </c:pt>
                <c:pt idx="124">
                  <c:v>1714.7258214219416</c:v>
                </c:pt>
                <c:pt idx="125">
                  <c:v>10427.251717096713</c:v>
                </c:pt>
                <c:pt idx="126">
                  <c:v>18350.364210135511</c:v>
                </c:pt>
                <c:pt idx="127">
                  <c:v>333.75199554483015</c:v>
                </c:pt>
                <c:pt idx="128">
                  <c:v>5323.0445516985328</c:v>
                </c:pt>
                <c:pt idx="129">
                  <c:v>1301.033228141823</c:v>
                </c:pt>
                <c:pt idx="130">
                  <c:v>2691.0003712641546</c:v>
                </c:pt>
                <c:pt idx="131">
                  <c:v>16261.916094301096</c:v>
                </c:pt>
                <c:pt idx="132">
                  <c:v>5605.8344161871173</c:v>
                </c:pt>
                <c:pt idx="133">
                  <c:v>258.80768516799702</c:v>
                </c:pt>
                <c:pt idx="134">
                  <c:v>1630.7881937998886</c:v>
                </c:pt>
                <c:pt idx="135">
                  <c:v>208.84481158344161</c:v>
                </c:pt>
                <c:pt idx="136">
                  <c:v>197.85297939483942</c:v>
                </c:pt>
                <c:pt idx="137">
                  <c:v>758.43642101355113</c:v>
                </c:pt>
                <c:pt idx="138">
                  <c:v>474.64729905327641</c:v>
                </c:pt>
                <c:pt idx="139">
                  <c:v>296.77946909225915</c:v>
                </c:pt>
                <c:pt idx="140">
                  <c:v>438.98548567175288</c:v>
                </c:pt>
                <c:pt idx="141">
                  <c:v>312.65872720506138</c:v>
                </c:pt>
                <c:pt idx="142">
                  <c:v>220.28228507629325</c:v>
                </c:pt>
                <c:pt idx="143">
                  <c:v>234.49404540379604</c:v>
                </c:pt>
                <c:pt idx="144">
                  <c:v>195.8064756233718</c:v>
                </c:pt>
                <c:pt idx="145">
                  <c:v>877.97097134350577</c:v>
                </c:pt>
                <c:pt idx="146">
                  <c:v>255.81168589505023</c:v>
                </c:pt>
                <c:pt idx="147">
                  <c:v>100.27186453293635</c:v>
                </c:pt>
                <c:pt idx="148">
                  <c:v>266.86527726088576</c:v>
                </c:pt>
                <c:pt idx="149">
                  <c:v>120.79996278377372</c:v>
                </c:pt>
                <c:pt idx="150">
                  <c:v>356.08355042798661</c:v>
                </c:pt>
                <c:pt idx="151">
                  <c:v>555.04819501302575</c:v>
                </c:pt>
                <c:pt idx="152">
                  <c:v>71.058801637513952</c:v>
                </c:pt>
                <c:pt idx="153">
                  <c:v>79.743766282099003</c:v>
                </c:pt>
                <c:pt idx="154">
                  <c:v>42.63528098250837</c:v>
                </c:pt>
                <c:pt idx="155">
                  <c:v>11.843133606252326</c:v>
                </c:pt>
                <c:pt idx="156">
                  <c:v>27.633978414588761</c:v>
                </c:pt>
                <c:pt idx="157">
                  <c:v>25.265351693338296</c:v>
                </c:pt>
                <c:pt idx="158">
                  <c:v>38.687569780424269</c:v>
                </c:pt>
                <c:pt idx="159">
                  <c:v>11.053591365835505</c:v>
                </c:pt>
                <c:pt idx="160">
                  <c:v>5385.3936755270388</c:v>
                </c:pt>
                <c:pt idx="161">
                  <c:v>4538.1983272227317</c:v>
                </c:pt>
                <c:pt idx="162">
                  <c:v>2149.6728918423469</c:v>
                </c:pt>
                <c:pt idx="163">
                  <c:v>1616.3980293308891</c:v>
                </c:pt>
                <c:pt idx="164">
                  <c:v>1211.811067827681</c:v>
                </c:pt>
                <c:pt idx="165">
                  <c:v>9445.8869156736928</c:v>
                </c:pt>
                <c:pt idx="166">
                  <c:v>5369.7951420714944</c:v>
                </c:pt>
                <c:pt idx="167">
                  <c:v>309.04594408799267</c:v>
                </c:pt>
                <c:pt idx="168">
                  <c:v>9357.1702566452805</c:v>
                </c:pt>
                <c:pt idx="169">
                  <c:v>880.34223189734189</c:v>
                </c:pt>
                <c:pt idx="170">
                  <c:v>3087.5347158570116</c:v>
                </c:pt>
                <c:pt idx="171">
                  <c:v>8890.1891613198895</c:v>
                </c:pt>
                <c:pt idx="172">
                  <c:v>1983.9384738771769</c:v>
                </c:pt>
                <c:pt idx="173">
                  <c:v>275.89906049495875</c:v>
                </c:pt>
                <c:pt idx="174">
                  <c:v>3353.684692942255</c:v>
                </c:pt>
                <c:pt idx="175">
                  <c:v>128.6879010082493</c:v>
                </c:pt>
                <c:pt idx="176">
                  <c:v>281.74851054078829</c:v>
                </c:pt>
                <c:pt idx="177">
                  <c:v>263.22525206232814</c:v>
                </c:pt>
                <c:pt idx="178">
                  <c:v>840.3709899175069</c:v>
                </c:pt>
                <c:pt idx="179">
                  <c:v>194.00675985334556</c:v>
                </c:pt>
                <c:pt idx="180">
                  <c:v>2714.4944885820059</c:v>
                </c:pt>
                <c:pt idx="181">
                  <c:v>971.70126034690736</c:v>
                </c:pt>
                <c:pt idx="182">
                  <c:v>503.61291127656921</c:v>
                </c:pt>
                <c:pt idx="183">
                  <c:v>754.3745268499647</c:v>
                </c:pt>
                <c:pt idx="184">
                  <c:v>1248.5838775425316</c:v>
                </c:pt>
                <c:pt idx="185">
                  <c:v>6546.9678465954003</c:v>
                </c:pt>
                <c:pt idx="186">
                  <c:v>1014.5397030073624</c:v>
                </c:pt>
                <c:pt idx="187">
                  <c:v>216.28189343205358</c:v>
                </c:pt>
                <c:pt idx="188">
                  <c:v>945.58025872467863</c:v>
                </c:pt>
                <c:pt idx="189">
                  <c:v>1982.0616030947131</c:v>
                </c:pt>
                <c:pt idx="190">
                  <c:v>709.44640405973132</c:v>
                </c:pt>
                <c:pt idx="191">
                  <c:v>5911.7050871427982</c:v>
                </c:pt>
                <c:pt idx="192">
                  <c:v>434.6534669938855</c:v>
                </c:pt>
                <c:pt idx="193">
                  <c:v>140.00856869514578</c:v>
                </c:pt>
                <c:pt idx="194">
                  <c:v>152.54664947381556</c:v>
                </c:pt>
                <c:pt idx="195">
                  <c:v>417.93602595565909</c:v>
                </c:pt>
                <c:pt idx="196">
                  <c:v>58.511043633792269</c:v>
                </c:pt>
                <c:pt idx="197">
                  <c:v>138.96372863025664</c:v>
                </c:pt>
                <c:pt idx="198">
                  <c:v>178.66765109604427</c:v>
                </c:pt>
                <c:pt idx="199">
                  <c:v>78.363004866686069</c:v>
                </c:pt>
                <c:pt idx="200">
                  <c:v>4527.2320768662239</c:v>
                </c:pt>
                <c:pt idx="201">
                  <c:v>3217.07270879527</c:v>
                </c:pt>
                <c:pt idx="202">
                  <c:v>2514.271988174427</c:v>
                </c:pt>
                <c:pt idx="203">
                  <c:v>1911.733647450111</c:v>
                </c:pt>
                <c:pt idx="204">
                  <c:v>1410.4217479674796</c:v>
                </c:pt>
                <c:pt idx="205">
                  <c:v>7993.0326127124908</c:v>
                </c:pt>
                <c:pt idx="206">
                  <c:v>2708.0483185513672</c:v>
                </c:pt>
                <c:pt idx="207">
                  <c:v>492.63534737620103</c:v>
                </c:pt>
                <c:pt idx="208">
                  <c:v>3739.5939578713969</c:v>
                </c:pt>
                <c:pt idx="209">
                  <c:v>826.20057280118249</c:v>
                </c:pt>
                <c:pt idx="210">
                  <c:v>10013.705192165558</c:v>
                </c:pt>
                <c:pt idx="211">
                  <c:v>5775.6915188470066</c:v>
                </c:pt>
                <c:pt idx="212">
                  <c:v>1030.5815779748707</c:v>
                </c:pt>
                <c:pt idx="213">
                  <c:v>594.82584996304502</c:v>
                </c:pt>
                <c:pt idx="214">
                  <c:v>942.85199556541022</c:v>
                </c:pt>
                <c:pt idx="215">
                  <c:v>120.50766814486327</c:v>
                </c:pt>
                <c:pt idx="216">
                  <c:v>735.57880635624542</c:v>
                </c:pt>
                <c:pt idx="217">
                  <c:v>214.02161862527714</c:v>
                </c:pt>
                <c:pt idx="218">
                  <c:v>3233.461751662971</c:v>
                </c:pt>
                <c:pt idx="219">
                  <c:v>173.5310421286031</c:v>
                </c:pt>
                <c:pt idx="220">
                  <c:v>8229.4601703357876</c:v>
                </c:pt>
                <c:pt idx="221">
                  <c:v>4349.7537553962457</c:v>
                </c:pt>
                <c:pt idx="222">
                  <c:v>1791.9906334850468</c:v>
                </c:pt>
                <c:pt idx="223">
                  <c:v>1955.9365049909165</c:v>
                </c:pt>
                <c:pt idx="224">
                  <c:v>2225.7208505069052</c:v>
                </c:pt>
                <c:pt idx="225">
                  <c:v>18836.13547750669</c:v>
                </c:pt>
                <c:pt idx="226">
                  <c:v>7381.7147461567019</c:v>
                </c:pt>
                <c:pt idx="227">
                  <c:v>310.25199734338679</c:v>
                </c:pt>
                <c:pt idx="228">
                  <c:v>4123.5499580020705</c:v>
                </c:pt>
                <c:pt idx="229">
                  <c:v>1947.6354482058093</c:v>
                </c:pt>
                <c:pt idx="230">
                  <c:v>2110.5436876135409</c:v>
                </c:pt>
                <c:pt idx="231">
                  <c:v>45782.40343406325</c:v>
                </c:pt>
                <c:pt idx="232">
                  <c:v>2746.6121637723904</c:v>
                </c:pt>
                <c:pt idx="233">
                  <c:v>226.20379739417498</c:v>
                </c:pt>
                <c:pt idx="234">
                  <c:v>762.65959213173676</c:v>
                </c:pt>
                <c:pt idx="235">
                  <c:v>433.73021702185849</c:v>
                </c:pt>
                <c:pt idx="236">
                  <c:v>154.60718262262418</c:v>
                </c:pt>
                <c:pt idx="237">
                  <c:v>1647.7597718438069</c:v>
                </c:pt>
                <c:pt idx="238">
                  <c:v>447.21943429765793</c:v>
                </c:pt>
                <c:pt idx="239">
                  <c:v>775.11117730939782</c:v>
                </c:pt>
                <c:pt idx="240">
                  <c:v>2460.7754489825716</c:v>
                </c:pt>
                <c:pt idx="241">
                  <c:v>2279.1940348036155</c:v>
                </c:pt>
                <c:pt idx="242">
                  <c:v>902.94583007021788</c:v>
                </c:pt>
                <c:pt idx="243">
                  <c:v>1002.1706465614506</c:v>
                </c:pt>
                <c:pt idx="244">
                  <c:v>603.28688426669498</c:v>
                </c:pt>
                <c:pt idx="245">
                  <c:v>4673.4888567370617</c:v>
                </c:pt>
                <c:pt idx="246">
                  <c:v>13315.970373123431</c:v>
                </c:pt>
                <c:pt idx="247">
                  <c:v>156.7752100561477</c:v>
                </c:pt>
                <c:pt idx="248">
                  <c:v>2792.1863360632892</c:v>
                </c:pt>
                <c:pt idx="249">
                  <c:v>731.28689754038521</c:v>
                </c:pt>
                <c:pt idx="250">
                  <c:v>1272.0621474176037</c:v>
                </c:pt>
                <c:pt idx="251">
                  <c:v>10370.977819663645</c:v>
                </c:pt>
                <c:pt idx="252">
                  <c:v>29606.700744654023</c:v>
                </c:pt>
                <c:pt idx="253">
                  <c:v>176.62017335439427</c:v>
                </c:pt>
                <c:pt idx="254">
                  <c:v>2061.8916866878162</c:v>
                </c:pt>
                <c:pt idx="255">
                  <c:v>157.76745822106002</c:v>
                </c:pt>
                <c:pt idx="256">
                  <c:v>186.54265500351752</c:v>
                </c:pt>
                <c:pt idx="257">
                  <c:v>1333.5815336421679</c:v>
                </c:pt>
                <c:pt idx="258">
                  <c:v>353.24034670878854</c:v>
                </c:pt>
                <c:pt idx="259">
                  <c:v>315.53491644212005</c:v>
                </c:pt>
                <c:pt idx="260">
                  <c:v>1176.5781691951659</c:v>
                </c:pt>
                <c:pt idx="261">
                  <c:v>1078.750321419388</c:v>
                </c:pt>
                <c:pt idx="262">
                  <c:v>615.16970943687329</c:v>
                </c:pt>
                <c:pt idx="263">
                  <c:v>620.45770120853695</c:v>
                </c:pt>
                <c:pt idx="264">
                  <c:v>428.32733350475695</c:v>
                </c:pt>
                <c:pt idx="265">
                  <c:v>2061.4354589868863</c:v>
                </c:pt>
                <c:pt idx="266">
                  <c:v>805.53741321676512</c:v>
                </c:pt>
                <c:pt idx="267">
                  <c:v>286.43288763178197</c:v>
                </c:pt>
                <c:pt idx="268">
                  <c:v>705.94690151709949</c:v>
                </c:pt>
                <c:pt idx="269">
                  <c:v>300.53419902288505</c:v>
                </c:pt>
                <c:pt idx="270">
                  <c:v>1982.1155824119312</c:v>
                </c:pt>
                <c:pt idx="271">
                  <c:v>1764.4265878117767</c:v>
                </c:pt>
                <c:pt idx="272">
                  <c:v>393.95538698894319</c:v>
                </c:pt>
                <c:pt idx="273">
                  <c:v>6209.8650038570331</c:v>
                </c:pt>
                <c:pt idx="274">
                  <c:v>210.63833890460273</c:v>
                </c:pt>
                <c:pt idx="275">
                  <c:v>65.218565183851894</c:v>
                </c:pt>
                <c:pt idx="276">
                  <c:v>1071.6996657238365</c:v>
                </c:pt>
                <c:pt idx="277">
                  <c:v>118.97981486243249</c:v>
                </c:pt>
                <c:pt idx="278">
                  <c:v>525.27384931859092</c:v>
                </c:pt>
                <c:pt idx="279">
                  <c:v>143.65710979686295</c:v>
                </c:pt>
                <c:pt idx="280">
                  <c:v>1191.1255292002552</c:v>
                </c:pt>
                <c:pt idx="281">
                  <c:v>1391.2628312938584</c:v>
                </c:pt>
                <c:pt idx="282">
                  <c:v>436.42275126138139</c:v>
                </c:pt>
                <c:pt idx="283">
                  <c:v>432.01444064257959</c:v>
                </c:pt>
                <c:pt idx="284">
                  <c:v>306.81841906860757</c:v>
                </c:pt>
                <c:pt idx="285">
                  <c:v>2155.6638925940961</c:v>
                </c:pt>
                <c:pt idx="286">
                  <c:v>3121.0839181116976</c:v>
                </c:pt>
                <c:pt idx="287">
                  <c:v>104.91779272748362</c:v>
                </c:pt>
                <c:pt idx="288">
                  <c:v>3065.5392043147945</c:v>
                </c:pt>
                <c:pt idx="289">
                  <c:v>310.34506756364902</c:v>
                </c:pt>
                <c:pt idx="290">
                  <c:v>999.80484834425567</c:v>
                </c:pt>
                <c:pt idx="291">
                  <c:v>2914.7749811517715</c:v>
                </c:pt>
                <c:pt idx="292">
                  <c:v>2736.6792321521775</c:v>
                </c:pt>
                <c:pt idx="293">
                  <c:v>157.81752015310559</c:v>
                </c:pt>
                <c:pt idx="294">
                  <c:v>9837.5859769181698</c:v>
                </c:pt>
                <c:pt idx="295">
                  <c:v>60.834686539465295</c:v>
                </c:pt>
                <c:pt idx="296">
                  <c:v>147.23757466798122</c:v>
                </c:pt>
                <c:pt idx="297">
                  <c:v>161.34416864814708</c:v>
                </c:pt>
                <c:pt idx="298">
                  <c:v>751.17612944383234</c:v>
                </c:pt>
                <c:pt idx="299">
                  <c:v>122.55103520269094</c:v>
                </c:pt>
                <c:pt idx="300">
                  <c:v>1040.1769457622772</c:v>
                </c:pt>
                <c:pt idx="301">
                  <c:v>594.51339915373774</c:v>
                </c:pt>
                <c:pt idx="302">
                  <c:v>246.31106552122066</c:v>
                </c:pt>
                <c:pt idx="303">
                  <c:v>347.31632260546223</c:v>
                </c:pt>
                <c:pt idx="304">
                  <c:v>479.33196563662005</c:v>
                </c:pt>
                <c:pt idx="305">
                  <c:v>2837.8933196563662</c:v>
                </c:pt>
                <c:pt idx="306">
                  <c:v>528.94858315168619</c:v>
                </c:pt>
                <c:pt idx="307">
                  <c:v>79.740992434927549</c:v>
                </c:pt>
                <c:pt idx="308">
                  <c:v>421.7412488780613</c:v>
                </c:pt>
                <c:pt idx="309">
                  <c:v>826.64828824208234</c:v>
                </c:pt>
                <c:pt idx="310">
                  <c:v>268.46134119758943</c:v>
                </c:pt>
                <c:pt idx="311">
                  <c:v>4381.3245287857417</c:v>
                </c:pt>
                <c:pt idx="312">
                  <c:v>344.65828952429797</c:v>
                </c:pt>
                <c:pt idx="313">
                  <c:v>50.502628542120782</c:v>
                </c:pt>
                <c:pt idx="314">
                  <c:v>94.803179894858317</c:v>
                </c:pt>
                <c:pt idx="315">
                  <c:v>788.54981407872799</c:v>
                </c:pt>
                <c:pt idx="316">
                  <c:v>26.580330811642519</c:v>
                </c:pt>
                <c:pt idx="317">
                  <c:v>266.68931914347991</c:v>
                </c:pt>
                <c:pt idx="318">
                  <c:v>76.196948326708551</c:v>
                </c:pt>
                <c:pt idx="319">
                  <c:v>119.61148865239132</c:v>
                </c:pt>
                <c:pt idx="320">
                  <c:v>1003.9778926359961</c:v>
                </c:pt>
                <c:pt idx="321">
                  <c:v>933.80236425976148</c:v>
                </c:pt>
                <c:pt idx="322">
                  <c:v>506.19947802057209</c:v>
                </c:pt>
                <c:pt idx="323">
                  <c:v>537.07671050611532</c:v>
                </c:pt>
                <c:pt idx="324">
                  <c:v>319.06473568394654</c:v>
                </c:pt>
                <c:pt idx="325">
                  <c:v>1783.3940944680417</c:v>
                </c:pt>
                <c:pt idx="326">
                  <c:v>737.31088480630467</c:v>
                </c:pt>
                <c:pt idx="327">
                  <c:v>190.87743718335807</c:v>
                </c:pt>
                <c:pt idx="328">
                  <c:v>742.92492707640349</c:v>
                </c:pt>
                <c:pt idx="329">
                  <c:v>232.9827542090988</c:v>
                </c:pt>
                <c:pt idx="330">
                  <c:v>3039.0682155467994</c:v>
                </c:pt>
                <c:pt idx="331">
                  <c:v>1427.8380840284531</c:v>
                </c:pt>
                <c:pt idx="332">
                  <c:v>315.32204083721405</c:v>
                </c:pt>
                <c:pt idx="333">
                  <c:v>1412.8673046415231</c:v>
                </c:pt>
                <c:pt idx="334">
                  <c:v>284.44480835167082</c:v>
                </c:pt>
                <c:pt idx="335">
                  <c:v>65.49715981781894</c:v>
                </c:pt>
                <c:pt idx="336">
                  <c:v>2660.1203623151323</c:v>
                </c:pt>
                <c:pt idx="337">
                  <c:v>81.403612916432124</c:v>
                </c:pt>
                <c:pt idx="338">
                  <c:v>1932.1662146256588</c:v>
                </c:pt>
                <c:pt idx="339">
                  <c:v>77.660918069699605</c:v>
                </c:pt>
                <c:pt idx="340">
                  <c:v>1358.0683105631458</c:v>
                </c:pt>
                <c:pt idx="341">
                  <c:v>969.77418638231711</c:v>
                </c:pt>
                <c:pt idx="342">
                  <c:v>333.51005220482057</c:v>
                </c:pt>
                <c:pt idx="343">
                  <c:v>431.54470731978228</c:v>
                </c:pt>
                <c:pt idx="344">
                  <c:v>346.96578918138397</c:v>
                </c:pt>
                <c:pt idx="345">
                  <c:v>2923.7394201932689</c:v>
                </c:pt>
                <c:pt idx="346">
                  <c:v>2989.0958569365766</c:v>
                </c:pt>
                <c:pt idx="347">
                  <c:v>85.54004220815284</c:v>
                </c:pt>
                <c:pt idx="348">
                  <c:v>1011.1025213817616</c:v>
                </c:pt>
                <c:pt idx="349">
                  <c:v>470.95079417971789</c:v>
                </c:pt>
                <c:pt idx="350">
                  <c:v>442.11707208708208</c:v>
                </c:pt>
                <c:pt idx="351">
                  <c:v>13775.791291791626</c:v>
                </c:pt>
                <c:pt idx="352">
                  <c:v>3939.6475619238031</c:v>
                </c:pt>
                <c:pt idx="353">
                  <c:v>61.51194046428968</c:v>
                </c:pt>
                <c:pt idx="354">
                  <c:v>348.88803732089303</c:v>
                </c:pt>
                <c:pt idx="355">
                  <c:v>161.46884371876041</c:v>
                </c:pt>
                <c:pt idx="356">
                  <c:v>53.822947906253475</c:v>
                </c:pt>
                <c:pt idx="357">
                  <c:v>3338.9450183272247</c:v>
                </c:pt>
                <c:pt idx="358">
                  <c:v>126.86837720759748</c:v>
                </c:pt>
                <c:pt idx="359">
                  <c:v>1442.6472287015438</c:v>
                </c:pt>
                <c:pt idx="360">
                  <c:v>1474.8996742671009</c:v>
                </c:pt>
                <c:pt idx="361">
                  <c:v>1343.3570032573291</c:v>
                </c:pt>
                <c:pt idx="362">
                  <c:v>715.37589576547236</c:v>
                </c:pt>
                <c:pt idx="363">
                  <c:v>751.41498371335513</c:v>
                </c:pt>
                <c:pt idx="364">
                  <c:v>451.38957654723123</c:v>
                </c:pt>
                <c:pt idx="365">
                  <c:v>2710.1394136807817</c:v>
                </c:pt>
                <c:pt idx="366">
                  <c:v>1365.8814332247557</c:v>
                </c:pt>
                <c:pt idx="367">
                  <c:v>198.21498371335505</c:v>
                </c:pt>
                <c:pt idx="368">
                  <c:v>1649.6892508143321</c:v>
                </c:pt>
                <c:pt idx="369">
                  <c:v>340.56938110749184</c:v>
                </c:pt>
                <c:pt idx="370">
                  <c:v>5326.5771986970685</c:v>
                </c:pt>
                <c:pt idx="371">
                  <c:v>2875.0182410423454</c:v>
                </c:pt>
                <c:pt idx="372">
                  <c:v>666.72312703583054</c:v>
                </c:pt>
                <c:pt idx="373">
                  <c:v>631.58501628664499</c:v>
                </c:pt>
                <c:pt idx="374">
                  <c:v>1332.5452768729642</c:v>
                </c:pt>
                <c:pt idx="375">
                  <c:v>81.087947882736159</c:v>
                </c:pt>
                <c:pt idx="376">
                  <c:v>2747.9804560260586</c:v>
                </c:pt>
                <c:pt idx="377">
                  <c:v>156.77003257328991</c:v>
                </c:pt>
                <c:pt idx="378">
                  <c:v>11020.75309446254</c:v>
                </c:pt>
                <c:pt idx="379">
                  <c:v>118.02801302931597</c:v>
                </c:pt>
                <c:pt idx="380">
                  <c:v>651.08024519364722</c:v>
                </c:pt>
                <c:pt idx="381">
                  <c:v>570.13994148787958</c:v>
                </c:pt>
                <c:pt idx="382">
                  <c:v>206.35330175536362</c:v>
                </c:pt>
                <c:pt idx="383">
                  <c:v>226.81074115352465</c:v>
                </c:pt>
                <c:pt idx="384">
                  <c:v>185.00640847032599</c:v>
                </c:pt>
                <c:pt idx="385">
                  <c:v>1055.7817637224853</c:v>
                </c:pt>
                <c:pt idx="386">
                  <c:v>1194.53657007523</c:v>
                </c:pt>
                <c:pt idx="387">
                  <c:v>76.493034271384786</c:v>
                </c:pt>
                <c:pt idx="388">
                  <c:v>617.28099749233775</c:v>
                </c:pt>
                <c:pt idx="389">
                  <c:v>249.04708832543886</c:v>
                </c:pt>
                <c:pt idx="390">
                  <c:v>255.27326553357483</c:v>
                </c:pt>
                <c:pt idx="391">
                  <c:v>5528.8453608247428</c:v>
                </c:pt>
                <c:pt idx="392">
                  <c:v>976.62036779047094</c:v>
                </c:pt>
                <c:pt idx="393">
                  <c:v>103.17665087768181</c:v>
                </c:pt>
                <c:pt idx="394">
                  <c:v>194.79040122596822</c:v>
                </c:pt>
                <c:pt idx="395">
                  <c:v>75.60358038450822</c:v>
                </c:pt>
                <c:pt idx="396">
                  <c:v>32.020339927556421</c:v>
                </c:pt>
                <c:pt idx="397">
                  <c:v>3536.4686542212312</c:v>
                </c:pt>
                <c:pt idx="398">
                  <c:v>124.52354416271943</c:v>
                </c:pt>
                <c:pt idx="399">
                  <c:v>9678.1477431039293</c:v>
                </c:pt>
              </c:numCache>
            </c:numRef>
          </c:xVal>
          <c:yVal>
            <c:numRef>
              <c:f>calibration_flow!$CY$2:$CY$401</c:f>
              <c:numCache>
                <c:formatCode>_(* #,##0_);_(* \(#,##0\);_(* "-"??_);_(@_)</c:formatCode>
                <c:ptCount val="400"/>
                <c:pt idx="0">
                  <c:v>1361.0000000000005</c:v>
                </c:pt>
                <c:pt idx="1">
                  <c:v>288.00000000000011</c:v>
                </c:pt>
                <c:pt idx="2">
                  <c:v>162.00000000000006</c:v>
                </c:pt>
                <c:pt idx="3">
                  <c:v>257.00000000000011</c:v>
                </c:pt>
                <c:pt idx="4">
                  <c:v>229.00000000000009</c:v>
                </c:pt>
                <c:pt idx="5">
                  <c:v>1432.0000000000005</c:v>
                </c:pt>
                <c:pt idx="6">
                  <c:v>130.00000000000006</c:v>
                </c:pt>
                <c:pt idx="7">
                  <c:v>35.000000000000014</c:v>
                </c:pt>
                <c:pt idx="8">
                  <c:v>165.00000000000006</c:v>
                </c:pt>
                <c:pt idx="9">
                  <c:v>114.00000000000004</c:v>
                </c:pt>
                <c:pt idx="10">
                  <c:v>124.00000000000004</c:v>
                </c:pt>
                <c:pt idx="11">
                  <c:v>572.00000000000023</c:v>
                </c:pt>
                <c:pt idx="12">
                  <c:v>12.000000000000004</c:v>
                </c:pt>
                <c:pt idx="13">
                  <c:v>14.000000000000005</c:v>
                </c:pt>
                <c:pt idx="14">
                  <c:v>15.000000000000005</c:v>
                </c:pt>
                <c:pt idx="15">
                  <c:v>10.000000000000004</c:v>
                </c:pt>
                <c:pt idx="16">
                  <c:v>7.0000000000000027</c:v>
                </c:pt>
                <c:pt idx="17">
                  <c:v>5.0000000000000018</c:v>
                </c:pt>
                <c:pt idx="18">
                  <c:v>16.000000000000007</c:v>
                </c:pt>
                <c:pt idx="19">
                  <c:v>5.0000000000000018</c:v>
                </c:pt>
                <c:pt idx="20">
                  <c:v>1743</c:v>
                </c:pt>
                <c:pt idx="21">
                  <c:v>2317</c:v>
                </c:pt>
                <c:pt idx="22">
                  <c:v>618</c:v>
                </c:pt>
                <c:pt idx="23">
                  <c:v>464</c:v>
                </c:pt>
                <c:pt idx="24">
                  <c:v>450</c:v>
                </c:pt>
                <c:pt idx="25">
                  <c:v>3028</c:v>
                </c:pt>
                <c:pt idx="26">
                  <c:v>1105</c:v>
                </c:pt>
                <c:pt idx="27">
                  <c:v>85</c:v>
                </c:pt>
                <c:pt idx="28">
                  <c:v>1161</c:v>
                </c:pt>
                <c:pt idx="29">
                  <c:v>317</c:v>
                </c:pt>
                <c:pt idx="30">
                  <c:v>408</c:v>
                </c:pt>
                <c:pt idx="31">
                  <c:v>2816</c:v>
                </c:pt>
                <c:pt idx="32">
                  <c:v>63</c:v>
                </c:pt>
                <c:pt idx="33">
                  <c:v>34</c:v>
                </c:pt>
                <c:pt idx="34">
                  <c:v>94</c:v>
                </c:pt>
                <c:pt idx="35">
                  <c:v>28</c:v>
                </c:pt>
                <c:pt idx="36">
                  <c:v>21</c:v>
                </c:pt>
                <c:pt idx="37">
                  <c:v>11</c:v>
                </c:pt>
                <c:pt idx="38">
                  <c:v>49</c:v>
                </c:pt>
                <c:pt idx="39">
                  <c:v>11</c:v>
                </c:pt>
                <c:pt idx="40">
                  <c:v>4545</c:v>
                </c:pt>
                <c:pt idx="41">
                  <c:v>2214</c:v>
                </c:pt>
                <c:pt idx="42">
                  <c:v>2669</c:v>
                </c:pt>
                <c:pt idx="43">
                  <c:v>1477</c:v>
                </c:pt>
                <c:pt idx="44">
                  <c:v>1157</c:v>
                </c:pt>
                <c:pt idx="45">
                  <c:v>6681</c:v>
                </c:pt>
                <c:pt idx="46">
                  <c:v>1080</c:v>
                </c:pt>
                <c:pt idx="47">
                  <c:v>326</c:v>
                </c:pt>
                <c:pt idx="48">
                  <c:v>1395</c:v>
                </c:pt>
                <c:pt idx="49">
                  <c:v>627</c:v>
                </c:pt>
                <c:pt idx="50">
                  <c:v>1749</c:v>
                </c:pt>
                <c:pt idx="51">
                  <c:v>3436</c:v>
                </c:pt>
                <c:pt idx="52">
                  <c:v>88</c:v>
                </c:pt>
                <c:pt idx="53">
                  <c:v>94</c:v>
                </c:pt>
                <c:pt idx="54">
                  <c:v>92</c:v>
                </c:pt>
                <c:pt idx="55">
                  <c:v>57</c:v>
                </c:pt>
                <c:pt idx="56">
                  <c:v>92</c:v>
                </c:pt>
                <c:pt idx="57">
                  <c:v>13</c:v>
                </c:pt>
                <c:pt idx="58">
                  <c:v>214</c:v>
                </c:pt>
                <c:pt idx="59">
                  <c:v>11</c:v>
                </c:pt>
                <c:pt idx="60">
                  <c:v>1275</c:v>
                </c:pt>
                <c:pt idx="61">
                  <c:v>627</c:v>
                </c:pt>
                <c:pt idx="62">
                  <c:v>493</c:v>
                </c:pt>
                <c:pt idx="63">
                  <c:v>949</c:v>
                </c:pt>
                <c:pt idx="64">
                  <c:v>534</c:v>
                </c:pt>
                <c:pt idx="65">
                  <c:v>2369</c:v>
                </c:pt>
                <c:pt idx="66">
                  <c:v>279</c:v>
                </c:pt>
                <c:pt idx="67">
                  <c:v>147</c:v>
                </c:pt>
                <c:pt idx="68">
                  <c:v>406</c:v>
                </c:pt>
                <c:pt idx="69">
                  <c:v>347</c:v>
                </c:pt>
                <c:pt idx="70">
                  <c:v>445</c:v>
                </c:pt>
                <c:pt idx="71">
                  <c:v>1086</c:v>
                </c:pt>
                <c:pt idx="72">
                  <c:v>32</c:v>
                </c:pt>
                <c:pt idx="73">
                  <c:v>47</c:v>
                </c:pt>
                <c:pt idx="74">
                  <c:v>26</c:v>
                </c:pt>
                <c:pt idx="75">
                  <c:v>33</c:v>
                </c:pt>
                <c:pt idx="76">
                  <c:v>26</c:v>
                </c:pt>
                <c:pt idx="77">
                  <c:v>11</c:v>
                </c:pt>
                <c:pt idx="78">
                  <c:v>46</c:v>
                </c:pt>
                <c:pt idx="79">
                  <c:v>7</c:v>
                </c:pt>
                <c:pt idx="80">
                  <c:v>1109.0000000000002</c:v>
                </c:pt>
                <c:pt idx="81">
                  <c:v>491.00000000000011</c:v>
                </c:pt>
                <c:pt idx="82">
                  <c:v>245.00000000000006</c:v>
                </c:pt>
                <c:pt idx="83">
                  <c:v>417.00000000000011</c:v>
                </c:pt>
                <c:pt idx="84">
                  <c:v>823.00000000000023</c:v>
                </c:pt>
                <c:pt idx="85">
                  <c:v>3257.0000000000009</c:v>
                </c:pt>
                <c:pt idx="86">
                  <c:v>254.00000000000006</c:v>
                </c:pt>
                <c:pt idx="87">
                  <c:v>95.000000000000014</c:v>
                </c:pt>
                <c:pt idx="88">
                  <c:v>263.00000000000006</c:v>
                </c:pt>
                <c:pt idx="89">
                  <c:v>431.00000000000011</c:v>
                </c:pt>
                <c:pt idx="90">
                  <c:v>197.00000000000006</c:v>
                </c:pt>
                <c:pt idx="91">
                  <c:v>1177.0000000000002</c:v>
                </c:pt>
                <c:pt idx="92">
                  <c:v>25.000000000000007</c:v>
                </c:pt>
                <c:pt idx="93">
                  <c:v>31.000000000000007</c:v>
                </c:pt>
                <c:pt idx="94">
                  <c:v>19.000000000000004</c:v>
                </c:pt>
                <c:pt idx="95">
                  <c:v>54.000000000000014</c:v>
                </c:pt>
                <c:pt idx="96">
                  <c:v>7.0000000000000018</c:v>
                </c:pt>
                <c:pt idx="97">
                  <c:v>9.0000000000000018</c:v>
                </c:pt>
                <c:pt idx="98">
                  <c:v>44.000000000000007</c:v>
                </c:pt>
                <c:pt idx="99">
                  <c:v>10.000000000000002</c:v>
                </c:pt>
                <c:pt idx="100">
                  <c:v>3237.9999999999995</c:v>
                </c:pt>
                <c:pt idx="101">
                  <c:v>1483.9999999999998</c:v>
                </c:pt>
                <c:pt idx="102">
                  <c:v>602.99999999999989</c:v>
                </c:pt>
                <c:pt idx="103">
                  <c:v>817.99999999999989</c:v>
                </c:pt>
                <c:pt idx="104">
                  <c:v>1216.9999999999998</c:v>
                </c:pt>
                <c:pt idx="105">
                  <c:v>11088.999999999998</c:v>
                </c:pt>
                <c:pt idx="106">
                  <c:v>701.99999999999989</c:v>
                </c:pt>
                <c:pt idx="107">
                  <c:v>179.99999999999997</c:v>
                </c:pt>
                <c:pt idx="108">
                  <c:v>734.99999999999989</c:v>
                </c:pt>
                <c:pt idx="109">
                  <c:v>708.99999999999989</c:v>
                </c:pt>
                <c:pt idx="110">
                  <c:v>415.99999999999994</c:v>
                </c:pt>
                <c:pt idx="111">
                  <c:v>4271.9999999999991</c:v>
                </c:pt>
                <c:pt idx="112">
                  <c:v>59.999999999999993</c:v>
                </c:pt>
                <c:pt idx="113">
                  <c:v>43.999999999999993</c:v>
                </c:pt>
                <c:pt idx="114">
                  <c:v>60.999999999999993</c:v>
                </c:pt>
                <c:pt idx="115">
                  <c:v>82.999999999999986</c:v>
                </c:pt>
                <c:pt idx="116">
                  <c:v>30.999999999999996</c:v>
                </c:pt>
                <c:pt idx="117">
                  <c:v>14.999999999999998</c:v>
                </c:pt>
                <c:pt idx="118">
                  <c:v>63.999999999999993</c:v>
                </c:pt>
                <c:pt idx="119">
                  <c:v>23.999999999999996</c:v>
                </c:pt>
                <c:pt idx="120">
                  <c:v>4944.0000000000009</c:v>
                </c:pt>
                <c:pt idx="121">
                  <c:v>5204.0000000000009</c:v>
                </c:pt>
                <c:pt idx="122">
                  <c:v>1718.0000000000005</c:v>
                </c:pt>
                <c:pt idx="123">
                  <c:v>1273.0000000000002</c:v>
                </c:pt>
                <c:pt idx="124">
                  <c:v>1250.0000000000002</c:v>
                </c:pt>
                <c:pt idx="125">
                  <c:v>9103.0000000000018</c:v>
                </c:pt>
                <c:pt idx="126">
                  <c:v>21582.000000000004</c:v>
                </c:pt>
                <c:pt idx="127">
                  <c:v>267.00000000000006</c:v>
                </c:pt>
                <c:pt idx="128">
                  <c:v>5163.0000000000009</c:v>
                </c:pt>
                <c:pt idx="129">
                  <c:v>958.00000000000023</c:v>
                </c:pt>
                <c:pt idx="130">
                  <c:v>977.00000000000023</c:v>
                </c:pt>
                <c:pt idx="131">
                  <c:v>19595.000000000004</c:v>
                </c:pt>
                <c:pt idx="132">
                  <c:v>6865.0000000000018</c:v>
                </c:pt>
                <c:pt idx="133">
                  <c:v>91.000000000000014</c:v>
                </c:pt>
                <c:pt idx="134">
                  <c:v>1062.0000000000002</c:v>
                </c:pt>
                <c:pt idx="135">
                  <c:v>113.00000000000003</c:v>
                </c:pt>
                <c:pt idx="136">
                  <c:v>72.000000000000014</c:v>
                </c:pt>
                <c:pt idx="137">
                  <c:v>297.00000000000006</c:v>
                </c:pt>
                <c:pt idx="138">
                  <c:v>162.00000000000003</c:v>
                </c:pt>
                <c:pt idx="139">
                  <c:v>49.000000000000014</c:v>
                </c:pt>
                <c:pt idx="140">
                  <c:v>520.00000000000011</c:v>
                </c:pt>
                <c:pt idx="141">
                  <c:v>291.00000000000006</c:v>
                </c:pt>
                <c:pt idx="142">
                  <c:v>320.00000000000006</c:v>
                </c:pt>
                <c:pt idx="143">
                  <c:v>299.00000000000006</c:v>
                </c:pt>
                <c:pt idx="144">
                  <c:v>194.00000000000006</c:v>
                </c:pt>
                <c:pt idx="145">
                  <c:v>964.00000000000023</c:v>
                </c:pt>
                <c:pt idx="146">
                  <c:v>135.00000000000003</c:v>
                </c:pt>
                <c:pt idx="147">
                  <c:v>91.000000000000014</c:v>
                </c:pt>
                <c:pt idx="148">
                  <c:v>178.00000000000003</c:v>
                </c:pt>
                <c:pt idx="149">
                  <c:v>135.00000000000003</c:v>
                </c:pt>
                <c:pt idx="150">
                  <c:v>465.00000000000011</c:v>
                </c:pt>
                <c:pt idx="151">
                  <c:v>455.00000000000011</c:v>
                </c:pt>
                <c:pt idx="152">
                  <c:v>12.000000000000004</c:v>
                </c:pt>
                <c:pt idx="153">
                  <c:v>64.000000000000014</c:v>
                </c:pt>
                <c:pt idx="154">
                  <c:v>14.000000000000004</c:v>
                </c:pt>
                <c:pt idx="155">
                  <c:v>10.000000000000002</c:v>
                </c:pt>
                <c:pt idx="156">
                  <c:v>41.000000000000007</c:v>
                </c:pt>
                <c:pt idx="157">
                  <c:v>2.0000000000000004</c:v>
                </c:pt>
                <c:pt idx="158">
                  <c:v>53.000000000000014</c:v>
                </c:pt>
                <c:pt idx="159">
                  <c:v>0</c:v>
                </c:pt>
                <c:pt idx="160">
                  <c:v>5482</c:v>
                </c:pt>
                <c:pt idx="161">
                  <c:v>5406</c:v>
                </c:pt>
                <c:pt idx="162">
                  <c:v>2412</c:v>
                </c:pt>
                <c:pt idx="163">
                  <c:v>1432</c:v>
                </c:pt>
                <c:pt idx="164">
                  <c:v>1303</c:v>
                </c:pt>
                <c:pt idx="165">
                  <c:v>9078</c:v>
                </c:pt>
                <c:pt idx="166">
                  <c:v>5731</c:v>
                </c:pt>
                <c:pt idx="167">
                  <c:v>258</c:v>
                </c:pt>
                <c:pt idx="168">
                  <c:v>12960</c:v>
                </c:pt>
                <c:pt idx="169">
                  <c:v>718</c:v>
                </c:pt>
                <c:pt idx="170">
                  <c:v>2821</c:v>
                </c:pt>
                <c:pt idx="171">
                  <c:v>7166</c:v>
                </c:pt>
                <c:pt idx="172">
                  <c:v>1083</c:v>
                </c:pt>
                <c:pt idx="173">
                  <c:v>136</c:v>
                </c:pt>
                <c:pt idx="174">
                  <c:v>2813</c:v>
                </c:pt>
                <c:pt idx="175">
                  <c:v>77</c:v>
                </c:pt>
                <c:pt idx="176">
                  <c:v>139</c:v>
                </c:pt>
                <c:pt idx="177">
                  <c:v>53</c:v>
                </c:pt>
                <c:pt idx="178">
                  <c:v>479</c:v>
                </c:pt>
                <c:pt idx="179">
                  <c:v>16</c:v>
                </c:pt>
                <c:pt idx="180">
                  <c:v>2657</c:v>
                </c:pt>
                <c:pt idx="181">
                  <c:v>1226</c:v>
                </c:pt>
                <c:pt idx="182">
                  <c:v>562</c:v>
                </c:pt>
                <c:pt idx="183">
                  <c:v>1019</c:v>
                </c:pt>
                <c:pt idx="184">
                  <c:v>1378</c:v>
                </c:pt>
                <c:pt idx="185">
                  <c:v>6992</c:v>
                </c:pt>
                <c:pt idx="186">
                  <c:v>613</c:v>
                </c:pt>
                <c:pt idx="187">
                  <c:v>262</c:v>
                </c:pt>
                <c:pt idx="188">
                  <c:v>542</c:v>
                </c:pt>
                <c:pt idx="189">
                  <c:v>2430</c:v>
                </c:pt>
                <c:pt idx="190">
                  <c:v>434</c:v>
                </c:pt>
                <c:pt idx="191">
                  <c:v>6231</c:v>
                </c:pt>
                <c:pt idx="192">
                  <c:v>85</c:v>
                </c:pt>
                <c:pt idx="193">
                  <c:v>41</c:v>
                </c:pt>
                <c:pt idx="194">
                  <c:v>38</c:v>
                </c:pt>
                <c:pt idx="195">
                  <c:v>434</c:v>
                </c:pt>
                <c:pt idx="196">
                  <c:v>25</c:v>
                </c:pt>
                <c:pt idx="197">
                  <c:v>61</c:v>
                </c:pt>
                <c:pt idx="198">
                  <c:v>74</c:v>
                </c:pt>
                <c:pt idx="199">
                  <c:v>15</c:v>
                </c:pt>
                <c:pt idx="200">
                  <c:v>5201.0000000000009</c:v>
                </c:pt>
                <c:pt idx="201">
                  <c:v>3064.0000000000005</c:v>
                </c:pt>
                <c:pt idx="202">
                  <c:v>3328.0000000000005</c:v>
                </c:pt>
                <c:pt idx="203">
                  <c:v>2169.0000000000005</c:v>
                </c:pt>
                <c:pt idx="204">
                  <c:v>1418.0000000000002</c:v>
                </c:pt>
                <c:pt idx="205">
                  <c:v>7768.0000000000009</c:v>
                </c:pt>
                <c:pt idx="206">
                  <c:v>1449.0000000000002</c:v>
                </c:pt>
                <c:pt idx="207">
                  <c:v>527.00000000000011</c:v>
                </c:pt>
                <c:pt idx="208">
                  <c:v>3826.0000000000005</c:v>
                </c:pt>
                <c:pt idx="209">
                  <c:v>778.00000000000011</c:v>
                </c:pt>
                <c:pt idx="210">
                  <c:v>13912.000000000002</c:v>
                </c:pt>
                <c:pt idx="211">
                  <c:v>3803.0000000000005</c:v>
                </c:pt>
                <c:pt idx="212">
                  <c:v>158.00000000000003</c:v>
                </c:pt>
                <c:pt idx="213">
                  <c:v>565.00000000000011</c:v>
                </c:pt>
                <c:pt idx="214">
                  <c:v>542.00000000000011</c:v>
                </c:pt>
                <c:pt idx="215">
                  <c:v>72.000000000000014</c:v>
                </c:pt>
                <c:pt idx="216">
                  <c:v>898.00000000000011</c:v>
                </c:pt>
                <c:pt idx="217">
                  <c:v>23.000000000000004</c:v>
                </c:pt>
                <c:pt idx="218">
                  <c:v>2660.0000000000005</c:v>
                </c:pt>
                <c:pt idx="219">
                  <c:v>14.000000000000002</c:v>
                </c:pt>
                <c:pt idx="220">
                  <c:v>8476</c:v>
                </c:pt>
                <c:pt idx="221">
                  <c:v>5638</c:v>
                </c:pt>
                <c:pt idx="222">
                  <c:v>1798</c:v>
                </c:pt>
                <c:pt idx="223">
                  <c:v>2285</c:v>
                </c:pt>
                <c:pt idx="224">
                  <c:v>2465</c:v>
                </c:pt>
                <c:pt idx="225">
                  <c:v>18501</c:v>
                </c:pt>
                <c:pt idx="226">
                  <c:v>8372</c:v>
                </c:pt>
                <c:pt idx="227">
                  <c:v>473</c:v>
                </c:pt>
                <c:pt idx="228">
                  <c:v>3154</c:v>
                </c:pt>
                <c:pt idx="229">
                  <c:v>2504</c:v>
                </c:pt>
                <c:pt idx="230">
                  <c:v>1058</c:v>
                </c:pt>
                <c:pt idx="231">
                  <c:v>46711</c:v>
                </c:pt>
                <c:pt idx="232">
                  <c:v>1962</c:v>
                </c:pt>
                <c:pt idx="233">
                  <c:v>79</c:v>
                </c:pt>
                <c:pt idx="234">
                  <c:v>326</c:v>
                </c:pt>
                <c:pt idx="235">
                  <c:v>682</c:v>
                </c:pt>
                <c:pt idx="236">
                  <c:v>105</c:v>
                </c:pt>
                <c:pt idx="237">
                  <c:v>1259</c:v>
                </c:pt>
                <c:pt idx="238">
                  <c:v>175</c:v>
                </c:pt>
                <c:pt idx="239">
                  <c:v>216</c:v>
                </c:pt>
                <c:pt idx="240">
                  <c:v>1638</c:v>
                </c:pt>
                <c:pt idx="241">
                  <c:v>1505</c:v>
                </c:pt>
                <c:pt idx="242">
                  <c:v>462</c:v>
                </c:pt>
                <c:pt idx="243">
                  <c:v>446</c:v>
                </c:pt>
                <c:pt idx="244">
                  <c:v>372</c:v>
                </c:pt>
                <c:pt idx="245">
                  <c:v>2745</c:v>
                </c:pt>
                <c:pt idx="246">
                  <c:v>16455</c:v>
                </c:pt>
                <c:pt idx="247">
                  <c:v>64</c:v>
                </c:pt>
                <c:pt idx="248">
                  <c:v>2057</c:v>
                </c:pt>
                <c:pt idx="249">
                  <c:v>241</c:v>
                </c:pt>
                <c:pt idx="250">
                  <c:v>319</c:v>
                </c:pt>
                <c:pt idx="251">
                  <c:v>11549</c:v>
                </c:pt>
                <c:pt idx="252">
                  <c:v>32581</c:v>
                </c:pt>
                <c:pt idx="253">
                  <c:v>17</c:v>
                </c:pt>
                <c:pt idx="254">
                  <c:v>2678</c:v>
                </c:pt>
                <c:pt idx="255">
                  <c:v>92</c:v>
                </c:pt>
                <c:pt idx="256">
                  <c:v>44</c:v>
                </c:pt>
                <c:pt idx="257">
                  <c:v>1178</c:v>
                </c:pt>
                <c:pt idx="258">
                  <c:v>232</c:v>
                </c:pt>
                <c:pt idx="259">
                  <c:v>78</c:v>
                </c:pt>
                <c:pt idx="260">
                  <c:v>1367</c:v>
                </c:pt>
                <c:pt idx="261">
                  <c:v>656</c:v>
                </c:pt>
                <c:pt idx="262">
                  <c:v>657</c:v>
                </c:pt>
                <c:pt idx="263">
                  <c:v>683</c:v>
                </c:pt>
                <c:pt idx="264">
                  <c:v>484</c:v>
                </c:pt>
                <c:pt idx="265">
                  <c:v>2511</c:v>
                </c:pt>
                <c:pt idx="266">
                  <c:v>283</c:v>
                </c:pt>
                <c:pt idx="267">
                  <c:v>249</c:v>
                </c:pt>
                <c:pt idx="268">
                  <c:v>565</c:v>
                </c:pt>
                <c:pt idx="269">
                  <c:v>333</c:v>
                </c:pt>
                <c:pt idx="270">
                  <c:v>2303</c:v>
                </c:pt>
                <c:pt idx="271">
                  <c:v>1027</c:v>
                </c:pt>
                <c:pt idx="272">
                  <c:v>36</c:v>
                </c:pt>
                <c:pt idx="273">
                  <c:v>7106</c:v>
                </c:pt>
                <c:pt idx="274">
                  <c:v>56</c:v>
                </c:pt>
                <c:pt idx="275">
                  <c:v>24</c:v>
                </c:pt>
                <c:pt idx="276">
                  <c:v>1452</c:v>
                </c:pt>
                <c:pt idx="277">
                  <c:v>6</c:v>
                </c:pt>
                <c:pt idx="278">
                  <c:v>765</c:v>
                </c:pt>
                <c:pt idx="279">
                  <c:v>2</c:v>
                </c:pt>
                <c:pt idx="280">
                  <c:v>1191.0000000000002</c:v>
                </c:pt>
                <c:pt idx="281">
                  <c:v>1052.0000000000002</c:v>
                </c:pt>
                <c:pt idx="282">
                  <c:v>420.00000000000006</c:v>
                </c:pt>
                <c:pt idx="283">
                  <c:v>255.00000000000003</c:v>
                </c:pt>
                <c:pt idx="284">
                  <c:v>247.00000000000003</c:v>
                </c:pt>
                <c:pt idx="285">
                  <c:v>1791.0000000000002</c:v>
                </c:pt>
                <c:pt idx="286">
                  <c:v>2489.0000000000005</c:v>
                </c:pt>
                <c:pt idx="287">
                  <c:v>56.000000000000007</c:v>
                </c:pt>
                <c:pt idx="288">
                  <c:v>3534.0000000000005</c:v>
                </c:pt>
                <c:pt idx="289">
                  <c:v>129.00000000000003</c:v>
                </c:pt>
                <c:pt idx="290">
                  <c:v>756.00000000000011</c:v>
                </c:pt>
                <c:pt idx="291">
                  <c:v>1935.0000000000002</c:v>
                </c:pt>
                <c:pt idx="292">
                  <c:v>3749.0000000000005</c:v>
                </c:pt>
                <c:pt idx="293">
                  <c:v>51.000000000000007</c:v>
                </c:pt>
                <c:pt idx="294">
                  <c:v>11579.000000000002</c:v>
                </c:pt>
                <c:pt idx="295">
                  <c:v>14.000000000000002</c:v>
                </c:pt>
                <c:pt idx="296">
                  <c:v>79.000000000000014</c:v>
                </c:pt>
                <c:pt idx="297">
                  <c:v>58.000000000000007</c:v>
                </c:pt>
                <c:pt idx="298">
                  <c:v>1013.0000000000001</c:v>
                </c:pt>
                <c:pt idx="299">
                  <c:v>7.0000000000000009</c:v>
                </c:pt>
                <c:pt idx="300">
                  <c:v>1111.9999999999998</c:v>
                </c:pt>
                <c:pt idx="301">
                  <c:v>497.99999999999994</c:v>
                </c:pt>
                <c:pt idx="302">
                  <c:v>203.99999999999997</c:v>
                </c:pt>
                <c:pt idx="303">
                  <c:v>379.99999999999994</c:v>
                </c:pt>
                <c:pt idx="304">
                  <c:v>542.99999999999989</c:v>
                </c:pt>
                <c:pt idx="305">
                  <c:v>2885.9999999999995</c:v>
                </c:pt>
                <c:pt idx="306">
                  <c:v>311.99999999999994</c:v>
                </c:pt>
                <c:pt idx="307">
                  <c:v>106.99999999999999</c:v>
                </c:pt>
                <c:pt idx="308">
                  <c:v>215.99999999999997</c:v>
                </c:pt>
                <c:pt idx="309">
                  <c:v>956.99999999999989</c:v>
                </c:pt>
                <c:pt idx="310">
                  <c:v>150.99999999999997</c:v>
                </c:pt>
                <c:pt idx="311">
                  <c:v>5009.9999999999991</c:v>
                </c:pt>
                <c:pt idx="312">
                  <c:v>87.999999999999986</c:v>
                </c:pt>
                <c:pt idx="313">
                  <c:v>29.999999999999996</c:v>
                </c:pt>
                <c:pt idx="314">
                  <c:v>19.999999999999996</c:v>
                </c:pt>
                <c:pt idx="315">
                  <c:v>961.99999999999989</c:v>
                </c:pt>
                <c:pt idx="316">
                  <c:v>9.9999999999999982</c:v>
                </c:pt>
                <c:pt idx="317">
                  <c:v>196.99999999999997</c:v>
                </c:pt>
                <c:pt idx="318">
                  <c:v>33.999999999999993</c:v>
                </c:pt>
                <c:pt idx="319">
                  <c:v>102.99999999999999</c:v>
                </c:pt>
                <c:pt idx="320">
                  <c:v>1037</c:v>
                </c:pt>
                <c:pt idx="321">
                  <c:v>541</c:v>
                </c:pt>
                <c:pt idx="322">
                  <c:v>616</c:v>
                </c:pt>
                <c:pt idx="323">
                  <c:v>447</c:v>
                </c:pt>
                <c:pt idx="324">
                  <c:v>342</c:v>
                </c:pt>
                <c:pt idx="325">
                  <c:v>1624</c:v>
                </c:pt>
                <c:pt idx="326">
                  <c:v>280</c:v>
                </c:pt>
                <c:pt idx="327">
                  <c:v>111</c:v>
                </c:pt>
                <c:pt idx="328">
                  <c:v>588</c:v>
                </c:pt>
                <c:pt idx="329">
                  <c:v>163</c:v>
                </c:pt>
                <c:pt idx="330">
                  <c:v>3276</c:v>
                </c:pt>
                <c:pt idx="331">
                  <c:v>775</c:v>
                </c:pt>
                <c:pt idx="332">
                  <c:v>31</c:v>
                </c:pt>
                <c:pt idx="333">
                  <c:v>1892</c:v>
                </c:pt>
                <c:pt idx="334">
                  <c:v>175</c:v>
                </c:pt>
                <c:pt idx="335">
                  <c:v>9</c:v>
                </c:pt>
                <c:pt idx="336">
                  <c:v>3501</c:v>
                </c:pt>
                <c:pt idx="337">
                  <c:v>8</c:v>
                </c:pt>
                <c:pt idx="338">
                  <c:v>2863</c:v>
                </c:pt>
                <c:pt idx="339">
                  <c:v>5</c:v>
                </c:pt>
                <c:pt idx="340">
                  <c:v>833</c:v>
                </c:pt>
                <c:pt idx="341">
                  <c:v>521</c:v>
                </c:pt>
                <c:pt idx="342">
                  <c:v>158</c:v>
                </c:pt>
                <c:pt idx="343">
                  <c:v>220</c:v>
                </c:pt>
                <c:pt idx="344">
                  <c:v>234</c:v>
                </c:pt>
                <c:pt idx="345">
                  <c:v>1739</c:v>
                </c:pt>
                <c:pt idx="346">
                  <c:v>1997</c:v>
                </c:pt>
                <c:pt idx="347">
                  <c:v>51</c:v>
                </c:pt>
                <c:pt idx="348">
                  <c:v>320</c:v>
                </c:pt>
                <c:pt idx="349">
                  <c:v>308</c:v>
                </c:pt>
                <c:pt idx="350">
                  <c:v>97</c:v>
                </c:pt>
                <c:pt idx="351">
                  <c:v>16283</c:v>
                </c:pt>
                <c:pt idx="352">
                  <c:v>5066</c:v>
                </c:pt>
                <c:pt idx="353">
                  <c:v>7</c:v>
                </c:pt>
                <c:pt idx="354">
                  <c:v>180</c:v>
                </c:pt>
                <c:pt idx="355">
                  <c:v>227</c:v>
                </c:pt>
                <c:pt idx="356">
                  <c:v>11</c:v>
                </c:pt>
                <c:pt idx="357">
                  <c:v>5087</c:v>
                </c:pt>
                <c:pt idx="358">
                  <c:v>46</c:v>
                </c:pt>
                <c:pt idx="359">
                  <c:v>1227</c:v>
                </c:pt>
                <c:pt idx="360">
                  <c:v>1696.0000000000005</c:v>
                </c:pt>
                <c:pt idx="361">
                  <c:v>952.00000000000023</c:v>
                </c:pt>
                <c:pt idx="362">
                  <c:v>856.00000000000023</c:v>
                </c:pt>
                <c:pt idx="363">
                  <c:v>672.00000000000011</c:v>
                </c:pt>
                <c:pt idx="364">
                  <c:v>442.00000000000011</c:v>
                </c:pt>
                <c:pt idx="365">
                  <c:v>2532.0000000000005</c:v>
                </c:pt>
                <c:pt idx="366">
                  <c:v>544.00000000000011</c:v>
                </c:pt>
                <c:pt idx="367">
                  <c:v>120.00000000000003</c:v>
                </c:pt>
                <c:pt idx="368">
                  <c:v>1499.0000000000002</c:v>
                </c:pt>
                <c:pt idx="369">
                  <c:v>241.00000000000006</c:v>
                </c:pt>
                <c:pt idx="370">
                  <c:v>6801.0000000000018</c:v>
                </c:pt>
                <c:pt idx="371">
                  <c:v>1224.0000000000002</c:v>
                </c:pt>
                <c:pt idx="372">
                  <c:v>220.00000000000006</c:v>
                </c:pt>
                <c:pt idx="373">
                  <c:v>741.00000000000011</c:v>
                </c:pt>
                <c:pt idx="374">
                  <c:v>1978.0000000000005</c:v>
                </c:pt>
                <c:pt idx="375">
                  <c:v>21.000000000000004</c:v>
                </c:pt>
                <c:pt idx="376">
                  <c:v>2627.0000000000005</c:v>
                </c:pt>
                <c:pt idx="377">
                  <c:v>11.000000000000002</c:v>
                </c:pt>
                <c:pt idx="378">
                  <c:v>12777.000000000004</c:v>
                </c:pt>
                <c:pt idx="379">
                  <c:v>4.0000000000000009</c:v>
                </c:pt>
                <c:pt idx="380">
                  <c:v>257</c:v>
                </c:pt>
                <c:pt idx="381">
                  <c:v>140</c:v>
                </c:pt>
                <c:pt idx="382">
                  <c:v>50</c:v>
                </c:pt>
                <c:pt idx="383">
                  <c:v>73</c:v>
                </c:pt>
                <c:pt idx="384">
                  <c:v>91</c:v>
                </c:pt>
                <c:pt idx="385">
                  <c:v>595</c:v>
                </c:pt>
                <c:pt idx="386">
                  <c:v>323</c:v>
                </c:pt>
                <c:pt idx="387">
                  <c:v>23</c:v>
                </c:pt>
                <c:pt idx="388">
                  <c:v>95</c:v>
                </c:pt>
                <c:pt idx="389">
                  <c:v>146</c:v>
                </c:pt>
                <c:pt idx="390">
                  <c:v>32</c:v>
                </c:pt>
                <c:pt idx="391">
                  <c:v>5965</c:v>
                </c:pt>
                <c:pt idx="392">
                  <c:v>390</c:v>
                </c:pt>
                <c:pt idx="393">
                  <c:v>3</c:v>
                </c:pt>
                <c:pt idx="394">
                  <c:v>13</c:v>
                </c:pt>
                <c:pt idx="395">
                  <c:v>187</c:v>
                </c:pt>
                <c:pt idx="396">
                  <c:v>5</c:v>
                </c:pt>
                <c:pt idx="397">
                  <c:v>4053</c:v>
                </c:pt>
                <c:pt idx="398">
                  <c:v>6</c:v>
                </c:pt>
                <c:pt idx="399">
                  <c:v>13091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52-4175-847D-2995C0970A1A}"/>
            </c:ext>
          </c:extLst>
        </c:ser>
        <c:ser>
          <c:idx val="1"/>
          <c:order val="1"/>
          <c:tx>
            <c:strRef>
              <c:f>calibration_flow!$DB$1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xVal>
          <c:y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52-4175-847D-2995C0970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logBase val="10"/>
          <c:orientation val="minMax"/>
          <c:max val="60000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logBase val="10"/>
          <c:orientation val="minMax"/>
          <c:max val="60000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</a:t>
            </a:r>
            <a:r>
              <a:rPr baseline="0" lang="en-US"/>
              <a:t> Locations </a:t>
            </a:r>
            <a:r>
              <a:rPr lang="en-US"/>
              <a:t>by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Work Location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calibration_flow!$CX$2:$CX$401</c:f>
              <c:numCache>
                <c:formatCode>_(* #,##0_);_(* \(#,##0\);_(* "-"??_);_(@_)</c:formatCode>
                <c:ptCount val="400"/>
                <c:pt idx="0">
                  <c:v>1201.5145058187181</c:v>
                </c:pt>
                <c:pt idx="1">
                  <c:v>308.49696771021144</c:v>
                </c:pt>
                <c:pt idx="2">
                  <c:v>166.42599573840354</c:v>
                </c:pt>
                <c:pt idx="3">
                  <c:v>150.18931322733977</c:v>
                </c:pt>
                <c:pt idx="4">
                  <c:v>174.54433699393545</c:v>
                </c:pt>
                <c:pt idx="5">
                  <c:v>1281.8860842484839</c:v>
                </c:pt>
                <c:pt idx="6">
                  <c:v>211.88870676938208</c:v>
                </c:pt>
                <c:pt idx="7">
                  <c:v>21.107687264382886</c:v>
                </c:pt>
                <c:pt idx="8">
                  <c:v>213.51237502048846</c:v>
                </c:pt>
                <c:pt idx="9">
                  <c:v>106.35027044746762</c:v>
                </c:pt>
                <c:pt idx="10">
                  <c:v>146.13014259957384</c:v>
                </c:pt>
                <c:pt idx="11">
                  <c:v>820.76430093427302</c:v>
                </c:pt>
                <c:pt idx="12">
                  <c:v>51.14554990985085</c:v>
                </c:pt>
                <c:pt idx="13">
                  <c:v>9.7420095066382562</c:v>
                </c:pt>
                <c:pt idx="14">
                  <c:v>23.543189641042453</c:v>
                </c:pt>
                <c:pt idx="15">
                  <c:v>13.801180134404195</c:v>
                </c:pt>
                <c:pt idx="16">
                  <c:v>5.6828388788723156</c:v>
                </c:pt>
                <c:pt idx="17">
                  <c:v>8.9301753810850677</c:v>
                </c:pt>
                <c:pt idx="18">
                  <c:v>26.790526143255203</c:v>
                </c:pt>
                <c:pt idx="19">
                  <c:v>10.553843632191443</c:v>
                </c:pt>
                <c:pt idx="20">
                  <c:v>1702.9552972731337</c:v>
                </c:pt>
                <c:pt idx="21">
                  <c:v>1730.5648189539561</c:v>
                </c:pt>
                <c:pt idx="22">
                  <c:v>675.88109074653551</c:v>
                </c:pt>
                <c:pt idx="23">
                  <c:v>406.4121591417076</c:v>
                </c:pt>
                <c:pt idx="24">
                  <c:v>436.23044255699597</c:v>
                </c:pt>
                <c:pt idx="25">
                  <c:v>2817.2755923111313</c:v>
                </c:pt>
                <c:pt idx="26">
                  <c:v>1232.4890478319176</c:v>
                </c:pt>
                <c:pt idx="27">
                  <c:v>93.872373714796595</c:v>
                </c:pt>
                <c:pt idx="28">
                  <c:v>1201.5663835493965</c:v>
                </c:pt>
                <c:pt idx="29">
                  <c:v>297.07845328565043</c:v>
                </c:pt>
                <c:pt idx="30">
                  <c:v>721.16070630308457</c:v>
                </c:pt>
                <c:pt idx="31">
                  <c:v>2725.6119803308002</c:v>
                </c:pt>
                <c:pt idx="32">
                  <c:v>247.38131426016986</c:v>
                </c:pt>
                <c:pt idx="33">
                  <c:v>51.905900759946356</c:v>
                </c:pt>
                <c:pt idx="34">
                  <c:v>176.7009387572642</c:v>
                </c:pt>
                <c:pt idx="35">
                  <c:v>50.801519892713451</c:v>
                </c:pt>
                <c:pt idx="36">
                  <c:v>49.697139025480553</c:v>
                </c:pt>
                <c:pt idx="37">
                  <c:v>68.471613768439866</c:v>
                </c:pt>
                <c:pt idx="38">
                  <c:v>97.18551631649531</c:v>
                </c:pt>
                <c:pt idx="39">
                  <c:v>39.757711220384444</c:v>
                </c:pt>
                <c:pt idx="40">
                  <c:v>4176.3188726433245</c:v>
                </c:pt>
                <c:pt idx="41">
                  <c:v>1733.7697191227394</c:v>
                </c:pt>
                <c:pt idx="42">
                  <c:v>2712.0470373220469</c:v>
                </c:pt>
                <c:pt idx="43">
                  <c:v>1212.7404771065794</c:v>
                </c:pt>
                <c:pt idx="44">
                  <c:v>1115.7212389380531</c:v>
                </c:pt>
                <c:pt idx="45">
                  <c:v>6068.1940169295885</c:v>
                </c:pt>
                <c:pt idx="46">
                  <c:v>1587.3425355906118</c:v>
                </c:pt>
                <c:pt idx="47">
                  <c:v>229.97152751058098</c:v>
                </c:pt>
                <c:pt idx="48">
                  <c:v>1478.6450557906887</c:v>
                </c:pt>
                <c:pt idx="49">
                  <c:v>632.42170065409778</c:v>
                </c:pt>
                <c:pt idx="50">
                  <c:v>1509.1881492881878</c:v>
                </c:pt>
                <c:pt idx="51">
                  <c:v>4064.9264140053865</c:v>
                </c:pt>
                <c:pt idx="52">
                  <c:v>404.24682570219318</c:v>
                </c:pt>
                <c:pt idx="53">
                  <c:v>159.00375144286264</c:v>
                </c:pt>
                <c:pt idx="54">
                  <c:v>274.88784147749135</c:v>
                </c:pt>
                <c:pt idx="55">
                  <c:v>106.00250096190842</c:v>
                </c:pt>
                <c:pt idx="56">
                  <c:v>111.39245863793768</c:v>
                </c:pt>
                <c:pt idx="57">
                  <c:v>89.832627933820703</c:v>
                </c:pt>
                <c:pt idx="58">
                  <c:v>283.87110427087339</c:v>
                </c:pt>
                <c:pt idx="59">
                  <c:v>66.476144671027313</c:v>
                </c:pt>
                <c:pt idx="60">
                  <c:v>1062.3040986180904</c:v>
                </c:pt>
                <c:pt idx="61">
                  <c:v>631.75722361809039</c:v>
                </c:pt>
                <c:pt idx="62">
                  <c:v>513.483040201005</c:v>
                </c:pt>
                <c:pt idx="63">
                  <c:v>713.97220477386929</c:v>
                </c:pt>
                <c:pt idx="64">
                  <c:v>574.0625</c:v>
                </c:pt>
                <c:pt idx="65">
                  <c:v>1924.8402167085426</c:v>
                </c:pt>
                <c:pt idx="66">
                  <c:v>576.9472361809045</c:v>
                </c:pt>
                <c:pt idx="67">
                  <c:v>103.85050251256281</c:v>
                </c:pt>
                <c:pt idx="68">
                  <c:v>549.54224246231149</c:v>
                </c:pt>
                <c:pt idx="69">
                  <c:v>271.88638505025125</c:v>
                </c:pt>
                <c:pt idx="70">
                  <c:v>468.76962939698495</c:v>
                </c:pt>
                <c:pt idx="71">
                  <c:v>1319.7668027638192</c:v>
                </c:pt>
                <c:pt idx="72">
                  <c:v>142.07325690954772</c:v>
                </c:pt>
                <c:pt idx="73">
                  <c:v>53.367619346733669</c:v>
                </c:pt>
                <c:pt idx="74">
                  <c:v>81.493797110552762</c:v>
                </c:pt>
                <c:pt idx="75">
                  <c:v>34.616834170854268</c:v>
                </c:pt>
                <c:pt idx="76">
                  <c:v>26.683809673366834</c:v>
                </c:pt>
                <c:pt idx="77">
                  <c:v>49.040515075376881</c:v>
                </c:pt>
                <c:pt idx="78">
                  <c:v>69.233668341708537</c:v>
                </c:pt>
                <c:pt idx="79">
                  <c:v>17.308417085427134</c:v>
                </c:pt>
                <c:pt idx="80">
                  <c:v>1226.3123111782477</c:v>
                </c:pt>
                <c:pt idx="81">
                  <c:v>469.38160876132929</c:v>
                </c:pt>
                <c:pt idx="82">
                  <c:v>332.37292296072508</c:v>
                </c:pt>
                <c:pt idx="83">
                  <c:v>390.72847432024167</c:v>
                </c:pt>
                <c:pt idx="84">
                  <c:v>667.28304380664645</c:v>
                </c:pt>
                <c:pt idx="85">
                  <c:v>2185.3731117824773</c:v>
                </c:pt>
                <c:pt idx="86">
                  <c:v>435.55230362537765</c:v>
                </c:pt>
                <c:pt idx="87">
                  <c:v>73.578738670694861</c:v>
                </c:pt>
                <c:pt idx="88">
                  <c:v>377.19675226586105</c:v>
                </c:pt>
                <c:pt idx="89">
                  <c:v>318.8412009063444</c:v>
                </c:pt>
                <c:pt idx="90">
                  <c:v>320.53266616314198</c:v>
                </c:pt>
                <c:pt idx="91">
                  <c:v>1710.0713746223566</c:v>
                </c:pt>
                <c:pt idx="92">
                  <c:v>149.6946752265861</c:v>
                </c:pt>
                <c:pt idx="93">
                  <c:v>49.052492447129914</c:v>
                </c:pt>
                <c:pt idx="94">
                  <c:v>63.429947129909365</c:v>
                </c:pt>
                <c:pt idx="95">
                  <c:v>49.8982250755287</c:v>
                </c:pt>
                <c:pt idx="96">
                  <c:v>29.600641993957701</c:v>
                </c:pt>
                <c:pt idx="97">
                  <c:v>42.286631419939575</c:v>
                </c:pt>
                <c:pt idx="98">
                  <c:v>49.8982250755287</c:v>
                </c:pt>
                <c:pt idx="99">
                  <c:v>16.914652567975832</c:v>
                </c:pt>
                <c:pt idx="100">
                  <c:v>3511.3710547296346</c:v>
                </c:pt>
                <c:pt idx="101">
                  <c:v>1020.5641795244572</c:v>
                </c:pt>
                <c:pt idx="102">
                  <c:v>667.8513811377386</c:v>
                </c:pt>
                <c:pt idx="103">
                  <c:v>671.48759555409652</c:v>
                </c:pt>
                <c:pt idx="104">
                  <c:v>934.50710500398634</c:v>
                </c:pt>
                <c:pt idx="105">
                  <c:v>8695.4007409839141</c:v>
                </c:pt>
                <c:pt idx="106">
                  <c:v>1155.1041129297005</c:v>
                </c:pt>
                <c:pt idx="107">
                  <c:v>75.148431271397087</c:v>
                </c:pt>
                <c:pt idx="108">
                  <c:v>942.99160530882159</c:v>
                </c:pt>
                <c:pt idx="109">
                  <c:v>630.27716550204002</c:v>
                </c:pt>
                <c:pt idx="110">
                  <c:v>584.21844956150642</c:v>
                </c:pt>
                <c:pt idx="111">
                  <c:v>5632.4961309384234</c:v>
                </c:pt>
                <c:pt idx="112">
                  <c:v>469.07165971017213</c:v>
                </c:pt>
                <c:pt idx="113">
                  <c:v>93.329503353186709</c:v>
                </c:pt>
                <c:pt idx="114">
                  <c:v>197.56764995544717</c:v>
                </c:pt>
                <c:pt idx="115">
                  <c:v>138.17614782160109</c:v>
                </c:pt>
                <c:pt idx="116">
                  <c:v>53.331144773249541</c:v>
                </c:pt>
                <c:pt idx="117">
                  <c:v>135.75200487736248</c:v>
                </c:pt>
                <c:pt idx="118">
                  <c:v>178.17450640153825</c:v>
                </c:pt>
                <c:pt idx="119">
                  <c:v>58.179430661726776</c:v>
                </c:pt>
                <c:pt idx="120">
                  <c:v>5293.0668275478001</c:v>
                </c:pt>
                <c:pt idx="121">
                  <c:v>5375.0059402264706</c:v>
                </c:pt>
                <c:pt idx="122">
                  <c:v>2372.2372377946908</c:v>
                </c:pt>
                <c:pt idx="123">
                  <c:v>1869.6107295340635</c:v>
                </c:pt>
                <c:pt idx="124">
                  <c:v>1714.7258214219416</c:v>
                </c:pt>
                <c:pt idx="125">
                  <c:v>10427.251717096713</c:v>
                </c:pt>
                <c:pt idx="126">
                  <c:v>18350.364210135511</c:v>
                </c:pt>
                <c:pt idx="127">
                  <c:v>333.75199554483015</c:v>
                </c:pt>
                <c:pt idx="128">
                  <c:v>5323.0445516985328</c:v>
                </c:pt>
                <c:pt idx="129">
                  <c:v>1301.033228141823</c:v>
                </c:pt>
                <c:pt idx="130">
                  <c:v>2691.0003712641546</c:v>
                </c:pt>
                <c:pt idx="131">
                  <c:v>16261.916094301096</c:v>
                </c:pt>
                <c:pt idx="132">
                  <c:v>5605.8344161871173</c:v>
                </c:pt>
                <c:pt idx="133">
                  <c:v>258.80768516799702</c:v>
                </c:pt>
                <c:pt idx="134">
                  <c:v>1630.7881937998886</c:v>
                </c:pt>
                <c:pt idx="135">
                  <c:v>208.84481158344161</c:v>
                </c:pt>
                <c:pt idx="136">
                  <c:v>197.85297939483942</c:v>
                </c:pt>
                <c:pt idx="137">
                  <c:v>758.43642101355113</c:v>
                </c:pt>
                <c:pt idx="138">
                  <c:v>474.64729905327641</c:v>
                </c:pt>
                <c:pt idx="139">
                  <c:v>296.77946909225915</c:v>
                </c:pt>
                <c:pt idx="140">
                  <c:v>438.98548567175288</c:v>
                </c:pt>
                <c:pt idx="141">
                  <c:v>312.65872720506138</c:v>
                </c:pt>
                <c:pt idx="142">
                  <c:v>220.28228507629325</c:v>
                </c:pt>
                <c:pt idx="143">
                  <c:v>234.49404540379604</c:v>
                </c:pt>
                <c:pt idx="144">
                  <c:v>195.8064756233718</c:v>
                </c:pt>
                <c:pt idx="145">
                  <c:v>877.97097134350577</c:v>
                </c:pt>
                <c:pt idx="146">
                  <c:v>255.81168589505023</c:v>
                </c:pt>
                <c:pt idx="147">
                  <c:v>100.27186453293635</c:v>
                </c:pt>
                <c:pt idx="148">
                  <c:v>266.86527726088576</c:v>
                </c:pt>
                <c:pt idx="149">
                  <c:v>120.79996278377372</c:v>
                </c:pt>
                <c:pt idx="150">
                  <c:v>356.08355042798661</c:v>
                </c:pt>
                <c:pt idx="151">
                  <c:v>555.04819501302575</c:v>
                </c:pt>
                <c:pt idx="152">
                  <c:v>71.058801637513952</c:v>
                </c:pt>
                <c:pt idx="153">
                  <c:v>79.743766282099003</c:v>
                </c:pt>
                <c:pt idx="154">
                  <c:v>42.63528098250837</c:v>
                </c:pt>
                <c:pt idx="155">
                  <c:v>11.843133606252326</c:v>
                </c:pt>
                <c:pt idx="156">
                  <c:v>27.633978414588761</c:v>
                </c:pt>
                <c:pt idx="157">
                  <c:v>25.265351693338296</c:v>
                </c:pt>
                <c:pt idx="158">
                  <c:v>38.687569780424269</c:v>
                </c:pt>
                <c:pt idx="159">
                  <c:v>11.053591365835505</c:v>
                </c:pt>
                <c:pt idx="160">
                  <c:v>5385.3936755270388</c:v>
                </c:pt>
                <c:pt idx="161">
                  <c:v>4538.1983272227317</c:v>
                </c:pt>
                <c:pt idx="162">
                  <c:v>2149.6728918423469</c:v>
                </c:pt>
                <c:pt idx="163">
                  <c:v>1616.3980293308891</c:v>
                </c:pt>
                <c:pt idx="164">
                  <c:v>1211.811067827681</c:v>
                </c:pt>
                <c:pt idx="165">
                  <c:v>9445.8869156736928</c:v>
                </c:pt>
                <c:pt idx="166">
                  <c:v>5369.7951420714944</c:v>
                </c:pt>
                <c:pt idx="167">
                  <c:v>309.04594408799267</c:v>
                </c:pt>
                <c:pt idx="168">
                  <c:v>9357.1702566452805</c:v>
                </c:pt>
                <c:pt idx="169">
                  <c:v>880.34223189734189</c:v>
                </c:pt>
                <c:pt idx="170">
                  <c:v>3087.5347158570116</c:v>
                </c:pt>
                <c:pt idx="171">
                  <c:v>8890.1891613198895</c:v>
                </c:pt>
                <c:pt idx="172">
                  <c:v>1983.9384738771769</c:v>
                </c:pt>
                <c:pt idx="173">
                  <c:v>275.89906049495875</c:v>
                </c:pt>
                <c:pt idx="174">
                  <c:v>3353.684692942255</c:v>
                </c:pt>
                <c:pt idx="175">
                  <c:v>128.6879010082493</c:v>
                </c:pt>
                <c:pt idx="176">
                  <c:v>281.74851054078829</c:v>
                </c:pt>
                <c:pt idx="177">
                  <c:v>263.22525206232814</c:v>
                </c:pt>
                <c:pt idx="178">
                  <c:v>840.3709899175069</c:v>
                </c:pt>
                <c:pt idx="179">
                  <c:v>194.00675985334556</c:v>
                </c:pt>
                <c:pt idx="180">
                  <c:v>2714.4944885820059</c:v>
                </c:pt>
                <c:pt idx="181">
                  <c:v>971.70126034690736</c:v>
                </c:pt>
                <c:pt idx="182">
                  <c:v>503.61291127656921</c:v>
                </c:pt>
                <c:pt idx="183">
                  <c:v>754.3745268499647</c:v>
                </c:pt>
                <c:pt idx="184">
                  <c:v>1248.5838775425316</c:v>
                </c:pt>
                <c:pt idx="185">
                  <c:v>6546.9678465954003</c:v>
                </c:pt>
                <c:pt idx="186">
                  <c:v>1014.5397030073624</c:v>
                </c:pt>
                <c:pt idx="187">
                  <c:v>216.28189343205358</c:v>
                </c:pt>
                <c:pt idx="188">
                  <c:v>945.58025872467863</c:v>
                </c:pt>
                <c:pt idx="189">
                  <c:v>1982.0616030947131</c:v>
                </c:pt>
                <c:pt idx="190">
                  <c:v>709.44640405973132</c:v>
                </c:pt>
                <c:pt idx="191">
                  <c:v>5911.7050871427982</c:v>
                </c:pt>
                <c:pt idx="192">
                  <c:v>434.6534669938855</c:v>
                </c:pt>
                <c:pt idx="193">
                  <c:v>140.00856869514578</c:v>
                </c:pt>
                <c:pt idx="194">
                  <c:v>152.54664947381556</c:v>
                </c:pt>
                <c:pt idx="195">
                  <c:v>417.93602595565909</c:v>
                </c:pt>
                <c:pt idx="196">
                  <c:v>58.511043633792269</c:v>
                </c:pt>
                <c:pt idx="197">
                  <c:v>138.96372863025664</c:v>
                </c:pt>
                <c:pt idx="198">
                  <c:v>178.66765109604427</c:v>
                </c:pt>
                <c:pt idx="199">
                  <c:v>78.363004866686069</c:v>
                </c:pt>
                <c:pt idx="200">
                  <c:v>4527.2320768662239</c:v>
                </c:pt>
                <c:pt idx="201">
                  <c:v>3217.07270879527</c:v>
                </c:pt>
                <c:pt idx="202">
                  <c:v>2514.271988174427</c:v>
                </c:pt>
                <c:pt idx="203">
                  <c:v>1911.733647450111</c:v>
                </c:pt>
                <c:pt idx="204">
                  <c:v>1410.4217479674796</c:v>
                </c:pt>
                <c:pt idx="205">
                  <c:v>7993.0326127124908</c:v>
                </c:pt>
                <c:pt idx="206">
                  <c:v>2708.0483185513672</c:v>
                </c:pt>
                <c:pt idx="207">
                  <c:v>492.63534737620103</c:v>
                </c:pt>
                <c:pt idx="208">
                  <c:v>3739.5939578713969</c:v>
                </c:pt>
                <c:pt idx="209">
                  <c:v>826.20057280118249</c:v>
                </c:pt>
                <c:pt idx="210">
                  <c:v>10013.705192165558</c:v>
                </c:pt>
                <c:pt idx="211">
                  <c:v>5775.6915188470066</c:v>
                </c:pt>
                <c:pt idx="212">
                  <c:v>1030.5815779748707</c:v>
                </c:pt>
                <c:pt idx="213">
                  <c:v>594.82584996304502</c:v>
                </c:pt>
                <c:pt idx="214">
                  <c:v>942.85199556541022</c:v>
                </c:pt>
                <c:pt idx="215">
                  <c:v>120.50766814486327</c:v>
                </c:pt>
                <c:pt idx="216">
                  <c:v>735.57880635624542</c:v>
                </c:pt>
                <c:pt idx="217">
                  <c:v>214.02161862527714</c:v>
                </c:pt>
                <c:pt idx="218">
                  <c:v>3233.461751662971</c:v>
                </c:pt>
                <c:pt idx="219">
                  <c:v>173.5310421286031</c:v>
                </c:pt>
                <c:pt idx="220">
                  <c:v>8229.4601703357876</c:v>
                </c:pt>
                <c:pt idx="221">
                  <c:v>4349.7537553962457</c:v>
                </c:pt>
                <c:pt idx="222">
                  <c:v>1791.9906334850468</c:v>
                </c:pt>
                <c:pt idx="223">
                  <c:v>1955.9365049909165</c:v>
                </c:pt>
                <c:pt idx="224">
                  <c:v>2225.7208505069052</c:v>
                </c:pt>
                <c:pt idx="225">
                  <c:v>18836.13547750669</c:v>
                </c:pt>
                <c:pt idx="226">
                  <c:v>7381.7147461567019</c:v>
                </c:pt>
                <c:pt idx="227">
                  <c:v>310.25199734338679</c:v>
                </c:pt>
                <c:pt idx="228">
                  <c:v>4123.5499580020705</c:v>
                </c:pt>
                <c:pt idx="229">
                  <c:v>1947.6354482058093</c:v>
                </c:pt>
                <c:pt idx="230">
                  <c:v>2110.5436876135409</c:v>
                </c:pt>
                <c:pt idx="231">
                  <c:v>45782.40343406325</c:v>
                </c:pt>
                <c:pt idx="232">
                  <c:v>2746.6121637723904</c:v>
                </c:pt>
                <c:pt idx="233">
                  <c:v>226.20379739417498</c:v>
                </c:pt>
                <c:pt idx="234">
                  <c:v>762.65959213173676</c:v>
                </c:pt>
                <c:pt idx="235">
                  <c:v>433.73021702185849</c:v>
                </c:pt>
                <c:pt idx="236">
                  <c:v>154.60718262262418</c:v>
                </c:pt>
                <c:pt idx="237">
                  <c:v>1647.7597718438069</c:v>
                </c:pt>
                <c:pt idx="238">
                  <c:v>447.21943429765793</c:v>
                </c:pt>
                <c:pt idx="239">
                  <c:v>775.11117730939782</c:v>
                </c:pt>
                <c:pt idx="240">
                  <c:v>2460.7754489825716</c:v>
                </c:pt>
                <c:pt idx="241">
                  <c:v>2279.1940348036155</c:v>
                </c:pt>
                <c:pt idx="242">
                  <c:v>902.94583007021788</c:v>
                </c:pt>
                <c:pt idx="243">
                  <c:v>1002.1706465614506</c:v>
                </c:pt>
                <c:pt idx="244">
                  <c:v>603.28688426669498</c:v>
                </c:pt>
                <c:pt idx="245">
                  <c:v>4673.4888567370617</c:v>
                </c:pt>
                <c:pt idx="246">
                  <c:v>13315.970373123431</c:v>
                </c:pt>
                <c:pt idx="247">
                  <c:v>156.7752100561477</c:v>
                </c:pt>
                <c:pt idx="248">
                  <c:v>2792.1863360632892</c:v>
                </c:pt>
                <c:pt idx="249">
                  <c:v>731.28689754038521</c:v>
                </c:pt>
                <c:pt idx="250">
                  <c:v>1272.0621474176037</c:v>
                </c:pt>
                <c:pt idx="251">
                  <c:v>10370.977819663645</c:v>
                </c:pt>
                <c:pt idx="252">
                  <c:v>29606.700744654023</c:v>
                </c:pt>
                <c:pt idx="253">
                  <c:v>176.62017335439427</c:v>
                </c:pt>
                <c:pt idx="254">
                  <c:v>2061.8916866878162</c:v>
                </c:pt>
                <c:pt idx="255">
                  <c:v>157.76745822106002</c:v>
                </c:pt>
                <c:pt idx="256">
                  <c:v>186.54265500351752</c:v>
                </c:pt>
                <c:pt idx="257">
                  <c:v>1333.5815336421679</c:v>
                </c:pt>
                <c:pt idx="258">
                  <c:v>353.24034670878854</c:v>
                </c:pt>
                <c:pt idx="259">
                  <c:v>315.53491644212005</c:v>
                </c:pt>
                <c:pt idx="260">
                  <c:v>1176.5781691951659</c:v>
                </c:pt>
                <c:pt idx="261">
                  <c:v>1078.750321419388</c:v>
                </c:pt>
                <c:pt idx="262">
                  <c:v>615.16970943687329</c:v>
                </c:pt>
                <c:pt idx="263">
                  <c:v>620.45770120853695</c:v>
                </c:pt>
                <c:pt idx="264">
                  <c:v>428.32733350475695</c:v>
                </c:pt>
                <c:pt idx="265">
                  <c:v>2061.4354589868863</c:v>
                </c:pt>
                <c:pt idx="266">
                  <c:v>805.53741321676512</c:v>
                </c:pt>
                <c:pt idx="267">
                  <c:v>286.43288763178197</c:v>
                </c:pt>
                <c:pt idx="268">
                  <c:v>705.94690151709949</c:v>
                </c:pt>
                <c:pt idx="269">
                  <c:v>300.53419902288505</c:v>
                </c:pt>
                <c:pt idx="270">
                  <c:v>1982.1155824119312</c:v>
                </c:pt>
                <c:pt idx="271">
                  <c:v>1764.4265878117767</c:v>
                </c:pt>
                <c:pt idx="272">
                  <c:v>393.95538698894319</c:v>
                </c:pt>
                <c:pt idx="273">
                  <c:v>6209.8650038570331</c:v>
                </c:pt>
                <c:pt idx="274">
                  <c:v>210.63833890460273</c:v>
                </c:pt>
                <c:pt idx="275">
                  <c:v>65.218565183851894</c:v>
                </c:pt>
                <c:pt idx="276">
                  <c:v>1071.6996657238365</c:v>
                </c:pt>
                <c:pt idx="277">
                  <c:v>118.97981486243249</c:v>
                </c:pt>
                <c:pt idx="278">
                  <c:v>525.27384931859092</c:v>
                </c:pt>
                <c:pt idx="279">
                  <c:v>143.65710979686295</c:v>
                </c:pt>
                <c:pt idx="280">
                  <c:v>1191.1255292002552</c:v>
                </c:pt>
                <c:pt idx="281">
                  <c:v>1391.2628312938584</c:v>
                </c:pt>
                <c:pt idx="282">
                  <c:v>436.42275126138139</c:v>
                </c:pt>
                <c:pt idx="283">
                  <c:v>432.01444064257959</c:v>
                </c:pt>
                <c:pt idx="284">
                  <c:v>306.81841906860757</c:v>
                </c:pt>
                <c:pt idx="285">
                  <c:v>2155.6638925940961</c:v>
                </c:pt>
                <c:pt idx="286">
                  <c:v>3121.0839181116976</c:v>
                </c:pt>
                <c:pt idx="287">
                  <c:v>104.91779272748362</c:v>
                </c:pt>
                <c:pt idx="288">
                  <c:v>3065.5392043147945</c:v>
                </c:pt>
                <c:pt idx="289">
                  <c:v>310.34506756364902</c:v>
                </c:pt>
                <c:pt idx="290">
                  <c:v>999.80484834425567</c:v>
                </c:pt>
                <c:pt idx="291">
                  <c:v>2914.7749811517715</c:v>
                </c:pt>
                <c:pt idx="292">
                  <c:v>2736.6792321521775</c:v>
                </c:pt>
                <c:pt idx="293">
                  <c:v>157.81752015310559</c:v>
                </c:pt>
                <c:pt idx="294">
                  <c:v>9837.5859769181698</c:v>
                </c:pt>
                <c:pt idx="295">
                  <c:v>60.834686539465295</c:v>
                </c:pt>
                <c:pt idx="296">
                  <c:v>147.23757466798122</c:v>
                </c:pt>
                <c:pt idx="297">
                  <c:v>161.34416864814708</c:v>
                </c:pt>
                <c:pt idx="298">
                  <c:v>751.17612944383234</c:v>
                </c:pt>
                <c:pt idx="299">
                  <c:v>122.55103520269094</c:v>
                </c:pt>
                <c:pt idx="300">
                  <c:v>1040.1769457622772</c:v>
                </c:pt>
                <c:pt idx="301">
                  <c:v>594.51339915373774</c:v>
                </c:pt>
                <c:pt idx="302">
                  <c:v>246.31106552122066</c:v>
                </c:pt>
                <c:pt idx="303">
                  <c:v>347.31632260546223</c:v>
                </c:pt>
                <c:pt idx="304">
                  <c:v>479.33196563662005</c:v>
                </c:pt>
                <c:pt idx="305">
                  <c:v>2837.8933196563662</c:v>
                </c:pt>
                <c:pt idx="306">
                  <c:v>528.94858315168619</c:v>
                </c:pt>
                <c:pt idx="307">
                  <c:v>79.740992434927549</c:v>
                </c:pt>
                <c:pt idx="308">
                  <c:v>421.7412488780613</c:v>
                </c:pt>
                <c:pt idx="309">
                  <c:v>826.64828824208234</c:v>
                </c:pt>
                <c:pt idx="310">
                  <c:v>268.46134119758943</c:v>
                </c:pt>
                <c:pt idx="311">
                  <c:v>4381.3245287857417</c:v>
                </c:pt>
                <c:pt idx="312">
                  <c:v>344.65828952429797</c:v>
                </c:pt>
                <c:pt idx="313">
                  <c:v>50.502628542120782</c:v>
                </c:pt>
                <c:pt idx="314">
                  <c:v>94.803179894858317</c:v>
                </c:pt>
                <c:pt idx="315">
                  <c:v>788.54981407872799</c:v>
                </c:pt>
                <c:pt idx="316">
                  <c:v>26.580330811642519</c:v>
                </c:pt>
                <c:pt idx="317">
                  <c:v>266.68931914347991</c:v>
                </c:pt>
                <c:pt idx="318">
                  <c:v>76.196948326708551</c:v>
                </c:pt>
                <c:pt idx="319">
                  <c:v>119.61148865239132</c:v>
                </c:pt>
                <c:pt idx="320">
                  <c:v>1003.9778926359961</c:v>
                </c:pt>
                <c:pt idx="321">
                  <c:v>933.80236425976148</c:v>
                </c:pt>
                <c:pt idx="322">
                  <c:v>506.19947802057209</c:v>
                </c:pt>
                <c:pt idx="323">
                  <c:v>537.07671050611532</c:v>
                </c:pt>
                <c:pt idx="324">
                  <c:v>319.06473568394654</c:v>
                </c:pt>
                <c:pt idx="325">
                  <c:v>1783.3940944680417</c:v>
                </c:pt>
                <c:pt idx="326">
                  <c:v>737.31088480630467</c:v>
                </c:pt>
                <c:pt idx="327">
                  <c:v>190.87743718335807</c:v>
                </c:pt>
                <c:pt idx="328">
                  <c:v>742.92492707640349</c:v>
                </c:pt>
                <c:pt idx="329">
                  <c:v>232.9827542090988</c:v>
                </c:pt>
                <c:pt idx="330">
                  <c:v>3039.0682155467994</c:v>
                </c:pt>
                <c:pt idx="331">
                  <c:v>1427.8380840284531</c:v>
                </c:pt>
                <c:pt idx="332">
                  <c:v>315.32204083721405</c:v>
                </c:pt>
                <c:pt idx="333">
                  <c:v>1412.8673046415231</c:v>
                </c:pt>
                <c:pt idx="334">
                  <c:v>284.44480835167082</c:v>
                </c:pt>
                <c:pt idx="335">
                  <c:v>65.49715981781894</c:v>
                </c:pt>
                <c:pt idx="336">
                  <c:v>2660.1203623151323</c:v>
                </c:pt>
                <c:pt idx="337">
                  <c:v>81.403612916432124</c:v>
                </c:pt>
                <c:pt idx="338">
                  <c:v>1932.1662146256588</c:v>
                </c:pt>
                <c:pt idx="339">
                  <c:v>77.660918069699605</c:v>
                </c:pt>
                <c:pt idx="340">
                  <c:v>1358.0683105631458</c:v>
                </c:pt>
                <c:pt idx="341">
                  <c:v>969.77418638231711</c:v>
                </c:pt>
                <c:pt idx="342">
                  <c:v>333.51005220482057</c:v>
                </c:pt>
                <c:pt idx="343">
                  <c:v>431.54470731978228</c:v>
                </c:pt>
                <c:pt idx="344">
                  <c:v>346.96578918138397</c:v>
                </c:pt>
                <c:pt idx="345">
                  <c:v>2923.7394201932689</c:v>
                </c:pt>
                <c:pt idx="346">
                  <c:v>2989.0958569365766</c:v>
                </c:pt>
                <c:pt idx="347">
                  <c:v>85.54004220815284</c:v>
                </c:pt>
                <c:pt idx="348">
                  <c:v>1011.1025213817616</c:v>
                </c:pt>
                <c:pt idx="349">
                  <c:v>470.95079417971789</c:v>
                </c:pt>
                <c:pt idx="350">
                  <c:v>442.11707208708208</c:v>
                </c:pt>
                <c:pt idx="351">
                  <c:v>13775.791291791626</c:v>
                </c:pt>
                <c:pt idx="352">
                  <c:v>3939.6475619238031</c:v>
                </c:pt>
                <c:pt idx="353">
                  <c:v>61.51194046428968</c:v>
                </c:pt>
                <c:pt idx="354">
                  <c:v>348.88803732089303</c:v>
                </c:pt>
                <c:pt idx="355">
                  <c:v>161.46884371876041</c:v>
                </c:pt>
                <c:pt idx="356">
                  <c:v>53.822947906253475</c:v>
                </c:pt>
                <c:pt idx="357">
                  <c:v>3338.9450183272247</c:v>
                </c:pt>
                <c:pt idx="358">
                  <c:v>126.86837720759748</c:v>
                </c:pt>
                <c:pt idx="359">
                  <c:v>1442.6472287015438</c:v>
                </c:pt>
                <c:pt idx="360">
                  <c:v>1474.8996742671009</c:v>
                </c:pt>
                <c:pt idx="361">
                  <c:v>1343.3570032573291</c:v>
                </c:pt>
                <c:pt idx="362">
                  <c:v>715.37589576547236</c:v>
                </c:pt>
                <c:pt idx="363">
                  <c:v>751.41498371335513</c:v>
                </c:pt>
                <c:pt idx="364">
                  <c:v>451.38957654723123</c:v>
                </c:pt>
                <c:pt idx="365">
                  <c:v>2710.1394136807817</c:v>
                </c:pt>
                <c:pt idx="366">
                  <c:v>1365.8814332247557</c:v>
                </c:pt>
                <c:pt idx="367">
                  <c:v>198.21498371335505</c:v>
                </c:pt>
                <c:pt idx="368">
                  <c:v>1649.6892508143321</c:v>
                </c:pt>
                <c:pt idx="369">
                  <c:v>340.56938110749184</c:v>
                </c:pt>
                <c:pt idx="370">
                  <c:v>5326.5771986970685</c:v>
                </c:pt>
                <c:pt idx="371">
                  <c:v>2875.0182410423454</c:v>
                </c:pt>
                <c:pt idx="372">
                  <c:v>666.72312703583054</c:v>
                </c:pt>
                <c:pt idx="373">
                  <c:v>631.58501628664499</c:v>
                </c:pt>
                <c:pt idx="374">
                  <c:v>1332.5452768729642</c:v>
                </c:pt>
                <c:pt idx="375">
                  <c:v>81.087947882736159</c:v>
                </c:pt>
                <c:pt idx="376">
                  <c:v>2747.9804560260586</c:v>
                </c:pt>
                <c:pt idx="377">
                  <c:v>156.77003257328991</c:v>
                </c:pt>
                <c:pt idx="378">
                  <c:v>11020.75309446254</c:v>
                </c:pt>
                <c:pt idx="379">
                  <c:v>118.02801302931597</c:v>
                </c:pt>
                <c:pt idx="380">
                  <c:v>651.08024519364722</c:v>
                </c:pt>
                <c:pt idx="381">
                  <c:v>570.13994148787958</c:v>
                </c:pt>
                <c:pt idx="382">
                  <c:v>206.35330175536362</c:v>
                </c:pt>
                <c:pt idx="383">
                  <c:v>226.81074115352465</c:v>
                </c:pt>
                <c:pt idx="384">
                  <c:v>185.00640847032599</c:v>
                </c:pt>
                <c:pt idx="385">
                  <c:v>1055.7817637224853</c:v>
                </c:pt>
                <c:pt idx="386">
                  <c:v>1194.53657007523</c:v>
                </c:pt>
                <c:pt idx="387">
                  <c:v>76.493034271384786</c:v>
                </c:pt>
                <c:pt idx="388">
                  <c:v>617.28099749233775</c:v>
                </c:pt>
                <c:pt idx="389">
                  <c:v>249.04708832543886</c:v>
                </c:pt>
                <c:pt idx="390">
                  <c:v>255.27326553357483</c:v>
                </c:pt>
                <c:pt idx="391">
                  <c:v>5528.8453608247428</c:v>
                </c:pt>
                <c:pt idx="392">
                  <c:v>976.62036779047094</c:v>
                </c:pt>
                <c:pt idx="393">
                  <c:v>103.17665087768181</c:v>
                </c:pt>
                <c:pt idx="394">
                  <c:v>194.79040122596822</c:v>
                </c:pt>
                <c:pt idx="395">
                  <c:v>75.60358038450822</c:v>
                </c:pt>
                <c:pt idx="396">
                  <c:v>32.020339927556421</c:v>
                </c:pt>
                <c:pt idx="397">
                  <c:v>3536.4686542212312</c:v>
                </c:pt>
                <c:pt idx="398">
                  <c:v>124.52354416271943</c:v>
                </c:pt>
                <c:pt idx="399">
                  <c:v>9678.1477431039293</c:v>
                </c:pt>
              </c:numCache>
            </c:numRef>
          </c:xVal>
          <c:yVal>
            <c:numRef>
              <c:f>calibration_flow!$CY$2:$CY$401</c:f>
              <c:numCache>
                <c:formatCode>_(* #,##0_);_(* \(#,##0\);_(* "-"??_);_(@_)</c:formatCode>
                <c:ptCount val="400"/>
                <c:pt idx="0">
                  <c:v>1361.0000000000005</c:v>
                </c:pt>
                <c:pt idx="1">
                  <c:v>288.00000000000011</c:v>
                </c:pt>
                <c:pt idx="2">
                  <c:v>162.00000000000006</c:v>
                </c:pt>
                <c:pt idx="3">
                  <c:v>257.00000000000011</c:v>
                </c:pt>
                <c:pt idx="4">
                  <c:v>229.00000000000009</c:v>
                </c:pt>
                <c:pt idx="5">
                  <c:v>1432.0000000000005</c:v>
                </c:pt>
                <c:pt idx="6">
                  <c:v>130.00000000000006</c:v>
                </c:pt>
                <c:pt idx="7">
                  <c:v>35.000000000000014</c:v>
                </c:pt>
                <c:pt idx="8">
                  <c:v>165.00000000000006</c:v>
                </c:pt>
                <c:pt idx="9">
                  <c:v>114.00000000000004</c:v>
                </c:pt>
                <c:pt idx="10">
                  <c:v>124.00000000000004</c:v>
                </c:pt>
                <c:pt idx="11">
                  <c:v>572.00000000000023</c:v>
                </c:pt>
                <c:pt idx="12">
                  <c:v>12.000000000000004</c:v>
                </c:pt>
                <c:pt idx="13">
                  <c:v>14.000000000000005</c:v>
                </c:pt>
                <c:pt idx="14">
                  <c:v>15.000000000000005</c:v>
                </c:pt>
                <c:pt idx="15">
                  <c:v>10.000000000000004</c:v>
                </c:pt>
                <c:pt idx="16">
                  <c:v>7.0000000000000027</c:v>
                </c:pt>
                <c:pt idx="17">
                  <c:v>5.0000000000000018</c:v>
                </c:pt>
                <c:pt idx="18">
                  <c:v>16.000000000000007</c:v>
                </c:pt>
                <c:pt idx="19">
                  <c:v>5.0000000000000018</c:v>
                </c:pt>
                <c:pt idx="20">
                  <c:v>1743</c:v>
                </c:pt>
                <c:pt idx="21">
                  <c:v>2317</c:v>
                </c:pt>
                <c:pt idx="22">
                  <c:v>618</c:v>
                </c:pt>
                <c:pt idx="23">
                  <c:v>464</c:v>
                </c:pt>
                <c:pt idx="24">
                  <c:v>450</c:v>
                </c:pt>
                <c:pt idx="25">
                  <c:v>3028</c:v>
                </c:pt>
                <c:pt idx="26">
                  <c:v>1105</c:v>
                </c:pt>
                <c:pt idx="27">
                  <c:v>85</c:v>
                </c:pt>
                <c:pt idx="28">
                  <c:v>1161</c:v>
                </c:pt>
                <c:pt idx="29">
                  <c:v>317</c:v>
                </c:pt>
                <c:pt idx="30">
                  <c:v>408</c:v>
                </c:pt>
                <c:pt idx="31">
                  <c:v>2816</c:v>
                </c:pt>
                <c:pt idx="32">
                  <c:v>63</c:v>
                </c:pt>
                <c:pt idx="33">
                  <c:v>34</c:v>
                </c:pt>
                <c:pt idx="34">
                  <c:v>94</c:v>
                </c:pt>
                <c:pt idx="35">
                  <c:v>28</c:v>
                </c:pt>
                <c:pt idx="36">
                  <c:v>21</c:v>
                </c:pt>
                <c:pt idx="37">
                  <c:v>11</c:v>
                </c:pt>
                <c:pt idx="38">
                  <c:v>49</c:v>
                </c:pt>
                <c:pt idx="39">
                  <c:v>11</c:v>
                </c:pt>
                <c:pt idx="40">
                  <c:v>4545</c:v>
                </c:pt>
                <c:pt idx="41">
                  <c:v>2214</c:v>
                </c:pt>
                <c:pt idx="42">
                  <c:v>2669</c:v>
                </c:pt>
                <c:pt idx="43">
                  <c:v>1477</c:v>
                </c:pt>
                <c:pt idx="44">
                  <c:v>1157</c:v>
                </c:pt>
                <c:pt idx="45">
                  <c:v>6681</c:v>
                </c:pt>
                <c:pt idx="46">
                  <c:v>1080</c:v>
                </c:pt>
                <c:pt idx="47">
                  <c:v>326</c:v>
                </c:pt>
                <c:pt idx="48">
                  <c:v>1395</c:v>
                </c:pt>
                <c:pt idx="49">
                  <c:v>627</c:v>
                </c:pt>
                <c:pt idx="50">
                  <c:v>1749</c:v>
                </c:pt>
                <c:pt idx="51">
                  <c:v>3436</c:v>
                </c:pt>
                <c:pt idx="52">
                  <c:v>88</c:v>
                </c:pt>
                <c:pt idx="53">
                  <c:v>94</c:v>
                </c:pt>
                <c:pt idx="54">
                  <c:v>92</c:v>
                </c:pt>
                <c:pt idx="55">
                  <c:v>57</c:v>
                </c:pt>
                <c:pt idx="56">
                  <c:v>92</c:v>
                </c:pt>
                <c:pt idx="57">
                  <c:v>13</c:v>
                </c:pt>
                <c:pt idx="58">
                  <c:v>214</c:v>
                </c:pt>
                <c:pt idx="59">
                  <c:v>11</c:v>
                </c:pt>
                <c:pt idx="60">
                  <c:v>1275</c:v>
                </c:pt>
                <c:pt idx="61">
                  <c:v>627</c:v>
                </c:pt>
                <c:pt idx="62">
                  <c:v>493</c:v>
                </c:pt>
                <c:pt idx="63">
                  <c:v>949</c:v>
                </c:pt>
                <c:pt idx="64">
                  <c:v>534</c:v>
                </c:pt>
                <c:pt idx="65">
                  <c:v>2369</c:v>
                </c:pt>
                <c:pt idx="66">
                  <c:v>279</c:v>
                </c:pt>
                <c:pt idx="67">
                  <c:v>147</c:v>
                </c:pt>
                <c:pt idx="68">
                  <c:v>406</c:v>
                </c:pt>
                <c:pt idx="69">
                  <c:v>347</c:v>
                </c:pt>
                <c:pt idx="70">
                  <c:v>445</c:v>
                </c:pt>
                <c:pt idx="71">
                  <c:v>1086</c:v>
                </c:pt>
                <c:pt idx="72">
                  <c:v>32</c:v>
                </c:pt>
                <c:pt idx="73">
                  <c:v>47</c:v>
                </c:pt>
                <c:pt idx="74">
                  <c:v>26</c:v>
                </c:pt>
                <c:pt idx="75">
                  <c:v>33</c:v>
                </c:pt>
                <c:pt idx="76">
                  <c:v>26</c:v>
                </c:pt>
                <c:pt idx="77">
                  <c:v>11</c:v>
                </c:pt>
                <c:pt idx="78">
                  <c:v>46</c:v>
                </c:pt>
                <c:pt idx="79">
                  <c:v>7</c:v>
                </c:pt>
                <c:pt idx="80">
                  <c:v>1109.0000000000002</c:v>
                </c:pt>
                <c:pt idx="81">
                  <c:v>491.00000000000011</c:v>
                </c:pt>
                <c:pt idx="82">
                  <c:v>245.00000000000006</c:v>
                </c:pt>
                <c:pt idx="83">
                  <c:v>417.00000000000011</c:v>
                </c:pt>
                <c:pt idx="84">
                  <c:v>823.00000000000023</c:v>
                </c:pt>
                <c:pt idx="85">
                  <c:v>3257.0000000000009</c:v>
                </c:pt>
                <c:pt idx="86">
                  <c:v>254.00000000000006</c:v>
                </c:pt>
                <c:pt idx="87">
                  <c:v>95.000000000000014</c:v>
                </c:pt>
                <c:pt idx="88">
                  <c:v>263.00000000000006</c:v>
                </c:pt>
                <c:pt idx="89">
                  <c:v>431.00000000000011</c:v>
                </c:pt>
                <c:pt idx="90">
                  <c:v>197.00000000000006</c:v>
                </c:pt>
                <c:pt idx="91">
                  <c:v>1177.0000000000002</c:v>
                </c:pt>
                <c:pt idx="92">
                  <c:v>25.000000000000007</c:v>
                </c:pt>
                <c:pt idx="93">
                  <c:v>31.000000000000007</c:v>
                </c:pt>
                <c:pt idx="94">
                  <c:v>19.000000000000004</c:v>
                </c:pt>
                <c:pt idx="95">
                  <c:v>54.000000000000014</c:v>
                </c:pt>
                <c:pt idx="96">
                  <c:v>7.0000000000000018</c:v>
                </c:pt>
                <c:pt idx="97">
                  <c:v>9.0000000000000018</c:v>
                </c:pt>
                <c:pt idx="98">
                  <c:v>44.000000000000007</c:v>
                </c:pt>
                <c:pt idx="99">
                  <c:v>10.000000000000002</c:v>
                </c:pt>
                <c:pt idx="100">
                  <c:v>3237.9999999999995</c:v>
                </c:pt>
                <c:pt idx="101">
                  <c:v>1483.9999999999998</c:v>
                </c:pt>
                <c:pt idx="102">
                  <c:v>602.99999999999989</c:v>
                </c:pt>
                <c:pt idx="103">
                  <c:v>817.99999999999989</c:v>
                </c:pt>
                <c:pt idx="104">
                  <c:v>1216.9999999999998</c:v>
                </c:pt>
                <c:pt idx="105">
                  <c:v>11088.999999999998</c:v>
                </c:pt>
                <c:pt idx="106">
                  <c:v>701.99999999999989</c:v>
                </c:pt>
                <c:pt idx="107">
                  <c:v>179.99999999999997</c:v>
                </c:pt>
                <c:pt idx="108">
                  <c:v>734.99999999999989</c:v>
                </c:pt>
                <c:pt idx="109">
                  <c:v>708.99999999999989</c:v>
                </c:pt>
                <c:pt idx="110">
                  <c:v>415.99999999999994</c:v>
                </c:pt>
                <c:pt idx="111">
                  <c:v>4271.9999999999991</c:v>
                </c:pt>
                <c:pt idx="112">
                  <c:v>59.999999999999993</c:v>
                </c:pt>
                <c:pt idx="113">
                  <c:v>43.999999999999993</c:v>
                </c:pt>
                <c:pt idx="114">
                  <c:v>60.999999999999993</c:v>
                </c:pt>
                <c:pt idx="115">
                  <c:v>82.999999999999986</c:v>
                </c:pt>
                <c:pt idx="116">
                  <c:v>30.999999999999996</c:v>
                </c:pt>
                <c:pt idx="117">
                  <c:v>14.999999999999998</c:v>
                </c:pt>
                <c:pt idx="118">
                  <c:v>63.999999999999993</c:v>
                </c:pt>
                <c:pt idx="119">
                  <c:v>23.999999999999996</c:v>
                </c:pt>
                <c:pt idx="120">
                  <c:v>4944.0000000000009</c:v>
                </c:pt>
                <c:pt idx="121">
                  <c:v>5204.0000000000009</c:v>
                </c:pt>
                <c:pt idx="122">
                  <c:v>1718.0000000000005</c:v>
                </c:pt>
                <c:pt idx="123">
                  <c:v>1273.0000000000002</c:v>
                </c:pt>
                <c:pt idx="124">
                  <c:v>1250.0000000000002</c:v>
                </c:pt>
                <c:pt idx="125">
                  <c:v>9103.0000000000018</c:v>
                </c:pt>
                <c:pt idx="126">
                  <c:v>21582.000000000004</c:v>
                </c:pt>
                <c:pt idx="127">
                  <c:v>267.00000000000006</c:v>
                </c:pt>
                <c:pt idx="128">
                  <c:v>5163.0000000000009</c:v>
                </c:pt>
                <c:pt idx="129">
                  <c:v>958.00000000000023</c:v>
                </c:pt>
                <c:pt idx="130">
                  <c:v>977.00000000000023</c:v>
                </c:pt>
                <c:pt idx="131">
                  <c:v>19595.000000000004</c:v>
                </c:pt>
                <c:pt idx="132">
                  <c:v>6865.0000000000018</c:v>
                </c:pt>
                <c:pt idx="133">
                  <c:v>91.000000000000014</c:v>
                </c:pt>
                <c:pt idx="134">
                  <c:v>1062.0000000000002</c:v>
                </c:pt>
                <c:pt idx="135">
                  <c:v>113.00000000000003</c:v>
                </c:pt>
                <c:pt idx="136">
                  <c:v>72.000000000000014</c:v>
                </c:pt>
                <c:pt idx="137">
                  <c:v>297.00000000000006</c:v>
                </c:pt>
                <c:pt idx="138">
                  <c:v>162.00000000000003</c:v>
                </c:pt>
                <c:pt idx="139">
                  <c:v>49.000000000000014</c:v>
                </c:pt>
                <c:pt idx="140">
                  <c:v>520.00000000000011</c:v>
                </c:pt>
                <c:pt idx="141">
                  <c:v>291.00000000000006</c:v>
                </c:pt>
                <c:pt idx="142">
                  <c:v>320.00000000000006</c:v>
                </c:pt>
                <c:pt idx="143">
                  <c:v>299.00000000000006</c:v>
                </c:pt>
                <c:pt idx="144">
                  <c:v>194.00000000000006</c:v>
                </c:pt>
                <c:pt idx="145">
                  <c:v>964.00000000000023</c:v>
                </c:pt>
                <c:pt idx="146">
                  <c:v>135.00000000000003</c:v>
                </c:pt>
                <c:pt idx="147">
                  <c:v>91.000000000000014</c:v>
                </c:pt>
                <c:pt idx="148">
                  <c:v>178.00000000000003</c:v>
                </c:pt>
                <c:pt idx="149">
                  <c:v>135.00000000000003</c:v>
                </c:pt>
                <c:pt idx="150">
                  <c:v>465.00000000000011</c:v>
                </c:pt>
                <c:pt idx="151">
                  <c:v>455.00000000000011</c:v>
                </c:pt>
                <c:pt idx="152">
                  <c:v>12.000000000000004</c:v>
                </c:pt>
                <c:pt idx="153">
                  <c:v>64.000000000000014</c:v>
                </c:pt>
                <c:pt idx="154">
                  <c:v>14.000000000000004</c:v>
                </c:pt>
                <c:pt idx="155">
                  <c:v>10.000000000000002</c:v>
                </c:pt>
                <c:pt idx="156">
                  <c:v>41.000000000000007</c:v>
                </c:pt>
                <c:pt idx="157">
                  <c:v>2.0000000000000004</c:v>
                </c:pt>
                <c:pt idx="158">
                  <c:v>53.000000000000014</c:v>
                </c:pt>
                <c:pt idx="159">
                  <c:v>0</c:v>
                </c:pt>
                <c:pt idx="160">
                  <c:v>5482</c:v>
                </c:pt>
                <c:pt idx="161">
                  <c:v>5406</c:v>
                </c:pt>
                <c:pt idx="162">
                  <c:v>2412</c:v>
                </c:pt>
                <c:pt idx="163">
                  <c:v>1432</c:v>
                </c:pt>
                <c:pt idx="164">
                  <c:v>1303</c:v>
                </c:pt>
                <c:pt idx="165">
                  <c:v>9078</c:v>
                </c:pt>
                <c:pt idx="166">
                  <c:v>5731</c:v>
                </c:pt>
                <c:pt idx="167">
                  <c:v>258</c:v>
                </c:pt>
                <c:pt idx="168">
                  <c:v>12960</c:v>
                </c:pt>
                <c:pt idx="169">
                  <c:v>718</c:v>
                </c:pt>
                <c:pt idx="170">
                  <c:v>2821</c:v>
                </c:pt>
                <c:pt idx="171">
                  <c:v>7166</c:v>
                </c:pt>
                <c:pt idx="172">
                  <c:v>1083</c:v>
                </c:pt>
                <c:pt idx="173">
                  <c:v>136</c:v>
                </c:pt>
                <c:pt idx="174">
                  <c:v>2813</c:v>
                </c:pt>
                <c:pt idx="175">
                  <c:v>77</c:v>
                </c:pt>
                <c:pt idx="176">
                  <c:v>139</c:v>
                </c:pt>
                <c:pt idx="177">
                  <c:v>53</c:v>
                </c:pt>
                <c:pt idx="178">
                  <c:v>479</c:v>
                </c:pt>
                <c:pt idx="179">
                  <c:v>16</c:v>
                </c:pt>
                <c:pt idx="180">
                  <c:v>2657</c:v>
                </c:pt>
                <c:pt idx="181">
                  <c:v>1226</c:v>
                </c:pt>
                <c:pt idx="182">
                  <c:v>562</c:v>
                </c:pt>
                <c:pt idx="183">
                  <c:v>1019</c:v>
                </c:pt>
                <c:pt idx="184">
                  <c:v>1378</c:v>
                </c:pt>
                <c:pt idx="185">
                  <c:v>6992</c:v>
                </c:pt>
                <c:pt idx="186">
                  <c:v>613</c:v>
                </c:pt>
                <c:pt idx="187">
                  <c:v>262</c:v>
                </c:pt>
                <c:pt idx="188">
                  <c:v>542</c:v>
                </c:pt>
                <c:pt idx="189">
                  <c:v>2430</c:v>
                </c:pt>
                <c:pt idx="190">
                  <c:v>434</c:v>
                </c:pt>
                <c:pt idx="191">
                  <c:v>6231</c:v>
                </c:pt>
                <c:pt idx="192">
                  <c:v>85</c:v>
                </c:pt>
                <c:pt idx="193">
                  <c:v>41</c:v>
                </c:pt>
                <c:pt idx="194">
                  <c:v>38</c:v>
                </c:pt>
                <c:pt idx="195">
                  <c:v>434</c:v>
                </c:pt>
                <c:pt idx="196">
                  <c:v>25</c:v>
                </c:pt>
                <c:pt idx="197">
                  <c:v>61</c:v>
                </c:pt>
                <c:pt idx="198">
                  <c:v>74</c:v>
                </c:pt>
                <c:pt idx="199">
                  <c:v>15</c:v>
                </c:pt>
                <c:pt idx="200">
                  <c:v>5201.0000000000009</c:v>
                </c:pt>
                <c:pt idx="201">
                  <c:v>3064.0000000000005</c:v>
                </c:pt>
                <c:pt idx="202">
                  <c:v>3328.0000000000005</c:v>
                </c:pt>
                <c:pt idx="203">
                  <c:v>2169.0000000000005</c:v>
                </c:pt>
                <c:pt idx="204">
                  <c:v>1418.0000000000002</c:v>
                </c:pt>
                <c:pt idx="205">
                  <c:v>7768.0000000000009</c:v>
                </c:pt>
                <c:pt idx="206">
                  <c:v>1449.0000000000002</c:v>
                </c:pt>
                <c:pt idx="207">
                  <c:v>527.00000000000011</c:v>
                </c:pt>
                <c:pt idx="208">
                  <c:v>3826.0000000000005</c:v>
                </c:pt>
                <c:pt idx="209">
                  <c:v>778.00000000000011</c:v>
                </c:pt>
                <c:pt idx="210">
                  <c:v>13912.000000000002</c:v>
                </c:pt>
                <c:pt idx="211">
                  <c:v>3803.0000000000005</c:v>
                </c:pt>
                <c:pt idx="212">
                  <c:v>158.00000000000003</c:v>
                </c:pt>
                <c:pt idx="213">
                  <c:v>565.00000000000011</c:v>
                </c:pt>
                <c:pt idx="214">
                  <c:v>542.00000000000011</c:v>
                </c:pt>
                <c:pt idx="215">
                  <c:v>72.000000000000014</c:v>
                </c:pt>
                <c:pt idx="216">
                  <c:v>898.00000000000011</c:v>
                </c:pt>
                <c:pt idx="217">
                  <c:v>23.000000000000004</c:v>
                </c:pt>
                <c:pt idx="218">
                  <c:v>2660.0000000000005</c:v>
                </c:pt>
                <c:pt idx="219">
                  <c:v>14.000000000000002</c:v>
                </c:pt>
                <c:pt idx="220">
                  <c:v>8476</c:v>
                </c:pt>
                <c:pt idx="221">
                  <c:v>5638</c:v>
                </c:pt>
                <c:pt idx="222">
                  <c:v>1798</c:v>
                </c:pt>
                <c:pt idx="223">
                  <c:v>2285</c:v>
                </c:pt>
                <c:pt idx="224">
                  <c:v>2465</c:v>
                </c:pt>
                <c:pt idx="225">
                  <c:v>18501</c:v>
                </c:pt>
                <c:pt idx="226">
                  <c:v>8372</c:v>
                </c:pt>
                <c:pt idx="227">
                  <c:v>473</c:v>
                </c:pt>
                <c:pt idx="228">
                  <c:v>3154</c:v>
                </c:pt>
                <c:pt idx="229">
                  <c:v>2504</c:v>
                </c:pt>
                <c:pt idx="230">
                  <c:v>1058</c:v>
                </c:pt>
                <c:pt idx="231">
                  <c:v>46711</c:v>
                </c:pt>
                <c:pt idx="232">
                  <c:v>1962</c:v>
                </c:pt>
                <c:pt idx="233">
                  <c:v>79</c:v>
                </c:pt>
                <c:pt idx="234">
                  <c:v>326</c:v>
                </c:pt>
                <c:pt idx="235">
                  <c:v>682</c:v>
                </c:pt>
                <c:pt idx="236">
                  <c:v>105</c:v>
                </c:pt>
                <c:pt idx="237">
                  <c:v>1259</c:v>
                </c:pt>
                <c:pt idx="238">
                  <c:v>175</c:v>
                </c:pt>
                <c:pt idx="239">
                  <c:v>216</c:v>
                </c:pt>
                <c:pt idx="240">
                  <c:v>1638</c:v>
                </c:pt>
                <c:pt idx="241">
                  <c:v>1505</c:v>
                </c:pt>
                <c:pt idx="242">
                  <c:v>462</c:v>
                </c:pt>
                <c:pt idx="243">
                  <c:v>446</c:v>
                </c:pt>
                <c:pt idx="244">
                  <c:v>372</c:v>
                </c:pt>
                <c:pt idx="245">
                  <c:v>2745</c:v>
                </c:pt>
                <c:pt idx="246">
                  <c:v>16455</c:v>
                </c:pt>
                <c:pt idx="247">
                  <c:v>64</c:v>
                </c:pt>
                <c:pt idx="248">
                  <c:v>2057</c:v>
                </c:pt>
                <c:pt idx="249">
                  <c:v>241</c:v>
                </c:pt>
                <c:pt idx="250">
                  <c:v>319</c:v>
                </c:pt>
                <c:pt idx="251">
                  <c:v>11549</c:v>
                </c:pt>
                <c:pt idx="252">
                  <c:v>32581</c:v>
                </c:pt>
                <c:pt idx="253">
                  <c:v>17</c:v>
                </c:pt>
                <c:pt idx="254">
                  <c:v>2678</c:v>
                </c:pt>
                <c:pt idx="255">
                  <c:v>92</c:v>
                </c:pt>
                <c:pt idx="256">
                  <c:v>44</c:v>
                </c:pt>
                <c:pt idx="257">
                  <c:v>1178</c:v>
                </c:pt>
                <c:pt idx="258">
                  <c:v>232</c:v>
                </c:pt>
                <c:pt idx="259">
                  <c:v>78</c:v>
                </c:pt>
                <c:pt idx="260">
                  <c:v>1367</c:v>
                </c:pt>
                <c:pt idx="261">
                  <c:v>656</c:v>
                </c:pt>
                <c:pt idx="262">
                  <c:v>657</c:v>
                </c:pt>
                <c:pt idx="263">
                  <c:v>683</c:v>
                </c:pt>
                <c:pt idx="264">
                  <c:v>484</c:v>
                </c:pt>
                <c:pt idx="265">
                  <c:v>2511</c:v>
                </c:pt>
                <c:pt idx="266">
                  <c:v>283</c:v>
                </c:pt>
                <c:pt idx="267">
                  <c:v>249</c:v>
                </c:pt>
                <c:pt idx="268">
                  <c:v>565</c:v>
                </c:pt>
                <c:pt idx="269">
                  <c:v>333</c:v>
                </c:pt>
                <c:pt idx="270">
                  <c:v>2303</c:v>
                </c:pt>
                <c:pt idx="271">
                  <c:v>1027</c:v>
                </c:pt>
                <c:pt idx="272">
                  <c:v>36</c:v>
                </c:pt>
                <c:pt idx="273">
                  <c:v>7106</c:v>
                </c:pt>
                <c:pt idx="274">
                  <c:v>56</c:v>
                </c:pt>
                <c:pt idx="275">
                  <c:v>24</c:v>
                </c:pt>
                <c:pt idx="276">
                  <c:v>1452</c:v>
                </c:pt>
                <c:pt idx="277">
                  <c:v>6</c:v>
                </c:pt>
                <c:pt idx="278">
                  <c:v>765</c:v>
                </c:pt>
                <c:pt idx="279">
                  <c:v>2</c:v>
                </c:pt>
                <c:pt idx="280">
                  <c:v>1191.0000000000002</c:v>
                </c:pt>
                <c:pt idx="281">
                  <c:v>1052.0000000000002</c:v>
                </c:pt>
                <c:pt idx="282">
                  <c:v>420.00000000000006</c:v>
                </c:pt>
                <c:pt idx="283">
                  <c:v>255.00000000000003</c:v>
                </c:pt>
                <c:pt idx="284">
                  <c:v>247.00000000000003</c:v>
                </c:pt>
                <c:pt idx="285">
                  <c:v>1791.0000000000002</c:v>
                </c:pt>
                <c:pt idx="286">
                  <c:v>2489.0000000000005</c:v>
                </c:pt>
                <c:pt idx="287">
                  <c:v>56.000000000000007</c:v>
                </c:pt>
                <c:pt idx="288">
                  <c:v>3534.0000000000005</c:v>
                </c:pt>
                <c:pt idx="289">
                  <c:v>129.00000000000003</c:v>
                </c:pt>
                <c:pt idx="290">
                  <c:v>756.00000000000011</c:v>
                </c:pt>
                <c:pt idx="291">
                  <c:v>1935.0000000000002</c:v>
                </c:pt>
                <c:pt idx="292">
                  <c:v>3749.0000000000005</c:v>
                </c:pt>
                <c:pt idx="293">
                  <c:v>51.000000000000007</c:v>
                </c:pt>
                <c:pt idx="294">
                  <c:v>11579.000000000002</c:v>
                </c:pt>
                <c:pt idx="295">
                  <c:v>14.000000000000002</c:v>
                </c:pt>
                <c:pt idx="296">
                  <c:v>79.000000000000014</c:v>
                </c:pt>
                <c:pt idx="297">
                  <c:v>58.000000000000007</c:v>
                </c:pt>
                <c:pt idx="298">
                  <c:v>1013.0000000000001</c:v>
                </c:pt>
                <c:pt idx="299">
                  <c:v>7.0000000000000009</c:v>
                </c:pt>
                <c:pt idx="300">
                  <c:v>1111.9999999999998</c:v>
                </c:pt>
                <c:pt idx="301">
                  <c:v>497.99999999999994</c:v>
                </c:pt>
                <c:pt idx="302">
                  <c:v>203.99999999999997</c:v>
                </c:pt>
                <c:pt idx="303">
                  <c:v>379.99999999999994</c:v>
                </c:pt>
                <c:pt idx="304">
                  <c:v>542.99999999999989</c:v>
                </c:pt>
                <c:pt idx="305">
                  <c:v>2885.9999999999995</c:v>
                </c:pt>
                <c:pt idx="306">
                  <c:v>311.99999999999994</c:v>
                </c:pt>
                <c:pt idx="307">
                  <c:v>106.99999999999999</c:v>
                </c:pt>
                <c:pt idx="308">
                  <c:v>215.99999999999997</c:v>
                </c:pt>
                <c:pt idx="309">
                  <c:v>956.99999999999989</c:v>
                </c:pt>
                <c:pt idx="310">
                  <c:v>150.99999999999997</c:v>
                </c:pt>
                <c:pt idx="311">
                  <c:v>5009.9999999999991</c:v>
                </c:pt>
                <c:pt idx="312">
                  <c:v>87.999999999999986</c:v>
                </c:pt>
                <c:pt idx="313">
                  <c:v>29.999999999999996</c:v>
                </c:pt>
                <c:pt idx="314">
                  <c:v>19.999999999999996</c:v>
                </c:pt>
                <c:pt idx="315">
                  <c:v>961.99999999999989</c:v>
                </c:pt>
                <c:pt idx="316">
                  <c:v>9.9999999999999982</c:v>
                </c:pt>
                <c:pt idx="317">
                  <c:v>196.99999999999997</c:v>
                </c:pt>
                <c:pt idx="318">
                  <c:v>33.999999999999993</c:v>
                </c:pt>
                <c:pt idx="319">
                  <c:v>102.99999999999999</c:v>
                </c:pt>
                <c:pt idx="320">
                  <c:v>1037</c:v>
                </c:pt>
                <c:pt idx="321">
                  <c:v>541</c:v>
                </c:pt>
                <c:pt idx="322">
                  <c:v>616</c:v>
                </c:pt>
                <c:pt idx="323">
                  <c:v>447</c:v>
                </c:pt>
                <c:pt idx="324">
                  <c:v>342</c:v>
                </c:pt>
                <c:pt idx="325">
                  <c:v>1624</c:v>
                </c:pt>
                <c:pt idx="326">
                  <c:v>280</c:v>
                </c:pt>
                <c:pt idx="327">
                  <c:v>111</c:v>
                </c:pt>
                <c:pt idx="328">
                  <c:v>588</c:v>
                </c:pt>
                <c:pt idx="329">
                  <c:v>163</c:v>
                </c:pt>
                <c:pt idx="330">
                  <c:v>3276</c:v>
                </c:pt>
                <c:pt idx="331">
                  <c:v>775</c:v>
                </c:pt>
                <c:pt idx="332">
                  <c:v>31</c:v>
                </c:pt>
                <c:pt idx="333">
                  <c:v>1892</c:v>
                </c:pt>
                <c:pt idx="334">
                  <c:v>175</c:v>
                </c:pt>
                <c:pt idx="335">
                  <c:v>9</c:v>
                </c:pt>
                <c:pt idx="336">
                  <c:v>3501</c:v>
                </c:pt>
                <c:pt idx="337">
                  <c:v>8</c:v>
                </c:pt>
                <c:pt idx="338">
                  <c:v>2863</c:v>
                </c:pt>
                <c:pt idx="339">
                  <c:v>5</c:v>
                </c:pt>
                <c:pt idx="340">
                  <c:v>833</c:v>
                </c:pt>
                <c:pt idx="341">
                  <c:v>521</c:v>
                </c:pt>
                <c:pt idx="342">
                  <c:v>158</c:v>
                </c:pt>
                <c:pt idx="343">
                  <c:v>220</c:v>
                </c:pt>
                <c:pt idx="344">
                  <c:v>234</c:v>
                </c:pt>
                <c:pt idx="345">
                  <c:v>1739</c:v>
                </c:pt>
                <c:pt idx="346">
                  <c:v>1997</c:v>
                </c:pt>
                <c:pt idx="347">
                  <c:v>51</c:v>
                </c:pt>
                <c:pt idx="348">
                  <c:v>320</c:v>
                </c:pt>
                <c:pt idx="349">
                  <c:v>308</c:v>
                </c:pt>
                <c:pt idx="350">
                  <c:v>97</c:v>
                </c:pt>
                <c:pt idx="351">
                  <c:v>16283</c:v>
                </c:pt>
                <c:pt idx="352">
                  <c:v>5066</c:v>
                </c:pt>
                <c:pt idx="353">
                  <c:v>7</c:v>
                </c:pt>
                <c:pt idx="354">
                  <c:v>180</c:v>
                </c:pt>
                <c:pt idx="355">
                  <c:v>227</c:v>
                </c:pt>
                <c:pt idx="356">
                  <c:v>11</c:v>
                </c:pt>
                <c:pt idx="357">
                  <c:v>5087</c:v>
                </c:pt>
                <c:pt idx="358">
                  <c:v>46</c:v>
                </c:pt>
                <c:pt idx="359">
                  <c:v>1227</c:v>
                </c:pt>
                <c:pt idx="360">
                  <c:v>1696.0000000000005</c:v>
                </c:pt>
                <c:pt idx="361">
                  <c:v>952.00000000000023</c:v>
                </c:pt>
                <c:pt idx="362">
                  <c:v>856.00000000000023</c:v>
                </c:pt>
                <c:pt idx="363">
                  <c:v>672.00000000000011</c:v>
                </c:pt>
                <c:pt idx="364">
                  <c:v>442.00000000000011</c:v>
                </c:pt>
                <c:pt idx="365">
                  <c:v>2532.0000000000005</c:v>
                </c:pt>
                <c:pt idx="366">
                  <c:v>544.00000000000011</c:v>
                </c:pt>
                <c:pt idx="367">
                  <c:v>120.00000000000003</c:v>
                </c:pt>
                <c:pt idx="368">
                  <c:v>1499.0000000000002</c:v>
                </c:pt>
                <c:pt idx="369">
                  <c:v>241.00000000000006</c:v>
                </c:pt>
                <c:pt idx="370">
                  <c:v>6801.0000000000018</c:v>
                </c:pt>
                <c:pt idx="371">
                  <c:v>1224.0000000000002</c:v>
                </c:pt>
                <c:pt idx="372">
                  <c:v>220.00000000000006</c:v>
                </c:pt>
                <c:pt idx="373">
                  <c:v>741.00000000000011</c:v>
                </c:pt>
                <c:pt idx="374">
                  <c:v>1978.0000000000005</c:v>
                </c:pt>
                <c:pt idx="375">
                  <c:v>21.000000000000004</c:v>
                </c:pt>
                <c:pt idx="376">
                  <c:v>2627.0000000000005</c:v>
                </c:pt>
                <c:pt idx="377">
                  <c:v>11.000000000000002</c:v>
                </c:pt>
                <c:pt idx="378">
                  <c:v>12777.000000000004</c:v>
                </c:pt>
                <c:pt idx="379">
                  <c:v>4.0000000000000009</c:v>
                </c:pt>
                <c:pt idx="380">
                  <c:v>257</c:v>
                </c:pt>
                <c:pt idx="381">
                  <c:v>140</c:v>
                </c:pt>
                <c:pt idx="382">
                  <c:v>50</c:v>
                </c:pt>
                <c:pt idx="383">
                  <c:v>73</c:v>
                </c:pt>
                <c:pt idx="384">
                  <c:v>91</c:v>
                </c:pt>
                <c:pt idx="385">
                  <c:v>595</c:v>
                </c:pt>
                <c:pt idx="386">
                  <c:v>323</c:v>
                </c:pt>
                <c:pt idx="387">
                  <c:v>23</c:v>
                </c:pt>
                <c:pt idx="388">
                  <c:v>95</c:v>
                </c:pt>
                <c:pt idx="389">
                  <c:v>146</c:v>
                </c:pt>
                <c:pt idx="390">
                  <c:v>32</c:v>
                </c:pt>
                <c:pt idx="391">
                  <c:v>5965</c:v>
                </c:pt>
                <c:pt idx="392">
                  <c:v>390</c:v>
                </c:pt>
                <c:pt idx="393">
                  <c:v>3</c:v>
                </c:pt>
                <c:pt idx="394">
                  <c:v>13</c:v>
                </c:pt>
                <c:pt idx="395">
                  <c:v>187</c:v>
                </c:pt>
                <c:pt idx="396">
                  <c:v>5</c:v>
                </c:pt>
                <c:pt idx="397">
                  <c:v>4053</c:v>
                </c:pt>
                <c:pt idx="398">
                  <c:v>6</c:v>
                </c:pt>
                <c:pt idx="399">
                  <c:v>13091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B-4359-91B0-C706C339E30E}"/>
            </c:ext>
          </c:extLst>
        </c:ser>
        <c:ser>
          <c:idx val="1"/>
          <c:order val="1"/>
          <c:tx>
            <c:strRef>
              <c:f>calibration_flow!$DB$1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xVal>
          <c:y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CB-4359-91B0-C706C339E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orientation val="minMax"/>
          <c:max val="20000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orientation val="minMax"/>
          <c:max val="20000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Relationship Id="rId2" Target="../charts/chart5.xml" Type="http://schemas.openxmlformats.org/officeDocument/2006/relationships/chart"/>
<Relationship Id="rId3" Target="../charts/chart6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Relationship Id="rId2" Target="../media/image2.png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9524</xdr:colOff>
      <xdr:row>16</xdr:row>
      <xdr:rowOff>123825</xdr:rowOff>
    </xdr:from>
    <xdr:to>
      <xdr:col>22</xdr:col>
      <xdr:colOff>114299</xdr:colOff>
      <xdr:row>33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266700</xdr:colOff>
      <xdr:row>15</xdr:row>
      <xdr:rowOff>19050</xdr:rowOff>
    </xdr:from>
    <xdr:to>
      <xdr:col>21</xdr:col>
      <xdr:colOff>571500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90</xdr:col>
      <xdr:colOff>523874</xdr:colOff>
      <xdr:row>17</xdr:row>
      <xdr:rowOff>9524</xdr:rowOff>
    </xdr:from>
    <xdr:to>
      <xdr:col>101</xdr:col>
      <xdr:colOff>457200</xdr:colOff>
      <xdr:row>38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19</xdr:col>
      <xdr:colOff>380999</xdr:colOff>
      <xdr:row>2</xdr:row>
      <xdr:rowOff>9525</xdr:rowOff>
    </xdr:from>
    <xdr:to>
      <xdr:col>27</xdr:col>
      <xdr:colOff>942974</xdr:colOff>
      <xdr:row>21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276224</xdr:colOff>
      <xdr:row>0</xdr:row>
      <xdr:rowOff>161924</xdr:rowOff>
    </xdr:from>
    <xdr:to>
      <xdr:col>49</xdr:col>
      <xdr:colOff>333375</xdr:colOff>
      <xdr:row>24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0</xdr:colOff>
      <xdr:row>1</xdr:row>
      <xdr:rowOff>0</xdr:rowOff>
    </xdr:from>
    <xdr:to>
      <xdr:col>58</xdr:col>
      <xdr:colOff>542926</xdr:colOff>
      <xdr:row>24</xdr:row>
      <xdr:rowOff>104776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 editAs="oneCell">
    <xdr:from>
      <xdr:col>13</xdr:col>
      <xdr:colOff>190501</xdr:colOff>
      <xdr:row>68</xdr:row>
      <xdr:rowOff>19050</xdr:rowOff>
    </xdr:from>
    <xdr:to>
      <xdr:col>16</xdr:col>
      <xdr:colOff>504826</xdr:colOff>
      <xdr:row>81</xdr:row>
      <xdr:rowOff>82275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B5916FA-C09F-4467-9B5C-00FA9F24F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1" y="10420350"/>
          <a:ext cx="2933700" cy="2539725"/>
        </a:xfrm>
        <a:prstGeom prst="rect">
          <a:avLst/>
        </a:prstGeom>
      </xdr:spPr>
    </xdr:pic>
    <xdr:clientData/>
  </xdr:twoCellAnchor>
  <xdr:twoCellAnchor editAs="oneCell">
    <xdr:from>
      <xdr:col>13</xdr:col>
      <xdr:colOff>419100</xdr:colOff>
      <xdr:row>42</xdr:row>
      <xdr:rowOff>171451</xdr:rowOff>
    </xdr:from>
    <xdr:to>
      <xdr:col>16</xdr:col>
      <xdr:colOff>542925</xdr:colOff>
      <xdr:row>55</xdr:row>
      <xdr:rowOff>97753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2477873-7CA4-4069-8097-68C3A67E9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82200" y="5562601"/>
          <a:ext cx="2743200" cy="24028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X101"/>
  <sheetViews>
    <sheetView tabSelected="1" workbookViewId="0">
      <selection activeCell="M9" sqref="M9:O14"/>
    </sheetView>
  </sheetViews>
  <sheetFormatPr defaultRowHeight="15" x14ac:dyDescent="0.25"/>
  <cols>
    <col min="1" max="1" customWidth="true" width="13.5703125" collapsed="true"/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1.5703125" collapsed="true"/>
    <col min="12" max="12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1</v>
      </c>
    </row>
    <row r="2" spans="1:23" x14ac:dyDescent="0.25">
      <c r="A2" t="s">
        <v>248</v>
      </c>
    </row>
    <row r="3" spans="1:23" x14ac:dyDescent="0.25">
      <c r="A3" t="s">
        <v>241</v>
      </c>
    </row>
    <row r="4" spans="1:23" x14ac:dyDescent="0.25">
      <c r="A4" t="s">
        <v>4</v>
      </c>
    </row>
    <row r="5" spans="1:23" x14ac:dyDescent="0.25">
      <c r="A5" t="s">
        <v>5</v>
      </c>
    </row>
    <row r="7" spans="1:23" x14ac:dyDescent="0.25">
      <c r="A7" t="s">
        <v>11</v>
      </c>
    </row>
    <row ht="15.75" r="9" spans="1:23" thickBot="1" x14ac:dyDescent="0.3">
      <c r="A9" s="4" t="s">
        <v>208</v>
      </c>
      <c r="B9" s="1"/>
      <c r="C9" s="1"/>
      <c r="D9" s="1"/>
      <c r="E9" s="1"/>
      <c r="G9" s="4" t="s">
        <v>12</v>
      </c>
      <c r="H9" s="1"/>
      <c r="I9" s="1"/>
      <c r="J9" s="1"/>
      <c r="K9" s="1"/>
      <c r="M9" s="28" t="s">
        <v>252</v>
      </c>
      <c r="N9" s="26"/>
      <c r="O9" s="26"/>
    </row>
    <row r="10" spans="1:23" x14ac:dyDescent="0.25">
      <c r="A10" s="2" t="s">
        <v>2</v>
      </c>
      <c r="B10" s="5" t="s">
        <v>8</v>
      </c>
      <c r="C10" s="5" t="s">
        <v>9</v>
      </c>
      <c r="D10" s="5" t="s">
        <v>10</v>
      </c>
      <c r="E10" s="5" t="s">
        <v>203</v>
      </c>
      <c r="G10" s="2" t="s">
        <v>2</v>
      </c>
      <c r="H10" s="5" t="s">
        <v>8</v>
      </c>
      <c r="I10" s="5" t="s">
        <v>9</v>
      </c>
      <c r="J10" s="5" t="s">
        <v>10</v>
      </c>
      <c r="K10" s="29" t="s">
        <v>254</v>
      </c>
      <c r="M10" s="25"/>
      <c r="N10" s="29" t="s">
        <v>203</v>
      </c>
      <c r="O10" s="29" t="s">
        <v>254</v>
      </c>
    </row>
    <row r="11" spans="1:23" x14ac:dyDescent="0.25">
      <c r="A11">
        <v>0</v>
      </c>
      <c r="B11" s="58" t="n">
        <v>8737.207289633941</v>
      </c>
      <c r="C11" s="58" t="n">
        <v>2147.039370614851</v>
      </c>
      <c r="D11" s="58" t="n">
        <v>808.8443448625151</v>
      </c>
      <c r="E11" s="58">
        <f>SUM(B11:D11)</f>
        <v>11693.091005111308</v>
      </c>
      <c r="F11" s="78">
        <f>IFERROR(E11/SUM($E$11:$E$100),0)</f>
        <v>2.0878220543415045E-2</v>
      </c>
      <c r="G11">
        <v>0</v>
      </c>
      <c r="H11" s="68" t="n">
        <v>11053.0</v>
      </c>
      <c r="I11" s="68" t="n">
        <v>1802.0</v>
      </c>
      <c r="J11" s="68" t="n">
        <v>1198.0</v>
      </c>
      <c r="K11" s="58">
        <f>SUM(H11:J11)</f>
        <v>14419</v>
      </c>
      <c r="L11" s="78">
        <f>IFERROR(K11/SUM($K$11:$K$100),0)</f>
        <v>2.1399525081626597E-2</v>
      </c>
      <c r="M11" s="26" t="s">
        <v>8</v>
      </c>
      <c r="N11" s="65" t="n">
        <v>13.114507307926457</v>
      </c>
      <c r="O11" s="65" t="n">
        <v>13.283234098935873</v>
      </c>
    </row>
    <row r="12" spans="1:23" x14ac:dyDescent="0.25">
      <c r="A12">
        <v>1</v>
      </c>
      <c r="B12" s="58" t="n">
        <v>18095.65905062826</v>
      </c>
      <c r="C12" s="58" t="n">
        <v>5296.21714403512</v>
      </c>
      <c r="D12" s="58" t="n">
        <v>4286.249475676271</v>
      </c>
      <c r="E12" s="58">
        <f ref="E12:E75" si="0" t="shared">SUM(B12:D12)</f>
        <v>27678.12567033965</v>
      </c>
      <c r="F12" s="78">
        <f ref="F12:F75" si="1" t="shared">IFERROR(E12/SUM($E$11:$E$100),0)</f>
        <v>4.941978230744197E-2</v>
      </c>
      <c r="G12">
        <v>1</v>
      </c>
      <c r="H12" s="68" t="n">
        <v>25211.0</v>
      </c>
      <c r="I12" s="68" t="n">
        <v>4805.0</v>
      </c>
      <c r="J12" s="68" t="n">
        <v>2579.0</v>
      </c>
      <c r="K12" s="58">
        <f ref="K12:K75" si="2" t="shared">SUM(H12:J12)</f>
        <v>32494</v>
      </c>
      <c r="L12" s="78">
        <f ref="L12:L75" si="3" t="shared">IFERROR(K12/SUM($K$11:$K$100),0)</f>
        <v>4.8224992579400418E-2</v>
      </c>
      <c r="M12" s="26" t="s">
        <v>9</v>
      </c>
      <c r="N12" s="65" t="n">
        <v>9.568572803115085</v>
      </c>
      <c r="O12" s="65" t="n">
        <v>9.513509088797539</v>
      </c>
    </row>
    <row r="13" spans="1:23" x14ac:dyDescent="0.25">
      <c r="A13">
        <v>2</v>
      </c>
      <c r="B13" s="58" t="n">
        <v>25650.078974800963</v>
      </c>
      <c r="C13" s="58" t="n">
        <v>4088.2901857419333</v>
      </c>
      <c r="D13" s="58" t="n">
        <v>1029.0584810238493</v>
      </c>
      <c r="E13" s="58">
        <f si="0" t="shared"/>
        <v>30767.427641566748</v>
      </c>
      <c r="F13" s="78">
        <f si="1" t="shared"/>
        <v>5.4935785548355105E-2</v>
      </c>
      <c r="G13">
        <v>2</v>
      </c>
      <c r="H13" s="68" t="n">
        <v>26903.0</v>
      </c>
      <c r="I13" s="68" t="n">
        <v>5641.0</v>
      </c>
      <c r="J13" s="68" t="n">
        <v>3038.0</v>
      </c>
      <c r="K13" s="58">
        <f si="2" t="shared"/>
        <v>35859</v>
      </c>
      <c r="L13" s="78">
        <f si="3" t="shared"/>
        <v>5.3219056099732862E-2</v>
      </c>
      <c r="M13" s="27" t="s">
        <v>10</v>
      </c>
      <c r="N13" s="66" t="n">
        <v>8.317876539535664</v>
      </c>
      <c r="O13" s="66" t="n">
        <v>8.13322158598112</v>
      </c>
    </row>
    <row ht="15.75" r="14" spans="1:23" thickBot="1" x14ac:dyDescent="0.3">
      <c r="A14">
        <v>3</v>
      </c>
      <c r="B14" s="58" t="n">
        <v>27494.030148611833</v>
      </c>
      <c r="C14" s="58" t="n">
        <v>4482.611096810263</v>
      </c>
      <c r="D14" s="58" t="n">
        <v>3694.6624023386194</v>
      </c>
      <c r="E14" s="58">
        <f si="0" t="shared"/>
        <v>35671.303647760717</v>
      </c>
      <c r="F14" s="78">
        <f si="1" t="shared"/>
        <v>6.3691742782428173E-2</v>
      </c>
      <c r="G14">
        <v>3</v>
      </c>
      <c r="H14" s="68" t="n">
        <v>23605.0</v>
      </c>
      <c r="I14" s="68" t="n">
        <v>5801.0</v>
      </c>
      <c r="J14" s="68" t="n">
        <v>2768.0</v>
      </c>
      <c r="K14" s="58">
        <f si="2" t="shared"/>
        <v>32396</v>
      </c>
      <c r="L14" s="78">
        <f si="3" t="shared"/>
        <v>4.8079548827545268E-2</v>
      </c>
      <c r="M14" s="24" t="s">
        <v>3</v>
      </c>
      <c r="N14" s="67" t="n">
        <v>12.516625030524951</v>
      </c>
      <c r="O14" s="67" t="n">
        <v>12.712257979893321</v>
      </c>
      <c r="S14" s="8"/>
    </row>
    <row r="15" spans="1:23" x14ac:dyDescent="0.25">
      <c r="A15">
        <v>4</v>
      </c>
      <c r="B15" s="58" t="n">
        <v>26165.74637600961</v>
      </c>
      <c r="C15" s="58" t="n">
        <v>3182.808438635842</v>
      </c>
      <c r="D15" s="58" t="n">
        <v>2378.6450194653644</v>
      </c>
      <c r="E15" s="58">
        <f si="0" t="shared"/>
        <v>31727.199834110819</v>
      </c>
      <c r="F15" s="78">
        <f si="1" t="shared"/>
        <v>5.6649475752135518E-2</v>
      </c>
      <c r="G15">
        <v>4</v>
      </c>
      <c r="H15" s="68" t="n">
        <v>25942.0</v>
      </c>
      <c r="I15" s="68" t="n">
        <v>5622.0</v>
      </c>
      <c r="J15" s="68" t="n">
        <v>2225.0</v>
      </c>
      <c r="K15" s="58">
        <f si="2" t="shared"/>
        <v>33302</v>
      </c>
      <c r="L15" s="78">
        <f si="3" t="shared"/>
        <v>4.9424161472246958E-2</v>
      </c>
      <c r="W15" s="8"/>
    </row>
    <row r="16" spans="1:23" x14ac:dyDescent="0.25">
      <c r="A16">
        <v>5</v>
      </c>
      <c r="B16" s="58" t="n">
        <v>18502.235511889925</v>
      </c>
      <c r="C16" s="58" t="n">
        <v>2866.1465730390983</v>
      </c>
      <c r="D16" s="58" t="n">
        <v>3259.514499379007</v>
      </c>
      <c r="E16" s="58">
        <f si="0" t="shared"/>
        <v>24627.89658430803</v>
      </c>
      <c r="F16" s="78">
        <f si="1" t="shared"/>
        <v>4.3973544393252288E-2</v>
      </c>
      <c r="G16">
        <v>5</v>
      </c>
      <c r="H16" s="68" t="n">
        <v>27087.0</v>
      </c>
      <c r="I16" s="68" t="n">
        <v>5087.0</v>
      </c>
      <c r="J16" s="68" t="n">
        <v>1847.0</v>
      </c>
      <c r="K16" s="58">
        <f si="2" t="shared"/>
        <v>34161</v>
      </c>
      <c r="L16" s="78">
        <f si="3" t="shared"/>
        <v>5.0699020480854853E-2</v>
      </c>
      <c r="W16" s="8"/>
    </row>
    <row r="17" spans="1:23" x14ac:dyDescent="0.25">
      <c r="A17">
        <v>6</v>
      </c>
      <c r="B17" s="58" t="n">
        <v>24967.358851677127</v>
      </c>
      <c r="C17" s="58" t="n">
        <v>3444.977009842527</v>
      </c>
      <c r="D17" s="58" t="n">
        <v>1282.247817561105</v>
      </c>
      <c r="E17" s="58">
        <f si="0" t="shared"/>
        <v>29694.583679080759</v>
      </c>
      <c r="F17" s="78">
        <f si="1" t="shared"/>
        <v>5.3020203701975674E-2</v>
      </c>
      <c r="G17">
        <v>6</v>
      </c>
      <c r="H17" s="68" t="n">
        <v>27731.0</v>
      </c>
      <c r="I17" s="68" t="n">
        <v>4466.0</v>
      </c>
      <c r="J17" s="68" t="n">
        <v>1523.0</v>
      </c>
      <c r="K17" s="58">
        <f si="2" t="shared"/>
        <v>33528</v>
      </c>
      <c r="L17" s="78">
        <f si="3" t="shared"/>
        <v>4.9759572573463938E-2</v>
      </c>
      <c r="W17" s="8"/>
    </row>
    <row r="18" spans="1:23" x14ac:dyDescent="0.25">
      <c r="A18">
        <v>7</v>
      </c>
      <c r="B18" s="58" t="n">
        <v>22549.142569730568</v>
      </c>
      <c r="C18" s="58" t="n">
        <v>4520.67754023103</v>
      </c>
      <c r="D18" s="58" t="n">
        <v>821.5123475970968</v>
      </c>
      <c r="E18" s="58">
        <f si="0" t="shared"/>
        <v>27891.332457558696</v>
      </c>
      <c r="F18" s="78">
        <f si="1" t="shared"/>
        <v>4.9800466792234432E-2</v>
      </c>
      <c r="G18">
        <v>7</v>
      </c>
      <c r="H18" s="68" t="n">
        <v>27171.0</v>
      </c>
      <c r="I18" s="68" t="n">
        <v>3672.0</v>
      </c>
      <c r="J18" s="68" t="n">
        <v>1341.0</v>
      </c>
      <c r="K18" s="58">
        <f si="2" t="shared"/>
        <v>31910</v>
      </c>
      <c r="L18" s="78">
        <f si="3" t="shared"/>
        <v>4.7358266547937074E-2</v>
      </c>
      <c r="W18" s="8"/>
    </row>
    <row r="19" spans="1:23" x14ac:dyDescent="0.25">
      <c r="A19">
        <v>8</v>
      </c>
      <c r="B19" s="58" t="n">
        <v>22842.32979260915</v>
      </c>
      <c r="C19" s="58" t="n">
        <v>2830.0720106185563</v>
      </c>
      <c r="D19" s="58" t="n">
        <v>1578.0865447837407</v>
      </c>
      <c r="E19" s="58">
        <f si="0" t="shared"/>
        <v>27250.488348011451</v>
      </c>
      <c r="F19" s="78">
        <f si="1" t="shared"/>
        <v>4.8656228314382231E-2</v>
      </c>
      <c r="G19">
        <v>8</v>
      </c>
      <c r="H19" s="68" t="n">
        <v>26863.0</v>
      </c>
      <c r="I19" s="68" t="n">
        <v>3221.0</v>
      </c>
      <c r="J19" s="68" t="n">
        <v>1184.0</v>
      </c>
      <c r="K19" s="58">
        <f si="2" t="shared"/>
        <v>30979</v>
      </c>
      <c r="L19" s="78">
        <f si="3" t="shared"/>
        <v>4.5976550905313149E-2</v>
      </c>
      <c r="W19" s="8"/>
    </row>
    <row r="20" spans="1:23" x14ac:dyDescent="0.25">
      <c r="A20">
        <v>9</v>
      </c>
      <c r="B20" s="58" t="n">
        <v>21106.403616510448</v>
      </c>
      <c r="C20" s="58" t="n">
        <v>1778.7210779583083</v>
      </c>
      <c r="D20" s="58" t="n">
        <v>1118.2080828355563</v>
      </c>
      <c r="E20" s="58">
        <f si="0" t="shared"/>
        <v>24003.332777304313</v>
      </c>
      <c r="F20" s="78">
        <f si="1" t="shared"/>
        <v>4.285837468317661E-2</v>
      </c>
      <c r="G20">
        <v>9</v>
      </c>
      <c r="H20" s="68" t="n">
        <v>29438.0</v>
      </c>
      <c r="I20" s="68" t="n">
        <v>2998.0</v>
      </c>
      <c r="J20" s="68" t="n">
        <v>980.0</v>
      </c>
      <c r="K20" s="58">
        <f si="2" t="shared"/>
        <v>32945</v>
      </c>
      <c r="L20" s="78">
        <f si="3" t="shared"/>
        <v>4.8894330661917486E-2</v>
      </c>
      <c r="W20" s="8"/>
    </row>
    <row r="21" spans="1:23" x14ac:dyDescent="0.25">
      <c r="A21">
        <v>10</v>
      </c>
      <c r="B21" s="58" t="n">
        <v>22169.910484700078</v>
      </c>
      <c r="C21" s="58" t="n">
        <v>1848.1302861685465</v>
      </c>
      <c r="D21" s="58" t="n">
        <v>1686.9302046050393</v>
      </c>
      <c r="E21" s="58">
        <f si="0" t="shared"/>
        <v>25704.970975473665</v>
      </c>
      <c r="F21" s="78">
        <f si="1" t="shared"/>
        <v>4.5896679744768062E-2</v>
      </c>
      <c r="G21">
        <v>10</v>
      </c>
      <c r="H21" s="68" t="n">
        <v>29989.0</v>
      </c>
      <c r="I21" s="68" t="n">
        <v>2703.0</v>
      </c>
      <c r="J21" s="68" t="n">
        <v>881.0</v>
      </c>
      <c r="K21" s="58">
        <f si="2" t="shared"/>
        <v>33649</v>
      </c>
      <c r="L21" s="78">
        <f si="3" t="shared"/>
        <v>4.9939151083407539E-2</v>
      </c>
      <c r="W21" s="8"/>
    </row>
    <row r="22" spans="1:23" x14ac:dyDescent="0.25">
      <c r="A22">
        <v>11</v>
      </c>
      <c r="B22" s="58" t="n">
        <v>25217.922703558685</v>
      </c>
      <c r="C22" s="58" t="n">
        <v>3595.056099463819</v>
      </c>
      <c r="D22" s="58" t="n">
        <v>1020.6207907844034</v>
      </c>
      <c r="E22" s="58">
        <f si="0" t="shared"/>
        <v>29833.599593806906</v>
      </c>
      <c r="F22" s="78">
        <f si="1" t="shared"/>
        <v>5.3268419073379897E-2</v>
      </c>
      <c r="G22">
        <v>11</v>
      </c>
      <c r="H22" s="68" t="n">
        <v>27745.0</v>
      </c>
      <c r="I22" s="68" t="n">
        <v>2543.0</v>
      </c>
      <c r="J22" s="68" t="n">
        <v>841.0</v>
      </c>
      <c r="K22" s="58">
        <f si="2" t="shared"/>
        <v>32115</v>
      </c>
      <c r="L22" s="78">
        <f si="3" t="shared"/>
        <v>4.7662511130899379E-2</v>
      </c>
      <c r="W22" s="8"/>
    </row>
    <row r="23" spans="1:23" x14ac:dyDescent="0.25">
      <c r="A23">
        <v>12</v>
      </c>
      <c r="B23" s="58" t="n">
        <v>17397.097441744663</v>
      </c>
      <c r="C23" s="58" t="n">
        <v>1802.6640072608052</v>
      </c>
      <c r="D23" s="58" t="n">
        <v>1724.338316488279</v>
      </c>
      <c r="E23" s="58">
        <f si="0" t="shared"/>
        <v>20924.099765493749</v>
      </c>
      <c r="F23" s="78">
        <f si="1" t="shared"/>
        <v>3.7360349747165851E-2</v>
      </c>
      <c r="G23">
        <v>12</v>
      </c>
      <c r="H23" s="68" t="n">
        <v>26422.0</v>
      </c>
      <c r="I23" s="68" t="n">
        <v>2302.0</v>
      </c>
      <c r="J23" s="68" t="n">
        <v>751.0</v>
      </c>
      <c r="K23" s="58">
        <f si="2" t="shared"/>
        <v>29766</v>
      </c>
      <c r="L23" s="78">
        <f si="3" t="shared"/>
        <v>4.417631344612645E-2</v>
      </c>
      <c r="W23" s="8"/>
    </row>
    <row r="24" spans="1:23" x14ac:dyDescent="0.25">
      <c r="A24">
        <v>13</v>
      </c>
      <c r="B24" s="58" t="n">
        <v>16480.246261020453</v>
      </c>
      <c r="C24" s="58" t="n">
        <v>1536.1769238199277</v>
      </c>
      <c r="D24" s="58" t="n">
        <v>193.1620247636327</v>
      </c>
      <c r="E24" s="58">
        <f si="0" t="shared"/>
        <v>18209.585209604011</v>
      </c>
      <c r="F24" s="78">
        <f si="1" t="shared"/>
        <v>3.2513536056807783E-2</v>
      </c>
      <c r="G24">
        <v>13</v>
      </c>
      <c r="H24" s="68" t="n">
        <v>23589.0</v>
      </c>
      <c r="I24" s="68" t="n">
        <v>1921.0</v>
      </c>
      <c r="J24" s="68" t="n">
        <v>616.0</v>
      </c>
      <c r="K24" s="58">
        <f si="2" t="shared"/>
        <v>25917</v>
      </c>
      <c r="L24" s="78">
        <f si="3" t="shared"/>
        <v>3.8463935886019589E-2</v>
      </c>
      <c r="W24" s="8"/>
    </row>
    <row r="25" spans="1:23" x14ac:dyDescent="0.25">
      <c r="A25">
        <v>14</v>
      </c>
      <c r="B25" s="58" t="n">
        <v>18340.261262708063</v>
      </c>
      <c r="C25" s="58" t="n">
        <v>760.4786827799744</v>
      </c>
      <c r="D25" s="58" t="n">
        <v>272.466100327634</v>
      </c>
      <c r="E25" s="58">
        <f si="0" t="shared"/>
        <v>19373.20604581567</v>
      </c>
      <c r="F25" s="78">
        <f si="1" t="shared"/>
        <v>3.459120161476166E-2</v>
      </c>
      <c r="G25">
        <v>14</v>
      </c>
      <c r="H25" s="68" t="n">
        <v>21355.0</v>
      </c>
      <c r="I25" s="68" t="n">
        <v>1625.0</v>
      </c>
      <c r="J25" s="68" t="n">
        <v>542.0</v>
      </c>
      <c r="K25" s="58">
        <f si="2" t="shared"/>
        <v>23469</v>
      </c>
      <c r="L25" s="78">
        <f si="3" t="shared"/>
        <v>3.4830810329474625E-2</v>
      </c>
      <c r="W25" s="8"/>
    </row>
    <row r="26" spans="1:23" x14ac:dyDescent="0.25">
      <c r="A26">
        <v>15</v>
      </c>
      <c r="B26" s="58" t="n">
        <v>17107.167459173997</v>
      </c>
      <c r="C26" s="58" t="n">
        <v>1072.3818298411823</v>
      </c>
      <c r="D26" s="58" t="n">
        <v>487.6353662630176</v>
      </c>
      <c r="E26" s="58">
        <f si="0" t="shared"/>
        <v>18667.184655278197</v>
      </c>
      <c r="F26" s="78">
        <f si="1" t="shared"/>
        <v>3.3330587950370735E-2</v>
      </c>
      <c r="G26">
        <v>15</v>
      </c>
      <c r="H26" s="68" t="n">
        <v>19652.0</v>
      </c>
      <c r="I26" s="68" t="n">
        <v>1452.0</v>
      </c>
      <c r="J26" s="68" t="n">
        <v>451.0</v>
      </c>
      <c r="K26" s="58">
        <f si="2" t="shared"/>
        <v>21810</v>
      </c>
      <c r="L26" s="78">
        <f si="3" t="shared"/>
        <v>3.2368655387355297E-2</v>
      </c>
      <c r="W26" s="8"/>
    </row>
    <row r="27" spans="1:23" x14ac:dyDescent="0.25">
      <c r="A27">
        <v>16</v>
      </c>
      <c r="B27" s="58" t="n">
        <v>11906.741639938895</v>
      </c>
      <c r="C27" s="58" t="n">
        <v>998.8890339860081</v>
      </c>
      <c r="D27" s="58" t="n">
        <v>168.3929127438599</v>
      </c>
      <c r="E27" s="58">
        <f si="0" t="shared"/>
        <v>13074.023586668764</v>
      </c>
      <c r="F27" s="78">
        <f si="1" t="shared"/>
        <v>2.3343900061409149E-2</v>
      </c>
      <c r="G27">
        <v>16</v>
      </c>
      <c r="H27" s="68" t="n">
        <v>17588.0</v>
      </c>
      <c r="I27" s="68" t="n">
        <v>1234.0</v>
      </c>
      <c r="J27" s="68" t="n">
        <v>413.0</v>
      </c>
      <c r="K27" s="58">
        <f si="2" t="shared"/>
        <v>18993</v>
      </c>
      <c r="L27" s="78">
        <f si="3" t="shared"/>
        <v>2.8187889581478182E-2</v>
      </c>
      <c r="W27" s="8"/>
    </row>
    <row r="28" spans="1:23" x14ac:dyDescent="0.25">
      <c r="A28">
        <v>17</v>
      </c>
      <c r="B28" s="58" t="n">
        <v>10716.020435446395</v>
      </c>
      <c r="C28" s="58" t="n">
        <v>746.6745135669327</v>
      </c>
      <c r="D28" s="58" t="n">
        <v>68.9004302318935</v>
      </c>
      <c r="E28" s="58">
        <f si="0" t="shared"/>
        <v>11531.595379245222</v>
      </c>
      <c r="F28" s="78">
        <f si="1" t="shared"/>
        <v>2.0589867250675332E-2</v>
      </c>
      <c r="G28">
        <v>17</v>
      </c>
      <c r="H28" s="68" t="n">
        <v>15974.0</v>
      </c>
      <c r="I28" s="68" t="n">
        <v>1073.0</v>
      </c>
      <c r="J28" s="68" t="n">
        <v>342.0</v>
      </c>
      <c r="K28" s="58">
        <f si="2" t="shared"/>
        <v>17280</v>
      </c>
      <c r="L28" s="78">
        <f si="3" t="shared"/>
        <v>2.5645592163846837E-2</v>
      </c>
      <c r="W28" s="8"/>
    </row>
    <row r="29" spans="1:23" x14ac:dyDescent="0.25">
      <c r="A29">
        <v>18</v>
      </c>
      <c r="B29" s="58" t="n">
        <v>15626.266514441782</v>
      </c>
      <c r="C29" s="58" t="n">
        <v>720.9998226127148</v>
      </c>
      <c r="D29" s="58" t="n">
        <v>475.916630380096</v>
      </c>
      <c r="E29" s="58">
        <f si="0" t="shared"/>
        <v>16823.182967434594</v>
      </c>
      <c r="F29" s="78">
        <f si="1" t="shared"/>
        <v>3.0038090363171645E-2</v>
      </c>
      <c r="G29">
        <v>18</v>
      </c>
      <c r="H29" s="68" t="n">
        <v>15112.0</v>
      </c>
      <c r="I29" s="68" t="n">
        <v>933.0</v>
      </c>
      <c r="J29" s="68" t="n">
        <v>300.0</v>
      </c>
      <c r="K29" s="58">
        <f si="2" t="shared"/>
        <v>16520</v>
      </c>
      <c r="L29" s="78">
        <f si="3" t="shared"/>
        <v>2.4517661027010983E-2</v>
      </c>
      <c r="W29" s="8"/>
    </row>
    <row r="30" spans="1:23" x14ac:dyDescent="0.25">
      <c r="A30">
        <v>19</v>
      </c>
      <c r="B30" s="58" t="n">
        <v>8987.082908165834</v>
      </c>
      <c r="C30" s="58" t="n">
        <v>884.6227227282526</v>
      </c>
      <c r="D30" s="58" t="n">
        <v>553.3536822557982</v>
      </c>
      <c r="E30" s="58">
        <f si="0" t="shared"/>
        <v>10425.059313149884</v>
      </c>
      <c r="F30" s="78">
        <f si="1" t="shared"/>
        <v>1.8614127558143841E-2</v>
      </c>
      <c r="G30">
        <v>19</v>
      </c>
      <c r="H30" s="68" t="n">
        <v>13559.0</v>
      </c>
      <c r="I30" s="68" t="n">
        <v>783.0</v>
      </c>
      <c r="J30" s="68" t="n">
        <v>244.0</v>
      </c>
      <c r="K30" s="58">
        <f si="2" t="shared"/>
        <v>14334</v>
      </c>
      <c r="L30" s="78">
        <f si="3" t="shared"/>
        <v>2.1273374888691007E-2</v>
      </c>
      <c r="W30" s="8"/>
    </row>
    <row r="31" spans="1:23" x14ac:dyDescent="0.25">
      <c r="A31">
        <v>20</v>
      </c>
      <c r="B31" s="58" t="n">
        <v>8244.368840223999</v>
      </c>
      <c r="C31" s="58" t="n">
        <v>1233.1747061399428</v>
      </c>
      <c r="D31" s="58" t="n">
        <v>0.0</v>
      </c>
      <c r="E31" s="58">
        <f si="0" t="shared"/>
        <v>9477.5435463639405</v>
      </c>
      <c r="F31" s="78">
        <f si="1" t="shared"/>
        <v>1.6922321419059437E-2</v>
      </c>
      <c r="G31">
        <v>20</v>
      </c>
      <c r="H31" s="68" t="n">
        <v>11737.0</v>
      </c>
      <c r="I31" s="68" t="n">
        <v>704.0</v>
      </c>
      <c r="J31" s="68" t="n">
        <v>207.0</v>
      </c>
      <c r="K31" s="58">
        <f si="2" t="shared"/>
        <v>12473</v>
      </c>
      <c r="L31" s="78">
        <f si="3" t="shared"/>
        <v>1.8511427723360046E-2</v>
      </c>
      <c r="W31" s="8"/>
    </row>
    <row r="32" spans="1:23" x14ac:dyDescent="0.25">
      <c r="A32">
        <v>21</v>
      </c>
      <c r="B32" s="58" t="n">
        <v>8428.361606756509</v>
      </c>
      <c r="C32" s="58" t="n">
        <v>609.1842496160423</v>
      </c>
      <c r="D32" s="58" t="n">
        <v>307.7859023640729</v>
      </c>
      <c r="E32" s="58">
        <f si="0" t="shared"/>
        <v>9345.3317587366237</v>
      </c>
      <c r="F32" s="78">
        <f si="1" t="shared"/>
        <v>1.6686254936782365E-2</v>
      </c>
      <c r="G32">
        <v>21</v>
      </c>
      <c r="H32" s="68" t="n">
        <v>10761.0</v>
      </c>
      <c r="I32" s="68" t="n">
        <v>615.0</v>
      </c>
      <c r="J32" s="68" t="n">
        <v>179.0</v>
      </c>
      <c r="K32" s="58">
        <f si="2" t="shared"/>
        <v>11390</v>
      </c>
      <c r="L32" s="78">
        <f si="3" t="shared"/>
        <v>1.6904125853368951E-2</v>
      </c>
      <c r="W32" s="8"/>
    </row>
    <row r="33" spans="1:23" x14ac:dyDescent="0.25">
      <c r="A33">
        <v>22</v>
      </c>
      <c r="B33" s="58" t="n">
        <v>6288.22872105192</v>
      </c>
      <c r="C33" s="58" t="n">
        <v>573.1212189810753</v>
      </c>
      <c r="D33" s="58" t="n">
        <v>0.0</v>
      </c>
      <c r="E33" s="58">
        <f si="0" t="shared"/>
        <v>6861.3499400329947</v>
      </c>
      <c r="F33" s="78">
        <f si="1" t="shared"/>
        <v>1.2251061520938947E-2</v>
      </c>
      <c r="G33">
        <v>22</v>
      </c>
      <c r="H33" s="68" t="n">
        <v>9328.0</v>
      </c>
      <c r="I33" s="68" t="n">
        <v>569.0</v>
      </c>
      <c r="J33" s="68" t="n">
        <v>171.0</v>
      </c>
      <c r="K33" s="58">
        <f si="2" t="shared"/>
        <v>10052</v>
      </c>
      <c r="L33" s="78">
        <f si="3" t="shared"/>
        <v>1.4918373404571089E-2</v>
      </c>
      <c r="W33" s="8"/>
    </row>
    <row r="34" spans="1:23" x14ac:dyDescent="0.25">
      <c r="A34">
        <v>23</v>
      </c>
      <c r="B34" s="58" t="n">
        <v>7852.061122220556</v>
      </c>
      <c r="C34" s="58" t="n">
        <v>557.563032379368</v>
      </c>
      <c r="D34" s="58" t="n">
        <v>77.7549175564256</v>
      </c>
      <c r="E34" s="58">
        <f si="0" t="shared"/>
        <v>8487.3790721563491</v>
      </c>
      <c r="F34" s="78">
        <f si="1" t="shared"/>
        <v>1.5154365259501272E-2</v>
      </c>
      <c r="G34">
        <v>23</v>
      </c>
      <c r="H34" s="68" t="n">
        <v>8576.0</v>
      </c>
      <c r="I34" s="68" t="n">
        <v>517.0</v>
      </c>
      <c r="J34" s="68" t="n">
        <v>169.0</v>
      </c>
      <c r="K34" s="58">
        <f si="2" t="shared"/>
        <v>9111</v>
      </c>
      <c r="L34" s="78">
        <f si="3" t="shared"/>
        <v>1.3521816562778273E-2</v>
      </c>
      <c r="W34" s="8"/>
    </row>
    <row r="35" spans="1:23" x14ac:dyDescent="0.25">
      <c r="A35">
        <v>24</v>
      </c>
      <c r="B35" s="58" t="n">
        <v>7316.103579623699</v>
      </c>
      <c r="C35" s="58" t="n">
        <v>320.7126175784082</v>
      </c>
      <c r="D35" s="58" t="n">
        <v>309.734259794453</v>
      </c>
      <c r="E35" s="58">
        <f si="0" t="shared"/>
        <v>7946.5504569965597</v>
      </c>
      <c r="F35" s="78">
        <f si="1" t="shared"/>
        <v>1.4188706213611691E-2</v>
      </c>
      <c r="G35">
        <v>24</v>
      </c>
      <c r="H35" s="68" t="n">
        <v>7778.0</v>
      </c>
      <c r="I35" s="68" t="n">
        <v>443.0</v>
      </c>
      <c r="J35" s="68" t="n">
        <v>154.0</v>
      </c>
      <c r="K35" s="58">
        <f si="2" t="shared"/>
        <v>8330</v>
      </c>
      <c r="L35" s="78">
        <f si="3" t="shared"/>
        <v>1.2362718907687741E-2</v>
      </c>
      <c r="W35" s="8"/>
    </row>
    <row r="36" spans="1:23" x14ac:dyDescent="0.25">
      <c r="A36">
        <v>25</v>
      </c>
      <c r="B36" s="58" t="n">
        <v>5738.3481104997845</v>
      </c>
      <c r="C36" s="58" t="n">
        <v>93.9903795356894</v>
      </c>
      <c r="D36" s="58" t="n">
        <v>0.0</v>
      </c>
      <c r="E36" s="58">
        <f si="0" t="shared"/>
        <v>5832.338490035474</v>
      </c>
      <c r="F36" s="78">
        <f si="1" t="shared"/>
        <v>1.0413743399891533E-2</v>
      </c>
      <c r="G36">
        <v>25</v>
      </c>
      <c r="H36" s="68" t="n">
        <v>7535.0</v>
      </c>
      <c r="I36" s="68" t="n">
        <v>437.0</v>
      </c>
      <c r="J36" s="68" t="n">
        <v>113.0</v>
      </c>
      <c r="K36" s="58">
        <f si="2" t="shared"/>
        <v>7938</v>
      </c>
      <c r="L36" s="78">
        <f si="3" t="shared"/>
        <v>1.1780943900267142E-2</v>
      </c>
      <c r="W36" s="8"/>
    </row>
    <row r="37" spans="1:23" x14ac:dyDescent="0.25">
      <c r="A37">
        <v>26</v>
      </c>
      <c r="B37" s="58" t="n">
        <v>5636.748978904976</v>
      </c>
      <c r="C37" s="58" t="n">
        <v>784.239244838517</v>
      </c>
      <c r="D37" s="58" t="n">
        <v>0.0</v>
      </c>
      <c r="E37" s="58">
        <f si="0" t="shared"/>
        <v>6420.9882237434931</v>
      </c>
      <c r="F37" s="78">
        <f si="1" t="shared"/>
        <v>1.1464787897689963E-2</v>
      </c>
      <c r="G37">
        <v>26</v>
      </c>
      <c r="H37" s="68" t="n">
        <v>7152.0</v>
      </c>
      <c r="I37" s="68" t="n">
        <v>391.0</v>
      </c>
      <c r="J37" s="68" t="n">
        <v>122.0</v>
      </c>
      <c r="K37" s="58">
        <f si="2" t="shared"/>
        <v>7749</v>
      </c>
      <c r="L37" s="78">
        <f si="3" t="shared"/>
        <v>1.1500445235975067E-2</v>
      </c>
      <c r="W37" s="8"/>
    </row>
    <row r="38" spans="1:23" x14ac:dyDescent="0.25">
      <c r="A38">
        <v>27</v>
      </c>
      <c r="B38" s="58" t="n">
        <v>4284.688756630673</v>
      </c>
      <c r="C38" s="58" t="n">
        <v>405.4086593997664</v>
      </c>
      <c r="D38" s="58" t="n">
        <v>0.0</v>
      </c>
      <c r="E38" s="58">
        <f si="0" t="shared"/>
        <v>4690.0974160304395</v>
      </c>
      <c r="F38" s="78">
        <f si="1" t="shared"/>
        <v>8.3742517850225549E-3</v>
      </c>
      <c r="G38">
        <v>27</v>
      </c>
      <c r="H38" s="68" t="n">
        <v>6724.0</v>
      </c>
      <c r="I38" s="68" t="n">
        <v>381.0</v>
      </c>
      <c r="J38" s="68" t="n">
        <v>100.0</v>
      </c>
      <c r="K38" s="58">
        <f si="2" t="shared"/>
        <v>6996</v>
      </c>
      <c r="L38" s="78">
        <f si="3" t="shared"/>
        <v>1.0382902938557436E-2</v>
      </c>
      <c r="W38" s="8"/>
    </row>
    <row r="39" spans="1:23" x14ac:dyDescent="0.25">
      <c r="A39">
        <v>28</v>
      </c>
      <c r="B39" s="58" t="n">
        <v>5427.936211585571</v>
      </c>
      <c r="C39" s="58" t="n">
        <v>80.8335331016083</v>
      </c>
      <c r="D39" s="58" t="n">
        <v>209.79545951788302</v>
      </c>
      <c r="E39" s="58">
        <f si="0" t="shared"/>
        <v>5718.5652042050624</v>
      </c>
      <c r="F39" s="78">
        <f si="1" t="shared"/>
        <v>1.0210599188281617E-2</v>
      </c>
      <c r="G39">
        <v>28</v>
      </c>
      <c r="H39" s="68" t="n">
        <v>6198.0</v>
      </c>
      <c r="I39" s="68" t="n">
        <v>310.0</v>
      </c>
      <c r="J39" s="68" t="n">
        <v>94.0</v>
      </c>
      <c r="K39" s="58">
        <f si="2" t="shared"/>
        <v>6831</v>
      </c>
      <c r="L39" s="78">
        <f si="3" t="shared"/>
        <v>1.0138023152270704E-2</v>
      </c>
      <c r="W39" s="8"/>
    </row>
    <row r="40" spans="1:23" x14ac:dyDescent="0.25">
      <c r="A40">
        <v>29</v>
      </c>
      <c r="B40" s="58" t="n">
        <v>4923.390171504369</v>
      </c>
      <c r="C40" s="58" t="n">
        <v>154.2550843812376</v>
      </c>
      <c r="D40" s="58" t="n">
        <v>0.0</v>
      </c>
      <c r="E40" s="58">
        <f si="0" t="shared"/>
        <v>5077.6452558856072</v>
      </c>
      <c r="F40" s="78">
        <f si="1" t="shared"/>
        <v>9.0662252989619739E-3</v>
      </c>
      <c r="G40">
        <v>29</v>
      </c>
      <c r="H40" s="68" t="n">
        <v>5977.0</v>
      </c>
      <c r="I40" s="68" t="n">
        <v>307.0</v>
      </c>
      <c r="J40" s="68" t="n">
        <v>79.0</v>
      </c>
      <c r="K40" s="58">
        <f si="2" t="shared"/>
        <v>6158</v>
      </c>
      <c r="L40" s="78">
        <f si="3" t="shared"/>
        <v>9.1392104482042151E-3</v>
      </c>
      <c r="W40" s="8"/>
    </row>
    <row r="41" spans="1:23" x14ac:dyDescent="0.25">
      <c r="A41">
        <v>30</v>
      </c>
      <c r="B41" s="58" t="n">
        <v>3942.9172178941353</v>
      </c>
      <c r="C41" s="58" t="n">
        <v>322.663604509022</v>
      </c>
      <c r="D41" s="58" t="n">
        <v>36.2890671170556</v>
      </c>
      <c r="E41" s="58">
        <f si="0" t="shared"/>
        <v>4301.8698895202124</v>
      </c>
      <c r="F41" s="78">
        <f si="1" t="shared"/>
        <v>7.6810646785541326E-3</v>
      </c>
      <c r="G41">
        <v>30</v>
      </c>
      <c r="H41" s="68" t="n">
        <v>5748.0</v>
      </c>
      <c r="I41" s="68" t="n">
        <v>266.0</v>
      </c>
      <c r="J41" s="68" t="n">
        <v>84.0</v>
      </c>
      <c r="K41" s="58">
        <f si="2" t="shared"/>
        <v>6258</v>
      </c>
      <c r="L41" s="78">
        <f si="3" t="shared"/>
        <v>9.2876224398931433E-3</v>
      </c>
      <c r="W41" s="8"/>
    </row>
    <row r="42" spans="1:23" x14ac:dyDescent="0.25">
      <c r="A42">
        <v>31</v>
      </c>
      <c r="B42" s="58" t="n">
        <v>4862.776152334174</v>
      </c>
      <c r="C42" s="58" t="n">
        <v>150.8291320450065</v>
      </c>
      <c r="D42" s="58" t="n">
        <v>0.0</v>
      </c>
      <c r="E42" s="58">
        <f si="0" t="shared"/>
        <v>5013.6052843791804</v>
      </c>
      <c r="F42" s="78">
        <f si="1" t="shared"/>
        <v>8.9518807985966946E-3</v>
      </c>
      <c r="G42">
        <v>31</v>
      </c>
      <c r="H42" s="68" t="n">
        <v>5088.0</v>
      </c>
      <c r="I42" s="68" t="n">
        <v>257.0</v>
      </c>
      <c r="J42" s="68" t="n">
        <v>67.0</v>
      </c>
      <c r="K42" s="58">
        <f si="2" t="shared"/>
        <v>5468</v>
      </c>
      <c r="L42" s="78">
        <f si="3" t="shared"/>
        <v>8.1151677055506088E-3</v>
      </c>
      <c r="W42" s="8"/>
    </row>
    <row r="43" spans="1:23" x14ac:dyDescent="0.25">
      <c r="A43">
        <v>32</v>
      </c>
      <c r="B43" s="58" t="n">
        <v>2250.0307167413057</v>
      </c>
      <c r="C43" s="58" t="n">
        <v>160.4898272695059</v>
      </c>
      <c r="D43" s="58" t="n">
        <v>0.0</v>
      </c>
      <c r="E43" s="58">
        <f si="0" t="shared"/>
        <v>2410.5205440108116</v>
      </c>
      <c r="F43" s="78">
        <f si="1" t="shared"/>
        <v>4.3040270122152759E-3</v>
      </c>
      <c r="G43">
        <v>32</v>
      </c>
      <c r="H43" s="68" t="n">
        <v>4288.0</v>
      </c>
      <c r="I43" s="68" t="n">
        <v>265.0</v>
      </c>
      <c r="J43" s="68" t="n">
        <v>53.0</v>
      </c>
      <c r="K43" s="58">
        <f si="2" t="shared"/>
        <v>4618</v>
      </c>
      <c r="L43" s="78">
        <f si="3" t="shared"/>
        <v>6.8536657761947162E-3</v>
      </c>
      <c r="W43" s="8"/>
    </row>
    <row r="44" spans="1:23" x14ac:dyDescent="0.25">
      <c r="A44">
        <v>33</v>
      </c>
      <c r="B44" s="58" t="n">
        <v>1652.9916496047501</v>
      </c>
      <c r="C44" s="58" t="n">
        <v>47.0050391499463</v>
      </c>
      <c r="D44" s="58" t="n">
        <v>1149.6180320961091</v>
      </c>
      <c r="E44" s="58">
        <f si="0" t="shared"/>
        <v>2849.6147208508055</v>
      </c>
      <c r="F44" s="78">
        <f si="1" t="shared"/>
        <v>5.0880374213865855E-3</v>
      </c>
      <c r="G44">
        <v>33</v>
      </c>
      <c r="H44" s="68" t="n">
        <v>3625.0</v>
      </c>
      <c r="I44" s="68" t="n">
        <v>215.0</v>
      </c>
      <c r="J44" s="68" t="n">
        <v>50.0</v>
      </c>
      <c r="K44" s="58">
        <f si="2" t="shared"/>
        <v>3805</v>
      </c>
      <c r="L44" s="78">
        <f si="3" t="shared"/>
        <v>5.6470762837637278E-3</v>
      </c>
      <c r="W44" s="8"/>
    </row>
    <row r="45" spans="1:23" x14ac:dyDescent="0.25">
      <c r="A45">
        <v>34</v>
      </c>
      <c r="B45" s="58" t="n">
        <v>1960.3028998173813</v>
      </c>
      <c r="C45" s="58" t="n">
        <v>216.6189215104462</v>
      </c>
      <c r="D45" s="58" t="n">
        <v>33.9990190163052</v>
      </c>
      <c r="E45" s="58">
        <f si="0" t="shared"/>
        <v>2210.920840344133</v>
      </c>
      <c r="F45" s="78">
        <f si="1" t="shared"/>
        <v>3.9476382154692664E-3</v>
      </c>
      <c r="G45">
        <v>34</v>
      </c>
      <c r="H45" s="68" t="n">
        <v>3025.0</v>
      </c>
      <c r="I45" s="68" t="n">
        <v>168.0</v>
      </c>
      <c r="J45" s="68" t="n">
        <v>52.0</v>
      </c>
      <c r="K45" s="58">
        <f si="2" t="shared"/>
        <v>3208</v>
      </c>
      <c r="L45" s="78">
        <f si="3" t="shared"/>
        <v>4.7610566933808255E-3</v>
      </c>
      <c r="W45" s="8"/>
    </row>
    <row r="46" spans="1:23" x14ac:dyDescent="0.25">
      <c r="A46">
        <v>35</v>
      </c>
      <c r="B46" s="58" t="n">
        <v>1376.2254234753561</v>
      </c>
      <c r="C46" s="58" t="n">
        <v>150.631131704105</v>
      </c>
      <c r="D46" s="58" t="n">
        <v>0.0</v>
      </c>
      <c r="E46" s="58">
        <f si="0" t="shared"/>
        <v>1526.8565551794611</v>
      </c>
      <c r="F46" s="78">
        <f si="1" t="shared"/>
        <v>2.726229350584987E-3</v>
      </c>
      <c r="G46">
        <v>35</v>
      </c>
      <c r="H46" s="68" t="n">
        <v>2539.0</v>
      </c>
      <c r="I46" s="68" t="n">
        <v>150.0</v>
      </c>
      <c r="J46" s="68" t="n">
        <v>47.0</v>
      </c>
      <c r="K46" s="58">
        <f si="2" t="shared"/>
        <v>2555</v>
      </c>
      <c r="L46" s="78">
        <f si="3" t="shared"/>
        <v>3.7919263876521224E-3</v>
      </c>
      <c r="W46" s="8"/>
    </row>
    <row r="47" spans="1:23" x14ac:dyDescent="0.25">
      <c r="A47">
        <v>36</v>
      </c>
      <c r="B47" s="58" t="n">
        <v>2647.719371070352</v>
      </c>
      <c r="C47" s="58" t="n">
        <v>309.5349203025685</v>
      </c>
      <c r="D47" s="58" t="n">
        <v>0.0</v>
      </c>
      <c r="E47" s="58">
        <f si="0" t="shared"/>
        <v>2957.2542913729203</v>
      </c>
      <c r="F47" s="78">
        <f si="1" t="shared"/>
        <v>5.2802297759639025E-3</v>
      </c>
      <c r="G47">
        <v>36</v>
      </c>
      <c r="H47" s="68" t="n">
        <v>2068.0</v>
      </c>
      <c r="I47" s="68" t="n">
        <v>100.0</v>
      </c>
      <c r="J47" s="68" t="n">
        <v>30.0</v>
      </c>
      <c r="K47" s="58">
        <f si="2" t="shared"/>
        <v>2254</v>
      </c>
      <c r="L47" s="78">
        <f si="3" t="shared"/>
        <v>3.3452062926684475E-3</v>
      </c>
      <c r="W47" s="8"/>
    </row>
    <row r="48" spans="1:23" x14ac:dyDescent="0.25">
      <c r="A48">
        <v>37</v>
      </c>
      <c r="B48" s="58" t="n">
        <v>767.9490876907399</v>
      </c>
      <c r="C48" s="58" t="n">
        <v>133.725294944298</v>
      </c>
      <c r="D48" s="58" t="n">
        <v>0.0</v>
      </c>
      <c r="E48" s="58">
        <f si="0" t="shared"/>
        <v>901.674382635038</v>
      </c>
      <c r="F48" s="78">
        <f si="1" t="shared"/>
        <v>1.6099555379131959E-3</v>
      </c>
      <c r="G48">
        <v>37</v>
      </c>
      <c r="H48" s="68" t="n">
        <v>1771.0</v>
      </c>
      <c r="I48" s="68" t="n">
        <v>108.0</v>
      </c>
      <c r="J48" s="68" t="n">
        <v>36.0</v>
      </c>
      <c r="K48" s="58">
        <f si="2" t="shared"/>
        <v>1775</v>
      </c>
      <c r="L48" s="78">
        <f si="3" t="shared"/>
        <v>2.6343128524784804E-3</v>
      </c>
      <c r="W48" s="8"/>
    </row>
    <row r="49" spans="1:23" x14ac:dyDescent="0.25">
      <c r="A49">
        <v>38</v>
      </c>
      <c r="B49" s="58" t="n">
        <v>1005.0093507975955</v>
      </c>
      <c r="C49" s="58" t="n">
        <v>0.0</v>
      </c>
      <c r="D49" s="58" t="n">
        <v>53.7405419735351</v>
      </c>
      <c r="E49" s="58">
        <f si="0" t="shared"/>
        <v>1058.7498927711306</v>
      </c>
      <c r="F49" s="78">
        <f si="1" t="shared"/>
        <v>1.8904166359374262E-3</v>
      </c>
      <c r="G49">
        <v>38</v>
      </c>
      <c r="H49" s="68" t="n">
        <v>1469.0</v>
      </c>
      <c r="I49" s="68" t="n">
        <v>100.0</v>
      </c>
      <c r="J49" s="68" t="n">
        <v>27.0</v>
      </c>
      <c r="K49" s="58">
        <f si="2" t="shared"/>
        <v>1636</v>
      </c>
      <c r="L49" s="78">
        <f si="3" t="shared"/>
        <v>2.4280201840308699E-3</v>
      </c>
      <c r="W49" s="8"/>
    </row>
    <row r="50" spans="1:23" x14ac:dyDescent="0.25">
      <c r="A50">
        <v>39</v>
      </c>
      <c r="B50" s="58" t="n">
        <v>1073.7227842935858</v>
      </c>
      <c r="C50" s="58" t="n">
        <v>0.0</v>
      </c>
      <c r="D50" s="58" t="n">
        <v>0.0</v>
      </c>
      <c r="E50" s="58">
        <f si="0" t="shared"/>
        <v>1073.7227842935858</v>
      </c>
      <c r="F50" s="78">
        <f si="1" t="shared"/>
        <v>1.9171509982409268E-3</v>
      </c>
      <c r="G50">
        <v>39</v>
      </c>
      <c r="H50" s="68" t="n">
        <v>1311.0</v>
      </c>
      <c r="I50" s="68" t="n">
        <v>72.0</v>
      </c>
      <c r="J50" s="68" t="n">
        <v>28.0</v>
      </c>
      <c r="K50" s="58">
        <f si="2" t="shared"/>
        <v>1456</v>
      </c>
      <c r="L50" s="78">
        <f si="3" t="shared"/>
        <v>2.1608785989907986E-3</v>
      </c>
      <c r="W50" s="8"/>
    </row>
    <row r="51" spans="1:23" x14ac:dyDescent="0.25">
      <c r="A51">
        <v>40</v>
      </c>
      <c r="B51" s="58" t="n">
        <v>1353.3065641935718</v>
      </c>
      <c r="C51" s="58" t="n">
        <v>0.0</v>
      </c>
      <c r="D51" s="58" t="n">
        <v>0.0</v>
      </c>
      <c r="E51" s="58">
        <f si="0" t="shared"/>
        <v>1353.3065641935718</v>
      </c>
      <c r="F51" s="78">
        <f si="1" t="shared"/>
        <v>2.4163527759883115E-3</v>
      </c>
      <c r="G51">
        <v>40</v>
      </c>
      <c r="H51" s="68" t="n">
        <v>1059.0</v>
      </c>
      <c r="I51" s="68" t="n">
        <v>53.0</v>
      </c>
      <c r="J51" s="68" t="n">
        <v>12.0</v>
      </c>
      <c r="K51" s="58">
        <f si="2" t="shared"/>
        <v>1196</v>
      </c>
      <c r="L51" s="78">
        <f si="3" t="shared"/>
        <v>1.7750074205995843E-3</v>
      </c>
      <c r="W51" s="8"/>
    </row>
    <row r="52" spans="1:23" x14ac:dyDescent="0.25">
      <c r="A52">
        <v>41</v>
      </c>
      <c r="B52" s="58" t="n">
        <v>995.7846700607805</v>
      </c>
      <c r="C52" s="58" t="n">
        <v>0.0</v>
      </c>
      <c r="D52" s="58" t="n">
        <v>0.0</v>
      </c>
      <c r="E52" s="58">
        <f si="0" t="shared"/>
        <v>995.78467006078051</v>
      </c>
      <c r="F52" s="78">
        <f si="1" t="shared"/>
        <v>1.7779911185325506E-3</v>
      </c>
      <c r="G52">
        <v>41</v>
      </c>
      <c r="H52" s="68" t="n">
        <v>952.0</v>
      </c>
      <c r="I52" s="68" t="n">
        <v>69.0</v>
      </c>
      <c r="J52" s="68" t="n">
        <v>16.0</v>
      </c>
      <c r="K52" s="58">
        <f si="2" t="shared"/>
        <v>1001</v>
      </c>
      <c r="L52" s="78">
        <f si="3" t="shared"/>
        <v>1.485604036806174E-3</v>
      </c>
      <c r="W52" s="8"/>
    </row>
    <row r="53" spans="1:23" x14ac:dyDescent="0.25">
      <c r="A53">
        <v>42</v>
      </c>
      <c r="B53" s="58" t="n">
        <v>286.7097271878012</v>
      </c>
      <c r="C53" s="58" t="n">
        <v>27.2746259405429</v>
      </c>
      <c r="D53" s="58" t="n">
        <v>0.0</v>
      </c>
      <c r="E53" s="58">
        <f si="0" t="shared"/>
        <v>313.98435312834408</v>
      </c>
      <c r="F53" s="78">
        <f si="1" t="shared"/>
        <v>5.606246089190234E-4</v>
      </c>
      <c r="G53">
        <v>42</v>
      </c>
      <c r="H53" s="68" t="n">
        <v>887.0</v>
      </c>
      <c r="I53" s="68" t="n">
        <v>59.0</v>
      </c>
      <c r="J53" s="68" t="n">
        <v>19.0</v>
      </c>
      <c r="K53" s="58">
        <f si="2" t="shared"/>
        <v>898</v>
      </c>
      <c r="L53" s="78">
        <f si="3" t="shared"/>
        <v>1.3327396853665776E-3</v>
      </c>
      <c r="W53" s="8"/>
    </row>
    <row r="54" spans="1:23" x14ac:dyDescent="0.25">
      <c r="A54">
        <v>43</v>
      </c>
      <c r="B54" s="58" t="n">
        <v>1591.6720679937785</v>
      </c>
      <c r="C54" s="58" t="n">
        <v>74.2925044326287</v>
      </c>
      <c r="D54" s="58" t="n">
        <v>0.0</v>
      </c>
      <c r="E54" s="58">
        <f si="0" t="shared"/>
        <v>1665.9645724264071</v>
      </c>
      <c r="F54" s="78">
        <f si="1" t="shared"/>
        <v>2.9746091726670504E-3</v>
      </c>
      <c r="G54">
        <v>43</v>
      </c>
      <c r="H54" s="68" t="n">
        <v>726.0</v>
      </c>
      <c r="I54" s="68" t="n">
        <v>52.0</v>
      </c>
      <c r="J54" s="68" t="n">
        <v>20.0</v>
      </c>
      <c r="K54" s="58">
        <f si="2" t="shared"/>
        <v>766</v>
      </c>
      <c r="L54" s="78">
        <f si="3" t="shared"/>
        <v>1.136835856337192E-3</v>
      </c>
      <c r="W54" s="8"/>
    </row>
    <row r="55" spans="1:23" x14ac:dyDescent="0.25">
      <c r="A55">
        <v>44</v>
      </c>
      <c r="B55" s="58" t="n">
        <v>520.4443749093687</v>
      </c>
      <c r="C55" s="58" t="n">
        <v>0.0</v>
      </c>
      <c r="D55" s="58" t="n">
        <v>0.0</v>
      </c>
      <c r="E55" s="58">
        <f si="0" t="shared"/>
        <v>520.44437490936866</v>
      </c>
      <c r="F55" s="78">
        <f si="1" t="shared"/>
        <v>9.2926262484298078E-4</v>
      </c>
      <c r="G55">
        <v>44</v>
      </c>
      <c r="H55" s="68" t="n">
        <v>564.0</v>
      </c>
      <c r="I55" s="68" t="n">
        <v>38.0</v>
      </c>
      <c r="J55" s="68" t="n">
        <v>15.0</v>
      </c>
      <c r="K55" s="58">
        <f si="2" t="shared"/>
        <v>635</v>
      </c>
      <c r="L55" s="78">
        <f si="3" t="shared"/>
        <v>9.4241614722469572E-4</v>
      </c>
      <c r="W55" s="8"/>
    </row>
    <row r="56" spans="1:23" x14ac:dyDescent="0.25">
      <c r="A56">
        <v>45</v>
      </c>
      <c r="B56" s="58" t="n">
        <v>835.273359601278</v>
      </c>
      <c r="C56" s="58" t="n">
        <v>0.0</v>
      </c>
      <c r="D56" s="58" t="n">
        <v>0.0</v>
      </c>
      <c r="E56" s="58">
        <f si="0" t="shared"/>
        <v>835.273359601278</v>
      </c>
      <c r="F56" s="78">
        <f si="1" t="shared"/>
        <v>1.4913953383388298E-3</v>
      </c>
      <c r="G56">
        <v>45</v>
      </c>
      <c r="H56" s="68" t="n">
        <v>534.0</v>
      </c>
      <c r="I56" s="68" t="n">
        <v>28.0</v>
      </c>
      <c r="J56" s="68" t="n">
        <v>9.0</v>
      </c>
      <c r="K56" s="58">
        <f si="2" t="shared"/>
        <v>575</v>
      </c>
      <c r="L56" s="78">
        <f si="3" t="shared"/>
        <v>8.5336895221133871E-4</v>
      </c>
      <c r="W56" s="8"/>
    </row>
    <row r="57" spans="1:23" x14ac:dyDescent="0.25">
      <c r="A57">
        <v>46</v>
      </c>
      <c r="B57" s="58" t="n">
        <v>968.1408891711143</v>
      </c>
      <c r="C57" s="58" t="n">
        <v>0.0</v>
      </c>
      <c r="D57" s="58" t="n">
        <v>0.0</v>
      </c>
      <c r="E57" s="58">
        <f si="0" t="shared"/>
        <v>968.14088917111428</v>
      </c>
      <c r="F57" s="78">
        <f si="1" t="shared"/>
        <v>1.728632659437688E-3</v>
      </c>
      <c r="G57">
        <v>46</v>
      </c>
      <c r="H57" s="68" t="n">
        <v>451.0</v>
      </c>
      <c r="I57" s="68" t="n">
        <v>28.0</v>
      </c>
      <c r="J57" s="68" t="n">
        <v>7.0</v>
      </c>
      <c r="K57" s="58">
        <f si="2" t="shared"/>
        <v>489</v>
      </c>
      <c r="L57" s="78">
        <f si="3" t="shared"/>
        <v>7.2573463935886025E-4</v>
      </c>
      <c r="W57" s="8"/>
    </row>
    <row r="58" spans="1:23" x14ac:dyDescent="0.25">
      <c r="A58">
        <v>47</v>
      </c>
      <c r="B58" s="58" t="n">
        <v>194.40680958973</v>
      </c>
      <c r="C58" s="58" t="n">
        <v>0.0</v>
      </c>
      <c r="D58" s="58" t="n">
        <v>0.0</v>
      </c>
      <c r="E58" s="58">
        <f si="0" t="shared"/>
        <v>194.40680958972999</v>
      </c>
      <c r="F58" s="78">
        <f si="1" t="shared"/>
        <v>3.4711679264121499E-4</v>
      </c>
      <c r="G58">
        <v>47</v>
      </c>
      <c r="H58" s="68" t="n">
        <v>384.0</v>
      </c>
      <c r="I58" s="68" t="n">
        <v>29.0</v>
      </c>
      <c r="J58" s="68" t="n">
        <v>5.0</v>
      </c>
      <c r="K58" s="58">
        <f si="2" t="shared"/>
        <v>390</v>
      </c>
      <c r="L58" s="78">
        <f si="3" t="shared"/>
        <v>5.78806767586821E-4</v>
      </c>
      <c r="W58" s="8"/>
    </row>
    <row r="59" spans="1:23" x14ac:dyDescent="0.25">
      <c r="A59">
        <v>48</v>
      </c>
      <c r="B59" s="58" t="n">
        <v>471.4838157559356</v>
      </c>
      <c r="C59" s="58" t="n">
        <v>0.0</v>
      </c>
      <c r="D59" s="58" t="n">
        <v>0.0</v>
      </c>
      <c r="E59" s="58">
        <f si="0" t="shared"/>
        <v>471.48381575593561</v>
      </c>
      <c r="F59" s="78">
        <f si="1" t="shared"/>
        <v>8.4184268160577658E-4</v>
      </c>
      <c r="G59">
        <v>48</v>
      </c>
      <c r="H59" s="68" t="n">
        <v>282.0</v>
      </c>
      <c r="I59" s="68" t="n">
        <v>23.0</v>
      </c>
      <c r="J59" s="68" t="n">
        <v>6.0</v>
      </c>
      <c r="K59" s="58">
        <f si="2" t="shared"/>
        <v>319</v>
      </c>
      <c r="L59" s="78">
        <f si="3" t="shared"/>
        <v>4.7343425348768181E-4</v>
      </c>
      <c r="W59" s="8"/>
    </row>
    <row r="60" spans="1:23" x14ac:dyDescent="0.25">
      <c r="A60">
        <v>49</v>
      </c>
      <c r="B60" s="58" t="n">
        <v>239.0000548058428</v>
      </c>
      <c r="C60" s="58" t="n">
        <v>0.0</v>
      </c>
      <c r="D60" s="58" t="n">
        <v>0.0</v>
      </c>
      <c r="E60" s="58">
        <f si="0" t="shared"/>
        <v>239.00005480584281</v>
      </c>
      <c r="F60" s="78">
        <f si="1" t="shared"/>
        <v>4.267388196964751E-4</v>
      </c>
      <c r="G60">
        <v>49</v>
      </c>
      <c r="H60" s="68" t="n">
        <v>233.0</v>
      </c>
      <c r="I60" s="68" t="n">
        <v>22.0</v>
      </c>
      <c r="J60" s="68" t="n">
        <v>6.0</v>
      </c>
      <c r="K60" s="58">
        <f si="2" t="shared"/>
        <v>272</v>
      </c>
      <c r="L60" s="78">
        <f si="3" t="shared"/>
        <v>4.0368061739388543E-4</v>
      </c>
      <c r="W60" s="8"/>
    </row>
    <row r="61" spans="1:23" x14ac:dyDescent="0.25">
      <c r="A61">
        <v>50</v>
      </c>
      <c r="B61" s="58" t="n">
        <v>328.5139676563087</v>
      </c>
      <c r="C61" s="58" t="n">
        <v>0.0</v>
      </c>
      <c r="D61" s="58" t="n">
        <v>0.0</v>
      </c>
      <c r="E61" s="58">
        <f si="0" t="shared"/>
        <v>328.51396765630869</v>
      </c>
      <c r="F61" s="78">
        <f si="1" t="shared"/>
        <v>5.8656749231854972E-4</v>
      </c>
      <c r="G61">
        <v>50</v>
      </c>
      <c r="H61" s="68" t="n">
        <v>251.0</v>
      </c>
      <c r="I61" s="68" t="n">
        <v>24.0</v>
      </c>
      <c r="J61" s="68" t="n">
        <v>5.0</v>
      </c>
      <c r="K61" s="58">
        <f si="2" t="shared"/>
        <v>238</v>
      </c>
      <c r="L61" s="78">
        <f si="3" t="shared"/>
        <v>3.5322054021964973E-4</v>
      </c>
      <c r="W61" s="8"/>
    </row>
    <row r="62" spans="1:23" x14ac:dyDescent="0.25">
      <c r="A62">
        <v>51</v>
      </c>
      <c r="B62" s="58" t="n">
        <v>748.353361101959</v>
      </c>
      <c r="C62" s="58" t="n">
        <v>41.8458826914718</v>
      </c>
      <c r="D62" s="58" t="n">
        <v>0.0</v>
      </c>
      <c r="E62" s="58">
        <f si="0" t="shared"/>
        <v>790.19924379343081</v>
      </c>
      <c r="F62" s="78">
        <f si="1" t="shared"/>
        <v>1.4109147083476406E-3</v>
      </c>
      <c r="G62">
        <v>51</v>
      </c>
      <c r="H62" s="68" t="n">
        <v>190.0</v>
      </c>
      <c r="I62" s="68" t="n">
        <v>15.0</v>
      </c>
      <c r="J62" s="68" t="n">
        <v>5.0</v>
      </c>
      <c r="K62" s="58">
        <f si="2" t="shared"/>
        <v>202</v>
      </c>
      <c r="L62" s="78">
        <f si="3" t="shared"/>
        <v>2.9979222321163549E-4</v>
      </c>
      <c r="W62" s="8"/>
    </row>
    <row r="63" spans="1:23" x14ac:dyDescent="0.25">
      <c r="A63">
        <v>52</v>
      </c>
      <c r="B63" s="58" t="n">
        <v>788.2869326627972</v>
      </c>
      <c r="C63" s="58" t="n">
        <v>0.0</v>
      </c>
      <c r="D63" s="58" t="n">
        <v>0.0</v>
      </c>
      <c r="E63" s="58">
        <f si="0" t="shared"/>
        <v>788.2869326627972</v>
      </c>
      <c r="F63" s="78">
        <f si="1" t="shared"/>
        <v>1.407500243043681E-3</v>
      </c>
      <c r="G63">
        <v>52</v>
      </c>
      <c r="H63" s="68" t="n">
        <v>140.0</v>
      </c>
      <c r="I63" s="68" t="n">
        <v>6.0</v>
      </c>
      <c r="J63" s="68" t="n">
        <v>4.0</v>
      </c>
      <c r="K63" s="58">
        <f si="2" t="shared"/>
        <v>158</v>
      </c>
      <c r="L63" s="78">
        <f si="3" t="shared"/>
        <v>2.3449094686850698E-4</v>
      </c>
      <c r="W63" s="8"/>
    </row>
    <row r="64" spans="1:23" x14ac:dyDescent="0.25">
      <c r="A64">
        <v>53</v>
      </c>
      <c r="B64" s="58" t="n">
        <v>128.8863539203306</v>
      </c>
      <c r="C64" s="58" t="n">
        <v>0.0</v>
      </c>
      <c r="D64" s="58" t="n">
        <v>0.0</v>
      </c>
      <c r="E64" s="58">
        <f si="0" t="shared"/>
        <v>128.88635392033061</v>
      </c>
      <c r="F64" s="78">
        <f si="1" t="shared"/>
        <v>2.3012886165078587E-4</v>
      </c>
      <c r="G64">
        <v>53</v>
      </c>
      <c r="H64" s="68" t="n">
        <v>128.0</v>
      </c>
      <c r="I64" s="68" t="n">
        <v>13.0</v>
      </c>
      <c r="J64" s="68" t="n">
        <v>3.0</v>
      </c>
      <c r="K64" s="58">
        <f si="2" t="shared"/>
        <v>142</v>
      </c>
      <c r="L64" s="78">
        <f si="3" t="shared"/>
        <v>2.1074502819827843E-4</v>
      </c>
      <c r="W64" s="8"/>
    </row>
    <row r="65" spans="1:23" x14ac:dyDescent="0.25">
      <c r="A65">
        <v>54</v>
      </c>
      <c r="B65" s="58" t="n">
        <v>0.0</v>
      </c>
      <c r="C65" s="58" t="n">
        <v>0.0</v>
      </c>
      <c r="D65" s="58" t="n">
        <v>0.0</v>
      </c>
      <c r="E65" s="58">
        <f si="0" t="shared"/>
        <v>0</v>
      </c>
      <c r="F65" s="78">
        <f si="1" t="shared"/>
        <v>0</v>
      </c>
      <c r="G65">
        <v>54</v>
      </c>
      <c r="H65" s="68" t="n">
        <v>126.0</v>
      </c>
      <c r="I65" s="68" t="n">
        <v>7.0</v>
      </c>
      <c r="J65" s="68" t="n">
        <v>2.0</v>
      </c>
      <c r="K65" s="58">
        <f si="2" t="shared"/>
        <v>110</v>
      </c>
      <c r="L65" s="78">
        <f si="3" t="shared"/>
        <v>1.632531908578213E-4</v>
      </c>
      <c r="W65" s="8"/>
    </row>
    <row r="66" spans="1:23" x14ac:dyDescent="0.25">
      <c r="A66">
        <v>55</v>
      </c>
      <c r="B66" s="58" t="n">
        <v>334.14221782969</v>
      </c>
      <c r="C66" s="58" t="n">
        <v>0.0</v>
      </c>
      <c r="D66" s="58" t="n">
        <v>0.0</v>
      </c>
      <c r="E66" s="58">
        <f si="0" t="shared"/>
        <v>334.14221782969003</v>
      </c>
      <c r="F66" s="78">
        <f si="1" t="shared"/>
        <v>5.9661683242391659E-4</v>
      </c>
      <c r="G66">
        <v>55</v>
      </c>
      <c r="H66" s="68" t="n">
        <v>93.0</v>
      </c>
      <c r="I66" s="68" t="n">
        <v>8.0</v>
      </c>
      <c r="J66" s="68" t="n">
        <v>2.0</v>
      </c>
      <c r="K66" s="58">
        <f si="2" t="shared"/>
        <v>102</v>
      </c>
      <c r="L66" s="78">
        <f si="3" t="shared"/>
        <v>1.5138023152270704E-4</v>
      </c>
      <c r="W66" s="8"/>
    </row>
    <row r="67" spans="1:23" x14ac:dyDescent="0.25">
      <c r="A67">
        <v>56</v>
      </c>
      <c r="B67" s="58" t="n">
        <v>210.570415675261</v>
      </c>
      <c r="C67" s="58" t="n">
        <v>0.0</v>
      </c>
      <c r="D67" s="58" t="n">
        <v>0.0</v>
      </c>
      <c r="E67" s="58">
        <f si="0" t="shared"/>
        <v>210.57041567526099</v>
      </c>
      <c r="F67" s="78">
        <f si="1" t="shared"/>
        <v>3.7597719683058519E-4</v>
      </c>
      <c r="G67">
        <v>56</v>
      </c>
      <c r="H67" s="68" t="n">
        <v>83.0</v>
      </c>
      <c r="I67" s="68" t="n">
        <v>14.0</v>
      </c>
      <c r="J67" s="68" t="n">
        <v>3.0</v>
      </c>
      <c r="K67" s="58">
        <f si="2" t="shared"/>
        <v>69</v>
      </c>
      <c r="L67" s="78">
        <f si="3" t="shared"/>
        <v>1.0240427426536064E-4</v>
      </c>
      <c r="W67" s="8"/>
    </row>
    <row r="68" spans="1:23" x14ac:dyDescent="0.25">
      <c r="A68">
        <v>57</v>
      </c>
      <c r="B68" s="58" t="n">
        <v>0.0</v>
      </c>
      <c r="C68" s="58" t="n">
        <v>0.0</v>
      </c>
      <c r="D68" s="58" t="n">
        <v>0.0</v>
      </c>
      <c r="E68" s="58">
        <f si="0" t="shared"/>
        <v>0</v>
      </c>
      <c r="F68" s="78">
        <f si="1" t="shared"/>
        <v>0</v>
      </c>
      <c r="G68">
        <v>57</v>
      </c>
      <c r="H68" s="68" t="n">
        <v>57.0</v>
      </c>
      <c r="I68" s="68" t="n">
        <v>5.0</v>
      </c>
      <c r="J68" s="68" t="n">
        <v>1.0</v>
      </c>
      <c r="K68" s="58">
        <f si="2" t="shared"/>
        <v>68</v>
      </c>
      <c r="L68" s="78">
        <f si="3" t="shared"/>
        <v>1.0092015434847136E-4</v>
      </c>
      <c r="W68" s="8"/>
    </row>
    <row r="69" spans="1:23" x14ac:dyDescent="0.25">
      <c r="A69">
        <v>58</v>
      </c>
      <c r="B69" s="58" t="n">
        <v>0.0</v>
      </c>
      <c r="C69" s="58" t="n">
        <v>0.0</v>
      </c>
      <c r="D69" s="58" t="n">
        <v>0.0</v>
      </c>
      <c r="E69" s="58">
        <f si="0" t="shared"/>
        <v>0</v>
      </c>
      <c r="F69" s="78">
        <f si="1" t="shared"/>
        <v>0</v>
      </c>
      <c r="G69">
        <v>58</v>
      </c>
      <c r="H69" s="68" t="n">
        <v>49.0</v>
      </c>
      <c r="I69" s="68" t="n">
        <v>8.0</v>
      </c>
      <c r="J69" s="68" t="n">
        <v>2.0</v>
      </c>
      <c r="K69" s="58">
        <f si="2" t="shared"/>
        <v>77</v>
      </c>
      <c r="L69" s="78">
        <f si="3" t="shared"/>
        <v>1.1427723360047492E-4</v>
      </c>
      <c r="W69" s="8"/>
    </row>
    <row r="70" spans="1:23" x14ac:dyDescent="0.25">
      <c r="A70">
        <v>59</v>
      </c>
      <c r="B70" s="58" t="n">
        <v>0.0</v>
      </c>
      <c r="C70" s="58" t="n">
        <v>34.3455237132042</v>
      </c>
      <c r="D70" s="58" t="n">
        <v>0.0</v>
      </c>
      <c r="E70" s="58">
        <f si="0" t="shared"/>
        <v>34.345523713204201</v>
      </c>
      <c r="F70" s="78">
        <f si="1" t="shared"/>
        <v>6.1324539289903747E-5</v>
      </c>
      <c r="G70">
        <v>59</v>
      </c>
      <c r="H70" s="68" t="n">
        <v>40.0</v>
      </c>
      <c r="I70" s="68" t="n">
        <v>1.0</v>
      </c>
      <c r="J70" s="68" t="n">
        <v>0.0</v>
      </c>
      <c r="K70" s="58">
        <f si="2" t="shared"/>
        <v>39</v>
      </c>
      <c r="L70" s="78">
        <f si="3" t="shared"/>
        <v>5.7880676758682102E-5</v>
      </c>
      <c r="W70" s="8"/>
    </row>
    <row r="71" spans="1:23" x14ac:dyDescent="0.25">
      <c r="A71">
        <v>60</v>
      </c>
      <c r="B71" s="58" t="n">
        <v>80.6787613869614</v>
      </c>
      <c r="C71" s="58" t="n">
        <v>0.0</v>
      </c>
      <c r="D71" s="58" t="n">
        <v>0.0</v>
      </c>
      <c r="E71" s="58">
        <f si="0" t="shared"/>
        <v>80.678761386961398</v>
      </c>
      <c r="F71" s="78">
        <f si="1" t="shared"/>
        <v>1.4405335361456067E-4</v>
      </c>
      <c r="G71">
        <v>60</v>
      </c>
      <c r="H71" s="68" t="n">
        <v>23.0</v>
      </c>
      <c r="I71" s="68" t="n">
        <v>2.0</v>
      </c>
      <c r="J71" s="68" t="n">
        <v>0.0</v>
      </c>
      <c r="K71" s="58">
        <f si="2" t="shared"/>
        <v>21</v>
      </c>
      <c r="L71" s="78">
        <f si="3" t="shared"/>
        <v>3.116651825467498E-5</v>
      </c>
      <c r="W71" s="8"/>
    </row>
    <row r="72" spans="1:23" x14ac:dyDescent="0.25">
      <c r="A72">
        <v>61</v>
      </c>
      <c r="B72" s="58" t="n">
        <v>0.0</v>
      </c>
      <c r="C72" s="58" t="n">
        <v>0.0</v>
      </c>
      <c r="D72" s="58" t="n">
        <v>0.0</v>
      </c>
      <c r="E72" s="58">
        <f si="0" t="shared"/>
        <v>0</v>
      </c>
      <c r="F72" s="78">
        <f si="1" t="shared"/>
        <v>0</v>
      </c>
      <c r="G72">
        <v>61</v>
      </c>
      <c r="H72" s="68" t="n">
        <v>21.0</v>
      </c>
      <c r="I72" s="68" t="n">
        <v>3.0</v>
      </c>
      <c r="J72" s="68" t="n">
        <v>0.0</v>
      </c>
      <c r="K72" s="58">
        <f si="2" t="shared"/>
        <v>24</v>
      </c>
      <c r="L72" s="78">
        <f si="3" t="shared"/>
        <v>3.5618878005342832E-5</v>
      </c>
      <c r="W72" s="8"/>
    </row>
    <row r="73" spans="1:23" x14ac:dyDescent="0.25">
      <c r="A73">
        <v>62</v>
      </c>
      <c r="B73" s="58" t="n">
        <v>0.0</v>
      </c>
      <c r="C73" s="58" t="n">
        <v>0.0</v>
      </c>
      <c r="D73" s="58" t="n">
        <v>0.0</v>
      </c>
      <c r="E73" s="58">
        <f si="0" t="shared"/>
        <v>0</v>
      </c>
      <c r="F73" s="78">
        <f si="1" t="shared"/>
        <v>0</v>
      </c>
      <c r="G73">
        <v>62</v>
      </c>
      <c r="H73" s="68" t="n">
        <v>25.0</v>
      </c>
      <c r="I73" s="68" t="n">
        <v>5.0</v>
      </c>
      <c r="J73" s="68" t="n">
        <v>0.0</v>
      </c>
      <c r="K73" s="58">
        <f si="2" t="shared"/>
        <v>23</v>
      </c>
      <c r="L73" s="78">
        <f si="3" t="shared"/>
        <v>3.4134758088453546E-5</v>
      </c>
      <c r="W73" s="8"/>
    </row>
    <row r="74" spans="1:23" x14ac:dyDescent="0.25">
      <c r="A74">
        <v>63</v>
      </c>
      <c r="B74" s="58" t="n">
        <v>74.3866041701779</v>
      </c>
      <c r="C74" s="58" t="n">
        <v>0.0</v>
      </c>
      <c r="D74" s="58" t="n">
        <v>0.0</v>
      </c>
      <c r="E74" s="58">
        <f si="0" t="shared"/>
        <v>74.386604170177904</v>
      </c>
      <c r="F74" s="78">
        <f si="1" t="shared"/>
        <v>1.3281859575554615E-4</v>
      </c>
      <c r="G74">
        <v>63</v>
      </c>
      <c r="H74" s="68" t="n">
        <v>17.0</v>
      </c>
      <c r="I74" s="68" t="n">
        <v>3.0</v>
      </c>
      <c r="J74" s="68" t="n">
        <v>0.0</v>
      </c>
      <c r="K74" s="58">
        <f si="2" t="shared"/>
        <v>19</v>
      </c>
      <c r="L74" s="78">
        <f si="3" t="shared"/>
        <v>2.8198278420896408E-5</v>
      </c>
      <c r="W74" s="8"/>
    </row>
    <row r="75" spans="1:23" x14ac:dyDescent="0.25">
      <c r="A75">
        <v>64</v>
      </c>
      <c r="B75" s="58" t="n">
        <v>0.0</v>
      </c>
      <c r="C75" s="58" t="n">
        <v>0.0</v>
      </c>
      <c r="D75" s="58" t="n">
        <v>0.0</v>
      </c>
      <c r="E75" s="58">
        <f si="0" t="shared"/>
        <v>0</v>
      </c>
      <c r="F75" s="78">
        <f si="1" t="shared"/>
        <v>0</v>
      </c>
      <c r="G75">
        <v>64</v>
      </c>
      <c r="H75" s="68" t="n">
        <v>17.0</v>
      </c>
      <c r="I75" s="68" t="n">
        <v>3.0</v>
      </c>
      <c r="J75" s="68" t="n">
        <v>0.0</v>
      </c>
      <c r="K75" s="58">
        <f si="2" t="shared"/>
        <v>8</v>
      </c>
      <c r="L75" s="78">
        <f si="3" t="shared"/>
        <v>1.1872959335114277E-5</v>
      </c>
      <c r="W75" s="8"/>
    </row>
    <row r="76" spans="1:23" x14ac:dyDescent="0.25">
      <c r="A76">
        <v>65</v>
      </c>
      <c r="B76" s="58" t="n">
        <v>0.0</v>
      </c>
      <c r="C76" s="58" t="n">
        <v>0.0</v>
      </c>
      <c r="D76" s="58" t="n">
        <v>0.0</v>
      </c>
      <c r="E76" s="58">
        <f ref="E76:E101" si="4" t="shared">SUM(B76:D76)</f>
        <v>0</v>
      </c>
      <c r="F76" s="78">
        <f ref="F76:F101" si="5" t="shared">IFERROR(E76/SUM($E$11:$E$100),0)</f>
        <v>0</v>
      </c>
      <c r="G76">
        <v>65</v>
      </c>
      <c r="H76" s="68" t="n">
        <v>4.0</v>
      </c>
      <c r="I76" s="68" t="n">
        <v>1.0</v>
      </c>
      <c r="J76" s="68" t="n">
        <v>0.0</v>
      </c>
      <c r="K76" s="58">
        <f ref="K76:K101" si="6" t="shared">SUM(H76:J76)</f>
        <v>9</v>
      </c>
      <c r="L76" s="78">
        <f ref="L76:L101" si="7" t="shared">IFERROR(K76/SUM($K$11:$K$100),0)</f>
        <v>1.3357079252003563E-5</v>
      </c>
      <c r="W76" s="8"/>
    </row>
    <row r="77" spans="1:23" x14ac:dyDescent="0.25">
      <c r="A77">
        <v>66</v>
      </c>
      <c r="B77" s="58" t="n">
        <v>0.0</v>
      </c>
      <c r="C77" s="58" t="n">
        <v>0.0</v>
      </c>
      <c r="D77" s="58" t="n">
        <v>0.0</v>
      </c>
      <c r="E77" s="58">
        <f si="4" t="shared"/>
        <v>0</v>
      </c>
      <c r="F77" s="78">
        <f si="5" t="shared"/>
        <v>0</v>
      </c>
      <c r="G77">
        <v>66</v>
      </c>
      <c r="H77" s="68" t="n">
        <v>8.0</v>
      </c>
      <c r="I77" s="68" t="n">
        <v>0.0</v>
      </c>
      <c r="J77" s="68" t="n">
        <v>0.0</v>
      </c>
      <c r="K77" s="58">
        <f si="6" t="shared"/>
        <v>14</v>
      </c>
      <c r="L77" s="78">
        <f si="7" t="shared"/>
        <v>2.0777678836449985E-5</v>
      </c>
      <c r="W77" s="8"/>
    </row>
    <row r="78" spans="1:23" x14ac:dyDescent="0.25">
      <c r="A78">
        <v>67</v>
      </c>
      <c r="B78" s="58" t="n">
        <v>0.0</v>
      </c>
      <c r="C78" s="58" t="n">
        <v>0.0</v>
      </c>
      <c r="D78" s="58" t="n">
        <v>0.0</v>
      </c>
      <c r="E78" s="58">
        <f si="4" t="shared"/>
        <v>0</v>
      </c>
      <c r="F78" s="78">
        <f si="5" t="shared"/>
        <v>0</v>
      </c>
      <c r="G78">
        <v>67</v>
      </c>
      <c r="H78" s="68" t="n">
        <v>11.0</v>
      </c>
      <c r="I78" s="68" t="n">
        <v>1.0</v>
      </c>
      <c r="J78" s="68" t="n">
        <v>0.0</v>
      </c>
      <c r="K78" s="58">
        <f si="6" t="shared"/>
        <v>4</v>
      </c>
      <c r="L78" s="78">
        <f si="7" t="shared"/>
        <v>5.9364796675571383E-6</v>
      </c>
      <c r="W78" s="8"/>
    </row>
    <row r="79" spans="1:23" x14ac:dyDescent="0.25">
      <c r="A79">
        <v>68</v>
      </c>
      <c r="B79" s="58" t="n">
        <v>0.0</v>
      </c>
      <c r="C79" s="58" t="n">
        <v>0.0</v>
      </c>
      <c r="D79" s="58" t="n">
        <v>0.0</v>
      </c>
      <c r="E79" s="58">
        <f si="4" t="shared"/>
        <v>0</v>
      </c>
      <c r="F79" s="78">
        <f si="5" t="shared"/>
        <v>0</v>
      </c>
      <c r="G79">
        <v>68</v>
      </c>
      <c r="H79" s="68" t="n">
        <v>10.0</v>
      </c>
      <c r="I79" s="68" t="n">
        <v>0.0</v>
      </c>
      <c r="J79" s="68" t="n">
        <v>0.0</v>
      </c>
      <c r="K79" s="58">
        <f si="6" t="shared"/>
        <v>5</v>
      </c>
      <c r="L79" s="78">
        <f si="7" t="shared"/>
        <v>7.4205995844464235E-6</v>
      </c>
      <c r="W79" s="8"/>
    </row>
    <row r="80" spans="1:23" x14ac:dyDescent="0.25">
      <c r="A80">
        <v>69</v>
      </c>
      <c r="B80" s="58" t="n">
        <v>0.0</v>
      </c>
      <c r="C80" s="58" t="n">
        <v>0.0</v>
      </c>
      <c r="D80" s="58" t="n">
        <v>0.0</v>
      </c>
      <c r="E80" s="58">
        <f si="4" t="shared"/>
        <v>0</v>
      </c>
      <c r="F80" s="78">
        <f si="5" t="shared"/>
        <v>0</v>
      </c>
      <c r="G80">
        <v>69</v>
      </c>
      <c r="H80" s="68" t="n">
        <v>3.0</v>
      </c>
      <c r="I80" s="68" t="n">
        <v>0.0</v>
      </c>
      <c r="J80" s="68" t="n">
        <v>0.0</v>
      </c>
      <c r="K80" s="58">
        <f si="6" t="shared"/>
        <v>4</v>
      </c>
      <c r="L80" s="78">
        <f si="7" t="shared"/>
        <v>5.9364796675571383E-6</v>
      </c>
      <c r="W80" s="8"/>
    </row>
    <row r="81" spans="1:23" x14ac:dyDescent="0.25">
      <c r="A81">
        <v>70</v>
      </c>
      <c r="B81" s="58" t="n">
        <v>0.0</v>
      </c>
      <c r="C81" s="58" t="n">
        <v>0.0</v>
      </c>
      <c r="D81" s="58" t="n">
        <v>0.0</v>
      </c>
      <c r="E81" s="58">
        <f si="4" t="shared"/>
        <v>0</v>
      </c>
      <c r="F81" s="78">
        <f si="5" t="shared"/>
        <v>0</v>
      </c>
      <c r="G81">
        <v>70</v>
      </c>
      <c r="H81" s="68" t="n">
        <v>11.0</v>
      </c>
      <c r="I81" s="68" t="n">
        <v>1.0</v>
      </c>
      <c r="J81" s="68" t="n">
        <v>1.0</v>
      </c>
      <c r="K81" s="58">
        <f si="6" t="shared"/>
        <v>1</v>
      </c>
      <c r="L81" s="78">
        <f si="7" t="shared"/>
        <v>1.4841199168892846E-6</v>
      </c>
      <c r="W81" s="8"/>
    </row>
    <row r="82" spans="1:23" x14ac:dyDescent="0.25">
      <c r="A82">
        <v>71</v>
      </c>
      <c r="B82" s="58" t="n">
        <v>0.0</v>
      </c>
      <c r="C82" s="58" t="n">
        <v>0.0</v>
      </c>
      <c r="D82" s="58" t="n">
        <v>0.0</v>
      </c>
      <c r="E82" s="58">
        <f si="4" t="shared"/>
        <v>0</v>
      </c>
      <c r="F82" s="78">
        <f si="5" t="shared"/>
        <v>0</v>
      </c>
      <c r="G82">
        <v>71</v>
      </c>
      <c r="H82" s="68" t="n">
        <v>5.0</v>
      </c>
      <c r="I82" s="68" t="n">
        <v>1.0</v>
      </c>
      <c r="J82" s="68" t="n">
        <v>0.0</v>
      </c>
      <c r="K82" s="58">
        <f si="6" t="shared"/>
        <v>1</v>
      </c>
      <c r="L82" s="78">
        <f si="7" t="shared"/>
        <v>1.4841199168892846E-6</v>
      </c>
      <c r="W82" s="8"/>
    </row>
    <row r="83" spans="1:23" x14ac:dyDescent="0.25">
      <c r="A83">
        <v>72</v>
      </c>
      <c r="B83" s="58" t="n">
        <v>0.0</v>
      </c>
      <c r="C83" s="58" t="n">
        <v>0.0</v>
      </c>
      <c r="D83" s="58" t="n">
        <v>0.0</v>
      </c>
      <c r="E83" s="58">
        <f si="4" t="shared"/>
        <v>0</v>
      </c>
      <c r="F83" s="78">
        <f si="5" t="shared"/>
        <v>0</v>
      </c>
      <c r="G83">
        <v>72</v>
      </c>
      <c r="H83" s="68" t="n">
        <v>3.0</v>
      </c>
      <c r="I83" s="68" t="n">
        <v>0.0</v>
      </c>
      <c r="J83" s="68" t="n">
        <v>0.0</v>
      </c>
      <c r="K83" s="58">
        <f si="6" t="shared"/>
        <v>7</v>
      </c>
      <c r="L83" s="78">
        <f si="7" t="shared"/>
        <v>1.0388839418224992E-5</v>
      </c>
      <c r="W83" s="8"/>
    </row>
    <row r="84" spans="1:23" x14ac:dyDescent="0.25">
      <c r="A84">
        <v>73</v>
      </c>
      <c r="B84" s="58" t="n">
        <v>0.0</v>
      </c>
      <c r="C84" s="58" t="n">
        <v>0.0</v>
      </c>
      <c r="D84" s="58" t="n">
        <v>0.0</v>
      </c>
      <c r="E84" s="58">
        <f si="4" t="shared"/>
        <v>0</v>
      </c>
      <c r="F84" s="78">
        <f si="5" t="shared"/>
        <v>0</v>
      </c>
      <c r="G84">
        <v>73</v>
      </c>
      <c r="H84" s="68" t="n">
        <v>0.0</v>
      </c>
      <c r="I84" s="58" t="n">
        <v>0.0</v>
      </c>
      <c r="J84" s="68" t="n">
        <v>0.0</v>
      </c>
      <c r="K84" s="58">
        <f si="6" t="shared"/>
        <v>1</v>
      </c>
      <c r="L84" s="78">
        <f si="7" t="shared"/>
        <v>1.4841199168892846E-6</v>
      </c>
      <c r="W84" s="8"/>
    </row>
    <row r="85" spans="1:23" x14ac:dyDescent="0.25">
      <c r="A85">
        <v>74</v>
      </c>
      <c r="B85" s="58" t="n">
        <v>0.0</v>
      </c>
      <c r="C85" s="58" t="n">
        <v>0.0</v>
      </c>
      <c r="D85" s="58" t="n">
        <v>0.0</v>
      </c>
      <c r="E85" s="58">
        <f si="4" t="shared"/>
        <v>0</v>
      </c>
      <c r="F85" s="78">
        <f si="5" t="shared"/>
        <v>0</v>
      </c>
      <c r="G85">
        <v>74</v>
      </c>
      <c r="H85" s="68" t="n">
        <v>4.0</v>
      </c>
      <c r="I85" s="68" t="n">
        <v>0.0</v>
      </c>
      <c r="J85" s="68" t="n">
        <v>0.0</v>
      </c>
      <c r="K85" s="58">
        <f si="6" t="shared"/>
        <v>0</v>
      </c>
      <c r="L85" s="78">
        <f si="7" t="shared"/>
        <v>0</v>
      </c>
      <c r="W85" s="8"/>
    </row>
    <row r="86" spans="1:23" x14ac:dyDescent="0.25">
      <c r="A86">
        <v>75</v>
      </c>
      <c r="B86" s="58" t="n">
        <v>0.0</v>
      </c>
      <c r="C86" s="58" t="n">
        <v>0.0</v>
      </c>
      <c r="D86" s="58" t="n">
        <v>0.0</v>
      </c>
      <c r="E86" s="58">
        <f si="4" t="shared"/>
        <v>0</v>
      </c>
      <c r="F86" s="78">
        <f si="5" t="shared"/>
        <v>0</v>
      </c>
      <c r="G86">
        <v>75</v>
      </c>
      <c r="H86" s="68" t="n">
        <v>0.0</v>
      </c>
      <c r="I86" s="58" t="n">
        <v>1.0</v>
      </c>
      <c r="J86" s="68" t="n">
        <v>0.0</v>
      </c>
      <c r="K86" s="58">
        <f si="6" t="shared"/>
        <v>1</v>
      </c>
      <c r="L86" s="78">
        <f si="7" t="shared"/>
        <v>1.4841199168892846E-6</v>
      </c>
      <c r="W86" s="8"/>
    </row>
    <row r="87" spans="1:23" x14ac:dyDescent="0.25">
      <c r="A87">
        <v>76</v>
      </c>
      <c r="B87" s="58" t="n">
        <v>0.0</v>
      </c>
      <c r="C87" s="58" t="n">
        <v>0.0</v>
      </c>
      <c r="D87" s="58" t="n">
        <v>0.0</v>
      </c>
      <c r="E87" s="58">
        <f si="4" t="shared"/>
        <v>0</v>
      </c>
      <c r="F87" s="78">
        <f si="5" t="shared"/>
        <v>0</v>
      </c>
      <c r="G87">
        <v>76</v>
      </c>
      <c r="H87" s="68" t="n">
        <v>1.0</v>
      </c>
      <c r="I87" s="58" t="n">
        <v>0.0</v>
      </c>
      <c r="J87" s="68" t="n">
        <v>0.0</v>
      </c>
      <c r="K87" s="58">
        <f si="6" t="shared"/>
        <v>2</v>
      </c>
      <c r="L87" s="78">
        <f si="7" t="shared"/>
        <v>2.9682398337785692E-6</v>
      </c>
      <c r="W87" s="8"/>
    </row>
    <row r="88" spans="1:23" x14ac:dyDescent="0.25">
      <c r="A88">
        <v>77</v>
      </c>
      <c r="B88" s="58" t="n">
        <v>0.0</v>
      </c>
      <c r="C88" s="58" t="n">
        <v>0.0</v>
      </c>
      <c r="D88" s="58" t="n">
        <v>0.0</v>
      </c>
      <c r="E88" s="58">
        <f si="4" t="shared"/>
        <v>0</v>
      </c>
      <c r="F88" s="78">
        <f si="5" t="shared"/>
        <v>0</v>
      </c>
      <c r="G88">
        <v>77</v>
      </c>
      <c r="H88" s="68" t="n">
        <v>1.0</v>
      </c>
      <c r="I88" s="58" t="n">
        <v>0.0</v>
      </c>
      <c r="J88" s="58" t="n">
        <v>0.0</v>
      </c>
      <c r="K88" s="58">
        <f si="6" t="shared"/>
        <v>1</v>
      </c>
      <c r="L88" s="78">
        <f si="7" t="shared"/>
        <v>1.4841199168892846E-6</v>
      </c>
      <c r="W88" s="8"/>
    </row>
    <row r="89" spans="1:23" x14ac:dyDescent="0.25">
      <c r="A89">
        <v>78</v>
      </c>
      <c r="B89" s="58" t="n">
        <v>0.0</v>
      </c>
      <c r="C89" s="58" t="n">
        <v>0.0</v>
      </c>
      <c r="D89" s="58" t="n">
        <v>0.0</v>
      </c>
      <c r="E89" s="58">
        <f si="4" t="shared"/>
        <v>0</v>
      </c>
      <c r="F89" s="78">
        <f si="5" t="shared"/>
        <v>0</v>
      </c>
      <c r="G89">
        <v>78</v>
      </c>
      <c r="H89" s="68" t="n">
        <v>3.0</v>
      </c>
      <c r="I89" s="58" t="n">
        <v>0.0</v>
      </c>
      <c r="J89" s="58" t="n">
        <v>1.0</v>
      </c>
      <c r="K89" s="58">
        <f si="6" t="shared"/>
        <v>1</v>
      </c>
      <c r="L89" s="78">
        <f si="7" t="shared"/>
        <v>1.4841199168892846E-6</v>
      </c>
      <c r="W89" s="8"/>
    </row>
    <row r="90" spans="1:23" x14ac:dyDescent="0.25">
      <c r="A90">
        <v>79</v>
      </c>
      <c r="B90" s="58" t="n">
        <v>0.0</v>
      </c>
      <c r="C90" s="58" t="n">
        <v>0.0</v>
      </c>
      <c r="D90" s="58" t="n">
        <v>0.0</v>
      </c>
      <c r="E90" s="58">
        <f si="4" t="shared"/>
        <v>0</v>
      </c>
      <c r="F90" s="78">
        <f si="5" t="shared"/>
        <v>0</v>
      </c>
      <c r="G90">
        <v>79</v>
      </c>
      <c r="H90" s="68" t="n">
        <v>1.0</v>
      </c>
      <c r="I90" s="58" t="n">
        <v>1.0</v>
      </c>
      <c r="J90" s="58" t="n">
        <v>0.0</v>
      </c>
      <c r="K90" s="58">
        <f si="6" t="shared"/>
        <v>0</v>
      </c>
      <c r="L90" s="78">
        <f si="7" t="shared"/>
        <v>0</v>
      </c>
      <c r="W90" s="8"/>
    </row>
    <row r="91" spans="1:23" x14ac:dyDescent="0.25">
      <c r="A91">
        <v>80</v>
      </c>
      <c r="B91" s="58" t="n">
        <v>0.0</v>
      </c>
      <c r="C91" s="58" t="n">
        <v>0.0</v>
      </c>
      <c r="D91" s="58" t="n">
        <v>0.0</v>
      </c>
      <c r="E91" s="58">
        <f si="4" t="shared"/>
        <v>0</v>
      </c>
      <c r="F91" s="78">
        <f si="5" t="shared"/>
        <v>0</v>
      </c>
      <c r="G91">
        <v>80</v>
      </c>
      <c r="H91" s="68" t="n">
        <v>3.0</v>
      </c>
      <c r="I91" s="58" t="n">
        <v>0.0</v>
      </c>
      <c r="J91" s="58" t="n">
        <v>0.0</v>
      </c>
      <c r="K91" s="58">
        <f si="6" t="shared"/>
        <v>0</v>
      </c>
      <c r="L91" s="78">
        <f si="7" t="shared"/>
        <v>0</v>
      </c>
      <c r="W91" s="8"/>
    </row>
    <row r="92" spans="1:23" x14ac:dyDescent="0.25">
      <c r="A92">
        <v>81</v>
      </c>
      <c r="B92" s="58" t="n">
        <v>0.0</v>
      </c>
      <c r="C92" s="58" t="n">
        <v>0.0</v>
      </c>
      <c r="D92" s="58" t="n">
        <v>0.0</v>
      </c>
      <c r="E92" s="58">
        <f si="4" t="shared"/>
        <v>0</v>
      </c>
      <c r="F92" s="78">
        <f si="5" t="shared"/>
        <v>0</v>
      </c>
      <c r="G92">
        <v>81</v>
      </c>
      <c r="H92" s="68" t="n">
        <v>0.0</v>
      </c>
      <c r="I92" s="58" t="n">
        <v>0.0</v>
      </c>
      <c r="J92" s="58" t="n">
        <v>0.0</v>
      </c>
      <c r="K92" s="58">
        <f si="6" t="shared"/>
        <v>0</v>
      </c>
      <c r="L92" s="78">
        <f si="7" t="shared"/>
        <v>0</v>
      </c>
      <c r="W92" s="8"/>
    </row>
    <row r="93" spans="1:23" x14ac:dyDescent="0.25">
      <c r="A93">
        <v>82</v>
      </c>
      <c r="B93" s="58" t="n">
        <v>0.0</v>
      </c>
      <c r="C93" s="58" t="n">
        <v>0.0</v>
      </c>
      <c r="D93" s="58" t="n">
        <v>0.0</v>
      </c>
      <c r="E93" s="58">
        <f si="4" t="shared"/>
        <v>0</v>
      </c>
      <c r="F93" s="78">
        <f si="5" t="shared"/>
        <v>0</v>
      </c>
      <c r="G93">
        <v>82</v>
      </c>
      <c r="H93" s="68" t="n">
        <v>0.0</v>
      </c>
      <c r="I93" s="58" t="n">
        <v>0.0</v>
      </c>
      <c r="J93" s="58" t="n">
        <v>0.0</v>
      </c>
      <c r="K93" s="58">
        <f si="6" t="shared"/>
        <v>1</v>
      </c>
      <c r="L93" s="78">
        <f si="7" t="shared"/>
        <v>1.4841199168892846E-6</v>
      </c>
      <c r="W93" s="8"/>
    </row>
    <row r="94" spans="1:23" x14ac:dyDescent="0.25">
      <c r="A94">
        <v>83</v>
      </c>
      <c r="B94" s="58" t="n">
        <v>0.0</v>
      </c>
      <c r="C94" s="58" t="n">
        <v>0.0</v>
      </c>
      <c r="D94" s="58" t="n">
        <v>0.0</v>
      </c>
      <c r="E94" s="58">
        <f si="4" t="shared"/>
        <v>0</v>
      </c>
      <c r="F94" s="78">
        <f si="5" t="shared"/>
        <v>0</v>
      </c>
      <c r="G94">
        <v>83</v>
      </c>
      <c r="H94" s="68" t="n">
        <v>0.0</v>
      </c>
      <c r="I94" s="58" t="n">
        <v>0.0</v>
      </c>
      <c r="J94" s="58" t="n">
        <v>0.0</v>
      </c>
      <c r="K94" s="58">
        <f si="6" t="shared"/>
        <v>0</v>
      </c>
      <c r="L94" s="78">
        <f si="7" t="shared"/>
        <v>0</v>
      </c>
      <c r="W94" s="8"/>
    </row>
    <row r="95" spans="1:23" x14ac:dyDescent="0.25">
      <c r="A95">
        <v>84</v>
      </c>
      <c r="B95" s="58" t="n">
        <v>0.0</v>
      </c>
      <c r="C95" s="58" t="n">
        <v>0.0</v>
      </c>
      <c r="D95" s="58" t="n">
        <v>0.0</v>
      </c>
      <c r="E95" s="58">
        <f si="4" t="shared"/>
        <v>0</v>
      </c>
      <c r="F95" s="78">
        <f si="5" t="shared"/>
        <v>0</v>
      </c>
      <c r="G95">
        <v>84</v>
      </c>
      <c r="H95" s="68" t="n">
        <v>0.0</v>
      </c>
      <c r="I95" s="58" t="n">
        <v>0.0</v>
      </c>
      <c r="J95" s="58" t="n">
        <v>0.0</v>
      </c>
      <c r="K95" s="58">
        <f si="6" t="shared"/>
        <v>0</v>
      </c>
      <c r="L95" s="78">
        <f si="7" t="shared"/>
        <v>0</v>
      </c>
      <c r="W95" s="8"/>
    </row>
    <row r="96" spans="1:23" x14ac:dyDescent="0.25">
      <c r="A96">
        <v>85</v>
      </c>
      <c r="B96" s="58" t="n">
        <v>0.0</v>
      </c>
      <c r="C96" s="58" t="n">
        <v>0.0</v>
      </c>
      <c r="D96" s="58" t="n">
        <v>0.0</v>
      </c>
      <c r="E96" s="58">
        <f si="4" t="shared"/>
        <v>0</v>
      </c>
      <c r="F96" s="78">
        <f si="5" t="shared"/>
        <v>0</v>
      </c>
      <c r="G96">
        <v>85</v>
      </c>
      <c r="H96" s="68" t="n">
        <v>0.0</v>
      </c>
      <c r="I96" s="58" t="n">
        <v>0.0</v>
      </c>
      <c r="J96" s="58" t="n">
        <v>0.0</v>
      </c>
      <c r="K96" s="58">
        <f si="6" t="shared"/>
        <v>0</v>
      </c>
      <c r="L96" s="78">
        <f si="7" t="shared"/>
        <v>0</v>
      </c>
      <c r="W96" s="8"/>
    </row>
    <row r="97" spans="1:23" x14ac:dyDescent="0.25">
      <c r="A97">
        <v>86</v>
      </c>
      <c r="B97" s="58" t="n">
        <v>0.0</v>
      </c>
      <c r="C97" s="58" t="n">
        <v>0.0</v>
      </c>
      <c r="D97" s="58" t="n">
        <v>0.0</v>
      </c>
      <c r="E97" s="58">
        <f si="4" t="shared"/>
        <v>0</v>
      </c>
      <c r="F97" s="78">
        <f si="5" t="shared"/>
        <v>0</v>
      </c>
      <c r="G97">
        <v>86</v>
      </c>
      <c r="H97" s="68" t="n">
        <v>0.0</v>
      </c>
      <c r="I97" s="58" t="n">
        <v>0.0</v>
      </c>
      <c r="J97" s="58" t="n">
        <v>0.0</v>
      </c>
      <c r="K97" s="58">
        <f si="6" t="shared"/>
        <v>0</v>
      </c>
      <c r="L97" s="78">
        <f si="7" t="shared"/>
        <v>0</v>
      </c>
      <c r="W97" s="8"/>
    </row>
    <row r="98" spans="1:23" x14ac:dyDescent="0.25">
      <c r="A98">
        <v>87</v>
      </c>
      <c r="B98" s="58" t="n">
        <v>0.0</v>
      </c>
      <c r="C98" s="58" t="n">
        <v>0.0</v>
      </c>
      <c r="D98" s="58" t="n">
        <v>0.0</v>
      </c>
      <c r="E98" s="58">
        <f si="4" t="shared"/>
        <v>0</v>
      </c>
      <c r="F98" s="78">
        <f si="5" t="shared"/>
        <v>0</v>
      </c>
      <c r="G98">
        <v>87</v>
      </c>
      <c r="H98" s="68" t="n">
        <v>0.0</v>
      </c>
      <c r="I98" s="58" t="n">
        <v>0.0</v>
      </c>
      <c r="J98" s="58" t="n">
        <v>0.0</v>
      </c>
      <c r="K98" s="58">
        <f si="6" t="shared"/>
        <v>0</v>
      </c>
      <c r="L98" s="78">
        <f si="7" t="shared"/>
        <v>0</v>
      </c>
      <c r="W98" s="8"/>
    </row>
    <row r="99" spans="1:23" x14ac:dyDescent="0.25">
      <c r="A99">
        <v>88</v>
      </c>
      <c r="B99" s="58" t="n">
        <v>0.0</v>
      </c>
      <c r="C99" s="58" t="n">
        <v>0.0</v>
      </c>
      <c r="D99" s="58" t="n">
        <v>0.0</v>
      </c>
      <c r="E99" s="58">
        <f si="4" t="shared"/>
        <v>0</v>
      </c>
      <c r="F99" s="78">
        <f si="5" t="shared"/>
        <v>0</v>
      </c>
      <c r="G99">
        <v>88</v>
      </c>
      <c r="H99" s="68" t="n">
        <v>0.0</v>
      </c>
      <c r="I99" s="58" t="n">
        <v>0.0</v>
      </c>
      <c r="J99" s="58" t="n">
        <v>0.0</v>
      </c>
      <c r="K99" s="58">
        <f si="6" t="shared"/>
        <v>0</v>
      </c>
      <c r="L99" s="78">
        <f si="7" t="shared"/>
        <v>0</v>
      </c>
      <c r="W99" s="8"/>
    </row>
    <row r="100" spans="1:23" x14ac:dyDescent="0.25">
      <c r="A100">
        <v>89</v>
      </c>
      <c r="B100" s="58" t="n">
        <v>0.0</v>
      </c>
      <c r="C100" s="58" t="n">
        <v>0.0</v>
      </c>
      <c r="D100" s="58" t="n">
        <v>0.0</v>
      </c>
      <c r="E100" s="58">
        <f si="4" t="shared"/>
        <v>0</v>
      </c>
      <c r="F100" s="78">
        <f si="5" t="shared"/>
        <v>0</v>
      </c>
      <c r="G100">
        <v>89</v>
      </c>
      <c r="H100" s="68" t="n">
        <v>0.0</v>
      </c>
      <c r="I100" s="58" t="n">
        <v>0.0</v>
      </c>
      <c r="J100" s="58" t="n">
        <v>0.0</v>
      </c>
      <c r="K100" s="58">
        <f si="6" t="shared"/>
        <v>0</v>
      </c>
      <c r="L100" s="78">
        <f si="7" t="shared"/>
        <v>0</v>
      </c>
      <c r="W100" s="8"/>
    </row>
    <row ht="15.75" r="101" spans="1:23" thickBot="1" x14ac:dyDescent="0.3">
      <c r="A101" s="1">
        <v>90</v>
      </c>
      <c r="B101" s="59">
        <v>0</v>
      </c>
      <c r="C101" s="59">
        <v>0</v>
      </c>
      <c r="D101" s="59">
        <v>0</v>
      </c>
      <c r="E101" s="58">
        <f si="4" t="shared"/>
        <v>0</v>
      </c>
      <c r="F101" s="78">
        <f si="5" t="shared"/>
        <v>0</v>
      </c>
      <c r="G101" s="1">
        <v>90</v>
      </c>
      <c r="H101" s="69">
        <v>0</v>
      </c>
      <c r="I101" s="59">
        <v>0</v>
      </c>
      <c r="J101" s="59">
        <v>0</v>
      </c>
      <c r="K101" s="59">
        <f si="6" t="shared"/>
        <v>0</v>
      </c>
      <c r="L101" s="78">
        <f si="7" t="shared"/>
        <v>0</v>
      </c>
      <c r="W101" s="9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X101"/>
  <sheetViews>
    <sheetView workbookViewId="0">
      <selection activeCell="I100" sqref="I100"/>
    </sheetView>
  </sheetViews>
  <sheetFormatPr defaultRowHeight="15" x14ac:dyDescent="0.25"/>
  <cols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0</v>
      </c>
    </row>
    <row r="2" spans="1:23" x14ac:dyDescent="0.25">
      <c r="A2" t="s">
        <v>248</v>
      </c>
    </row>
    <row r="3" spans="1:23" x14ac:dyDescent="0.25">
      <c r="A3" t="s">
        <v>249</v>
      </c>
    </row>
    <row r="4" spans="1:23" x14ac:dyDescent="0.25">
      <c r="A4" t="s">
        <v>6</v>
      </c>
    </row>
    <row r="5" spans="1:23" x14ac:dyDescent="0.25">
      <c r="A5" t="s">
        <v>7</v>
      </c>
    </row>
    <row r="7" spans="1:23" x14ac:dyDescent="0.25">
      <c r="A7" t="s">
        <v>11</v>
      </c>
    </row>
    <row ht="15.75" r="9" spans="1:23" thickBot="1" x14ac:dyDescent="0.3">
      <c r="A9" s="4" t="s">
        <v>204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10" t="s">
        <v>40</v>
      </c>
      <c r="W9" s="8"/>
    </row>
    <row r="10" spans="1:23" x14ac:dyDescent="0.25">
      <c r="A10" s="2" t="s">
        <v>21</v>
      </c>
      <c r="B10" s="5" t="s">
        <v>8</v>
      </c>
      <c r="C10" s="5" t="s">
        <v>9</v>
      </c>
      <c r="D10" s="5" t="s">
        <v>10</v>
      </c>
      <c r="E10" s="5" t="s">
        <v>203</v>
      </c>
      <c r="G10" s="2" t="s">
        <v>21</v>
      </c>
      <c r="H10" s="5" t="s">
        <v>8</v>
      </c>
      <c r="I10" s="5" t="s">
        <v>9</v>
      </c>
      <c r="J10" s="5" t="s">
        <v>10</v>
      </c>
      <c r="K10" s="29" t="s">
        <v>254</v>
      </c>
      <c r="M10" s="2"/>
      <c r="N10" s="5" t="s">
        <v>203</v>
      </c>
      <c r="O10" s="29" t="s">
        <v>254</v>
      </c>
      <c r="W10" s="8"/>
    </row>
    <row r="11" spans="1:23" x14ac:dyDescent="0.25">
      <c r="A11">
        <v>0</v>
      </c>
      <c r="B11" s="58" t="n">
        <v>0.0</v>
      </c>
      <c r="C11" s="58" t="n">
        <v>0.0</v>
      </c>
      <c r="D11" s="58" t="n">
        <v>0.0</v>
      </c>
      <c r="E11" s="58">
        <f>SUM(B11:D11)</f>
        <v>0</v>
      </c>
      <c r="F11" s="78">
        <f>E11/SUM($E$11:$E$101)</f>
        <v>0</v>
      </c>
      <c r="G11">
        <v>0</v>
      </c>
      <c r="H11" s="68" t="n">
        <v>325.0</v>
      </c>
      <c r="I11" s="68" t="n">
        <v>74.0</v>
      </c>
      <c r="J11" s="68" t="n">
        <v>22.0</v>
      </c>
      <c r="K11" s="58">
        <f>SUM(H11:J11)</f>
        <v>494</v>
      </c>
      <c r="L11" s="78">
        <f>K11/SUM($K$11:$K$101)</f>
        <v>7.3315523894330664E-4</v>
      </c>
      <c r="M11" t="s">
        <v>8</v>
      </c>
      <c r="N11" s="62" t="n">
        <v>27.29311636338472</v>
      </c>
      <c r="O11" s="62" t="n">
        <v>43.65915591019214</v>
      </c>
      <c r="W11" s="8"/>
    </row>
    <row r="12" spans="1:23" x14ac:dyDescent="0.25">
      <c r="A12">
        <v>1</v>
      </c>
      <c r="B12" s="58" t="n">
        <v>0.0</v>
      </c>
      <c r="C12" s="58" t="n">
        <v>0.0</v>
      </c>
      <c r="D12" s="58" t="n">
        <v>0.0</v>
      </c>
      <c r="E12" s="58">
        <f ref="E12:E75" si="0" t="shared">SUM(B12:D12)</f>
        <v>0</v>
      </c>
      <c r="F12" s="78">
        <f ref="F12:F75" si="1" t="shared">E12/SUM($E$11:$E$101)</f>
        <v>0</v>
      </c>
      <c r="G12">
        <v>1</v>
      </c>
      <c r="H12" s="68" t="n">
        <v>756.0</v>
      </c>
      <c r="I12" s="68" t="n">
        <v>151.0</v>
      </c>
      <c r="J12" s="68" t="n">
        <v>37.0</v>
      </c>
      <c r="K12" s="58">
        <f ref="K12:K75" si="2" t="shared">SUM(H12:J12)</f>
        <v>1005</v>
      </c>
      <c r="L12" s="78">
        <f ref="L12:L75" si="3" t="shared">K12/SUM($K$11:$K$101)</f>
        <v>1.4915405164737312E-3</v>
      </c>
      <c r="M12" t="s">
        <v>9</v>
      </c>
      <c r="N12" s="62" t="n">
        <v>20.765979817665883</v>
      </c>
      <c r="O12" s="62" t="n">
        <v>30.33053047217378</v>
      </c>
      <c r="W12" s="8"/>
    </row>
    <row r="13" spans="1:23" x14ac:dyDescent="0.25">
      <c r="A13">
        <v>2</v>
      </c>
      <c r="B13" s="58" t="n">
        <v>252.5508735653372</v>
      </c>
      <c r="C13" s="58" t="n">
        <v>159.7426437683584</v>
      </c>
      <c r="D13" s="58" t="n">
        <v>0.0</v>
      </c>
      <c r="E13" s="58">
        <f si="0" t="shared"/>
        <v>412.2935173336956</v>
      </c>
      <c r="F13" s="78">
        <f si="1" t="shared"/>
        <v>7.3615735819985311E-4</v>
      </c>
      <c r="G13">
        <v>2</v>
      </c>
      <c r="H13" s="68" t="n">
        <v>1255.0</v>
      </c>
      <c r="I13" s="68" t="n">
        <v>224.0</v>
      </c>
      <c r="J13" s="68" t="n">
        <v>98.0</v>
      </c>
      <c r="K13" s="58">
        <f si="2" t="shared"/>
        <v>1710</v>
      </c>
      <c r="L13" s="78">
        <f si="3" t="shared"/>
        <v>2.5378450578806768E-3</v>
      </c>
      <c r="M13" s="6" t="s">
        <v>10</v>
      </c>
      <c r="N13" s="63" t="n">
        <v>18.32432234376076</v>
      </c>
      <c r="O13" s="63" t="n">
        <v>26.821206710612543</v>
      </c>
      <c r="W13" s="8"/>
    </row>
    <row ht="15.75" r="14" spans="1:23" thickBot="1" x14ac:dyDescent="0.3">
      <c r="A14">
        <v>3</v>
      </c>
      <c r="B14" s="58" t="n">
        <v>2866.1686431965168</v>
      </c>
      <c r="C14" s="58" t="n">
        <v>1452.750558321685</v>
      </c>
      <c r="D14" s="58" t="n">
        <v>312.6812993452849</v>
      </c>
      <c r="E14" s="58">
        <f si="0" t="shared"/>
        <v>4631.6005008634866</v>
      </c>
      <c r="F14" s="78">
        <f si="1" t="shared"/>
        <v>8.2698045096672793E-3</v>
      </c>
      <c r="G14">
        <v>3</v>
      </c>
      <c r="H14" s="68" t="n">
        <v>2725.0</v>
      </c>
      <c r="I14" s="68" t="n">
        <v>547.0</v>
      </c>
      <c r="J14" s="68" t="n">
        <v>224.0</v>
      </c>
      <c r="K14" s="58">
        <f si="2" t="shared"/>
        <v>3659</v>
      </c>
      <c r="L14" s="78">
        <f si="3" t="shared"/>
        <v>5.4303947758978927E-3</v>
      </c>
      <c r="M14" s="1" t="s">
        <v>3</v>
      </c>
      <c r="N14" s="64" t="n">
        <v>26.18532903892696</v>
      </c>
      <c r="O14" s="64" t="n">
        <v>41.693324325918766</v>
      </c>
      <c r="W14" s="8"/>
    </row>
    <row r="15" spans="1:23" x14ac:dyDescent="0.25">
      <c r="A15">
        <v>4</v>
      </c>
      <c r="B15" s="58" t="n">
        <v>6678.603972694752</v>
      </c>
      <c r="C15" s="58" t="n">
        <v>1136.6184717172878</v>
      </c>
      <c r="D15" s="58" t="n">
        <v>292.2391271501182</v>
      </c>
      <c r="E15" s="58">
        <f si="0" t="shared"/>
        <v>8107.4615715621585</v>
      </c>
      <c r="F15" s="78">
        <f si="1" t="shared"/>
        <v>1.4476015851099219E-2</v>
      </c>
      <c r="G15">
        <v>4</v>
      </c>
      <c r="H15" s="68" t="n">
        <v>4996.0</v>
      </c>
      <c r="I15" s="68" t="n">
        <v>911.0</v>
      </c>
      <c r="J15" s="68" t="n">
        <v>447.0</v>
      </c>
      <c r="K15" s="58">
        <f si="2" t="shared"/>
        <v>6743</v>
      </c>
      <c r="L15" s="78">
        <f si="3" t="shared"/>
        <v>1.0007420599584446E-2</v>
      </c>
      <c r="W15" s="8"/>
    </row>
    <row r="16" spans="1:23" x14ac:dyDescent="0.25">
      <c r="A16">
        <v>5</v>
      </c>
      <c r="B16" s="58" t="n">
        <v>6200.979088518484</v>
      </c>
      <c r="C16" s="58" t="n">
        <v>2606.337753250227</v>
      </c>
      <c r="D16" s="58" t="n">
        <v>3390.220158048879</v>
      </c>
      <c r="E16" s="58">
        <f si="0" t="shared"/>
        <v>12197.536999817588</v>
      </c>
      <c r="F16" s="78">
        <f si="1" t="shared"/>
        <v>2.1778917777800395E-2</v>
      </c>
      <c r="G16">
        <v>5</v>
      </c>
      <c r="H16" s="68" t="n">
        <v>7071.0</v>
      </c>
      <c r="I16" s="68" t="n">
        <v>1439.0</v>
      </c>
      <c r="J16" s="68" t="n">
        <v>704.0</v>
      </c>
      <c r="K16" s="58">
        <f si="2" t="shared"/>
        <v>9701</v>
      </c>
      <c r="L16" s="78">
        <f si="3" t="shared"/>
        <v>1.4397447313742951E-2</v>
      </c>
      <c r="W16" s="8"/>
    </row>
    <row r="17" spans="1:23" x14ac:dyDescent="0.25">
      <c r="A17">
        <v>6</v>
      </c>
      <c r="B17" s="58" t="n">
        <v>10401.39459016964</v>
      </c>
      <c r="C17" s="58" t="n">
        <v>2703.222176728498</v>
      </c>
      <c r="D17" s="58" t="n">
        <v>822.2242375431788</v>
      </c>
      <c r="E17" s="58">
        <f si="0" t="shared"/>
        <v>13926.841004441318</v>
      </c>
      <c r="F17" s="78">
        <f si="1" t="shared"/>
        <v>2.4866620625521568E-2</v>
      </c>
      <c r="G17">
        <v>6</v>
      </c>
      <c r="H17" s="68" t="n">
        <v>8551.0</v>
      </c>
      <c r="I17" s="68" t="n">
        <v>1785.0</v>
      </c>
      <c r="J17" s="68" t="n">
        <v>832.0</v>
      </c>
      <c r="K17" s="58">
        <f si="2" t="shared"/>
        <v>11611</v>
      </c>
      <c r="L17" s="78">
        <f si="3" t="shared"/>
        <v>1.7232116355001485E-2</v>
      </c>
      <c r="W17" s="8"/>
    </row>
    <row r="18" spans="1:23" x14ac:dyDescent="0.25">
      <c r="A18">
        <v>7</v>
      </c>
      <c r="B18" s="58" t="n">
        <v>11621.797330063524</v>
      </c>
      <c r="C18" s="58" t="n">
        <v>2215.229728038951</v>
      </c>
      <c r="D18" s="58" t="n">
        <v>925.8364607958166</v>
      </c>
      <c r="E18" s="58">
        <f si="0" t="shared"/>
        <v>14762.863518898292</v>
      </c>
      <c r="F18" s="78">
        <f si="1" t="shared"/>
        <v>2.6359353593088764E-2</v>
      </c>
      <c r="G18">
        <v>7</v>
      </c>
      <c r="H18" s="68" t="n">
        <v>9272.0</v>
      </c>
      <c r="I18" s="68" t="n">
        <v>2042.0</v>
      </c>
      <c r="J18" s="68" t="n">
        <v>1154.0</v>
      </c>
      <c r="K18" s="58">
        <f si="2" t="shared"/>
        <v>12650</v>
      </c>
      <c r="L18" s="78">
        <f si="3" t="shared"/>
        <v>1.8774116948649451E-2</v>
      </c>
      <c r="W18" s="8"/>
    </row>
    <row r="19" spans="1:23" x14ac:dyDescent="0.25">
      <c r="A19">
        <v>8</v>
      </c>
      <c r="B19" s="58" t="n">
        <v>13872.031254129628</v>
      </c>
      <c r="C19" s="58" t="n">
        <v>2323.0037031406328</v>
      </c>
      <c r="D19" s="58" t="n">
        <v>896.7511807915429</v>
      </c>
      <c r="E19" s="58">
        <f si="0" t="shared"/>
        <v>17091.786138061805</v>
      </c>
      <c r="F19" s="78">
        <f si="1" t="shared"/>
        <v>3.0517686069094389E-2</v>
      </c>
      <c r="G19">
        <v>8</v>
      </c>
      <c r="H19" s="68" t="n">
        <v>9232.0</v>
      </c>
      <c r="I19" s="68" t="n">
        <v>2040.0</v>
      </c>
      <c r="J19" s="68" t="n">
        <v>1069.0</v>
      </c>
      <c r="K19" s="58">
        <f si="2" t="shared"/>
        <v>12583</v>
      </c>
      <c r="L19" s="78">
        <f si="3" t="shared"/>
        <v>1.8674680914217867E-2</v>
      </c>
      <c r="W19" s="8"/>
    </row>
    <row r="20" spans="1:23" x14ac:dyDescent="0.25">
      <c r="A20">
        <v>9</v>
      </c>
      <c r="B20" s="58" t="n">
        <v>11810.54106931962</v>
      </c>
      <c r="C20" s="58" t="n">
        <v>1597.3899109057388</v>
      </c>
      <c r="D20" s="58" t="n">
        <v>585.1764203849502</v>
      </c>
      <c r="E20" s="58">
        <f si="0" t="shared"/>
        <v>13993.10740061031</v>
      </c>
      <c r="F20" s="78">
        <f si="1" t="shared"/>
        <v>2.4984940446450762E-2</v>
      </c>
      <c r="G20">
        <v>9</v>
      </c>
      <c r="H20" s="68" t="n">
        <v>9444.0</v>
      </c>
      <c r="I20" s="68" t="n">
        <v>2183.0</v>
      </c>
      <c r="J20" s="68" t="n">
        <v>1103.0</v>
      </c>
      <c r="K20" s="58">
        <f si="2" t="shared"/>
        <v>12693</v>
      </c>
      <c r="L20" s="78">
        <f si="3" t="shared"/>
        <v>1.8837934105075692E-2</v>
      </c>
      <c r="W20" s="8"/>
    </row>
    <row r="21" spans="1:23" x14ac:dyDescent="0.25">
      <c r="A21">
        <v>10</v>
      </c>
      <c r="B21" s="58" t="n">
        <v>13040.728802960582</v>
      </c>
      <c r="C21" s="58" t="n">
        <v>2740.1886268993594</v>
      </c>
      <c r="D21" s="58" t="n">
        <v>1654.7163135473454</v>
      </c>
      <c r="E21" s="58">
        <f si="0" t="shared"/>
        <v>17435.633743407288</v>
      </c>
      <c r="F21" s="78">
        <f si="1" t="shared"/>
        <v>3.1131632042369555E-2</v>
      </c>
      <c r="G21">
        <v>10</v>
      </c>
      <c r="H21" s="68" t="n">
        <v>9223.0</v>
      </c>
      <c r="I21" s="68" t="n">
        <v>2174.0</v>
      </c>
      <c r="J21" s="68" t="n">
        <v>1069.0</v>
      </c>
      <c r="K21" s="58">
        <f si="2" t="shared"/>
        <v>12261</v>
      </c>
      <c r="L21" s="78">
        <f si="3" t="shared"/>
        <v>1.8196794300979518E-2</v>
      </c>
      <c r="W21" s="8"/>
    </row>
    <row r="22" spans="1:23" x14ac:dyDescent="0.25">
      <c r="A22">
        <v>11</v>
      </c>
      <c r="B22" s="58" t="n">
        <v>14648.823472388562</v>
      </c>
      <c r="C22" s="58" t="n">
        <v>1257.59936892277</v>
      </c>
      <c r="D22" s="58" t="n">
        <v>2380.565528618811</v>
      </c>
      <c r="E22" s="58">
        <f si="0" t="shared"/>
        <v>18286.988369930143</v>
      </c>
      <c r="F22" s="78">
        <f si="1" t="shared"/>
        <v>3.2651740766866021E-2</v>
      </c>
      <c r="G22">
        <v>11</v>
      </c>
      <c r="H22" s="68" t="n">
        <v>9260.0</v>
      </c>
      <c r="I22" s="68" t="n">
        <v>2106.0</v>
      </c>
      <c r="J22" s="68" t="n">
        <v>1164.0</v>
      </c>
      <c r="K22" s="58">
        <f si="2" t="shared"/>
        <v>12466</v>
      </c>
      <c r="L22" s="78">
        <f si="3" t="shared"/>
        <v>1.8501038883941823E-2</v>
      </c>
      <c r="W22" s="8"/>
    </row>
    <row r="23" spans="1:23" x14ac:dyDescent="0.25">
      <c r="A23">
        <v>12</v>
      </c>
      <c r="B23" s="58" t="n">
        <v>13188.049082548108</v>
      </c>
      <c r="C23" s="58" t="n">
        <v>1725.7316792869772</v>
      </c>
      <c r="D23" s="58" t="n">
        <v>3029.8192545117</v>
      </c>
      <c r="E23" s="58">
        <f si="0" t="shared"/>
        <v>17943.600016346783</v>
      </c>
      <c r="F23" s="78">
        <f si="1" t="shared"/>
        <v>3.2038614795724632E-2</v>
      </c>
      <c r="G23">
        <v>12</v>
      </c>
      <c r="H23" s="68" t="n">
        <v>9025.0</v>
      </c>
      <c r="I23" s="68" t="n">
        <v>2050.0</v>
      </c>
      <c r="J23" s="68" t="n">
        <v>1108.0</v>
      </c>
      <c r="K23" s="58">
        <f si="2" t="shared"/>
        <v>11739</v>
      </c>
      <c r="L23" s="78">
        <f si="3" t="shared"/>
        <v>1.7422083704363312E-2</v>
      </c>
      <c r="W23" s="8"/>
    </row>
    <row r="24" spans="1:23" x14ac:dyDescent="0.25">
      <c r="A24">
        <v>13</v>
      </c>
      <c r="B24" s="58" t="n">
        <v>12227.171035080264</v>
      </c>
      <c r="C24" s="58" t="n">
        <v>2085.5721571805416</v>
      </c>
      <c r="D24" s="58" t="n">
        <v>1011.3960813909059</v>
      </c>
      <c r="E24" s="58">
        <f si="0" t="shared"/>
        <v>15324.13927365171</v>
      </c>
      <c r="F24" s="78">
        <f si="1" t="shared"/>
        <v>2.7361521367913335E-2</v>
      </c>
      <c r="G24">
        <v>13</v>
      </c>
      <c r="H24" s="68" t="n">
        <v>9154.0</v>
      </c>
      <c r="I24" s="68" t="n">
        <v>1919.0</v>
      </c>
      <c r="J24" s="68" t="n">
        <v>1016.0</v>
      </c>
      <c r="K24" s="58">
        <f si="2" t="shared"/>
        <v>12147</v>
      </c>
      <c r="L24" s="78">
        <f si="3" t="shared"/>
        <v>1.8027604630454139E-2</v>
      </c>
      <c r="W24" s="8"/>
    </row>
    <row r="25" spans="1:23" x14ac:dyDescent="0.25">
      <c r="A25">
        <v>14</v>
      </c>
      <c r="B25" s="58" t="n">
        <v>10086.454729528712</v>
      </c>
      <c r="C25" s="58" t="n">
        <v>1972.0606708048606</v>
      </c>
      <c r="D25" s="58" t="n">
        <v>687.2685397774744</v>
      </c>
      <c r="E25" s="58">
        <f si="0" t="shared"/>
        <v>12745.783940111047</v>
      </c>
      <c r="F25" s="78">
        <f si="1" t="shared"/>
        <v>2.2757822374257896E-2</v>
      </c>
      <c r="G25">
        <v>14</v>
      </c>
      <c r="H25" s="68" t="n">
        <v>9382.0</v>
      </c>
      <c r="I25" s="68" t="n">
        <v>1877.0</v>
      </c>
      <c r="J25" s="68" t="n">
        <v>807.0</v>
      </c>
      <c r="K25" s="58">
        <f si="2" t="shared"/>
        <v>12240</v>
      </c>
      <c r="L25" s="78">
        <f si="3" t="shared"/>
        <v>1.8165627782724843E-2</v>
      </c>
      <c r="W25" s="8"/>
    </row>
    <row r="26" spans="1:23" x14ac:dyDescent="0.25">
      <c r="A26">
        <v>15</v>
      </c>
      <c r="B26" s="58" t="n">
        <v>12695.03648344059</v>
      </c>
      <c r="C26" s="58" t="n">
        <v>1247.2211981740427</v>
      </c>
      <c r="D26" s="58" t="n">
        <v>1248.6330801218598</v>
      </c>
      <c r="E26" s="58">
        <f si="0" t="shared"/>
        <v>15190.890761736491</v>
      </c>
      <c r="F26" s="78">
        <f si="1" t="shared"/>
        <v>2.7123603796106895E-2</v>
      </c>
      <c r="G26">
        <v>15</v>
      </c>
      <c r="H26" s="68" t="n">
        <v>9662.0</v>
      </c>
      <c r="I26" s="68" t="n">
        <v>1881.0</v>
      </c>
      <c r="J26" s="68" t="n">
        <v>754.0</v>
      </c>
      <c r="K26" s="58">
        <f si="2" t="shared"/>
        <v>12010</v>
      </c>
      <c r="L26" s="78">
        <f si="3" t="shared"/>
        <v>1.782428020184031E-2</v>
      </c>
      <c r="W26" s="8"/>
    </row>
    <row r="27" spans="1:23" x14ac:dyDescent="0.25">
      <c r="A27">
        <v>16</v>
      </c>
      <c r="B27" s="58" t="n">
        <v>15428.627877144772</v>
      </c>
      <c r="C27" s="58" t="n">
        <v>2694.92283925472</v>
      </c>
      <c r="D27" s="58" t="n">
        <v>333.94155986109547</v>
      </c>
      <c r="E27" s="58">
        <f si="0" t="shared"/>
        <v>18457.492276260586</v>
      </c>
      <c r="F27" s="78">
        <f si="1" t="shared"/>
        <v>3.2956178503502527E-2</v>
      </c>
      <c r="G27">
        <v>16</v>
      </c>
      <c r="H27" s="68" t="n">
        <v>9470.0</v>
      </c>
      <c r="I27" s="68" t="n">
        <v>1765.0</v>
      </c>
      <c r="J27" s="68" t="n">
        <v>703.0</v>
      </c>
      <c r="K27" s="58">
        <f si="2" t="shared"/>
        <v>11881</v>
      </c>
      <c r="L27" s="78">
        <f si="3" t="shared"/>
        <v>1.7632828732561591E-2</v>
      </c>
      <c r="W27" s="8"/>
    </row>
    <row r="28" spans="1:23" x14ac:dyDescent="0.25">
      <c r="A28">
        <v>17</v>
      </c>
      <c r="B28" s="58" t="n">
        <v>16030.823601011585</v>
      </c>
      <c r="C28" s="58" t="n">
        <v>1230.887068070851</v>
      </c>
      <c r="D28" s="58" t="n">
        <v>584.5406083828107</v>
      </c>
      <c r="E28" s="58">
        <f si="0" t="shared"/>
        <v>17846.251277465246</v>
      </c>
      <c r="F28" s="78">
        <f si="1" t="shared"/>
        <v>3.1864796902825003E-2</v>
      </c>
      <c r="G28">
        <v>17</v>
      </c>
      <c r="H28" s="68" t="n">
        <v>9213.0</v>
      </c>
      <c r="I28" s="68" t="n">
        <v>1629.0</v>
      </c>
      <c r="J28" s="68" t="n">
        <v>658.0</v>
      </c>
      <c r="K28" s="58">
        <f si="2" t="shared"/>
        <v>11220</v>
      </c>
      <c r="L28" s="78">
        <f si="3" t="shared"/>
        <v>1.6651825467497775E-2</v>
      </c>
      <c r="W28" s="8"/>
    </row>
    <row r="29" spans="1:23" x14ac:dyDescent="0.25">
      <c r="A29">
        <v>18</v>
      </c>
      <c r="B29" s="58" t="n">
        <v>12457.325482336732</v>
      </c>
      <c r="C29" s="58" t="n">
        <v>2059.0836902979536</v>
      </c>
      <c r="D29" s="58" t="n">
        <v>1771.5909664805797</v>
      </c>
      <c r="E29" s="58">
        <f si="0" t="shared"/>
        <v>16288.000139115265</v>
      </c>
      <c r="F29" s="78">
        <f si="1" t="shared"/>
        <v>2.9082511969416264E-2</v>
      </c>
      <c r="G29">
        <v>18</v>
      </c>
      <c r="H29" s="68" t="n">
        <v>9212.0</v>
      </c>
      <c r="I29" s="68" t="n">
        <v>1517.0</v>
      </c>
      <c r="J29" s="68" t="n">
        <v>537.0</v>
      </c>
      <c r="K29" s="58">
        <f si="2" t="shared"/>
        <v>11131</v>
      </c>
      <c r="L29" s="78">
        <f si="3" t="shared"/>
        <v>1.6519738794894628E-2</v>
      </c>
      <c r="W29" s="8"/>
    </row>
    <row r="30" spans="1:23" x14ac:dyDescent="0.25">
      <c r="A30">
        <v>19</v>
      </c>
      <c r="B30" s="58" t="n">
        <v>13228.529859367287</v>
      </c>
      <c r="C30" s="58" t="n">
        <v>1580.3494170770034</v>
      </c>
      <c r="D30" s="58" t="n">
        <v>66.4095707402952</v>
      </c>
      <c r="E30" s="58">
        <f si="0" t="shared"/>
        <v>14875.288847184585</v>
      </c>
      <c r="F30" s="78">
        <f si="1" t="shared"/>
        <v>2.6560091002692524E-2</v>
      </c>
      <c r="G30">
        <v>19</v>
      </c>
      <c r="H30" s="68" t="n">
        <v>8520.0</v>
      </c>
      <c r="I30" s="68" t="n">
        <v>1441.0</v>
      </c>
      <c r="J30" s="68" t="n">
        <v>600.0</v>
      </c>
      <c r="K30" s="58">
        <f si="2" t="shared"/>
        <v>10698</v>
      </c>
      <c r="L30" s="78">
        <f si="3" t="shared"/>
        <v>1.5877114870881566E-2</v>
      </c>
      <c r="W30" s="8"/>
    </row>
    <row r="31" spans="1:23" x14ac:dyDescent="0.25">
      <c r="A31">
        <v>20</v>
      </c>
      <c r="B31" s="58" t="n">
        <v>14763.846577160133</v>
      </c>
      <c r="C31" s="58" t="n">
        <v>546.5784075113197</v>
      </c>
      <c r="D31" s="58" t="n">
        <v>1034.0177619659535</v>
      </c>
      <c r="E31" s="58">
        <f si="0" t="shared"/>
        <v>16344.442746637405</v>
      </c>
      <c r="F31" s="78">
        <f si="1" t="shared"/>
        <v>2.9183291242183194E-2</v>
      </c>
      <c r="G31">
        <v>20</v>
      </c>
      <c r="H31" s="68" t="n">
        <v>9188.0</v>
      </c>
      <c r="I31" s="68" t="n">
        <v>1365.0</v>
      </c>
      <c r="J31" s="68" t="n">
        <v>529.0</v>
      </c>
      <c r="K31" s="58">
        <f si="2" t="shared"/>
        <v>11272</v>
      </c>
      <c r="L31" s="78">
        <f si="3" t="shared"/>
        <v>1.6728999703176015E-2</v>
      </c>
      <c r="W31" s="8"/>
    </row>
    <row r="32" spans="1:23" x14ac:dyDescent="0.25">
      <c r="A32">
        <v>21</v>
      </c>
      <c r="B32" s="58" t="n">
        <v>10450.901688560865</v>
      </c>
      <c r="C32" s="58" t="n">
        <v>1223.8446941922145</v>
      </c>
      <c r="D32" s="58" t="n">
        <v>269.7476774080282</v>
      </c>
      <c r="E32" s="58">
        <f si="0" t="shared"/>
        <v>11944.494060161107</v>
      </c>
      <c r="F32" s="78">
        <f si="1" t="shared"/>
        <v>2.1327105139141146E-2</v>
      </c>
      <c r="G32">
        <v>21</v>
      </c>
      <c r="H32" s="68" t="n">
        <v>8919.0</v>
      </c>
      <c r="I32" s="68" t="n">
        <v>1349.0</v>
      </c>
      <c r="J32" s="68" t="n">
        <v>471.0</v>
      </c>
      <c r="K32" s="58">
        <f si="2" t="shared"/>
        <v>10750</v>
      </c>
      <c r="L32" s="78">
        <f si="3" t="shared"/>
        <v>1.595428910655981E-2</v>
      </c>
      <c r="W32" s="8"/>
    </row>
    <row r="33" spans="1:23" x14ac:dyDescent="0.25">
      <c r="A33">
        <v>22</v>
      </c>
      <c r="B33" s="58" t="n">
        <v>10519.820671302425</v>
      </c>
      <c r="C33" s="58" t="n">
        <v>2644.223211042807</v>
      </c>
      <c r="D33" s="58" t="n">
        <v>741.8888962459562</v>
      </c>
      <c r="E33" s="58">
        <f si="0" t="shared"/>
        <v>13905.932778591188</v>
      </c>
      <c r="F33" s="78">
        <f si="1" t="shared"/>
        <v>2.4829288618930693E-2</v>
      </c>
      <c r="G33">
        <v>22</v>
      </c>
      <c r="H33" s="68" t="n">
        <v>9020.0</v>
      </c>
      <c r="I33" s="68" t="n">
        <v>1266.0</v>
      </c>
      <c r="J33" s="68" t="n">
        <v>436.0</v>
      </c>
      <c r="K33" s="58">
        <f si="2" t="shared"/>
        <v>10563</v>
      </c>
      <c r="L33" s="78">
        <f si="3" t="shared"/>
        <v>1.5676758682101513E-2</v>
      </c>
      <c r="W33" s="8"/>
    </row>
    <row r="34" spans="1:23" x14ac:dyDescent="0.25">
      <c r="A34">
        <v>23</v>
      </c>
      <c r="B34" s="58" t="n">
        <v>9853.587869299845</v>
      </c>
      <c r="C34" s="58" t="n">
        <v>670.5940523470779</v>
      </c>
      <c r="D34" s="58" t="n">
        <v>77.7549175564256</v>
      </c>
      <c r="E34" s="58">
        <f si="0" t="shared"/>
        <v>10601.936839203348</v>
      </c>
      <c r="F34" s="78">
        <f si="1" t="shared"/>
        <v>1.8929945505383239E-2</v>
      </c>
      <c r="G34">
        <v>23</v>
      </c>
      <c r="H34" s="68" t="n">
        <v>8850.0</v>
      </c>
      <c r="I34" s="68" t="n">
        <v>1284.0</v>
      </c>
      <c r="J34" s="68" t="n">
        <v>399.0</v>
      </c>
      <c r="K34" s="58">
        <f si="2" t="shared"/>
        <v>10550</v>
      </c>
      <c r="L34" s="78">
        <f si="3" t="shared"/>
        <v>1.5657465123181953E-2</v>
      </c>
      <c r="W34" s="8"/>
    </row>
    <row r="35" spans="1:23" x14ac:dyDescent="0.25">
      <c r="A35">
        <v>24</v>
      </c>
      <c r="B35" s="58" t="n">
        <v>11223.529431422065</v>
      </c>
      <c r="C35" s="58" t="n">
        <v>535.7430132380684</v>
      </c>
      <c r="D35" s="58" t="n">
        <v>812.9660254358633</v>
      </c>
      <c r="E35" s="58">
        <f si="0" t="shared"/>
        <v>12572.238470095997</v>
      </c>
      <c r="F35" s="78">
        <f si="1" t="shared"/>
        <v>2.2447953871934514E-2</v>
      </c>
      <c r="G35">
        <v>24</v>
      </c>
      <c r="H35" s="68" t="n">
        <v>9293.0</v>
      </c>
      <c r="I35" s="68" t="n">
        <v>1268.0</v>
      </c>
      <c r="J35" s="68" t="n">
        <v>402.0</v>
      </c>
      <c r="K35" s="58">
        <f si="2" t="shared"/>
        <v>10713</v>
      </c>
      <c r="L35" s="78">
        <f si="3" t="shared"/>
        <v>1.5899376669634906E-2</v>
      </c>
      <c r="W35" s="8"/>
    </row>
    <row r="36" spans="1:23" x14ac:dyDescent="0.25">
      <c r="A36">
        <v>25</v>
      </c>
      <c r="B36" s="58" t="n">
        <v>12016.64882906279</v>
      </c>
      <c r="C36" s="58" t="n">
        <v>1558.7824413579172</v>
      </c>
      <c r="D36" s="58" t="n">
        <v>0.0</v>
      </c>
      <c r="E36" s="58">
        <f si="0" t="shared"/>
        <v>13575.431270420706</v>
      </c>
      <c r="F36" s="78">
        <f si="1" t="shared"/>
        <v>2.4239172337914974E-2</v>
      </c>
      <c r="G36">
        <v>25</v>
      </c>
      <c r="H36" s="68" t="n">
        <v>8576.0</v>
      </c>
      <c r="I36" s="68" t="n">
        <v>1129.0</v>
      </c>
      <c r="J36" s="68" t="n">
        <v>385.0</v>
      </c>
      <c r="K36" s="58">
        <f si="2" t="shared"/>
        <v>10005</v>
      </c>
      <c r="L36" s="78">
        <f si="3" t="shared"/>
        <v>1.4848619768477293E-2</v>
      </c>
      <c r="W36" s="8"/>
    </row>
    <row r="37" spans="1:23" x14ac:dyDescent="0.25">
      <c r="A37">
        <v>26</v>
      </c>
      <c r="B37" s="58" t="n">
        <v>11613.934864800762</v>
      </c>
      <c r="C37" s="58" t="n">
        <v>499.383338449233</v>
      </c>
      <c r="D37" s="58" t="n">
        <v>0.0</v>
      </c>
      <c r="E37" s="58">
        <f si="0" t="shared"/>
        <v>12113.318203249995</v>
      </c>
      <c r="F37" s="78">
        <f si="1" t="shared"/>
        <v>2.1628543628837506E-2</v>
      </c>
      <c r="G37">
        <v>26</v>
      </c>
      <c r="H37" s="68" t="n">
        <v>8796.0</v>
      </c>
      <c r="I37" s="68" t="n">
        <v>1152.0</v>
      </c>
      <c r="J37" s="68" t="n">
        <v>376.0</v>
      </c>
      <c r="K37" s="58">
        <f si="2" t="shared"/>
        <v>10367</v>
      </c>
      <c r="L37" s="78">
        <f si="3" t="shared"/>
        <v>1.5385871178391214E-2</v>
      </c>
      <c r="W37" s="8"/>
    </row>
    <row r="38" spans="1:23" x14ac:dyDescent="0.25">
      <c r="A38">
        <v>27</v>
      </c>
      <c r="B38" s="58" t="n">
        <v>9395.677285243526</v>
      </c>
      <c r="C38" s="58" t="n">
        <v>1111.9066425927313</v>
      </c>
      <c r="D38" s="58" t="n">
        <v>109.1965432100002</v>
      </c>
      <c r="E38" s="58">
        <f si="0" t="shared"/>
        <v>10616.780471046259</v>
      </c>
      <c r="F38" s="78">
        <f si="1" t="shared"/>
        <v>1.8956449072245592E-2</v>
      </c>
      <c r="G38">
        <v>27</v>
      </c>
      <c r="H38" s="68" t="n">
        <v>8676.0</v>
      </c>
      <c r="I38" s="68" t="n">
        <v>1077.0</v>
      </c>
      <c r="J38" s="68" t="n">
        <v>363.0</v>
      </c>
      <c r="K38" s="58">
        <f si="2" t="shared"/>
        <v>9977</v>
      </c>
      <c r="L38" s="78">
        <f si="3" t="shared"/>
        <v>1.4807064410804392E-2</v>
      </c>
      <c r="W38" s="8"/>
    </row>
    <row r="39" spans="1:23" x14ac:dyDescent="0.25">
      <c r="A39">
        <v>28</v>
      </c>
      <c r="B39" s="58" t="n">
        <v>7925.53935927549</v>
      </c>
      <c r="C39" s="58" t="n">
        <v>296.0703312732481</v>
      </c>
      <c r="D39" s="58" t="n">
        <v>391.5208483483534</v>
      </c>
      <c r="E39" s="58">
        <f si="0" t="shared"/>
        <v>8613.1305388970904</v>
      </c>
      <c r="F39" s="78">
        <f si="1" t="shared"/>
        <v>1.5378896724716361E-2</v>
      </c>
      <c r="G39">
        <v>28</v>
      </c>
      <c r="H39" s="68" t="n">
        <v>8052.0</v>
      </c>
      <c r="I39" s="68" t="n">
        <v>968.0</v>
      </c>
      <c r="J39" s="68" t="n">
        <v>288.0</v>
      </c>
      <c r="K39" s="58">
        <f si="2" t="shared"/>
        <v>9944</v>
      </c>
      <c r="L39" s="78">
        <f si="3" t="shared"/>
        <v>1.4758088453547046E-2</v>
      </c>
      <c r="W39" s="8"/>
    </row>
    <row r="40" spans="1:23" x14ac:dyDescent="0.25">
      <c r="A40">
        <v>29</v>
      </c>
      <c r="B40" s="58" t="n">
        <v>9450.372492464907</v>
      </c>
      <c r="C40" s="58" t="n">
        <v>99.45285573871709</v>
      </c>
      <c r="D40" s="58" t="n">
        <v>2192.9876232713573</v>
      </c>
      <c r="E40" s="58">
        <f si="0" t="shared"/>
        <v>11742.812971474981</v>
      </c>
      <c r="F40" s="78">
        <f si="1" t="shared"/>
        <v>2.0966999992676077E-2</v>
      </c>
      <c r="G40">
        <v>29</v>
      </c>
      <c r="H40" s="68" t="n">
        <v>8283.0</v>
      </c>
      <c r="I40" s="68" t="n">
        <v>916.0</v>
      </c>
      <c r="J40" s="68" t="n">
        <v>318.0</v>
      </c>
      <c r="K40" s="58">
        <f si="2" t="shared"/>
        <v>9674</v>
      </c>
      <c r="L40" s="78">
        <f si="3" t="shared"/>
        <v>1.4357376075986941E-2</v>
      </c>
      <c r="W40" s="8"/>
    </row>
    <row r="41" spans="1:23" x14ac:dyDescent="0.25">
      <c r="A41">
        <v>30</v>
      </c>
      <c r="B41" s="58" t="n">
        <v>9276.476940380951</v>
      </c>
      <c r="C41" s="58" t="n">
        <v>2114.7621324092806</v>
      </c>
      <c r="D41" s="58" t="n">
        <v>90.7415219466624</v>
      </c>
      <c r="E41" s="58">
        <f si="0" t="shared"/>
        <v>11481.980594736893</v>
      </c>
      <c r="F41" s="78">
        <f si="1" t="shared"/>
        <v>2.0501279176510318E-2</v>
      </c>
      <c r="G41">
        <v>30</v>
      </c>
      <c r="H41" s="68" t="n">
        <v>7878.0</v>
      </c>
      <c r="I41" s="68" t="n">
        <v>920.0</v>
      </c>
      <c r="J41" s="68" t="n">
        <v>306.0</v>
      </c>
      <c r="K41" s="58">
        <f si="2" t="shared"/>
        <v>9136</v>
      </c>
      <c r="L41" s="78">
        <f si="3" t="shared"/>
        <v>1.3558919560700504E-2</v>
      </c>
      <c r="W41" s="8"/>
    </row>
    <row r="42" spans="1:23" x14ac:dyDescent="0.25">
      <c r="A42">
        <v>31</v>
      </c>
      <c r="B42" s="58" t="n">
        <v>9914.727982279444</v>
      </c>
      <c r="C42" s="58" t="n">
        <v>702.503362504366</v>
      </c>
      <c r="D42" s="58" t="n">
        <v>68.9004302318935</v>
      </c>
      <c r="E42" s="58">
        <f si="0" t="shared"/>
        <v>10686.131775015703</v>
      </c>
      <c r="F42" s="78">
        <f si="1" t="shared"/>
        <v>1.9080277050546157E-2</v>
      </c>
      <c r="G42">
        <v>31</v>
      </c>
      <c r="H42" s="68" t="n">
        <v>8320.0</v>
      </c>
      <c r="I42" s="68" t="n">
        <v>880.0</v>
      </c>
      <c r="J42" s="68" t="n">
        <v>257.0</v>
      </c>
      <c r="K42" s="58">
        <f si="2" t="shared"/>
        <v>9472</v>
      </c>
      <c r="L42" s="78">
        <f si="3" t="shared"/>
        <v>1.4057583852775304E-2</v>
      </c>
      <c r="W42" s="8"/>
    </row>
    <row r="43" spans="1:23" x14ac:dyDescent="0.25">
      <c r="A43">
        <v>32</v>
      </c>
      <c r="B43" s="58" t="n">
        <v>4976.5455856229555</v>
      </c>
      <c r="C43" s="58" t="n">
        <v>519.3513274381611</v>
      </c>
      <c r="D43" s="58" t="n">
        <v>424.497314053641</v>
      </c>
      <c r="E43" s="58">
        <f si="0" t="shared"/>
        <v>5920.394227114758</v>
      </c>
      <c r="F43" s="78">
        <f si="1" t="shared"/>
        <v>1.0570968473916061E-2</v>
      </c>
      <c r="G43">
        <v>32</v>
      </c>
      <c r="H43" s="68" t="n">
        <v>8001.0</v>
      </c>
      <c r="I43" s="68" t="n">
        <v>869.0</v>
      </c>
      <c r="J43" s="68" t="n">
        <v>256.0</v>
      </c>
      <c r="K43" s="58">
        <f si="2" t="shared"/>
        <v>9109</v>
      </c>
      <c r="L43" s="78">
        <f si="3" t="shared"/>
        <v>1.3518848322944494E-2</v>
      </c>
      <c r="W43" s="8"/>
    </row>
    <row r="44" spans="1:23" x14ac:dyDescent="0.25">
      <c r="A44">
        <v>33</v>
      </c>
      <c r="B44" s="58" t="n">
        <v>10906.816183028539</v>
      </c>
      <c r="C44" s="58" t="n">
        <v>332.6811183904161</v>
      </c>
      <c r="D44" s="58" t="n">
        <v>304.0118479810663</v>
      </c>
      <c r="E44" s="58">
        <f si="0" t="shared"/>
        <v>11543.509149400021</v>
      </c>
      <c r="F44" s="78">
        <f si="1" t="shared"/>
        <v>2.0611139497738708E-2</v>
      </c>
      <c r="G44">
        <v>33</v>
      </c>
      <c r="H44" s="68" t="n">
        <v>7801.0</v>
      </c>
      <c r="I44" s="68" t="n">
        <v>788.0</v>
      </c>
      <c r="J44" s="68" t="n">
        <v>297.0</v>
      </c>
      <c r="K44" s="58">
        <f si="2" t="shared"/>
        <v>8631</v>
      </c>
      <c r="L44" s="78">
        <f si="3" t="shared"/>
        <v>1.2809439002671416E-2</v>
      </c>
      <c r="W44" s="8"/>
    </row>
    <row r="45" spans="1:23" x14ac:dyDescent="0.25">
      <c r="A45">
        <v>34</v>
      </c>
      <c r="B45" s="58" t="n">
        <v>6833.409911951239</v>
      </c>
      <c r="C45" s="58" t="n">
        <v>665.295789785158</v>
      </c>
      <c r="D45" s="58" t="n">
        <v>0.0</v>
      </c>
      <c r="E45" s="58">
        <f si="0" t="shared"/>
        <v>7498.7057017363977</v>
      </c>
      <c r="F45" s="78">
        <f si="1" t="shared"/>
        <v>1.3389071492095686E-2</v>
      </c>
      <c r="G45">
        <v>34</v>
      </c>
      <c r="H45" s="68" t="n">
        <v>7652.0</v>
      </c>
      <c r="I45" s="68" t="n">
        <v>841.0</v>
      </c>
      <c r="J45" s="68" t="n">
        <v>225.0</v>
      </c>
      <c r="K45" s="58">
        <f si="2" t="shared"/>
        <v>9179</v>
      </c>
      <c r="L45" s="78">
        <f si="3" t="shared"/>
        <v>1.3622736717126743E-2</v>
      </c>
      <c r="W45" s="8"/>
    </row>
    <row r="46" spans="1:23" x14ac:dyDescent="0.25">
      <c r="A46">
        <v>35</v>
      </c>
      <c r="B46" s="58" t="n">
        <v>4828.893466360076</v>
      </c>
      <c r="C46" s="58" t="n">
        <v>83.55514635600329</v>
      </c>
      <c r="D46" s="58" t="n">
        <v>0.0</v>
      </c>
      <c r="E46" s="58">
        <f si="0" t="shared"/>
        <v>4912.448612716079</v>
      </c>
      <c r="F46" s="78">
        <f si="1" t="shared"/>
        <v>8.7712637744499621E-3</v>
      </c>
      <c r="G46">
        <v>35</v>
      </c>
      <c r="H46" s="68" t="n">
        <v>7954.0</v>
      </c>
      <c r="I46" s="68" t="n">
        <v>746.0</v>
      </c>
      <c r="J46" s="68" t="n">
        <v>242.0</v>
      </c>
      <c r="K46" s="58">
        <f si="2" t="shared"/>
        <v>7994</v>
      </c>
      <c r="L46" s="78">
        <f si="3" t="shared"/>
        <v>1.1864054615612941E-2</v>
      </c>
      <c r="W46" s="8"/>
    </row>
    <row r="47" spans="1:23" x14ac:dyDescent="0.25">
      <c r="A47">
        <v>36</v>
      </c>
      <c r="B47" s="58" t="n">
        <v>6043.055320076955</v>
      </c>
      <c r="C47" s="58" t="n">
        <v>468.0671778479081</v>
      </c>
      <c r="D47" s="58" t="n">
        <v>0.0</v>
      </c>
      <c r="E47" s="58">
        <f si="0" t="shared"/>
        <v>6511.1224979248627</v>
      </c>
      <c r="F47" s="78">
        <f si="1" t="shared"/>
        <v>1.1625724236426794E-2</v>
      </c>
      <c r="G47">
        <v>36</v>
      </c>
      <c r="H47" s="68" t="n">
        <v>6734.0</v>
      </c>
      <c r="I47" s="68" t="n">
        <v>668.0</v>
      </c>
      <c r="J47" s="68" t="n">
        <v>211.0</v>
      </c>
      <c r="K47" s="58">
        <f si="2" t="shared"/>
        <v>7635</v>
      </c>
      <c r="L47" s="78">
        <f si="3" t="shared"/>
        <v>1.1331255565449689E-2</v>
      </c>
      <c r="W47" s="8"/>
    </row>
    <row r="48" spans="1:23" x14ac:dyDescent="0.25">
      <c r="A48">
        <v>37</v>
      </c>
      <c r="B48" s="58" t="n">
        <v>6204.314640488034</v>
      </c>
      <c r="C48" s="58" t="n">
        <v>710.6765502022143</v>
      </c>
      <c r="D48" s="58" t="n">
        <v>72.7119862341665</v>
      </c>
      <c r="E48" s="58">
        <f si="0" t="shared"/>
        <v>6987.7031769244149</v>
      </c>
      <c r="F48" s="78">
        <f si="1" t="shared"/>
        <v>1.2476667457388103E-2</v>
      </c>
      <c r="G48">
        <v>37</v>
      </c>
      <c r="H48" s="68" t="n">
        <v>7176.0</v>
      </c>
      <c r="I48" s="68" t="n">
        <v>724.0</v>
      </c>
      <c r="J48" s="68" t="n">
        <v>222.0</v>
      </c>
      <c r="K48" s="58">
        <f si="2" t="shared"/>
        <v>8010</v>
      </c>
      <c r="L48" s="78">
        <f si="3" t="shared"/>
        <v>1.188780053428317E-2</v>
      </c>
      <c r="W48" s="8"/>
    </row>
    <row r="49" spans="1:23" x14ac:dyDescent="0.25">
      <c r="A49">
        <v>38</v>
      </c>
      <c r="B49" s="58" t="n">
        <v>5460.086128784952</v>
      </c>
      <c r="C49" s="58" t="n">
        <v>704.3754898907956</v>
      </c>
      <c r="D49" s="58" t="n">
        <v>369.3491232492935</v>
      </c>
      <c r="E49" s="58">
        <f si="0" t="shared"/>
        <v>6533.8107419250409</v>
      </c>
      <c r="F49" s="78">
        <f si="1" t="shared"/>
        <v>1.1666234496867893E-2</v>
      </c>
      <c r="G49">
        <v>38</v>
      </c>
      <c r="H49" s="68" t="n">
        <v>7019.0</v>
      </c>
      <c r="I49" s="68" t="n">
        <v>624.0</v>
      </c>
      <c r="J49" s="68" t="n">
        <v>232.0</v>
      </c>
      <c r="K49" s="58">
        <f si="2" t="shared"/>
        <v>7761</v>
      </c>
      <c r="L49" s="78">
        <f si="3" t="shared"/>
        <v>1.1518254674977739E-2</v>
      </c>
      <c r="W49" s="8"/>
    </row>
    <row r="50" spans="1:23" x14ac:dyDescent="0.25">
      <c r="A50">
        <v>39</v>
      </c>
      <c r="B50" s="58" t="n">
        <v>8159.230200076769</v>
      </c>
      <c r="C50" s="58" t="n">
        <v>726.7931331818486</v>
      </c>
      <c r="D50" s="58" t="n">
        <v>0.0</v>
      </c>
      <c r="E50" s="58">
        <f si="0" t="shared"/>
        <v>8886.0233332586176</v>
      </c>
      <c r="F50" s="78">
        <f si="1" t="shared"/>
        <v>1.5866151629591235E-2</v>
      </c>
      <c r="G50">
        <v>39</v>
      </c>
      <c r="H50" s="68" t="n">
        <v>6897.0</v>
      </c>
      <c r="I50" s="68" t="n">
        <v>604.0</v>
      </c>
      <c r="J50" s="68" t="n">
        <v>222.0</v>
      </c>
      <c r="K50" s="58">
        <f si="2" t="shared"/>
        <v>7595</v>
      </c>
      <c r="L50" s="78">
        <f si="3" t="shared"/>
        <v>1.1271890768774117E-2</v>
      </c>
      <c r="W50" s="8"/>
    </row>
    <row r="51" spans="1:23" x14ac:dyDescent="0.25">
      <c r="A51">
        <v>40</v>
      </c>
      <c r="B51" s="58" t="n">
        <v>5788.80365933905</v>
      </c>
      <c r="C51" s="58" t="n">
        <v>328.95772646429214</v>
      </c>
      <c r="D51" s="58" t="n">
        <v>167.297675625087</v>
      </c>
      <c r="E51" s="58">
        <f si="0" t="shared"/>
        <v>6285.0590614284292</v>
      </c>
      <c r="F51" s="78">
        <f si="1" t="shared"/>
        <v>1.1222083977241972E-2</v>
      </c>
      <c r="G51">
        <v>40</v>
      </c>
      <c r="H51" s="68" t="n">
        <v>6931.0</v>
      </c>
      <c r="I51" s="68" t="n">
        <v>675.0</v>
      </c>
      <c r="J51" s="68" t="n">
        <v>181.0</v>
      </c>
      <c r="K51" s="58">
        <f si="2" t="shared"/>
        <v>7877</v>
      </c>
      <c r="L51" s="78">
        <f si="3" t="shared"/>
        <v>1.1690412585336896E-2</v>
      </c>
      <c r="W51" s="8"/>
    </row>
    <row r="52" spans="1:23" x14ac:dyDescent="0.25">
      <c r="A52">
        <v>41</v>
      </c>
      <c r="B52" s="58" t="n">
        <v>7477.005497133496</v>
      </c>
      <c r="C52" s="58" t="n">
        <v>196.47285162202633</v>
      </c>
      <c r="D52" s="58" t="n">
        <v>67.5275161034971</v>
      </c>
      <c r="E52" s="58">
        <f si="0" t="shared"/>
        <v>7741.0058648590193</v>
      </c>
      <c r="F52" s="78">
        <f si="1" t="shared"/>
        <v>1.3821702713486867E-2</v>
      </c>
      <c r="G52">
        <v>41</v>
      </c>
      <c r="H52" s="68" t="n">
        <v>6489.0</v>
      </c>
      <c r="I52" s="68" t="n">
        <v>642.0</v>
      </c>
      <c r="J52" s="68" t="n">
        <v>220.0</v>
      </c>
      <c r="K52" s="58">
        <f si="2" t="shared"/>
        <v>7248</v>
      </c>
      <c r="L52" s="78">
        <f si="3" t="shared"/>
        <v>1.0756901157613534E-2</v>
      </c>
      <c r="W52" s="8"/>
    </row>
    <row r="53" spans="1:23" x14ac:dyDescent="0.25">
      <c r="A53">
        <v>42</v>
      </c>
      <c r="B53" s="58" t="n">
        <v>5928.587479990552</v>
      </c>
      <c r="C53" s="58" t="n">
        <v>451.7638319477431</v>
      </c>
      <c r="D53" s="58" t="n">
        <v>288.16258749818</v>
      </c>
      <c r="E53" s="58">
        <f si="0" t="shared"/>
        <v>6668.5138994364752</v>
      </c>
      <c r="F53" s="78">
        <f si="1" t="shared"/>
        <v>1.1906749364082109E-2</v>
      </c>
      <c r="G53">
        <v>42</v>
      </c>
      <c r="H53" s="68" t="n">
        <v>6409.0</v>
      </c>
      <c r="I53" s="68" t="n">
        <v>558.0</v>
      </c>
      <c r="J53" s="68" t="n">
        <v>173.0</v>
      </c>
      <c r="K53" s="58">
        <f si="2" t="shared"/>
        <v>6773</v>
      </c>
      <c r="L53" s="78">
        <f si="3" t="shared"/>
        <v>1.0051944197091125E-2</v>
      </c>
      <c r="W53" s="8"/>
    </row>
    <row r="54" spans="1:23" x14ac:dyDescent="0.25">
      <c r="A54">
        <v>43</v>
      </c>
      <c r="B54" s="58" t="n">
        <v>5908.881824160367</v>
      </c>
      <c r="C54" s="58" t="n">
        <v>729.07763197696</v>
      </c>
      <c r="D54" s="58" t="n">
        <v>0.0</v>
      </c>
      <c r="E54" s="58">
        <f si="0" t="shared"/>
        <v>6637.9594561373269</v>
      </c>
      <c r="F54" s="78">
        <f si="1" t="shared"/>
        <v>1.1852193865839427E-2</v>
      </c>
      <c r="G54">
        <v>43</v>
      </c>
      <c r="H54" s="68" t="n">
        <v>6023.0</v>
      </c>
      <c r="I54" s="68" t="n">
        <v>518.0</v>
      </c>
      <c r="J54" s="68" t="n">
        <v>158.0</v>
      </c>
      <c r="K54" s="58">
        <f si="2" t="shared"/>
        <v>6493</v>
      </c>
      <c r="L54" s="78">
        <f si="3" t="shared"/>
        <v>9.6363906203621244E-3</v>
      </c>
      <c r="W54" s="8"/>
    </row>
    <row r="55" spans="1:23" x14ac:dyDescent="0.25">
      <c r="A55">
        <v>44</v>
      </c>
      <c r="B55" s="58" t="n">
        <v>4884.425004669977</v>
      </c>
      <c r="C55" s="58" t="n">
        <v>403.9284840272306</v>
      </c>
      <c r="D55" s="58" t="n">
        <v>132.8642450686111</v>
      </c>
      <c r="E55" s="58">
        <f si="0" t="shared"/>
        <v>5421.2177337658186</v>
      </c>
      <c r="F55" s="78">
        <f si="1" t="shared"/>
        <v>9.6796800272878729E-3</v>
      </c>
      <c r="G55">
        <v>44</v>
      </c>
      <c r="H55" s="68" t="n">
        <v>6025.0</v>
      </c>
      <c r="I55" s="68" t="n">
        <v>518.0</v>
      </c>
      <c r="J55" s="68" t="n">
        <v>187.0</v>
      </c>
      <c r="K55" s="58">
        <f si="2" t="shared"/>
        <v>6634</v>
      </c>
      <c r="L55" s="78">
        <f si="3" t="shared"/>
        <v>9.8456515286435148E-3</v>
      </c>
      <c r="W55" s="8"/>
    </row>
    <row r="56" spans="1:23" x14ac:dyDescent="0.25">
      <c r="A56">
        <v>45</v>
      </c>
      <c r="B56" s="58" t="n">
        <v>5454.020317867219</v>
      </c>
      <c r="C56" s="58" t="n">
        <v>181.14949949081029</v>
      </c>
      <c r="D56" s="58" t="n">
        <v>83.4083832237069</v>
      </c>
      <c r="E56" s="58">
        <f si="0" t="shared"/>
        <v>5718.5782005817364</v>
      </c>
      <c r="F56" s="78">
        <f si="1" t="shared"/>
        <v>1.0210622393541738E-2</v>
      </c>
      <c r="G56">
        <v>45</v>
      </c>
      <c r="H56" s="68" t="n">
        <v>6055.0</v>
      </c>
      <c r="I56" s="68" t="n">
        <v>484.0</v>
      </c>
      <c r="J56" s="68" t="n">
        <v>150.0</v>
      </c>
      <c r="K56" s="58">
        <f si="2" t="shared"/>
        <v>6798</v>
      </c>
      <c r="L56" s="78">
        <f si="3" t="shared"/>
        <v>1.0089047195013356E-2</v>
      </c>
      <c r="W56" s="8"/>
    </row>
    <row r="57" spans="1:23" x14ac:dyDescent="0.25">
      <c r="A57">
        <v>46</v>
      </c>
      <c r="B57" s="58" t="n">
        <v>5039.935880220469</v>
      </c>
      <c r="C57" s="58" t="n">
        <v>146.1664604948955</v>
      </c>
      <c r="D57" s="58" t="n">
        <v>0.0</v>
      </c>
      <c r="E57" s="58">
        <f si="0" t="shared"/>
        <v>5186.1023407153643</v>
      </c>
      <c r="F57" s="78">
        <f si="1" t="shared"/>
        <v>9.259877339776644E-3</v>
      </c>
      <c r="G57">
        <v>46</v>
      </c>
      <c r="H57" s="68" t="n">
        <v>6110.0</v>
      </c>
      <c r="I57" s="68" t="n">
        <v>552.0</v>
      </c>
      <c r="J57" s="68" t="n">
        <v>140.0</v>
      </c>
      <c r="K57" s="58">
        <f si="2" t="shared"/>
        <v>6506</v>
      </c>
      <c r="L57" s="78">
        <f si="3" t="shared"/>
        <v>9.6556841792816862E-3</v>
      </c>
      <c r="W57" s="8"/>
    </row>
    <row r="58" spans="1:23" x14ac:dyDescent="0.25">
      <c r="A58">
        <v>47</v>
      </c>
      <c r="B58" s="58" t="n">
        <v>4308.083885096979</v>
      </c>
      <c r="C58" s="58" t="n">
        <v>151.2489766757456</v>
      </c>
      <c r="D58" s="58" t="n">
        <v>0.0</v>
      </c>
      <c r="E58" s="58">
        <f si="0" t="shared"/>
        <v>4459.3328617727248</v>
      </c>
      <c r="F58" s="78">
        <f si="1" t="shared"/>
        <v>7.9622175970315897E-3</v>
      </c>
      <c r="G58">
        <v>47</v>
      </c>
      <c r="H58" s="68" t="n">
        <v>6024.0</v>
      </c>
      <c r="I58" s="68" t="n">
        <v>505.0</v>
      </c>
      <c r="J58" s="68" t="n">
        <v>130.0</v>
      </c>
      <c r="K58" s="58">
        <f si="2" t="shared"/>
        <v>6477</v>
      </c>
      <c r="L58" s="78">
        <f si="3" t="shared"/>
        <v>9.6126447016918973E-3</v>
      </c>
      <c r="W58" s="8"/>
    </row>
    <row r="59" spans="1:23" x14ac:dyDescent="0.25">
      <c r="A59">
        <v>48</v>
      </c>
      <c r="B59" s="58" t="n">
        <v>2125.197731077647</v>
      </c>
      <c r="C59" s="58" t="n">
        <v>431.5497604053774</v>
      </c>
      <c r="D59" s="58" t="n">
        <v>495.102892725069</v>
      </c>
      <c r="E59" s="58">
        <f si="0" t="shared"/>
        <v>3051.8503842080936</v>
      </c>
      <c r="F59" s="78">
        <f si="1" t="shared"/>
        <v>5.4491327707233512E-3</v>
      </c>
      <c r="G59">
        <v>48</v>
      </c>
      <c r="H59" s="68" t="n">
        <v>6085.0</v>
      </c>
      <c r="I59" s="68" t="n">
        <v>441.0</v>
      </c>
      <c r="J59" s="68" t="n">
        <v>132.0</v>
      </c>
      <c r="K59" s="58">
        <f si="2" t="shared"/>
        <v>6746</v>
      </c>
      <c r="L59" s="78">
        <f si="3" t="shared"/>
        <v>1.0011872959335115E-2</v>
      </c>
      <c r="W59" s="8"/>
    </row>
    <row r="60" spans="1:23" x14ac:dyDescent="0.25">
      <c r="A60">
        <v>49</v>
      </c>
      <c r="B60" s="58" t="n">
        <v>3204.5644941691044</v>
      </c>
      <c r="C60" s="58" t="n">
        <v>318.9311246472916</v>
      </c>
      <c r="D60" s="58" t="n">
        <v>0.0</v>
      </c>
      <c r="E60" s="58">
        <f si="0" t="shared"/>
        <v>3523.495618816396</v>
      </c>
      <c r="F60" s="78">
        <f si="1" t="shared"/>
        <v>6.291263668541428E-3</v>
      </c>
      <c r="G60">
        <v>49</v>
      </c>
      <c r="H60" s="68" t="n">
        <v>6104.0</v>
      </c>
      <c r="I60" s="68" t="n">
        <v>467.0</v>
      </c>
      <c r="J60" s="68" t="n">
        <v>160.0</v>
      </c>
      <c r="K60" s="58">
        <f si="2" t="shared"/>
        <v>6820</v>
      </c>
      <c r="L60" s="78">
        <f si="3" t="shared"/>
        <v>1.0121697833184921E-2</v>
      </c>
      <c r="W60" s="8"/>
    </row>
    <row r="61" spans="1:23" x14ac:dyDescent="0.25">
      <c r="A61">
        <v>50</v>
      </c>
      <c r="B61" s="58" t="n">
        <v>4332.753134626355</v>
      </c>
      <c r="C61" s="58" t="n">
        <v>401.8767888213374</v>
      </c>
      <c r="D61" s="58" t="n">
        <v>36.2890671170556</v>
      </c>
      <c r="E61" s="58">
        <f si="0" t="shared"/>
        <v>4770.9189905647472</v>
      </c>
      <c r="F61" s="78">
        <f si="1" t="shared"/>
        <v>8.5185601340344343E-3</v>
      </c>
      <c r="G61">
        <v>50</v>
      </c>
      <c r="H61" s="68" t="n">
        <v>5970.0</v>
      </c>
      <c r="I61" s="68" t="n">
        <v>418.0</v>
      </c>
      <c r="J61" s="68" t="n">
        <v>145.0</v>
      </c>
      <c r="K61" s="58">
        <f si="2" t="shared"/>
        <v>6535</v>
      </c>
      <c r="L61" s="78">
        <f si="3" t="shared"/>
        <v>9.698723656871475E-3</v>
      </c>
      <c r="W61" s="8"/>
    </row>
    <row r="62" spans="1:23" x14ac:dyDescent="0.25">
      <c r="A62">
        <v>51</v>
      </c>
      <c r="B62" s="58" t="n">
        <v>2667.7209520053643</v>
      </c>
      <c r="C62" s="58" t="n">
        <v>227.3136163591114</v>
      </c>
      <c r="D62" s="58" t="n">
        <v>0.0</v>
      </c>
      <c r="E62" s="58">
        <f si="0" t="shared"/>
        <v>2895.0345683644755</v>
      </c>
      <c r="F62" s="78">
        <f si="1" t="shared"/>
        <v>5.169135361445731E-3</v>
      </c>
      <c r="G62">
        <v>51</v>
      </c>
      <c r="H62" s="68" t="n">
        <v>6120.0</v>
      </c>
      <c r="I62" s="68" t="n">
        <v>440.0</v>
      </c>
      <c r="J62" s="68" t="n">
        <v>137.0</v>
      </c>
      <c r="K62" s="58">
        <f si="2" t="shared"/>
        <v>6674</v>
      </c>
      <c r="L62" s="78">
        <f si="3" t="shared"/>
        <v>9.905016325319085E-3</v>
      </c>
      <c r="W62" s="8"/>
    </row>
    <row r="63" spans="1:23" x14ac:dyDescent="0.25">
      <c r="A63">
        <v>52</v>
      </c>
      <c r="B63" s="58" t="n">
        <v>2008.056562394309</v>
      </c>
      <c r="C63" s="58" t="n">
        <v>414.2806618258614</v>
      </c>
      <c r="D63" s="58" t="n">
        <v>0.0</v>
      </c>
      <c r="E63" s="58">
        <f si="0" t="shared"/>
        <v>2422.3372242201704</v>
      </c>
      <c r="F63" s="78">
        <f si="1" t="shared"/>
        <v>4.3251259034660259E-3</v>
      </c>
      <c r="G63">
        <v>52</v>
      </c>
      <c r="H63" s="68" t="n">
        <v>5810.0</v>
      </c>
      <c r="I63" s="68" t="n">
        <v>469.0</v>
      </c>
      <c r="J63" s="68" t="n">
        <v>159.0</v>
      </c>
      <c r="K63" s="58">
        <f si="2" t="shared"/>
        <v>6373</v>
      </c>
      <c r="L63" s="78">
        <f si="3" t="shared"/>
        <v>9.4582962303354119E-3</v>
      </c>
      <c r="W63" s="8"/>
    </row>
    <row r="64" spans="1:23" x14ac:dyDescent="0.25">
      <c r="A64">
        <v>53</v>
      </c>
      <c r="B64" s="58" t="n">
        <v>1786.4316615951482</v>
      </c>
      <c r="C64" s="58" t="n">
        <v>0.0</v>
      </c>
      <c r="D64" s="58" t="n">
        <v>77.7549175564256</v>
      </c>
      <c r="E64" s="58">
        <f si="0" t="shared"/>
        <v>1864.1865791515738</v>
      </c>
      <c r="F64" s="78">
        <f si="1" t="shared"/>
        <v>3.3285380671875214E-3</v>
      </c>
      <c r="G64">
        <v>53</v>
      </c>
      <c r="H64" s="68" t="n">
        <v>5614.0</v>
      </c>
      <c r="I64" s="68" t="n">
        <v>422.0</v>
      </c>
      <c r="J64" s="68" t="n">
        <v>125.0</v>
      </c>
      <c r="K64" s="58">
        <f si="2" t="shared"/>
        <v>6467</v>
      </c>
      <c r="L64" s="78">
        <f si="3" t="shared"/>
        <v>9.5978035025230043E-3</v>
      </c>
      <c r="W64" s="8"/>
    </row>
    <row r="65" spans="1:23" x14ac:dyDescent="0.25">
      <c r="A65">
        <v>54</v>
      </c>
      <c r="B65" s="58" t="n">
        <v>2025.8417050204662</v>
      </c>
      <c r="C65" s="58" t="n">
        <v>22.4182535963548</v>
      </c>
      <c r="D65" s="58" t="n">
        <v>0.0</v>
      </c>
      <c r="E65" s="58">
        <f si="0" t="shared"/>
        <v>2048.2599586168208</v>
      </c>
      <c r="F65" s="78">
        <f si="1" t="shared"/>
        <v>3.6572043378055499E-3</v>
      </c>
      <c r="G65">
        <v>54</v>
      </c>
      <c r="H65" s="68" t="n">
        <v>5747.0</v>
      </c>
      <c r="I65" s="68" t="n">
        <v>361.0</v>
      </c>
      <c r="J65" s="68" t="n">
        <v>140.0</v>
      </c>
      <c r="K65" s="58">
        <f si="2" t="shared"/>
        <v>6219</v>
      </c>
      <c r="L65" s="78">
        <f si="3" t="shared"/>
        <v>9.2297417631344615E-3</v>
      </c>
      <c r="W65" s="8"/>
    </row>
    <row r="66" spans="1:23" x14ac:dyDescent="0.25">
      <c r="A66">
        <v>55</v>
      </c>
      <c r="B66" s="58" t="n">
        <v>2265.3423875957833</v>
      </c>
      <c r="C66" s="58" t="n">
        <v>65.7174480196126</v>
      </c>
      <c r="D66" s="58" t="n">
        <v>33.9990190163052</v>
      </c>
      <c r="E66" s="58">
        <f si="0" t="shared"/>
        <v>2365.0588546317013</v>
      </c>
      <c r="F66" s="78">
        <f si="1" t="shared"/>
        <v>4.2228543627662613E-3</v>
      </c>
      <c r="G66">
        <v>55</v>
      </c>
      <c r="H66" s="68" t="n">
        <v>5547.0</v>
      </c>
      <c r="I66" s="68" t="n">
        <v>395.0</v>
      </c>
      <c r="J66" s="68" t="n">
        <v>121.0</v>
      </c>
      <c r="K66" s="58">
        <f si="2" t="shared"/>
        <v>6296</v>
      </c>
      <c r="L66" s="78">
        <f si="3" t="shared"/>
        <v>9.3440189967349367E-3</v>
      </c>
      <c r="W66" s="8"/>
    </row>
    <row r="67" spans="1:23" x14ac:dyDescent="0.25">
      <c r="A67">
        <v>56</v>
      </c>
      <c r="B67" s="58" t="n">
        <v>2257.2229117955235</v>
      </c>
      <c r="C67" s="58" t="n">
        <v>82.4954577405599</v>
      </c>
      <c r="D67" s="58" t="n">
        <v>0.0</v>
      </c>
      <c r="E67" s="58">
        <f si="0" t="shared"/>
        <v>2339.7183695360832</v>
      </c>
      <c r="F67" s="78">
        <f si="1" t="shared"/>
        <v>4.177608478998473E-3</v>
      </c>
      <c r="G67">
        <v>56</v>
      </c>
      <c r="H67" s="68" t="n">
        <v>5499.0</v>
      </c>
      <c r="I67" s="68" t="n">
        <v>399.0</v>
      </c>
      <c r="J67" s="68" t="n">
        <v>109.0</v>
      </c>
      <c r="K67" s="58">
        <f si="2" t="shared"/>
        <v>5755</v>
      </c>
      <c r="L67" s="78">
        <f si="3" t="shared"/>
        <v>8.5411101216978334E-3</v>
      </c>
      <c r="W67" s="8"/>
    </row>
    <row r="68" spans="1:23" x14ac:dyDescent="0.25">
      <c r="A68">
        <v>57</v>
      </c>
      <c r="B68" s="58" t="n">
        <v>2006.797105131202</v>
      </c>
      <c r="C68" s="58" t="n">
        <v>224.407604134641</v>
      </c>
      <c r="D68" s="58" t="n">
        <v>0.0</v>
      </c>
      <c r="E68" s="58">
        <f si="0" t="shared"/>
        <v>2231.2047092658431</v>
      </c>
      <c r="F68" s="78">
        <f si="1" t="shared"/>
        <v>3.9838554217354319E-3</v>
      </c>
      <c r="G68">
        <v>57</v>
      </c>
      <c r="H68" s="68" t="n">
        <v>5382.0</v>
      </c>
      <c r="I68" s="68" t="n">
        <v>391.0</v>
      </c>
      <c r="J68" s="68" t="n">
        <v>114.0</v>
      </c>
      <c r="K68" s="58">
        <f si="2" t="shared"/>
        <v>5844</v>
      </c>
      <c r="L68" s="78">
        <f si="3" t="shared"/>
        <v>8.6731967943009802E-3</v>
      </c>
      <c r="W68" s="8"/>
    </row>
    <row r="69" spans="1:23" x14ac:dyDescent="0.25">
      <c r="A69">
        <v>58</v>
      </c>
      <c r="B69" s="58" t="n">
        <v>1567.1235323711849</v>
      </c>
      <c r="C69" s="58" t="n">
        <v>102.963014691288</v>
      </c>
      <c r="D69" s="58" t="n">
        <v>0.0</v>
      </c>
      <c r="E69" s="58">
        <f si="0" t="shared"/>
        <v>1670.0865470624728</v>
      </c>
      <c r="F69" s="78">
        <f si="1" t="shared"/>
        <v>2.981969031192782E-3</v>
      </c>
      <c r="G69">
        <v>58</v>
      </c>
      <c r="H69" s="68" t="n">
        <v>4871.0</v>
      </c>
      <c r="I69" s="68" t="n">
        <v>329.0</v>
      </c>
      <c r="J69" s="68" t="n">
        <v>105.0</v>
      </c>
      <c r="K69" s="58">
        <f si="2" t="shared"/>
        <v>5368</v>
      </c>
      <c r="L69" s="78">
        <f si="3" t="shared"/>
        <v>7.9667557138616805E-3</v>
      </c>
      <c r="W69" s="8"/>
    </row>
    <row r="70" spans="1:23" x14ac:dyDescent="0.25">
      <c r="A70">
        <v>59</v>
      </c>
      <c r="B70" s="58" t="n">
        <v>1823.086824719201</v>
      </c>
      <c r="C70" s="58" t="n">
        <v>95.4514927541425</v>
      </c>
      <c r="D70" s="58" t="n">
        <v>0.0</v>
      </c>
      <c r="E70" s="58">
        <f si="0" t="shared"/>
        <v>1918.5383174733436</v>
      </c>
      <c r="F70" s="78">
        <f si="1" t="shared"/>
        <v>3.4255840560628204E-3</v>
      </c>
      <c r="G70">
        <v>59</v>
      </c>
      <c r="H70" s="68" t="n">
        <v>4607.0</v>
      </c>
      <c r="I70" s="68" t="n">
        <v>345.0</v>
      </c>
      <c r="J70" s="68" t="n">
        <v>88.0</v>
      </c>
      <c r="K70" s="58">
        <f si="2" t="shared"/>
        <v>5390</v>
      </c>
      <c r="L70" s="78">
        <f si="3" t="shared"/>
        <v>7.9994063520332451E-3</v>
      </c>
      <c r="W70" s="8"/>
    </row>
    <row r="71" spans="1:23" x14ac:dyDescent="0.25">
      <c r="A71">
        <v>60</v>
      </c>
      <c r="B71" s="58" t="n">
        <v>981.4692569863035</v>
      </c>
      <c r="C71" s="58" t="n">
        <v>0.0</v>
      </c>
      <c r="D71" s="58" t="n">
        <v>0.0</v>
      </c>
      <c r="E71" s="58">
        <f si="0" t="shared"/>
        <v>981.46925698630355</v>
      </c>
      <c r="F71" s="78">
        <f si="1" t="shared"/>
        <v>1.7524306956120087E-3</v>
      </c>
      <c r="G71">
        <v>60</v>
      </c>
      <c r="H71" s="68" t="n">
        <v>4779.0</v>
      </c>
      <c r="I71" s="68" t="n">
        <v>304.0</v>
      </c>
      <c r="J71" s="68" t="n">
        <v>118.0</v>
      </c>
      <c r="K71" s="58">
        <f si="2" t="shared"/>
        <v>5106</v>
      </c>
      <c r="L71" s="78">
        <f si="3" t="shared"/>
        <v>7.5779162956366875E-3</v>
      </c>
      <c r="W71" s="8"/>
    </row>
    <row r="72" spans="1:23" x14ac:dyDescent="0.25">
      <c r="A72">
        <v>61</v>
      </c>
      <c r="B72" s="58" t="n">
        <v>1806.0387489383331</v>
      </c>
      <c r="C72" s="58" t="n">
        <v>0.0</v>
      </c>
      <c r="D72" s="58" t="n">
        <v>42.497783892796</v>
      </c>
      <c r="E72" s="58">
        <f si="0" t="shared"/>
        <v>1848.5365328311291</v>
      </c>
      <c r="F72" s="78">
        <f si="1" t="shared"/>
        <v>3.3005946330305408E-3</v>
      </c>
      <c r="G72">
        <v>61</v>
      </c>
      <c r="H72" s="68" t="n">
        <v>4748.0</v>
      </c>
      <c r="I72" s="68" t="n">
        <v>314.0</v>
      </c>
      <c r="J72" s="68" t="n">
        <v>94.0</v>
      </c>
      <c r="K72" s="58">
        <f si="2" t="shared"/>
        <v>5298</v>
      </c>
      <c r="L72" s="78">
        <f si="3" t="shared"/>
        <v>7.8628673196794296E-3</v>
      </c>
      <c r="W72" s="8"/>
    </row>
    <row r="73" spans="1:23" x14ac:dyDescent="0.25">
      <c r="A73">
        <v>62</v>
      </c>
      <c r="B73" s="58" t="n">
        <v>2610.9122975460114</v>
      </c>
      <c r="C73" s="58" t="n">
        <v>137.8037243800669</v>
      </c>
      <c r="D73" s="58" t="n">
        <v>0.0</v>
      </c>
      <c r="E73" s="58">
        <f si="0" t="shared"/>
        <v>2748.7160219260782</v>
      </c>
      <c r="F73" s="78">
        <f si="1" t="shared"/>
        <v>4.9078810121212088E-3</v>
      </c>
      <c r="G73">
        <v>62</v>
      </c>
      <c r="H73" s="68" t="n">
        <v>4577.0</v>
      </c>
      <c r="I73" s="68" t="n">
        <v>281.0</v>
      </c>
      <c r="J73" s="68" t="n">
        <v>98.0</v>
      </c>
      <c r="K73" s="58">
        <f si="2" t="shared"/>
        <v>4881</v>
      </c>
      <c r="L73" s="78">
        <f si="3" t="shared"/>
        <v>7.2439893143365986E-3</v>
      </c>
      <c r="W73" s="8"/>
    </row>
    <row r="74" spans="1:23" x14ac:dyDescent="0.25">
      <c r="A74">
        <v>63</v>
      </c>
      <c r="B74" s="58" t="n">
        <v>1471.0495799404234</v>
      </c>
      <c r="C74" s="58" t="n">
        <v>0.0</v>
      </c>
      <c r="D74" s="58" t="n">
        <v>0.0</v>
      </c>
      <c r="E74" s="58">
        <f si="0" t="shared"/>
        <v>1471.0495799404234</v>
      </c>
      <c r="F74" s="78">
        <f si="1" t="shared"/>
        <v>2.6265850104877247E-3</v>
      </c>
      <c r="G74">
        <v>63</v>
      </c>
      <c r="H74" s="68" t="n">
        <v>4520.0</v>
      </c>
      <c r="I74" s="68" t="n">
        <v>287.0</v>
      </c>
      <c r="J74" s="68" t="n">
        <v>100.0</v>
      </c>
      <c r="K74" s="58">
        <f si="2" t="shared"/>
        <v>4870</v>
      </c>
      <c r="L74" s="78">
        <f si="3" t="shared"/>
        <v>7.2276639952508163E-3</v>
      </c>
      <c r="W74" s="8"/>
    </row>
    <row r="75" spans="1:23" x14ac:dyDescent="0.25">
      <c r="A75">
        <v>64</v>
      </c>
      <c r="B75" s="58" t="n">
        <v>812.7658901966225</v>
      </c>
      <c r="C75" s="58" t="n">
        <v>420.56290731598597</v>
      </c>
      <c r="D75" s="58" t="n">
        <v>0.0</v>
      </c>
      <c r="E75" s="58">
        <f si="0" t="shared"/>
        <v>1233.3287975126086</v>
      </c>
      <c r="F75" s="78">
        <f si="1" t="shared"/>
        <v>2.2021303542200553E-3</v>
      </c>
      <c r="G75">
        <v>64</v>
      </c>
      <c r="H75" s="68" t="n">
        <v>4403.0</v>
      </c>
      <c r="I75" s="68" t="n">
        <v>290.0</v>
      </c>
      <c r="J75" s="68" t="n">
        <v>94.0</v>
      </c>
      <c r="K75" s="58">
        <f si="2" t="shared"/>
        <v>4921</v>
      </c>
      <c r="L75" s="78">
        <f si="3" t="shared"/>
        <v>7.3033541110121697E-3</v>
      </c>
      <c r="W75" s="8"/>
    </row>
    <row r="76" spans="1:23" x14ac:dyDescent="0.25">
      <c r="A76">
        <v>65</v>
      </c>
      <c r="B76" s="58" t="n">
        <v>1268.8166526092853</v>
      </c>
      <c r="C76" s="58" t="n">
        <v>0.0</v>
      </c>
      <c r="D76" s="58" t="n">
        <v>0.0</v>
      </c>
      <c r="E76" s="58">
        <f ref="E76:E101" si="4" t="shared">SUM(B76:D76)</f>
        <v>1268.8166526092853</v>
      </c>
      <c r="F76" s="78">
        <f ref="F76:F101" si="5" t="shared">E76/SUM($E$11:$E$101)</f>
        <v>2.2654945463739772E-3</v>
      </c>
      <c r="G76">
        <v>65</v>
      </c>
      <c r="H76" s="68" t="n">
        <v>4286.0</v>
      </c>
      <c r="I76" s="68" t="n">
        <v>245.0</v>
      </c>
      <c r="J76" s="68" t="n">
        <v>79.0</v>
      </c>
      <c r="K76" s="58">
        <f ref="K76:K101" si="6" t="shared">SUM(H76:J76)</f>
        <v>4593</v>
      </c>
      <c r="L76" s="78">
        <f ref="L76:L101" si="7" t="shared">K76/SUM($K$11:$K$101)</f>
        <v>6.8165627782724846E-3</v>
      </c>
      <c r="W76" s="8"/>
    </row>
    <row r="77" spans="1:23" x14ac:dyDescent="0.25">
      <c r="A77">
        <v>66</v>
      </c>
      <c r="B77" s="58" t="n">
        <v>936.9962097819995</v>
      </c>
      <c r="C77" s="58" t="n">
        <v>0.0</v>
      </c>
      <c r="D77" s="58" t="n">
        <v>0.0</v>
      </c>
      <c r="E77" s="58">
        <f si="4" t="shared"/>
        <v>936.99620978199948</v>
      </c>
      <c r="F77" s="78">
        <f si="5" t="shared"/>
        <v>1.6730232842300831E-3</v>
      </c>
      <c r="G77">
        <v>66</v>
      </c>
      <c r="H77" s="68" t="n">
        <v>4181.0</v>
      </c>
      <c r="I77" s="68" t="n">
        <v>260.0</v>
      </c>
      <c r="J77" s="68" t="n">
        <v>68.0</v>
      </c>
      <c r="K77" s="58">
        <f si="6" t="shared"/>
        <v>4636</v>
      </c>
      <c r="L77" s="78">
        <f si="7" t="shared"/>
        <v>6.8803799346987236E-3</v>
      </c>
      <c r="W77" s="8"/>
    </row>
    <row r="78" spans="1:23" x14ac:dyDescent="0.25">
      <c r="A78">
        <v>67</v>
      </c>
      <c r="B78" s="58" t="n">
        <v>750.5766071128637</v>
      </c>
      <c r="C78" s="58" t="n">
        <v>0.0</v>
      </c>
      <c r="D78" s="58" t="n">
        <v>0.0</v>
      </c>
      <c r="E78" s="58">
        <f si="4" t="shared"/>
        <v>750.57660711286371</v>
      </c>
      <c r="F78" s="78">
        <f si="5" t="shared"/>
        <v>1.3401677906364139E-3</v>
      </c>
      <c r="G78">
        <v>67</v>
      </c>
      <c r="H78" s="68" t="n">
        <v>4053.0</v>
      </c>
      <c r="I78" s="68" t="n">
        <v>237.0</v>
      </c>
      <c r="J78" s="68" t="n">
        <v>81.0</v>
      </c>
      <c r="K78" s="58">
        <f si="6" t="shared"/>
        <v>4472</v>
      </c>
      <c r="L78" s="78">
        <f si="7" t="shared"/>
        <v>6.6369842683288811E-3</v>
      </c>
      <c r="W78" s="8"/>
    </row>
    <row r="79" spans="1:23" x14ac:dyDescent="0.25">
      <c r="A79">
        <v>68</v>
      </c>
      <c r="B79" s="58" t="n">
        <v>1099.1866832309765</v>
      </c>
      <c r="C79" s="58" t="n">
        <v>0.0</v>
      </c>
      <c r="D79" s="58" t="n">
        <v>0.0</v>
      </c>
      <c r="E79" s="58">
        <f si="4" t="shared"/>
        <v>1099.1866832309765</v>
      </c>
      <c r="F79" s="78">
        <f si="5" t="shared"/>
        <v>1.962617239603255E-3</v>
      </c>
      <c r="G79">
        <v>68</v>
      </c>
      <c r="H79" s="68" t="n">
        <v>4025.0</v>
      </c>
      <c r="I79" s="68" t="n">
        <v>255.0</v>
      </c>
      <c r="J79" s="68" t="n">
        <v>67.0</v>
      </c>
      <c r="K79" s="58">
        <f si="6" t="shared"/>
        <v>4258</v>
      </c>
      <c r="L79" s="78">
        <f si="7" t="shared"/>
        <v>6.3193826061145745E-3</v>
      </c>
      <c r="W79" s="8"/>
    </row>
    <row r="80" spans="1:23" x14ac:dyDescent="0.25">
      <c r="A80">
        <v>69</v>
      </c>
      <c r="B80" s="58" t="n">
        <v>891.7139092596288</v>
      </c>
      <c r="C80" s="58" t="n">
        <v>0.0</v>
      </c>
      <c r="D80" s="58" t="n">
        <v>0.0</v>
      </c>
      <c r="E80" s="58">
        <f si="4" t="shared"/>
        <v>891.71390925962885</v>
      </c>
      <c r="F80" s="78">
        <f si="5" t="shared"/>
        <v>1.5921709367536126E-3</v>
      </c>
      <c r="G80">
        <v>69</v>
      </c>
      <c r="H80" s="68" t="n">
        <v>4072.0</v>
      </c>
      <c r="I80" s="68" t="n">
        <v>214.0</v>
      </c>
      <c r="J80" s="68" t="n">
        <v>75.0</v>
      </c>
      <c r="K80" s="58">
        <f si="6" t="shared"/>
        <v>4338</v>
      </c>
      <c r="L80" s="78">
        <f si="7" t="shared"/>
        <v>6.4381121994657167E-3</v>
      </c>
      <c r="W80" s="8"/>
    </row>
    <row r="81" spans="1:23" x14ac:dyDescent="0.25">
      <c r="A81">
        <v>70</v>
      </c>
      <c r="B81" s="58" t="n">
        <v>1181.5204286431278</v>
      </c>
      <c r="C81" s="58" t="n">
        <v>74.2925044326287</v>
      </c>
      <c r="D81" s="58" t="n">
        <v>0.0</v>
      </c>
      <c r="E81" s="58">
        <f si="4" t="shared"/>
        <v>1255.8129330757565</v>
      </c>
      <c r="F81" s="78">
        <f si="5" t="shared"/>
        <v>2.2422761754413425E-3</v>
      </c>
      <c r="G81">
        <v>70</v>
      </c>
      <c r="H81" s="68" t="n">
        <v>3981.0</v>
      </c>
      <c r="I81" s="68" t="n">
        <v>239.0</v>
      </c>
      <c r="J81" s="68" t="n">
        <v>89.0</v>
      </c>
      <c r="K81" s="58">
        <f si="6" t="shared"/>
        <v>4258</v>
      </c>
      <c r="L81" s="78">
        <f si="7" t="shared"/>
        <v>6.3193826061145745E-3</v>
      </c>
      <c r="W81" s="8"/>
    </row>
    <row r="82" spans="1:23" x14ac:dyDescent="0.25">
      <c r="A82">
        <v>71</v>
      </c>
      <c r="B82" s="58" t="n">
        <v>911.6910557675697</v>
      </c>
      <c r="C82" s="58" t="n">
        <v>0.0</v>
      </c>
      <c r="D82" s="58" t="n">
        <v>0.0</v>
      </c>
      <c r="E82" s="58">
        <f si="4" t="shared"/>
        <v>911.69105576756965</v>
      </c>
      <c r="F82" s="78">
        <f si="5" t="shared"/>
        <v>1.6278404847318659E-3</v>
      </c>
      <c r="G82">
        <v>71</v>
      </c>
      <c r="H82" s="68" t="n">
        <v>3775.0</v>
      </c>
      <c r="I82" s="68" t="n">
        <v>203.0</v>
      </c>
      <c r="J82" s="68" t="n">
        <v>69.0</v>
      </c>
      <c r="K82" s="58">
        <f si="6" t="shared"/>
        <v>4121</v>
      </c>
      <c r="L82" s="78">
        <f si="7" t="shared"/>
        <v>6.1160581775007421E-3</v>
      </c>
      <c r="W82" s="8"/>
    </row>
    <row r="83" spans="1:23" x14ac:dyDescent="0.25">
      <c r="A83">
        <v>72</v>
      </c>
      <c r="B83" s="58" t="n">
        <v>1033.9630051231588</v>
      </c>
      <c r="C83" s="58" t="n">
        <v>150.631131704105</v>
      </c>
      <c r="D83" s="58" t="n">
        <v>0.0</v>
      </c>
      <c r="E83" s="58">
        <f si="4" t="shared"/>
        <v>1184.5941368272638</v>
      </c>
      <c r="F83" s="78">
        <f si="5" t="shared"/>
        <v>2.1151137566880287E-3</v>
      </c>
      <c r="G83">
        <v>72</v>
      </c>
      <c r="H83" s="68" t="n">
        <v>3654.0</v>
      </c>
      <c r="I83" s="68" t="n">
        <v>208.0</v>
      </c>
      <c r="J83" s="68" t="n">
        <v>55.0</v>
      </c>
      <c r="K83" s="58">
        <f si="6" t="shared"/>
        <v>3877</v>
      </c>
      <c r="L83" s="78">
        <f si="7" t="shared"/>
        <v>5.7539329177797565E-3</v>
      </c>
      <c r="W83" s="8"/>
    </row>
    <row r="84" spans="1:23" x14ac:dyDescent="0.25">
      <c r="A84">
        <v>73</v>
      </c>
      <c r="B84" s="58" t="n">
        <v>518.8090441432912</v>
      </c>
      <c r="C84" s="58" t="n">
        <v>170.93864992455082</v>
      </c>
      <c r="D84" s="58" t="n">
        <v>0.0</v>
      </c>
      <c r="E84" s="58">
        <f si="4" t="shared"/>
        <v>689.74769406784208</v>
      </c>
      <c r="F84" s="78">
        <f si="5" t="shared"/>
        <v>1.2315566918760406E-3</v>
      </c>
      <c r="G84">
        <v>73</v>
      </c>
      <c r="H84" s="68" t="n">
        <v>3698.0</v>
      </c>
      <c r="I84" s="68" t="n">
        <v>193.0</v>
      </c>
      <c r="J84" s="68" t="n">
        <v>64.0</v>
      </c>
      <c r="K84" s="58">
        <f si="6" t="shared"/>
        <v>3793</v>
      </c>
      <c r="L84" s="78">
        <f si="7" t="shared"/>
        <v>5.6292668447610571E-3</v>
      </c>
      <c r="W84" s="8"/>
    </row>
    <row r="85" spans="1:23" x14ac:dyDescent="0.25">
      <c r="A85">
        <v>74</v>
      </c>
      <c r="B85" s="58" t="n">
        <v>328.2166814365932</v>
      </c>
      <c r="C85" s="58" t="n">
        <v>0.0</v>
      </c>
      <c r="D85" s="58" t="n">
        <v>0.0</v>
      </c>
      <c r="E85" s="58">
        <f si="4" t="shared"/>
        <v>328.21668143659321</v>
      </c>
      <c r="F85" s="78">
        <f si="5" t="shared"/>
        <v>5.8603668252180487E-4</v>
      </c>
      <c r="G85">
        <v>74</v>
      </c>
      <c r="H85" s="68" t="n">
        <v>3454.0</v>
      </c>
      <c r="I85" s="68" t="n">
        <v>176.0</v>
      </c>
      <c r="J85" s="68" t="n">
        <v>63.0</v>
      </c>
      <c r="K85" s="58">
        <f si="6" t="shared"/>
        <v>3886</v>
      </c>
      <c r="L85" s="78">
        <f si="7" t="shared"/>
        <v>5.7672899970317602E-3</v>
      </c>
      <c r="W85" s="8"/>
    </row>
    <row r="86" spans="1:23" x14ac:dyDescent="0.25">
      <c r="A86">
        <v>75</v>
      </c>
      <c r="B86" s="58" t="n">
        <v>903.8665234974779</v>
      </c>
      <c r="C86" s="58" t="n">
        <v>28.5874540713672</v>
      </c>
      <c r="D86" s="58" t="n">
        <v>654.51513937104</v>
      </c>
      <c r="E86" s="58">
        <f si="4" t="shared"/>
        <v>1586.9691169398852</v>
      </c>
      <c r="F86" s="78">
        <f si="5" t="shared"/>
        <v>2.8335613914726499E-3</v>
      </c>
      <c r="G86">
        <v>75</v>
      </c>
      <c r="H86" s="68" t="n">
        <v>3467.0</v>
      </c>
      <c r="I86" s="68" t="n">
        <v>180.0</v>
      </c>
      <c r="J86" s="68" t="n">
        <v>60.0</v>
      </c>
      <c r="K86" s="58">
        <f si="6" t="shared"/>
        <v>3940</v>
      </c>
      <c r="L86" s="78">
        <f si="7" t="shared"/>
        <v>5.8474324725437815E-3</v>
      </c>
      <c r="W86" s="8"/>
    </row>
    <row r="87" spans="1:23" x14ac:dyDescent="0.25">
      <c r="A87">
        <v>76</v>
      </c>
      <c r="B87" s="58" t="n">
        <v>1492.2224518172516</v>
      </c>
      <c r="C87" s="58" t="n">
        <v>27.2746259405429</v>
      </c>
      <c r="D87" s="58" t="n">
        <v>0.0</v>
      </c>
      <c r="E87" s="58">
        <f si="4" t="shared"/>
        <v>1519.4970777577944</v>
      </c>
      <c r="F87" s="78">
        <f si="5" t="shared"/>
        <v>2.713088873646366E-3</v>
      </c>
      <c r="G87">
        <v>76</v>
      </c>
      <c r="H87" s="68" t="n">
        <v>3688.0</v>
      </c>
      <c r="I87" s="68" t="n">
        <v>185.0</v>
      </c>
      <c r="J87" s="68" t="n">
        <v>53.0</v>
      </c>
      <c r="K87" s="58">
        <f si="6" t="shared"/>
        <v>4010</v>
      </c>
      <c r="L87" s="78">
        <f si="7" t="shared"/>
        <v>5.9513208667260316E-3</v>
      </c>
      <c r="W87" s="8"/>
    </row>
    <row r="88" spans="1:23" x14ac:dyDescent="0.25">
      <c r="A88">
        <v>77</v>
      </c>
      <c r="B88" s="58" t="n">
        <v>721.5509044167621</v>
      </c>
      <c r="C88" s="58" t="n">
        <v>34.3455237132042</v>
      </c>
      <c r="D88" s="58" t="n">
        <v>0.0</v>
      </c>
      <c r="E88" s="58">
        <f si="4" t="shared"/>
        <v>755.89642812996635</v>
      </c>
      <c r="F88" s="78">
        <f si="5" t="shared"/>
        <v>1.3496664250349671E-3</v>
      </c>
      <c r="G88">
        <v>77</v>
      </c>
      <c r="H88" s="68" t="n">
        <v>3843.0</v>
      </c>
      <c r="I88" s="68" t="n">
        <v>183.0</v>
      </c>
      <c r="J88" s="68" t="n">
        <v>66.0</v>
      </c>
      <c r="K88" s="58">
        <f si="6" t="shared"/>
        <v>4149</v>
      </c>
      <c r="L88" s="78">
        <f si="7" t="shared"/>
        <v>6.1576135351736417E-3</v>
      </c>
      <c r="W88" s="8"/>
    </row>
    <row r="89" spans="1:23" x14ac:dyDescent="0.25">
      <c r="A89">
        <v>78</v>
      </c>
      <c r="B89" s="58" t="n">
        <v>1020.0200408079296</v>
      </c>
      <c r="C89" s="58" t="n">
        <v>0.0</v>
      </c>
      <c r="D89" s="58" t="n">
        <v>0.0</v>
      </c>
      <c r="E89" s="58">
        <f si="4" t="shared"/>
        <v>1020.0200408079296</v>
      </c>
      <c r="F89" s="78">
        <f si="5" t="shared"/>
        <v>1.8212638011097422E-3</v>
      </c>
      <c r="G89">
        <v>78</v>
      </c>
      <c r="H89" s="68" t="n">
        <v>3842.0</v>
      </c>
      <c r="I89" s="68" t="n">
        <v>188.0</v>
      </c>
      <c r="J89" s="68" t="n">
        <v>79.0</v>
      </c>
      <c r="K89" s="58">
        <f si="6" t="shared"/>
        <v>3880</v>
      </c>
      <c r="L89" s="78">
        <f si="7" t="shared"/>
        <v>5.7583852775304244E-3</v>
      </c>
      <c r="W89" s="8"/>
    </row>
    <row r="90" spans="1:23" x14ac:dyDescent="0.25">
      <c r="A90">
        <v>79</v>
      </c>
      <c r="B90" s="58" t="n">
        <v>647.1817976310136</v>
      </c>
      <c r="C90" s="58" t="n">
        <v>20.3685364609446</v>
      </c>
      <c r="D90" s="58" t="n">
        <v>0.0</v>
      </c>
      <c r="E90" s="58">
        <f si="4" t="shared"/>
        <v>667.55033409195823</v>
      </c>
      <c r="F90" s="78">
        <f si="5" t="shared"/>
        <v>1.1919229135315893E-3</v>
      </c>
      <c r="G90">
        <v>79</v>
      </c>
      <c r="H90" s="68" t="n">
        <v>3756.0</v>
      </c>
      <c r="I90" s="68" t="n">
        <v>189.0</v>
      </c>
      <c r="J90" s="68" t="n">
        <v>64.0</v>
      </c>
      <c r="K90" s="58">
        <f si="6" t="shared"/>
        <v>3951</v>
      </c>
      <c r="L90" s="78">
        <f si="7" t="shared"/>
        <v>5.8637577916295638E-3</v>
      </c>
      <c r="W90" s="8"/>
    </row>
    <row r="91" spans="1:23" x14ac:dyDescent="0.25">
      <c r="A91">
        <v>80</v>
      </c>
      <c r="B91" s="58" t="n">
        <v>397.641047846931</v>
      </c>
      <c r="C91" s="58" t="n">
        <v>0.0</v>
      </c>
      <c r="D91" s="58" t="n">
        <v>53.7405419735351</v>
      </c>
      <c r="E91" s="58">
        <f si="4" t="shared"/>
        <v>451.38158982046605</v>
      </c>
      <c r="F91" s="78">
        <f si="5" t="shared"/>
        <v>8.0594980210019185E-4</v>
      </c>
      <c r="G91">
        <v>80</v>
      </c>
      <c r="H91" s="68" t="n">
        <v>3514.0</v>
      </c>
      <c r="I91" s="68" t="n">
        <v>169.0</v>
      </c>
      <c r="J91" s="68" t="n">
        <v>52.0</v>
      </c>
      <c r="K91" s="58">
        <f si="6" t="shared"/>
        <v>3658</v>
      </c>
      <c r="L91" s="78">
        <f si="7" t="shared"/>
        <v>5.4289106559810034E-3</v>
      </c>
      <c r="W91" s="8"/>
    </row>
    <row r="92" spans="1:23" x14ac:dyDescent="0.25">
      <c r="A92">
        <v>81</v>
      </c>
      <c r="B92" s="58" t="n">
        <v>405.618496887132</v>
      </c>
      <c r="C92" s="58" t="n">
        <v>0.0</v>
      </c>
      <c r="D92" s="58" t="n">
        <v>0.0</v>
      </c>
      <c r="E92" s="58">
        <f si="4" t="shared"/>
        <v>405.61849688713198</v>
      </c>
      <c r="F92" s="78">
        <f si="5" t="shared"/>
        <v>7.2423899128093991E-4</v>
      </c>
      <c r="G92">
        <v>81</v>
      </c>
      <c r="H92" s="68" t="n">
        <v>3517.0</v>
      </c>
      <c r="I92" s="68" t="n">
        <v>171.0</v>
      </c>
      <c r="J92" s="68" t="n">
        <v>56.0</v>
      </c>
      <c r="K92" s="58">
        <f si="6" t="shared"/>
        <v>3776</v>
      </c>
      <c r="L92" s="78">
        <f si="7" t="shared"/>
        <v>5.604036806173939E-3</v>
      </c>
      <c r="W92" s="8"/>
    </row>
    <row r="93" spans="1:23" x14ac:dyDescent="0.25">
      <c r="A93">
        <v>82</v>
      </c>
      <c r="B93" s="58" t="n">
        <v>429.3341680897656</v>
      </c>
      <c r="C93" s="58" t="n">
        <v>0.0</v>
      </c>
      <c r="D93" s="58" t="n">
        <v>0.0</v>
      </c>
      <c r="E93" s="58">
        <f si="4" t="shared"/>
        <v>429.33416808976563</v>
      </c>
      <c r="F93" s="78">
        <f si="5" t="shared"/>
        <v>7.6658374114111499E-4</v>
      </c>
      <c r="G93">
        <v>82</v>
      </c>
      <c r="H93" s="68" t="n">
        <v>3339.0</v>
      </c>
      <c r="I93" s="68" t="n">
        <v>166.0</v>
      </c>
      <c r="J93" s="68" t="n">
        <v>72.0</v>
      </c>
      <c r="K93" s="58">
        <f si="6" t="shared"/>
        <v>3461</v>
      </c>
      <c r="L93" s="78">
        <f si="7" t="shared"/>
        <v>5.1365390323538139E-3</v>
      </c>
      <c r="W93" s="8"/>
    </row>
    <row r="94" spans="1:23" x14ac:dyDescent="0.25">
      <c r="A94">
        <v>83</v>
      </c>
      <c r="B94" s="58" t="n">
        <v>931.615716308792</v>
      </c>
      <c r="C94" s="58" t="n">
        <v>0.0</v>
      </c>
      <c r="D94" s="58" t="n">
        <v>0.0</v>
      </c>
      <c r="E94" s="58">
        <f si="4" t="shared"/>
        <v>931.615716308792</v>
      </c>
      <c r="F94" s="78">
        <f si="5" t="shared"/>
        <v>1.6634163180893999E-3</v>
      </c>
      <c r="G94">
        <v>83</v>
      </c>
      <c r="H94" s="68" t="n">
        <v>3246.0</v>
      </c>
      <c r="I94" s="68" t="n">
        <v>138.0</v>
      </c>
      <c r="J94" s="58" t="n">
        <v>60.0</v>
      </c>
      <c r="K94" s="58">
        <f si="6" t="shared"/>
        <v>3583</v>
      </c>
      <c r="L94" s="78">
        <f si="7" t="shared"/>
        <v>5.3176016622143068E-3</v>
      </c>
      <c r="W94" s="8"/>
    </row>
    <row ht="15.75" r="95" spans="1:23" thickBot="1" x14ac:dyDescent="0.3">
      <c r="A95">
        <v>84</v>
      </c>
      <c r="B95" s="58" t="n">
        <v>86.1971116034262</v>
      </c>
      <c r="C95" s="58" t="n">
        <v>0.0</v>
      </c>
      <c r="D95" s="58" t="n">
        <v>0.0</v>
      </c>
      <c r="E95" s="58">
        <f si="4" t="shared"/>
        <v>86.197111603426194</v>
      </c>
      <c r="F95" s="78">
        <f si="5" t="shared"/>
        <v>1.5390646540551405E-4</v>
      </c>
      <c r="G95">
        <v>84</v>
      </c>
      <c r="H95" s="68" t="n">
        <v>3203.0</v>
      </c>
      <c r="I95" s="68" t="n">
        <v>115.0</v>
      </c>
      <c r="J95" s="68" t="n">
        <v>56.0</v>
      </c>
      <c r="K95" s="58">
        <f si="6" t="shared"/>
        <v>3437</v>
      </c>
      <c r="L95" s="78">
        <f si="7" t="shared"/>
        <v>5.1009201543484716E-3</v>
      </c>
      <c r="W95" s="9"/>
    </row>
    <row r="96" spans="1:23" x14ac:dyDescent="0.25">
      <c r="A96">
        <v>85</v>
      </c>
      <c r="B96" s="58" t="n">
        <v>159.36916248129</v>
      </c>
      <c r="C96" s="58" t="n">
        <v>0.0</v>
      </c>
      <c r="D96" s="58" t="n">
        <v>0.0</v>
      </c>
      <c r="E96" s="58">
        <f si="4" t="shared"/>
        <v>159.36916248129</v>
      </c>
      <c r="F96" s="78">
        <f si="5" t="shared"/>
        <v>2.8455645480303382E-4</v>
      </c>
      <c r="G96">
        <v>85</v>
      </c>
      <c r="H96" s="68" t="n">
        <v>3050.0</v>
      </c>
      <c r="I96" s="68" t="n">
        <v>134.0</v>
      </c>
      <c r="J96" s="58" t="n">
        <v>38.0</v>
      </c>
      <c r="K96" s="58">
        <f si="6" t="shared"/>
        <v>3258</v>
      </c>
      <c r="L96" s="78">
        <f si="7" t="shared"/>
        <v>4.8352626892252896E-3</v>
      </c>
    </row>
    <row r="97" spans="1:12" x14ac:dyDescent="0.25">
      <c r="A97">
        <v>86</v>
      </c>
      <c r="B97" s="58" t="n">
        <v>797.559553379474</v>
      </c>
      <c r="C97" s="58" t="n">
        <v>41.8458826914718</v>
      </c>
      <c r="D97" s="58" t="n">
        <v>0.0</v>
      </c>
      <c r="E97" s="58">
        <f si="4" t="shared"/>
        <v>839.40543607094583</v>
      </c>
      <c r="F97" s="78">
        <f si="5" t="shared"/>
        <v>1.4987732338669034E-3</v>
      </c>
      <c r="G97">
        <v>86</v>
      </c>
      <c r="H97" s="68" t="n">
        <v>2757.0</v>
      </c>
      <c r="I97" s="68" t="n">
        <v>117.0</v>
      </c>
      <c r="J97" s="68" t="n">
        <v>54.0</v>
      </c>
      <c r="K97" s="58">
        <f si="6" t="shared"/>
        <v>2635</v>
      </c>
      <c r="L97" s="78">
        <f si="7" t="shared"/>
        <v>3.9106559810032655E-3</v>
      </c>
    </row>
    <row r="98" spans="1:12" x14ac:dyDescent="0.25">
      <c r="A98">
        <v>87</v>
      </c>
      <c r="B98" s="58" t="n">
        <v>499.9979738417043</v>
      </c>
      <c r="C98" s="58" t="n">
        <v>0.0</v>
      </c>
      <c r="D98" s="58" t="n">
        <v>0.0</v>
      </c>
      <c r="E98" s="58">
        <f si="4" t="shared"/>
        <v>499.99797384170432</v>
      </c>
      <c r="F98" s="78">
        <f si="5" t="shared"/>
        <v>8.927552145591458E-4</v>
      </c>
      <c r="G98">
        <v>87</v>
      </c>
      <c r="H98" s="68" t="n">
        <v>2389.0</v>
      </c>
      <c r="I98" s="68" t="n">
        <v>138.0</v>
      </c>
      <c r="J98" s="68" t="n">
        <v>33.0</v>
      </c>
      <c r="K98" s="58">
        <f si="6" t="shared"/>
        <v>2513</v>
      </c>
      <c r="L98" s="78">
        <f si="7" t="shared"/>
        <v>3.7295933511427722E-3</v>
      </c>
    </row>
    <row r="99" spans="1:12" x14ac:dyDescent="0.25">
      <c r="A99">
        <v>88</v>
      </c>
      <c r="B99" s="58" t="n">
        <v>281.115698639561</v>
      </c>
      <c r="C99" s="58" t="n">
        <v>0.0</v>
      </c>
      <c r="D99" s="58" t="n">
        <v>0.0</v>
      </c>
      <c r="E99" s="58">
        <f si="4" t="shared"/>
        <v>281.115698639561</v>
      </c>
      <c r="F99" s="78">
        <f si="5" t="shared"/>
        <v>5.0193704571762905E-4</v>
      </c>
      <c r="G99">
        <v>88</v>
      </c>
      <c r="H99" s="68" t="n">
        <v>2356.0</v>
      </c>
      <c r="I99" s="68" t="n">
        <v>130.0</v>
      </c>
      <c r="J99" s="68" t="n">
        <v>36.0</v>
      </c>
      <c r="K99" s="58">
        <f si="6" t="shared"/>
        <v>2474</v>
      </c>
      <c r="L99" s="78">
        <f si="7" t="shared"/>
        <v>3.6717126743840904E-3</v>
      </c>
    </row>
    <row r="100" spans="1:12" x14ac:dyDescent="0.25">
      <c r="A100">
        <v>89</v>
      </c>
      <c r="B100" s="58" t="n">
        <v>1098.8790693432697</v>
      </c>
      <c r="C100" s="58" t="n">
        <v>0.0</v>
      </c>
      <c r="D100" s="58" t="n">
        <v>0.0</v>
      </c>
      <c r="E100" s="58">
        <f si="4" t="shared"/>
        <v>1098.8790693432697</v>
      </c>
      <c r="F100" s="78">
        <f si="5" t="shared"/>
        <v>1.9620679895728781E-3</v>
      </c>
      <c r="G100">
        <v>89</v>
      </c>
      <c r="H100" s="68" t="n">
        <v>47659.0</v>
      </c>
      <c r="I100" s="68" t="n">
        <v>2152.0</v>
      </c>
      <c r="J100" s="58" t="n">
        <v>660.0</v>
      </c>
      <c r="K100" s="58">
        <f si="6" t="shared"/>
        <v>49495</v>
      </c>
      <c r="L100" s="78">
        <f si="7" t="shared"/>
        <v>7.345651528643514E-2</v>
      </c>
    </row>
    <row ht="15.75" r="101" spans="1:12" thickBot="1" x14ac:dyDescent="0.3">
      <c r="A101" s="1">
        <v>90</v>
      </c>
      <c r="B101" s="59">
        <v>0</v>
      </c>
      <c r="C101" s="59">
        <v>0</v>
      </c>
      <c r="D101" s="59">
        <v>0</v>
      </c>
      <c r="E101" s="59">
        <f si="4" t="shared"/>
        <v>0</v>
      </c>
      <c r="F101" s="78">
        <f si="5" t="shared"/>
        <v>0</v>
      </c>
      <c r="G101" s="1">
        <v>90</v>
      </c>
      <c r="H101" s="59">
        <v>0</v>
      </c>
      <c r="I101" s="59">
        <v>0</v>
      </c>
      <c r="J101" s="59">
        <v>0</v>
      </c>
      <c r="K101" s="59">
        <f si="6" t="shared"/>
        <v>0</v>
      </c>
      <c r="L101" s="78">
        <f si="7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L39"/>
  <sheetViews>
    <sheetView topLeftCell="A8" workbookViewId="0">
      <selection activeCell="H21" sqref="H21"/>
    </sheetView>
  </sheetViews>
  <sheetFormatPr defaultRowHeight="15" x14ac:dyDescent="0.25"/>
  <cols>
    <col min="1" max="1" customWidth="true" width="12.14062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customWidth="true" width="10.85546875" collapsed="true"/>
    <col min="13" max="13" customWidth="true" width="10.85546875" collapsed="true"/>
    <col min="17" max="17" bestFit="true" customWidth="true" width="9.5703125" collapsed="true"/>
  </cols>
  <sheetData>
    <row r="1" spans="1:11" x14ac:dyDescent="0.25">
      <c r="A1" t="s">
        <v>23</v>
      </c>
    </row>
    <row r="2" spans="1:11" x14ac:dyDescent="0.25">
      <c r="A2" t="s">
        <v>250</v>
      </c>
    </row>
    <row r="3" spans="1:11" x14ac:dyDescent="0.25">
      <c r="A3" t="s">
        <v>251</v>
      </c>
    </row>
    <row r="4" spans="1:11" x14ac:dyDescent="0.25">
      <c r="A4" t="s">
        <v>6</v>
      </c>
    </row>
    <row r="5" spans="1:11" x14ac:dyDescent="0.25">
      <c r="A5" t="s">
        <v>7</v>
      </c>
    </row>
    <row r="7" spans="1:11" x14ac:dyDescent="0.25">
      <c r="A7" t="s">
        <v>11</v>
      </c>
    </row>
    <row ht="15.75" r="9" spans="1:11" thickBot="1" x14ac:dyDescent="0.3">
      <c r="A9" s="4" t="s">
        <v>204</v>
      </c>
      <c r="B9" s="1"/>
      <c r="C9" s="1"/>
      <c r="D9" s="1"/>
      <c r="E9" s="1"/>
      <c r="G9" s="4" t="s">
        <v>13</v>
      </c>
      <c r="H9" s="1"/>
      <c r="I9" s="1"/>
      <c r="J9" s="1"/>
      <c r="K9" s="1"/>
    </row>
    <row r="10" spans="1:11" x14ac:dyDescent="0.25">
      <c r="A10" s="2" t="s">
        <v>21</v>
      </c>
      <c r="B10" s="5" t="s">
        <v>8</v>
      </c>
      <c r="C10" s="5" t="s">
        <v>9</v>
      </c>
      <c r="D10" s="5" t="s">
        <v>10</v>
      </c>
      <c r="E10" s="5" t="s">
        <v>3</v>
      </c>
      <c r="G10" s="2" t="s">
        <v>21</v>
      </c>
      <c r="H10" s="5" t="s">
        <v>8</v>
      </c>
      <c r="I10" s="5" t="s">
        <v>9</v>
      </c>
      <c r="J10" s="5" t="s">
        <v>10</v>
      </c>
      <c r="K10" s="5" t="s">
        <v>3</v>
      </c>
    </row>
    <row r="11" spans="1:11" x14ac:dyDescent="0.25">
      <c r="A11" t="s">
        <v>24</v>
      </c>
      <c r="B11" s="58">
        <f>SUM(TDFD!B11:B15)</f>
        <v>9797.3234894566049</v>
      </c>
      <c r="C11" s="58">
        <f>SUM(TDFD!C11:C15)</f>
        <v>2749.1116738073315</v>
      </c>
      <c r="D11" s="58">
        <f>SUM(TDFD!D11:D15)</f>
        <v>604.92042649540304</v>
      </c>
      <c r="E11" s="58">
        <f>SUM(TDFD!E11:E15)</f>
        <v>13151.35558975934</v>
      </c>
      <c r="G11" t="s">
        <v>24</v>
      </c>
      <c r="H11" s="11">
        <f>SUM(TDFD!H11:H15)</f>
        <v>10656</v>
      </c>
      <c r="I11" s="11">
        <f>SUM(TDFD!I11:I15)</f>
        <v>2004</v>
      </c>
      <c r="J11" s="11">
        <f>SUM(TDFD!J11:J15)</f>
        <v>951</v>
      </c>
      <c r="K11" s="11">
        <f>SUM(TDFD!K11:K15)</f>
        <v>13611</v>
      </c>
    </row>
    <row r="12" spans="1:11" x14ac:dyDescent="0.25">
      <c r="A12" t="s">
        <v>25</v>
      </c>
      <c r="B12" s="58">
        <f>SUM(TDFD!B16:B20)</f>
        <v>53906.743332200902</v>
      </c>
      <c r="C12" s="58">
        <f>SUM(TDFD!C16:C20)</f>
        <v>11445.183272064047</v>
      </c>
      <c r="D12" s="58">
        <f>SUM(TDFD!D16:D20)</f>
        <v>6620.2084575643676</v>
      </c>
      <c r="E12" s="58">
        <f>SUM(TDFD!E16:E20)</f>
        <v>71972.135061829307</v>
      </c>
      <c r="G12" t="s">
        <v>25</v>
      </c>
      <c r="H12" s="11">
        <f>SUM(TDFD!H16:H20)</f>
        <v>44553</v>
      </c>
      <c r="I12" s="11">
        <f>SUM(TDFD!I16:I20)</f>
        <v>9741</v>
      </c>
      <c r="J12" s="11">
        <f>SUM(TDFD!J16:J20)</f>
        <v>4944</v>
      </c>
      <c r="K12" s="11">
        <f>SUM(TDFD!K16:K20)</f>
        <v>59238</v>
      </c>
    </row>
    <row r="13" spans="1:11" x14ac:dyDescent="0.25">
      <c r="A13" t="s">
        <v>26</v>
      </c>
      <c r="B13" s="58">
        <f>SUM(TDFD!B21:B25)</f>
        <v>63191.227122506236</v>
      </c>
      <c r="C13" s="58">
        <f>SUM(TDFD!C21:C25)</f>
        <v>9781.1525030945086</v>
      </c>
      <c r="D13" s="58">
        <f>SUM(TDFD!D21:D25)</f>
        <v>8763.7657178462377</v>
      </c>
      <c r="E13" s="58">
        <f>SUM(TDFD!E21:E25)</f>
        <v>81736.145343446988</v>
      </c>
      <c r="G13" t="s">
        <v>26</v>
      </c>
      <c r="H13" s="11">
        <f>SUM(TDFD!H21:H25)</f>
        <v>45619</v>
      </c>
      <c r="I13" s="11">
        <f>SUM(TDFD!I21:I25)</f>
        <v>10068</v>
      </c>
      <c r="J13" s="11">
        <f>SUM(TDFD!J21:J25)</f>
        <v>5166</v>
      </c>
      <c r="K13" s="11">
        <f>SUM(TDFD!K21:K25)</f>
        <v>60853</v>
      </c>
    </row>
    <row r="14" spans="1:11" x14ac:dyDescent="0.25">
      <c r="A14" t="s">
        <v>27</v>
      </c>
      <c r="B14" s="58">
        <f>SUM(TDFD!B26:B30)</f>
        <v>69840.343303300964</v>
      </c>
      <c r="C14" s="58">
        <f>SUM(TDFD!C26:C30)</f>
        <v>8812.4642128745709</v>
      </c>
      <c r="D14" s="58">
        <f>SUM(TDFD!D26:D30)</f>
        <v>4005.1157855866409</v>
      </c>
      <c r="E14" s="58">
        <f>SUM(TDFD!E26:E30)</f>
        <v>82657.923301762159</v>
      </c>
      <c r="G14" t="s">
        <v>27</v>
      </c>
      <c r="H14" s="11">
        <f>SUM(TDFD!H26:H30)</f>
        <v>45497</v>
      </c>
      <c r="I14" s="11">
        <f>SUM(TDFD!I26:I30)</f>
        <v>8249</v>
      </c>
      <c r="J14" s="11">
        <f>SUM(TDFD!J26:J30)</f>
        <v>3194</v>
      </c>
      <c r="K14" s="11">
        <f>SUM(TDFD!K26:K30)</f>
        <v>56940</v>
      </c>
    </row>
    <row r="15" spans="1:11" x14ac:dyDescent="0.25">
      <c r="A15" t="s">
        <v>28</v>
      </c>
      <c r="B15" s="58">
        <f>SUM(TDFD!B31:B35)</f>
        <v>56811.686237745336</v>
      </c>
      <c r="C15" s="58">
        <f>SUM(TDFD!C31:C35)</f>
        <v>5620.983378331488</v>
      </c>
      <c r="D15" s="58">
        <f>SUM(TDFD!D31:D35)</f>
        <v>2936.3752786122268</v>
      </c>
      <c r="E15" s="58">
        <f>SUM(TDFD!E31:E35)</f>
        <v>65369.044894689046</v>
      </c>
      <c r="G15" t="s">
        <v>28</v>
      </c>
      <c r="H15" s="11">
        <f>SUM(TDFD!H31:H35)</f>
        <v>45112</v>
      </c>
      <c r="I15" s="11">
        <f>SUM(TDFD!I31:I35)</f>
        <v>6556</v>
      </c>
      <c r="J15" s="11">
        <f>SUM(TDFD!J31:J35)</f>
        <v>2180</v>
      </c>
      <c r="K15" s="11">
        <f>SUM(TDFD!K31:K35)</f>
        <v>53848</v>
      </c>
    </row>
    <row r="16" spans="1:11" x14ac:dyDescent="0.25">
      <c r="A16" t="s">
        <v>29</v>
      </c>
      <c r="B16" s="58">
        <f>SUM(TDFD!B36:B40)</f>
        <v>50402.172830847478</v>
      </c>
      <c r="C16" s="58">
        <f>SUM(TDFD!C36:C40)</f>
        <v>3565.5956094118465</v>
      </c>
      <c r="D16" s="58">
        <f>SUM(TDFD!D36:D40)</f>
        <v>2693.7050148297108</v>
      </c>
      <c r="E16" s="58">
        <f>SUM(TDFD!E36:E40)</f>
        <v>56661.473455089028</v>
      </c>
      <c r="G16" t="s">
        <v>29</v>
      </c>
      <c r="H16" s="11">
        <f>SUM(TDFD!H36:H40)</f>
        <v>43000</v>
      </c>
      <c r="I16" s="11">
        <f>SUM(TDFD!I36:I40)</f>
        <v>5257</v>
      </c>
      <c r="J16" s="11">
        <f>SUM(TDFD!J36:J40)</f>
        <v>1710</v>
      </c>
      <c r="K16" s="11">
        <f>SUM(TDFD!K36:K40)</f>
        <v>49967</v>
      </c>
    </row>
    <row r="17" spans="1:11" x14ac:dyDescent="0.25">
      <c r="A17" t="s">
        <v>30</v>
      </c>
      <c r="B17" s="58">
        <f>SUM(TDFD!B41:B45)</f>
        <v>41907.976603263131</v>
      </c>
      <c r="C17" s="58">
        <f>SUM(TDFD!C41:C45)</f>
        <v>4334.5937305273819</v>
      </c>
      <c r="D17" s="58">
        <f>SUM(TDFD!D41:D45)</f>
        <v>888.1511142132631</v>
      </c>
      <c r="E17" s="58">
        <f>SUM(TDFD!E41:E45)</f>
        <v>47130.721448003773</v>
      </c>
      <c r="G17" t="s">
        <v>30</v>
      </c>
      <c r="H17" s="11">
        <f>SUM(TDFD!H41:H45)</f>
        <v>39924</v>
      </c>
      <c r="I17" s="11">
        <f>SUM(TDFD!I41:I45)</f>
        <v>4243</v>
      </c>
      <c r="J17" s="11">
        <f>SUM(TDFD!J41:J45)</f>
        <v>1360</v>
      </c>
      <c r="K17" s="11">
        <f>SUM(TDFD!K41:K45)</f>
        <v>45527</v>
      </c>
    </row>
    <row r="18" spans="1:11" x14ac:dyDescent="0.25">
      <c r="A18" t="s">
        <v>31</v>
      </c>
      <c r="B18" s="58">
        <f>SUM(TDFD!B46:B50)</f>
        <v>30695.579755786785</v>
      </c>
      <c r="C18" s="58">
        <f>SUM(TDFD!C46:C50)</f>
        <v>2693.4674974787699</v>
      </c>
      <c r="D18" s="58">
        <f>SUM(TDFD!D46:D50)</f>
        <v>442.06110948345997</v>
      </c>
      <c r="E18" s="58">
        <f>SUM(TDFD!E46:E50)</f>
        <v>33831.108362749015</v>
      </c>
      <c r="G18" t="s">
        <v>31</v>
      </c>
      <c r="H18" s="11">
        <f>SUM(TDFD!H46:H50)</f>
        <v>34609</v>
      </c>
      <c r="I18" s="11">
        <f>SUM(TDFD!I46:I50)</f>
        <v>3316</v>
      </c>
      <c r="J18" s="11">
        <f>SUM(TDFD!J46:J50)</f>
        <v>1070</v>
      </c>
      <c r="K18" s="11">
        <f>SUM(TDFD!K46:K50)</f>
        <v>38995</v>
      </c>
    </row>
    <row r="19" spans="1:11" x14ac:dyDescent="0.25">
      <c r="A19" t="s">
        <v>32</v>
      </c>
      <c r="B19" s="58">
        <f>SUM(TDFD!B51:B55)</f>
        <v>29987.703465293442</v>
      </c>
      <c r="C19" s="58">
        <f>SUM(TDFD!C51:C55)</f>
        <v>2110.2005260382521</v>
      </c>
      <c r="D19" s="58">
        <f>SUM(TDFD!D51:D55)</f>
        <v>655.85202429537526</v>
      </c>
      <c r="E19" s="58">
        <f>SUM(TDFD!E51:E55)</f>
        <v>32753.75601562707</v>
      </c>
      <c r="G19" t="s">
        <v>32</v>
      </c>
      <c r="H19" s="11">
        <f>SUM(TDFD!H51:H55)</f>
        <v>31333</v>
      </c>
      <c r="I19" s="11">
        <f>SUM(TDFD!I51:I55)</f>
        <v>2864</v>
      </c>
      <c r="J19" s="11">
        <f>SUM(TDFD!J51:J55)</f>
        <v>828</v>
      </c>
      <c r="K19" s="11">
        <f>SUM(TDFD!K51:K55)</f>
        <v>35025</v>
      </c>
    </row>
    <row r="20" spans="1:11" x14ac:dyDescent="0.25">
      <c r="A20" t="s">
        <v>33</v>
      </c>
      <c r="B20" s="58">
        <f>SUM(TDFD!B56:B70)</f>
        <v>42872.179085685959</v>
      </c>
      <c r="C20" s="58">
        <f>SUM(TDFD!C56:C70)</f>
        <v>2865.9701596570294</v>
      </c>
      <c r="D20" s="58">
        <f>SUM(TDFD!D56:D70)</f>
        <v>726.55427963856243</v>
      </c>
      <c r="E20" s="58">
        <f>SUM(TDFD!E56:E70)</f>
        <v>46464.703524981538</v>
      </c>
      <c r="G20" t="s">
        <v>33</v>
      </c>
      <c r="H20" s="11">
        <f>SUM(TDFD!H56:H70)</f>
        <v>85869</v>
      </c>
      <c r="I20" s="11">
        <f>SUM(TDFD!I56:I70)</f>
        <v>6401</v>
      </c>
      <c r="J20" s="11">
        <f>SUM(TDFD!J56:J70)</f>
        <v>1998</v>
      </c>
      <c r="K20" s="11">
        <f>SUM(TDFD!K56:K70)</f>
        <v>94268</v>
      </c>
    </row>
    <row r="21" spans="1:11" x14ac:dyDescent="0.25">
      <c r="A21" t="s">
        <v>34</v>
      </c>
      <c r="B21" s="58">
        <f>SUM(TDFD!B71:B100)</f>
        <v>26475.895767307964</v>
      </c>
      <c r="C21" s="58">
        <f>SUM(TDFD!C71:C100)</f>
        <v>1106.650940634868</v>
      </c>
      <c r="D21" s="58">
        <f>SUM(TDFD!D71:D100)</f>
        <v>750.75346523737107</v>
      </c>
      <c r="E21" s="58">
        <f>SUM(TDFD!E71:E100)</f>
        <v>28333.300173180207</v>
      </c>
      <c r="G21" t="s">
        <v>34</v>
      </c>
      <c r="H21" s="11">
        <f>SUM(TDFD!H71:H100)</f>
        <v>155189</v>
      </c>
      <c r="I21" s="11">
        <f>SUM(TDFD!I71:I100)</f>
        <v>7759</v>
      </c>
      <c r="J21" s="11">
        <f>SUM(TDFD!J71:J100)</f>
        <v>2580</v>
      </c>
      <c r="K21" s="11">
        <f>SUM(TDFD!K71:K100)</f>
        <v>165528</v>
      </c>
    </row>
    <row ht="15.75" r="22" spans="1:11" thickBot="1" x14ac:dyDescent="0.3">
      <c r="A22" s="6" t="s">
        <v>35</v>
      </c>
      <c r="B22" s="60">
        <f>TDFD!B101</f>
        <v>0</v>
      </c>
      <c r="C22" s="60">
        <f>TDFD!C101</f>
        <v>0</v>
      </c>
      <c r="D22" s="60">
        <f>TDFD!D101</f>
        <v>0</v>
      </c>
      <c r="E22" s="60">
        <f>TDFD!E101</f>
        <v>0</v>
      </c>
      <c r="G22" s="1" t="s">
        <v>35</v>
      </c>
      <c r="H22" s="12">
        <f>TDFD!H101</f>
        <v>0</v>
      </c>
      <c r="I22" s="12">
        <f>TDFD!I101</f>
        <v>0</v>
      </c>
      <c r="J22" s="12">
        <f>TDFD!J101</f>
        <v>0</v>
      </c>
      <c r="K22" s="12">
        <f>TDFD!K101</f>
        <v>0</v>
      </c>
    </row>
    <row r="23" spans="1:11" x14ac:dyDescent="0.25">
      <c r="A23" s="53" t="s">
        <v>218</v>
      </c>
      <c r="B23" s="143">
        <f>SUM(B11:B22)</f>
        <v>475888.83099339483</v>
      </c>
      <c r="C23" s="143">
        <f ref="C23:E23" si="0" t="shared">SUM(C11:C22)</f>
        <v>55085.373503920098</v>
      </c>
      <c r="D23" s="143">
        <f si="0" t="shared"/>
        <v>29087.46267380262</v>
      </c>
      <c r="E23" s="143">
        <f si="0" t="shared"/>
        <v>560061.66717111738</v>
      </c>
      <c r="G23" s="53" t="s">
        <v>218</v>
      </c>
      <c r="H23" s="143">
        <f>SUM(H11:H22)</f>
        <v>581361</v>
      </c>
      <c r="I23" s="143">
        <f ref="I23" si="1" t="shared">SUM(I11:I22)</f>
        <v>66458</v>
      </c>
      <c r="J23" s="143">
        <f ref="J23" si="2" t="shared">SUM(J11:J22)</f>
        <v>25981</v>
      </c>
      <c r="K23" s="143">
        <f ref="K23" si="3" t="shared">SUM(K11:K22)</f>
        <v>673800</v>
      </c>
    </row>
    <row ht="15.75" r="25" spans="1:11" thickBot="1" x14ac:dyDescent="0.3">
      <c r="A25" s="4" t="s">
        <v>204</v>
      </c>
      <c r="B25" s="1"/>
      <c r="C25" s="1"/>
      <c r="D25" s="1"/>
      <c r="E25" s="1"/>
      <c r="F25" s="95"/>
      <c r="G25" s="4" t="s">
        <v>13</v>
      </c>
      <c r="H25" s="1"/>
      <c r="I25" s="1"/>
      <c r="J25" s="1"/>
      <c r="K25" s="1"/>
    </row>
    <row r="26" spans="1:11" x14ac:dyDescent="0.25">
      <c r="A26" s="2" t="s">
        <v>21</v>
      </c>
      <c r="B26" s="5" t="s">
        <v>8</v>
      </c>
      <c r="C26" s="5" t="s">
        <v>9</v>
      </c>
      <c r="D26" s="5" t="s">
        <v>10</v>
      </c>
      <c r="E26" s="5" t="s">
        <v>3</v>
      </c>
      <c r="F26" s="95"/>
      <c r="G26" s="2" t="s">
        <v>21</v>
      </c>
      <c r="H26" s="5" t="s">
        <v>8</v>
      </c>
      <c r="I26" s="5" t="s">
        <v>9</v>
      </c>
      <c r="J26" s="5" t="s">
        <v>10</v>
      </c>
      <c r="K26" s="5" t="s">
        <v>3</v>
      </c>
    </row>
    <row r="27" spans="1:11" x14ac:dyDescent="0.25">
      <c r="A27" s="95" t="s">
        <v>24</v>
      </c>
      <c r="B27" s="78">
        <f>B11/B$23</f>
        <v>2.0587420530557878E-2</v>
      </c>
      <c r="C27" s="78">
        <f ref="C27:E27" si="4" t="shared">C11/C$23</f>
        <v>4.9906381657041747E-2</v>
      </c>
      <c r="D27" s="78">
        <f si="4" t="shared"/>
        <v>2.079660344661893E-2</v>
      </c>
      <c r="E27" s="78">
        <f si="4" t="shared"/>
        <v>2.3481977718966374E-2</v>
      </c>
      <c r="F27" s="95"/>
      <c r="G27" s="95" t="s">
        <v>24</v>
      </c>
      <c r="H27" s="78">
        <f>H11/H$23</f>
        <v>1.83294029011234E-2</v>
      </c>
      <c r="I27" s="78">
        <f ref="I27:K27" si="5" t="shared">I11/I$23</f>
        <v>3.0154383219476964E-2</v>
      </c>
      <c r="J27" s="78">
        <f si="5" t="shared"/>
        <v>3.6603671914091064E-2</v>
      </c>
      <c r="K27" s="78">
        <f si="5" t="shared"/>
        <v>2.0200356188780053E-2</v>
      </c>
    </row>
    <row r="28" spans="1:11" x14ac:dyDescent="0.25">
      <c r="A28" s="95" t="s">
        <v>25</v>
      </c>
      <c r="B28" s="78">
        <f ref="B28:E38" si="6" t="shared">B12/B$23</f>
        <v>0.11327591618335146</v>
      </c>
      <c r="C28" s="78">
        <f si="6" t="shared"/>
        <v>0.20777172857418424</v>
      </c>
      <c r="D28" s="78">
        <f si="6" t="shared"/>
        <v>0.22759662923527541</v>
      </c>
      <c r="E28" s="78">
        <f si="6" t="shared"/>
        <v>0.12850751851195599</v>
      </c>
      <c r="F28" s="95"/>
      <c r="G28" s="95" t="s">
        <v>25</v>
      </c>
      <c r="H28" s="78">
        <f ref="H28:K28" si="7" t="shared">H12/H$23</f>
        <v>7.6635687636425559E-2</v>
      </c>
      <c r="I28" s="78">
        <f si="7" t="shared"/>
        <v>0.1465737759186253</v>
      </c>
      <c r="J28" s="78">
        <f si="7" t="shared"/>
        <v>0.19029290635464377</v>
      </c>
      <c r="K28" s="78">
        <f si="7" t="shared"/>
        <v>8.7916295636687444E-2</v>
      </c>
    </row>
    <row r="29" spans="1:11" x14ac:dyDescent="0.25">
      <c r="A29" s="95" t="s">
        <v>26</v>
      </c>
      <c r="B29" s="78">
        <f si="6" t="shared"/>
        <v>0.13278569070553226</v>
      </c>
      <c r="C29" s="78">
        <f si="6" t="shared"/>
        <v>0.17756351424935771</v>
      </c>
      <c r="D29" s="78">
        <f si="6" t="shared"/>
        <v>0.301290140571087</v>
      </c>
      <c r="E29" s="78">
        <f si="6" t="shared"/>
        <v>0.14594133134713161</v>
      </c>
      <c r="F29" s="95"/>
      <c r="G29" s="95" t="s">
        <v>26</v>
      </c>
      <c r="H29" s="78">
        <f ref="H29:K29" si="8" t="shared">H13/H$23</f>
        <v>7.8469315967187342E-2</v>
      </c>
      <c r="I29" s="78">
        <f si="8" t="shared"/>
        <v>0.15149417677330043</v>
      </c>
      <c r="J29" s="78">
        <f si="8" t="shared"/>
        <v>0.19883761210115083</v>
      </c>
      <c r="K29" s="78">
        <f si="8" t="shared"/>
        <v>9.0313149302463633E-2</v>
      </c>
    </row>
    <row r="30" spans="1:11" x14ac:dyDescent="0.25">
      <c r="A30" s="95" t="s">
        <v>27</v>
      </c>
      <c r="B30" s="78">
        <f si="6" t="shared"/>
        <v>0.1467576853138424</v>
      </c>
      <c r="C30" s="78">
        <f si="6" t="shared"/>
        <v>0.1599782964573607</v>
      </c>
      <c r="D30" s="78">
        <f si="6" t="shared"/>
        <v>0.13769216760160435</v>
      </c>
      <c r="E30" s="78">
        <f si="6" t="shared"/>
        <v>0.14758718217454334</v>
      </c>
      <c r="F30" s="95"/>
      <c r="G30" s="95" t="s">
        <v>27</v>
      </c>
      <c r="H30" s="78">
        <f ref="H30:K30" si="9" t="shared">H14/H$23</f>
        <v>7.8259463569107665E-2</v>
      </c>
      <c r="I30" s="78">
        <f si="9" t="shared"/>
        <v>0.12412350657558158</v>
      </c>
      <c r="J30" s="78">
        <f si="9" t="shared"/>
        <v>0.12293599168623225</v>
      </c>
      <c r="K30" s="78">
        <f si="9" t="shared"/>
        <v>8.4505788067675863E-2</v>
      </c>
    </row>
    <row r="31" spans="1:11" x14ac:dyDescent="0.25">
      <c r="A31" s="95" t="s">
        <v>28</v>
      </c>
      <c r="B31" s="78">
        <f si="6" t="shared"/>
        <v>0.11938016305016803</v>
      </c>
      <c r="C31" s="78">
        <f si="6" t="shared"/>
        <v>0.1020413046292856</v>
      </c>
      <c r="D31" s="78">
        <f si="6" t="shared"/>
        <v>0.10094985979154684</v>
      </c>
      <c r="E31" s="78">
        <f si="6" t="shared"/>
        <v>0.1167175843775729</v>
      </c>
      <c r="F31" s="95"/>
      <c r="G31" s="95" t="s">
        <v>28</v>
      </c>
      <c r="H31" s="78">
        <f ref="H31:K31" si="10" t="shared">H15/H$23</f>
        <v>7.7597224444020146E-2</v>
      </c>
      <c r="I31" s="78">
        <f si="10" t="shared"/>
        <v>9.8648770652141199E-2</v>
      </c>
      <c r="J31" s="78">
        <f si="10" t="shared"/>
        <v>8.3907470844078361E-2</v>
      </c>
      <c r="K31" s="78">
        <f si="10" t="shared"/>
        <v>7.9916889284654194E-2</v>
      </c>
    </row>
    <row r="32" spans="1:11" x14ac:dyDescent="0.25">
      <c r="A32" s="95" t="s">
        <v>29</v>
      </c>
      <c r="B32" s="78">
        <f si="6" t="shared"/>
        <v>0.10591165320193666</v>
      </c>
      <c r="C32" s="78">
        <f si="6" t="shared"/>
        <v>6.472853649904188E-2</v>
      </c>
      <c r="D32" s="78">
        <f si="6" t="shared"/>
        <v>9.2607081100125443E-2</v>
      </c>
      <c r="E32" s="78">
        <f si="6" t="shared"/>
        <v>0.10117006175639061</v>
      </c>
      <c r="F32" s="95"/>
      <c r="G32" s="95" t="s">
        <v>29</v>
      </c>
      <c r="H32" s="78">
        <f ref="H32:K32" si="11" t="shared">H16/H$23</f>
        <v>7.3964369814968664E-2</v>
      </c>
      <c r="I32" s="78">
        <f si="11" t="shared"/>
        <v>7.9102591110174841E-2</v>
      </c>
      <c r="J32" s="78">
        <f si="11" t="shared"/>
        <v>6.5817328047419271E-2</v>
      </c>
      <c r="K32" s="78">
        <f si="11" t="shared"/>
        <v>7.4157019887206882E-2</v>
      </c>
    </row>
    <row r="33" spans="1:11" x14ac:dyDescent="0.25">
      <c r="A33" s="95" t="s">
        <v>30</v>
      </c>
      <c r="B33" s="78">
        <f si="6" t="shared"/>
        <v>8.8062534512067164E-2</v>
      </c>
      <c r="C33" s="78">
        <f si="6" t="shared"/>
        <v>7.8688650994059514E-2</v>
      </c>
      <c r="D33" s="78">
        <f si="6" t="shared"/>
        <v>3.0533811909732814E-2</v>
      </c>
      <c r="E33" s="78">
        <f si="6" t="shared"/>
        <v>8.4152735690807015E-2</v>
      </c>
      <c r="F33" s="95"/>
      <c r="G33" s="95" t="s">
        <v>30</v>
      </c>
      <c r="H33" s="78">
        <f ref="H33:K33" si="12" t="shared">H17/H$23</f>
        <v>6.8673337220763006E-2</v>
      </c>
      <c r="I33" s="78">
        <f si="12" t="shared"/>
        <v>6.3844834331457462E-2</v>
      </c>
      <c r="J33" s="78">
        <f si="12" t="shared"/>
        <v>5.2345945113736962E-2</v>
      </c>
      <c r="K33" s="78">
        <f si="12" t="shared"/>
        <v>6.7567527456218468E-2</v>
      </c>
    </row>
    <row r="34" spans="1:11" x14ac:dyDescent="0.25">
      <c r="A34" s="95" t="s">
        <v>31</v>
      </c>
      <c r="B34" s="78">
        <f si="6" t="shared"/>
        <v>6.4501576327629401E-2</v>
      </c>
      <c r="C34" s="78">
        <f si="6" t="shared"/>
        <v>4.889623735213653E-2</v>
      </c>
      <c r="D34" s="78">
        <f si="6" t="shared"/>
        <v>1.5197651113158062E-2</v>
      </c>
      <c r="E34" s="78">
        <f si="6" t="shared"/>
        <v>6.0406041594724055E-2</v>
      </c>
      <c r="F34" s="95"/>
      <c r="G34" s="95" t="s">
        <v>31</v>
      </c>
      <c r="H34" s="78">
        <f ref="H34:K34" si="13" t="shared">H18/H$23</f>
        <v>5.9530997091308158E-2</v>
      </c>
      <c r="I34" s="78">
        <f si="13" t="shared"/>
        <v>4.9896175027837129E-2</v>
      </c>
      <c r="J34" s="78">
        <f si="13" t="shared"/>
        <v>4.1183942111543054E-2</v>
      </c>
      <c r="K34" s="78">
        <f si="13" t="shared"/>
        <v>5.7873256159097657E-2</v>
      </c>
    </row>
    <row r="35" spans="1:11" x14ac:dyDescent="0.25">
      <c r="A35" s="95" t="s">
        <v>32</v>
      </c>
      <c r="B35" s="78">
        <f si="6" t="shared"/>
        <v>6.3014093864517826E-2</v>
      </c>
      <c r="C35" s="78">
        <f si="6" t="shared"/>
        <v>3.8307819150723954E-2</v>
      </c>
      <c r="D35" s="78">
        <f si="6" t="shared"/>
        <v>2.2547584560755205E-2</v>
      </c>
      <c r="E35" s="78">
        <f si="6" t="shared"/>
        <v>5.848240994793831E-2</v>
      </c>
      <c r="F35" s="95"/>
      <c r="G35" s="95" t="s">
        <v>32</v>
      </c>
      <c r="H35" s="78">
        <f ref="H35:K35" si="14" t="shared">H19/H$23</f>
        <v>5.3895944172381707E-2</v>
      </c>
      <c r="I35" s="78">
        <f si="14" t="shared"/>
        <v>4.3094886996298411E-2</v>
      </c>
      <c r="J35" s="78">
        <f si="14" t="shared"/>
        <v>3.1869443054539856E-2</v>
      </c>
      <c r="K35" s="78">
        <f si="14" t="shared"/>
        <v>5.1981300089047194E-2</v>
      </c>
    </row>
    <row r="36" spans="1:11" x14ac:dyDescent="0.25">
      <c r="A36" s="95" t="s">
        <v>33</v>
      </c>
      <c r="B36" s="78">
        <f si="6" t="shared"/>
        <v>9.0088643173642818E-2</v>
      </c>
      <c r="C36" s="78">
        <f si="6" t="shared"/>
        <v>5.2027788455552094E-2</v>
      </c>
      <c r="D36" s="78">
        <f si="6" t="shared"/>
        <v>2.4978262552028212E-2</v>
      </c>
      <c r="E36" s="78">
        <f si="6" t="shared"/>
        <v>8.2963548924309849E-2</v>
      </c>
      <c r="F36" s="95"/>
      <c r="G36" s="95" t="s">
        <v>33</v>
      </c>
      <c r="H36" s="78">
        <f ref="H36:K36" si="15" t="shared">H20/H$23</f>
        <v>0.14770340631724521</v>
      </c>
      <c r="I36" s="78">
        <f si="15" t="shared"/>
        <v>9.6316470552830352E-2</v>
      </c>
      <c r="J36" s="78">
        <f si="15" t="shared"/>
        <v>7.6902351718563564E-2</v>
      </c>
      <c r="K36" s="78">
        <f si="15" t="shared"/>
        <v>0.1399050163253191</v>
      </c>
    </row>
    <row r="37" spans="1:11" x14ac:dyDescent="0.25">
      <c r="A37" s="95" t="s">
        <v>34</v>
      </c>
      <c r="B37" s="78">
        <f si="6" t="shared"/>
        <v>5.5634623136754054E-2</v>
      </c>
      <c r="C37" s="78">
        <f si="6" t="shared"/>
        <v>2.0089741981255953E-2</v>
      </c>
      <c r="D37" s="78">
        <f si="6" t="shared"/>
        <v>2.5810208118067682E-2</v>
      </c>
      <c r="E37" s="78">
        <f si="6" t="shared"/>
        <v>5.0589607955660081E-2</v>
      </c>
      <c r="F37" s="95"/>
      <c r="G37" s="95" t="s">
        <v>34</v>
      </c>
      <c r="H37" s="78">
        <f ref="H37:K37" si="16" t="shared">H21/H$23</f>
        <v>0.26694085086546915</v>
      </c>
      <c r="I37" s="78">
        <f si="16" t="shared"/>
        <v>0.11675042884227632</v>
      </c>
      <c r="J37" s="78">
        <f si="16" t="shared"/>
        <v>9.9303337054001004E-2</v>
      </c>
      <c r="K37" s="78">
        <f si="16" t="shared"/>
        <v>0.24566340160284952</v>
      </c>
    </row>
    <row r="38" spans="1:11" x14ac:dyDescent="0.25">
      <c r="A38" s="6" t="s">
        <v>35</v>
      </c>
      <c r="B38" s="197">
        <f si="6" t="shared"/>
        <v>0</v>
      </c>
      <c r="C38" s="197">
        <f si="6" t="shared"/>
        <v>0</v>
      </c>
      <c r="D38" s="197">
        <f si="6" t="shared"/>
        <v>0</v>
      </c>
      <c r="E38" s="197">
        <f si="6" t="shared"/>
        <v>0</v>
      </c>
      <c r="F38" s="95"/>
      <c r="G38" s="6" t="s">
        <v>35</v>
      </c>
      <c r="H38" s="197">
        <f ref="H38:K38" si="17" t="shared">H22/H$23</f>
        <v>0</v>
      </c>
      <c r="I38" s="197">
        <f si="17" t="shared"/>
        <v>0</v>
      </c>
      <c r="J38" s="197">
        <f si="17" t="shared"/>
        <v>0</v>
      </c>
      <c r="K38" s="197">
        <f si="17" t="shared"/>
        <v>0</v>
      </c>
    </row>
    <row r="39" spans="1:11" x14ac:dyDescent="0.25">
      <c r="A39" s="53" t="s">
        <v>218</v>
      </c>
      <c r="B39" s="198">
        <f>B23/B$23</f>
        <v>1</v>
      </c>
      <c r="C39" s="198">
        <f ref="C39:E39" si="18" t="shared">C23/C$23</f>
        <v>1</v>
      </c>
      <c r="D39" s="198">
        <f si="18" t="shared"/>
        <v>1</v>
      </c>
      <c r="E39" s="198">
        <f si="18" t="shared"/>
        <v>1</v>
      </c>
      <c r="G39" s="53" t="s">
        <v>218</v>
      </c>
      <c r="H39" s="198">
        <f>H23/H$23</f>
        <v>1</v>
      </c>
      <c r="I39" s="198">
        <f ref="I39:K39" si="19" t="shared">I23/I$23</f>
        <v>1</v>
      </c>
      <c r="J39" s="198">
        <f si="19" t="shared"/>
        <v>1</v>
      </c>
      <c r="K39" s="198">
        <f si="19" t="shared"/>
        <v>1</v>
      </c>
    </row>
  </sheetData>
  <pageMargins bottom="0.75" footer="0.3" header="0.3" left="0.7" right="0.7" top="0.75"/>
  <pageSetup orientation="portrait" r:id="rId1"/>
  <ignoredErrors>
    <ignoredError formulaRange="1" sqref="B11:D22 H12:K22 I11:K11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CS109"/>
  <sheetViews>
    <sheetView topLeftCell="CC1" workbookViewId="0" zoomScaleNormal="100">
      <selection activeCell="CO42" sqref="CO42"/>
    </sheetView>
  </sheetViews>
  <sheetFormatPr defaultRowHeight="15" x14ac:dyDescent="0.25"/>
  <cols>
    <col min="1" max="1" customWidth="true" width="10.85546875" collapsed="true"/>
    <col min="2" max="2" bestFit="true" customWidth="true" width="10.7109375" collapsed="true"/>
    <col min="3" max="3" customWidth="true" width="8.0" collapsed="true"/>
    <col min="4" max="6" bestFit="true" customWidth="true" width="10.7109375" collapsed="true"/>
    <col min="7" max="7" bestFit="true" customWidth="true" width="11.5703125" collapsed="true"/>
    <col min="8" max="8" customWidth="true" style="95" width="8.0" collapsed="true"/>
    <col min="9" max="9" bestFit="true" customWidth="true" width="9.7109375" collapsed="true"/>
    <col min="10" max="10" bestFit="true" customWidth="true" width="10.7109375" collapsed="true"/>
    <col min="11" max="11" customWidth="true" style="95" width="9.7109375" collapsed="true"/>
    <col min="12" max="12" customWidth="true" style="95" width="9.0" collapsed="true"/>
    <col min="13" max="13" customWidth="true" style="95" width="8.7109375" collapsed="true"/>
    <col min="14" max="14" customWidth="true" style="95" width="8.140625" collapsed="true"/>
    <col min="15" max="15" customWidth="true" style="95" width="9.7109375" collapsed="true"/>
    <col min="16" max="16" customWidth="true" style="95" width="9.140625" collapsed="true"/>
    <col min="17" max="18" customWidth="true" style="95" width="7.5703125" collapsed="true"/>
    <col min="19" max="19" customWidth="true" style="95" width="10.85546875" collapsed="true"/>
    <col min="20" max="20" customWidth="true" style="95" width="8.85546875" collapsed="true"/>
    <col min="21" max="21" customWidth="true" style="95" width="8.5703125" collapsed="true"/>
    <col min="22" max="22" customWidth="true" style="95" width="7.5703125" collapsed="true"/>
    <col min="23" max="23" customWidth="true" style="95" width="9.42578125" collapsed="true"/>
    <col min="24" max="26" customWidth="true" width="9.140625" collapsed="true"/>
    <col min="27" max="27" customWidth="true" width="8.0" collapsed="true"/>
    <col min="28" max="28" customWidth="true" width="9.0" collapsed="true"/>
    <col min="29" max="29" customWidth="true" width="8.85546875" collapsed="true"/>
    <col min="30" max="30" customWidth="true" width="9.0" collapsed="true"/>
    <col min="31" max="31" customWidth="true" width="9.7109375" collapsed="true"/>
    <col min="32" max="36" customWidth="true" style="95" width="8.0" collapsed="true"/>
    <col min="37" max="37" customWidth="true" width="8.7109375" collapsed="true"/>
    <col min="38" max="38" customWidth="true" width="9.28515625" collapsed="true"/>
    <col min="39" max="39" customWidth="true" style="95" width="9.140625" collapsed="true"/>
    <col min="40" max="40" customWidth="true" style="95" width="8.28515625" collapsed="true"/>
    <col min="41" max="41" customWidth="true" style="95" width="7.5703125" collapsed="true"/>
    <col min="42" max="42" bestFit="true" customWidth="true" style="95" width="8.0" collapsed="true"/>
    <col min="43" max="43" customWidth="true" style="95" width="8.42578125" collapsed="true"/>
    <col min="44" max="45" customWidth="true" style="95" width="8.85546875" collapsed="true"/>
    <col min="46" max="46" customWidth="true" style="95" width="7.5703125" collapsed="true"/>
    <col min="47" max="47" customWidth="true" style="95" width="9.0" collapsed="true"/>
    <col min="48" max="48" customWidth="true" width="9.140625" collapsed="true"/>
    <col min="49" max="49" customWidth="true" width="11.5703125" collapsed="true"/>
    <col min="50" max="51" bestFit="true" customWidth="true" width="10.5703125" collapsed="true"/>
    <col min="52" max="52" customWidth="true" width="9.140625" collapsed="true"/>
    <col min="53" max="55" bestFit="true" customWidth="true" width="10.5703125" collapsed="true"/>
    <col min="56" max="56" customWidth="true" style="95" width="9.5703125" collapsed="true"/>
    <col min="57" max="57" bestFit="true" customWidth="true" width="9.5703125" collapsed="true"/>
    <col min="58" max="59" bestFit="true" customWidth="true" width="10.5703125" collapsed="true"/>
    <col min="60" max="61" bestFit="true" customWidth="true" width="11.5703125" collapsed="true"/>
    <col min="62" max="64" bestFit="true" customWidth="true" width="10.5703125" collapsed="true"/>
    <col min="65" max="65" bestFit="true" customWidth="true" width="9.5703125" collapsed="true"/>
    <col min="66" max="69" bestFit="true" customWidth="true" width="10.5703125" collapsed="true"/>
    <col min="70" max="70" bestFit="true" customWidth="true" width="9.28515625" collapsed="true"/>
    <col min="71" max="71" bestFit="true" customWidth="true" width="11.5703125" collapsed="true"/>
    <col min="75" max="75" bestFit="true" customWidth="true" width="19.28515625" collapsed="true"/>
    <col min="76" max="76" bestFit="true" customWidth="true" width="10.5703125" collapsed="true"/>
    <col min="77" max="77" customWidth="true" width="11.42578125" collapsed="true"/>
    <col min="82" max="82" bestFit="true" customWidth="true" width="11.5703125" collapsed="true"/>
    <col min="84" max="84" bestFit="true" customWidth="true" width="8.0" collapsed="true"/>
    <col min="88" max="88" customWidth="true" width="11.85546875" collapsed="true"/>
    <col min="89" max="89" bestFit="true" customWidth="true" width="15.7109375" collapsed="true"/>
    <col min="90" max="90" customWidth="true" width="13.5703125" collapsed="true"/>
    <col min="92" max="92" customWidth="true" width="11.140625" collapsed="true"/>
    <col min="93" max="93" customWidth="true" width="14.140625" collapsed="true"/>
    <col min="94" max="94" bestFit="true" customWidth="true" width="10.28515625" collapsed="true"/>
    <col min="96" max="96" bestFit="true" customWidth="true" width="10.5703125" collapsed="true"/>
  </cols>
  <sheetData>
    <row r="1" spans="1:96" x14ac:dyDescent="0.25">
      <c r="A1" t="s">
        <v>320</v>
      </c>
    </row>
    <row r="2" spans="1:96" x14ac:dyDescent="0.25">
      <c r="A2" t="s">
        <v>248</v>
      </c>
    </row>
    <row r="3" spans="1:96" x14ac:dyDescent="0.25">
      <c r="A3" t="s">
        <v>16</v>
      </c>
    </row>
    <row ht="15.75" r="5" spans="1:96" thickBot="1" x14ac:dyDescent="0.3">
      <c r="A5" s="4" t="s">
        <v>323</v>
      </c>
      <c r="B5" s="1"/>
      <c r="C5" s="1"/>
      <c r="D5" s="1"/>
      <c r="E5" s="1"/>
      <c r="F5" s="1"/>
      <c r="G5" s="1"/>
      <c r="H5" s="1"/>
      <c r="I5" s="1"/>
      <c r="J5" s="1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"/>
      <c r="W5" s="1"/>
      <c r="X5" s="7"/>
      <c r="Y5" s="4" t="s">
        <v>322</v>
      </c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7"/>
      <c r="AN5" s="7"/>
      <c r="AO5" s="7"/>
      <c r="AP5" s="7"/>
      <c r="AQ5" s="7"/>
      <c r="AR5" s="7"/>
      <c r="AS5" s="7"/>
      <c r="AT5" s="7"/>
      <c r="AU5" s="7"/>
      <c r="AW5" s="4" t="s">
        <v>324</v>
      </c>
      <c r="AX5" s="1"/>
      <c r="AY5" s="1"/>
      <c r="AZ5" s="1"/>
      <c r="BA5" s="1"/>
      <c r="BB5" s="1"/>
      <c r="BC5" s="1"/>
      <c r="BD5" s="1"/>
      <c r="BE5" s="1"/>
      <c r="BF5" s="1"/>
    </row>
    <row r="6" spans="1:96" x14ac:dyDescent="0.25">
      <c r="A6" s="2" t="s">
        <v>14</v>
      </c>
      <c r="B6" s="2">
        <v>1</v>
      </c>
      <c r="C6" s="2">
        <v>2</v>
      </c>
      <c r="D6" s="2">
        <v>3</v>
      </c>
      <c r="E6" s="2">
        <v>4</v>
      </c>
      <c r="F6" s="2">
        <v>5</v>
      </c>
      <c r="G6" s="2">
        <v>6</v>
      </c>
      <c r="H6" s="2">
        <v>7</v>
      </c>
      <c r="I6" s="2">
        <v>8</v>
      </c>
      <c r="J6" s="2">
        <v>9</v>
      </c>
      <c r="K6" s="2">
        <v>10</v>
      </c>
      <c r="L6" s="2">
        <v>11</v>
      </c>
      <c r="M6" s="2">
        <v>12</v>
      </c>
      <c r="N6" s="2">
        <v>13</v>
      </c>
      <c r="O6" s="2">
        <v>14</v>
      </c>
      <c r="P6" s="2">
        <v>15</v>
      </c>
      <c r="Q6" s="2">
        <v>16</v>
      </c>
      <c r="R6" s="2">
        <v>17</v>
      </c>
      <c r="S6" s="2">
        <v>18</v>
      </c>
      <c r="T6" s="2">
        <v>19</v>
      </c>
      <c r="U6" s="2">
        <v>20</v>
      </c>
      <c r="V6" s="3" t="s">
        <v>15</v>
      </c>
      <c r="W6" s="3" t="s">
        <v>3</v>
      </c>
      <c r="X6" s="79"/>
      <c r="Y6" s="2" t="s">
        <v>14</v>
      </c>
      <c r="Z6" s="2">
        <v>1</v>
      </c>
      <c r="AA6" s="2">
        <v>2</v>
      </c>
      <c r="AB6" s="2">
        <v>3</v>
      </c>
      <c r="AC6" s="2">
        <v>4</v>
      </c>
      <c r="AD6" s="2">
        <v>5</v>
      </c>
      <c r="AE6" s="2">
        <v>6</v>
      </c>
      <c r="AF6" s="2">
        <v>7</v>
      </c>
      <c r="AG6" s="2">
        <v>8</v>
      </c>
      <c r="AH6" s="2">
        <v>9</v>
      </c>
      <c r="AI6" s="2">
        <v>10</v>
      </c>
      <c r="AJ6" s="2">
        <v>11</v>
      </c>
      <c r="AK6" s="2">
        <v>12</v>
      </c>
      <c r="AL6" s="2">
        <v>13</v>
      </c>
      <c r="AM6" s="2">
        <v>14</v>
      </c>
      <c r="AN6" s="2">
        <v>15</v>
      </c>
      <c r="AO6" s="2">
        <v>16</v>
      </c>
      <c r="AP6" s="2">
        <v>17</v>
      </c>
      <c r="AQ6" s="2">
        <v>18</v>
      </c>
      <c r="AR6" s="2">
        <v>19</v>
      </c>
      <c r="AS6" s="2">
        <v>20</v>
      </c>
      <c r="AT6" s="3" t="s">
        <v>15</v>
      </c>
      <c r="AU6" s="3" t="s">
        <v>3</v>
      </c>
      <c r="AW6" s="2" t="s">
        <v>14</v>
      </c>
      <c r="AX6" s="2">
        <v>1</v>
      </c>
      <c r="AY6" s="2">
        <v>2</v>
      </c>
      <c r="AZ6" s="2">
        <v>3</v>
      </c>
      <c r="BA6" s="2">
        <v>4</v>
      </c>
      <c r="BB6" s="2">
        <v>5</v>
      </c>
      <c r="BC6" s="2">
        <v>6</v>
      </c>
      <c r="BD6" s="2">
        <v>7</v>
      </c>
      <c r="BE6" s="2">
        <v>8</v>
      </c>
      <c r="BF6" s="2">
        <v>9</v>
      </c>
      <c r="BG6" s="2">
        <v>10</v>
      </c>
      <c r="BH6" s="2">
        <v>11</v>
      </c>
      <c r="BI6" s="2">
        <v>12</v>
      </c>
      <c r="BJ6" s="2">
        <v>13</v>
      </c>
      <c r="BK6" s="2">
        <v>14</v>
      </c>
      <c r="BL6" s="2">
        <v>15</v>
      </c>
      <c r="BM6" s="2">
        <v>16</v>
      </c>
      <c r="BN6" s="2">
        <v>17</v>
      </c>
      <c r="BO6" s="2">
        <v>18</v>
      </c>
      <c r="BP6" s="2">
        <v>19</v>
      </c>
      <c r="BQ6" s="2">
        <v>20</v>
      </c>
      <c r="BR6" s="3" t="s">
        <v>15</v>
      </c>
      <c r="BS6" s="3" t="s">
        <v>3</v>
      </c>
      <c r="BV6" s="2" t="s">
        <v>363</v>
      </c>
      <c r="BW6" s="2">
        <v>1</v>
      </c>
      <c r="BX6" s="2">
        <v>2</v>
      </c>
      <c r="BY6" s="2">
        <v>3</v>
      </c>
      <c r="BZ6" s="2">
        <v>4</v>
      </c>
      <c r="CA6" s="2">
        <v>5</v>
      </c>
      <c r="CB6" s="2">
        <v>6</v>
      </c>
      <c r="CC6" s="2">
        <v>7</v>
      </c>
      <c r="CD6" s="2">
        <v>8</v>
      </c>
      <c r="CE6" s="2">
        <v>9</v>
      </c>
      <c r="CF6" s="2">
        <v>10</v>
      </c>
      <c r="CG6" s="2">
        <v>11</v>
      </c>
      <c r="CH6" s="2">
        <v>12</v>
      </c>
      <c r="CI6" s="2">
        <v>13</v>
      </c>
      <c r="CJ6" s="2">
        <v>14</v>
      </c>
      <c r="CK6" s="2">
        <v>15</v>
      </c>
      <c r="CL6" s="2">
        <v>16</v>
      </c>
      <c r="CM6" s="2">
        <v>17</v>
      </c>
      <c r="CN6" s="2">
        <v>18</v>
      </c>
      <c r="CO6" s="2">
        <v>19</v>
      </c>
      <c r="CP6" s="2">
        <v>20</v>
      </c>
      <c r="CQ6" s="3" t="s">
        <v>15</v>
      </c>
      <c r="CR6" s="3" t="s">
        <v>3</v>
      </c>
    </row>
    <row r="7" spans="1:96" x14ac:dyDescent="0.25">
      <c r="A7" s="31">
        <v>1</v>
      </c>
      <c r="B7" s="77" t="n">
        <v>1245.7619306465901</v>
      </c>
      <c r="C7" s="77" t="n">
        <v>172.7314439031681</v>
      </c>
      <c r="D7" s="77" t="n">
        <v>138.494379652866</v>
      </c>
      <c r="E7" s="77" t="n">
        <v>0.0</v>
      </c>
      <c r="F7" s="77" t="n">
        <v>131.8037602819868</v>
      </c>
      <c r="G7" s="77" t="n">
        <v>1714.8636421594836</v>
      </c>
      <c r="H7" s="77" t="n">
        <v>0.0</v>
      </c>
      <c r="I7" s="77" t="n">
        <v>0.0</v>
      </c>
      <c r="J7" s="77" t="n">
        <v>522.8792491131654</v>
      </c>
      <c r="K7" s="77" t="n">
        <v>72.1794813576292</v>
      </c>
      <c r="L7" s="77" t="n">
        <v>342.832140949562</v>
      </c>
      <c r="M7" s="77" t="n">
        <v>310.1919464932784</v>
      </c>
      <c r="N7" s="77" t="n">
        <v>0.0</v>
      </c>
      <c r="O7" s="77" t="n">
        <v>0.0</v>
      </c>
      <c r="P7" s="77" t="n">
        <v>0.0</v>
      </c>
      <c r="Q7" s="77" t="n">
        <v>0.0</v>
      </c>
      <c r="R7" s="77" t="n">
        <v>0.0</v>
      </c>
      <c r="S7" s="77" t="n">
        <v>0.0</v>
      </c>
      <c r="T7" s="77" t="n">
        <v>0.0</v>
      </c>
      <c r="U7" s="77" t="n">
        <v>0.0</v>
      </c>
      <c r="V7" s="77"/>
      <c r="W7" s="77">
        <f>SUM(B7:V7)</f>
        <v>4651.7379745577291</v>
      </c>
      <c r="X7" s="15"/>
      <c r="Y7" s="31">
        <v>1</v>
      </c>
      <c r="Z7" s="77">
        <v>1480</v>
      </c>
      <c r="AA7" s="77">
        <v>380</v>
      </c>
      <c r="AB7" s="77">
        <v>205</v>
      </c>
      <c r="AC7" s="77">
        <v>185</v>
      </c>
      <c r="AD7" s="77">
        <v>215</v>
      </c>
      <c r="AE7" s="77">
        <v>1579</v>
      </c>
      <c r="AF7" s="77">
        <v>261</v>
      </c>
      <c r="AG7" s="77">
        <v>26</v>
      </c>
      <c r="AH7" s="77">
        <v>263</v>
      </c>
      <c r="AI7" s="77">
        <v>131</v>
      </c>
      <c r="AJ7" s="77">
        <v>180</v>
      </c>
      <c r="AK7" s="77">
        <v>1011</v>
      </c>
      <c r="AL7" s="77">
        <v>63</v>
      </c>
      <c r="AM7" s="77">
        <v>12</v>
      </c>
      <c r="AN7" s="77">
        <v>29</v>
      </c>
      <c r="AO7" s="77">
        <v>17</v>
      </c>
      <c r="AP7" s="77">
        <v>7</v>
      </c>
      <c r="AQ7" s="77">
        <v>11</v>
      </c>
      <c r="AR7" s="77">
        <v>33</v>
      </c>
      <c r="AS7" s="77">
        <v>13</v>
      </c>
      <c r="AT7" s="77"/>
      <c r="AU7" s="77">
        <f>SUM(Z7:AT7)</f>
        <v>6101</v>
      </c>
      <c r="AV7" s="14"/>
      <c r="AW7" s="31">
        <v>1</v>
      </c>
      <c r="AX7" s="77" t="n">
        <v>1344.0</v>
      </c>
      <c r="AY7" s="77" t="n">
        <v>314.0</v>
      </c>
      <c r="AZ7" s="77" t="n">
        <v>141.0</v>
      </c>
      <c r="BA7" s="77" t="n">
        <v>302.0</v>
      </c>
      <c r="BB7" s="77" t="n">
        <v>235.0</v>
      </c>
      <c r="BC7" s="77" t="n">
        <v>1375.0</v>
      </c>
      <c r="BD7" s="77" t="n">
        <v>156.0</v>
      </c>
      <c r="BE7" s="77" t="n">
        <v>38.0</v>
      </c>
      <c r="BF7" s="77" t="n">
        <v>177.0</v>
      </c>
      <c r="BG7" s="77" t="n">
        <v>114.0</v>
      </c>
      <c r="BH7" s="77" t="n">
        <v>118.0</v>
      </c>
      <c r="BI7" s="77" t="n">
        <v>584.0</v>
      </c>
      <c r="BJ7" s="77" t="n">
        <v>10.0</v>
      </c>
      <c r="BK7" s="77" t="n">
        <v>19.0</v>
      </c>
      <c r="BL7" s="77" t="n">
        <v>15.0</v>
      </c>
      <c r="BM7" s="77" t="n">
        <v>14.0</v>
      </c>
      <c r="BN7" s="77" t="n">
        <v>5.0</v>
      </c>
      <c r="BO7" s="77" t="n">
        <v>7.0</v>
      </c>
      <c r="BP7" s="77" t="n">
        <v>10.0</v>
      </c>
      <c r="BQ7" s="77" t="n">
        <v>1.0</v>
      </c>
      <c r="BR7" s="77"/>
      <c r="BS7" s="77">
        <f>SUM(AX7:BR7)</f>
        <v>4953</v>
      </c>
      <c r="BT7" s="102"/>
      <c r="BU7" t="s">
        <v>349</v>
      </c>
      <c r="BV7" s="95" t="s">
        <v>346</v>
      </c>
      <c r="BW7" s="108">
        <f>B28</f>
        <v>59653.544440759513</v>
      </c>
      <c r="BX7" s="108">
        <f ref="BX7:CR7" si="0" t="shared">C28</f>
        <v>23682.665169572778</v>
      </c>
      <c r="BY7" s="108">
        <f si="0" t="shared"/>
        <v>14920.556829080699</v>
      </c>
      <c r="BZ7" s="108">
        <f si="0" t="shared"/>
        <v>17534.852697132013</v>
      </c>
      <c r="CA7" s="108">
        <f si="0" t="shared"/>
        <v>16427.66561240298</v>
      </c>
      <c r="CB7" s="108">
        <f si="0" t="shared"/>
        <v>84979.951347610724</v>
      </c>
      <c r="CC7" s="108">
        <f si="0" t="shared"/>
        <v>52872.439568670117</v>
      </c>
      <c r="CD7" s="108">
        <f si="0" t="shared"/>
        <v>4985.6374748589815</v>
      </c>
      <c r="CE7" s="108">
        <f si="0" t="shared"/>
        <v>36973.784533068967</v>
      </c>
      <c r="CF7" s="108">
        <f si="0" t="shared"/>
        <v>8821.4341383130341</v>
      </c>
      <c r="CG7" s="108">
        <f si="0" t="shared"/>
        <v>29966.124608656566</v>
      </c>
      <c r="CH7" s="108">
        <f si="0" t="shared"/>
        <v>105320.53463114968</v>
      </c>
      <c r="CI7" s="108">
        <f si="0" t="shared"/>
        <v>39542.599161277889</v>
      </c>
      <c r="CJ7" s="108">
        <f si="0" t="shared"/>
        <v>10674.988460489061</v>
      </c>
      <c r="CK7" s="108">
        <f si="0" t="shared"/>
        <v>12678.195969196768</v>
      </c>
      <c r="CL7" s="108">
        <f si="0" t="shared"/>
        <v>1470.352749710549</v>
      </c>
      <c r="CM7" s="108">
        <f si="0" t="shared"/>
        <v>6774.47985647735</v>
      </c>
      <c r="CN7" s="108">
        <f si="0" t="shared"/>
        <v>8463.186929443702</v>
      </c>
      <c r="CO7" s="108">
        <f si="0" t="shared"/>
        <v>12412.957962668792</v>
      </c>
      <c r="CP7" s="108">
        <f si="0" t="shared"/>
        <v>11905.715030577378</v>
      </c>
      <c r="CQ7" s="108">
        <f si="0" t="shared"/>
        <v>0</v>
      </c>
      <c r="CR7" s="108">
        <f si="0" t="shared"/>
        <v>560061.6671711175</v>
      </c>
    </row>
    <row r="8" spans="1:96" x14ac:dyDescent="0.25">
      <c r="A8">
        <v>2</v>
      </c>
      <c r="B8" s="77" t="n">
        <v>632.7430466156676</v>
      </c>
      <c r="C8" s="77" t="n">
        <v>741.5142334257965</v>
      </c>
      <c r="D8" s="77" t="n">
        <v>219.4705078241258</v>
      </c>
      <c r="E8" s="77" t="n">
        <v>1572.761314504123</v>
      </c>
      <c r="F8" s="77" t="n">
        <v>36.0897406788146</v>
      </c>
      <c r="G8" s="77" t="n">
        <v>1080.0741984018553</v>
      </c>
      <c r="H8" s="77" t="n">
        <v>645.6097921094778</v>
      </c>
      <c r="I8" s="77" t="n">
        <v>0.0</v>
      </c>
      <c r="J8" s="77" t="n">
        <v>855.0011775624522</v>
      </c>
      <c r="K8" s="77" t="n">
        <v>66.4470996284488</v>
      </c>
      <c r="L8" s="77" t="n">
        <v>96.5011790627246</v>
      </c>
      <c r="M8" s="77" t="n">
        <v>733.9809607294176</v>
      </c>
      <c r="N8" s="77" t="n">
        <v>0.0</v>
      </c>
      <c r="O8" s="77" t="n">
        <v>0.0</v>
      </c>
      <c r="P8" s="77" t="n">
        <v>0.0</v>
      </c>
      <c r="Q8" s="77" t="n">
        <v>0.0</v>
      </c>
      <c r="R8" s="77" t="n">
        <v>0.0</v>
      </c>
      <c r="S8" s="77" t="n">
        <v>0.0</v>
      </c>
      <c r="T8" s="77" t="n">
        <v>140.4521815946746</v>
      </c>
      <c r="U8" s="77" t="n">
        <v>0.0</v>
      </c>
      <c r="V8" s="77"/>
      <c r="W8" s="77">
        <f ref="W8:W27" si="1" t="shared">SUM(B8:V8)</f>
        <v>6820.6454321375786</v>
      </c>
      <c r="X8" s="15"/>
      <c r="Y8" s="95">
        <v>2</v>
      </c>
      <c r="Z8" s="77">
        <v>1542</v>
      </c>
      <c r="AA8" s="77">
        <v>1567</v>
      </c>
      <c r="AB8" s="77">
        <v>612</v>
      </c>
      <c r="AC8" s="77">
        <v>368</v>
      </c>
      <c r="AD8" s="77">
        <v>395</v>
      </c>
      <c r="AE8" s="77">
        <v>2551</v>
      </c>
      <c r="AF8" s="77">
        <v>1116</v>
      </c>
      <c r="AG8" s="77">
        <v>85</v>
      </c>
      <c r="AH8" s="77">
        <v>1088</v>
      </c>
      <c r="AI8" s="77">
        <v>269</v>
      </c>
      <c r="AJ8" s="77">
        <v>653</v>
      </c>
      <c r="AK8" s="77">
        <v>2468</v>
      </c>
      <c r="AL8" s="77">
        <v>224</v>
      </c>
      <c r="AM8" s="77">
        <v>47</v>
      </c>
      <c r="AN8" s="77">
        <v>160</v>
      </c>
      <c r="AO8" s="77">
        <v>46</v>
      </c>
      <c r="AP8" s="77">
        <v>45</v>
      </c>
      <c r="AQ8" s="77">
        <v>62</v>
      </c>
      <c r="AR8" s="77">
        <v>88</v>
      </c>
      <c r="AS8" s="77">
        <v>36</v>
      </c>
      <c r="AT8" s="77"/>
      <c r="AU8" s="77">
        <f ref="AU8:AU27" si="2" t="shared">SUM(Z8:AT8)</f>
        <v>13422</v>
      </c>
      <c r="AV8" s="14"/>
      <c r="AW8" s="95">
        <v>2</v>
      </c>
      <c r="AX8" s="77" t="n">
        <v>1652.0</v>
      </c>
      <c r="AY8" s="77" t="n">
        <v>2384.0</v>
      </c>
      <c r="AZ8" s="77" t="n">
        <v>660.0</v>
      </c>
      <c r="BA8" s="77" t="n">
        <v>487.0</v>
      </c>
      <c r="BB8" s="77" t="n">
        <v>426.0</v>
      </c>
      <c r="BC8" s="77" t="n">
        <v>3013.0</v>
      </c>
      <c r="BD8" s="77" t="n">
        <v>1138.0</v>
      </c>
      <c r="BE8" s="77" t="n">
        <v>99.0</v>
      </c>
      <c r="BF8" s="77" t="n">
        <v>1204.0</v>
      </c>
      <c r="BG8" s="77" t="n">
        <v>288.0</v>
      </c>
      <c r="BH8" s="77" t="n">
        <v>363.0</v>
      </c>
      <c r="BI8" s="77" t="n">
        <v>2797.0</v>
      </c>
      <c r="BJ8" s="77" t="n">
        <v>61.0</v>
      </c>
      <c r="BK8" s="77" t="n">
        <v>34.0</v>
      </c>
      <c r="BL8" s="77" t="n">
        <v>96.0</v>
      </c>
      <c r="BM8" s="77" t="n">
        <v>36.0</v>
      </c>
      <c r="BN8" s="77" t="n">
        <v>18.0</v>
      </c>
      <c r="BO8" s="77" t="n">
        <v>19.0</v>
      </c>
      <c r="BP8" s="77" t="n">
        <v>64.0</v>
      </c>
      <c r="BQ8" s="77" t="n">
        <v>4.0</v>
      </c>
      <c r="BR8" s="77"/>
      <c r="BS8" s="77">
        <f ref="BS8:BS27" si="3" t="shared">SUM(AX8:BR8)</f>
        <v>14823</v>
      </c>
      <c r="BT8" s="102"/>
      <c r="BV8" t="s">
        <v>360</v>
      </c>
      <c r="BW8" s="58">
        <f>Flow_ODData!C25</f>
        <v>40646.598554106436</v>
      </c>
      <c r="BX8" s="58">
        <f>Flow_ODData!D25</f>
        <v>42317.179366221637</v>
      </c>
      <c r="BY8" s="58">
        <f>Flow_ODData!E25</f>
        <v>44705.600948499537</v>
      </c>
      <c r="BZ8" s="58">
        <f>Flow_ODData!F25</f>
        <v>25156.048569777733</v>
      </c>
      <c r="CA8" s="58">
        <f>Flow_ODData!G25</f>
        <v>23447.799661338322</v>
      </c>
      <c r="CB8" s="58">
        <f>Flow_ODData!H25</f>
        <v>72475.32530618021</v>
      </c>
      <c r="CC8" s="58">
        <f>Flow_ODData!I25</f>
        <v>127027.92076090976</v>
      </c>
      <c r="CD8" s="58">
        <f>Flow_ODData!J25</f>
        <v>6263.4287909958512</v>
      </c>
      <c r="CE8" s="58">
        <f>Flow_ODData!K25</f>
        <v>78564.017617084086</v>
      </c>
      <c r="CF8" s="58">
        <f>Flow_ODData!L25</f>
        <v>30027.582046531123</v>
      </c>
      <c r="CG8" s="58">
        <f>Flow_ODData!M25</f>
        <v>73900.424834647361</v>
      </c>
      <c r="CH8" s="58">
        <f>Flow_ODData!N25</f>
        <v>187525.61191568145</v>
      </c>
      <c r="CI8" s="58">
        <f>Flow_ODData!O25</f>
        <v>122536.09099123925</v>
      </c>
      <c r="CJ8" s="58">
        <f>Flow_ODData!P25</f>
        <v>27767.802248882606</v>
      </c>
      <c r="CK8" s="58">
        <f>Flow_ODData!Q25</f>
        <v>44768.247239469332</v>
      </c>
      <c r="CL8" s="58">
        <f>Flow_ODData!R25</f>
        <v>12509.496665138753</v>
      </c>
      <c r="CM8" s="58">
        <f>Flow_ODData!S25</f>
        <v>20649.37775784919</v>
      </c>
      <c r="CN8" s="58">
        <f>Flow_ODData!T25</f>
        <v>34453.925335698776</v>
      </c>
      <c r="CO8" s="58">
        <f>Flow_ODData!U25</f>
        <v>46181.170491572484</v>
      </c>
      <c r="CP8" s="58">
        <f>Flow_ODData!V25</f>
        <v>41477.384054506212</v>
      </c>
      <c r="CQ8" s="58">
        <f>Flow_ODData!W25</f>
        <v>0</v>
      </c>
      <c r="CR8" s="58">
        <f>Flow_ODData!X25</f>
        <v>1102401.03315633</v>
      </c>
    </row>
    <row r="9" spans="1:96" x14ac:dyDescent="0.25">
      <c r="A9">
        <v>3</v>
      </c>
      <c r="B9" s="77" t="n">
        <v>4313.792662515342</v>
      </c>
      <c r="C9" s="77" t="n">
        <v>2592.341307766233</v>
      </c>
      <c r="D9" s="77" t="n">
        <v>2662.4285850476854</v>
      </c>
      <c r="E9" s="77" t="n">
        <v>557.7572779550641</v>
      </c>
      <c r="F9" s="77" t="n">
        <v>1199.254660685193</v>
      </c>
      <c r="G9" s="77" t="n">
        <v>4685.773069642714</v>
      </c>
      <c r="H9" s="77" t="n">
        <v>622.396971454253</v>
      </c>
      <c r="I9" s="77" t="n">
        <v>1137.0326004756428</v>
      </c>
      <c r="J9" s="77" t="n">
        <v>1237.9635673199634</v>
      </c>
      <c r="K9" s="77" t="n">
        <v>348.728990894012</v>
      </c>
      <c r="L9" s="77" t="n">
        <v>1071.017243950004</v>
      </c>
      <c r="M9" s="77" t="n">
        <v>3359.485003022972</v>
      </c>
      <c r="N9" s="77" t="n">
        <v>50.7232006661763</v>
      </c>
      <c r="O9" s="77" t="n">
        <v>0.0</v>
      </c>
      <c r="P9" s="77" t="n">
        <v>0.0</v>
      </c>
      <c r="Q9" s="77" t="n">
        <v>0.0</v>
      </c>
      <c r="R9" s="77" t="n">
        <v>0.0</v>
      </c>
      <c r="S9" s="77" t="n">
        <v>0.0</v>
      </c>
      <c r="T9" s="77" t="n">
        <v>145.1010361959188</v>
      </c>
      <c r="U9" s="77" t="n">
        <v>0.0</v>
      </c>
      <c r="V9" s="77"/>
      <c r="W9" s="77">
        <f si="1" t="shared"/>
        <v>23983.796177591175</v>
      </c>
      <c r="X9" s="15"/>
      <c r="Y9" s="95">
        <v>3</v>
      </c>
      <c r="Z9" s="77">
        <v>4649</v>
      </c>
      <c r="AA9" s="77">
        <v>1930</v>
      </c>
      <c r="AB9" s="77">
        <v>3019</v>
      </c>
      <c r="AC9" s="77">
        <v>1350</v>
      </c>
      <c r="AD9" s="77">
        <v>1242</v>
      </c>
      <c r="AE9" s="77">
        <v>6755</v>
      </c>
      <c r="AF9" s="77">
        <v>1767</v>
      </c>
      <c r="AG9" s="77">
        <v>256</v>
      </c>
      <c r="AH9" s="77">
        <v>1646</v>
      </c>
      <c r="AI9" s="77">
        <v>704</v>
      </c>
      <c r="AJ9" s="77">
        <v>1680</v>
      </c>
      <c r="AK9" s="77">
        <v>4525</v>
      </c>
      <c r="AL9" s="77">
        <v>450</v>
      </c>
      <c r="AM9" s="77">
        <v>177</v>
      </c>
      <c r="AN9" s="77">
        <v>306</v>
      </c>
      <c r="AO9" s="77">
        <v>118</v>
      </c>
      <c r="AP9" s="77">
        <v>124</v>
      </c>
      <c r="AQ9" s="77">
        <v>100</v>
      </c>
      <c r="AR9" s="77">
        <v>316</v>
      </c>
      <c r="AS9" s="77">
        <v>74</v>
      </c>
      <c r="AT9" s="77"/>
      <c r="AU9" s="77">
        <f si="2" t="shared"/>
        <v>31188</v>
      </c>
      <c r="AV9" s="14"/>
      <c r="AW9" s="95">
        <v>3</v>
      </c>
      <c r="AX9" s="77" t="n">
        <v>4565.0</v>
      </c>
      <c r="AY9" s="77" t="n">
        <v>2183.0</v>
      </c>
      <c r="AZ9" s="77" t="n">
        <v>2600.0</v>
      </c>
      <c r="BA9" s="77" t="n">
        <v>1402.0</v>
      </c>
      <c r="BB9" s="77" t="n">
        <v>1149.0</v>
      </c>
      <c r="BC9" s="77" t="n">
        <v>6564.0</v>
      </c>
      <c r="BD9" s="77" t="n">
        <v>1084.0</v>
      </c>
      <c r="BE9" s="77" t="n">
        <v>322.0</v>
      </c>
      <c r="BF9" s="77" t="n">
        <v>1401.0</v>
      </c>
      <c r="BG9" s="77" t="n">
        <v>743.0</v>
      </c>
      <c r="BH9" s="77" t="n">
        <v>1734.0</v>
      </c>
      <c r="BI9" s="77" t="n">
        <v>3477.0</v>
      </c>
      <c r="BJ9" s="77" t="n">
        <v>100.0</v>
      </c>
      <c r="BK9" s="77" t="n">
        <v>114.0</v>
      </c>
      <c r="BL9" s="77" t="n">
        <v>102.0</v>
      </c>
      <c r="BM9" s="77" t="n">
        <v>71.0</v>
      </c>
      <c r="BN9" s="77" t="n">
        <v>97.0</v>
      </c>
      <c r="BO9" s="77" t="n">
        <v>18.0</v>
      </c>
      <c r="BP9" s="77" t="n">
        <v>252.0</v>
      </c>
      <c r="BQ9" s="77" t="n">
        <v>12.0</v>
      </c>
      <c r="BR9" s="77"/>
      <c r="BS9" s="77">
        <f si="3" t="shared"/>
        <v>28017</v>
      </c>
      <c r="BT9" s="102"/>
      <c r="BV9" s="95" t="s">
        <v>347</v>
      </c>
      <c r="BW9" s="108">
        <f ref="BW9:CR9" si="4" t="shared">Z28</f>
        <v>51288</v>
      </c>
      <c r="BX9" s="108">
        <f si="4" t="shared"/>
        <v>34948</v>
      </c>
      <c r="BY9" s="108">
        <f si="4" t="shared"/>
        <v>19462</v>
      </c>
      <c r="BZ9" s="108">
        <f si="4" t="shared"/>
        <v>17033</v>
      </c>
      <c r="CA9" s="108">
        <f si="4" t="shared"/>
        <v>15612</v>
      </c>
      <c r="CB9" s="108">
        <f si="4" t="shared"/>
        <v>99098</v>
      </c>
      <c r="CC9" s="108">
        <f si="4" t="shared"/>
        <v>65730</v>
      </c>
      <c r="CD9" s="108">
        <f si="4" t="shared"/>
        <v>3746</v>
      </c>
      <c r="CE9" s="108">
        <f si="4" t="shared"/>
        <v>40943</v>
      </c>
      <c r="CF9" s="108">
        <f si="4" t="shared"/>
        <v>13127</v>
      </c>
      <c r="CG9" s="108">
        <f si="4" t="shared"/>
        <v>38310</v>
      </c>
      <c r="CH9" s="108">
        <f si="4" t="shared"/>
        <v>144341</v>
      </c>
      <c r="CI9" s="108">
        <f si="4" t="shared"/>
        <v>53417</v>
      </c>
      <c r="CJ9" s="108">
        <f si="4" t="shared"/>
        <v>11908</v>
      </c>
      <c r="CK9" s="108">
        <f si="4" t="shared"/>
        <v>23778</v>
      </c>
      <c r="CL9" s="108">
        <f si="4" t="shared"/>
        <v>3306</v>
      </c>
      <c r="CM9" s="108">
        <f si="4" t="shared"/>
        <v>9368</v>
      </c>
      <c r="CN9" s="108">
        <f si="4" t="shared"/>
        <v>13081</v>
      </c>
      <c r="CO9" s="108">
        <f si="4" t="shared"/>
        <v>22540</v>
      </c>
      <c r="CP9" s="108">
        <f si="4" t="shared"/>
        <v>15078</v>
      </c>
      <c r="CQ9" s="108">
        <f si="4" t="shared"/>
        <v>0</v>
      </c>
      <c r="CR9" s="108">
        <f si="4" t="shared"/>
        <v>696114</v>
      </c>
    </row>
    <row r="10" spans="1:96" x14ac:dyDescent="0.25">
      <c r="A10">
        <v>4</v>
      </c>
      <c r="B10" s="77" t="n">
        <v>1276.2508865729076</v>
      </c>
      <c r="C10" s="77" t="n">
        <v>43.9227785280953</v>
      </c>
      <c r="D10" s="77" t="n">
        <v>543.1872496767112</v>
      </c>
      <c r="E10" s="77" t="n">
        <v>488.1079016532053</v>
      </c>
      <c r="F10" s="77" t="n">
        <v>343.11775703119633</v>
      </c>
      <c r="G10" s="77" t="n">
        <v>902.3052556234509</v>
      </c>
      <c r="H10" s="77" t="n">
        <v>710.8447085814855</v>
      </c>
      <c r="I10" s="77" t="n">
        <v>96.1718850138419</v>
      </c>
      <c r="J10" s="77" t="n">
        <v>195.1969767796336</v>
      </c>
      <c r="K10" s="77" t="n">
        <v>157.8643475752716</v>
      </c>
      <c r="L10" s="77" t="n">
        <v>482.345369818051</v>
      </c>
      <c r="M10" s="77" t="n">
        <v>544.5677072658405</v>
      </c>
      <c r="N10" s="77" t="n">
        <v>20.3685364609446</v>
      </c>
      <c r="O10" s="77" t="n">
        <v>0.0</v>
      </c>
      <c r="P10" s="77" t="n">
        <v>0.0</v>
      </c>
      <c r="Q10" s="77" t="n">
        <v>0.0</v>
      </c>
      <c r="R10" s="77" t="n">
        <v>0.0</v>
      </c>
      <c r="S10" s="77" t="n">
        <v>0.0</v>
      </c>
      <c r="T10" s="77" t="n">
        <v>36.0897406788146</v>
      </c>
      <c r="U10" s="77" t="n">
        <v>0.0</v>
      </c>
      <c r="V10" s="77"/>
      <c r="W10" s="77">
        <f si="1" t="shared"/>
        <v>5840.3411012594488</v>
      </c>
      <c r="X10" s="15"/>
      <c r="Y10" s="95">
        <v>4</v>
      </c>
      <c r="Z10" s="77">
        <v>1473</v>
      </c>
      <c r="AA10" s="77">
        <v>876</v>
      </c>
      <c r="AB10" s="77">
        <v>712</v>
      </c>
      <c r="AC10" s="77">
        <v>990</v>
      </c>
      <c r="AD10" s="77">
        <v>796</v>
      </c>
      <c r="AE10" s="77">
        <v>2669</v>
      </c>
      <c r="AF10" s="77">
        <v>800</v>
      </c>
      <c r="AG10" s="77">
        <v>144</v>
      </c>
      <c r="AH10" s="77">
        <v>762</v>
      </c>
      <c r="AI10" s="77">
        <v>377</v>
      </c>
      <c r="AJ10" s="77">
        <v>650</v>
      </c>
      <c r="AK10" s="77">
        <v>1830</v>
      </c>
      <c r="AL10" s="77">
        <v>197</v>
      </c>
      <c r="AM10" s="77">
        <v>74</v>
      </c>
      <c r="AN10" s="77">
        <v>113</v>
      </c>
      <c r="AO10" s="77">
        <v>48</v>
      </c>
      <c r="AP10" s="77">
        <v>37</v>
      </c>
      <c r="AQ10" s="77">
        <v>68</v>
      </c>
      <c r="AR10" s="77">
        <v>96</v>
      </c>
      <c r="AS10" s="77">
        <v>24</v>
      </c>
      <c r="AT10" s="77"/>
      <c r="AU10" s="77">
        <f si="2" t="shared"/>
        <v>12736</v>
      </c>
      <c r="AV10" s="14"/>
      <c r="AW10" s="95">
        <v>4</v>
      </c>
      <c r="AX10" s="77" t="n">
        <v>1254.0</v>
      </c>
      <c r="AY10" s="77" t="n">
        <v>627.0</v>
      </c>
      <c r="AZ10" s="77" t="n">
        <v>575.0</v>
      </c>
      <c r="BA10" s="77" t="n">
        <v>914.0</v>
      </c>
      <c r="BB10" s="77" t="n">
        <v>541.0</v>
      </c>
      <c r="BC10" s="77" t="n">
        <v>2467.0</v>
      </c>
      <c r="BD10" s="77" t="n">
        <v>247.0</v>
      </c>
      <c r="BE10" s="77" t="n">
        <v>133.0</v>
      </c>
      <c r="BF10" s="77" t="n">
        <v>348.0</v>
      </c>
      <c r="BG10" s="77" t="n">
        <v>333.0</v>
      </c>
      <c r="BH10" s="77" t="n">
        <v>418.0</v>
      </c>
      <c r="BI10" s="77" t="n">
        <v>1162.0</v>
      </c>
      <c r="BJ10" s="77" t="n">
        <v>29.0</v>
      </c>
      <c r="BK10" s="77" t="n">
        <v>59.0</v>
      </c>
      <c r="BL10" s="77" t="n">
        <v>25.0</v>
      </c>
      <c r="BM10" s="77" t="n">
        <v>26.0</v>
      </c>
      <c r="BN10" s="77" t="n">
        <v>16.0</v>
      </c>
      <c r="BO10" s="77" t="n">
        <v>7.0</v>
      </c>
      <c r="BP10" s="77" t="n">
        <v>57.0</v>
      </c>
      <c r="BQ10" s="77" t="n">
        <v>1.0</v>
      </c>
      <c r="BR10" s="77"/>
      <c r="BS10" s="77">
        <f si="3" t="shared"/>
        <v>9185</v>
      </c>
      <c r="BT10" s="102"/>
      <c r="BV10" s="6" t="s">
        <v>348</v>
      </c>
      <c r="BW10" s="135">
        <f ref="BW10:CR10" si="5" t="shared">AX28</f>
        <v>49682</v>
      </c>
      <c r="BX10" s="135">
        <f si="5" t="shared"/>
        <v>34115</v>
      </c>
      <c r="BY10" s="135">
        <f si="5" t="shared"/>
        <v>18351</v>
      </c>
      <c r="BZ10" s="135">
        <f si="5" t="shared"/>
        <v>16035</v>
      </c>
      <c r="CA10" s="135">
        <f si="5" t="shared"/>
        <v>15173</v>
      </c>
      <c r="CB10" s="135">
        <f si="5" t="shared"/>
        <v>96685</v>
      </c>
      <c r="CC10" s="135">
        <f si="5" t="shared"/>
        <v>64115</v>
      </c>
      <c r="CD10" s="135">
        <f si="5" t="shared"/>
        <v>3527</v>
      </c>
      <c r="CE10" s="135">
        <f si="5" t="shared"/>
        <v>38822</v>
      </c>
      <c r="CF10" s="135">
        <f si="5" t="shared"/>
        <v>12586</v>
      </c>
      <c r="CG10" s="135">
        <f si="5" t="shared"/>
        <v>36741</v>
      </c>
      <c r="CH10" s="135">
        <f si="5" t="shared"/>
        <v>141088</v>
      </c>
      <c r="CI10" s="135">
        <f si="5" t="shared"/>
        <v>52606</v>
      </c>
      <c r="CJ10" s="135">
        <f si="5" t="shared"/>
        <v>11087</v>
      </c>
      <c r="CK10" s="135">
        <f si="5" t="shared"/>
        <v>21781</v>
      </c>
      <c r="CL10" s="135">
        <f si="5" t="shared"/>
        <v>3189</v>
      </c>
      <c r="CM10" s="135">
        <f si="5" t="shared"/>
        <v>9193</v>
      </c>
      <c r="CN10" s="135">
        <f si="5" t="shared"/>
        <v>12357</v>
      </c>
      <c r="CO10" s="135">
        <f si="5" t="shared"/>
        <v>21772</v>
      </c>
      <c r="CP10" s="135">
        <f si="5" t="shared"/>
        <v>14895</v>
      </c>
      <c r="CQ10" s="135">
        <f si="5" t="shared"/>
        <v>0</v>
      </c>
      <c r="CR10" s="135">
        <f si="5" t="shared"/>
        <v>673800</v>
      </c>
    </row>
    <row r="11" spans="1:96" x14ac:dyDescent="0.25">
      <c r="A11">
        <v>5</v>
      </c>
      <c r="B11" s="77" t="n">
        <v>574.3659956061215</v>
      </c>
      <c r="C11" s="77" t="n">
        <v>361.76700185158</v>
      </c>
      <c r="D11" s="77" t="n">
        <v>35.9575393456026</v>
      </c>
      <c r="E11" s="77" t="n">
        <v>183.94827326038052</v>
      </c>
      <c r="F11" s="77" t="n">
        <v>798.9519433969274</v>
      </c>
      <c r="G11" s="77" t="n">
        <v>2061.708884603784</v>
      </c>
      <c r="H11" s="77" t="n">
        <v>370.5933517595393</v>
      </c>
      <c r="I11" s="77" t="n">
        <v>36.0897406788146</v>
      </c>
      <c r="J11" s="77" t="n">
        <v>353.64172964642864</v>
      </c>
      <c r="K11" s="77" t="n">
        <v>758.1691309088683</v>
      </c>
      <c r="L11" s="77" t="n">
        <v>35.9575393456026</v>
      </c>
      <c r="M11" s="77" t="n">
        <v>2435.917178213014</v>
      </c>
      <c r="N11" s="77" t="n">
        <v>0.0</v>
      </c>
      <c r="O11" s="77" t="n">
        <v>0.0</v>
      </c>
      <c r="P11" s="77" t="n">
        <v>0.0</v>
      </c>
      <c r="Q11" s="77" t="n">
        <v>0.0</v>
      </c>
      <c r="R11" s="77" t="n">
        <v>52.0254430765903</v>
      </c>
      <c r="S11" s="77" t="n">
        <v>0.0</v>
      </c>
      <c r="T11" s="77" t="n">
        <v>0.0</v>
      </c>
      <c r="U11" s="77" t="n">
        <v>30.3573589496342</v>
      </c>
      <c r="V11" s="77"/>
      <c r="W11" s="77">
        <f si="1" t="shared"/>
        <v>8089.4511106428872</v>
      </c>
      <c r="X11" s="15"/>
      <c r="Y11" s="95">
        <v>5</v>
      </c>
      <c r="Z11" s="77">
        <v>1450</v>
      </c>
      <c r="AA11" s="77">
        <v>555</v>
      </c>
      <c r="AB11" s="77">
        <v>393</v>
      </c>
      <c r="AC11" s="77">
        <v>462</v>
      </c>
      <c r="AD11" s="77">
        <v>789</v>
      </c>
      <c r="AE11" s="77">
        <v>2584</v>
      </c>
      <c r="AF11" s="77">
        <v>515</v>
      </c>
      <c r="AG11" s="77">
        <v>87</v>
      </c>
      <c r="AH11" s="77">
        <v>446</v>
      </c>
      <c r="AI11" s="77">
        <v>377</v>
      </c>
      <c r="AJ11" s="77">
        <v>379</v>
      </c>
      <c r="AK11" s="77">
        <v>2022</v>
      </c>
      <c r="AL11" s="77">
        <v>177</v>
      </c>
      <c r="AM11" s="77">
        <v>58</v>
      </c>
      <c r="AN11" s="77">
        <v>75</v>
      </c>
      <c r="AO11" s="77">
        <v>59</v>
      </c>
      <c r="AP11" s="77">
        <v>35</v>
      </c>
      <c r="AQ11" s="77">
        <v>50</v>
      </c>
      <c r="AR11" s="77">
        <v>59</v>
      </c>
      <c r="AS11" s="77">
        <v>20</v>
      </c>
      <c r="AT11" s="77"/>
      <c r="AU11" s="77">
        <f si="2" t="shared"/>
        <v>10592</v>
      </c>
      <c r="AV11" s="14"/>
      <c r="AW11" s="95">
        <v>5</v>
      </c>
      <c r="AX11" s="77" t="n">
        <v>1128.0</v>
      </c>
      <c r="AY11" s="77" t="n">
        <v>497.0</v>
      </c>
      <c r="AZ11" s="77" t="n">
        <v>274.0</v>
      </c>
      <c r="BA11" s="77" t="n">
        <v>429.0</v>
      </c>
      <c r="BB11" s="77" t="n">
        <v>793.0</v>
      </c>
      <c r="BC11" s="77" t="n">
        <v>3221.0</v>
      </c>
      <c r="BD11" s="77" t="n">
        <v>226.0</v>
      </c>
      <c r="BE11" s="77" t="n">
        <v>97.0</v>
      </c>
      <c r="BF11" s="77" t="n">
        <v>254.0</v>
      </c>
      <c r="BG11" s="77" t="n">
        <v>465.0</v>
      </c>
      <c r="BH11" s="77" t="n">
        <v>199.0</v>
      </c>
      <c r="BI11" s="77" t="n">
        <v>1169.0</v>
      </c>
      <c r="BJ11" s="77" t="n">
        <v>26.0</v>
      </c>
      <c r="BK11" s="77" t="n">
        <v>16.0</v>
      </c>
      <c r="BL11" s="77" t="n">
        <v>29.0</v>
      </c>
      <c r="BM11" s="77" t="n">
        <v>39.0</v>
      </c>
      <c r="BN11" s="77" t="n">
        <v>10.0</v>
      </c>
      <c r="BO11" s="77" t="n">
        <v>3.0</v>
      </c>
      <c r="BP11" s="77" t="n">
        <v>38.0</v>
      </c>
      <c r="BQ11" s="77" t="n">
        <v>8.0</v>
      </c>
      <c r="BR11" s="77"/>
      <c r="BS11" s="77">
        <f si="3" t="shared"/>
        <v>8958</v>
      </c>
      <c r="BT11" s="102"/>
      <c r="BU11" t="s">
        <v>350</v>
      </c>
      <c r="BV11" s="95" t="s">
        <v>346</v>
      </c>
      <c r="BW11" s="108">
        <f ref="BW11:CR11" si="6" t="shared">B55</f>
        <v>71768.093765829864</v>
      </c>
      <c r="BX11" s="108">
        <f si="6" t="shared"/>
        <v>28492.183498040809</v>
      </c>
      <c r="BY11" s="108">
        <f si="6" t="shared"/>
        <v>17950.650402865198</v>
      </c>
      <c r="BZ11" s="108">
        <f si="6" t="shared"/>
        <v>21095.862187828829</v>
      </c>
      <c r="CA11" s="108">
        <f si="6" t="shared"/>
        <v>19763.82555432988</v>
      </c>
      <c r="CB11" s="108">
        <f si="6" t="shared"/>
        <v>102237.8330358493</v>
      </c>
      <c r="CC11" s="108">
        <f si="6" t="shared"/>
        <v>63609.869893997158</v>
      </c>
      <c r="CD11" s="108">
        <f si="6" t="shared"/>
        <v>5998.1297194074823</v>
      </c>
      <c r="CE11" s="108">
        <f si="6" t="shared"/>
        <v>44482.487337899052</v>
      </c>
      <c r="CF11" s="108">
        <f si="6" t="shared"/>
        <v>10612.906882947353</v>
      </c>
      <c r="CG11" s="108">
        <f si="6" t="shared"/>
        <v>36051.69920537289</v>
      </c>
      <c r="CH11" s="108">
        <f si="6" t="shared"/>
        <v>126709.21863464455</v>
      </c>
      <c r="CI11" s="108">
        <f si="6" t="shared"/>
        <v>47572.981470857339</v>
      </c>
      <c r="CJ11" s="108">
        <f si="6" t="shared"/>
        <v>12842.884357732497</v>
      </c>
      <c r="CK11" s="108">
        <f si="6" t="shared"/>
        <v>15252.906857906313</v>
      </c>
      <c r="CL11" s="108">
        <f si="6" t="shared"/>
        <v>1768.9546362977003</v>
      </c>
      <c r="CM11" s="108">
        <f si="6" t="shared"/>
        <v>8150.2534361091839</v>
      </c>
      <c r="CN11" s="108">
        <f si="6" t="shared"/>
        <v>10181.906185193111</v>
      </c>
      <c r="CO11" s="108">
        <f si="6" t="shared"/>
        <v>14933.803838945465</v>
      </c>
      <c r="CP11" s="108">
        <f si="6" t="shared"/>
        <v>14323.549097946079</v>
      </c>
      <c r="CQ11" s="108">
        <f si="6" t="shared"/>
        <v>0</v>
      </c>
      <c r="CR11" s="108">
        <f si="6" t="shared"/>
        <v>673800</v>
      </c>
    </row>
    <row r="12" spans="1:96" x14ac:dyDescent="0.25">
      <c r="A12">
        <v>6</v>
      </c>
      <c r="B12" s="77" t="n">
        <v>5356.049767482254</v>
      </c>
      <c r="C12" s="77" t="n">
        <v>1874.9705649983448</v>
      </c>
      <c r="D12" s="77" t="n">
        <v>435.6571206072363</v>
      </c>
      <c r="E12" s="77" t="n">
        <v>197.499113292929</v>
      </c>
      <c r="F12" s="77" t="n">
        <v>627.154824575576</v>
      </c>
      <c r="G12" s="77" t="n">
        <v>18328.944303956596</v>
      </c>
      <c r="H12" s="77" t="n">
        <v>1845.459837689025</v>
      </c>
      <c r="I12" s="77" t="n">
        <v>0.0</v>
      </c>
      <c r="J12" s="77" t="n">
        <v>226.92794271719129</v>
      </c>
      <c r="K12" s="77" t="n">
        <v>679.3632902461387</v>
      </c>
      <c r="L12" s="77" t="n">
        <v>647.587688612143</v>
      </c>
      <c r="M12" s="77" t="n">
        <v>7213.228418490538</v>
      </c>
      <c r="N12" s="77" t="n">
        <v>141.346262897218</v>
      </c>
      <c r="O12" s="77" t="n">
        <v>0.0</v>
      </c>
      <c r="P12" s="77" t="n">
        <v>460.7619495573452</v>
      </c>
      <c r="Q12" s="77" t="n">
        <v>0.0</v>
      </c>
      <c r="R12" s="77" t="n">
        <v>0.0</v>
      </c>
      <c r="S12" s="77" t="n">
        <v>36.0897406788146</v>
      </c>
      <c r="T12" s="77" t="n">
        <v>0.0</v>
      </c>
      <c r="U12" s="77" t="n">
        <v>0.0</v>
      </c>
      <c r="V12" s="77"/>
      <c r="W12" s="77">
        <f si="1" t="shared"/>
        <v>38071.040825801349</v>
      </c>
      <c r="X12" s="15"/>
      <c r="Y12" s="95">
        <v>6</v>
      </c>
      <c r="Z12" s="77">
        <v>2897</v>
      </c>
      <c r="AA12" s="77">
        <v>842</v>
      </c>
      <c r="AB12" s="77">
        <v>551</v>
      </c>
      <c r="AC12" s="77">
        <v>554</v>
      </c>
      <c r="AD12" s="77">
        <v>771</v>
      </c>
      <c r="AE12" s="77">
        <v>7174</v>
      </c>
      <c r="AF12" s="77">
        <v>953</v>
      </c>
      <c r="AG12" s="77">
        <v>62</v>
      </c>
      <c r="AH12" s="77">
        <v>778</v>
      </c>
      <c r="AI12" s="77">
        <v>520</v>
      </c>
      <c r="AJ12" s="77">
        <v>482</v>
      </c>
      <c r="AK12" s="77">
        <v>4647</v>
      </c>
      <c r="AL12" s="77">
        <v>387</v>
      </c>
      <c r="AM12" s="77">
        <v>77</v>
      </c>
      <c r="AN12" s="77">
        <v>163</v>
      </c>
      <c r="AO12" s="77">
        <v>114</v>
      </c>
      <c r="AP12" s="77">
        <v>44</v>
      </c>
      <c r="AQ12" s="77">
        <v>112</v>
      </c>
      <c r="AR12" s="77">
        <v>147</v>
      </c>
      <c r="AS12" s="77">
        <v>48</v>
      </c>
      <c r="AT12" s="77"/>
      <c r="AU12" s="77">
        <f si="2" t="shared"/>
        <v>21323</v>
      </c>
      <c r="AV12" s="15"/>
      <c r="AW12" s="95">
        <v>6</v>
      </c>
      <c r="AX12" s="77" t="n">
        <v>3183.0</v>
      </c>
      <c r="AY12" s="77" t="n">
        <v>1531.0</v>
      </c>
      <c r="AZ12" s="77" t="n">
        <v>617.0</v>
      </c>
      <c r="BA12" s="77" t="n">
        <v>794.0</v>
      </c>
      <c r="BB12" s="77" t="n">
        <v>1134.0</v>
      </c>
      <c r="BC12" s="77" t="n">
        <v>11024.0</v>
      </c>
      <c r="BD12" s="77" t="n">
        <v>753.0</v>
      </c>
      <c r="BE12" s="77" t="n">
        <v>194.0</v>
      </c>
      <c r="BF12" s="77" t="n">
        <v>674.0</v>
      </c>
      <c r="BG12" s="77" t="n">
        <v>745.0</v>
      </c>
      <c r="BH12" s="77" t="n">
        <v>393.0</v>
      </c>
      <c r="BI12" s="77" t="n">
        <v>4390.0</v>
      </c>
      <c r="BJ12" s="77" t="n">
        <v>72.0</v>
      </c>
      <c r="BK12" s="77" t="n">
        <v>41.0</v>
      </c>
      <c r="BL12" s="77" t="n">
        <v>71.0</v>
      </c>
      <c r="BM12" s="77" t="n">
        <v>97.0</v>
      </c>
      <c r="BN12" s="77" t="n">
        <v>28.0</v>
      </c>
      <c r="BO12" s="77" t="n">
        <v>19.0</v>
      </c>
      <c r="BP12" s="77" t="n">
        <v>77.0</v>
      </c>
      <c r="BQ12" s="77" t="n">
        <v>9.0</v>
      </c>
      <c r="BR12" s="77"/>
      <c r="BS12" s="77">
        <f si="3" t="shared"/>
        <v>25845</v>
      </c>
      <c r="BT12" s="102"/>
      <c r="BV12" s="95" t="s">
        <v>360</v>
      </c>
      <c r="BW12" s="58">
        <f>Flow_ODData!C52</f>
        <v>24843.661500699181</v>
      </c>
      <c r="BX12" s="58">
        <f>Flow_ODData!D52</f>
        <v>25864.739418215606</v>
      </c>
      <c r="BY12" s="58">
        <f>Flow_ODData!E52</f>
        <v>27324.569746504709</v>
      </c>
      <c r="BZ12" s="58">
        <f>Flow_ODData!F52</f>
        <v>15375.66186579631</v>
      </c>
      <c r="CA12" s="58">
        <f>Flow_ODData!G52</f>
        <v>14331.560781084017</v>
      </c>
      <c r="CB12" s="58">
        <f>Flow_ODData!H52</f>
        <v>44297.739862857299</v>
      </c>
      <c r="CC12" s="58">
        <f>Flow_ODData!I52</f>
        <v>77640.904203110811</v>
      </c>
      <c r="CD12" s="58">
        <f>Flow_ODData!J52</f>
        <v>3828.2786322230609</v>
      </c>
      <c r="CE12" s="58">
        <f>Flow_ODData!K52</f>
        <v>48019.217578948337</v>
      </c>
      <c r="CF12" s="58">
        <f>Flow_ODData!L52</f>
        <v>18353.198313887569</v>
      </c>
      <c r="CG12" s="58">
        <f>Flow_ODData!M52</f>
        <v>45168.776838876707</v>
      </c>
      <c r="CH12" s="58">
        <f>Flow_ODData!N52</f>
        <v>114617.77838416446</v>
      </c>
      <c r="CI12" s="58">
        <f>Flow_ODData!O52</f>
        <v>74895.446962256799</v>
      </c>
      <c r="CJ12" s="58">
        <f>Flow_ODData!P52</f>
        <v>16971.995301680625</v>
      </c>
      <c r="CK12" s="58">
        <f>Flow_ODData!Q52</f>
        <v>27362.859869233089</v>
      </c>
      <c r="CL12" s="58">
        <f>Flow_ODData!R52</f>
        <v>7645.9460753926933</v>
      </c>
      <c r="CM12" s="58">
        <f>Flow_ODData!S52</f>
        <v>12621.133611787647</v>
      </c>
      <c r="CN12" s="58">
        <f>Flow_ODData!T52</f>
        <v>21058.629475995549</v>
      </c>
      <c r="CO12" s="58">
        <f>Flow_ODData!U52</f>
        <v>28226.454567200042</v>
      </c>
      <c r="CP12" s="58">
        <f>Flow_ODData!V52</f>
        <v>25351.447010085572</v>
      </c>
      <c r="CQ12" s="58">
        <f>Flow_ODData!W52</f>
        <v>0</v>
      </c>
      <c r="CR12" s="58">
        <f>Flow_ODData!X52</f>
        <v>673800</v>
      </c>
    </row>
    <row customFormat="1" r="13" s="95" spans="1:96" x14ac:dyDescent="0.25">
      <c r="A13" s="95">
        <v>7</v>
      </c>
      <c r="B13" s="77" t="n">
        <v>3066.9388675119544</v>
      </c>
      <c r="C13" s="77" t="n">
        <v>3932.8170870622607</v>
      </c>
      <c r="D13" s="77" t="n">
        <v>286.6705529732876</v>
      </c>
      <c r="E13" s="77" t="n">
        <v>1215.5555178368609</v>
      </c>
      <c r="F13" s="77" t="n">
        <v>1561.2957579716963</v>
      </c>
      <c r="G13" s="77" t="n">
        <v>6537.972285482105</v>
      </c>
      <c r="H13" s="77" t="n">
        <v>12758.73882534685</v>
      </c>
      <c r="I13" s="77" t="n">
        <v>44.5133036030317</v>
      </c>
      <c r="J13" s="77" t="n">
        <v>3341.5320117996257</v>
      </c>
      <c r="K13" s="77" t="n">
        <v>149.810085763903</v>
      </c>
      <c r="L13" s="77" t="n">
        <v>0.0</v>
      </c>
      <c r="M13" s="77" t="n">
        <v>7343.7507529330605</v>
      </c>
      <c r="N13" s="77" t="n">
        <v>2600.1234704329495</v>
      </c>
      <c r="O13" s="77" t="n">
        <v>0.0</v>
      </c>
      <c r="P13" s="77" t="n">
        <v>235.0883154381624</v>
      </c>
      <c r="Q13" s="77" t="n">
        <v>35.1282771891267</v>
      </c>
      <c r="R13" s="77" t="n">
        <v>0.0</v>
      </c>
      <c r="S13" s="77" t="n">
        <v>207.5308448795327</v>
      </c>
      <c r="T13" s="77" t="n">
        <v>56.3220904195861</v>
      </c>
      <c r="U13" s="77" t="n">
        <v>0.0</v>
      </c>
      <c r="V13" s="77"/>
      <c r="W13" s="77">
        <f si="1" t="shared"/>
        <v>43373.788046643989</v>
      </c>
      <c r="X13" s="15"/>
      <c r="Y13" s="95">
        <v>7</v>
      </c>
      <c r="Z13" s="77">
        <v>5297</v>
      </c>
      <c r="AA13" s="77">
        <v>5379</v>
      </c>
      <c r="AB13" s="77">
        <v>2374</v>
      </c>
      <c r="AC13" s="77">
        <v>1871</v>
      </c>
      <c r="AD13" s="77">
        <v>1716</v>
      </c>
      <c r="AE13" s="77">
        <v>10435</v>
      </c>
      <c r="AF13" s="77">
        <v>18364</v>
      </c>
      <c r="AG13" s="77">
        <v>334</v>
      </c>
      <c r="AH13" s="77">
        <v>5327</v>
      </c>
      <c r="AI13" s="77">
        <v>1302</v>
      </c>
      <c r="AJ13" s="77">
        <v>2693</v>
      </c>
      <c r="AK13" s="77">
        <v>16274</v>
      </c>
      <c r="AL13" s="77">
        <v>5610</v>
      </c>
      <c r="AM13" s="77">
        <v>259</v>
      </c>
      <c r="AN13" s="77">
        <v>1632</v>
      </c>
      <c r="AO13" s="77">
        <v>209</v>
      </c>
      <c r="AP13" s="77">
        <v>198</v>
      </c>
      <c r="AQ13" s="77">
        <v>759</v>
      </c>
      <c r="AR13" s="77">
        <v>475</v>
      </c>
      <c r="AS13" s="77">
        <v>297</v>
      </c>
      <c r="AT13" s="77"/>
      <c r="AU13" s="77">
        <f si="2" t="shared"/>
        <v>80805</v>
      </c>
      <c r="AV13" s="15"/>
      <c r="AW13" s="95">
        <v>7</v>
      </c>
      <c r="AX13" s="77" t="n">
        <v>4959.0</v>
      </c>
      <c r="AY13" s="77" t="n">
        <v>5162.0</v>
      </c>
      <c r="AZ13" s="77" t="n">
        <v>1722.0</v>
      </c>
      <c r="BA13" s="77" t="n">
        <v>1299.0</v>
      </c>
      <c r="BB13" s="77" t="n">
        <v>1309.0</v>
      </c>
      <c r="BC13" s="77" t="n">
        <v>9069.0</v>
      </c>
      <c r="BD13" s="77" t="n">
        <v>20972.0</v>
      </c>
      <c r="BE13" s="77" t="n">
        <v>312.0</v>
      </c>
      <c r="BF13" s="77" t="n">
        <v>5227.0</v>
      </c>
      <c r="BG13" s="77" t="n">
        <v>917.0</v>
      </c>
      <c r="BH13" s="77" t="n">
        <v>971.0</v>
      </c>
      <c r="BI13" s="77" t="n">
        <v>19861.0</v>
      </c>
      <c r="BJ13" s="77" t="n">
        <v>6719.0</v>
      </c>
      <c r="BK13" s="77" t="n">
        <v>63.0</v>
      </c>
      <c r="BL13" s="77" t="n">
        <v>991.0</v>
      </c>
      <c r="BM13" s="77" t="n">
        <v>105.0</v>
      </c>
      <c r="BN13" s="77" t="n">
        <v>65.0</v>
      </c>
      <c r="BO13" s="77" t="n">
        <v>312.0</v>
      </c>
      <c r="BP13" s="77" t="n">
        <v>197.0</v>
      </c>
      <c r="BQ13" s="77" t="n">
        <v>57.0</v>
      </c>
      <c r="BR13" s="77"/>
      <c r="BS13" s="77">
        <f si="3" t="shared"/>
        <v>80745</v>
      </c>
      <c r="BT13" s="102"/>
      <c r="BU13"/>
      <c r="BV13" s="95" t="s">
        <v>347</v>
      </c>
      <c r="BW13" s="108">
        <f ref="BW13:CR13" si="7" t="shared">Z55</f>
        <v>49826.091080591927</v>
      </c>
      <c r="BX13" s="108">
        <f si="7" t="shared"/>
        <v>33819.719318941352</v>
      </c>
      <c r="BY13" s="108">
        <f si="7" t="shared"/>
        <v>18582.417499791751</v>
      </c>
      <c r="BZ13" s="108">
        <f si="7" t="shared"/>
        <v>16236.883961394382</v>
      </c>
      <c r="CA13" s="108">
        <f si="7" t="shared"/>
        <v>15029.609620549096</v>
      </c>
      <c r="CB13" s="108">
        <f si="7" t="shared"/>
        <v>97301.751523931598</v>
      </c>
      <c r="CC13" s="108">
        <f si="7" t="shared"/>
        <v>64337.962781391827</v>
      </c>
      <c r="CD13" s="108">
        <f si="7" t="shared"/>
        <v>3538.7606834884073</v>
      </c>
      <c r="CE13" s="108">
        <f si="7" t="shared"/>
        <v>39525.670062138488</v>
      </c>
      <c r="CF13" s="108">
        <f si="7" t="shared"/>
        <v>12777.292692961244</v>
      </c>
      <c r="CG13" s="108">
        <f si="7" t="shared"/>
        <v>36303.793335936367</v>
      </c>
      <c r="CH13" s="108">
        <f si="7" t="shared"/>
        <v>142489.58738938224</v>
      </c>
      <c r="CI13" s="108">
        <f si="7" t="shared"/>
        <v>52316.598933068235</v>
      </c>
      <c r="CJ13" s="108">
        <f si="7" t="shared"/>
        <v>10795.83624303071</v>
      </c>
      <c r="CK13" s="108">
        <f si="7" t="shared"/>
        <v>22068.377475144262</v>
      </c>
      <c r="CL13" s="108">
        <f si="7" t="shared"/>
        <v>3170.8742212042634</v>
      </c>
      <c r="CM13" s="108">
        <f si="7" t="shared"/>
        <v>8658.3248663277209</v>
      </c>
      <c r="CN13" s="108">
        <f si="7" t="shared"/>
        <v>12436.167866658989</v>
      </c>
      <c r="CO13" s="108">
        <f si="7" t="shared"/>
        <v>20828.406746613717</v>
      </c>
      <c r="CP13" s="108">
        <f si="7" t="shared"/>
        <v>13755.873697453415</v>
      </c>
      <c r="CQ13" s="108">
        <f si="7" t="shared"/>
        <v>0</v>
      </c>
      <c r="CR13" s="108">
        <f si="7" t="shared"/>
        <v>673799.99999999988</v>
      </c>
    </row>
    <row r="14" spans="1:96" x14ac:dyDescent="0.25">
      <c r="A14" s="95">
        <v>8</v>
      </c>
      <c r="B14" s="77" t="n">
        <v>680.2712843449588</v>
      </c>
      <c r="C14" s="77" t="n">
        <v>245.85127237785832</v>
      </c>
      <c r="D14" s="77" t="n">
        <v>66.4470996284488</v>
      </c>
      <c r="E14" s="77" t="n">
        <v>244.913599207164</v>
      </c>
      <c r="F14" s="77" t="n">
        <v>184.78074020819162</v>
      </c>
      <c r="G14" s="77" t="n">
        <v>551.6392985390955</v>
      </c>
      <c r="H14" s="77" t="n">
        <v>104.99017091070809</v>
      </c>
      <c r="I14" s="77" t="n">
        <v>336.182940926762</v>
      </c>
      <c r="J14" s="77" t="n">
        <v>321.6757372004288</v>
      </c>
      <c r="K14" s="77" t="n">
        <v>60.2998270903987</v>
      </c>
      <c r="L14" s="77" t="n">
        <v>1614.9525643312595</v>
      </c>
      <c r="M14" s="77" t="n">
        <v>866.9692251962532</v>
      </c>
      <c r="N14" s="77" t="n">
        <v>0.0</v>
      </c>
      <c r="O14" s="77" t="n">
        <v>57.9987694417255</v>
      </c>
      <c r="P14" s="77" t="n">
        <v>52.0254430765903</v>
      </c>
      <c r="Q14" s="77" t="n">
        <v>0.0</v>
      </c>
      <c r="R14" s="77" t="n">
        <v>92.4801859489961</v>
      </c>
      <c r="S14" s="77" t="n">
        <v>57.9987694417255</v>
      </c>
      <c r="T14" s="77" t="n">
        <v>315.859019729177</v>
      </c>
      <c r="U14" s="77" t="n">
        <v>0.0</v>
      </c>
      <c r="V14" s="77"/>
      <c r="W14" s="77">
        <f si="1" t="shared"/>
        <v>5855.3359475997422</v>
      </c>
      <c r="X14" s="15"/>
      <c r="Y14" s="95">
        <v>8</v>
      </c>
      <c r="Z14" s="77">
        <v>556</v>
      </c>
      <c r="AA14" s="77">
        <v>396</v>
      </c>
      <c r="AB14" s="77">
        <v>279</v>
      </c>
      <c r="AC14" s="77">
        <v>297</v>
      </c>
      <c r="AD14" s="77">
        <v>248</v>
      </c>
      <c r="AE14" s="77">
        <v>1112</v>
      </c>
      <c r="AF14" s="77">
        <v>324</v>
      </c>
      <c r="AG14" s="77">
        <v>127</v>
      </c>
      <c r="AH14" s="77">
        <v>338</v>
      </c>
      <c r="AI14" s="77">
        <v>153</v>
      </c>
      <c r="AJ14" s="77">
        <v>451</v>
      </c>
      <c r="AK14" s="77">
        <v>703</v>
      </c>
      <c r="AL14" s="77">
        <v>90</v>
      </c>
      <c r="AM14" s="77">
        <v>101</v>
      </c>
      <c r="AN14" s="77">
        <v>54</v>
      </c>
      <c r="AO14" s="77">
        <v>15</v>
      </c>
      <c r="AP14" s="77">
        <v>35</v>
      </c>
      <c r="AQ14" s="77">
        <v>32</v>
      </c>
      <c r="AR14" s="77">
        <v>49</v>
      </c>
      <c r="AS14" s="77">
        <v>14</v>
      </c>
      <c r="AT14" s="77"/>
      <c r="AU14" s="77">
        <f si="2" t="shared"/>
        <v>5374</v>
      </c>
      <c r="AV14" s="14"/>
      <c r="AW14" s="95">
        <v>8</v>
      </c>
      <c r="AX14" s="77" t="n">
        <v>528.0</v>
      </c>
      <c r="AY14" s="77" t="n">
        <v>316.0</v>
      </c>
      <c r="AZ14" s="77" t="n">
        <v>310.0</v>
      </c>
      <c r="BA14" s="77" t="n">
        <v>331.0</v>
      </c>
      <c r="BB14" s="77" t="n">
        <v>209.0</v>
      </c>
      <c r="BC14" s="77" t="n">
        <v>978.0</v>
      </c>
      <c r="BD14" s="77" t="n">
        <v>105.0</v>
      </c>
      <c r="BE14" s="77" t="n">
        <v>90.0</v>
      </c>
      <c r="BF14" s="77" t="n">
        <v>193.0</v>
      </c>
      <c r="BG14" s="77" t="n">
        <v>113.0</v>
      </c>
      <c r="BH14" s="77" t="n">
        <v>456.0</v>
      </c>
      <c r="BI14" s="77" t="n">
        <v>439.0</v>
      </c>
      <c r="BJ14" s="77" t="n">
        <v>8.0</v>
      </c>
      <c r="BK14" s="77" t="n">
        <v>69.0</v>
      </c>
      <c r="BL14" s="77" t="n">
        <v>18.0</v>
      </c>
      <c r="BM14" s="77" t="n">
        <v>12.0</v>
      </c>
      <c r="BN14" s="77" t="n">
        <v>44.0</v>
      </c>
      <c r="BO14" s="77" t="n">
        <v>5.0</v>
      </c>
      <c r="BP14" s="77" t="n">
        <v>45.0</v>
      </c>
      <c r="BQ14" s="77" t="n">
        <v>1.0</v>
      </c>
      <c r="BR14" s="77"/>
      <c r="BS14" s="77">
        <f si="3" t="shared"/>
        <v>4243</v>
      </c>
      <c r="BT14" s="102"/>
      <c r="BV14" s="6" t="s">
        <v>348</v>
      </c>
      <c r="BW14" s="135">
        <f ref="BW14:CR14" si="8" t="shared">AX55</f>
        <v>49682</v>
      </c>
      <c r="BX14" s="135">
        <f si="8" t="shared"/>
        <v>34115</v>
      </c>
      <c r="BY14" s="135">
        <f si="8" t="shared"/>
        <v>18351</v>
      </c>
      <c r="BZ14" s="135">
        <f si="8" t="shared"/>
        <v>16035</v>
      </c>
      <c r="CA14" s="135">
        <f si="8" t="shared"/>
        <v>15173</v>
      </c>
      <c r="CB14" s="135">
        <f si="8" t="shared"/>
        <v>96685</v>
      </c>
      <c r="CC14" s="135">
        <f si="8" t="shared"/>
        <v>64115</v>
      </c>
      <c r="CD14" s="135">
        <f si="8" t="shared"/>
        <v>3527</v>
      </c>
      <c r="CE14" s="135">
        <f si="8" t="shared"/>
        <v>38822</v>
      </c>
      <c r="CF14" s="135">
        <f si="8" t="shared"/>
        <v>12586</v>
      </c>
      <c r="CG14" s="135">
        <f si="8" t="shared"/>
        <v>36741</v>
      </c>
      <c r="CH14" s="135">
        <f si="8" t="shared"/>
        <v>141088</v>
      </c>
      <c r="CI14" s="135">
        <f si="8" t="shared"/>
        <v>52606</v>
      </c>
      <c r="CJ14" s="135">
        <f si="8" t="shared"/>
        <v>11087</v>
      </c>
      <c r="CK14" s="135">
        <f si="8" t="shared"/>
        <v>21781</v>
      </c>
      <c r="CL14" s="135">
        <f si="8" t="shared"/>
        <v>3189</v>
      </c>
      <c r="CM14" s="135">
        <f si="8" t="shared"/>
        <v>9193</v>
      </c>
      <c r="CN14" s="135">
        <f si="8" t="shared"/>
        <v>12357</v>
      </c>
      <c r="CO14" s="135">
        <f si="8" t="shared"/>
        <v>21772</v>
      </c>
      <c r="CP14" s="135">
        <f si="8" t="shared"/>
        <v>14895</v>
      </c>
      <c r="CQ14" s="135">
        <f si="8" t="shared"/>
        <v>0</v>
      </c>
      <c r="CR14" s="135">
        <f si="8" t="shared"/>
        <v>673800</v>
      </c>
    </row>
    <row r="15" spans="1:96" x14ac:dyDescent="0.25">
      <c r="A15" s="95">
        <v>9</v>
      </c>
      <c r="B15" s="77" t="n">
        <v>7572.909586329161</v>
      </c>
      <c r="C15" s="77" t="n">
        <v>4269.759153089524</v>
      </c>
      <c r="D15" s="77" t="n">
        <v>1224.2709910585247</v>
      </c>
      <c r="E15" s="77" t="n">
        <v>1889.7531282851944</v>
      </c>
      <c r="F15" s="77" t="n">
        <v>1040.83262937931</v>
      </c>
      <c r="G15" s="77" t="n">
        <v>4049.5959947581605</v>
      </c>
      <c r="H15" s="77" t="n">
        <v>4940.191242060208</v>
      </c>
      <c r="I15" s="77" t="n">
        <v>0.0</v>
      </c>
      <c r="J15" s="77" t="n">
        <v>17090.051707385723</v>
      </c>
      <c r="K15" s="77" t="n">
        <v>106.9702092219435</v>
      </c>
      <c r="L15" s="77" t="n">
        <v>811.3048720333094</v>
      </c>
      <c r="M15" s="77" t="n">
        <v>6125.626425327019</v>
      </c>
      <c r="N15" s="77" t="n">
        <v>45.8219463216982</v>
      </c>
      <c r="O15" s="77" t="n">
        <v>0.0</v>
      </c>
      <c r="P15" s="77" t="n">
        <v>1989.4496489029978</v>
      </c>
      <c r="Q15" s="77" t="n">
        <v>0.0</v>
      </c>
      <c r="R15" s="77" t="n">
        <v>163.858503084936</v>
      </c>
      <c r="S15" s="77" t="n">
        <v>331.1828528871716</v>
      </c>
      <c r="T15" s="77" t="n">
        <v>153.546374011163</v>
      </c>
      <c r="U15" s="77" t="n">
        <v>0.0</v>
      </c>
      <c r="V15" s="77"/>
      <c r="W15" s="77">
        <f si="1" t="shared"/>
        <v>51805.125264136048</v>
      </c>
      <c r="X15" s="15"/>
      <c r="Y15" s="95">
        <v>9</v>
      </c>
      <c r="Z15" s="77">
        <v>5524</v>
      </c>
      <c r="AA15" s="77">
        <v>4655</v>
      </c>
      <c r="AB15" s="77">
        <v>2205</v>
      </c>
      <c r="AC15" s="77">
        <v>1658</v>
      </c>
      <c r="AD15" s="77">
        <v>1243</v>
      </c>
      <c r="AE15" s="77">
        <v>9689</v>
      </c>
      <c r="AF15" s="77">
        <v>5508</v>
      </c>
      <c r="AG15" s="77">
        <v>317</v>
      </c>
      <c r="AH15" s="77">
        <v>9598</v>
      </c>
      <c r="AI15" s="77">
        <v>903</v>
      </c>
      <c r="AJ15" s="77">
        <v>3167</v>
      </c>
      <c r="AK15" s="77">
        <v>9119</v>
      </c>
      <c r="AL15" s="77">
        <v>2035</v>
      </c>
      <c r="AM15" s="77">
        <v>283</v>
      </c>
      <c r="AN15" s="77">
        <v>3440</v>
      </c>
      <c r="AO15" s="77">
        <v>132</v>
      </c>
      <c r="AP15" s="77">
        <v>289</v>
      </c>
      <c r="AQ15" s="77">
        <v>270</v>
      </c>
      <c r="AR15" s="77">
        <v>862</v>
      </c>
      <c r="AS15" s="77">
        <v>199</v>
      </c>
      <c r="AT15" s="77"/>
      <c r="AU15" s="77">
        <f si="2" t="shared"/>
        <v>61096</v>
      </c>
      <c r="AV15" s="14"/>
      <c r="AW15" s="95">
        <v>9</v>
      </c>
      <c r="AX15" s="77" t="n">
        <v>5247.0</v>
      </c>
      <c r="AY15" s="77" t="n">
        <v>5406.0</v>
      </c>
      <c r="AZ15" s="77" t="n">
        <v>2384.0</v>
      </c>
      <c r="BA15" s="77" t="n">
        <v>1477.0</v>
      </c>
      <c r="BB15" s="77" t="n">
        <v>1286.0</v>
      </c>
      <c r="BC15" s="77" t="n">
        <v>8721.0</v>
      </c>
      <c r="BD15" s="77" t="n">
        <v>5643.0</v>
      </c>
      <c r="BE15" s="77" t="n">
        <v>286.0</v>
      </c>
      <c r="BF15" s="77" t="n">
        <v>13148.0</v>
      </c>
      <c r="BG15" s="77" t="n">
        <v>674.0</v>
      </c>
      <c r="BH15" s="77" t="n">
        <v>2861.0</v>
      </c>
      <c r="BI15" s="77" t="n">
        <v>7401.0</v>
      </c>
      <c r="BJ15" s="77" t="n">
        <v>1087.0</v>
      </c>
      <c r="BK15" s="77" t="n">
        <v>157.0</v>
      </c>
      <c r="BL15" s="77" t="n">
        <v>2974.0</v>
      </c>
      <c r="BM15" s="77" t="n">
        <v>68.0</v>
      </c>
      <c r="BN15" s="77" t="n">
        <v>127.0</v>
      </c>
      <c r="BO15" s="77" t="n">
        <v>65.0</v>
      </c>
      <c r="BP15" s="77" t="n">
        <v>544.0</v>
      </c>
      <c r="BQ15" s="77" t="n">
        <v>67.0</v>
      </c>
      <c r="BR15" s="77"/>
      <c r="BS15" s="77">
        <f si="3" t="shared"/>
        <v>59563</v>
      </c>
      <c r="BT15" s="102"/>
      <c r="CP15" s="7"/>
      <c r="CQ15" s="7"/>
    </row>
    <row r="16" spans="1:96" x14ac:dyDescent="0.25">
      <c r="A16" s="95">
        <v>10</v>
      </c>
      <c r="B16" s="77" t="n">
        <v>4522.457057073777</v>
      </c>
      <c r="C16" s="77" t="n">
        <v>382.63372723007967</v>
      </c>
      <c r="D16" s="77" t="n">
        <v>629.5979477823143</v>
      </c>
      <c r="E16" s="77" t="n">
        <v>939.8876548681869</v>
      </c>
      <c r="F16" s="77" t="n">
        <v>2770.691152096432</v>
      </c>
      <c r="G16" s="77" t="n">
        <v>8378.335109274129</v>
      </c>
      <c r="H16" s="77" t="n">
        <v>1121.6587339136686</v>
      </c>
      <c r="I16" s="77" t="n">
        <v>701.4359796297533</v>
      </c>
      <c r="J16" s="77" t="n">
        <v>324.6321711567344</v>
      </c>
      <c r="K16" s="77" t="n">
        <v>2963.516299342945</v>
      </c>
      <c r="L16" s="77" t="n">
        <v>506.8665125945405</v>
      </c>
      <c r="M16" s="77" t="n">
        <v>4813.283059824848</v>
      </c>
      <c r="N16" s="77" t="n">
        <v>208.1303191076858</v>
      </c>
      <c r="O16" s="77" t="n">
        <v>102.467534302609</v>
      </c>
      <c r="P16" s="77" t="n">
        <v>0.0</v>
      </c>
      <c r="Q16" s="77" t="n">
        <v>279.550910359326</v>
      </c>
      <c r="R16" s="77" t="n">
        <v>0.0</v>
      </c>
      <c r="S16" s="77" t="n">
        <v>30.3573589496342</v>
      </c>
      <c r="T16" s="77" t="n">
        <v>0.0</v>
      </c>
      <c r="U16" s="77" t="n">
        <v>0.0</v>
      </c>
      <c r="V16" s="77"/>
      <c r="W16" s="77">
        <f si="1" t="shared"/>
        <v>28675.501527506662</v>
      </c>
      <c r="X16" s="7"/>
      <c r="Y16" s="95">
        <v>10</v>
      </c>
      <c r="Z16" s="77">
        <v>2598</v>
      </c>
      <c r="AA16" s="77">
        <v>930</v>
      </c>
      <c r="AB16" s="77">
        <v>482</v>
      </c>
      <c r="AC16" s="77">
        <v>722</v>
      </c>
      <c r="AD16" s="77">
        <v>1195</v>
      </c>
      <c r="AE16" s="77">
        <v>6266</v>
      </c>
      <c r="AF16" s="77">
        <v>971</v>
      </c>
      <c r="AG16" s="77">
        <v>207</v>
      </c>
      <c r="AH16" s="77">
        <v>905</v>
      </c>
      <c r="AI16" s="77">
        <v>1897</v>
      </c>
      <c r="AJ16" s="77">
        <v>679</v>
      </c>
      <c r="AK16" s="77">
        <v>5658</v>
      </c>
      <c r="AL16" s="77">
        <v>416</v>
      </c>
      <c r="AM16" s="77">
        <v>134</v>
      </c>
      <c r="AN16" s="77">
        <v>146</v>
      </c>
      <c r="AO16" s="77">
        <v>400</v>
      </c>
      <c r="AP16" s="77">
        <v>56</v>
      </c>
      <c r="AQ16" s="77">
        <v>133</v>
      </c>
      <c r="AR16" s="77">
        <v>171</v>
      </c>
      <c r="AS16" s="77">
        <v>75</v>
      </c>
      <c r="AT16" s="77"/>
      <c r="AU16" s="77">
        <f si="2" t="shared"/>
        <v>24041</v>
      </c>
      <c r="AW16" s="95">
        <v>10</v>
      </c>
      <c r="AX16" s="77" t="n">
        <v>2591.0</v>
      </c>
      <c r="AY16" s="77" t="n">
        <v>1177.0</v>
      </c>
      <c r="AZ16" s="77" t="n">
        <v>590.0</v>
      </c>
      <c r="BA16" s="77" t="n">
        <v>996.0</v>
      </c>
      <c r="BB16" s="77" t="n">
        <v>1369.0</v>
      </c>
      <c r="BC16" s="77" t="n">
        <v>6844.0</v>
      </c>
      <c r="BD16" s="77" t="n">
        <v>636.0</v>
      </c>
      <c r="BE16" s="77" t="n">
        <v>333.0</v>
      </c>
      <c r="BF16" s="77" t="n">
        <v>580.0</v>
      </c>
      <c r="BG16" s="77" t="n">
        <v>2454.0</v>
      </c>
      <c r="BH16" s="77" t="n">
        <v>446.0</v>
      </c>
      <c r="BI16" s="77" t="n">
        <v>6344.0</v>
      </c>
      <c r="BJ16" s="77" t="n">
        <v>81.0</v>
      </c>
      <c r="BK16" s="77" t="n">
        <v>42.0</v>
      </c>
      <c r="BL16" s="77" t="n">
        <v>49.0</v>
      </c>
      <c r="BM16" s="77" t="n">
        <v>417.0</v>
      </c>
      <c r="BN16" s="77" t="n">
        <v>20.0</v>
      </c>
      <c r="BO16" s="77" t="n">
        <v>60.0</v>
      </c>
      <c r="BP16" s="77" t="n">
        <v>76.0</v>
      </c>
      <c r="BQ16" s="77" t="n">
        <v>15.0</v>
      </c>
      <c r="BR16" s="77"/>
      <c r="BS16" s="77">
        <f si="3" t="shared"/>
        <v>25119</v>
      </c>
      <c r="BT16" s="102"/>
      <c r="CP16" s="7"/>
      <c r="CQ16" s="7"/>
    </row>
    <row r="17" spans="1:93" x14ac:dyDescent="0.25">
      <c r="A17" s="95">
        <v>11</v>
      </c>
      <c r="B17" s="77" t="n">
        <v>5151.389055808141</v>
      </c>
      <c r="C17" s="77" t="n">
        <v>1434.3250662318862</v>
      </c>
      <c r="D17" s="77" t="n">
        <v>4051.314688151663</v>
      </c>
      <c r="E17" s="77" t="n">
        <v>1847.3348811222697</v>
      </c>
      <c r="F17" s="77" t="n">
        <v>2073.4710451702545</v>
      </c>
      <c r="G17" s="77" t="n">
        <v>4085.8114613381895</v>
      </c>
      <c r="H17" s="77" t="n">
        <v>2180.1827269012174</v>
      </c>
      <c r="I17" s="77" t="n">
        <v>481.88106816210467</v>
      </c>
      <c r="J17" s="77" t="n">
        <v>2342.3121127862887</v>
      </c>
      <c r="K17" s="77" t="n">
        <v>155.4595419304008</v>
      </c>
      <c r="L17" s="77" t="n">
        <v>10727.976084477446</v>
      </c>
      <c r="M17" s="77" t="n">
        <v>2611.3386549212496</v>
      </c>
      <c r="N17" s="77" t="n">
        <v>37.9962146322847</v>
      </c>
      <c r="O17" s="77" t="n">
        <v>170.11245052160263</v>
      </c>
      <c r="P17" s="77" t="n">
        <v>0.0</v>
      </c>
      <c r="Q17" s="77" t="n">
        <v>634.790119942082</v>
      </c>
      <c r="R17" s="77" t="n">
        <v>841.8472632340536</v>
      </c>
      <c r="S17" s="77" t="n">
        <v>982.4697218401022</v>
      </c>
      <c r="T17" s="77" t="n">
        <v>1591.681353155886</v>
      </c>
      <c r="U17" s="77" t="n">
        <v>0.0</v>
      </c>
      <c r="V17" s="77"/>
      <c r="W17" s="77">
        <f si="1" t="shared"/>
        <v>41401.693510327124</v>
      </c>
      <c r="X17" s="7"/>
      <c r="Y17" s="95">
        <v>11</v>
      </c>
      <c r="Z17" s="77">
        <v>4696</v>
      </c>
      <c r="AA17" s="77">
        <v>3337</v>
      </c>
      <c r="AB17" s="77">
        <v>2608</v>
      </c>
      <c r="AC17" s="77">
        <v>1983</v>
      </c>
      <c r="AD17" s="77">
        <v>1463</v>
      </c>
      <c r="AE17" s="77">
        <v>8291</v>
      </c>
      <c r="AF17" s="77">
        <v>2809</v>
      </c>
      <c r="AG17" s="77">
        <v>511</v>
      </c>
      <c r="AH17" s="77">
        <v>3879</v>
      </c>
      <c r="AI17" s="77">
        <v>857</v>
      </c>
      <c r="AJ17" s="77">
        <v>10387</v>
      </c>
      <c r="AK17" s="77">
        <v>5991</v>
      </c>
      <c r="AL17" s="77">
        <v>1069</v>
      </c>
      <c r="AM17" s="77">
        <v>617</v>
      </c>
      <c r="AN17" s="77">
        <v>978</v>
      </c>
      <c r="AO17" s="77">
        <v>125</v>
      </c>
      <c r="AP17" s="77">
        <v>763</v>
      </c>
      <c r="AQ17" s="77">
        <v>222</v>
      </c>
      <c r="AR17" s="77">
        <v>3354</v>
      </c>
      <c r="AS17" s="77">
        <v>180</v>
      </c>
      <c r="AT17" s="77"/>
      <c r="AU17" s="77">
        <f si="2" t="shared"/>
        <v>54120</v>
      </c>
      <c r="AW17" s="95">
        <v>11</v>
      </c>
      <c r="AX17" s="77" t="n">
        <v>5003.0</v>
      </c>
      <c r="AY17" s="77" t="n">
        <v>3026.0</v>
      </c>
      <c r="AZ17" s="77" t="n">
        <v>3429.0</v>
      </c>
      <c r="BA17" s="77" t="n">
        <v>2076.0</v>
      </c>
      <c r="BB17" s="77" t="n">
        <v>1320.0</v>
      </c>
      <c r="BC17" s="77" t="n">
        <v>7874.0</v>
      </c>
      <c r="BD17" s="77" t="n">
        <v>1517.0</v>
      </c>
      <c r="BE17" s="77" t="n">
        <v>498.0</v>
      </c>
      <c r="BF17" s="77" t="n">
        <v>3886.0</v>
      </c>
      <c r="BG17" s="77" t="n">
        <v>810.0</v>
      </c>
      <c r="BH17" s="77" t="n">
        <v>13799.0</v>
      </c>
      <c r="BI17" s="77" t="n">
        <v>3821.0</v>
      </c>
      <c r="BJ17" s="77" t="n">
        <v>156.0</v>
      </c>
      <c r="BK17" s="77" t="n">
        <v>592.0</v>
      </c>
      <c r="BL17" s="77" t="n">
        <v>588.0</v>
      </c>
      <c r="BM17" s="77" t="n">
        <v>67.0</v>
      </c>
      <c r="BN17" s="77" t="n">
        <v>888.0</v>
      </c>
      <c r="BO17" s="77" t="n">
        <v>27.0</v>
      </c>
      <c r="BP17" s="77" t="n">
        <v>2618.0</v>
      </c>
      <c r="BQ17" s="77" t="n">
        <v>19.0</v>
      </c>
      <c r="BR17" s="77"/>
      <c r="BS17" s="77">
        <f si="3" t="shared"/>
        <v>52175</v>
      </c>
      <c r="BT17" s="102"/>
    </row>
    <row customFormat="1" r="18" s="95" spans="1:93" x14ac:dyDescent="0.25">
      <c r="A18" s="95">
        <v>12</v>
      </c>
      <c r="B18" s="77" t="n">
        <v>12077.217603658959</v>
      </c>
      <c r="C18" s="77" t="n">
        <v>1733.2597027648576</v>
      </c>
      <c r="D18" s="77" t="n">
        <v>1492.9084679287905</v>
      </c>
      <c r="E18" s="77" t="n">
        <v>3968.6409481254227</v>
      </c>
      <c r="F18" s="77" t="n">
        <v>2021.6496776000834</v>
      </c>
      <c r="G18" s="77" t="n">
        <v>19362.269485248373</v>
      </c>
      <c r="H18" s="77" t="n">
        <v>6672.776804093529</v>
      </c>
      <c r="I18" s="77" t="n">
        <v>86.1919087148637</v>
      </c>
      <c r="J18" s="77" t="n">
        <v>3363.9171966580225</v>
      </c>
      <c r="K18" s="77" t="n">
        <v>2032.664529713249</v>
      </c>
      <c r="L18" s="77" t="n">
        <v>549.0528488808802</v>
      </c>
      <c r="M18" s="77" t="n">
        <v>41561.98260841465</v>
      </c>
      <c r="N18" s="77" t="n">
        <v>1028.8597175417801</v>
      </c>
      <c r="O18" s="77" t="n">
        <v>34.6364895549135</v>
      </c>
      <c r="P18" s="77" t="n">
        <v>0.0</v>
      </c>
      <c r="Q18" s="77" t="n">
        <v>347.3608192065632</v>
      </c>
      <c r="R18" s="77" t="n">
        <v>0.0</v>
      </c>
      <c r="S18" s="77" t="n">
        <v>898.2572876872008</v>
      </c>
      <c r="T18" s="77" t="n">
        <v>0.0</v>
      </c>
      <c r="U18" s="77" t="n">
        <v>653.6763756107167</v>
      </c>
      <c r="V18" s="77"/>
      <c r="W18" s="77">
        <f si="1" t="shared"/>
        <v>97885.322471402833</v>
      </c>
      <c r="X18" s="7"/>
      <c r="Y18" s="95">
        <v>12</v>
      </c>
      <c r="Z18" s="77">
        <v>7931</v>
      </c>
      <c r="AA18" s="77">
        <v>4192</v>
      </c>
      <c r="AB18" s="77">
        <v>1727</v>
      </c>
      <c r="AC18" s="77">
        <v>1885</v>
      </c>
      <c r="AD18" s="77">
        <v>2145</v>
      </c>
      <c r="AE18" s="77">
        <v>18153</v>
      </c>
      <c r="AF18" s="77">
        <v>7114</v>
      </c>
      <c r="AG18" s="77">
        <v>299</v>
      </c>
      <c r="AH18" s="77">
        <v>3974</v>
      </c>
      <c r="AI18" s="77">
        <v>1877</v>
      </c>
      <c r="AJ18" s="77">
        <v>2034</v>
      </c>
      <c r="AK18" s="77">
        <v>44122</v>
      </c>
      <c r="AL18" s="77">
        <v>2647</v>
      </c>
      <c r="AM18" s="77">
        <v>218</v>
      </c>
      <c r="AN18" s="77">
        <v>735</v>
      </c>
      <c r="AO18" s="77">
        <v>418</v>
      </c>
      <c r="AP18" s="77">
        <v>149</v>
      </c>
      <c r="AQ18" s="77">
        <v>1588</v>
      </c>
      <c r="AR18" s="77">
        <v>431</v>
      </c>
      <c r="AS18" s="77">
        <v>747</v>
      </c>
      <c r="AT18" s="77"/>
      <c r="AU18" s="77">
        <f si="2" t="shared"/>
        <v>102386</v>
      </c>
      <c r="AW18" s="95">
        <v>12</v>
      </c>
      <c r="AX18" s="77" t="n">
        <v>8395.0</v>
      </c>
      <c r="AY18" s="77" t="n">
        <v>5814.0</v>
      </c>
      <c r="AZ18" s="77" t="n">
        <v>1818.0</v>
      </c>
      <c r="BA18" s="77" t="n">
        <v>2289.0</v>
      </c>
      <c r="BB18" s="77" t="n">
        <v>2368.0</v>
      </c>
      <c r="BC18" s="77" t="n">
        <v>18185.0</v>
      </c>
      <c r="BD18" s="77" t="n">
        <v>8326.0</v>
      </c>
      <c r="BE18" s="77" t="n">
        <v>534.0</v>
      </c>
      <c r="BF18" s="77" t="n">
        <v>3289.0</v>
      </c>
      <c r="BG18" s="77" t="n">
        <v>2478.0</v>
      </c>
      <c r="BH18" s="77" t="n">
        <v>1101.0</v>
      </c>
      <c r="BI18" s="77" t="n">
        <v>47197.0</v>
      </c>
      <c r="BJ18" s="77" t="n">
        <v>1937.0</v>
      </c>
      <c r="BK18" s="77" t="n">
        <v>89.0</v>
      </c>
      <c r="BL18" s="77" t="n">
        <v>287.0</v>
      </c>
      <c r="BM18" s="77" t="n">
        <v>669.0</v>
      </c>
      <c r="BN18" s="77" t="n">
        <v>66.0</v>
      </c>
      <c r="BO18" s="77" t="n">
        <v>1314.0</v>
      </c>
      <c r="BP18" s="77" t="n">
        <v>173.0</v>
      </c>
      <c r="BQ18" s="77" t="n">
        <v>169.0</v>
      </c>
      <c r="BR18" s="77"/>
      <c r="BS18" s="77">
        <f si="3" t="shared"/>
        <v>106239</v>
      </c>
      <c r="BT18" s="102"/>
    </row>
    <row customFormat="1" ht="15.75" r="19" s="95" spans="1:93" thickBot="1" x14ac:dyDescent="0.3">
      <c r="A19" s="95">
        <v>13</v>
      </c>
      <c r="B19" s="77" t="n">
        <v>3072.0522459311132</v>
      </c>
      <c r="C19" s="77" t="n">
        <v>476.36497468014636</v>
      </c>
      <c r="D19" s="77" t="n">
        <v>206.86718192089592</v>
      </c>
      <c r="E19" s="77" t="n">
        <v>771.8503531005329</v>
      </c>
      <c r="F19" s="77" t="n">
        <v>643.0382534284843</v>
      </c>
      <c r="G19" s="77" t="n">
        <v>1722.8159570454402</v>
      </c>
      <c r="H19" s="77" t="n">
        <v>12607.748861881773</v>
      </c>
      <c r="I19" s="77" t="n">
        <v>506.60135251437396</v>
      </c>
      <c r="J19" s="77" t="n">
        <v>748.9257523236182</v>
      </c>
      <c r="K19" s="77" t="n">
        <v>228.403033692189</v>
      </c>
      <c r="L19" s="77" t="n">
        <v>706.9503934588678</v>
      </c>
      <c r="M19" s="77" t="n">
        <v>3448.347531993958</v>
      </c>
      <c r="N19" s="77" t="n">
        <v>27325.866727592434</v>
      </c>
      <c r="O19" s="77" t="n">
        <v>80.6787613869614</v>
      </c>
      <c r="P19" s="77" t="n">
        <v>1158.8111292312935</v>
      </c>
      <c r="Q19" s="77" t="n">
        <v>0.0</v>
      </c>
      <c r="R19" s="77" t="n">
        <v>0.0</v>
      </c>
      <c r="S19" s="77" t="n">
        <v>1296.943320296311</v>
      </c>
      <c r="T19" s="77" t="n">
        <v>0.0</v>
      </c>
      <c r="U19" s="77" t="n">
        <v>0.0</v>
      </c>
      <c r="V19" s="77"/>
      <c r="W19" s="77">
        <f si="1" t="shared"/>
        <v>55002.265830478398</v>
      </c>
      <c r="X19" s="7"/>
      <c r="Y19" s="95">
        <v>13</v>
      </c>
      <c r="Z19" s="77">
        <v>2480</v>
      </c>
      <c r="AA19" s="77">
        <v>2297</v>
      </c>
      <c r="AB19" s="77">
        <v>910</v>
      </c>
      <c r="AC19" s="77">
        <v>1010</v>
      </c>
      <c r="AD19" s="77">
        <v>608</v>
      </c>
      <c r="AE19" s="77">
        <v>4710</v>
      </c>
      <c r="AF19" s="77">
        <v>13420</v>
      </c>
      <c r="AG19" s="77">
        <v>158</v>
      </c>
      <c r="AH19" s="77">
        <v>2814</v>
      </c>
      <c r="AI19" s="77">
        <v>737</v>
      </c>
      <c r="AJ19" s="77">
        <v>1282</v>
      </c>
      <c r="AK19" s="77">
        <v>10452</v>
      </c>
      <c r="AL19" s="77">
        <v>29838</v>
      </c>
      <c r="AM19" s="77">
        <v>178</v>
      </c>
      <c r="AN19" s="77">
        <v>2078</v>
      </c>
      <c r="AO19" s="77">
        <v>159</v>
      </c>
      <c r="AP19" s="77">
        <v>188</v>
      </c>
      <c r="AQ19" s="77">
        <v>1344</v>
      </c>
      <c r="AR19" s="77">
        <v>356</v>
      </c>
      <c r="AS19" s="77">
        <v>318</v>
      </c>
      <c r="AT19" s="77"/>
      <c r="AU19" s="77">
        <f si="2" t="shared"/>
        <v>75337</v>
      </c>
      <c r="AW19" s="95">
        <v>13</v>
      </c>
      <c r="AX19" s="77" t="n">
        <v>1510.0</v>
      </c>
      <c r="AY19" s="77" t="n">
        <v>1456.0</v>
      </c>
      <c r="AZ19" s="77" t="n">
        <v>457.0</v>
      </c>
      <c r="BA19" s="77" t="n">
        <v>458.0</v>
      </c>
      <c r="BB19" s="77" t="n">
        <v>400.0</v>
      </c>
      <c r="BC19" s="77" t="n">
        <v>2923.0</v>
      </c>
      <c r="BD19" s="77" t="n">
        <v>16940.0</v>
      </c>
      <c r="BE19" s="77" t="n">
        <v>103.0</v>
      </c>
      <c r="BF19" s="77" t="n">
        <v>2163.0</v>
      </c>
      <c r="BG19" s="77" t="n">
        <v>290.0</v>
      </c>
      <c r="BH19" s="77" t="n">
        <v>355.0</v>
      </c>
      <c r="BI19" s="77" t="n">
        <v>11709.0</v>
      </c>
      <c r="BJ19" s="77" t="n">
        <v>32374.0</v>
      </c>
      <c r="BK19" s="77" t="n">
        <v>15.0</v>
      </c>
      <c r="BL19" s="77" t="n">
        <v>2772.0</v>
      </c>
      <c r="BM19" s="77" t="n">
        <v>87.0</v>
      </c>
      <c r="BN19" s="77" t="n">
        <v>48.0</v>
      </c>
      <c r="BO19" s="77" t="n">
        <v>1198.0</v>
      </c>
      <c r="BP19" s="77" t="n">
        <v>197.0</v>
      </c>
      <c r="BQ19" s="77" t="n">
        <v>73.0</v>
      </c>
      <c r="BR19" s="77"/>
      <c r="BS19" s="77">
        <f si="3" t="shared"/>
        <v>74753</v>
      </c>
      <c r="BT19" s="102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/>
      <c r="CM19"/>
      <c r="CN19"/>
      <c r="CO19"/>
    </row>
    <row customFormat="1" r="20" s="95" spans="1:93" x14ac:dyDescent="0.25">
      <c r="A20" s="95">
        <v>14</v>
      </c>
      <c r="B20" s="77" t="n">
        <v>3048.595640302091</v>
      </c>
      <c r="C20" s="77" t="n">
        <v>904.163091744203</v>
      </c>
      <c r="D20" s="77" t="n">
        <v>71.68207543170439</v>
      </c>
      <c r="E20" s="77" t="n">
        <v>87.5020802053473</v>
      </c>
      <c r="F20" s="77" t="n">
        <v>342.7063484694134</v>
      </c>
      <c r="G20" s="77" t="n">
        <v>1392.275462337361</v>
      </c>
      <c r="H20" s="77" t="n">
        <v>491.711805614784</v>
      </c>
      <c r="I20" s="77" t="n">
        <v>48.171877819248</v>
      </c>
      <c r="J20" s="77" t="n">
        <v>596.5662061569101</v>
      </c>
      <c r="K20" s="77" t="n">
        <v>265.61972778222747</v>
      </c>
      <c r="L20" s="77" t="n">
        <v>1546.6582841828733</v>
      </c>
      <c r="M20" s="77" t="n">
        <v>1014.5560803078602</v>
      </c>
      <c r="N20" s="77" t="n">
        <v>0.0</v>
      </c>
      <c r="O20" s="77" t="n">
        <v>8811.85591432678</v>
      </c>
      <c r="P20" s="77" t="n">
        <v>0.0</v>
      </c>
      <c r="Q20" s="77" t="n">
        <v>0.0</v>
      </c>
      <c r="R20" s="77" t="n">
        <v>768.6984622152534</v>
      </c>
      <c r="S20" s="77" t="n">
        <v>0.0</v>
      </c>
      <c r="T20" s="77" t="n">
        <v>42.8185890857851</v>
      </c>
      <c r="U20" s="77" t="n">
        <v>0.0</v>
      </c>
      <c r="V20" s="77"/>
      <c r="W20" s="77">
        <f si="1" t="shared"/>
        <v>19433.581645981842</v>
      </c>
      <c r="X20" s="7"/>
      <c r="Y20" s="95">
        <v>14</v>
      </c>
      <c r="Z20" s="77">
        <v>1335</v>
      </c>
      <c r="AA20" s="77">
        <v>1224</v>
      </c>
      <c r="AB20" s="77">
        <v>698</v>
      </c>
      <c r="AC20" s="77">
        <v>704</v>
      </c>
      <c r="AD20" s="77">
        <v>486</v>
      </c>
      <c r="AE20" s="77">
        <v>2339</v>
      </c>
      <c r="AF20" s="77">
        <v>914</v>
      </c>
      <c r="AG20" s="77">
        <v>325</v>
      </c>
      <c r="AH20" s="77">
        <v>801</v>
      </c>
      <c r="AI20" s="77">
        <v>341</v>
      </c>
      <c r="AJ20" s="77">
        <v>2249</v>
      </c>
      <c r="AK20" s="77">
        <v>2002</v>
      </c>
      <c r="AL20" s="77">
        <v>447</v>
      </c>
      <c r="AM20" s="77">
        <v>7046</v>
      </c>
      <c r="AN20" s="77">
        <v>239</v>
      </c>
      <c r="AO20" s="77">
        <v>74</v>
      </c>
      <c r="AP20" s="77">
        <v>1216</v>
      </c>
      <c r="AQ20" s="77">
        <v>135</v>
      </c>
      <c r="AR20" s="77">
        <v>596</v>
      </c>
      <c r="AS20" s="77">
        <v>163</v>
      </c>
      <c r="AT20" s="77"/>
      <c r="AU20" s="77">
        <f si="2" t="shared"/>
        <v>23334</v>
      </c>
      <c r="AW20" s="95">
        <v>14</v>
      </c>
      <c r="AX20" s="77" t="n">
        <v>1389.0</v>
      </c>
      <c r="AY20" s="77" t="n">
        <v>647.0</v>
      </c>
      <c r="AZ20" s="77" t="n">
        <v>779.0</v>
      </c>
      <c r="BA20" s="77" t="n">
        <v>768.0</v>
      </c>
      <c r="BB20" s="77" t="n">
        <v>455.0</v>
      </c>
      <c r="BC20" s="77" t="n">
        <v>2421.0</v>
      </c>
      <c r="BD20" s="77" t="n">
        <v>311.0</v>
      </c>
      <c r="BE20" s="77" t="n">
        <v>234.0</v>
      </c>
      <c r="BF20" s="77" t="n">
        <v>571.0</v>
      </c>
      <c r="BG20" s="77" t="n">
        <v>302.0</v>
      </c>
      <c r="BH20" s="77" t="n">
        <v>2466.0</v>
      </c>
      <c r="BI20" s="77" t="n">
        <v>1051.0</v>
      </c>
      <c r="BJ20" s="77" t="n">
        <v>25.0</v>
      </c>
      <c r="BK20" s="77" t="n">
        <v>7187.0</v>
      </c>
      <c r="BL20" s="77" t="n">
        <v>68.0</v>
      </c>
      <c r="BM20" s="77" t="n">
        <v>19.0</v>
      </c>
      <c r="BN20" s="77" t="n">
        <v>1230.0</v>
      </c>
      <c r="BO20" s="77" t="n">
        <v>5.0</v>
      </c>
      <c r="BP20" s="77" t="n">
        <v>673.0</v>
      </c>
      <c r="BQ20" s="77" t="n">
        <v>3.0</v>
      </c>
      <c r="BR20" s="77"/>
      <c r="BS20" s="77">
        <f si="3" t="shared"/>
        <v>20565</v>
      </c>
      <c r="BT20" s="102"/>
      <c r="BV20" s="205" t="s">
        <v>353</v>
      </c>
      <c r="BW20" s="206"/>
      <c r="BX20" s="207" t="s">
        <v>351</v>
      </c>
      <c r="BY20" s="205"/>
      <c r="BZ20" s="205"/>
      <c r="CA20" s="206"/>
      <c r="CB20" s="207" t="s">
        <v>352</v>
      </c>
      <c r="CC20" s="205"/>
      <c r="CD20" s="205"/>
      <c r="CE20" s="206"/>
      <c r="CF20" s="208" t="s">
        <v>361</v>
      </c>
      <c r="CG20" s="209"/>
      <c r="CH20" s="209"/>
      <c r="CI20" s="210"/>
      <c r="CJ20" s="207" t="s">
        <v>356</v>
      </c>
      <c r="CK20" s="206"/>
    </row>
    <row customFormat="1" r="21" s="95" spans="1:93" x14ac:dyDescent="0.25">
      <c r="A21" s="95">
        <v>15</v>
      </c>
      <c r="B21" s="77" t="n">
        <v>1126.3442405851702</v>
      </c>
      <c r="C21" s="77" t="n">
        <v>1479.9403924072585</v>
      </c>
      <c r="D21" s="77" t="n">
        <v>543.017251019509</v>
      </c>
      <c r="E21" s="77" t="n">
        <v>331.1558950579253</v>
      </c>
      <c r="F21" s="77" t="n">
        <v>199.2036813856394</v>
      </c>
      <c r="G21" s="77" t="n">
        <v>796.7012718556889</v>
      </c>
      <c r="H21" s="77" t="n">
        <v>1445.1626077927606</v>
      </c>
      <c r="I21" s="77" t="n">
        <v>0.0</v>
      </c>
      <c r="J21" s="77" t="n">
        <v>2653.926857088762</v>
      </c>
      <c r="K21" s="77" t="n">
        <v>236.473519385404</v>
      </c>
      <c r="L21" s="77" t="n">
        <v>406.3666062814772</v>
      </c>
      <c r="M21" s="77" t="n">
        <v>614.6932415173305</v>
      </c>
      <c r="N21" s="77" t="n">
        <v>2601.31518691686</v>
      </c>
      <c r="O21" s="77" t="n">
        <v>0.0</v>
      </c>
      <c r="P21" s="77" t="n">
        <v>8040.479464446761</v>
      </c>
      <c r="Q21" s="77" t="n">
        <v>0.0</v>
      </c>
      <c r="R21" s="77" t="n">
        <v>0.0</v>
      </c>
      <c r="S21" s="77" t="n">
        <v>0.0</v>
      </c>
      <c r="T21" s="77" t="n">
        <v>50.8191340422856</v>
      </c>
      <c r="U21" s="77" t="n">
        <v>0.0</v>
      </c>
      <c r="V21" s="77"/>
      <c r="W21" s="77">
        <f si="1" t="shared"/>
        <v>20525.599349782831</v>
      </c>
      <c r="X21" s="7"/>
      <c r="Y21" s="95">
        <v>15</v>
      </c>
      <c r="Z21" s="77">
        <v>1351</v>
      </c>
      <c r="AA21" s="77">
        <v>1578</v>
      </c>
      <c r="AB21" s="77">
        <v>495</v>
      </c>
      <c r="AC21" s="77">
        <v>490</v>
      </c>
      <c r="AD21" s="77">
        <v>348</v>
      </c>
      <c r="AE21" s="77">
        <v>2445</v>
      </c>
      <c r="AF21" s="77">
        <v>3540</v>
      </c>
      <c r="AG21" s="77">
        <v>119</v>
      </c>
      <c r="AH21" s="77">
        <v>3477</v>
      </c>
      <c r="AI21" s="77">
        <v>352</v>
      </c>
      <c r="AJ21" s="77">
        <v>1134</v>
      </c>
      <c r="AK21" s="77">
        <v>3306</v>
      </c>
      <c r="AL21" s="77">
        <v>3104</v>
      </c>
      <c r="AM21" s="77">
        <v>179</v>
      </c>
      <c r="AN21" s="77">
        <v>11158</v>
      </c>
      <c r="AO21" s="77">
        <v>69</v>
      </c>
      <c r="AP21" s="77">
        <v>167</v>
      </c>
      <c r="AQ21" s="77">
        <v>183</v>
      </c>
      <c r="AR21" s="77">
        <v>852</v>
      </c>
      <c r="AS21" s="77">
        <v>139</v>
      </c>
      <c r="AT21" s="77"/>
      <c r="AU21" s="77">
        <f si="2" t="shared"/>
        <v>34486</v>
      </c>
      <c r="AW21" s="95">
        <v>15</v>
      </c>
      <c r="AX21" s="77" t="n">
        <v>1207.0</v>
      </c>
      <c r="AY21" s="77" t="n">
        <v>1112.0</v>
      </c>
      <c r="AZ21" s="77" t="n">
        <v>417.0</v>
      </c>
      <c r="BA21" s="77" t="n">
        <v>302.0</v>
      </c>
      <c r="BB21" s="77" t="n">
        <v>250.0</v>
      </c>
      <c r="BC21" s="77" t="n">
        <v>1816.0</v>
      </c>
      <c r="BD21" s="77" t="n">
        <v>2514.0</v>
      </c>
      <c r="BE21" s="77" t="n">
        <v>59.0</v>
      </c>
      <c r="BF21" s="77" t="n">
        <v>3447.0</v>
      </c>
      <c r="BG21" s="77" t="n">
        <v>145.0</v>
      </c>
      <c r="BH21" s="77" t="n">
        <v>748.0</v>
      </c>
      <c r="BI21" s="77" t="n">
        <v>1994.0</v>
      </c>
      <c r="BJ21" s="77" t="n">
        <v>3687.0</v>
      </c>
      <c r="BK21" s="77" t="n">
        <v>47.0</v>
      </c>
      <c r="BL21" s="77" t="n">
        <v>11477.0</v>
      </c>
      <c r="BM21" s="77" t="n">
        <v>18.0</v>
      </c>
      <c r="BN21" s="77" t="n">
        <v>102.0</v>
      </c>
      <c r="BO21" s="77" t="n">
        <v>56.0</v>
      </c>
      <c r="BP21" s="77" t="n">
        <v>1028.0</v>
      </c>
      <c r="BQ21" s="77" t="n">
        <v>15.0</v>
      </c>
      <c r="BR21" s="77"/>
      <c r="BS21" s="77">
        <f si="3" t="shared"/>
        <v>30405</v>
      </c>
      <c r="BT21" s="102"/>
      <c r="BV21" s="113" t="s">
        <v>354</v>
      </c>
      <c r="BW21" s="112" t="s">
        <v>365</v>
      </c>
      <c r="BX21" s="128" t="s">
        <v>346</v>
      </c>
      <c r="BY21" s="129" t="s">
        <v>360</v>
      </c>
      <c r="BZ21" s="129" t="s">
        <v>347</v>
      </c>
      <c r="CA21" s="129" t="s">
        <v>348</v>
      </c>
      <c r="CB21" s="128" t="s">
        <v>346</v>
      </c>
      <c r="CC21" s="129" t="s">
        <v>360</v>
      </c>
      <c r="CD21" s="129" t="s">
        <v>347</v>
      </c>
      <c r="CE21" s="129" t="s">
        <v>348</v>
      </c>
      <c r="CF21" s="114" t="s">
        <v>346</v>
      </c>
      <c r="CG21" s="113" t="s">
        <v>360</v>
      </c>
      <c r="CH21" s="113" t="s">
        <v>364</v>
      </c>
      <c r="CI21" s="120" t="s">
        <v>348</v>
      </c>
      <c r="CJ21" s="118" t="s">
        <v>355</v>
      </c>
      <c r="CK21" s="136" t="s">
        <v>357</v>
      </c>
      <c r="CL21" s="138" t="s">
        <v>362</v>
      </c>
    </row>
    <row customFormat="1" r="22" s="95" spans="1:93" x14ac:dyDescent="0.25">
      <c r="A22" s="95">
        <v>16</v>
      </c>
      <c r="B22" s="77" t="n">
        <v>482.3258380893527</v>
      </c>
      <c r="C22" s="77" t="n">
        <v>437.93294618831</v>
      </c>
      <c r="D22" s="77" t="n">
        <v>889.367325906245</v>
      </c>
      <c r="E22" s="77" t="n">
        <v>513.754212258585</v>
      </c>
      <c r="F22" s="77" t="n">
        <v>937.311640082252</v>
      </c>
      <c r="G22" s="77" t="n">
        <v>4965.735165617634</v>
      </c>
      <c r="H22" s="77" t="n">
        <v>633.626659831296</v>
      </c>
      <c r="I22" s="77" t="n">
        <v>1300.794401645284</v>
      </c>
      <c r="J22" s="77" t="n">
        <v>803.169287571568</v>
      </c>
      <c r="K22" s="77" t="n">
        <v>437.93294618831</v>
      </c>
      <c r="L22" s="77" t="n">
        <v>0.0</v>
      </c>
      <c r="M22" s="77" t="n">
        <v>4890.744763429346</v>
      </c>
      <c r="N22" s="77" t="n">
        <v>0.0</v>
      </c>
      <c r="O22" s="77" t="n">
        <v>0.0</v>
      </c>
      <c r="P22" s="77" t="n">
        <v>0.0</v>
      </c>
      <c r="Q22" s="77" t="n">
        <v>173.522623013451</v>
      </c>
      <c r="R22" s="77" t="n">
        <v>0.0</v>
      </c>
      <c r="S22" s="77" t="n">
        <v>0.0</v>
      </c>
      <c r="T22" s="77" t="n">
        <v>0.0</v>
      </c>
      <c r="U22" s="77" t="n">
        <v>0.0</v>
      </c>
      <c r="V22" s="77"/>
      <c r="W22" s="77">
        <f si="1" t="shared"/>
        <v>16466.217809821632</v>
      </c>
      <c r="X22" s="7"/>
      <c r="Y22" s="95">
        <v>16</v>
      </c>
      <c r="Z22" s="77">
        <v>1174</v>
      </c>
      <c r="AA22" s="77">
        <v>671</v>
      </c>
      <c r="AB22" s="77">
        <v>278</v>
      </c>
      <c r="AC22" s="77">
        <v>392</v>
      </c>
      <c r="AD22" s="77">
        <v>541</v>
      </c>
      <c r="AE22" s="77">
        <v>3203</v>
      </c>
      <c r="AF22" s="77">
        <v>597</v>
      </c>
      <c r="AG22" s="77">
        <v>90</v>
      </c>
      <c r="AH22" s="77">
        <v>476</v>
      </c>
      <c r="AI22" s="77">
        <v>933</v>
      </c>
      <c r="AJ22" s="77">
        <v>303</v>
      </c>
      <c r="AK22" s="77">
        <v>4945</v>
      </c>
      <c r="AL22" s="77">
        <v>389</v>
      </c>
      <c r="AM22" s="77">
        <v>57</v>
      </c>
      <c r="AN22" s="77">
        <v>107</v>
      </c>
      <c r="AO22" s="77">
        <v>890</v>
      </c>
      <c r="AP22" s="77">
        <v>30</v>
      </c>
      <c r="AQ22" s="77">
        <v>301</v>
      </c>
      <c r="AR22" s="77">
        <v>86</v>
      </c>
      <c r="AS22" s="77">
        <v>135</v>
      </c>
      <c r="AT22" s="77"/>
      <c r="AU22" s="77">
        <f si="2" t="shared"/>
        <v>15598</v>
      </c>
      <c r="AW22" s="95">
        <v>16</v>
      </c>
      <c r="AX22" s="77" t="n">
        <v>1169.0</v>
      </c>
      <c r="AY22" s="77" t="n">
        <v>539.0</v>
      </c>
      <c r="AZ22" s="77" t="n">
        <v>204.0</v>
      </c>
      <c r="BA22" s="77" t="n">
        <v>383.0</v>
      </c>
      <c r="BB22" s="77" t="n">
        <v>516.0</v>
      </c>
      <c r="BC22" s="77" t="n">
        <v>2915.0</v>
      </c>
      <c r="BD22" s="77" t="n">
        <v>335.0</v>
      </c>
      <c r="BE22" s="77" t="n">
        <v>106.0</v>
      </c>
      <c r="BF22" s="77" t="n">
        <v>206.0</v>
      </c>
      <c r="BG22" s="77" t="n">
        <v>947.0</v>
      </c>
      <c r="BH22" s="77" t="n">
        <v>143.0</v>
      </c>
      <c r="BI22" s="77" t="n">
        <v>5026.0</v>
      </c>
      <c r="BJ22" s="77" t="n">
        <v>83.0</v>
      </c>
      <c r="BK22" s="77" t="n">
        <v>20.0</v>
      </c>
      <c r="BL22" s="77" t="n">
        <v>29.0</v>
      </c>
      <c r="BM22" s="77" t="n">
        <v>999.0</v>
      </c>
      <c r="BN22" s="77" t="n">
        <v>19.0</v>
      </c>
      <c r="BO22" s="77" t="n">
        <v>197.0</v>
      </c>
      <c r="BP22" s="77" t="n">
        <v>44.0</v>
      </c>
      <c r="BQ22" s="77" t="n">
        <v>59.0</v>
      </c>
      <c r="BR22" s="77"/>
      <c r="BS22" s="77">
        <f si="3" t="shared"/>
        <v>13820</v>
      </c>
      <c r="BT22" s="102"/>
      <c r="BV22" s="31">
        <v>1</v>
      </c>
      <c r="BW22" s="34" t="s">
        <v>326</v>
      </c>
      <c r="BX22" s="132">
        <f>$BW$7</f>
        <v>59653.544440759513</v>
      </c>
      <c r="BY22" s="133">
        <f>$BW$8</f>
        <v>40646.598554106436</v>
      </c>
      <c r="BZ22" s="133">
        <f>$BW$9</f>
        <v>51288</v>
      </c>
      <c r="CA22" s="134">
        <f>$BW$10</f>
        <v>49682</v>
      </c>
      <c r="CB22" s="132">
        <f>$BW$11</f>
        <v>71768.093765829864</v>
      </c>
      <c r="CC22" s="133">
        <f>$BW$12</f>
        <v>24843.661500699181</v>
      </c>
      <c r="CD22" s="133">
        <f>$BW$13</f>
        <v>49826.091080591927</v>
      </c>
      <c r="CE22" s="134">
        <f>$BW$14</f>
        <v>49682</v>
      </c>
      <c r="CF22" s="100">
        <f ref="CF22:CF42" si="9" t="shared">CB22/CB$42</f>
        <v>0.10651245735504584</v>
      </c>
      <c r="CG22" s="100">
        <f ref="CG22:CG42" si="10" t="shared">CC22/CC$42</f>
        <v>3.6870972841643181E-2</v>
      </c>
      <c r="CH22" s="100">
        <f ref="CH22:CH42" si="11" t="shared">CD22/CD$42</f>
        <v>7.3947894153446034E-2</v>
      </c>
      <c r="CI22" s="121">
        <f ref="CI22:CI42" si="12" t="shared">CE22/CE$42</f>
        <v>7.3734045710893439E-2</v>
      </c>
      <c r="CJ22" s="125">
        <f ref="CJ22:CJ42" si="13" t="shared">CI22-CH22</f>
        <v>-2.1384844255259439E-4</v>
      </c>
      <c r="CK22" s="121">
        <f ref="CK22:CK42" si="14" t="shared">(CE22-CD22)/CD22</f>
        <v>-2.8918800866570967E-3</v>
      </c>
      <c r="CL22" s="21">
        <f>CI22-CG22</f>
        <v>3.6863072869250259E-2</v>
      </c>
    </row>
    <row customFormat="1" r="23" s="95" spans="1:93" x14ac:dyDescent="0.25">
      <c r="A23" s="95">
        <v>17</v>
      </c>
      <c r="B23" s="77" t="n">
        <v>997.1994453700618</v>
      </c>
      <c r="C23" s="77" t="n">
        <v>1009.9862790552248</v>
      </c>
      <c r="D23" s="77" t="n">
        <v>363.0532682719917</v>
      </c>
      <c r="E23" s="77" t="n">
        <v>783.1224904358384</v>
      </c>
      <c r="F23" s="77" t="n">
        <v>327.1632154711596</v>
      </c>
      <c r="G23" s="77" t="n">
        <v>431.6904911787849</v>
      </c>
      <c r="H23" s="77" t="n">
        <v>836.659653377565</v>
      </c>
      <c r="I23" s="77" t="n">
        <v>0.0</v>
      </c>
      <c r="J23" s="77" t="n">
        <v>255.66629231895521</v>
      </c>
      <c r="K23" s="77" t="n">
        <v>0.0</v>
      </c>
      <c r="L23" s="77" t="n">
        <v>3597.6834242552895</v>
      </c>
      <c r="M23" s="77" t="n">
        <v>686.982083446857</v>
      </c>
      <c r="N23" s="77" t="n">
        <v>0.0</v>
      </c>
      <c r="O23" s="77" t="n">
        <v>626.5027878139031</v>
      </c>
      <c r="P23" s="77" t="n">
        <v>60.8174390287902</v>
      </c>
      <c r="Q23" s="77" t="n">
        <v>0.0</v>
      </c>
      <c r="R23" s="77" t="n">
        <v>2982.7547534287887</v>
      </c>
      <c r="S23" s="77" t="n">
        <v>0.0</v>
      </c>
      <c r="T23" s="77" t="n">
        <v>615.1469215148392</v>
      </c>
      <c r="U23" s="77" t="n">
        <v>0.0</v>
      </c>
      <c r="V23" s="77"/>
      <c r="W23" s="77">
        <f si="1" t="shared"/>
        <v>13574.428544968046</v>
      </c>
      <c r="X23" s="7"/>
      <c r="Y23" s="95">
        <v>17</v>
      </c>
      <c r="Z23" s="77">
        <v>1073</v>
      </c>
      <c r="AA23" s="77">
        <v>998</v>
      </c>
      <c r="AB23" s="77">
        <v>541</v>
      </c>
      <c r="AC23" s="77">
        <v>574</v>
      </c>
      <c r="AD23" s="77">
        <v>341</v>
      </c>
      <c r="AE23" s="77">
        <v>1906</v>
      </c>
      <c r="AF23" s="77">
        <v>788</v>
      </c>
      <c r="AG23" s="77">
        <v>204</v>
      </c>
      <c r="AH23" s="77">
        <v>794</v>
      </c>
      <c r="AI23" s="77">
        <v>249</v>
      </c>
      <c r="AJ23" s="77">
        <v>3248</v>
      </c>
      <c r="AK23" s="77">
        <v>1526</v>
      </c>
      <c r="AL23" s="77">
        <v>337</v>
      </c>
      <c r="AM23" s="77">
        <v>1510</v>
      </c>
      <c r="AN23" s="77">
        <v>304</v>
      </c>
      <c r="AO23" s="77">
        <v>70</v>
      </c>
      <c r="AP23" s="77">
        <v>2843</v>
      </c>
      <c r="AQ23" s="77">
        <v>87</v>
      </c>
      <c r="AR23" s="77">
        <v>2065</v>
      </c>
      <c r="AS23" s="77">
        <v>83</v>
      </c>
      <c r="AT23" s="77"/>
      <c r="AU23" s="77">
        <f si="2" t="shared"/>
        <v>19541</v>
      </c>
      <c r="AW23" s="95">
        <v>17</v>
      </c>
      <c r="AX23" s="77" t="n">
        <v>1104.0</v>
      </c>
      <c r="AY23" s="77" t="n">
        <v>543.0</v>
      </c>
      <c r="AZ23" s="77" t="n">
        <v>595.0</v>
      </c>
      <c r="BA23" s="77" t="n">
        <v>480.0</v>
      </c>
      <c r="BB23" s="77" t="n">
        <v>272.0</v>
      </c>
      <c r="BC23" s="77" t="n">
        <v>1622.0</v>
      </c>
      <c r="BD23" s="77" t="n">
        <v>251.0</v>
      </c>
      <c r="BE23" s="77" t="n">
        <v>125.0</v>
      </c>
      <c r="BF23" s="77" t="n">
        <v>583.0</v>
      </c>
      <c r="BG23" s="77" t="n">
        <v>175.0</v>
      </c>
      <c r="BH23" s="77" t="n">
        <v>3327.0</v>
      </c>
      <c r="BI23" s="77" t="n">
        <v>841.0</v>
      </c>
      <c r="BJ23" s="77" t="n">
        <v>32.0</v>
      </c>
      <c r="BK23" s="77" t="n">
        <v>1735.0</v>
      </c>
      <c r="BL23" s="77" t="n">
        <v>163.0</v>
      </c>
      <c r="BM23" s="77" t="n">
        <v>19.0</v>
      </c>
      <c r="BN23" s="77" t="n">
        <v>3488.0</v>
      </c>
      <c r="BO23" s="77" t="n">
        <v>8.0</v>
      </c>
      <c r="BP23" s="77" t="n">
        <v>2863.0</v>
      </c>
      <c r="BQ23" s="77" t="n">
        <v>6.0</v>
      </c>
      <c r="BR23" s="77"/>
      <c r="BS23" s="77">
        <f si="3" t="shared"/>
        <v>18284</v>
      </c>
      <c r="BT23" s="102"/>
      <c r="BV23" s="95">
        <v>2</v>
      </c>
      <c r="BW23" s="34" t="s">
        <v>327</v>
      </c>
      <c r="BX23" s="115">
        <f>$BX$7</f>
        <v>23682.665169572778</v>
      </c>
      <c r="BY23" s="116">
        <f>$BX$8</f>
        <v>42317.179366221637</v>
      </c>
      <c r="BZ23" s="116">
        <f>$BX$9</f>
        <v>34948</v>
      </c>
      <c r="CA23" s="123">
        <f>$BX$10</f>
        <v>34115</v>
      </c>
      <c r="CB23" s="115">
        <f>$BX$11</f>
        <v>28492.183498040809</v>
      </c>
      <c r="CC23" s="116">
        <f>$BX$12</f>
        <v>25864.739418215606</v>
      </c>
      <c r="CD23" s="116">
        <f>$BX$13</f>
        <v>33819.719318941352</v>
      </c>
      <c r="CE23" s="123">
        <f>$BX$14</f>
        <v>34115</v>
      </c>
      <c r="CF23" s="100">
        <f si="9" t="shared"/>
        <v>4.2285817005106585E-2</v>
      </c>
      <c r="CG23" s="100">
        <f si="10" t="shared"/>
        <v>3.8386374915725142E-2</v>
      </c>
      <c r="CH23" s="100">
        <f si="11" t="shared"/>
        <v>5.0192519024846186E-2</v>
      </c>
      <c r="CI23" s="121">
        <f si="12" t="shared"/>
        <v>5.0630750964677944E-2</v>
      </c>
      <c r="CJ23" s="125">
        <f si="13" t="shared"/>
        <v>4.3823193983175829E-4</v>
      </c>
      <c r="CK23" s="121">
        <f si="14" t="shared"/>
        <v>8.7310210434913549E-3</v>
      </c>
      <c r="CL23" s="21">
        <f ref="CL23:CL41" si="15" t="shared">CI23-CG23</f>
        <v>1.2244376048952801E-2</v>
      </c>
    </row>
    <row customFormat="1" r="24" s="95" spans="1:93" x14ac:dyDescent="0.25">
      <c r="A24" s="95">
        <v>18</v>
      </c>
      <c r="B24" s="77" t="n">
        <v>2053.2657064752507</v>
      </c>
      <c r="C24" s="77" t="n">
        <v>724.3285763176</v>
      </c>
      <c r="D24" s="77" t="n">
        <v>194.40680958973</v>
      </c>
      <c r="E24" s="77" t="n">
        <v>774.567833077747</v>
      </c>
      <c r="F24" s="77" t="n">
        <v>442.683564346507</v>
      </c>
      <c r="G24" s="77" t="n">
        <v>1701.6263444689466</v>
      </c>
      <c r="H24" s="77" t="n">
        <v>2208.293614930484</v>
      </c>
      <c r="I24" s="77" t="n">
        <v>0.0</v>
      </c>
      <c r="J24" s="77" t="n">
        <v>0.0</v>
      </c>
      <c r="K24" s="77" t="n">
        <v>0.0</v>
      </c>
      <c r="L24" s="77" t="n">
        <v>0.0</v>
      </c>
      <c r="M24" s="77" t="n">
        <v>12151.014441589774</v>
      </c>
      <c r="N24" s="77" t="n">
        <v>5447.702054994651</v>
      </c>
      <c r="O24" s="77" t="n">
        <v>0.0</v>
      </c>
      <c r="P24" s="77" t="n">
        <v>0.0</v>
      </c>
      <c r="Q24" s="77" t="n">
        <v>0.0</v>
      </c>
      <c r="R24" s="77" t="n">
        <v>0.0</v>
      </c>
      <c r="S24" s="77" t="n">
        <v>2165.378402693672</v>
      </c>
      <c r="T24" s="77" t="n">
        <v>0.0</v>
      </c>
      <c r="U24" s="77" t="n">
        <v>241.02852663785</v>
      </c>
      <c r="V24" s="77"/>
      <c r="W24" s="77">
        <f si="1" t="shared"/>
        <v>28104.29587512221</v>
      </c>
      <c r="X24" s="7"/>
      <c r="Y24" s="95">
        <v>18</v>
      </c>
      <c r="Z24" s="77">
        <v>1413</v>
      </c>
      <c r="AA24" s="77">
        <v>1009</v>
      </c>
      <c r="AB24" s="77">
        <v>347</v>
      </c>
      <c r="AC24" s="77">
        <v>449</v>
      </c>
      <c r="AD24" s="77">
        <v>361</v>
      </c>
      <c r="AE24" s="77">
        <v>3042</v>
      </c>
      <c r="AF24" s="77">
        <v>3110</v>
      </c>
      <c r="AG24" s="77">
        <v>89</v>
      </c>
      <c r="AH24" s="77">
        <v>1052</v>
      </c>
      <c r="AI24" s="77">
        <v>490</v>
      </c>
      <c r="AJ24" s="77">
        <v>460</v>
      </c>
      <c r="AK24" s="77">
        <v>14333</v>
      </c>
      <c r="AL24" s="77">
        <v>4099</v>
      </c>
      <c r="AM24" s="77">
        <v>64</v>
      </c>
      <c r="AN24" s="77">
        <v>363</v>
      </c>
      <c r="AO24" s="77">
        <v>168</v>
      </c>
      <c r="AP24" s="77">
        <v>56</v>
      </c>
      <c r="AQ24" s="77">
        <v>3474</v>
      </c>
      <c r="AR24" s="77">
        <v>132</v>
      </c>
      <c r="AS24" s="77">
        <v>1501</v>
      </c>
      <c r="AT24" s="77"/>
      <c r="AU24" s="77">
        <f si="2" t="shared"/>
        <v>36012</v>
      </c>
      <c r="AW24" s="95">
        <v>18</v>
      </c>
      <c r="AX24" s="77" t="n">
        <v>803.0</v>
      </c>
      <c r="AY24" s="77" t="n">
        <v>497.0</v>
      </c>
      <c r="AZ24" s="77" t="n">
        <v>177.0</v>
      </c>
      <c r="BA24" s="77" t="n">
        <v>244.0</v>
      </c>
      <c r="BB24" s="77" t="n">
        <v>253.0</v>
      </c>
      <c r="BC24" s="77" t="n">
        <v>1706.0</v>
      </c>
      <c r="BD24" s="77" t="n">
        <v>2053.0</v>
      </c>
      <c r="BE24" s="77" t="n">
        <v>60.0</v>
      </c>
      <c r="BF24" s="77" t="n">
        <v>365.0</v>
      </c>
      <c r="BG24" s="77" t="n">
        <v>282.0</v>
      </c>
      <c r="BH24" s="77" t="n">
        <v>95.0</v>
      </c>
      <c r="BI24" s="77" t="n">
        <v>16367.0</v>
      </c>
      <c r="BJ24" s="77" t="n">
        <v>5066.0</v>
      </c>
      <c r="BK24" s="77" t="n">
        <v>10.0</v>
      </c>
      <c r="BL24" s="77" t="n">
        <v>188.0</v>
      </c>
      <c r="BM24" s="77" t="n">
        <v>243.0</v>
      </c>
      <c r="BN24" s="77" t="n">
        <v>13.0</v>
      </c>
      <c r="BO24" s="77" t="n">
        <v>5056.0</v>
      </c>
      <c r="BP24" s="77" t="n">
        <v>43.0</v>
      </c>
      <c r="BQ24" s="77" t="n">
        <v>1149.0</v>
      </c>
      <c r="BR24" s="77"/>
      <c r="BS24" s="77">
        <f si="3" t="shared"/>
        <v>34612</v>
      </c>
      <c r="BT24" s="102"/>
      <c r="BV24" s="95">
        <v>3</v>
      </c>
      <c r="BW24" s="34" t="s">
        <v>328</v>
      </c>
      <c r="BX24" s="115">
        <f>$BY$7</f>
        <v>14920.556829080699</v>
      </c>
      <c r="BY24" s="116">
        <f>$BY$8</f>
        <v>44705.600948499537</v>
      </c>
      <c r="BZ24" s="116">
        <f>$BY$9</f>
        <v>19462</v>
      </c>
      <c r="CA24" s="123">
        <f>$BY$10</f>
        <v>18351</v>
      </c>
      <c r="CB24" s="115">
        <f>$BY$11</f>
        <v>17950.650402865198</v>
      </c>
      <c r="CC24" s="116">
        <f>$BY$12</f>
        <v>27324.569746504709</v>
      </c>
      <c r="CD24" s="116">
        <f>$BY$13</f>
        <v>18582.417499791751</v>
      </c>
      <c r="CE24" s="123">
        <f>$BY$14</f>
        <v>18351</v>
      </c>
      <c r="CF24" s="100">
        <f si="9" t="shared"/>
        <v>2.664091778400891E-2</v>
      </c>
      <c r="CG24" s="100">
        <f si="10" t="shared"/>
        <v>4.0552938181218023E-2</v>
      </c>
      <c r="CH24" s="100">
        <f si="11" t="shared"/>
        <v>2.7578535915392926E-2</v>
      </c>
      <c r="CI24" s="121">
        <f si="12" t="shared"/>
        <v>2.7235084594835264E-2</v>
      </c>
      <c r="CJ24" s="125">
        <f si="13" t="shared"/>
        <v>-3.4345132055766184E-4</v>
      </c>
      <c r="CK24" s="121">
        <f si="14" t="shared"/>
        <v>-1.2453573373558322E-2</v>
      </c>
      <c r="CL24" s="21">
        <f si="15" t="shared"/>
        <v>-1.3317853586382759E-2</v>
      </c>
    </row>
    <row customFormat="1" r="25" s="95" spans="1:93" x14ac:dyDescent="0.25">
      <c r="A25" s="95">
        <v>19</v>
      </c>
      <c r="B25" s="77" t="n">
        <v>1915.343565447772</v>
      </c>
      <c r="C25" s="77" t="n">
        <v>607.7032017121844</v>
      </c>
      <c r="D25" s="77" t="n">
        <v>609.4054190252011</v>
      </c>
      <c r="E25" s="77" t="n">
        <v>823.33180256622</v>
      </c>
      <c r="F25" s="77" t="n">
        <v>697.708082161286</v>
      </c>
      <c r="G25" s="77" t="n">
        <v>1720.1113417663234</v>
      </c>
      <c r="H25" s="77" t="n">
        <v>1500.2433321284586</v>
      </c>
      <c r="I25" s="77" t="n">
        <v>210.570415675261</v>
      </c>
      <c r="J25" s="77" t="n">
        <v>1739.7985574834886</v>
      </c>
      <c r="K25" s="77" t="n">
        <v>0.0</v>
      </c>
      <c r="L25" s="77" t="n">
        <v>6747.685252252356</v>
      </c>
      <c r="M25" s="77" t="n">
        <v>390.601353124723</v>
      </c>
      <c r="N25" s="77" t="n">
        <v>0.0</v>
      </c>
      <c r="O25" s="77" t="n">
        <v>790.735753140566</v>
      </c>
      <c r="P25" s="77" t="n">
        <v>680.7625795148263</v>
      </c>
      <c r="Q25" s="77" t="n">
        <v>0.0</v>
      </c>
      <c r="R25" s="77" t="n">
        <v>1872.815245488732</v>
      </c>
      <c r="S25" s="77" t="n">
        <v>0.0</v>
      </c>
      <c r="T25" s="77" t="n">
        <v>9265.121522240663</v>
      </c>
      <c r="U25" s="77" t="n">
        <v>0.0</v>
      </c>
      <c r="V25" s="77"/>
      <c r="W25" s="77">
        <f si="1" t="shared"/>
        <v>29571.937423728057</v>
      </c>
      <c r="X25" s="7"/>
      <c r="Y25" s="95">
        <v>19</v>
      </c>
      <c r="Z25" s="77">
        <v>1637</v>
      </c>
      <c r="AA25" s="77">
        <v>1491</v>
      </c>
      <c r="AB25" s="77">
        <v>794</v>
      </c>
      <c r="AC25" s="77">
        <v>834</v>
      </c>
      <c r="AD25" s="77">
        <v>501</v>
      </c>
      <c r="AE25" s="77">
        <v>3008</v>
      </c>
      <c r="AF25" s="77">
        <v>1516</v>
      </c>
      <c r="AG25" s="77">
        <v>220</v>
      </c>
      <c r="AH25" s="77">
        <v>1831</v>
      </c>
      <c r="AI25" s="77">
        <v>378</v>
      </c>
      <c r="AJ25" s="77">
        <v>5912</v>
      </c>
      <c r="AK25" s="77">
        <v>3191</v>
      </c>
      <c r="AL25" s="77">
        <v>740</v>
      </c>
      <c r="AM25" s="77">
        <v>701</v>
      </c>
      <c r="AN25" s="77">
        <v>1479</v>
      </c>
      <c r="AO25" s="77">
        <v>90</v>
      </c>
      <c r="AP25" s="77">
        <v>3050</v>
      </c>
      <c r="AQ25" s="77">
        <v>174</v>
      </c>
      <c r="AR25" s="77">
        <v>12232</v>
      </c>
      <c r="AS25" s="77">
        <v>131</v>
      </c>
      <c r="AT25" s="77"/>
      <c r="AU25" s="77">
        <f si="2" t="shared"/>
        <v>39910</v>
      </c>
      <c r="AW25" s="95">
        <v>19</v>
      </c>
      <c r="AX25" s="77" t="n">
        <v>1713.0</v>
      </c>
      <c r="AY25" s="77" t="n">
        <v>904.0</v>
      </c>
      <c r="AZ25" s="77" t="n">
        <v>862.0</v>
      </c>
      <c r="BA25" s="77" t="n">
        <v>628.0</v>
      </c>
      <c r="BB25" s="77" t="n">
        <v>436.0</v>
      </c>
      <c r="BC25" s="77" t="n">
        <v>2463.0</v>
      </c>
      <c r="BD25" s="77" t="n">
        <v>579.0</v>
      </c>
      <c r="BE25" s="77" t="n">
        <v>146.0</v>
      </c>
      <c r="BF25" s="77" t="n">
        <v>1484.0</v>
      </c>
      <c r="BG25" s="77" t="n">
        <v>282.0</v>
      </c>
      <c r="BH25" s="77" t="n">
        <v>6828.0</v>
      </c>
      <c r="BI25" s="77" t="n">
        <v>1177.0</v>
      </c>
      <c r="BJ25" s="77" t="n">
        <v>233.0</v>
      </c>
      <c r="BK25" s="77" t="n">
        <v>751.0</v>
      </c>
      <c r="BL25" s="77" t="n">
        <v>1853.0</v>
      </c>
      <c r="BM25" s="77" t="n">
        <v>22.0</v>
      </c>
      <c r="BN25" s="77" t="n">
        <v>2666.0</v>
      </c>
      <c r="BO25" s="77" t="n">
        <v>17.0</v>
      </c>
      <c r="BP25" s="77" t="n">
        <v>13117.0</v>
      </c>
      <c r="BQ25" s="77" t="n">
        <v>3.0</v>
      </c>
      <c r="BR25" s="77"/>
      <c r="BS25" s="77">
        <f si="3" t="shared"/>
        <v>35958</v>
      </c>
      <c r="BT25" s="102"/>
      <c r="BV25" s="95">
        <v>4</v>
      </c>
      <c r="BW25" s="34" t="s">
        <v>329</v>
      </c>
      <c r="BX25" s="115">
        <f>$BZ$7</f>
        <v>17534.852697132013</v>
      </c>
      <c r="BY25" s="116">
        <f>$BZ$8</f>
        <v>25156.048569777733</v>
      </c>
      <c r="BZ25" s="116">
        <f>$BZ$9</f>
        <v>17033</v>
      </c>
      <c r="CA25" s="123">
        <f>$BZ$10</f>
        <v>16035</v>
      </c>
      <c r="CB25" s="115">
        <f>$BZ$11</f>
        <v>21095.862187828829</v>
      </c>
      <c r="CC25" s="116">
        <f>$BZ$12</f>
        <v>15375.66186579631</v>
      </c>
      <c r="CD25" s="116">
        <f>$BZ$13</f>
        <v>16236.883961394382</v>
      </c>
      <c r="CE25" s="123">
        <f>$BZ$14</f>
        <v>16035</v>
      </c>
      <c r="CF25" s="100">
        <f si="9" t="shared"/>
        <v>3.1308789236908337E-2</v>
      </c>
      <c r="CG25" s="100">
        <f si="10" t="shared"/>
        <v>2.2819326010383358E-2</v>
      </c>
      <c r="CH25" s="100">
        <f si="11" t="shared"/>
        <v>2.4097482875325593E-2</v>
      </c>
      <c r="CI25" s="121">
        <f si="12" t="shared"/>
        <v>2.3797862867319681E-2</v>
      </c>
      <c r="CJ25" s="125">
        <f si="13" t="shared"/>
        <v>-2.9962000800591235E-4</v>
      </c>
      <c r="CK25" s="121">
        <f si="14" t="shared"/>
        <v>-1.243366411156175E-2</v>
      </c>
      <c r="CL25" s="21">
        <f si="15" t="shared"/>
        <v>9.7853685693632259E-4</v>
      </c>
    </row>
    <row customFormat="1" r="26" s="95" spans="1:93" x14ac:dyDescent="0.25">
      <c r="A26" s="95">
        <v>20</v>
      </c>
      <c r="B26" s="58" t="n">
        <v>488.2700143928717</v>
      </c>
      <c r="C26" s="58" t="n">
        <v>256.352368238167</v>
      </c>
      <c r="D26" s="58" t="n">
        <v>256.352368238167</v>
      </c>
      <c r="E26" s="58" t="n">
        <v>343.4084203190148</v>
      </c>
      <c r="F26" s="58" t="n">
        <v>48.7571379825779</v>
      </c>
      <c r="G26" s="58" t="n">
        <v>509.7023243125875</v>
      </c>
      <c r="H26" s="58" t="n">
        <v>1175.549868293041</v>
      </c>
      <c r="I26" s="58" t="n">
        <v>0.0</v>
      </c>
      <c r="J26" s="58" t="n">
        <v>0.0</v>
      </c>
      <c r="K26" s="58" t="n">
        <v>101.532077591695</v>
      </c>
      <c r="L26" s="58" t="n">
        <v>74.3866041701779</v>
      </c>
      <c r="M26" s="58" t="n">
        <v>4203.273194907666</v>
      </c>
      <c r="N26" s="58" t="n">
        <v>34.3455237132042</v>
      </c>
      <c r="O26" s="58" t="n">
        <v>0.0</v>
      </c>
      <c r="P26" s="58" t="n">
        <v>0.0</v>
      </c>
      <c r="Q26" s="58" t="n">
        <v>0.0</v>
      </c>
      <c r="R26" s="58" t="n">
        <v>0.0</v>
      </c>
      <c r="S26" s="58" t="n">
        <v>2456.9786300895375</v>
      </c>
      <c r="T26" s="58" t="n">
        <v>0.0</v>
      </c>
      <c r="U26" s="58" t="n">
        <v>10980.652769379176</v>
      </c>
      <c r="V26" s="58"/>
      <c r="W26" s="77">
        <f si="1" t="shared"/>
        <v>20929.561301627884</v>
      </c>
      <c r="Y26" s="95">
        <v>20</v>
      </c>
      <c r="Z26" s="58">
        <v>732</v>
      </c>
      <c r="AA26" s="58">
        <v>641</v>
      </c>
      <c r="AB26" s="58">
        <v>232</v>
      </c>
      <c r="AC26" s="58">
        <v>255</v>
      </c>
      <c r="AD26" s="58">
        <v>208</v>
      </c>
      <c r="AE26" s="58">
        <v>1187</v>
      </c>
      <c r="AF26" s="58">
        <v>1343</v>
      </c>
      <c r="AG26" s="58">
        <v>86</v>
      </c>
      <c r="AH26" s="58">
        <v>694</v>
      </c>
      <c r="AI26" s="58">
        <v>280</v>
      </c>
      <c r="AJ26" s="58">
        <v>287</v>
      </c>
      <c r="AK26" s="58">
        <v>6216</v>
      </c>
      <c r="AL26" s="58">
        <v>1098</v>
      </c>
      <c r="AM26" s="58">
        <v>116</v>
      </c>
      <c r="AN26" s="58">
        <v>219</v>
      </c>
      <c r="AO26" s="58">
        <v>85</v>
      </c>
      <c r="AP26" s="58">
        <v>36</v>
      </c>
      <c r="AQ26" s="58">
        <v>3976</v>
      </c>
      <c r="AR26" s="58">
        <v>140</v>
      </c>
      <c r="AS26" s="58">
        <v>10881</v>
      </c>
      <c r="AT26" s="58"/>
      <c r="AU26" s="77">
        <f si="2" t="shared"/>
        <v>28712</v>
      </c>
      <c r="AW26" s="95">
        <v>20</v>
      </c>
      <c r="AX26" s="58" t="n">
        <v>276.0</v>
      </c>
      <c r="AY26" s="58" t="n">
        <v>153.0</v>
      </c>
      <c r="AZ26" s="58" t="n">
        <v>51.0</v>
      </c>
      <c r="BA26" s="58" t="n">
        <v>78.0</v>
      </c>
      <c r="BB26" s="58" t="n">
        <v>100.0</v>
      </c>
      <c r="BC26" s="58" t="n">
        <v>613.0</v>
      </c>
      <c r="BD26" s="58" t="n">
        <v>310.0</v>
      </c>
      <c r="BE26" s="58" t="n">
        <v>25.0</v>
      </c>
      <c r="BF26" s="58" t="n">
        <v>94.0</v>
      </c>
      <c r="BG26" s="58" t="n">
        <v>126.0</v>
      </c>
      <c r="BH26" s="58" t="n">
        <v>35.0</v>
      </c>
      <c r="BI26" s="58" t="n">
        <v>5800.0</v>
      </c>
      <c r="BJ26" s="58" t="n">
        <v>381.0</v>
      </c>
      <c r="BK26" s="58" t="n">
        <v>7.0</v>
      </c>
      <c r="BL26" s="58" t="n">
        <v>17.0</v>
      </c>
      <c r="BM26" s="58" t="n">
        <v>166.0</v>
      </c>
      <c r="BN26" s="58" t="n">
        <v>1.0</v>
      </c>
      <c r="BO26" s="58" t="n">
        <v>4150.0</v>
      </c>
      <c r="BP26" s="58" t="n">
        <v>11.0</v>
      </c>
      <c r="BQ26" s="58" t="n">
        <v>13136.0</v>
      </c>
      <c r="BR26" s="58"/>
      <c r="BS26" s="77">
        <f si="3" t="shared"/>
        <v>25538</v>
      </c>
      <c r="BT26" s="102"/>
      <c r="BV26" s="95">
        <v>5</v>
      </c>
      <c r="BW26" s="34" t="s">
        <v>330</v>
      </c>
      <c r="BX26" s="115">
        <f>$CA$7</f>
        <v>16427.66561240298</v>
      </c>
      <c r="BY26" s="116">
        <f>$CA$8</f>
        <v>23447.799661338322</v>
      </c>
      <c r="BZ26" s="116">
        <f>$CA$9</f>
        <v>15612</v>
      </c>
      <c r="CA26" s="123">
        <f>$CA$10</f>
        <v>15173</v>
      </c>
      <c r="CB26" s="115">
        <f>$CA$11</f>
        <v>19763.82555432988</v>
      </c>
      <c r="CC26" s="116">
        <f>$CA$12</f>
        <v>14331.560781084017</v>
      </c>
      <c r="CD26" s="116">
        <f>$CA$13</f>
        <v>15029.609620549096</v>
      </c>
      <c r="CE26" s="123">
        <f>$CA$14</f>
        <v>15173</v>
      </c>
      <c r="CF26" s="100">
        <f si="9" t="shared"/>
        <v>2.9331887139106391E-2</v>
      </c>
      <c r="CG26" s="100">
        <f si="10" t="shared"/>
        <v>2.1269754795316141E-2</v>
      </c>
      <c r="CH26" s="100">
        <f si="11" t="shared"/>
        <v>2.2305742980927721E-2</v>
      </c>
      <c r="CI26" s="121">
        <f si="12" t="shared"/>
        <v>2.2518551498961117E-2</v>
      </c>
      <c r="CJ26" s="125">
        <f si="13" t="shared"/>
        <v>2.1280851803339579E-4</v>
      </c>
      <c r="CK26" s="121">
        <f si="14" t="shared"/>
        <v>9.5405258733304056E-3</v>
      </c>
      <c r="CL26" s="21">
        <f si="15" t="shared"/>
        <v>1.2487967036449756E-3</v>
      </c>
    </row>
    <row customFormat="1" r="27" s="95" spans="1:93" x14ac:dyDescent="0.25">
      <c r="A27" s="101" t="s">
        <v>15</v>
      </c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77">
        <f si="1" t="shared"/>
        <v>0</v>
      </c>
      <c r="Y27" s="101" t="s">
        <v>15</v>
      </c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77">
        <f si="2" t="shared"/>
        <v>0</v>
      </c>
      <c r="AW27" s="101" t="s">
        <v>15</v>
      </c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77">
        <f si="3" t="shared"/>
        <v>0</v>
      </c>
      <c r="BT27" s="102"/>
      <c r="BV27" s="95">
        <v>6</v>
      </c>
      <c r="BW27" s="34" t="s">
        <v>331</v>
      </c>
      <c r="BX27" s="115">
        <f>$CB$7</f>
        <v>84979.951347610724</v>
      </c>
      <c r="BY27" s="116">
        <f>$CB$8</f>
        <v>72475.32530618021</v>
      </c>
      <c r="BZ27" s="116">
        <f>$CB$9</f>
        <v>99098</v>
      </c>
      <c r="CA27" s="123">
        <f>$CB$10</f>
        <v>96685</v>
      </c>
      <c r="CB27" s="115">
        <f>$CB$11</f>
        <v>102237.8330358493</v>
      </c>
      <c r="CC27" s="116">
        <f>$CB$12</f>
        <v>44297.739862857299</v>
      </c>
      <c r="CD27" s="116">
        <f>$CB$13</f>
        <v>97301.751523931598</v>
      </c>
      <c r="CE27" s="123">
        <f>$CB$14</f>
        <v>96685</v>
      </c>
      <c r="CF27" s="100">
        <f si="9" t="shared"/>
        <v>0.15173320426810527</v>
      </c>
      <c r="CG27" s="100">
        <f si="10" t="shared"/>
        <v>6.5743158003646912E-2</v>
      </c>
      <c r="CH27" s="100">
        <f si="11" t="shared"/>
        <v>0.14440746738487922</v>
      </c>
      <c r="CI27" s="121">
        <f si="12" t="shared"/>
        <v>0.14349213416444048</v>
      </c>
      <c r="CJ27" s="125">
        <f si="13" t="shared"/>
        <v>-9.1533322043874099E-4</v>
      </c>
      <c r="CK27" s="121">
        <f si="14" t="shared"/>
        <v>-6.3385449313305168E-3</v>
      </c>
      <c r="CL27" s="21">
        <f si="15" t="shared"/>
        <v>7.774897616079357E-2</v>
      </c>
    </row>
    <row customFormat="1" ht="15.75" r="28" s="95" spans="1:93" thickBot="1" x14ac:dyDescent="0.3">
      <c r="A28" s="1" t="s">
        <v>3</v>
      </c>
      <c r="B28" s="107">
        <f>SUM(B7:B27)</f>
        <v>59653.544440759513</v>
      </c>
      <c r="C28" s="107">
        <f ref="C28:W28" si="16" t="shared">SUM(C7:C27)</f>
        <v>23682.665169572778</v>
      </c>
      <c r="D28" s="107">
        <f si="16" t="shared"/>
        <v>14920.556829080699</v>
      </c>
      <c r="E28" s="107">
        <f si="16" t="shared"/>
        <v>17534.852697132013</v>
      </c>
      <c r="F28" s="107">
        <f si="16" t="shared"/>
        <v>16427.66561240298</v>
      </c>
      <c r="G28" s="107">
        <f si="16" t="shared"/>
        <v>84979.951347610724</v>
      </c>
      <c r="H28" s="107">
        <f si="16" t="shared"/>
        <v>52872.439568670117</v>
      </c>
      <c r="I28" s="107">
        <f si="16" t="shared"/>
        <v>4985.6374748589815</v>
      </c>
      <c r="J28" s="107">
        <f si="16" t="shared"/>
        <v>36973.784533068967</v>
      </c>
      <c r="K28" s="107">
        <f si="16" t="shared"/>
        <v>8821.4341383130341</v>
      </c>
      <c r="L28" s="107">
        <f si="16" t="shared"/>
        <v>29966.124608656566</v>
      </c>
      <c r="M28" s="107">
        <f si="16" t="shared"/>
        <v>105320.53463114968</v>
      </c>
      <c r="N28" s="107">
        <f si="16" t="shared"/>
        <v>39542.599161277889</v>
      </c>
      <c r="O28" s="107">
        <f si="16" t="shared"/>
        <v>10674.988460489061</v>
      </c>
      <c r="P28" s="107">
        <f si="16" t="shared"/>
        <v>12678.195969196768</v>
      </c>
      <c r="Q28" s="107">
        <f si="16" t="shared"/>
        <v>1470.352749710549</v>
      </c>
      <c r="R28" s="107">
        <f si="16" t="shared"/>
        <v>6774.47985647735</v>
      </c>
      <c r="S28" s="107">
        <f si="16" t="shared"/>
        <v>8463.186929443702</v>
      </c>
      <c r="T28" s="107">
        <f si="16" t="shared"/>
        <v>12412.957962668792</v>
      </c>
      <c r="U28" s="107">
        <f si="16" t="shared"/>
        <v>11905.715030577378</v>
      </c>
      <c r="V28" s="107">
        <f si="16" t="shared"/>
        <v>0</v>
      </c>
      <c r="W28" s="107">
        <f si="16" t="shared"/>
        <v>560061.6671711175</v>
      </c>
      <c r="Y28" s="1" t="s">
        <v>3</v>
      </c>
      <c r="Z28" s="107">
        <f>SUM(Z7:Z27)</f>
        <v>51288</v>
      </c>
      <c r="AA28" s="107">
        <f ref="AA28:AU28" si="17" t="shared">SUM(AA7:AA27)</f>
        <v>34948</v>
      </c>
      <c r="AB28" s="107">
        <f si="17" t="shared"/>
        <v>19462</v>
      </c>
      <c r="AC28" s="107">
        <f si="17" t="shared"/>
        <v>17033</v>
      </c>
      <c r="AD28" s="107">
        <f si="17" t="shared"/>
        <v>15612</v>
      </c>
      <c r="AE28" s="107">
        <f si="17" t="shared"/>
        <v>99098</v>
      </c>
      <c r="AF28" s="107">
        <f si="17" t="shared"/>
        <v>65730</v>
      </c>
      <c r="AG28" s="107">
        <f si="17" t="shared"/>
        <v>3746</v>
      </c>
      <c r="AH28" s="107">
        <f si="17" t="shared"/>
        <v>40943</v>
      </c>
      <c r="AI28" s="107">
        <f si="17" t="shared"/>
        <v>13127</v>
      </c>
      <c r="AJ28" s="107">
        <f si="17" t="shared"/>
        <v>38310</v>
      </c>
      <c r="AK28" s="107">
        <f si="17" t="shared"/>
        <v>144341</v>
      </c>
      <c r="AL28" s="107">
        <f si="17" t="shared"/>
        <v>53417</v>
      </c>
      <c r="AM28" s="107">
        <f si="17" t="shared"/>
        <v>11908</v>
      </c>
      <c r="AN28" s="107">
        <f si="17" t="shared"/>
        <v>23778</v>
      </c>
      <c r="AO28" s="107">
        <f si="17" t="shared"/>
        <v>3306</v>
      </c>
      <c r="AP28" s="107">
        <f si="17" t="shared"/>
        <v>9368</v>
      </c>
      <c r="AQ28" s="107">
        <f si="17" t="shared"/>
        <v>13081</v>
      </c>
      <c r="AR28" s="107">
        <f si="17" t="shared"/>
        <v>22540</v>
      </c>
      <c r="AS28" s="107">
        <f si="17" t="shared"/>
        <v>15078</v>
      </c>
      <c r="AT28" s="107">
        <f si="17" t="shared"/>
        <v>0</v>
      </c>
      <c r="AU28" s="107">
        <f si="17" t="shared"/>
        <v>696114</v>
      </c>
      <c r="AW28" s="1" t="s">
        <v>3</v>
      </c>
      <c r="AX28" s="107">
        <f>SUM(AX7:AX27)</f>
        <v>49682</v>
      </c>
      <c r="AY28" s="107">
        <f ref="AY28" si="18" t="shared">SUM(AY7:AY27)</f>
        <v>34115</v>
      </c>
      <c r="AZ28" s="107">
        <f ref="AZ28" si="19" t="shared">SUM(AZ7:AZ27)</f>
        <v>18351</v>
      </c>
      <c r="BA28" s="107">
        <f ref="BA28" si="20" t="shared">SUM(BA7:BA27)</f>
        <v>16035</v>
      </c>
      <c r="BB28" s="107">
        <f ref="BB28" si="21" t="shared">SUM(BB7:BB27)</f>
        <v>15173</v>
      </c>
      <c r="BC28" s="107">
        <f ref="BC28" si="22" t="shared">SUM(BC7:BC27)</f>
        <v>96685</v>
      </c>
      <c r="BD28" s="107">
        <f ref="BD28" si="23" t="shared">SUM(BD7:BD27)</f>
        <v>64115</v>
      </c>
      <c r="BE28" s="107">
        <f ref="BE28" si="24" t="shared">SUM(BE7:BE27)</f>
        <v>3527</v>
      </c>
      <c r="BF28" s="107">
        <f ref="BF28" si="25" t="shared">SUM(BF7:BF27)</f>
        <v>38822</v>
      </c>
      <c r="BG28" s="107">
        <f ref="BG28" si="26" t="shared">SUM(BG7:BG27)</f>
        <v>12586</v>
      </c>
      <c r="BH28" s="107">
        <f ref="BH28" si="27" t="shared">SUM(BH7:BH27)</f>
        <v>36741</v>
      </c>
      <c r="BI28" s="107">
        <f ref="BI28" si="28" t="shared">SUM(BI7:BI27)</f>
        <v>141088</v>
      </c>
      <c r="BJ28" s="107">
        <f ref="BJ28" si="29" t="shared">SUM(BJ7:BJ27)</f>
        <v>52606</v>
      </c>
      <c r="BK28" s="107">
        <f ref="BK28" si="30" t="shared">SUM(BK7:BK27)</f>
        <v>11087</v>
      </c>
      <c r="BL28" s="107">
        <f ref="BL28" si="31" t="shared">SUM(BL7:BL27)</f>
        <v>21781</v>
      </c>
      <c r="BM28" s="107">
        <f ref="BM28" si="32" t="shared">SUM(BM7:BM27)</f>
        <v>3189</v>
      </c>
      <c r="BN28" s="107">
        <f ref="BN28" si="33" t="shared">SUM(BN7:BN27)</f>
        <v>9193</v>
      </c>
      <c r="BO28" s="107">
        <f ref="BO28" si="34" t="shared">SUM(BO7:BO27)</f>
        <v>12357</v>
      </c>
      <c r="BP28" s="107">
        <f ref="BP28" si="35" t="shared">SUM(BP7:BP27)</f>
        <v>21772</v>
      </c>
      <c r="BQ28" s="107">
        <f ref="BQ28" si="36" t="shared">SUM(BQ7:BQ27)</f>
        <v>14895</v>
      </c>
      <c r="BR28" s="107">
        <f ref="BR28" si="37" t="shared">SUM(BR7:BR27)</f>
        <v>0</v>
      </c>
      <c r="BS28" s="107">
        <f ref="BS28" si="38" t="shared">SUM(BS7:BS27)</f>
        <v>673800</v>
      </c>
      <c r="BT28" s="102"/>
      <c r="BV28" s="95">
        <v>7</v>
      </c>
      <c r="BW28" s="34" t="s">
        <v>332</v>
      </c>
      <c r="BX28" s="115">
        <f>$CC$7</f>
        <v>52872.439568670117</v>
      </c>
      <c r="BY28" s="116">
        <f>$CC$8</f>
        <v>127027.92076090976</v>
      </c>
      <c r="BZ28" s="116">
        <f>$CC$9</f>
        <v>65730</v>
      </c>
      <c r="CA28" s="123">
        <f>$CC$10</f>
        <v>64115</v>
      </c>
      <c r="CB28" s="115">
        <f>$CC$11</f>
        <v>63609.869893997158</v>
      </c>
      <c r="CC28" s="116">
        <f>$CC$12</f>
        <v>77640.904203110811</v>
      </c>
      <c r="CD28" s="116">
        <f>$CC$13</f>
        <v>64337.962781391827</v>
      </c>
      <c r="CE28" s="123">
        <f>$CC$14</f>
        <v>64115</v>
      </c>
      <c r="CF28" s="100">
        <f si="9" t="shared"/>
        <v>9.4404674820417311E-2</v>
      </c>
      <c r="CG28" s="100">
        <f si="10" t="shared"/>
        <v>0.1152284122931297</v>
      </c>
      <c r="CH28" s="100">
        <f si="11" t="shared"/>
        <v>9.5485251975945137E-2</v>
      </c>
      <c r="CI28" s="121">
        <f si="12" t="shared"/>
        <v>9.5154348471356481E-2</v>
      </c>
      <c r="CJ28" s="125">
        <f si="13" t="shared"/>
        <v>-3.3090350458865603E-4</v>
      </c>
      <c r="CK28" s="121">
        <f si="14" t="shared"/>
        <v>-3.4654933378822084E-3</v>
      </c>
      <c r="CL28" s="21">
        <f si="15" t="shared"/>
        <v>-2.0074063821773222E-2</v>
      </c>
    </row>
    <row customFormat="1" r="29" s="95" spans="1:93" x14ac:dyDescent="0.25">
      <c r="AW29" s="7"/>
      <c r="AX29" s="77"/>
      <c r="AY29" s="77"/>
      <c r="AZ29" s="77"/>
      <c r="BA29" s="77"/>
      <c r="BB29" s="77"/>
      <c r="BC29" s="77"/>
      <c r="BD29" s="77"/>
      <c r="BE29" s="77"/>
      <c r="BF29" s="77"/>
      <c r="BV29" s="95">
        <v>8</v>
      </c>
      <c r="BW29" s="34" t="s">
        <v>333</v>
      </c>
      <c r="BX29" s="115">
        <f>$CD$7</f>
        <v>4985.6374748589815</v>
      </c>
      <c r="BY29" s="116">
        <f>$CD$8</f>
        <v>6263.4287909958512</v>
      </c>
      <c r="BZ29" s="116">
        <f>$CD$9</f>
        <v>3746</v>
      </c>
      <c r="CA29" s="123">
        <f>$CD$10</f>
        <v>3527</v>
      </c>
      <c r="CB29" s="115">
        <f>$CD$11</f>
        <v>5998.1297194074823</v>
      </c>
      <c r="CC29" s="116">
        <f>$CD$12</f>
        <v>3828.2786322230609</v>
      </c>
      <c r="CD29" s="116">
        <f>$CD$13</f>
        <v>3538.7606834884073</v>
      </c>
      <c r="CE29" s="123">
        <f>$CD$14</f>
        <v>3527</v>
      </c>
      <c r="CF29" s="100">
        <f si="9" t="shared"/>
        <v>8.9019437806581846E-3</v>
      </c>
      <c r="CG29" s="100">
        <f si="10" t="shared"/>
        <v>5.6816245654839129E-3</v>
      </c>
      <c r="CH29" s="100">
        <f si="11" t="shared"/>
        <v>5.2519452114698842E-3</v>
      </c>
      <c r="CI29" s="121">
        <f si="12" t="shared"/>
        <v>5.2344909468685068E-3</v>
      </c>
      <c r="CJ29" s="125">
        <f si="13" t="shared"/>
        <v>-1.7454264601377348E-5</v>
      </c>
      <c r="CK29" s="121">
        <f si="14" t="shared"/>
        <v>-3.3233904579311442E-3</v>
      </c>
      <c r="CL29" s="21">
        <f si="15" t="shared"/>
        <v>-4.4713361861540603E-4</v>
      </c>
    </row>
    <row customFormat="1" r="30" s="95" spans="1:93" x14ac:dyDescent="0.25">
      <c r="AW30" s="7"/>
      <c r="AX30" s="77"/>
      <c r="AY30" s="77"/>
      <c r="AZ30" s="77"/>
      <c r="BA30" s="77"/>
      <c r="BB30" s="77"/>
      <c r="BC30" s="77"/>
      <c r="BD30" s="77"/>
      <c r="BE30" s="77"/>
      <c r="BF30" s="77"/>
      <c r="BV30" s="95">
        <v>9</v>
      </c>
      <c r="BW30" s="34" t="s">
        <v>334</v>
      </c>
      <c r="BX30" s="115">
        <f>$CE$7</f>
        <v>36973.784533068967</v>
      </c>
      <c r="BY30" s="116">
        <f>$CE$8</f>
        <v>78564.017617084086</v>
      </c>
      <c r="BZ30" s="116">
        <f>$CE$9</f>
        <v>40943</v>
      </c>
      <c r="CA30" s="123">
        <f>$CE$10</f>
        <v>38822</v>
      </c>
      <c r="CB30" s="115">
        <f>$CE$11</f>
        <v>44482.487337899052</v>
      </c>
      <c r="CC30" s="116">
        <f>$CE$12</f>
        <v>48019.217578948337</v>
      </c>
      <c r="CD30" s="116">
        <f>$CE$13</f>
        <v>39525.670062138488</v>
      </c>
      <c r="CE30" s="123">
        <f>$CE$14</f>
        <v>38822</v>
      </c>
      <c r="CF30" s="100">
        <f si="9" t="shared"/>
        <v>6.6017345410951417E-2</v>
      </c>
      <c r="CG30" s="100">
        <f si="10" t="shared"/>
        <v>7.1266277202357273E-2</v>
      </c>
      <c r="CH30" s="100">
        <f si="11" t="shared"/>
        <v>5.8660834167614272E-2</v>
      </c>
      <c r="CI30" s="121">
        <f si="12" t="shared"/>
        <v>5.7616503413475809E-2</v>
      </c>
      <c r="CJ30" s="125">
        <f si="13" t="shared"/>
        <v>-1.044330754138463E-3</v>
      </c>
      <c r="CK30" s="121">
        <f si="14" t="shared"/>
        <v>-1.7802862317887212E-2</v>
      </c>
      <c r="CL30" s="21">
        <f si="15" t="shared"/>
        <v>-1.3649773788881464E-2</v>
      </c>
    </row>
    <row customFormat="1" r="31" s="95" spans="1:93" x14ac:dyDescent="0.25">
      <c r="AW31" s="7"/>
      <c r="AX31" s="77"/>
      <c r="AY31" s="77"/>
      <c r="AZ31" s="77"/>
      <c r="BA31" s="77"/>
      <c r="BB31" s="77"/>
      <c r="BC31" s="77"/>
      <c r="BD31" s="77"/>
      <c r="BE31" s="77"/>
      <c r="BF31" s="77"/>
      <c r="BV31" s="95">
        <v>10</v>
      </c>
      <c r="BW31" s="34" t="s">
        <v>335</v>
      </c>
      <c r="BX31" s="115">
        <f>$CF$7</f>
        <v>8821.4341383130341</v>
      </c>
      <c r="BY31" s="116">
        <f>$CF$8</f>
        <v>30027.582046531123</v>
      </c>
      <c r="BZ31" s="116">
        <f>$CF$9</f>
        <v>13127</v>
      </c>
      <c r="CA31" s="123">
        <f>$CF$10</f>
        <v>12586</v>
      </c>
      <c r="CB31" s="115">
        <f>$CF$11</f>
        <v>10612.906882947353</v>
      </c>
      <c r="CC31" s="116">
        <f>$CF$12</f>
        <v>18353.198313887569</v>
      </c>
      <c r="CD31" s="116">
        <f>$CF$13</f>
        <v>12777.292692961244</v>
      </c>
      <c r="CE31" s="123">
        <f>$CF$14</f>
        <v>12586</v>
      </c>
      <c r="CF31" s="100">
        <f si="9" t="shared"/>
        <v>1.5750826481073548E-2</v>
      </c>
      <c r="CG31" s="100">
        <f si="10" t="shared"/>
        <v>2.7238347156259373E-2</v>
      </c>
      <c r="CH31" s="100">
        <f si="11" t="shared"/>
        <v>1.8963034569547708E-2</v>
      </c>
      <c r="CI31" s="121">
        <f si="12" t="shared"/>
        <v>1.8679133273968536E-2</v>
      </c>
      <c r="CJ31" s="125">
        <f si="13" t="shared"/>
        <v>-2.8390129557917185E-4</v>
      </c>
      <c r="CK31" s="121">
        <f si="14" t="shared"/>
        <v>-1.4971300850502028E-2</v>
      </c>
      <c r="CL31" s="21">
        <f si="15" t="shared"/>
        <v>-8.5592138822908372E-3</v>
      </c>
    </row>
    <row ht="15.75" r="32" spans="1:93" thickBot="1" x14ac:dyDescent="0.3">
      <c r="A32" s="4" t="s">
        <v>323</v>
      </c>
      <c r="B32" s="1"/>
      <c r="C32" s="1"/>
      <c r="D32" s="1"/>
      <c r="E32" s="1"/>
      <c r="F32" s="1"/>
      <c r="G32" s="1"/>
      <c r="H32" s="1"/>
      <c r="I32" s="1"/>
      <c r="J32" s="1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4" t="s">
        <v>321</v>
      </c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7"/>
      <c r="AN32" s="7"/>
      <c r="AO32" s="7"/>
      <c r="AP32" s="7"/>
      <c r="AQ32" s="7"/>
      <c r="AR32" s="7"/>
      <c r="AS32" s="7"/>
      <c r="AT32" s="7"/>
      <c r="AU32" s="7"/>
      <c r="AW32" s="4" t="s">
        <v>324</v>
      </c>
      <c r="AX32" s="1"/>
      <c r="AY32" s="1"/>
      <c r="AZ32" s="1"/>
      <c r="BA32" s="1"/>
      <c r="BB32" s="1"/>
      <c r="BC32" s="1"/>
      <c r="BD32" s="1"/>
      <c r="BE32" s="1"/>
      <c r="BF32" s="1"/>
      <c r="BV32" s="95">
        <v>11</v>
      </c>
      <c r="BW32" s="34" t="s">
        <v>336</v>
      </c>
      <c r="BX32" s="115">
        <f>$CG$7</f>
        <v>29966.124608656566</v>
      </c>
      <c r="BY32" s="116">
        <f>$CG$8</f>
        <v>73900.424834647361</v>
      </c>
      <c r="BZ32" s="116">
        <f>$CG$9</f>
        <v>38310</v>
      </c>
      <c r="CA32" s="123">
        <f>$CG$10</f>
        <v>36741</v>
      </c>
      <c r="CB32" s="115">
        <f>$CG$11</f>
        <v>36051.69920537289</v>
      </c>
      <c r="CC32" s="116">
        <f>$CG$12</f>
        <v>45168.776838876707</v>
      </c>
      <c r="CD32" s="116">
        <f>$CG$13</f>
        <v>36303.793335936367</v>
      </c>
      <c r="CE32" s="123">
        <f>$CG$14</f>
        <v>36741</v>
      </c>
      <c r="CF32" s="100">
        <f si="9" t="shared"/>
        <v>5.350504482839552E-2</v>
      </c>
      <c r="CG32" s="100">
        <f si="10" t="shared"/>
        <v>6.7035881328104327E-2</v>
      </c>
      <c r="CH32" s="100">
        <f si="11" t="shared"/>
        <v>5.3879182748495659E-2</v>
      </c>
      <c r="CI32" s="121">
        <f si="12" t="shared"/>
        <v>5.4528049866429208E-2</v>
      </c>
      <c r="CJ32" s="125">
        <f si="13" t="shared"/>
        <v>6.4886711793354923E-4</v>
      </c>
      <c r="CK32" s="121">
        <f si="14" t="shared"/>
        <v>1.2043002228939292E-2</v>
      </c>
      <c r="CL32" s="21">
        <f si="15" t="shared"/>
        <v>-1.2507831461675119E-2</v>
      </c>
    </row>
    <row r="33" spans="1:90" x14ac:dyDescent="0.25">
      <c r="A33" s="2" t="s">
        <v>14</v>
      </c>
      <c r="B33" s="2">
        <v>1</v>
      </c>
      <c r="C33" s="2">
        <v>2</v>
      </c>
      <c r="D33" s="2">
        <v>3</v>
      </c>
      <c r="E33" s="2">
        <v>4</v>
      </c>
      <c r="F33" s="2">
        <v>5</v>
      </c>
      <c r="G33" s="2">
        <v>6</v>
      </c>
      <c r="H33" s="2">
        <v>7</v>
      </c>
      <c r="I33" s="2">
        <v>8</v>
      </c>
      <c r="J33" s="2">
        <v>9</v>
      </c>
      <c r="K33" s="2">
        <v>10</v>
      </c>
      <c r="L33" s="2">
        <v>11</v>
      </c>
      <c r="M33" s="2">
        <v>12</v>
      </c>
      <c r="N33" s="2">
        <v>13</v>
      </c>
      <c r="O33" s="2">
        <v>14</v>
      </c>
      <c r="P33" s="2">
        <v>15</v>
      </c>
      <c r="Q33" s="2">
        <v>16</v>
      </c>
      <c r="R33" s="2">
        <v>17</v>
      </c>
      <c r="S33" s="2">
        <v>18</v>
      </c>
      <c r="T33" s="2">
        <v>19</v>
      </c>
      <c r="U33" s="2">
        <v>20</v>
      </c>
      <c r="V33" s="3" t="s">
        <v>15</v>
      </c>
      <c r="W33" s="3" t="s">
        <v>3</v>
      </c>
      <c r="X33" s="79"/>
      <c r="Y33" s="2" t="s">
        <v>14</v>
      </c>
      <c r="Z33" s="2">
        <v>1</v>
      </c>
      <c r="AA33" s="2">
        <v>2</v>
      </c>
      <c r="AB33" s="2">
        <v>3</v>
      </c>
      <c r="AC33" s="2">
        <v>4</v>
      </c>
      <c r="AD33" s="2">
        <v>5</v>
      </c>
      <c r="AE33" s="2">
        <v>6</v>
      </c>
      <c r="AF33" s="2">
        <v>7</v>
      </c>
      <c r="AG33" s="2">
        <v>8</v>
      </c>
      <c r="AH33" s="2">
        <v>9</v>
      </c>
      <c r="AI33" s="2">
        <v>10</v>
      </c>
      <c r="AJ33" s="2">
        <v>11</v>
      </c>
      <c r="AK33" s="2">
        <v>12</v>
      </c>
      <c r="AL33" s="2">
        <v>13</v>
      </c>
      <c r="AM33" s="2">
        <v>14</v>
      </c>
      <c r="AN33" s="2">
        <v>15</v>
      </c>
      <c r="AO33" s="2">
        <v>16</v>
      </c>
      <c r="AP33" s="2">
        <v>17</v>
      </c>
      <c r="AQ33" s="2">
        <v>18</v>
      </c>
      <c r="AR33" s="2">
        <v>19</v>
      </c>
      <c r="AS33" s="2">
        <v>20</v>
      </c>
      <c r="AT33" s="3" t="s">
        <v>15</v>
      </c>
      <c r="AU33" s="3" t="s">
        <v>3</v>
      </c>
      <c r="AW33" s="2" t="s">
        <v>14</v>
      </c>
      <c r="AX33" s="2">
        <v>1</v>
      </c>
      <c r="AY33" s="2">
        <v>2</v>
      </c>
      <c r="AZ33" s="2">
        <v>3</v>
      </c>
      <c r="BA33" s="2">
        <v>4</v>
      </c>
      <c r="BB33" s="2">
        <v>5</v>
      </c>
      <c r="BC33" s="2">
        <v>6</v>
      </c>
      <c r="BD33" s="2">
        <v>7</v>
      </c>
      <c r="BE33" s="2">
        <v>8</v>
      </c>
      <c r="BF33" s="2">
        <v>9</v>
      </c>
      <c r="BG33" s="2">
        <v>10</v>
      </c>
      <c r="BH33" s="2">
        <v>11</v>
      </c>
      <c r="BI33" s="2">
        <v>12</v>
      </c>
      <c r="BJ33" s="2">
        <v>13</v>
      </c>
      <c r="BK33" s="2">
        <v>14</v>
      </c>
      <c r="BL33" s="2">
        <v>15</v>
      </c>
      <c r="BM33" s="2">
        <v>16</v>
      </c>
      <c r="BN33" s="2">
        <v>17</v>
      </c>
      <c r="BO33" s="2">
        <v>18</v>
      </c>
      <c r="BP33" s="2">
        <v>19</v>
      </c>
      <c r="BQ33" s="2">
        <v>20</v>
      </c>
      <c r="BR33" s="3" t="s">
        <v>15</v>
      </c>
      <c r="BS33" s="3" t="s">
        <v>3</v>
      </c>
      <c r="BV33" s="95">
        <v>12</v>
      </c>
      <c r="BW33" s="34" t="s">
        <v>337</v>
      </c>
      <c r="BX33" s="115">
        <f>$CH$7</f>
        <v>105320.53463114968</v>
      </c>
      <c r="BY33" s="116">
        <f>$CH$8</f>
        <v>187525.61191568145</v>
      </c>
      <c r="BZ33" s="116">
        <f>$CH$9</f>
        <v>144341</v>
      </c>
      <c r="CA33" s="123">
        <f>$CH$10</f>
        <v>141088</v>
      </c>
      <c r="CB33" s="115">
        <f>$CH$11</f>
        <v>126709.21863464455</v>
      </c>
      <c r="CC33" s="116">
        <f>$CH$12</f>
        <v>114617.77838416446</v>
      </c>
      <c r="CD33" s="116">
        <f>$CH$13</f>
        <v>142489.58738938224</v>
      </c>
      <c r="CE33" s="123">
        <f>$CH$14</f>
        <v>141088</v>
      </c>
      <c r="CF33" s="100">
        <f si="9" t="shared"/>
        <v>0.18805167502915493</v>
      </c>
      <c r="CG33" s="100">
        <f si="10" t="shared"/>
        <v>0.17010652772954057</v>
      </c>
      <c r="CH33" s="100">
        <f si="11" t="shared"/>
        <v>0.21147163459391846</v>
      </c>
      <c r="CI33" s="121">
        <f si="12" t="shared"/>
        <v>0.20939151083407539</v>
      </c>
      <c r="CJ33" s="125">
        <f si="13" t="shared"/>
        <v>-2.0801237598430666E-3</v>
      </c>
      <c r="CK33" s="121">
        <f si="14" t="shared"/>
        <v>-9.8364197346723688E-3</v>
      </c>
      <c r="CL33" s="21">
        <f si="15" t="shared"/>
        <v>3.9284983104534821E-2</v>
      </c>
    </row>
    <row r="34" spans="1:90" x14ac:dyDescent="0.25">
      <c r="A34" s="31">
        <v>1</v>
      </c>
      <c r="B34" s="77">
        <f ref="B34:W34" si="39" t="shared">IF($W7&gt;0,(B7/$W7)*$BS7,0)</f>
        <v>1326.4416173568347</v>
      </c>
      <c r="C34" s="77">
        <f si="39" t="shared"/>
        <v>183.91810680904342</v>
      </c>
      <c r="D34" s="77">
        <f si="39" t="shared"/>
        <v>147.46373638679944</v>
      </c>
      <c r="E34" s="77">
        <f si="39" t="shared"/>
        <v>0</v>
      </c>
      <c r="F34" s="77">
        <f si="39" t="shared"/>
        <v>140.33981024882399</v>
      </c>
      <c r="G34" s="77">
        <f si="39" t="shared"/>
        <v>1825.9239161946725</v>
      </c>
      <c r="H34" s="77">
        <f si="39" t="shared"/>
        <v>0</v>
      </c>
      <c r="I34" s="77">
        <f si="39" t="shared"/>
        <v>0</v>
      </c>
      <c r="J34" s="77">
        <f si="39" t="shared"/>
        <v>556.74264866643512</v>
      </c>
      <c r="K34" s="77">
        <f si="39" t="shared"/>
        <v>76.854064678552263</v>
      </c>
      <c r="L34" s="77">
        <f si="39" t="shared"/>
        <v>365.03509084357341</v>
      </c>
      <c r="M34" s="77">
        <f si="39" t="shared"/>
        <v>330.28100881526581</v>
      </c>
      <c r="N34" s="77">
        <f si="39" t="shared"/>
        <v>0</v>
      </c>
      <c r="O34" s="77">
        <f si="39" t="shared"/>
        <v>0</v>
      </c>
      <c r="P34" s="77">
        <f si="39" t="shared"/>
        <v>0</v>
      </c>
      <c r="Q34" s="77">
        <f si="39" t="shared"/>
        <v>0</v>
      </c>
      <c r="R34" s="77">
        <f si="39" t="shared"/>
        <v>0</v>
      </c>
      <c r="S34" s="77">
        <f si="39" t="shared"/>
        <v>0</v>
      </c>
      <c r="T34" s="77">
        <f si="39" t="shared"/>
        <v>0</v>
      </c>
      <c r="U34" s="77">
        <f si="39" t="shared"/>
        <v>0</v>
      </c>
      <c r="V34" s="77">
        <f si="39" t="shared"/>
        <v>0</v>
      </c>
      <c r="W34" s="77">
        <f si="39" t="shared"/>
        <v>4953</v>
      </c>
      <c r="X34" s="14"/>
      <c r="Y34" s="31">
        <v>1</v>
      </c>
      <c r="Z34" s="77">
        <f>IF($AU7&gt;0,(Z7/$AU7)*$BS7,0)</f>
        <v>1201.5145058187181</v>
      </c>
      <c r="AA34" s="77">
        <f ref="AA34:AT34" si="40" t="shared">IF($AU7&gt;0,(AA7/$AU7)*$BS7,0)</f>
        <v>308.49696771021144</v>
      </c>
      <c r="AB34" s="77">
        <f si="40" t="shared"/>
        <v>166.42599573840354</v>
      </c>
      <c r="AC34" s="77">
        <f si="40" t="shared"/>
        <v>150.18931322733977</v>
      </c>
      <c r="AD34" s="77">
        <f si="40" t="shared"/>
        <v>174.54433699393545</v>
      </c>
      <c r="AE34" s="77">
        <f si="40" t="shared"/>
        <v>1281.8860842484839</v>
      </c>
      <c r="AF34" s="77">
        <f si="40" t="shared"/>
        <v>211.88870676938208</v>
      </c>
      <c r="AG34" s="77">
        <f si="40" t="shared"/>
        <v>21.107687264382886</v>
      </c>
      <c r="AH34" s="77">
        <f si="40" t="shared"/>
        <v>213.51237502048846</v>
      </c>
      <c r="AI34" s="77">
        <f si="40" t="shared"/>
        <v>106.35027044746762</v>
      </c>
      <c r="AJ34" s="77">
        <f si="40" t="shared"/>
        <v>146.13014259957384</v>
      </c>
      <c r="AK34" s="77">
        <f si="40" t="shared"/>
        <v>820.76430093427302</v>
      </c>
      <c r="AL34" s="77">
        <f si="40" t="shared"/>
        <v>51.14554990985085</v>
      </c>
      <c r="AM34" s="77">
        <f si="40" t="shared"/>
        <v>9.7420095066382562</v>
      </c>
      <c r="AN34" s="77">
        <f si="40" t="shared"/>
        <v>23.543189641042453</v>
      </c>
      <c r="AO34" s="77">
        <f si="40" t="shared"/>
        <v>13.801180134404195</v>
      </c>
      <c r="AP34" s="77">
        <f si="40" t="shared"/>
        <v>5.6828388788723156</v>
      </c>
      <c r="AQ34" s="77">
        <f si="40" t="shared"/>
        <v>8.9301753810850677</v>
      </c>
      <c r="AR34" s="77">
        <f si="40" t="shared"/>
        <v>26.790526143255203</v>
      </c>
      <c r="AS34" s="77">
        <f si="40" t="shared"/>
        <v>10.553843632191443</v>
      </c>
      <c r="AT34" s="77">
        <f si="40" t="shared"/>
        <v>0</v>
      </c>
      <c r="AU34" s="77">
        <f>SUM(Z34:AT34)</f>
        <v>4953.0000000000018</v>
      </c>
      <c r="AW34" s="31">
        <v>1</v>
      </c>
      <c r="AX34" s="15">
        <f>AX7</f>
        <v>1361</v>
      </c>
      <c r="AY34" s="15">
        <f ref="AY34:BR34" si="41" t="shared">AY7</f>
        <v>288</v>
      </c>
      <c r="AZ34" s="15">
        <f si="41" t="shared"/>
        <v>162</v>
      </c>
      <c r="BA34" s="15">
        <f si="41" t="shared"/>
        <v>257</v>
      </c>
      <c r="BB34" s="15">
        <f si="41" t="shared"/>
        <v>229</v>
      </c>
      <c r="BC34" s="15">
        <f si="41" t="shared"/>
        <v>1432</v>
      </c>
      <c r="BD34" s="15">
        <f si="41" t="shared"/>
        <v>130</v>
      </c>
      <c r="BE34" s="15">
        <f si="41" t="shared"/>
        <v>35</v>
      </c>
      <c r="BF34" s="15">
        <f si="41" t="shared"/>
        <v>165</v>
      </c>
      <c r="BG34" s="15">
        <f si="41" t="shared"/>
        <v>114</v>
      </c>
      <c r="BH34" s="15">
        <f si="41" t="shared"/>
        <v>124</v>
      </c>
      <c r="BI34" s="15">
        <f si="41" t="shared"/>
        <v>572</v>
      </c>
      <c r="BJ34" s="15">
        <f si="41" t="shared"/>
        <v>12</v>
      </c>
      <c r="BK34" s="15">
        <f si="41" t="shared"/>
        <v>14</v>
      </c>
      <c r="BL34" s="15">
        <f si="41" t="shared"/>
        <v>15</v>
      </c>
      <c r="BM34" s="15">
        <f si="41" t="shared"/>
        <v>10</v>
      </c>
      <c r="BN34" s="15">
        <f si="41" t="shared"/>
        <v>7</v>
      </c>
      <c r="BO34" s="15">
        <f si="41" t="shared"/>
        <v>5</v>
      </c>
      <c r="BP34" s="15">
        <f si="41" t="shared"/>
        <v>16</v>
      </c>
      <c r="BQ34" s="15">
        <f si="41" t="shared"/>
        <v>5</v>
      </c>
      <c r="BR34" s="15">
        <f si="41" t="shared"/>
        <v>0</v>
      </c>
      <c r="BS34" s="97">
        <f>SUM(AX34:BR34)</f>
        <v>4953</v>
      </c>
      <c r="BV34" s="95">
        <v>13</v>
      </c>
      <c r="BW34" s="34" t="s">
        <v>338</v>
      </c>
      <c r="BX34" s="115">
        <f>$CI$7</f>
        <v>39542.599161277889</v>
      </c>
      <c r="BY34" s="116">
        <f>$CI$8</f>
        <v>122536.09099123925</v>
      </c>
      <c r="BZ34" s="116">
        <f>$CI$9</f>
        <v>53417</v>
      </c>
      <c r="CA34" s="123">
        <f>$CI$10</f>
        <v>52606</v>
      </c>
      <c r="CB34" s="115">
        <f>$CI$11</f>
        <v>47572.981470857339</v>
      </c>
      <c r="CC34" s="116">
        <f>$CI$12</f>
        <v>74895.446962256799</v>
      </c>
      <c r="CD34" s="116">
        <f>$CI$13</f>
        <v>52316.598933068235</v>
      </c>
      <c r="CE34" s="123">
        <f>$CI$14</f>
        <v>52606</v>
      </c>
      <c r="CF34" s="100">
        <f si="9" t="shared"/>
        <v>7.0604009306704296E-2</v>
      </c>
      <c r="CG34" s="100">
        <f si="10" t="shared"/>
        <v>0.11115382452101037</v>
      </c>
      <c r="CH34" s="100">
        <f si="11" t="shared"/>
        <v>7.7644106460475287E-2</v>
      </c>
      <c r="CI34" s="121">
        <f si="12" t="shared"/>
        <v>7.8073612347877713E-2</v>
      </c>
      <c r="CJ34" s="125">
        <f si="13" t="shared"/>
        <v>4.2950588740242601E-4</v>
      </c>
      <c r="CK34" s="121">
        <f si="14" t="shared"/>
        <v>5.5317255485589399E-3</v>
      </c>
      <c r="CL34" s="21">
        <f si="15" t="shared"/>
        <v>-3.3080212173132659E-2</v>
      </c>
    </row>
    <row r="35" spans="1:90" x14ac:dyDescent="0.25">
      <c r="A35" s="95">
        <v>2</v>
      </c>
      <c r="B35" s="77">
        <f ref="B35:W35" si="42" t="shared">IF($W8&gt;0,(B8/$W8)*$BS8,0)</f>
        <v>1375.1118238445993</v>
      </c>
      <c r="C35" s="77">
        <f si="42" t="shared"/>
        <v>1611.4993209119032</v>
      </c>
      <c r="D35" s="77">
        <f si="42" t="shared"/>
        <v>476.96532092820809</v>
      </c>
      <c r="E35" s="77">
        <f si="42" t="shared"/>
        <v>3418.0109781177039</v>
      </c>
      <c r="F35" s="77">
        <f si="42" t="shared"/>
        <v>78.432199914900707</v>
      </c>
      <c r="G35" s="77">
        <f si="42" t="shared"/>
        <v>2347.2763688132682</v>
      </c>
      <c r="H35" s="77">
        <f si="42" t="shared"/>
        <v>1403.0745394486232</v>
      </c>
      <c r="I35" s="77">
        <f si="42" t="shared"/>
        <v>0</v>
      </c>
      <c r="J35" s="77">
        <f si="42" t="shared"/>
        <v>1858.1353599312254</v>
      </c>
      <c r="K35" s="77">
        <f si="42" t="shared"/>
        <v>144.40647407818943</v>
      </c>
      <c r="L35" s="77">
        <f si="42" t="shared"/>
        <v>209.72164459785887</v>
      </c>
      <c r="M35" s="77">
        <f si="42" t="shared"/>
        <v>1595.1276003336309</v>
      </c>
      <c r="N35" s="77">
        <f si="42" t="shared"/>
        <v>0</v>
      </c>
      <c r="O35" s="77">
        <f si="42" t="shared"/>
        <v>0</v>
      </c>
      <c r="P35" s="77">
        <f si="42" t="shared"/>
        <v>0</v>
      </c>
      <c r="Q35" s="77">
        <f si="42" t="shared"/>
        <v>0</v>
      </c>
      <c r="R35" s="77">
        <f si="42" t="shared"/>
        <v>0</v>
      </c>
      <c r="S35" s="77">
        <f si="42" t="shared"/>
        <v>0</v>
      </c>
      <c r="T35" s="77">
        <f si="42" t="shared"/>
        <v>305.23836907988795</v>
      </c>
      <c r="U35" s="77">
        <f si="42" t="shared"/>
        <v>0</v>
      </c>
      <c r="V35" s="77">
        <f si="42" t="shared"/>
        <v>0</v>
      </c>
      <c r="W35" s="77">
        <f si="42" t="shared"/>
        <v>14823</v>
      </c>
      <c r="X35" s="14"/>
      <c r="Y35" s="95">
        <v>2</v>
      </c>
      <c r="Z35" s="77">
        <f ref="Z35:AT35" si="43" t="shared">IF($AU8&gt;0,(Z8/$AU8)*$BS8,0)</f>
        <v>1702.9552972731337</v>
      </c>
      <c r="AA35" s="77">
        <f si="43" t="shared"/>
        <v>1730.5648189539561</v>
      </c>
      <c r="AB35" s="77">
        <f si="43" t="shared"/>
        <v>675.88109074653551</v>
      </c>
      <c r="AC35" s="77">
        <f si="43" t="shared"/>
        <v>406.4121591417076</v>
      </c>
      <c r="AD35" s="77">
        <f si="43" t="shared"/>
        <v>436.23044255699597</v>
      </c>
      <c r="AE35" s="77">
        <f si="43" t="shared"/>
        <v>2817.2755923111313</v>
      </c>
      <c r="AF35" s="77">
        <f si="43" t="shared"/>
        <v>1232.4890478319176</v>
      </c>
      <c r="AG35" s="77">
        <f si="43" t="shared"/>
        <v>93.872373714796595</v>
      </c>
      <c r="AH35" s="77">
        <f si="43" t="shared"/>
        <v>1201.5663835493965</v>
      </c>
      <c r="AI35" s="77">
        <f si="43" t="shared"/>
        <v>297.07845328565043</v>
      </c>
      <c r="AJ35" s="77">
        <f si="43" t="shared"/>
        <v>721.16070630308457</v>
      </c>
      <c r="AK35" s="77">
        <f si="43" t="shared"/>
        <v>2725.6119803308002</v>
      </c>
      <c r="AL35" s="77">
        <f si="43" t="shared"/>
        <v>247.38131426016986</v>
      </c>
      <c r="AM35" s="77">
        <f si="43" t="shared"/>
        <v>51.905900759946356</v>
      </c>
      <c r="AN35" s="77">
        <f si="43" t="shared"/>
        <v>176.7009387572642</v>
      </c>
      <c r="AO35" s="77">
        <f si="43" t="shared"/>
        <v>50.801519892713451</v>
      </c>
      <c r="AP35" s="77">
        <f si="43" t="shared"/>
        <v>49.697139025480553</v>
      </c>
      <c r="AQ35" s="77">
        <f si="43" t="shared"/>
        <v>68.471613768439866</v>
      </c>
      <c r="AR35" s="77">
        <f si="43" t="shared"/>
        <v>97.18551631649531</v>
      </c>
      <c r="AS35" s="77">
        <f si="43" t="shared"/>
        <v>39.757711220384444</v>
      </c>
      <c r="AT35" s="77">
        <f si="43" t="shared"/>
        <v>0</v>
      </c>
      <c r="AU35" s="77">
        <f ref="AU35:AU55" si="44" t="shared">SUM(Z35:AT35)</f>
        <v>14823</v>
      </c>
      <c r="AW35" s="95">
        <v>2</v>
      </c>
      <c r="AX35" s="15">
        <f ref="AX35:BR35" si="45" t="shared">AX8</f>
        <v>1743</v>
      </c>
      <c r="AY35" s="15">
        <f si="45" t="shared"/>
        <v>2317</v>
      </c>
      <c r="AZ35" s="15">
        <f si="45" t="shared"/>
        <v>618</v>
      </c>
      <c r="BA35" s="15">
        <f si="45" t="shared"/>
        <v>464</v>
      </c>
      <c r="BB35" s="15">
        <f si="45" t="shared"/>
        <v>450</v>
      </c>
      <c r="BC35" s="15">
        <f si="45" t="shared"/>
        <v>3028</v>
      </c>
      <c r="BD35" s="15">
        <f si="45" t="shared"/>
        <v>1105</v>
      </c>
      <c r="BE35" s="15">
        <f si="45" t="shared"/>
        <v>85</v>
      </c>
      <c r="BF35" s="15">
        <f si="45" t="shared"/>
        <v>1161</v>
      </c>
      <c r="BG35" s="15">
        <f si="45" t="shared"/>
        <v>317</v>
      </c>
      <c r="BH35" s="15">
        <f si="45" t="shared"/>
        <v>408</v>
      </c>
      <c r="BI35" s="15">
        <f si="45" t="shared"/>
        <v>2816</v>
      </c>
      <c r="BJ35" s="15">
        <f si="45" t="shared"/>
        <v>63</v>
      </c>
      <c r="BK35" s="15">
        <f si="45" t="shared"/>
        <v>34</v>
      </c>
      <c r="BL35" s="15">
        <f si="45" t="shared"/>
        <v>94</v>
      </c>
      <c r="BM35" s="15">
        <f si="45" t="shared"/>
        <v>28</v>
      </c>
      <c r="BN35" s="15">
        <f si="45" t="shared"/>
        <v>21</v>
      </c>
      <c r="BO35" s="15">
        <f si="45" t="shared"/>
        <v>11</v>
      </c>
      <c r="BP35" s="15">
        <f si="45" t="shared"/>
        <v>49</v>
      </c>
      <c r="BQ35" s="15">
        <f si="45" t="shared"/>
        <v>11</v>
      </c>
      <c r="BR35" s="15">
        <f si="45" t="shared"/>
        <v>0</v>
      </c>
      <c r="BS35" s="15">
        <f ref="BS35:BS53" si="46" t="shared">SUM(AX35:BR35)</f>
        <v>14823</v>
      </c>
      <c r="BV35" s="95">
        <v>14</v>
      </c>
      <c r="BW35" s="34" t="s">
        <v>339</v>
      </c>
      <c r="BX35" s="115">
        <f>$CJ$7</f>
        <v>10674.988460489061</v>
      </c>
      <c r="BY35" s="116">
        <f>$CJ$8</f>
        <v>27767.802248882606</v>
      </c>
      <c r="BZ35" s="116">
        <f>$CJ$9</f>
        <v>11908</v>
      </c>
      <c r="CA35" s="123">
        <f>$CJ$10</f>
        <v>11087</v>
      </c>
      <c r="CB35" s="115">
        <f>$CJ$11</f>
        <v>12842.884357732497</v>
      </c>
      <c r="CC35" s="116">
        <f>$CJ$12</f>
        <v>16971.995301680625</v>
      </c>
      <c r="CD35" s="116">
        <f>$CJ$13</f>
        <v>10795.83624303071</v>
      </c>
      <c r="CE35" s="123">
        <f>$CJ$14</f>
        <v>11087</v>
      </c>
      <c r="CF35" s="100">
        <f si="9" t="shared"/>
        <v>1.9060380465616655E-2</v>
      </c>
      <c r="CG35" s="100">
        <f si="10" t="shared"/>
        <v>2.5188476256575575E-2</v>
      </c>
      <c r="CH35" s="100">
        <f si="11" t="shared"/>
        <v>1.6022315587757067E-2</v>
      </c>
      <c r="CI35" s="121">
        <f si="12" t="shared"/>
        <v>1.6454437518551499E-2</v>
      </c>
      <c r="CJ35" s="125">
        <f si="13" t="shared"/>
        <v>4.321219307944317E-4</v>
      </c>
      <c r="CK35" s="121">
        <f si="14" t="shared"/>
        <v>2.6970004955128146E-2</v>
      </c>
      <c r="CL35" s="21">
        <f si="15" t="shared"/>
        <v>-8.7340387380240754E-3</v>
      </c>
    </row>
    <row r="36" spans="1:90" x14ac:dyDescent="0.25">
      <c r="A36" s="95">
        <v>3</v>
      </c>
      <c r="B36" s="77">
        <f ref="B36:W36" si="47" t="shared">IF($W9&gt;0,(B9/$W9)*$BS9,0)</f>
        <v>5039.2159827732048</v>
      </c>
      <c r="C36" s="77">
        <f si="47" t="shared"/>
        <v>3028.2790047868539</v>
      </c>
      <c r="D36" s="77">
        <f si="47" t="shared"/>
        <v>3110.1524176967391</v>
      </c>
      <c r="E36" s="77">
        <f si="47" t="shared"/>
        <v>651.55180359094027</v>
      </c>
      <c r="F36" s="77">
        <f si="47" t="shared"/>
        <v>1400.9257575249972</v>
      </c>
      <c r="G36" s="77">
        <f si="47" t="shared"/>
        <v>5473.7499902054797</v>
      </c>
      <c r="H36" s="77">
        <f si="47" t="shared"/>
        <v>727.0615468924974</v>
      </c>
      <c r="I36" s="77">
        <f si="47" t="shared"/>
        <v>1328.2402056639551</v>
      </c>
      <c r="J36" s="77">
        <f si="47" t="shared"/>
        <v>1446.1440969886912</v>
      </c>
      <c r="K36" s="77">
        <f si="47" t="shared"/>
        <v>407.37254709520391</v>
      </c>
      <c r="L36" s="77">
        <f si="47" t="shared"/>
        <v>1251.1234627562201</v>
      </c>
      <c r="M36" s="77">
        <f si="47" t="shared"/>
        <v>3924.4284196192611</v>
      </c>
      <c r="N36" s="77">
        <f si="47" t="shared"/>
        <v>59.253001590801183</v>
      </c>
      <c r="O36" s="77">
        <f si="47" t="shared"/>
        <v>0</v>
      </c>
      <c r="P36" s="77">
        <f si="47" t="shared"/>
        <v>0</v>
      </c>
      <c r="Q36" s="77">
        <f si="47" t="shared"/>
        <v>0</v>
      </c>
      <c r="R36" s="77">
        <f si="47" t="shared"/>
        <v>0</v>
      </c>
      <c r="S36" s="77">
        <f si="47" t="shared"/>
        <v>0</v>
      </c>
      <c r="T36" s="77">
        <f si="47" t="shared"/>
        <v>169.50176281515402</v>
      </c>
      <c r="U36" s="77">
        <f si="47" t="shared"/>
        <v>0</v>
      </c>
      <c r="V36" s="77">
        <f si="47" t="shared"/>
        <v>0</v>
      </c>
      <c r="W36" s="77">
        <f si="47" t="shared"/>
        <v>28017</v>
      </c>
      <c r="X36" s="14"/>
      <c r="Y36" s="95">
        <v>3</v>
      </c>
      <c r="Z36" s="77">
        <f ref="Z36:AT36" si="48" t="shared">IF($AU9&gt;0,(Z9/$AU9)*$BS9,0)</f>
        <v>4176.3188726433245</v>
      </c>
      <c r="AA36" s="77">
        <f si="48" t="shared"/>
        <v>1733.7697191227394</v>
      </c>
      <c r="AB36" s="77">
        <f si="48" t="shared"/>
        <v>2712.0470373220469</v>
      </c>
      <c r="AC36" s="77">
        <f si="48" t="shared"/>
        <v>1212.7404771065794</v>
      </c>
      <c r="AD36" s="77">
        <f si="48" t="shared"/>
        <v>1115.7212389380531</v>
      </c>
      <c r="AE36" s="77">
        <f si="48" t="shared"/>
        <v>6068.1940169295885</v>
      </c>
      <c r="AF36" s="77">
        <f si="48" t="shared"/>
        <v>1587.3425355906118</v>
      </c>
      <c r="AG36" s="77">
        <f si="48" t="shared"/>
        <v>229.97152751058098</v>
      </c>
      <c r="AH36" s="77">
        <f si="48" t="shared"/>
        <v>1478.6450557906887</v>
      </c>
      <c r="AI36" s="77">
        <f si="48" t="shared"/>
        <v>632.42170065409778</v>
      </c>
      <c r="AJ36" s="77">
        <f si="48" t="shared"/>
        <v>1509.1881492881878</v>
      </c>
      <c r="AK36" s="77">
        <f si="48" t="shared"/>
        <v>4064.9264140053865</v>
      </c>
      <c r="AL36" s="77">
        <f si="48" t="shared"/>
        <v>404.24682570219318</v>
      </c>
      <c r="AM36" s="77">
        <f si="48" t="shared"/>
        <v>159.00375144286264</v>
      </c>
      <c r="AN36" s="77">
        <f si="48" t="shared"/>
        <v>274.88784147749135</v>
      </c>
      <c r="AO36" s="77">
        <f si="48" t="shared"/>
        <v>106.00250096190842</v>
      </c>
      <c r="AP36" s="77">
        <f si="48" t="shared"/>
        <v>111.39245863793768</v>
      </c>
      <c r="AQ36" s="77">
        <f si="48" t="shared"/>
        <v>89.832627933820703</v>
      </c>
      <c r="AR36" s="77">
        <f si="48" t="shared"/>
        <v>283.87110427087339</v>
      </c>
      <c r="AS36" s="77">
        <f si="48" t="shared"/>
        <v>66.476144671027313</v>
      </c>
      <c r="AT36" s="77">
        <f si="48" t="shared"/>
        <v>0</v>
      </c>
      <c r="AU36" s="77">
        <f si="44" t="shared"/>
        <v>28017</v>
      </c>
      <c r="AW36" s="95">
        <v>3</v>
      </c>
      <c r="AX36" s="15">
        <f ref="AX36:BR36" si="49" t="shared">AX9</f>
        <v>4545</v>
      </c>
      <c r="AY36" s="15">
        <f si="49" t="shared"/>
        <v>2214</v>
      </c>
      <c r="AZ36" s="15">
        <f si="49" t="shared"/>
        <v>2669</v>
      </c>
      <c r="BA36" s="15">
        <f si="49" t="shared"/>
        <v>1477</v>
      </c>
      <c r="BB36" s="15">
        <f si="49" t="shared"/>
        <v>1157</v>
      </c>
      <c r="BC36" s="15">
        <f si="49" t="shared"/>
        <v>6681</v>
      </c>
      <c r="BD36" s="15">
        <f si="49" t="shared"/>
        <v>1080</v>
      </c>
      <c r="BE36" s="15">
        <f si="49" t="shared"/>
        <v>326</v>
      </c>
      <c r="BF36" s="15">
        <f si="49" t="shared"/>
        <v>1395</v>
      </c>
      <c r="BG36" s="15">
        <f si="49" t="shared"/>
        <v>627</v>
      </c>
      <c r="BH36" s="15">
        <f si="49" t="shared"/>
        <v>1749</v>
      </c>
      <c r="BI36" s="15">
        <f si="49" t="shared"/>
        <v>3436</v>
      </c>
      <c r="BJ36" s="15">
        <f si="49" t="shared"/>
        <v>88</v>
      </c>
      <c r="BK36" s="15">
        <f si="49" t="shared"/>
        <v>94</v>
      </c>
      <c r="BL36" s="15">
        <f si="49" t="shared"/>
        <v>92</v>
      </c>
      <c r="BM36" s="15">
        <f si="49" t="shared"/>
        <v>57</v>
      </c>
      <c r="BN36" s="15">
        <f si="49" t="shared"/>
        <v>92</v>
      </c>
      <c r="BO36" s="15">
        <f si="49" t="shared"/>
        <v>13</v>
      </c>
      <c r="BP36" s="15">
        <f si="49" t="shared"/>
        <v>214</v>
      </c>
      <c r="BQ36" s="15">
        <f si="49" t="shared"/>
        <v>11</v>
      </c>
      <c r="BR36" s="15">
        <f si="49" t="shared"/>
        <v>0</v>
      </c>
      <c r="BS36" s="15">
        <f si="46" t="shared"/>
        <v>28017</v>
      </c>
      <c r="BV36" s="95">
        <v>15</v>
      </c>
      <c r="BW36" s="34" t="s">
        <v>340</v>
      </c>
      <c r="BX36" s="115">
        <f>$CK$7</f>
        <v>12678.195969196768</v>
      </c>
      <c r="BY36" s="116">
        <f>$CK$8</f>
        <v>44768.247239469332</v>
      </c>
      <c r="BZ36" s="116">
        <f>$CK$9</f>
        <v>23778</v>
      </c>
      <c r="CA36" s="123">
        <f>$CK$10</f>
        <v>21781</v>
      </c>
      <c r="CB36" s="115">
        <f>$CK$11</f>
        <v>15252.906857906313</v>
      </c>
      <c r="CC36" s="116">
        <f>$CK$12</f>
        <v>27362.859869233089</v>
      </c>
      <c r="CD36" s="116">
        <f>$CK$13</f>
        <v>22068.377475144262</v>
      </c>
      <c r="CE36" s="123">
        <f>$CK$14</f>
        <v>21781</v>
      </c>
      <c r="CF36" s="100">
        <f si="9" t="shared"/>
        <v>2.2637142858275925E-2</v>
      </c>
      <c r="CG36" s="100">
        <f si="10" t="shared"/>
        <v>4.0609765314979347E-2</v>
      </c>
      <c r="CH36" s="100">
        <f si="11" t="shared"/>
        <v>3.2752118544292469E-2</v>
      </c>
      <c r="CI36" s="121">
        <f si="12" t="shared"/>
        <v>3.2325615909765508E-2</v>
      </c>
      <c r="CJ36" s="125">
        <f si="13" t="shared"/>
        <v>-4.2650263452696097E-4</v>
      </c>
      <c r="CK36" s="121">
        <f si="14" t="shared"/>
        <v>-1.3022138825925759E-2</v>
      </c>
      <c r="CL36" s="21">
        <f si="15" t="shared"/>
        <v>-8.2841494052138392E-3</v>
      </c>
    </row>
    <row r="37" spans="1:90" x14ac:dyDescent="0.25">
      <c r="A37" s="95">
        <v>4</v>
      </c>
      <c r="B37" s="77">
        <f ref="B37:W37" si="50" t="shared">IF($W10&gt;0,(B10/$W10)*$BS10,0)</f>
        <v>2007.1369445603561</v>
      </c>
      <c r="C37" s="77">
        <f si="50" t="shared"/>
        <v>69.07656826645912</v>
      </c>
      <c r="D37" s="77">
        <f si="50" t="shared"/>
        <v>854.26087308576791</v>
      </c>
      <c r="E37" s="77">
        <f si="50" t="shared"/>
        <v>767.63856750043067</v>
      </c>
      <c r="F37" s="77">
        <f si="50" t="shared"/>
        <v>539.61516008918056</v>
      </c>
      <c r="G37" s="77">
        <f si="50" t="shared"/>
        <v>1419.0393384924364</v>
      </c>
      <c r="H37" s="77">
        <f si="50" t="shared"/>
        <v>1117.9327602822659</v>
      </c>
      <c r="I37" s="77">
        <f si="50" t="shared"/>
        <v>151.24780360202746</v>
      </c>
      <c r="J37" s="77">
        <f si="50" t="shared"/>
        <v>306.9827944354663</v>
      </c>
      <c r="K37" s="77">
        <f si="50" t="shared"/>
        <v>248.27043615075596</v>
      </c>
      <c r="L37" s="77">
        <f si="50" t="shared"/>
        <v>758.57593674167606</v>
      </c>
      <c r="M37" s="77">
        <f si="50" t="shared"/>
        <v>856.43189404778298</v>
      </c>
      <c r="N37" s="77">
        <f si="50" t="shared"/>
        <v>32.033233016720878</v>
      </c>
      <c r="O37" s="77">
        <f si="50" t="shared"/>
        <v>0</v>
      </c>
      <c r="P37" s="77">
        <f si="50" t="shared"/>
        <v>0</v>
      </c>
      <c r="Q37" s="77">
        <f si="50" t="shared"/>
        <v>0</v>
      </c>
      <c r="R37" s="77">
        <f si="50" t="shared"/>
        <v>0</v>
      </c>
      <c r="S37" s="77">
        <f si="50" t="shared"/>
        <v>0</v>
      </c>
      <c r="T37" s="77">
        <f si="50" t="shared"/>
        <v>56.757689728675047</v>
      </c>
      <c r="U37" s="77">
        <f si="50" t="shared"/>
        <v>0</v>
      </c>
      <c r="V37" s="77">
        <f si="50" t="shared"/>
        <v>0</v>
      </c>
      <c r="W37" s="77">
        <f si="50" t="shared"/>
        <v>9185</v>
      </c>
      <c r="X37" s="14"/>
      <c r="Y37" s="95">
        <v>4</v>
      </c>
      <c r="Z37" s="77">
        <f ref="Z37:AT37" si="51" t="shared">IF($AU10&gt;0,(Z10/$AU10)*$BS10,0)</f>
        <v>1062.3040986180904</v>
      </c>
      <c r="AA37" s="77">
        <f si="51" t="shared"/>
        <v>631.75722361809039</v>
      </c>
      <c r="AB37" s="77">
        <f si="51" t="shared"/>
        <v>513.483040201005</v>
      </c>
      <c r="AC37" s="77">
        <f si="51" t="shared"/>
        <v>713.97220477386929</v>
      </c>
      <c r="AD37" s="77">
        <f si="51" t="shared"/>
        <v>574.0625</v>
      </c>
      <c r="AE37" s="77">
        <f si="51" t="shared"/>
        <v>1924.8402167085426</v>
      </c>
      <c r="AF37" s="77">
        <f si="51" t="shared"/>
        <v>576.9472361809045</v>
      </c>
      <c r="AG37" s="77">
        <f si="51" t="shared"/>
        <v>103.85050251256281</v>
      </c>
      <c r="AH37" s="77">
        <f si="51" t="shared"/>
        <v>549.54224246231149</v>
      </c>
      <c r="AI37" s="77">
        <f si="51" t="shared"/>
        <v>271.88638505025125</v>
      </c>
      <c r="AJ37" s="77">
        <f si="51" t="shared"/>
        <v>468.76962939698495</v>
      </c>
      <c r="AK37" s="77">
        <f si="51" t="shared"/>
        <v>1319.7668027638192</v>
      </c>
      <c r="AL37" s="77">
        <f si="51" t="shared"/>
        <v>142.07325690954772</v>
      </c>
      <c r="AM37" s="77">
        <f si="51" t="shared"/>
        <v>53.367619346733669</v>
      </c>
      <c r="AN37" s="77">
        <f si="51" t="shared"/>
        <v>81.493797110552762</v>
      </c>
      <c r="AO37" s="77">
        <f si="51" t="shared"/>
        <v>34.616834170854268</v>
      </c>
      <c r="AP37" s="77">
        <f si="51" t="shared"/>
        <v>26.683809673366834</v>
      </c>
      <c r="AQ37" s="77">
        <f si="51" t="shared"/>
        <v>49.040515075376881</v>
      </c>
      <c r="AR37" s="77">
        <f si="51" t="shared"/>
        <v>69.233668341708537</v>
      </c>
      <c r="AS37" s="77">
        <f si="51" t="shared"/>
        <v>17.308417085427134</v>
      </c>
      <c r="AT37" s="77">
        <f si="51" t="shared"/>
        <v>0</v>
      </c>
      <c r="AU37" s="77">
        <f si="44" t="shared"/>
        <v>9185</v>
      </c>
      <c r="AW37" s="95">
        <v>4</v>
      </c>
      <c r="AX37" s="15">
        <f ref="AX37:BR37" si="52" t="shared">AX10</f>
        <v>1275</v>
      </c>
      <c r="AY37" s="15">
        <f si="52" t="shared"/>
        <v>627</v>
      </c>
      <c r="AZ37" s="15">
        <f si="52" t="shared"/>
        <v>493</v>
      </c>
      <c r="BA37" s="15">
        <f si="52" t="shared"/>
        <v>949</v>
      </c>
      <c r="BB37" s="15">
        <f si="52" t="shared"/>
        <v>534</v>
      </c>
      <c r="BC37" s="15">
        <f si="52" t="shared"/>
        <v>2369</v>
      </c>
      <c r="BD37" s="15">
        <f si="52" t="shared"/>
        <v>279</v>
      </c>
      <c r="BE37" s="15">
        <f si="52" t="shared"/>
        <v>147</v>
      </c>
      <c r="BF37" s="15">
        <f si="52" t="shared"/>
        <v>406</v>
      </c>
      <c r="BG37" s="15">
        <f si="52" t="shared"/>
        <v>347</v>
      </c>
      <c r="BH37" s="15">
        <f si="52" t="shared"/>
        <v>445</v>
      </c>
      <c r="BI37" s="15">
        <f si="52" t="shared"/>
        <v>1086</v>
      </c>
      <c r="BJ37" s="15">
        <f si="52" t="shared"/>
        <v>32</v>
      </c>
      <c r="BK37" s="15">
        <f si="52" t="shared"/>
        <v>47</v>
      </c>
      <c r="BL37" s="15">
        <f si="52" t="shared"/>
        <v>26</v>
      </c>
      <c r="BM37" s="15">
        <f si="52" t="shared"/>
        <v>33</v>
      </c>
      <c r="BN37" s="15">
        <f si="52" t="shared"/>
        <v>26</v>
      </c>
      <c r="BO37" s="15">
        <f si="52" t="shared"/>
        <v>11</v>
      </c>
      <c r="BP37" s="15">
        <f si="52" t="shared"/>
        <v>46</v>
      </c>
      <c r="BQ37" s="15">
        <f si="52" t="shared"/>
        <v>7</v>
      </c>
      <c r="BR37" s="15">
        <f si="52" t="shared"/>
        <v>0</v>
      </c>
      <c r="BS37" s="15">
        <f si="46" t="shared"/>
        <v>9185</v>
      </c>
      <c r="BV37" s="95">
        <v>16</v>
      </c>
      <c r="BW37" s="34" t="s">
        <v>341</v>
      </c>
      <c r="BX37" s="115">
        <f>$CL$7</f>
        <v>1470.352749710549</v>
      </c>
      <c r="BY37" s="116">
        <f>$CL$8</f>
        <v>12509.496665138753</v>
      </c>
      <c r="BZ37" s="116">
        <f>$CL$9</f>
        <v>3306</v>
      </c>
      <c r="CA37" s="123">
        <f>$CL$10</f>
        <v>3189</v>
      </c>
      <c r="CB37" s="115">
        <f>$CL$11</f>
        <v>1768.9546362977003</v>
      </c>
      <c r="CC37" s="116">
        <f>$CL$12</f>
        <v>7645.9460753926933</v>
      </c>
      <c r="CD37" s="116">
        <f>$CL$13</f>
        <v>3170.8742212042634</v>
      </c>
      <c r="CE37" s="123">
        <f>$CL$14</f>
        <v>3189</v>
      </c>
      <c r="CF37" s="100">
        <f si="9" t="shared"/>
        <v>2.6253408078030587E-3</v>
      </c>
      <c r="CG37" s="100">
        <f si="10" t="shared"/>
        <v>1.1347500853951755E-2</v>
      </c>
      <c r="CH37" s="100">
        <f si="11" t="shared"/>
        <v>4.7059575856400471E-3</v>
      </c>
      <c r="CI37" s="121">
        <f si="12" t="shared"/>
        <v>4.7328584149599288E-3</v>
      </c>
      <c r="CJ37" s="125">
        <f si="13" t="shared"/>
        <v>2.6900829319881706E-5</v>
      </c>
      <c r="CK37" s="121">
        <f si="14" t="shared"/>
        <v>5.7163348437241314E-3</v>
      </c>
      <c r="CL37" s="21">
        <f si="15" t="shared"/>
        <v>-6.614642438991826E-3</v>
      </c>
    </row>
    <row r="38" spans="1:90" x14ac:dyDescent="0.25">
      <c r="A38" s="95">
        <v>5</v>
      </c>
      <c r="B38" s="77">
        <f ref="B38:W38" si="53" t="shared">IF($W11&gt;0,(B11/$W11)*$BS11,0)</f>
        <v>636.03457370184151</v>
      </c>
      <c r="C38" s="77">
        <f si="53" t="shared"/>
        <v>400.6092327231961</v>
      </c>
      <c r="D38" s="77">
        <f si="53" t="shared"/>
        <v>39.818231552710309</v>
      </c>
      <c r="E38" s="77">
        <f si="53" t="shared"/>
        <v>203.69844743836191</v>
      </c>
      <c r="F38" s="77">
        <f si="53" t="shared"/>
        <v>884.73388503869603</v>
      </c>
      <c r="G38" s="77">
        <f si="53" t="shared"/>
        <v>2283.0706231702466</v>
      </c>
      <c r="H38" s="77">
        <f si="53" t="shared"/>
        <v>410.38325093457706</v>
      </c>
      <c r="I38" s="77">
        <f si="53" t="shared"/>
        <v>39.964627090147339</v>
      </c>
      <c r="J38" s="77">
        <f si="53" t="shared"/>
        <v>391.61156558630165</v>
      </c>
      <c r="K38" s="77">
        <f si="53" t="shared"/>
        <v>839.57229999773028</v>
      </c>
      <c r="L38" s="77">
        <f si="53" t="shared"/>
        <v>39.818231552710309</v>
      </c>
      <c r="M38" s="77">
        <f si="53" t="shared"/>
        <v>2697.4569453449626</v>
      </c>
      <c r="N38" s="77">
        <f si="53" t="shared"/>
        <v>0</v>
      </c>
      <c r="O38" s="77">
        <f si="53" t="shared"/>
        <v>0</v>
      </c>
      <c r="P38" s="77">
        <f si="53" t="shared"/>
        <v>0</v>
      </c>
      <c r="Q38" s="77">
        <f si="53" t="shared"/>
        <v>0</v>
      </c>
      <c r="R38" s="77">
        <f si="53" t="shared"/>
        <v>57.611315366866506</v>
      </c>
      <c r="S38" s="77">
        <f si="53" t="shared"/>
        <v>0</v>
      </c>
      <c r="T38" s="77">
        <f si="53" t="shared"/>
        <v>0</v>
      </c>
      <c r="U38" s="77">
        <f si="53" t="shared"/>
        <v>33.616770501652908</v>
      </c>
      <c r="V38" s="77">
        <f si="53" t="shared"/>
        <v>0</v>
      </c>
      <c r="W38" s="77">
        <f si="53" t="shared"/>
        <v>8958</v>
      </c>
      <c r="X38" s="14"/>
      <c r="Y38" s="95">
        <v>5</v>
      </c>
      <c r="Z38" s="77">
        <f ref="Z38:AT38" si="54" t="shared">IF($AU11&gt;0,(Z11/$AU11)*$BS11,0)</f>
        <v>1226.3123111782477</v>
      </c>
      <c r="AA38" s="77">
        <f si="54" t="shared"/>
        <v>469.38160876132929</v>
      </c>
      <c r="AB38" s="77">
        <f si="54" t="shared"/>
        <v>332.37292296072508</v>
      </c>
      <c r="AC38" s="77">
        <f si="54" t="shared"/>
        <v>390.72847432024167</v>
      </c>
      <c r="AD38" s="77">
        <f si="54" t="shared"/>
        <v>667.28304380664645</v>
      </c>
      <c r="AE38" s="77">
        <f si="54" t="shared"/>
        <v>2185.3731117824773</v>
      </c>
      <c r="AF38" s="77">
        <f si="54" t="shared"/>
        <v>435.55230362537765</v>
      </c>
      <c r="AG38" s="77">
        <f si="54" t="shared"/>
        <v>73.578738670694861</v>
      </c>
      <c r="AH38" s="77">
        <f si="54" t="shared"/>
        <v>377.19675226586105</v>
      </c>
      <c r="AI38" s="77">
        <f si="54" t="shared"/>
        <v>318.8412009063444</v>
      </c>
      <c r="AJ38" s="77">
        <f si="54" t="shared"/>
        <v>320.53266616314198</v>
      </c>
      <c r="AK38" s="77">
        <f si="54" t="shared"/>
        <v>1710.0713746223566</v>
      </c>
      <c r="AL38" s="77">
        <f si="54" t="shared"/>
        <v>149.6946752265861</v>
      </c>
      <c r="AM38" s="77">
        <f si="54" t="shared"/>
        <v>49.052492447129914</v>
      </c>
      <c r="AN38" s="77">
        <f si="54" t="shared"/>
        <v>63.429947129909365</v>
      </c>
      <c r="AO38" s="77">
        <f si="54" t="shared"/>
        <v>49.8982250755287</v>
      </c>
      <c r="AP38" s="77">
        <f si="54" t="shared"/>
        <v>29.600641993957701</v>
      </c>
      <c r="AQ38" s="77">
        <f si="54" t="shared"/>
        <v>42.286631419939575</v>
      </c>
      <c r="AR38" s="77">
        <f si="54" t="shared"/>
        <v>49.8982250755287</v>
      </c>
      <c r="AS38" s="77">
        <f si="54" t="shared"/>
        <v>16.914652567975832</v>
      </c>
      <c r="AT38" s="77">
        <f si="54" t="shared"/>
        <v>0</v>
      </c>
      <c r="AU38" s="77">
        <f si="44" t="shared"/>
        <v>8958.0000000000018</v>
      </c>
      <c r="AW38" s="95">
        <v>5</v>
      </c>
      <c r="AX38" s="15">
        <f ref="AX38:BR38" si="55" t="shared">AX11</f>
        <v>1109</v>
      </c>
      <c r="AY38" s="15">
        <f si="55" t="shared"/>
        <v>491</v>
      </c>
      <c r="AZ38" s="15">
        <f si="55" t="shared"/>
        <v>245</v>
      </c>
      <c r="BA38" s="15">
        <f si="55" t="shared"/>
        <v>417</v>
      </c>
      <c r="BB38" s="15">
        <f si="55" t="shared"/>
        <v>823</v>
      </c>
      <c r="BC38" s="15">
        <f si="55" t="shared"/>
        <v>3257</v>
      </c>
      <c r="BD38" s="15">
        <f si="55" t="shared"/>
        <v>254</v>
      </c>
      <c r="BE38" s="15">
        <f si="55" t="shared"/>
        <v>95</v>
      </c>
      <c r="BF38" s="15">
        <f si="55" t="shared"/>
        <v>263</v>
      </c>
      <c r="BG38" s="15">
        <f si="55" t="shared"/>
        <v>431</v>
      </c>
      <c r="BH38" s="15">
        <f si="55" t="shared"/>
        <v>197</v>
      </c>
      <c r="BI38" s="15">
        <f si="55" t="shared"/>
        <v>1177</v>
      </c>
      <c r="BJ38" s="15">
        <f si="55" t="shared"/>
        <v>25</v>
      </c>
      <c r="BK38" s="15">
        <f si="55" t="shared"/>
        <v>31</v>
      </c>
      <c r="BL38" s="15">
        <f si="55" t="shared"/>
        <v>19</v>
      </c>
      <c r="BM38" s="15">
        <f si="55" t="shared"/>
        <v>54</v>
      </c>
      <c r="BN38" s="15">
        <f si="55" t="shared"/>
        <v>7</v>
      </c>
      <c r="BO38" s="15">
        <f si="55" t="shared"/>
        <v>9</v>
      </c>
      <c r="BP38" s="15">
        <f si="55" t="shared"/>
        <v>44</v>
      </c>
      <c r="BQ38" s="15">
        <f si="55" t="shared"/>
        <v>10</v>
      </c>
      <c r="BR38" s="15">
        <f si="55" t="shared"/>
        <v>0</v>
      </c>
      <c r="BS38" s="15">
        <f si="46" t="shared"/>
        <v>8958</v>
      </c>
      <c r="BV38" s="95">
        <v>17</v>
      </c>
      <c r="BW38" s="34" t="s">
        <v>342</v>
      </c>
      <c r="BX38" s="115">
        <f>$CM$7</f>
        <v>6774.47985647735</v>
      </c>
      <c r="BY38" s="116">
        <f>$CM$8</f>
        <v>20649.37775784919</v>
      </c>
      <c r="BZ38" s="116">
        <f>$CM$9</f>
        <v>9368</v>
      </c>
      <c r="CA38" s="123">
        <f>$CM$10</f>
        <v>9193</v>
      </c>
      <c r="CB38" s="115">
        <f>$CM$11</f>
        <v>8150.2534361091839</v>
      </c>
      <c r="CC38" s="116">
        <f>$CM$12</f>
        <v>12621.133611787647</v>
      </c>
      <c r="CD38" s="116">
        <f>$CM$13</f>
        <v>8658.3248663277209</v>
      </c>
      <c r="CE38" s="123">
        <f>$CM$14</f>
        <v>9193</v>
      </c>
      <c r="CF38" s="100">
        <f si="9" t="shared"/>
        <v>1.2095953452224972E-2</v>
      </c>
      <c r="CG38" s="100">
        <f si="10" t="shared"/>
        <v>1.8731275766974836E-2</v>
      </c>
      <c r="CH38" s="100">
        <f si="11" t="shared"/>
        <v>1.2849992381014726E-2</v>
      </c>
      <c r="CI38" s="121">
        <f si="12" t="shared"/>
        <v>1.3643514395963193E-2</v>
      </c>
      <c r="CJ38" s="125">
        <f si="13" t="shared"/>
        <v>7.9352201494846744E-4</v>
      </c>
      <c r="CK38" s="121">
        <f si="14" t="shared"/>
        <v>6.1752722602455588E-2</v>
      </c>
      <c r="CL38" s="21">
        <f si="15" t="shared"/>
        <v>-5.087761371011643E-3</v>
      </c>
    </row>
    <row r="39" spans="1:90" x14ac:dyDescent="0.25">
      <c r="A39" s="95">
        <v>6</v>
      </c>
      <c r="B39" s="77">
        <f ref="B39:W39" si="56" t="shared">IF($W12&gt;0,(B12/$W12)*$BS12,0)</f>
        <v>3636.0210605738052</v>
      </c>
      <c r="C39" s="77">
        <f si="56" t="shared"/>
        <v>1272.8471090168107</v>
      </c>
      <c r="D39" s="77">
        <f si="56" t="shared"/>
        <v>295.75125969404127</v>
      </c>
      <c r="E39" s="77">
        <f si="56" t="shared"/>
        <v>134.07473166839296</v>
      </c>
      <c r="F39" s="77">
        <f si="56" t="shared"/>
        <v>425.7518599326234</v>
      </c>
      <c r="G39" s="77">
        <f si="56" t="shared"/>
        <v>12442.83201248116</v>
      </c>
      <c r="H39" s="77">
        <f si="56" t="shared"/>
        <v>1252.8133844123479</v>
      </c>
      <c r="I39" s="77">
        <f si="56" t="shared"/>
        <v>0</v>
      </c>
      <c r="J39" s="77">
        <f si="56" t="shared"/>
        <v>154.05285887406149</v>
      </c>
      <c r="K39" s="77">
        <f si="56" t="shared"/>
        <v>461.19422678121322</v>
      </c>
      <c r="L39" s="77">
        <f si="56" t="shared"/>
        <v>439.62296404667694</v>
      </c>
      <c r="M39" s="77">
        <f si="56" t="shared"/>
        <v>4896.7899072920582</v>
      </c>
      <c r="N39" s="77">
        <f si="56" t="shared"/>
        <v>95.954670146628601</v>
      </c>
      <c r="O39" s="77">
        <f si="56" t="shared"/>
        <v>0</v>
      </c>
      <c r="P39" s="77">
        <f si="56" t="shared"/>
        <v>312.79398534959626</v>
      </c>
      <c r="Q39" s="77">
        <f si="56" t="shared"/>
        <v>0</v>
      </c>
      <c r="R39" s="77">
        <f si="56" t="shared"/>
        <v>0</v>
      </c>
      <c r="S39" s="77">
        <f si="56" t="shared"/>
        <v>24.49996973058407</v>
      </c>
      <c r="T39" s="77">
        <f si="56" t="shared"/>
        <v>0</v>
      </c>
      <c r="U39" s="77">
        <f si="56" t="shared"/>
        <v>0</v>
      </c>
      <c r="V39" s="77">
        <f si="56" t="shared"/>
        <v>0</v>
      </c>
      <c r="W39" s="77">
        <f si="56" t="shared"/>
        <v>25845</v>
      </c>
      <c r="X39" s="14"/>
      <c r="Y39" s="95">
        <v>6</v>
      </c>
      <c r="Z39" s="77">
        <f ref="Z39:AT39" si="57" t="shared">IF($AU12&gt;0,(Z12/$AU12)*$BS12,0)</f>
        <v>3511.3710547296346</v>
      </c>
      <c r="AA39" s="77">
        <f si="57" t="shared"/>
        <v>1020.5641795244572</v>
      </c>
      <c r="AB39" s="77">
        <f si="57" t="shared"/>
        <v>667.8513811377386</v>
      </c>
      <c r="AC39" s="77">
        <f si="57" t="shared"/>
        <v>671.48759555409652</v>
      </c>
      <c r="AD39" s="77">
        <f si="57" t="shared"/>
        <v>934.50710500398634</v>
      </c>
      <c r="AE39" s="77">
        <f si="57" t="shared"/>
        <v>8695.4007409839141</v>
      </c>
      <c r="AF39" s="77">
        <f si="57" t="shared"/>
        <v>1155.1041129297005</v>
      </c>
      <c r="AG39" s="77">
        <f si="57" t="shared"/>
        <v>75.148431271397087</v>
      </c>
      <c r="AH39" s="77">
        <f si="57" t="shared"/>
        <v>942.99160530882159</v>
      </c>
      <c r="AI39" s="77">
        <f si="57" t="shared"/>
        <v>630.27716550204002</v>
      </c>
      <c r="AJ39" s="77">
        <f si="57" t="shared"/>
        <v>584.21844956150642</v>
      </c>
      <c r="AK39" s="77">
        <f si="57" t="shared"/>
        <v>5632.4961309384234</v>
      </c>
      <c r="AL39" s="77">
        <f si="57" t="shared"/>
        <v>469.07165971017213</v>
      </c>
      <c r="AM39" s="77">
        <f si="57" t="shared"/>
        <v>93.329503353186709</v>
      </c>
      <c r="AN39" s="77">
        <f si="57" t="shared"/>
        <v>197.56764995544717</v>
      </c>
      <c r="AO39" s="77">
        <f si="57" t="shared"/>
        <v>138.17614782160109</v>
      </c>
      <c r="AP39" s="77">
        <f si="57" t="shared"/>
        <v>53.331144773249541</v>
      </c>
      <c r="AQ39" s="77">
        <f si="57" t="shared"/>
        <v>135.75200487736248</v>
      </c>
      <c r="AR39" s="77">
        <f si="57" t="shared"/>
        <v>178.17450640153825</v>
      </c>
      <c r="AS39" s="77">
        <f si="57" t="shared"/>
        <v>58.179430661726776</v>
      </c>
      <c r="AT39" s="77">
        <f si="57" t="shared"/>
        <v>0</v>
      </c>
      <c r="AU39" s="77">
        <f si="44" t="shared"/>
        <v>25844.999999999996</v>
      </c>
      <c r="AW39" s="95">
        <v>6</v>
      </c>
      <c r="AX39" s="15">
        <f ref="AX39:BR39" si="58" t="shared">AX12</f>
        <v>3238</v>
      </c>
      <c r="AY39" s="15">
        <f si="58" t="shared"/>
        <v>1484</v>
      </c>
      <c r="AZ39" s="15">
        <f si="58" t="shared"/>
        <v>603</v>
      </c>
      <c r="BA39" s="15">
        <f si="58" t="shared"/>
        <v>818</v>
      </c>
      <c r="BB39" s="15">
        <f si="58" t="shared"/>
        <v>1217</v>
      </c>
      <c r="BC39" s="15">
        <f si="58" t="shared"/>
        <v>11089</v>
      </c>
      <c r="BD39" s="15">
        <f si="58" t="shared"/>
        <v>702</v>
      </c>
      <c r="BE39" s="15">
        <f si="58" t="shared"/>
        <v>180</v>
      </c>
      <c r="BF39" s="15">
        <f si="58" t="shared"/>
        <v>735</v>
      </c>
      <c r="BG39" s="15">
        <f si="58" t="shared"/>
        <v>709</v>
      </c>
      <c r="BH39" s="15">
        <f si="58" t="shared"/>
        <v>416</v>
      </c>
      <c r="BI39" s="15">
        <f si="58" t="shared"/>
        <v>4272</v>
      </c>
      <c r="BJ39" s="15">
        <f si="58" t="shared"/>
        <v>60</v>
      </c>
      <c r="BK39" s="15">
        <f si="58" t="shared"/>
        <v>44</v>
      </c>
      <c r="BL39" s="15">
        <f si="58" t="shared"/>
        <v>61</v>
      </c>
      <c r="BM39" s="15">
        <f si="58" t="shared"/>
        <v>83</v>
      </c>
      <c r="BN39" s="15">
        <f si="58" t="shared"/>
        <v>31</v>
      </c>
      <c r="BO39" s="15">
        <f si="58" t="shared"/>
        <v>15</v>
      </c>
      <c r="BP39" s="15">
        <f si="58" t="shared"/>
        <v>64</v>
      </c>
      <c r="BQ39" s="15">
        <f si="58" t="shared"/>
        <v>24</v>
      </c>
      <c r="BR39" s="15">
        <f si="58" t="shared"/>
        <v>0</v>
      </c>
      <c r="BS39" s="15">
        <f si="46" t="shared"/>
        <v>25845</v>
      </c>
      <c r="BV39" s="95">
        <v>18</v>
      </c>
      <c r="BW39" s="34" t="s">
        <v>343</v>
      </c>
      <c r="BX39" s="115">
        <f>$CN$7</f>
        <v>8463.186929443702</v>
      </c>
      <c r="BY39" s="116">
        <f>$CN$8</f>
        <v>34453.925335698776</v>
      </c>
      <c r="BZ39" s="116">
        <f>$CN$9</f>
        <v>13081</v>
      </c>
      <c r="CA39" s="123">
        <f>$CN$10</f>
        <v>12357</v>
      </c>
      <c r="CB39" s="115">
        <f>$CN$11</f>
        <v>10181.906185193111</v>
      </c>
      <c r="CC39" s="116">
        <f>$CN$12</f>
        <v>21058.629475995549</v>
      </c>
      <c r="CD39" s="116">
        <f>$CN$13</f>
        <v>12436.167866658989</v>
      </c>
      <c r="CE39" s="123">
        <f>$CN$14</f>
        <v>12357</v>
      </c>
      <c r="CF39" s="100">
        <f si="9" t="shared"/>
        <v>1.5111169761343298E-2</v>
      </c>
      <c r="CG39" s="100">
        <f si="10" t="shared"/>
        <v>3.1253531427716752E-2</v>
      </c>
      <c r="CH39" s="100">
        <f si="11" t="shared"/>
        <v>1.8456764420687135E-2</v>
      </c>
      <c r="CI39" s="121">
        <f si="12" t="shared"/>
        <v>1.8339269813000891E-2</v>
      </c>
      <c r="CJ39" s="125">
        <f si="13" t="shared"/>
        <v>-1.1749460768624431E-4</v>
      </c>
      <c r="CK39" s="121">
        <f si="14" t="shared"/>
        <v>-6.3659374421308279E-3</v>
      </c>
      <c r="CL39" s="21">
        <f si="15" t="shared"/>
        <v>-1.2914261614715861E-2</v>
      </c>
    </row>
    <row customFormat="1" r="40" s="95" spans="1:90" x14ac:dyDescent="0.25">
      <c r="A40" s="95">
        <v>7</v>
      </c>
      <c r="B40" s="77">
        <f ref="B40:W40" si="59" t="shared">IF($W13&gt;0,(B13/$W13)*$BS13,0)</f>
        <v>5709.4385805302909</v>
      </c>
      <c r="C40" s="77">
        <f si="59" t="shared"/>
        <v>7321.3645843739678</v>
      </c>
      <c r="D40" s="77">
        <f si="59" t="shared"/>
        <v>533.66825546654331</v>
      </c>
      <c r="E40" s="77">
        <f si="59" t="shared"/>
        <v>2262.8881337776447</v>
      </c>
      <c r="F40" s="77">
        <f si="59" t="shared"/>
        <v>2906.5210039264471</v>
      </c>
      <c r="G40" s="77">
        <f si="59" t="shared"/>
        <v>12171.142894495217</v>
      </c>
      <c r="H40" s="77">
        <f si="59" t="shared"/>
        <v>23751.772968151967</v>
      </c>
      <c r="I40" s="77">
        <f si="59" t="shared"/>
        <v>82.866331517126866</v>
      </c>
      <c r="J40" s="77">
        <f si="59" t="shared"/>
        <v>6220.6234328116807</v>
      </c>
      <c r="K40" s="77">
        <f si="59" t="shared"/>
        <v>278.88768585298368</v>
      </c>
      <c r="L40" s="77">
        <f si="59" t="shared"/>
        <v>0</v>
      </c>
      <c r="M40" s="77">
        <f si="59" t="shared"/>
        <v>13671.186706309842</v>
      </c>
      <c r="N40" s="77">
        <f si="59" t="shared"/>
        <v>4840.4112039818247</v>
      </c>
      <c r="O40" s="77">
        <f si="59" t="shared"/>
        <v>0</v>
      </c>
      <c r="P40" s="77">
        <f si="59" t="shared"/>
        <v>437.64233849349381</v>
      </c>
      <c r="Q40" s="77">
        <f si="59" t="shared"/>
        <v>65.395089278016187</v>
      </c>
      <c r="R40" s="77">
        <f si="59" t="shared"/>
        <v>0</v>
      </c>
      <c r="S40" s="77">
        <f si="59" t="shared"/>
        <v>386.34112500797437</v>
      </c>
      <c r="T40" s="77">
        <f si="59" t="shared"/>
        <v>104.84966602499354</v>
      </c>
      <c r="U40" s="77">
        <f si="59" t="shared"/>
        <v>0</v>
      </c>
      <c r="V40" s="77">
        <f si="59" t="shared"/>
        <v>0</v>
      </c>
      <c r="W40" s="77">
        <f si="59" t="shared"/>
        <v>80745</v>
      </c>
      <c r="X40" s="14"/>
      <c r="Y40" s="95">
        <v>7</v>
      </c>
      <c r="Z40" s="77">
        <f ref="Z40:AT40" si="60" t="shared">IF($AU13&gt;0,(Z13/$AU13)*$BS13,0)</f>
        <v>5293.0668275478001</v>
      </c>
      <c r="AA40" s="77">
        <f si="60" t="shared"/>
        <v>5375.0059402264706</v>
      </c>
      <c r="AB40" s="77">
        <f si="60" t="shared"/>
        <v>2372.2372377946908</v>
      </c>
      <c r="AC40" s="77">
        <f si="60" t="shared"/>
        <v>1869.6107295340635</v>
      </c>
      <c r="AD40" s="77">
        <f si="60" t="shared"/>
        <v>1714.7258214219416</v>
      </c>
      <c r="AE40" s="77">
        <f si="60" t="shared"/>
        <v>10427.251717096713</v>
      </c>
      <c r="AF40" s="77">
        <f si="60" t="shared"/>
        <v>18350.364210135511</v>
      </c>
      <c r="AG40" s="77">
        <f si="60" t="shared"/>
        <v>333.75199554483015</v>
      </c>
      <c r="AH40" s="77">
        <f si="60" t="shared"/>
        <v>5323.0445516985328</v>
      </c>
      <c r="AI40" s="77">
        <f si="60" t="shared"/>
        <v>1301.033228141823</v>
      </c>
      <c r="AJ40" s="77">
        <f si="60" t="shared"/>
        <v>2691.0003712641546</v>
      </c>
      <c r="AK40" s="77">
        <f si="60" t="shared"/>
        <v>16261.916094301096</v>
      </c>
      <c r="AL40" s="77">
        <f si="60" t="shared"/>
        <v>5605.8344161871173</v>
      </c>
      <c r="AM40" s="77">
        <f si="60" t="shared"/>
        <v>258.80768516799702</v>
      </c>
      <c r="AN40" s="77">
        <f si="60" t="shared"/>
        <v>1630.7881937998886</v>
      </c>
      <c r="AO40" s="77">
        <f si="60" t="shared"/>
        <v>208.84481158344161</v>
      </c>
      <c r="AP40" s="77">
        <f si="60" t="shared"/>
        <v>197.85297939483942</v>
      </c>
      <c r="AQ40" s="77">
        <f si="60" t="shared"/>
        <v>758.43642101355113</v>
      </c>
      <c r="AR40" s="77">
        <f si="60" t="shared"/>
        <v>474.64729905327641</v>
      </c>
      <c r="AS40" s="77">
        <f si="60" t="shared"/>
        <v>296.77946909225915</v>
      </c>
      <c r="AT40" s="77">
        <f si="60" t="shared"/>
        <v>0</v>
      </c>
      <c r="AU40" s="77">
        <f si="44" t="shared"/>
        <v>80745.000000000015</v>
      </c>
      <c r="AW40" s="95">
        <v>7</v>
      </c>
      <c r="AX40" s="15">
        <f ref="AX40:BR40" si="61" t="shared">AX13</f>
        <v>4944</v>
      </c>
      <c r="AY40" s="15">
        <f si="61" t="shared"/>
        <v>5204</v>
      </c>
      <c r="AZ40" s="15">
        <f si="61" t="shared"/>
        <v>1718</v>
      </c>
      <c r="BA40" s="15">
        <f si="61" t="shared"/>
        <v>1273</v>
      </c>
      <c r="BB40" s="15">
        <f si="61" t="shared"/>
        <v>1250</v>
      </c>
      <c r="BC40" s="15">
        <f si="61" t="shared"/>
        <v>9103</v>
      </c>
      <c r="BD40" s="15">
        <f si="61" t="shared"/>
        <v>21582</v>
      </c>
      <c r="BE40" s="15">
        <f si="61" t="shared"/>
        <v>267</v>
      </c>
      <c r="BF40" s="15">
        <f si="61" t="shared"/>
        <v>5163</v>
      </c>
      <c r="BG40" s="15">
        <f si="61" t="shared"/>
        <v>958</v>
      </c>
      <c r="BH40" s="15">
        <f si="61" t="shared"/>
        <v>977</v>
      </c>
      <c r="BI40" s="15">
        <f si="61" t="shared"/>
        <v>19595</v>
      </c>
      <c r="BJ40" s="15">
        <f si="61" t="shared"/>
        <v>6865</v>
      </c>
      <c r="BK40" s="15">
        <f si="61" t="shared"/>
        <v>91</v>
      </c>
      <c r="BL40" s="15">
        <f si="61" t="shared"/>
        <v>1062</v>
      </c>
      <c r="BM40" s="15">
        <f si="61" t="shared"/>
        <v>113</v>
      </c>
      <c r="BN40" s="15">
        <f si="61" t="shared"/>
        <v>72</v>
      </c>
      <c r="BO40" s="15">
        <f si="61" t="shared"/>
        <v>297</v>
      </c>
      <c r="BP40" s="15">
        <f si="61" t="shared"/>
        <v>162</v>
      </c>
      <c r="BQ40" s="15">
        <f si="61" t="shared"/>
        <v>49</v>
      </c>
      <c r="BR40" s="15">
        <f si="61" t="shared"/>
        <v>0</v>
      </c>
      <c r="BS40" s="15">
        <f si="46" t="shared"/>
        <v>80745</v>
      </c>
      <c r="BV40" s="95">
        <v>19</v>
      </c>
      <c r="BW40" s="34" t="s">
        <v>344</v>
      </c>
      <c r="BX40" s="115">
        <f>$CO$7</f>
        <v>12412.957962668792</v>
      </c>
      <c r="BY40" s="116">
        <f>$CO$8</f>
        <v>46181.170491572484</v>
      </c>
      <c r="BZ40" s="116">
        <f>$CO$9</f>
        <v>22540</v>
      </c>
      <c r="CA40" s="123">
        <f>$CO$10</f>
        <v>21772</v>
      </c>
      <c r="CB40" s="115">
        <f>$CO$11</f>
        <v>14933.803838945465</v>
      </c>
      <c r="CC40" s="116">
        <f>$CO$12</f>
        <v>28226.454567200042</v>
      </c>
      <c r="CD40" s="116">
        <f>$CO$13</f>
        <v>20828.406746613717</v>
      </c>
      <c r="CE40" s="123">
        <f>$CO$14</f>
        <v>21772</v>
      </c>
      <c r="CF40" s="100">
        <f si="9" t="shared"/>
        <v>2.2163555712296633E-2</v>
      </c>
      <c r="CG40" s="100">
        <f si="10" t="shared"/>
        <v>4.1891443406352091E-2</v>
      </c>
      <c r="CH40" s="100">
        <f si="11" t="shared"/>
        <v>3.091185328972057E-2</v>
      </c>
      <c r="CI40" s="121">
        <f si="12" t="shared"/>
        <v>3.2312258830513509E-2</v>
      </c>
      <c r="CJ40" s="125">
        <f si="13" t="shared"/>
        <v>1.4004055407929386E-3</v>
      </c>
      <c r="CK40" s="121">
        <f si="14" t="shared"/>
        <v>4.5303189286895057E-2</v>
      </c>
      <c r="CL40" s="21">
        <f si="15" t="shared"/>
        <v>-9.5791845758385827E-3</v>
      </c>
    </row>
    <row r="41" spans="1:90" x14ac:dyDescent="0.25">
      <c r="A41" s="95">
        <v>8</v>
      </c>
      <c r="B41" s="77">
        <f ref="B41:W41" si="62" t="shared">IF($W14&gt;0,(B14/$W14)*$BS14,0)</f>
        <v>492.95054721136341</v>
      </c>
      <c r="C41" s="77">
        <f si="62" t="shared"/>
        <v>178.15321922337631</v>
      </c>
      <c r="D41" s="77">
        <f si="62" t="shared"/>
        <v>48.150105518553708</v>
      </c>
      <c r="E41" s="77">
        <f si="62" t="shared"/>
        <v>177.47374544102453</v>
      </c>
      <c r="F41" s="77">
        <f si="62" t="shared"/>
        <v>133.89917977716541</v>
      </c>
      <c r="G41" s="77">
        <f si="62" t="shared"/>
        <v>399.7388987835717</v>
      </c>
      <c r="H41" s="77">
        <f si="62" t="shared"/>
        <v>76.079886647109589</v>
      </c>
      <c r="I41" s="77">
        <f si="62" t="shared"/>
        <v>243.61099535834157</v>
      </c>
      <c r="J41" s="77">
        <f si="62" t="shared"/>
        <v>233.09852161444567</v>
      </c>
      <c r="K41" s="77">
        <f si="62" t="shared"/>
        <v>43.695557118194436</v>
      </c>
      <c r="L41" s="77">
        <f si="62" t="shared"/>
        <v>1170.2562913177426</v>
      </c>
      <c r="M41" s="77">
        <f si="62" t="shared"/>
        <v>628.23900377836344</v>
      </c>
      <c r="N41" s="77">
        <f si="62" t="shared"/>
        <v>0</v>
      </c>
      <c r="O41" s="77">
        <f si="62" t="shared"/>
        <v>42.028122885437448</v>
      </c>
      <c r="P41" s="77">
        <f si="62" t="shared"/>
        <v>37.699622523701898</v>
      </c>
      <c r="Q41" s="77">
        <f si="62" t="shared"/>
        <v>0</v>
      </c>
      <c r="R41" s="77">
        <f si="62" t="shared"/>
        <v>67.014673879206356</v>
      </c>
      <c r="S41" s="77">
        <f si="62" t="shared"/>
        <v>42.028122885437448</v>
      </c>
      <c r="T41" s="77">
        <f si="62" t="shared"/>
        <v>228.88350603696401</v>
      </c>
      <c r="U41" s="77">
        <f si="62" t="shared"/>
        <v>0</v>
      </c>
      <c r="V41" s="77">
        <f si="62" t="shared"/>
        <v>0</v>
      </c>
      <c r="W41" s="77">
        <f si="62" t="shared"/>
        <v>4243</v>
      </c>
      <c r="X41" s="15"/>
      <c r="Y41" s="95">
        <v>8</v>
      </c>
      <c r="Z41" s="77">
        <f ref="Z41:AT41" si="63" t="shared">IF($AU14&gt;0,(Z14/$AU14)*$BS14,0)</f>
        <v>438.98548567175288</v>
      </c>
      <c r="AA41" s="77">
        <f si="63" t="shared"/>
        <v>312.65872720506138</v>
      </c>
      <c r="AB41" s="77">
        <f si="63" t="shared"/>
        <v>220.28228507629325</v>
      </c>
      <c r="AC41" s="77">
        <f si="63" t="shared"/>
        <v>234.49404540379604</v>
      </c>
      <c r="AD41" s="77">
        <f si="63" t="shared"/>
        <v>195.8064756233718</v>
      </c>
      <c r="AE41" s="77">
        <f si="63" t="shared"/>
        <v>877.97097134350577</v>
      </c>
      <c r="AF41" s="77">
        <f si="63" t="shared"/>
        <v>255.81168589505023</v>
      </c>
      <c r="AG41" s="77">
        <f si="63" t="shared"/>
        <v>100.27186453293635</v>
      </c>
      <c r="AH41" s="77">
        <f si="63" t="shared"/>
        <v>266.86527726088576</v>
      </c>
      <c r="AI41" s="77">
        <f si="63" t="shared"/>
        <v>120.79996278377372</v>
      </c>
      <c r="AJ41" s="77">
        <f si="63" t="shared"/>
        <v>356.08355042798661</v>
      </c>
      <c r="AK41" s="77">
        <f si="63" t="shared"/>
        <v>555.04819501302575</v>
      </c>
      <c r="AL41" s="77">
        <f si="63" t="shared"/>
        <v>71.058801637513952</v>
      </c>
      <c r="AM41" s="77">
        <f si="63" t="shared"/>
        <v>79.743766282099003</v>
      </c>
      <c r="AN41" s="77">
        <f si="63" t="shared"/>
        <v>42.63528098250837</v>
      </c>
      <c r="AO41" s="77">
        <f si="63" t="shared"/>
        <v>11.843133606252326</v>
      </c>
      <c r="AP41" s="77">
        <f si="63" t="shared"/>
        <v>27.633978414588761</v>
      </c>
      <c r="AQ41" s="77">
        <f si="63" t="shared"/>
        <v>25.265351693338296</v>
      </c>
      <c r="AR41" s="77">
        <f si="63" t="shared"/>
        <v>38.687569780424269</v>
      </c>
      <c r="AS41" s="77">
        <f si="63" t="shared"/>
        <v>11.053591365835505</v>
      </c>
      <c r="AT41" s="77">
        <f si="63" t="shared"/>
        <v>0</v>
      </c>
      <c r="AU41" s="77">
        <f si="44" t="shared"/>
        <v>4243.0000000000009</v>
      </c>
      <c r="AW41" s="95">
        <v>8</v>
      </c>
      <c r="AX41" s="15">
        <f ref="AX41:BR41" si="64" t="shared">AX14</f>
        <v>520</v>
      </c>
      <c r="AY41" s="15">
        <f si="64" t="shared"/>
        <v>291</v>
      </c>
      <c r="AZ41" s="15">
        <f si="64" t="shared"/>
        <v>320</v>
      </c>
      <c r="BA41" s="15">
        <f si="64" t="shared"/>
        <v>299</v>
      </c>
      <c r="BB41" s="15">
        <f si="64" t="shared"/>
        <v>194</v>
      </c>
      <c r="BC41" s="15">
        <f si="64" t="shared"/>
        <v>964</v>
      </c>
      <c r="BD41" s="15">
        <f si="64" t="shared"/>
        <v>135</v>
      </c>
      <c r="BE41" s="15">
        <f si="64" t="shared"/>
        <v>91</v>
      </c>
      <c r="BF41" s="15">
        <f si="64" t="shared"/>
        <v>178</v>
      </c>
      <c r="BG41" s="15">
        <f si="64" t="shared"/>
        <v>135</v>
      </c>
      <c r="BH41" s="15">
        <f si="64" t="shared"/>
        <v>465</v>
      </c>
      <c r="BI41" s="15">
        <f si="64" t="shared"/>
        <v>455</v>
      </c>
      <c r="BJ41" s="15">
        <f si="64" t="shared"/>
        <v>12</v>
      </c>
      <c r="BK41" s="15">
        <f si="64" t="shared"/>
        <v>64</v>
      </c>
      <c r="BL41" s="15">
        <f si="64" t="shared"/>
        <v>14</v>
      </c>
      <c r="BM41" s="15">
        <f si="64" t="shared"/>
        <v>10</v>
      </c>
      <c r="BN41" s="15">
        <f si="64" t="shared"/>
        <v>41</v>
      </c>
      <c r="BO41" s="15">
        <f si="64" t="shared"/>
        <v>2</v>
      </c>
      <c r="BP41" s="15">
        <f si="64" t="shared"/>
        <v>53</v>
      </c>
      <c r="BQ41" s="15">
        <f si="64" t="shared"/>
        <v>0</v>
      </c>
      <c r="BR41" s="15">
        <f si="64" t="shared"/>
        <v>0</v>
      </c>
      <c r="BS41" s="15">
        <f si="46" t="shared"/>
        <v>4243</v>
      </c>
      <c r="BV41" s="95">
        <v>20</v>
      </c>
      <c r="BW41" s="34" t="s">
        <v>345</v>
      </c>
      <c r="BX41" s="115">
        <f>$CP$7</f>
        <v>11905.715030577378</v>
      </c>
      <c r="BY41" s="116">
        <f>$CP$8</f>
        <v>41477.384054506212</v>
      </c>
      <c r="BZ41" s="116">
        <f>$CP$9</f>
        <v>15078</v>
      </c>
      <c r="CA41" s="123">
        <f>$CP$10</f>
        <v>14895</v>
      </c>
      <c r="CB41" s="115">
        <f>$CP$11</f>
        <v>14323.549097946079</v>
      </c>
      <c r="CC41" s="116">
        <f>$CP$12</f>
        <v>25351.447010085572</v>
      </c>
      <c r="CD41" s="116">
        <f>$CP$13</f>
        <v>13755.873697453415</v>
      </c>
      <c r="CE41" s="123">
        <f>$CP$14</f>
        <v>14895</v>
      </c>
      <c r="CF41" s="100">
        <f si="9" t="shared"/>
        <v>2.1257864496803329E-2</v>
      </c>
      <c r="CG41" s="100">
        <f si="10" t="shared"/>
        <v>3.7624587429631297E-2</v>
      </c>
      <c r="CH41" s="100">
        <f si="11" t="shared"/>
        <v>2.0415366128604062E-2</v>
      </c>
      <c r="CI41" s="121">
        <f si="12" t="shared"/>
        <v>2.2105966162065897E-2</v>
      </c>
      <c r="CJ41" s="126">
        <f si="13" t="shared"/>
        <v>1.6906000334618344E-3</v>
      </c>
      <c r="CK41" s="122">
        <f si="14" t="shared"/>
        <v>8.2810174591634131E-2</v>
      </c>
      <c r="CL41" s="21">
        <f si="15" t="shared"/>
        <v>-1.55186212675654E-2</v>
      </c>
    </row>
    <row ht="15.75" r="42" spans="1:90" thickBot="1" x14ac:dyDescent="0.3">
      <c r="A42" s="95">
        <v>9</v>
      </c>
      <c r="B42" s="77">
        <f ref="B42:W42" si="65" t="shared">IF($W15&gt;0,(B15/$W15)*$BS15,0)</f>
        <v>8706.9611624467962</v>
      </c>
      <c r="C42" s="77">
        <f si="65" t="shared"/>
        <v>4909.1603029388525</v>
      </c>
      <c r="D42" s="77">
        <f si="65" t="shared"/>
        <v>1407.6069243847819</v>
      </c>
      <c r="E42" s="77">
        <f si="65" t="shared"/>
        <v>2172.7457467991931</v>
      </c>
      <c r="F42" s="77">
        <f si="65" t="shared"/>
        <v>1196.6984654052787</v>
      </c>
      <c r="G42" s="77">
        <f si="65" t="shared"/>
        <v>4656.0274684397664</v>
      </c>
      <c r="H42" s="77">
        <f si="65" t="shared"/>
        <v>5679.9903378390072</v>
      </c>
      <c r="I42" s="77">
        <f si="65" t="shared"/>
        <v>0</v>
      </c>
      <c r="J42" s="77">
        <f si="65" t="shared"/>
        <v>19649.305829431469</v>
      </c>
      <c r="K42" s="77">
        <f si="65" t="shared"/>
        <v>122.98911621969374</v>
      </c>
      <c r="L42" s="77">
        <f si="65" t="shared"/>
        <v>932.79867284432282</v>
      </c>
      <c r="M42" s="77">
        <f si="65" t="shared"/>
        <v>7042.9457493145201</v>
      </c>
      <c r="N42" s="77">
        <f si="65" t="shared"/>
        <v>52.683833401494745</v>
      </c>
      <c r="O42" s="77">
        <f si="65" t="shared"/>
        <v>0</v>
      </c>
      <c r="P42" s="77">
        <f si="65" t="shared"/>
        <v>2287.3719315112526</v>
      </c>
      <c r="Q42" s="77">
        <f si="65" t="shared"/>
        <v>0</v>
      </c>
      <c r="R42" s="77">
        <f si="65" t="shared"/>
        <v>188.39649493145197</v>
      </c>
      <c r="S42" s="77">
        <f si="65" t="shared"/>
        <v>380.77785095473553</v>
      </c>
      <c r="T42" s="77">
        <f si="65" t="shared"/>
        <v>176.54011313738351</v>
      </c>
      <c r="U42" s="77">
        <f si="65" t="shared"/>
        <v>0</v>
      </c>
      <c r="V42" s="77">
        <f si="65" t="shared"/>
        <v>0</v>
      </c>
      <c r="W42" s="77">
        <f si="65" t="shared"/>
        <v>59563</v>
      </c>
      <c r="X42" s="15"/>
      <c r="Y42" s="95">
        <v>9</v>
      </c>
      <c r="Z42" s="77">
        <f ref="Z42:AT42" si="66" t="shared">IF($AU15&gt;0,(Z15/$AU15)*$BS15,0)</f>
        <v>5385.3936755270388</v>
      </c>
      <c r="AA42" s="77">
        <f si="66" t="shared"/>
        <v>4538.1983272227317</v>
      </c>
      <c r="AB42" s="77">
        <f si="66" t="shared"/>
        <v>2149.6728918423469</v>
      </c>
      <c r="AC42" s="77">
        <f si="66" t="shared"/>
        <v>1616.3980293308891</v>
      </c>
      <c r="AD42" s="77">
        <f si="66" t="shared"/>
        <v>1211.811067827681</v>
      </c>
      <c r="AE42" s="77">
        <f si="66" t="shared"/>
        <v>9445.8869156736928</v>
      </c>
      <c r="AF42" s="77">
        <f si="66" t="shared"/>
        <v>5369.7951420714944</v>
      </c>
      <c r="AG42" s="77">
        <f si="66" t="shared"/>
        <v>309.04594408799267</v>
      </c>
      <c r="AH42" s="77">
        <f si="66" t="shared"/>
        <v>9357.1702566452805</v>
      </c>
      <c r="AI42" s="77">
        <f si="66" t="shared"/>
        <v>880.34223189734189</v>
      </c>
      <c r="AJ42" s="77">
        <f si="66" t="shared"/>
        <v>3087.5347158570116</v>
      </c>
      <c r="AK42" s="77">
        <f si="66" t="shared"/>
        <v>8890.1891613198895</v>
      </c>
      <c r="AL42" s="77">
        <f si="66" t="shared"/>
        <v>1983.9384738771769</v>
      </c>
      <c r="AM42" s="77">
        <f si="66" t="shared"/>
        <v>275.89906049495875</v>
      </c>
      <c r="AN42" s="77">
        <f si="66" t="shared"/>
        <v>3353.684692942255</v>
      </c>
      <c r="AO42" s="77">
        <f si="66" t="shared"/>
        <v>128.6879010082493</v>
      </c>
      <c r="AP42" s="77">
        <f si="66" t="shared"/>
        <v>281.74851054078829</v>
      </c>
      <c r="AQ42" s="77">
        <f si="66" t="shared"/>
        <v>263.22525206232814</v>
      </c>
      <c r="AR42" s="77">
        <f si="66" t="shared"/>
        <v>840.3709899175069</v>
      </c>
      <c r="AS42" s="77">
        <f si="66" t="shared"/>
        <v>194.00675985334556</v>
      </c>
      <c r="AT42" s="77">
        <f si="66" t="shared"/>
        <v>0</v>
      </c>
      <c r="AU42" s="77">
        <f si="44" t="shared"/>
        <v>59563</v>
      </c>
      <c r="AW42" s="95">
        <v>9</v>
      </c>
      <c r="AX42" s="15">
        <f ref="AX42:BR42" si="67" t="shared">AX15</f>
        <v>5482</v>
      </c>
      <c r="AY42" s="15">
        <f si="67" t="shared"/>
        <v>5406</v>
      </c>
      <c r="AZ42" s="15">
        <f si="67" t="shared"/>
        <v>2412</v>
      </c>
      <c r="BA42" s="15">
        <f si="67" t="shared"/>
        <v>1432</v>
      </c>
      <c r="BB42" s="15">
        <f si="67" t="shared"/>
        <v>1303</v>
      </c>
      <c r="BC42" s="15">
        <f si="67" t="shared"/>
        <v>9078</v>
      </c>
      <c r="BD42" s="15">
        <f si="67" t="shared"/>
        <v>5731</v>
      </c>
      <c r="BE42" s="15">
        <f si="67" t="shared"/>
        <v>258</v>
      </c>
      <c r="BF42" s="15">
        <f si="67" t="shared"/>
        <v>12960</v>
      </c>
      <c r="BG42" s="15">
        <f si="67" t="shared"/>
        <v>718</v>
      </c>
      <c r="BH42" s="15">
        <f si="67" t="shared"/>
        <v>2821</v>
      </c>
      <c r="BI42" s="15">
        <f si="67" t="shared"/>
        <v>7166</v>
      </c>
      <c r="BJ42" s="15">
        <f si="67" t="shared"/>
        <v>1083</v>
      </c>
      <c r="BK42" s="15">
        <f si="67" t="shared"/>
        <v>136</v>
      </c>
      <c r="BL42" s="15">
        <f si="67" t="shared"/>
        <v>2813</v>
      </c>
      <c r="BM42" s="15">
        <f si="67" t="shared"/>
        <v>77</v>
      </c>
      <c r="BN42" s="15">
        <f si="67" t="shared"/>
        <v>139</v>
      </c>
      <c r="BO42" s="15">
        <f si="67" t="shared"/>
        <v>53</v>
      </c>
      <c r="BP42" s="15">
        <f si="67" t="shared"/>
        <v>479</v>
      </c>
      <c r="BQ42" s="15">
        <f si="67" t="shared"/>
        <v>16</v>
      </c>
      <c r="BR42" s="15">
        <f si="67" t="shared"/>
        <v>0</v>
      </c>
      <c r="BS42" s="15">
        <f si="46" t="shared"/>
        <v>59563</v>
      </c>
      <c r="BV42" s="109"/>
      <c r="BW42" s="110" t="s">
        <v>218</v>
      </c>
      <c r="BX42" s="117">
        <f ref="BX42:CE42" si="68" t="shared">SUM(BX22:BX41)</f>
        <v>560061.6671711175</v>
      </c>
      <c r="BY42" s="111">
        <f si="68" t="shared"/>
        <v>1102401.03315633</v>
      </c>
      <c r="BZ42" s="111">
        <f si="68" t="shared"/>
        <v>696114</v>
      </c>
      <c r="CA42" s="124">
        <f si="68" t="shared"/>
        <v>673800</v>
      </c>
      <c r="CB42" s="117">
        <f si="68" t="shared"/>
        <v>673799.99999999977</v>
      </c>
      <c r="CC42" s="111">
        <f si="68" t="shared"/>
        <v>673800.00000000012</v>
      </c>
      <c r="CD42" s="111">
        <f si="68" t="shared"/>
        <v>673799.99999999988</v>
      </c>
      <c r="CE42" s="124">
        <f si="68" t="shared"/>
        <v>673800</v>
      </c>
      <c r="CF42" s="130">
        <f si="9" t="shared"/>
        <v>1</v>
      </c>
      <c r="CG42" s="130">
        <f si="10" t="shared"/>
        <v>1</v>
      </c>
      <c r="CH42" s="130">
        <f si="11" t="shared"/>
        <v>1</v>
      </c>
      <c r="CI42" s="131">
        <f si="12" t="shared"/>
        <v>1</v>
      </c>
      <c r="CJ42" s="119">
        <f si="13" t="shared"/>
        <v>0</v>
      </c>
      <c r="CK42" s="137">
        <f si="14" t="shared"/>
        <v>1.7277429775442986E-16</v>
      </c>
    </row>
    <row r="43" spans="1:90" x14ac:dyDescent="0.25">
      <c r="A43" s="95">
        <v>10</v>
      </c>
      <c r="B43" s="77">
        <f ref="B43:W43" si="69" t="shared">IF($W16&gt;0,(B16/$W16)*$BS16,0)</f>
        <v>3961.5557798585323</v>
      </c>
      <c r="C43" s="77">
        <f si="69" t="shared"/>
        <v>335.17727963965211</v>
      </c>
      <c r="D43" s="77">
        <f si="69" t="shared"/>
        <v>551.51156938523673</v>
      </c>
      <c r="E43" s="77">
        <f si="69" t="shared"/>
        <v>823.31735261848075</v>
      </c>
      <c r="F43" s="77">
        <f si="69" t="shared"/>
        <v>2427.054012734533</v>
      </c>
      <c r="G43" s="77">
        <f si="69" t="shared"/>
        <v>7339.2055377995666</v>
      </c>
      <c r="H43" s="77">
        <f si="69" t="shared"/>
        <v>982.5441312735519</v>
      </c>
      <c r="I43" s="77">
        <f si="69" t="shared"/>
        <v>614.43983308953068</v>
      </c>
      <c r="J43" s="77">
        <f si="69" t="shared"/>
        <v>284.36941196874824</v>
      </c>
      <c r="K43" s="77">
        <f si="69" t="shared"/>
        <v>2595.9638701275767</v>
      </c>
      <c r="L43" s="77">
        <f si="69" t="shared"/>
        <v>444.0019965352393</v>
      </c>
      <c r="M43" s="77">
        <f si="69" t="shared"/>
        <v>4216.3118599255786</v>
      </c>
      <c r="N43" s="77">
        <f si="69" t="shared"/>
        <v>182.31679333144473</v>
      </c>
      <c r="O43" s="77">
        <f si="69" t="shared"/>
        <v>89.758918137081835</v>
      </c>
      <c r="P43" s="77">
        <f si="69" t="shared"/>
        <v>0</v>
      </c>
      <c r="Q43" s="77">
        <f si="69" t="shared"/>
        <v>244.87938983665535</v>
      </c>
      <c r="R43" s="77">
        <f si="69" t="shared"/>
        <v>0</v>
      </c>
      <c r="S43" s="77">
        <f si="69" t="shared"/>
        <v>26.59226373859223</v>
      </c>
      <c r="T43" s="77">
        <f si="69" t="shared"/>
        <v>0</v>
      </c>
      <c r="U43" s="77">
        <f si="69" t="shared"/>
        <v>0</v>
      </c>
      <c r="V43" s="77">
        <f si="69" t="shared"/>
        <v>0</v>
      </c>
      <c r="W43" s="77">
        <f si="69" t="shared"/>
        <v>25119</v>
      </c>
      <c r="Y43" s="95">
        <v>10</v>
      </c>
      <c r="Z43" s="77">
        <f ref="Z43:AT43" si="70" t="shared">IF($AU16&gt;0,(Z16/$AU16)*$BS16,0)</f>
        <v>2714.4944885820059</v>
      </c>
      <c r="AA43" s="77">
        <f si="70" t="shared"/>
        <v>971.70126034690736</v>
      </c>
      <c r="AB43" s="77">
        <f si="70" t="shared"/>
        <v>503.61291127656921</v>
      </c>
      <c r="AC43" s="77">
        <f si="70" t="shared"/>
        <v>754.3745268499647</v>
      </c>
      <c r="AD43" s="77">
        <f si="70" t="shared"/>
        <v>1248.5838775425316</v>
      </c>
      <c r="AE43" s="77">
        <f si="70" t="shared"/>
        <v>6546.9678465954003</v>
      </c>
      <c r="AF43" s="77">
        <f si="70" t="shared"/>
        <v>1014.5397030073624</v>
      </c>
      <c r="AG43" s="77">
        <f si="70" t="shared"/>
        <v>216.28189343205358</v>
      </c>
      <c r="AH43" s="77">
        <f si="70" t="shared"/>
        <v>945.58025872467863</v>
      </c>
      <c r="AI43" s="77">
        <f si="70" t="shared"/>
        <v>1982.0616030947131</v>
      </c>
      <c r="AJ43" s="77">
        <f si="70" t="shared"/>
        <v>709.44640405973132</v>
      </c>
      <c r="AK43" s="77">
        <f si="70" t="shared"/>
        <v>5911.7050871427982</v>
      </c>
      <c r="AL43" s="77">
        <f si="70" t="shared"/>
        <v>434.6534669938855</v>
      </c>
      <c r="AM43" s="77">
        <f si="70" t="shared"/>
        <v>140.00856869514578</v>
      </c>
      <c r="AN43" s="77">
        <f si="70" t="shared"/>
        <v>152.54664947381556</v>
      </c>
      <c r="AO43" s="77">
        <f si="70" t="shared"/>
        <v>417.93602595565909</v>
      </c>
      <c r="AP43" s="77">
        <f si="70" t="shared"/>
        <v>58.511043633792269</v>
      </c>
      <c r="AQ43" s="77">
        <f si="70" t="shared"/>
        <v>138.96372863025664</v>
      </c>
      <c r="AR43" s="77">
        <f si="70" t="shared"/>
        <v>178.66765109604427</v>
      </c>
      <c r="AS43" s="77">
        <f si="70" t="shared"/>
        <v>78.363004866686069</v>
      </c>
      <c r="AT43" s="77">
        <f si="70" t="shared"/>
        <v>0</v>
      </c>
      <c r="AU43" s="77">
        <f si="44" t="shared"/>
        <v>25119</v>
      </c>
      <c r="AW43" s="95">
        <v>10</v>
      </c>
      <c r="AX43" s="15">
        <f ref="AX43:BR43" si="71" t="shared">AX16</f>
        <v>2657</v>
      </c>
      <c r="AY43" s="15">
        <f si="71" t="shared"/>
        <v>1226</v>
      </c>
      <c r="AZ43" s="15">
        <f si="71" t="shared"/>
        <v>562</v>
      </c>
      <c r="BA43" s="15">
        <f si="71" t="shared"/>
        <v>1019</v>
      </c>
      <c r="BB43" s="15">
        <f si="71" t="shared"/>
        <v>1378</v>
      </c>
      <c r="BC43" s="15">
        <f si="71" t="shared"/>
        <v>6992</v>
      </c>
      <c r="BD43" s="15">
        <f si="71" t="shared"/>
        <v>613</v>
      </c>
      <c r="BE43" s="15">
        <f si="71" t="shared"/>
        <v>262</v>
      </c>
      <c r="BF43" s="15">
        <f si="71" t="shared"/>
        <v>542</v>
      </c>
      <c r="BG43" s="15">
        <f si="71" t="shared"/>
        <v>2430</v>
      </c>
      <c r="BH43" s="15">
        <f si="71" t="shared"/>
        <v>434</v>
      </c>
      <c r="BI43" s="15">
        <f si="71" t="shared"/>
        <v>6231</v>
      </c>
      <c r="BJ43" s="15">
        <f si="71" t="shared"/>
        <v>85</v>
      </c>
      <c r="BK43" s="15">
        <f si="71" t="shared"/>
        <v>41</v>
      </c>
      <c r="BL43" s="15">
        <f si="71" t="shared"/>
        <v>38</v>
      </c>
      <c r="BM43" s="15">
        <f si="71" t="shared"/>
        <v>434</v>
      </c>
      <c r="BN43" s="15">
        <f si="71" t="shared"/>
        <v>25</v>
      </c>
      <c r="BO43" s="15">
        <f si="71" t="shared"/>
        <v>61</v>
      </c>
      <c r="BP43" s="15">
        <f si="71" t="shared"/>
        <v>74</v>
      </c>
      <c r="BQ43" s="15">
        <f si="71" t="shared"/>
        <v>15</v>
      </c>
      <c r="BR43" s="15">
        <f si="71" t="shared"/>
        <v>0</v>
      </c>
      <c r="BS43" s="15">
        <f si="46" t="shared"/>
        <v>25119</v>
      </c>
    </row>
    <row customFormat="1" r="44" s="95" spans="1:90" x14ac:dyDescent="0.25">
      <c r="A44" s="95">
        <v>11</v>
      </c>
      <c r="B44" s="77">
        <f ref="B44:W44" si="72" t="shared">IF($W17&gt;0,(B17/$W17)*$BS17,0)</f>
        <v>6491.8533808223956</v>
      </c>
      <c r="C44" s="77">
        <f si="72" t="shared"/>
        <v>1807.5567443148625</v>
      </c>
      <c r="D44" s="77">
        <f si="72" t="shared"/>
        <v>5105.5240965345447</v>
      </c>
      <c r="E44" s="77">
        <f si="72" t="shared"/>
        <v>2328.037557171725</v>
      </c>
      <c r="F44" s="77">
        <f si="72" t="shared"/>
        <v>2613.0175509553269</v>
      </c>
      <c r="G44" s="77">
        <f si="72" t="shared"/>
        <v>5148.9974182371479</v>
      </c>
      <c r="H44" s="77">
        <f si="72" t="shared"/>
        <v>2747.497122254124</v>
      </c>
      <c r="I44" s="77">
        <f si="72" t="shared"/>
        <v>607.27334076531008</v>
      </c>
      <c r="J44" s="77">
        <f si="72" t="shared"/>
        <v>2951.8148684942284</v>
      </c>
      <c r="K44" s="77">
        <f si="72" t="shared"/>
        <v>195.91231450944034</v>
      </c>
      <c r="L44" s="77">
        <f si="72" t="shared"/>
        <v>13519.547263640137</v>
      </c>
      <c r="M44" s="77">
        <f si="72" t="shared"/>
        <v>3290.8459236463659</v>
      </c>
      <c r="N44" s="77">
        <f si="72" t="shared"/>
        <v>47.883367330009257</v>
      </c>
      <c r="O44" s="77">
        <f si="72" t="shared"/>
        <v>214.37811725625929</v>
      </c>
      <c r="P44" s="77">
        <f si="72" t="shared"/>
        <v>0</v>
      </c>
      <c r="Q44" s="77">
        <f si="72" t="shared"/>
        <v>799.97149149748486</v>
      </c>
      <c r="R44" s="77">
        <f si="72" t="shared"/>
        <v>1060.9078333542232</v>
      </c>
      <c r="S44" s="77">
        <f si="72" t="shared"/>
        <v>1238.1222455120367</v>
      </c>
      <c r="T44" s="77">
        <f si="72" t="shared"/>
        <v>2005.8593637043757</v>
      </c>
      <c r="U44" s="77">
        <f si="72" t="shared"/>
        <v>0</v>
      </c>
      <c r="V44" s="77">
        <f si="72" t="shared"/>
        <v>0</v>
      </c>
      <c r="W44" s="77">
        <f si="72" t="shared"/>
        <v>52175</v>
      </c>
      <c r="Y44" s="95">
        <v>11</v>
      </c>
      <c r="Z44" s="77">
        <f ref="Z44:AT44" si="73" t="shared">IF($AU17&gt;0,(Z17/$AU17)*$BS17,0)</f>
        <v>4527.2320768662239</v>
      </c>
      <c r="AA44" s="77">
        <f si="73" t="shared"/>
        <v>3217.07270879527</v>
      </c>
      <c r="AB44" s="77">
        <f si="73" t="shared"/>
        <v>2514.271988174427</v>
      </c>
      <c r="AC44" s="77">
        <f si="73" t="shared"/>
        <v>1911.733647450111</v>
      </c>
      <c r="AD44" s="77">
        <f si="73" t="shared"/>
        <v>1410.4217479674796</v>
      </c>
      <c r="AE44" s="77">
        <f si="73" t="shared"/>
        <v>7993.0326127124908</v>
      </c>
      <c r="AF44" s="77">
        <f si="73" t="shared"/>
        <v>2708.0483185513672</v>
      </c>
      <c r="AG44" s="77">
        <f si="73" t="shared"/>
        <v>492.63534737620103</v>
      </c>
      <c r="AH44" s="77">
        <f si="73" t="shared"/>
        <v>3739.5939578713969</v>
      </c>
      <c r="AI44" s="77">
        <f si="73" t="shared"/>
        <v>826.20057280118249</v>
      </c>
      <c r="AJ44" s="77">
        <f si="73" t="shared"/>
        <v>10013.705192165558</v>
      </c>
      <c r="AK44" s="77">
        <f si="73" t="shared"/>
        <v>5775.6915188470066</v>
      </c>
      <c r="AL44" s="77">
        <f si="73" t="shared"/>
        <v>1030.5815779748707</v>
      </c>
      <c r="AM44" s="77">
        <f si="73" t="shared"/>
        <v>594.82584996304502</v>
      </c>
      <c r="AN44" s="77">
        <f si="73" t="shared"/>
        <v>942.85199556541022</v>
      </c>
      <c r="AO44" s="77">
        <f si="73" t="shared"/>
        <v>120.50766814486327</v>
      </c>
      <c r="AP44" s="77">
        <f si="73" t="shared"/>
        <v>735.57880635624542</v>
      </c>
      <c r="AQ44" s="77">
        <f si="73" t="shared"/>
        <v>214.02161862527714</v>
      </c>
      <c r="AR44" s="77">
        <f si="73" t="shared"/>
        <v>3233.461751662971</v>
      </c>
      <c r="AS44" s="77">
        <f si="73" t="shared"/>
        <v>173.5310421286031</v>
      </c>
      <c r="AT44" s="77">
        <f si="73" t="shared"/>
        <v>0</v>
      </c>
      <c r="AU44" s="77">
        <f si="44" t="shared"/>
        <v>52175.000000000007</v>
      </c>
      <c r="AW44" s="95">
        <v>11</v>
      </c>
      <c r="AX44" s="15">
        <f ref="AX44:BR44" si="74" t="shared">AX17</f>
        <v>5201</v>
      </c>
      <c r="AY44" s="15">
        <f si="74" t="shared"/>
        <v>3064</v>
      </c>
      <c r="AZ44" s="15">
        <f si="74" t="shared"/>
        <v>3328</v>
      </c>
      <c r="BA44" s="15">
        <f si="74" t="shared"/>
        <v>2169</v>
      </c>
      <c r="BB44" s="15">
        <f si="74" t="shared"/>
        <v>1418</v>
      </c>
      <c r="BC44" s="15">
        <f si="74" t="shared"/>
        <v>7768</v>
      </c>
      <c r="BD44" s="15">
        <f si="74" t="shared"/>
        <v>1449</v>
      </c>
      <c r="BE44" s="15">
        <f si="74" t="shared"/>
        <v>527</v>
      </c>
      <c r="BF44" s="15">
        <f si="74" t="shared"/>
        <v>3826</v>
      </c>
      <c r="BG44" s="15">
        <f si="74" t="shared"/>
        <v>778</v>
      </c>
      <c r="BH44" s="15">
        <f si="74" t="shared"/>
        <v>13912</v>
      </c>
      <c r="BI44" s="15">
        <f si="74" t="shared"/>
        <v>3803</v>
      </c>
      <c r="BJ44" s="15">
        <f si="74" t="shared"/>
        <v>158</v>
      </c>
      <c r="BK44" s="15">
        <f si="74" t="shared"/>
        <v>565</v>
      </c>
      <c r="BL44" s="15">
        <f si="74" t="shared"/>
        <v>542</v>
      </c>
      <c r="BM44" s="15">
        <f si="74" t="shared"/>
        <v>72</v>
      </c>
      <c r="BN44" s="15">
        <f si="74" t="shared"/>
        <v>898</v>
      </c>
      <c r="BO44" s="15">
        <f si="74" t="shared"/>
        <v>23</v>
      </c>
      <c r="BP44" s="15">
        <f si="74" t="shared"/>
        <v>2660</v>
      </c>
      <c r="BQ44" s="15">
        <f si="74" t="shared"/>
        <v>14</v>
      </c>
      <c r="BR44" s="15">
        <f si="74" t="shared"/>
        <v>0</v>
      </c>
      <c r="BS44" s="15">
        <f si="46" t="shared"/>
        <v>52175</v>
      </c>
    </row>
    <row customFormat="1" r="45" s="95" spans="1:90" x14ac:dyDescent="0.25">
      <c r="A45" s="95">
        <v>12</v>
      </c>
      <c r="B45" s="77">
        <f ref="B45:W45" si="75" t="shared">IF($W18&gt;0,(B18/$W18)*$BS18,0)</f>
        <v>13107.905134296034</v>
      </c>
      <c r="C45" s="77">
        <f si="75" t="shared"/>
        <v>1881.1786375412112</v>
      </c>
      <c r="D45" s="77">
        <f si="75" t="shared"/>
        <v>1620.3154744739509</v>
      </c>
      <c r="E45" s="77">
        <f si="75" t="shared"/>
        <v>4307.3306093574374</v>
      </c>
      <c r="F45" s="77">
        <f si="75" t="shared"/>
        <v>2194.1802374028302</v>
      </c>
      <c r="G45" s="77">
        <f si="75" t="shared"/>
        <v>21014.674068671142</v>
      </c>
      <c r="H45" s="77">
        <f si="75" t="shared"/>
        <v>7242.241400361122</v>
      </c>
      <c r="I45" s="77">
        <f si="75" t="shared"/>
        <v>93.547653098181314</v>
      </c>
      <c r="J45" s="77">
        <f si="75" t="shared"/>
        <v>3650.9988426524305</v>
      </c>
      <c r="K45" s="77">
        <f si="75" t="shared"/>
        <v>2206.135113211637</v>
      </c>
      <c r="L45" s="77">
        <f si="75" t="shared"/>
        <v>595.90982733184705</v>
      </c>
      <c r="M45" s="77">
        <f si="75" t="shared"/>
        <v>45108.943392665962</v>
      </c>
      <c r="N45" s="77">
        <f si="75" t="shared"/>
        <v>1116.6641205463118</v>
      </c>
      <c r="O45" s="77">
        <f si="75" t="shared"/>
        <v>37.592418566118454</v>
      </c>
      <c r="P45" s="77">
        <f si="75" t="shared"/>
        <v>0</v>
      </c>
      <c r="Q45" s="77">
        <f si="75" t="shared"/>
        <v>377.00510290975797</v>
      </c>
      <c r="R45" s="77">
        <f si="75" t="shared"/>
        <v>0</v>
      </c>
      <c r="S45" s="77">
        <f si="75" t="shared"/>
        <v>974.91588705222239</v>
      </c>
      <c r="T45" s="77">
        <f si="75" t="shared"/>
        <v>0</v>
      </c>
      <c r="U45" s="77">
        <f si="75" t="shared"/>
        <v>709.46207986182537</v>
      </c>
      <c r="V45" s="77">
        <f si="75" t="shared"/>
        <v>0</v>
      </c>
      <c r="W45" s="77">
        <f si="75" t="shared"/>
        <v>106239</v>
      </c>
      <c r="Y45" s="95">
        <v>12</v>
      </c>
      <c r="Z45" s="77">
        <f ref="Z45:AT45" si="76" t="shared">IF($AU18&gt;0,(Z18/$AU18)*$BS18,0)</f>
        <v>8229.4601703357876</v>
      </c>
      <c r="AA45" s="77">
        <f si="76" t="shared"/>
        <v>4349.7537553962457</v>
      </c>
      <c r="AB45" s="77">
        <f si="76" t="shared"/>
        <v>1791.9906334850468</v>
      </c>
      <c r="AC45" s="77">
        <f si="76" t="shared"/>
        <v>1955.9365049909165</v>
      </c>
      <c r="AD45" s="77">
        <f si="76" t="shared"/>
        <v>2225.7208505069052</v>
      </c>
      <c r="AE45" s="77">
        <f si="76" t="shared"/>
        <v>18836.13547750669</v>
      </c>
      <c r="AF45" s="77">
        <f si="76" t="shared"/>
        <v>7381.7147461567019</v>
      </c>
      <c r="AG45" s="77">
        <f si="76" t="shared"/>
        <v>310.25199734338679</v>
      </c>
      <c r="AH45" s="77">
        <f si="76" t="shared"/>
        <v>4123.5499580020705</v>
      </c>
      <c r="AI45" s="77">
        <f si="76" t="shared"/>
        <v>1947.6354482058093</v>
      </c>
      <c r="AJ45" s="77">
        <f si="76" t="shared"/>
        <v>2110.5436876135409</v>
      </c>
      <c r="AK45" s="77">
        <f si="76" t="shared"/>
        <v>45782.40343406325</v>
      </c>
      <c r="AL45" s="77">
        <f si="76" t="shared"/>
        <v>2746.6121637723904</v>
      </c>
      <c r="AM45" s="77">
        <f si="76" t="shared"/>
        <v>226.20379739417498</v>
      </c>
      <c r="AN45" s="77">
        <f si="76" t="shared"/>
        <v>762.65959213173676</v>
      </c>
      <c r="AO45" s="77">
        <f si="76" t="shared"/>
        <v>433.73021702185849</v>
      </c>
      <c r="AP45" s="77">
        <f si="76" t="shared"/>
        <v>154.60718262262418</v>
      </c>
      <c r="AQ45" s="77">
        <f si="76" t="shared"/>
        <v>1647.7597718438069</v>
      </c>
      <c r="AR45" s="77">
        <f si="76" t="shared"/>
        <v>447.21943429765793</v>
      </c>
      <c r="AS45" s="77">
        <f si="76" t="shared"/>
        <v>775.11117730939782</v>
      </c>
      <c r="AT45" s="77">
        <f si="76" t="shared"/>
        <v>0</v>
      </c>
      <c r="AU45" s="77">
        <f si="44" t="shared"/>
        <v>106239</v>
      </c>
      <c r="AW45" s="95">
        <v>12</v>
      </c>
      <c r="AX45" s="15">
        <f ref="AX45:BR45" si="77" t="shared">AX18</f>
        <v>8476</v>
      </c>
      <c r="AY45" s="15">
        <f si="77" t="shared"/>
        <v>5638</v>
      </c>
      <c r="AZ45" s="15">
        <f si="77" t="shared"/>
        <v>1798</v>
      </c>
      <c r="BA45" s="15">
        <f si="77" t="shared"/>
        <v>2285</v>
      </c>
      <c r="BB45" s="15">
        <f si="77" t="shared"/>
        <v>2465</v>
      </c>
      <c r="BC45" s="15">
        <f si="77" t="shared"/>
        <v>18501</v>
      </c>
      <c r="BD45" s="15">
        <f si="77" t="shared"/>
        <v>8372</v>
      </c>
      <c r="BE45" s="15">
        <f si="77" t="shared"/>
        <v>473</v>
      </c>
      <c r="BF45" s="15">
        <f si="77" t="shared"/>
        <v>3154</v>
      </c>
      <c r="BG45" s="15">
        <f si="77" t="shared"/>
        <v>2504</v>
      </c>
      <c r="BH45" s="15">
        <f si="77" t="shared"/>
        <v>1058</v>
      </c>
      <c r="BI45" s="15">
        <f si="77" t="shared"/>
        <v>46711</v>
      </c>
      <c r="BJ45" s="15">
        <f si="77" t="shared"/>
        <v>1962</v>
      </c>
      <c r="BK45" s="15">
        <f si="77" t="shared"/>
        <v>79</v>
      </c>
      <c r="BL45" s="15">
        <f si="77" t="shared"/>
        <v>326</v>
      </c>
      <c r="BM45" s="15">
        <f si="77" t="shared"/>
        <v>682</v>
      </c>
      <c r="BN45" s="15">
        <f si="77" t="shared"/>
        <v>105</v>
      </c>
      <c r="BO45" s="15">
        <f si="77" t="shared"/>
        <v>1259</v>
      </c>
      <c r="BP45" s="15">
        <f si="77" t="shared"/>
        <v>175</v>
      </c>
      <c r="BQ45" s="15">
        <f si="77" t="shared"/>
        <v>216</v>
      </c>
      <c r="BR45" s="15">
        <f si="77" t="shared"/>
        <v>0</v>
      </c>
      <c r="BS45" s="15">
        <f si="46" t="shared"/>
        <v>106239</v>
      </c>
    </row>
    <row customFormat="1" r="46" s="95" spans="1:90" x14ac:dyDescent="0.25">
      <c r="A46" s="95">
        <v>13</v>
      </c>
      <c r="B46" s="77">
        <f ref="B46:W46" si="78" t="shared">IF($W19&gt;0,(B19/$W19)*$BS19,0)</f>
        <v>4175.1938410660041</v>
      </c>
      <c r="C46" s="77">
        <f si="78" t="shared"/>
        <v>647.42261822480373</v>
      </c>
      <c r="D46" s="77">
        <f si="78" t="shared"/>
        <v>281.15100744747321</v>
      </c>
      <c r="E46" s="77">
        <f si="78" t="shared"/>
        <v>1049.0136828754403</v>
      </c>
      <c r="F46" s="77">
        <f si="78" t="shared"/>
        <v>873.94651534342779</v>
      </c>
      <c r="G46" s="77">
        <f si="78" t="shared"/>
        <v>2341.4610160597022</v>
      </c>
      <c r="H46" s="77">
        <f si="78" t="shared"/>
        <v>17135.058646074885</v>
      </c>
      <c r="I46" s="77">
        <f si="78" t="shared"/>
        <v>688.51656077634016</v>
      </c>
      <c r="J46" s="77">
        <f si="78" t="shared"/>
        <v>1017.857099487432</v>
      </c>
      <c r="K46" s="77">
        <f si="78" t="shared"/>
        <v>310.42015669345562</v>
      </c>
      <c r="L46" s="77">
        <f si="78" t="shared"/>
        <v>960.80883149629869</v>
      </c>
      <c r="M46" s="77">
        <f si="78" t="shared"/>
        <v>4686.6127998004013</v>
      </c>
      <c r="N46" s="77">
        <f si="78" t="shared"/>
        <v>37138.297570930277</v>
      </c>
      <c r="O46" s="77">
        <f si="78" t="shared"/>
        <v>109.64965458964019</v>
      </c>
      <c r="P46" s="77">
        <f si="78" t="shared"/>
        <v>1574.9279967921905</v>
      </c>
      <c r="Q46" s="77">
        <f si="78" t="shared"/>
        <v>0</v>
      </c>
      <c r="R46" s="77">
        <f si="78" t="shared"/>
        <v>0</v>
      </c>
      <c r="S46" s="77">
        <f si="78" t="shared"/>
        <v>1762.6620023422204</v>
      </c>
      <c r="T46" s="77">
        <f si="78" t="shared"/>
        <v>0</v>
      </c>
      <c r="U46" s="77">
        <f si="78" t="shared"/>
        <v>0</v>
      </c>
      <c r="V46" s="77">
        <f si="78" t="shared"/>
        <v>0</v>
      </c>
      <c r="W46" s="77">
        <f si="78" t="shared"/>
        <v>74753</v>
      </c>
      <c r="Y46" s="95">
        <v>13</v>
      </c>
      <c r="Z46" s="77">
        <f ref="Z46:AT46" si="79" t="shared">IF($AU19&gt;0,(Z19/$AU19)*$BS19,0)</f>
        <v>2460.7754489825716</v>
      </c>
      <c r="AA46" s="77">
        <f si="79" t="shared"/>
        <v>2279.1940348036155</v>
      </c>
      <c r="AB46" s="77">
        <f si="79" t="shared"/>
        <v>902.94583007021788</v>
      </c>
      <c r="AC46" s="77">
        <f si="79" t="shared"/>
        <v>1002.1706465614506</v>
      </c>
      <c r="AD46" s="77">
        <f si="79" t="shared"/>
        <v>603.28688426669498</v>
      </c>
      <c r="AE46" s="77">
        <f si="79" t="shared"/>
        <v>4673.4888567370617</v>
      </c>
      <c r="AF46" s="77">
        <f si="79" t="shared"/>
        <v>13315.970373123431</v>
      </c>
      <c r="AG46" s="77">
        <f si="79" t="shared"/>
        <v>156.7752100561477</v>
      </c>
      <c r="AH46" s="77">
        <f si="79" t="shared"/>
        <v>2792.1863360632892</v>
      </c>
      <c r="AI46" s="77">
        <f si="79" t="shared"/>
        <v>731.28689754038521</v>
      </c>
      <c r="AJ46" s="77">
        <f si="79" t="shared"/>
        <v>1272.0621474176037</v>
      </c>
      <c r="AK46" s="77">
        <f si="79" t="shared"/>
        <v>10370.977819663645</v>
      </c>
      <c r="AL46" s="77">
        <f si="79" t="shared"/>
        <v>29606.700744654023</v>
      </c>
      <c r="AM46" s="77">
        <f si="79" t="shared"/>
        <v>176.62017335439427</v>
      </c>
      <c r="AN46" s="77">
        <f si="79" t="shared"/>
        <v>2061.8916866878162</v>
      </c>
      <c r="AO46" s="77">
        <f si="79" t="shared"/>
        <v>157.76745822106002</v>
      </c>
      <c r="AP46" s="77">
        <f si="79" t="shared"/>
        <v>186.54265500351752</v>
      </c>
      <c r="AQ46" s="77">
        <f si="79" t="shared"/>
        <v>1333.5815336421679</v>
      </c>
      <c r="AR46" s="77">
        <f si="79" t="shared"/>
        <v>353.24034670878854</v>
      </c>
      <c r="AS46" s="77">
        <f si="79" t="shared"/>
        <v>315.53491644212005</v>
      </c>
      <c r="AT46" s="77">
        <f si="79" t="shared"/>
        <v>0</v>
      </c>
      <c r="AU46" s="77">
        <f si="44" t="shared"/>
        <v>74753</v>
      </c>
      <c r="AW46" s="95">
        <v>13</v>
      </c>
      <c r="AX46" s="15">
        <f ref="AX46:BR46" si="80" t="shared">AX19</f>
        <v>1638</v>
      </c>
      <c r="AY46" s="15">
        <f si="80" t="shared"/>
        <v>1505</v>
      </c>
      <c r="AZ46" s="15">
        <f si="80" t="shared"/>
        <v>462</v>
      </c>
      <c r="BA46" s="15">
        <f si="80" t="shared"/>
        <v>446</v>
      </c>
      <c r="BB46" s="15">
        <f si="80" t="shared"/>
        <v>372</v>
      </c>
      <c r="BC46" s="15">
        <f si="80" t="shared"/>
        <v>2745</v>
      </c>
      <c r="BD46" s="15">
        <f si="80" t="shared"/>
        <v>16455</v>
      </c>
      <c r="BE46" s="15">
        <f si="80" t="shared"/>
        <v>64</v>
      </c>
      <c r="BF46" s="15">
        <f si="80" t="shared"/>
        <v>2057</v>
      </c>
      <c r="BG46" s="15">
        <f si="80" t="shared"/>
        <v>241</v>
      </c>
      <c r="BH46" s="15">
        <f si="80" t="shared"/>
        <v>319</v>
      </c>
      <c r="BI46" s="15">
        <f si="80" t="shared"/>
        <v>11549</v>
      </c>
      <c r="BJ46" s="15">
        <f si="80" t="shared"/>
        <v>32581</v>
      </c>
      <c r="BK46" s="15">
        <f si="80" t="shared"/>
        <v>17</v>
      </c>
      <c r="BL46" s="15">
        <f si="80" t="shared"/>
        <v>2678</v>
      </c>
      <c r="BM46" s="15">
        <f si="80" t="shared"/>
        <v>92</v>
      </c>
      <c r="BN46" s="15">
        <f si="80" t="shared"/>
        <v>44</v>
      </c>
      <c r="BO46" s="15">
        <f si="80" t="shared"/>
        <v>1178</v>
      </c>
      <c r="BP46" s="15">
        <f si="80" t="shared"/>
        <v>232</v>
      </c>
      <c r="BQ46" s="15">
        <f si="80" t="shared"/>
        <v>78</v>
      </c>
      <c r="BR46" s="15">
        <f si="80" t="shared"/>
        <v>0</v>
      </c>
      <c r="BS46" s="15">
        <f si="46" t="shared"/>
        <v>74753</v>
      </c>
    </row>
    <row customFormat="1" r="47" s="95" spans="1:90" x14ac:dyDescent="0.25">
      <c r="A47" s="95">
        <v>14</v>
      </c>
      <c r="B47" s="77">
        <f ref="B47:W47" si="81" t="shared">IF($W20&gt;0,(B20/$W20)*$BS20,0)</f>
        <v>3226.0841302907961</v>
      </c>
      <c r="C47" s="77">
        <f si="81" t="shared"/>
        <v>956.80324504485372</v>
      </c>
      <c r="D47" s="77">
        <f si="81" t="shared"/>
        <v>75.855388271044703</v>
      </c>
      <c r="E47" s="77">
        <f si="81" t="shared"/>
        <v>92.596429840046198</v>
      </c>
      <c r="F47" s="77">
        <f si="81" t="shared"/>
        <v>362.65862796993503</v>
      </c>
      <c r="G47" s="77">
        <f si="81" t="shared"/>
        <v>1473.3333980608725</v>
      </c>
      <c r="H47" s="77">
        <f si="81" t="shared"/>
        <v>520.33914626122657</v>
      </c>
      <c r="I47" s="77">
        <f si="81" t="shared"/>
        <v>50.97643272348958</v>
      </c>
      <c r="J47" s="77">
        <f si="81" t="shared"/>
        <v>631.29814426943324</v>
      </c>
      <c r="K47" s="77">
        <f si="81" t="shared"/>
        <v>281.08404314502411</v>
      </c>
      <c r="L47" s="77">
        <f si="81" t="shared"/>
        <v>1636.7043499054291</v>
      </c>
      <c r="M47" s="77">
        <f si="81" t="shared"/>
        <v>1073.6232863099187</v>
      </c>
      <c r="N47" s="77">
        <f si="81" t="shared"/>
        <v>0</v>
      </c>
      <c r="O47" s="77">
        <f si="81" t="shared"/>
        <v>9324.8800030435505</v>
      </c>
      <c r="P47" s="77">
        <f si="81" t="shared"/>
        <v>0</v>
      </c>
      <c r="Q47" s="77">
        <f si="81" t="shared"/>
        <v>0</v>
      </c>
      <c r="R47" s="77">
        <f si="81" t="shared"/>
        <v>813.45189803060634</v>
      </c>
      <c r="S47" s="77">
        <f si="81" t="shared"/>
        <v>0</v>
      </c>
      <c r="T47" s="77">
        <f si="81" t="shared"/>
        <v>45.311476833774449</v>
      </c>
      <c r="U47" s="77">
        <f si="81" t="shared"/>
        <v>0</v>
      </c>
      <c r="V47" s="77">
        <f si="81" t="shared"/>
        <v>0</v>
      </c>
      <c r="W47" s="77">
        <f si="81" t="shared"/>
        <v>20565</v>
      </c>
      <c r="Y47" s="95">
        <v>14</v>
      </c>
      <c r="Z47" s="77">
        <f ref="Z47:AT47" si="82" t="shared">IF($AU20&gt;0,(Z20/$AU20)*$BS20,0)</f>
        <v>1176.5781691951659</v>
      </c>
      <c r="AA47" s="77">
        <f si="82" t="shared"/>
        <v>1078.750321419388</v>
      </c>
      <c r="AB47" s="77">
        <f si="82" t="shared"/>
        <v>615.16970943687329</v>
      </c>
      <c r="AC47" s="77">
        <f si="82" t="shared"/>
        <v>620.45770120853695</v>
      </c>
      <c r="AD47" s="77">
        <f si="82" t="shared"/>
        <v>428.32733350475695</v>
      </c>
      <c r="AE47" s="77">
        <f si="82" t="shared"/>
        <v>2061.4354589868863</v>
      </c>
      <c r="AF47" s="77">
        <f si="82" t="shared"/>
        <v>805.53741321676512</v>
      </c>
      <c r="AG47" s="77">
        <f si="82" t="shared"/>
        <v>286.43288763178197</v>
      </c>
      <c r="AH47" s="77">
        <f si="82" t="shared"/>
        <v>705.94690151709949</v>
      </c>
      <c r="AI47" s="77">
        <f si="82" t="shared"/>
        <v>300.53419902288505</v>
      </c>
      <c r="AJ47" s="77">
        <f si="82" t="shared"/>
        <v>1982.1155824119312</v>
      </c>
      <c r="AK47" s="77">
        <f si="82" t="shared"/>
        <v>1764.4265878117767</v>
      </c>
      <c r="AL47" s="77">
        <f si="82" t="shared"/>
        <v>393.95538698894319</v>
      </c>
      <c r="AM47" s="77">
        <f si="82" t="shared"/>
        <v>6209.8650038570331</v>
      </c>
      <c r="AN47" s="77">
        <f si="82" t="shared"/>
        <v>210.63833890460273</v>
      </c>
      <c r="AO47" s="77">
        <f si="82" t="shared"/>
        <v>65.218565183851894</v>
      </c>
      <c r="AP47" s="77">
        <f si="82" t="shared"/>
        <v>1071.6996657238365</v>
      </c>
      <c r="AQ47" s="77">
        <f si="82" t="shared"/>
        <v>118.97981486243249</v>
      </c>
      <c r="AR47" s="77">
        <f si="82" t="shared"/>
        <v>525.27384931859092</v>
      </c>
      <c r="AS47" s="77">
        <f si="82" t="shared"/>
        <v>143.65710979686295</v>
      </c>
      <c r="AT47" s="77">
        <f si="82" t="shared"/>
        <v>0</v>
      </c>
      <c r="AU47" s="77">
        <f si="44" t="shared"/>
        <v>20565</v>
      </c>
      <c r="AW47" s="95">
        <v>14</v>
      </c>
      <c r="AX47" s="15">
        <f ref="AX47:BR47" si="83" t="shared">AX20</f>
        <v>1367</v>
      </c>
      <c r="AY47" s="15">
        <f si="83" t="shared"/>
        <v>656</v>
      </c>
      <c r="AZ47" s="15">
        <f si="83" t="shared"/>
        <v>657</v>
      </c>
      <c r="BA47" s="15">
        <f si="83" t="shared"/>
        <v>683</v>
      </c>
      <c r="BB47" s="15">
        <f si="83" t="shared"/>
        <v>484</v>
      </c>
      <c r="BC47" s="15">
        <f si="83" t="shared"/>
        <v>2511</v>
      </c>
      <c r="BD47" s="15">
        <f si="83" t="shared"/>
        <v>283</v>
      </c>
      <c r="BE47" s="15">
        <f si="83" t="shared"/>
        <v>249</v>
      </c>
      <c r="BF47" s="15">
        <f si="83" t="shared"/>
        <v>565</v>
      </c>
      <c r="BG47" s="15">
        <f si="83" t="shared"/>
        <v>333</v>
      </c>
      <c r="BH47" s="15">
        <f si="83" t="shared"/>
        <v>2303</v>
      </c>
      <c r="BI47" s="15">
        <f si="83" t="shared"/>
        <v>1027</v>
      </c>
      <c r="BJ47" s="15">
        <f si="83" t="shared"/>
        <v>36</v>
      </c>
      <c r="BK47" s="15">
        <f si="83" t="shared"/>
        <v>7106</v>
      </c>
      <c r="BL47" s="15">
        <f si="83" t="shared"/>
        <v>56</v>
      </c>
      <c r="BM47" s="15">
        <f si="83" t="shared"/>
        <v>24</v>
      </c>
      <c r="BN47" s="15">
        <f si="83" t="shared"/>
        <v>1452</v>
      </c>
      <c r="BO47" s="15">
        <f si="83" t="shared"/>
        <v>6</v>
      </c>
      <c r="BP47" s="15">
        <f si="83" t="shared"/>
        <v>765</v>
      </c>
      <c r="BQ47" s="15">
        <f si="83" t="shared"/>
        <v>2</v>
      </c>
      <c r="BR47" s="15">
        <f si="83" t="shared"/>
        <v>0</v>
      </c>
      <c r="BS47" s="15">
        <f si="46" t="shared"/>
        <v>20565</v>
      </c>
    </row>
    <row customFormat="1" r="48" s="95" spans="1:90" x14ac:dyDescent="0.25">
      <c r="A48" s="95">
        <v>15</v>
      </c>
      <c r="B48" s="77">
        <f ref="B48:W48" si="84" t="shared">IF($W21&gt;0,(B21/$W21)*$BS21,0)</f>
        <v>1668.477302483956</v>
      </c>
      <c r="C48" s="77">
        <f si="84" t="shared"/>
        <v>2192.266684364507</v>
      </c>
      <c r="D48" s="77">
        <f si="84" t="shared"/>
        <v>804.38282146547203</v>
      </c>
      <c r="E48" s="77">
        <f si="84" t="shared"/>
        <v>490.54815977116647</v>
      </c>
      <c r="F48" s="77">
        <f si="84" t="shared"/>
        <v>295.08458336903323</v>
      </c>
      <c r="G48" s="77">
        <f si="84" t="shared"/>
        <v>1180.1702721547333</v>
      </c>
      <c r="H48" s="77">
        <f si="84" t="shared"/>
        <v>2140.7496239764514</v>
      </c>
      <c r="I48" s="77">
        <f si="84" t="shared"/>
        <v>0</v>
      </c>
      <c r="J48" s="77">
        <f si="84" t="shared"/>
        <v>3931.3174107453074</v>
      </c>
      <c r="K48" s="77">
        <f si="84" t="shared"/>
        <v>350.29317460536328</v>
      </c>
      <c r="L48" s="77">
        <f si="84" t="shared"/>
        <v>601.95936076863154</v>
      </c>
      <c r="M48" s="77">
        <f si="84" t="shared"/>
        <v>910.55796665602259</v>
      </c>
      <c r="N48" s="77">
        <f si="84" t="shared"/>
        <v>3853.3826423462742</v>
      </c>
      <c r="O48" s="77">
        <f si="84" t="shared"/>
        <v>0</v>
      </c>
      <c r="P48" s="77">
        <f si="84" t="shared"/>
        <v>11910.530550187825</v>
      </c>
      <c r="Q48" s="77">
        <f si="84" t="shared"/>
        <v>0</v>
      </c>
      <c r="R48" s="77">
        <f si="84" t="shared"/>
        <v>0</v>
      </c>
      <c r="S48" s="77">
        <f si="84" t="shared"/>
        <v>0</v>
      </c>
      <c r="T48" s="77">
        <f si="84" t="shared"/>
        <v>75.279447105257944</v>
      </c>
      <c r="U48" s="77">
        <f si="84" t="shared"/>
        <v>0</v>
      </c>
      <c r="V48" s="77">
        <f si="84" t="shared"/>
        <v>0</v>
      </c>
      <c r="W48" s="77">
        <f si="84" t="shared"/>
        <v>30405</v>
      </c>
      <c r="Y48" s="95">
        <v>15</v>
      </c>
      <c r="Z48" s="77">
        <f ref="Z48:AT48" si="85" t="shared">IF($AU21&gt;0,(Z21/$AU21)*$BS21,0)</f>
        <v>1191.1255292002552</v>
      </c>
      <c r="AA48" s="77">
        <f si="85" t="shared"/>
        <v>1391.2628312938584</v>
      </c>
      <c r="AB48" s="77">
        <f si="85" t="shared"/>
        <v>436.42275126138139</v>
      </c>
      <c r="AC48" s="77">
        <f si="85" t="shared"/>
        <v>432.01444064257959</v>
      </c>
      <c r="AD48" s="77">
        <f si="85" t="shared"/>
        <v>306.81841906860757</v>
      </c>
      <c r="AE48" s="77">
        <f si="85" t="shared"/>
        <v>2155.6638925940961</v>
      </c>
      <c r="AF48" s="77">
        <f si="85" t="shared"/>
        <v>3121.0839181116976</v>
      </c>
      <c r="AG48" s="77">
        <f si="85" t="shared"/>
        <v>104.91779272748362</v>
      </c>
      <c r="AH48" s="77">
        <f si="85" t="shared"/>
        <v>3065.5392043147945</v>
      </c>
      <c r="AI48" s="77">
        <f si="85" t="shared"/>
        <v>310.34506756364902</v>
      </c>
      <c r="AJ48" s="77">
        <f si="85" t="shared"/>
        <v>999.80484834425567</v>
      </c>
      <c r="AK48" s="77">
        <f si="85" t="shared"/>
        <v>2914.7749811517715</v>
      </c>
      <c r="AL48" s="77">
        <f si="85" t="shared"/>
        <v>2736.6792321521775</v>
      </c>
      <c r="AM48" s="77">
        <f si="85" t="shared"/>
        <v>157.81752015310559</v>
      </c>
      <c r="AN48" s="77">
        <f si="85" t="shared"/>
        <v>9837.5859769181698</v>
      </c>
      <c r="AO48" s="77">
        <f si="85" t="shared"/>
        <v>60.834686539465295</v>
      </c>
      <c r="AP48" s="77">
        <f si="85" t="shared"/>
        <v>147.23757466798122</v>
      </c>
      <c r="AQ48" s="77">
        <f si="85" t="shared"/>
        <v>161.34416864814708</v>
      </c>
      <c r="AR48" s="77">
        <f si="85" t="shared"/>
        <v>751.17612944383234</v>
      </c>
      <c r="AS48" s="77">
        <f si="85" t="shared"/>
        <v>122.55103520269094</v>
      </c>
      <c r="AT48" s="77">
        <f si="85" t="shared"/>
        <v>0</v>
      </c>
      <c r="AU48" s="77">
        <f si="44" t="shared"/>
        <v>30405.000000000004</v>
      </c>
      <c r="AW48" s="95">
        <v>15</v>
      </c>
      <c r="AX48" s="15">
        <f ref="AX48:BR48" si="86" t="shared">AX21</f>
        <v>1191</v>
      </c>
      <c r="AY48" s="15">
        <f si="86" t="shared"/>
        <v>1052</v>
      </c>
      <c r="AZ48" s="15">
        <f si="86" t="shared"/>
        <v>420</v>
      </c>
      <c r="BA48" s="15">
        <f si="86" t="shared"/>
        <v>255</v>
      </c>
      <c r="BB48" s="15">
        <f si="86" t="shared"/>
        <v>247</v>
      </c>
      <c r="BC48" s="15">
        <f si="86" t="shared"/>
        <v>1791</v>
      </c>
      <c r="BD48" s="15">
        <f si="86" t="shared"/>
        <v>2489</v>
      </c>
      <c r="BE48" s="15">
        <f si="86" t="shared"/>
        <v>56</v>
      </c>
      <c r="BF48" s="15">
        <f si="86" t="shared"/>
        <v>3534</v>
      </c>
      <c r="BG48" s="15">
        <f si="86" t="shared"/>
        <v>129</v>
      </c>
      <c r="BH48" s="15">
        <f si="86" t="shared"/>
        <v>756</v>
      </c>
      <c r="BI48" s="15">
        <f si="86" t="shared"/>
        <v>1935</v>
      </c>
      <c r="BJ48" s="15">
        <f si="86" t="shared"/>
        <v>3749</v>
      </c>
      <c r="BK48" s="15">
        <f si="86" t="shared"/>
        <v>51</v>
      </c>
      <c r="BL48" s="15">
        <f si="86" t="shared"/>
        <v>11579</v>
      </c>
      <c r="BM48" s="15">
        <f si="86" t="shared"/>
        <v>14</v>
      </c>
      <c r="BN48" s="15">
        <f si="86" t="shared"/>
        <v>79</v>
      </c>
      <c r="BO48" s="15">
        <f si="86" t="shared"/>
        <v>58</v>
      </c>
      <c r="BP48" s="15">
        <f si="86" t="shared"/>
        <v>1013</v>
      </c>
      <c r="BQ48" s="15">
        <f si="86" t="shared"/>
        <v>7</v>
      </c>
      <c r="BR48" s="15">
        <f si="86" t="shared"/>
        <v>0</v>
      </c>
      <c r="BS48" s="15">
        <f si="46" t="shared"/>
        <v>30405</v>
      </c>
    </row>
    <row customFormat="1" r="49" s="95" spans="1:71" x14ac:dyDescent="0.25">
      <c r="A49" s="95">
        <v>16</v>
      </c>
      <c r="B49" s="77">
        <f ref="B49:W49" si="87" t="shared">IF($W22&gt;0,(B22/$W22)*$BS22,0)</f>
        <v>404.8132460885418</v>
      </c>
      <c r="C49" s="77">
        <f si="87" t="shared"/>
        <v>367.55455237039672</v>
      </c>
      <c r="D49" s="77">
        <f si="87" t="shared"/>
        <v>746.44077868890088</v>
      </c>
      <c r="E49" s="77">
        <f si="87" t="shared"/>
        <v>431.19089613758456</v>
      </c>
      <c r="F49" s="77">
        <f si="87" t="shared"/>
        <v>786.68016028612465</v>
      </c>
      <c r="G49" s="77">
        <f si="87" t="shared"/>
        <v>4167.7123903888823</v>
      </c>
      <c r="H49" s="77">
        <f si="87" t="shared"/>
        <v>531.79913809019195</v>
      </c>
      <c r="I49" s="77">
        <f si="87" t="shared"/>
        <v>1091.7491095019445</v>
      </c>
      <c r="J49" s="77">
        <f si="87" t="shared"/>
        <v>674.09527084102785</v>
      </c>
      <c r="K49" s="77">
        <f si="87" t="shared"/>
        <v>367.55455237039672</v>
      </c>
      <c r="L49" s="77">
        <f si="87" t="shared"/>
        <v>0</v>
      </c>
      <c r="M49" s="77">
        <f si="87" t="shared"/>
        <v>4104.7733858031434</v>
      </c>
      <c r="N49" s="77">
        <f si="87" t="shared"/>
        <v>0</v>
      </c>
      <c r="O49" s="77">
        <f si="87" t="shared"/>
        <v>0</v>
      </c>
      <c r="P49" s="77">
        <f si="87" t="shared"/>
        <v>0</v>
      </c>
      <c r="Q49" s="77">
        <f si="87" t="shared"/>
        <v>145.63651943286604</v>
      </c>
      <c r="R49" s="77">
        <f si="87" t="shared"/>
        <v>0</v>
      </c>
      <c r="S49" s="77">
        <f si="87" t="shared"/>
        <v>0</v>
      </c>
      <c r="T49" s="77">
        <f si="87" t="shared"/>
        <v>0</v>
      </c>
      <c r="U49" s="77">
        <f si="87" t="shared"/>
        <v>0</v>
      </c>
      <c r="V49" s="77">
        <f si="87" t="shared"/>
        <v>0</v>
      </c>
      <c r="W49" s="77">
        <f si="87" t="shared"/>
        <v>13820</v>
      </c>
      <c r="Y49" s="95">
        <v>16</v>
      </c>
      <c r="Z49" s="77">
        <f ref="Z49:AT49" si="88" t="shared">IF($AU22&gt;0,(Z22/$AU22)*$BS22,0)</f>
        <v>1040.1769457622772</v>
      </c>
      <c r="AA49" s="77">
        <f si="88" t="shared"/>
        <v>594.51339915373774</v>
      </c>
      <c r="AB49" s="77">
        <f si="88" t="shared"/>
        <v>246.31106552122066</v>
      </c>
      <c r="AC49" s="77">
        <f si="88" t="shared"/>
        <v>347.31632260546223</v>
      </c>
      <c r="AD49" s="77">
        <f si="88" t="shared"/>
        <v>479.33196563662005</v>
      </c>
      <c r="AE49" s="77">
        <f si="88" t="shared"/>
        <v>2837.8933196563662</v>
      </c>
      <c r="AF49" s="77">
        <f si="88" t="shared"/>
        <v>528.94858315168619</v>
      </c>
      <c r="AG49" s="77">
        <f si="88" t="shared"/>
        <v>79.740992434927549</v>
      </c>
      <c r="AH49" s="77">
        <f si="88" t="shared"/>
        <v>421.7412488780613</v>
      </c>
      <c r="AI49" s="77">
        <f si="88" t="shared"/>
        <v>826.64828824208234</v>
      </c>
      <c r="AJ49" s="77">
        <f si="88" t="shared"/>
        <v>268.46134119758943</v>
      </c>
      <c r="AK49" s="77">
        <f si="88" t="shared"/>
        <v>4381.3245287857417</v>
      </c>
      <c r="AL49" s="77">
        <f si="88" t="shared"/>
        <v>344.65828952429797</v>
      </c>
      <c r="AM49" s="77">
        <f si="88" t="shared"/>
        <v>50.502628542120782</v>
      </c>
      <c r="AN49" s="77">
        <f si="88" t="shared"/>
        <v>94.803179894858317</v>
      </c>
      <c r="AO49" s="77">
        <f si="88" t="shared"/>
        <v>788.54981407872799</v>
      </c>
      <c r="AP49" s="77">
        <f si="88" t="shared"/>
        <v>26.580330811642519</v>
      </c>
      <c r="AQ49" s="77">
        <f si="88" t="shared"/>
        <v>266.68931914347991</v>
      </c>
      <c r="AR49" s="77">
        <f si="88" t="shared"/>
        <v>76.196948326708551</v>
      </c>
      <c r="AS49" s="77">
        <f si="88" t="shared"/>
        <v>119.61148865239132</v>
      </c>
      <c r="AT49" s="77">
        <f si="88" t="shared"/>
        <v>0</v>
      </c>
      <c r="AU49" s="77">
        <f si="44" t="shared"/>
        <v>13819.999999999998</v>
      </c>
      <c r="AW49" s="95">
        <v>16</v>
      </c>
      <c r="AX49" s="15">
        <f ref="AX49:BR49" si="89" t="shared">AX22</f>
        <v>1112</v>
      </c>
      <c r="AY49" s="15">
        <f si="89" t="shared"/>
        <v>498</v>
      </c>
      <c r="AZ49" s="15">
        <f si="89" t="shared"/>
        <v>204</v>
      </c>
      <c r="BA49" s="15">
        <f si="89" t="shared"/>
        <v>380</v>
      </c>
      <c r="BB49" s="15">
        <f si="89" t="shared"/>
        <v>543</v>
      </c>
      <c r="BC49" s="15">
        <f si="89" t="shared"/>
        <v>2886</v>
      </c>
      <c r="BD49" s="15">
        <f si="89" t="shared"/>
        <v>312</v>
      </c>
      <c r="BE49" s="15">
        <f si="89" t="shared"/>
        <v>107</v>
      </c>
      <c r="BF49" s="15">
        <f si="89" t="shared"/>
        <v>216</v>
      </c>
      <c r="BG49" s="15">
        <f si="89" t="shared"/>
        <v>957</v>
      </c>
      <c r="BH49" s="15">
        <f si="89" t="shared"/>
        <v>151</v>
      </c>
      <c r="BI49" s="15">
        <f si="89" t="shared"/>
        <v>5010</v>
      </c>
      <c r="BJ49" s="15">
        <f si="89" t="shared"/>
        <v>88</v>
      </c>
      <c r="BK49" s="15">
        <f si="89" t="shared"/>
        <v>30</v>
      </c>
      <c r="BL49" s="15">
        <f si="89" t="shared"/>
        <v>20</v>
      </c>
      <c r="BM49" s="15">
        <f si="89" t="shared"/>
        <v>962</v>
      </c>
      <c r="BN49" s="15">
        <f si="89" t="shared"/>
        <v>10</v>
      </c>
      <c r="BO49" s="15">
        <f si="89" t="shared"/>
        <v>197</v>
      </c>
      <c r="BP49" s="15">
        <f si="89" t="shared"/>
        <v>34</v>
      </c>
      <c r="BQ49" s="15">
        <f si="89" t="shared"/>
        <v>103</v>
      </c>
      <c r="BR49" s="15">
        <f si="89" t="shared"/>
        <v>0</v>
      </c>
      <c r="BS49" s="15">
        <f si="46" t="shared"/>
        <v>13820</v>
      </c>
    </row>
    <row customFormat="1" r="50" s="95" spans="1:71" x14ac:dyDescent="0.25">
      <c r="A50" s="95">
        <v>17</v>
      </c>
      <c r="B50" s="77">
        <f ref="B50:W50" si="90" t="shared">IF($W23&gt;0,(B23/$W23)*$BS23,0)</f>
        <v>1343.1721710233608</v>
      </c>
      <c r="C50" s="77">
        <f si="90" t="shared"/>
        <v>1360.3953245671751</v>
      </c>
      <c r="D50" s="77">
        <f si="90" t="shared"/>
        <v>489.01255291117104</v>
      </c>
      <c r="E50" s="77">
        <f si="90" t="shared"/>
        <v>1054.8224234777592</v>
      </c>
      <c r="F50" s="77">
        <f si="90" t="shared"/>
        <v>440.67064862867591</v>
      </c>
      <c r="G50" s="77">
        <f si="90" t="shared"/>
        <v>581.46307334895494</v>
      </c>
      <c r="H50" s="77">
        <f si="90" t="shared"/>
        <v>1126.9340032753037</v>
      </c>
      <c r="I50" s="77">
        <f si="90" t="shared"/>
        <v>0</v>
      </c>
      <c r="J50" s="77">
        <f si="90" t="shared"/>
        <v>344.36827106748609</v>
      </c>
      <c r="K50" s="77">
        <f si="90" t="shared"/>
        <v>0</v>
      </c>
      <c r="L50" s="77">
        <f si="90" t="shared"/>
        <v>4845.8794056172592</v>
      </c>
      <c r="M50" s="77">
        <f si="90" t="shared"/>
        <v>925.32664429535293</v>
      </c>
      <c r="N50" s="77">
        <f si="90" t="shared"/>
        <v>0</v>
      </c>
      <c r="O50" s="77">
        <f si="90" t="shared"/>
        <v>843.86439800706682</v>
      </c>
      <c r="P50" s="77">
        <f si="90" t="shared"/>
        <v>81.917706628954633</v>
      </c>
      <c r="Q50" s="77">
        <f si="90" t="shared"/>
        <v>0</v>
      </c>
      <c r="R50" s="77">
        <f si="90" t="shared"/>
        <v>4017.6046992348988</v>
      </c>
      <c r="S50" s="77">
        <f si="90" t="shared"/>
        <v>0</v>
      </c>
      <c r="T50" s="77">
        <f si="90" t="shared"/>
        <v>828.56867791658442</v>
      </c>
      <c r="U50" s="77">
        <f si="90" t="shared"/>
        <v>0</v>
      </c>
      <c r="V50" s="77">
        <f si="90" t="shared"/>
        <v>0</v>
      </c>
      <c r="W50" s="77">
        <f si="90" t="shared"/>
        <v>18284</v>
      </c>
      <c r="Y50" s="95">
        <v>17</v>
      </c>
      <c r="Z50" s="77">
        <f ref="Z50:AT50" si="91" t="shared">IF($AU23&gt;0,(Z23/$AU23)*$BS23,0)</f>
        <v>1003.9778926359961</v>
      </c>
      <c r="AA50" s="77">
        <f si="91" t="shared"/>
        <v>933.80236425976148</v>
      </c>
      <c r="AB50" s="77">
        <f si="91" t="shared"/>
        <v>506.19947802057209</v>
      </c>
      <c r="AC50" s="77">
        <f si="91" t="shared"/>
        <v>537.07671050611532</v>
      </c>
      <c r="AD50" s="77">
        <f si="91" t="shared"/>
        <v>319.06473568394654</v>
      </c>
      <c r="AE50" s="77">
        <f si="91" t="shared"/>
        <v>1783.3940944680417</v>
      </c>
      <c r="AF50" s="77">
        <f si="91" t="shared"/>
        <v>737.31088480630467</v>
      </c>
      <c r="AG50" s="77">
        <f si="91" t="shared"/>
        <v>190.87743718335807</v>
      </c>
      <c r="AH50" s="77">
        <f si="91" t="shared"/>
        <v>742.92492707640349</v>
      </c>
      <c r="AI50" s="77">
        <f si="91" t="shared"/>
        <v>232.9827542090988</v>
      </c>
      <c r="AJ50" s="77">
        <f si="91" t="shared"/>
        <v>3039.0682155467994</v>
      </c>
      <c r="AK50" s="77">
        <f si="91" t="shared"/>
        <v>1427.8380840284531</v>
      </c>
      <c r="AL50" s="77">
        <f si="91" t="shared"/>
        <v>315.32204083721405</v>
      </c>
      <c r="AM50" s="77">
        <f si="91" t="shared"/>
        <v>1412.8673046415231</v>
      </c>
      <c r="AN50" s="77">
        <f si="91" t="shared"/>
        <v>284.44480835167082</v>
      </c>
      <c r="AO50" s="77">
        <f si="91" t="shared"/>
        <v>65.49715981781894</v>
      </c>
      <c r="AP50" s="77">
        <f si="91" t="shared"/>
        <v>2660.1203623151323</v>
      </c>
      <c r="AQ50" s="77">
        <f si="91" t="shared"/>
        <v>81.403612916432124</v>
      </c>
      <c r="AR50" s="77">
        <f si="91" t="shared"/>
        <v>1932.1662146256588</v>
      </c>
      <c r="AS50" s="77">
        <f si="91" t="shared"/>
        <v>77.660918069699605</v>
      </c>
      <c r="AT50" s="77">
        <f si="91" t="shared"/>
        <v>0</v>
      </c>
      <c r="AU50" s="77">
        <f si="44" t="shared"/>
        <v>18284</v>
      </c>
      <c r="AW50" s="95">
        <v>17</v>
      </c>
      <c r="AX50" s="15">
        <f ref="AX50:BR50" si="92" t="shared">AX23</f>
        <v>1037</v>
      </c>
      <c r="AY50" s="15">
        <f si="92" t="shared"/>
        <v>541</v>
      </c>
      <c r="AZ50" s="15">
        <f si="92" t="shared"/>
        <v>616</v>
      </c>
      <c r="BA50" s="15">
        <f si="92" t="shared"/>
        <v>447</v>
      </c>
      <c r="BB50" s="15">
        <f si="92" t="shared"/>
        <v>342</v>
      </c>
      <c r="BC50" s="15">
        <f si="92" t="shared"/>
        <v>1624</v>
      </c>
      <c r="BD50" s="15">
        <f si="92" t="shared"/>
        <v>280</v>
      </c>
      <c r="BE50" s="15">
        <f si="92" t="shared"/>
        <v>111</v>
      </c>
      <c r="BF50" s="15">
        <f si="92" t="shared"/>
        <v>588</v>
      </c>
      <c r="BG50" s="15">
        <f si="92" t="shared"/>
        <v>163</v>
      </c>
      <c r="BH50" s="15">
        <f si="92" t="shared"/>
        <v>3276</v>
      </c>
      <c r="BI50" s="15">
        <f si="92" t="shared"/>
        <v>775</v>
      </c>
      <c r="BJ50" s="15">
        <f si="92" t="shared"/>
        <v>31</v>
      </c>
      <c r="BK50" s="15">
        <f si="92" t="shared"/>
        <v>1892</v>
      </c>
      <c r="BL50" s="15">
        <f si="92" t="shared"/>
        <v>175</v>
      </c>
      <c r="BM50" s="15">
        <f si="92" t="shared"/>
        <v>9</v>
      </c>
      <c r="BN50" s="15">
        <f si="92" t="shared"/>
        <v>3501</v>
      </c>
      <c r="BO50" s="15">
        <f si="92" t="shared"/>
        <v>8</v>
      </c>
      <c r="BP50" s="15">
        <f si="92" t="shared"/>
        <v>2863</v>
      </c>
      <c r="BQ50" s="15">
        <f si="92" t="shared"/>
        <v>5</v>
      </c>
      <c r="BR50" s="15">
        <f si="92" t="shared"/>
        <v>0</v>
      </c>
      <c r="BS50" s="15">
        <f si="46" t="shared"/>
        <v>18284</v>
      </c>
    </row>
    <row customFormat="1" r="51" s="95" spans="1:71" x14ac:dyDescent="0.25">
      <c r="A51" s="95">
        <v>18</v>
      </c>
      <c r="B51" s="77">
        <f ref="B51:W51" si="93" t="shared">IF($W24&gt;0,(B24/$W24)*$BS24,0)</f>
        <v>2528.7106621813678</v>
      </c>
      <c r="C51" s="77">
        <f si="93" t="shared"/>
        <v>892.05083788265347</v>
      </c>
      <c r="D51" s="77">
        <f si="93" t="shared"/>
        <v>239.42277449035981</v>
      </c>
      <c r="E51" s="77">
        <f si="93" t="shared"/>
        <v>953.92327057795035</v>
      </c>
      <c r="F51" s="77">
        <f si="93" t="shared"/>
        <v>545.18937593182716</v>
      </c>
      <c r="G51" s="77">
        <f si="93" t="shared"/>
        <v>2095.6472738708339</v>
      </c>
      <c r="H51" s="77">
        <f si="93" t="shared"/>
        <v>2719.636134617856</v>
      </c>
      <c r="I51" s="77">
        <f si="93" t="shared"/>
        <v>0</v>
      </c>
      <c r="J51" s="77">
        <f si="93" t="shared"/>
        <v>0</v>
      </c>
      <c r="K51" s="77">
        <f si="93" t="shared"/>
        <v>0</v>
      </c>
      <c r="L51" s="77">
        <f si="93" t="shared"/>
        <v>0</v>
      </c>
      <c r="M51" s="77">
        <f si="93" t="shared"/>
        <v>14964.648597533185</v>
      </c>
      <c r="N51" s="77">
        <f si="93" t="shared"/>
        <v>6709.1473974405326</v>
      </c>
      <c r="O51" s="77">
        <f si="93" t="shared"/>
        <v>0</v>
      </c>
      <c r="P51" s="77">
        <f si="93" t="shared"/>
        <v>0</v>
      </c>
      <c r="Q51" s="77">
        <f si="93" t="shared"/>
        <v>0</v>
      </c>
      <c r="R51" s="77">
        <f si="93" t="shared"/>
        <v>0</v>
      </c>
      <c r="S51" s="77">
        <f si="93" t="shared"/>
        <v>2666.7836691961761</v>
      </c>
      <c r="T51" s="77">
        <f si="93" t="shared"/>
        <v>0</v>
      </c>
      <c r="U51" s="77">
        <f si="93" t="shared"/>
        <v>296.8400062772605</v>
      </c>
      <c r="V51" s="77">
        <f si="93" t="shared"/>
        <v>0</v>
      </c>
      <c r="W51" s="77">
        <f si="93" t="shared"/>
        <v>34612</v>
      </c>
      <c r="Y51" s="95">
        <v>18</v>
      </c>
      <c r="Z51" s="77">
        <f ref="Z51:AT51" si="94" t="shared">IF($AU24&gt;0,(Z24/$AU24)*$BS24,0)</f>
        <v>1358.0683105631458</v>
      </c>
      <c r="AA51" s="77">
        <f si="94" t="shared"/>
        <v>969.77418638231711</v>
      </c>
      <c r="AB51" s="77">
        <f si="94" t="shared"/>
        <v>333.51005220482057</v>
      </c>
      <c r="AC51" s="77">
        <f si="94" t="shared"/>
        <v>431.54470731978228</v>
      </c>
      <c r="AD51" s="77">
        <f si="94" t="shared"/>
        <v>346.96578918138397</v>
      </c>
      <c r="AE51" s="77">
        <f si="94" t="shared"/>
        <v>2923.7394201932689</v>
      </c>
      <c r="AF51" s="77">
        <f si="94" t="shared"/>
        <v>2989.0958569365766</v>
      </c>
      <c r="AG51" s="77">
        <f si="94" t="shared"/>
        <v>85.54004220815284</v>
      </c>
      <c r="AH51" s="77">
        <f si="94" t="shared"/>
        <v>1011.1025213817616</v>
      </c>
      <c r="AI51" s="77">
        <f si="94" t="shared"/>
        <v>470.95079417971789</v>
      </c>
      <c r="AJ51" s="77">
        <f si="94" t="shared"/>
        <v>442.11707208708208</v>
      </c>
      <c r="AK51" s="77">
        <f si="94" t="shared"/>
        <v>13775.791291791626</v>
      </c>
      <c r="AL51" s="77">
        <f si="94" t="shared"/>
        <v>3939.6475619238031</v>
      </c>
      <c r="AM51" s="77">
        <f si="94" t="shared"/>
        <v>61.51194046428968</v>
      </c>
      <c r="AN51" s="77">
        <f si="94" t="shared"/>
        <v>348.88803732089303</v>
      </c>
      <c r="AO51" s="77">
        <f si="94" t="shared"/>
        <v>161.46884371876041</v>
      </c>
      <c r="AP51" s="77">
        <f si="94" t="shared"/>
        <v>53.822947906253475</v>
      </c>
      <c r="AQ51" s="77">
        <f si="94" t="shared"/>
        <v>3338.9450183272247</v>
      </c>
      <c r="AR51" s="77">
        <f si="94" t="shared"/>
        <v>126.86837720759748</v>
      </c>
      <c r="AS51" s="77">
        <f si="94" t="shared"/>
        <v>1442.6472287015438</v>
      </c>
      <c r="AT51" s="77">
        <f si="94" t="shared"/>
        <v>0</v>
      </c>
      <c r="AU51" s="77">
        <f si="44" t="shared"/>
        <v>34612</v>
      </c>
      <c r="AW51" s="95">
        <v>18</v>
      </c>
      <c r="AX51" s="15">
        <f ref="AX51:BR51" si="95" t="shared">AX24</f>
        <v>833</v>
      </c>
      <c r="AY51" s="15">
        <f si="95" t="shared"/>
        <v>521</v>
      </c>
      <c r="AZ51" s="15">
        <f si="95" t="shared"/>
        <v>158</v>
      </c>
      <c r="BA51" s="15">
        <f si="95" t="shared"/>
        <v>220</v>
      </c>
      <c r="BB51" s="15">
        <f si="95" t="shared"/>
        <v>234</v>
      </c>
      <c r="BC51" s="15">
        <f si="95" t="shared"/>
        <v>1739</v>
      </c>
      <c r="BD51" s="15">
        <f si="95" t="shared"/>
        <v>1997</v>
      </c>
      <c r="BE51" s="15">
        <f si="95" t="shared"/>
        <v>51</v>
      </c>
      <c r="BF51" s="15">
        <f si="95" t="shared"/>
        <v>320</v>
      </c>
      <c r="BG51" s="15">
        <f si="95" t="shared"/>
        <v>308</v>
      </c>
      <c r="BH51" s="15">
        <f si="95" t="shared"/>
        <v>97</v>
      </c>
      <c r="BI51" s="15">
        <f si="95" t="shared"/>
        <v>16283</v>
      </c>
      <c r="BJ51" s="15">
        <f si="95" t="shared"/>
        <v>5066</v>
      </c>
      <c r="BK51" s="15">
        <f si="95" t="shared"/>
        <v>7</v>
      </c>
      <c r="BL51" s="15">
        <f si="95" t="shared"/>
        <v>180</v>
      </c>
      <c r="BM51" s="15">
        <f si="95" t="shared"/>
        <v>227</v>
      </c>
      <c r="BN51" s="15">
        <f si="95" t="shared"/>
        <v>11</v>
      </c>
      <c r="BO51" s="15">
        <f si="95" t="shared"/>
        <v>5087</v>
      </c>
      <c r="BP51" s="15">
        <f si="95" t="shared"/>
        <v>46</v>
      </c>
      <c r="BQ51" s="15">
        <f si="95" t="shared"/>
        <v>1227</v>
      </c>
      <c r="BR51" s="15">
        <f si="95" t="shared"/>
        <v>0</v>
      </c>
      <c r="BS51" s="15">
        <f si="46" t="shared"/>
        <v>34612</v>
      </c>
    </row>
    <row customFormat="1" r="52" s="95" spans="1:71" x14ac:dyDescent="0.25">
      <c r="A52" s="95">
        <v>19</v>
      </c>
      <c r="B52" s="77">
        <f ref="B52:W52" si="96" t="shared">IF($W25&gt;0,(B25/$W25)*$BS25,0)</f>
        <v>2328.9621826099647</v>
      </c>
      <c r="C52" s="77">
        <f si="96" t="shared"/>
        <v>738.93676339356762</v>
      </c>
      <c r="D52" s="77">
        <f si="96" t="shared"/>
        <v>741.00657469014993</v>
      </c>
      <c r="E52" s="77">
        <f si="96" t="shared"/>
        <v>1001.1303802138191</v>
      </c>
      <c r="F52" s="77">
        <f si="96" t="shared"/>
        <v>848.37820596174925</v>
      </c>
      <c r="G52" s="77">
        <f si="96" t="shared"/>
        <v>2091.5695424678051</v>
      </c>
      <c r="H52" s="77">
        <f si="96" t="shared"/>
        <v>1824.2210161512751</v>
      </c>
      <c r="I52" s="77">
        <f si="96" t="shared"/>
        <v>256.04311609207008</v>
      </c>
      <c r="J52" s="77">
        <f si="96" t="shared"/>
        <v>2115.508214209678</v>
      </c>
      <c r="K52" s="77">
        <f si="96" t="shared"/>
        <v>0</v>
      </c>
      <c r="L52" s="77">
        <f si="96" t="shared"/>
        <v>8204.848496189672</v>
      </c>
      <c r="M52" s="77">
        <f si="96" t="shared"/>
        <v>474.95175085786252</v>
      </c>
      <c r="N52" s="77">
        <f si="96" t="shared"/>
        <v>0</v>
      </c>
      <c r="O52" s="77">
        <f si="96" t="shared"/>
        <v>961.49521095002922</v>
      </c>
      <c r="P52" s="77">
        <f si="96" t="shared"/>
        <v>827.77332047756431</v>
      </c>
      <c r="Q52" s="77">
        <f si="96" t="shared"/>
        <v>0</v>
      </c>
      <c r="R52" s="77">
        <f si="96" t="shared"/>
        <v>2277.249868087747</v>
      </c>
      <c r="S52" s="77">
        <f si="96" t="shared"/>
        <v>0</v>
      </c>
      <c r="T52" s="77">
        <f si="96" t="shared"/>
        <v>11265.925357647053</v>
      </c>
      <c r="U52" s="77">
        <f si="96" t="shared"/>
        <v>0</v>
      </c>
      <c r="V52" s="77">
        <f si="96" t="shared"/>
        <v>0</v>
      </c>
      <c r="W52" s="77">
        <f si="96" t="shared"/>
        <v>35958</v>
      </c>
      <c r="Y52" s="95">
        <v>19</v>
      </c>
      <c r="Z52" s="77">
        <f ref="Z52:AT52" si="97" t="shared">IF($AU25&gt;0,(Z25/$AU25)*$BS25,0)</f>
        <v>1474.8996742671009</v>
      </c>
      <c r="AA52" s="77">
        <f si="97" t="shared"/>
        <v>1343.3570032573291</v>
      </c>
      <c r="AB52" s="77">
        <f si="97" t="shared"/>
        <v>715.37589576547236</v>
      </c>
      <c r="AC52" s="77">
        <f si="97" t="shared"/>
        <v>751.41498371335513</v>
      </c>
      <c r="AD52" s="77">
        <f si="97" t="shared"/>
        <v>451.38957654723123</v>
      </c>
      <c r="AE52" s="77">
        <f si="97" t="shared"/>
        <v>2710.1394136807817</v>
      </c>
      <c r="AF52" s="77">
        <f si="97" t="shared"/>
        <v>1365.8814332247557</v>
      </c>
      <c r="AG52" s="77">
        <f si="97" t="shared"/>
        <v>198.21498371335505</v>
      </c>
      <c r="AH52" s="77">
        <f si="97" t="shared"/>
        <v>1649.6892508143321</v>
      </c>
      <c r="AI52" s="77">
        <f si="97" t="shared"/>
        <v>340.56938110749184</v>
      </c>
      <c r="AJ52" s="77">
        <f si="97" t="shared"/>
        <v>5326.5771986970685</v>
      </c>
      <c r="AK52" s="77">
        <f si="97" t="shared"/>
        <v>2875.0182410423454</v>
      </c>
      <c r="AL52" s="77">
        <f si="97" t="shared"/>
        <v>666.72312703583054</v>
      </c>
      <c r="AM52" s="77">
        <f si="97" t="shared"/>
        <v>631.58501628664499</v>
      </c>
      <c r="AN52" s="77">
        <f si="97" t="shared"/>
        <v>1332.5452768729642</v>
      </c>
      <c r="AO52" s="77">
        <f si="97" t="shared"/>
        <v>81.087947882736159</v>
      </c>
      <c r="AP52" s="77">
        <f si="97" t="shared"/>
        <v>2747.9804560260586</v>
      </c>
      <c r="AQ52" s="77">
        <f si="97" t="shared"/>
        <v>156.77003257328991</v>
      </c>
      <c r="AR52" s="77">
        <f si="97" t="shared"/>
        <v>11020.75309446254</v>
      </c>
      <c r="AS52" s="77">
        <f si="97" t="shared"/>
        <v>118.02801302931597</v>
      </c>
      <c r="AT52" s="77">
        <f si="97" t="shared"/>
        <v>0</v>
      </c>
      <c r="AU52" s="77">
        <f si="44" t="shared"/>
        <v>35958.000000000007</v>
      </c>
      <c r="AW52" s="95">
        <v>19</v>
      </c>
      <c r="AX52" s="15">
        <f ref="AX52:BR52" si="98" t="shared">AX25</f>
        <v>1696</v>
      </c>
      <c r="AY52" s="15">
        <f si="98" t="shared"/>
        <v>952</v>
      </c>
      <c r="AZ52" s="15">
        <f si="98" t="shared"/>
        <v>856</v>
      </c>
      <c r="BA52" s="15">
        <f si="98" t="shared"/>
        <v>672</v>
      </c>
      <c r="BB52" s="15">
        <f si="98" t="shared"/>
        <v>442</v>
      </c>
      <c r="BC52" s="15">
        <f si="98" t="shared"/>
        <v>2532</v>
      </c>
      <c r="BD52" s="15">
        <f si="98" t="shared"/>
        <v>544</v>
      </c>
      <c r="BE52" s="15">
        <f si="98" t="shared"/>
        <v>120</v>
      </c>
      <c r="BF52" s="15">
        <f si="98" t="shared"/>
        <v>1499</v>
      </c>
      <c r="BG52" s="15">
        <f si="98" t="shared"/>
        <v>241</v>
      </c>
      <c r="BH52" s="15">
        <f si="98" t="shared"/>
        <v>6801</v>
      </c>
      <c r="BI52" s="15">
        <f si="98" t="shared"/>
        <v>1224</v>
      </c>
      <c r="BJ52" s="15">
        <f si="98" t="shared"/>
        <v>220</v>
      </c>
      <c r="BK52" s="15">
        <f si="98" t="shared"/>
        <v>741</v>
      </c>
      <c r="BL52" s="15">
        <f si="98" t="shared"/>
        <v>1978</v>
      </c>
      <c r="BM52" s="15">
        <f si="98" t="shared"/>
        <v>21</v>
      </c>
      <c r="BN52" s="15">
        <f si="98" t="shared"/>
        <v>2627</v>
      </c>
      <c r="BO52" s="15">
        <f si="98" t="shared"/>
        <v>11</v>
      </c>
      <c r="BP52" s="15">
        <f si="98" t="shared"/>
        <v>12777</v>
      </c>
      <c r="BQ52" s="15">
        <f si="98" t="shared"/>
        <v>4</v>
      </c>
      <c r="BR52" s="15">
        <f si="98" t="shared"/>
        <v>0</v>
      </c>
      <c r="BS52" s="15">
        <f si="46" t="shared"/>
        <v>35958</v>
      </c>
    </row>
    <row customFormat="1" r="53" s="95" spans="1:71" x14ac:dyDescent="0.25">
      <c r="A53" s="95">
        <v>20</v>
      </c>
      <c r="B53" s="58">
        <f ref="B53:W53" si="99" t="shared">IF($W26&gt;0,(B26/$W26)*$BS26,0)</f>
        <v>595.78122292488251</v>
      </c>
      <c r="C53" s="58">
        <f si="99" t="shared"/>
        <v>312.7980890625314</v>
      </c>
      <c r="D53" s="58">
        <f si="99" t="shared"/>
        <v>312.7980890625314</v>
      </c>
      <c r="E53" s="58">
        <f si="99" t="shared"/>
        <v>419.02284102939507</v>
      </c>
      <c r="F53" s="58">
        <f si="99" t="shared"/>
        <v>59.49287573945599</v>
      </c>
      <c r="G53" s="58">
        <f si="99" t="shared"/>
        <v>621.93267076660732</v>
      </c>
      <c r="H53" s="58">
        <f si="99" t="shared"/>
        <v>1434.3918682200308</v>
      </c>
      <c r="I53" s="58">
        <f si="99" t="shared"/>
        <v>0</v>
      </c>
      <c r="J53" s="58">
        <f si="99" t="shared"/>
        <v>0</v>
      </c>
      <c r="K53" s="58">
        <f si="99" t="shared"/>
        <v>123.88822489724289</v>
      </c>
      <c r="L53" s="58">
        <f si="99" t="shared"/>
        <v>90.765643384519834</v>
      </c>
      <c r="M53" s="58">
        <f si="99" t="shared"/>
        <v>5128.7836044228461</v>
      </c>
      <c r="N53" s="58">
        <f si="99" t="shared"/>
        <v>41.907996634386578</v>
      </c>
      <c r="O53" s="58">
        <f si="99" t="shared"/>
        <v>0</v>
      </c>
      <c r="P53" s="58">
        <f si="99" t="shared"/>
        <v>0</v>
      </c>
      <c r="Q53" s="58">
        <f si="99" t="shared"/>
        <v>0</v>
      </c>
      <c r="R53" s="58">
        <f si="99" t="shared"/>
        <v>0</v>
      </c>
      <c r="S53" s="58">
        <f si="99" t="shared"/>
        <v>2997.9758940454358</v>
      </c>
      <c r="T53" s="58">
        <f si="99" t="shared"/>
        <v>0</v>
      </c>
      <c r="U53" s="58">
        <f si="99" t="shared"/>
        <v>13398.460979810134</v>
      </c>
      <c r="V53" s="58">
        <f si="99" t="shared"/>
        <v>0</v>
      </c>
      <c r="W53" s="77">
        <f si="99" t="shared"/>
        <v>25538</v>
      </c>
      <c r="Y53" s="95">
        <v>20</v>
      </c>
      <c r="Z53" s="58">
        <f ref="Z53:AT53" si="100" t="shared">IF($AU26&gt;0,(Z26/$AU26)*$BS26,0)</f>
        <v>651.08024519364722</v>
      </c>
      <c r="AA53" s="58">
        <f si="100" t="shared"/>
        <v>570.13994148787958</v>
      </c>
      <c r="AB53" s="58">
        <f si="100" t="shared"/>
        <v>206.35330175536362</v>
      </c>
      <c r="AC53" s="58">
        <f si="100" t="shared"/>
        <v>226.81074115352465</v>
      </c>
      <c r="AD53" s="58">
        <f si="100" t="shared"/>
        <v>185.00640847032599</v>
      </c>
      <c r="AE53" s="58">
        <f si="100" t="shared"/>
        <v>1055.7817637224853</v>
      </c>
      <c r="AF53" s="58">
        <f si="100" t="shared"/>
        <v>1194.53657007523</v>
      </c>
      <c r="AG53" s="58">
        <f si="100" t="shared"/>
        <v>76.493034271384786</v>
      </c>
      <c r="AH53" s="58">
        <f si="100" t="shared"/>
        <v>617.28099749233775</v>
      </c>
      <c r="AI53" s="58">
        <f si="100" t="shared"/>
        <v>249.04708832543886</v>
      </c>
      <c r="AJ53" s="58">
        <f si="100" t="shared"/>
        <v>255.27326553357483</v>
      </c>
      <c r="AK53" s="58">
        <f si="100" t="shared"/>
        <v>5528.8453608247428</v>
      </c>
      <c r="AL53" s="58">
        <f si="100" t="shared"/>
        <v>976.62036779047094</v>
      </c>
      <c r="AM53" s="58">
        <f si="100" t="shared"/>
        <v>103.17665087768181</v>
      </c>
      <c r="AN53" s="58">
        <f si="100" t="shared"/>
        <v>194.79040122596822</v>
      </c>
      <c r="AO53" s="58">
        <f si="100" t="shared"/>
        <v>75.60358038450822</v>
      </c>
      <c r="AP53" s="58">
        <f si="100" t="shared"/>
        <v>32.020339927556421</v>
      </c>
      <c r="AQ53" s="58">
        <f si="100" t="shared"/>
        <v>3536.4686542212312</v>
      </c>
      <c r="AR53" s="58">
        <f si="100" t="shared"/>
        <v>124.52354416271943</v>
      </c>
      <c r="AS53" s="58">
        <f si="100" t="shared"/>
        <v>9678.1477431039293</v>
      </c>
      <c r="AT53" s="58">
        <f si="100" t="shared"/>
        <v>0</v>
      </c>
      <c r="AU53" s="77">
        <f si="44" t="shared"/>
        <v>25538</v>
      </c>
      <c r="AW53" s="95">
        <v>20</v>
      </c>
      <c r="AX53" s="15">
        <f ref="AX53:BR53" si="101" t="shared">AX26</f>
        <v>257</v>
      </c>
      <c r="AY53" s="15">
        <f si="101" t="shared"/>
        <v>140</v>
      </c>
      <c r="AZ53" s="15">
        <f si="101" t="shared"/>
        <v>50</v>
      </c>
      <c r="BA53" s="15">
        <f si="101" t="shared"/>
        <v>73</v>
      </c>
      <c r="BB53" s="15">
        <f si="101" t="shared"/>
        <v>91</v>
      </c>
      <c r="BC53" s="15">
        <f si="101" t="shared"/>
        <v>595</v>
      </c>
      <c r="BD53" s="15">
        <f si="101" t="shared"/>
        <v>323</v>
      </c>
      <c r="BE53" s="15">
        <f si="101" t="shared"/>
        <v>23</v>
      </c>
      <c r="BF53" s="15">
        <f si="101" t="shared"/>
        <v>95</v>
      </c>
      <c r="BG53" s="15">
        <f si="101" t="shared"/>
        <v>146</v>
      </c>
      <c r="BH53" s="15">
        <f si="101" t="shared"/>
        <v>32</v>
      </c>
      <c r="BI53" s="15">
        <f si="101" t="shared"/>
        <v>5965</v>
      </c>
      <c r="BJ53" s="15">
        <f si="101" t="shared"/>
        <v>390</v>
      </c>
      <c r="BK53" s="15">
        <f si="101" t="shared"/>
        <v>3</v>
      </c>
      <c r="BL53" s="15">
        <f si="101" t="shared"/>
        <v>13</v>
      </c>
      <c r="BM53" s="15">
        <f si="101" t="shared"/>
        <v>187</v>
      </c>
      <c r="BN53" s="15">
        <f si="101" t="shared"/>
        <v>5</v>
      </c>
      <c r="BO53" s="15">
        <f si="101" t="shared"/>
        <v>4053</v>
      </c>
      <c r="BP53" s="15">
        <f si="101" t="shared"/>
        <v>6</v>
      </c>
      <c r="BQ53" s="15">
        <f si="101" t="shared"/>
        <v>13091</v>
      </c>
      <c r="BR53" s="15">
        <f si="101" t="shared"/>
        <v>0</v>
      </c>
      <c r="BS53" s="15">
        <f si="46" t="shared"/>
        <v>25538</v>
      </c>
    </row>
    <row customFormat="1" r="54" s="95" spans="1:71" x14ac:dyDescent="0.25">
      <c r="A54" s="101" t="s">
        <v>15</v>
      </c>
      <c r="B54" s="60">
        <f ref="B54:W54" si="102" t="shared">IF($W27&gt;0,(B27/$W27)*$BS27,0)</f>
        <v>0</v>
      </c>
      <c r="C54" s="60">
        <f si="102" t="shared"/>
        <v>0</v>
      </c>
      <c r="D54" s="60">
        <f si="102" t="shared"/>
        <v>0</v>
      </c>
      <c r="E54" s="60">
        <f si="102" t="shared"/>
        <v>0</v>
      </c>
      <c r="F54" s="60">
        <f si="102" t="shared"/>
        <v>0</v>
      </c>
      <c r="G54" s="60">
        <f si="102" t="shared"/>
        <v>0</v>
      </c>
      <c r="H54" s="60">
        <f si="102" t="shared"/>
        <v>0</v>
      </c>
      <c r="I54" s="60">
        <f si="102" t="shared"/>
        <v>0</v>
      </c>
      <c r="J54" s="60">
        <f si="102" t="shared"/>
        <v>0</v>
      </c>
      <c r="K54" s="60">
        <f si="102" t="shared"/>
        <v>0</v>
      </c>
      <c r="L54" s="60">
        <f si="102" t="shared"/>
        <v>0</v>
      </c>
      <c r="M54" s="60">
        <f si="102" t="shared"/>
        <v>0</v>
      </c>
      <c r="N54" s="60">
        <f si="102" t="shared"/>
        <v>0</v>
      </c>
      <c r="O54" s="60">
        <f si="102" t="shared"/>
        <v>0</v>
      </c>
      <c r="P54" s="60">
        <f si="102" t="shared"/>
        <v>0</v>
      </c>
      <c r="Q54" s="60">
        <f si="102" t="shared"/>
        <v>0</v>
      </c>
      <c r="R54" s="60">
        <f si="102" t="shared"/>
        <v>0</v>
      </c>
      <c r="S54" s="60">
        <f si="102" t="shared"/>
        <v>0</v>
      </c>
      <c r="T54" s="60">
        <f si="102" t="shared"/>
        <v>0</v>
      </c>
      <c r="U54" s="60">
        <f si="102" t="shared"/>
        <v>0</v>
      </c>
      <c r="V54" s="60">
        <f si="102" t="shared"/>
        <v>0</v>
      </c>
      <c r="W54" s="77">
        <f si="102" t="shared"/>
        <v>0</v>
      </c>
      <c r="Y54" s="101" t="s">
        <v>15</v>
      </c>
      <c r="Z54" s="60">
        <f ref="Z54:AT54" si="103" t="shared">IF($AU27&gt;0,(Z27/$AU27)*$BS27,0)</f>
        <v>0</v>
      </c>
      <c r="AA54" s="60">
        <f si="103" t="shared"/>
        <v>0</v>
      </c>
      <c r="AB54" s="60">
        <f si="103" t="shared"/>
        <v>0</v>
      </c>
      <c r="AC54" s="60">
        <f si="103" t="shared"/>
        <v>0</v>
      </c>
      <c r="AD54" s="60">
        <f si="103" t="shared"/>
        <v>0</v>
      </c>
      <c r="AE54" s="60">
        <f si="103" t="shared"/>
        <v>0</v>
      </c>
      <c r="AF54" s="60">
        <f si="103" t="shared"/>
        <v>0</v>
      </c>
      <c r="AG54" s="60">
        <f si="103" t="shared"/>
        <v>0</v>
      </c>
      <c r="AH54" s="60">
        <f si="103" t="shared"/>
        <v>0</v>
      </c>
      <c r="AI54" s="60">
        <f si="103" t="shared"/>
        <v>0</v>
      </c>
      <c r="AJ54" s="60">
        <f si="103" t="shared"/>
        <v>0</v>
      </c>
      <c r="AK54" s="60">
        <f si="103" t="shared"/>
        <v>0</v>
      </c>
      <c r="AL54" s="60">
        <f si="103" t="shared"/>
        <v>0</v>
      </c>
      <c r="AM54" s="60">
        <f si="103" t="shared"/>
        <v>0</v>
      </c>
      <c r="AN54" s="60">
        <f si="103" t="shared"/>
        <v>0</v>
      </c>
      <c r="AO54" s="60">
        <f si="103" t="shared"/>
        <v>0</v>
      </c>
      <c r="AP54" s="60">
        <f si="103" t="shared"/>
        <v>0</v>
      </c>
      <c r="AQ54" s="60">
        <f si="103" t="shared"/>
        <v>0</v>
      </c>
      <c r="AR54" s="60">
        <f si="103" t="shared"/>
        <v>0</v>
      </c>
      <c r="AS54" s="60">
        <f si="103" t="shared"/>
        <v>0</v>
      </c>
      <c r="AT54" s="60">
        <f si="103" t="shared"/>
        <v>0</v>
      </c>
      <c r="AU54" s="77">
        <f si="44" t="shared"/>
        <v>0</v>
      </c>
      <c r="AW54" s="101" t="s">
        <v>15</v>
      </c>
      <c r="AX54" s="15">
        <f ref="AX54:BR54" si="104" t="shared">AX27</f>
        <v>0</v>
      </c>
      <c r="AY54" s="15">
        <f si="104" t="shared"/>
        <v>0</v>
      </c>
      <c r="AZ54" s="15">
        <f si="104" t="shared"/>
        <v>0</v>
      </c>
      <c r="BA54" s="15">
        <f si="104" t="shared"/>
        <v>0</v>
      </c>
      <c r="BB54" s="15">
        <f si="104" t="shared"/>
        <v>0</v>
      </c>
      <c r="BC54" s="15">
        <f si="104" t="shared"/>
        <v>0</v>
      </c>
      <c r="BD54" s="15">
        <f si="104" t="shared"/>
        <v>0</v>
      </c>
      <c r="BE54" s="15">
        <f si="104" t="shared"/>
        <v>0</v>
      </c>
      <c r="BF54" s="15">
        <f si="104" t="shared"/>
        <v>0</v>
      </c>
      <c r="BG54" s="15">
        <f si="104" t="shared"/>
        <v>0</v>
      </c>
      <c r="BH54" s="15">
        <f si="104" t="shared"/>
        <v>0</v>
      </c>
      <c r="BI54" s="15">
        <f si="104" t="shared"/>
        <v>0</v>
      </c>
      <c r="BJ54" s="15">
        <f si="104" t="shared"/>
        <v>0</v>
      </c>
      <c r="BK54" s="15">
        <f si="104" t="shared"/>
        <v>0</v>
      </c>
      <c r="BL54" s="15">
        <f si="104" t="shared"/>
        <v>0</v>
      </c>
      <c r="BM54" s="15">
        <f si="104" t="shared"/>
        <v>0</v>
      </c>
      <c r="BN54" s="15">
        <f si="104" t="shared"/>
        <v>0</v>
      </c>
      <c r="BO54" s="15">
        <f si="104" t="shared"/>
        <v>0</v>
      </c>
      <c r="BP54" s="15">
        <f si="104" t="shared"/>
        <v>0</v>
      </c>
      <c r="BQ54" s="15">
        <f si="104" t="shared"/>
        <v>0</v>
      </c>
      <c r="BR54" s="15">
        <f si="104" t="shared"/>
        <v>0</v>
      </c>
      <c r="BS54" s="16">
        <f>SUM(AX54:BR54)</f>
        <v>0</v>
      </c>
    </row>
    <row customFormat="1" ht="15.75" r="55" s="95" spans="1:71" thickBot="1" x14ac:dyDescent="0.3">
      <c r="A55" s="1" t="s">
        <v>3</v>
      </c>
      <c r="B55" s="107">
        <f ref="B55:W55" si="105" t="shared">IF($W28&gt;0,(B28/$W28)*$BS28,0)</f>
        <v>71768.093765829864</v>
      </c>
      <c r="C55" s="107">
        <f si="105" t="shared"/>
        <v>28492.183498040809</v>
      </c>
      <c r="D55" s="107">
        <f si="105" t="shared"/>
        <v>17950.650402865198</v>
      </c>
      <c r="E55" s="107">
        <f si="105" t="shared"/>
        <v>21095.862187828829</v>
      </c>
      <c r="F55" s="107">
        <f si="105" t="shared"/>
        <v>19763.82555432988</v>
      </c>
      <c r="G55" s="107">
        <f si="105" t="shared"/>
        <v>102237.8330358493</v>
      </c>
      <c r="H55" s="107">
        <f si="105" t="shared"/>
        <v>63609.869893997158</v>
      </c>
      <c r="I55" s="107">
        <f si="105" t="shared"/>
        <v>5998.1297194074823</v>
      </c>
      <c r="J55" s="107">
        <f si="105" t="shared"/>
        <v>44482.487337899052</v>
      </c>
      <c r="K55" s="107">
        <f si="105" t="shared"/>
        <v>10612.906882947353</v>
      </c>
      <c r="L55" s="107">
        <f si="105" t="shared"/>
        <v>36051.69920537289</v>
      </c>
      <c r="M55" s="107">
        <f si="105" t="shared"/>
        <v>126709.21863464455</v>
      </c>
      <c r="N55" s="107">
        <f si="105" t="shared"/>
        <v>47572.981470857339</v>
      </c>
      <c r="O55" s="107">
        <f si="105" t="shared"/>
        <v>12842.884357732497</v>
      </c>
      <c r="P55" s="107">
        <f si="105" t="shared"/>
        <v>15252.906857906313</v>
      </c>
      <c r="Q55" s="107">
        <f si="105" t="shared"/>
        <v>1768.9546362977003</v>
      </c>
      <c r="R55" s="107">
        <f si="105" t="shared"/>
        <v>8150.2534361091839</v>
      </c>
      <c r="S55" s="107">
        <f si="105" t="shared"/>
        <v>10181.906185193111</v>
      </c>
      <c r="T55" s="107">
        <f si="105" t="shared"/>
        <v>14933.803838945465</v>
      </c>
      <c r="U55" s="107">
        <f si="105" t="shared"/>
        <v>14323.549097946079</v>
      </c>
      <c r="V55" s="107">
        <f si="105" t="shared"/>
        <v>0</v>
      </c>
      <c r="W55" s="107">
        <f si="105" t="shared"/>
        <v>673800</v>
      </c>
      <c r="Y55" s="1" t="s">
        <v>3</v>
      </c>
      <c r="Z55" s="107">
        <f>SUM(Z34:Z53)</f>
        <v>49826.091080591927</v>
      </c>
      <c r="AA55" s="107">
        <f ref="AA55:AS55" si="106" t="shared">SUM(AA34:AA53)</f>
        <v>33819.719318941352</v>
      </c>
      <c r="AB55" s="107">
        <f si="106" t="shared"/>
        <v>18582.417499791751</v>
      </c>
      <c r="AC55" s="107">
        <f si="106" t="shared"/>
        <v>16236.883961394382</v>
      </c>
      <c r="AD55" s="107">
        <f si="106" t="shared"/>
        <v>15029.609620549096</v>
      </c>
      <c r="AE55" s="107">
        <f si="106" t="shared"/>
        <v>97301.751523931598</v>
      </c>
      <c r="AF55" s="107">
        <f si="106" t="shared"/>
        <v>64337.962781391827</v>
      </c>
      <c r="AG55" s="107">
        <f si="106" t="shared"/>
        <v>3538.7606834884073</v>
      </c>
      <c r="AH55" s="107">
        <f si="106" t="shared"/>
        <v>39525.670062138488</v>
      </c>
      <c r="AI55" s="107">
        <f si="106" t="shared"/>
        <v>12777.292692961244</v>
      </c>
      <c r="AJ55" s="107">
        <f si="106" t="shared"/>
        <v>36303.793335936367</v>
      </c>
      <c r="AK55" s="107">
        <f si="106" t="shared"/>
        <v>142489.58738938224</v>
      </c>
      <c r="AL55" s="107">
        <f si="106" t="shared"/>
        <v>52316.598933068235</v>
      </c>
      <c r="AM55" s="107">
        <f si="106" t="shared"/>
        <v>10795.83624303071</v>
      </c>
      <c r="AN55" s="107">
        <f si="106" t="shared"/>
        <v>22068.377475144262</v>
      </c>
      <c r="AO55" s="107">
        <f si="106" t="shared"/>
        <v>3170.8742212042634</v>
      </c>
      <c r="AP55" s="107">
        <f si="106" t="shared"/>
        <v>8658.3248663277209</v>
      </c>
      <c r="AQ55" s="107">
        <f si="106" t="shared"/>
        <v>12436.167866658989</v>
      </c>
      <c r="AR55" s="107">
        <f si="106" t="shared"/>
        <v>20828.406746613717</v>
      </c>
      <c r="AS55" s="107">
        <f si="106" t="shared"/>
        <v>13755.873697453415</v>
      </c>
      <c r="AT55" s="107">
        <f ref="AT55" si="107" t="shared">IF($AU28&gt;0,(AT28/$AU28)*$BS28,0)</f>
        <v>0</v>
      </c>
      <c r="AU55" s="107">
        <f si="44" t="shared"/>
        <v>673799.99999999988</v>
      </c>
      <c r="AW55" s="1" t="s">
        <v>3</v>
      </c>
      <c r="AX55" s="96">
        <f>SUM(AX34:AX54)</f>
        <v>49682</v>
      </c>
      <c r="AY55" s="96">
        <f ref="AY55:BS55" si="108" t="shared">SUM(AY34:AY54)</f>
        <v>34115</v>
      </c>
      <c r="AZ55" s="96">
        <f si="108" t="shared"/>
        <v>18351</v>
      </c>
      <c r="BA55" s="96">
        <f si="108" t="shared"/>
        <v>16035</v>
      </c>
      <c r="BB55" s="96">
        <f si="108" t="shared"/>
        <v>15173</v>
      </c>
      <c r="BC55" s="96">
        <f si="108" t="shared"/>
        <v>96685</v>
      </c>
      <c r="BD55" s="96">
        <f si="108" t="shared"/>
        <v>64115</v>
      </c>
      <c r="BE55" s="96">
        <f si="108" t="shared"/>
        <v>3527</v>
      </c>
      <c r="BF55" s="96">
        <f si="108" t="shared"/>
        <v>38822</v>
      </c>
      <c r="BG55" s="96">
        <f si="108" t="shared"/>
        <v>12586</v>
      </c>
      <c r="BH55" s="96">
        <f si="108" t="shared"/>
        <v>36741</v>
      </c>
      <c r="BI55" s="96">
        <f si="108" t="shared"/>
        <v>141088</v>
      </c>
      <c r="BJ55" s="96">
        <f si="108" t="shared"/>
        <v>52606</v>
      </c>
      <c r="BK55" s="96">
        <f si="108" t="shared"/>
        <v>11087</v>
      </c>
      <c r="BL55" s="96">
        <f si="108" t="shared"/>
        <v>21781</v>
      </c>
      <c r="BM55" s="96">
        <f si="108" t="shared"/>
        <v>3189</v>
      </c>
      <c r="BN55" s="96">
        <f si="108" t="shared"/>
        <v>9193</v>
      </c>
      <c r="BO55" s="96">
        <f si="108" t="shared"/>
        <v>12357</v>
      </c>
      <c r="BP55" s="96">
        <f si="108" t="shared"/>
        <v>21772</v>
      </c>
      <c r="BQ55" s="96">
        <f si="108" t="shared"/>
        <v>14895</v>
      </c>
      <c r="BR55" s="96">
        <f si="108" t="shared"/>
        <v>0</v>
      </c>
      <c r="BS55" s="96">
        <f si="108" t="shared"/>
        <v>673800</v>
      </c>
    </row>
    <row customFormat="1" r="56" s="95" spans="1:71" x14ac:dyDescent="0.25"/>
    <row customFormat="1" r="57" s="95" spans="1:71" x14ac:dyDescent="0.25"/>
    <row ht="15.75" r="59" spans="1:71" thickBot="1" x14ac:dyDescent="0.3">
      <c r="A59" s="4" t="s">
        <v>323</v>
      </c>
      <c r="B59" s="1"/>
      <c r="C59" s="1"/>
      <c r="D59" s="1"/>
      <c r="E59" s="1"/>
      <c r="F59" s="1"/>
      <c r="G59" s="1"/>
      <c r="H59" s="1"/>
      <c r="I59" s="1"/>
      <c r="J59" s="1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4" t="s">
        <v>321</v>
      </c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7"/>
      <c r="AN59" s="7"/>
      <c r="AO59" s="7"/>
      <c r="AP59" s="7"/>
      <c r="AQ59" s="7"/>
      <c r="AR59" s="7"/>
      <c r="AS59" s="7"/>
      <c r="AT59" s="7"/>
      <c r="AU59" s="7"/>
      <c r="AW59" s="4" t="s">
        <v>324</v>
      </c>
      <c r="AX59" s="1"/>
      <c r="AY59" s="1"/>
      <c r="AZ59" s="1"/>
      <c r="BA59" s="1"/>
      <c r="BB59" s="1"/>
      <c r="BC59" s="1"/>
      <c r="BD59" s="1"/>
      <c r="BE59" s="1"/>
      <c r="BF59" s="1"/>
    </row>
    <row r="60" spans="1:71" x14ac:dyDescent="0.25">
      <c r="A60" s="2" t="s">
        <v>14</v>
      </c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R60" s="2">
        <v>17</v>
      </c>
      <c r="S60" s="2">
        <v>18</v>
      </c>
      <c r="T60" s="2">
        <v>19</v>
      </c>
      <c r="U60" s="2">
        <v>20</v>
      </c>
      <c r="V60" s="3" t="s">
        <v>15</v>
      </c>
      <c r="W60" s="3" t="s">
        <v>3</v>
      </c>
      <c r="X60" s="79"/>
      <c r="Y60" s="2" t="s">
        <v>14</v>
      </c>
      <c r="Z60" s="2">
        <v>1</v>
      </c>
      <c r="AA60" s="2">
        <v>2</v>
      </c>
      <c r="AB60" s="2">
        <v>3</v>
      </c>
      <c r="AC60" s="2">
        <v>4</v>
      </c>
      <c r="AD60" s="2">
        <v>5</v>
      </c>
      <c r="AE60" s="2">
        <v>6</v>
      </c>
      <c r="AF60" s="2">
        <v>7</v>
      </c>
      <c r="AG60" s="2">
        <v>8</v>
      </c>
      <c r="AH60" s="2">
        <v>9</v>
      </c>
      <c r="AI60" s="2">
        <v>10</v>
      </c>
      <c r="AJ60" s="2">
        <v>11</v>
      </c>
      <c r="AK60" s="2">
        <v>12</v>
      </c>
      <c r="AL60" s="2">
        <v>13</v>
      </c>
      <c r="AM60" s="2">
        <v>14</v>
      </c>
      <c r="AN60" s="2">
        <v>15</v>
      </c>
      <c r="AO60" s="2">
        <v>16</v>
      </c>
      <c r="AP60" s="2">
        <v>17</v>
      </c>
      <c r="AQ60" s="2">
        <v>18</v>
      </c>
      <c r="AR60" s="2">
        <v>19</v>
      </c>
      <c r="AS60" s="2">
        <v>20</v>
      </c>
      <c r="AT60" s="3" t="s">
        <v>15</v>
      </c>
      <c r="AU60" s="3" t="s">
        <v>3</v>
      </c>
      <c r="AW60" s="2" t="s">
        <v>14</v>
      </c>
      <c r="AX60" s="2">
        <v>1</v>
      </c>
      <c r="AY60" s="2">
        <v>2</v>
      </c>
      <c r="AZ60" s="2">
        <v>3</v>
      </c>
      <c r="BA60" s="2">
        <v>4</v>
      </c>
      <c r="BB60" s="2">
        <v>5</v>
      </c>
      <c r="BC60" s="2">
        <v>6</v>
      </c>
      <c r="BD60" s="2">
        <v>7</v>
      </c>
      <c r="BE60" s="2">
        <v>8</v>
      </c>
      <c r="BF60" s="2">
        <v>9</v>
      </c>
      <c r="BG60" s="2">
        <v>10</v>
      </c>
      <c r="BH60" s="2">
        <v>11</v>
      </c>
      <c r="BI60" s="2">
        <v>12</v>
      </c>
      <c r="BJ60" s="2">
        <v>13</v>
      </c>
      <c r="BK60" s="2">
        <v>14</v>
      </c>
      <c r="BL60" s="2">
        <v>15</v>
      </c>
      <c r="BM60" s="2">
        <v>16</v>
      </c>
      <c r="BN60" s="2">
        <v>17</v>
      </c>
      <c r="BO60" s="2">
        <v>18</v>
      </c>
      <c r="BP60" s="2">
        <v>19</v>
      </c>
      <c r="BQ60" s="2">
        <v>20</v>
      </c>
      <c r="BR60" s="3" t="s">
        <v>15</v>
      </c>
      <c r="BS60" s="3" t="s">
        <v>3</v>
      </c>
    </row>
    <row r="61" spans="1:71" x14ac:dyDescent="0.25">
      <c r="A61" s="31">
        <v>1</v>
      </c>
      <c r="B61" s="103">
        <f>IF($W$55&gt;0,B34/$W$55,0)</f>
        <v>1.9685984229101138E-3</v>
      </c>
      <c r="C61" s="103">
        <f ref="C61:W61" si="109" t="shared">IF($W$55&gt;0,C34/$W$55,0)</f>
        <v>2.7295652539187208E-4</v>
      </c>
      <c r="D61" s="103">
        <f si="109" t="shared"/>
        <v>2.1885386819056016E-4</v>
      </c>
      <c r="E61" s="103">
        <f si="109" t="shared"/>
        <v>0</v>
      </c>
      <c r="F61" s="103">
        <f si="109" t="shared"/>
        <v>2.0828110752274266E-4</v>
      </c>
      <c r="G61" s="103">
        <f si="109" t="shared"/>
        <v>2.7098900507489944E-3</v>
      </c>
      <c r="H61" s="103">
        <f si="109" t="shared"/>
        <v>0</v>
      </c>
      <c r="I61" s="103">
        <f si="109" t="shared"/>
        <v>0</v>
      </c>
      <c r="J61" s="103">
        <f si="109" t="shared"/>
        <v>8.2627285346754985E-4</v>
      </c>
      <c r="K61" s="103">
        <f si="109" t="shared"/>
        <v>1.1406064808333669E-4</v>
      </c>
      <c r="L61" s="103">
        <f si="109" t="shared"/>
        <v>5.4175584868443663E-4</v>
      </c>
      <c r="M61" s="103">
        <f si="109" t="shared"/>
        <v>4.9017662335302137E-4</v>
      </c>
      <c r="N61" s="103">
        <f si="109" t="shared"/>
        <v>0</v>
      </c>
      <c r="O61" s="103">
        <f si="109" t="shared"/>
        <v>0</v>
      </c>
      <c r="P61" s="103">
        <f si="109" t="shared"/>
        <v>0</v>
      </c>
      <c r="Q61" s="103">
        <f si="109" t="shared"/>
        <v>0</v>
      </c>
      <c r="R61" s="103">
        <f si="109" t="shared"/>
        <v>0</v>
      </c>
      <c r="S61" s="103">
        <f si="109" t="shared"/>
        <v>0</v>
      </c>
      <c r="T61" s="103">
        <f si="109" t="shared"/>
        <v>0</v>
      </c>
      <c r="U61" s="103">
        <f si="109" t="shared"/>
        <v>0</v>
      </c>
      <c r="V61" s="103">
        <f si="109" t="shared"/>
        <v>0</v>
      </c>
      <c r="W61" s="103">
        <f si="109" t="shared"/>
        <v>7.3508459483526273E-3</v>
      </c>
      <c r="X61" s="78"/>
      <c r="Y61" s="31">
        <v>1</v>
      </c>
      <c r="Z61" s="103">
        <f>IF($W$55&gt;0,Z34/$W$55,0)</f>
        <v>1.783191608516946E-3</v>
      </c>
      <c r="AA61" s="103">
        <f ref="AA61:AU61" si="110" t="shared">IF($W$55&gt;0,AA34/$W$55,0)</f>
        <v>4.5784649407867531E-4</v>
      </c>
      <c r="AB61" s="103">
        <f si="110" t="shared"/>
        <v>2.4699613496349592E-4</v>
      </c>
      <c r="AC61" s="103">
        <f si="110" t="shared"/>
        <v>2.2289895106461825E-4</v>
      </c>
      <c r="AD61" s="103">
        <f si="110" t="shared"/>
        <v>2.5904472691293479E-4</v>
      </c>
      <c r="AE61" s="103">
        <f si="110" t="shared"/>
        <v>1.9024726688163906E-3</v>
      </c>
      <c r="AF61" s="103">
        <f si="110" t="shared"/>
        <v>3.1446824988035332E-4</v>
      </c>
      <c r="AG61" s="103">
        <f si="110" t="shared"/>
        <v>3.1326339068540942E-5</v>
      </c>
      <c r="AH61" s="103">
        <f si="110" t="shared"/>
        <v>3.1687796827024114E-4</v>
      </c>
      <c r="AI61" s="103">
        <f si="110" t="shared"/>
        <v>1.5783655453764859E-4</v>
      </c>
      <c r="AJ61" s="103">
        <f si="110" t="shared"/>
        <v>2.1687465508989884E-4</v>
      </c>
      <c r="AK61" s="103">
        <f si="110" t="shared"/>
        <v>1.2181126460882651E-3</v>
      </c>
      <c r="AL61" s="103">
        <f si="110" t="shared"/>
        <v>7.5906129281464604E-5</v>
      </c>
      <c r="AM61" s="103">
        <f si="110" t="shared"/>
        <v>1.445831033932659E-5</v>
      </c>
      <c r="AN61" s="103">
        <f si="110" t="shared"/>
        <v>3.4940916653372592E-5</v>
      </c>
      <c r="AO61" s="103">
        <f si="110" t="shared"/>
        <v>2.0482606314045999E-5</v>
      </c>
      <c r="AP61" s="103">
        <f si="110" t="shared"/>
        <v>8.4340143646071762E-6</v>
      </c>
      <c r="AQ61" s="103">
        <f si="110" t="shared"/>
        <v>1.3253451144382707E-5</v>
      </c>
      <c r="AR61" s="103">
        <f si="110" t="shared"/>
        <v>3.9760353433148117E-5</v>
      </c>
      <c r="AS61" s="103">
        <f si="110" t="shared"/>
        <v>1.5663169534270471E-5</v>
      </c>
      <c r="AT61" s="103">
        <f si="110" t="shared"/>
        <v>0</v>
      </c>
      <c r="AU61" s="103">
        <f si="110" t="shared"/>
        <v>7.3508459483526299E-3</v>
      </c>
      <c r="AW61" s="31">
        <v>1</v>
      </c>
      <c r="AX61" s="103">
        <f>IF($BS$55&gt;0,AX34/$BS$55,0)</f>
        <v>2.0198872068863164E-3</v>
      </c>
      <c r="AY61" s="103">
        <f ref="AY61:BS61" si="111" t="shared">IF($BS$55&gt;0,AY34/$BS$55,0)</f>
        <v>4.2742653606411401E-4</v>
      </c>
      <c r="AZ61" s="103">
        <f si="111" t="shared"/>
        <v>2.4042742653606413E-4</v>
      </c>
      <c r="BA61" s="103">
        <f si="111" t="shared"/>
        <v>3.8141881864054615E-4</v>
      </c>
      <c r="BB61" s="103">
        <f si="111" t="shared"/>
        <v>3.398634609676462E-4</v>
      </c>
      <c r="BC61" s="103">
        <f si="111" t="shared"/>
        <v>2.1252597209854558E-3</v>
      </c>
      <c r="BD61" s="103">
        <f si="111" t="shared"/>
        <v>1.92935589195607E-4</v>
      </c>
      <c r="BE61" s="103">
        <f si="111" t="shared"/>
        <v>5.1944197091124965E-5</v>
      </c>
      <c r="BF61" s="103">
        <f si="111" t="shared"/>
        <v>2.4487978628673194E-4</v>
      </c>
      <c r="BG61" s="103">
        <f si="111" t="shared"/>
        <v>1.6918967052537845E-4</v>
      </c>
      <c r="BH61" s="103">
        <f si="111" t="shared"/>
        <v>1.8403086969427131E-4</v>
      </c>
      <c r="BI61" s="103">
        <f si="111" t="shared"/>
        <v>8.4891659246067082E-4</v>
      </c>
      <c r="BJ61" s="103">
        <f si="111" t="shared"/>
        <v>1.7809439002671416E-5</v>
      </c>
      <c r="BK61" s="103">
        <f si="111" t="shared"/>
        <v>2.0777678836449985E-5</v>
      </c>
      <c r="BL61" s="103">
        <f si="111" t="shared"/>
        <v>2.2261798753339271E-5</v>
      </c>
      <c r="BM61" s="103">
        <f si="111" t="shared"/>
        <v>1.4841199168892847E-5</v>
      </c>
      <c r="BN61" s="103">
        <f si="111" t="shared"/>
        <v>1.0388839418224992E-5</v>
      </c>
      <c r="BO61" s="103">
        <f si="111" t="shared"/>
        <v>7.4205995844464235E-6</v>
      </c>
      <c r="BP61" s="103">
        <f si="111" t="shared"/>
        <v>2.3745918670228553E-5</v>
      </c>
      <c r="BQ61" s="103">
        <f si="111" t="shared"/>
        <v>7.4205995844464235E-6</v>
      </c>
      <c r="BR61" s="103">
        <f si="111" t="shared"/>
        <v>0</v>
      </c>
      <c r="BS61" s="103">
        <f si="111" t="shared"/>
        <v>7.3508459483526273E-3</v>
      </c>
    </row>
    <row r="62" spans="1:71" x14ac:dyDescent="0.25">
      <c r="A62" s="95">
        <v>2</v>
      </c>
      <c r="B62" s="104">
        <f ref="B62:W62" si="112" t="shared">IF($W$55&gt;0,B35/$W$55,0)</f>
        <v>2.0408308457177194E-3</v>
      </c>
      <c r="C62" s="104">
        <f si="112" t="shared"/>
        <v>2.3916582382189125E-3</v>
      </c>
      <c r="D62" s="104">
        <f si="112" t="shared"/>
        <v>7.0787373245504315E-4</v>
      </c>
      <c r="E62" s="104">
        <f si="112" t="shared"/>
        <v>5.0727381687707095E-3</v>
      </c>
      <c r="F62" s="104">
        <f si="112" t="shared"/>
        <v>1.164027900191462E-4</v>
      </c>
      <c r="G62" s="104">
        <f si="112" t="shared"/>
        <v>3.4836396093993294E-3</v>
      </c>
      <c r="H62" s="104">
        <f si="112" t="shared"/>
        <v>2.0823308688759619E-3</v>
      </c>
      <c r="I62" s="104">
        <f si="112" t="shared"/>
        <v>0</v>
      </c>
      <c r="J62" s="104">
        <f si="112" t="shared"/>
        <v>2.7576956959501713E-3</v>
      </c>
      <c r="K62" s="104">
        <f si="112" t="shared"/>
        <v>2.1431652430719714E-4</v>
      </c>
      <c r="L62" s="104">
        <f si="112" t="shared"/>
        <v>3.1125206975045837E-4</v>
      </c>
      <c r="M62" s="104">
        <f si="112" t="shared"/>
        <v>2.3673606416349524E-3</v>
      </c>
      <c r="N62" s="104">
        <f si="112" t="shared"/>
        <v>0</v>
      </c>
      <c r="O62" s="104">
        <f si="112" t="shared"/>
        <v>0</v>
      </c>
      <c r="P62" s="104">
        <f si="112" t="shared"/>
        <v>0</v>
      </c>
      <c r="Q62" s="104">
        <f si="112" t="shared"/>
        <v>0</v>
      </c>
      <c r="R62" s="104">
        <f si="112" t="shared"/>
        <v>0</v>
      </c>
      <c r="S62" s="104">
        <f si="112" t="shared"/>
        <v>0</v>
      </c>
      <c r="T62" s="104">
        <f si="112" t="shared"/>
        <v>4.5301034295026411E-4</v>
      </c>
      <c r="U62" s="104">
        <f si="112" t="shared"/>
        <v>0</v>
      </c>
      <c r="V62" s="104">
        <f si="112" t="shared"/>
        <v>0</v>
      </c>
      <c r="W62" s="104">
        <f si="112" t="shared"/>
        <v>2.1999109528049867E-2</v>
      </c>
      <c r="X62" s="21"/>
      <c r="Y62" s="95">
        <v>2</v>
      </c>
      <c r="Z62" s="104">
        <f ref="Z62:AU62" si="113" t="shared">IF($W$55&gt;0,Z35/$W$55,0)</f>
        <v>2.5273898742551701E-3</v>
      </c>
      <c r="AA62" s="104">
        <f si="113" t="shared"/>
        <v>2.5683657152774653E-3</v>
      </c>
      <c r="AB62" s="104">
        <f si="113" t="shared"/>
        <v>1.0030885882257874E-3</v>
      </c>
      <c r="AC62" s="104">
        <f si="113" t="shared"/>
        <v>6.0316437984818578E-4</v>
      </c>
      <c r="AD62" s="104">
        <f si="113" t="shared"/>
        <v>6.4741828815226472E-4</v>
      </c>
      <c r="AE62" s="104">
        <f si="113" t="shared"/>
        <v>4.1811748179150067E-3</v>
      </c>
      <c r="AF62" s="104">
        <f si="113" t="shared"/>
        <v>1.829161543235259E-3</v>
      </c>
      <c r="AG62" s="104">
        <f si="113" t="shared"/>
        <v>1.3931785947580378E-4</v>
      </c>
      <c r="AH62" s="104">
        <f si="113" t="shared"/>
        <v>1.7832686012902886E-3</v>
      </c>
      <c r="AI62" s="104">
        <f si="113" t="shared"/>
        <v>4.4090004939989675E-4</v>
      </c>
      <c r="AJ62" s="104">
        <f si="113" t="shared"/>
        <v>1.0702889675023516E-3</v>
      </c>
      <c r="AK62" s="104">
        <f si="113" t="shared"/>
        <v>4.0451350257209862E-3</v>
      </c>
      <c r="AL62" s="104">
        <f si="113" t="shared"/>
        <v>3.6714353555976532E-4</v>
      </c>
      <c r="AM62" s="104">
        <f si="113" t="shared"/>
        <v>7.7034581121915042E-5</v>
      </c>
      <c r="AN62" s="104">
        <f si="113" t="shared"/>
        <v>2.6224538254268951E-4</v>
      </c>
      <c r="AO62" s="104">
        <f si="113" t="shared"/>
        <v>7.5395547481023223E-5</v>
      </c>
      <c r="AP62" s="104">
        <f si="113" t="shared"/>
        <v>7.3756513840131418E-5</v>
      </c>
      <c r="AQ62" s="104">
        <f si="113" t="shared"/>
        <v>1.0162008573529218E-4</v>
      </c>
      <c r="AR62" s="104">
        <f si="113" t="shared"/>
        <v>1.4423496039847922E-4</v>
      </c>
      <c r="AS62" s="104">
        <f si="113" t="shared"/>
        <v>5.9005211072105142E-5</v>
      </c>
      <c r="AT62" s="104">
        <f si="113" t="shared"/>
        <v>0</v>
      </c>
      <c r="AU62" s="104">
        <f si="113" t="shared"/>
        <v>2.1999109528049867E-2</v>
      </c>
      <c r="AW62" s="95">
        <v>2</v>
      </c>
      <c r="AX62" s="104">
        <f ref="AX62:BS62" si="114" t="shared">IF($BS$55&gt;0,AX35/$BS$55,0)</f>
        <v>2.5868210151380232E-3</v>
      </c>
      <c r="AY62" s="104">
        <f si="114" t="shared"/>
        <v>3.4387058474324725E-3</v>
      </c>
      <c r="AZ62" s="104">
        <f si="114" t="shared"/>
        <v>9.1718610863757795E-4</v>
      </c>
      <c r="BA62" s="104">
        <f si="114" t="shared"/>
        <v>6.8863164143662808E-4</v>
      </c>
      <c r="BB62" s="104">
        <f si="114" t="shared"/>
        <v>6.6785396260017811E-4</v>
      </c>
      <c r="BC62" s="104">
        <f si="114" t="shared"/>
        <v>4.4939151083407541E-3</v>
      </c>
      <c r="BD62" s="104">
        <f si="114" t="shared"/>
        <v>1.6399525081626596E-3</v>
      </c>
      <c r="BE62" s="104">
        <f si="114" t="shared"/>
        <v>1.2615019293558919E-4</v>
      </c>
      <c r="BF62" s="104">
        <f si="114" t="shared"/>
        <v>1.7230632235084595E-3</v>
      </c>
      <c r="BG62" s="104">
        <f si="114" t="shared"/>
        <v>4.7046601365390326E-4</v>
      </c>
      <c r="BH62" s="104">
        <f si="114" t="shared"/>
        <v>6.0552092609082817E-4</v>
      </c>
      <c r="BI62" s="104">
        <f si="114" t="shared"/>
        <v>4.1792816859602252E-3</v>
      </c>
      <c r="BJ62" s="104">
        <f si="114" t="shared"/>
        <v>9.3499554764024927E-5</v>
      </c>
      <c r="BK62" s="104">
        <f si="114" t="shared"/>
        <v>5.0460077174235679E-5</v>
      </c>
      <c r="BL62" s="104">
        <f si="114" t="shared"/>
        <v>1.3950727218759275E-4</v>
      </c>
      <c r="BM62" s="104">
        <f si="114" t="shared"/>
        <v>4.1555357672899969E-5</v>
      </c>
      <c r="BN62" s="104">
        <f si="114" t="shared"/>
        <v>3.116651825467498E-5</v>
      </c>
      <c r="BO62" s="104">
        <f si="114" t="shared"/>
        <v>1.632531908578213E-5</v>
      </c>
      <c r="BP62" s="104">
        <f si="114" t="shared"/>
        <v>7.2721875927574949E-5</v>
      </c>
      <c r="BQ62" s="104">
        <f si="114" t="shared"/>
        <v>1.632531908578213E-5</v>
      </c>
      <c r="BR62" s="104">
        <f si="114" t="shared"/>
        <v>0</v>
      </c>
      <c r="BS62" s="104">
        <f si="114" t="shared"/>
        <v>2.1999109528049867E-2</v>
      </c>
    </row>
    <row r="63" spans="1:71" x14ac:dyDescent="0.25">
      <c r="A63" s="95">
        <v>3</v>
      </c>
      <c r="B63" s="104">
        <f ref="B63:W63" si="115" t="shared">IF($W$55&gt;0,B36/$W$55,0)</f>
        <v>7.4788008055405239E-3</v>
      </c>
      <c r="C63" s="104">
        <f si="115" t="shared"/>
        <v>4.4943291849018309E-3</v>
      </c>
      <c r="D63" s="104">
        <f si="115" t="shared"/>
        <v>4.615839147665092E-3</v>
      </c>
      <c r="E63" s="104">
        <f si="115" t="shared"/>
        <v>9.6698100859444981E-4</v>
      </c>
      <c r="F63" s="104">
        <f si="115" t="shared"/>
        <v>2.0791418188260569E-3</v>
      </c>
      <c r="G63" s="104">
        <f si="115" t="shared"/>
        <v>8.1237013805364796E-3</v>
      </c>
      <c r="H63" s="104">
        <f si="115" t="shared"/>
        <v>1.0790465225474881E-3</v>
      </c>
      <c r="I63" s="104">
        <f si="115" t="shared"/>
        <v>1.9712677436389955E-3</v>
      </c>
      <c r="J63" s="104">
        <f si="115" t="shared"/>
        <v>2.1462512570327862E-3</v>
      </c>
      <c r="K63" s="104">
        <f si="115" t="shared"/>
        <v>6.0458971073791025E-4</v>
      </c>
      <c r="L63" s="104">
        <f si="115" t="shared"/>
        <v>1.8568172495639953E-3</v>
      </c>
      <c r="M63" s="104">
        <f si="115" t="shared"/>
        <v>5.8243223799632846E-3</v>
      </c>
      <c r="N63" s="104">
        <f si="115" t="shared"/>
        <v>8.7938559796380499E-5</v>
      </c>
      <c r="O63" s="104">
        <f si="115" t="shared"/>
        <v>0</v>
      </c>
      <c r="P63" s="104">
        <f si="115" t="shared"/>
        <v>0</v>
      </c>
      <c r="Q63" s="104">
        <f si="115" t="shared"/>
        <v>0</v>
      </c>
      <c r="R63" s="104">
        <f si="115" t="shared"/>
        <v>0</v>
      </c>
      <c r="S63" s="104">
        <f si="115" t="shared"/>
        <v>0</v>
      </c>
      <c r="T63" s="104">
        <f si="115" t="shared"/>
        <v>2.5156094214181363E-4</v>
      </c>
      <c r="U63" s="104">
        <f si="115" t="shared"/>
        <v>0</v>
      </c>
      <c r="V63" s="104">
        <f si="115" t="shared"/>
        <v>0</v>
      </c>
      <c r="W63" s="104">
        <f si="115" t="shared"/>
        <v>4.1580587711487087E-2</v>
      </c>
      <c r="X63" s="21"/>
      <c r="Y63" s="95">
        <v>3</v>
      </c>
      <c r="Z63" s="104">
        <f ref="Z63:AU63" si="116" t="shared">IF($W$55&gt;0,Z36/$W$55,0)</f>
        <v>6.1981580181705619E-3</v>
      </c>
      <c r="AA63" s="104">
        <f si="116" t="shared"/>
        <v>2.5731221714495982E-3</v>
      </c>
      <c r="AB63" s="104">
        <f si="116" t="shared"/>
        <v>4.0250030236302272E-3</v>
      </c>
      <c r="AC63" s="104">
        <f si="116" t="shared"/>
        <v>1.7998522960916881E-3</v>
      </c>
      <c r="AD63" s="104">
        <f si="116" t="shared"/>
        <v>1.6558641124043531E-3</v>
      </c>
      <c r="AE63" s="104">
        <f si="116" t="shared"/>
        <v>9.0059276000735954E-3</v>
      </c>
      <c r="AF63" s="104">
        <f si="116" t="shared"/>
        <v>2.3558066719955649E-3</v>
      </c>
      <c r="AG63" s="104">
        <f si="116" t="shared"/>
        <v>3.4130532429590531E-4</v>
      </c>
      <c r="AH63" s="104">
        <f si="116" t="shared"/>
        <v>2.1944865773088286E-3</v>
      </c>
      <c r="AI63" s="104">
        <f si="116" t="shared"/>
        <v>9.3858964181373961E-4</v>
      </c>
      <c r="AJ63" s="104">
        <f si="116" t="shared"/>
        <v>2.2398161906918785E-3</v>
      </c>
      <c r="AK63" s="104">
        <f si="116" t="shared"/>
        <v>6.032838251714732E-3</v>
      </c>
      <c r="AL63" s="104">
        <f si="116" t="shared"/>
        <v>5.9995076536389609E-4</v>
      </c>
      <c r="AM63" s="104">
        <f si="116" t="shared"/>
        <v>2.3598063437646577E-4</v>
      </c>
      <c r="AN63" s="104">
        <f si="116" t="shared"/>
        <v>4.079665204474493E-4</v>
      </c>
      <c r="AO63" s="104">
        <f si="116" t="shared"/>
        <v>1.5732042291764385E-4</v>
      </c>
      <c r="AP63" s="104">
        <f si="116" t="shared"/>
        <v>1.6531976645582915E-4</v>
      </c>
      <c r="AQ63" s="104">
        <f si="116" t="shared"/>
        <v>1.33322392303088E-4</v>
      </c>
      <c r="AR63" s="104">
        <f si="116" t="shared"/>
        <v>4.2129875967775805E-4</v>
      </c>
      <c r="AS63" s="104">
        <f si="116" t="shared"/>
        <v>9.8658570304285123E-5</v>
      </c>
      <c r="AT63" s="104">
        <f si="116" t="shared"/>
        <v>0</v>
      </c>
      <c r="AU63" s="104">
        <f si="116" t="shared"/>
        <v>4.1580587711487087E-2</v>
      </c>
      <c r="AW63" s="95">
        <v>3</v>
      </c>
      <c r="AX63" s="104">
        <f ref="AX63:BS63" si="117" t="shared">IF($BS$55&gt;0,AX36/$BS$55,0)</f>
        <v>6.7453250222617991E-3</v>
      </c>
      <c r="AY63" s="104">
        <f si="117" t="shared"/>
        <v>3.2858414959928764E-3</v>
      </c>
      <c r="AZ63" s="104">
        <f si="117" t="shared"/>
        <v>3.9611160581775008E-3</v>
      </c>
      <c r="BA63" s="104">
        <f si="117" t="shared"/>
        <v>2.1920451172454734E-3</v>
      </c>
      <c r="BB63" s="104">
        <f si="117" t="shared"/>
        <v>1.7171267438409023E-3</v>
      </c>
      <c r="BC63" s="104">
        <f si="117" t="shared"/>
        <v>9.915405164737311E-3</v>
      </c>
      <c r="BD63" s="104">
        <f si="117" t="shared"/>
        <v>1.6028495102404273E-3</v>
      </c>
      <c r="BE63" s="104">
        <f si="117" t="shared"/>
        <v>4.838230929059068E-4</v>
      </c>
      <c r="BF63" s="104">
        <f si="117" t="shared"/>
        <v>2.0703472840605521E-3</v>
      </c>
      <c r="BG63" s="104">
        <f si="117" t="shared"/>
        <v>9.3054318788958143E-4</v>
      </c>
      <c r="BH63" s="104">
        <f si="117" t="shared"/>
        <v>2.595725734639359E-3</v>
      </c>
      <c r="BI63" s="104">
        <f si="117" t="shared"/>
        <v>5.0994360344315823E-3</v>
      </c>
      <c r="BJ63" s="104">
        <f si="117" t="shared"/>
        <v>1.3060255268625704E-4</v>
      </c>
      <c r="BK63" s="104">
        <f si="117" t="shared"/>
        <v>1.3950727218759275E-4</v>
      </c>
      <c r="BL63" s="104">
        <f si="117" t="shared"/>
        <v>1.3653903235381418E-4</v>
      </c>
      <c r="BM63" s="104">
        <f si="117" t="shared"/>
        <v>8.4594835262689224E-5</v>
      </c>
      <c r="BN63" s="104">
        <f si="117" t="shared"/>
        <v>1.3653903235381418E-4</v>
      </c>
      <c r="BO63" s="104">
        <f si="117" t="shared"/>
        <v>1.9293558919560702E-5</v>
      </c>
      <c r="BP63" s="104">
        <f si="117" t="shared"/>
        <v>3.1760166221430692E-4</v>
      </c>
      <c r="BQ63" s="104">
        <f si="117" t="shared"/>
        <v>1.632531908578213E-5</v>
      </c>
      <c r="BR63" s="104">
        <f si="117" t="shared"/>
        <v>0</v>
      </c>
      <c r="BS63" s="104">
        <f si="117" t="shared"/>
        <v>4.1580587711487087E-2</v>
      </c>
    </row>
    <row r="64" spans="1:71" x14ac:dyDescent="0.25">
      <c r="A64" s="95">
        <v>4</v>
      </c>
      <c r="B64" s="104">
        <f ref="B64:W64" si="118" t="shared">IF($W$55&gt;0,B37/$W$55,0)</f>
        <v>2.9788319153463286E-3</v>
      </c>
      <c r="C64" s="104">
        <f si="118" t="shared"/>
        <v>1.0251791075461431E-4</v>
      </c>
      <c r="D64" s="104">
        <f si="118" t="shared"/>
        <v>1.2678255759658176E-3</v>
      </c>
      <c r="E64" s="104">
        <f si="118" t="shared"/>
        <v>1.1392676869997488E-3</v>
      </c>
      <c r="F64" s="104">
        <f si="118" t="shared"/>
        <v>8.0085360654375264E-4</v>
      </c>
      <c r="G64" s="104">
        <f si="118" t="shared"/>
        <v>2.1060245451060204E-3</v>
      </c>
      <c r="H64" s="104">
        <f si="118" t="shared"/>
        <v>1.659146275277925E-3</v>
      </c>
      <c r="I64" s="104">
        <f si="118" t="shared"/>
        <v>2.2446987771152784E-4</v>
      </c>
      <c r="J64" s="104">
        <f si="118" t="shared"/>
        <v>4.5559927936400459E-4</v>
      </c>
      <c r="K64" s="104">
        <f si="118" t="shared"/>
        <v>3.6846309906612637E-4</v>
      </c>
      <c r="L64" s="104">
        <f si="118" t="shared"/>
        <v>1.1258176561912674E-3</v>
      </c>
      <c r="M64" s="104">
        <f si="118" t="shared"/>
        <v>1.2710476314155283E-3</v>
      </c>
      <c r="N64" s="104">
        <f si="118" t="shared"/>
        <v>4.754115912247088E-5</v>
      </c>
      <c r="O64" s="104">
        <f si="118" t="shared"/>
        <v>0</v>
      </c>
      <c r="P64" s="104">
        <f si="118" t="shared"/>
        <v>0</v>
      </c>
      <c r="Q64" s="104">
        <f si="118" t="shared"/>
        <v>0</v>
      </c>
      <c r="R64" s="104">
        <f si="118" t="shared"/>
        <v>0</v>
      </c>
      <c r="S64" s="104">
        <f si="118" t="shared"/>
        <v>0</v>
      </c>
      <c r="T64" s="104">
        <f si="118" t="shared"/>
        <v>8.4235217762949012E-5</v>
      </c>
      <c r="U64" s="104">
        <f si="118" t="shared"/>
        <v>0</v>
      </c>
      <c r="V64" s="104">
        <f si="118" t="shared"/>
        <v>0</v>
      </c>
      <c r="W64" s="104">
        <f si="118" t="shared"/>
        <v>1.3631641436628079E-2</v>
      </c>
      <c r="X64" s="21"/>
      <c r="Y64" s="95">
        <v>4</v>
      </c>
      <c r="Z64" s="104">
        <f ref="Z64:AU64" si="119" t="shared">IF($W$55&gt;0,Z37/$W$55,0)</f>
        <v>1.5765866705522269E-3</v>
      </c>
      <c r="AA64" s="104">
        <f si="119" t="shared"/>
        <v>9.3760347821028557E-4</v>
      </c>
      <c r="AB64" s="104">
        <f si="119" t="shared"/>
        <v>7.6207040694717279E-4</v>
      </c>
      <c r="AC64" s="104">
        <f si="119" t="shared"/>
        <v>1.0596203692102542E-3</v>
      </c>
      <c r="AD64" s="104">
        <f si="119" t="shared"/>
        <v>8.5197758978925494E-4</v>
      </c>
      <c r="AE64" s="104">
        <f si="119" t="shared"/>
        <v>2.8566937024466347E-3</v>
      </c>
      <c r="AF64" s="104">
        <f si="119" t="shared"/>
        <v>8.5625888421030647E-4</v>
      </c>
      <c r="AG64" s="104">
        <f si="119" t="shared"/>
        <v>1.5412659915785517E-4</v>
      </c>
      <c r="AH64" s="104">
        <f si="119" t="shared"/>
        <v>8.1558658721031681E-4</v>
      </c>
      <c r="AI64" s="104">
        <f si="119" t="shared"/>
        <v>4.0351199918410693E-4</v>
      </c>
      <c r="AJ64" s="104">
        <f si="119" t="shared"/>
        <v>6.9571034342087409E-4</v>
      </c>
      <c r="AK64" s="104">
        <f si="119" t="shared"/>
        <v>1.9586921976310762E-3</v>
      </c>
      <c r="AL64" s="104">
        <f si="119" t="shared"/>
        <v>2.1085375023678795E-4</v>
      </c>
      <c r="AM64" s="104">
        <f si="119" t="shared"/>
        <v>7.920394678945335E-5</v>
      </c>
      <c r="AN64" s="104">
        <f si="119" t="shared"/>
        <v>1.2094656739470579E-4</v>
      </c>
      <c r="AO64" s="104">
        <f si="119" t="shared"/>
        <v>5.1375533052618385E-5</v>
      </c>
      <c r="AP64" s="104">
        <f si="119" t="shared"/>
        <v>3.9601973394726675E-5</v>
      </c>
      <c r="AQ64" s="104">
        <f si="119" t="shared"/>
        <v>7.2782005157876048E-5</v>
      </c>
      <c r="AR64" s="104">
        <f si="119" t="shared"/>
        <v>1.0275106610523677E-4</v>
      </c>
      <c r="AS64" s="104">
        <f si="119" t="shared"/>
        <v>2.5687766526309192E-5</v>
      </c>
      <c r="AT64" s="104">
        <f si="119" t="shared"/>
        <v>0</v>
      </c>
      <c r="AU64" s="104">
        <f si="119" t="shared"/>
        <v>1.3631641436628079E-2</v>
      </c>
      <c r="AW64" s="95">
        <v>4</v>
      </c>
      <c r="AX64" s="104">
        <f ref="AX64:BS64" si="120" t="shared">IF($BS$55&gt;0,AX37/$BS$55,0)</f>
        <v>1.8922528940338379E-3</v>
      </c>
      <c r="AY64" s="104">
        <f si="120" t="shared"/>
        <v>9.3054318788958143E-4</v>
      </c>
      <c r="AZ64" s="104">
        <f si="120" t="shared"/>
        <v>7.3167111902641734E-4</v>
      </c>
      <c r="BA64" s="104">
        <f si="120" t="shared"/>
        <v>1.4084298011279312E-3</v>
      </c>
      <c r="BB64" s="104">
        <f si="120" t="shared"/>
        <v>7.9252003561887797E-4</v>
      </c>
      <c r="BC64" s="104">
        <f si="120" t="shared"/>
        <v>3.5158800831107152E-3</v>
      </c>
      <c r="BD64" s="104">
        <f si="120" t="shared"/>
        <v>4.1406945681211042E-4</v>
      </c>
      <c r="BE64" s="104">
        <f si="120" t="shared"/>
        <v>2.1816562778272485E-4</v>
      </c>
      <c r="BF64" s="104">
        <f si="120" t="shared"/>
        <v>6.0255268625704957E-4</v>
      </c>
      <c r="BG64" s="104">
        <f si="120" t="shared"/>
        <v>5.1498961116058176E-4</v>
      </c>
      <c r="BH64" s="104">
        <f si="120" t="shared"/>
        <v>6.6043336301573172E-4</v>
      </c>
      <c r="BI64" s="104">
        <f si="120" t="shared"/>
        <v>1.6117542297417631E-3</v>
      </c>
      <c r="BJ64" s="104">
        <f si="120" t="shared"/>
        <v>4.7491837340457107E-5</v>
      </c>
      <c r="BK64" s="104">
        <f si="120" t="shared"/>
        <v>6.9753636093796377E-5</v>
      </c>
      <c r="BL64" s="104">
        <f si="120" t="shared"/>
        <v>3.8587117839121404E-5</v>
      </c>
      <c r="BM64" s="104">
        <f si="120" t="shared"/>
        <v>4.8975957257346393E-5</v>
      </c>
      <c r="BN64" s="104">
        <f si="120" t="shared"/>
        <v>3.8587117839121404E-5</v>
      </c>
      <c r="BO64" s="104">
        <f si="120" t="shared"/>
        <v>1.632531908578213E-5</v>
      </c>
      <c r="BP64" s="104">
        <f si="120" t="shared"/>
        <v>6.8269516176907091E-5</v>
      </c>
      <c r="BQ64" s="104">
        <f si="120" t="shared"/>
        <v>1.0388839418224992E-5</v>
      </c>
      <c r="BR64" s="104">
        <f si="120" t="shared"/>
        <v>0</v>
      </c>
      <c r="BS64" s="104">
        <f si="120" t="shared"/>
        <v>1.3631641436628079E-2</v>
      </c>
    </row>
    <row r="65" spans="1:71" x14ac:dyDescent="0.25">
      <c r="A65" s="95">
        <v>5</v>
      </c>
      <c r="B65" s="104">
        <f ref="B65:W65" si="121" t="shared">IF($W$55&gt;0,B38/$W$55,0)</f>
        <v>9.4395157866108861E-4</v>
      </c>
      <c r="C65" s="104">
        <f si="121" t="shared"/>
        <v>5.9455214117422989E-4</v>
      </c>
      <c r="D65" s="104">
        <f si="121" t="shared"/>
        <v>5.9095030502686717E-5</v>
      </c>
      <c r="E65" s="104">
        <f si="121" t="shared"/>
        <v>3.02312922882698E-4</v>
      </c>
      <c r="F65" s="104">
        <f si="121" t="shared"/>
        <v>1.3130511799327635E-3</v>
      </c>
      <c r="G65" s="104">
        <f si="121" t="shared"/>
        <v>3.3883505835117936E-3</v>
      </c>
      <c r="H65" s="104">
        <f si="121" t="shared"/>
        <v>6.0905795626977895E-4</v>
      </c>
      <c r="I65" s="104">
        <f si="121" t="shared"/>
        <v>5.9312299035540725E-5</v>
      </c>
      <c r="J65" s="104">
        <f si="121" t="shared"/>
        <v>5.8119852417082469E-4</v>
      </c>
      <c r="K65" s="104">
        <f si="121" t="shared"/>
        <v>1.2460259720951771E-3</v>
      </c>
      <c r="L65" s="104">
        <f si="121" t="shared"/>
        <v>5.9095030502686717E-5</v>
      </c>
      <c r="M65" s="104">
        <f si="121" t="shared"/>
        <v>4.00334957753779E-3</v>
      </c>
      <c r="N65" s="104">
        <f si="121" t="shared"/>
        <v>0</v>
      </c>
      <c r="O65" s="104">
        <f si="121" t="shared"/>
        <v>0</v>
      </c>
      <c r="P65" s="104">
        <f si="121" t="shared"/>
        <v>0</v>
      </c>
      <c r="Q65" s="104">
        <f si="121" t="shared"/>
        <v>0</v>
      </c>
      <c r="R65" s="104">
        <f si="121" t="shared"/>
        <v>8.5502100574156285E-5</v>
      </c>
      <c r="S65" s="104">
        <f si="121" t="shared"/>
        <v>0</v>
      </c>
      <c r="T65" s="104">
        <f si="121" t="shared"/>
        <v>0</v>
      </c>
      <c r="U65" s="104">
        <f si="121" t="shared"/>
        <v>4.9891318642999269E-5</v>
      </c>
      <c r="V65" s="104">
        <f si="121" t="shared"/>
        <v>0</v>
      </c>
      <c r="W65" s="104">
        <f si="121" t="shared"/>
        <v>1.3294746215494212E-2</v>
      </c>
      <c r="X65" s="21"/>
      <c r="Y65" s="95">
        <v>5</v>
      </c>
      <c r="Z65" s="104">
        <f ref="Z65:AU65" si="122" t="shared">IF($W$55&gt;0,Z38/$W$55,0)</f>
        <v>1.8199945253461675E-3</v>
      </c>
      <c r="AA65" s="104">
        <f si="122" t="shared"/>
        <v>6.9661859418422274E-4</v>
      </c>
      <c r="AB65" s="104">
        <f si="122" t="shared"/>
        <v>4.9328127480071987E-4</v>
      </c>
      <c r="AC65" s="104">
        <f si="122" t="shared"/>
        <v>5.7988791083443409E-4</v>
      </c>
      <c r="AD65" s="104">
        <f si="122" t="shared"/>
        <v>9.90328055515949E-4</v>
      </c>
      <c r="AE65" s="104">
        <f si="122" t="shared"/>
        <v>3.2433557610306875E-3</v>
      </c>
      <c r="AF65" s="104">
        <f si="122" t="shared"/>
        <v>6.4641184865743193E-4</v>
      </c>
      <c r="AG65" s="104">
        <f si="122" t="shared"/>
        <v>1.0919967152077006E-4</v>
      </c>
      <c r="AH65" s="104">
        <f si="122" t="shared"/>
        <v>5.5980521262371781E-4</v>
      </c>
      <c r="AI65" s="104">
        <f si="122" t="shared"/>
        <v>4.7319857659000359E-4</v>
      </c>
      <c r="AJ65" s="104">
        <f si="122" t="shared"/>
        <v>4.7570891386634309E-4</v>
      </c>
      <c r="AK65" s="104">
        <f si="122" t="shared"/>
        <v>2.5379509863792766E-3</v>
      </c>
      <c r="AL65" s="104">
        <f si="122" t="shared"/>
        <v>2.2216484895604943E-4</v>
      </c>
      <c r="AM65" s="104">
        <f si="122" t="shared"/>
        <v>7.2799781013846714E-5</v>
      </c>
      <c r="AN65" s="104">
        <f si="122" t="shared"/>
        <v>9.4137647862732805E-5</v>
      </c>
      <c r="AO65" s="104">
        <f si="122" t="shared"/>
        <v>7.4054949652016468E-5</v>
      </c>
      <c r="AP65" s="104">
        <f si="122" t="shared"/>
        <v>4.3930902335941976E-5</v>
      </c>
      <c r="AQ65" s="104">
        <f si="122" t="shared"/>
        <v>6.2758431908488532E-5</v>
      </c>
      <c r="AR65" s="104">
        <f si="122" t="shared"/>
        <v>7.4054949652016468E-5</v>
      </c>
      <c r="AS65" s="104">
        <f si="122" t="shared"/>
        <v>2.5103372763395417E-5</v>
      </c>
      <c r="AT65" s="104">
        <f si="122" t="shared"/>
        <v>0</v>
      </c>
      <c r="AU65" s="104">
        <f si="122" t="shared"/>
        <v>1.3294746215494214E-2</v>
      </c>
      <c r="AW65" s="95">
        <v>5</v>
      </c>
      <c r="AX65" s="104">
        <f ref="AX65:BS65" si="123" t="shared">IF($BS$55&gt;0,AX38/$BS$55,0)</f>
        <v>1.6458889878302166E-3</v>
      </c>
      <c r="AY65" s="104">
        <f si="123" t="shared"/>
        <v>7.2870287919263874E-4</v>
      </c>
      <c r="AZ65" s="104">
        <f si="123" t="shared"/>
        <v>3.6360937963787472E-4</v>
      </c>
      <c r="BA65" s="104">
        <f si="123" t="shared"/>
        <v>6.1887800534283165E-4</v>
      </c>
      <c r="BB65" s="104">
        <f si="123" t="shared"/>
        <v>1.2214306915998812E-3</v>
      </c>
      <c r="BC65" s="104">
        <f si="123" t="shared"/>
        <v>4.8337785693084003E-3</v>
      </c>
      <c r="BD65" s="104">
        <f si="123" t="shared"/>
        <v>3.7696645888987831E-4</v>
      </c>
      <c r="BE65" s="104">
        <f si="123" t="shared"/>
        <v>1.4099139210448205E-4</v>
      </c>
      <c r="BF65" s="104">
        <f si="123" t="shared"/>
        <v>3.9032353814188184E-4</v>
      </c>
      <c r="BG65" s="104">
        <f si="123" t="shared"/>
        <v>6.3965568417928174E-4</v>
      </c>
      <c r="BH65" s="104">
        <f si="123" t="shared"/>
        <v>2.923716236271891E-4</v>
      </c>
      <c r="BI65" s="104">
        <f si="123" t="shared"/>
        <v>1.7468091421786881E-3</v>
      </c>
      <c r="BJ65" s="104">
        <f si="123" t="shared"/>
        <v>3.7102997922232118E-5</v>
      </c>
      <c r="BK65" s="104">
        <f si="123" t="shared"/>
        <v>4.6007717423567827E-5</v>
      </c>
      <c r="BL65" s="104">
        <f si="123" t="shared"/>
        <v>2.8198278420896408E-5</v>
      </c>
      <c r="BM65" s="104">
        <f si="123" t="shared"/>
        <v>8.0142475512021366E-5</v>
      </c>
      <c r="BN65" s="104">
        <f si="123" t="shared"/>
        <v>1.0388839418224992E-5</v>
      </c>
      <c r="BO65" s="104">
        <f si="123" t="shared"/>
        <v>1.3357079252003563E-5</v>
      </c>
      <c r="BP65" s="104">
        <f si="123" t="shared"/>
        <v>6.5301276343128519E-5</v>
      </c>
      <c r="BQ65" s="104">
        <f si="123" t="shared"/>
        <v>1.4841199168892847E-5</v>
      </c>
      <c r="BR65" s="104">
        <f si="123" t="shared"/>
        <v>0</v>
      </c>
      <c r="BS65" s="104">
        <f si="123" t="shared"/>
        <v>1.3294746215494212E-2</v>
      </c>
    </row>
    <row r="66" spans="1:71" x14ac:dyDescent="0.25">
      <c r="A66" s="95">
        <v>6</v>
      </c>
      <c r="B66" s="104">
        <f ref="B66:W66" si="124" t="shared">IF($W$55&gt;0,B39/$W$55,0)</f>
        <v>5.3962912742264845E-3</v>
      </c>
      <c r="C66" s="104">
        <f si="124" t="shared"/>
        <v>1.8890577456467954E-3</v>
      </c>
      <c r="D66" s="104">
        <f si="124" t="shared"/>
        <v>4.3893033495702178E-4</v>
      </c>
      <c r="E66" s="104">
        <f si="124" t="shared"/>
        <v>1.9898297962064849E-4</v>
      </c>
      <c r="F66" s="104">
        <f si="124" t="shared"/>
        <v>6.3186681497866336E-4</v>
      </c>
      <c r="G66" s="104">
        <f si="124" t="shared"/>
        <v>1.8466654812230868E-2</v>
      </c>
      <c r="H66" s="104">
        <f si="124" t="shared"/>
        <v>1.8593252959518373E-3</v>
      </c>
      <c r="I66" s="104">
        <f si="124" t="shared"/>
        <v>0</v>
      </c>
      <c r="J66" s="104">
        <f si="124" t="shared"/>
        <v>2.2863291610872882E-4</v>
      </c>
      <c r="K66" s="104">
        <f si="124" t="shared"/>
        <v>6.8446753752035203E-4</v>
      </c>
      <c r="L66" s="104">
        <f si="124" t="shared"/>
        <v>6.5245319686357513E-4</v>
      </c>
      <c r="M66" s="104">
        <f si="124" t="shared"/>
        <v>7.2674234302345774E-3</v>
      </c>
      <c r="N66" s="104">
        <f si="124" t="shared"/>
        <v>1.4240823708315317E-4</v>
      </c>
      <c r="O66" s="104">
        <f si="124" t="shared"/>
        <v>0</v>
      </c>
      <c r="P66" s="104">
        <f si="124" t="shared"/>
        <v>4.6422378354051089E-4</v>
      </c>
      <c r="Q66" s="104">
        <f si="124" t="shared"/>
        <v>0</v>
      </c>
      <c r="R66" s="104">
        <f si="124" t="shared"/>
        <v>0</v>
      </c>
      <c r="S66" s="104">
        <f si="124" t="shared"/>
        <v>3.6360893040344417E-5</v>
      </c>
      <c r="T66" s="104">
        <f si="124" t="shared"/>
        <v>0</v>
      </c>
      <c r="U66" s="104">
        <f si="124" t="shared"/>
        <v>0</v>
      </c>
      <c r="V66" s="104">
        <f si="124" t="shared"/>
        <v>0</v>
      </c>
      <c r="W66" s="104">
        <f si="124" t="shared"/>
        <v>3.8357079252003559E-2</v>
      </c>
      <c r="X66" s="21"/>
      <c r="Y66" s="95">
        <v>6</v>
      </c>
      <c r="Z66" s="104">
        <f ref="Z66:AU66" si="125" t="shared">IF($W$55&gt;0,Z39/$W$55,0)</f>
        <v>5.2112957179127851E-3</v>
      </c>
      <c r="AA66" s="104">
        <f si="125" t="shared"/>
        <v>1.5146396252960184E-3</v>
      </c>
      <c r="AB66" s="104">
        <f si="125" t="shared"/>
        <v>9.9117153626853468E-4</v>
      </c>
      <c r="AC66" s="104">
        <f si="125" t="shared"/>
        <v>9.9656811450593141E-4</v>
      </c>
      <c r="AD66" s="104">
        <f si="125" t="shared"/>
        <v>1.3869206070109621E-3</v>
      </c>
      <c r="AE66" s="104">
        <f si="125" t="shared"/>
        <v>1.2905017425028071E-2</v>
      </c>
      <c r="AF66" s="104">
        <f si="125" t="shared"/>
        <v>1.714313020079698E-3</v>
      </c>
      <c r="AG66" s="104">
        <f si="125" t="shared"/>
        <v>1.1152928357286596E-4</v>
      </c>
      <c r="AH66" s="104">
        <f si="125" t="shared"/>
        <v>1.3995126228982214E-3</v>
      </c>
      <c r="AI66" s="104">
        <f si="125" t="shared"/>
        <v>9.3540689448210151E-4</v>
      </c>
      <c r="AJ66" s="104">
        <f si="125" t="shared"/>
        <v>8.6705023680840965E-4</v>
      </c>
      <c r="AK66" s="104">
        <f si="125" t="shared"/>
        <v>8.35929968972755E-3</v>
      </c>
      <c r="AL66" s="104">
        <f si="125" t="shared"/>
        <v>6.9615859262417944E-4</v>
      </c>
      <c r="AM66" s="104">
        <f si="125" t="shared"/>
        <v>1.3851217475984966E-4</v>
      </c>
      <c r="AN66" s="104">
        <f si="125" t="shared"/>
        <v>2.932140842318895E-4</v>
      </c>
      <c r="AO66" s="104">
        <f si="125" t="shared"/>
        <v>2.0506997302107612E-4</v>
      </c>
      <c r="AP66" s="104">
        <f si="125" t="shared"/>
        <v>7.914981414848551E-5</v>
      </c>
      <c r="AQ66" s="104">
        <f si="125" t="shared"/>
        <v>2.0147225419614497E-4</v>
      </c>
      <c r="AR66" s="104">
        <f si="125" t="shared"/>
        <v>2.6443233363244024E-4</v>
      </c>
      <c r="AS66" s="104">
        <f si="125" t="shared"/>
        <v>8.6345251798347839E-5</v>
      </c>
      <c r="AT66" s="104">
        <f si="125" t="shared"/>
        <v>0</v>
      </c>
      <c r="AU66" s="104">
        <f si="125" t="shared"/>
        <v>3.8357079252003559E-2</v>
      </c>
      <c r="AW66" s="95">
        <v>6</v>
      </c>
      <c r="AX66" s="104">
        <f ref="AX66:BS66" si="126" t="shared">IF($BS$55&gt;0,AX39/$BS$55,0)</f>
        <v>4.8055802908875036E-3</v>
      </c>
      <c r="AY66" s="104">
        <f si="126" t="shared"/>
        <v>2.2024339566636985E-3</v>
      </c>
      <c r="AZ66" s="104">
        <f si="126" t="shared"/>
        <v>8.9492430988423867E-4</v>
      </c>
      <c r="BA66" s="104">
        <f si="126" t="shared"/>
        <v>1.2140100920154349E-3</v>
      </c>
      <c r="BB66" s="104">
        <f si="126" t="shared"/>
        <v>1.8061739388542594E-3</v>
      </c>
      <c r="BC66" s="104">
        <f si="126" t="shared"/>
        <v>1.6457405758385276E-2</v>
      </c>
      <c r="BD66" s="104">
        <f si="126" t="shared"/>
        <v>1.0418521816562779E-3</v>
      </c>
      <c r="BE66" s="104">
        <f si="126" t="shared"/>
        <v>2.6714158504007122E-4</v>
      </c>
      <c r="BF66" s="104">
        <f si="126" t="shared"/>
        <v>1.0908281389136242E-3</v>
      </c>
      <c r="BG66" s="104">
        <f si="126" t="shared"/>
        <v>1.0522410210745028E-3</v>
      </c>
      <c r="BH66" s="104">
        <f si="126" t="shared"/>
        <v>6.1739388542594246E-4</v>
      </c>
      <c r="BI66" s="104">
        <f si="126" t="shared"/>
        <v>6.3401602849510238E-3</v>
      </c>
      <c r="BJ66" s="104">
        <f si="126" t="shared"/>
        <v>8.9047195013357083E-5</v>
      </c>
      <c r="BK66" s="104">
        <f si="126" t="shared"/>
        <v>6.5301276343128519E-5</v>
      </c>
      <c r="BL66" s="104">
        <f si="126" t="shared"/>
        <v>9.0531314930246369E-5</v>
      </c>
      <c r="BM66" s="104">
        <f si="126" t="shared"/>
        <v>1.2318195310181062E-4</v>
      </c>
      <c r="BN66" s="104">
        <f si="126" t="shared"/>
        <v>4.6007717423567827E-5</v>
      </c>
      <c r="BO66" s="104">
        <f si="126" t="shared"/>
        <v>2.2261798753339271E-5</v>
      </c>
      <c r="BP66" s="104">
        <f si="126" t="shared"/>
        <v>9.4983674680914213E-5</v>
      </c>
      <c r="BQ66" s="104">
        <f si="126" t="shared"/>
        <v>3.5618878005342832E-5</v>
      </c>
      <c r="BR66" s="104">
        <f si="126" t="shared"/>
        <v>0</v>
      </c>
      <c r="BS66" s="104">
        <f si="126" t="shared"/>
        <v>3.8357079252003559E-2</v>
      </c>
    </row>
    <row customFormat="1" r="67" s="95" spans="1:71" x14ac:dyDescent="0.25">
      <c r="A67" s="95">
        <v>7</v>
      </c>
      <c r="B67" s="104">
        <f ref="B67:W67" si="127" t="shared">IF($W$55&gt;0,B40/$W$55,0)</f>
        <v>8.4734915116210906E-3</v>
      </c>
      <c r="C67" s="104">
        <f si="127" t="shared"/>
        <v>1.0865782998477245E-2</v>
      </c>
      <c r="D67" s="104">
        <f si="127" t="shared"/>
        <v>7.9202768694945581E-4</v>
      </c>
      <c r="E67" s="104">
        <f si="127" t="shared"/>
        <v>3.3583973490318264E-3</v>
      </c>
      <c r="F67" s="104">
        <f si="127" t="shared"/>
        <v>4.3136257107842784E-3</v>
      </c>
      <c r="G67" s="104">
        <f si="127" t="shared"/>
        <v>1.8063435581025848E-2</v>
      </c>
      <c r="H67" s="104">
        <f si="127" t="shared"/>
        <v>3.5250479323466852E-2</v>
      </c>
      <c r="I67" s="104">
        <f si="127" t="shared"/>
        <v>1.2298357304411825E-4</v>
      </c>
      <c r="J67" s="104">
        <f si="127" t="shared"/>
        <v>9.2321511321040075E-3</v>
      </c>
      <c r="K67" s="104">
        <f si="127" t="shared"/>
        <v>4.1390276914957504E-4</v>
      </c>
      <c r="L67" s="104">
        <f si="127" t="shared"/>
        <v>0</v>
      </c>
      <c r="M67" s="104">
        <f si="127" t="shared"/>
        <v>2.0289680478346454E-2</v>
      </c>
      <c r="N67" s="104">
        <f si="127" t="shared"/>
        <v>7.1837506737634678E-3</v>
      </c>
      <c r="O67" s="104">
        <f si="127" t="shared"/>
        <v>0</v>
      </c>
      <c r="P67" s="104">
        <f si="127" t="shared"/>
        <v>6.4951371103219623E-4</v>
      </c>
      <c r="Q67" s="104">
        <f si="127" t="shared"/>
        <v>9.705415446425673E-5</v>
      </c>
      <c r="R67" s="104">
        <f si="127" t="shared"/>
        <v>0</v>
      </c>
      <c r="S67" s="104">
        <f si="127" t="shared"/>
        <v>5.7337655833774768E-4</v>
      </c>
      <c r="T67" s="104">
        <f si="127" t="shared"/>
        <v>1.5560947762688267E-4</v>
      </c>
      <c r="U67" s="104">
        <f si="127" t="shared"/>
        <v>0</v>
      </c>
      <c r="V67" s="104">
        <f si="127" t="shared"/>
        <v>0</v>
      </c>
      <c r="W67" s="104">
        <f si="127" t="shared"/>
        <v>0.11983526268922529</v>
      </c>
      <c r="X67" s="21"/>
      <c r="Y67" s="95">
        <v>7</v>
      </c>
      <c r="Z67" s="104">
        <f ref="Z67:AU67" si="128" t="shared">IF($W$55&gt;0,Z40/$W$55,0)</f>
        <v>7.8555459001896713E-3</v>
      </c>
      <c r="AA67" s="104">
        <f si="128" t="shared"/>
        <v>7.9771533692883211E-3</v>
      </c>
      <c r="AB67" s="104">
        <f si="128" t="shared"/>
        <v>3.5206845321975226E-3</v>
      </c>
      <c r="AC67" s="104">
        <f si="128" t="shared"/>
        <v>2.7747265205314091E-3</v>
      </c>
      <c r="AD67" s="104">
        <f si="128" t="shared"/>
        <v>2.5448587435766422E-3</v>
      </c>
      <c r="AE67" s="104">
        <f si="128" t="shared"/>
        <v>1.5475291951761224E-2</v>
      </c>
      <c r="AF67" s="104">
        <f si="128" t="shared"/>
        <v>2.7234141006434419E-2</v>
      </c>
      <c r="AG67" s="104">
        <f si="128" t="shared"/>
        <v>4.9532798388962618E-4</v>
      </c>
      <c r="AH67" s="104">
        <f si="128" t="shared"/>
        <v>7.9000364376647855E-3</v>
      </c>
      <c r="AI67" s="104">
        <f si="128" t="shared"/>
        <v>1.93088932642004E-3</v>
      </c>
      <c r="AJ67" s="104">
        <f si="128" t="shared"/>
        <v>3.993767247349591E-3</v>
      </c>
      <c r="AK67" s="104">
        <f si="128" t="shared"/>
        <v>2.4134633562334664E-2</v>
      </c>
      <c r="AL67" s="104">
        <f si="128" t="shared"/>
        <v>8.3197305078467169E-3</v>
      </c>
      <c r="AM67" s="104">
        <f si="128" t="shared"/>
        <v>3.8410164020183591E-4</v>
      </c>
      <c r="AN67" s="104">
        <f si="128" t="shared"/>
        <v>2.4202852386463174E-3</v>
      </c>
      <c r="AO67" s="104">
        <f si="128" t="shared"/>
        <v>3.0995074440997569E-4</v>
      </c>
      <c r="AP67" s="104">
        <f si="128" t="shared"/>
        <v>2.9363754733576641E-4</v>
      </c>
      <c r="AQ67" s="104">
        <f si="128" t="shared"/>
        <v>1.1256105981204379E-3</v>
      </c>
      <c r="AR67" s="104">
        <f si="128" t="shared"/>
        <v>7.0443351002267207E-4</v>
      </c>
      <c r="AS67" s="104">
        <f si="128" t="shared"/>
        <v>4.4045632100364965E-4</v>
      </c>
      <c r="AT67" s="104">
        <f si="128" t="shared"/>
        <v>0</v>
      </c>
      <c r="AU67" s="104">
        <f si="128" t="shared"/>
        <v>0.11983526268922531</v>
      </c>
      <c r="AW67" s="95">
        <v>7</v>
      </c>
      <c r="AX67" s="104">
        <f ref="AX67:BS67" si="129" t="shared">IF($BS$55&gt;0,AX40/$BS$55,0)</f>
        <v>7.3374888691006236E-3</v>
      </c>
      <c r="AY67" s="104">
        <f si="129" t="shared"/>
        <v>7.7233600474918371E-3</v>
      </c>
      <c r="AZ67" s="104">
        <f si="129" t="shared"/>
        <v>2.5497180172157912E-3</v>
      </c>
      <c r="BA67" s="104">
        <f si="129" t="shared"/>
        <v>1.8892846542000593E-3</v>
      </c>
      <c r="BB67" s="104">
        <f si="129" t="shared"/>
        <v>1.8551498961116059E-3</v>
      </c>
      <c r="BC67" s="104">
        <f si="129" t="shared"/>
        <v>1.3509943603443158E-2</v>
      </c>
      <c r="BD67" s="104">
        <f si="129" t="shared"/>
        <v>3.203027604630454E-2</v>
      </c>
      <c r="BE67" s="104">
        <f si="129" t="shared"/>
        <v>3.9626001780943899E-4</v>
      </c>
      <c r="BF67" s="104">
        <f si="129" t="shared"/>
        <v>7.6625111308993767E-3</v>
      </c>
      <c r="BG67" s="104">
        <f si="129" t="shared"/>
        <v>1.4217868803799347E-3</v>
      </c>
      <c r="BH67" s="104">
        <f si="129" t="shared"/>
        <v>1.4499851588008312E-3</v>
      </c>
      <c r="BI67" s="104">
        <f si="129" t="shared"/>
        <v>2.9081329771445532E-2</v>
      </c>
      <c r="BJ67" s="104">
        <f si="129" t="shared"/>
        <v>1.0188483229444939E-2</v>
      </c>
      <c r="BK67" s="104">
        <f si="129" t="shared"/>
        <v>1.3505491243692491E-4</v>
      </c>
      <c r="BL67" s="104">
        <f si="129" t="shared"/>
        <v>1.5761353517364204E-3</v>
      </c>
      <c r="BM67" s="104">
        <f si="129" t="shared"/>
        <v>1.6770555060848918E-4</v>
      </c>
      <c r="BN67" s="104">
        <f si="129" t="shared"/>
        <v>1.068566340160285E-4</v>
      </c>
      <c r="BO67" s="104">
        <f si="129" t="shared"/>
        <v>4.4078361531611754E-4</v>
      </c>
      <c r="BP67" s="104">
        <f si="129" t="shared"/>
        <v>2.4042742653606413E-4</v>
      </c>
      <c r="BQ67" s="104">
        <f si="129" t="shared"/>
        <v>7.2721875927574949E-5</v>
      </c>
      <c r="BR67" s="104">
        <f si="129" t="shared"/>
        <v>0</v>
      </c>
      <c r="BS67" s="104">
        <f si="129" t="shared"/>
        <v>0.11983526268922529</v>
      </c>
    </row>
    <row r="68" spans="1:71" x14ac:dyDescent="0.25">
      <c r="A68" s="95">
        <v>8</v>
      </c>
      <c r="B68" s="104">
        <f ref="B68:W68" si="130" t="shared">IF($W$55&gt;0,B41/$W$55,0)</f>
        <v>7.3159772515785603E-4</v>
      </c>
      <c r="C68" s="104">
        <f si="130" t="shared"/>
        <v>2.6440074090735573E-4</v>
      </c>
      <c r="D68" s="104">
        <f si="130" t="shared"/>
        <v>7.146053060040622E-5</v>
      </c>
      <c r="E68" s="104">
        <f si="130" t="shared"/>
        <v>2.6339232033396339E-4</v>
      </c>
      <c r="F68" s="104">
        <f si="130" t="shared"/>
        <v>1.9872243956243013E-4</v>
      </c>
      <c r="G68" s="104">
        <f si="130" t="shared"/>
        <v>5.9326046124008863E-4</v>
      </c>
      <c r="H68" s="104">
        <f si="130" t="shared"/>
        <v>1.1291167504765448E-4</v>
      </c>
      <c r="I68" s="104">
        <f si="130" t="shared"/>
        <v>3.6154793018453778E-4</v>
      </c>
      <c r="J68" s="104">
        <f si="130" t="shared"/>
        <v>3.4594615852544621E-4</v>
      </c>
      <c r="K68" s="104">
        <f si="130" t="shared"/>
        <v>6.4849446598685715E-5</v>
      </c>
      <c r="L68" s="104">
        <f si="130" t="shared"/>
        <v>1.7368006698096506E-3</v>
      </c>
      <c r="M68" s="104">
        <f si="130" t="shared"/>
        <v>9.323820180741517E-4</v>
      </c>
      <c r="N68" s="104">
        <f si="130" t="shared"/>
        <v>0</v>
      </c>
      <c r="O68" s="104">
        <f si="130" t="shared"/>
        <v>6.2374774243748062E-5</v>
      </c>
      <c r="P68" s="104">
        <f si="130" t="shared"/>
        <v>5.5950760646633866E-5</v>
      </c>
      <c r="Q68" s="104">
        <f si="130" t="shared"/>
        <v>0</v>
      </c>
      <c r="R68" s="104">
        <f si="130" t="shared"/>
        <v>9.9457812227970245E-5</v>
      </c>
      <c r="S68" s="104">
        <f si="130" t="shared"/>
        <v>6.2374774243748062E-5</v>
      </c>
      <c r="T68" s="104">
        <f si="130" t="shared"/>
        <v>3.3969056995690711E-4</v>
      </c>
      <c r="U68" s="104">
        <f si="130" t="shared"/>
        <v>0</v>
      </c>
      <c r="V68" s="104">
        <f si="130" t="shared"/>
        <v>0</v>
      </c>
      <c r="W68" s="104">
        <f si="130" t="shared"/>
        <v>6.297120807361235E-3</v>
      </c>
      <c r="X68" s="21"/>
      <c r="Y68" s="95">
        <v>8</v>
      </c>
      <c r="Z68" s="104">
        <f ref="Z68:AU68" si="131" t="shared">IF($W$55&gt;0,Z41/$W$55,0)</f>
        <v>6.5150710251076415E-4</v>
      </c>
      <c r="AA68" s="104">
        <f si="131" t="shared"/>
        <v>4.6402304423428522E-4</v>
      </c>
      <c r="AB68" s="104">
        <f si="131" t="shared"/>
        <v>3.2692532661961004E-4</v>
      </c>
      <c r="AC68" s="104">
        <f si="131" t="shared"/>
        <v>3.4801728317571394E-4</v>
      </c>
      <c r="AD68" s="104">
        <f si="131" t="shared"/>
        <v>2.9060029032854231E-4</v>
      </c>
      <c r="AE68" s="104">
        <f si="131" t="shared"/>
        <v>1.3030142050215283E-3</v>
      </c>
      <c r="AF68" s="104">
        <f si="131" t="shared"/>
        <v>3.7965521800986972E-4</v>
      </c>
      <c r="AG68" s="104">
        <f si="131" t="shared"/>
        <v>1.4881547125695509E-4</v>
      </c>
      <c r="AH68" s="104">
        <f si="131" t="shared"/>
        <v>3.9606007310906166E-4</v>
      </c>
      <c r="AI68" s="104">
        <f si="131" t="shared"/>
        <v>1.7928163072688293E-4</v>
      </c>
      <c r="AJ68" s="104">
        <f si="131" t="shared"/>
        <v>5.2847068926682489E-4</v>
      </c>
      <c r="AK68" s="104">
        <f si="131" t="shared"/>
        <v>8.2375808105227921E-4</v>
      </c>
      <c r="AL68" s="104">
        <f si="131" t="shared"/>
        <v>1.0545978278051937E-4</v>
      </c>
      <c r="AM68" s="104">
        <f si="131" t="shared"/>
        <v>1.1834931178702731E-4</v>
      </c>
      <c r="AN68" s="104">
        <f si="131" t="shared"/>
        <v>6.3275869668311615E-5</v>
      </c>
      <c r="AO68" s="104">
        <f si="131" t="shared"/>
        <v>1.7576630463419897E-5</v>
      </c>
      <c r="AP68" s="104">
        <f si="131" t="shared"/>
        <v>4.1012137747979757E-5</v>
      </c>
      <c r="AQ68" s="104">
        <f si="131" t="shared"/>
        <v>3.7496811655295777E-5</v>
      </c>
      <c r="AR68" s="104">
        <f si="131" t="shared"/>
        <v>5.7416992847171665E-5</v>
      </c>
      <c r="AS68" s="104">
        <f si="131" t="shared"/>
        <v>1.6404855099191905E-5</v>
      </c>
      <c r="AT68" s="104">
        <f si="131" t="shared"/>
        <v>0</v>
      </c>
      <c r="AU68" s="104">
        <f si="131" t="shared"/>
        <v>6.2971208073612358E-3</v>
      </c>
      <c r="AW68" s="95">
        <v>8</v>
      </c>
      <c r="AX68" s="104">
        <f ref="AX68:BS68" si="132" t="shared">IF($BS$55&gt;0,AX41/$BS$55,0)</f>
        <v>7.7174235678242799E-4</v>
      </c>
      <c r="AY68" s="104">
        <f si="132" t="shared"/>
        <v>4.3187889581478185E-4</v>
      </c>
      <c r="AZ68" s="104">
        <f si="132" t="shared"/>
        <v>4.7491837340457111E-4</v>
      </c>
      <c r="BA68" s="104">
        <f si="132" t="shared"/>
        <v>4.4375185514989609E-4</v>
      </c>
      <c r="BB68" s="104">
        <f si="132" t="shared"/>
        <v>2.879192638765212E-4</v>
      </c>
      <c r="BC68" s="104">
        <f si="132" t="shared"/>
        <v>1.4306915998812703E-3</v>
      </c>
      <c r="BD68" s="104">
        <f si="132" t="shared"/>
        <v>2.0035618878005342E-4</v>
      </c>
      <c r="BE68" s="104">
        <f si="132" t="shared"/>
        <v>1.3505491243692491E-4</v>
      </c>
      <c r="BF68" s="104">
        <f si="132" t="shared"/>
        <v>2.6417334520629268E-4</v>
      </c>
      <c r="BG68" s="104">
        <f si="132" t="shared"/>
        <v>2.0035618878005342E-4</v>
      </c>
      <c r="BH68" s="104">
        <f si="132" t="shared"/>
        <v>6.9011576135351738E-4</v>
      </c>
      <c r="BI68" s="104">
        <f si="132" t="shared"/>
        <v>6.752745621846245E-4</v>
      </c>
      <c r="BJ68" s="104">
        <f si="132" t="shared"/>
        <v>1.7809439002671416E-5</v>
      </c>
      <c r="BK68" s="104">
        <f si="132" t="shared"/>
        <v>9.4983674680914213E-5</v>
      </c>
      <c r="BL68" s="104">
        <f si="132" t="shared"/>
        <v>2.0777678836449985E-5</v>
      </c>
      <c r="BM68" s="104">
        <f si="132" t="shared"/>
        <v>1.4841199168892847E-5</v>
      </c>
      <c r="BN68" s="104">
        <f si="132" t="shared"/>
        <v>6.0848916592460668E-5</v>
      </c>
      <c r="BO68" s="104">
        <f si="132" t="shared"/>
        <v>2.9682398337785692E-6</v>
      </c>
      <c r="BP68" s="104">
        <f si="132" t="shared"/>
        <v>7.865835559513208E-5</v>
      </c>
      <c r="BQ68" s="104">
        <f si="132" t="shared"/>
        <v>0</v>
      </c>
      <c r="BR68" s="104">
        <f si="132" t="shared"/>
        <v>0</v>
      </c>
      <c r="BS68" s="104">
        <f si="132" t="shared"/>
        <v>6.297120807361235E-3</v>
      </c>
    </row>
    <row r="69" spans="1:71" x14ac:dyDescent="0.25">
      <c r="A69" s="95">
        <v>9</v>
      </c>
      <c r="B69" s="104">
        <f ref="B69:W69" si="133" t="shared">IF($W$55&gt;0,B42/$W$55,0)</f>
        <v>1.2922174476768768E-2</v>
      </c>
      <c r="C69" s="104">
        <f si="133" t="shared"/>
        <v>7.2857825807937857E-3</v>
      </c>
      <c r="D69" s="104">
        <f si="133" t="shared"/>
        <v>2.0890574716307241E-3</v>
      </c>
      <c r="E69" s="104">
        <f si="133" t="shared"/>
        <v>3.224615237161165E-3</v>
      </c>
      <c r="F69" s="104">
        <f si="133" t="shared"/>
        <v>1.7760440270188167E-3</v>
      </c>
      <c r="G69" s="104">
        <f si="133" t="shared"/>
        <v>6.9101030994950527E-3</v>
      </c>
      <c r="H69" s="104">
        <f si="133" t="shared"/>
        <v>8.4297867881255664E-3</v>
      </c>
      <c r="I69" s="104">
        <f si="133" t="shared"/>
        <v>0</v>
      </c>
      <c r="J69" s="104">
        <f si="133" t="shared"/>
        <v>2.9161926134507968E-2</v>
      </c>
      <c r="K69" s="104">
        <f si="133" t="shared"/>
        <v>1.8253059694225846E-4</v>
      </c>
      <c r="L69" s="104">
        <f si="133" t="shared"/>
        <v>1.3843850888161514E-3</v>
      </c>
      <c r="M69" s="104">
        <f si="133" t="shared"/>
        <v>1.0452576060128406E-2</v>
      </c>
      <c r="N69" s="104">
        <f si="133" t="shared"/>
        <v>7.8189126449235299E-5</v>
      </c>
      <c r="O69" s="104">
        <f si="133" t="shared"/>
        <v>0</v>
      </c>
      <c r="P69" s="104">
        <f si="133" t="shared"/>
        <v>3.3947342408893627E-3</v>
      </c>
      <c r="Q69" s="104">
        <f si="133" t="shared"/>
        <v>0</v>
      </c>
      <c r="R69" s="104">
        <f si="133" t="shared"/>
        <v>2.7960299039989903E-4</v>
      </c>
      <c r="S69" s="104">
        <f si="133" t="shared"/>
        <v>5.6511999251222247E-4</v>
      </c>
      <c r="T69" s="104">
        <f si="133" t="shared"/>
        <v>2.6200669803707851E-4</v>
      </c>
      <c r="U69" s="104">
        <f si="133" t="shared"/>
        <v>0</v>
      </c>
      <c r="V69" s="104">
        <f si="133" t="shared"/>
        <v>0</v>
      </c>
      <c r="W69" s="104">
        <f si="133" t="shared"/>
        <v>8.8398634609676466E-2</v>
      </c>
      <c r="X69" s="30"/>
      <c r="Y69" s="95">
        <v>9</v>
      </c>
      <c r="Z69" s="104">
        <f ref="Z69:AU69" si="134" t="shared">IF($W$55&gt;0,Z42/$W$55,0)</f>
        <v>7.9925700141392688E-3</v>
      </c>
      <c r="AA69" s="104">
        <f si="134" t="shared"/>
        <v>6.735230524224891E-3</v>
      </c>
      <c r="AB69" s="104">
        <f si="134" t="shared"/>
        <v>3.1903723535802119E-3</v>
      </c>
      <c r="AC69" s="104">
        <f si="134" t="shared"/>
        <v>2.3989285089505625E-3</v>
      </c>
      <c r="AD69" s="104">
        <f si="134" t="shared"/>
        <v>1.7984729412699333E-3</v>
      </c>
      <c r="AE69" s="104">
        <f si="134" t="shared"/>
        <v>1.4018828904235222E-2</v>
      </c>
      <c r="AF69" s="104">
        <f si="134" t="shared"/>
        <v>7.9694199199636315E-3</v>
      </c>
      <c r="AG69" s="104">
        <f si="134" t="shared"/>
        <v>4.5866124085484217E-4</v>
      </c>
      <c r="AH69" s="104">
        <f si="134" t="shared"/>
        <v>1.388716274361128E-2</v>
      </c>
      <c r="AI69" s="104">
        <f si="134" t="shared"/>
        <v>1.3065334400376104E-3</v>
      </c>
      <c r="AJ69" s="104">
        <f si="134" t="shared"/>
        <v>4.5822717658904888E-3</v>
      </c>
      <c r="AK69" s="104">
        <f si="134" t="shared"/>
        <v>1.3194106799228094E-2</v>
      </c>
      <c r="AL69" s="104">
        <f si="134" t="shared"/>
        <v>2.9444026029640498E-3</v>
      </c>
      <c r="AM69" s="104">
        <f si="134" t="shared"/>
        <v>4.094672907316099E-4</v>
      </c>
      <c r="AN69" s="104">
        <f si="134" t="shared"/>
        <v>4.9772702477623252E-3</v>
      </c>
      <c r="AO69" s="104">
        <f si="134" t="shared"/>
        <v>1.9098827694901944E-4</v>
      </c>
      <c r="AP69" s="104">
        <f si="134" t="shared"/>
        <v>4.1814857604747445E-4</v>
      </c>
      <c r="AQ69" s="104">
        <f si="134" t="shared"/>
        <v>3.9065783921390343E-4</v>
      </c>
      <c r="AR69" s="104">
        <f si="134" t="shared"/>
        <v>1.2472113237125362E-3</v>
      </c>
      <c r="AS69" s="104">
        <f si="134" t="shared"/>
        <v>2.8792929630950664E-4</v>
      </c>
      <c r="AT69" s="104">
        <f si="134" t="shared"/>
        <v>0</v>
      </c>
      <c r="AU69" s="104">
        <f si="134" t="shared"/>
        <v>8.8398634609676466E-2</v>
      </c>
      <c r="AW69" s="95">
        <v>9</v>
      </c>
      <c r="AX69" s="104">
        <f ref="AX69:BS69" si="135" t="shared">IF($BS$55&gt;0,AX42/$BS$55,0)</f>
        <v>8.135945384387059E-3</v>
      </c>
      <c r="AY69" s="104">
        <f si="135" t="shared"/>
        <v>8.0231522707034722E-3</v>
      </c>
      <c r="AZ69" s="104">
        <f si="135" t="shared"/>
        <v>3.5796972395369547E-3</v>
      </c>
      <c r="BA69" s="104">
        <f si="135" t="shared"/>
        <v>2.1252597209854558E-3</v>
      </c>
      <c r="BB69" s="104">
        <f si="135" t="shared"/>
        <v>1.9338082517067379E-3</v>
      </c>
      <c r="BC69" s="104">
        <f si="135" t="shared"/>
        <v>1.3472840605520927E-2</v>
      </c>
      <c r="BD69" s="104">
        <f si="135" t="shared"/>
        <v>8.5054912436924902E-3</v>
      </c>
      <c r="BE69" s="104">
        <f si="135" t="shared"/>
        <v>3.8290293855743545E-4</v>
      </c>
      <c r="BF69" s="104">
        <f si="135" t="shared"/>
        <v>1.9234194122885129E-2</v>
      </c>
      <c r="BG69" s="104">
        <f si="135" t="shared"/>
        <v>1.0655981003265063E-3</v>
      </c>
      <c r="BH69" s="104">
        <f si="135" t="shared"/>
        <v>4.1867022855446717E-3</v>
      </c>
      <c r="BI69" s="104">
        <f si="135" t="shared"/>
        <v>1.0635203324428614E-2</v>
      </c>
      <c r="BJ69" s="104">
        <f si="135" t="shared"/>
        <v>1.6073018699910952E-3</v>
      </c>
      <c r="BK69" s="104">
        <f si="135" t="shared"/>
        <v>2.0184030869694272E-4</v>
      </c>
      <c r="BL69" s="104">
        <f si="135" t="shared"/>
        <v>4.1748293262095573E-3</v>
      </c>
      <c r="BM69" s="104">
        <f si="135" t="shared"/>
        <v>1.1427723360047492E-4</v>
      </c>
      <c r="BN69" s="104">
        <f si="135" t="shared"/>
        <v>2.0629266844761056E-4</v>
      </c>
      <c r="BO69" s="104">
        <f si="135" t="shared"/>
        <v>7.865835559513208E-5</v>
      </c>
      <c r="BP69" s="104">
        <f si="135" t="shared"/>
        <v>7.1089344018996736E-4</v>
      </c>
      <c r="BQ69" s="104">
        <f si="135" t="shared"/>
        <v>2.3745918670228553E-5</v>
      </c>
      <c r="BR69" s="104">
        <f si="135" t="shared"/>
        <v>0</v>
      </c>
      <c r="BS69" s="104">
        <f si="135" t="shared"/>
        <v>8.8398634609676466E-2</v>
      </c>
    </row>
    <row r="70" spans="1:71" x14ac:dyDescent="0.25">
      <c r="A70" s="95">
        <v>10</v>
      </c>
      <c r="B70" s="104">
        <f ref="B70:W70" si="136" t="shared">IF($W$55&gt;0,B43/$W$55,0)</f>
        <v>5.8794238347559102E-3</v>
      </c>
      <c r="C70" s="104">
        <f si="136" t="shared"/>
        <v>4.9744327640197702E-4</v>
      </c>
      <c r="D70" s="104">
        <f si="136" t="shared"/>
        <v>8.1850930451949646E-4</v>
      </c>
      <c r="E70" s="104">
        <f si="136" t="shared"/>
        <v>1.2219016809416456E-3</v>
      </c>
      <c r="F70" s="104">
        <f si="136" t="shared"/>
        <v>3.6020391996653797E-3</v>
      </c>
      <c r="G70" s="104">
        <f si="136" t="shared"/>
        <v>1.089226111279247E-2</v>
      </c>
      <c r="H70" s="104">
        <f si="136" t="shared"/>
        <v>1.4582133144457581E-3</v>
      </c>
      <c r="I70" s="104">
        <f si="136" t="shared"/>
        <v>9.1190239401830022E-4</v>
      </c>
      <c r="J70" s="104">
        <f si="136" t="shared"/>
        <v>4.2203830805691338E-4</v>
      </c>
      <c r="K70" s="104">
        <f si="136" t="shared"/>
        <v>3.8527216831813248E-3</v>
      </c>
      <c r="L70" s="104">
        <f si="136" t="shared"/>
        <v>6.5895220619655579E-4</v>
      </c>
      <c r="M70" s="104">
        <f si="136" t="shared"/>
        <v>6.2575124071320553E-3</v>
      </c>
      <c r="N70" s="104">
        <f si="136" t="shared"/>
        <v>2.7057998416658461E-4</v>
      </c>
      <c r="O70" s="104">
        <f si="136" t="shared"/>
        <v>1.3321299812567799E-4</v>
      </c>
      <c r="P70" s="104">
        <f si="136" t="shared"/>
        <v>0</v>
      </c>
      <c r="Q70" s="104">
        <f si="136" t="shared"/>
        <v>3.6343037969227565E-4</v>
      </c>
      <c r="R70" s="104">
        <f si="136" t="shared"/>
        <v>0</v>
      </c>
      <c r="S70" s="104">
        <f si="136" t="shared"/>
        <v>3.9466108249617438E-5</v>
      </c>
      <c r="T70" s="104">
        <f si="136" t="shared"/>
        <v>0</v>
      </c>
      <c r="U70" s="104">
        <f si="136" t="shared"/>
        <v>0</v>
      </c>
      <c r="V70" s="104">
        <f si="136" t="shared"/>
        <v>0</v>
      </c>
      <c r="W70" s="104">
        <f si="136" t="shared"/>
        <v>3.727960819234194E-2</v>
      </c>
      <c r="Y70" s="95">
        <v>10</v>
      </c>
      <c r="Z70" s="104">
        <f ref="Z70:AU70" si="137" t="shared">IF($W$55&gt;0,Z43/$W$55,0)</f>
        <v>4.0286353347907481E-3</v>
      </c>
      <c r="AA70" s="104">
        <f si="137" t="shared"/>
        <v>1.4421211937472654E-3</v>
      </c>
      <c r="AB70" s="104">
        <f si="137" t="shared"/>
        <v>7.4742195202815256E-4</v>
      </c>
      <c r="AC70" s="104">
        <f si="137" t="shared"/>
        <v>1.119582260091963E-3</v>
      </c>
      <c r="AD70" s="104">
        <f si="137" t="shared"/>
        <v>1.8530482005677227E-3</v>
      </c>
      <c r="AE70" s="104">
        <f si="137" t="shared"/>
        <v>9.7164853763659839E-3</v>
      </c>
      <c r="AF70" s="104">
        <f si="137" t="shared"/>
        <v>1.5056985797081662E-3</v>
      </c>
      <c r="AG70" s="104">
        <f si="137" t="shared"/>
        <v>3.209882657050365E-4</v>
      </c>
      <c r="AH70" s="104">
        <f si="137" t="shared"/>
        <v>1.4033544949906183E-3</v>
      </c>
      <c r="AI70" s="104">
        <f si="137" t="shared"/>
        <v>2.9416171016543678E-3</v>
      </c>
      <c r="AJ70" s="104">
        <f si="137" t="shared"/>
        <v>1.0529035382305302E-3</v>
      </c>
      <c r="AK70" s="104">
        <f si="137" t="shared"/>
        <v>8.7736792626043301E-3</v>
      </c>
      <c r="AL70" s="104">
        <f si="137" t="shared"/>
        <v>6.4507786731060482E-4</v>
      </c>
      <c r="AM70" s="104">
        <f si="137" t="shared"/>
        <v>2.0778950533562745E-4</v>
      </c>
      <c r="AN70" s="104">
        <f si="137" t="shared"/>
        <v>2.2639752073881799E-4</v>
      </c>
      <c r="AO70" s="104">
        <f si="137" t="shared"/>
        <v>6.2026718010635071E-4</v>
      </c>
      <c r="AP70" s="104">
        <f si="137" t="shared"/>
        <v>8.6837405214889091E-5</v>
      </c>
      <c r="AQ70" s="104">
        <f si="137" t="shared"/>
        <v>2.062388373853616E-4</v>
      </c>
      <c r="AR70" s="104">
        <f si="137" t="shared"/>
        <v>2.6516421949546491E-4</v>
      </c>
      <c r="AS70" s="104">
        <f si="137" t="shared"/>
        <v>1.1630009626994074E-4</v>
      </c>
      <c r="AT70" s="104">
        <f si="137" t="shared"/>
        <v>0</v>
      </c>
      <c r="AU70" s="104">
        <f si="137" t="shared"/>
        <v>3.727960819234194E-2</v>
      </c>
      <c r="AW70" s="95">
        <v>10</v>
      </c>
      <c r="AX70" s="104">
        <f ref="AX70:BS70" si="138" t="shared">IF($BS$55&gt;0,AX43/$BS$55,0)</f>
        <v>3.9433066191748292E-3</v>
      </c>
      <c r="AY70" s="104">
        <f si="138" t="shared"/>
        <v>1.8195310181062629E-3</v>
      </c>
      <c r="AZ70" s="104">
        <f si="138" t="shared"/>
        <v>8.3407539329177793E-4</v>
      </c>
      <c r="BA70" s="104">
        <f si="138" t="shared"/>
        <v>1.5123181953101811E-3</v>
      </c>
      <c r="BB70" s="104">
        <f si="138" t="shared"/>
        <v>2.0451172454734341E-3</v>
      </c>
      <c r="BC70" s="104">
        <f si="138" t="shared"/>
        <v>1.0376966458889879E-2</v>
      </c>
      <c r="BD70" s="104">
        <f si="138" t="shared"/>
        <v>9.0976550905313145E-4</v>
      </c>
      <c r="BE70" s="104">
        <f si="138" t="shared"/>
        <v>3.888394182249926E-4</v>
      </c>
      <c r="BF70" s="104">
        <f si="138" t="shared"/>
        <v>8.0439299495399226E-4</v>
      </c>
      <c r="BG70" s="104">
        <f si="138" t="shared"/>
        <v>3.6064113980409616E-3</v>
      </c>
      <c r="BH70" s="104">
        <f si="138" t="shared"/>
        <v>6.4410804392994953E-4</v>
      </c>
      <c r="BI70" s="104">
        <f si="138" t="shared"/>
        <v>9.2475512021371331E-3</v>
      </c>
      <c r="BJ70" s="104">
        <f si="138" t="shared"/>
        <v>1.2615019293558919E-4</v>
      </c>
      <c r="BK70" s="104">
        <f si="138" t="shared"/>
        <v>6.0848916592460668E-5</v>
      </c>
      <c r="BL70" s="104">
        <f si="138" t="shared"/>
        <v>5.6396556841792816E-5</v>
      </c>
      <c r="BM70" s="104">
        <f si="138" t="shared"/>
        <v>6.4410804392994953E-4</v>
      </c>
      <c r="BN70" s="104">
        <f si="138" t="shared"/>
        <v>3.7102997922232118E-5</v>
      </c>
      <c r="BO70" s="104">
        <f si="138" t="shared"/>
        <v>9.0531314930246369E-5</v>
      </c>
      <c r="BP70" s="104">
        <f si="138" t="shared"/>
        <v>1.0982487384980706E-4</v>
      </c>
      <c r="BQ70" s="104">
        <f si="138" t="shared"/>
        <v>2.2261798753339271E-5</v>
      </c>
      <c r="BR70" s="104">
        <f si="138" t="shared"/>
        <v>0</v>
      </c>
      <c r="BS70" s="104">
        <f si="138" t="shared"/>
        <v>3.727960819234194E-2</v>
      </c>
    </row>
    <row r="71" spans="1:71" x14ac:dyDescent="0.25">
      <c r="A71" s="95">
        <v>11</v>
      </c>
      <c r="B71" s="104">
        <f ref="B71:W71" si="139" t="shared">IF($W$55&gt;0,B44/$W$55,0)</f>
        <v>9.6346889000035549E-3</v>
      </c>
      <c r="C71" s="104">
        <f si="139" t="shared"/>
        <v>2.6826309651452399E-3</v>
      </c>
      <c r="D71" s="104">
        <f si="139" t="shared"/>
        <v>7.5772099978250887E-3</v>
      </c>
      <c r="E71" s="104">
        <f si="139" t="shared"/>
        <v>3.4550869058648337E-3</v>
      </c>
      <c r="F71" s="104">
        <f si="139" t="shared"/>
        <v>3.8780313905540618E-3</v>
      </c>
      <c r="G71" s="104">
        <f si="139" t="shared"/>
        <v>7.6417296204172574E-3</v>
      </c>
      <c r="H71" s="104">
        <f si="139" t="shared"/>
        <v>4.0776152007333394E-3</v>
      </c>
      <c r="I71" s="104">
        <f si="139" t="shared"/>
        <v>9.0126646002569024E-4</v>
      </c>
      <c r="J71" s="104">
        <f si="139" t="shared"/>
        <v>4.3808472373022093E-3</v>
      </c>
      <c r="K71" s="104">
        <f si="139" t="shared"/>
        <v>2.9075736792733801E-4</v>
      </c>
      <c r="L71" s="104">
        <f si="139" t="shared"/>
        <v>2.0064629361294356E-2</v>
      </c>
      <c r="M71" s="104">
        <f si="139" t="shared"/>
        <v>4.8840099786974858E-3</v>
      </c>
      <c r="N71" s="104">
        <f si="139" t="shared"/>
        <v>7.1064659142192429E-5</v>
      </c>
      <c r="O71" s="104">
        <f si="139" t="shared"/>
        <v>3.1816283356524085E-4</v>
      </c>
      <c r="P71" s="104">
        <f si="139" t="shared"/>
        <v>0</v>
      </c>
      <c r="Q71" s="104">
        <f si="139" t="shared"/>
        <v>1.1872536234750443E-3</v>
      </c>
      <c r="R71" s="104">
        <f si="139" t="shared"/>
        <v>1.5745144454648607E-3</v>
      </c>
      <c r="S71" s="104">
        <f si="139" t="shared"/>
        <v>1.8375218841080983E-3</v>
      </c>
      <c r="T71" s="104">
        <f si="139" t="shared"/>
        <v>2.9769358321525313E-3</v>
      </c>
      <c r="U71" s="104">
        <f si="139" t="shared"/>
        <v>0</v>
      </c>
      <c r="V71" s="104">
        <f si="139" t="shared"/>
        <v>0</v>
      </c>
      <c r="W71" s="104">
        <f si="139" t="shared"/>
        <v>7.7433956663698428E-2</v>
      </c>
      <c r="Y71" s="95">
        <v>11</v>
      </c>
      <c r="Z71" s="104">
        <f ref="Z71:AU71" si="140" t="shared">IF($W$55&gt;0,Z44/$W$55,0)</f>
        <v>6.718955293657204E-3</v>
      </c>
      <c r="AA71" s="104">
        <f si="140" t="shared"/>
        <v>4.7745216812040223E-3</v>
      </c>
      <c r="AB71" s="104">
        <f si="140" t="shared"/>
        <v>3.7314811341264869E-3</v>
      </c>
      <c r="AC71" s="104">
        <f si="140" t="shared"/>
        <v>2.8372419819681079E-3</v>
      </c>
      <c r="AD71" s="104">
        <f si="140" t="shared"/>
        <v>2.0932350073723355E-3</v>
      </c>
      <c r="AE71" s="104">
        <f si="140" t="shared"/>
        <v>1.1862618896872203E-2</v>
      </c>
      <c r="AF71" s="104">
        <f si="140" t="shared"/>
        <v>4.0190684454606222E-3</v>
      </c>
      <c r="AG71" s="104">
        <f si="140" t="shared"/>
        <v>7.3112993080469131E-4</v>
      </c>
      <c r="AH71" s="104">
        <f si="140" t="shared"/>
        <v>5.5500058739557691E-3</v>
      </c>
      <c r="AI71" s="104">
        <f si="140" t="shared"/>
        <v>1.2261807254395703E-3</v>
      </c>
      <c r="AJ71" s="104">
        <f si="140" t="shared"/>
        <v>1.4861539317550547E-2</v>
      </c>
      <c r="AK71" s="104">
        <f si="140" t="shared"/>
        <v>8.5718188169293663E-3</v>
      </c>
      <c r="AL71" s="104">
        <f si="140" t="shared"/>
        <v>1.529506645851693E-3</v>
      </c>
      <c r="AM71" s="104">
        <f si="140" t="shared"/>
        <v>8.8279289101075246E-4</v>
      </c>
      <c r="AN71" s="104">
        <f si="140" t="shared"/>
        <v>1.3993054252974329E-3</v>
      </c>
      <c r="AO71" s="104">
        <f si="140" t="shared"/>
        <v>1.7884783043167597E-4</v>
      </c>
      <c r="AP71" s="104">
        <f si="140" t="shared"/>
        <v>1.0916871569549502E-3</v>
      </c>
      <c r="AQ71" s="104">
        <f si="140" t="shared"/>
        <v>3.1763374684665651E-4</v>
      </c>
      <c r="AR71" s="104">
        <f si="140" t="shared"/>
        <v>4.7988449861427291E-3</v>
      </c>
      <c r="AS71" s="104">
        <f si="140" t="shared"/>
        <v>2.5754087582161337E-4</v>
      </c>
      <c r="AT71" s="104">
        <f si="140" t="shared"/>
        <v>0</v>
      </c>
      <c r="AU71" s="104">
        <f si="140" t="shared"/>
        <v>7.7433956663698442E-2</v>
      </c>
      <c r="AW71" s="95">
        <v>11</v>
      </c>
      <c r="AX71" s="104">
        <f ref="AX71:BS71" si="141" t="shared">IF($BS$55&gt;0,AX44/$BS$55,0)</f>
        <v>7.7189076877411692E-3</v>
      </c>
      <c r="AY71" s="104">
        <f si="141" t="shared"/>
        <v>4.5473434253487681E-3</v>
      </c>
      <c r="AZ71" s="104">
        <f si="141" t="shared"/>
        <v>4.9391510834075397E-3</v>
      </c>
      <c r="BA71" s="104">
        <f si="141" t="shared"/>
        <v>3.2190560997328583E-3</v>
      </c>
      <c r="BB71" s="104">
        <f si="141" t="shared"/>
        <v>2.1044820421490056E-3</v>
      </c>
      <c r="BC71" s="104">
        <f si="141" t="shared"/>
        <v>1.1528643514395963E-2</v>
      </c>
      <c r="BD71" s="104">
        <f si="141" t="shared"/>
        <v>2.1504897595725735E-3</v>
      </c>
      <c r="BE71" s="104">
        <f si="141" t="shared"/>
        <v>7.8213119620065298E-4</v>
      </c>
      <c r="BF71" s="104">
        <f si="141" t="shared"/>
        <v>5.6782428020184031E-3</v>
      </c>
      <c r="BG71" s="104">
        <f si="141" t="shared"/>
        <v>1.1546452953398634E-3</v>
      </c>
      <c r="BH71" s="104">
        <f si="141" t="shared"/>
        <v>2.0647076283763728E-2</v>
      </c>
      <c r="BI71" s="104">
        <f si="141" t="shared"/>
        <v>5.6441080439299492E-3</v>
      </c>
      <c r="BJ71" s="104">
        <f si="141" t="shared"/>
        <v>2.3449094686850698E-4</v>
      </c>
      <c r="BK71" s="104">
        <f si="141" t="shared"/>
        <v>8.3852775304244583E-4</v>
      </c>
      <c r="BL71" s="104">
        <f si="141" t="shared"/>
        <v>8.0439299495399226E-4</v>
      </c>
      <c r="BM71" s="104">
        <f si="141" t="shared"/>
        <v>1.068566340160285E-4</v>
      </c>
      <c r="BN71" s="104">
        <f si="141" t="shared"/>
        <v>1.3327396853665776E-3</v>
      </c>
      <c r="BO71" s="104">
        <f si="141" t="shared"/>
        <v>3.4134758088453546E-5</v>
      </c>
      <c r="BP71" s="104">
        <f si="141" t="shared"/>
        <v>3.9477589789254971E-3</v>
      </c>
      <c r="BQ71" s="104">
        <f si="141" t="shared"/>
        <v>2.0777678836449985E-5</v>
      </c>
      <c r="BR71" s="104">
        <f si="141" t="shared"/>
        <v>0</v>
      </c>
      <c r="BS71" s="104">
        <f si="141" t="shared"/>
        <v>7.7433956663698428E-2</v>
      </c>
    </row>
    <row r="72" spans="1:71" x14ac:dyDescent="0.25">
      <c r="A72" s="95">
        <v>12</v>
      </c>
      <c r="B72" s="104">
        <f ref="B72:W72" si="142" t="shared">IF($W$55&gt;0,B45/$W$55,0)</f>
        <v>1.9453703078504057E-2</v>
      </c>
      <c r="C72" s="104">
        <f si="142" t="shared"/>
        <v>2.7918946832015601E-3</v>
      </c>
      <c r="D72" s="104">
        <f si="142" t="shared"/>
        <v>2.4047424673107019E-3</v>
      </c>
      <c r="E72" s="104">
        <f si="142" t="shared"/>
        <v>6.3925951459742319E-3</v>
      </c>
      <c r="F72" s="104">
        <f si="142" t="shared"/>
        <v>3.2564265915743995E-3</v>
      </c>
      <c r="G72" s="104">
        <f si="142" t="shared"/>
        <v>3.1188296332251619E-2</v>
      </c>
      <c r="H72" s="104">
        <f si="142" t="shared"/>
        <v>1.0748354705196085E-2</v>
      </c>
      <c r="I72" s="104">
        <f si="142" t="shared"/>
        <v>1.3883593514126048E-4</v>
      </c>
      <c r="J72" s="104">
        <f si="142" t="shared"/>
        <v>5.4185200989201997E-3</v>
      </c>
      <c r="K72" s="104">
        <f si="142" t="shared"/>
        <v>3.274169060866187E-3</v>
      </c>
      <c r="L72" s="104">
        <f si="142" t="shared"/>
        <v>8.8440164341324883E-4</v>
      </c>
      <c r="M72" s="104">
        <f si="142" t="shared"/>
        <v>6.6947081318886853E-2</v>
      </c>
      <c r="N72" s="104">
        <f si="142" t="shared"/>
        <v>1.6572634617784384E-3</v>
      </c>
      <c r="O72" s="104">
        <f si="142" t="shared"/>
        <v>5.5791657118014924E-5</v>
      </c>
      <c r="P72" s="104">
        <f si="142" t="shared"/>
        <v>0</v>
      </c>
      <c r="Q72" s="104">
        <f si="142" t="shared"/>
        <v>5.5952078199726619E-4</v>
      </c>
      <c r="R72" s="104">
        <f si="142" t="shared"/>
        <v>0</v>
      </c>
      <c r="S72" s="104">
        <f si="142" t="shared"/>
        <v>1.4468920852659876E-3</v>
      </c>
      <c r="T72" s="104">
        <f si="142" t="shared"/>
        <v>0</v>
      </c>
      <c r="U72" s="104">
        <f si="142" t="shared"/>
        <v>1.0529268030006313E-3</v>
      </c>
      <c r="V72" s="104">
        <f si="142" t="shared"/>
        <v>0</v>
      </c>
      <c r="W72" s="104">
        <f si="142" t="shared"/>
        <v>0.1576714158504007</v>
      </c>
      <c r="Y72" s="95">
        <v>12</v>
      </c>
      <c r="Z72" s="104">
        <f ref="Z72:AU72" si="143" t="shared">IF($W$55&gt;0,Z45/$W$55,0)</f>
        <v>1.2213505744042428E-2</v>
      </c>
      <c r="AA72" s="104">
        <f si="143" t="shared"/>
        <v>6.4555561819475303E-3</v>
      </c>
      <c r="AB72" s="104">
        <f si="143" t="shared"/>
        <v>2.6595289900342043E-3</v>
      </c>
      <c r="AC72" s="104">
        <f si="143" t="shared"/>
        <v>2.9028443232278368E-3</v>
      </c>
      <c r="AD72" s="104">
        <f si="143" t="shared"/>
        <v>3.303236643673056E-3</v>
      </c>
      <c r="AE72" s="104">
        <f si="143" t="shared"/>
        <v>2.7955083819392535E-2</v>
      </c>
      <c r="AF72" s="104">
        <f si="143" t="shared"/>
        <v>1.0955349875566492E-2</v>
      </c>
      <c r="AG72" s="104">
        <f si="143" t="shared"/>
        <v>4.6045116851200178E-4</v>
      </c>
      <c r="AH72" s="104">
        <f si="143" t="shared"/>
        <v>6.1198426209588463E-3</v>
      </c>
      <c r="AI72" s="104">
        <f si="143" t="shared"/>
        <v>2.8905245595218306E-3</v>
      </c>
      <c r="AJ72" s="104">
        <f si="143" t="shared"/>
        <v>3.1322999222522128E-3</v>
      </c>
      <c r="AK72" s="104">
        <f si="143" t="shared"/>
        <v>6.7946576779553652E-2</v>
      </c>
      <c r="AL72" s="104">
        <f si="143" t="shared"/>
        <v>4.0763018162249783E-3</v>
      </c>
      <c r="AM72" s="104">
        <f si="143" t="shared"/>
        <v>3.3571356098868358E-4</v>
      </c>
      <c r="AN72" s="104">
        <f si="143" t="shared"/>
        <v>1.1318782904893689E-3</v>
      </c>
      <c r="AO72" s="104">
        <f si="143" t="shared"/>
        <v>6.4370765363885201E-4</v>
      </c>
      <c r="AP72" s="104">
        <f si="143" t="shared"/>
        <v>2.2945559902437545E-4</v>
      </c>
      <c r="AQ72" s="104">
        <f si="143" t="shared"/>
        <v>2.4454730956423375E-3</v>
      </c>
      <c r="AR72" s="104">
        <f si="143" t="shared"/>
        <v>6.6372726966111302E-4</v>
      </c>
      <c r="AS72" s="104">
        <f si="143" t="shared"/>
        <v>1.1503579360483791E-3</v>
      </c>
      <c r="AT72" s="104">
        <f si="143" t="shared"/>
        <v>0</v>
      </c>
      <c r="AU72" s="104">
        <f si="143" t="shared"/>
        <v>0.1576714158504007</v>
      </c>
      <c r="AW72" s="95">
        <v>12</v>
      </c>
      <c r="AX72" s="104">
        <f ref="AX72:BS72" si="144" t="shared">IF($BS$55&gt;0,AX45/$BS$55,0)</f>
        <v>1.2579400415553577E-2</v>
      </c>
      <c r="AY72" s="104">
        <f si="144" t="shared"/>
        <v>8.3674680914217862E-3</v>
      </c>
      <c r="AZ72" s="104">
        <f si="144" t="shared"/>
        <v>2.6684476105669338E-3</v>
      </c>
      <c r="BA72" s="104">
        <f si="144" t="shared"/>
        <v>3.3912140100920154E-3</v>
      </c>
      <c r="BB72" s="104">
        <f si="144" t="shared"/>
        <v>3.6583555951320867E-3</v>
      </c>
      <c r="BC72" s="104">
        <f si="144" t="shared"/>
        <v>2.7457702582368654E-2</v>
      </c>
      <c r="BD72" s="104">
        <f si="144" t="shared"/>
        <v>1.2425051944197091E-2</v>
      </c>
      <c r="BE72" s="104">
        <f si="144" t="shared"/>
        <v>7.0198872068863167E-4</v>
      </c>
      <c r="BF72" s="104">
        <f si="144" t="shared"/>
        <v>4.6809142178688042E-3</v>
      </c>
      <c r="BG72" s="104">
        <f si="144" t="shared"/>
        <v>3.7162362718907689E-3</v>
      </c>
      <c r="BH72" s="104">
        <f si="144" t="shared"/>
        <v>1.5701988720688632E-3</v>
      </c>
      <c r="BI72" s="104">
        <f si="144" t="shared"/>
        <v>6.9324725437815371E-2</v>
      </c>
      <c r="BJ72" s="104">
        <f si="144" t="shared"/>
        <v>2.9118432769367764E-3</v>
      </c>
      <c r="BK72" s="104">
        <f si="144" t="shared"/>
        <v>1.1724547343425349E-4</v>
      </c>
      <c r="BL72" s="104">
        <f si="144" t="shared"/>
        <v>4.838230929059068E-4</v>
      </c>
      <c r="BM72" s="104">
        <f si="144" t="shared"/>
        <v>1.0121697833184921E-3</v>
      </c>
      <c r="BN72" s="104">
        <f si="144" t="shared"/>
        <v>1.5583259127337489E-4</v>
      </c>
      <c r="BO72" s="104">
        <f si="144" t="shared"/>
        <v>1.8685069753636094E-3</v>
      </c>
      <c r="BP72" s="104">
        <f si="144" t="shared"/>
        <v>2.5972098545562483E-4</v>
      </c>
      <c r="BQ72" s="104">
        <f si="144" t="shared"/>
        <v>3.2056990204808546E-4</v>
      </c>
      <c r="BR72" s="104">
        <f si="144" t="shared"/>
        <v>0</v>
      </c>
      <c r="BS72" s="104">
        <f si="144" t="shared"/>
        <v>0.1576714158504007</v>
      </c>
    </row>
    <row r="73" spans="1:71" x14ac:dyDescent="0.25">
      <c r="A73" s="95">
        <v>13</v>
      </c>
      <c r="B73" s="104">
        <f ref="B73:W73" si="145" t="shared">IF($W$55&gt;0,B46/$W$55,0)</f>
        <v>6.1964883363995315E-3</v>
      </c>
      <c r="C73" s="104">
        <f si="145" t="shared"/>
        <v>9.6085280235203875E-4</v>
      </c>
      <c r="D73" s="104">
        <f si="145" t="shared"/>
        <v>4.1726180980628257E-4</v>
      </c>
      <c r="E73" s="104">
        <f si="145" t="shared"/>
        <v>1.5568620998448208E-3</v>
      </c>
      <c r="F73" s="104">
        <f si="145" t="shared"/>
        <v>1.297041429717168E-3</v>
      </c>
      <c r="G73" s="104">
        <f si="145" t="shared"/>
        <v>3.4750089285540253E-3</v>
      </c>
      <c r="H73" s="104">
        <f si="145" t="shared"/>
        <v>2.5430481813705677E-2</v>
      </c>
      <c r="I73" s="104">
        <f si="145" t="shared"/>
        <v>1.021841140956278E-3</v>
      </c>
      <c r="J73" s="104">
        <f si="145" t="shared"/>
        <v>1.510621993896456E-3</v>
      </c>
      <c r="K73" s="104">
        <f si="145" t="shared"/>
        <v>4.607007371526501E-4</v>
      </c>
      <c r="L73" s="104">
        <f si="145" t="shared"/>
        <v>1.4259555231467774E-3</v>
      </c>
      <c r="M73" s="104">
        <f si="145" t="shared"/>
        <v>6.9554953989320288E-3</v>
      </c>
      <c r="N73" s="104">
        <f si="145" t="shared"/>
        <v>5.5117687104378567E-2</v>
      </c>
      <c r="O73" s="104">
        <f si="145" t="shared"/>
        <v>1.6273323625651557E-4</v>
      </c>
      <c r="P73" s="104">
        <f si="145" t="shared"/>
        <v>2.3373820077058332E-3</v>
      </c>
      <c r="Q73" s="104">
        <f si="145" t="shared"/>
        <v>0</v>
      </c>
      <c r="R73" s="104">
        <f si="145" t="shared"/>
        <v>0</v>
      </c>
      <c r="S73" s="104">
        <f si="145" t="shared"/>
        <v>2.616001784420036E-3</v>
      </c>
      <c r="T73" s="104">
        <f si="145" t="shared"/>
        <v>0</v>
      </c>
      <c r="U73" s="104">
        <f si="145" t="shared"/>
        <v>0</v>
      </c>
      <c r="V73" s="104">
        <f si="145" t="shared"/>
        <v>0</v>
      </c>
      <c r="W73" s="104">
        <f si="145" t="shared"/>
        <v>0.11094241614722469</v>
      </c>
      <c r="Y73" s="95">
        <v>13</v>
      </c>
      <c r="Z73" s="104">
        <f ref="Z73:AU73" si="146" t="shared">IF($W$55&gt;0,Z46/$W$55,0)</f>
        <v>3.6520858548272062E-3</v>
      </c>
      <c r="AA73" s="104">
        <f si="146" t="shared"/>
        <v>3.3825972615072952E-3</v>
      </c>
      <c r="AB73" s="104">
        <f si="146" t="shared"/>
        <v>1.340079890279338E-3</v>
      </c>
      <c r="AC73" s="104">
        <f si="146" t="shared"/>
        <v>1.4873414166836608E-3</v>
      </c>
      <c r="AD73" s="104">
        <f si="146" t="shared"/>
        <v>8.953500805382828E-4</v>
      </c>
      <c r="AE73" s="104">
        <f si="146" t="shared"/>
        <v>6.9360178936436062E-3</v>
      </c>
      <c r="AF73" s="104">
        <f si="146" t="shared"/>
        <v>1.9762496843460122E-2</v>
      </c>
      <c r="AG73" s="104">
        <f si="146" t="shared"/>
        <v>2.3267321171883008E-4</v>
      </c>
      <c r="AH73" s="104">
        <f si="146" t="shared"/>
        <v>4.1439393530176448E-3</v>
      </c>
      <c r="AI73" s="104">
        <f si="146" t="shared"/>
        <v>1.0853174495998592E-3</v>
      </c>
      <c r="AJ73" s="104">
        <f si="146" t="shared"/>
        <v>1.8878927685034188E-3</v>
      </c>
      <c r="AK73" s="104">
        <f si="146" t="shared"/>
        <v>1.5391774739779825E-2</v>
      </c>
      <c r="AL73" s="104">
        <f si="146" t="shared"/>
        <v>4.3939894248521849E-2</v>
      </c>
      <c r="AM73" s="104">
        <f si="146" t="shared"/>
        <v>2.6212551699969467E-4</v>
      </c>
      <c r="AN73" s="104">
        <f si="146" t="shared"/>
        <v>3.0600945186818286E-3</v>
      </c>
      <c r="AO73" s="104">
        <f si="146" t="shared"/>
        <v>2.341458269828733E-4</v>
      </c>
      <c r="AP73" s="104">
        <f si="146" t="shared"/>
        <v>2.7685166964012693E-4</v>
      </c>
      <c r="AQ73" s="104">
        <f si="146" t="shared"/>
        <v>1.9791949148740989E-3</v>
      </c>
      <c r="AR73" s="104">
        <f si="146" t="shared"/>
        <v>5.2425103399938934E-4</v>
      </c>
      <c r="AS73" s="104">
        <f si="146" t="shared"/>
        <v>4.6829165396574659E-4</v>
      </c>
      <c r="AT73" s="104">
        <f si="146" t="shared"/>
        <v>0</v>
      </c>
      <c r="AU73" s="104">
        <f si="146" t="shared"/>
        <v>0.11094241614722469</v>
      </c>
      <c r="AW73" s="95">
        <v>13</v>
      </c>
      <c r="AX73" s="104">
        <f ref="AX73:BS73" si="147" t="shared">IF($BS$55&gt;0,AX46/$BS$55,0)</f>
        <v>2.4309884238646481E-3</v>
      </c>
      <c r="AY73" s="104">
        <f si="147" t="shared"/>
        <v>2.2336004749183734E-3</v>
      </c>
      <c r="AZ73" s="104">
        <f si="147" t="shared"/>
        <v>6.8566340160284948E-4</v>
      </c>
      <c r="BA73" s="104">
        <f si="147" t="shared"/>
        <v>6.6191748293262091E-4</v>
      </c>
      <c r="BB73" s="104">
        <f si="147" t="shared"/>
        <v>5.5209260908281393E-4</v>
      </c>
      <c r="BC73" s="104">
        <f si="147" t="shared"/>
        <v>4.0739091718610867E-3</v>
      </c>
      <c r="BD73" s="104">
        <f si="147" t="shared"/>
        <v>2.442119323241318E-2</v>
      </c>
      <c r="BE73" s="104">
        <f si="147" t="shared"/>
        <v>9.4983674680914213E-5</v>
      </c>
      <c r="BF73" s="104">
        <f si="147" t="shared"/>
        <v>3.0528346690412585E-3</v>
      </c>
      <c r="BG73" s="104">
        <f si="147" t="shared"/>
        <v>3.5767289997031758E-4</v>
      </c>
      <c r="BH73" s="104">
        <f si="147" t="shared"/>
        <v>4.7343425348768181E-4</v>
      </c>
      <c r="BI73" s="104">
        <f si="147" t="shared"/>
        <v>1.7140100920154347E-2</v>
      </c>
      <c r="BJ73" s="104">
        <f si="147" t="shared"/>
        <v>4.8354111012169784E-2</v>
      </c>
      <c r="BK73" s="104">
        <f si="147" t="shared"/>
        <v>2.5230038587117839E-5</v>
      </c>
      <c r="BL73" s="104">
        <f si="147" t="shared"/>
        <v>3.9744731374295045E-3</v>
      </c>
      <c r="BM73" s="104">
        <f si="147" t="shared"/>
        <v>1.3653903235381418E-4</v>
      </c>
      <c r="BN73" s="104">
        <f si="147" t="shared"/>
        <v>6.5301276343128519E-5</v>
      </c>
      <c r="BO73" s="104">
        <f si="147" t="shared"/>
        <v>1.7482932620955774E-3</v>
      </c>
      <c r="BP73" s="104">
        <f si="147" t="shared"/>
        <v>3.4431582071831404E-4</v>
      </c>
      <c r="BQ73" s="104">
        <f si="147" t="shared"/>
        <v>1.157613535173642E-4</v>
      </c>
      <c r="BR73" s="104">
        <f si="147" t="shared"/>
        <v>0</v>
      </c>
      <c r="BS73" s="104">
        <f si="147" t="shared"/>
        <v>0.11094241614722469</v>
      </c>
    </row>
    <row r="74" spans="1:71" x14ac:dyDescent="0.25">
      <c r="A74" s="95">
        <v>14</v>
      </c>
      <c r="B74" s="104">
        <f ref="B74:W74" si="148" t="shared">IF($W$55&gt;0,B47/$W$55,0)</f>
        <v>4.7878957113250166E-3</v>
      </c>
      <c r="C74" s="104">
        <f si="148" t="shared"/>
        <v>1.4200107525153662E-3</v>
      </c>
      <c r="D74" s="104">
        <f si="148" t="shared"/>
        <v>1.1257849253642728E-4</v>
      </c>
      <c r="E74" s="104">
        <f si="148" t="shared"/>
        <v>1.3742420575845384E-4</v>
      </c>
      <c r="F74" s="104">
        <f si="148" t="shared"/>
        <v>5.3822889280192199E-4</v>
      </c>
      <c r="G74" s="104">
        <f si="148" t="shared"/>
        <v>2.1866034402803092E-3</v>
      </c>
      <c r="H74" s="104">
        <f si="148" t="shared"/>
        <v>7.7224569050345288E-4</v>
      </c>
      <c r="I74" s="104">
        <f si="148" t="shared"/>
        <v>7.5655139096897567E-5</v>
      </c>
      <c r="J74" s="104">
        <f si="148" t="shared"/>
        <v>9.3692214940551094E-4</v>
      </c>
      <c r="K74" s="104">
        <f si="148" t="shared"/>
        <v>4.1716242675129728E-4</v>
      </c>
      <c r="L74" s="104">
        <f si="148" t="shared"/>
        <v>2.4290655237539762E-3</v>
      </c>
      <c r="M74" s="104">
        <f si="148" t="shared"/>
        <v>1.5933857024486772E-3</v>
      </c>
      <c r="N74" s="104">
        <f si="148" t="shared"/>
        <v>0</v>
      </c>
      <c r="O74" s="104">
        <f si="148" t="shared"/>
        <v>1.3839240135119547E-2</v>
      </c>
      <c r="P74" s="104">
        <f si="148" t="shared"/>
        <v>0</v>
      </c>
      <c r="Q74" s="104">
        <f si="148" t="shared"/>
        <v>0</v>
      </c>
      <c r="R74" s="104">
        <f si="148" t="shared"/>
        <v>1.2072601632986144E-3</v>
      </c>
      <c r="S74" s="104">
        <f si="148" t="shared"/>
        <v>0</v>
      </c>
      <c r="T74" s="104">
        <f si="148" t="shared"/>
        <v>6.7247665232672077E-5</v>
      </c>
      <c r="U74" s="104">
        <f si="148" t="shared"/>
        <v>0</v>
      </c>
      <c r="V74" s="104">
        <f si="148" t="shared"/>
        <v>0</v>
      </c>
      <c r="W74" s="104">
        <f si="148" t="shared"/>
        <v>3.052092609082814E-2</v>
      </c>
      <c r="Y74" s="95">
        <v>14</v>
      </c>
      <c r="Z74" s="104">
        <f ref="Z74:AU74" si="149" t="shared">IF($W$55&gt;0,Z47/$W$55,0)</f>
        <v>1.7461830946796763E-3</v>
      </c>
      <c r="AA74" s="104">
        <f si="149" t="shared"/>
        <v>1.6009948373692311E-3</v>
      </c>
      <c r="AB74" s="104">
        <f si="149" t="shared"/>
        <v>9.1298561804225773E-4</v>
      </c>
      <c r="AC74" s="104">
        <f si="149" t="shared"/>
        <v>9.2083363195093041E-4</v>
      </c>
      <c r="AD74" s="104">
        <f si="149" t="shared"/>
        <v>6.3568912660248885E-4</v>
      </c>
      <c r="AE74" s="104">
        <f si="149" t="shared"/>
        <v>3.0594174220642421E-3</v>
      </c>
      <c r="AF74" s="104">
        <f si="149" t="shared"/>
        <v>1.1955141187544747E-3</v>
      </c>
      <c r="AG74" s="104">
        <f si="149" t="shared"/>
        <v>4.2510075338643807E-4</v>
      </c>
      <c r="AH74" s="104">
        <f si="149" t="shared"/>
        <v>1.0477098568078057E-3</v>
      </c>
      <c r="AI74" s="104">
        <f si="149" t="shared"/>
        <v>4.4602879047623189E-4</v>
      </c>
      <c r="AJ74" s="104">
        <f si="149" t="shared"/>
        <v>2.9416972134341515E-3</v>
      </c>
      <c r="AK74" s="104">
        <f si="149" t="shared"/>
        <v>2.6186206408604583E-3</v>
      </c>
      <c r="AL74" s="104">
        <f si="149" t="shared"/>
        <v>5.8467703619611633E-4</v>
      </c>
      <c r="AM74" s="104">
        <f si="149" t="shared"/>
        <v>9.2161843334179778E-3</v>
      </c>
      <c r="AN74" s="104">
        <f si="149" t="shared"/>
        <v>3.1261255402879597E-4</v>
      </c>
      <c r="AO74" s="104">
        <f si="149" t="shared"/>
        <v>9.6792171540296661E-5</v>
      </c>
      <c r="AP74" s="104">
        <f si="149" t="shared"/>
        <v>1.5905308188243342E-3</v>
      </c>
      <c r="AQ74" s="104">
        <f si="149" t="shared"/>
        <v>1.7658031294513578E-4</v>
      </c>
      <c r="AR74" s="104">
        <f si="149" t="shared"/>
        <v>7.7956938159482174E-4</v>
      </c>
      <c r="AS74" s="104">
        <f si="149" t="shared"/>
        <v>2.1320437785227509E-4</v>
      </c>
      <c r="AT74" s="104">
        <f si="149" t="shared"/>
        <v>0</v>
      </c>
      <c r="AU74" s="104">
        <f si="149" t="shared"/>
        <v>3.052092609082814E-2</v>
      </c>
      <c r="AW74" s="95">
        <v>14</v>
      </c>
      <c r="AX74" s="104">
        <f ref="AX74:BS74" si="150" t="shared">IF($BS$55&gt;0,AX47/$BS$55,0)</f>
        <v>2.0287919263876522E-3</v>
      </c>
      <c r="AY74" s="104">
        <f si="150" t="shared"/>
        <v>9.7358266547937068E-4</v>
      </c>
      <c r="AZ74" s="104">
        <f si="150" t="shared"/>
        <v>9.7506678539625998E-4</v>
      </c>
      <c r="BA74" s="104">
        <f si="150" t="shared"/>
        <v>1.0136539032353814E-3</v>
      </c>
      <c r="BB74" s="104">
        <f si="150" t="shared"/>
        <v>7.1831403977441375E-4</v>
      </c>
      <c r="BC74" s="104">
        <f si="150" t="shared"/>
        <v>3.7266251113089936E-3</v>
      </c>
      <c r="BD74" s="104">
        <f si="150" t="shared"/>
        <v>4.2000593647966756E-4</v>
      </c>
      <c r="BE74" s="104">
        <f si="150" t="shared"/>
        <v>3.6954585930543186E-4</v>
      </c>
      <c r="BF74" s="104">
        <f si="150" t="shared"/>
        <v>8.3852775304244583E-4</v>
      </c>
      <c r="BG74" s="104">
        <f si="150" t="shared"/>
        <v>4.9421193232413179E-4</v>
      </c>
      <c r="BH74" s="104">
        <f si="150" t="shared"/>
        <v>3.4179281685960228E-3</v>
      </c>
      <c r="BI74" s="104">
        <f si="150" t="shared"/>
        <v>1.5241911546452953E-3</v>
      </c>
      <c r="BJ74" s="104">
        <f si="150" t="shared"/>
        <v>5.3428317008014251E-5</v>
      </c>
      <c r="BK74" s="104">
        <f si="150" t="shared"/>
        <v>1.0546156129415257E-2</v>
      </c>
      <c r="BL74" s="104">
        <f si="150" t="shared"/>
        <v>8.3110715345799938E-5</v>
      </c>
      <c r="BM74" s="104">
        <f si="150" t="shared"/>
        <v>3.5618878005342832E-5</v>
      </c>
      <c r="BN74" s="104">
        <f si="150" t="shared"/>
        <v>2.1549421193232414E-3</v>
      </c>
      <c r="BO74" s="104">
        <f si="150" t="shared"/>
        <v>8.9047195013357079E-6</v>
      </c>
      <c r="BP74" s="104">
        <f si="150" t="shared"/>
        <v>1.1353517364203027E-3</v>
      </c>
      <c r="BQ74" s="104">
        <f si="150" t="shared"/>
        <v>2.9682398337785692E-6</v>
      </c>
      <c r="BR74" s="104">
        <f si="150" t="shared"/>
        <v>0</v>
      </c>
      <c r="BS74" s="104">
        <f si="150" t="shared"/>
        <v>3.052092609082814E-2</v>
      </c>
    </row>
    <row r="75" spans="1:71" x14ac:dyDescent="0.25">
      <c r="A75" s="95">
        <v>15</v>
      </c>
      <c r="B75" s="104">
        <f ref="B75:W75" si="151" t="shared">IF($W$55&gt;0,B48/$W$55,0)</f>
        <v>2.4762203954941464E-3</v>
      </c>
      <c r="C75" s="104">
        <f si="151" t="shared"/>
        <v>3.2535866493981999E-3</v>
      </c>
      <c r="D75" s="104">
        <f si="151" t="shared"/>
        <v>1.1938005661405046E-3</v>
      </c>
      <c r="E75" s="104">
        <f si="151" t="shared"/>
        <v>7.2803229410977515E-4</v>
      </c>
      <c r="F75" s="104">
        <f si="151" t="shared"/>
        <v>4.3794090734495877E-4</v>
      </c>
      <c r="G75" s="104">
        <f si="151" t="shared"/>
        <v>1.7515142062254872E-3</v>
      </c>
      <c r="H75" s="104">
        <f si="151" t="shared"/>
        <v>3.1771291540166986E-3</v>
      </c>
      <c r="I75" s="104">
        <f si="151" t="shared"/>
        <v>0</v>
      </c>
      <c r="J75" s="104">
        <f si="151" t="shared"/>
        <v>5.8345464689007233E-3</v>
      </c>
      <c r="K75" s="104">
        <f si="151" t="shared"/>
        <v>5.1987707718219539E-4</v>
      </c>
      <c r="L75" s="104">
        <f si="151" t="shared"/>
        <v>8.9337987647466837E-4</v>
      </c>
      <c r="M75" s="104">
        <f si="151" t="shared"/>
        <v>1.3513772137964122E-3</v>
      </c>
      <c r="N75" s="104">
        <f si="151" t="shared"/>
        <v>5.7188819269015645E-3</v>
      </c>
      <c r="O75" s="104">
        <f si="151" t="shared"/>
        <v>0</v>
      </c>
      <c r="P75" s="104">
        <f si="151" t="shared"/>
        <v>1.7676655610252039E-2</v>
      </c>
      <c r="Q75" s="104">
        <f si="151" t="shared"/>
        <v>0</v>
      </c>
      <c r="R75" s="104">
        <f si="151" t="shared"/>
        <v>0</v>
      </c>
      <c r="S75" s="104">
        <f si="151" t="shared"/>
        <v>0</v>
      </c>
      <c r="T75" s="104">
        <f si="151" t="shared"/>
        <v>1.1172372678132672E-4</v>
      </c>
      <c r="U75" s="104">
        <f si="151" t="shared"/>
        <v>0</v>
      </c>
      <c r="V75" s="104">
        <f si="151" t="shared"/>
        <v>0</v>
      </c>
      <c r="W75" s="104">
        <f si="151" t="shared"/>
        <v>4.5124666073018703E-2</v>
      </c>
      <c r="Y75" s="95">
        <v>15</v>
      </c>
      <c r="Z75" s="104">
        <f ref="Z75:AU75" si="152" t="shared">IF($W$55&gt;0,Z48/$W$55,0)</f>
        <v>1.7677731214013879E-3</v>
      </c>
      <c r="AA75" s="104">
        <f si="152" t="shared"/>
        <v>2.0648008775509918E-3</v>
      </c>
      <c r="AB75" s="104">
        <f si="152" t="shared"/>
        <v>6.4770369733063433E-4</v>
      </c>
      <c r="AC75" s="104">
        <f si="152" t="shared"/>
        <v>6.4116123574143604E-4</v>
      </c>
      <c r="AD75" s="104">
        <f si="152" t="shared"/>
        <v>4.553553266082036E-4</v>
      </c>
      <c r="AE75" s="104">
        <f si="152" t="shared"/>
        <v>3.1992637171179817E-3</v>
      </c>
      <c r="AF75" s="104">
        <f si="152" t="shared"/>
        <v>4.6320628051524154E-3</v>
      </c>
      <c r="AG75" s="104">
        <f si="152" t="shared"/>
        <v>1.5571058582292019E-4</v>
      </c>
      <c r="AH75" s="104">
        <f si="152" t="shared"/>
        <v>4.5496277891285165E-3</v>
      </c>
      <c r="AI75" s="104">
        <f si="152" t="shared"/>
        <v>4.6058929587956224E-4</v>
      </c>
      <c r="AJ75" s="104">
        <f si="152" t="shared"/>
        <v>1.4838302884301806E-3</v>
      </c>
      <c r="AK75" s="104">
        <f si="152" t="shared"/>
        <v>4.3258756027779333E-3</v>
      </c>
      <c r="AL75" s="104">
        <f si="152" t="shared"/>
        <v>4.0615601545743209E-3</v>
      </c>
      <c r="AM75" s="104">
        <f si="152" t="shared"/>
        <v>2.3422012489330007E-4</v>
      </c>
      <c r="AN75" s="104">
        <f si="152" t="shared"/>
        <v>1.4600157282454986E-2</v>
      </c>
      <c r="AO75" s="104">
        <f si="152" t="shared"/>
        <v>9.0285969930936912E-5</v>
      </c>
      <c r="AP75" s="104">
        <f si="152" t="shared"/>
        <v>2.1851821707922413E-4</v>
      </c>
      <c r="AQ75" s="104">
        <f si="152" t="shared"/>
        <v>2.3945409416465877E-4</v>
      </c>
      <c r="AR75" s="104">
        <f si="152" t="shared"/>
        <v>1.114835454799395E-3</v>
      </c>
      <c r="AS75" s="104">
        <f si="152" t="shared"/>
        <v>1.8188043217971347E-4</v>
      </c>
      <c r="AT75" s="104">
        <f si="152" t="shared"/>
        <v>0</v>
      </c>
      <c r="AU75" s="104">
        <f si="152" t="shared"/>
        <v>4.5124666073018703E-2</v>
      </c>
      <c r="AW75" s="95">
        <v>15</v>
      </c>
      <c r="AX75" s="104">
        <f ref="AX75:BS75" si="153" t="shared">IF($BS$55&gt;0,AX48/$BS$55,0)</f>
        <v>1.7675868210151381E-3</v>
      </c>
      <c r="AY75" s="104">
        <f si="153" t="shared"/>
        <v>1.5612941525675274E-3</v>
      </c>
      <c r="AZ75" s="104">
        <f si="153" t="shared"/>
        <v>6.2333036509349955E-4</v>
      </c>
      <c r="BA75" s="104">
        <f si="153" t="shared"/>
        <v>3.7845057880676761E-4</v>
      </c>
      <c r="BB75" s="104">
        <f si="153" t="shared"/>
        <v>3.6657761947165332E-4</v>
      </c>
      <c r="BC75" s="104">
        <f si="153" t="shared"/>
        <v>2.6580587711487087E-3</v>
      </c>
      <c r="BD75" s="104">
        <f si="153" t="shared"/>
        <v>3.6939744731374295E-3</v>
      </c>
      <c r="BE75" s="104">
        <f si="153" t="shared"/>
        <v>8.3110715345799938E-5</v>
      </c>
      <c r="BF75" s="104">
        <f si="153" t="shared"/>
        <v>5.2448797862867319E-3</v>
      </c>
      <c r="BG75" s="104">
        <f si="153" t="shared"/>
        <v>1.9145146927871773E-4</v>
      </c>
      <c r="BH75" s="104">
        <f si="153" t="shared"/>
        <v>1.1219946571682992E-3</v>
      </c>
      <c r="BI75" s="104">
        <f si="153" t="shared"/>
        <v>2.8717720391807657E-3</v>
      </c>
      <c r="BJ75" s="104">
        <f si="153" t="shared"/>
        <v>5.5639655684179279E-3</v>
      </c>
      <c r="BK75" s="104">
        <f si="153" t="shared"/>
        <v>7.5690115761353522E-5</v>
      </c>
      <c r="BL75" s="104">
        <f si="153" t="shared"/>
        <v>1.7184624517661028E-2</v>
      </c>
      <c r="BM75" s="104">
        <f si="153" t="shared"/>
        <v>2.0777678836449985E-5</v>
      </c>
      <c r="BN75" s="104">
        <f si="153" t="shared"/>
        <v>1.1724547343425349E-4</v>
      </c>
      <c r="BO75" s="104">
        <f si="153" t="shared"/>
        <v>8.607895517957851E-5</v>
      </c>
      <c r="BP75" s="104">
        <f si="153" t="shared"/>
        <v>1.5034134758088453E-3</v>
      </c>
      <c r="BQ75" s="104">
        <f si="153" t="shared"/>
        <v>1.0388839418224992E-5</v>
      </c>
      <c r="BR75" s="104">
        <f si="153" t="shared"/>
        <v>0</v>
      </c>
      <c r="BS75" s="104">
        <f si="153" t="shared"/>
        <v>4.5124666073018703E-2</v>
      </c>
    </row>
    <row r="76" spans="1:71" x14ac:dyDescent="0.25">
      <c r="A76" s="95">
        <v>16</v>
      </c>
      <c r="B76" s="104">
        <f ref="B76:W76" si="154" t="shared">IF($W$55&gt;0,B49/$W$55,0)</f>
        <v>6.0079140114060819E-4</v>
      </c>
      <c r="C76" s="104">
        <f si="154" t="shared"/>
        <v>5.4549503171623143E-4</v>
      </c>
      <c r="D76" s="104">
        <f si="154" t="shared"/>
        <v>1.1078076264305445E-3</v>
      </c>
      <c r="E76" s="104">
        <f si="154" t="shared"/>
        <v>6.399389969391282E-4</v>
      </c>
      <c r="F76" s="104">
        <f si="154" t="shared"/>
        <v>1.1675276941022924E-3</v>
      </c>
      <c r="G76" s="104">
        <f si="154" t="shared"/>
        <v>6.18538496644239E-3</v>
      </c>
      <c r="H76" s="104">
        <f si="154" t="shared"/>
        <v>7.8925369262420892E-4</v>
      </c>
      <c r="I76" s="104">
        <f si="154" t="shared"/>
        <v>1.6202865976579764E-3</v>
      </c>
      <c r="J76" s="104">
        <f si="154" t="shared"/>
        <v>1.0004382173360461E-3</v>
      </c>
      <c r="K76" s="104">
        <f si="154" t="shared"/>
        <v>5.4549503171623143E-4</v>
      </c>
      <c r="L76" s="104">
        <f si="154" t="shared"/>
        <v>0</v>
      </c>
      <c r="M76" s="104">
        <f si="154" t="shared"/>
        <v>6.0919759361875089E-3</v>
      </c>
      <c r="N76" s="104">
        <f si="154" t="shared"/>
        <v>0</v>
      </c>
      <c r="O76" s="104">
        <f si="154" t="shared"/>
        <v>0</v>
      </c>
      <c r="P76" s="104">
        <f si="154" t="shared"/>
        <v>0</v>
      </c>
      <c r="Q76" s="104">
        <f si="154" t="shared"/>
        <v>2.1614205911674983E-4</v>
      </c>
      <c r="R76" s="104">
        <f si="154" t="shared"/>
        <v>0</v>
      </c>
      <c r="S76" s="104">
        <f si="154" t="shared"/>
        <v>0</v>
      </c>
      <c r="T76" s="104">
        <f si="154" t="shared"/>
        <v>0</v>
      </c>
      <c r="U76" s="104">
        <f si="154" t="shared"/>
        <v>0</v>
      </c>
      <c r="V76" s="104">
        <f si="154" t="shared"/>
        <v>0</v>
      </c>
      <c r="W76" s="104">
        <f si="154" t="shared"/>
        <v>2.0510537251409913E-2</v>
      </c>
      <c r="Y76" s="95">
        <v>16</v>
      </c>
      <c r="Z76" s="104">
        <f ref="Z76:AU76" si="155" t="shared">IF($W$55&gt;0,Z49/$W$55,0)</f>
        <v>1.5437473222948608E-3</v>
      </c>
      <c r="AA76" s="104">
        <f si="155" t="shared"/>
        <v>8.8232917654161136E-4</v>
      </c>
      <c r="AB76" s="104">
        <f si="155" t="shared"/>
        <v>3.6555515809026515E-4</v>
      </c>
      <c r="AC76" s="104">
        <f si="155" t="shared"/>
        <v>5.1545907183951059E-4</v>
      </c>
      <c r="AD76" s="104">
        <f si="155" t="shared"/>
        <v>7.1138611700299805E-4</v>
      </c>
      <c r="AE76" s="104">
        <f si="155" t="shared"/>
        <v>4.2117739977090623E-3</v>
      </c>
      <c r="AF76" s="104">
        <f si="155" t="shared"/>
        <v>7.850231272657854E-4</v>
      </c>
      <c r="AG76" s="104">
        <f si="155" t="shared"/>
        <v>1.1834519506519375E-4</v>
      </c>
      <c r="AH76" s="104">
        <f si="155" t="shared"/>
        <v>6.2591458723369145E-4</v>
      </c>
      <c r="AI76" s="104">
        <f si="155" t="shared"/>
        <v>1.2268451888425087E-3</v>
      </c>
      <c r="AJ76" s="104">
        <f si="155" t="shared"/>
        <v>3.9842882338615232E-4</v>
      </c>
      <c r="AK76" s="104">
        <f si="155" t="shared"/>
        <v>6.5024109955264791E-3</v>
      </c>
      <c r="AL76" s="104">
        <f si="155" t="shared"/>
        <v>5.1151423200400414E-4</v>
      </c>
      <c r="AM76" s="104">
        <f si="155" t="shared"/>
        <v>7.4951956874622704E-5</v>
      </c>
      <c r="AN76" s="104">
        <f si="155" t="shared"/>
        <v>1.4069928746639703E-4</v>
      </c>
      <c r="AO76" s="104">
        <f si="155" t="shared"/>
        <v>1.1703024845335825E-3</v>
      </c>
      <c r="AP76" s="104">
        <f si="155" t="shared"/>
        <v>3.9448398355064585E-5</v>
      </c>
      <c r="AQ76" s="104">
        <f si="155" t="shared"/>
        <v>3.9579893016248132E-4</v>
      </c>
      <c r="AR76" s="104">
        <f si="155" t="shared"/>
        <v>1.1308540861785181E-4</v>
      </c>
      <c r="AS76" s="104">
        <f si="155" t="shared"/>
        <v>1.7751779259779062E-4</v>
      </c>
      <c r="AT76" s="104">
        <f si="155" t="shared"/>
        <v>0</v>
      </c>
      <c r="AU76" s="104">
        <f si="155" t="shared"/>
        <v>2.0510537251409913E-2</v>
      </c>
      <c r="AW76" s="95">
        <v>16</v>
      </c>
      <c r="AX76" s="104">
        <f ref="AX76:BS76" si="156" t="shared">IF($BS$55&gt;0,AX49/$BS$55,0)</f>
        <v>1.6503413475808845E-3</v>
      </c>
      <c r="AY76" s="104">
        <f si="156" t="shared"/>
        <v>7.3909171861086373E-4</v>
      </c>
      <c r="AZ76" s="104">
        <f si="156" t="shared"/>
        <v>3.0276046304541409E-4</v>
      </c>
      <c r="BA76" s="104">
        <f si="156" t="shared"/>
        <v>5.6396556841792822E-4</v>
      </c>
      <c r="BB76" s="104">
        <f si="156" t="shared"/>
        <v>8.0587711487088156E-4</v>
      </c>
      <c r="BC76" s="104">
        <f si="156" t="shared"/>
        <v>4.2831700801424753E-3</v>
      </c>
      <c r="BD76" s="104">
        <f si="156" t="shared"/>
        <v>4.6304541406945682E-4</v>
      </c>
      <c r="BE76" s="104">
        <f si="156" t="shared"/>
        <v>1.5880083110715346E-4</v>
      </c>
      <c r="BF76" s="104">
        <f si="156" t="shared"/>
        <v>3.2056990204808546E-4</v>
      </c>
      <c r="BG76" s="104">
        <f si="156" t="shared"/>
        <v>1.4203027604630454E-3</v>
      </c>
      <c r="BH76" s="104">
        <f si="156" t="shared"/>
        <v>2.2410210745028199E-4</v>
      </c>
      <c r="BI76" s="104">
        <f si="156" t="shared"/>
        <v>7.4354407836153165E-3</v>
      </c>
      <c r="BJ76" s="104">
        <f si="156" t="shared"/>
        <v>1.3060255268625704E-4</v>
      </c>
      <c r="BK76" s="104">
        <f si="156" t="shared"/>
        <v>4.4523597506678541E-5</v>
      </c>
      <c r="BL76" s="104">
        <f si="156" t="shared"/>
        <v>2.9682398337785694E-5</v>
      </c>
      <c r="BM76" s="104">
        <f si="156" t="shared"/>
        <v>1.4277233600474919E-3</v>
      </c>
      <c r="BN76" s="104">
        <f si="156" t="shared"/>
        <v>1.4841199168892847E-5</v>
      </c>
      <c r="BO76" s="104">
        <f si="156" t="shared"/>
        <v>2.923716236271891E-4</v>
      </c>
      <c r="BP76" s="104">
        <f si="156" t="shared"/>
        <v>5.0460077174235679E-5</v>
      </c>
      <c r="BQ76" s="104">
        <f si="156" t="shared"/>
        <v>1.5286435143959632E-4</v>
      </c>
      <c r="BR76" s="104">
        <f si="156" t="shared"/>
        <v>0</v>
      </c>
      <c r="BS76" s="104">
        <f si="156" t="shared"/>
        <v>2.0510537251409913E-2</v>
      </c>
    </row>
    <row r="77" spans="1:71" x14ac:dyDescent="0.25">
      <c r="A77" s="95">
        <v>17</v>
      </c>
      <c r="B77" s="104">
        <f ref="B77:W77" si="157" t="shared">IF($W$55&gt;0,B50/$W$55,0)</f>
        <v>1.9934285708271904E-3</v>
      </c>
      <c r="C77" s="104">
        <f si="157" t="shared"/>
        <v>2.0189897960332073E-3</v>
      </c>
      <c r="D77" s="104">
        <f si="157" t="shared"/>
        <v>7.2575326938434403E-4</v>
      </c>
      <c r="E77" s="104">
        <f si="157" t="shared"/>
        <v>1.5654829674647658E-3</v>
      </c>
      <c r="F77" s="104">
        <f si="157" t="shared"/>
        <v>6.5400808641833763E-4</v>
      </c>
      <c r="G77" s="104">
        <f si="157" t="shared"/>
        <v>8.6296092809283898E-4</v>
      </c>
      <c r="H77" s="104">
        <f si="157" t="shared"/>
        <v>1.6725051992806524E-3</v>
      </c>
      <c r="I77" s="104">
        <f si="157" t="shared"/>
        <v>0</v>
      </c>
      <c r="J77" s="104">
        <f si="157" t="shared"/>
        <v>5.1108380983598415E-4</v>
      </c>
      <c r="K77" s="104">
        <f si="157" t="shared"/>
        <v>0</v>
      </c>
      <c r="L77" s="104">
        <f si="157" t="shared"/>
        <v>7.1918661407201828E-3</v>
      </c>
      <c r="M77" s="104">
        <f si="157" t="shared"/>
        <v>1.3732957024270599E-3</v>
      </c>
      <c r="N77" s="104">
        <f si="157" t="shared"/>
        <v>0</v>
      </c>
      <c r="O77" s="104">
        <f si="157" t="shared"/>
        <v>1.2523959602360741E-3</v>
      </c>
      <c r="P77" s="104">
        <f si="157" t="shared"/>
        <v>1.2157569995392495E-4</v>
      </c>
      <c r="Q77" s="104">
        <f si="157" t="shared"/>
        <v>0</v>
      </c>
      <c r="R77" s="104">
        <f si="157" t="shared"/>
        <v>5.9626071523224975E-3</v>
      </c>
      <c r="S77" s="104">
        <f si="157" t="shared"/>
        <v>0</v>
      </c>
      <c r="T77" s="104">
        <f si="157" t="shared"/>
        <v>1.2296952774066257E-3</v>
      </c>
      <c r="U77" s="104">
        <f si="157" t="shared"/>
        <v>0</v>
      </c>
      <c r="V77" s="104">
        <f si="157" t="shared"/>
        <v>0</v>
      </c>
      <c r="W77" s="104">
        <f si="157" t="shared"/>
        <v>2.713564856040368E-2</v>
      </c>
      <c r="Y77" s="95">
        <v>17</v>
      </c>
      <c r="Z77" s="104">
        <f ref="Z77:AU77" si="158" t="shared">IF($W$55&gt;0,Z50/$W$55,0)</f>
        <v>1.4900235865776138E-3</v>
      </c>
      <c r="AA77" s="104">
        <f si="158" t="shared"/>
        <v>1.3858746872362148E-3</v>
      </c>
      <c r="AB77" s="104">
        <f si="158" t="shared"/>
        <v>7.5126072724929075E-4</v>
      </c>
      <c r="AC77" s="104">
        <f si="158" t="shared"/>
        <v>7.9708624295950626E-4</v>
      </c>
      <c r="AD77" s="104">
        <f si="158" t="shared"/>
        <v>4.7353032900556032E-4</v>
      </c>
      <c r="AE77" s="104">
        <f si="158" t="shared"/>
        <v>2.6467706952627511E-3</v>
      </c>
      <c r="AF77" s="104">
        <f si="158" t="shared"/>
        <v>1.0942577690802979E-3</v>
      </c>
      <c r="AG77" s="104">
        <f si="158" t="shared"/>
        <v>2.8328500620860501E-4</v>
      </c>
      <c r="AH77" s="104">
        <f si="158" t="shared"/>
        <v>1.1025896810276099E-3</v>
      </c>
      <c r="AI77" s="104">
        <f si="158" t="shared"/>
        <v>3.4577434581344437E-4</v>
      </c>
      <c r="AJ77" s="104">
        <f si="158" t="shared"/>
        <v>4.5103416674781823E-3</v>
      </c>
      <c r="AK77" s="104">
        <f si="158" t="shared"/>
        <v>2.1190829385996633E-3</v>
      </c>
      <c r="AL77" s="104">
        <f si="158" t="shared"/>
        <v>4.6797572104068574E-4</v>
      </c>
      <c r="AM77" s="104">
        <f si="158" t="shared"/>
        <v>2.096864506740165E-3</v>
      </c>
      <c r="AN77" s="104">
        <f si="158" t="shared"/>
        <v>4.2215020533047017E-4</v>
      </c>
      <c r="AO77" s="104">
        <f si="158" t="shared"/>
        <v>9.7205639385305635E-5</v>
      </c>
      <c r="AP77" s="104">
        <f si="158" t="shared"/>
        <v>3.9479376110346277E-3</v>
      </c>
      <c r="AQ77" s="104">
        <f si="158" t="shared"/>
        <v>1.2081272323602274E-4</v>
      </c>
      <c r="AR77" s="104">
        <f si="158" t="shared"/>
        <v>2.8675663618665166E-3</v>
      </c>
      <c r="AS77" s="104">
        <f si="158" t="shared"/>
        <v>1.1525811527114812E-4</v>
      </c>
      <c r="AT77" s="104">
        <f si="158" t="shared"/>
        <v>0</v>
      </c>
      <c r="AU77" s="104">
        <f si="158" t="shared"/>
        <v>2.713564856040368E-2</v>
      </c>
      <c r="AW77" s="95">
        <v>17</v>
      </c>
      <c r="AX77" s="104">
        <f ref="AX77:BS77" si="159" t="shared">IF($BS$55&gt;0,AX50/$BS$55,0)</f>
        <v>1.5390323538141881E-3</v>
      </c>
      <c r="AY77" s="104">
        <f si="159" t="shared"/>
        <v>8.0290887503710296E-4</v>
      </c>
      <c r="AZ77" s="104">
        <f si="159" t="shared"/>
        <v>9.1421786880379935E-4</v>
      </c>
      <c r="BA77" s="104">
        <f si="159" t="shared"/>
        <v>6.6340160284951021E-4</v>
      </c>
      <c r="BB77" s="104">
        <f si="159" t="shared"/>
        <v>5.0756901157613537E-4</v>
      </c>
      <c r="BC77" s="104">
        <f si="159" t="shared"/>
        <v>2.4102107450281983E-3</v>
      </c>
      <c r="BD77" s="104">
        <f si="159" t="shared"/>
        <v>4.1555357672899972E-4</v>
      </c>
      <c r="BE77" s="104">
        <f si="159" t="shared"/>
        <v>1.647373107747106E-4</v>
      </c>
      <c r="BF77" s="104">
        <f si="159" t="shared"/>
        <v>8.7266251113089939E-4</v>
      </c>
      <c r="BG77" s="104">
        <f si="159" t="shared"/>
        <v>2.419115464529534E-4</v>
      </c>
      <c r="BH77" s="104">
        <f si="159" t="shared"/>
        <v>4.8619768477292961E-3</v>
      </c>
      <c r="BI77" s="104">
        <f si="159" t="shared"/>
        <v>1.1501929355891957E-3</v>
      </c>
      <c r="BJ77" s="104">
        <f si="159" t="shared"/>
        <v>4.6007717423567827E-5</v>
      </c>
      <c r="BK77" s="104">
        <f si="159" t="shared"/>
        <v>2.8079548827545267E-3</v>
      </c>
      <c r="BL77" s="104">
        <f si="159" t="shared"/>
        <v>2.5972098545562483E-4</v>
      </c>
      <c r="BM77" s="104">
        <f si="159" t="shared"/>
        <v>1.3357079252003563E-5</v>
      </c>
      <c r="BN77" s="104">
        <f si="159" t="shared"/>
        <v>5.1959038290293859E-3</v>
      </c>
      <c r="BO77" s="104">
        <f si="159" t="shared"/>
        <v>1.1872959335114277E-5</v>
      </c>
      <c r="BP77" s="104">
        <f si="159" t="shared"/>
        <v>4.2490353220540223E-3</v>
      </c>
      <c r="BQ77" s="104">
        <f si="159" t="shared"/>
        <v>7.4205995844464235E-6</v>
      </c>
      <c r="BR77" s="104">
        <f si="159" t="shared"/>
        <v>0</v>
      </c>
      <c r="BS77" s="104">
        <f si="159" t="shared"/>
        <v>2.713564856040368E-2</v>
      </c>
    </row>
    <row r="78" spans="1:71" x14ac:dyDescent="0.25">
      <c r="A78" s="95">
        <v>18</v>
      </c>
      <c r="B78" s="104">
        <f ref="B78:W78" si="160" t="shared">IF($W$55&gt;0,B51/$W$55,0)</f>
        <v>3.7529098577936595E-3</v>
      </c>
      <c r="C78" s="104">
        <f si="160" t="shared"/>
        <v>1.3239104153794205E-3</v>
      </c>
      <c r="D78" s="104">
        <f si="160" t="shared"/>
        <v>3.5533210817803476E-4</v>
      </c>
      <c r="E78" s="104">
        <f si="160" t="shared"/>
        <v>1.4157365250489023E-3</v>
      </c>
      <c r="F78" s="104">
        <f si="160" t="shared"/>
        <v>8.0912641129686426E-4</v>
      </c>
      <c r="G78" s="104">
        <f si="160" t="shared"/>
        <v>3.1101918579264382E-3</v>
      </c>
      <c r="H78" s="104">
        <f si="160" t="shared"/>
        <v>4.036266154078148E-3</v>
      </c>
      <c r="I78" s="104">
        <f si="160" t="shared"/>
        <v>0</v>
      </c>
      <c r="J78" s="104">
        <f si="160" t="shared"/>
        <v>0</v>
      </c>
      <c r="K78" s="104">
        <f si="160" t="shared"/>
        <v>0</v>
      </c>
      <c r="L78" s="104">
        <f si="160" t="shared"/>
        <v>0</v>
      </c>
      <c r="M78" s="104">
        <f si="160" t="shared"/>
        <v>2.2209333032848302E-2</v>
      </c>
      <c r="N78" s="104">
        <f si="160" t="shared"/>
        <v>9.9571792778874041E-3</v>
      </c>
      <c r="O78" s="104">
        <f si="160" t="shared"/>
        <v>0</v>
      </c>
      <c r="P78" s="104">
        <f si="160" t="shared"/>
        <v>0</v>
      </c>
      <c r="Q78" s="104">
        <f si="160" t="shared"/>
        <v>0</v>
      </c>
      <c r="R78" s="104">
        <f si="160" t="shared"/>
        <v>0</v>
      </c>
      <c r="S78" s="104">
        <f si="160" t="shared"/>
        <v>3.9578267574891307E-3</v>
      </c>
      <c r="T78" s="104">
        <f si="160" t="shared"/>
        <v>0</v>
      </c>
      <c r="U78" s="104">
        <f si="160" t="shared"/>
        <v>4.4054616544562258E-4</v>
      </c>
      <c r="V78" s="104">
        <f si="160" t="shared"/>
        <v>0</v>
      </c>
      <c r="W78" s="104">
        <f si="160" t="shared"/>
        <v>5.1368358563371921E-2</v>
      </c>
      <c r="Y78" s="95">
        <v>18</v>
      </c>
      <c r="Z78" s="104">
        <f ref="Z78:AU78" si="161" t="shared">IF($W$55&gt;0,Z51/$W$55,0)</f>
        <v>2.0155362282029471E-3</v>
      </c>
      <c r="AA78" s="104">
        <f si="161" t="shared"/>
        <v>1.4392611848950982E-3</v>
      </c>
      <c r="AB78" s="104">
        <f si="161" t="shared"/>
        <v>4.949689109599593E-4</v>
      </c>
      <c r="AC78" s="104">
        <f si="161" t="shared"/>
        <v>6.4046409516144598E-4</v>
      </c>
      <c r="AD78" s="104">
        <f si="161" t="shared"/>
        <v>5.1493883820330065E-4</v>
      </c>
      <c r="AE78" s="104">
        <f si="161" t="shared"/>
        <v>4.3391799053031591E-3</v>
      </c>
      <c r="AF78" s="104">
        <f si="161" t="shared"/>
        <v>4.4361766947708173E-3</v>
      </c>
      <c r="AG78" s="104">
        <f si="161" t="shared"/>
        <v>1.2695168033266969E-4</v>
      </c>
      <c r="AH78" s="104">
        <f si="161" t="shared"/>
        <v>1.5005973899996461E-3</v>
      </c>
      <c r="AI78" s="104">
        <f si="161" t="shared"/>
        <v>6.9894745351694546E-4</v>
      </c>
      <c r="AJ78" s="104">
        <f si="161" t="shared"/>
        <v>6.5615475228121415E-4</v>
      </c>
      <c r="AK78" s="104">
        <f si="161" t="shared"/>
        <v>2.044492622705792E-2</v>
      </c>
      <c r="AL78" s="104">
        <f si="161" t="shared"/>
        <v>5.8469094121754274E-3</v>
      </c>
      <c r="AM78" s="104">
        <f si="161" t="shared"/>
        <v>9.1291095969560224E-5</v>
      </c>
      <c r="AN78" s="104">
        <f si="161" t="shared"/>
        <v>5.1779168495234937E-4</v>
      </c>
      <c r="AO78" s="104">
        <f si="161" t="shared"/>
        <v>2.396391269200956E-4</v>
      </c>
      <c r="AP78" s="104">
        <f si="161" t="shared"/>
        <v>7.9879708973365203E-5</v>
      </c>
      <c r="AQ78" s="104">
        <f si="161" t="shared"/>
        <v>4.9553948030976918E-3</v>
      </c>
      <c r="AR78" s="104">
        <f si="161" t="shared"/>
        <v>1.8828788543721799E-4</v>
      </c>
      <c r="AS78" s="104">
        <f si="161" t="shared"/>
        <v>2.1410614851610919E-3</v>
      </c>
      <c r="AT78" s="104">
        <f si="161" t="shared"/>
        <v>0</v>
      </c>
      <c r="AU78" s="104">
        <f si="161" t="shared"/>
        <v>5.1368358563371921E-2</v>
      </c>
      <c r="AW78" s="95">
        <v>18</v>
      </c>
      <c r="AX78" s="104">
        <f ref="AX78:BS78" si="162" t="shared">IF($BS$55&gt;0,AX51/$BS$55,0)</f>
        <v>1.2362718907687742E-3</v>
      </c>
      <c r="AY78" s="104">
        <f si="162" t="shared"/>
        <v>7.7322647669931729E-4</v>
      </c>
      <c r="AZ78" s="104">
        <f si="162" t="shared"/>
        <v>2.3449094686850698E-4</v>
      </c>
      <c r="BA78" s="104">
        <f si="162" t="shared"/>
        <v>3.2650638171564261E-4</v>
      </c>
      <c r="BB78" s="104">
        <f si="162" t="shared"/>
        <v>3.4728406055209259E-4</v>
      </c>
      <c r="BC78" s="104">
        <f si="162" t="shared"/>
        <v>2.580884535470466E-3</v>
      </c>
      <c r="BD78" s="104">
        <f si="162" t="shared"/>
        <v>2.9637874740279014E-3</v>
      </c>
      <c r="BE78" s="104">
        <f si="162" t="shared"/>
        <v>7.5690115761353522E-5</v>
      </c>
      <c r="BF78" s="104">
        <f si="162" t="shared"/>
        <v>4.7491837340457111E-4</v>
      </c>
      <c r="BG78" s="104">
        <f si="162" t="shared"/>
        <v>4.5710893440189967E-4</v>
      </c>
      <c r="BH78" s="104">
        <f si="162" t="shared"/>
        <v>1.439596319382606E-4</v>
      </c>
      <c r="BI78" s="104">
        <f si="162" t="shared"/>
        <v>2.4165924606708224E-2</v>
      </c>
      <c r="BJ78" s="104">
        <f si="162" t="shared"/>
        <v>7.5185514989611164E-3</v>
      </c>
      <c r="BK78" s="104">
        <f si="162" t="shared"/>
        <v>1.0388839418224992E-5</v>
      </c>
      <c r="BL78" s="104">
        <f si="162" t="shared"/>
        <v>2.6714158504007122E-4</v>
      </c>
      <c r="BM78" s="104">
        <f si="162" t="shared"/>
        <v>3.368952211338676E-4</v>
      </c>
      <c r="BN78" s="104">
        <f si="162" t="shared"/>
        <v>1.632531908578213E-5</v>
      </c>
      <c r="BO78" s="104">
        <f si="162" t="shared"/>
        <v>7.5497180172157908E-3</v>
      </c>
      <c r="BP78" s="104">
        <f si="162" t="shared"/>
        <v>6.8269516176907091E-5</v>
      </c>
      <c r="BQ78" s="104">
        <f si="162" t="shared"/>
        <v>1.8210151380231522E-3</v>
      </c>
      <c r="BR78" s="104">
        <f si="162" t="shared"/>
        <v>0</v>
      </c>
      <c r="BS78" s="104">
        <f si="162" t="shared"/>
        <v>5.1368358563371921E-2</v>
      </c>
    </row>
    <row r="79" spans="1:71" x14ac:dyDescent="0.25">
      <c r="A79" s="95">
        <v>19</v>
      </c>
      <c r="B79" s="104">
        <f ref="B79:W79" si="163" t="shared">IF($W$55&gt;0,B52/$W$55,0)</f>
        <v>3.4564591608933879E-3</v>
      </c>
      <c r="C79" s="104">
        <f si="163" t="shared"/>
        <v>1.0966707678740986E-3</v>
      </c>
      <c r="D79" s="104">
        <f si="163" t="shared"/>
        <v>1.0997426160435587E-3</v>
      </c>
      <c r="E79" s="104">
        <f si="163" t="shared"/>
        <v>1.4857975366782711E-3</v>
      </c>
      <c r="F79" s="104">
        <f si="163" t="shared"/>
        <v>1.2590949925226317E-3</v>
      </c>
      <c r="G79" s="104">
        <f si="163" t="shared"/>
        <v>3.1041400155354783E-3</v>
      </c>
      <c r="H79" s="104">
        <f si="163" t="shared"/>
        <v>2.7073627428781167E-3</v>
      </c>
      <c r="I79" s="104">
        <f si="163" t="shared"/>
        <v>3.7999868817463651E-4</v>
      </c>
      <c r="J79" s="104">
        <f si="163" t="shared"/>
        <v>3.1396678750514662E-3</v>
      </c>
      <c r="K79" s="104">
        <f si="163" t="shared"/>
        <v>0</v>
      </c>
      <c r="L79" s="104">
        <f si="163" t="shared"/>
        <v>1.2176979068254188E-2</v>
      </c>
      <c r="M79" s="104">
        <f si="163" t="shared"/>
        <v>7.0488535300959111E-4</v>
      </c>
      <c r="N79" s="104">
        <f si="163" t="shared"/>
        <v>0</v>
      </c>
      <c r="O79" s="104">
        <f si="163" t="shared"/>
        <v>1.4269741925646026E-3</v>
      </c>
      <c r="P79" s="104">
        <f si="163" t="shared"/>
        <v>1.2285148715903299E-3</v>
      </c>
      <c r="Q79" s="104">
        <f si="163" t="shared"/>
        <v>0</v>
      </c>
      <c r="R79" s="104">
        <f si="163" t="shared"/>
        <v>3.3797118849625218E-3</v>
      </c>
      <c r="S79" s="104">
        <f si="163" t="shared"/>
        <v>0</v>
      </c>
      <c r="T79" s="104">
        <f si="163" t="shared"/>
        <v>1.6719984205472029E-2</v>
      </c>
      <c r="U79" s="104">
        <f si="163" t="shared"/>
        <v>0</v>
      </c>
      <c r="V79" s="104">
        <f si="163" t="shared"/>
        <v>0</v>
      </c>
      <c r="W79" s="104">
        <f si="163" t="shared"/>
        <v>5.3365983971504896E-2</v>
      </c>
      <c r="Y79" s="95">
        <v>19</v>
      </c>
      <c r="Z79" s="104">
        <f ref="Z79:AU79" si="164" t="shared">IF($W$55&gt;0,Z52/$W$55,0)</f>
        <v>2.1889279819933228E-3</v>
      </c>
      <c r="AA79" s="104">
        <f si="164" t="shared"/>
        <v>1.9937028840269059E-3</v>
      </c>
      <c r="AB79" s="104">
        <f si="164" t="shared"/>
        <v>1.0617036149680504E-3</v>
      </c>
      <c r="AC79" s="104">
        <f si="164" t="shared"/>
        <v>1.1151899431780278E-3</v>
      </c>
      <c r="AD79" s="104">
        <f si="164" t="shared"/>
        <v>6.6991626082996624E-4</v>
      </c>
      <c r="AE79" s="104">
        <f si="164" t="shared"/>
        <v>4.0221718813902964E-3</v>
      </c>
      <c r="AF79" s="104">
        <f si="164" t="shared"/>
        <v>2.0271318391581416E-3</v>
      </c>
      <c r="AG79" s="104">
        <f si="164" t="shared"/>
        <v>2.9417480515487541E-4</v>
      </c>
      <c r="AH79" s="104">
        <f si="164" t="shared"/>
        <v>2.4483366738117128E-3</v>
      </c>
      <c r="AI79" s="104">
        <f si="164" t="shared"/>
        <v>5.0544580158428591E-4</v>
      </c>
      <c r="AJ79" s="104">
        <f si="164" t="shared"/>
        <v>7.9052793094346527E-3</v>
      </c>
      <c r="AK79" s="104">
        <f si="164" t="shared"/>
        <v>4.2668718329509428E-3</v>
      </c>
      <c r="AL79" s="104">
        <f si="164" t="shared"/>
        <v>9.8949707188458074E-4</v>
      </c>
      <c r="AM79" s="104">
        <f si="164" t="shared"/>
        <v>9.3734790187985308E-4</v>
      </c>
      <c r="AN79" s="104">
        <f si="164" t="shared"/>
        <v>1.9776569855639125E-3</v>
      </c>
      <c r="AO79" s="104">
        <f si="164" t="shared"/>
        <v>1.2034423847244903E-4</v>
      </c>
      <c r="AP79" s="104">
        <f si="164" t="shared"/>
        <v>4.0783325260107728E-3</v>
      </c>
      <c r="AQ79" s="104">
        <f si="164" t="shared"/>
        <v>2.3266552771340147E-4</v>
      </c>
      <c r="AR79" s="104">
        <f si="164" t="shared"/>
        <v>1.6356119166611071E-2</v>
      </c>
      <c r="AS79" s="104">
        <f si="164" t="shared"/>
        <v>1.7516772488767582E-4</v>
      </c>
      <c r="AT79" s="104">
        <f si="164" t="shared"/>
        <v>0</v>
      </c>
      <c r="AU79" s="104">
        <f si="164" t="shared"/>
        <v>5.336598397150491E-2</v>
      </c>
      <c r="AW79" s="95">
        <v>19</v>
      </c>
      <c r="AX79" s="104">
        <f ref="AX79:BS79" si="165" t="shared">IF($BS$55&gt;0,AX52/$BS$55,0)</f>
        <v>2.5170673790442266E-3</v>
      </c>
      <c r="AY79" s="104">
        <f si="165" t="shared"/>
        <v>1.4128821608785989E-3</v>
      </c>
      <c r="AZ79" s="104">
        <f si="165" t="shared"/>
        <v>1.2704066488572277E-3</v>
      </c>
      <c r="BA79" s="104">
        <f si="165" t="shared"/>
        <v>9.9732858414959937E-4</v>
      </c>
      <c r="BB79" s="104">
        <f si="165" t="shared"/>
        <v>6.5598100326506382E-4</v>
      </c>
      <c r="BC79" s="104">
        <f si="165" t="shared"/>
        <v>3.7577916295636689E-3</v>
      </c>
      <c r="BD79" s="104">
        <f si="165" t="shared"/>
        <v>8.0736123478777086E-4</v>
      </c>
      <c r="BE79" s="104">
        <f si="165" t="shared"/>
        <v>1.7809439002671417E-4</v>
      </c>
      <c r="BF79" s="104">
        <f si="165" t="shared"/>
        <v>2.2246957554170376E-3</v>
      </c>
      <c r="BG79" s="104">
        <f si="165" t="shared"/>
        <v>3.5767289997031758E-4</v>
      </c>
      <c r="BH79" s="104">
        <f si="165" t="shared"/>
        <v>1.0093499554764025E-2</v>
      </c>
      <c r="BI79" s="104">
        <f si="165" t="shared"/>
        <v>1.8165627782724845E-3</v>
      </c>
      <c r="BJ79" s="104">
        <f si="165" t="shared"/>
        <v>3.2650638171564261E-4</v>
      </c>
      <c r="BK79" s="104">
        <f si="165" t="shared"/>
        <v>1.09973285841496E-3</v>
      </c>
      <c r="BL79" s="104">
        <f si="165" t="shared"/>
        <v>2.9355891956070052E-3</v>
      </c>
      <c r="BM79" s="104">
        <f si="165" t="shared"/>
        <v>3.116651825467498E-5</v>
      </c>
      <c r="BN79" s="104">
        <f si="165" t="shared"/>
        <v>3.8987830216681506E-3</v>
      </c>
      <c r="BO79" s="104">
        <f si="165" t="shared"/>
        <v>1.632531908578213E-5</v>
      </c>
      <c r="BP79" s="104">
        <f si="165" t="shared"/>
        <v>1.896260017809439E-2</v>
      </c>
      <c r="BQ79" s="104">
        <f si="165" t="shared"/>
        <v>5.9364796675571383E-6</v>
      </c>
      <c r="BR79" s="104">
        <f si="165" t="shared"/>
        <v>0</v>
      </c>
      <c r="BS79" s="104">
        <f si="165" t="shared"/>
        <v>5.3365983971504896E-2</v>
      </c>
    </row>
    <row r="80" spans="1:71" x14ac:dyDescent="0.25">
      <c r="A80" s="95">
        <v>20</v>
      </c>
      <c r="B80" s="104">
        <f ref="B80:W80" si="166" t="shared">IF($W$55&gt;0,B53/$W$55,0)</f>
        <v>8.8421077905147304E-4</v>
      </c>
      <c r="C80" s="104">
        <f si="166" t="shared"/>
        <v>4.6422987394261118E-4</v>
      </c>
      <c r="D80" s="104">
        <f si="166" t="shared"/>
        <v>4.6422987394261118E-4</v>
      </c>
      <c r="E80" s="104">
        <f si="166" t="shared"/>
        <v>6.2188014400325778E-4</v>
      </c>
      <c r="F80" s="104">
        <f si="166" t="shared"/>
        <v>8.8294561797945965E-5</v>
      </c>
      <c r="G80" s="104">
        <f si="166" t="shared"/>
        <v>9.2302266364886808E-4</v>
      </c>
      <c r="H80" s="104">
        <f si="166" t="shared"/>
        <v>2.128809540249378E-3</v>
      </c>
      <c r="I80" s="104">
        <f si="166" t="shared"/>
        <v>0</v>
      </c>
      <c r="J80" s="104">
        <f si="166" t="shared"/>
        <v>0</v>
      </c>
      <c r="K80" s="104">
        <f si="166" t="shared"/>
        <v>1.8386498203805713E-4</v>
      </c>
      <c r="L80" s="104">
        <f si="166" t="shared"/>
        <v>1.3470709911623602E-4</v>
      </c>
      <c r="M80" s="104">
        <f si="166" t="shared"/>
        <v>7.6117298967391597E-3</v>
      </c>
      <c r="N80" s="104">
        <f si="166" t="shared"/>
        <v>6.219649248202223E-5</v>
      </c>
      <c r="O80" s="104">
        <f si="166" t="shared"/>
        <v>0</v>
      </c>
      <c r="P80" s="104">
        <f si="166" t="shared"/>
        <v>0</v>
      </c>
      <c r="Q80" s="104">
        <f si="166" t="shared"/>
        <v>0</v>
      </c>
      <c r="R80" s="104">
        <f si="166" t="shared"/>
        <v>0</v>
      </c>
      <c r="S80" s="104">
        <f si="166" t="shared"/>
        <v>4.4493557347067914E-3</v>
      </c>
      <c r="T80" s="104">
        <f si="166" t="shared"/>
        <v>0</v>
      </c>
      <c r="U80" s="104">
        <f si="166" t="shared"/>
        <v>1.988492279580014E-2</v>
      </c>
      <c r="V80" s="104">
        <f si="166" t="shared"/>
        <v>0</v>
      </c>
      <c r="W80" s="104">
        <f si="166" t="shared"/>
        <v>3.790145443751855E-2</v>
      </c>
      <c r="Y80" s="95">
        <v>20</v>
      </c>
      <c r="Z80" s="104">
        <f ref="Z80:AU80" si="167" t="shared">IF($W$55&gt;0,Z53/$W$55,0)</f>
        <v>9.6628115938505077E-4</v>
      </c>
      <c r="AA80" s="104">
        <f si="167" t="shared"/>
        <v>8.4615604257625343E-4</v>
      </c>
      <c r="AB80" s="104">
        <f si="167" t="shared"/>
        <v>3.0625304505099975E-4</v>
      </c>
      <c r="AC80" s="104">
        <f si="167" t="shared"/>
        <v>3.3661433831036605E-4</v>
      </c>
      <c r="AD80" s="104">
        <f si="167" t="shared"/>
        <v>2.7457169556296528E-4</v>
      </c>
      <c r="AE80" s="104">
        <f si="167" t="shared"/>
        <v>1.5669067434290372E-3</v>
      </c>
      <c r="AF80" s="104">
        <f si="167" t="shared"/>
        <v>1.7728355151012615E-3</v>
      </c>
      <c r="AG80" s="104">
        <f si="167" t="shared"/>
        <v>1.1352483566545679E-4</v>
      </c>
      <c r="AH80" s="104">
        <f si="167" t="shared"/>
        <v>9.1611902269566302E-4</v>
      </c>
      <c r="AI80" s="104">
        <f si="167" t="shared"/>
        <v>3.6961574402706864E-4</v>
      </c>
      <c r="AJ80" s="104">
        <f si="167" t="shared"/>
        <v>3.7885613762774536E-4</v>
      </c>
      <c r="AK80" s="104">
        <f si="167" t="shared"/>
        <v>8.2054695174009241E-3</v>
      </c>
      <c r="AL80" s="104">
        <f si="167" t="shared"/>
        <v>1.4494217390775763E-3</v>
      </c>
      <c r="AM80" s="104">
        <f si="167" t="shared"/>
        <v>1.5312652252549988E-4</v>
      </c>
      <c r="AN80" s="104">
        <f si="167" t="shared"/>
        <v>2.8909231407831437E-4</v>
      </c>
      <c r="AO80" s="104">
        <f si="167" t="shared"/>
        <v>1.122047794367887E-4</v>
      </c>
      <c r="AP80" s="104">
        <f si="167" t="shared"/>
        <v>4.7522024232051678E-5</v>
      </c>
      <c r="AQ80" s="104">
        <f si="167" t="shared"/>
        <v>5.2485435651843737E-3</v>
      </c>
      <c r="AR80" s="104">
        <f si="167" t="shared"/>
        <v>1.8480787201353432E-4</v>
      </c>
      <c r="AS80" s="104">
        <f si="167" t="shared"/>
        <v>1.4363531824137622E-2</v>
      </c>
      <c r="AT80" s="104">
        <f si="167" t="shared"/>
        <v>0</v>
      </c>
      <c r="AU80" s="104">
        <f si="167" t="shared"/>
        <v>3.790145443751855E-2</v>
      </c>
      <c r="AW80" s="95">
        <v>20</v>
      </c>
      <c r="AX80" s="104">
        <f ref="AX80:BS80" si="168" t="shared">IF($BS$55&gt;0,AX53/$BS$55,0)</f>
        <v>3.8141881864054615E-4</v>
      </c>
      <c r="AY80" s="104">
        <f si="168" t="shared"/>
        <v>2.0777678836449986E-4</v>
      </c>
      <c r="AZ80" s="104">
        <f si="168" t="shared"/>
        <v>7.4205995844464235E-5</v>
      </c>
      <c r="BA80" s="104">
        <f si="168" t="shared"/>
        <v>1.0834075393291777E-4</v>
      </c>
      <c r="BB80" s="104">
        <f si="168" t="shared"/>
        <v>1.3505491243692491E-4</v>
      </c>
      <c r="BC80" s="104">
        <f si="168" t="shared"/>
        <v>8.8305135054912438E-4</v>
      </c>
      <c r="BD80" s="104">
        <f si="168" t="shared"/>
        <v>4.7937073315523895E-4</v>
      </c>
      <c r="BE80" s="104">
        <f si="168" t="shared"/>
        <v>3.4134758088453546E-5</v>
      </c>
      <c r="BF80" s="104">
        <f si="168" t="shared"/>
        <v>1.4099139210448205E-4</v>
      </c>
      <c r="BG80" s="104">
        <f si="168" t="shared"/>
        <v>2.1668150786583555E-4</v>
      </c>
      <c r="BH80" s="104">
        <f si="168" t="shared"/>
        <v>4.7491837340457107E-5</v>
      </c>
      <c r="BI80" s="104">
        <f si="168" t="shared"/>
        <v>8.8527753042445829E-3</v>
      </c>
      <c r="BJ80" s="104">
        <f si="168" t="shared"/>
        <v>5.78806767586821E-4</v>
      </c>
      <c r="BK80" s="104">
        <f si="168" t="shared"/>
        <v>4.452359750667854E-6</v>
      </c>
      <c r="BL80" s="104">
        <f si="168" t="shared"/>
        <v>1.9293558919560702E-5</v>
      </c>
      <c r="BM80" s="104">
        <f si="168" t="shared"/>
        <v>2.7753042445829621E-4</v>
      </c>
      <c r="BN80" s="104">
        <f si="168" t="shared"/>
        <v>7.4205995844464235E-6</v>
      </c>
      <c r="BO80" s="104">
        <f si="168" t="shared"/>
        <v>6.0151380231522706E-3</v>
      </c>
      <c r="BP80" s="104">
        <f si="168" t="shared"/>
        <v>8.9047195013357079E-6</v>
      </c>
      <c r="BQ80" s="104">
        <f si="168" t="shared"/>
        <v>1.9428613831997624E-2</v>
      </c>
      <c r="BR80" s="104">
        <f si="168" t="shared"/>
        <v>0</v>
      </c>
      <c r="BS80" s="104">
        <f si="168" t="shared"/>
        <v>3.790145443751855E-2</v>
      </c>
    </row>
    <row customFormat="1" r="81" s="95" spans="1:71" x14ac:dyDescent="0.25">
      <c r="A81" s="101" t="s">
        <v>15</v>
      </c>
      <c r="B81" s="105">
        <f ref="B81:W81" si="169" t="shared">IF($W$55&gt;0,B54/$W$55,0)</f>
        <v>0</v>
      </c>
      <c r="C81" s="105">
        <f si="169" t="shared"/>
        <v>0</v>
      </c>
      <c r="D81" s="105">
        <f si="169" t="shared"/>
        <v>0</v>
      </c>
      <c r="E81" s="105">
        <f si="169" t="shared"/>
        <v>0</v>
      </c>
      <c r="F81" s="105">
        <f si="169" t="shared"/>
        <v>0</v>
      </c>
      <c r="G81" s="105">
        <f si="169" t="shared"/>
        <v>0</v>
      </c>
      <c r="H81" s="105">
        <f si="169" t="shared"/>
        <v>0</v>
      </c>
      <c r="I81" s="105">
        <f si="169" t="shared"/>
        <v>0</v>
      </c>
      <c r="J81" s="105">
        <f si="169" t="shared"/>
        <v>0</v>
      </c>
      <c r="K81" s="105">
        <f si="169" t="shared"/>
        <v>0</v>
      </c>
      <c r="L81" s="105">
        <f si="169" t="shared"/>
        <v>0</v>
      </c>
      <c r="M81" s="105">
        <f si="169" t="shared"/>
        <v>0</v>
      </c>
      <c r="N81" s="105">
        <f si="169" t="shared"/>
        <v>0</v>
      </c>
      <c r="O81" s="105">
        <f si="169" t="shared"/>
        <v>0</v>
      </c>
      <c r="P81" s="105">
        <f si="169" t="shared"/>
        <v>0</v>
      </c>
      <c r="Q81" s="105">
        <f si="169" t="shared"/>
        <v>0</v>
      </c>
      <c r="R81" s="105">
        <f si="169" t="shared"/>
        <v>0</v>
      </c>
      <c r="S81" s="105">
        <f si="169" t="shared"/>
        <v>0</v>
      </c>
      <c r="T81" s="105">
        <f si="169" t="shared"/>
        <v>0</v>
      </c>
      <c r="U81" s="105">
        <f si="169" t="shared"/>
        <v>0</v>
      </c>
      <c r="V81" s="105">
        <f si="169" t="shared"/>
        <v>0</v>
      </c>
      <c r="W81" s="105">
        <f si="169" t="shared"/>
        <v>0</v>
      </c>
      <c r="Y81" s="101" t="s">
        <v>15</v>
      </c>
      <c r="Z81" s="105">
        <f ref="Z81:AU81" si="170" t="shared">IF($W$55&gt;0,Z54/$W$55,0)</f>
        <v>0</v>
      </c>
      <c r="AA81" s="105">
        <f si="170" t="shared"/>
        <v>0</v>
      </c>
      <c r="AB81" s="105">
        <f si="170" t="shared"/>
        <v>0</v>
      </c>
      <c r="AC81" s="105">
        <f si="170" t="shared"/>
        <v>0</v>
      </c>
      <c r="AD81" s="105">
        <f si="170" t="shared"/>
        <v>0</v>
      </c>
      <c r="AE81" s="105">
        <f si="170" t="shared"/>
        <v>0</v>
      </c>
      <c r="AF81" s="105">
        <f si="170" t="shared"/>
        <v>0</v>
      </c>
      <c r="AG81" s="105">
        <f si="170" t="shared"/>
        <v>0</v>
      </c>
      <c r="AH81" s="105">
        <f si="170" t="shared"/>
        <v>0</v>
      </c>
      <c r="AI81" s="105">
        <f si="170" t="shared"/>
        <v>0</v>
      </c>
      <c r="AJ81" s="105">
        <f si="170" t="shared"/>
        <v>0</v>
      </c>
      <c r="AK81" s="105">
        <f si="170" t="shared"/>
        <v>0</v>
      </c>
      <c r="AL81" s="105">
        <f si="170" t="shared"/>
        <v>0</v>
      </c>
      <c r="AM81" s="105">
        <f si="170" t="shared"/>
        <v>0</v>
      </c>
      <c r="AN81" s="105">
        <f si="170" t="shared"/>
        <v>0</v>
      </c>
      <c r="AO81" s="105">
        <f si="170" t="shared"/>
        <v>0</v>
      </c>
      <c r="AP81" s="105">
        <f si="170" t="shared"/>
        <v>0</v>
      </c>
      <c r="AQ81" s="105">
        <f si="170" t="shared"/>
        <v>0</v>
      </c>
      <c r="AR81" s="105">
        <f si="170" t="shared"/>
        <v>0</v>
      </c>
      <c r="AS81" s="105">
        <f si="170" t="shared"/>
        <v>0</v>
      </c>
      <c r="AT81" s="105">
        <f si="170" t="shared"/>
        <v>0</v>
      </c>
      <c r="AU81" s="105">
        <f si="170" t="shared"/>
        <v>0</v>
      </c>
      <c r="AW81" s="101" t="s">
        <v>15</v>
      </c>
      <c r="AX81" s="105">
        <f ref="AX81:BS81" si="171" t="shared">IF($BS$55&gt;0,AX54/$BS$55,0)</f>
        <v>0</v>
      </c>
      <c r="AY81" s="105">
        <f si="171" t="shared"/>
        <v>0</v>
      </c>
      <c r="AZ81" s="105">
        <f si="171" t="shared"/>
        <v>0</v>
      </c>
      <c r="BA81" s="105">
        <f si="171" t="shared"/>
        <v>0</v>
      </c>
      <c r="BB81" s="105">
        <f si="171" t="shared"/>
        <v>0</v>
      </c>
      <c r="BC81" s="105">
        <f si="171" t="shared"/>
        <v>0</v>
      </c>
      <c r="BD81" s="105">
        <f si="171" t="shared"/>
        <v>0</v>
      </c>
      <c r="BE81" s="105">
        <f si="171" t="shared"/>
        <v>0</v>
      </c>
      <c r="BF81" s="105">
        <f si="171" t="shared"/>
        <v>0</v>
      </c>
      <c r="BG81" s="105">
        <f si="171" t="shared"/>
        <v>0</v>
      </c>
      <c r="BH81" s="105">
        <f si="171" t="shared"/>
        <v>0</v>
      </c>
      <c r="BI81" s="105">
        <f si="171" t="shared"/>
        <v>0</v>
      </c>
      <c r="BJ81" s="105">
        <f si="171" t="shared"/>
        <v>0</v>
      </c>
      <c r="BK81" s="105">
        <f si="171" t="shared"/>
        <v>0</v>
      </c>
      <c r="BL81" s="105">
        <f si="171" t="shared"/>
        <v>0</v>
      </c>
      <c r="BM81" s="105">
        <f si="171" t="shared"/>
        <v>0</v>
      </c>
      <c r="BN81" s="105">
        <f si="171" t="shared"/>
        <v>0</v>
      </c>
      <c r="BO81" s="105">
        <f si="171" t="shared"/>
        <v>0</v>
      </c>
      <c r="BP81" s="105">
        <f si="171" t="shared"/>
        <v>0</v>
      </c>
      <c r="BQ81" s="105">
        <f si="171" t="shared"/>
        <v>0</v>
      </c>
      <c r="BR81" s="105">
        <f si="171" t="shared"/>
        <v>0</v>
      </c>
      <c r="BS81" s="105">
        <f si="171" t="shared"/>
        <v>0</v>
      </c>
    </row>
    <row ht="15.75" r="82" spans="1:71" thickBot="1" x14ac:dyDescent="0.3">
      <c r="A82" s="1" t="s">
        <v>3</v>
      </c>
      <c r="B82" s="106">
        <f ref="B82:W82" si="172" t="shared">IF($W$55&gt;0,B55/$W$55,0)</f>
        <v>0.1065124573550458</v>
      </c>
      <c r="C82" s="106">
        <f si="172" t="shared"/>
        <v>4.2285817005106571E-2</v>
      </c>
      <c r="D82" s="106">
        <f si="172" t="shared"/>
        <v>2.6640917784008903E-2</v>
      </c>
      <c r="E82" s="106">
        <f si="172" t="shared"/>
        <v>3.1308789236908323E-2</v>
      </c>
      <c r="F82" s="106">
        <f si="172" t="shared"/>
        <v>2.9331887139106384E-2</v>
      </c>
      <c r="G82" s="106">
        <f si="172" t="shared"/>
        <v>0.15173320426810522</v>
      </c>
      <c r="H82" s="106">
        <f si="172" t="shared"/>
        <v>9.440467482041727E-2</v>
      </c>
      <c r="I82" s="106">
        <f si="172" t="shared"/>
        <v>8.9019437806581812E-3</v>
      </c>
      <c r="J82" s="106">
        <f si="172" t="shared"/>
        <v>6.6017345410951403E-2</v>
      </c>
      <c r="K82" s="106">
        <f si="172" t="shared"/>
        <v>1.5750826481073541E-2</v>
      </c>
      <c r="L82" s="106">
        <f si="172" t="shared"/>
        <v>5.3505044828395507E-2</v>
      </c>
      <c r="M82" s="106">
        <f si="172" t="shared"/>
        <v>0.18805167502915487</v>
      </c>
      <c r="N82" s="106">
        <f si="172" t="shared"/>
        <v>7.0604009306704268E-2</v>
      </c>
      <c r="O82" s="106">
        <f si="172" t="shared"/>
        <v>1.9060380465616648E-2</v>
      </c>
      <c r="P82" s="106">
        <f si="172" t="shared"/>
        <v>2.2637142858275918E-2</v>
      </c>
      <c r="Q82" s="106">
        <f si="172" t="shared"/>
        <v>2.6253408078030578E-3</v>
      </c>
      <c r="R82" s="106">
        <f si="172" t="shared"/>
        <v>1.2095953452224969E-2</v>
      </c>
      <c r="S82" s="106">
        <f si="172" t="shared"/>
        <v>1.5111169761343293E-2</v>
      </c>
      <c r="T82" s="106">
        <f si="172" t="shared"/>
        <v>2.2163555712296622E-2</v>
      </c>
      <c r="U82" s="106">
        <f si="172" t="shared"/>
        <v>2.1257864496803322E-2</v>
      </c>
      <c r="V82" s="106">
        <f si="172" t="shared"/>
        <v>0</v>
      </c>
      <c r="W82" s="106">
        <f si="172" t="shared"/>
        <v>1</v>
      </c>
      <c r="Y82" s="1" t="s">
        <v>3</v>
      </c>
      <c r="Z82" s="106">
        <f ref="Z82:AU82" si="173" t="shared">IF($W$55&gt;0,Z55/$W$55,0)</f>
        <v>7.394789415344602E-2</v>
      </c>
      <c r="AA82" s="106">
        <f si="173" t="shared"/>
        <v>5.0192519024846172E-2</v>
      </c>
      <c r="AB82" s="106">
        <f si="173" t="shared"/>
        <v>2.7578535915392922E-2</v>
      </c>
      <c r="AC82" s="106">
        <f si="173" t="shared"/>
        <v>2.409748287532559E-2</v>
      </c>
      <c r="AD82" s="106">
        <f si="173" t="shared"/>
        <v>2.2305742980927717E-2</v>
      </c>
      <c r="AE82" s="106">
        <f si="173" t="shared"/>
        <v>0.1444074673848792</v>
      </c>
      <c r="AF82" s="106">
        <f si="173" t="shared"/>
        <v>9.5485251975945123E-2</v>
      </c>
      <c r="AG82" s="106">
        <f si="173" t="shared"/>
        <v>5.2519452114698833E-3</v>
      </c>
      <c r="AH82" s="106">
        <f si="173" t="shared"/>
        <v>5.8660834167614258E-2</v>
      </c>
      <c r="AI82" s="106">
        <f si="173" t="shared"/>
        <v>1.8963034569547704E-2</v>
      </c>
      <c r="AJ82" s="106">
        <f si="173" t="shared"/>
        <v>5.3879182748495645E-2</v>
      </c>
      <c r="AK82" s="106">
        <f si="173" t="shared"/>
        <v>0.21147163459391843</v>
      </c>
      <c r="AL82" s="106">
        <f si="173" t="shared"/>
        <v>7.7644106460475273E-2</v>
      </c>
      <c r="AM82" s="106">
        <f si="173" t="shared"/>
        <v>1.6022315587757064E-2</v>
      </c>
      <c r="AN82" s="106">
        <f si="173" t="shared"/>
        <v>3.2752118544292462E-2</v>
      </c>
      <c r="AO82" s="106">
        <f si="173" t="shared"/>
        <v>4.7059575856400471E-3</v>
      </c>
      <c r="AP82" s="106">
        <f si="173" t="shared"/>
        <v>1.2849992381014724E-2</v>
      </c>
      <c r="AQ82" s="106">
        <f si="173" t="shared"/>
        <v>1.8456764420687131E-2</v>
      </c>
      <c r="AR82" s="106">
        <f si="173" t="shared"/>
        <v>3.0911853289720567E-2</v>
      </c>
      <c r="AS82" s="106">
        <f si="173" t="shared"/>
        <v>2.0415366128604059E-2</v>
      </c>
      <c r="AT82" s="106">
        <f si="173" t="shared"/>
        <v>0</v>
      </c>
      <c r="AU82" s="106">
        <f si="173" t="shared"/>
        <v>0.99999999999999978</v>
      </c>
      <c r="AW82" s="1" t="s">
        <v>3</v>
      </c>
      <c r="AX82" s="106">
        <f ref="AX82:BS82" si="174" t="shared">IF($BS$55&gt;0,AX55/$BS$55,0)</f>
        <v>7.3734045710893439E-2</v>
      </c>
      <c r="AY82" s="106">
        <f si="174" t="shared"/>
        <v>5.0630750964677944E-2</v>
      </c>
      <c r="AZ82" s="106">
        <f si="174" t="shared"/>
        <v>2.7235084594835264E-2</v>
      </c>
      <c r="BA82" s="106">
        <f si="174" t="shared"/>
        <v>2.3797862867319681E-2</v>
      </c>
      <c r="BB82" s="106">
        <f si="174" t="shared"/>
        <v>2.2518551498961117E-2</v>
      </c>
      <c r="BC82" s="106">
        <f si="174" t="shared"/>
        <v>0.14349213416444048</v>
      </c>
      <c r="BD82" s="106">
        <f si="174" t="shared"/>
        <v>9.5154348471356481E-2</v>
      </c>
      <c r="BE82" s="106">
        <f si="174" t="shared"/>
        <v>5.2344909468685068E-3</v>
      </c>
      <c r="BF82" s="106">
        <f si="174" t="shared"/>
        <v>5.7616503413475809E-2</v>
      </c>
      <c r="BG82" s="106">
        <f si="174" t="shared"/>
        <v>1.8679133273968536E-2</v>
      </c>
      <c r="BH82" s="106">
        <f si="174" t="shared"/>
        <v>5.4528049866429208E-2</v>
      </c>
      <c r="BI82" s="106">
        <f si="174" t="shared"/>
        <v>0.20939151083407539</v>
      </c>
      <c r="BJ82" s="106">
        <f si="174" t="shared"/>
        <v>7.8073612347877713E-2</v>
      </c>
      <c r="BK82" s="106">
        <f si="174" t="shared"/>
        <v>1.6454437518551499E-2</v>
      </c>
      <c r="BL82" s="106">
        <f si="174" t="shared"/>
        <v>3.2325615909765508E-2</v>
      </c>
      <c r="BM82" s="106">
        <f si="174" t="shared"/>
        <v>4.7328584149599288E-3</v>
      </c>
      <c r="BN82" s="106">
        <f si="174" t="shared"/>
        <v>1.3643514395963193E-2</v>
      </c>
      <c r="BO82" s="106">
        <f si="174" t="shared"/>
        <v>1.8339269813000891E-2</v>
      </c>
      <c r="BP82" s="106">
        <f si="174" t="shared"/>
        <v>3.2312258830513509E-2</v>
      </c>
      <c r="BQ82" s="106">
        <f si="174" t="shared"/>
        <v>2.2105966162065897E-2</v>
      </c>
      <c r="BR82" s="106">
        <f si="174" t="shared"/>
        <v>0</v>
      </c>
      <c r="BS82" s="106">
        <f si="174" t="shared"/>
        <v>1</v>
      </c>
    </row>
    <row ht="15.75" r="86" spans="1:71" thickBot="1" x14ac:dyDescent="0.3">
      <c r="AW86" s="23" t="s">
        <v>325</v>
      </c>
      <c r="AX86" s="24"/>
      <c r="AY86" s="24"/>
      <c r="AZ86" s="24"/>
      <c r="BA86" s="24"/>
      <c r="BB86" s="24"/>
      <c r="BC86" s="24"/>
      <c r="BD86" s="24"/>
      <c r="BE86" s="24"/>
      <c r="BF86" s="24"/>
    </row>
    <row r="87" spans="1:71" x14ac:dyDescent="0.25">
      <c r="AW87" s="2" t="s">
        <v>14</v>
      </c>
      <c r="AX87" s="2">
        <v>1</v>
      </c>
      <c r="AY87" s="2">
        <v>2</v>
      </c>
      <c r="AZ87" s="2">
        <v>3</v>
      </c>
      <c r="BA87" s="2">
        <v>4</v>
      </c>
      <c r="BB87" s="2">
        <v>5</v>
      </c>
      <c r="BC87" s="2">
        <v>6</v>
      </c>
      <c r="BD87" s="2">
        <v>7</v>
      </c>
      <c r="BE87" s="2">
        <v>8</v>
      </c>
      <c r="BF87" s="2">
        <v>9</v>
      </c>
      <c r="BG87" s="2">
        <v>10</v>
      </c>
      <c r="BH87" s="2">
        <v>11</v>
      </c>
      <c r="BI87" s="2">
        <v>12</v>
      </c>
      <c r="BJ87" s="2">
        <v>13</v>
      </c>
      <c r="BK87" s="2">
        <v>14</v>
      </c>
      <c r="BL87" s="2">
        <v>15</v>
      </c>
      <c r="BM87" s="2">
        <v>16</v>
      </c>
      <c r="BN87" s="2">
        <v>17</v>
      </c>
      <c r="BO87" s="2">
        <v>18</v>
      </c>
      <c r="BP87" s="2">
        <v>19</v>
      </c>
      <c r="BQ87" s="2">
        <v>20</v>
      </c>
      <c r="BR87" s="3" t="s">
        <v>15</v>
      </c>
      <c r="BS87" s="3" t="s">
        <v>3</v>
      </c>
    </row>
    <row r="88" spans="1:71" x14ac:dyDescent="0.25">
      <c r="AW88" s="31">
        <v>1</v>
      </c>
      <c r="AX88" s="103">
        <f>AX61-Z61</f>
        <v>2.3669559836937042E-4</v>
      </c>
      <c r="AY88" s="103">
        <f ref="AY88:BS88" si="175" t="shared">AY61-AA61</f>
        <v>-3.0419958014561298E-5</v>
      </c>
      <c r="AZ88" s="103">
        <f si="175" t="shared"/>
        <v>-6.5687084274317976E-6</v>
      </c>
      <c r="BA88" s="103">
        <f si="175" t="shared"/>
        <v>1.5851986757592791E-4</v>
      </c>
      <c r="BB88" s="103">
        <f si="175" t="shared"/>
        <v>8.0818734054711409E-5</v>
      </c>
      <c r="BC88" s="103">
        <f si="175" t="shared"/>
        <v>2.2278705216906519E-4</v>
      </c>
      <c r="BD88" s="103">
        <f si="175" t="shared"/>
        <v>-1.2153266068474632E-4</v>
      </c>
      <c r="BE88" s="103">
        <f si="175" t="shared"/>
        <v>2.0617858022584022E-5</v>
      </c>
      <c r="BF88" s="103">
        <f si="175" t="shared"/>
        <v>-7.1998181983509192E-5</v>
      </c>
      <c r="BG88" s="103">
        <f si="175" t="shared"/>
        <v>1.1353115987729862E-5</v>
      </c>
      <c r="BH88" s="103">
        <f si="175" t="shared"/>
        <v>-3.2843785395627532E-5</v>
      </c>
      <c r="BI88" s="103">
        <f si="175" t="shared"/>
        <v>-3.6919605362759425E-4</v>
      </c>
      <c r="BJ88" s="103">
        <f si="175" t="shared"/>
        <v>-5.8096690278793185E-5</v>
      </c>
      <c r="BK88" s="103">
        <f si="175" t="shared"/>
        <v>6.3193684971233945E-6</v>
      </c>
      <c r="BL88" s="103">
        <f si="175" t="shared"/>
        <v>-1.2679117900033322E-5</v>
      </c>
      <c r="BM88" s="103">
        <f si="175" t="shared"/>
        <v>-5.6414071451531519E-6</v>
      </c>
      <c r="BN88" s="103">
        <f si="175" t="shared"/>
        <v>1.9548250536178161E-6</v>
      </c>
      <c r="BO88" s="103">
        <f si="175" t="shared"/>
        <v>-5.8328515599362838E-6</v>
      </c>
      <c r="BP88" s="103">
        <f si="175" t="shared"/>
        <v>-1.6014434762919564E-5</v>
      </c>
      <c r="BQ88" s="103">
        <f si="175" t="shared"/>
        <v>-8.2425699498240477E-6</v>
      </c>
      <c r="BR88" s="103">
        <f si="175" t="shared"/>
        <v>0</v>
      </c>
      <c r="BS88" s="103">
        <f si="175" t="shared"/>
        <v>0</v>
      </c>
    </row>
    <row r="89" spans="1:71" x14ac:dyDescent="0.25">
      <c r="AW89" s="95">
        <v>2</v>
      </c>
      <c r="AX89" s="104">
        <f ref="AX89:AX109" si="176" t="shared">AX62-Z62</f>
        <v>5.9431140882853107E-5</v>
      </c>
      <c r="AY89" s="104">
        <f ref="AY89:AY109" si="177" t="shared">AY62-AA62</f>
        <v>8.7034013215500725E-4</v>
      </c>
      <c r="AZ89" s="104">
        <f ref="AZ89:AZ109" si="178" t="shared">AZ62-AB62</f>
        <v>-8.5902479588209429E-5</v>
      </c>
      <c r="BA89" s="104">
        <f ref="BA89:BA109" si="179" t="shared">BA62-AC62</f>
        <v>8.54672615884423E-5</v>
      </c>
      <c r="BB89" s="104">
        <f ref="BB89:BB109" si="180" t="shared">BB62-AD62</f>
        <v>2.0435674447913388E-5</v>
      </c>
      <c r="BC89" s="104">
        <f ref="BC89:BC109" si="181" t="shared">BC62-AE62</f>
        <v>3.1274029042574741E-4</v>
      </c>
      <c r="BD89" s="104">
        <f ref="BD89:BD109" si="182" t="shared">BD62-AF62</f>
        <v>-1.8920903507259942E-4</v>
      </c>
      <c r="BE89" s="104">
        <f ref="BE89:BE109" si="183" t="shared">BE62-AG62</f>
        <v>-1.3167666540214588E-5</v>
      </c>
      <c r="BF89" s="104">
        <f ref="BF89:BF109" si="184" t="shared">BF62-AH62</f>
        <v>-6.0205377781829064E-5</v>
      </c>
      <c r="BG89" s="104">
        <f ref="BG89:BG109" si="185" t="shared">BG62-AI62</f>
        <v>2.9565964254006508E-5</v>
      </c>
      <c r="BH89" s="104">
        <f ref="BH89:BH109" si="186" t="shared">BH62-AJ62</f>
        <v>-4.6476804141152347E-4</v>
      </c>
      <c r="BI89" s="104">
        <f ref="BI89:BI109" si="187" t="shared">BI62-AK62</f>
        <v>1.3414666023923907E-4</v>
      </c>
      <c r="BJ89" s="104">
        <f ref="BJ89:BJ109" si="188" t="shared">BJ62-AL62</f>
        <v>-2.7364398079574037E-4</v>
      </c>
      <c r="BK89" s="104">
        <f ref="BK89:BK109" si="189" t="shared">BK62-AM62</f>
        <v>-2.6574503947679363E-5</v>
      </c>
      <c r="BL89" s="104">
        <f ref="BL89:BL109" si="190" t="shared">BL62-AN62</f>
        <v>-1.2273811035509675E-4</v>
      </c>
      <c r="BM89" s="104">
        <f ref="BM89:BM109" si="191" t="shared">BM62-AO62</f>
        <v>-3.3840189808123254E-5</v>
      </c>
      <c r="BN89" s="104">
        <f ref="BN89:BN109" si="192" t="shared">BN62-AP62</f>
        <v>-4.2589995585456437E-5</v>
      </c>
      <c r="BO89" s="104">
        <f ref="BO89:BO109" si="193" t="shared">BO62-AQ62</f>
        <v>-8.5294766649510043E-5</v>
      </c>
      <c r="BP89" s="104">
        <f ref="BP89:BP109" si="194" t="shared">BP62-AR62</f>
        <v>-7.1513084470904275E-5</v>
      </c>
      <c r="BQ89" s="104">
        <f ref="BQ89:BQ109" si="195" t="shared">BQ62-AS62</f>
        <v>-4.2679891986323009E-5</v>
      </c>
      <c r="BR89" s="104">
        <f ref="BR89:BR109" si="196" t="shared">BR62-AT62</f>
        <v>0</v>
      </c>
      <c r="BS89" s="104">
        <f ref="BS89:BS109" si="197" t="shared">BS62-AU62</f>
        <v>0</v>
      </c>
    </row>
    <row r="90" spans="1:71" x14ac:dyDescent="0.25">
      <c r="AW90" s="95">
        <v>3</v>
      </c>
      <c r="AX90" s="104">
        <f si="176" t="shared"/>
        <v>5.4716700409123721E-4</v>
      </c>
      <c r="AY90" s="104">
        <f si="177" t="shared"/>
        <v>7.1271932454327822E-4</v>
      </c>
      <c r="AZ90" s="104">
        <f si="178" t="shared"/>
        <v>-6.3886965452726423E-5</v>
      </c>
      <c r="BA90" s="104">
        <f si="179" t="shared"/>
        <v>3.9219282115378535E-4</v>
      </c>
      <c r="BB90" s="104">
        <f si="180" t="shared"/>
        <v>6.1262631436549177E-5</v>
      </c>
      <c r="BC90" s="104">
        <f si="181" t="shared"/>
        <v>9.0947756466371564E-4</v>
      </c>
      <c r="BD90" s="104">
        <f si="182" t="shared"/>
        <v>-7.5295716175513756E-4</v>
      </c>
      <c r="BE90" s="104">
        <f si="183" t="shared"/>
        <v>1.4251776861000148E-4</v>
      </c>
      <c r="BF90" s="104">
        <f si="184" t="shared"/>
        <v>-1.2413929324827646E-4</v>
      </c>
      <c r="BG90" s="104">
        <f si="185" t="shared"/>
        <v>-8.0464539241581869E-6</v>
      </c>
      <c r="BH90" s="104">
        <f si="186" t="shared"/>
        <v>3.5590954394748055E-4</v>
      </c>
      <c r="BI90" s="104">
        <f si="187" t="shared"/>
        <v>-9.3340221728314965E-4</v>
      </c>
      <c r="BJ90" s="104">
        <f si="188" t="shared"/>
        <v>-4.6934821267763903E-4</v>
      </c>
      <c r="BK90" s="104">
        <f si="189" t="shared"/>
        <v>-9.6473362188873019E-5</v>
      </c>
      <c r="BL90" s="104">
        <f si="190" t="shared"/>
        <v>-2.7142748809363515E-4</v>
      </c>
      <c r="BM90" s="104">
        <f si="191" t="shared"/>
        <v>-7.2725587654954625E-5</v>
      </c>
      <c r="BN90" s="104">
        <f si="192" t="shared"/>
        <v>-2.8780734102014968E-5</v>
      </c>
      <c r="BO90" s="104">
        <f si="193" t="shared"/>
        <v>-1.1402883338352729E-4</v>
      </c>
      <c r="BP90" s="104">
        <f si="194" t="shared"/>
        <v>-1.0369709746345113E-4</v>
      </c>
      <c r="BQ90" s="104">
        <f si="195" t="shared"/>
        <v>-8.233325121850299E-5</v>
      </c>
      <c r="BR90" s="104">
        <f si="196" t="shared"/>
        <v>0</v>
      </c>
      <c r="BS90" s="104">
        <f si="197" t="shared"/>
        <v>0</v>
      </c>
    </row>
    <row r="91" spans="1:71" x14ac:dyDescent="0.25">
      <c r="AW91" s="95">
        <v>4</v>
      </c>
      <c r="AX91" s="104">
        <f si="176" t="shared"/>
        <v>3.1566622348161107E-4</v>
      </c>
      <c r="AY91" s="104">
        <f si="177" t="shared"/>
        <v>-7.0602903207041398E-6</v>
      </c>
      <c r="AZ91" s="104">
        <f si="178" t="shared"/>
        <v>-3.0399287920755452E-5</v>
      </c>
      <c r="BA91" s="104">
        <f si="179" t="shared"/>
        <v>3.4880943191767703E-4</v>
      </c>
      <c r="BB91" s="104">
        <f si="180" t="shared"/>
        <v>-5.945755417037697E-5</v>
      </c>
      <c r="BC91" s="104">
        <f si="181" t="shared"/>
        <v>6.5918638066408053E-4</v>
      </c>
      <c r="BD91" s="104">
        <f si="182" t="shared"/>
        <v>-4.4218942739819605E-4</v>
      </c>
      <c r="BE91" s="104">
        <f si="183" t="shared"/>
        <v>6.4039028624869674E-5</v>
      </c>
      <c r="BF91" s="104">
        <f si="184" t="shared"/>
        <v>-2.1303390095326724E-4</v>
      </c>
      <c r="BG91" s="104">
        <f si="185" t="shared"/>
        <v>1.1147761197647483E-4</v>
      </c>
      <c r="BH91" s="104">
        <f si="186" t="shared"/>
        <v>-3.527698040514237E-5</v>
      </c>
      <c r="BI91" s="104">
        <f si="187" t="shared"/>
        <v>-3.4693796788931304E-4</v>
      </c>
      <c r="BJ91" s="104">
        <f si="188" t="shared"/>
        <v>-1.6336191289633085E-4</v>
      </c>
      <c r="BK91" s="104">
        <f si="189" t="shared"/>
        <v>-9.4503106956569726E-6</v>
      </c>
      <c r="BL91" s="104">
        <f si="190" t="shared"/>
        <v>-8.2359449555584384E-5</v>
      </c>
      <c r="BM91" s="104">
        <f si="191" t="shared"/>
        <v>-2.3995757952719919E-6</v>
      </c>
      <c r="BN91" s="104">
        <f si="192" t="shared"/>
        <v>-1.0148555556052712E-6</v>
      </c>
      <c r="BO91" s="104">
        <f si="193" t="shared"/>
        <v>-5.6456686072093914E-5</v>
      </c>
      <c r="BP91" s="104">
        <f si="194" t="shared"/>
        <v>-3.4481549928329678E-5</v>
      </c>
      <c r="BQ91" s="104">
        <f si="195" t="shared"/>
        <v>-1.52989271080842E-5</v>
      </c>
      <c r="BR91" s="104">
        <f si="196" t="shared"/>
        <v>0</v>
      </c>
      <c r="BS91" s="104">
        <f si="197" t="shared"/>
        <v>0</v>
      </c>
    </row>
    <row r="92" spans="1:71" x14ac:dyDescent="0.25">
      <c r="AW92" s="95">
        <v>5</v>
      </c>
      <c r="AX92" s="104">
        <f si="176" t="shared"/>
        <v>-1.7410553751595094E-4</v>
      </c>
      <c r="AY92" s="104">
        <f si="177" t="shared"/>
        <v>3.2084285008415997E-5</v>
      </c>
      <c r="AZ92" s="104">
        <f si="178" t="shared"/>
        <v>-1.2967189516284515E-4</v>
      </c>
      <c r="BA92" s="104">
        <f si="179" t="shared"/>
        <v>3.8990094508397559E-5</v>
      </c>
      <c r="BB92" s="104">
        <f si="180" t="shared"/>
        <v>2.3110263608393223E-4</v>
      </c>
      <c r="BC92" s="104">
        <f si="181" t="shared"/>
        <v>1.5904228082777127E-3</v>
      </c>
      <c r="BD92" s="104">
        <f si="182" t="shared"/>
        <v>-2.6944538976755362E-4</v>
      </c>
      <c r="BE92" s="104">
        <f si="183" t="shared"/>
        <v>3.1791720583711997E-5</v>
      </c>
      <c r="BF92" s="104">
        <f si="184" t="shared"/>
        <v>-1.6948167448183597E-4</v>
      </c>
      <c r="BG92" s="104">
        <f si="185" t="shared"/>
        <v>1.6645710758927815E-4</v>
      </c>
      <c r="BH92" s="104">
        <f si="186" t="shared"/>
        <v>-1.83337290239154E-4</v>
      </c>
      <c r="BI92" s="104">
        <f si="187" t="shared"/>
        <v>-7.9114184420058854E-4</v>
      </c>
      <c r="BJ92" s="104">
        <f si="188" t="shared"/>
        <v>-1.8506185103381732E-4</v>
      </c>
      <c r="BK92" s="104">
        <f si="189" t="shared"/>
        <v>-2.6792063590278886E-5</v>
      </c>
      <c r="BL92" s="104">
        <f si="190" t="shared"/>
        <v>-6.5939369441836396E-5</v>
      </c>
      <c r="BM92" s="104">
        <f si="191" t="shared"/>
        <v>6.0875258600048983E-6</v>
      </c>
      <c r="BN92" s="104">
        <f si="192" t="shared"/>
        <v>-3.3542062917716987E-5</v>
      </c>
      <c r="BO92" s="104">
        <f si="193" t="shared"/>
        <v>-4.9401352656484971E-5</v>
      </c>
      <c r="BP92" s="104">
        <f si="194" t="shared"/>
        <v>-8.7536733088879488E-6</v>
      </c>
      <c r="BQ92" s="104">
        <f si="195" t="shared"/>
        <v>-1.026217359450257E-5</v>
      </c>
      <c r="BR92" s="104">
        <f si="196" t="shared"/>
        <v>0</v>
      </c>
      <c r="BS92" s="104">
        <f si="197" t="shared"/>
        <v>0</v>
      </c>
    </row>
    <row r="93" spans="1:71" x14ac:dyDescent="0.25">
      <c r="AW93" s="95">
        <v>6</v>
      </c>
      <c r="AX93" s="104">
        <f si="176" t="shared"/>
        <v>-4.0571542702528152E-4</v>
      </c>
      <c r="AY93" s="104">
        <f si="177" t="shared"/>
        <v>6.8779433136768008E-4</v>
      </c>
      <c r="AZ93" s="104">
        <f si="178" t="shared"/>
        <v>-9.6247226384296009E-5</v>
      </c>
      <c r="BA93" s="104">
        <f si="179" t="shared"/>
        <v>2.1744197750950354E-4</v>
      </c>
      <c r="BB93" s="104">
        <f si="180" t="shared"/>
        <v>4.1925333184329727E-4</v>
      </c>
      <c r="BC93" s="104">
        <f si="181" t="shared"/>
        <v>3.5523883333572048E-3</v>
      </c>
      <c r="BD93" s="104">
        <f si="182" t="shared"/>
        <v>-6.7246083842342004E-4</v>
      </c>
      <c r="BE93" s="104">
        <f si="183" t="shared"/>
        <v>1.5561230146720527E-4</v>
      </c>
      <c r="BF93" s="104">
        <f si="184" t="shared"/>
        <v>-3.0868448398459723E-4</v>
      </c>
      <c r="BG93" s="104">
        <f si="185" t="shared"/>
        <v>1.1683412659240129E-4</v>
      </c>
      <c r="BH93" s="104">
        <f si="186" t="shared"/>
        <v>-2.4965635138246719E-4</v>
      </c>
      <c r="BI93" s="104">
        <f si="187" t="shared"/>
        <v>-2.0191394047765262E-3</v>
      </c>
      <c r="BJ93" s="104">
        <f si="188" t="shared"/>
        <v>-6.0711139761082233E-4</v>
      </c>
      <c r="BK93" s="104">
        <f si="189" t="shared"/>
        <v>-7.3210898416721144E-5</v>
      </c>
      <c r="BL93" s="104">
        <f si="190" t="shared"/>
        <v>-2.0268276930164315E-4</v>
      </c>
      <c r="BM93" s="104">
        <f si="191" t="shared"/>
        <v>-8.1888019919265496E-5</v>
      </c>
      <c r="BN93" s="104">
        <f si="192" t="shared"/>
        <v>-3.3142096724917683E-5</v>
      </c>
      <c r="BO93" s="104">
        <f si="193" t="shared"/>
        <v>-1.7921045544280569E-4</v>
      </c>
      <c r="BP93" s="104">
        <f si="194" t="shared"/>
        <v>-1.6944865895152604E-4</v>
      </c>
      <c r="BQ93" s="104">
        <f si="195" t="shared"/>
        <v>-5.0726373793005007E-5</v>
      </c>
      <c r="BR93" s="104">
        <f si="196" t="shared"/>
        <v>0</v>
      </c>
      <c r="BS93" s="104">
        <f si="197" t="shared"/>
        <v>0</v>
      </c>
    </row>
    <row r="94" spans="1:71" x14ac:dyDescent="0.25">
      <c r="AW94" s="95">
        <v>7</v>
      </c>
      <c r="AX94" s="104">
        <f si="176" t="shared"/>
        <v>-5.1805703108904772E-4</v>
      </c>
      <c r="AY94" s="104">
        <f si="177" t="shared"/>
        <v>-2.5379332179648398E-4</v>
      </c>
      <c r="AZ94" s="104">
        <f si="178" t="shared"/>
        <v>-9.7096651498173149E-4</v>
      </c>
      <c r="BA94" s="104">
        <f si="179" t="shared"/>
        <v>-8.8544186633134981E-4</v>
      </c>
      <c r="BB94" s="104">
        <f si="180" t="shared"/>
        <v>-6.8970884746503633E-4</v>
      </c>
      <c r="BC94" s="104">
        <f si="181" t="shared"/>
        <v>-1.9653483483180658E-3</v>
      </c>
      <c r="BD94" s="104">
        <f si="182" t="shared"/>
        <v>4.7961350398701211E-3</v>
      </c>
      <c r="BE94" s="104">
        <f si="183" t="shared"/>
        <v>-9.9067966080187194E-5</v>
      </c>
      <c r="BF94" s="104">
        <f si="184" t="shared"/>
        <v>-2.375253067654088E-4</v>
      </c>
      <c r="BG94" s="104">
        <f si="185" t="shared"/>
        <v>-5.0910244604010523E-4</v>
      </c>
      <c r="BH94" s="104">
        <f si="186" t="shared"/>
        <v>-2.54378208854876E-3</v>
      </c>
      <c r="BI94" s="104">
        <f si="187" t="shared"/>
        <v>4.9466962091108679E-3</v>
      </c>
      <c r="BJ94" s="104">
        <f si="188" t="shared"/>
        <v>1.8687527215982217E-3</v>
      </c>
      <c r="BK94" s="104">
        <f si="189" t="shared"/>
        <v>-2.49046727764911E-4</v>
      </c>
      <c r="BL94" s="104">
        <f si="190" t="shared"/>
        <v>-8.4414988690989707E-4</v>
      </c>
      <c r="BM94" s="104">
        <f si="191" t="shared"/>
        <v>-1.4224519380148651E-4</v>
      </c>
      <c r="BN94" s="104">
        <f si="192" t="shared"/>
        <v>-1.8678091331973792E-4</v>
      </c>
      <c r="BO94" s="104">
        <f si="193" t="shared"/>
        <v>-6.8482698280432038E-4</v>
      </c>
      <c r="BP94" s="104">
        <f si="194" t="shared"/>
        <v>-4.6400608348660792E-4</v>
      </c>
      <c r="BQ94" s="104">
        <f si="195" t="shared"/>
        <v>-3.6773444507607472E-4</v>
      </c>
      <c r="BR94" s="104">
        <f si="196" t="shared"/>
        <v>0</v>
      </c>
      <c r="BS94" s="104">
        <f si="197" t="shared"/>
        <v>0</v>
      </c>
    </row>
    <row r="95" spans="1:71" x14ac:dyDescent="0.25">
      <c r="AW95" s="95">
        <v>8</v>
      </c>
      <c r="AX95" s="104">
        <f si="176" t="shared"/>
        <v>1.2023525427166384E-4</v>
      </c>
      <c r="AY95" s="104">
        <f si="177" t="shared"/>
        <v>-3.2144148419503368E-5</v>
      </c>
      <c r="AZ95" s="104">
        <f si="178" t="shared"/>
        <v>1.4799304678496107E-4</v>
      </c>
      <c r="BA95" s="104">
        <f si="179" t="shared"/>
        <v>9.5734571974182144E-5</v>
      </c>
      <c r="BB95" s="104">
        <f si="180" t="shared"/>
        <v>-2.6810264520211124E-6</v>
      </c>
      <c r="BC95" s="104">
        <f si="181" t="shared"/>
        <v>1.2767739485974199E-4</v>
      </c>
      <c r="BD95" s="104">
        <f si="182" t="shared"/>
        <v>-1.792990292298163E-4</v>
      </c>
      <c r="BE95" s="104">
        <f si="183" t="shared"/>
        <v>-1.3760558820030184E-5</v>
      </c>
      <c r="BF95" s="104">
        <f si="184" t="shared"/>
        <v>-1.3188672790276899E-4</v>
      </c>
      <c r="BG95" s="104">
        <f si="185" t="shared"/>
        <v>2.1074558053170482E-5</v>
      </c>
      <c r="BH95" s="104">
        <f si="186" t="shared"/>
        <v>1.6164507208669249E-4</v>
      </c>
      <c r="BI95" s="104">
        <f si="187" t="shared"/>
        <v>-1.4848351886765471E-4</v>
      </c>
      <c r="BJ95" s="104">
        <f si="188" t="shared"/>
        <v>-8.7650343777847948E-5</v>
      </c>
      <c r="BK95" s="104">
        <f si="189" t="shared"/>
        <v>-2.3365637106113096E-5</v>
      </c>
      <c r="BL95" s="104">
        <f si="190" t="shared"/>
        <v>-4.249819083186163E-5</v>
      </c>
      <c r="BM95" s="104">
        <f si="191" t="shared"/>
        <v>-2.7354312945270496E-6</v>
      </c>
      <c r="BN95" s="104">
        <f si="192" t="shared"/>
        <v>1.9836778844480911E-5</v>
      </c>
      <c r="BO95" s="104">
        <f si="193" t="shared"/>
        <v>-3.4528571821517205E-5</v>
      </c>
      <c r="BP95" s="104">
        <f si="194" t="shared"/>
        <v>2.1241362747960415E-5</v>
      </c>
      <c r="BQ95" s="104">
        <f si="195" t="shared"/>
        <v>-1.6404855099191905E-5</v>
      </c>
      <c r="BR95" s="104">
        <f si="196" t="shared"/>
        <v>0</v>
      </c>
      <c r="BS95" s="104">
        <f si="197" t="shared"/>
        <v>0</v>
      </c>
    </row>
    <row r="96" spans="1:71" x14ac:dyDescent="0.25">
      <c r="AW96" s="95">
        <v>9</v>
      </c>
      <c r="AX96" s="104">
        <f si="176" t="shared"/>
        <v>1.4337537024779017E-4</v>
      </c>
      <c r="AY96" s="104">
        <f si="177" t="shared"/>
        <v>1.2879217464785812E-3</v>
      </c>
      <c r="AZ96" s="104">
        <f si="178" t="shared"/>
        <v>3.8932488595674278E-4</v>
      </c>
      <c r="BA96" s="104">
        <f si="179" t="shared"/>
        <v>-2.7366878796510671E-4</v>
      </c>
      <c r="BB96" s="104">
        <f si="180" t="shared"/>
        <v>1.3533531043680462E-4</v>
      </c>
      <c r="BC96" s="104">
        <f si="181" t="shared"/>
        <v>-5.4598829871429534E-4</v>
      </c>
      <c r="BD96" s="104">
        <f si="182" t="shared"/>
        <v>5.3607132372885877E-4</v>
      </c>
      <c r="BE96" s="104">
        <f si="183" t="shared"/>
        <v>-7.5758302297406713E-5</v>
      </c>
      <c r="BF96" s="104">
        <f si="184" t="shared"/>
        <v>5.3470313792738488E-3</v>
      </c>
      <c r="BG96" s="104">
        <f si="185" t="shared"/>
        <v>-2.4093533971110415E-4</v>
      </c>
      <c r="BH96" s="104">
        <f si="186" t="shared"/>
        <v>-3.9556948034581707E-4</v>
      </c>
      <c r="BI96" s="104">
        <f si="187" t="shared"/>
        <v>-2.5589034747994805E-3</v>
      </c>
      <c r="BJ96" s="104">
        <f si="188" t="shared"/>
        <v>-1.3371007329729546E-3</v>
      </c>
      <c r="BK96" s="104">
        <f si="189" t="shared"/>
        <v>-2.0762698203466719E-4</v>
      </c>
      <c r="BL96" s="104">
        <f si="190" t="shared"/>
        <v>-8.0244092155276787E-4</v>
      </c>
      <c r="BM96" s="104">
        <f si="191" t="shared"/>
        <v>-7.6711043348544526E-5</v>
      </c>
      <c r="BN96" s="104">
        <f si="192" t="shared"/>
        <v>-2.1185590759986389E-4</v>
      </c>
      <c r="BO96" s="104">
        <f si="193" t="shared"/>
        <v>-3.1199948361877136E-4</v>
      </c>
      <c r="BP96" s="104">
        <f si="194" t="shared"/>
        <v>-5.3631788352256882E-4</v>
      </c>
      <c r="BQ96" s="104">
        <f si="195" t="shared"/>
        <v>-2.6418337763927806E-4</v>
      </c>
      <c r="BR96" s="104">
        <f si="196" t="shared"/>
        <v>0</v>
      </c>
      <c r="BS96" s="104">
        <f si="197" t="shared"/>
        <v>0</v>
      </c>
    </row>
    <row r="97" spans="49:71" x14ac:dyDescent="0.25">
      <c r="AW97" s="95">
        <v>10</v>
      </c>
      <c r="AX97" s="104">
        <f si="176" t="shared"/>
        <v>-8.5328715615918919E-5</v>
      </c>
      <c r="AY97" s="104">
        <f si="177" t="shared"/>
        <v>3.774098243589975E-4</v>
      </c>
      <c r="AZ97" s="104">
        <f si="178" t="shared"/>
        <v>8.6653441263625369E-5</v>
      </c>
      <c r="BA97" s="104">
        <f si="179" t="shared"/>
        <v>3.9273593521821815E-4</v>
      </c>
      <c r="BB97" s="104">
        <f si="180" t="shared"/>
        <v>1.9206904490571132E-4</v>
      </c>
      <c r="BC97" s="104">
        <f si="181" t="shared"/>
        <v>6.6048108252389492E-4</v>
      </c>
      <c r="BD97" s="104">
        <f si="182" t="shared"/>
        <v>-5.9593307065503476E-4</v>
      </c>
      <c r="BE97" s="104">
        <f si="183" t="shared"/>
        <v>6.7851152519956095E-5</v>
      </c>
      <c r="BF97" s="104">
        <f si="184" t="shared"/>
        <v>-5.98961500036626E-4</v>
      </c>
      <c r="BG97" s="104">
        <f si="185" t="shared"/>
        <v>6.6479429638659389E-4</v>
      </c>
      <c r="BH97" s="104">
        <f si="186" t="shared"/>
        <v>-4.0879549430058071E-4</v>
      </c>
      <c r="BI97" s="104">
        <f si="187" t="shared"/>
        <v>4.7387193953280296E-4</v>
      </c>
      <c r="BJ97" s="104">
        <f si="188" t="shared"/>
        <v>-5.1892767437501566E-4</v>
      </c>
      <c r="BK97" s="104">
        <f si="189" t="shared"/>
        <v>-1.4694058874316679E-4</v>
      </c>
      <c r="BL97" s="104">
        <f si="190" t="shared"/>
        <v>-1.7000096389702517E-4</v>
      </c>
      <c r="BM97" s="104">
        <f si="191" t="shared"/>
        <v>2.3840863823598821E-5</v>
      </c>
      <c r="BN97" s="104">
        <f si="192" t="shared"/>
        <v>-4.9734407292656973E-5</v>
      </c>
      <c r="BO97" s="104">
        <f si="193" t="shared"/>
        <v>-1.1570752245511523E-4</v>
      </c>
      <c r="BP97" s="104">
        <f si="194" t="shared"/>
        <v>-1.5533934564565785E-4</v>
      </c>
      <c r="BQ97" s="104">
        <f si="195" t="shared"/>
        <v>-9.403829751660148E-5</v>
      </c>
      <c r="BR97" s="104">
        <f si="196" t="shared"/>
        <v>0</v>
      </c>
      <c r="BS97" s="104">
        <f si="197" t="shared"/>
        <v>0</v>
      </c>
    </row>
    <row r="98" spans="49:71" x14ac:dyDescent="0.25">
      <c r="AW98" s="95">
        <v>11</v>
      </c>
      <c r="AX98" s="104">
        <f si="176" t="shared"/>
        <v>9.9995239408396525E-4</v>
      </c>
      <c r="AY98" s="104">
        <f si="177" t="shared"/>
        <v>-2.2717825585525427E-4</v>
      </c>
      <c r="AZ98" s="104">
        <f si="178" t="shared"/>
        <v>1.2076699492810528E-3</v>
      </c>
      <c r="BA98" s="104">
        <f si="179" t="shared"/>
        <v>3.8181411776475049E-4</v>
      </c>
      <c r="BB98" s="104">
        <f si="180" t="shared"/>
        <v>1.1247034776670078E-5</v>
      </c>
      <c r="BC98" s="104">
        <f si="181" t="shared"/>
        <v>-3.3397538247624016E-4</v>
      </c>
      <c r="BD98" s="104">
        <f si="182" t="shared"/>
        <v>-1.8685786858880487E-3</v>
      </c>
      <c r="BE98" s="104">
        <f si="183" t="shared"/>
        <v>5.1001265395961672E-5</v>
      </c>
      <c r="BF98" s="104">
        <f si="184" t="shared"/>
        <v>1.2823692806263401E-4</v>
      </c>
      <c r="BG98" s="104">
        <f si="185" t="shared"/>
        <v>-7.1535430099706893E-5</v>
      </c>
      <c r="BH98" s="104">
        <f si="186" t="shared"/>
        <v>5.7855369662131815E-3</v>
      </c>
      <c r="BI98" s="104">
        <f si="187" t="shared"/>
        <v>-2.9277107729994171E-3</v>
      </c>
      <c r="BJ98" s="104">
        <f si="188" t="shared"/>
        <v>-1.2950156989831861E-3</v>
      </c>
      <c r="BK98" s="104">
        <f si="189" t="shared"/>
        <v>-4.4265137968306631E-5</v>
      </c>
      <c r="BL98" s="104">
        <f si="190" t="shared"/>
        <v>-5.9491243034344064E-4</v>
      </c>
      <c r="BM98" s="104">
        <f si="191" t="shared"/>
        <v>-7.1991196415647468E-5</v>
      </c>
      <c r="BN98" s="104">
        <f si="192" t="shared"/>
        <v>2.4105252841162745E-4</v>
      </c>
      <c r="BO98" s="104">
        <f si="193" t="shared"/>
        <v>-2.8349898875820295E-4</v>
      </c>
      <c r="BP98" s="104">
        <f si="194" t="shared"/>
        <v>-8.5108600721723205E-4</v>
      </c>
      <c r="BQ98" s="104">
        <f si="195" t="shared"/>
        <v>-2.3676319698516339E-4</v>
      </c>
      <c r="BR98" s="104">
        <f si="196" t="shared"/>
        <v>0</v>
      </c>
      <c r="BS98" s="104">
        <f si="197" t="shared"/>
        <v>0</v>
      </c>
    </row>
    <row r="99" spans="49:71" x14ac:dyDescent="0.25">
      <c r="AW99" s="95">
        <v>12</v>
      </c>
      <c r="AX99" s="104">
        <f si="176" t="shared"/>
        <v>3.6589467151114906E-4</v>
      </c>
      <c r="AY99" s="104">
        <f si="177" t="shared"/>
        <v>1.911911909474256E-3</v>
      </c>
      <c r="AZ99" s="104">
        <f si="178" t="shared"/>
        <v>8.9186205327294876E-6</v>
      </c>
      <c r="BA99" s="104">
        <f si="179" t="shared"/>
        <v>4.883696868641786E-4</v>
      </c>
      <c r="BB99" s="104">
        <f si="180" t="shared"/>
        <v>3.5511895145903067E-4</v>
      </c>
      <c r="BC99" s="104">
        <f si="181" t="shared"/>
        <v>-4.9738123702388129E-4</v>
      </c>
      <c r="BD99" s="104">
        <f si="182" t="shared"/>
        <v>1.4697020686305993E-3</v>
      </c>
      <c r="BE99" s="104">
        <f si="183" t="shared"/>
        <v>2.4153755217662989E-4</v>
      </c>
      <c r="BF99" s="104">
        <f si="184" t="shared"/>
        <v>-1.4389284030900422E-3</v>
      </c>
      <c r="BG99" s="104">
        <f si="185" t="shared"/>
        <v>8.2571171236893838E-4</v>
      </c>
      <c r="BH99" s="104">
        <f si="186" t="shared"/>
        <v>-1.5621010501833496E-3</v>
      </c>
      <c r="BI99" s="104">
        <f si="187" t="shared"/>
        <v>1.3781486582617186E-3</v>
      </c>
      <c r="BJ99" s="104">
        <f si="188" t="shared"/>
        <v>-1.1644585392882019E-3</v>
      </c>
      <c r="BK99" s="104">
        <f si="189" t="shared"/>
        <v>-2.1846808755443011E-4</v>
      </c>
      <c r="BL99" s="104">
        <f si="190" t="shared"/>
        <v>-6.480551975834621E-4</v>
      </c>
      <c r="BM99" s="104">
        <f si="191" t="shared"/>
        <v>3.6846212967964014E-4</v>
      </c>
      <c r="BN99" s="104">
        <f si="192" t="shared"/>
        <v>-7.3623007751000562E-5</v>
      </c>
      <c r="BO99" s="104">
        <f si="193" t="shared"/>
        <v>-5.769661202787281E-4</v>
      </c>
      <c r="BP99" s="104">
        <f si="194" t="shared"/>
        <v>-4.0400628420548818E-4</v>
      </c>
      <c r="BQ99" s="104">
        <f si="195" t="shared"/>
        <v>-8.2978803400029361E-4</v>
      </c>
      <c r="BR99" s="104">
        <f si="196" t="shared"/>
        <v>0</v>
      </c>
      <c r="BS99" s="104">
        <f si="197" t="shared"/>
        <v>0</v>
      </c>
    </row>
    <row r="100" spans="49:71" x14ac:dyDescent="0.25">
      <c r="AW100" s="95">
        <v>13</v>
      </c>
      <c r="AX100" s="104">
        <f si="176" t="shared"/>
        <v>-1.2210974309625582E-3</v>
      </c>
      <c r="AY100" s="104">
        <f si="177" t="shared"/>
        <v>-1.1489967865889218E-3</v>
      </c>
      <c r="AZ100" s="104">
        <f si="178" t="shared"/>
        <v>-6.5441648867648849E-4</v>
      </c>
      <c r="BA100" s="104">
        <f si="179" t="shared"/>
        <v>-8.2542393375103986E-4</v>
      </c>
      <c r="BB100" s="104">
        <f si="180" t="shared"/>
        <v>-3.4325747145546887E-4</v>
      </c>
      <c r="BC100" s="104">
        <f si="181" t="shared"/>
        <v>-2.8621087217825195E-3</v>
      </c>
      <c r="BD100" s="104">
        <f si="182" t="shared"/>
        <v>4.6586963889530576E-3</v>
      </c>
      <c r="BE100" s="104">
        <f si="183" t="shared"/>
        <v>-1.3768953703791585E-4</v>
      </c>
      <c r="BF100" s="104">
        <f si="184" t="shared"/>
        <v>-1.0911046839763862E-3</v>
      </c>
      <c r="BG100" s="104">
        <f si="185" t="shared"/>
        <v>-7.276445496295417E-4</v>
      </c>
      <c r="BH100" s="104">
        <f si="186" t="shared"/>
        <v>-1.414458515015737E-3</v>
      </c>
      <c r="BI100" s="104">
        <f si="187" t="shared"/>
        <v>1.7483261803745223E-3</v>
      </c>
      <c r="BJ100" s="104">
        <f si="188" t="shared"/>
        <v>4.4142167636479351E-3</v>
      </c>
      <c r="BK100" s="104">
        <f si="189" t="shared"/>
        <v>-2.3689547841257682E-4</v>
      </c>
      <c r="BL100" s="104">
        <f si="190" t="shared"/>
        <v>9.143786187476759E-4</v>
      </c>
      <c r="BM100" s="104">
        <f si="191" t="shared"/>
        <v>-9.7606794629059114E-5</v>
      </c>
      <c r="BN100" s="104">
        <f si="192" t="shared"/>
        <v>-2.115503932969984E-4</v>
      </c>
      <c r="BO100" s="104">
        <f si="193" t="shared"/>
        <v>-2.3090165277852149E-4</v>
      </c>
      <c r="BP100" s="104">
        <f si="194" t="shared"/>
        <v>-1.799352132810753E-4</v>
      </c>
      <c r="BQ100" s="104">
        <f si="195" t="shared"/>
        <v>-3.5253030044838241E-4</v>
      </c>
      <c r="BR100" s="104">
        <f si="196" t="shared"/>
        <v>0</v>
      </c>
      <c r="BS100" s="104">
        <f si="197" t="shared"/>
        <v>0</v>
      </c>
    </row>
    <row r="101" spans="49:71" x14ac:dyDescent="0.25">
      <c r="AW101" s="95">
        <v>14</v>
      </c>
      <c r="AX101" s="104">
        <f si="176" t="shared"/>
        <v>2.8260883170797588E-4</v>
      </c>
      <c r="AY101" s="104">
        <f si="177" t="shared"/>
        <v>-6.2741217188986046E-4</v>
      </c>
      <c r="AZ101" s="104">
        <f si="178" t="shared"/>
        <v>6.2081167354002256E-5</v>
      </c>
      <c r="BA101" s="104">
        <f si="179" t="shared"/>
        <v>9.2820271284451035E-5</v>
      </c>
      <c r="BB101" s="104">
        <f si="180" t="shared"/>
        <v>8.2624913171924904E-5</v>
      </c>
      <c r="BC101" s="104">
        <f si="181" t="shared"/>
        <v>6.6720768924475151E-4</v>
      </c>
      <c r="BD101" s="104">
        <f si="182" t="shared"/>
        <v>-7.7550818227480718E-4</v>
      </c>
      <c r="BE101" s="104">
        <f si="183" t="shared"/>
        <v>-5.5554894081006202E-5</v>
      </c>
      <c r="BF101" s="104">
        <f si="184" t="shared"/>
        <v>-2.0918210376535983E-4</v>
      </c>
      <c r="BG101" s="104">
        <f si="185" t="shared"/>
        <v>4.8183141847899891E-5</v>
      </c>
      <c r="BH101" s="104">
        <f si="186" t="shared"/>
        <v>4.7623095516187127E-4</v>
      </c>
      <c r="BI101" s="104">
        <f si="187" t="shared"/>
        <v>-1.094429486215163E-3</v>
      </c>
      <c r="BJ101" s="104">
        <f si="188" t="shared"/>
        <v>-5.3124871918810209E-4</v>
      </c>
      <c r="BK101" s="104">
        <f si="189" t="shared"/>
        <v>1.3299717959972795E-3</v>
      </c>
      <c r="BL101" s="104">
        <f si="190" t="shared"/>
        <v>-2.2950183868299603E-4</v>
      </c>
      <c r="BM101" s="104">
        <f si="191" t="shared"/>
        <v>-6.1173293534953836E-5</v>
      </c>
      <c r="BN101" s="104">
        <f si="192" t="shared"/>
        <v>5.6441130049890713E-4</v>
      </c>
      <c r="BO101" s="104">
        <f si="193" t="shared"/>
        <v>-1.6767559344380007E-4</v>
      </c>
      <c r="BP101" s="104">
        <f si="194" t="shared"/>
        <v>3.5578235482548097E-4</v>
      </c>
      <c r="BQ101" s="104">
        <f si="195" t="shared"/>
        <v>-2.1023613801849652E-4</v>
      </c>
      <c r="BR101" s="104">
        <f si="196" t="shared"/>
        <v>0</v>
      </c>
      <c r="BS101" s="104">
        <f si="197" t="shared"/>
        <v>0</v>
      </c>
    </row>
    <row r="102" spans="49:71" x14ac:dyDescent="0.25">
      <c r="AW102" s="95">
        <v>15</v>
      </c>
      <c r="AX102" s="104">
        <f si="176" t="shared"/>
        <v>-1.8630038624983802E-7</v>
      </c>
      <c r="AY102" s="104">
        <f si="177" t="shared"/>
        <v>-5.0350672498346446E-4</v>
      </c>
      <c r="AZ102" s="104">
        <f si="178" t="shared"/>
        <v>-2.4373332237134782E-5</v>
      </c>
      <c r="BA102" s="104">
        <f si="179" t="shared"/>
        <v>-2.6271065693466843E-4</v>
      </c>
      <c r="BB102" s="104">
        <f si="180" t="shared"/>
        <v>-8.8777707136550278E-5</v>
      </c>
      <c r="BC102" s="104">
        <f si="181" t="shared"/>
        <v>-5.4120494596927296E-4</v>
      </c>
      <c r="BD102" s="104">
        <f si="182" t="shared"/>
        <v>-9.3808833201498593E-4</v>
      </c>
      <c r="BE102" s="104">
        <f si="183" t="shared"/>
        <v>-7.259987047712025E-5</v>
      </c>
      <c r="BF102" s="104">
        <f si="184" t="shared"/>
        <v>6.952519971582154E-4</v>
      </c>
      <c r="BG102" s="104">
        <f si="185" t="shared"/>
        <v>-2.6913782660084454E-4</v>
      </c>
      <c r="BH102" s="104">
        <f si="186" t="shared"/>
        <v>-3.6183563126188133E-4</v>
      </c>
      <c r="BI102" s="104">
        <f si="187" t="shared"/>
        <v>-1.4541035635971676E-3</v>
      </c>
      <c r="BJ102" s="104">
        <f si="188" t="shared"/>
        <v>1.502405413843607E-3</v>
      </c>
      <c r="BK102" s="104">
        <f si="189" t="shared"/>
        <v>-1.5853000913194654E-4</v>
      </c>
      <c r="BL102" s="104">
        <f si="190" t="shared"/>
        <v>2.5844672352060422E-3</v>
      </c>
      <c r="BM102" s="104">
        <f si="191" t="shared"/>
        <v>-6.950829109448692E-5</v>
      </c>
      <c r="BN102" s="104">
        <f si="192" t="shared"/>
        <v>-1.0127274364497064E-4</v>
      </c>
      <c r="BO102" s="104">
        <f si="193" t="shared"/>
        <v>-1.5337513898508025E-4</v>
      </c>
      <c r="BP102" s="104">
        <f si="194" t="shared"/>
        <v>3.8857802100945036E-4</v>
      </c>
      <c r="BQ102" s="104">
        <f si="195" t="shared"/>
        <v>-1.7149159276148848E-4</v>
      </c>
      <c r="BR102" s="104">
        <f si="196" t="shared"/>
        <v>0</v>
      </c>
      <c r="BS102" s="104">
        <f si="197" t="shared"/>
        <v>0</v>
      </c>
    </row>
    <row r="103" spans="49:71" x14ac:dyDescent="0.25">
      <c r="AW103" s="95">
        <v>16</v>
      </c>
      <c r="AX103" s="104">
        <f si="176" t="shared"/>
        <v>1.0659402528602371E-4</v>
      </c>
      <c r="AY103" s="104">
        <f si="177" t="shared"/>
        <v>-1.4323745793074763E-4</v>
      </c>
      <c r="AZ103" s="104">
        <f si="178" t="shared"/>
        <v>-6.2794695044851069E-5</v>
      </c>
      <c r="BA103" s="104">
        <f si="179" t="shared"/>
        <v>4.8506496578417627E-5</v>
      </c>
      <c r="BB103" s="104">
        <f si="180" t="shared"/>
        <v>9.4490997867883509E-5</v>
      </c>
      <c r="BC103" s="104">
        <f si="181" t="shared"/>
        <v>7.1396082433413006E-5</v>
      </c>
      <c r="BD103" s="104">
        <f si="182" t="shared"/>
        <v>-3.2197771319632858E-4</v>
      </c>
      <c r="BE103" s="104">
        <f si="183" t="shared"/>
        <v>4.0455636041959706E-5</v>
      </c>
      <c r="BF103" s="104">
        <f si="184" t="shared"/>
        <v>-3.0534468518560599E-4</v>
      </c>
      <c r="BG103" s="104">
        <f si="185" t="shared"/>
        <v>1.9345757162053667E-4</v>
      </c>
      <c r="BH103" s="104">
        <f si="186" t="shared"/>
        <v>-1.7432671593587033E-4</v>
      </c>
      <c r="BI103" s="104">
        <f si="187" t="shared"/>
        <v>9.3302978808883739E-4</v>
      </c>
      <c r="BJ103" s="104">
        <f si="188" t="shared"/>
        <v>-3.8091167931774707E-4</v>
      </c>
      <c r="BK103" s="104">
        <f si="189" t="shared"/>
        <v>-3.0428359367944163E-5</v>
      </c>
      <c r="BL103" s="104">
        <f si="190" t="shared"/>
        <v>-1.1101688912861134E-4</v>
      </c>
      <c r="BM103" s="104">
        <f si="191" t="shared"/>
        <v>2.5742087551390938E-4</v>
      </c>
      <c r="BN103" s="104">
        <f si="192" t="shared"/>
        <v>-2.4607199186171737E-5</v>
      </c>
      <c r="BO103" s="104">
        <f si="193" t="shared"/>
        <v>-1.0342730653529222E-4</v>
      </c>
      <c r="BP103" s="104">
        <f si="194" t="shared"/>
        <v>-6.2625331443616142E-5</v>
      </c>
      <c r="BQ103" s="104">
        <f si="195" t="shared"/>
        <v>-2.4653441158194308E-5</v>
      </c>
      <c r="BR103" s="104">
        <f si="196" t="shared"/>
        <v>0</v>
      </c>
      <c r="BS103" s="104">
        <f si="197" t="shared"/>
        <v>0</v>
      </c>
    </row>
    <row r="104" spans="49:71" x14ac:dyDescent="0.25">
      <c r="AW104" s="95">
        <v>17</v>
      </c>
      <c r="AX104" s="104">
        <f si="176" t="shared"/>
        <v>4.900876723657431E-5</v>
      </c>
      <c r="AY104" s="104">
        <f si="177" t="shared"/>
        <v>-5.8296581219911185E-4</v>
      </c>
      <c r="AZ104" s="104">
        <f si="178" t="shared"/>
        <v>1.629571415545086E-4</v>
      </c>
      <c r="BA104" s="104">
        <f si="179" t="shared"/>
        <v>-1.3368464010999606E-4</v>
      </c>
      <c r="BB104" s="104">
        <f si="180" t="shared"/>
        <v>3.4038682570575055E-5</v>
      </c>
      <c r="BC104" s="104">
        <f si="181" t="shared"/>
        <v>-2.3655995023455284E-4</v>
      </c>
      <c r="BD104" s="104">
        <f si="182" t="shared"/>
        <v>-6.7870419235129811E-4</v>
      </c>
      <c r="BE104" s="104">
        <f si="183" t="shared"/>
        <v>-1.1854769543389441E-4</v>
      </c>
      <c r="BF104" s="104">
        <f si="184" t="shared"/>
        <v>-2.2992716989671052E-4</v>
      </c>
      <c r="BG104" s="104">
        <f si="185" t="shared"/>
        <v>-1.0386279936049097E-4</v>
      </c>
      <c r="BH104" s="104">
        <f si="186" t="shared"/>
        <v>3.5163518025111383E-4</v>
      </c>
      <c r="BI104" s="104">
        <f si="187" t="shared"/>
        <v>-9.6889000301046756E-4</v>
      </c>
      <c r="BJ104" s="104">
        <f si="188" t="shared"/>
        <v>-4.2196800361711789E-4</v>
      </c>
      <c r="BK104" s="104">
        <f si="189" t="shared"/>
        <v>7.1109037601436173E-4</v>
      </c>
      <c r="BL104" s="104">
        <f si="190" t="shared"/>
        <v>-1.6242921987484534E-4</v>
      </c>
      <c r="BM104" s="104">
        <f si="191" t="shared"/>
        <v>-8.3848560133302074E-5</v>
      </c>
      <c r="BN104" s="104">
        <f si="192" t="shared"/>
        <v>1.2479662179947582E-3</v>
      </c>
      <c r="BO104" s="104">
        <f si="193" t="shared"/>
        <v>-1.0893976390090847E-4</v>
      </c>
      <c r="BP104" s="104">
        <f si="194" t="shared"/>
        <v>1.3814689601875057E-3</v>
      </c>
      <c r="BQ104" s="104">
        <f si="195" t="shared"/>
        <v>-1.0783751568670171E-4</v>
      </c>
      <c r="BR104" s="104">
        <f si="196" t="shared"/>
        <v>0</v>
      </c>
      <c r="BS104" s="104">
        <f si="197" t="shared"/>
        <v>0</v>
      </c>
    </row>
    <row r="105" spans="49:71" x14ac:dyDescent="0.25">
      <c r="AW105" s="95">
        <v>18</v>
      </c>
      <c r="AX105" s="104">
        <f si="176" t="shared"/>
        <v>-7.7926433743417283E-4</v>
      </c>
      <c r="AY105" s="104">
        <f si="177" t="shared"/>
        <v>-6.6603470819578091E-4</v>
      </c>
      <c r="AZ105" s="104">
        <f si="178" t="shared"/>
        <v>-2.6047796409145235E-4</v>
      </c>
      <c r="BA105" s="104">
        <f si="179" t="shared"/>
        <v>-3.1395771344580337E-4</v>
      </c>
      <c r="BB105" s="104">
        <f si="180" t="shared"/>
        <v>-1.6765477765120807E-4</v>
      </c>
      <c r="BC105" s="104">
        <f si="181" t="shared"/>
        <v>-1.7582953698326931E-3</v>
      </c>
      <c r="BD105" s="104">
        <f si="182" t="shared"/>
        <v>-1.4723892207429159E-3</v>
      </c>
      <c r="BE105" s="104">
        <f si="183" t="shared"/>
        <v>-5.1261564571316166E-5</v>
      </c>
      <c r="BF105" s="104">
        <f si="184" t="shared"/>
        <v>-1.025679016595075E-3</v>
      </c>
      <c r="BG105" s="104">
        <f si="185" t="shared"/>
        <v>-2.4183851911504579E-4</v>
      </c>
      <c r="BH105" s="104">
        <f si="186" t="shared"/>
        <v>-5.121951203429535E-4</v>
      </c>
      <c r="BI105" s="104">
        <f si="187" t="shared"/>
        <v>3.7209983796503039E-3</v>
      </c>
      <c r="BJ105" s="104">
        <f si="188" t="shared"/>
        <v>1.671642086785689E-3</v>
      </c>
      <c r="BK105" s="104">
        <f si="189" t="shared"/>
        <v>-8.0902256551335235E-5</v>
      </c>
      <c r="BL105" s="104">
        <f si="190" t="shared"/>
        <v>-2.5065009991227815E-4</v>
      </c>
      <c r="BM105" s="104">
        <f si="191" t="shared"/>
        <v>9.7256094213772002E-5</v>
      </c>
      <c r="BN105" s="104">
        <f si="192" t="shared"/>
        <v>-6.355438988758307E-5</v>
      </c>
      <c r="BO105" s="104">
        <f si="193" t="shared"/>
        <v>2.5943232141180991E-3</v>
      </c>
      <c r="BP105" s="104">
        <f si="194" t="shared"/>
        <v>-1.200183692603109E-4</v>
      </c>
      <c r="BQ105" s="104">
        <f si="195" t="shared"/>
        <v>-3.2004634713793975E-4</v>
      </c>
      <c r="BR105" s="104">
        <f si="196" t="shared"/>
        <v>0</v>
      </c>
      <c r="BS105" s="104">
        <f si="197" t="shared"/>
        <v>0</v>
      </c>
    </row>
    <row r="106" spans="49:71" x14ac:dyDescent="0.25">
      <c r="AW106" s="95">
        <v>19</v>
      </c>
      <c r="AX106" s="104">
        <f si="176" t="shared"/>
        <v>3.2813939705090374E-4</v>
      </c>
      <c r="AY106" s="104">
        <f si="177" t="shared"/>
        <v>-5.8082072314830698E-4</v>
      </c>
      <c r="AZ106" s="104">
        <f si="178" t="shared"/>
        <v>2.0870303388917724E-4</v>
      </c>
      <c r="BA106" s="104">
        <f si="179" t="shared"/>
        <v>-1.1786135902842844E-4</v>
      </c>
      <c r="BB106" s="104">
        <f si="180" t="shared"/>
        <v>-1.3935257564902425E-5</v>
      </c>
      <c r="BC106" s="104">
        <f si="181" t="shared"/>
        <v>-2.6438025182662752E-4</v>
      </c>
      <c r="BD106" s="104">
        <f si="182" t="shared"/>
        <v>-1.2197706043703708E-3</v>
      </c>
      <c r="BE106" s="104">
        <f si="183" t="shared"/>
        <v>-1.1608041512816124E-4</v>
      </c>
      <c r="BF106" s="104">
        <f si="184" t="shared"/>
        <v>-2.2364091839467519E-4</v>
      </c>
      <c r="BG106" s="104">
        <f si="185" t="shared"/>
        <v>-1.4777290161396833E-4</v>
      </c>
      <c r="BH106" s="104">
        <f si="186" t="shared"/>
        <v>2.1882202453293725E-3</v>
      </c>
      <c r="BI106" s="104">
        <f si="187" t="shared"/>
        <v>-2.4503090546784583E-3</v>
      </c>
      <c r="BJ106" s="104">
        <f si="188" t="shared"/>
        <v>-6.6299069016893808E-4</v>
      </c>
      <c r="BK106" s="104">
        <f si="189" t="shared"/>
        <v>1.6238495653510688E-4</v>
      </c>
      <c r="BL106" s="104">
        <f si="190" t="shared"/>
        <v>9.5793221004309261E-4</v>
      </c>
      <c r="BM106" s="104">
        <f si="191" t="shared"/>
        <v>-8.9177720217774054E-5</v>
      </c>
      <c r="BN106" s="104">
        <f si="192" t="shared"/>
        <v>-1.7954950434262212E-4</v>
      </c>
      <c r="BO106" s="104">
        <f si="193" t="shared"/>
        <v>-2.1634020862761934E-4</v>
      </c>
      <c r="BP106" s="104">
        <f si="194" t="shared"/>
        <v>2.6064810114833185E-3</v>
      </c>
      <c r="BQ106" s="104">
        <f si="195" t="shared"/>
        <v>-1.6923124522011867E-4</v>
      </c>
      <c r="BR106" s="104">
        <f si="196" t="shared"/>
        <v>0</v>
      </c>
      <c r="BS106" s="104">
        <f si="197" t="shared"/>
        <v>0</v>
      </c>
    </row>
    <row r="107" spans="49:71" x14ac:dyDescent="0.25">
      <c r="AW107" s="95">
        <v>20</v>
      </c>
      <c r="AX107" s="104">
        <f si="176" t="shared"/>
        <v>-5.8486234074450467E-4</v>
      </c>
      <c r="AY107" s="104">
        <f si="177" t="shared"/>
        <v>-6.3837925421175354E-4</v>
      </c>
      <c r="AZ107" s="104">
        <f si="178" t="shared"/>
        <v>-2.3204704920653553E-4</v>
      </c>
      <c r="BA107" s="104">
        <f si="179" t="shared"/>
        <v>-2.2827358437744826E-4</v>
      </c>
      <c r="BB107" s="104">
        <f si="180" t="shared"/>
        <v>-1.3951678312604037E-4</v>
      </c>
      <c r="BC107" s="104">
        <f si="181" t="shared"/>
        <v>-6.8385539287991277E-4</v>
      </c>
      <c r="BD107" s="104">
        <f si="182" t="shared"/>
        <v>-1.2934647819460225E-3</v>
      </c>
      <c r="BE107" s="104">
        <f si="183" t="shared"/>
        <v>-7.9390077577003236E-5</v>
      </c>
      <c r="BF107" s="104">
        <f si="184" t="shared"/>
        <v>-7.7512763059118096E-4</v>
      </c>
      <c r="BG107" s="104">
        <f si="185" t="shared"/>
        <v>-1.5293423616123309E-4</v>
      </c>
      <c r="BH107" s="104">
        <f si="186" t="shared"/>
        <v>-3.3136430028728826E-4</v>
      </c>
      <c r="BI107" s="104">
        <f si="187" t="shared"/>
        <v>6.4730578684365873E-4</v>
      </c>
      <c r="BJ107" s="104">
        <f si="188" t="shared"/>
        <v>-8.7061497149075527E-4</v>
      </c>
      <c r="BK107" s="104">
        <f si="189" t="shared"/>
        <v>-1.4867416277483203E-4</v>
      </c>
      <c r="BL107" s="104">
        <f si="190" t="shared"/>
        <v>-2.6979875515875369E-4</v>
      </c>
      <c r="BM107" s="104">
        <f si="191" t="shared"/>
        <v>1.6532564502150753E-4</v>
      </c>
      <c r="BN107" s="104">
        <f si="192" t="shared"/>
        <v>-4.0101424647605255E-5</v>
      </c>
      <c r="BO107" s="104">
        <f si="193" t="shared"/>
        <v>7.6659445796789689E-4</v>
      </c>
      <c r="BP107" s="104">
        <f si="194" t="shared"/>
        <v>-1.759031525121986E-4</v>
      </c>
      <c r="BQ107" s="104">
        <f si="195" t="shared"/>
        <v>5.0650820078600028E-3</v>
      </c>
      <c r="BR107" s="104">
        <f si="196" t="shared"/>
        <v>0</v>
      </c>
      <c r="BS107" s="104">
        <f si="197" t="shared"/>
        <v>0</v>
      </c>
    </row>
    <row r="108" spans="49:71" x14ac:dyDescent="0.25">
      <c r="AW108" s="101" t="s">
        <v>15</v>
      </c>
      <c r="AX108" s="105">
        <f si="176" t="shared"/>
        <v>0</v>
      </c>
      <c r="AY108" s="105">
        <f si="177" t="shared"/>
        <v>0</v>
      </c>
      <c r="AZ108" s="105">
        <f si="178" t="shared"/>
        <v>0</v>
      </c>
      <c r="BA108" s="105">
        <f si="179" t="shared"/>
        <v>0</v>
      </c>
      <c r="BB108" s="105">
        <f si="180" t="shared"/>
        <v>0</v>
      </c>
      <c r="BC108" s="105">
        <f si="181" t="shared"/>
        <v>0</v>
      </c>
      <c r="BD108" s="105">
        <f si="182" t="shared"/>
        <v>0</v>
      </c>
      <c r="BE108" s="105">
        <f si="183" t="shared"/>
        <v>0</v>
      </c>
      <c r="BF108" s="105">
        <f si="184" t="shared"/>
        <v>0</v>
      </c>
      <c r="BG108" s="105">
        <f si="185" t="shared"/>
        <v>0</v>
      </c>
      <c r="BH108" s="105">
        <f si="186" t="shared"/>
        <v>0</v>
      </c>
      <c r="BI108" s="105">
        <f si="187" t="shared"/>
        <v>0</v>
      </c>
      <c r="BJ108" s="105">
        <f si="188" t="shared"/>
        <v>0</v>
      </c>
      <c r="BK108" s="105">
        <f si="189" t="shared"/>
        <v>0</v>
      </c>
      <c r="BL108" s="105">
        <f si="190" t="shared"/>
        <v>0</v>
      </c>
      <c r="BM108" s="105">
        <f si="191" t="shared"/>
        <v>0</v>
      </c>
      <c r="BN108" s="105">
        <f si="192" t="shared"/>
        <v>0</v>
      </c>
      <c r="BO108" s="105">
        <f si="193" t="shared"/>
        <v>0</v>
      </c>
      <c r="BP108" s="105">
        <f si="194" t="shared"/>
        <v>0</v>
      </c>
      <c r="BQ108" s="105">
        <f si="195" t="shared"/>
        <v>0</v>
      </c>
      <c r="BR108" s="105">
        <f si="196" t="shared"/>
        <v>0</v>
      </c>
      <c r="BS108" s="105">
        <f si="197" t="shared"/>
        <v>0</v>
      </c>
    </row>
    <row ht="15.75" r="109" spans="49:71" thickBot="1" x14ac:dyDescent="0.3">
      <c r="AW109" s="1" t="s">
        <v>3</v>
      </c>
      <c r="AX109" s="106">
        <f si="176" t="shared"/>
        <v>-2.1384844255258051E-4</v>
      </c>
      <c r="AY109" s="106">
        <f si="177" t="shared"/>
        <v>4.3823193983177217E-4</v>
      </c>
      <c r="AZ109" s="106">
        <f si="178" t="shared"/>
        <v>-3.4345132055765837E-4</v>
      </c>
      <c r="BA109" s="106">
        <f si="179" t="shared"/>
        <v>-2.9962000800590888E-4</v>
      </c>
      <c r="BB109" s="106">
        <f si="180" t="shared"/>
        <v>2.1280851803339926E-4</v>
      </c>
      <c r="BC109" s="106">
        <f si="181" t="shared"/>
        <v>-9.1533322043871324E-4</v>
      </c>
      <c r="BD109" s="106">
        <f si="182" t="shared"/>
        <v>-3.3090350458864215E-4</v>
      </c>
      <c r="BE109" s="106">
        <f si="183" t="shared"/>
        <v>-1.745426460137648E-5</v>
      </c>
      <c r="BF109" s="106">
        <f si="184" t="shared"/>
        <v>-1.0443307541384492E-3</v>
      </c>
      <c r="BG109" s="106">
        <f si="185" t="shared"/>
        <v>-2.8390129557916838E-4</v>
      </c>
      <c r="BH109" s="106">
        <f si="186" t="shared"/>
        <v>6.4886711793356311E-4</v>
      </c>
      <c r="BI109" s="106">
        <f si="187" t="shared"/>
        <v>-2.0801237598430389E-3</v>
      </c>
      <c r="BJ109" s="106">
        <f si="188" t="shared"/>
        <v>4.2950588740243989E-4</v>
      </c>
      <c r="BK109" s="106">
        <f si="189" t="shared"/>
        <v>4.3212193079443517E-4</v>
      </c>
      <c r="BL109" s="106">
        <f si="190" t="shared"/>
        <v>-4.2650263452695403E-4</v>
      </c>
      <c r="BM109" s="106">
        <f si="191" t="shared"/>
        <v>2.6900829319881706E-5</v>
      </c>
      <c r="BN109" s="106">
        <f si="192" t="shared"/>
        <v>7.9352201494846918E-4</v>
      </c>
      <c r="BO109" s="106">
        <f si="193" t="shared"/>
        <v>-1.1749460768624084E-4</v>
      </c>
      <c r="BP109" s="106">
        <f si="194" t="shared"/>
        <v>1.4004055407929421E-3</v>
      </c>
      <c r="BQ109" s="106">
        <f si="195" t="shared"/>
        <v>1.6906000334618379E-3</v>
      </c>
      <c r="BR109" s="106">
        <f si="196" t="shared"/>
        <v>0</v>
      </c>
      <c r="BS109" s="106">
        <f si="197" t="shared"/>
        <v>0</v>
      </c>
    </row>
  </sheetData>
  <mergeCells count="5">
    <mergeCell ref="BV20:BW20"/>
    <mergeCell ref="CB20:CE20"/>
    <mergeCell ref="CF20:CI20"/>
    <mergeCell ref="CJ20:CK20"/>
    <mergeCell ref="BX20:CA20"/>
  </mergeCells>
  <conditionalFormatting sqref="AX88:BS109">
    <cfRule priority="4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22:CJ41">
    <cfRule priority="3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22:CK41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22:CL41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B2:Y79"/>
  <sheetViews>
    <sheetView workbookViewId="0">
      <selection activeCell="D65" sqref="D65"/>
    </sheetView>
  </sheetViews>
  <sheetFormatPr defaultRowHeight="15" x14ac:dyDescent="0.25"/>
  <cols>
    <col min="24" max="24" bestFit="true" customWidth="true" width="10.5703125" collapsed="true"/>
  </cols>
  <sheetData>
    <row ht="15.75" r="2" spans="2:24" thickBot="1" x14ac:dyDescent="0.3">
      <c r="B2" s="4" t="s">
        <v>358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7"/>
      <c r="Q2" s="7"/>
      <c r="R2" s="7"/>
      <c r="S2" s="7"/>
      <c r="T2" s="7"/>
      <c r="U2" s="7"/>
      <c r="V2" s="7"/>
      <c r="W2" s="7"/>
    </row>
    <row r="3" spans="2:24" x14ac:dyDescent="0.25">
      <c r="B3" s="2" t="s">
        <v>14</v>
      </c>
      <c r="C3" s="2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>
        <v>10</v>
      </c>
      <c r="M3" s="2">
        <v>11</v>
      </c>
      <c r="N3" s="2">
        <v>12</v>
      </c>
      <c r="O3" s="2">
        <v>13</v>
      </c>
      <c r="P3" s="2">
        <v>14</v>
      </c>
      <c r="Q3" s="2">
        <v>15</v>
      </c>
      <c r="R3" s="2">
        <v>16</v>
      </c>
      <c r="S3" s="2">
        <v>17</v>
      </c>
      <c r="T3" s="2">
        <v>18</v>
      </c>
      <c r="U3" s="2">
        <v>19</v>
      </c>
      <c r="V3" s="2">
        <v>20</v>
      </c>
      <c r="W3" s="3" t="s">
        <v>15</v>
      </c>
      <c r="X3" s="3" t="s">
        <v>3</v>
      </c>
    </row>
    <row r="4" spans="2:24" x14ac:dyDescent="0.25">
      <c r="B4" s="31">
        <v>1</v>
      </c>
      <c r="C4" s="77">
        <v>10940.26220178045</v>
      </c>
      <c r="D4" s="77">
        <v>1660.2959506530301</v>
      </c>
      <c r="E4" s="77">
        <v>3989.2525967992851</v>
      </c>
      <c r="F4" s="77">
        <v>1831.796278335155</v>
      </c>
      <c r="G4" s="77">
        <v>1710.6672402061499</v>
      </c>
      <c r="H4" s="77">
        <v>4058.1532752439398</v>
      </c>
      <c r="I4" s="77">
        <v>2911.8942383695398</v>
      </c>
      <c r="J4" s="77">
        <v>213.55700133740899</v>
      </c>
      <c r="K4" s="77">
        <v>2164.9227482974552</v>
      </c>
      <c r="L4" s="77">
        <v>1538.29021091759</v>
      </c>
      <c r="M4" s="77">
        <v>2067.341352522375</v>
      </c>
      <c r="N4" s="77">
        <v>3812.5177454445502</v>
      </c>
      <c r="O4" s="77">
        <v>819.96949055046002</v>
      </c>
      <c r="P4" s="77">
        <v>277.7388738170265</v>
      </c>
      <c r="Q4" s="77">
        <v>485.05221866816299</v>
      </c>
      <c r="R4" s="77">
        <v>603.75784368813004</v>
      </c>
      <c r="S4" s="77">
        <v>264.40893332660198</v>
      </c>
      <c r="T4" s="77">
        <v>423.45168364793051</v>
      </c>
      <c r="U4" s="77">
        <v>466.76911579258751</v>
      </c>
      <c r="V4" s="77">
        <v>98.477223664522</v>
      </c>
      <c r="W4" s="77"/>
      <c r="X4" s="77">
        <f>SUM(C4:W4)</f>
        <v>40338.576223062344</v>
      </c>
    </row>
    <row r="5" spans="2:24" x14ac:dyDescent="0.25">
      <c r="B5" s="95">
        <v>2</v>
      </c>
      <c r="C5" s="77">
        <v>1601.6365359891199</v>
      </c>
      <c r="D5" s="77">
        <v>12266.7219414264</v>
      </c>
      <c r="E5" s="77">
        <v>2558.5370216965698</v>
      </c>
      <c r="F5" s="77">
        <v>796.13561119139001</v>
      </c>
      <c r="G5" s="77">
        <v>701.16450272500504</v>
      </c>
      <c r="H5" s="77">
        <v>2894.9007383696749</v>
      </c>
      <c r="I5" s="77">
        <v>4855.1070069782454</v>
      </c>
      <c r="J5" s="77">
        <v>309.69607349485148</v>
      </c>
      <c r="K5" s="77">
        <v>5058.1660965103501</v>
      </c>
      <c r="L5" s="77">
        <v>958.85979920252998</v>
      </c>
      <c r="M5" s="77">
        <v>1920.08077540819</v>
      </c>
      <c r="N5" s="77">
        <v>4397.0984764248151</v>
      </c>
      <c r="O5" s="77">
        <v>994.87688369303999</v>
      </c>
      <c r="P5" s="77">
        <v>256.82142405211948</v>
      </c>
      <c r="Q5" s="77">
        <v>680.76275756954999</v>
      </c>
      <c r="R5" s="77">
        <v>255.04320777952699</v>
      </c>
      <c r="S5" s="77">
        <v>362.543882764876</v>
      </c>
      <c r="T5" s="77">
        <v>466.28423714637751</v>
      </c>
      <c r="U5" s="77">
        <v>399.55271499231452</v>
      </c>
      <c r="V5" s="77">
        <v>77.676168307661996</v>
      </c>
      <c r="W5" s="77"/>
      <c r="X5" s="77">
        <f ref="X5:X24" si="0" t="shared">SUM(C5:W5)</f>
        <v>41811.665855722611</v>
      </c>
    </row>
    <row r="6" spans="2:24" x14ac:dyDescent="0.25">
      <c r="B6" s="95">
        <v>3</v>
      </c>
      <c r="C6" s="77">
        <v>3968.6959729380901</v>
      </c>
      <c r="D6" s="77">
        <v>2518.328712396325</v>
      </c>
      <c r="E6" s="77">
        <v>16609.776744563151</v>
      </c>
      <c r="F6" s="77">
        <v>2746.6629975140099</v>
      </c>
      <c r="G6" s="77">
        <v>1301.09577747807</v>
      </c>
      <c r="H6" s="77">
        <v>2834.4499411731949</v>
      </c>
      <c r="I6" s="77">
        <v>1931.573494241575</v>
      </c>
      <c r="J6" s="77">
        <v>687.65584461390995</v>
      </c>
      <c r="K6" s="77">
        <v>2534.566205346955</v>
      </c>
      <c r="L6" s="77">
        <v>488.83572708815348</v>
      </c>
      <c r="M6" s="77">
        <v>4717.5838556289646</v>
      </c>
      <c r="N6" s="77">
        <v>2316.7837403984749</v>
      </c>
      <c r="O6" s="77">
        <v>335.82021575421101</v>
      </c>
      <c r="P6" s="77">
        <v>284.19365198910248</v>
      </c>
      <c r="Q6" s="77">
        <v>323.24773611128347</v>
      </c>
      <c r="R6" s="77">
        <v>141.940249828622</v>
      </c>
      <c r="S6" s="77">
        <v>270.40558920800697</v>
      </c>
      <c r="T6" s="77">
        <v>79.503889033570999</v>
      </c>
      <c r="U6" s="77">
        <v>333.42165564745648</v>
      </c>
      <c r="V6" s="77">
        <v>31.276608020067201</v>
      </c>
      <c r="W6" s="77"/>
      <c r="X6" s="77">
        <f si="0" t="shared"/>
        <v>44455.818608973197</v>
      </c>
    </row>
    <row r="7" spans="2:24" x14ac:dyDescent="0.25">
      <c r="B7" s="95">
        <v>4</v>
      </c>
      <c r="C7" s="77">
        <v>1903.696295134725</v>
      </c>
      <c r="D7" s="77">
        <v>811.11278299987498</v>
      </c>
      <c r="E7" s="77">
        <v>2813.5432287007552</v>
      </c>
      <c r="F7" s="77">
        <v>5953.7890788167497</v>
      </c>
      <c r="G7" s="77">
        <v>1933.1030366718751</v>
      </c>
      <c r="H7" s="77">
        <v>2129.5768845900898</v>
      </c>
      <c r="I7" s="77">
        <v>1407.38653832674</v>
      </c>
      <c r="J7" s="77">
        <v>669.63735915720497</v>
      </c>
      <c r="K7" s="77">
        <v>1262.21093227342</v>
      </c>
      <c r="L7" s="77">
        <v>971.68278811872005</v>
      </c>
      <c r="M7" s="77">
        <v>1683.09095106274</v>
      </c>
      <c r="N7" s="77">
        <v>2209.0666068547848</v>
      </c>
      <c r="O7" s="77">
        <v>316.84271556878252</v>
      </c>
      <c r="P7" s="77">
        <v>263.41397304832952</v>
      </c>
      <c r="Q7" s="77">
        <v>155.53168840706351</v>
      </c>
      <c r="R7" s="77">
        <v>232.23736053705201</v>
      </c>
      <c r="S7" s="77">
        <v>125.92837816476801</v>
      </c>
      <c r="T7" s="77">
        <v>118.3628339469435</v>
      </c>
      <c r="U7" s="77">
        <v>296.89361302554602</v>
      </c>
      <c r="V7" s="77">
        <v>18.111210554838198</v>
      </c>
      <c r="W7" s="77"/>
      <c r="X7" s="77">
        <f si="0" t="shared"/>
        <v>25275.218255961001</v>
      </c>
    </row>
    <row r="8" spans="2:24" x14ac:dyDescent="0.25">
      <c r="B8" s="95">
        <v>5</v>
      </c>
      <c r="C8" s="77">
        <v>1771.3368467278799</v>
      </c>
      <c r="D8" s="77">
        <v>684.59214429557505</v>
      </c>
      <c r="E8" s="77">
        <v>1297.736651498825</v>
      </c>
      <c r="F8" s="77">
        <v>1892.47690060735</v>
      </c>
      <c r="G8" s="77">
        <v>4814.7963017523298</v>
      </c>
      <c r="H8" s="77">
        <v>3797.0062421709299</v>
      </c>
      <c r="I8" s="77">
        <v>1468.9346555173399</v>
      </c>
      <c r="J8" s="77">
        <v>312.84949558228249</v>
      </c>
      <c r="K8" s="77">
        <v>838.66036509349999</v>
      </c>
      <c r="L8" s="77">
        <v>2657.6045102477101</v>
      </c>
      <c r="M8" s="77">
        <v>797.47975687309997</v>
      </c>
      <c r="N8" s="77">
        <v>2043.825919136405</v>
      </c>
      <c r="O8" s="77">
        <v>289.38759054243548</v>
      </c>
      <c r="P8" s="77">
        <v>78.148549139499494</v>
      </c>
      <c r="Q8" s="77">
        <v>124.4503399282695</v>
      </c>
      <c r="R8" s="77">
        <v>356.35316708683951</v>
      </c>
      <c r="S8" s="77">
        <v>90.795368507504506</v>
      </c>
      <c r="T8" s="77">
        <v>53.187485516071497</v>
      </c>
      <c r="U8" s="77">
        <v>101.080995053053</v>
      </c>
      <c r="V8" s="77">
        <v>23.992759376764301</v>
      </c>
      <c r="W8" s="77"/>
      <c r="X8" s="77">
        <f si="0" t="shared"/>
        <v>23494.696044653665</v>
      </c>
    </row>
    <row r="9" spans="2:24" x14ac:dyDescent="0.25">
      <c r="B9" s="95">
        <v>6</v>
      </c>
      <c r="C9" s="77">
        <v>4026.7275659330198</v>
      </c>
      <c r="D9" s="77">
        <v>2939.1859528496848</v>
      </c>
      <c r="E9" s="77">
        <v>2856.5977777503449</v>
      </c>
      <c r="F9" s="77">
        <v>2131.1698245480652</v>
      </c>
      <c r="G9" s="77">
        <v>3784.3398390710349</v>
      </c>
      <c r="H9" s="77">
        <v>24373.949378636451</v>
      </c>
      <c r="I9" s="77">
        <v>4832.1394518529996</v>
      </c>
      <c r="J9" s="77">
        <v>472.63120371103298</v>
      </c>
      <c r="K9" s="77">
        <v>3139.8777754008752</v>
      </c>
      <c r="L9" s="77">
        <v>4456.8643093258152</v>
      </c>
      <c r="M9" s="77">
        <v>2449.2454201634951</v>
      </c>
      <c r="N9" s="77">
        <v>11132.55629079</v>
      </c>
      <c r="O9" s="77">
        <v>1188.9159507863201</v>
      </c>
      <c r="P9" s="77">
        <v>526.58859939128001</v>
      </c>
      <c r="Q9" s="77">
        <v>647.99585525691498</v>
      </c>
      <c r="R9" s="77">
        <v>1245.40348947607</v>
      </c>
      <c r="S9" s="77">
        <v>486.37571668624901</v>
      </c>
      <c r="T9" s="77">
        <v>581.88242455944498</v>
      </c>
      <c r="U9" s="77">
        <v>606.90456423163505</v>
      </c>
      <c r="V9" s="77">
        <v>165.003762692213</v>
      </c>
      <c r="W9" s="77"/>
      <c r="X9" s="77">
        <f si="0" t="shared"/>
        <v>72044.355153112949</v>
      </c>
    </row>
    <row r="10" spans="2:24" x14ac:dyDescent="0.25">
      <c r="B10" s="95">
        <v>7</v>
      </c>
      <c r="C10" s="77">
        <v>2946.6291679497799</v>
      </c>
      <c r="D10" s="77">
        <v>5031.9294276628498</v>
      </c>
      <c r="E10" s="77">
        <v>1964.18780922983</v>
      </c>
      <c r="F10" s="77">
        <v>1421.18593595177</v>
      </c>
      <c r="G10" s="77">
        <v>1508.8080815523849</v>
      </c>
      <c r="H10" s="77">
        <v>4885.2995698051554</v>
      </c>
      <c r="I10" s="77">
        <v>64184.280151311497</v>
      </c>
      <c r="J10" s="77">
        <v>350.47705352306349</v>
      </c>
      <c r="K10" s="77">
        <v>7607.4465426290499</v>
      </c>
      <c r="L10" s="77">
        <v>936.15671552717504</v>
      </c>
      <c r="M10" s="77">
        <v>1894.36190187838</v>
      </c>
      <c r="N10" s="77">
        <v>15602.895795754601</v>
      </c>
      <c r="O10" s="77">
        <v>13500.033705565151</v>
      </c>
      <c r="P10" s="77">
        <v>300.70734231173998</v>
      </c>
      <c r="Q10" s="77">
        <v>2595.0726676583299</v>
      </c>
      <c r="R10" s="77">
        <v>209.781542688608</v>
      </c>
      <c r="S10" s="77">
        <v>254.234584659338</v>
      </c>
      <c r="T10" s="77">
        <v>1506.49727804959</v>
      </c>
      <c r="U10" s="77">
        <v>394.8590451702475</v>
      </c>
      <c r="V10" s="77">
        <v>180.284216605127</v>
      </c>
      <c r="W10" s="77"/>
      <c r="X10" s="77">
        <f si="0" t="shared"/>
        <v>127275.12853548367</v>
      </c>
    </row>
    <row r="11" spans="2:24" x14ac:dyDescent="0.25">
      <c r="B11" s="95">
        <v>8</v>
      </c>
      <c r="C11" s="77">
        <v>227.3946504443885</v>
      </c>
      <c r="D11" s="77">
        <v>300.46030572801851</v>
      </c>
      <c r="E11" s="77">
        <v>711.03796501457498</v>
      </c>
      <c r="F11" s="77">
        <v>666.89682637154999</v>
      </c>
      <c r="G11" s="77">
        <v>324.33642602711899</v>
      </c>
      <c r="H11" s="77">
        <v>465.1077752262355</v>
      </c>
      <c r="I11" s="77">
        <v>349.79545317590248</v>
      </c>
      <c r="J11" s="77">
        <v>376.75621581077598</v>
      </c>
      <c r="K11" s="77">
        <v>197.51090311259051</v>
      </c>
      <c r="L11" s="77">
        <v>308.62307673692698</v>
      </c>
      <c r="M11" s="77">
        <v>1160.5381504669799</v>
      </c>
      <c r="N11" s="77">
        <v>296.985737716779</v>
      </c>
      <c r="O11" s="77">
        <v>57.993184119463002</v>
      </c>
      <c r="P11" s="77">
        <v>389.48360045254248</v>
      </c>
      <c r="Q11" s="77">
        <v>96.098419368267002</v>
      </c>
      <c r="R11" s="77">
        <v>27.365717038512251</v>
      </c>
      <c r="S11" s="77">
        <v>128.321594566107</v>
      </c>
      <c r="T11" s="77">
        <v>34.217979937791853</v>
      </c>
      <c r="U11" s="77">
        <v>91.332498580217504</v>
      </c>
      <c r="V11" s="77">
        <v>7.2240289784967997</v>
      </c>
      <c r="W11" s="77"/>
      <c r="X11" s="77">
        <f si="0" t="shared"/>
        <v>6217.4805088732392</v>
      </c>
    </row>
    <row r="12" spans="2:24" x14ac:dyDescent="0.25">
      <c r="B12" s="95">
        <v>9</v>
      </c>
      <c r="C12" s="77">
        <v>2240.2160352393998</v>
      </c>
      <c r="D12" s="77">
        <v>5111.7401178013497</v>
      </c>
      <c r="E12" s="77">
        <v>2642.8707141783102</v>
      </c>
      <c r="F12" s="77">
        <v>1256.8555484153351</v>
      </c>
      <c r="G12" s="77">
        <v>843.99228451773502</v>
      </c>
      <c r="H12" s="77">
        <v>3173.1135119721298</v>
      </c>
      <c r="I12" s="77">
        <v>7637.9408521922496</v>
      </c>
      <c r="J12" s="77">
        <v>195.10649573057901</v>
      </c>
      <c r="K12" s="77">
        <v>39281.882116641849</v>
      </c>
      <c r="L12" s="77">
        <v>592.09217424690496</v>
      </c>
      <c r="M12" s="77">
        <v>3801.3858647756301</v>
      </c>
      <c r="N12" s="77">
        <v>4122.8464103229353</v>
      </c>
      <c r="O12" s="77">
        <v>1155.19673634693</v>
      </c>
      <c r="P12" s="77">
        <v>325.63788314163702</v>
      </c>
      <c r="Q12" s="77">
        <v>4666.7397436695201</v>
      </c>
      <c r="R12" s="77">
        <v>125.5297771543265</v>
      </c>
      <c r="S12" s="77">
        <v>255.77097634598601</v>
      </c>
      <c r="T12" s="77">
        <v>221.88560997694751</v>
      </c>
      <c r="U12" s="77">
        <v>918.58640846051503</v>
      </c>
      <c r="V12" s="77">
        <v>68.354513689875503</v>
      </c>
      <c r="W12" s="77"/>
      <c r="X12" s="77">
        <f si="0" t="shared"/>
        <v>78637.743774820148</v>
      </c>
    </row>
    <row r="13" spans="2:24" x14ac:dyDescent="0.25">
      <c r="B13" s="95">
        <v>10</v>
      </c>
      <c r="C13" s="77">
        <v>1509.770724684</v>
      </c>
      <c r="D13" s="77">
        <v>988.64507441967498</v>
      </c>
      <c r="E13" s="77">
        <v>486.68440818041552</v>
      </c>
      <c r="F13" s="77">
        <v>986.85834223031998</v>
      </c>
      <c r="G13" s="77">
        <v>2603.2945229113102</v>
      </c>
      <c r="H13" s="77">
        <v>4509.3995765745649</v>
      </c>
      <c r="I13" s="77">
        <v>916.78894414007505</v>
      </c>
      <c r="J13" s="77">
        <v>330.82604205608351</v>
      </c>
      <c r="K13" s="77">
        <v>582.39152818918001</v>
      </c>
      <c r="L13" s="77">
        <v>9413.3455935641996</v>
      </c>
      <c r="M13" s="77">
        <v>394.84194968640799</v>
      </c>
      <c r="N13" s="77">
        <v>4241.1568513680249</v>
      </c>
      <c r="O13" s="77">
        <v>149.767653003335</v>
      </c>
      <c r="P13" s="77">
        <v>148.15735013783001</v>
      </c>
      <c r="Q13" s="77">
        <v>102.1807005628945</v>
      </c>
      <c r="R13" s="77">
        <v>2286.2612365186201</v>
      </c>
      <c r="S13" s="77">
        <v>43.771478157490499</v>
      </c>
      <c r="T13" s="77">
        <v>110.0797054469585</v>
      </c>
      <c r="U13" s="77">
        <v>62.019075594842498</v>
      </c>
      <c r="V13" s="77">
        <v>26.88823717832565</v>
      </c>
      <c r="W13" s="77"/>
      <c r="X13" s="77">
        <f si="0" t="shared"/>
        <v>29893.128994604558</v>
      </c>
    </row>
    <row r="14" spans="2:24" x14ac:dyDescent="0.25">
      <c r="B14" s="95">
        <v>11</v>
      </c>
      <c r="C14" s="77">
        <v>2089.4337481707348</v>
      </c>
      <c r="D14" s="77">
        <v>1938.84550898522</v>
      </c>
      <c r="E14" s="77">
        <v>4655.1130673810849</v>
      </c>
      <c r="F14" s="77">
        <v>1703.1182486340399</v>
      </c>
      <c r="G14" s="77">
        <v>806.09809896349998</v>
      </c>
      <c r="H14" s="77">
        <v>2448.6358032282451</v>
      </c>
      <c r="I14" s="77">
        <v>1924.3419268308201</v>
      </c>
      <c r="J14" s="77">
        <v>1163.94689143449</v>
      </c>
      <c r="K14" s="77">
        <v>3874.2791393213001</v>
      </c>
      <c r="L14" s="77">
        <v>409.17591491341602</v>
      </c>
      <c r="M14" s="77">
        <v>38323.289422296002</v>
      </c>
      <c r="N14" s="77">
        <v>1805.0359281972051</v>
      </c>
      <c r="O14" s="77">
        <v>259.04330610483902</v>
      </c>
      <c r="P14" s="77">
        <v>1251.4571558758601</v>
      </c>
      <c r="Q14" s="77">
        <v>673.05442814528999</v>
      </c>
      <c r="R14" s="77">
        <v>78.279658570885502</v>
      </c>
      <c r="S14" s="77">
        <v>3252.6496302410951</v>
      </c>
      <c r="T14" s="77">
        <v>100.1350102312865</v>
      </c>
      <c r="U14" s="77">
        <v>6595.2851868998496</v>
      </c>
      <c r="V14" s="77">
        <v>60.238963887095501</v>
      </c>
      <c r="W14" s="77"/>
      <c r="X14" s="77">
        <f si="0" t="shared"/>
        <v>73411.457038312263</v>
      </c>
    </row>
    <row r="15" spans="2:24" x14ac:dyDescent="0.25">
      <c r="B15" s="95">
        <v>12</v>
      </c>
      <c r="C15" s="77">
        <v>3909.9913371484749</v>
      </c>
      <c r="D15" s="77">
        <v>4512.0617000162601</v>
      </c>
      <c r="E15" s="77">
        <v>2316.3826031805952</v>
      </c>
      <c r="F15" s="77">
        <v>2207.7959786707052</v>
      </c>
      <c r="G15" s="77">
        <v>1980.2475764118151</v>
      </c>
      <c r="H15" s="77">
        <v>11384.547311562599</v>
      </c>
      <c r="I15" s="77">
        <v>15333.400082109951</v>
      </c>
      <c r="J15" s="77">
        <v>305.14899960719049</v>
      </c>
      <c r="K15" s="77">
        <v>4097.1117443479598</v>
      </c>
      <c r="L15" s="77">
        <v>4210.5979572646302</v>
      </c>
      <c r="M15" s="77">
        <v>1784.61571892351</v>
      </c>
      <c r="N15" s="77">
        <v>115991.94967481701</v>
      </c>
      <c r="O15" s="77">
        <v>4221.3462047148496</v>
      </c>
      <c r="P15" s="77">
        <v>386.43397994339449</v>
      </c>
      <c r="Q15" s="77">
        <v>611.93832628429004</v>
      </c>
      <c r="R15" s="77">
        <v>2640.1613006293801</v>
      </c>
      <c r="S15" s="77">
        <v>210.689273111522</v>
      </c>
      <c r="T15" s="77">
        <v>8451.6686069471998</v>
      </c>
      <c r="U15" s="77">
        <v>643.74268603325004</v>
      </c>
      <c r="V15" s="77">
        <v>1648.411975979805</v>
      </c>
      <c r="W15" s="77"/>
      <c r="X15" s="77">
        <f si="0" t="shared"/>
        <v>186848.24303770441</v>
      </c>
    </row>
    <row r="16" spans="2:24" x14ac:dyDescent="0.25">
      <c r="B16" s="95">
        <v>13</v>
      </c>
      <c r="C16" s="77">
        <v>812.48013841361001</v>
      </c>
      <c r="D16" s="77">
        <v>1005.918883912265</v>
      </c>
      <c r="E16" s="77">
        <v>338.43640489131201</v>
      </c>
      <c r="F16" s="77">
        <v>326.54682497680199</v>
      </c>
      <c r="G16" s="77">
        <v>292.53742401301849</v>
      </c>
      <c r="H16" s="77">
        <v>1204.1001017261301</v>
      </c>
      <c r="I16" s="77">
        <v>13706.0361524243</v>
      </c>
      <c r="J16" s="77">
        <v>58.596544951200499</v>
      </c>
      <c r="K16" s="77">
        <v>1091.1927266530699</v>
      </c>
      <c r="L16" s="77">
        <v>151.324888601899</v>
      </c>
      <c r="M16" s="77">
        <v>254.69664636254299</v>
      </c>
      <c r="N16" s="77">
        <v>4260.2341042440403</v>
      </c>
      <c r="O16" s="77">
        <v>93103.69931928</v>
      </c>
      <c r="P16" s="77">
        <v>7.9918974116444499</v>
      </c>
      <c r="Q16" s="77">
        <v>2513.2296255296101</v>
      </c>
      <c r="R16" s="77">
        <v>39.728866428136847</v>
      </c>
      <c r="S16" s="77">
        <v>32.112292118370547</v>
      </c>
      <c r="T16" s="77">
        <v>3060.45987178013</v>
      </c>
      <c r="U16" s="77">
        <v>114.0977235138415</v>
      </c>
      <c r="V16" s="77">
        <v>88.7308790646495</v>
      </c>
      <c r="W16" s="77"/>
      <c r="X16" s="77">
        <f si="0" t="shared"/>
        <v>122462.15131629657</v>
      </c>
    </row>
    <row r="17" spans="2:24" x14ac:dyDescent="0.25">
      <c r="B17" s="95">
        <v>14</v>
      </c>
      <c r="C17" s="77">
        <v>280.99537419527752</v>
      </c>
      <c r="D17" s="77">
        <v>260.29483704268949</v>
      </c>
      <c r="E17" s="77">
        <v>292.55275684595102</v>
      </c>
      <c r="F17" s="77">
        <v>257.51982407271851</v>
      </c>
      <c r="G17" s="77">
        <v>86.060109764337497</v>
      </c>
      <c r="H17" s="77">
        <v>523.69150550663505</v>
      </c>
      <c r="I17" s="77">
        <v>323.18757812678803</v>
      </c>
      <c r="J17" s="77">
        <v>413.22082431614399</v>
      </c>
      <c r="K17" s="77">
        <v>326.3647014796735</v>
      </c>
      <c r="L17" s="77">
        <v>145.73459595441801</v>
      </c>
      <c r="M17" s="77">
        <v>1315.193450681865</v>
      </c>
      <c r="N17" s="77">
        <v>391.39555731602002</v>
      </c>
      <c r="O17" s="77">
        <v>8.9063833281397997</v>
      </c>
      <c r="P17" s="77">
        <v>21782.591708727199</v>
      </c>
      <c r="Q17" s="77">
        <v>32.929622069001198</v>
      </c>
      <c r="R17" s="77">
        <v>17.145963206887249</v>
      </c>
      <c r="S17" s="77">
        <v>1234.4854944720851</v>
      </c>
      <c r="T17" s="77">
        <v>4.4765289425849897</v>
      </c>
      <c r="U17" s="77">
        <v>197.99572658026599</v>
      </c>
      <c r="V17" s="77">
        <v>0</v>
      </c>
      <c r="W17" s="77"/>
      <c r="X17" s="77">
        <f si="0" t="shared"/>
        <v>27894.742542628683</v>
      </c>
    </row>
    <row r="18" spans="2:24" x14ac:dyDescent="0.25">
      <c r="B18" s="95">
        <v>15</v>
      </c>
      <c r="C18" s="77">
        <v>499.19151438027598</v>
      </c>
      <c r="D18" s="77">
        <v>691.90696889161995</v>
      </c>
      <c r="E18" s="77">
        <v>316.32434058189398</v>
      </c>
      <c r="F18" s="77">
        <v>161.169796332717</v>
      </c>
      <c r="G18" s="77">
        <v>125.41518633067599</v>
      </c>
      <c r="H18" s="77">
        <v>660.37609925866002</v>
      </c>
      <c r="I18" s="77">
        <v>2661.8091910481448</v>
      </c>
      <c r="J18" s="77">
        <v>102.6478396058085</v>
      </c>
      <c r="K18" s="77">
        <v>4880.2681625904497</v>
      </c>
      <c r="L18" s="77">
        <v>104.38038067519651</v>
      </c>
      <c r="M18" s="77">
        <v>639.35045666992505</v>
      </c>
      <c r="N18" s="77">
        <v>616.78141460567497</v>
      </c>
      <c r="O18" s="77">
        <v>2671.19141378533</v>
      </c>
      <c r="P18" s="77">
        <v>32.9296225756407</v>
      </c>
      <c r="Q18" s="77">
        <v>30215.495729039201</v>
      </c>
      <c r="R18" s="77">
        <v>18.907767385244352</v>
      </c>
      <c r="S18" s="77">
        <v>87.453091107309007</v>
      </c>
      <c r="T18" s="77">
        <v>62.728412039577996</v>
      </c>
      <c r="U18" s="77">
        <v>671.59335018694503</v>
      </c>
      <c r="V18" s="77">
        <v>4.4702654182910901</v>
      </c>
      <c r="W18" s="77"/>
      <c r="X18" s="77">
        <f si="0" t="shared"/>
        <v>45224.391002508579</v>
      </c>
    </row>
    <row r="19" spans="2:24" x14ac:dyDescent="0.25">
      <c r="B19" s="95">
        <v>16</v>
      </c>
      <c r="C19" s="77">
        <v>644.04501865804002</v>
      </c>
      <c r="D19" s="77">
        <v>251.72090895473951</v>
      </c>
      <c r="E19" s="77">
        <v>140.55608209781349</v>
      </c>
      <c r="F19" s="77">
        <v>234.29377126693751</v>
      </c>
      <c r="G19" s="77">
        <v>351.89308944344498</v>
      </c>
      <c r="H19" s="77">
        <v>1259.7201904114349</v>
      </c>
      <c r="I19" s="77">
        <v>199.84993135929099</v>
      </c>
      <c r="J19" s="77">
        <v>28.101356342434901</v>
      </c>
      <c r="K19" s="77">
        <v>128.56886439025399</v>
      </c>
      <c r="L19" s="77">
        <v>2440.76911768317</v>
      </c>
      <c r="M19" s="77">
        <v>81.102607175708002</v>
      </c>
      <c r="N19" s="77">
        <v>2793.333747513595</v>
      </c>
      <c r="O19" s="77">
        <v>40.567191123962402</v>
      </c>
      <c r="P19" s="77">
        <v>16.81893499195575</v>
      </c>
      <c r="Q19" s="77">
        <v>18.7419612109661</v>
      </c>
      <c r="R19" s="77">
        <v>3874.19264406711</v>
      </c>
      <c r="S19" s="77">
        <v>0.85607855021953505</v>
      </c>
      <c r="T19" s="77">
        <v>271.4457857236265</v>
      </c>
      <c r="U19" s="77">
        <v>19.465768963098551</v>
      </c>
      <c r="V19" s="77">
        <v>68.987751007080007</v>
      </c>
      <c r="W19" s="77"/>
      <c r="X19" s="77">
        <f si="0" t="shared"/>
        <v>12865.030800934883</v>
      </c>
    </row>
    <row r="20" spans="2:24" x14ac:dyDescent="0.25">
      <c r="B20" s="95">
        <v>17</v>
      </c>
      <c r="C20" s="77">
        <v>271.67682161927252</v>
      </c>
      <c r="D20" s="77">
        <v>367.97205542773003</v>
      </c>
      <c r="E20" s="77">
        <v>267.81412364542501</v>
      </c>
      <c r="F20" s="77">
        <v>126.4005935788155</v>
      </c>
      <c r="G20" s="77">
        <v>93.953586354851495</v>
      </c>
      <c r="H20" s="77">
        <v>492.60065799951548</v>
      </c>
      <c r="I20" s="77">
        <v>250.40475881099701</v>
      </c>
      <c r="J20" s="77">
        <v>135.63878369331351</v>
      </c>
      <c r="K20" s="77">
        <v>248.37376539036649</v>
      </c>
      <c r="L20" s="77">
        <v>45.2380316182971</v>
      </c>
      <c r="M20" s="77">
        <v>3424.9391277059899</v>
      </c>
      <c r="N20" s="77">
        <v>212.93380639702099</v>
      </c>
      <c r="O20" s="77">
        <v>30.536507017910498</v>
      </c>
      <c r="P20" s="77">
        <v>1234.231240466235</v>
      </c>
      <c r="Q20" s="77">
        <v>86.156941913068493</v>
      </c>
      <c r="R20" s="77">
        <v>1.3654216378927251</v>
      </c>
      <c r="S20" s="77">
        <v>10557.459496339799</v>
      </c>
      <c r="T20" s="77">
        <v>1.68964631855488</v>
      </c>
      <c r="U20" s="77">
        <v>3051.1329985707998</v>
      </c>
      <c r="V20" s="77">
        <v>2.1521259844303149</v>
      </c>
      <c r="W20" s="77"/>
      <c r="X20" s="77">
        <f si="0" t="shared"/>
        <v>20902.670490490287</v>
      </c>
    </row>
    <row r="21" spans="2:24" x14ac:dyDescent="0.25">
      <c r="B21" s="95">
        <v>18</v>
      </c>
      <c r="C21" s="77">
        <v>426.66176690906298</v>
      </c>
      <c r="D21" s="77">
        <v>476.91687294840801</v>
      </c>
      <c r="E21" s="77">
        <v>79.859535880387</v>
      </c>
      <c r="F21" s="77">
        <v>135.25862053036701</v>
      </c>
      <c r="G21" s="77">
        <v>55.598255008458999</v>
      </c>
      <c r="H21" s="77">
        <v>587.45744287595005</v>
      </c>
      <c r="I21" s="77">
        <v>1561.4625899344701</v>
      </c>
      <c r="J21" s="77">
        <v>44.762105137109749</v>
      </c>
      <c r="K21" s="77">
        <v>234.96210818737751</v>
      </c>
      <c r="L21" s="77">
        <v>98.826143682003007</v>
      </c>
      <c r="M21" s="77">
        <v>104.118291128427</v>
      </c>
      <c r="N21" s="77">
        <v>8948.4410416018</v>
      </c>
      <c r="O21" s="77">
        <v>3199.7264965213849</v>
      </c>
      <c r="P21" s="77">
        <v>4.4765288531780252</v>
      </c>
      <c r="Q21" s="77">
        <v>58.171552039683</v>
      </c>
      <c r="R21" s="77">
        <v>272.29186766594648</v>
      </c>
      <c r="S21" s="77">
        <v>2.5866609960794449</v>
      </c>
      <c r="T21" s="77">
        <v>14761.3682938069</v>
      </c>
      <c r="U21" s="77">
        <v>15.8171905577183</v>
      </c>
      <c r="V21" s="77">
        <v>3999.1883474923652</v>
      </c>
      <c r="W21" s="77"/>
      <c r="X21" s="77">
        <f si="0" t="shared"/>
        <v>35067.951711757079</v>
      </c>
    </row>
    <row r="22" spans="2:24" x14ac:dyDescent="0.25">
      <c r="B22" s="95">
        <v>19</v>
      </c>
      <c r="C22" s="77">
        <v>472.40810502134252</v>
      </c>
      <c r="D22" s="77">
        <v>421.19319476559753</v>
      </c>
      <c r="E22" s="77">
        <v>336.31588738411648</v>
      </c>
      <c r="F22" s="77">
        <v>300.31977199018002</v>
      </c>
      <c r="G22" s="77">
        <v>107.181496679783</v>
      </c>
      <c r="H22" s="77">
        <v>627.80817238986504</v>
      </c>
      <c r="I22" s="77">
        <v>395.32145214825852</v>
      </c>
      <c r="J22" s="77">
        <v>85.422608226537506</v>
      </c>
      <c r="K22" s="77">
        <v>945.68103148974501</v>
      </c>
      <c r="L22" s="77">
        <v>69.736796937883</v>
      </c>
      <c r="M22" s="77">
        <v>7026.3436912987499</v>
      </c>
      <c r="N22" s="77">
        <v>652.79530721902995</v>
      </c>
      <c r="O22" s="77">
        <v>102.869549304247</v>
      </c>
      <c r="P22" s="77">
        <v>199.97993255639449</v>
      </c>
      <c r="Q22" s="77">
        <v>676.92666017264003</v>
      </c>
      <c r="R22" s="77">
        <v>19.484602242708199</v>
      </c>
      <c r="S22" s="77">
        <v>2986.37711254135</v>
      </c>
      <c r="T22" s="77">
        <v>16.891285002231601</v>
      </c>
      <c r="U22" s="77">
        <v>31200.6201737183</v>
      </c>
      <c r="V22" s="77">
        <v>0</v>
      </c>
      <c r="W22" s="77"/>
      <c r="X22" s="77">
        <f si="0" t="shared"/>
        <v>46643.67683108896</v>
      </c>
    </row>
    <row r="23" spans="2:24" x14ac:dyDescent="0.25">
      <c r="B23" s="95">
        <v>20</v>
      </c>
      <c r="C23" s="58">
        <v>103.3487327694895</v>
      </c>
      <c r="D23" s="58">
        <v>77.336025044322</v>
      </c>
      <c r="E23" s="58">
        <v>32.021228998899453</v>
      </c>
      <c r="F23" s="58">
        <v>19.79779574275015</v>
      </c>
      <c r="G23" s="58">
        <v>23.216825455427148</v>
      </c>
      <c r="H23" s="58">
        <v>165.43112745881101</v>
      </c>
      <c r="I23" s="58">
        <v>176.26631201058649</v>
      </c>
      <c r="J23" s="58">
        <v>6.7500526644289502</v>
      </c>
      <c r="K23" s="58">
        <v>69.580159738660001</v>
      </c>
      <c r="L23" s="58">
        <v>29.4433142244816</v>
      </c>
      <c r="M23" s="58">
        <v>60.825443938374498</v>
      </c>
      <c r="N23" s="58">
        <v>1676.97775955871</v>
      </c>
      <c r="O23" s="58">
        <v>89.400494128465496</v>
      </c>
      <c r="P23" s="58">
        <v>0</v>
      </c>
      <c r="Q23" s="58">
        <v>4.4702658653259304</v>
      </c>
      <c r="R23" s="58">
        <v>64.264981508255005</v>
      </c>
      <c r="S23" s="58">
        <v>2.1521259844303149</v>
      </c>
      <c r="T23" s="58">
        <v>4127.7087676450601</v>
      </c>
      <c r="U23" s="58">
        <v>0</v>
      </c>
      <c r="V23" s="58">
        <v>34907.915016604602</v>
      </c>
      <c r="W23" s="58"/>
      <c r="X23" s="77">
        <f si="0" t="shared"/>
        <v>41636.906429341077</v>
      </c>
    </row>
    <row r="24" spans="2:24" x14ac:dyDescent="0.25">
      <c r="B24" s="101" t="s">
        <v>15</v>
      </c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77">
        <f si="0" t="shared"/>
        <v>0</v>
      </c>
    </row>
    <row ht="15.75" r="25" spans="2:24" thickBot="1" x14ac:dyDescent="0.3">
      <c r="B25" s="1" t="s">
        <v>3</v>
      </c>
      <c r="C25" s="107">
        <f>SUM(C4:C24)</f>
        <v>40646.598554106436</v>
      </c>
      <c r="D25" s="107">
        <f ref="D25:X25" si="1" t="shared">SUM(D4:D24)</f>
        <v>42317.179366221637</v>
      </c>
      <c r="E25" s="107">
        <f si="1" t="shared"/>
        <v>44705.600948499537</v>
      </c>
      <c r="F25" s="107">
        <f si="1" t="shared"/>
        <v>25156.048569777733</v>
      </c>
      <c r="G25" s="107">
        <f si="1" t="shared"/>
        <v>23447.799661338322</v>
      </c>
      <c r="H25" s="107">
        <f si="1" t="shared"/>
        <v>72475.32530618021</v>
      </c>
      <c r="I25" s="107">
        <f si="1" t="shared"/>
        <v>127027.92076090976</v>
      </c>
      <c r="J25" s="107">
        <f si="1" t="shared"/>
        <v>6263.4287909958512</v>
      </c>
      <c r="K25" s="107">
        <f si="1" t="shared"/>
        <v>78564.017617084086</v>
      </c>
      <c r="L25" s="107">
        <f si="1" t="shared"/>
        <v>30027.582046531123</v>
      </c>
      <c r="M25" s="107">
        <f si="1" t="shared"/>
        <v>73900.424834647361</v>
      </c>
      <c r="N25" s="107">
        <f si="1" t="shared"/>
        <v>187525.61191568145</v>
      </c>
      <c r="O25" s="107">
        <f si="1" t="shared"/>
        <v>122536.09099123925</v>
      </c>
      <c r="P25" s="107">
        <f si="1" t="shared"/>
        <v>27767.802248882606</v>
      </c>
      <c r="Q25" s="107">
        <f si="1" t="shared"/>
        <v>44768.247239469332</v>
      </c>
      <c r="R25" s="107">
        <f si="1" t="shared"/>
        <v>12509.496665138753</v>
      </c>
      <c r="S25" s="107">
        <f si="1" t="shared"/>
        <v>20649.37775784919</v>
      </c>
      <c r="T25" s="107">
        <f si="1" t="shared"/>
        <v>34453.925335698776</v>
      </c>
      <c r="U25" s="107">
        <f si="1" t="shared"/>
        <v>46181.170491572484</v>
      </c>
      <c r="V25" s="107">
        <f si="1" t="shared"/>
        <v>41477.384054506212</v>
      </c>
      <c r="W25" s="107">
        <f si="1" t="shared"/>
        <v>0</v>
      </c>
      <c r="X25" s="107">
        <f si="1" t="shared"/>
        <v>1102401.03315633</v>
      </c>
    </row>
    <row r="26" spans="2:24" x14ac:dyDescent="0.25"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</row>
    <row r="27" spans="2:24" x14ac:dyDescent="0.25"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</row>
    <row r="28" spans="2:24" x14ac:dyDescent="0.25"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</row>
    <row ht="15.75" r="29" spans="2:24" thickBot="1" x14ac:dyDescent="0.3">
      <c r="B29" s="4" t="s">
        <v>359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7"/>
      <c r="Q29" s="7"/>
      <c r="R29" s="7"/>
      <c r="S29" s="7"/>
      <c r="T29" s="7"/>
      <c r="U29" s="7"/>
      <c r="V29" s="7"/>
      <c r="W29" s="7"/>
      <c r="X29" s="7"/>
    </row>
    <row r="30" spans="2:24" x14ac:dyDescent="0.25">
      <c r="B30" s="2" t="s">
        <v>14</v>
      </c>
      <c r="C30" s="2">
        <v>1</v>
      </c>
      <c r="D30" s="2">
        <v>2</v>
      </c>
      <c r="E30" s="2">
        <v>3</v>
      </c>
      <c r="F30" s="2">
        <v>4</v>
      </c>
      <c r="G30" s="2">
        <v>5</v>
      </c>
      <c r="H30" s="2">
        <v>6</v>
      </c>
      <c r="I30" s="2">
        <v>7</v>
      </c>
      <c r="J30" s="2">
        <v>8</v>
      </c>
      <c r="K30" s="2">
        <v>9</v>
      </c>
      <c r="L30" s="2">
        <v>10</v>
      </c>
      <c r="M30" s="2">
        <v>11</v>
      </c>
      <c r="N30" s="2">
        <v>12</v>
      </c>
      <c r="O30" s="2">
        <v>13</v>
      </c>
      <c r="P30" s="2">
        <v>14</v>
      </c>
      <c r="Q30" s="2">
        <v>15</v>
      </c>
      <c r="R30" s="2">
        <v>16</v>
      </c>
      <c r="S30" s="2">
        <v>17</v>
      </c>
      <c r="T30" s="2">
        <v>18</v>
      </c>
      <c r="U30" s="2">
        <v>19</v>
      </c>
      <c r="V30" s="2">
        <v>20</v>
      </c>
      <c r="W30" s="3" t="s">
        <v>15</v>
      </c>
      <c r="X30" s="3" t="s">
        <v>3</v>
      </c>
    </row>
    <row r="31" spans="2:24" x14ac:dyDescent="0.25">
      <c r="B31" s="31">
        <v>1</v>
      </c>
      <c r="C31" s="77">
        <f>IF($X4&gt;0,(C4/$X4)*County_Flow!$BS7,0)</f>
        <v>1343.307666234356</v>
      </c>
      <c r="D31" s="77">
        <f>IF($X4&gt;0,(D4/$X4)*County_Flow!$BS7,0)</f>
        <v>203.86058739680936</v>
      </c>
      <c r="E31" s="77">
        <f>IF($X4&gt;0,(E4/$X4)*County_Flow!$BS7,0)</f>
        <v>489.82314107185545</v>
      </c>
      <c r="F31" s="77">
        <f>IF($X4&gt;0,(F4/$X4)*County_Flow!$BS7,0)</f>
        <v>224.9183738271575</v>
      </c>
      <c r="G31" s="77">
        <f>IF($X4&gt;0,(G4/$X4)*County_Flow!$BS7,0)</f>
        <v>210.04546104671192</v>
      </c>
      <c r="H31" s="77">
        <f>IF($X4&gt;0,(H4/$X4)*County_Flow!$BS7,0)</f>
        <v>498.28315856105144</v>
      </c>
      <c r="I31" s="77">
        <f>IF($X4&gt;0,(I4/$X4)*County_Flow!$BS7,0)</f>
        <v>357.53894938906257</v>
      </c>
      <c r="J31" s="77">
        <f>IF($X4&gt;0,(J4/$X4)*County_Flow!$BS7,0)</f>
        <v>26.221744212663904</v>
      </c>
      <c r="K31" s="77">
        <f>IF($X4&gt;0,(K4/$X4)*County_Flow!$BS7,0)</f>
        <v>265.82153799932155</v>
      </c>
      <c r="L31" s="77">
        <f>IF($X4&gt;0,(L4/$X4)*County_Flow!$BS7,0)</f>
        <v>188.88002820284984</v>
      </c>
      <c r="M31" s="77">
        <f>IF($X4&gt;0,(M4/$X4)*County_Flow!$BS7,0)</f>
        <v>253.83993878269752</v>
      </c>
      <c r="N31" s="77">
        <f>IF($X4&gt;0,(N4/$X4)*County_Flow!$BS7,0)</f>
        <v>468.12263002953614</v>
      </c>
      <c r="O31" s="77">
        <f>IF($X4&gt;0,(O4/$X4)*County_Flow!$BS7,0)</f>
        <v>100.6805214006165</v>
      </c>
      <c r="P31" s="77">
        <f>IF($X4&gt;0,(P4/$X4)*County_Flow!$BS7,0)</f>
        <v>34.102359845542885</v>
      </c>
      <c r="Q31" s="77">
        <f>IF($X4&gt;0,(Q4/$X4)*County_Flow!$BS7,0)</f>
        <v>59.557472375286174</v>
      </c>
      <c r="R31" s="77">
        <f>IF($X4&gt;0,(R4/$X4)*County_Flow!$BS7,0)</f>
        <v>74.132824699886939</v>
      </c>
      <c r="S31" s="77">
        <f>IF($X4&gt;0,(S4/$X4)*County_Flow!$BS7,0)</f>
        <v>32.465633876733754</v>
      </c>
      <c r="T31" s="77">
        <f>IF($X4&gt;0,(T4/$X4)*County_Flow!$BS7,0)</f>
        <v>51.993808048909294</v>
      </c>
      <c r="U31" s="77">
        <f>IF($X4&gt;0,(U4/$X4)*County_Flow!$BS7,0)</f>
        <v>57.312568934917536</v>
      </c>
      <c r="V31" s="77">
        <f>IF($X4&gt;0,(V4/$X4)*County_Flow!$BS7,0)</f>
        <v>12.091594064034343</v>
      </c>
      <c r="W31" s="77">
        <f>IF($X4&gt;0,(W4/$X4)*County_Flow!$BS7,0)</f>
        <v>0</v>
      </c>
      <c r="X31" s="77">
        <f>IF($X4&gt;0,(X4/$X4)*County_Flow!$BS7,0)</f>
        <v>4953</v>
      </c>
    </row>
    <row r="32" spans="2:24" x14ac:dyDescent="0.25">
      <c r="B32" s="95">
        <v>2</v>
      </c>
      <c r="C32" s="77">
        <f>IF($X5&gt;0,(C5/$X5)*County_Flow!$BS8,0)</f>
        <v>567.8094351678975</v>
      </c>
      <c r="D32" s="77">
        <f>IF($X5&gt;0,(D5/$X5)*County_Flow!$BS8,0)</f>
        <v>4348.7772040749041</v>
      </c>
      <c r="E32" s="77">
        <f>IF($X5&gt;0,(E5/$X5)*County_Flow!$BS8,0)</f>
        <v>907.04815262503041</v>
      </c>
      <c r="F32" s="77">
        <f>IF($X5&gt;0,(F5/$X5)*County_Flow!$BS8,0)</f>
        <v>282.24463013292728</v>
      </c>
      <c r="G32" s="77">
        <f>IF($X5&gt;0,(G5/$X5)*County_Flow!$BS8,0)</f>
        <v>248.57563579878862</v>
      </c>
      <c r="H32" s="77">
        <f>IF($X5&gt;0,(H5/$X5)*County_Flow!$BS8,0)</f>
        <v>1026.2952400156666</v>
      </c>
      <c r="I32" s="77">
        <f>IF($X5&gt;0,(I5/$X5)*County_Flow!$BS8,0)</f>
        <v>1721.2242012258557</v>
      </c>
      <c r="J32" s="77">
        <f>IF($X5&gt;0,(J5/$X5)*County_Flow!$BS8,0)</f>
        <v>109.79292031211622</v>
      </c>
      <c r="K32" s="77">
        <f>IF($X5&gt;0,(K5/$X5)*County_Flow!$BS8,0)</f>
        <v>1793.2123610499739</v>
      </c>
      <c r="L32" s="77">
        <f>IF($X5&gt;0,(L5/$X5)*County_Flow!$BS8,0)</f>
        <v>339.93332991380436</v>
      </c>
      <c r="M32" s="77">
        <f>IF($X5&gt;0,(M5/$X5)*County_Flow!$BS8,0)</f>
        <v>680.7037402452645</v>
      </c>
      <c r="N32" s="77">
        <f>IF($X5&gt;0,(N5/$X5)*County_Flow!$BS8,0)</f>
        <v>1558.8518032491722</v>
      </c>
      <c r="O32" s="77">
        <f>IF($X5&gt;0,(O5/$X5)*County_Flow!$BS8,0)</f>
        <v>352.70204487591724</v>
      </c>
      <c r="P32" s="77">
        <f>IF($X5&gt;0,(P5/$X5)*County_Flow!$BS8,0)</f>
        <v>91.047890362960402</v>
      </c>
      <c r="Q32" s="77">
        <f>IF($X5&gt;0,(Q5/$X5)*County_Flow!$BS8,0)</f>
        <v>241.34284413048155</v>
      </c>
      <c r="R32" s="77">
        <f>IF($X5&gt;0,(R5/$X5)*County_Flow!$BS8,0)</f>
        <v>90.417480182710889</v>
      </c>
      <c r="S32" s="77">
        <f>IF($X5&gt;0,(S5/$X5)*County_Flow!$BS8,0)</f>
        <v>128.52843492932104</v>
      </c>
      <c r="T32" s="77">
        <f>IF($X5&gt;0,(T5/$X5)*County_Flow!$BS8,0)</f>
        <v>165.30628727089498</v>
      </c>
      <c r="U32" s="77">
        <f>IF($X5&gt;0,(U5/$X5)*County_Flow!$BS8,0)</f>
        <v>141.64874259657074</v>
      </c>
      <c r="V32" s="77">
        <f>IF($X5&gt;0,(V5/$X5)*County_Flow!$BS8,0)</f>
        <v>27.537621839740371</v>
      </c>
      <c r="W32" s="77">
        <f>IF($X5&gt;0,(W5/$X5)*County_Flow!$BS8,0)</f>
        <v>0</v>
      </c>
      <c r="X32" s="77">
        <f>IF($X5&gt;0,(X5/$X5)*County_Flow!$BS8,0)</f>
        <v>14823</v>
      </c>
    </row>
    <row r="33" spans="2:24" x14ac:dyDescent="0.25">
      <c r="B33" s="95">
        <v>3</v>
      </c>
      <c r="C33" s="77">
        <f>IF($X6&gt;0,(C6/$X6)*County_Flow!$BS9,0)</f>
        <v>2501.156396462422</v>
      </c>
      <c r="D33" s="77">
        <f>IF($X6&gt;0,(D6/$X6)*County_Flow!$BS9,0)</f>
        <v>1587.1041799006809</v>
      </c>
      <c r="E33" s="77">
        <f>IF($X6&gt;0,(E6/$X6)*County_Flow!$BS9,0)</f>
        <v>10467.833674273987</v>
      </c>
      <c r="F33" s="77">
        <f>IF($X6&gt;0,(F6/$X6)*County_Flow!$BS9,0)</f>
        <v>1731.0052904034785</v>
      </c>
      <c r="G33" s="77">
        <f>IF($X6&gt;0,(G6/$X6)*County_Flow!$BS9,0)</f>
        <v>819.9781611994714</v>
      </c>
      <c r="H33" s="77">
        <f>IF($X6&gt;0,(H6/$X6)*County_Flow!$BS9,0)</f>
        <v>1786.3304846628178</v>
      </c>
      <c r="I33" s="77">
        <f>IF($X6&gt;0,(I6/$X6)*County_Flow!$BS9,0)</f>
        <v>1217.3185936394605</v>
      </c>
      <c r="J33" s="77">
        <f>IF($X6&gt;0,(J6/$X6)*County_Flow!$BS9,0)</f>
        <v>433.37530162270264</v>
      </c>
      <c r="K33" s="77">
        <f>IF($X6&gt;0,(K6/$X6)*County_Flow!$BS9,0)</f>
        <v>1597.3373924301648</v>
      </c>
      <c r="L33" s="77">
        <f>IF($X6&gt;0,(L6/$X6)*County_Flow!$BS9,0)</f>
        <v>308.07464566774127</v>
      </c>
      <c r="M33" s="77">
        <f>IF($X6&gt;0,(M6/$X6)*County_Flow!$BS9,0)</f>
        <v>2973.1214274947192</v>
      </c>
      <c r="N33" s="77">
        <f>IF($X6&gt;0,(N6/$X6)*County_Flow!$BS9,0)</f>
        <v>1460.0862628506952</v>
      </c>
      <c r="O33" s="77">
        <f>IF($X6&gt;0,(O6/$X6)*County_Flow!$BS9,0)</f>
        <v>211.64102426148176</v>
      </c>
      <c r="P33" s="77">
        <f>IF($X6&gt;0,(P6/$X6)*County_Flow!$BS9,0)</f>
        <v>179.10486853956033</v>
      </c>
      <c r="Q33" s="77">
        <f>IF($X6&gt;0,(Q6/$X6)*County_Flow!$BS9,0)</f>
        <v>203.71758087032126</v>
      </c>
      <c r="R33" s="77">
        <f>IF($X6&gt;0,(R6/$X6)*County_Flow!$BS9,0)</f>
        <v>89.453756648310076</v>
      </c>
      <c r="S33" s="77">
        <f>IF($X6&gt;0,(S6/$X6)*County_Flow!$BS9,0)</f>
        <v>170.4153388666104</v>
      </c>
      <c r="T33" s="77">
        <f>IF($X6&gt;0,(T6/$X6)*County_Flow!$BS9,0)</f>
        <v>50.105037512546367</v>
      </c>
      <c r="U33" s="77">
        <f>IF($X6&gt;0,(U6/$X6)*County_Flow!$BS9,0)</f>
        <v>210.12940079770021</v>
      </c>
      <c r="V33" s="77">
        <f>IF($X6&gt;0,(V6/$X6)*County_Flow!$BS9,0)</f>
        <v>19.711181895126554</v>
      </c>
      <c r="W33" s="77">
        <f>IF($X6&gt;0,(W6/$X6)*County_Flow!$BS9,0)</f>
        <v>0</v>
      </c>
      <c r="X33" s="77">
        <f>IF($X6&gt;0,(X6/$X6)*County_Flow!$BS9,0)</f>
        <v>28017</v>
      </c>
    </row>
    <row r="34" spans="2:24" x14ac:dyDescent="0.25">
      <c r="B34" s="95">
        <v>4</v>
      </c>
      <c r="C34" s="77">
        <f>IF($X7&gt;0,(C7/$X7)*County_Flow!$BS10,0)</f>
        <v>691.80215552396328</v>
      </c>
      <c r="D34" s="77">
        <f>IF($X7&gt;0,(D7/$X7)*County_Flow!$BS10,0)</f>
        <v>294.75792598138298</v>
      </c>
      <c r="E34" s="77">
        <f>IF($X7&gt;0,(E7/$X7)*County_Flow!$BS10,0)</f>
        <v>1022.4400159045776</v>
      </c>
      <c r="F34" s="77">
        <f>IF($X7&gt;0,(F7/$X7)*County_Flow!$BS10,0)</f>
        <v>2163.6035794086406</v>
      </c>
      <c r="G34" s="77">
        <f>IF($X7&gt;0,(G7/$X7)*County_Flow!$BS10,0)</f>
        <v>702.48854874452525</v>
      </c>
      <c r="H34" s="77">
        <f>IF($X7&gt;0,(H7/$X7)*County_Flow!$BS10,0)</f>
        <v>773.88703380817822</v>
      </c>
      <c r="I34" s="77">
        <f>IF($X7&gt;0,(I7/$X7)*County_Flow!$BS10,0)</f>
        <v>511.44347097704656</v>
      </c>
      <c r="J34" s="77">
        <f>IF($X7&gt;0,(J7/$X7)*County_Flow!$BS10,0)</f>
        <v>243.34583707930366</v>
      </c>
      <c r="K34" s="77">
        <f>IF($X7&gt;0,(K7/$X7)*County_Flow!$BS10,0)</f>
        <v>458.68673795515616</v>
      </c>
      <c r="L34" s="77">
        <f>IF($X7&gt;0,(L7/$X7)*County_Flow!$BS10,0)</f>
        <v>353.10897490531306</v>
      </c>
      <c r="M34" s="77">
        <f>IF($X7&gt;0,(M7/$X7)*County_Flow!$BS10,0)</f>
        <v>611.63429842451762</v>
      </c>
      <c r="N34" s="77">
        <f>IF($X7&gt;0,(N7/$X7)*County_Flow!$BS10,0)</f>
        <v>802.77355386143358</v>
      </c>
      <c r="O34" s="77">
        <f>IF($X7&gt;0,(O7/$X7)*County_Flow!$BS10,0)</f>
        <v>115.14046339888343</v>
      </c>
      <c r="P34" s="77">
        <f>IF($X7&gt;0,(P7/$X7)*County_Flow!$BS10,0)</f>
        <v>95.724488625465881</v>
      </c>
      <c r="Q34" s="77">
        <f>IF($X7&gt;0,(Q7/$X7)*County_Flow!$BS10,0)</f>
        <v>56.520127484238905</v>
      </c>
      <c r="R34" s="77">
        <f>IF($X7&gt;0,(R7/$X7)*County_Flow!$BS10,0)</f>
        <v>84.394925295244263</v>
      </c>
      <c r="S34" s="77">
        <f>IF($X7&gt;0,(S7/$X7)*County_Flow!$BS10,0)</f>
        <v>45.762301307550729</v>
      </c>
      <c r="T34" s="77">
        <f>IF($X7&gt;0,(T7/$X7)*County_Flow!$BS10,0)</f>
        <v>43.012986823418451</v>
      </c>
      <c r="U34" s="77">
        <f>IF($X7&gt;0,(U7/$X7)*County_Flow!$BS10,0)</f>
        <v>107.89097083252692</v>
      </c>
      <c r="V34" s="77">
        <f>IF($X7&gt;0,(V7/$X7)*County_Flow!$BS10,0)</f>
        <v>6.5816036586333295</v>
      </c>
      <c r="W34" s="77">
        <f>IF($X7&gt;0,(W7/$X7)*County_Flow!$BS10,0)</f>
        <v>0</v>
      </c>
      <c r="X34" s="77">
        <f>IF($X7&gt;0,(X7/$X7)*County_Flow!$BS10,0)</f>
        <v>9185</v>
      </c>
    </row>
    <row r="35" spans="2:24" x14ac:dyDescent="0.25">
      <c r="B35" s="95">
        <v>5</v>
      </c>
      <c r="C35" s="77">
        <f>IF($X8&gt;0,(C8/$X8)*County_Flow!$BS11,0)</f>
        <v>675.37096214526719</v>
      </c>
      <c r="D35" s="77">
        <f>IF($X8&gt;0,(D8/$X8)*County_Flow!$BS11,0)</f>
        <v>261.01961127499919</v>
      </c>
      <c r="E35" s="77">
        <f>IF($X8&gt;0,(E8/$X8)*County_Flow!$BS11,0)</f>
        <v>494.79784296983189</v>
      </c>
      <c r="F35" s="77">
        <f>IF($X8&gt;0,(F8/$X8)*County_Flow!$BS11,0)</f>
        <v>721.55894434302911</v>
      </c>
      <c r="G35" s="77">
        <f>IF($X8&gt;0,(G8/$X8)*County_Flow!$BS11,0)</f>
        <v>1835.7737077816773</v>
      </c>
      <c r="H35" s="77">
        <f>IF($X8&gt;0,(H8/$X8)*County_Flow!$BS11,0)</f>
        <v>1447.7132137705246</v>
      </c>
      <c r="I35" s="77">
        <f>IF($X8&gt;0,(I8/$X8)*County_Flow!$BS11,0)</f>
        <v>560.07179744377504</v>
      </c>
      <c r="J35" s="77">
        <f>IF($X8&gt;0,(J8/$X8)*County_Flow!$BS11,0)</f>
        <v>119.28248725157739</v>
      </c>
      <c r="K35" s="77">
        <f>IF($X8&gt;0,(K8/$X8)*County_Flow!$BS11,0)</f>
        <v>319.76236407693938</v>
      </c>
      <c r="L35" s="77">
        <f>IF($X8&gt;0,(L8/$X8)*County_Flow!$BS11,0)</f>
        <v>1013.284920032679</v>
      </c>
      <c r="M35" s="77">
        <f>IF($X8&gt;0,(M8/$X8)*County_Flow!$BS11,0)</f>
        <v>304.06112292288378</v>
      </c>
      <c r="N35" s="77">
        <f>IF($X8&gt;0,(N8/$X8)*County_Flow!$BS11,0)</f>
        <v>779.26492638282627</v>
      </c>
      <c r="O35" s="77">
        <f>IF($X8&gt;0,(O8/$X8)*County_Flow!$BS11,0)</f>
        <v>110.33698972534847</v>
      </c>
      <c r="P35" s="77">
        <f>IF($X8&gt;0,(P8/$X8)*County_Flow!$BS11,0)</f>
        <v>29.796286866666549</v>
      </c>
      <c r="Q35" s="77">
        <f>IF($X8&gt;0,(Q8/$X8)*County_Flow!$BS11,0)</f>
        <v>47.450119931690814</v>
      </c>
      <c r="R35" s="77">
        <f>IF($X8&gt;0,(R8/$X8)*County_Flow!$BS11,0)</f>
        <v>135.86946026868529</v>
      </c>
      <c r="S35" s="77">
        <f>IF($X8&gt;0,(S8/$X8)*County_Flow!$BS11,0)</f>
        <v>34.618235092056281</v>
      </c>
      <c r="T35" s="77">
        <f>IF($X8&gt;0,(T8/$X8)*County_Flow!$BS11,0)</f>
        <v>20.279193837938067</v>
      </c>
      <c r="U35" s="77">
        <f>IF($X8&gt;0,(U8/$X8)*County_Flow!$BS11,0)</f>
        <v>38.539913517685029</v>
      </c>
      <c r="V35" s="77">
        <f>IF($X8&gt;0,(V8/$X8)*County_Flow!$BS11,0)</f>
        <v>9.1479003639190459</v>
      </c>
      <c r="W35" s="77">
        <f>IF($X8&gt;0,(W8/$X8)*County_Flow!$BS11,0)</f>
        <v>0</v>
      </c>
      <c r="X35" s="77">
        <f>IF($X8&gt;0,(X8/$X8)*County_Flow!$BS11,0)</f>
        <v>8958</v>
      </c>
    </row>
    <row r="36" spans="2:24" x14ac:dyDescent="0.25">
      <c r="B36" s="95">
        <v>6</v>
      </c>
      <c r="C36" s="77">
        <f>IF($X9&gt;0,(C9/$X9)*County_Flow!$BS12,0)</f>
        <v>1444.5375174829658</v>
      </c>
      <c r="D36" s="77">
        <f>IF($X9&gt;0,(D9/$X9)*County_Flow!$BS12,0)</f>
        <v>1054.3957370422495</v>
      </c>
      <c r="E36" s="77">
        <f>IF($X9&gt;0,(E9/$X9)*County_Flow!$BS12,0)</f>
        <v>1024.7682751695449</v>
      </c>
      <c r="F36" s="77">
        <f>IF($X9&gt;0,(F9/$X9)*County_Flow!$BS12,0)</f>
        <v>764.53018419535124</v>
      </c>
      <c r="G36" s="77">
        <f>IF($X9&gt;0,(G9/$X9)*County_Flow!$BS12,0)</f>
        <v>1357.5839902089097</v>
      </c>
      <c r="H36" s="77">
        <f>IF($X9&gt;0,(H9/$X9)*County_Flow!$BS12,0)</f>
        <v>8743.8456538623068</v>
      </c>
      <c r="I36" s="77">
        <f>IF($X9&gt;0,(I9/$X9)*County_Flow!$BS12,0)</f>
        <v>1733.4688313570753</v>
      </c>
      <c r="J36" s="77">
        <f>IF($X9&gt;0,(J9/$X9)*County_Flow!$BS12,0)</f>
        <v>169.55045865774323</v>
      </c>
      <c r="K36" s="77">
        <f>IF($X9&gt;0,(K9/$X9)*County_Flow!$BS12,0)</f>
        <v>1126.3913867057386</v>
      </c>
      <c r="L36" s="77">
        <f>IF($X9&gt;0,(L9/$X9)*County_Flow!$BS12,0)</f>
        <v>1598.8436266758447</v>
      </c>
      <c r="M36" s="77">
        <f>IF($X9&gt;0,(M9/$X9)*County_Flow!$BS12,0)</f>
        <v>878.63577582997323</v>
      </c>
      <c r="N36" s="77">
        <f>IF($X9&gt;0,(N9/$X9)*County_Flow!$BS12,0)</f>
        <v>3993.6635802206288</v>
      </c>
      <c r="O36" s="77">
        <f>IF($X9&gt;0,(O9/$X9)*County_Flow!$BS12,0)</f>
        <v>426.50854022870305</v>
      </c>
      <c r="P36" s="77">
        <f>IF($X9&gt;0,(P9/$X9)*County_Flow!$BS12,0)</f>
        <v>188.90699101051743</v>
      </c>
      <c r="Q36" s="77">
        <f>IF($X9&gt;0,(Q9/$X9)*County_Flow!$BS12,0)</f>
        <v>232.46030648094893</v>
      </c>
      <c r="R36" s="77">
        <f>IF($X9&gt;0,(R9/$X9)*County_Flow!$BS12,0)</f>
        <v>446.77272934294905</v>
      </c>
      <c r="S36" s="77">
        <f>IF($X9&gt;0,(S9/$X9)*County_Flow!$BS12,0)</f>
        <v>174.48112861917892</v>
      </c>
      <c r="T36" s="77">
        <f>IF($X9&gt;0,(T9/$X9)*County_Flow!$BS12,0)</f>
        <v>208.74295051676992</v>
      </c>
      <c r="U36" s="77">
        <f>IF($X9&gt;0,(U9/$X9)*County_Flow!$BS12,0)</f>
        <v>217.71932622938965</v>
      </c>
      <c r="V36" s="77">
        <f>IF($X9&gt;0,(V9/$X9)*County_Flow!$BS12,0)</f>
        <v>59.193010163211667</v>
      </c>
      <c r="W36" s="77">
        <f>IF($X9&gt;0,(W9/$X9)*County_Flow!$BS12,0)</f>
        <v>0</v>
      </c>
      <c r="X36" s="77">
        <f>IF($X9&gt;0,(X9/$X9)*County_Flow!$BS12,0)</f>
        <v>25845</v>
      </c>
    </row>
    <row r="37" spans="2:24" x14ac:dyDescent="0.25">
      <c r="B37" s="95">
        <v>7</v>
      </c>
      <c r="C37" s="77">
        <f>IF($X10&gt;0,(C10/$X10)*County_Flow!$BS13,0)</f>
        <v>1869.3799401646058</v>
      </c>
      <c r="D37" s="77">
        <f>IF($X10&gt;0,(D10/$X10)*County_Flow!$BS13,0)</f>
        <v>3192.3215974074742</v>
      </c>
      <c r="E37" s="77">
        <f>IF($X10&gt;0,(E10/$X10)*County_Flow!$BS13,0)</f>
        <v>1246.1063405019165</v>
      </c>
      <c r="F37" s="77">
        <f>IF($X10&gt;0,(F10/$X10)*County_Flow!$BS13,0)</f>
        <v>901.6188765146909</v>
      </c>
      <c r="G37" s="77">
        <f>IF($X10&gt;0,(G10/$X10)*County_Flow!$BS13,0)</f>
        <v>957.20750744307497</v>
      </c>
      <c r="H37" s="77">
        <f>IF($X10&gt;0,(H10/$X10)*County_Flow!$BS13,0)</f>
        <v>3099.2977049238875</v>
      </c>
      <c r="I37" s="77">
        <f>IF($X10&gt;0,(I10/$X10)*County_Flow!$BS13,0)</f>
        <v>40719.343680511585</v>
      </c>
      <c r="J37" s="77">
        <f>IF($X10&gt;0,(J10/$X10)*County_Flow!$BS13,0)</f>
        <v>222.34720964222058</v>
      </c>
      <c r="K37" s="77">
        <f>IF($X10&gt;0,(K10/$X10)*County_Flow!$BS13,0)</f>
        <v>4826.2632153879858</v>
      </c>
      <c r="L37" s="77">
        <f>IF($X10&gt;0,(L10/$X10)*County_Flow!$BS13,0)</f>
        <v>593.91001890968539</v>
      </c>
      <c r="M37" s="77">
        <f>IF($X10&gt;0,(M10/$X10)*County_Flow!$BS13,0)</f>
        <v>1201.8078750124791</v>
      </c>
      <c r="N37" s="77">
        <f>IF($X10&gt;0,(N10/$X10)*County_Flow!$BS13,0)</f>
        <v>9898.6804061797811</v>
      </c>
      <c r="O37" s="77">
        <f>IF($X10&gt;0,(O10/$X10)*County_Flow!$BS13,0)</f>
        <v>8564.5972948434683</v>
      </c>
      <c r="P37" s="77">
        <f>IF($X10&gt;0,(P10/$X10)*County_Flow!$BS13,0)</f>
        <v>190.7726563261111</v>
      </c>
      <c r="Q37" s="77">
        <f>IF($X10&gt;0,(Q10/$X10)*County_Flow!$BS13,0)</f>
        <v>1646.3479154268023</v>
      </c>
      <c r="R37" s="77">
        <f>IF($X10&gt;0,(R10/$X10)*County_Flow!$BS13,0)</f>
        <v>133.08814423761669</v>
      </c>
      <c r="S37" s="77">
        <f>IF($X10&gt;0,(S10/$X10)*County_Flow!$BS13,0)</f>
        <v>161.28973330869664</v>
      </c>
      <c r="T37" s="77">
        <f>IF($X10&gt;0,(T10/$X10)*County_Flow!$BS13,0)</f>
        <v>955.74150359000373</v>
      </c>
      <c r="U37" s="77">
        <f>IF($X10&gt;0,(U10/$X10)*County_Flow!$BS13,0)</f>
        <v>250.50372346222258</v>
      </c>
      <c r="V37" s="77">
        <f>IF($X10&gt;0,(V10/$X10)*County_Flow!$BS13,0)</f>
        <v>114.37465620569023</v>
      </c>
      <c r="W37" s="77">
        <f>IF($X10&gt;0,(W10/$X10)*County_Flow!$BS13,0)</f>
        <v>0</v>
      </c>
      <c r="X37" s="77">
        <f>IF($X10&gt;0,(X10/$X10)*County_Flow!$BS13,0)</f>
        <v>80745</v>
      </c>
    </row>
    <row r="38" spans="2:24" x14ac:dyDescent="0.25">
      <c r="B38" s="95">
        <v>8</v>
      </c>
      <c r="C38" s="77">
        <f>IF($X11&gt;0,(C11/$X11)*County_Flow!$BS14,0)</f>
        <v>155.18110598956946</v>
      </c>
      <c r="D38" s="77">
        <f>IF($X11&gt;0,(D11/$X11)*County_Flow!$BS14,0)</f>
        <v>205.0433572545316</v>
      </c>
      <c r="E38" s="77">
        <f>IF($X11&gt;0,(E11/$X11)*County_Flow!$BS14,0)</f>
        <v>485.23418469124954</v>
      </c>
      <c r="F38" s="77">
        <f>IF($X11&gt;0,(F11/$X11)*County_Flow!$BS14,0)</f>
        <v>455.11091353743348</v>
      </c>
      <c r="G38" s="77">
        <f>IF($X11&gt;0,(G11/$X11)*County_Flow!$BS14,0)</f>
        <v>221.33715637211705</v>
      </c>
      <c r="H38" s="77">
        <f>IF($X11&gt;0,(H11/$X11)*County_Flow!$BS14,0)</f>
        <v>317.40385634800413</v>
      </c>
      <c r="I38" s="77">
        <f>IF($X11&gt;0,(I11/$X11)*County_Flow!$BS14,0)</f>
        <v>238.71117982713622</v>
      </c>
      <c r="J38" s="77">
        <f>IF($X11&gt;0,(J11/$X11)*County_Flow!$BS14,0)</f>
        <v>257.11003378357577</v>
      </c>
      <c r="K38" s="77">
        <f>IF($X11&gt;0,(K11/$X11)*County_Flow!$BS14,0)</f>
        <v>134.78751734094214</v>
      </c>
      <c r="L38" s="77">
        <f>IF($X11&gt;0,(L11/$X11)*County_Flow!$BS14,0)</f>
        <v>210.6138833448619</v>
      </c>
      <c r="M38" s="77">
        <f>IF($X11&gt;0,(M11/$X11)*County_Flow!$BS14,0)</f>
        <v>791.98694155999465</v>
      </c>
      <c r="N38" s="77">
        <f>IF($X11&gt;0,(N11/$X11)*County_Flow!$BS14,0)</f>
        <v>202.67220513742413</v>
      </c>
      <c r="O38" s="77">
        <f>IF($X11&gt;0,(O11/$X11)*County_Flow!$BS14,0)</f>
        <v>39.576333189579159</v>
      </c>
      <c r="P38" s="77">
        <f>IF($X11&gt;0,(P11/$X11)*County_Flow!$BS14,0)</f>
        <v>265.79559266195849</v>
      </c>
      <c r="Q38" s="77">
        <f>IF($X11&gt;0,(Q11/$X11)*County_Flow!$BS14,0)</f>
        <v>65.58051815323671</v>
      </c>
      <c r="R38" s="77">
        <f>IF($X11&gt;0,(R11/$X11)*County_Flow!$BS14,0)</f>
        <v>18.675207301204708</v>
      </c>
      <c r="S38" s="77">
        <f>IF($X11&gt;0,(S11/$X11)*County_Flow!$BS14,0)</f>
        <v>87.570604357658553</v>
      </c>
      <c r="T38" s="77">
        <f>IF($X11&gt;0,(T11/$X11)*County_Flow!$BS14,0)</f>
        <v>23.351402335535795</v>
      </c>
      <c r="U38" s="77">
        <f>IF($X11&gt;0,(U11/$X11)*County_Flow!$BS14,0)</f>
        <v>62.328107168620903</v>
      </c>
      <c r="V38" s="77">
        <f>IF($X11&gt;0,(V11/$X11)*County_Flow!$BS14,0)</f>
        <v>4.9298996453656336</v>
      </c>
      <c r="W38" s="77">
        <f>IF($X11&gt;0,(W11/$X11)*County_Flow!$BS14,0)</f>
        <v>0</v>
      </c>
      <c r="X38" s="77">
        <f>IF($X11&gt;0,(X11/$X11)*County_Flow!$BS14,0)</f>
        <v>4243</v>
      </c>
    </row>
    <row r="39" spans="2:24" x14ac:dyDescent="0.25">
      <c r="B39" s="95">
        <v>9</v>
      </c>
      <c r="C39" s="77">
        <f>IF($X12&gt;0,(C12/$X12)*County_Flow!$BS15,0)</f>
        <v>1696.8186179025397</v>
      </c>
      <c r="D39" s="77">
        <f>IF($X12&gt;0,(D12/$X12)*County_Flow!$BS15,0)</f>
        <v>3871.8122115565252</v>
      </c>
      <c r="E39" s="77">
        <f>IF($X12&gt;0,(E12/$X12)*County_Flow!$BS15,0)</f>
        <v>2001.803469837188</v>
      </c>
      <c r="F39" s="77">
        <f>IF($X12&gt;0,(F12/$X12)*County_Flow!$BS15,0)</f>
        <v>951.98671066442137</v>
      </c>
      <c r="G39" s="77">
        <f>IF($X12&gt;0,(G12/$X12)*County_Flow!$BS15,0)</f>
        <v>639.26951651462014</v>
      </c>
      <c r="H39" s="77">
        <f>IF($X12&gt;0,(H12/$X12)*County_Flow!$BS15,0)</f>
        <v>2403.4280619087895</v>
      </c>
      <c r="I39" s="77">
        <f>IF($X12&gt;0,(I12/$X12)*County_Flow!$BS15,0)</f>
        <v>5785.2457247736884</v>
      </c>
      <c r="J39" s="77">
        <f>IF($X12&gt;0,(J12/$X12)*County_Flow!$BS15,0)</f>
        <v>147.78053956478811</v>
      </c>
      <c r="K39" s="77">
        <f>IF($X12&gt;0,(K12/$X12)*County_Flow!$BS15,0)</f>
        <v>29753.482643314681</v>
      </c>
      <c r="L39" s="77">
        <f>IF($X12&gt;0,(L12/$X12)*County_Flow!$BS15,0)</f>
        <v>448.4714906833434</v>
      </c>
      <c r="M39" s="77">
        <f>IF($X12&gt;0,(M12/$X12)*County_Flow!$BS15,0)</f>
        <v>2879.3036955891312</v>
      </c>
      <c r="N39" s="77">
        <f>IF($X12&gt;0,(N12/$X12)*County_Flow!$BS15,0)</f>
        <v>3122.7892478865392</v>
      </c>
      <c r="O39" s="77">
        <f>IF($X12&gt;0,(O12/$X12)*County_Flow!$BS15,0)</f>
        <v>874.98674178727174</v>
      </c>
      <c r="P39" s="77">
        <f>IF($X12&gt;0,(P12/$X12)*County_Flow!$BS15,0)</f>
        <v>246.64961508948994</v>
      </c>
      <c r="Q39" s="77">
        <f>IF($X12&gt;0,(Q12/$X12)*County_Flow!$BS15,0)</f>
        <v>3534.7532369207188</v>
      </c>
      <c r="R39" s="77">
        <f>IF($X12&gt;0,(R12/$X12)*County_Flow!$BS15,0)</f>
        <v>95.080679553235939</v>
      </c>
      <c r="S39" s="77">
        <f>IF($X12&gt;0,(S12/$X12)*County_Flow!$BS15,0)</f>
        <v>193.72995628816676</v>
      </c>
      <c r="T39" s="77">
        <f>IF($X12&gt;0,(T12/$X12)*County_Flow!$BS15,0)</f>
        <v>168.06398495996461</v>
      </c>
      <c r="U39" s="77">
        <f>IF($X12&gt;0,(U12/$X12)*County_Flow!$BS15,0)</f>
        <v>695.7697362707529</v>
      </c>
      <c r="V39" s="77">
        <f>IF($X12&gt;0,(V12/$X12)*County_Flow!$BS15,0)</f>
        <v>51.774118934141136</v>
      </c>
      <c r="W39" s="77">
        <f>IF($X12&gt;0,(W12/$X12)*County_Flow!$BS15,0)</f>
        <v>0</v>
      </c>
      <c r="X39" s="77">
        <f>IF($X12&gt;0,(X12/$X12)*County_Flow!$BS15,0)</f>
        <v>59563</v>
      </c>
    </row>
    <row r="40" spans="2:24" x14ac:dyDescent="0.25">
      <c r="B40" s="95">
        <v>10</v>
      </c>
      <c r="C40" s="77">
        <f>IF($X13&gt;0,(C13/$X13)*County_Flow!$BS16,0)</f>
        <v>1268.6504259952956</v>
      </c>
      <c r="D40" s="77">
        <f>IF($X13&gt;0,(D13/$X13)*County_Flow!$BS16,0)</f>
        <v>830.75196406605983</v>
      </c>
      <c r="E40" s="77">
        <f>IF($X13&gt;0,(E13/$X13)*County_Flow!$BS16,0)</f>
        <v>408.95771236561973</v>
      </c>
      <c r="F40" s="77">
        <f>IF($X13&gt;0,(F13/$X13)*County_Flow!$BS16,0)</f>
        <v>829.25058473997751</v>
      </c>
      <c r="G40" s="77">
        <f>IF($X13&gt;0,(G13/$X13)*County_Flow!$BS16,0)</f>
        <v>2187.5312929874922</v>
      </c>
      <c r="H40" s="77">
        <f>IF($X13&gt;0,(H13/$X13)*County_Flow!$BS16,0)</f>
        <v>3789.2188530822923</v>
      </c>
      <c r="I40" s="77">
        <f>IF($X13&gt;0,(I13/$X13)*County_Flow!$BS16,0)</f>
        <v>770.37172963763817</v>
      </c>
      <c r="J40" s="77">
        <f>IF($X13&gt;0,(J13/$X13)*County_Flow!$BS16,0)</f>
        <v>277.9909507601779</v>
      </c>
      <c r="K40" s="77">
        <f>IF($X13&gt;0,(K13/$X13)*County_Flow!$BS16,0)</f>
        <v>489.37977684518853</v>
      </c>
      <c r="L40" s="77">
        <f>IF($X13&gt;0,(L13/$X13)*County_Flow!$BS16,0)</f>
        <v>7909.9724892438298</v>
      </c>
      <c r="M40" s="77">
        <f>IF($X13&gt;0,(M13/$X13)*County_Flow!$BS16,0)</f>
        <v>331.78309757948051</v>
      </c>
      <c r="N40" s="77">
        <f>IF($X13&gt;0,(N13/$X13)*County_Flow!$BS16,0)</f>
        <v>3563.8162525154789</v>
      </c>
      <c r="O40" s="77">
        <f>IF($X13&gt;0,(O13/$X13)*County_Flow!$BS16,0)</f>
        <v>125.84877536472617</v>
      </c>
      <c r="P40" s="77">
        <f>IF($X13&gt;0,(P13/$X13)*County_Flow!$BS16,0)</f>
        <v>124.49564844094644</v>
      </c>
      <c r="Q40" s="77">
        <f>IF($X13&gt;0,(Q13/$X13)*County_Flow!$BS16,0)</f>
        <v>85.861771710235132</v>
      </c>
      <c r="R40" s="77">
        <f>IF($X13&gt;0,(R13/$X13)*County_Flow!$BS16,0)</f>
        <v>1921.1303042407023</v>
      </c>
      <c r="S40" s="77">
        <f>IF($X13&gt;0,(S13/$X13)*County_Flow!$BS16,0)</f>
        <v>36.780885668959343</v>
      </c>
      <c r="T40" s="77">
        <f>IF($X13&gt;0,(T13/$X13)*County_Flow!$BS16,0)</f>
        <v>92.499253645251557</v>
      </c>
      <c r="U40" s="77">
        <f>IF($X13&gt;0,(U13/$X13)*County_Flow!$BS16,0)</f>
        <v>52.114221972147106</v>
      </c>
      <c r="V40" s="77">
        <f>IF($X13&gt;0,(V13/$X13)*County_Flow!$BS16,0)</f>
        <v>22.594009138496897</v>
      </c>
      <c r="W40" s="77">
        <f>IF($X13&gt;0,(W13/$X13)*County_Flow!$BS16,0)</f>
        <v>0</v>
      </c>
      <c r="X40" s="77">
        <f>IF($X13&gt;0,(X13/$X13)*County_Flow!$BS16,0)</f>
        <v>25119</v>
      </c>
    </row>
    <row r="41" spans="2:24" x14ac:dyDescent="0.25">
      <c r="B41" s="95">
        <v>11</v>
      </c>
      <c r="C41" s="77">
        <f>IF($X14&gt;0,(C14/$X14)*County_Flow!$BS17,0)</f>
        <v>1485.0026168791921</v>
      </c>
      <c r="D41" s="77">
        <f>IF($X14&gt;0,(D14/$X14)*County_Flow!$BS17,0)</f>
        <v>1377.9765245431713</v>
      </c>
      <c r="E41" s="77">
        <f>IF($X14&gt;0,(E14/$X14)*County_Flow!$BS17,0)</f>
        <v>3308.4825460398183</v>
      </c>
      <c r="F41" s="77">
        <f>IF($X14&gt;0,(F14/$X14)*County_Flow!$BS17,0)</f>
        <v>1210.440416352264</v>
      </c>
      <c r="G41" s="77">
        <f>IF($X14&gt;0,(G14/$X14)*County_Flow!$BS17,0)</f>
        <v>572.91014250638193</v>
      </c>
      <c r="H41" s="77">
        <f>IF($X14&gt;0,(H14/$X14)*County_Flow!$BS17,0)</f>
        <v>1740.2947467281442</v>
      </c>
      <c r="I41" s="77">
        <f>IF($X14&gt;0,(I14/$X14)*County_Flow!$BS17,0)</f>
        <v>1367.6685368061767</v>
      </c>
      <c r="J41" s="77">
        <f>IF($X14&gt;0,(J14/$X14)*County_Flow!$BS17,0)</f>
        <v>827.24048139925969</v>
      </c>
      <c r="K41" s="77">
        <f>IF($X14&gt;0,(K14/$X14)*County_Flow!$BS17,0)</f>
        <v>2753.5281582627481</v>
      </c>
      <c r="L41" s="77">
        <f>IF($X14&gt;0,(L14/$X14)*County_Flow!$BS17,0)</f>
        <v>290.80955782509409</v>
      </c>
      <c r="M41" s="77">
        <f>IF($X14&gt;0,(M14/$X14)*County_Flow!$BS17,0)</f>
        <v>27237.133088977891</v>
      </c>
      <c r="N41" s="77">
        <f>IF($X14&gt;0,(N14/$X14)*County_Flow!$BS17,0)</f>
        <v>1282.8753624184208</v>
      </c>
      <c r="O41" s="77">
        <f>IF($X14&gt;0,(O14/$X14)*County_Flow!$BS17,0)</f>
        <v>184.10729116800405</v>
      </c>
      <c r="P41" s="77">
        <f>IF($X14&gt;0,(P14/$X14)*County_Flow!$BS17,0)</f>
        <v>889.43578757395733</v>
      </c>
      <c r="Q41" s="77">
        <f>IF($X14&gt;0,(Q14/$X14)*County_Flow!$BS17,0)</f>
        <v>478.35332801191657</v>
      </c>
      <c r="R41" s="77">
        <f>IF($X14&gt;0,(R14/$X14)*County_Flow!$BS17,0)</f>
        <v>55.634928806881611</v>
      </c>
      <c r="S41" s="77">
        <f>IF($X14&gt;0,(S14/$X14)*County_Flow!$BS17,0)</f>
        <v>2311.7235552110319</v>
      </c>
      <c r="T41" s="77">
        <f>IF($X14&gt;0,(T14/$X14)*County_Flow!$BS17,0)</f>
        <v>71.167967093893367</v>
      </c>
      <c r="U41" s="77">
        <f>IF($X14&gt;0,(U14/$X14)*County_Flow!$BS17,0)</f>
        <v>4687.4019193886134</v>
      </c>
      <c r="V41" s="77">
        <f>IF($X14&gt;0,(V14/$X14)*County_Flow!$BS17,0)</f>
        <v>42.813044007135602</v>
      </c>
      <c r="W41" s="77">
        <f>IF($X14&gt;0,(W14/$X14)*County_Flow!$BS17,0)</f>
        <v>0</v>
      </c>
      <c r="X41" s="77">
        <f>IF($X14&gt;0,(X14/$X14)*County_Flow!$BS17,0)</f>
        <v>52175</v>
      </c>
    </row>
    <row r="42" spans="2:24" x14ac:dyDescent="0.25">
      <c r="B42" s="95">
        <v>12</v>
      </c>
      <c r="C42" s="77">
        <f>IF($X15&gt;0,(C15/$X15)*County_Flow!$BS18,0)</f>
        <v>2223.1601588220119</v>
      </c>
      <c r="D42" s="77">
        <f>IF($X15&gt;0,(D15/$X15)*County_Flow!$BS18,0)</f>
        <v>2565.4879872287443</v>
      </c>
      <c r="E42" s="77">
        <f>IF($X15&gt;0,(E15/$X15)*County_Flow!$BS18,0)</f>
        <v>1317.0590602216384</v>
      </c>
      <c r="F42" s="77">
        <f>IF($X15&gt;0,(F15/$X15)*County_Flow!$BS18,0)</f>
        <v>1255.3183972442598</v>
      </c>
      <c r="G42" s="77">
        <f>IF($X15&gt;0,(G15/$X15)*County_Flow!$BS18,0)</f>
        <v>1125.9379207968361</v>
      </c>
      <c r="H42" s="77">
        <f>IF($X15&gt;0,(H15/$X15)*County_Flow!$BS18,0)</f>
        <v>6473.0762364676639</v>
      </c>
      <c r="I42" s="77">
        <f>IF($X15&gt;0,(I15/$X15)*County_Flow!$BS18,0)</f>
        <v>8718.332400880854</v>
      </c>
      <c r="J42" s="77">
        <f>IF($X15&gt;0,(J15/$X15)*County_Flow!$BS18,0)</f>
        <v>173.50296712571435</v>
      </c>
      <c r="K42" s="77">
        <f>IF($X15&gt;0,(K15/$X15)*County_Flow!$BS18,0)</f>
        <v>2329.5539071242347</v>
      </c>
      <c r="L42" s="77">
        <f>IF($X15&gt;0,(L15/$X15)*County_Flow!$BS18,0)</f>
        <v>2394.0803997368585</v>
      </c>
      <c r="M42" s="77">
        <f>IF($X15&gt;0,(M15/$X15)*County_Flow!$BS18,0)</f>
        <v>1014.7046944640306</v>
      </c>
      <c r="N42" s="77">
        <f>IF($X15&gt;0,(N15/$X15)*County_Flow!$BS18,0)</f>
        <v>65951.215495327036</v>
      </c>
      <c r="O42" s="77">
        <f>IF($X15&gt;0,(O15/$X15)*County_Flow!$BS18,0)</f>
        <v>2400.191685785363</v>
      </c>
      <c r="P42" s="77">
        <f>IF($X15&gt;0,(P15/$X15)*County_Flow!$BS18,0)</f>
        <v>219.7203405702983</v>
      </c>
      <c r="Q42" s="77">
        <f>IF($X15&gt;0,(Q15/$X15)*County_Flow!$BS18,0)</f>
        <v>347.9385986679996</v>
      </c>
      <c r="R42" s="77">
        <f>IF($X15&gt;0,(R15/$X15)*County_Flow!$BS18,0)</f>
        <v>1501.154583299799</v>
      </c>
      <c r="S42" s="77">
        <f>IF($X15&gt;0,(S15/$X15)*County_Flow!$BS18,0)</f>
        <v>119.79463827004358</v>
      </c>
      <c r="T42" s="77">
        <f>IF($X15&gt;0,(T15/$X15)*County_Flow!$BS18,0)</f>
        <v>4805.4870976350339</v>
      </c>
      <c r="U42" s="77">
        <f>IF($X15&gt;0,(U15/$X15)*County_Flow!$BS18,0)</f>
        <v>366.02206212710178</v>
      </c>
      <c r="V42" s="77">
        <f>IF($X15&gt;0,(V15/$X15)*County_Flow!$BS18,0)</f>
        <v>937.26136820446106</v>
      </c>
      <c r="W42" s="77">
        <f>IF($X15&gt;0,(W15/$X15)*County_Flow!$BS18,0)</f>
        <v>0</v>
      </c>
      <c r="X42" s="77">
        <f>IF($X15&gt;0,(X15/$X15)*County_Flow!$BS18,0)</f>
        <v>106239</v>
      </c>
    </row>
    <row r="43" spans="2:24" x14ac:dyDescent="0.25">
      <c r="B43" s="95">
        <v>13</v>
      </c>
      <c r="C43" s="77">
        <f>IF($X16&gt;0,(C16/$X16)*County_Flow!$BS19,0)</f>
        <v>495.95182784242235</v>
      </c>
      <c r="D43" s="77">
        <f>IF($X16&gt;0,(D16/$X16)*County_Flow!$BS19,0)</f>
        <v>614.0301596929969</v>
      </c>
      <c r="E43" s="77">
        <f>IF($X16&gt;0,(E16/$X16)*County_Flow!$BS19,0)</f>
        <v>206.58739294475859</v>
      </c>
      <c r="F43" s="77">
        <f>IF($X16&gt;0,(F16/$X16)*County_Flow!$BS19,0)</f>
        <v>199.32978920518511</v>
      </c>
      <c r="G43" s="77">
        <f>IF($X16&gt;0,(G16/$X16)*County_Flow!$BS19,0)</f>
        <v>178.56986687065572</v>
      </c>
      <c r="H43" s="77">
        <f>IF($X16&gt;0,(H16/$X16)*County_Flow!$BS19,0)</f>
        <v>735.00337807927576</v>
      </c>
      <c r="I43" s="77">
        <f>IF($X16&gt;0,(I16/$X16)*County_Flow!$BS19,0)</f>
        <v>8366.3998181438947</v>
      </c>
      <c r="J43" s="77">
        <f>IF($X16&gt;0,(J16/$X16)*County_Flow!$BS19,0)</f>
        <v>35.768337218114752</v>
      </c>
      <c r="K43" s="77">
        <f>IF($X16&gt;0,(K16/$X16)*County_Flow!$BS19,0)</f>
        <v>666.08277756624761</v>
      </c>
      <c r="L43" s="77">
        <f>IF($X16&gt;0,(L16/$X16)*County_Flow!$BS19,0)</f>
        <v>92.371310450369492</v>
      </c>
      <c r="M43" s="77">
        <f>IF($X16&gt;0,(M16/$X16)*County_Flow!$BS19,0)</f>
        <v>155.47120641678234</v>
      </c>
      <c r="N43" s="77">
        <f>IF($X16&gt;0,(N16/$X16)*County_Flow!$BS19,0)</f>
        <v>2600.5200510647501</v>
      </c>
      <c r="O43" s="77">
        <f>IF($X16&gt;0,(O16/$X16)*County_Flow!$BS19,0)</f>
        <v>56832.096777708408</v>
      </c>
      <c r="P43" s="77">
        <f>IF($X16&gt;0,(P16/$X16)*County_Flow!$BS19,0)</f>
        <v>4.8783914114789564</v>
      </c>
      <c r="Q43" s="77">
        <f>IF($X16&gt;0,(Q16/$X16)*County_Flow!$BS19,0)</f>
        <v>1534.1185188881625</v>
      </c>
      <c r="R43" s="77">
        <f>IF($X16&gt;0,(R16/$X16)*County_Flow!$BS19,0)</f>
        <v>24.251182264730495</v>
      </c>
      <c r="S43" s="77">
        <f>IF($X16&gt;0,(S16/$X16)*County_Flow!$BS19,0)</f>
        <v>19.601894519430264</v>
      </c>
      <c r="T43" s="77">
        <f>IF($X16&gt;0,(T16/$X16)*County_Flow!$BS19,0)</f>
        <v>1868.1572578640098</v>
      </c>
      <c r="U43" s="77">
        <f>IF($X16&gt;0,(U16/$X16)*County_Flow!$BS19,0)</f>
        <v>69.647209641132463</v>
      </c>
      <c r="V43" s="77">
        <f>IF($X16&gt;0,(V16/$X16)*County_Flow!$BS19,0)</f>
        <v>54.162852207195186</v>
      </c>
      <c r="W43" s="77">
        <f>IF($X16&gt;0,(W16/$X16)*County_Flow!$BS19,0)</f>
        <v>0</v>
      </c>
      <c r="X43" s="77">
        <f>IF($X16&gt;0,(X16/$X16)*County_Flow!$BS19,0)</f>
        <v>74753</v>
      </c>
    </row>
    <row r="44" spans="2:24" x14ac:dyDescent="0.25">
      <c r="B44" s="95">
        <v>14</v>
      </c>
      <c r="C44" s="77">
        <f>IF($X17&gt;0,(C17/$X17)*County_Flow!$BS20,0)</f>
        <v>207.15982094098672</v>
      </c>
      <c r="D44" s="77">
        <f>IF($X17&gt;0,(D17/$X17)*County_Flow!$BS20,0)</f>
        <v>191.89864597611978</v>
      </c>
      <c r="E44" s="77">
        <f>IF($X17&gt;0,(E17/$X17)*County_Flow!$BS20,0)</f>
        <v>215.68033601108931</v>
      </c>
      <c r="F44" s="77">
        <f>IF($X17&gt;0,(F17/$X17)*County_Flow!$BS20,0)</f>
        <v>189.85280735114443</v>
      </c>
      <c r="G44" s="77">
        <f>IF($X17&gt;0,(G17/$X17)*County_Flow!$BS20,0)</f>
        <v>63.446585126174092</v>
      </c>
      <c r="H44" s="77">
        <f>IF($X17&gt;0,(H17/$X17)*County_Flow!$BS20,0)</f>
        <v>386.08407280639693</v>
      </c>
      <c r="I44" s="77">
        <f>IF($X17&gt;0,(I17/$X17)*County_Flow!$BS20,0)</f>
        <v>238.26541987331322</v>
      </c>
      <c r="J44" s="77">
        <f>IF($X17&gt;0,(J17/$X17)*County_Flow!$BS20,0)</f>
        <v>304.64114300660958</v>
      </c>
      <c r="K44" s="77">
        <f>IF($X17&gt;0,(K17/$X17)*County_Flow!$BS20,0)</f>
        <v>240.60770862726895</v>
      </c>
      <c r="L44" s="77">
        <f>IF($X17&gt;0,(L17/$X17)*County_Flow!$BS20,0)</f>
        <v>107.44074662895881</v>
      </c>
      <c r="M44" s="77">
        <f>IF($X17&gt;0,(M17/$X17)*County_Flow!$BS20,0)</f>
        <v>969.60756213969216</v>
      </c>
      <c r="N44" s="77">
        <f>IF($X17&gt;0,(N17/$X17)*County_Flow!$BS20,0)</f>
        <v>288.55077704708737</v>
      </c>
      <c r="O44" s="77">
        <f>IF($X17&gt;0,(O17/$X17)*County_Flow!$BS20,0)</f>
        <v>6.5661037331063605</v>
      </c>
      <c r="P44" s="77">
        <f>IF($X17&gt;0,(P17/$X17)*County_Flow!$BS20,0)</f>
        <v>16058.904211265079</v>
      </c>
      <c r="Q44" s="77">
        <f>IF($X17&gt;0,(Q17/$X17)*County_Flow!$BS20,0)</f>
        <v>24.276892923966503</v>
      </c>
      <c r="R44" s="77">
        <f>IF($X17&gt;0,(R17/$X17)*County_Flow!$BS20,0)</f>
        <v>12.640616159506884</v>
      </c>
      <c r="S44" s="77">
        <f>IF($X17&gt;0,(S17/$X17)*County_Flow!$BS20,0)</f>
        <v>910.10677567723656</v>
      </c>
      <c r="T44" s="77">
        <f>IF($X17&gt;0,(T17/$X17)*County_Flow!$BS20,0)</f>
        <v>3.300256941377921</v>
      </c>
      <c r="U44" s="77">
        <f>IF($X17&gt;0,(U17/$X17)*County_Flow!$BS20,0)</f>
        <v>145.9695177648864</v>
      </c>
      <c r="V44" s="77">
        <f>IF($X17&gt;0,(V17/$X17)*County_Flow!$BS20,0)</f>
        <v>0</v>
      </c>
      <c r="W44" s="77">
        <f>IF($X17&gt;0,(W17/$X17)*County_Flow!$BS20,0)</f>
        <v>0</v>
      </c>
      <c r="X44" s="77">
        <f>IF($X17&gt;0,(X17/$X17)*County_Flow!$BS20,0)</f>
        <v>20565</v>
      </c>
    </row>
    <row r="45" spans="2:24" x14ac:dyDescent="0.25">
      <c r="B45" s="95">
        <v>15</v>
      </c>
      <c r="C45" s="77">
        <f>IF($X18&gt;0,(C18/$X18)*County_Flow!$BS21,0)</f>
        <v>335.6135407968319</v>
      </c>
      <c r="D45" s="77">
        <f>IF($X18&gt;0,(D18/$X18)*County_Flow!$BS21,0)</f>
        <v>465.17887632766059</v>
      </c>
      <c r="E45" s="77">
        <f>IF($X18&gt;0,(E18/$X18)*County_Flow!$BS21,0)</f>
        <v>212.66934417887438</v>
      </c>
      <c r="F45" s="77">
        <f>IF($X18&gt;0,(F18/$X18)*County_Flow!$BS21,0)</f>
        <v>108.35674176849476</v>
      </c>
      <c r="G45" s="77">
        <f>IF($X18&gt;0,(G18/$X18)*County_Flow!$BS21,0)</f>
        <v>84.318409952113768</v>
      </c>
      <c r="H45" s="77">
        <f>IF($X18&gt;0,(H18/$X18)*County_Flow!$BS21,0)</f>
        <v>443.98022511449182</v>
      </c>
      <c r="I45" s="77">
        <f>IF($X18&gt;0,(I18/$X18)*County_Flow!$BS21,0)</f>
        <v>1789.5721016857819</v>
      </c>
      <c r="J45" s="77">
        <f>IF($X18&gt;0,(J18/$X18)*County_Flow!$BS21,0)</f>
        <v>69.011599582214089</v>
      </c>
      <c r="K45" s="77">
        <f>IF($X18&gt;0,(K18/$X18)*County_Flow!$BS21,0)</f>
        <v>3281.0735577474506</v>
      </c>
      <c r="L45" s="77">
        <f>IF($X18&gt;0,(L18/$X18)*County_Flow!$BS21,0)</f>
        <v>70.176411535388212</v>
      </c>
      <c r="M45" s="77">
        <f>IF($X18&gt;0,(M18/$X18)*County_Flow!$BS21,0)</f>
        <v>429.84438715760206</v>
      </c>
      <c r="N45" s="77">
        <f>IF($X18&gt;0,(N18/$X18)*County_Flow!$BS21,0)</f>
        <v>414.6708998258332</v>
      </c>
      <c r="O45" s="77">
        <f>IF($X18&gt;0,(O18/$X18)*County_Flow!$BS21,0)</f>
        <v>1795.879903206167</v>
      </c>
      <c r="P45" s="77">
        <f>IF($X18&gt;0,(P18/$X18)*County_Flow!$BS21,0)</f>
        <v>22.139052670865549</v>
      </c>
      <c r="Q45" s="77">
        <f>IF($X18&gt;0,(Q18/$X18)*County_Flow!$BS21,0)</f>
        <v>20314.306666738237</v>
      </c>
      <c r="R45" s="77">
        <f>IF($X18&gt;0,(R18/$X18)*County_Flow!$BS21,0)</f>
        <v>12.711960395806448</v>
      </c>
      <c r="S45" s="77">
        <f>IF($X18&gt;0,(S18/$X18)*County_Flow!$BS21,0)</f>
        <v>58.795954487706339</v>
      </c>
      <c r="T45" s="77">
        <f>IF($X18&gt;0,(T18/$X18)*County_Flow!$BS21,0)</f>
        <v>42.173201800717983</v>
      </c>
      <c r="U45" s="77">
        <f>IF($X18&gt;0,(U18/$X18)*County_Flow!$BS21,0)</f>
        <v>451.52174213471193</v>
      </c>
      <c r="V45" s="77">
        <f>IF($X18&gt;0,(V18/$X18)*County_Flow!$BS21,0)</f>
        <v>3.0054228930490465</v>
      </c>
      <c r="W45" s="77">
        <f>IF($X18&gt;0,(W18/$X18)*County_Flow!$BS21,0)</f>
        <v>0</v>
      </c>
      <c r="X45" s="77">
        <f>IF($X18&gt;0,(X18/$X18)*County_Flow!$BS21,0)</f>
        <v>30405</v>
      </c>
    </row>
    <row r="46" spans="2:24" x14ac:dyDescent="0.25">
      <c r="B46" s="95">
        <v>16</v>
      </c>
      <c r="C46" s="77">
        <f>IF($X19&gt;0,(C19/$X19)*County_Flow!$BS22,0)</f>
        <v>691.85237840295827</v>
      </c>
      <c r="D46" s="77">
        <f>IF($X19&gt;0,(D19/$X19)*County_Flow!$BS22,0)</f>
        <v>270.40611216427885</v>
      </c>
      <c r="E46" s="77">
        <f>IF($X19&gt;0,(E19/$X19)*County_Flow!$BS22,0)</f>
        <v>150.98953781366964</v>
      </c>
      <c r="F46" s="77">
        <f>IF($X19&gt;0,(F19/$X19)*County_Flow!$BS22,0)</f>
        <v>251.68536080564843</v>
      </c>
      <c r="G46" s="77">
        <f>IF($X19&gt;0,(G19/$X19)*County_Flow!$BS22,0)</f>
        <v>378.01405774753459</v>
      </c>
      <c r="H46" s="77">
        <f>IF($X19&gt;0,(H19/$X19)*County_Flow!$BS22,0)</f>
        <v>1353.2290206581488</v>
      </c>
      <c r="I46" s="77">
        <f>IF($X19&gt;0,(I19/$X19)*County_Flow!$BS22,0)</f>
        <v>214.68476011613564</v>
      </c>
      <c r="J46" s="77">
        <f>IF($X19&gt;0,(J19/$X19)*County_Flow!$BS22,0)</f>
        <v>30.187315573642366</v>
      </c>
      <c r="K46" s="77">
        <f>IF($X19&gt;0,(K19/$X19)*County_Flow!$BS22,0)</f>
        <v>138.11251083395703</v>
      </c>
      <c r="L46" s="77">
        <f>IF($X19&gt;0,(L19/$X19)*County_Flow!$BS22,0)</f>
        <v>2621.9470227720089</v>
      </c>
      <c r="M46" s="77">
        <f>IF($X19&gt;0,(M19/$X19)*County_Flow!$BS22,0)</f>
        <v>87.122840863065406</v>
      </c>
      <c r="N46" s="77">
        <f>IF($X19&gt;0,(N19/$X19)*County_Flow!$BS22,0)</f>
        <v>3000.6824692431046</v>
      </c>
      <c r="O46" s="77">
        <f>IF($X19&gt;0,(O19/$X19)*County_Flow!$BS22,0)</f>
        <v>43.578487296930497</v>
      </c>
      <c r="P46" s="77">
        <f>IF($X19&gt;0,(P19/$X19)*County_Flow!$BS22,0)</f>
        <v>18.067401872985609</v>
      </c>
      <c r="Q46" s="77">
        <f>IF($X19&gt;0,(Q19/$X19)*County_Flow!$BS22,0)</f>
        <v>20.133174023705358</v>
      </c>
      <c r="R46" s="77">
        <f>IF($X19&gt;0,(R19/$X19)*County_Flow!$BS22,0)</f>
        <v>4161.7733505244842</v>
      </c>
      <c r="S46" s="77">
        <f>IF($X19&gt;0,(S19/$X19)*County_Flow!$BS22,0)</f>
        <v>0.91962512543492969</v>
      </c>
      <c r="T46" s="77">
        <f>IF($X19&gt;0,(T19/$X19)*County_Flow!$BS22,0)</f>
        <v>291.59516341211639</v>
      </c>
      <c r="U46" s="77">
        <f>IF($X19&gt;0,(U19/$X19)*County_Flow!$BS22,0)</f>
        <v>20.910709910657417</v>
      </c>
      <c r="V46" s="77">
        <f>IF($X19&gt;0,(V19/$X19)*County_Flow!$BS22,0)</f>
        <v>74.108700839531821</v>
      </c>
      <c r="W46" s="77">
        <f>IF($X19&gt;0,(W19/$X19)*County_Flow!$BS22,0)</f>
        <v>0</v>
      </c>
      <c r="X46" s="77">
        <f>IF($X19&gt;0,(X19/$X19)*County_Flow!$BS22,0)</f>
        <v>13820</v>
      </c>
    </row>
    <row r="47" spans="2:24" x14ac:dyDescent="0.25">
      <c r="B47" s="95">
        <v>17</v>
      </c>
      <c r="C47" s="77">
        <f>IF($X20&gt;0,(C20/$X20)*County_Flow!$BS23,0)</f>
        <v>237.64135825356286</v>
      </c>
      <c r="D47" s="77">
        <f>IF($X20&gt;0,(D20/$X20)*County_Flow!$BS23,0)</f>
        <v>321.87279919575508</v>
      </c>
      <c r="E47" s="77">
        <f>IF($X20&gt;0,(E20/$X20)*County_Flow!$BS23,0)</f>
        <v>234.26257611249821</v>
      </c>
      <c r="F47" s="77">
        <f>IF($X20&gt;0,(F20/$X20)*County_Flow!$BS23,0)</f>
        <v>110.56522438348277</v>
      </c>
      <c r="G47" s="77">
        <f>IF($X20&gt;0,(G20/$X20)*County_Flow!$BS23,0)</f>
        <v>82.183153281473906</v>
      </c>
      <c r="H47" s="77">
        <f>IF($X20&gt;0,(H20/$X20)*County_Flow!$BS23,0)</f>
        <v>430.88802624338177</v>
      </c>
      <c r="I47" s="77">
        <f>IF($X20&gt;0,(I20/$X20)*County_Flow!$BS23,0)</f>
        <v>219.03424312138597</v>
      </c>
      <c r="J47" s="77">
        <f>IF($X20&gt;0,(J20/$X20)*County_Flow!$BS23,0)</f>
        <v>118.64606114213179</v>
      </c>
      <c r="K47" s="77">
        <f>IF($X20&gt;0,(K20/$X20)*County_Flow!$BS23,0)</f>
        <v>217.25769099520176</v>
      </c>
      <c r="L47" s="77">
        <f>IF($X20&gt;0,(L20/$X20)*County_Flow!$BS23,0)</f>
        <v>39.570645793093746</v>
      </c>
      <c r="M47" s="77">
        <f>IF($X20&gt;0,(M20/$X20)*County_Flow!$BS23,0)</f>
        <v>2995.8653866483778</v>
      </c>
      <c r="N47" s="77">
        <f>IF($X20&gt;0,(N20/$X20)*County_Flow!$BS23,0)</f>
        <v>186.25762282070073</v>
      </c>
      <c r="O47" s="77">
        <f>IF($X20&gt;0,(O20/$X20)*County_Flow!$BS23,0)</f>
        <v>26.710916893106489</v>
      </c>
      <c r="P47" s="77">
        <f>IF($X20&gt;0,(P20/$X20)*County_Flow!$BS23,0)</f>
        <v>1079.6076994540674</v>
      </c>
      <c r="Q47" s="77">
        <f>IF($X20&gt;0,(Q20/$X20)*County_Flow!$BS23,0)</f>
        <v>75.363266461824935</v>
      </c>
      <c r="R47" s="77">
        <f>IF($X20&gt;0,(R20/$X20)*County_Flow!$BS23,0)</f>
        <v>1.1943626647412651</v>
      </c>
      <c r="S47" s="77">
        <f>IF($X20&gt;0,(S20/$X20)*County_Flow!$BS23,0)</f>
        <v>9234.8290864986593</v>
      </c>
      <c r="T47" s="77">
        <f>IF($X20&gt;0,(T20/$X20)*County_Flow!$BS23,0)</f>
        <v>1.4779687266520556</v>
      </c>
      <c r="U47" s="77">
        <f>IF($X20&gt;0,(U20/$X20)*County_Flow!$BS23,0)</f>
        <v>2668.8894020143921</v>
      </c>
      <c r="V47" s="77">
        <f>IF($X20&gt;0,(V20/$X20)*County_Flow!$BS23,0)</f>
        <v>1.8825092955096814</v>
      </c>
      <c r="W47" s="77">
        <f>IF($X20&gt;0,(W20/$X20)*County_Flow!$BS23,0)</f>
        <v>0</v>
      </c>
      <c r="X47" s="77">
        <f>IF($X20&gt;0,(X20/$X20)*County_Flow!$BS23,0)</f>
        <v>18284</v>
      </c>
    </row>
    <row r="48" spans="2:24" x14ac:dyDescent="0.25">
      <c r="B48" s="95">
        <v>18</v>
      </c>
      <c r="C48" s="77">
        <f>IF($X21&gt;0,(C21/$X21)*County_Flow!$BS24,0)</f>
        <v>421.11433247198789</v>
      </c>
      <c r="D48" s="77">
        <f>IF($X21&gt;0,(D21/$X21)*County_Flow!$BS24,0)</f>
        <v>470.71602419698934</v>
      </c>
      <c r="E48" s="77">
        <f>IF($X21&gt;0,(E21/$X21)*County_Flow!$BS24,0)</f>
        <v>78.821206285773684</v>
      </c>
      <c r="F48" s="77">
        <f>IF($X21&gt;0,(F21/$X21)*County_Flow!$BS24,0)</f>
        <v>133.49999487502126</v>
      </c>
      <c r="G48" s="77">
        <f>IF($X21&gt;0,(G21/$X21)*County_Flow!$BS24,0)</f>
        <v>54.875369344928366</v>
      </c>
      <c r="H48" s="77">
        <f>IF($X21&gt;0,(H21/$X21)*County_Flow!$BS24,0)</f>
        <v>579.8193512969109</v>
      </c>
      <c r="I48" s="77">
        <f>IF($X21&gt;0,(I21/$X21)*County_Flow!$BS24,0)</f>
        <v>1541.160533327994</v>
      </c>
      <c r="J48" s="77">
        <f>IF($X21&gt;0,(J21/$X21)*County_Flow!$BS24,0)</f>
        <v>44.180110539111233</v>
      </c>
      <c r="K48" s="77">
        <f>IF($X21&gt;0,(K21/$X21)*County_Flow!$BS24,0)</f>
        <v>231.90714289294974</v>
      </c>
      <c r="L48" s="77">
        <f>IF($X21&gt;0,(L21/$X21)*County_Flow!$BS24,0)</f>
        <v>97.541211224340998</v>
      </c>
      <c r="M48" s="77">
        <f>IF($X21&gt;0,(M21/$X21)*County_Flow!$BS24,0)</f>
        <v>102.7645504407634</v>
      </c>
      <c r="N48" s="77">
        <f>IF($X21&gt;0,(N21/$X21)*County_Flow!$BS24,0)</f>
        <v>8832.0938695738496</v>
      </c>
      <c r="O48" s="77">
        <f>IF($X21&gt;0,(O21/$X21)*County_Flow!$BS24,0)</f>
        <v>3158.12381652356</v>
      </c>
      <c r="P48" s="77">
        <f>IF($X21&gt;0,(P21/$X21)*County_Flow!$BS24,0)</f>
        <v>4.4183252543447304</v>
      </c>
      <c r="Q48" s="77">
        <f>IF($X21&gt;0,(Q21/$X21)*County_Flow!$BS24,0)</f>
        <v>57.415208499972721</v>
      </c>
      <c r="R48" s="77">
        <f>IF($X21&gt;0,(R21/$X21)*County_Flow!$BS24,0)</f>
        <v>268.75154275104143</v>
      </c>
      <c r="S48" s="77">
        <f>IF($X21&gt;0,(S21/$X21)*County_Flow!$BS24,0)</f>
        <v>2.5530293623133278</v>
      </c>
      <c r="T48" s="77">
        <f>IF($X21&gt;0,(T21/$X21)*County_Flow!$BS24,0)</f>
        <v>14569.441739420165</v>
      </c>
      <c r="U48" s="77">
        <f>IF($X21&gt;0,(U21/$X21)*County_Flow!$BS24,0)</f>
        <v>15.61153625634199</v>
      </c>
      <c r="V48" s="77">
        <f>IF($X21&gt;0,(V21/$X21)*County_Flow!$BS24,0)</f>
        <v>3947.1911054616371</v>
      </c>
      <c r="W48" s="77">
        <f>IF($X21&gt;0,(W21/$X21)*County_Flow!$BS24,0)</f>
        <v>0</v>
      </c>
      <c r="X48" s="77">
        <f>IF($X21&gt;0,(X21/$X21)*County_Flow!$BS24,0)</f>
        <v>34612</v>
      </c>
    </row>
    <row r="49" spans="2:24" x14ac:dyDescent="0.25">
      <c r="B49" s="95">
        <v>19</v>
      </c>
      <c r="C49" s="77">
        <f>IF($X22&gt;0,(C22/$X22)*County_Flow!$BS25,0)</f>
        <v>364.18335333794596</v>
      </c>
      <c r="D49" s="77">
        <f>IF($X22&gt;0,(D22/$X22)*County_Flow!$BS25,0)</f>
        <v>324.70135131557055</v>
      </c>
      <c r="E49" s="77">
        <f>IF($X22&gt;0,(E22/$X22)*County_Flow!$BS25,0)</f>
        <v>259.26872622738148</v>
      </c>
      <c r="F49" s="77">
        <f>IF($X22&gt;0,(F22/$X22)*County_Flow!$BS25,0)</f>
        <v>231.5190202592521</v>
      </c>
      <c r="G49" s="77">
        <f>IF($X22&gt;0,(G22/$X22)*County_Flow!$BS25,0)</f>
        <v>82.627110885110284</v>
      </c>
      <c r="H49" s="77">
        <f>IF($X22&gt;0,(H22/$X22)*County_Flow!$BS25,0)</f>
        <v>483.98256305018072</v>
      </c>
      <c r="I49" s="77">
        <f>IF($X22&gt;0,(I22/$X22)*County_Flow!$BS25,0)</f>
        <v>304.75660887163411</v>
      </c>
      <c r="J49" s="77">
        <f>IF($X22&gt;0,(J22/$X22)*County_Flow!$BS25,0)</f>
        <v>65.853002063562329</v>
      </c>
      <c r="K49" s="77">
        <f>IF($X22&gt;0,(K22/$X22)*County_Flow!$BS25,0)</f>
        <v>729.03340475173184</v>
      </c>
      <c r="L49" s="77">
        <f>IF($X22&gt;0,(L22/$X22)*County_Flow!$BS25,0)</f>
        <v>53.760679145710768</v>
      </c>
      <c r="M49" s="77">
        <f>IF($X22&gt;0,(M22/$X22)*County_Flow!$BS25,0)</f>
        <v>5416.6670300597298</v>
      </c>
      <c r="N49" s="77">
        <f>IF($X22&gt;0,(N22/$X22)*County_Flow!$BS25,0)</f>
        <v>503.24535396267271</v>
      </c>
      <c r="O49" s="77">
        <f>IF($X22&gt;0,(O22/$X22)*County_Flow!$BS25,0)</f>
        <v>79.30299464335252</v>
      </c>
      <c r="P49" s="77">
        <f>IF($X22&gt;0,(P22/$X22)*County_Flow!$BS25,0)</f>
        <v>154.16620008116439</v>
      </c>
      <c r="Q49" s="77">
        <f>IF($X22&gt;0,(Q22/$X22)*County_Flow!$BS25,0)</f>
        <v>521.84841548048951</v>
      </c>
      <c r="R49" s="77">
        <f>IF($X22&gt;0,(R22/$X22)*County_Flow!$BS25,0)</f>
        <v>15.020842588814077</v>
      </c>
      <c r="S49" s="77">
        <f>IF($X22&gt;0,(S22/$X22)*County_Flow!$BS25,0)</f>
        <v>2302.2230559060076</v>
      </c>
      <c r="T49" s="77">
        <f>IF($X22&gt;0,(T22/$X22)*County_Flow!$BS25,0)</f>
        <v>13.021632670806408</v>
      </c>
      <c r="U49" s="77">
        <f>IF($X22&gt;0,(U22/$X22)*County_Flow!$BS25,0)</f>
        <v>24052.818654698884</v>
      </c>
      <c r="V49" s="77">
        <f>IF($X22&gt;0,(V22/$X22)*County_Flow!$BS25,0)</f>
        <v>0</v>
      </c>
      <c r="W49" s="77">
        <f>IF($X22&gt;0,(W22/$X22)*County_Flow!$BS25,0)</f>
        <v>0</v>
      </c>
      <c r="X49" s="77">
        <f>IF($X22&gt;0,(X22/$X22)*County_Flow!$BS25,0)</f>
        <v>35958</v>
      </c>
    </row>
    <row r="50" spans="2:24" x14ac:dyDescent="0.25">
      <c r="B50" s="95">
        <v>20</v>
      </c>
      <c r="C50" s="58">
        <f>IF($X23&gt;0,(C23/$X23)*County_Flow!$BS26,0)</f>
        <v>63.388953786617606</v>
      </c>
      <c r="D50" s="58">
        <f>IF($X23&gt;0,(D23/$X23)*County_Flow!$BS26,0)</f>
        <v>47.434057353265054</v>
      </c>
      <c r="E50" s="58">
        <f>IF($X23&gt;0,(E23/$X23)*County_Flow!$BS26,0)</f>
        <v>19.640223453239766</v>
      </c>
      <c r="F50" s="58">
        <f>IF($X23&gt;0,(F23/$X23)*County_Flow!$BS26,0)</f>
        <v>12.142979655233589</v>
      </c>
      <c r="G50" s="58">
        <f>IF($X23&gt;0,(G23/$X23)*County_Flow!$BS26,0)</f>
        <v>14.240041812109277</v>
      </c>
      <c r="H50" s="58">
        <f>IF($X23&gt;0,(H23/$X23)*County_Flow!$BS26,0)</f>
        <v>101.46719570083043</v>
      </c>
      <c r="I50" s="58">
        <f>IF($X23&gt;0,(I23/$X23)*County_Flow!$BS26,0)</f>
        <v>108.11295704126104</v>
      </c>
      <c r="J50" s="58">
        <f>IF($X23&gt;0,(J23/$X23)*County_Flow!$BS26,0)</f>
        <v>4.1401453596636619</v>
      </c>
      <c r="K50" s="58">
        <f>IF($X23&gt;0,(K23/$X23)*County_Flow!$BS26,0)</f>
        <v>42.676996726964084</v>
      </c>
      <c r="L50" s="58">
        <f>IF($X23&gt;0,(L23/$X23)*County_Flow!$BS26,0)</f>
        <v>18.059059213268995</v>
      </c>
      <c r="M50" s="58">
        <f>IF($X23&gt;0,(M23/$X23)*County_Flow!$BS26,0)</f>
        <v>37.307291067224241</v>
      </c>
      <c r="N50" s="58">
        <f>IF($X23&gt;0,(N23/$X23)*County_Flow!$BS26,0)</f>
        <v>1028.5744474385554</v>
      </c>
      <c r="O50" s="58">
        <f>IF($X23&gt;0,(O23/$X23)*County_Flow!$BS26,0)</f>
        <v>54.833800463232038</v>
      </c>
      <c r="P50" s="58">
        <f>IF($X23&gt;0,(P23/$X23)*County_Flow!$BS26,0)</f>
        <v>0</v>
      </c>
      <c r="Q50" s="58">
        <f>IF($X23&gt;0,(Q23/$X23)*County_Flow!$BS26,0)</f>
        <v>2.7418379379944788</v>
      </c>
      <c r="R50" s="58">
        <f>IF($X23&gt;0,(R23/$X23)*County_Flow!$BS26,0)</f>
        <v>39.416931720010808</v>
      </c>
      <c r="S50" s="58">
        <f>IF($X23&gt;0,(S23/$X23)*County_Flow!$BS26,0)</f>
        <v>1.3200066504376744</v>
      </c>
      <c r="T50" s="58">
        <f>IF($X23&gt;0,(T23/$X23)*County_Flow!$BS26,0)</f>
        <v>2531.7305138173247</v>
      </c>
      <c r="U50" s="58">
        <f>IF($X23&gt;0,(U23/$X23)*County_Flow!$BS26,0)</f>
        <v>0</v>
      </c>
      <c r="V50" s="58">
        <f>IF($X23&gt;0,(V23/$X23)*County_Flow!$BS26,0)</f>
        <v>21410.772560802769</v>
      </c>
      <c r="W50" s="58">
        <f>IF($X23&gt;0,(W23/$X23)*County_Flow!$BS26,0)</f>
        <v>0</v>
      </c>
      <c r="X50" s="77">
        <f>IF($X23&gt;0,(X23/$X23)*County_Flow!$BS26,0)</f>
        <v>25538</v>
      </c>
    </row>
    <row r="51" spans="2:24" x14ac:dyDescent="0.25">
      <c r="B51" s="101" t="s">
        <v>15</v>
      </c>
      <c r="C51" s="60">
        <f>IF($X24&gt;0,(C24/$X24)*County_Flow!$BS27,0)</f>
        <v>0</v>
      </c>
      <c r="D51" s="60">
        <f>IF($X24&gt;0,(D24/$X24)*County_Flow!$BS27,0)</f>
        <v>0</v>
      </c>
      <c r="E51" s="60">
        <f>IF($X24&gt;0,(E24/$X24)*County_Flow!$BS27,0)</f>
        <v>0</v>
      </c>
      <c r="F51" s="60">
        <f>IF($X24&gt;0,(F24/$X24)*County_Flow!$BS27,0)</f>
        <v>0</v>
      </c>
      <c r="G51" s="60">
        <f>IF($X24&gt;0,(G24/$X24)*County_Flow!$BS27,0)</f>
        <v>0</v>
      </c>
      <c r="H51" s="60">
        <f>IF($X24&gt;0,(H24/$X24)*County_Flow!$BS27,0)</f>
        <v>0</v>
      </c>
      <c r="I51" s="60">
        <f>IF($X24&gt;0,(I24/$X24)*County_Flow!$BS27,0)</f>
        <v>0</v>
      </c>
      <c r="J51" s="60">
        <f>IF($X24&gt;0,(J24/$X24)*County_Flow!$BS27,0)</f>
        <v>0</v>
      </c>
      <c r="K51" s="60">
        <f>IF($X24&gt;0,(K24/$X24)*County_Flow!$BS27,0)</f>
        <v>0</v>
      </c>
      <c r="L51" s="60">
        <f>IF($X24&gt;0,(L24/$X24)*County_Flow!$BS27,0)</f>
        <v>0</v>
      </c>
      <c r="M51" s="60">
        <f>IF($X24&gt;0,(M24/$X24)*County_Flow!$BS27,0)</f>
        <v>0</v>
      </c>
      <c r="N51" s="60">
        <f>IF($X24&gt;0,(N24/$X24)*County_Flow!$BS27,0)</f>
        <v>0</v>
      </c>
      <c r="O51" s="60">
        <f>IF($X24&gt;0,(O24/$X24)*County_Flow!$BS27,0)</f>
        <v>0</v>
      </c>
      <c r="P51" s="60">
        <f>IF($X24&gt;0,(P24/$X24)*County_Flow!$BS27,0)</f>
        <v>0</v>
      </c>
      <c r="Q51" s="60">
        <f>IF($X24&gt;0,(Q24/$X24)*County_Flow!$BS27,0)</f>
        <v>0</v>
      </c>
      <c r="R51" s="60">
        <f>IF($X24&gt;0,(R24/$X24)*County_Flow!$BS27,0)</f>
        <v>0</v>
      </c>
      <c r="S51" s="60">
        <f>IF($X24&gt;0,(S24/$X24)*County_Flow!$BS27,0)</f>
        <v>0</v>
      </c>
      <c r="T51" s="60">
        <f>IF($X24&gt;0,(T24/$X24)*County_Flow!$BS27,0)</f>
        <v>0</v>
      </c>
      <c r="U51" s="60">
        <f>IF($X24&gt;0,(U24/$X24)*County_Flow!$BS27,0)</f>
        <v>0</v>
      </c>
      <c r="V51" s="60">
        <f>IF($X24&gt;0,(V24/$X24)*County_Flow!$BS27,0)</f>
        <v>0</v>
      </c>
      <c r="W51" s="60">
        <f>IF($X24&gt;0,(W24/$X24)*County_Flow!$BS27,0)</f>
        <v>0</v>
      </c>
      <c r="X51" s="77">
        <f>IF($X24&gt;0,(X24/$X24)*County_Flow!$BS27,0)</f>
        <v>0</v>
      </c>
    </row>
    <row ht="15.75" r="52" spans="2:24" thickBot="1" x14ac:dyDescent="0.3">
      <c r="B52" s="1" t="s">
        <v>3</v>
      </c>
      <c r="C52" s="107">
        <f>IF($X25&gt;0,(C25/$X25)*County_Flow!$BS28,0)</f>
        <v>24843.661500699181</v>
      </c>
      <c r="D52" s="107">
        <f>IF($X25&gt;0,(D25/$X25)*County_Flow!$BS28,0)</f>
        <v>25864.739418215606</v>
      </c>
      <c r="E52" s="107">
        <f>IF($X25&gt;0,(E25/$X25)*County_Flow!$BS28,0)</f>
        <v>27324.569746504709</v>
      </c>
      <c r="F52" s="107">
        <f>IF($X25&gt;0,(F25/$X25)*County_Flow!$BS28,0)</f>
        <v>15375.66186579631</v>
      </c>
      <c r="G52" s="107">
        <f>IF($X25&gt;0,(G25/$X25)*County_Flow!$BS28,0)</f>
        <v>14331.560781084017</v>
      </c>
      <c r="H52" s="107">
        <f>IF($X25&gt;0,(H25/$X25)*County_Flow!$BS28,0)</f>
        <v>44297.739862857299</v>
      </c>
      <c r="I52" s="107">
        <f>IF($X25&gt;0,(I25/$X25)*County_Flow!$BS28,0)</f>
        <v>77640.904203110811</v>
      </c>
      <c r="J52" s="107">
        <f>IF($X25&gt;0,(J25/$X25)*County_Flow!$BS28,0)</f>
        <v>3828.2786322230609</v>
      </c>
      <c r="K52" s="107">
        <f>IF($X25&gt;0,(K25/$X25)*County_Flow!$BS28,0)</f>
        <v>48019.217578948337</v>
      </c>
      <c r="L52" s="107">
        <f>IF($X25&gt;0,(L25/$X25)*County_Flow!$BS28,0)</f>
        <v>18353.198313887569</v>
      </c>
      <c r="M52" s="107">
        <f>IF($X25&gt;0,(M25/$X25)*County_Flow!$BS28,0)</f>
        <v>45168.776838876707</v>
      </c>
      <c r="N52" s="107">
        <f>IF($X25&gt;0,(N25/$X25)*County_Flow!$BS28,0)</f>
        <v>114617.77838416446</v>
      </c>
      <c r="O52" s="107">
        <f>IF($X25&gt;0,(O25/$X25)*County_Flow!$BS28,0)</f>
        <v>74895.446962256799</v>
      </c>
      <c r="P52" s="107">
        <f>IF($X25&gt;0,(P25/$X25)*County_Flow!$BS28,0)</f>
        <v>16971.995301680625</v>
      </c>
      <c r="Q52" s="107">
        <f>IF($X25&gt;0,(Q25/$X25)*County_Flow!$BS28,0)</f>
        <v>27362.859869233089</v>
      </c>
      <c r="R52" s="107">
        <f>IF($X25&gt;0,(R25/$X25)*County_Flow!$BS28,0)</f>
        <v>7645.9460753926933</v>
      </c>
      <c r="S52" s="107">
        <f>IF($X25&gt;0,(S25/$X25)*County_Flow!$BS28,0)</f>
        <v>12621.133611787647</v>
      </c>
      <c r="T52" s="107">
        <f>IF($X25&gt;0,(T25/$X25)*County_Flow!$BS28,0)</f>
        <v>21058.629475995549</v>
      </c>
      <c r="U52" s="107">
        <f>IF($X25&gt;0,(U25/$X25)*County_Flow!$BS28,0)</f>
        <v>28226.454567200042</v>
      </c>
      <c r="V52" s="107">
        <f>IF($X25&gt;0,(V25/$X25)*County_Flow!$BS28,0)</f>
        <v>25351.447010085572</v>
      </c>
      <c r="W52" s="107">
        <f>IF($X25&gt;0,(W25/$X25)*County_Flow!$BS28,0)</f>
        <v>0</v>
      </c>
      <c r="X52" s="107">
        <f>IF($X25&gt;0,(X25/$X25)*County_Flow!$BS28,0)</f>
        <v>673800</v>
      </c>
    </row>
    <row r="53" spans="2:24" x14ac:dyDescent="0.25"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</row>
    <row r="54" spans="2:24" x14ac:dyDescent="0.25"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</row>
    <row r="55" spans="2:24" x14ac:dyDescent="0.25">
      <c r="B55" s="95"/>
      <c r="C55" s="95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</row>
    <row ht="15.75" r="56" spans="2:24" thickBot="1" x14ac:dyDescent="0.3">
      <c r="B56" s="4" t="s">
        <v>359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7"/>
      <c r="Q56" s="7"/>
      <c r="R56" s="7"/>
      <c r="S56" s="7"/>
      <c r="T56" s="7"/>
      <c r="U56" s="7"/>
      <c r="V56" s="7"/>
      <c r="W56" s="7"/>
      <c r="X56" s="7"/>
    </row>
    <row r="57" spans="2:24" x14ac:dyDescent="0.25">
      <c r="B57" s="2" t="s">
        <v>14</v>
      </c>
      <c r="C57" s="2">
        <v>1</v>
      </c>
      <c r="D57" s="2">
        <v>2</v>
      </c>
      <c r="E57" s="2">
        <v>3</v>
      </c>
      <c r="F57" s="2">
        <v>4</v>
      </c>
      <c r="G57" s="2">
        <v>5</v>
      </c>
      <c r="H57" s="2">
        <v>6</v>
      </c>
      <c r="I57" s="2">
        <v>7</v>
      </c>
      <c r="J57" s="2">
        <v>8</v>
      </c>
      <c r="K57" s="2">
        <v>9</v>
      </c>
      <c r="L57" s="2">
        <v>10</v>
      </c>
      <c r="M57" s="2">
        <v>11</v>
      </c>
      <c r="N57" s="2">
        <v>12</v>
      </c>
      <c r="O57" s="2">
        <v>13</v>
      </c>
      <c r="P57" s="2">
        <v>14</v>
      </c>
      <c r="Q57" s="2">
        <v>15</v>
      </c>
      <c r="R57" s="2">
        <v>16</v>
      </c>
      <c r="S57" s="2">
        <v>17</v>
      </c>
      <c r="T57" s="2">
        <v>18</v>
      </c>
      <c r="U57" s="2">
        <v>19</v>
      </c>
      <c r="V57" s="2">
        <v>20</v>
      </c>
      <c r="W57" s="3" t="s">
        <v>15</v>
      </c>
      <c r="X57" s="3" t="s">
        <v>3</v>
      </c>
    </row>
    <row r="58" spans="2:24" x14ac:dyDescent="0.25">
      <c r="B58" s="31">
        <v>1</v>
      </c>
      <c r="C58" s="103">
        <f>IF($X$52&gt;0,C31/$X$52,0)</f>
        <v>1.9936296619684716E-3</v>
      </c>
      <c r="D58" s="103">
        <f ref="D58:X58" si="2" t="shared">IF($X$52&gt;0,D31/$X$52,0)</f>
        <v>3.0255355802435345E-4</v>
      </c>
      <c r="E58" s="103">
        <f si="2" t="shared"/>
        <v>7.269562794180105E-4</v>
      </c>
      <c r="F58" s="103">
        <f si="2" t="shared"/>
        <v>3.3380583827123406E-4</v>
      </c>
      <c r="G58" s="103">
        <f si="2" t="shared"/>
        <v>3.1173265219161755E-4</v>
      </c>
      <c r="H58" s="103">
        <f si="2" t="shared"/>
        <v>7.3951195987095788E-4</v>
      </c>
      <c r="I58" s="103">
        <f si="2" t="shared"/>
        <v>5.3063067585197772E-4</v>
      </c>
      <c r="J58" s="103">
        <f si="2" t="shared"/>
        <v>3.8916212841590833E-5</v>
      </c>
      <c r="K58" s="103">
        <f si="2" t="shared"/>
        <v>3.9451103888293491E-4</v>
      </c>
      <c r="L58" s="103">
        <f si="2" t="shared"/>
        <v>2.8032061175845924E-4</v>
      </c>
      <c r="M58" s="103">
        <f si="2" t="shared"/>
        <v>3.7672890884935813E-4</v>
      </c>
      <c r="N58" s="103">
        <f si="2" t="shared"/>
        <v>6.9475011877342854E-4</v>
      </c>
      <c r="O58" s="103">
        <f si="2" t="shared"/>
        <v>1.4942196705345281E-4</v>
      </c>
      <c r="P58" s="103">
        <f si="2" t="shared"/>
        <v>5.0611991459695587E-5</v>
      </c>
      <c r="Q58" s="103">
        <f si="2" t="shared"/>
        <v>8.8390430951745588E-5</v>
      </c>
      <c r="R58" s="103">
        <f si="2" t="shared"/>
        <v>1.1002200163236411E-4</v>
      </c>
      <c r="S58" s="103">
        <f si="2" t="shared"/>
        <v>4.8182893850896044E-5</v>
      </c>
      <c r="T58" s="103">
        <f si="2" t="shared"/>
        <v>7.7165046080304676E-5</v>
      </c>
      <c r="U58" s="103">
        <f si="2" t="shared"/>
        <v>8.5058725044401211E-5</v>
      </c>
      <c r="V58" s="103">
        <f si="2" t="shared"/>
        <v>1.7945375577373616E-5</v>
      </c>
      <c r="W58" s="103">
        <f si="2" t="shared"/>
        <v>0</v>
      </c>
      <c r="X58" s="103">
        <f si="2" t="shared"/>
        <v>7.3508459483526273E-3</v>
      </c>
    </row>
    <row r="59" spans="2:24" x14ac:dyDescent="0.25">
      <c r="B59" s="95">
        <v>2</v>
      </c>
      <c r="C59" s="104">
        <f ref="C59:X59" si="3" t="shared">IF($X$52&gt;0,C32/$X$52,0)</f>
        <v>8.4269729173033173E-4</v>
      </c>
      <c r="D59" s="104">
        <f si="3" t="shared"/>
        <v>6.4541068626816625E-3</v>
      </c>
      <c r="E59" s="104">
        <f si="3" t="shared"/>
        <v>1.3461682288884393E-3</v>
      </c>
      <c r="F59" s="104">
        <f si="3" t="shared"/>
        <v>4.1888487701532691E-4</v>
      </c>
      <c r="G59" s="104">
        <f si="3" t="shared"/>
        <v>3.6891605194239928E-4</v>
      </c>
      <c r="H59" s="104">
        <f si="3" t="shared"/>
        <v>1.5231452063159197E-3</v>
      </c>
      <c r="I59" s="104">
        <f si="3" t="shared"/>
        <v>2.5545031184711423E-3</v>
      </c>
      <c r="J59" s="104">
        <f si="3" t="shared"/>
        <v>1.6294585976864978E-4</v>
      </c>
      <c r="K59" s="104">
        <f si="3" t="shared"/>
        <v>2.6613421802463249E-3</v>
      </c>
      <c r="L59" s="104">
        <f si="3" t="shared"/>
        <v>5.0450182533957313E-4</v>
      </c>
      <c r="M59" s="104">
        <f si="3" t="shared"/>
        <v>1.0102459783990271E-3</v>
      </c>
      <c r="N59" s="104">
        <f si="3" t="shared"/>
        <v>2.3135230086808729E-3</v>
      </c>
      <c r="O59" s="104">
        <f si="3" t="shared"/>
        <v>5.23452129527927E-4</v>
      </c>
      <c r="P59" s="104">
        <f si="3" t="shared"/>
        <v>1.3512598747842151E-4</v>
      </c>
      <c r="Q59" s="104">
        <f si="3" t="shared"/>
        <v>3.5818172177275387E-4</v>
      </c>
      <c r="R59" s="104">
        <f si="3" t="shared"/>
        <v>1.3419038317410344E-4</v>
      </c>
      <c r="S59" s="104">
        <f si="3" t="shared"/>
        <v>1.9075161016521376E-4</v>
      </c>
      <c r="T59" s="104">
        <f si="3" t="shared"/>
        <v>2.4533435332575688E-4</v>
      </c>
      <c r="U59" s="104">
        <f si="3" t="shared"/>
        <v>2.1022372008989426E-4</v>
      </c>
      <c r="V59" s="104">
        <f si="3" t="shared"/>
        <v>4.0869133036124032E-5</v>
      </c>
      <c r="W59" s="104">
        <f si="3" t="shared"/>
        <v>0</v>
      </c>
      <c r="X59" s="104">
        <f si="3" t="shared"/>
        <v>2.1999109528049867E-2</v>
      </c>
    </row>
    <row r="60" spans="2:24" x14ac:dyDescent="0.25">
      <c r="B60" s="95">
        <v>3</v>
      </c>
      <c r="C60" s="104">
        <f ref="C60:X60" si="4" t="shared">IF($X$52&gt;0,C33/$X$52,0)</f>
        <v>3.7120160232449123E-3</v>
      </c>
      <c r="D60" s="104">
        <f si="4" t="shared"/>
        <v>2.3554529235688348E-3</v>
      </c>
      <c r="E60" s="104">
        <f si="4" t="shared"/>
        <v>1.5535520442674365E-2</v>
      </c>
      <c r="F60" s="104">
        <f si="4" t="shared"/>
        <v>2.5690194277285224E-3</v>
      </c>
      <c r="G60" s="104">
        <f si="4" t="shared"/>
        <v>1.2169459204503879E-3</v>
      </c>
      <c r="H60" s="104">
        <f si="4" t="shared"/>
        <v>2.6511286504345768E-3</v>
      </c>
      <c r="I60" s="104">
        <f si="4" t="shared"/>
        <v>1.8066467700199769E-3</v>
      </c>
      <c r="J60" s="104">
        <f si="4" t="shared"/>
        <v>6.4318091662615413E-4</v>
      </c>
      <c r="K60" s="104">
        <f si="4" t="shared"/>
        <v>2.3706402380976026E-3</v>
      </c>
      <c r="L60" s="104">
        <f si="4" t="shared"/>
        <v>4.5721971752410396E-4</v>
      </c>
      <c r="M60" s="104">
        <f si="4" t="shared"/>
        <v>4.4124687258752142E-3</v>
      </c>
      <c r="N60" s="104">
        <f si="4" t="shared"/>
        <v>2.16694310307316E-3</v>
      </c>
      <c r="O60" s="104">
        <f si="4" t="shared"/>
        <v>3.1410065933731336E-4</v>
      </c>
      <c r="P60" s="104">
        <f si="4" t="shared"/>
        <v>2.6581310261139854E-4</v>
      </c>
      <c r="Q60" s="104">
        <f si="4" t="shared"/>
        <v>3.0234131919014732E-4</v>
      </c>
      <c r="R60" s="104">
        <f si="4" t="shared"/>
        <v>1.3276010188232424E-4</v>
      </c>
      <c r="S60" s="104">
        <f si="4" t="shared"/>
        <v>2.5291679855537309E-4</v>
      </c>
      <c r="T60" s="104">
        <f si="4" t="shared"/>
        <v>7.4361884108854799E-5</v>
      </c>
      <c r="U60" s="104">
        <f si="4" t="shared"/>
        <v>3.11857228847878E-4</v>
      </c>
      <c r="V60" s="104">
        <f si="4" t="shared"/>
        <v>2.9253757635984795E-5</v>
      </c>
      <c r="W60" s="104">
        <f si="4" t="shared"/>
        <v>0</v>
      </c>
      <c r="X60" s="104">
        <f si="4" t="shared"/>
        <v>4.1580587711487087E-2</v>
      </c>
    </row>
    <row r="61" spans="2:24" x14ac:dyDescent="0.25">
      <c r="B61" s="95">
        <v>4</v>
      </c>
      <c r="C61" s="104">
        <f ref="C61:X61" si="5" t="shared">IF($X$52&gt;0,C34/$X$52,0)</f>
        <v>1.0267173575600524E-3</v>
      </c>
      <c r="D61" s="104">
        <f si="5" t="shared"/>
        <v>4.3745610860994804E-4</v>
      </c>
      <c r="E61" s="104">
        <f si="5" t="shared"/>
        <v>1.5174235914285808E-3</v>
      </c>
      <c r="F61" s="104">
        <f si="5" t="shared"/>
        <v>3.2110471644533106E-3</v>
      </c>
      <c r="G61" s="104">
        <f si="5" t="shared"/>
        <v>1.042577246578399E-3</v>
      </c>
      <c r="H61" s="104">
        <f si="5" t="shared"/>
        <v>1.1485411602970884E-3</v>
      </c>
      <c r="I61" s="104">
        <f si="5" t="shared"/>
        <v>7.5904344164002158E-4</v>
      </c>
      <c r="J61" s="104">
        <f si="5" t="shared"/>
        <v>3.6115440350148958E-4</v>
      </c>
      <c r="K61" s="104">
        <f si="5" t="shared"/>
        <v>6.8074612341222345E-4</v>
      </c>
      <c r="L61" s="104">
        <f si="5" t="shared"/>
        <v>5.2405606248933376E-4</v>
      </c>
      <c r="M61" s="104">
        <f si="5" t="shared"/>
        <v>9.0773864414443099E-4</v>
      </c>
      <c r="N61" s="104">
        <f si="5" t="shared"/>
        <v>1.1914122200377465E-3</v>
      </c>
      <c r="O61" s="104">
        <f si="5" t="shared"/>
        <v>1.708822549701446E-4</v>
      </c>
      <c r="P61" s="104">
        <f si="5" t="shared"/>
        <v>1.4206662010309571E-4</v>
      </c>
      <c r="Q61" s="104">
        <f si="5" t="shared"/>
        <v>8.3882646904480417E-5</v>
      </c>
      <c r="R61" s="104">
        <f si="5" t="shared"/>
        <v>1.252521895150553E-4</v>
      </c>
      <c r="S61" s="104">
        <f si="5" t="shared"/>
        <v>6.7916742813224591E-5</v>
      </c>
      <c r="T61" s="104">
        <f si="5" t="shared"/>
        <v>6.3836430429531688E-5</v>
      </c>
      <c r="U61" s="104">
        <f si="5" t="shared"/>
        <v>1.6012313866507408E-4</v>
      </c>
      <c r="V61" s="104">
        <f si="5" t="shared"/>
        <v>9.7678890748491083E-6</v>
      </c>
      <c r="W61" s="104">
        <f si="5" t="shared"/>
        <v>0</v>
      </c>
      <c r="X61" s="104">
        <f si="5" t="shared"/>
        <v>1.3631641436628079E-2</v>
      </c>
    </row>
    <row r="62" spans="2:24" x14ac:dyDescent="0.25">
      <c r="B62" s="95">
        <v>5</v>
      </c>
      <c r="C62" s="104">
        <f ref="C62:X62" si="6" t="shared">IF($X$52&gt;0,C35/$X$52,0)</f>
        <v>1.0023314962084701E-3</v>
      </c>
      <c r="D62" s="104">
        <f si="6" t="shared"/>
        <v>3.8738440379192519E-4</v>
      </c>
      <c r="E62" s="104">
        <f si="6" t="shared"/>
        <v>7.3433933358538423E-4</v>
      </c>
      <c r="F62" s="104">
        <f si="6" t="shared"/>
        <v>1.0708800005090964E-3</v>
      </c>
      <c r="G62" s="104">
        <f si="6" t="shared"/>
        <v>2.7245083226204768E-3</v>
      </c>
      <c r="H62" s="104">
        <f si="6" t="shared"/>
        <v>2.1485800145006301E-3</v>
      </c>
      <c r="I62" s="104">
        <f si="6" t="shared"/>
        <v>8.3121370947428772E-4</v>
      </c>
      <c r="J62" s="104">
        <f si="6" t="shared"/>
        <v>1.770295150661582E-4</v>
      </c>
      <c r="K62" s="104">
        <f si="6" t="shared"/>
        <v>4.7456569319818845E-4</v>
      </c>
      <c r="L62" s="104">
        <f si="6" t="shared"/>
        <v>1.5038363313040651E-3</v>
      </c>
      <c r="M62" s="104">
        <f si="6" t="shared"/>
        <v>4.5126316848157286E-4</v>
      </c>
      <c r="N62" s="104">
        <f si="6" t="shared"/>
        <v>1.1565225977780147E-3</v>
      </c>
      <c r="O62" s="104">
        <f si="6" t="shared"/>
        <v>1.6375332402099804E-4</v>
      </c>
      <c r="P62" s="104">
        <f si="6" t="shared"/>
        <v>4.422126278816644E-5</v>
      </c>
      <c r="Q62" s="104">
        <f si="6" t="shared"/>
        <v>7.0421668049407563E-5</v>
      </c>
      <c r="R62" s="104">
        <f si="6" t="shared"/>
        <v>2.0164657208175319E-4</v>
      </c>
      <c r="S62" s="104">
        <f si="6" t="shared"/>
        <v>5.1377612187676284E-5</v>
      </c>
      <c r="T62" s="104">
        <f si="6" t="shared"/>
        <v>3.0096755473342336E-5</v>
      </c>
      <c r="U62" s="104">
        <f si="6" t="shared"/>
        <v>5.7197853246786927E-5</v>
      </c>
      <c r="V62" s="104">
        <f si="6" t="shared"/>
        <v>1.3576581127810991E-5</v>
      </c>
      <c r="W62" s="104">
        <f si="6" t="shared"/>
        <v>0</v>
      </c>
      <c r="X62" s="104">
        <f si="6" t="shared"/>
        <v>1.3294746215494212E-2</v>
      </c>
    </row>
    <row r="63" spans="2:24" x14ac:dyDescent="0.25">
      <c r="B63" s="95">
        <v>6</v>
      </c>
      <c r="C63" s="104">
        <f ref="C63:X63" si="7" t="shared">IF($X$52&gt;0,C36/$X$52,0)</f>
        <v>2.1438669003902727E-3</v>
      </c>
      <c r="D63" s="104">
        <f si="7" t="shared"/>
        <v>1.5648497136275593E-3</v>
      </c>
      <c r="E63" s="104">
        <f si="7" t="shared"/>
        <v>1.5208790073754006E-3</v>
      </c>
      <c r="F63" s="104">
        <f si="7" t="shared"/>
        <v>1.1346544734273541E-3</v>
      </c>
      <c r="G63" s="104">
        <f si="7" t="shared"/>
        <v>2.0148174387190705E-3</v>
      </c>
      <c r="H63" s="104">
        <f si="7" t="shared"/>
        <v>1.2976915485102859E-2</v>
      </c>
      <c r="I63" s="104">
        <f si="7" t="shared"/>
        <v>2.572675617923828E-3</v>
      </c>
      <c r="J63" s="104">
        <f si="7" t="shared"/>
        <v>2.5163321261166999E-4</v>
      </c>
      <c r="K63" s="104">
        <f si="7" t="shared"/>
        <v>1.6716998912225268E-3</v>
      </c>
      <c r="L63" s="104">
        <f si="7" t="shared"/>
        <v>2.3728756703411172E-3</v>
      </c>
      <c r="M63" s="104">
        <f si="7" t="shared"/>
        <v>1.304000854600732E-3</v>
      </c>
      <c r="N63" s="104">
        <f si="7" t="shared"/>
        <v>5.9270756607608024E-3</v>
      </c>
      <c r="O63" s="104">
        <f si="7" t="shared"/>
        <v>6.3298981927679293E-4</v>
      </c>
      <c r="P63" s="104">
        <f si="7" t="shared"/>
        <v>2.80360627798334E-4</v>
      </c>
      <c r="Q63" s="104">
        <f si="7" t="shared"/>
        <v>3.4499897073456354E-4</v>
      </c>
      <c r="R63" s="104">
        <f si="7" t="shared"/>
        <v>6.6306430594085641E-4</v>
      </c>
      <c r="S63" s="104">
        <f si="7" t="shared"/>
        <v>2.5895091810504439E-4</v>
      </c>
      <c r="T63" s="104">
        <f si="7" t="shared"/>
        <v>3.0979957037217265E-4</v>
      </c>
      <c r="U63" s="104">
        <f si="7" t="shared"/>
        <v>3.231215883487528E-4</v>
      </c>
      <c r="V63" s="104">
        <f si="7" t="shared"/>
        <v>8.7849525323852281E-5</v>
      </c>
      <c r="W63" s="104">
        <f si="7" t="shared"/>
        <v>0</v>
      </c>
      <c r="X63" s="104">
        <f si="7" t="shared"/>
        <v>3.8357079252003559E-2</v>
      </c>
    </row>
    <row r="64" spans="2:24" x14ac:dyDescent="0.25">
      <c r="B64" s="95">
        <v>7</v>
      </c>
      <c r="C64" s="104">
        <f ref="C64:X64" si="8" t="shared">IF($X$52&gt;0,C37/$X$52,0)</f>
        <v>2.7743840014315909E-3</v>
      </c>
      <c r="D64" s="104">
        <f si="8" t="shared"/>
        <v>4.7377880638282488E-3</v>
      </c>
      <c r="E64" s="104">
        <f si="8" t="shared"/>
        <v>1.849371238500915E-3</v>
      </c>
      <c r="F64" s="104">
        <f si="8" t="shared"/>
        <v>1.3381105320787933E-3</v>
      </c>
      <c r="G64" s="104">
        <f si="8" t="shared"/>
        <v>1.4206107263922158E-3</v>
      </c>
      <c r="H64" s="104">
        <f si="8" t="shared"/>
        <v>4.5997294522467907E-3</v>
      </c>
      <c r="I64" s="104">
        <f si="8" t="shared"/>
        <v>6.0432388958907075E-2</v>
      </c>
      <c r="J64" s="104">
        <f si="8" t="shared"/>
        <v>3.2998992229477678E-4</v>
      </c>
      <c r="K64" s="104">
        <f si="8" t="shared"/>
        <v>7.1627533621074291E-3</v>
      </c>
      <c r="L64" s="104">
        <f si="8" t="shared"/>
        <v>8.8143368790395574E-4</v>
      </c>
      <c r="M64" s="104">
        <f si="8" t="shared"/>
        <v>1.7836270035804084E-3</v>
      </c>
      <c r="N64" s="104">
        <f si="8" t="shared"/>
        <v>1.4690828741733128E-2</v>
      </c>
      <c r="O64" s="104">
        <f si="8" t="shared"/>
        <v>1.2710889425413281E-2</v>
      </c>
      <c r="P64" s="104">
        <f si="8" t="shared"/>
        <v>2.8312949885145609E-4</v>
      </c>
      <c r="Q64" s="104">
        <f si="8" t="shared"/>
        <v>2.443377731414073E-3</v>
      </c>
      <c r="R64" s="104">
        <f si="8" t="shared"/>
        <v>1.9751876556488082E-4</v>
      </c>
      <c r="S64" s="104">
        <f si="8" t="shared"/>
        <v>2.3937330559319775E-4</v>
      </c>
      <c r="T64" s="104">
        <f si="8" t="shared"/>
        <v>1.4184350008756364E-3</v>
      </c>
      <c r="U64" s="104">
        <f si="8" t="shared"/>
        <v>3.7177756524521012E-4</v>
      </c>
      <c r="V64" s="104">
        <f si="8" t="shared"/>
        <v>1.6974570526222948E-4</v>
      </c>
      <c r="W64" s="104">
        <f si="8" t="shared"/>
        <v>0</v>
      </c>
      <c r="X64" s="104">
        <f si="8" t="shared"/>
        <v>0.11983526268922529</v>
      </c>
    </row>
    <row r="65" spans="2:24" x14ac:dyDescent="0.25">
      <c r="B65" s="95">
        <v>8</v>
      </c>
      <c r="C65" s="104">
        <f ref="C65:X65" si="9" t="shared">IF($X$52&gt;0,C38/$X$52,0)</f>
        <v>2.3030737012402709E-4</v>
      </c>
      <c r="D65" s="104">
        <f si="9" t="shared"/>
        <v>3.0430893032729533E-4</v>
      </c>
      <c r="E65" s="104">
        <f si="9" t="shared"/>
        <v>7.2014571785581705E-4</v>
      </c>
      <c r="F65" s="104">
        <f si="9" t="shared"/>
        <v>6.7543917117458222E-4</v>
      </c>
      <c r="G65" s="104">
        <f si="9" t="shared"/>
        <v>3.2849088211949694E-4</v>
      </c>
      <c r="H65" s="104">
        <f si="9" t="shared"/>
        <v>4.7106538490353835E-4</v>
      </c>
      <c r="I65" s="104">
        <f si="9" t="shared"/>
        <v>3.5427601636559247E-4</v>
      </c>
      <c r="J65" s="104">
        <f si="9" t="shared"/>
        <v>3.8158212197028163E-4</v>
      </c>
      <c r="K65" s="104">
        <f si="9" t="shared"/>
        <v>2.0004083903375208E-4</v>
      </c>
      <c r="L65" s="104">
        <f si="9" t="shared"/>
        <v>3.1257625904550592E-4</v>
      </c>
      <c r="M65" s="104">
        <f si="9" t="shared"/>
        <v>1.1754035938854181E-3</v>
      </c>
      <c r="N65" s="104">
        <f si="9" t="shared"/>
        <v>3.0078985624432196E-4</v>
      </c>
      <c r="O65" s="104">
        <f si="9" t="shared"/>
        <v>5.8736024324100861E-5</v>
      </c>
      <c r="P65" s="104">
        <f si="9" t="shared"/>
        <v>3.9447253289100399E-4</v>
      </c>
      <c r="Q65" s="104">
        <f si="9" t="shared"/>
        <v>9.7329353151137893E-5</v>
      </c>
      <c r="R65" s="104">
        <f si="9" t="shared"/>
        <v>2.7716247107754093E-5</v>
      </c>
      <c r="S65" s="104">
        <f si="9" t="shared"/>
        <v>1.2996527806123263E-4</v>
      </c>
      <c r="T65" s="104">
        <f si="9" t="shared"/>
        <v>3.4656281293463635E-5</v>
      </c>
      <c r="U65" s="104">
        <f si="9" t="shared"/>
        <v>9.2502385230960077E-5</v>
      </c>
      <c r="V65" s="104">
        <f si="9" t="shared"/>
        <v>7.3165622519525579E-6</v>
      </c>
      <c r="W65" s="104">
        <f si="9" t="shared"/>
        <v>0</v>
      </c>
      <c r="X65" s="104">
        <f si="9" t="shared"/>
        <v>6.297120807361235E-3</v>
      </c>
    </row>
    <row r="66" spans="2:24" x14ac:dyDescent="0.25">
      <c r="B66" s="95">
        <v>9</v>
      </c>
      <c r="C66" s="104">
        <f ref="C66:X66" si="10" t="shared">IF($X$52&gt;0,C39/$X$52,0)</f>
        <v>2.5182823061777079E-3</v>
      </c>
      <c r="D66" s="104">
        <f si="10" t="shared"/>
        <v>5.7462336176261879E-3</v>
      </c>
      <c r="E66" s="104">
        <f si="10" t="shared"/>
        <v>2.9709163992834493E-3</v>
      </c>
      <c r="F66" s="104">
        <f si="10" t="shared"/>
        <v>1.4128624379109846E-3</v>
      </c>
      <c r="G66" s="104">
        <f si="10" t="shared"/>
        <v>9.4875262171953119E-4</v>
      </c>
      <c r="H66" s="104">
        <f si="10" t="shared"/>
        <v>3.5669754554894469E-3</v>
      </c>
      <c r="I66" s="104">
        <f si="10" t="shared"/>
        <v>8.5859984042352157E-3</v>
      </c>
      <c r="J66" s="104">
        <f si="10" t="shared"/>
        <v>2.1932404209674698E-4</v>
      </c>
      <c r="K66" s="104">
        <f si="10" t="shared"/>
        <v>4.4157736187762961E-2</v>
      </c>
      <c r="L66" s="104">
        <f si="10" t="shared"/>
        <v>6.6558547148017717E-4</v>
      </c>
      <c r="M66" s="104">
        <f si="10" t="shared"/>
        <v>4.2732319613967519E-3</v>
      </c>
      <c r="N66" s="104">
        <f si="10" t="shared"/>
        <v>4.6345937190361225E-3</v>
      </c>
      <c r="O66" s="104">
        <f si="10" t="shared"/>
        <v>1.2985852505005516E-3</v>
      </c>
      <c r="P66" s="104">
        <f si="10" t="shared"/>
        <v>3.6605760624738788E-4</v>
      </c>
      <c r="Q66" s="104">
        <f si="10" t="shared"/>
        <v>5.2459976802029067E-3</v>
      </c>
      <c r="R66" s="104">
        <f si="10" t="shared"/>
        <v>1.4111113023632522E-4</v>
      </c>
      <c r="S66" s="104">
        <f si="10" t="shared"/>
        <v>2.8751848662535878E-4</v>
      </c>
      <c r="T66" s="104">
        <f si="10" t="shared"/>
        <v>2.4942710739086468E-4</v>
      </c>
      <c r="U66" s="104">
        <f si="10" t="shared"/>
        <v>1.0326057231682293E-3</v>
      </c>
      <c r="V66" s="104">
        <f si="10" t="shared"/>
        <v>7.6839001089553483E-5</v>
      </c>
      <c r="W66" s="104">
        <f si="10" t="shared"/>
        <v>0</v>
      </c>
      <c r="X66" s="104">
        <f si="10" t="shared"/>
        <v>8.8398634609676466E-2</v>
      </c>
    </row>
    <row r="67" spans="2:24" x14ac:dyDescent="0.25">
      <c r="B67" s="95">
        <v>10</v>
      </c>
      <c r="C67" s="104">
        <f ref="C67:X67" si="11" t="shared">IF($X$52&gt;0,C40/$X$52,0)</f>
        <v>1.8828293647896936E-3</v>
      </c>
      <c r="D67" s="104">
        <f si="11" t="shared"/>
        <v>1.2329355358653307E-3</v>
      </c>
      <c r="E67" s="104">
        <f si="11" t="shared"/>
        <v>6.0694228608729553E-4</v>
      </c>
      <c r="F67" s="104">
        <f si="11" t="shared"/>
        <v>1.2307073089046861E-3</v>
      </c>
      <c r="G67" s="104">
        <f si="11" t="shared"/>
        <v>3.2465587607413064E-3</v>
      </c>
      <c r="H67" s="104">
        <f si="11" t="shared"/>
        <v>5.6236551693118024E-3</v>
      </c>
      <c r="I67" s="104">
        <f si="11" t="shared"/>
        <v>1.1433240273636661E-3</v>
      </c>
      <c r="J67" s="104">
        <f si="11" t="shared"/>
        <v>4.1257190673816847E-4</v>
      </c>
      <c r="K67" s="104">
        <f si="11" t="shared"/>
        <v>7.2629827373877785E-4</v>
      </c>
      <c r="L67" s="104">
        <f si="11" t="shared"/>
        <v>1.1739347713333081E-2</v>
      </c>
      <c r="M67" s="104">
        <f si="11" t="shared"/>
        <v>4.9240590320492807E-4</v>
      </c>
      <c r="N67" s="104">
        <f si="11" t="shared"/>
        <v>5.2891306804919548E-3</v>
      </c>
      <c r="O67" s="104">
        <f si="11" t="shared"/>
        <v>1.8677467403491565E-4</v>
      </c>
      <c r="P67" s="104">
        <f si="11" t="shared"/>
        <v>1.8476647141725503E-4</v>
      </c>
      <c r="Q67" s="104">
        <f si="11" t="shared"/>
        <v>1.274291654945609E-4</v>
      </c>
      <c r="R67" s="104">
        <f si="11" t="shared"/>
        <v>2.8511877474631975E-3</v>
      </c>
      <c r="S67" s="104">
        <f si="11" t="shared"/>
        <v>5.4587244982130222E-5</v>
      </c>
      <c r="T67" s="104">
        <f si="11" t="shared"/>
        <v>1.3727998463231161E-4</v>
      </c>
      <c r="U67" s="104">
        <f si="11" t="shared"/>
        <v>7.734375478205269E-5</v>
      </c>
      <c r="V67" s="104">
        <f si="11" t="shared"/>
        <v>3.3532218964821755E-5</v>
      </c>
      <c r="W67" s="104">
        <f si="11" t="shared"/>
        <v>0</v>
      </c>
      <c r="X67" s="104">
        <f si="11" t="shared"/>
        <v>3.727960819234194E-2</v>
      </c>
    </row>
    <row r="68" spans="2:24" x14ac:dyDescent="0.25">
      <c r="B68" s="95">
        <v>11</v>
      </c>
      <c r="C68" s="104">
        <f ref="C68:X68" si="12" t="shared">IF($X$52&gt;0,C41/$X$52,0)</f>
        <v>2.2039219603431168E-3</v>
      </c>
      <c r="D68" s="104">
        <f si="12" t="shared"/>
        <v>2.0450824050803969E-3</v>
      </c>
      <c r="E68" s="104">
        <f si="12" t="shared"/>
        <v>4.9101848412582642E-3</v>
      </c>
      <c r="F68" s="104">
        <f si="12" t="shared"/>
        <v>1.7964387301161531E-3</v>
      </c>
      <c r="G68" s="104">
        <f si="12" t="shared"/>
        <v>8.502673530815998E-4</v>
      </c>
      <c r="H68" s="104">
        <f si="12" t="shared"/>
        <v>2.582806094877032E-3</v>
      </c>
      <c r="I68" s="104">
        <f si="12" t="shared"/>
        <v>2.0297841151768726E-3</v>
      </c>
      <c r="J68" s="104">
        <f si="12" t="shared"/>
        <v>1.2277240745017211E-3</v>
      </c>
      <c r="K68" s="104">
        <f si="12" t="shared"/>
        <v>4.0865659813932144E-3</v>
      </c>
      <c r="L68" s="104">
        <f si="12" t="shared"/>
        <v>4.3159625678998827E-4</v>
      </c>
      <c r="M68" s="104">
        <f si="12" t="shared"/>
        <v>4.0423171696316255E-2</v>
      </c>
      <c r="N68" s="104">
        <f si="12" t="shared"/>
        <v>1.9039408762517376E-3</v>
      </c>
      <c r="O68" s="104">
        <f si="12" t="shared"/>
        <v>2.7323729766696948E-4</v>
      </c>
      <c r="P68" s="104">
        <f si="12" t="shared"/>
        <v>1.320029367132617E-3</v>
      </c>
      <c r="Q68" s="104">
        <f si="12" t="shared"/>
        <v>7.0993370141275833E-4</v>
      </c>
      <c r="R68" s="104">
        <f si="12" t="shared"/>
        <v>8.2568905917010407E-5</v>
      </c>
      <c r="S68" s="104">
        <f si="12" t="shared"/>
        <v>3.4308749706307984E-3</v>
      </c>
      <c r="T68" s="104">
        <f si="12" t="shared"/>
        <v>1.0562179740856837E-4</v>
      </c>
      <c r="U68" s="104">
        <f si="12" t="shared"/>
        <v>6.9566665470297022E-3</v>
      </c>
      <c r="V68" s="104">
        <f si="12" t="shared"/>
        <v>6.3539691313647376E-5</v>
      </c>
      <c r="W68" s="104">
        <f si="12" t="shared"/>
        <v>0</v>
      </c>
      <c r="X68" s="104">
        <f si="12" t="shared"/>
        <v>7.7433956663698428E-2</v>
      </c>
    </row>
    <row r="69" spans="2:24" x14ac:dyDescent="0.25">
      <c r="B69" s="95">
        <v>12</v>
      </c>
      <c r="C69" s="104">
        <f ref="C69:X69" si="13" t="shared">IF($X$52&gt;0,C42/$X$52,0)</f>
        <v>3.2994362701424932E-3</v>
      </c>
      <c r="D69" s="104">
        <f si="13" t="shared"/>
        <v>3.8074918183863822E-3</v>
      </c>
      <c r="E69" s="104">
        <f si="13" t="shared"/>
        <v>1.9546735829944176E-3</v>
      </c>
      <c r="F69" s="104">
        <f si="13" t="shared"/>
        <v>1.8630430353877409E-3</v>
      </c>
      <c r="G69" s="104">
        <f si="13" t="shared"/>
        <v>1.6710268934354944E-3</v>
      </c>
      <c r="H69" s="104">
        <f si="13" t="shared"/>
        <v>9.6068213660843935E-3</v>
      </c>
      <c r="I69" s="104">
        <f si="13" t="shared"/>
        <v>1.2939050758208451E-2</v>
      </c>
      <c r="J69" s="104">
        <f si="13" t="shared"/>
        <v>2.5749920915065947E-4</v>
      </c>
      <c r="K69" s="104">
        <f si="13" t="shared"/>
        <v>3.4573373510303276E-3</v>
      </c>
      <c r="L69" s="104">
        <f si="13" t="shared"/>
        <v>3.5531024038837318E-3</v>
      </c>
      <c r="M69" s="104">
        <f si="13" t="shared"/>
        <v>1.505943446815124E-3</v>
      </c>
      <c r="N69" s="104">
        <f si="13" t="shared"/>
        <v>9.7879512459672066E-2</v>
      </c>
      <c r="O69" s="104">
        <f si="13" t="shared"/>
        <v>3.562172285226125E-3</v>
      </c>
      <c r="P69" s="104">
        <f si="13" t="shared"/>
        <v>3.2609133358607644E-4</v>
      </c>
      <c r="Q69" s="104">
        <f si="13" t="shared"/>
        <v>5.1638260413772576E-4</v>
      </c>
      <c r="R69" s="104">
        <f si="13" t="shared"/>
        <v>2.2278934154048666E-3</v>
      </c>
      <c r="S69" s="104">
        <f si="13" t="shared"/>
        <v>1.7778960859311899E-4</v>
      </c>
      <c r="T69" s="104">
        <f si="13" t="shared"/>
        <v>7.1319191119546361E-3</v>
      </c>
      <c r="U69" s="104">
        <f si="13" t="shared"/>
        <v>5.4322063242371883E-4</v>
      </c>
      <c r="V69" s="104">
        <f si="13" t="shared"/>
        <v>1.3910082638831419E-3</v>
      </c>
      <c r="W69" s="104">
        <f si="13" t="shared"/>
        <v>0</v>
      </c>
      <c r="X69" s="104">
        <f si="13" t="shared"/>
        <v>0.1576714158504007</v>
      </c>
    </row>
    <row r="70" spans="2:24" x14ac:dyDescent="0.25">
      <c r="B70" s="95">
        <v>13</v>
      </c>
      <c r="C70" s="104">
        <f ref="C70:X70" si="14" t="shared">IF($X$52&gt;0,C43/$X$52,0)</f>
        <v>7.3605198551858464E-4</v>
      </c>
      <c r="D70" s="104">
        <f si="14" t="shared"/>
        <v>9.112943895710848E-4</v>
      </c>
      <c r="E70" s="104">
        <f si="14" t="shared"/>
        <v>3.0660046444754913E-4</v>
      </c>
      <c r="F70" s="104">
        <f si="14" t="shared"/>
        <v>2.9582931018875793E-4</v>
      </c>
      <c r="G70" s="104">
        <f si="14" t="shared"/>
        <v>2.6501909597900818E-4</v>
      </c>
      <c r="H70" s="104">
        <f si="14" t="shared"/>
        <v>1.0908331523883583E-3</v>
      </c>
      <c r="I70" s="104">
        <f si="14" t="shared"/>
        <v>1.2416740602766244E-2</v>
      </c>
      <c r="J70" s="104">
        <f si="14" t="shared"/>
        <v>5.3084501659416375E-5</v>
      </c>
      <c r="K70" s="104">
        <f si="14" t="shared"/>
        <v>9.8854671648300322E-4</v>
      </c>
      <c r="L70" s="104">
        <f si="14" t="shared"/>
        <v>1.3709010158855669E-4</v>
      </c>
      <c r="M70" s="104">
        <f si="14" t="shared"/>
        <v>2.3073791394595183E-4</v>
      </c>
      <c r="N70" s="104">
        <f si="14" t="shared"/>
        <v>3.8594836020551353E-3</v>
      </c>
      <c r="O70" s="104">
        <f si="14" t="shared"/>
        <v>8.4345646746376388E-2</v>
      </c>
      <c r="P70" s="104">
        <f si="14" t="shared"/>
        <v>7.2401178561575489E-6</v>
      </c>
      <c r="Q70" s="104">
        <f si="14" t="shared"/>
        <v>2.2768158487506121E-3</v>
      </c>
      <c r="R70" s="104">
        <f si="14" t="shared"/>
        <v>3.5991662607198718E-5</v>
      </c>
      <c r="S70" s="104">
        <f si="14" t="shared"/>
        <v>2.9091562065049366E-5</v>
      </c>
      <c r="T70" s="104">
        <f si="14" t="shared"/>
        <v>2.7725693942772483E-3</v>
      </c>
      <c r="U70" s="104">
        <f si="14" t="shared"/>
        <v>1.0336481098416809E-4</v>
      </c>
      <c r="V70" s="104">
        <f si="14" t="shared"/>
        <v>8.0384167716229124E-5</v>
      </c>
      <c r="W70" s="104">
        <f si="14" t="shared"/>
        <v>0</v>
      </c>
      <c r="X70" s="104">
        <f si="14" t="shared"/>
        <v>0.11094241614722469</v>
      </c>
    </row>
    <row r="71" spans="2:24" x14ac:dyDescent="0.25">
      <c r="B71" s="95">
        <v>14</v>
      </c>
      <c r="C71" s="104">
        <f ref="C71:X71" si="15" t="shared">IF($X$52&gt;0,C44/$X$52,0)</f>
        <v>3.0745001623773633E-4</v>
      </c>
      <c r="D71" s="104">
        <f si="15" t="shared"/>
        <v>2.8480060251724517E-4</v>
      </c>
      <c r="E71" s="104">
        <f si="15" t="shared"/>
        <v>3.2009548235543083E-4</v>
      </c>
      <c r="F71" s="104">
        <f si="15" t="shared"/>
        <v>2.8176433266717787E-4</v>
      </c>
      <c r="G71" s="104">
        <f si="15" t="shared"/>
        <v>9.4162340644366417E-5</v>
      </c>
      <c r="H71" s="104">
        <f si="15" t="shared"/>
        <v>5.7299506204570633E-4</v>
      </c>
      <c r="I71" s="104">
        <f si="15" t="shared"/>
        <v>3.5361445513997213E-4</v>
      </c>
      <c r="J71" s="104">
        <f si="15" t="shared"/>
        <v>4.5212398784002611E-4</v>
      </c>
      <c r="K71" s="104">
        <f si="15" t="shared"/>
        <v>3.5709069253082361E-4</v>
      </c>
      <c r="L71" s="104">
        <f si="15" t="shared"/>
        <v>1.5945495195749304E-4</v>
      </c>
      <c r="M71" s="104">
        <f si="15" t="shared"/>
        <v>1.4390138945379819E-3</v>
      </c>
      <c r="N71" s="104">
        <f si="15" t="shared"/>
        <v>4.2824395524946181E-4</v>
      </c>
      <c r="O71" s="104">
        <f si="15" t="shared"/>
        <v>9.7448853266642339E-6</v>
      </c>
      <c r="P71" s="104">
        <f si="15" t="shared"/>
        <v>2.3833339583355713E-2</v>
      </c>
      <c r="Q71" s="104">
        <f si="15" t="shared"/>
        <v>3.6029820308647232E-5</v>
      </c>
      <c r="R71" s="104">
        <f si="15" t="shared"/>
        <v>1.8760190204076705E-5</v>
      </c>
      <c r="S71" s="104">
        <f si="15" t="shared"/>
        <v>1.3507075922784752E-3</v>
      </c>
      <c r="T71" s="104">
        <f si="15" t="shared"/>
        <v>4.8979770575510852E-6</v>
      </c>
      <c r="U71" s="104">
        <f si="15" t="shared"/>
        <v>2.1663626857359216E-4</v>
      </c>
      <c r="V71" s="104">
        <f si="15" t="shared"/>
        <v>0</v>
      </c>
      <c r="W71" s="104">
        <f si="15" t="shared"/>
        <v>0</v>
      </c>
      <c r="X71" s="104">
        <f si="15" t="shared"/>
        <v>3.052092609082814E-2</v>
      </c>
    </row>
    <row r="72" spans="2:24" x14ac:dyDescent="0.25">
      <c r="B72" s="95">
        <v>15</v>
      </c>
      <c r="C72" s="104">
        <f ref="C72:X72" si="16" t="shared">IF($X$52&gt;0,C45/$X$52,0)</f>
        <v>4.9809074027431274E-4</v>
      </c>
      <c r="D72" s="104">
        <f si="16" t="shared"/>
        <v>6.9038123527405848E-4</v>
      </c>
      <c r="E72" s="104">
        <f si="16" t="shared"/>
        <v>3.1562680940764974E-4</v>
      </c>
      <c r="F72" s="104">
        <f si="16" t="shared"/>
        <v>1.608143985878521E-4</v>
      </c>
      <c r="G72" s="104">
        <f si="16" t="shared"/>
        <v>1.2513863157036771E-4</v>
      </c>
      <c r="H72" s="104">
        <f si="16" t="shared"/>
        <v>6.5891989479740544E-4</v>
      </c>
      <c r="I72" s="104">
        <f si="16" t="shared"/>
        <v>2.655939598821285E-3</v>
      </c>
      <c r="J72" s="104">
        <f si="16" t="shared"/>
        <v>1.0242148943635217E-4</v>
      </c>
      <c r="K72" s="104">
        <f si="16" t="shared"/>
        <v>4.8695066158317762E-3</v>
      </c>
      <c r="L72" s="104">
        <f si="16" t="shared"/>
        <v>1.0415021005548858E-4</v>
      </c>
      <c r="M72" s="104">
        <f si="16" t="shared"/>
        <v>6.3794061614366585E-4</v>
      </c>
      <c r="N72" s="104">
        <f si="16" t="shared"/>
        <v>6.154213413859204E-4</v>
      </c>
      <c r="O72" s="104">
        <f si="16" t="shared"/>
        <v>2.6653011326894733E-3</v>
      </c>
      <c r="P72" s="104">
        <f si="16" t="shared"/>
        <v>3.2857009009892476E-5</v>
      </c>
      <c r="Q72" s="104">
        <f si="16" t="shared"/>
        <v>3.0148867121902994E-2</v>
      </c>
      <c r="R72" s="104">
        <f si="16" t="shared"/>
        <v>1.8866073606124144E-5</v>
      </c>
      <c r="S72" s="104">
        <f si="16" t="shared"/>
        <v>8.7260247087720891E-5</v>
      </c>
      <c r="T72" s="104">
        <f si="16" t="shared"/>
        <v>6.2590088751436602E-5</v>
      </c>
      <c r="U72" s="104">
        <f si="16" t="shared"/>
        <v>6.701124104106737E-4</v>
      </c>
      <c r="V72" s="104">
        <f si="16" t="shared"/>
        <v>4.4604079742491048E-6</v>
      </c>
      <c r="W72" s="104">
        <f si="16" t="shared"/>
        <v>0</v>
      </c>
      <c r="X72" s="104">
        <f si="16" t="shared"/>
        <v>4.5124666073018703E-2</v>
      </c>
    </row>
    <row r="73" spans="2:24" x14ac:dyDescent="0.25">
      <c r="B73" s="95">
        <v>16</v>
      </c>
      <c r="C73" s="104">
        <f ref="C73:X73" si="17" t="shared">IF($X$52&gt;0,C46/$X$52,0)</f>
        <v>1.0267918943350524E-3</v>
      </c>
      <c r="D73" s="104">
        <f si="17" t="shared"/>
        <v>4.0131509671160413E-4</v>
      </c>
      <c r="E73" s="104">
        <f si="17" t="shared"/>
        <v>2.240865803111749E-4</v>
      </c>
      <c r="F73" s="104">
        <f si="17" t="shared"/>
        <v>3.7353125676112855E-4</v>
      </c>
      <c r="G73" s="104">
        <f si="17" t="shared"/>
        <v>5.6101819196725225E-4</v>
      </c>
      <c r="H73" s="104">
        <f si="17" t="shared"/>
        <v>2.00835414167134E-3</v>
      </c>
      <c r="I73" s="104">
        <f si="17" t="shared"/>
        <v>3.1861792834095526E-4</v>
      </c>
      <c r="J73" s="104">
        <f si="17" t="shared"/>
        <v>4.4801596280264714E-5</v>
      </c>
      <c r="K73" s="104">
        <f si="17" t="shared"/>
        <v>2.0497552810026275E-4</v>
      </c>
      <c r="L73" s="104">
        <f si="17" t="shared"/>
        <v>3.8912837975245015E-3</v>
      </c>
      <c r="M73" s="104">
        <f si="17" t="shared"/>
        <v>1.29300743340851E-4</v>
      </c>
      <c r="N73" s="104">
        <f si="17" t="shared"/>
        <v>4.4533726168642096E-3</v>
      </c>
      <c r="O73" s="104">
        <f si="17" t="shared"/>
        <v>6.4675700945281242E-5</v>
      </c>
      <c r="P73" s="104">
        <f si="17" t="shared"/>
        <v>2.6814190966140709E-5</v>
      </c>
      <c r="Q73" s="104">
        <f si="17" t="shared"/>
        <v>2.9880044558779099E-5</v>
      </c>
      <c r="R73" s="104">
        <f si="17" t="shared"/>
        <v>6.1765707190924368E-3</v>
      </c>
      <c r="S73" s="104">
        <f si="17" t="shared"/>
        <v>1.3648339647297858E-6</v>
      </c>
      <c r="T73" s="104">
        <f si="17" t="shared"/>
        <v>4.3276218968850758E-4</v>
      </c>
      <c r="U73" s="104">
        <f si="17" t="shared"/>
        <v>3.1034001054700829E-5</v>
      </c>
      <c r="V73" s="104">
        <f si="17" t="shared"/>
        <v>1.0998619893073883E-4</v>
      </c>
      <c r="W73" s="104">
        <f si="17" t="shared"/>
        <v>0</v>
      </c>
      <c r="X73" s="104">
        <f si="17" t="shared"/>
        <v>2.0510537251409913E-2</v>
      </c>
    </row>
    <row r="74" spans="2:24" x14ac:dyDescent="0.25">
      <c r="B74" s="95">
        <v>17</v>
      </c>
      <c r="C74" s="104">
        <f ref="C74:X74" si="18" t="shared">IF($X$52&gt;0,C47/$X$52,0)</f>
        <v>3.5268827286073442E-4</v>
      </c>
      <c r="D74" s="104">
        <f si="18" t="shared"/>
        <v>4.7769783199132546E-4</v>
      </c>
      <c r="E74" s="104">
        <f si="18" t="shared"/>
        <v>3.4767375499035057E-4</v>
      </c>
      <c r="F74" s="104">
        <f si="18" t="shared"/>
        <v>1.6409205162285957E-4</v>
      </c>
      <c r="G74" s="104">
        <f si="18" t="shared"/>
        <v>1.2196965461780039E-4</v>
      </c>
      <c r="H74" s="104">
        <f si="18" t="shared"/>
        <v>6.394895016969157E-4</v>
      </c>
      <c r="I74" s="104">
        <f si="18" t="shared"/>
        <v>3.250730826972187E-4</v>
      </c>
      <c r="J74" s="104">
        <f si="18" t="shared"/>
        <v>1.7608498240150161E-4</v>
      </c>
      <c r="K74" s="104">
        <f si="18" t="shared"/>
        <v>3.2243646630335671E-4</v>
      </c>
      <c r="L74" s="104">
        <f si="18" t="shared"/>
        <v>5.872758354570161E-5</v>
      </c>
      <c r="M74" s="104">
        <f si="18" t="shared"/>
        <v>4.4462234886440749E-3</v>
      </c>
      <c r="N74" s="104">
        <f si="18" t="shared"/>
        <v>2.7642864770065407E-4</v>
      </c>
      <c r="O74" s="104">
        <f si="18" t="shared"/>
        <v>3.9642203759433796E-5</v>
      </c>
      <c r="P74" s="104">
        <f si="18" t="shared"/>
        <v>1.6022672891868024E-3</v>
      </c>
      <c r="Q74" s="104">
        <f si="18" t="shared"/>
        <v>1.1184812475782864E-4</v>
      </c>
      <c r="R74" s="104">
        <f si="18" t="shared"/>
        <v>1.7725774187314708E-6</v>
      </c>
      <c r="S74" s="104">
        <f si="18" t="shared"/>
        <v>1.3705593776341139E-2</v>
      </c>
      <c r="T74" s="104">
        <f si="18" t="shared"/>
        <v>2.1934828237638106E-6</v>
      </c>
      <c r="U74" s="104">
        <f si="18" t="shared"/>
        <v>3.960951917504292E-3</v>
      </c>
      <c r="V74" s="104">
        <f si="18" t="shared"/>
        <v>2.7938695391951341E-6</v>
      </c>
      <c r="W74" s="104">
        <f si="18" t="shared"/>
        <v>0</v>
      </c>
      <c r="X74" s="104">
        <f si="18" t="shared"/>
        <v>2.713564856040368E-2</v>
      </c>
    </row>
    <row r="75" spans="2:24" x14ac:dyDescent="0.25">
      <c r="B75" s="95">
        <v>18</v>
      </c>
      <c r="C75" s="104">
        <f ref="C75:X75" si="19" t="shared">IF($X$52&gt;0,C48/$X$52,0)</f>
        <v>6.2498416810921327E-4</v>
      </c>
      <c r="D75" s="104">
        <f si="19" t="shared"/>
        <v>6.9859902670969028E-4</v>
      </c>
      <c r="E75" s="104">
        <f si="19" t="shared"/>
        <v>1.169801221219556E-4</v>
      </c>
      <c r="F75" s="104">
        <f si="19" t="shared"/>
        <v>1.9813000129863647E-4</v>
      </c>
      <c r="G75" s="104">
        <f si="19" t="shared"/>
        <v>8.1441628591463882E-5</v>
      </c>
      <c r="H75" s="104">
        <f si="19" t="shared"/>
        <v>8.6052144745757029E-4</v>
      </c>
      <c r="I75" s="104">
        <f si="19" t="shared"/>
        <v>2.2872670426357881E-3</v>
      </c>
      <c r="J75" s="104">
        <f si="19" t="shared"/>
        <v>6.5568581981465169E-5</v>
      </c>
      <c r="K75" s="104">
        <f si="19" t="shared"/>
        <v>3.4417800963631605E-4</v>
      </c>
      <c r="L75" s="104">
        <f si="19" t="shared"/>
        <v>1.4476285429554912E-4</v>
      </c>
      <c r="M75" s="104">
        <f si="19" t="shared"/>
        <v>1.5251491605931049E-4</v>
      </c>
      <c r="N75" s="104">
        <f si="19" t="shared"/>
        <v>1.3107886419670303E-2</v>
      </c>
      <c r="O75" s="104">
        <f si="19" t="shared"/>
        <v>4.6870344561050162E-3</v>
      </c>
      <c r="P75" s="104">
        <f si="19" t="shared"/>
        <v>6.557324509267929E-6</v>
      </c>
      <c r="Q75" s="104">
        <f si="19" t="shared"/>
        <v>8.5211054467160458E-5</v>
      </c>
      <c r="R75" s="104">
        <f si="19" t="shared"/>
        <v>3.9885951729154266E-4</v>
      </c>
      <c r="S75" s="104">
        <f si="19" t="shared"/>
        <v>3.7890017250123593E-6</v>
      </c>
      <c r="T75" s="104">
        <f si="19" t="shared"/>
        <v>2.1622798663431531E-2</v>
      </c>
      <c r="U75" s="104">
        <f si="19" t="shared"/>
        <v>2.3169391891276328E-5</v>
      </c>
      <c r="V75" s="104">
        <f si="19" t="shared"/>
        <v>5.8581049353838488E-3</v>
      </c>
      <c r="W75" s="104">
        <f si="19" t="shared"/>
        <v>0</v>
      </c>
      <c r="X75" s="104">
        <f si="19" t="shared"/>
        <v>5.1368358563371921E-2</v>
      </c>
    </row>
    <row r="76" spans="2:24" x14ac:dyDescent="0.25">
      <c r="B76" s="95">
        <v>19</v>
      </c>
      <c r="C76" s="104">
        <f ref="C76:X76" si="20" t="shared">IF($X$52&gt;0,C49/$X$52,0)</f>
        <v>5.4049176808837333E-4</v>
      </c>
      <c r="D76" s="104">
        <f si="20" t="shared"/>
        <v>4.8189574252830298E-4</v>
      </c>
      <c r="E76" s="104">
        <f si="20" t="shared"/>
        <v>3.8478588042057207E-4</v>
      </c>
      <c r="F76" s="104">
        <f si="20" t="shared"/>
        <v>3.4360198910544985E-4</v>
      </c>
      <c r="G76" s="104">
        <f si="20" t="shared"/>
        <v>1.2262854093961158E-4</v>
      </c>
      <c r="H76" s="104">
        <f si="20" t="shared"/>
        <v>7.182881612498972E-4</v>
      </c>
      <c r="I76" s="104">
        <f si="20" t="shared"/>
        <v>4.5229535303002987E-4</v>
      </c>
      <c r="J76" s="104">
        <f si="20" t="shared"/>
        <v>9.773375194948401E-5</v>
      </c>
      <c r="K76" s="104">
        <f si="20" t="shared"/>
        <v>1.0819729960696524E-3</v>
      </c>
      <c r="L76" s="104">
        <f si="20" t="shared"/>
        <v>7.978729466564376E-5</v>
      </c>
      <c r="M76" s="104">
        <f si="20" t="shared"/>
        <v>8.0389834224691738E-3</v>
      </c>
      <c r="N76" s="104">
        <f si="20" t="shared"/>
        <v>7.4687645289800051E-4</v>
      </c>
      <c r="O76" s="104">
        <f si="20" t="shared"/>
        <v>1.1769515381916372E-4</v>
      </c>
      <c r="P76" s="104">
        <f si="20" t="shared"/>
        <v>2.2880112805159452E-4</v>
      </c>
      <c r="Q76" s="104">
        <f si="20" t="shared"/>
        <v>7.7448562701170893E-4</v>
      </c>
      <c r="R76" s="104">
        <f si="20" t="shared"/>
        <v>2.2292731654517773E-5</v>
      </c>
      <c r="S76" s="104">
        <f si="20" t="shared"/>
        <v>3.416775090391819E-3</v>
      </c>
      <c r="T76" s="104">
        <f si="20" t="shared"/>
        <v>1.9325664397160002E-5</v>
      </c>
      <c r="U76" s="104">
        <f si="20" t="shared"/>
        <v>3.5697267222764742E-2</v>
      </c>
      <c r="V76" s="104">
        <f si="20" t="shared"/>
        <v>0</v>
      </c>
      <c r="W76" s="104">
        <f si="20" t="shared"/>
        <v>0</v>
      </c>
      <c r="X76" s="104">
        <f si="20" t="shared"/>
        <v>5.3365983971504896E-2</v>
      </c>
    </row>
    <row r="77" spans="2:24" x14ac:dyDescent="0.25">
      <c r="B77" s="95">
        <v>20</v>
      </c>
      <c r="C77" s="104">
        <f ref="C77:X77" si="21" t="shared">IF($X$52&gt;0,C50/$X$52,0)</f>
        <v>9.4076808825493627E-5</v>
      </c>
      <c r="D77" s="104">
        <f si="21" t="shared"/>
        <v>7.0397829256849288E-5</v>
      </c>
      <c r="E77" s="104">
        <f si="21" t="shared"/>
        <v>2.9148446799109181E-5</v>
      </c>
      <c r="F77" s="104">
        <f si="21" t="shared"/>
        <v>1.8021637956713548E-5</v>
      </c>
      <c r="G77" s="104">
        <f si="21" t="shared"/>
        <v>2.1133929670687559E-5</v>
      </c>
      <c r="H77" s="104">
        <f si="21" t="shared"/>
        <v>1.5058948605050523E-4</v>
      </c>
      <c r="I77" s="104">
        <f si="21" t="shared"/>
        <v>1.6045259281873114E-4</v>
      </c>
      <c r="J77" s="104">
        <f si="21" t="shared"/>
        <v>6.1444721870935914E-6</v>
      </c>
      <c r="K77" s="104">
        <f si="21" t="shared"/>
        <v>6.3337780835506205E-5</v>
      </c>
      <c r="L77" s="104">
        <f si="21" t="shared"/>
        <v>2.6801809458695452E-5</v>
      </c>
      <c r="M77" s="104">
        <f si="21" t="shared"/>
        <v>5.5368493718053192E-5</v>
      </c>
      <c r="N77" s="104">
        <f si="21" t="shared"/>
        <v>1.5265278234469506E-3</v>
      </c>
      <c r="O77" s="104">
        <f si="21" t="shared"/>
        <v>8.1379935386215554E-5</v>
      </c>
      <c r="P77" s="104">
        <f si="21" t="shared"/>
        <v>0</v>
      </c>
      <c r="Q77" s="104">
        <f si="21" t="shared"/>
        <v>4.0692162926602539E-6</v>
      </c>
      <c r="R77" s="104">
        <f si="21" t="shared"/>
        <v>5.8499453428333051E-5</v>
      </c>
      <c r="S77" s="104">
        <f si="21" t="shared"/>
        <v>1.9590481603408643E-6</v>
      </c>
      <c r="T77" s="104">
        <f si="21" t="shared"/>
        <v>3.7573916797526336E-3</v>
      </c>
      <c r="U77" s="104">
        <f si="21" t="shared"/>
        <v>0</v>
      </c>
      <c r="V77" s="104">
        <f si="21" t="shared"/>
        <v>3.1776153993473978E-2</v>
      </c>
      <c r="W77" s="104">
        <f si="21" t="shared"/>
        <v>0</v>
      </c>
      <c r="X77" s="104">
        <f si="21" t="shared"/>
        <v>3.790145443751855E-2</v>
      </c>
    </row>
    <row r="78" spans="2:24" x14ac:dyDescent="0.25">
      <c r="B78" s="101" t="s">
        <v>15</v>
      </c>
      <c r="C78" s="105">
        <f ref="C78:X78" si="22" t="shared">IF($X$52&gt;0,C51/$X$52,0)</f>
        <v>0</v>
      </c>
      <c r="D78" s="105">
        <f si="22" t="shared"/>
        <v>0</v>
      </c>
      <c r="E78" s="105">
        <f si="22" t="shared"/>
        <v>0</v>
      </c>
      <c r="F78" s="105">
        <f si="22" t="shared"/>
        <v>0</v>
      </c>
      <c r="G78" s="105">
        <f si="22" t="shared"/>
        <v>0</v>
      </c>
      <c r="H78" s="105">
        <f si="22" t="shared"/>
        <v>0</v>
      </c>
      <c r="I78" s="105">
        <f si="22" t="shared"/>
        <v>0</v>
      </c>
      <c r="J78" s="105">
        <f si="22" t="shared"/>
        <v>0</v>
      </c>
      <c r="K78" s="105">
        <f si="22" t="shared"/>
        <v>0</v>
      </c>
      <c r="L78" s="105">
        <f si="22" t="shared"/>
        <v>0</v>
      </c>
      <c r="M78" s="105">
        <f si="22" t="shared"/>
        <v>0</v>
      </c>
      <c r="N78" s="105">
        <f si="22" t="shared"/>
        <v>0</v>
      </c>
      <c r="O78" s="105">
        <f si="22" t="shared"/>
        <v>0</v>
      </c>
      <c r="P78" s="105">
        <f si="22" t="shared"/>
        <v>0</v>
      </c>
      <c r="Q78" s="105">
        <f si="22" t="shared"/>
        <v>0</v>
      </c>
      <c r="R78" s="105">
        <f si="22" t="shared"/>
        <v>0</v>
      </c>
      <c r="S78" s="105">
        <f si="22" t="shared"/>
        <v>0</v>
      </c>
      <c r="T78" s="105">
        <f si="22" t="shared"/>
        <v>0</v>
      </c>
      <c r="U78" s="105">
        <f si="22" t="shared"/>
        <v>0</v>
      </c>
      <c r="V78" s="105">
        <f si="22" t="shared"/>
        <v>0</v>
      </c>
      <c r="W78" s="105">
        <f si="22" t="shared"/>
        <v>0</v>
      </c>
      <c r="X78" s="105">
        <f si="22" t="shared"/>
        <v>0</v>
      </c>
    </row>
    <row ht="15.75" r="79" spans="2:24" thickBot="1" x14ac:dyDescent="0.3">
      <c r="B79" s="1" t="s">
        <v>3</v>
      </c>
      <c r="C79" s="106">
        <f ref="C79:X79" si="23" t="shared">IF($X$52&gt;0,C52/$X$52,0)</f>
        <v>3.6870972841643188E-2</v>
      </c>
      <c r="D79" s="106">
        <f si="23" t="shared"/>
        <v>3.8386374915725149E-2</v>
      </c>
      <c r="E79" s="106">
        <f si="23" t="shared"/>
        <v>4.055293818121803E-2</v>
      </c>
      <c r="F79" s="106">
        <f si="23" t="shared"/>
        <v>2.2819326010383362E-2</v>
      </c>
      <c r="G79" s="106">
        <f si="23" t="shared"/>
        <v>2.1269754795316145E-2</v>
      </c>
      <c r="H79" s="106">
        <f si="23" t="shared"/>
        <v>6.5743158003646926E-2</v>
      </c>
      <c r="I79" s="106">
        <f si="23" t="shared"/>
        <v>0.11522841229312973</v>
      </c>
      <c r="J79" s="106">
        <f si="23" t="shared"/>
        <v>5.6816245654839137E-3</v>
      </c>
      <c r="K79" s="106">
        <f si="23" t="shared"/>
        <v>7.1266277202357287E-2</v>
      </c>
      <c r="L79" s="106">
        <f si="23" t="shared"/>
        <v>2.723834715625938E-2</v>
      </c>
      <c r="M79" s="106">
        <f si="23" t="shared"/>
        <v>6.7035881328104341E-2</v>
      </c>
      <c r="N79" s="106">
        <f si="23" t="shared"/>
        <v>0.1701065277295406</v>
      </c>
      <c r="O79" s="106">
        <f si="23" t="shared"/>
        <v>0.11115382452101039</v>
      </c>
      <c r="P79" s="106">
        <f si="23" t="shared"/>
        <v>2.5188476256575578E-2</v>
      </c>
      <c r="Q79" s="106">
        <f si="23" t="shared"/>
        <v>4.0609765314979354E-2</v>
      </c>
      <c r="R79" s="106">
        <f si="23" t="shared"/>
        <v>1.1347500853951756E-2</v>
      </c>
      <c r="S79" s="106">
        <f si="23" t="shared"/>
        <v>1.873127576697484E-2</v>
      </c>
      <c r="T79" s="106">
        <f si="23" t="shared"/>
        <v>3.1253531427716752E-2</v>
      </c>
      <c r="U79" s="106">
        <f si="23" t="shared"/>
        <v>4.1891443406352098E-2</v>
      </c>
      <c r="V79" s="106">
        <f si="23" t="shared"/>
        <v>3.7624587429631304E-2</v>
      </c>
      <c r="W79" s="106">
        <f si="23" t="shared"/>
        <v>0</v>
      </c>
      <c r="X79" s="106">
        <f si="23" t="shared"/>
        <v>1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T36"/>
  <sheetViews>
    <sheetView workbookViewId="0" zoomScaleNormal="100">
      <selection activeCell="L36" sqref="L36"/>
    </sheetView>
  </sheetViews>
  <sheetFormatPr defaultRowHeight="15" x14ac:dyDescent="0.25"/>
  <cols>
    <col min="2" max="2" bestFit="true" customWidth="true" width="11.140625" collapsed="true"/>
    <col min="3" max="4" bestFit="true" customWidth="true" width="9.28515625" collapsed="true"/>
    <col min="5" max="5" bestFit="true" customWidth="true" width="9.5703125" collapsed="true"/>
    <col min="9" max="9" bestFit="true" customWidth="true" width="11.140625" collapsed="true"/>
    <col min="14" max="15" bestFit="true" customWidth="true" width="9.5703125" collapsed="true"/>
  </cols>
  <sheetData>
    <row r="1" spans="1:19" x14ac:dyDescent="0.25">
      <c r="A1" t="s">
        <v>22</v>
      </c>
    </row>
    <row r="2" spans="1:19" x14ac:dyDescent="0.25">
      <c r="A2" t="s">
        <v>248</v>
      </c>
    </row>
    <row r="3" spans="1:19" x14ac:dyDescent="0.25">
      <c r="A3" t="s">
        <v>36</v>
      </c>
    </row>
    <row ht="15.75" r="5" spans="1:19" thickBot="1" x14ac:dyDescent="0.3">
      <c r="A5" s="4" t="s">
        <v>205</v>
      </c>
      <c r="B5" s="1"/>
      <c r="C5" s="1"/>
      <c r="D5" s="1"/>
      <c r="E5" s="1"/>
      <c r="H5" s="4" t="s">
        <v>37</v>
      </c>
      <c r="I5" s="1"/>
      <c r="J5" s="1"/>
      <c r="K5" s="1"/>
      <c r="L5" s="1"/>
      <c r="O5" s="4" t="s">
        <v>53</v>
      </c>
      <c r="P5" s="1"/>
      <c r="Q5" s="1"/>
      <c r="R5" s="1"/>
      <c r="S5" s="1"/>
    </row>
    <row r="6" spans="1:19" x14ac:dyDescent="0.25">
      <c r="A6" s="2"/>
      <c r="B6" s="3" t="s">
        <v>8</v>
      </c>
      <c r="C6" s="3" t="s">
        <v>9</v>
      </c>
      <c r="D6" s="3" t="s">
        <v>10</v>
      </c>
      <c r="E6" s="3" t="s">
        <v>3</v>
      </c>
      <c r="H6" s="2"/>
      <c r="I6" s="3" t="s">
        <v>8</v>
      </c>
      <c r="J6" s="3" t="s">
        <v>9</v>
      </c>
      <c r="K6" s="3" t="s">
        <v>10</v>
      </c>
      <c r="L6" s="3" t="s">
        <v>3</v>
      </c>
      <c r="O6" s="2"/>
      <c r="P6" s="3" t="s">
        <v>8</v>
      </c>
      <c r="Q6" s="3" t="s">
        <v>9</v>
      </c>
      <c r="R6" s="3" t="s">
        <v>10</v>
      </c>
      <c r="S6" s="3" t="s">
        <v>3</v>
      </c>
    </row>
    <row r="7" spans="1:19" x14ac:dyDescent="0.25">
      <c r="A7" s="31">
        <v>1</v>
      </c>
      <c r="B7" s="14" t="n">
        <v>4596.8904896273225</v>
      </c>
      <c r="C7" s="14" t="n">
        <v>3244.749286438054</v>
      </c>
      <c r="D7" s="14" t="n">
        <v>721.8925062503121</v>
      </c>
      <c r="E7" s="14">
        <f>SUM(B7:D7)</f>
        <v>8563.5322823156876</v>
      </c>
      <c r="F7" s="14"/>
      <c r="G7" s="14"/>
      <c r="H7">
        <f>A7</f>
        <v>1</v>
      </c>
      <c r="I7" s="14" t="n">
        <v>10738.0</v>
      </c>
      <c r="J7" s="14" t="n">
        <v>3805.0</v>
      </c>
      <c r="K7" s="14" t="n">
        <v>490.0</v>
      </c>
      <c r="L7" s="14">
        <f>SUM(I7:K7)</f>
        <v>15479</v>
      </c>
      <c r="O7">
        <f>H7</f>
        <v>1</v>
      </c>
      <c r="P7" s="14">
        <f>I7-B7</f>
        <v>6544.1095103726775</v>
      </c>
      <c r="Q7" s="14">
        <f ref="Q7:Q14" si="0" t="shared">J7-C7</f>
        <v>562.25071356194621</v>
      </c>
      <c r="R7" s="14">
        <f ref="R7:R14" si="1" t="shared">K7-D7</f>
        <v>-190.89250625031207</v>
      </c>
      <c r="S7" s="14">
        <f ref="S7:S14" si="2" t="shared">L7-E7</f>
        <v>6915.4677176843124</v>
      </c>
    </row>
    <row r="8" spans="1:19" x14ac:dyDescent="0.25">
      <c r="A8">
        <v>2</v>
      </c>
      <c r="B8" s="14" t="n">
        <v>207.2063917346362</v>
      </c>
      <c r="C8" s="14" t="n">
        <v>296.5709083509241</v>
      </c>
      <c r="D8" s="14" t="n">
        <v>147.397648280605</v>
      </c>
      <c r="E8" s="14">
        <f ref="E8:E11" si="3" t="shared">SUM(B8:D8)</f>
        <v>651.17494836616538</v>
      </c>
      <c r="F8" s="14"/>
      <c r="G8" s="14"/>
      <c r="H8">
        <f ref="H8:H13" si="4" t="shared">A8</f>
        <v>2</v>
      </c>
      <c r="I8" s="14" t="n">
        <v>702.0</v>
      </c>
      <c r="J8" s="14" t="n">
        <v>303.0</v>
      </c>
      <c r="K8" s="14" t="n">
        <v>8.0</v>
      </c>
      <c r="L8" s="14">
        <f ref="L8:L13" si="5" t="shared">SUM(I8:K8)</f>
        <v>1061</v>
      </c>
      <c r="O8">
        <f ref="O8:O13" si="6" t="shared">H8</f>
        <v>2</v>
      </c>
      <c r="P8" s="14">
        <f ref="P8:P13" si="7" t="shared">I8-B8</f>
        <v>551.79360826536379</v>
      </c>
      <c r="Q8" s="14">
        <f ref="Q8:Q13" si="8" t="shared">J8-C8</f>
        <v>-4.5709083509241282</v>
      </c>
      <c r="R8" s="14">
        <f ref="R8:R13" si="9" t="shared">K8-D8</f>
        <v>-137.39764828060501</v>
      </c>
      <c r="S8" s="14">
        <f ref="S8:S13" si="10" t="shared">L8-E8</f>
        <v>409.82505163383462</v>
      </c>
    </row>
    <row r="9" spans="1:19" x14ac:dyDescent="0.25">
      <c r="A9">
        <v>3</v>
      </c>
      <c r="B9" s="14" t="n">
        <v>100.6294432601223</v>
      </c>
      <c r="C9" s="14" t="n">
        <v>0.0</v>
      </c>
      <c r="D9" s="14" t="n">
        <v>0.0</v>
      </c>
      <c r="E9" s="14">
        <f si="3" t="shared"/>
        <v>100.6294432601223</v>
      </c>
      <c r="F9" s="14"/>
      <c r="G9" s="14"/>
      <c r="H9">
        <f si="4" t="shared"/>
        <v>3</v>
      </c>
      <c r="I9" s="14" t="n">
        <v>1046.0</v>
      </c>
      <c r="J9" s="14" t="n">
        <v>246.0</v>
      </c>
      <c r="K9" s="14" t="n">
        <v>38.0</v>
      </c>
      <c r="L9" s="14">
        <f si="5" t="shared"/>
        <v>1307</v>
      </c>
      <c r="O9">
        <f si="6" t="shared"/>
        <v>3</v>
      </c>
      <c r="P9" s="14">
        <f si="7" t="shared"/>
        <v>925.37055673987766</v>
      </c>
      <c r="Q9" s="14">
        <f si="8" t="shared"/>
        <v>233</v>
      </c>
      <c r="R9" s="14">
        <f si="9" t="shared"/>
        <v>48</v>
      </c>
      <c r="S9" s="14">
        <f si="10" t="shared"/>
        <v>1206.3705567398777</v>
      </c>
    </row>
    <row r="10" spans="1:19" x14ac:dyDescent="0.25">
      <c r="A10">
        <v>4</v>
      </c>
      <c r="B10" s="14" t="n">
        <v>1683.8634870068388</v>
      </c>
      <c r="C10" s="14" t="n">
        <v>1036.4869207980162</v>
      </c>
      <c r="D10" s="14" t="n">
        <v>89.9315872691863</v>
      </c>
      <c r="E10" s="14">
        <f si="3" t="shared"/>
        <v>2810.2819950740413</v>
      </c>
      <c r="F10" s="14"/>
      <c r="G10" s="14"/>
      <c r="H10">
        <f si="4" t="shared"/>
        <v>4</v>
      </c>
      <c r="I10" s="14" t="n">
        <v>3998.0</v>
      </c>
      <c r="J10" s="14" t="n">
        <v>1198.0</v>
      </c>
      <c r="K10" s="14" t="n">
        <v>210.0</v>
      </c>
      <c r="L10" s="14">
        <f si="5" t="shared"/>
        <v>5730</v>
      </c>
      <c r="O10">
        <f si="6" t="shared"/>
        <v>4</v>
      </c>
      <c r="P10" s="14">
        <f si="7" t="shared"/>
        <v>2548.136512993161</v>
      </c>
      <c r="Q10" s="14">
        <f si="8" t="shared"/>
        <v>217.51307920198383</v>
      </c>
      <c r="R10" s="14">
        <f si="9" t="shared"/>
        <v>154.06841273081369</v>
      </c>
      <c r="S10" s="14">
        <f si="10" t="shared"/>
        <v>2919.7180049259587</v>
      </c>
    </row>
    <row r="11" spans="1:19" x14ac:dyDescent="0.25">
      <c r="A11">
        <v>5</v>
      </c>
      <c r="B11" s="14" t="n">
        <v>1229.281208697631</v>
      </c>
      <c r="C11" s="14" t="n">
        <v>1302.3153517317696</v>
      </c>
      <c r="D11" s="14" t="n">
        <v>79.8959959309554</v>
      </c>
      <c r="E11" s="14">
        <f si="3" t="shared"/>
        <v>2611.492556360356</v>
      </c>
      <c r="F11" s="14"/>
      <c r="G11" s="14"/>
      <c r="H11">
        <f si="4" t="shared"/>
        <v>5</v>
      </c>
      <c r="I11" s="14" t="n">
        <v>2694.0</v>
      </c>
      <c r="J11" s="14" t="n">
        <v>737.0</v>
      </c>
      <c r="K11" s="14" t="n">
        <v>174.0</v>
      </c>
      <c r="L11" s="14">
        <f si="5" t="shared"/>
        <v>3633</v>
      </c>
      <c r="O11">
        <f si="6" t="shared"/>
        <v>5</v>
      </c>
      <c r="P11" s="14">
        <f si="7" t="shared"/>
        <v>1534.718791302369</v>
      </c>
      <c r="Q11" s="14">
        <f si="8" t="shared"/>
        <v>-608.31535173176962</v>
      </c>
      <c r="R11" s="14">
        <f si="9" t="shared"/>
        <v>95.104004069044606</v>
      </c>
      <c r="S11" s="14">
        <f si="10" t="shared"/>
        <v>1021.507443639644</v>
      </c>
    </row>
    <row r="12" spans="1:19" x14ac:dyDescent="0.25">
      <c r="A12">
        <v>6</v>
      </c>
      <c r="B12" s="15" t="n">
        <v>2196.0987634859275</v>
      </c>
      <c r="C12" s="15" t="n">
        <v>666.2418887414594</v>
      </c>
      <c r="D12" s="15" t="n">
        <v>0.0</v>
      </c>
      <c r="E12" s="15">
        <f ref="E12:E13" si="11" t="shared">SUM(B12:D12)</f>
        <v>2862.3406522273872</v>
      </c>
      <c r="F12" s="14"/>
      <c r="G12" s="14"/>
      <c r="H12">
        <f si="4" t="shared"/>
        <v>6</v>
      </c>
      <c r="I12" s="15" t="n">
        <v>3158.0</v>
      </c>
      <c r="J12" s="15" t="n">
        <v>1129.0</v>
      </c>
      <c r="K12" s="15" t="n">
        <v>126.0</v>
      </c>
      <c r="L12" s="14">
        <f si="5" t="shared"/>
        <v>4506</v>
      </c>
      <c r="O12">
        <f si="6" t="shared"/>
        <v>6</v>
      </c>
      <c r="P12" s="14">
        <f si="7" t="shared"/>
        <v>1022.9012365140725</v>
      </c>
      <c r="Q12" s="14">
        <f si="8" t="shared"/>
        <v>496.75811125854057</v>
      </c>
      <c r="R12" s="14">
        <f si="9" t="shared"/>
        <v>124</v>
      </c>
      <c r="S12" s="14">
        <f si="10" t="shared"/>
        <v>1643.6593477726128</v>
      </c>
    </row>
    <row customFormat="1" r="13" s="95" spans="1:19" x14ac:dyDescent="0.25">
      <c r="A13" s="6">
        <v>7</v>
      </c>
      <c r="B13" s="16" t="n">
        <v>1154.527495000195</v>
      </c>
      <c r="C13" s="16" t="n">
        <v>717.9479331335483</v>
      </c>
      <c r="D13" s="16" t="n">
        <v>0.0</v>
      </c>
      <c r="E13" s="16">
        <f si="11" t="shared"/>
        <v>1872.4754281337432</v>
      </c>
      <c r="F13" s="14"/>
      <c r="G13" s="14"/>
      <c r="H13" s="6">
        <f si="4" t="shared"/>
        <v>7</v>
      </c>
      <c r="I13" s="16" t="n">
        <v>1755.0</v>
      </c>
      <c r="J13" s="16" t="n">
        <v>517.0</v>
      </c>
      <c r="K13" s="16" t="n">
        <v>72.0</v>
      </c>
      <c r="L13" s="16">
        <f si="5" t="shared"/>
        <v>2489</v>
      </c>
      <c r="O13" s="6">
        <f si="6" t="shared"/>
        <v>7</v>
      </c>
      <c r="P13" s="16">
        <f si="7" t="shared"/>
        <v>678.4725049998051</v>
      </c>
      <c r="Q13" s="16">
        <f si="8" t="shared"/>
        <v>-151.9479331335483</v>
      </c>
      <c r="R13" s="16">
        <f si="9" t="shared"/>
        <v>90</v>
      </c>
      <c r="S13" s="16">
        <f si="10" t="shared"/>
        <v>616.52457186625679</v>
      </c>
    </row>
    <row ht="15.75" r="14" spans="1:19" thickBot="1" x14ac:dyDescent="0.3">
      <c r="A14" s="17" t="s">
        <v>3</v>
      </c>
      <c r="B14" s="17">
        <f>SUM(B7:B13)</f>
        <v>11168.497278812672</v>
      </c>
      <c r="C14" s="17">
        <f>SUM(C7:C13)</f>
        <v>7264.312289193771</v>
      </c>
      <c r="D14" s="17">
        <f>SUM(D7:D13)</f>
        <v>1039.1177377310587</v>
      </c>
      <c r="E14" s="17">
        <f>SUM(E7:E13)</f>
        <v>19471.927305737503</v>
      </c>
      <c r="F14" s="14"/>
      <c r="G14" s="14"/>
      <c r="H14" s="17" t="s">
        <v>3</v>
      </c>
      <c r="I14" s="17">
        <f>SUM(I7:I13)</f>
        <v>24974</v>
      </c>
      <c r="J14" s="17">
        <f>SUM(J7:J13)</f>
        <v>8009</v>
      </c>
      <c r="K14" s="17">
        <f>SUM(K7:K13)</f>
        <v>1222</v>
      </c>
      <c r="L14" s="17">
        <f>SUM(L7:L13)</f>
        <v>34205</v>
      </c>
      <c r="O14" s="17" t="s">
        <v>3</v>
      </c>
      <c r="P14" s="17">
        <f ref="P14" si="12" t="shared">I14-B14</f>
        <v>13805.502721187328</v>
      </c>
      <c r="Q14" s="17">
        <f si="0" t="shared"/>
        <v>744.68771080622901</v>
      </c>
      <c r="R14" s="17">
        <f si="1" t="shared"/>
        <v>182.8822622689413</v>
      </c>
      <c r="S14" s="17">
        <f si="2" t="shared"/>
        <v>14733.072694262497</v>
      </c>
    </row>
    <row r="15" spans="1:19" x14ac:dyDescent="0.2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O15" s="14"/>
      <c r="P15" s="14"/>
      <c r="Q15" s="14"/>
      <c r="R15" s="14"/>
      <c r="S15" s="14"/>
    </row>
    <row ht="15.75" r="16" spans="1:19" thickBot="1" x14ac:dyDescent="0.3">
      <c r="A16" s="4" t="s">
        <v>206</v>
      </c>
      <c r="B16" s="17"/>
      <c r="C16" s="17"/>
      <c r="D16" s="17"/>
      <c r="E16" s="17"/>
      <c r="F16" s="14"/>
      <c r="G16" s="14"/>
      <c r="H16" s="18" t="s">
        <v>38</v>
      </c>
      <c r="I16" s="17"/>
      <c r="J16" s="17"/>
      <c r="K16" s="17"/>
      <c r="L16" s="17"/>
      <c r="O16" s="18" t="s">
        <v>54</v>
      </c>
      <c r="P16" s="17"/>
      <c r="Q16" s="17"/>
      <c r="R16" s="17"/>
      <c r="S16" s="17"/>
    </row>
    <row r="17" spans="1:19" x14ac:dyDescent="0.25">
      <c r="A17" s="2"/>
      <c r="B17" s="3" t="str">
        <f>B6</f>
        <v>FT</v>
      </c>
      <c r="C17" s="196" t="str">
        <f>C6</f>
        <v>PT</v>
      </c>
      <c r="D17" s="196" t="str">
        <f>D6</f>
        <v>NotFTPT</v>
      </c>
      <c r="E17" s="196" t="str">
        <f>E6</f>
        <v>Total</v>
      </c>
      <c r="F17" s="14"/>
      <c r="G17" s="14"/>
      <c r="H17" s="20"/>
      <c r="I17" s="19" t="str">
        <f>I6</f>
        <v>FT</v>
      </c>
      <c r="J17" s="19" t="str">
        <f>J6</f>
        <v>PT</v>
      </c>
      <c r="K17" s="19" t="str">
        <f>K6</f>
        <v>NotFTPT</v>
      </c>
      <c r="L17" s="19" t="str">
        <f>L6</f>
        <v>Total</v>
      </c>
      <c r="O17" s="20"/>
      <c r="P17" s="19" t="s">
        <v>8</v>
      </c>
      <c r="Q17" s="19" t="s">
        <v>9</v>
      </c>
      <c r="R17" s="19" t="s">
        <v>10</v>
      </c>
      <c r="S17" s="19" t="s">
        <v>3</v>
      </c>
    </row>
    <row r="18" spans="1:19" x14ac:dyDescent="0.25">
      <c r="A18">
        <f ref="A18:A23" si="13" t="shared">A7</f>
        <v>1</v>
      </c>
      <c r="B18" s="14" t="n">
        <v>214078.44046705792</v>
      </c>
      <c r="C18" s="14" t="n">
        <v>24800.763854923727</v>
      </c>
      <c r="D18" s="14" t="n">
        <v>15671.300752364814</v>
      </c>
      <c r="E18" s="14">
        <f>SUM(B18:D18)</f>
        <v>254550.50507434647</v>
      </c>
      <c r="F18" s="14"/>
      <c r="G18" s="14"/>
      <c r="H18" s="95">
        <f ref="H18:H23" si="14" t="shared">H7</f>
        <v>1</v>
      </c>
      <c r="I18" s="14" t="n">
        <v>285497.0</v>
      </c>
      <c r="J18" s="14" t="n">
        <v>37232.0</v>
      </c>
      <c r="K18" s="14" t="n">
        <v>14004.0</v>
      </c>
      <c r="L18" s="14">
        <f>SUM(I18:K18)</f>
        <v>336754</v>
      </c>
      <c r="O18" s="95">
        <f ref="O18:O23" si="15" t="shared">O7</f>
        <v>1</v>
      </c>
      <c r="P18" s="14">
        <f ref="P18:P25" si="16" t="shared">I18-B18</f>
        <v>71245.559532942076</v>
      </c>
      <c r="Q18" s="14">
        <f ref="Q18:Q25" si="17" t="shared">J18-C18</f>
        <v>12639.236145076273</v>
      </c>
      <c r="R18" s="14">
        <f ref="R18:R25" si="18" t="shared">K18-D18</f>
        <v>-1681.3007523648139</v>
      </c>
      <c r="S18" s="14">
        <f ref="S18:S25" si="19" t="shared">L18-E18</f>
        <v>82203.494925653533</v>
      </c>
    </row>
    <row r="19" spans="1:19" x14ac:dyDescent="0.25">
      <c r="A19">
        <f si="13" t="shared"/>
        <v>2</v>
      </c>
      <c r="B19" s="14" t="n">
        <v>24794.64171742862</v>
      </c>
      <c r="C19" s="14" t="n">
        <v>2709.7969012906424</v>
      </c>
      <c r="D19" s="14" t="n">
        <v>981.3609680897282</v>
      </c>
      <c r="E19" s="14">
        <f ref="E19:E24" si="20" t="shared">SUM(B19:D19)</f>
        <v>28485.799586808993</v>
      </c>
      <c r="F19" s="14"/>
      <c r="G19" s="14"/>
      <c r="H19" s="95">
        <f si="14" t="shared"/>
        <v>2</v>
      </c>
      <c r="I19" s="14" t="n">
        <v>32134.0</v>
      </c>
      <c r="J19" s="14" t="n">
        <v>5854.0</v>
      </c>
      <c r="K19" s="14" t="n">
        <v>458.0</v>
      </c>
      <c r="L19" s="14">
        <f ref="L19:L24" si="21" t="shared">SUM(I19:K19)</f>
        <v>38476</v>
      </c>
      <c r="O19" s="95">
        <f si="15" t="shared"/>
        <v>2</v>
      </c>
      <c r="P19" s="14">
        <f ref="P19:P24" si="22" t="shared">I19-B19</f>
        <v>7451.3582825713784</v>
      </c>
      <c r="Q19" s="14">
        <f ref="Q19:Q24" si="23" t="shared">J19-C19</f>
        <v>3070.2030987093576</v>
      </c>
      <c r="R19" s="14">
        <f ref="R19:R24" si="24" t="shared">K19-D19</f>
        <v>-531.3609680897282</v>
      </c>
      <c r="S19" s="14">
        <f ref="S19:S24" si="25" t="shared">L19-E19</f>
        <v>9990.2004131910071</v>
      </c>
    </row>
    <row r="20" spans="1:19" x14ac:dyDescent="0.25">
      <c r="A20">
        <f si="13" t="shared"/>
        <v>3</v>
      </c>
      <c r="B20" s="14" t="n">
        <v>21697.67882463278</v>
      </c>
      <c r="C20" s="14" t="n">
        <v>2333.8500547800586</v>
      </c>
      <c r="D20" s="14" t="n">
        <v>275.4534419551372</v>
      </c>
      <c r="E20" s="14">
        <f si="20" t="shared"/>
        <v>24306.982321367977</v>
      </c>
      <c r="F20" s="14"/>
      <c r="G20" s="14"/>
      <c r="H20" s="95">
        <f si="14" t="shared"/>
        <v>3</v>
      </c>
      <c r="I20" s="14" t="n">
        <v>27755.0</v>
      </c>
      <c r="J20" s="14" t="n">
        <v>2375.0</v>
      </c>
      <c r="K20" s="14" t="n">
        <v>1146.0</v>
      </c>
      <c r="L20" s="14">
        <f si="21" t="shared"/>
        <v>31327</v>
      </c>
      <c r="O20" s="95">
        <f si="15" t="shared"/>
        <v>3</v>
      </c>
      <c r="P20" s="14">
        <f si="22" t="shared"/>
        <v>6024.3211753672185</v>
      </c>
      <c r="Q20" s="14">
        <f si="23" t="shared"/>
        <v>174.1499452199414</v>
      </c>
      <c r="R20" s="14">
        <f si="24" t="shared"/>
        <v>821.54655804486288</v>
      </c>
      <c r="S20" s="14">
        <f si="25" t="shared"/>
        <v>7020.0176786320226</v>
      </c>
    </row>
    <row r="21" spans="1:19" x14ac:dyDescent="0.25">
      <c r="A21">
        <f si="13" t="shared"/>
        <v>4</v>
      </c>
      <c r="B21" s="14" t="n">
        <v>83615.84608211272</v>
      </c>
      <c r="C21" s="14" t="n">
        <v>9993.284633111627</v>
      </c>
      <c r="D21" s="14" t="n">
        <v>6366.2030703121045</v>
      </c>
      <c r="E21" s="14">
        <f si="20" t="shared"/>
        <v>99975.333785536452</v>
      </c>
      <c r="F21" s="14"/>
      <c r="G21" s="14"/>
      <c r="H21" s="95">
        <f si="14" t="shared"/>
        <v>4</v>
      </c>
      <c r="I21" s="14" t="n">
        <v>127310.0</v>
      </c>
      <c r="J21" s="14" t="n">
        <v>13498.0</v>
      </c>
      <c r="K21" s="14" t="n">
        <v>6636.0</v>
      </c>
      <c r="L21" s="14">
        <f si="21" t="shared"/>
        <v>147449</v>
      </c>
      <c r="O21" s="95">
        <f si="15" t="shared"/>
        <v>4</v>
      </c>
      <c r="P21" s="14">
        <f si="22" t="shared"/>
        <v>43683.153917887277</v>
      </c>
      <c r="Q21" s="14">
        <f si="23" t="shared"/>
        <v>3469.715366888373</v>
      </c>
      <c r="R21" s="14">
        <f si="24" t="shared"/>
        <v>320.7969296878955</v>
      </c>
      <c r="S21" s="14">
        <f si="25" t="shared"/>
        <v>47473.666214463548</v>
      </c>
    </row>
    <row r="22" spans="1:19" x14ac:dyDescent="0.25">
      <c r="A22">
        <f si="13" t="shared"/>
        <v>5</v>
      </c>
      <c r="B22" s="14" t="n">
        <v>50890.900400618695</v>
      </c>
      <c r="C22" s="14" t="n">
        <v>7297.134973026695</v>
      </c>
      <c r="D22" s="14" t="n">
        <v>2217.802160962146</v>
      </c>
      <c r="E22" s="14">
        <f si="20" t="shared"/>
        <v>60405.837534607534</v>
      </c>
      <c r="F22" s="14"/>
      <c r="G22" s="14"/>
      <c r="H22" s="95">
        <f si="14" t="shared"/>
        <v>5</v>
      </c>
      <c r="I22" s="14" t="n">
        <v>69801.0</v>
      </c>
      <c r="J22" s="14" t="n">
        <v>7488.0</v>
      </c>
      <c r="K22" s="14" t="n">
        <v>4168.0</v>
      </c>
      <c r="L22" s="14">
        <f si="21" t="shared"/>
        <v>81516</v>
      </c>
      <c r="O22" s="95">
        <f si="15" t="shared"/>
        <v>5</v>
      </c>
      <c r="P22" s="14">
        <f si="22" t="shared"/>
        <v>18937.099599381305</v>
      </c>
      <c r="Q22" s="14">
        <f si="23" t="shared"/>
        <v>151.86502697330525</v>
      </c>
      <c r="R22" s="14">
        <f si="24" t="shared"/>
        <v>2021.197839037854</v>
      </c>
      <c r="S22" s="14">
        <f si="25" t="shared"/>
        <v>21110.162465392466</v>
      </c>
    </row>
    <row r="23" spans="1:19" x14ac:dyDescent="0.25">
      <c r="A23">
        <f si="13" t="shared"/>
        <v>6</v>
      </c>
      <c r="B23" s="15" t="n">
        <v>55828.580890098616</v>
      </c>
      <c r="C23" s="15" t="n">
        <v>9587.804270934676</v>
      </c>
      <c r="D23" s="15" t="n">
        <v>2249.0687485461763</v>
      </c>
      <c r="E23" s="14">
        <f si="20" t="shared"/>
        <v>67665.453909579475</v>
      </c>
      <c r="F23" s="14"/>
      <c r="G23" s="14"/>
      <c r="H23" s="95">
        <f si="14" t="shared"/>
        <v>6</v>
      </c>
      <c r="I23" s="15" t="n">
        <v>88863.0</v>
      </c>
      <c r="J23" s="15" t="n">
        <v>11568.0</v>
      </c>
      <c r="K23" s="15" t="n">
        <v>2715.0</v>
      </c>
      <c r="L23" s="14">
        <f si="21" t="shared"/>
        <v>103200</v>
      </c>
      <c r="O23" s="95">
        <f si="15" t="shared"/>
        <v>6</v>
      </c>
      <c r="P23" s="14">
        <f si="22" t="shared"/>
        <v>33200.419109901384</v>
      </c>
      <c r="Q23" s="14">
        <f si="23" t="shared"/>
        <v>1891.1957290653245</v>
      </c>
      <c r="R23" s="14">
        <f si="24" t="shared"/>
        <v>442.93125145382373</v>
      </c>
      <c r="S23" s="14">
        <f si="25" t="shared"/>
        <v>35534.546090420525</v>
      </c>
    </row>
    <row customFormat="1" r="24" s="95" spans="1:19" x14ac:dyDescent="0.25">
      <c r="A24" s="6">
        <v>7</v>
      </c>
      <c r="B24" s="16" t="n">
        <v>36151.23989025808</v>
      </c>
      <c r="C24" s="16" t="n">
        <v>5627.051105046438</v>
      </c>
      <c r="D24" s="16" t="n">
        <v>2365.391269303571</v>
      </c>
      <c r="E24" s="16">
        <f si="20" t="shared"/>
        <v>44143.682264608098</v>
      </c>
      <c r="F24" s="14"/>
      <c r="G24" s="14"/>
      <c r="H24" s="6">
        <v>7</v>
      </c>
      <c r="I24" s="16" t="n">
        <v>51124.0</v>
      </c>
      <c r="J24" s="16" t="n">
        <v>6055.0</v>
      </c>
      <c r="K24" s="16" t="n">
        <v>1871.0</v>
      </c>
      <c r="L24" s="16">
        <f si="21" t="shared"/>
        <v>59033</v>
      </c>
      <c r="O24" s="6">
        <v>7</v>
      </c>
      <c r="P24" s="16">
        <f si="22" t="shared"/>
        <v>14945.760109741917</v>
      </c>
      <c r="Q24" s="16">
        <f si="23" t="shared"/>
        <v>390.94889495356165</v>
      </c>
      <c r="R24" s="16">
        <f si="24" t="shared"/>
        <v>-447.39126930357088</v>
      </c>
      <c r="S24" s="16">
        <f si="25" t="shared"/>
        <v>14889.317735391902</v>
      </c>
    </row>
    <row ht="15.75" r="25" spans="1:19" thickBot="1" x14ac:dyDescent="0.3">
      <c r="A25" s="17" t="s">
        <v>3</v>
      </c>
      <c r="B25" s="17">
        <f>SUM(B18:B24)</f>
        <v>487057.32827220741</v>
      </c>
      <c r="C25" s="17">
        <f>SUM(C18:C24)</f>
        <v>62349.685793113866</v>
      </c>
      <c r="D25" s="17">
        <f>SUM(D18:D24)</f>
        <v>30126.58041153368</v>
      </c>
      <c r="E25" s="17">
        <f>SUM(E18:E24)</f>
        <v>579533.59447685489</v>
      </c>
      <c r="F25" s="14"/>
      <c r="G25" s="14"/>
      <c r="H25" s="17" t="s">
        <v>3</v>
      </c>
      <c r="I25" s="17">
        <f>SUM(I18:I24)</f>
        <v>682545</v>
      </c>
      <c r="J25" s="17">
        <f>SUM(J18:J24)</f>
        <v>84137</v>
      </c>
      <c r="K25" s="17">
        <f>SUM(K18:K24)</f>
        <v>31073</v>
      </c>
      <c r="L25" s="17">
        <f>SUM(L18:L24)</f>
        <v>797755</v>
      </c>
      <c r="O25" s="17" t="s">
        <v>3</v>
      </c>
      <c r="P25" s="17">
        <f si="16" t="shared"/>
        <v>195487.67172779259</v>
      </c>
      <c r="Q25" s="17">
        <f si="17" t="shared"/>
        <v>21787.314206886134</v>
      </c>
      <c r="R25" s="17">
        <f si="18" t="shared"/>
        <v>946.41958846632042</v>
      </c>
      <c r="S25" s="17">
        <f si="19" t="shared"/>
        <v>218221.40552314511</v>
      </c>
    </row>
    <row ht="15.75" r="27" spans="1:19" thickBot="1" x14ac:dyDescent="0.3">
      <c r="A27" s="4" t="s">
        <v>207</v>
      </c>
      <c r="B27" s="1"/>
      <c r="C27" s="1"/>
      <c r="D27" s="1"/>
      <c r="E27" s="1"/>
      <c r="H27" s="4" t="s">
        <v>39</v>
      </c>
      <c r="I27" s="1"/>
      <c r="J27" s="1"/>
      <c r="K27" s="1"/>
      <c r="L27" s="1"/>
      <c r="O27" s="4" t="s">
        <v>55</v>
      </c>
      <c r="P27" s="1"/>
      <c r="Q27" s="1"/>
      <c r="R27" s="1"/>
      <c r="S27" s="1"/>
    </row>
    <row r="28" spans="1:19" x14ac:dyDescent="0.25">
      <c r="A28" s="2"/>
      <c r="B28" s="3" t="s">
        <v>8</v>
      </c>
      <c r="C28" s="3" t="s">
        <v>9</v>
      </c>
      <c r="D28" s="3" t="s">
        <v>10</v>
      </c>
      <c r="E28" s="3" t="s">
        <v>3</v>
      </c>
      <c r="H28" s="2"/>
      <c r="I28" s="3" t="s">
        <v>8</v>
      </c>
      <c r="J28" s="3" t="s">
        <v>9</v>
      </c>
      <c r="K28" s="3" t="s">
        <v>10</v>
      </c>
      <c r="L28" s="3" t="s">
        <v>3</v>
      </c>
      <c r="O28" s="2"/>
      <c r="P28" s="3" t="s">
        <v>8</v>
      </c>
      <c r="Q28" s="3" t="s">
        <v>9</v>
      </c>
      <c r="R28" s="3" t="s">
        <v>10</v>
      </c>
      <c r="S28" s="3" t="s">
        <v>3</v>
      </c>
    </row>
    <row r="29" spans="1:19" x14ac:dyDescent="0.25">
      <c r="A29" s="95">
        <f ref="A29:A34" si="26" t="shared">A18</f>
        <v>1</v>
      </c>
      <c r="B29" s="21">
        <f ref="B29:E36" si="27" t="shared">IF(B18&gt;0,B7/B18,0)</f>
        <v>2.1472925903226043E-2</v>
      </c>
      <c r="C29" s="21">
        <f si="27" t="shared"/>
        <v>0.13083263505183812</v>
      </c>
      <c r="D29" s="21">
        <f si="27" t="shared"/>
        <v>4.606461950143978E-2</v>
      </c>
      <c r="E29" s="21">
        <f si="27" t="shared"/>
        <v>3.364178075315364E-2</v>
      </c>
      <c r="F29" s="21"/>
      <c r="G29" s="21"/>
      <c r="H29" s="95">
        <f ref="H29:H34" si="28" t="shared">H18</f>
        <v>1</v>
      </c>
      <c r="I29" s="21">
        <f ref="I29:L36" si="29" t="shared">IF(I18&gt;0,I7/I18,0)</f>
        <v>3.9046837980681613E-2</v>
      </c>
      <c r="J29" s="21">
        <f si="29" t="shared"/>
        <v>0.10168269230769231</v>
      </c>
      <c r="K29" s="21">
        <f si="29" t="shared"/>
        <v>3.7955682630450321E-2</v>
      </c>
      <c r="L29" s="21">
        <f si="29" t="shared"/>
        <v>4.5965304049840533E-2</v>
      </c>
      <c r="O29" s="95">
        <f ref="O29:O34" si="30" t="shared">O18</f>
        <v>1</v>
      </c>
      <c r="P29" s="21">
        <f>I29-B29</f>
        <v>1.757391207745557E-2</v>
      </c>
      <c r="Q29" s="21">
        <f ref="Q29:S29" si="31" t="shared">J29-C29</f>
        <v>-2.9149942744145813E-2</v>
      </c>
      <c r="R29" s="21">
        <f si="31" t="shared"/>
        <v>-8.1089368709894583E-3</v>
      </c>
      <c r="S29" s="21">
        <f si="31" t="shared"/>
        <v>1.2323523296686893E-2</v>
      </c>
    </row>
    <row r="30" spans="1:19" x14ac:dyDescent="0.25">
      <c r="A30" s="95">
        <f si="26" t="shared"/>
        <v>2</v>
      </c>
      <c r="B30" s="21">
        <f si="27" t="shared"/>
        <v>8.3569020313363478E-3</v>
      </c>
      <c r="C30" s="21">
        <f si="27" t="shared"/>
        <v>0.10944396172630913</v>
      </c>
      <c r="D30" s="21">
        <f si="27" t="shared"/>
        <v>0.15019717827938731</v>
      </c>
      <c r="E30" s="21">
        <f si="27" t="shared"/>
        <v>2.2859633846041203E-2</v>
      </c>
      <c r="F30" s="21"/>
      <c r="G30" s="21"/>
      <c r="H30" s="95">
        <f si="28" t="shared"/>
        <v>2</v>
      </c>
      <c r="I30" s="21">
        <f si="29" t="shared"/>
        <v>2.3537803138373753E-2</v>
      </c>
      <c r="J30" s="21">
        <f si="29" t="shared"/>
        <v>5.0519031141868509E-2</v>
      </c>
      <c r="K30" s="21">
        <f si="29" t="shared"/>
        <v>2.2222222222222223E-2</v>
      </c>
      <c r="L30" s="21">
        <f si="29" t="shared"/>
        <v>2.7575631562532489E-2</v>
      </c>
      <c r="O30" s="95">
        <f si="30" t="shared"/>
        <v>2</v>
      </c>
      <c r="P30" s="21">
        <f ref="P30:P35" si="32" t="shared">I30-B30</f>
        <v>1.5180901107037405E-2</v>
      </c>
      <c r="Q30" s="21">
        <f ref="Q30:Q35" si="33" t="shared">J30-C30</f>
        <v>-5.8924930584440621E-2</v>
      </c>
      <c r="R30" s="21">
        <f ref="R30:R35" si="34" t="shared">K30-D30</f>
        <v>-0.12797495605716508</v>
      </c>
      <c r="S30" s="21">
        <f ref="S30:S35" si="35" t="shared">L30-E30</f>
        <v>4.715997716491286E-3</v>
      </c>
    </row>
    <row r="31" spans="1:19" x14ac:dyDescent="0.25">
      <c r="A31" s="95">
        <f si="26" t="shared"/>
        <v>3</v>
      </c>
      <c r="B31" s="21">
        <f si="27" t="shared"/>
        <v>4.637797622199129E-3</v>
      </c>
      <c r="C31" s="21">
        <f si="27" t="shared"/>
        <v>0</v>
      </c>
      <c r="D31" s="21">
        <f si="27" t="shared"/>
        <v>0</v>
      </c>
      <c r="E31" s="21">
        <f si="27" t="shared"/>
        <v>4.1399397888918594E-3</v>
      </c>
      <c r="F31" s="21"/>
      <c r="G31" s="21"/>
      <c r="H31" s="95">
        <f si="28" t="shared"/>
        <v>3</v>
      </c>
      <c r="I31" s="21">
        <f si="29" t="shared"/>
        <v>3.7010316715965656E-2</v>
      </c>
      <c r="J31" s="21">
        <f si="29" t="shared"/>
        <v>9.2902711323763959E-2</v>
      </c>
      <c r="K31" s="21">
        <f si="29" t="shared"/>
        <v>4.3755697356426621E-2</v>
      </c>
      <c r="L31" s="21">
        <f si="29" t="shared"/>
        <v>4.1721198965748399E-2</v>
      </c>
      <c r="O31" s="95">
        <f si="30" t="shared"/>
        <v>3</v>
      </c>
      <c r="P31" s="21">
        <f si="32" t="shared"/>
        <v>3.2372519093766525E-2</v>
      </c>
      <c r="Q31" s="21">
        <f si="33" t="shared"/>
        <v>9.2902711323763959E-2</v>
      </c>
      <c r="R31" s="21">
        <f si="34" t="shared"/>
        <v>4.3755697356426621E-2</v>
      </c>
      <c r="S31" s="21">
        <f si="35" t="shared"/>
        <v>3.7581259176856542E-2</v>
      </c>
    </row>
    <row r="32" spans="1:19" x14ac:dyDescent="0.25">
      <c r="A32" s="95">
        <f si="26" t="shared"/>
        <v>4</v>
      </c>
      <c r="B32" s="21">
        <f si="27" t="shared"/>
        <v>2.0138090635993151E-2</v>
      </c>
      <c r="C32" s="21">
        <f si="27" t="shared"/>
        <v>0.10371834275226517</v>
      </c>
      <c r="D32" s="21">
        <f si="27" t="shared"/>
        <v>1.4126408830495785E-2</v>
      </c>
      <c r="E32" s="21">
        <f si="27" t="shared"/>
        <v>2.8109753562839398E-2</v>
      </c>
      <c r="F32" s="21"/>
      <c r="G32" s="21"/>
      <c r="H32" s="95">
        <f si="28" t="shared"/>
        <v>4</v>
      </c>
      <c r="I32" s="21">
        <f si="29" t="shared"/>
        <v>3.3244565943173161E-2</v>
      </c>
      <c r="J32" s="21">
        <f si="29" t="shared"/>
        <v>9.3144172918368864E-2</v>
      </c>
      <c r="K32" s="21">
        <f si="29" t="shared"/>
        <v>3.6488709436219534E-2</v>
      </c>
      <c r="L32" s="21">
        <f si="29" t="shared"/>
        <v>3.8860894275308748E-2</v>
      </c>
      <c r="O32" s="95">
        <f si="30" t="shared"/>
        <v>4</v>
      </c>
      <c r="P32" s="21">
        <f si="32" t="shared"/>
        <v>1.310647530718001E-2</v>
      </c>
      <c r="Q32" s="21">
        <f si="33" t="shared"/>
        <v>-1.0574169833896307E-2</v>
      </c>
      <c r="R32" s="21">
        <f si="34" t="shared"/>
        <v>2.2362300605723751E-2</v>
      </c>
      <c r="S32" s="21">
        <f si="35" t="shared"/>
        <v>1.075114071246935E-2</v>
      </c>
    </row>
    <row r="33" spans="1:19" x14ac:dyDescent="0.25">
      <c r="A33" s="95">
        <f si="26" t="shared"/>
        <v>5</v>
      </c>
      <c r="B33" s="21">
        <f si="27" t="shared"/>
        <v>2.4155226160680904E-2</v>
      </c>
      <c r="C33" s="21">
        <f si="27" t="shared"/>
        <v>0.1784694070406645</v>
      </c>
      <c r="D33" s="21">
        <f si="27" t="shared"/>
        <v>3.602485259383742E-2</v>
      </c>
      <c r="E33" s="21">
        <f si="27" t="shared"/>
        <v>4.3232453400951318E-2</v>
      </c>
      <c r="F33" s="21"/>
      <c r="G33" s="21"/>
      <c r="H33" s="95">
        <f si="28" t="shared"/>
        <v>5</v>
      </c>
      <c r="I33" s="21">
        <f si="29" t="shared"/>
        <v>3.9582975310763588E-2</v>
      </c>
      <c r="J33" s="21">
        <f si="29" t="shared"/>
        <v>9.3166868035977984E-2</v>
      </c>
      <c r="K33" s="21">
        <f si="29" t="shared"/>
        <v>4.1283321538098605E-2</v>
      </c>
      <c r="L33" s="21">
        <f si="29" t="shared"/>
        <v>4.4567937582805826E-2</v>
      </c>
      <c r="O33" s="95">
        <f si="30" t="shared"/>
        <v>5</v>
      </c>
      <c r="P33" s="21">
        <f si="32" t="shared"/>
        <v>1.5427749150082683E-2</v>
      </c>
      <c r="Q33" s="21">
        <f si="33" t="shared"/>
        <v>-8.5302539004686512E-2</v>
      </c>
      <c r="R33" s="21">
        <f si="34" t="shared"/>
        <v>5.2584689442611854E-3</v>
      </c>
      <c r="S33" s="21">
        <f si="35" t="shared"/>
        <v>1.3354841818545085E-3</v>
      </c>
    </row>
    <row r="34" spans="1:19" x14ac:dyDescent="0.25">
      <c r="A34" s="95">
        <f si="26" t="shared"/>
        <v>6</v>
      </c>
      <c r="B34" s="21">
        <f si="27" t="shared"/>
        <v>3.9336460437872478E-2</v>
      </c>
      <c r="C34" s="21">
        <f si="27" t="shared"/>
        <v>6.9488474098409012E-2</v>
      </c>
      <c r="D34" s="21">
        <f si="27" t="shared"/>
        <v>0</v>
      </c>
      <c r="E34" s="21">
        <f si="27" t="shared"/>
        <v>4.2301358918722373E-2</v>
      </c>
      <c r="F34" s="21"/>
      <c r="G34" s="21"/>
      <c r="H34" s="95">
        <f si="28" t="shared"/>
        <v>6</v>
      </c>
      <c r="I34" s="21">
        <f si="29" t="shared"/>
        <v>3.6156757910343819E-2</v>
      </c>
      <c r="J34" s="21">
        <f si="29" t="shared"/>
        <v>0.1013154455963063</v>
      </c>
      <c r="K34" s="21">
        <f si="29" t="shared"/>
        <v>4.6062407132243688E-2</v>
      </c>
      <c r="L34" s="21">
        <f si="29" t="shared"/>
        <v>4.3662790697674418E-2</v>
      </c>
      <c r="O34" s="95">
        <f si="30" t="shared"/>
        <v>6</v>
      </c>
      <c r="P34" s="21">
        <f si="32" t="shared"/>
        <v>-3.1797025275286592E-3</v>
      </c>
      <c r="Q34" s="21">
        <f si="33" t="shared"/>
        <v>3.1826971497897288E-2</v>
      </c>
      <c r="R34" s="21">
        <f si="34" t="shared"/>
        <v>4.6062407132243688E-2</v>
      </c>
      <c r="S34" s="21">
        <f si="35" t="shared"/>
        <v>1.361431778952045E-3</v>
      </c>
    </row>
    <row customFormat="1" r="35" s="95" spans="1:19" x14ac:dyDescent="0.25">
      <c r="A35" s="6">
        <v>7</v>
      </c>
      <c r="B35" s="94">
        <f si="27" t="shared"/>
        <v>3.1936041433292948E-2</v>
      </c>
      <c r="C35" s="94">
        <f si="27" t="shared"/>
        <v>0.12758866406769967</v>
      </c>
      <c r="D35" s="94">
        <f si="27" t="shared"/>
        <v>0</v>
      </c>
      <c r="E35" s="94">
        <f si="27" t="shared"/>
        <v>4.241774433110642E-2</v>
      </c>
      <c r="F35" s="21"/>
      <c r="G35" s="21"/>
      <c r="H35" s="6">
        <v>7</v>
      </c>
      <c r="I35" s="94">
        <f si="29" t="shared"/>
        <v>3.587294753116621E-2</v>
      </c>
      <c r="J35" s="94">
        <f si="29" t="shared"/>
        <v>9.4051179793951473E-2</v>
      </c>
      <c r="K35" s="94">
        <f si="29" t="shared"/>
        <v>4.692387904066736E-2</v>
      </c>
      <c r="L35" s="94">
        <f si="29" t="shared"/>
        <v>4.2162858062439655E-2</v>
      </c>
      <c r="O35" s="6">
        <v>7</v>
      </c>
      <c r="P35" s="94">
        <f si="32" t="shared"/>
        <v>3.936906097873262E-3</v>
      </c>
      <c r="Q35" s="94">
        <f si="33" t="shared"/>
        <v>-3.3537484273748197E-2</v>
      </c>
      <c r="R35" s="94">
        <f si="34" t="shared"/>
        <v>4.692387904066736E-2</v>
      </c>
      <c r="S35" s="94">
        <f si="35" t="shared"/>
        <v>-2.5488626866676523E-4</v>
      </c>
    </row>
    <row ht="15.75" r="36" spans="1:19" thickBot="1" x14ac:dyDescent="0.3">
      <c r="A36" s="17" t="s">
        <v>3</v>
      </c>
      <c r="B36" s="22">
        <f si="27" t="shared"/>
        <v>2.2930559978292339E-2</v>
      </c>
      <c r="C36" s="22">
        <f si="27" t="shared"/>
        <v>0.11650920444567932</v>
      </c>
      <c r="D36" s="22">
        <f si="27" t="shared"/>
        <v>3.4491725364663099E-2</v>
      </c>
      <c r="E36" s="22">
        <f si="27" t="shared"/>
        <v>3.3599307255543685E-2</v>
      </c>
      <c r="F36" s="7"/>
      <c r="H36" s="17" t="s">
        <v>3</v>
      </c>
      <c r="I36" s="22">
        <f si="29" t="shared"/>
        <v>3.6589528895530694E-2</v>
      </c>
      <c r="J36" s="22">
        <f si="29" t="shared"/>
        <v>9.5189987758061256E-2</v>
      </c>
      <c r="K36" s="22">
        <f si="29" t="shared"/>
        <v>3.9326746693270687E-2</v>
      </c>
      <c r="L36" s="22">
        <f si="29" t="shared"/>
        <v>4.2876572381244871E-2</v>
      </c>
      <c r="O36" s="17" t="s">
        <v>3</v>
      </c>
      <c r="P36" s="22">
        <f ref="P36" si="36" t="shared">I36-B36</f>
        <v>1.3658968917238355E-2</v>
      </c>
      <c r="Q36" s="22">
        <f ref="Q36" si="37" t="shared">J36-C36</f>
        <v>-2.1319216687618062E-2</v>
      </c>
      <c r="R36" s="22">
        <f ref="R36" si="38" t="shared">K36-D36</f>
        <v>4.8350213286075874E-3</v>
      </c>
      <c r="S36" s="22">
        <f ref="S36" si="39" t="shared">L36-E36</f>
        <v>9.2772651257011854E-3</v>
      </c>
    </row>
  </sheetData>
  <pageMargins bottom="0.75" footer="0.3" header="0.3" left="0.7" right="0.7" top="0.75"/>
  <pageSetup orientation="portrait" r:id="rId1"/>
  <ignoredErrors>
    <ignoredError formulaRange="1" sqref="E7:E12"/>
  </ignoredErrors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E33"/>
  <sheetViews>
    <sheetView topLeftCell="A4" workbookViewId="0" zoomScale="115" zoomScaleNormal="115">
      <selection activeCell="B21" sqref="B21"/>
    </sheetView>
  </sheetViews>
  <sheetFormatPr defaultRowHeight="15" x14ac:dyDescent="0.25"/>
  <sheetData>
    <row r="1" spans="1:2" x14ac:dyDescent="0.25">
      <c r="A1" s="10" t="s">
        <v>209</v>
      </c>
    </row>
    <row r="11" spans="1:2" x14ac:dyDescent="0.25">
      <c r="A11" s="10" t="s">
        <v>17</v>
      </c>
    </row>
    <row r="12" spans="1:2" x14ac:dyDescent="0.25">
      <c r="A12">
        <v>1</v>
      </c>
      <c r="B12" t="s">
        <v>41</v>
      </c>
    </row>
    <row r="14" spans="1:2" x14ac:dyDescent="0.25">
      <c r="A14">
        <v>2</v>
      </c>
      <c r="B14" t="s">
        <v>210</v>
      </c>
    </row>
    <row r="15" spans="1:2" x14ac:dyDescent="0.25">
      <c r="B15" t="s">
        <v>42</v>
      </c>
    </row>
    <row r="17" spans="1:4" x14ac:dyDescent="0.25">
      <c r="A17">
        <v>3</v>
      </c>
      <c r="B17" t="s">
        <v>43</v>
      </c>
    </row>
    <row r="18" spans="1:4" x14ac:dyDescent="0.25">
      <c r="B18" t="s">
        <v>211</v>
      </c>
    </row>
    <row r="19" spans="1:4" x14ac:dyDescent="0.25">
      <c r="B19" t="s">
        <v>8</v>
      </c>
      <c r="C19" t="s">
        <v>49</v>
      </c>
      <c r="D19" t="s">
        <v>18</v>
      </c>
    </row>
    <row r="20" spans="1:4" x14ac:dyDescent="0.25">
      <c r="B20" t="s">
        <v>9</v>
      </c>
      <c r="C20" t="s">
        <v>50</v>
      </c>
      <c r="D20" t="s">
        <v>19</v>
      </c>
    </row>
    <row r="21" spans="1:4" x14ac:dyDescent="0.25">
      <c r="B21" t="s">
        <v>10</v>
      </c>
      <c r="C21" t="s">
        <v>51</v>
      </c>
      <c r="D21" t="s">
        <v>20</v>
      </c>
    </row>
    <row r="23" spans="1:4" x14ac:dyDescent="0.25">
      <c r="A23" s="10" t="s">
        <v>44</v>
      </c>
    </row>
    <row r="24" spans="1:4" x14ac:dyDescent="0.25">
      <c r="A24">
        <v>1</v>
      </c>
      <c r="B24" t="s">
        <v>45</v>
      </c>
    </row>
    <row r="26" spans="1:4" x14ac:dyDescent="0.25">
      <c r="A26">
        <v>2</v>
      </c>
      <c r="B26" t="s">
        <v>46</v>
      </c>
    </row>
    <row r="28" spans="1:4" x14ac:dyDescent="0.25">
      <c r="A28" s="10" t="s">
        <v>47</v>
      </c>
    </row>
    <row r="29" spans="1:4" x14ac:dyDescent="0.25">
      <c r="A29">
        <v>1</v>
      </c>
      <c r="B29" t="s">
        <v>48</v>
      </c>
    </row>
    <row r="31" spans="1:4" x14ac:dyDescent="0.25">
      <c r="A31" s="10">
        <v>2</v>
      </c>
      <c r="B31" t="s">
        <v>212</v>
      </c>
    </row>
    <row r="33" spans="1:2" x14ac:dyDescent="0.25">
      <c r="A33">
        <v>3</v>
      </c>
      <c r="B33" t="s">
        <v>52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74"/>
  <sheetViews>
    <sheetView workbookViewId="0">
      <selection activeCell="A11" sqref="A10:E11"/>
    </sheetView>
  </sheetViews>
  <sheetFormatPr defaultRowHeight="15" x14ac:dyDescent="0.25"/>
  <cols>
    <col min="4" max="4" bestFit="true" customWidth="true" width="12.7109375" collapsed="true"/>
    <col min="5" max="5" bestFit="true" customWidth="true" style="34" width="94.7109375" collapsed="true"/>
  </cols>
  <sheetData>
    <row r="1" spans="1:5" x14ac:dyDescent="0.25">
      <c r="A1" t="s">
        <v>131</v>
      </c>
      <c r="B1" t="s">
        <v>132</v>
      </c>
      <c r="E1" s="34" t="s">
        <v>133</v>
      </c>
    </row>
    <row r="2" spans="1:5" x14ac:dyDescent="0.25">
      <c r="A2">
        <v>1</v>
      </c>
      <c r="B2" t="s">
        <v>56</v>
      </c>
      <c r="C2" t="s">
        <v>57</v>
      </c>
      <c r="D2">
        <v>1</v>
      </c>
      <c r="E2" s="34" t="s">
        <v>139</v>
      </c>
    </row>
    <row r="3" spans="1:5" x14ac:dyDescent="0.25">
      <c r="A3">
        <v>2</v>
      </c>
      <c r="B3" t="s">
        <v>58</v>
      </c>
      <c r="C3" t="s">
        <v>57</v>
      </c>
      <c r="D3">
        <v>0.7</v>
      </c>
      <c r="E3" s="34" t="s">
        <v>135</v>
      </c>
    </row>
    <row r="4" spans="1:5" x14ac:dyDescent="0.25">
      <c r="A4">
        <v>3</v>
      </c>
      <c r="B4" t="s">
        <v>59</v>
      </c>
      <c r="C4" t="s">
        <v>57</v>
      </c>
      <c r="D4">
        <v>1</v>
      </c>
      <c r="E4" s="34" t="s">
        <v>134</v>
      </c>
    </row>
    <row r="5" spans="1:5" x14ac:dyDescent="0.25">
      <c r="A5">
        <v>4</v>
      </c>
      <c r="B5" t="s">
        <v>60</v>
      </c>
      <c r="C5" t="s">
        <v>57</v>
      </c>
      <c r="D5">
        <v>0.5</v>
      </c>
      <c r="E5" s="34" t="s">
        <v>140</v>
      </c>
    </row>
    <row r="6" spans="1:5" x14ac:dyDescent="0.25">
      <c r="A6">
        <v>5</v>
      </c>
      <c r="B6" t="s">
        <v>61</v>
      </c>
      <c r="C6" t="s">
        <v>57</v>
      </c>
      <c r="D6">
        <v>0</v>
      </c>
      <c r="E6" s="34" t="s">
        <v>136</v>
      </c>
    </row>
    <row r="7" spans="1:5" x14ac:dyDescent="0.25">
      <c r="A7">
        <v>6</v>
      </c>
      <c r="B7" t="s">
        <v>62</v>
      </c>
      <c r="C7" t="s">
        <v>57</v>
      </c>
      <c r="D7">
        <v>-4.1530549264700003</v>
      </c>
      <c r="E7" s="34" t="s">
        <v>141</v>
      </c>
    </row>
    <row r="8" spans="1:5" x14ac:dyDescent="0.25">
      <c r="A8">
        <v>7</v>
      </c>
      <c r="B8" t="s">
        <v>63</v>
      </c>
      <c r="C8" t="s">
        <v>57</v>
      </c>
      <c r="D8">
        <v>-0.64354735537100005</v>
      </c>
      <c r="E8" s="34" t="s">
        <v>142</v>
      </c>
    </row>
    <row r="9" spans="1:5" x14ac:dyDescent="0.25">
      <c r="A9">
        <v>8</v>
      </c>
      <c r="B9" t="s">
        <v>64</v>
      </c>
      <c r="C9" t="s">
        <v>57</v>
      </c>
      <c r="D9">
        <v>-0.732358148145</v>
      </c>
      <c r="E9" s="34" t="s">
        <v>143</v>
      </c>
    </row>
    <row r="10" spans="1:5" x14ac:dyDescent="0.25">
      <c r="A10">
        <v>9</v>
      </c>
      <c r="B10" t="s">
        <v>65</v>
      </c>
      <c r="C10" t="s">
        <v>57</v>
      </c>
      <c r="D10">
        <v>-2.6263992007099999</v>
      </c>
      <c r="E10" s="34" t="s">
        <v>144</v>
      </c>
    </row>
    <row r="11" spans="1:5" x14ac:dyDescent="0.25">
      <c r="A11">
        <v>10</v>
      </c>
      <c r="B11" t="s">
        <v>66</v>
      </c>
      <c r="C11" t="s">
        <v>57</v>
      </c>
      <c r="D11">
        <v>-3.4653118418800002</v>
      </c>
      <c r="E11" s="34" t="s">
        <v>145</v>
      </c>
    </row>
    <row r="12" spans="1:5" x14ac:dyDescent="0.25">
      <c r="A12">
        <v>11</v>
      </c>
      <c r="B12" t="s">
        <v>67</v>
      </c>
      <c r="C12" t="s">
        <v>57</v>
      </c>
      <c r="D12">
        <v>0.125312575308</v>
      </c>
      <c r="E12" s="34" t="s">
        <v>146</v>
      </c>
    </row>
    <row r="13" spans="1:5" x14ac:dyDescent="0.25">
      <c r="A13">
        <v>12</v>
      </c>
      <c r="B13" t="s">
        <v>68</v>
      </c>
      <c r="C13" t="s">
        <v>57</v>
      </c>
      <c r="D13">
        <v>0.24676672684299999</v>
      </c>
      <c r="E13" s="34" t="s">
        <v>147</v>
      </c>
    </row>
    <row r="14" spans="1:5" x14ac:dyDescent="0.25">
      <c r="A14">
        <v>13</v>
      </c>
      <c r="B14" t="s">
        <v>69</v>
      </c>
      <c r="C14" t="s">
        <v>57</v>
      </c>
      <c r="D14">
        <v>0.40796503771199999</v>
      </c>
      <c r="E14" s="34" t="s">
        <v>148</v>
      </c>
    </row>
    <row r="15" spans="1:5" x14ac:dyDescent="0.25">
      <c r="A15">
        <v>14</v>
      </c>
      <c r="B15" t="s">
        <v>70</v>
      </c>
      <c r="C15" t="s">
        <v>57</v>
      </c>
      <c r="D15">
        <v>-0.50293651045300003</v>
      </c>
      <c r="E15" s="34" t="s">
        <v>149</v>
      </c>
    </row>
    <row r="16" spans="1:5" x14ac:dyDescent="0.25">
      <c r="A16">
        <v>15</v>
      </c>
      <c r="B16" t="s">
        <v>71</v>
      </c>
      <c r="C16" t="s">
        <v>57</v>
      </c>
      <c r="D16">
        <v>-1.61322160644</v>
      </c>
      <c r="E16" s="34" t="s">
        <v>150</v>
      </c>
    </row>
    <row r="17" spans="1:5" x14ac:dyDescent="0.25">
      <c r="A17">
        <v>16</v>
      </c>
      <c r="B17" t="s">
        <v>72</v>
      </c>
      <c r="C17" t="s">
        <v>57</v>
      </c>
      <c r="D17">
        <v>0.130749629122</v>
      </c>
      <c r="E17" s="34" t="s">
        <v>151</v>
      </c>
    </row>
    <row r="18" spans="1:5" x14ac:dyDescent="0.25">
      <c r="A18">
        <v>17</v>
      </c>
      <c r="B18" t="s">
        <v>73</v>
      </c>
      <c r="C18" t="s">
        <v>57</v>
      </c>
      <c r="D18" s="33">
        <v>8.4077289836199998E-2</v>
      </c>
      <c r="E18" s="34" t="s">
        <v>152</v>
      </c>
    </row>
    <row r="19" spans="1:5" x14ac:dyDescent="0.25">
      <c r="A19">
        <v>18</v>
      </c>
      <c r="B19" t="s">
        <v>74</v>
      </c>
      <c r="C19" t="s">
        <v>57</v>
      </c>
      <c r="D19">
        <v>0</v>
      </c>
      <c r="E19" s="34" t="s">
        <v>153</v>
      </c>
    </row>
    <row r="20" spans="1:5" x14ac:dyDescent="0.25">
      <c r="A20">
        <v>19</v>
      </c>
      <c r="B20" t="s">
        <v>75</v>
      </c>
      <c r="C20" t="s">
        <v>57</v>
      </c>
      <c r="D20">
        <v>0.106386053639</v>
      </c>
      <c r="E20" s="34" t="s">
        <v>137</v>
      </c>
    </row>
    <row r="21" spans="1:5" x14ac:dyDescent="0.25">
      <c r="A21">
        <v>20</v>
      </c>
      <c r="B21" t="s">
        <v>76</v>
      </c>
      <c r="C21" t="s">
        <v>57</v>
      </c>
      <c r="D21">
        <v>0.88087687792799996</v>
      </c>
      <c r="E21" s="34" t="s">
        <v>138</v>
      </c>
    </row>
    <row r="22" spans="1:5" x14ac:dyDescent="0.25">
      <c r="A22">
        <v>21</v>
      </c>
      <c r="B22" t="s">
        <v>77</v>
      </c>
      <c r="C22" t="s">
        <v>57</v>
      </c>
      <c r="D22">
        <v>-0.16458061134300001</v>
      </c>
      <c r="E22" s="34" t="s">
        <v>190</v>
      </c>
    </row>
    <row r="23" spans="1:5" x14ac:dyDescent="0.25">
      <c r="A23">
        <v>22</v>
      </c>
      <c r="B23" t="s">
        <v>78</v>
      </c>
      <c r="C23" t="s">
        <v>57</v>
      </c>
      <c r="D23">
        <v>0.154182014038</v>
      </c>
      <c r="E23" s="34" t="s">
        <v>191</v>
      </c>
    </row>
    <row r="24" spans="1:5" x14ac:dyDescent="0.25">
      <c r="A24">
        <v>23</v>
      </c>
      <c r="B24" t="s">
        <v>79</v>
      </c>
      <c r="C24" t="s">
        <v>57</v>
      </c>
      <c r="D24" s="33">
        <v>4.79448884421E-2</v>
      </c>
      <c r="E24" s="34" t="s">
        <v>192</v>
      </c>
    </row>
    <row r="25" spans="1:5" x14ac:dyDescent="0.25">
      <c r="A25">
        <v>24</v>
      </c>
      <c r="B25" t="s">
        <v>80</v>
      </c>
      <c r="C25" t="s">
        <v>57</v>
      </c>
      <c r="D25" s="33">
        <v>6.4843520043099998E-2</v>
      </c>
      <c r="E25" s="34" t="s">
        <v>193</v>
      </c>
    </row>
    <row r="26" spans="1:5" x14ac:dyDescent="0.25">
      <c r="A26">
        <v>25</v>
      </c>
      <c r="B26" t="s">
        <v>81</v>
      </c>
      <c r="C26" t="s">
        <v>57</v>
      </c>
      <c r="D26">
        <v>0.15272053169499999</v>
      </c>
      <c r="E26" s="34" t="s">
        <v>194</v>
      </c>
    </row>
    <row r="27" spans="1:5" x14ac:dyDescent="0.25">
      <c r="A27">
        <v>26</v>
      </c>
      <c r="B27" t="s">
        <v>82</v>
      </c>
      <c r="C27" t="s">
        <v>57</v>
      </c>
      <c r="D27" s="33">
        <v>7.2028590735099998E-2</v>
      </c>
      <c r="E27" s="34" t="s">
        <v>195</v>
      </c>
    </row>
    <row r="28" spans="1:5" x14ac:dyDescent="0.25">
      <c r="A28">
        <v>27</v>
      </c>
      <c r="B28" t="s">
        <v>83</v>
      </c>
      <c r="C28" t="s">
        <v>57</v>
      </c>
      <c r="D28">
        <v>-0.27934224041799999</v>
      </c>
      <c r="E28" s="34" t="s">
        <v>199</v>
      </c>
    </row>
    <row r="29" spans="1:5" x14ac:dyDescent="0.25">
      <c r="A29">
        <v>28</v>
      </c>
      <c r="B29" t="s">
        <v>84</v>
      </c>
      <c r="C29" t="s">
        <v>57</v>
      </c>
      <c r="D29" s="33">
        <v>4.3626229225700003E-2</v>
      </c>
      <c r="E29" s="34" t="s">
        <v>154</v>
      </c>
    </row>
    <row r="30" spans="1:5" x14ac:dyDescent="0.25">
      <c r="A30">
        <v>29</v>
      </c>
      <c r="B30" t="s">
        <v>85</v>
      </c>
      <c r="C30" t="s">
        <v>57</v>
      </c>
      <c r="D30" s="33">
        <v>-8.7886819411100006E-2</v>
      </c>
      <c r="E30" s="34" t="s">
        <v>174</v>
      </c>
    </row>
    <row r="31" spans="1:5" x14ac:dyDescent="0.25">
      <c r="A31">
        <v>30</v>
      </c>
      <c r="B31" t="s">
        <v>86</v>
      </c>
      <c r="C31" t="s">
        <v>57</v>
      </c>
      <c r="D31" s="33">
        <v>-4.2894941477000001E-2</v>
      </c>
      <c r="E31" s="34" t="s">
        <v>175</v>
      </c>
    </row>
    <row r="32" spans="1:5" x14ac:dyDescent="0.25">
      <c r="A32">
        <v>31</v>
      </c>
      <c r="B32" t="s">
        <v>87</v>
      </c>
      <c r="C32" t="s">
        <v>57</v>
      </c>
      <c r="D32">
        <v>-0.13045579928000001</v>
      </c>
      <c r="E32" s="34" t="s">
        <v>176</v>
      </c>
    </row>
    <row r="33" spans="1:5" x14ac:dyDescent="0.25">
      <c r="A33">
        <v>32</v>
      </c>
      <c r="B33" t="s">
        <v>88</v>
      </c>
      <c r="C33" t="s">
        <v>57</v>
      </c>
      <c r="D33">
        <v>0.18945088644899999</v>
      </c>
      <c r="E33" s="34" t="s">
        <v>177</v>
      </c>
    </row>
    <row r="34" spans="1:5" x14ac:dyDescent="0.25">
      <c r="A34">
        <v>33</v>
      </c>
      <c r="B34" t="s">
        <v>89</v>
      </c>
      <c r="C34" t="s">
        <v>57</v>
      </c>
      <c r="D34">
        <v>-0.179523169776</v>
      </c>
      <c r="E34" s="34" t="s">
        <v>178</v>
      </c>
    </row>
    <row r="35" spans="1:5" x14ac:dyDescent="0.25">
      <c r="A35">
        <v>34</v>
      </c>
      <c r="B35" t="s">
        <v>90</v>
      </c>
      <c r="C35" t="s">
        <v>57</v>
      </c>
      <c r="D35">
        <v>0.17233347539499999</v>
      </c>
      <c r="E35" s="34" t="s">
        <v>179</v>
      </c>
    </row>
    <row r="36" spans="1:5" x14ac:dyDescent="0.25">
      <c r="A36">
        <v>35</v>
      </c>
      <c r="B36" t="s">
        <v>91</v>
      </c>
      <c r="C36" t="s">
        <v>57</v>
      </c>
      <c r="D36">
        <v>-0.194698386872</v>
      </c>
      <c r="E36" s="34" t="s">
        <v>180</v>
      </c>
    </row>
    <row r="37" spans="1:5" x14ac:dyDescent="0.25">
      <c r="A37">
        <v>36</v>
      </c>
      <c r="B37" t="s">
        <v>92</v>
      </c>
      <c r="C37" t="s">
        <v>57</v>
      </c>
      <c r="D37">
        <v>0.38785322122799998</v>
      </c>
      <c r="E37" s="34" t="s">
        <v>181</v>
      </c>
    </row>
    <row r="38" spans="1:5" x14ac:dyDescent="0.25">
      <c r="A38">
        <v>41</v>
      </c>
      <c r="B38" t="s">
        <v>93</v>
      </c>
      <c r="C38" t="s">
        <v>94</v>
      </c>
      <c r="D38">
        <v>-2.9745332256100001</v>
      </c>
      <c r="E38" s="34" t="s">
        <v>213</v>
      </c>
    </row>
    <row r="39" spans="1:5" x14ac:dyDescent="0.25">
      <c r="A39">
        <v>42</v>
      </c>
      <c r="B39" t="s">
        <v>95</v>
      </c>
      <c r="C39" t="s">
        <v>94</v>
      </c>
      <c r="D39">
        <v>5.0782043482699999</v>
      </c>
      <c r="E39" s="34" t="s">
        <v>200</v>
      </c>
    </row>
    <row r="40" spans="1:5" x14ac:dyDescent="0.25">
      <c r="A40">
        <v>43</v>
      </c>
      <c r="B40" t="s">
        <v>96</v>
      </c>
      <c r="C40" t="s">
        <v>94</v>
      </c>
      <c r="D40">
        <v>-3.0391245094800001</v>
      </c>
      <c r="E40" s="34" t="s">
        <v>201</v>
      </c>
    </row>
    <row r="41" spans="1:5" x14ac:dyDescent="0.25">
      <c r="A41">
        <v>44</v>
      </c>
      <c r="B41" t="s">
        <v>97</v>
      </c>
      <c r="C41" t="s">
        <v>94</v>
      </c>
      <c r="D41">
        <v>-2.3320263859599999</v>
      </c>
      <c r="E41" s="34" t="s">
        <v>202</v>
      </c>
    </row>
    <row r="42" spans="1:5" x14ac:dyDescent="0.25">
      <c r="A42">
        <v>50</v>
      </c>
      <c r="B42" t="s">
        <v>98</v>
      </c>
      <c r="C42" t="s">
        <v>57</v>
      </c>
      <c r="D42">
        <v>0.33566647407</v>
      </c>
    </row>
    <row r="43" spans="1:5" x14ac:dyDescent="0.25">
      <c r="A43">
        <v>51</v>
      </c>
      <c r="B43" t="s">
        <v>99</v>
      </c>
      <c r="C43" t="s">
        <v>57</v>
      </c>
      <c r="D43">
        <v>-0.78911507665199998</v>
      </c>
      <c r="E43" s="34" t="s">
        <v>155</v>
      </c>
    </row>
    <row r="44" spans="1:5" x14ac:dyDescent="0.25">
      <c r="A44">
        <v>52</v>
      </c>
      <c r="B44" t="s">
        <v>100</v>
      </c>
      <c r="C44" t="s">
        <v>57</v>
      </c>
      <c r="D44">
        <v>0.56564055394500001</v>
      </c>
      <c r="E44" s="34" t="s">
        <v>156</v>
      </c>
    </row>
    <row r="45" spans="1:5" x14ac:dyDescent="0.25">
      <c r="A45">
        <v>53</v>
      </c>
      <c r="B45" t="s">
        <v>101</v>
      </c>
      <c r="C45" t="s">
        <v>57</v>
      </c>
      <c r="D45">
        <v>-1.85416848242</v>
      </c>
      <c r="E45" s="34" t="s">
        <v>157</v>
      </c>
    </row>
    <row r="46" spans="1:5" x14ac:dyDescent="0.25">
      <c r="A46">
        <v>54</v>
      </c>
      <c r="B46" t="s">
        <v>102</v>
      </c>
      <c r="C46" t="s">
        <v>57</v>
      </c>
      <c r="D46">
        <v>0</v>
      </c>
      <c r="E46" s="34" t="s">
        <v>158</v>
      </c>
    </row>
    <row r="47" spans="1:5" x14ac:dyDescent="0.25">
      <c r="A47">
        <v>55</v>
      </c>
      <c r="B47" t="s">
        <v>103</v>
      </c>
      <c r="C47" t="s">
        <v>57</v>
      </c>
      <c r="D47">
        <v>-1.1156286956100001</v>
      </c>
      <c r="E47" s="34" t="s">
        <v>159</v>
      </c>
    </row>
    <row r="48" spans="1:5" x14ac:dyDescent="0.25">
      <c r="A48">
        <v>56</v>
      </c>
      <c r="B48" t="s">
        <v>104</v>
      </c>
      <c r="C48" t="s">
        <v>57</v>
      </c>
      <c r="D48">
        <v>-0.81792869186600003</v>
      </c>
      <c r="E48" s="34" t="s">
        <v>160</v>
      </c>
    </row>
    <row r="49" spans="1:5" x14ac:dyDescent="0.25">
      <c r="A49">
        <v>57</v>
      </c>
      <c r="B49" t="s">
        <v>105</v>
      </c>
      <c r="C49" t="s">
        <v>57</v>
      </c>
      <c r="D49">
        <v>-1.04729487823</v>
      </c>
      <c r="E49" s="34" t="s">
        <v>161</v>
      </c>
    </row>
    <row r="50" spans="1:5" x14ac:dyDescent="0.25">
      <c r="A50">
        <v>58</v>
      </c>
      <c r="B50" t="s">
        <v>106</v>
      </c>
      <c r="C50" t="s">
        <v>57</v>
      </c>
      <c r="D50">
        <v>-2.0228517391</v>
      </c>
      <c r="E50" s="34" t="s">
        <v>162</v>
      </c>
    </row>
    <row r="51" spans="1:5" x14ac:dyDescent="0.25">
      <c r="A51">
        <v>59</v>
      </c>
      <c r="B51" t="s">
        <v>107</v>
      </c>
      <c r="C51" t="s">
        <v>57</v>
      </c>
      <c r="D51">
        <v>-1.2945321250099999</v>
      </c>
      <c r="E51" s="34" t="s">
        <v>163</v>
      </c>
    </row>
    <row r="52" spans="1:5" x14ac:dyDescent="0.25">
      <c r="A52">
        <v>60</v>
      </c>
      <c r="B52" t="s">
        <v>108</v>
      </c>
      <c r="C52" t="s">
        <v>57</v>
      </c>
      <c r="D52">
        <v>-0.66178028021599999</v>
      </c>
      <c r="E52" s="34" t="s">
        <v>182</v>
      </c>
    </row>
    <row r="53" spans="1:5" x14ac:dyDescent="0.25">
      <c r="A53">
        <v>61</v>
      </c>
      <c r="B53" t="s">
        <v>109</v>
      </c>
      <c r="C53" t="s">
        <v>57</v>
      </c>
      <c r="D53">
        <v>-0.55504741134900004</v>
      </c>
      <c r="E53" s="34" t="s">
        <v>183</v>
      </c>
    </row>
    <row r="54" spans="1:5" x14ac:dyDescent="0.25">
      <c r="A54">
        <v>62</v>
      </c>
      <c r="B54" t="s">
        <v>110</v>
      </c>
      <c r="C54" t="s">
        <v>57</v>
      </c>
      <c r="D54">
        <v>-1.7449233454799999</v>
      </c>
      <c r="E54" s="34" t="s">
        <v>184</v>
      </c>
    </row>
    <row r="55" spans="1:5" x14ac:dyDescent="0.25">
      <c r="A55">
        <v>63</v>
      </c>
      <c r="B55" t="s">
        <v>111</v>
      </c>
      <c r="C55" t="s">
        <v>57</v>
      </c>
      <c r="D55">
        <v>1.1995398853399999</v>
      </c>
      <c r="E55" s="34" t="s">
        <v>185</v>
      </c>
    </row>
    <row r="56" spans="1:5" x14ac:dyDescent="0.25">
      <c r="A56">
        <v>64</v>
      </c>
      <c r="B56" t="s">
        <v>112</v>
      </c>
      <c r="C56" t="s">
        <v>57</v>
      </c>
      <c r="D56">
        <v>0.19542046398099999</v>
      </c>
      <c r="E56" s="34" t="s">
        <v>186</v>
      </c>
    </row>
    <row r="57" spans="1:5" x14ac:dyDescent="0.25">
      <c r="A57">
        <v>65</v>
      </c>
      <c r="B57" t="s">
        <v>113</v>
      </c>
      <c r="C57" t="s">
        <v>57</v>
      </c>
      <c r="D57">
        <v>-0.90594458676599998</v>
      </c>
      <c r="E57" s="34" t="s">
        <v>187</v>
      </c>
    </row>
    <row r="58" spans="1:5" x14ac:dyDescent="0.25">
      <c r="A58">
        <v>66</v>
      </c>
      <c r="B58" t="s">
        <v>114</v>
      </c>
      <c r="C58" t="s">
        <v>57</v>
      </c>
      <c r="D58">
        <v>-2.05104130438</v>
      </c>
      <c r="E58" s="34" t="s">
        <v>164</v>
      </c>
    </row>
    <row r="59" spans="1:5" x14ac:dyDescent="0.25">
      <c r="A59">
        <v>67</v>
      </c>
      <c r="B59" t="s">
        <v>115</v>
      </c>
      <c r="C59" t="s">
        <v>57</v>
      </c>
      <c r="D59">
        <v>-2.2381608455899999</v>
      </c>
      <c r="E59" s="34" t="s">
        <v>165</v>
      </c>
    </row>
    <row r="60" spans="1:5" x14ac:dyDescent="0.25">
      <c r="A60">
        <v>68</v>
      </c>
      <c r="B60" t="s">
        <v>116</v>
      </c>
      <c r="C60" t="s">
        <v>57</v>
      </c>
      <c r="D60">
        <v>-0.40946320528300001</v>
      </c>
      <c r="E60" s="34" t="s">
        <v>166</v>
      </c>
    </row>
    <row r="61" spans="1:5" x14ac:dyDescent="0.25">
      <c r="A61">
        <v>69</v>
      </c>
      <c r="B61" t="s">
        <v>117</v>
      </c>
      <c r="C61" t="s">
        <v>57</v>
      </c>
      <c r="D61">
        <v>-1.1700902309500001</v>
      </c>
      <c r="E61" s="34" t="s">
        <v>167</v>
      </c>
    </row>
    <row r="62" spans="1:5" x14ac:dyDescent="0.25">
      <c r="A62">
        <v>70</v>
      </c>
      <c r="B62" t="s">
        <v>118</v>
      </c>
      <c r="C62" t="s">
        <v>57</v>
      </c>
      <c r="D62">
        <v>1.8412445021999999</v>
      </c>
      <c r="E62" s="34" t="s">
        <v>168</v>
      </c>
    </row>
    <row r="63" spans="1:5" x14ac:dyDescent="0.25">
      <c r="A63">
        <v>71</v>
      </c>
      <c r="B63" t="s">
        <v>119</v>
      </c>
      <c r="C63" t="s">
        <v>57</v>
      </c>
      <c r="D63">
        <v>0.71619685052500004</v>
      </c>
      <c r="E63" s="34" t="s">
        <v>169</v>
      </c>
    </row>
    <row r="64" spans="1:5" x14ac:dyDescent="0.25">
      <c r="A64">
        <v>72</v>
      </c>
      <c r="B64" t="s">
        <v>120</v>
      </c>
      <c r="C64" t="s">
        <v>57</v>
      </c>
      <c r="D64">
        <v>-0.101060642888</v>
      </c>
      <c r="E64" s="34" t="s">
        <v>170</v>
      </c>
    </row>
    <row r="65" spans="1:5" x14ac:dyDescent="0.25">
      <c r="A65">
        <v>73</v>
      </c>
      <c r="B65" t="s">
        <v>121</v>
      </c>
      <c r="C65" t="s">
        <v>57</v>
      </c>
      <c r="D65">
        <v>-0.34132571646100002</v>
      </c>
      <c r="E65" s="34" t="s">
        <v>171</v>
      </c>
    </row>
    <row r="66" spans="1:5" x14ac:dyDescent="0.25">
      <c r="A66">
        <v>74</v>
      </c>
      <c r="B66" t="s">
        <v>122</v>
      </c>
      <c r="C66" t="s">
        <v>57</v>
      </c>
      <c r="D66">
        <v>1.0486549950899999</v>
      </c>
      <c r="E66" s="34" t="s">
        <v>188</v>
      </c>
    </row>
    <row r="67" spans="1:5" x14ac:dyDescent="0.25">
      <c r="A67">
        <v>75</v>
      </c>
      <c r="B67" t="s">
        <v>123</v>
      </c>
      <c r="C67" t="s">
        <v>57</v>
      </c>
      <c r="D67">
        <v>-30</v>
      </c>
      <c r="E67" s="34" t="s">
        <v>196</v>
      </c>
    </row>
    <row r="68" spans="1:5" x14ac:dyDescent="0.25">
      <c r="A68">
        <v>76</v>
      </c>
      <c r="B68" t="s">
        <v>124</v>
      </c>
      <c r="C68" t="s">
        <v>57</v>
      </c>
      <c r="D68">
        <v>0.91468797064200003</v>
      </c>
      <c r="E68" s="34" t="s">
        <v>197</v>
      </c>
    </row>
    <row r="69" spans="1:5" x14ac:dyDescent="0.25">
      <c r="A69">
        <v>77</v>
      </c>
      <c r="B69" t="s">
        <v>125</v>
      </c>
      <c r="C69" t="s">
        <v>57</v>
      </c>
      <c r="D69">
        <v>-1.1830909132</v>
      </c>
      <c r="E69" s="34" t="s">
        <v>189</v>
      </c>
    </row>
    <row r="70" spans="1:5" x14ac:dyDescent="0.25">
      <c r="A70">
        <v>78</v>
      </c>
      <c r="B70" t="s">
        <v>126</v>
      </c>
      <c r="C70" t="s">
        <v>57</v>
      </c>
      <c r="D70">
        <v>1.4576625009499999</v>
      </c>
      <c r="E70" s="34" t="s">
        <v>198</v>
      </c>
    </row>
    <row r="71" spans="1:5" x14ac:dyDescent="0.25">
      <c r="A71">
        <v>79</v>
      </c>
      <c r="B71" t="s">
        <v>127</v>
      </c>
      <c r="C71" t="s">
        <v>57</v>
      </c>
      <c r="D71">
        <v>-1.62636517084</v>
      </c>
      <c r="E71" s="34" t="s">
        <v>172</v>
      </c>
    </row>
    <row r="72" spans="1:5" x14ac:dyDescent="0.25">
      <c r="A72">
        <v>80</v>
      </c>
      <c r="B72" t="s">
        <v>128</v>
      </c>
      <c r="C72" t="s">
        <v>57</v>
      </c>
      <c r="D72">
        <v>0</v>
      </c>
      <c r="E72" s="34" t="s">
        <v>173</v>
      </c>
    </row>
    <row r="73" spans="1:5" x14ac:dyDescent="0.25">
      <c r="A73">
        <v>90</v>
      </c>
      <c r="B73" t="s">
        <v>129</v>
      </c>
      <c r="C73" t="s">
        <v>57</v>
      </c>
      <c r="D73">
        <v>0</v>
      </c>
      <c r="E73" s="34">
        <v>100</v>
      </c>
    </row>
    <row r="74" spans="1:5" x14ac:dyDescent="0.25">
      <c r="A74">
        <v>98</v>
      </c>
      <c r="B74" t="s">
        <v>130</v>
      </c>
      <c r="C74" t="s">
        <v>94</v>
      </c>
      <c r="D74">
        <v>0.196146395147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B2" sqref="B2:B8"/>
    </sheetView>
  </sheetViews>
  <sheetFormatPr defaultRowHeight="15" x14ac:dyDescent="0.25"/>
  <sheetData>
    <row r="1" spans="1:2" x14ac:dyDescent="0.25">
      <c r="A1" t="s">
        <v>311</v>
      </c>
      <c r="B1" t="s">
        <v>312</v>
      </c>
    </row>
    <row r="2" spans="1:2" x14ac:dyDescent="0.25">
      <c r="A2">
        <v>1</v>
      </c>
      <c r="B2" s="99" t="s">
        <v>313</v>
      </c>
    </row>
    <row r="3" spans="1:2" x14ac:dyDescent="0.25">
      <c r="A3">
        <v>2</v>
      </c>
      <c r="B3" s="98" t="s">
        <v>314</v>
      </c>
    </row>
    <row r="4" spans="1:2" x14ac:dyDescent="0.25">
      <c r="A4">
        <v>3</v>
      </c>
      <c r="B4" s="98" t="s">
        <v>315</v>
      </c>
    </row>
    <row r="5" spans="1:2" x14ac:dyDescent="0.25">
      <c r="A5">
        <v>4</v>
      </c>
      <c r="B5" s="98" t="s">
        <v>316</v>
      </c>
    </row>
    <row r="6" spans="1:2" x14ac:dyDescent="0.25">
      <c r="A6">
        <v>5</v>
      </c>
      <c r="B6" s="98" t="s">
        <v>317</v>
      </c>
    </row>
    <row r="7" spans="1:2" x14ac:dyDescent="0.25">
      <c r="A7">
        <v>6</v>
      </c>
      <c r="B7" s="98" t="s">
        <v>318</v>
      </c>
    </row>
    <row r="8" spans="1:2" x14ac:dyDescent="0.25">
      <c r="A8">
        <v>7</v>
      </c>
      <c r="B8" s="98" t="s">
        <v>319</v>
      </c>
    </row>
  </sheetData>
  <pageMargins bottom="0.75" footer="0.3" header="0.3" left="0.7" right="0.7" top="0.75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384"/>
  <sheetViews>
    <sheetView workbookViewId="0">
      <selection activeCell="A8" sqref="A8:K370"/>
    </sheetView>
  </sheetViews>
  <sheetFormatPr defaultRowHeight="15" x14ac:dyDescent="0.25"/>
  <sheetData>
    <row r="1" spans="1:11" x14ac:dyDescent="0.25">
      <c r="A1" s="71" t="s">
        <v>234</v>
      </c>
      <c r="B1" s="72"/>
      <c r="C1" s="72"/>
      <c r="D1" s="72"/>
      <c r="E1" s="72"/>
      <c r="F1" s="72"/>
      <c r="G1" s="72"/>
      <c r="H1" s="72" t="s">
        <v>240</v>
      </c>
      <c r="I1" s="72"/>
      <c r="J1" s="72"/>
      <c r="K1" s="72"/>
    </row>
    <row r="2" spans="1:11" x14ac:dyDescent="0.25">
      <c r="A2" s="72">
        <v>1</v>
      </c>
      <c r="B2" s="72" t="s">
        <v>253</v>
      </c>
      <c r="C2" s="72"/>
      <c r="D2" s="72"/>
      <c r="E2" s="72"/>
      <c r="F2" s="72"/>
      <c r="G2" s="72"/>
      <c r="H2" s="72"/>
      <c r="I2" s="72"/>
      <c r="J2" s="72"/>
      <c r="K2" s="72"/>
    </row>
    <row r="3" spans="1:11" x14ac:dyDescent="0.25">
      <c r="A3" s="72">
        <v>2</v>
      </c>
      <c r="B3" s="72" t="s">
        <v>235</v>
      </c>
      <c r="C3" s="72"/>
      <c r="D3" s="72"/>
      <c r="E3" s="72"/>
      <c r="F3" s="72"/>
      <c r="G3" s="72"/>
      <c r="H3" s="72"/>
      <c r="I3" s="72"/>
      <c r="J3" s="72"/>
      <c r="K3" s="72"/>
    </row>
    <row r="4" spans="1:11" x14ac:dyDescent="0.25">
      <c r="A4" s="72">
        <v>3</v>
      </c>
      <c r="B4" s="72" t="s">
        <v>237</v>
      </c>
      <c r="C4" s="72"/>
      <c r="D4" s="72"/>
      <c r="E4" s="72"/>
      <c r="F4" s="72"/>
      <c r="G4" s="72"/>
      <c r="H4" s="72"/>
      <c r="I4" s="72"/>
      <c r="J4" s="72"/>
      <c r="K4" s="72"/>
    </row>
    <row r="5" spans="1:11" x14ac:dyDescent="0.25">
      <c r="A5" s="72">
        <v>4</v>
      </c>
      <c r="B5" s="72" t="s">
        <v>236</v>
      </c>
      <c r="C5" s="72"/>
      <c r="D5" s="72"/>
      <c r="E5" s="72"/>
      <c r="F5" s="72"/>
      <c r="G5" s="72"/>
      <c r="H5" s="72"/>
      <c r="I5" s="72"/>
      <c r="J5" s="72"/>
      <c r="K5" s="72"/>
    </row>
    <row r="6" spans="1:11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</row>
    <row r="8" spans="1:11" x14ac:dyDescent="0.25">
      <c r="A8" t="s">
        <v>226</v>
      </c>
      <c r="B8" t="s">
        <v>227</v>
      </c>
      <c r="C8" t="s">
        <v>302</v>
      </c>
      <c r="D8" t="s">
        <v>303</v>
      </c>
      <c r="E8" t="s">
        <v>304</v>
      </c>
      <c r="F8" t="s">
        <v>305</v>
      </c>
      <c r="G8" t="s">
        <v>306</v>
      </c>
      <c r="H8" t="s">
        <v>307</v>
      </c>
    </row>
    <row r="9" spans="1:11" x14ac:dyDescent="0.25">
      <c r="A9" t="s">
        <v>228</v>
      </c>
      <c r="B9" t="s">
        <v>229</v>
      </c>
      <c r="C9" t="s">
        <v>230</v>
      </c>
      <c r="D9" t="s">
        <v>231</v>
      </c>
      <c r="E9">
        <v>4</v>
      </c>
      <c r="F9" s="39">
        <v>0.67841435185185184</v>
      </c>
      <c r="G9" t="s">
        <v>232</v>
      </c>
      <c r="H9">
        <v>5</v>
      </c>
      <c r="I9" t="s">
        <v>308</v>
      </c>
      <c r="J9">
        <v>12</v>
      </c>
    </row>
    <row r="10" spans="1:11" x14ac:dyDescent="0.25">
      <c r="A10" t="s">
        <v>233</v>
      </c>
    </row>
    <row r="11" spans="1:11" x14ac:dyDescent="0.25">
      <c r="B11">
        <v>1</v>
      </c>
      <c r="C11" t="s">
        <v>56</v>
      </c>
      <c r="D11" t="s">
        <v>57</v>
      </c>
      <c r="E11">
        <v>1</v>
      </c>
    </row>
    <row r="12" spans="1:11" x14ac:dyDescent="0.25">
      <c r="B12">
        <v>2</v>
      </c>
      <c r="C12" t="s">
        <v>58</v>
      </c>
      <c r="D12" t="s">
        <v>57</v>
      </c>
      <c r="E12">
        <v>0.7</v>
      </c>
      <c r="F12" s="33"/>
    </row>
    <row r="13" spans="1:11" x14ac:dyDescent="0.25">
      <c r="B13">
        <v>3</v>
      </c>
      <c r="C13" t="s">
        <v>59</v>
      </c>
      <c r="D13" t="s">
        <v>57</v>
      </c>
      <c r="E13">
        <v>1</v>
      </c>
      <c r="F13" s="33"/>
    </row>
    <row r="14" spans="1:11" x14ac:dyDescent="0.25">
      <c r="B14">
        <v>4</v>
      </c>
      <c r="C14" t="s">
        <v>60</v>
      </c>
      <c r="D14" t="s">
        <v>57</v>
      </c>
      <c r="E14">
        <v>0.5</v>
      </c>
    </row>
    <row r="15" spans="1:11" x14ac:dyDescent="0.25">
      <c r="B15">
        <v>5</v>
      </c>
      <c r="C15" t="s">
        <v>61</v>
      </c>
      <c r="D15" t="s">
        <v>57</v>
      </c>
      <c r="E15">
        <v>0</v>
      </c>
    </row>
    <row r="16" spans="1:11" x14ac:dyDescent="0.25">
      <c r="B16">
        <v>6</v>
      </c>
      <c r="C16" t="s">
        <v>62</v>
      </c>
      <c r="D16" t="s">
        <v>57</v>
      </c>
      <c r="E16">
        <v>-4.1530549264700003</v>
      </c>
    </row>
    <row r="17" spans="2:6" x14ac:dyDescent="0.25">
      <c r="B17">
        <v>7</v>
      </c>
      <c r="C17" t="s">
        <v>63</v>
      </c>
      <c r="D17" t="s">
        <v>57</v>
      </c>
      <c r="E17">
        <v>0.16304005993109999</v>
      </c>
      <c r="F17" s="33"/>
    </row>
    <row r="18" spans="2:6" x14ac:dyDescent="0.25">
      <c r="B18">
        <v>8</v>
      </c>
      <c r="C18" t="s">
        <v>64</v>
      </c>
      <c r="D18" t="s">
        <v>57</v>
      </c>
      <c r="E18">
        <v>-0.66484078944180003</v>
      </c>
      <c r="F18" s="33"/>
    </row>
    <row r="19" spans="2:6" x14ac:dyDescent="0.25">
      <c r="B19">
        <v>9</v>
      </c>
      <c r="C19" t="s">
        <v>65</v>
      </c>
      <c r="D19" t="s">
        <v>57</v>
      </c>
      <c r="E19">
        <v>-2.1673496431996999</v>
      </c>
    </row>
    <row r="20" spans="2:6" x14ac:dyDescent="0.25">
      <c r="B20">
        <v>10</v>
      </c>
      <c r="C20" t="s">
        <v>66</v>
      </c>
      <c r="D20" t="s">
        <v>57</v>
      </c>
      <c r="E20">
        <v>-3.3544504276017002</v>
      </c>
    </row>
    <row r="21" spans="2:6" x14ac:dyDescent="0.25">
      <c r="B21">
        <v>11</v>
      </c>
      <c r="C21" t="s">
        <v>67</v>
      </c>
      <c r="D21" t="s">
        <v>57</v>
      </c>
      <c r="E21">
        <v>-0.22974879339000001</v>
      </c>
    </row>
    <row r="22" spans="2:6" x14ac:dyDescent="0.25">
      <c r="B22">
        <v>12</v>
      </c>
      <c r="C22" t="s">
        <v>68</v>
      </c>
      <c r="D22" t="s">
        <v>57</v>
      </c>
      <c r="E22" s="33">
        <v>-0.93478838755000004</v>
      </c>
      <c r="F22" s="33"/>
    </row>
    <row r="23" spans="2:6" x14ac:dyDescent="0.25">
      <c r="B23">
        <v>13</v>
      </c>
      <c r="C23" t="s">
        <v>69</v>
      </c>
      <c r="D23" t="s">
        <v>57</v>
      </c>
      <c r="E23" s="33">
        <v>0.40796503771199999</v>
      </c>
      <c r="F23" s="33"/>
    </row>
    <row r="24" spans="2:6" x14ac:dyDescent="0.25">
      <c r="B24">
        <v>14</v>
      </c>
      <c r="C24" t="s">
        <v>70</v>
      </c>
      <c r="D24" t="s">
        <v>57</v>
      </c>
      <c r="E24">
        <v>-0.50293651045300003</v>
      </c>
      <c r="F24" s="33"/>
    </row>
    <row r="25" spans="2:6" x14ac:dyDescent="0.25">
      <c r="B25">
        <v>15</v>
      </c>
      <c r="C25" t="s">
        <v>71</v>
      </c>
      <c r="D25" t="s">
        <v>57</v>
      </c>
      <c r="E25">
        <v>-1.61322160644</v>
      </c>
    </row>
    <row r="26" spans="2:6" x14ac:dyDescent="0.25">
      <c r="B26">
        <v>16</v>
      </c>
      <c r="C26" t="s">
        <v>72</v>
      </c>
      <c r="D26" t="s">
        <v>57</v>
      </c>
      <c r="E26">
        <v>0.130749629122</v>
      </c>
      <c r="F26" s="33"/>
    </row>
    <row r="27" spans="2:6" x14ac:dyDescent="0.25">
      <c r="B27">
        <v>17</v>
      </c>
      <c r="C27" t="s">
        <v>73</v>
      </c>
      <c r="D27" t="s">
        <v>57</v>
      </c>
      <c r="E27" s="33">
        <v>8.4077289836199998E-2</v>
      </c>
      <c r="F27" s="33"/>
    </row>
    <row r="28" spans="2:6" x14ac:dyDescent="0.25">
      <c r="B28">
        <v>18</v>
      </c>
      <c r="C28" t="s">
        <v>74</v>
      </c>
      <c r="D28" t="s">
        <v>57</v>
      </c>
      <c r="E28" s="33">
        <v>0</v>
      </c>
      <c r="F28" s="33"/>
    </row>
    <row r="29" spans="2:6" x14ac:dyDescent="0.25">
      <c r="B29">
        <v>19</v>
      </c>
      <c r="C29" t="s">
        <v>75</v>
      </c>
      <c r="D29" t="s">
        <v>57</v>
      </c>
      <c r="E29" s="33">
        <v>0.106386053639</v>
      </c>
      <c r="F29" s="33"/>
    </row>
    <row r="30" spans="2:6" x14ac:dyDescent="0.25">
      <c r="B30">
        <v>20</v>
      </c>
      <c r="C30" t="s">
        <v>76</v>
      </c>
      <c r="D30" t="s">
        <v>57</v>
      </c>
      <c r="E30">
        <v>0.88087687792799996</v>
      </c>
      <c r="F30" s="33"/>
    </row>
    <row r="31" spans="2:6" x14ac:dyDescent="0.25">
      <c r="B31">
        <v>21</v>
      </c>
      <c r="C31" t="s">
        <v>77</v>
      </c>
      <c r="D31" t="s">
        <v>57</v>
      </c>
      <c r="E31">
        <v>-0.16458061134300001</v>
      </c>
      <c r="F31" s="33"/>
    </row>
    <row r="32" spans="2:6" x14ac:dyDescent="0.25">
      <c r="B32">
        <v>22</v>
      </c>
      <c r="C32" t="s">
        <v>78</v>
      </c>
      <c r="D32" t="s">
        <v>57</v>
      </c>
      <c r="E32" s="33">
        <v>0.154182014038</v>
      </c>
      <c r="F32" s="33"/>
    </row>
    <row r="33" spans="2:6" x14ac:dyDescent="0.25">
      <c r="B33">
        <v>23</v>
      </c>
      <c r="C33" t="s">
        <v>79</v>
      </c>
      <c r="D33" t="s">
        <v>57</v>
      </c>
      <c r="E33" s="33">
        <v>4.79448884421E-2</v>
      </c>
      <c r="F33" s="33"/>
    </row>
    <row r="34" spans="2:6" x14ac:dyDescent="0.25">
      <c r="B34">
        <v>24</v>
      </c>
      <c r="C34" t="s">
        <v>80</v>
      </c>
      <c r="D34" t="s">
        <v>57</v>
      </c>
      <c r="E34" s="33">
        <v>6.4843520043099998E-2</v>
      </c>
      <c r="F34" s="33"/>
    </row>
    <row r="35" spans="2:6" x14ac:dyDescent="0.25">
      <c r="B35">
        <v>25</v>
      </c>
      <c r="C35" t="s">
        <v>81</v>
      </c>
      <c r="D35" t="s">
        <v>57</v>
      </c>
      <c r="E35">
        <v>0.15272053169499999</v>
      </c>
      <c r="F35" s="33"/>
    </row>
    <row r="36" spans="2:6" x14ac:dyDescent="0.25">
      <c r="B36">
        <v>26</v>
      </c>
      <c r="C36" t="s">
        <v>82</v>
      </c>
      <c r="D36" t="s">
        <v>57</v>
      </c>
      <c r="E36" s="33">
        <v>7.2028590735099998E-2</v>
      </c>
      <c r="F36" s="33"/>
    </row>
    <row r="37" spans="2:6" x14ac:dyDescent="0.25">
      <c r="B37">
        <v>27</v>
      </c>
      <c r="C37" t="s">
        <v>83</v>
      </c>
      <c r="D37" t="s">
        <v>57</v>
      </c>
      <c r="E37" s="33">
        <v>-0.27934224041799999</v>
      </c>
      <c r="F37" s="33"/>
    </row>
    <row r="38" spans="2:6" x14ac:dyDescent="0.25">
      <c r="B38">
        <v>28</v>
      </c>
      <c r="C38" t="s">
        <v>84</v>
      </c>
      <c r="D38" t="s">
        <v>57</v>
      </c>
      <c r="E38" s="33">
        <v>4.3626229225700003E-2</v>
      </c>
      <c r="F38" s="33"/>
    </row>
    <row r="39" spans="2:6" x14ac:dyDescent="0.25">
      <c r="B39">
        <v>29</v>
      </c>
      <c r="C39" t="s">
        <v>85</v>
      </c>
      <c r="D39" t="s">
        <v>57</v>
      </c>
      <c r="E39" s="33">
        <v>-8.7886819411100006E-2</v>
      </c>
      <c r="F39" s="33"/>
    </row>
    <row r="40" spans="2:6" x14ac:dyDescent="0.25">
      <c r="B40">
        <v>30</v>
      </c>
      <c r="C40" t="s">
        <v>86</v>
      </c>
      <c r="D40" t="s">
        <v>57</v>
      </c>
      <c r="E40" s="33">
        <v>-4.2894941477000001E-2</v>
      </c>
      <c r="F40" s="33"/>
    </row>
    <row r="41" spans="2:6" x14ac:dyDescent="0.25">
      <c r="B41">
        <v>31</v>
      </c>
      <c r="C41" t="s">
        <v>87</v>
      </c>
      <c r="D41" t="s">
        <v>57</v>
      </c>
      <c r="E41">
        <v>-0.13045579928000001</v>
      </c>
      <c r="F41" s="33"/>
    </row>
    <row r="42" spans="2:6" x14ac:dyDescent="0.25">
      <c r="B42">
        <v>32</v>
      </c>
      <c r="C42" t="s">
        <v>88</v>
      </c>
      <c r="D42" t="s">
        <v>57</v>
      </c>
      <c r="E42">
        <v>0.18945088644899999</v>
      </c>
      <c r="F42" s="33"/>
    </row>
    <row r="43" spans="2:6" x14ac:dyDescent="0.25">
      <c r="B43">
        <v>33</v>
      </c>
      <c r="C43" t="s">
        <v>89</v>
      </c>
      <c r="D43" t="s">
        <v>57</v>
      </c>
      <c r="E43">
        <v>-0.179523169776</v>
      </c>
      <c r="F43" s="33"/>
    </row>
    <row r="44" spans="2:6" x14ac:dyDescent="0.25">
      <c r="B44">
        <v>34</v>
      </c>
      <c r="C44" t="s">
        <v>90</v>
      </c>
      <c r="D44" t="s">
        <v>57</v>
      </c>
      <c r="E44" s="33">
        <v>0.17233347539499999</v>
      </c>
      <c r="F44" s="33"/>
    </row>
    <row r="45" spans="2:6" x14ac:dyDescent="0.25">
      <c r="B45">
        <v>35</v>
      </c>
      <c r="C45" t="s">
        <v>91</v>
      </c>
      <c r="D45" t="s">
        <v>57</v>
      </c>
      <c r="E45">
        <v>-0.194698386872</v>
      </c>
    </row>
    <row r="46" spans="2:6" x14ac:dyDescent="0.25">
      <c r="B46">
        <v>36</v>
      </c>
      <c r="C46" t="s">
        <v>92</v>
      </c>
      <c r="D46" t="s">
        <v>57</v>
      </c>
      <c r="E46">
        <v>0.38785322122799998</v>
      </c>
    </row>
    <row r="47" spans="2:6" x14ac:dyDescent="0.25">
      <c r="B47">
        <v>41</v>
      </c>
      <c r="C47" t="s">
        <v>93</v>
      </c>
      <c r="D47" t="s">
        <v>94</v>
      </c>
      <c r="E47">
        <v>-1.2033803293631999</v>
      </c>
    </row>
    <row r="48" spans="2:6" x14ac:dyDescent="0.25">
      <c r="B48">
        <v>42</v>
      </c>
      <c r="C48" t="s">
        <v>95</v>
      </c>
      <c r="D48" t="s">
        <v>94</v>
      </c>
      <c r="E48">
        <v>5.07828619993</v>
      </c>
    </row>
    <row r="49" spans="2:5" x14ac:dyDescent="0.25">
      <c r="B49">
        <v>43</v>
      </c>
      <c r="C49" t="s">
        <v>96</v>
      </c>
      <c r="D49" t="s">
        <v>94</v>
      </c>
      <c r="E49">
        <v>-3.0390882271000002</v>
      </c>
    </row>
    <row r="50" spans="2:5" x14ac:dyDescent="0.25">
      <c r="B50">
        <v>44</v>
      </c>
      <c r="C50" t="s">
        <v>97</v>
      </c>
      <c r="D50" t="s">
        <v>94</v>
      </c>
      <c r="E50">
        <v>-2.3320026601800001</v>
      </c>
    </row>
    <row r="51" spans="2:5" x14ac:dyDescent="0.25">
      <c r="B51">
        <v>50</v>
      </c>
      <c r="C51" t="s">
        <v>98</v>
      </c>
      <c r="D51" t="s">
        <v>57</v>
      </c>
      <c r="E51">
        <v>0.33566647407</v>
      </c>
    </row>
    <row r="52" spans="2:5" x14ac:dyDescent="0.25">
      <c r="B52">
        <v>51</v>
      </c>
      <c r="C52" t="s">
        <v>99</v>
      </c>
      <c r="D52" t="s">
        <v>57</v>
      </c>
      <c r="E52">
        <v>-0.78911507665199998</v>
      </c>
    </row>
    <row r="53" spans="2:5" x14ac:dyDescent="0.25">
      <c r="B53">
        <v>52</v>
      </c>
      <c r="C53" t="s">
        <v>100</v>
      </c>
      <c r="D53" t="s">
        <v>57</v>
      </c>
      <c r="E53">
        <v>0.56564055394500001</v>
      </c>
    </row>
    <row r="54" spans="2:5" x14ac:dyDescent="0.25">
      <c r="B54">
        <v>53</v>
      </c>
      <c r="C54" t="s">
        <v>101</v>
      </c>
      <c r="D54" t="s">
        <v>57</v>
      </c>
      <c r="E54">
        <v>-1.85416848242</v>
      </c>
    </row>
    <row r="55" spans="2:5" x14ac:dyDescent="0.25">
      <c r="B55">
        <v>54</v>
      </c>
      <c r="C55" t="s">
        <v>102</v>
      </c>
      <c r="D55" t="s">
        <v>57</v>
      </c>
      <c r="E55">
        <v>0</v>
      </c>
    </row>
    <row r="56" spans="2:5" x14ac:dyDescent="0.25">
      <c r="B56">
        <v>55</v>
      </c>
      <c r="C56" t="s">
        <v>103</v>
      </c>
      <c r="D56" t="s">
        <v>57</v>
      </c>
      <c r="E56">
        <v>-1.1156286956100001</v>
      </c>
    </row>
    <row r="57" spans="2:5" x14ac:dyDescent="0.25">
      <c r="B57">
        <v>56</v>
      </c>
      <c r="C57" t="s">
        <v>104</v>
      </c>
      <c r="D57" t="s">
        <v>57</v>
      </c>
      <c r="E57">
        <v>-0.81792869186600003</v>
      </c>
    </row>
    <row r="58" spans="2:5" x14ac:dyDescent="0.25">
      <c r="B58">
        <v>57</v>
      </c>
      <c r="C58" t="s">
        <v>105</v>
      </c>
      <c r="D58" t="s">
        <v>57</v>
      </c>
      <c r="E58">
        <v>-1.04729487823</v>
      </c>
    </row>
    <row r="59" spans="2:5" x14ac:dyDescent="0.25">
      <c r="B59">
        <v>58</v>
      </c>
      <c r="C59" t="s">
        <v>106</v>
      </c>
      <c r="D59" t="s">
        <v>57</v>
      </c>
      <c r="E59">
        <v>-2.0228517391</v>
      </c>
    </row>
    <row r="60" spans="2:5" x14ac:dyDescent="0.25">
      <c r="B60">
        <v>59</v>
      </c>
      <c r="C60" t="s">
        <v>107</v>
      </c>
      <c r="D60" t="s">
        <v>57</v>
      </c>
      <c r="E60">
        <v>-1.2945321250099999</v>
      </c>
    </row>
    <row r="61" spans="2:5" x14ac:dyDescent="0.25">
      <c r="B61">
        <v>60</v>
      </c>
      <c r="C61" t="s">
        <v>108</v>
      </c>
      <c r="D61" t="s">
        <v>57</v>
      </c>
      <c r="E61">
        <v>-0.66178028021599999</v>
      </c>
    </row>
    <row r="62" spans="2:5" x14ac:dyDescent="0.25">
      <c r="B62">
        <v>61</v>
      </c>
      <c r="C62" t="s">
        <v>109</v>
      </c>
      <c r="D62" t="s">
        <v>57</v>
      </c>
      <c r="E62" s="33">
        <v>-0.55504741134900004</v>
      </c>
    </row>
    <row r="63" spans="2:5" x14ac:dyDescent="0.25">
      <c r="B63">
        <v>62</v>
      </c>
      <c r="C63" t="s">
        <v>110</v>
      </c>
      <c r="D63" t="s">
        <v>57</v>
      </c>
      <c r="E63">
        <v>-1.7449233454799999</v>
      </c>
    </row>
    <row r="64" spans="2:5" x14ac:dyDescent="0.25">
      <c r="B64">
        <v>63</v>
      </c>
      <c r="C64" t="s">
        <v>111</v>
      </c>
      <c r="D64" t="s">
        <v>57</v>
      </c>
      <c r="E64">
        <v>1.1995398853399999</v>
      </c>
    </row>
    <row r="65" spans="2:5" x14ac:dyDescent="0.25">
      <c r="B65">
        <v>64</v>
      </c>
      <c r="C65" t="s">
        <v>112</v>
      </c>
      <c r="D65" t="s">
        <v>57</v>
      </c>
      <c r="E65" s="33">
        <v>0.19542046398099999</v>
      </c>
    </row>
    <row r="66" spans="2:5" x14ac:dyDescent="0.25">
      <c r="B66">
        <v>65</v>
      </c>
      <c r="C66" t="s">
        <v>113</v>
      </c>
      <c r="D66" t="s">
        <v>57</v>
      </c>
      <c r="E66">
        <v>-0.90594458676599998</v>
      </c>
    </row>
    <row r="67" spans="2:5" x14ac:dyDescent="0.25">
      <c r="B67">
        <v>66</v>
      </c>
      <c r="C67" t="s">
        <v>114</v>
      </c>
      <c r="D67" t="s">
        <v>57</v>
      </c>
      <c r="E67">
        <v>-2.05104130438</v>
      </c>
    </row>
    <row r="68" spans="2:5" x14ac:dyDescent="0.25">
      <c r="B68">
        <v>67</v>
      </c>
      <c r="C68" t="s">
        <v>115</v>
      </c>
      <c r="D68" t="s">
        <v>57</v>
      </c>
      <c r="E68">
        <v>-2.2381608455899999</v>
      </c>
    </row>
    <row r="69" spans="2:5" x14ac:dyDescent="0.25">
      <c r="B69">
        <v>68</v>
      </c>
      <c r="C69" t="s">
        <v>116</v>
      </c>
      <c r="D69" t="s">
        <v>57</v>
      </c>
      <c r="E69">
        <v>-0.40946320528300001</v>
      </c>
    </row>
    <row r="70" spans="2:5" x14ac:dyDescent="0.25">
      <c r="B70">
        <v>69</v>
      </c>
      <c r="C70" t="s">
        <v>117</v>
      </c>
      <c r="D70" t="s">
        <v>57</v>
      </c>
      <c r="E70">
        <v>-1.1700902309500001</v>
      </c>
    </row>
    <row r="71" spans="2:5" x14ac:dyDescent="0.25">
      <c r="B71">
        <v>70</v>
      </c>
      <c r="C71" t="s">
        <v>118</v>
      </c>
      <c r="D71" t="s">
        <v>57</v>
      </c>
      <c r="E71">
        <v>1.8412445021999999</v>
      </c>
    </row>
    <row r="72" spans="2:5" x14ac:dyDescent="0.25">
      <c r="B72">
        <v>71</v>
      </c>
      <c r="C72" t="s">
        <v>119</v>
      </c>
      <c r="D72" t="s">
        <v>57</v>
      </c>
      <c r="E72">
        <v>0.71619685052500004</v>
      </c>
    </row>
    <row r="73" spans="2:5" x14ac:dyDescent="0.25">
      <c r="B73">
        <v>72</v>
      </c>
      <c r="C73" t="s">
        <v>120</v>
      </c>
      <c r="D73" t="s">
        <v>57</v>
      </c>
      <c r="E73">
        <v>-0.101060642888</v>
      </c>
    </row>
    <row r="74" spans="2:5" x14ac:dyDescent="0.25">
      <c r="B74">
        <v>73</v>
      </c>
      <c r="C74" t="s">
        <v>121</v>
      </c>
      <c r="D74" t="s">
        <v>57</v>
      </c>
      <c r="E74">
        <v>-0.34132571646100002</v>
      </c>
    </row>
    <row r="75" spans="2:5" x14ac:dyDescent="0.25">
      <c r="B75">
        <v>74</v>
      </c>
      <c r="C75" t="s">
        <v>122</v>
      </c>
      <c r="D75" t="s">
        <v>57</v>
      </c>
      <c r="E75">
        <v>1.0486549950899999</v>
      </c>
    </row>
    <row r="76" spans="2:5" x14ac:dyDescent="0.25">
      <c r="B76">
        <v>75</v>
      </c>
      <c r="C76" t="s">
        <v>123</v>
      </c>
      <c r="D76" t="s">
        <v>57</v>
      </c>
      <c r="E76">
        <v>-30</v>
      </c>
    </row>
    <row r="77" spans="2:5" x14ac:dyDescent="0.25">
      <c r="B77">
        <v>76</v>
      </c>
      <c r="C77" t="s">
        <v>124</v>
      </c>
      <c r="D77" t="s">
        <v>57</v>
      </c>
      <c r="E77" s="33">
        <v>0.91468797064200003</v>
      </c>
    </row>
    <row r="78" spans="2:5" x14ac:dyDescent="0.25">
      <c r="B78">
        <v>77</v>
      </c>
      <c r="C78" t="s">
        <v>125</v>
      </c>
      <c r="D78" t="s">
        <v>57</v>
      </c>
      <c r="E78">
        <v>-1.1830909132</v>
      </c>
    </row>
    <row r="79" spans="2:5" x14ac:dyDescent="0.25">
      <c r="B79">
        <v>78</v>
      </c>
      <c r="C79" t="s">
        <v>126</v>
      </c>
      <c r="D79" t="s">
        <v>57</v>
      </c>
      <c r="E79">
        <v>1.4576625009499999</v>
      </c>
    </row>
    <row r="80" spans="2:5" x14ac:dyDescent="0.25">
      <c r="B80">
        <v>79</v>
      </c>
      <c r="C80" t="s">
        <v>127</v>
      </c>
      <c r="D80" t="s">
        <v>57</v>
      </c>
      <c r="E80">
        <v>-1.62636517084</v>
      </c>
    </row>
    <row r="81" spans="2:6" x14ac:dyDescent="0.25">
      <c r="B81">
        <v>80</v>
      </c>
      <c r="C81" t="s">
        <v>128</v>
      </c>
      <c r="D81" t="s">
        <v>57</v>
      </c>
      <c r="E81">
        <v>0</v>
      </c>
    </row>
    <row r="82" spans="2:6" x14ac:dyDescent="0.25">
      <c r="B82">
        <v>101</v>
      </c>
      <c r="C82" t="s">
        <v>378</v>
      </c>
      <c r="D82" t="s">
        <v>57</v>
      </c>
      <c r="E82">
        <v>0</v>
      </c>
      <c r="F82" s="33"/>
    </row>
    <row r="83" spans="2:6" x14ac:dyDescent="0.25">
      <c r="B83">
        <v>102</v>
      </c>
      <c r="C83" t="s">
        <v>379</v>
      </c>
      <c r="D83" t="s">
        <v>57</v>
      </c>
      <c r="E83">
        <v>6.1585552388600001E-2</v>
      </c>
      <c r="F83" s="33"/>
    </row>
    <row r="84" spans="2:6" x14ac:dyDescent="0.25">
      <c r="B84">
        <v>103</v>
      </c>
      <c r="C84" s="33" t="s">
        <v>380</v>
      </c>
      <c r="D84" s="33" t="s">
        <v>57</v>
      </c>
      <c r="E84" s="33">
        <v>-0.17738509358310001</v>
      </c>
      <c r="F84" s="33"/>
    </row>
    <row r="85" spans="2:6" x14ac:dyDescent="0.25">
      <c r="B85">
        <v>104</v>
      </c>
      <c r="C85" s="33" t="s">
        <v>381</v>
      </c>
      <c r="D85" s="33" t="s">
        <v>57</v>
      </c>
      <c r="E85" s="33">
        <v>0.2419007637824</v>
      </c>
    </row>
    <row r="86" spans="2:6" x14ac:dyDescent="0.25">
      <c r="B86">
        <v>105</v>
      </c>
      <c r="C86" s="33" t="s">
        <v>382</v>
      </c>
      <c r="D86" s="33" t="s">
        <v>57</v>
      </c>
      <c r="E86" s="33">
        <v>-3.3705109193499998E-2</v>
      </c>
    </row>
    <row r="87" spans="2:6" x14ac:dyDescent="0.25">
      <c r="B87">
        <v>106</v>
      </c>
      <c r="C87" t="s">
        <v>383</v>
      </c>
      <c r="D87" t="s">
        <v>57</v>
      </c>
      <c r="E87">
        <v>0.1143372177009</v>
      </c>
      <c r="F87" s="33"/>
    </row>
    <row r="88" spans="2:6" x14ac:dyDescent="0.25">
      <c r="B88">
        <v>107</v>
      </c>
      <c r="C88" t="s">
        <v>384</v>
      </c>
      <c r="D88" t="s">
        <v>57</v>
      </c>
      <c r="E88">
        <v>0.29549776405130002</v>
      </c>
      <c r="F88" s="33"/>
    </row>
    <row r="89" spans="2:6" x14ac:dyDescent="0.25">
      <c r="B89">
        <v>108</v>
      </c>
      <c r="C89" s="33" t="s">
        <v>385</v>
      </c>
      <c r="D89" s="33" t="s">
        <v>57</v>
      </c>
      <c r="E89" s="33">
        <v>-0.24958234591280001</v>
      </c>
    </row>
    <row r="90" spans="2:6" x14ac:dyDescent="0.25">
      <c r="B90">
        <v>109</v>
      </c>
      <c r="C90" s="33" t="s">
        <v>386</v>
      </c>
      <c r="D90" s="39" t="s">
        <v>57</v>
      </c>
      <c r="E90" s="33">
        <v>0.1613318461263</v>
      </c>
    </row>
    <row r="91" spans="2:6" x14ac:dyDescent="0.25">
      <c r="B91">
        <v>110</v>
      </c>
      <c r="C91" t="s">
        <v>387</v>
      </c>
      <c r="D91" t="s">
        <v>57</v>
      </c>
      <c r="E91">
        <v>-4.5588844644699998E-2</v>
      </c>
    </row>
    <row r="92" spans="2:6" x14ac:dyDescent="0.25">
      <c r="B92">
        <v>111</v>
      </c>
      <c r="C92" t="s">
        <v>388</v>
      </c>
      <c r="D92" t="s">
        <v>57</v>
      </c>
      <c r="E92">
        <v>-0.14910096747439999</v>
      </c>
    </row>
    <row r="93" spans="2:6" x14ac:dyDescent="0.25">
      <c r="B93">
        <v>112</v>
      </c>
      <c r="C93" t="s">
        <v>389</v>
      </c>
      <c r="D93" t="s">
        <v>57</v>
      </c>
      <c r="E93">
        <v>0.17468608903999999</v>
      </c>
    </row>
    <row r="94" spans="2:6" x14ac:dyDescent="0.25">
      <c r="B94">
        <v>113</v>
      </c>
      <c r="C94" t="s">
        <v>390</v>
      </c>
      <c r="D94" t="s">
        <v>57</v>
      </c>
      <c r="E94">
        <v>1.3048994599762</v>
      </c>
    </row>
    <row r="95" spans="2:6" x14ac:dyDescent="0.25">
      <c r="B95">
        <v>114</v>
      </c>
      <c r="C95" t="s">
        <v>391</v>
      </c>
      <c r="D95" t="s">
        <v>57</v>
      </c>
      <c r="E95">
        <v>4.9409553856600001E-2</v>
      </c>
    </row>
    <row r="96" spans="2:6" x14ac:dyDescent="0.25">
      <c r="B96">
        <v>115</v>
      </c>
      <c r="C96" t="s">
        <v>392</v>
      </c>
      <c r="D96" t="s">
        <v>57</v>
      </c>
      <c r="E96">
        <v>0.21697886195819999</v>
      </c>
    </row>
    <row r="97" spans="2:11" x14ac:dyDescent="0.25">
      <c r="B97">
        <v>116</v>
      </c>
      <c r="C97" t="s">
        <v>393</v>
      </c>
      <c r="D97" t="s">
        <v>57</v>
      </c>
      <c r="E97">
        <v>-0.46096256471820002</v>
      </c>
    </row>
    <row r="98" spans="2:11" x14ac:dyDescent="0.25">
      <c r="B98">
        <v>117</v>
      </c>
      <c r="C98" t="s">
        <v>394</v>
      </c>
      <c r="D98" t="s">
        <v>57</v>
      </c>
      <c r="E98">
        <v>-6.5598826231399995E-2</v>
      </c>
    </row>
    <row r="99" spans="2:11" x14ac:dyDescent="0.25">
      <c r="B99">
        <v>118</v>
      </c>
      <c r="C99" t="s">
        <v>395</v>
      </c>
      <c r="D99" t="s">
        <v>57</v>
      </c>
      <c r="E99">
        <v>0.30646725571720002</v>
      </c>
    </row>
    <row r="100" spans="2:11" x14ac:dyDescent="0.25">
      <c r="B100">
        <v>119</v>
      </c>
      <c r="C100" t="s">
        <v>396</v>
      </c>
      <c r="D100" t="s">
        <v>57</v>
      </c>
      <c r="E100">
        <v>0.1628137198364</v>
      </c>
    </row>
    <row r="101" spans="2:11" x14ac:dyDescent="0.25">
      <c r="B101">
        <v>120</v>
      </c>
      <c r="C101" t="s">
        <v>397</v>
      </c>
      <c r="D101" t="s">
        <v>57</v>
      </c>
      <c r="E101">
        <v>-0.40270863939919999</v>
      </c>
    </row>
    <row r="102" spans="2:11" x14ac:dyDescent="0.25">
      <c r="B102">
        <v>121</v>
      </c>
      <c r="C102" t="s">
        <v>419</v>
      </c>
      <c r="D102" t="s">
        <v>57</v>
      </c>
      <c r="E102">
        <v>-0.47819038789149998</v>
      </c>
    </row>
    <row r="103" spans="2:11" x14ac:dyDescent="0.25">
      <c r="B103">
        <v>122</v>
      </c>
      <c r="C103" t="s">
        <v>420</v>
      </c>
      <c r="D103" t="s">
        <v>57</v>
      </c>
      <c r="E103">
        <v>-1.0119832457914</v>
      </c>
    </row>
    <row r="104" spans="2:11" x14ac:dyDescent="0.25">
      <c r="B104">
        <v>98</v>
      </c>
      <c r="C104" s="33" t="s">
        <v>130</v>
      </c>
      <c r="D104" s="33" t="s">
        <v>94</v>
      </c>
      <c r="E104" s="33">
        <v>0.196143079927</v>
      </c>
    </row>
    <row r="105" spans="2:11" x14ac:dyDescent="0.25">
      <c r="B105">
        <v>-1</v>
      </c>
    </row>
    <row r="106" spans="2:11" x14ac:dyDescent="0.25">
      <c r="B106">
        <v>4094</v>
      </c>
      <c r="C106" s="33">
        <v>-7858.2822859199996</v>
      </c>
      <c r="D106" s="33">
        <v>-18684.837435699999</v>
      </c>
      <c r="E106" s="33">
        <v>-15176.5511826</v>
      </c>
    </row>
    <row r="107" spans="2:11" x14ac:dyDescent="0.25">
      <c r="B107">
        <v>4</v>
      </c>
      <c r="C107" t="s">
        <v>309</v>
      </c>
      <c r="D107" t="s">
        <v>232</v>
      </c>
      <c r="E107">
        <v>5</v>
      </c>
      <c r="F107" t="s">
        <v>308</v>
      </c>
      <c r="G107">
        <v>12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-93357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21016</v>
      </c>
    </row>
    <row r="182" spans="2:11" x14ac:dyDescent="0.25">
      <c r="B182">
        <v>-15064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61408</v>
      </c>
      <c r="J185">
        <v>-67476</v>
      </c>
      <c r="K185">
        <v>11445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2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2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2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2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2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2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2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2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2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2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2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2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2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2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</row>
    <row r="350" spans="2:11" x14ac:dyDescent="0.2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2:11" x14ac:dyDescent="0.2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2:11" x14ac:dyDescent="0.2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2:11" x14ac:dyDescent="0.2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2:11" x14ac:dyDescent="0.2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2:11" x14ac:dyDescent="0.2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</row>
    <row r="357" spans="2:11" x14ac:dyDescent="0.25"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</row>
    <row r="358" spans="2:11" x14ac:dyDescent="0.25"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</row>
    <row r="359" spans="2:11" x14ac:dyDescent="0.25"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</row>
    <row r="360" spans="2:11" x14ac:dyDescent="0.25"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</row>
    <row r="361" spans="2:11" x14ac:dyDescent="0.25"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</row>
    <row r="362" spans="2:11" x14ac:dyDescent="0.25"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</row>
    <row r="363" spans="2:11" x14ac:dyDescent="0.25"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</row>
    <row r="364" spans="2:11" x14ac:dyDescent="0.25"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</row>
    <row r="365" spans="2:11" x14ac:dyDescent="0.25"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2:11" x14ac:dyDescent="0.25"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2:11" x14ac:dyDescent="0.25">
      <c r="B367">
        <v>0</v>
      </c>
      <c r="C367">
        <v>0</v>
      </c>
      <c r="D367">
        <v>99207</v>
      </c>
      <c r="E367">
        <v>-91957</v>
      </c>
      <c r="F367">
        <v>23803</v>
      </c>
      <c r="G367">
        <v>66371</v>
      </c>
      <c r="H367">
        <v>0</v>
      </c>
      <c r="I367">
        <v>0</v>
      </c>
      <c r="J367">
        <v>0</v>
      </c>
      <c r="K367">
        <v>0</v>
      </c>
    </row>
    <row r="368" spans="2:11" x14ac:dyDescent="0.25"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2:11" x14ac:dyDescent="0.25"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2:11" x14ac:dyDescent="0.25"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</row>
    <row r="371" spans="2:11" x14ac:dyDescent="0.25"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2:11" x14ac:dyDescent="0.25"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</row>
    <row r="373" spans="2:11" x14ac:dyDescent="0.25"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</row>
    <row r="374" spans="2:11" x14ac:dyDescent="0.25"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</row>
    <row r="375" spans="2:11" x14ac:dyDescent="0.25"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</row>
    <row r="376" spans="2:11" x14ac:dyDescent="0.25">
      <c r="B376">
        <v>0</v>
      </c>
      <c r="C376">
        <v>-53851</v>
      </c>
      <c r="D376">
        <v>-1875</v>
      </c>
      <c r="E376">
        <v>0</v>
      </c>
      <c r="F376">
        <v>0</v>
      </c>
      <c r="G376">
        <v>-21781</v>
      </c>
      <c r="H376">
        <v>-20280</v>
      </c>
      <c r="I376">
        <v>-42228</v>
      </c>
      <c r="J376">
        <v>-2163</v>
      </c>
      <c r="K376">
        <v>-1012</v>
      </c>
    </row>
    <row r="377" spans="2:11" x14ac:dyDescent="0.25">
      <c r="B377">
        <v>-3960</v>
      </c>
      <c r="C377">
        <v>-2366</v>
      </c>
      <c r="D377">
        <v>300</v>
      </c>
      <c r="E377">
        <v>3832</v>
      </c>
      <c r="F377">
        <v>-1611</v>
      </c>
      <c r="G377">
        <v>0</v>
      </c>
      <c r="H377">
        <v>0</v>
      </c>
      <c r="I377">
        <v>0</v>
      </c>
      <c r="J377">
        <v>-6123</v>
      </c>
      <c r="K377">
        <v>-8113</v>
      </c>
    </row>
    <row r="378" spans="2:11" x14ac:dyDescent="0.25">
      <c r="B378">
        <v>0</v>
      </c>
      <c r="C378">
        <v>228</v>
      </c>
      <c r="D378">
        <v>0</v>
      </c>
      <c r="E378">
        <v>-699</v>
      </c>
      <c r="F378">
        <v>0</v>
      </c>
      <c r="G378">
        <v>1524</v>
      </c>
      <c r="H378">
        <v>-6490</v>
      </c>
      <c r="I378">
        <v>0</v>
      </c>
      <c r="J378">
        <v>4309</v>
      </c>
      <c r="K378">
        <v>1098</v>
      </c>
    </row>
    <row r="379" spans="2:11" x14ac:dyDescent="0.25">
      <c r="B379">
        <v>2508</v>
      </c>
      <c r="C379">
        <v>0</v>
      </c>
      <c r="D379">
        <v>0</v>
      </c>
      <c r="E379">
        <v>-12322</v>
      </c>
      <c r="F379">
        <v>0</v>
      </c>
      <c r="G379">
        <v>0</v>
      </c>
      <c r="H379">
        <v>0</v>
      </c>
      <c r="I379">
        <v>10347</v>
      </c>
      <c r="J379">
        <v>0</v>
      </c>
      <c r="K379">
        <v>52376</v>
      </c>
    </row>
    <row r="380" spans="2:11" x14ac:dyDescent="0.25">
      <c r="B380">
        <v>0</v>
      </c>
      <c r="C380">
        <v>0</v>
      </c>
      <c r="D380">
        <v>0</v>
      </c>
      <c r="E380">
        <v>0</v>
      </c>
      <c r="F380">
        <v>-31826</v>
      </c>
      <c r="G380">
        <v>-30459</v>
      </c>
      <c r="H380">
        <v>-31188</v>
      </c>
      <c r="I380">
        <v>0</v>
      </c>
      <c r="J380">
        <v>-28742</v>
      </c>
      <c r="K380">
        <v>-30971</v>
      </c>
    </row>
    <row r="381" spans="2:11" x14ac:dyDescent="0.25">
      <c r="B381">
        <v>-30536</v>
      </c>
      <c r="C381">
        <v>-29277</v>
      </c>
      <c r="D381">
        <v>-28272</v>
      </c>
      <c r="E381">
        <v>-26510</v>
      </c>
      <c r="F381">
        <v>-25917</v>
      </c>
      <c r="G381">
        <v>0</v>
      </c>
      <c r="H381">
        <v>-4294</v>
      </c>
      <c r="I381">
        <v>-13158</v>
      </c>
      <c r="J381">
        <v>-19171</v>
      </c>
      <c r="K381">
        <v>-20363</v>
      </c>
    </row>
    <row r="382" spans="2:11" x14ac:dyDescent="0.25">
      <c r="B382">
        <v>-6903</v>
      </c>
      <c r="C382">
        <v>0</v>
      </c>
      <c r="D382">
        <v>-17686</v>
      </c>
      <c r="E382">
        <v>-23766</v>
      </c>
      <c r="F382">
        <v>0</v>
      </c>
      <c r="G382">
        <v>-17253</v>
      </c>
      <c r="H382">
        <v>-24236</v>
      </c>
      <c r="I382">
        <v>-18126</v>
      </c>
      <c r="J382">
        <v>0</v>
      </c>
      <c r="K382">
        <v>41</v>
      </c>
    </row>
    <row r="383" spans="2:11" x14ac:dyDescent="0.25">
      <c r="B383">
        <v>0</v>
      </c>
      <c r="C383">
        <v>0</v>
      </c>
      <c r="D383">
        <v>0</v>
      </c>
      <c r="E383">
        <v>-894</v>
      </c>
      <c r="F383">
        <v>0</v>
      </c>
      <c r="G383">
        <v>0</v>
      </c>
    </row>
    <row r="384" spans="2:11" x14ac:dyDescent="0.25">
      <c r="B384">
        <v>0</v>
      </c>
      <c r="C384">
        <v>0</v>
      </c>
      <c r="D384">
        <v>-4019</v>
      </c>
      <c r="E384">
        <v>0</v>
      </c>
      <c r="F384">
        <v>0</v>
      </c>
      <c r="G384">
        <v>0</v>
      </c>
    </row>
  </sheetData>
  <pageMargins bottom="0.75" footer="0.3" header="0.3" left="0.7" right="0.7" top="0.75"/>
  <pageSetup orientation="portrait"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DC403"/>
  <sheetViews>
    <sheetView topLeftCell="AG1" workbookViewId="0">
      <selection activeCell="O20" sqref="O20"/>
    </sheetView>
  </sheetViews>
  <sheetFormatPr defaultRowHeight="15" x14ac:dyDescent="0.25"/>
  <cols>
    <col min="3" max="3" bestFit="true" customWidth="true" width="19.28515625" collapsed="true"/>
    <col min="5" max="5" bestFit="true" customWidth="true" width="10.5703125" collapsed="true"/>
    <col min="6" max="6" bestFit="true" customWidth="true" width="9.0" collapsed="true"/>
    <col min="14" max="14" bestFit="true" customWidth="true" width="10.42578125" collapsed="true"/>
    <col min="16" max="16" bestFit="true" customWidth="true" width="10.28515625" collapsed="true"/>
    <col min="17" max="17" bestFit="true" customWidth="true" width="15.7109375" collapsed="true"/>
    <col min="18" max="18" bestFit="true" customWidth="true" width="7.0" collapsed="true"/>
    <col min="19" max="19" bestFit="true" customWidth="true" width="10.140625" collapsed="true"/>
    <col min="21" max="21" bestFit="true" customWidth="true" width="12.28515625" collapsed="true"/>
    <col min="22" max="23" bestFit="true" customWidth="true" width="11.5703125" collapsed="true"/>
    <col min="24" max="24" bestFit="true" customWidth="true" width="9.85546875" collapsed="true"/>
    <col min="25" max="25" customWidth="true" width="10.0" collapsed="true"/>
    <col min="26" max="26" customWidth="true" width="12.42578125" collapsed="true"/>
    <col min="27" max="27" bestFit="true" customWidth="true" width="15.7109375" collapsed="true"/>
    <col min="28" max="28" bestFit="true" customWidth="true" width="15.28515625" collapsed="true"/>
    <col min="29" max="29" bestFit="true" customWidth="true" width="20.7109375" collapsed="true"/>
    <col min="30" max="30" bestFit="true" customWidth="true" width="12.85546875" collapsed="true"/>
    <col min="31" max="31" bestFit="true" customWidth="true" width="10.7109375" collapsed="true"/>
    <col min="33" max="33" bestFit="true" customWidth="true" width="10.5703125" collapsed="true"/>
    <col min="34" max="34" bestFit="true" customWidth="true" width="11.28515625" collapsed="true"/>
    <col min="52" max="56" bestFit="true" customWidth="true" width="10.5703125" collapsed="true"/>
    <col min="57" max="57" bestFit="true" customWidth="true" width="11.5703125" collapsed="true"/>
    <col min="58" max="58" bestFit="true" customWidth="true" width="10.5703125" collapsed="true"/>
    <col min="59" max="59" bestFit="true" customWidth="true" width="9.5703125" collapsed="true"/>
    <col min="60" max="62" bestFit="true" customWidth="true" width="10.5703125" collapsed="true"/>
    <col min="63" max="63" bestFit="true" customWidth="true" width="11.5703125" collapsed="true"/>
    <col min="64" max="66" bestFit="true" customWidth="true" width="10.5703125" collapsed="true"/>
    <col min="67" max="67" bestFit="true" customWidth="true" width="9.5703125" collapsed="true"/>
    <col min="68" max="71" bestFit="true" customWidth="true" width="10.5703125" collapsed="true"/>
    <col min="72" max="72" bestFit="true" customWidth="true" width="9.28515625" collapsed="true"/>
    <col min="73" max="73" bestFit="true" customWidth="true" width="11.5703125" collapsed="true"/>
    <col min="102" max="102" bestFit="true" customWidth="true" width="9.5703125" collapsed="true"/>
  </cols>
  <sheetData>
    <row ht="15.75" r="1" spans="2:106" thickBot="1" x14ac:dyDescent="0.3">
      <c r="L1" s="7"/>
      <c r="M1" s="7"/>
      <c r="N1" s="7"/>
      <c r="O1" s="7"/>
      <c r="CS1" t="s">
        <v>412</v>
      </c>
      <c r="CU1" t="s">
        <v>413</v>
      </c>
      <c r="CV1" t="s">
        <v>411</v>
      </c>
      <c r="CW1" t="s">
        <v>227</v>
      </c>
      <c r="CX1" t="s">
        <v>370</v>
      </c>
      <c r="CY1" t="s">
        <v>348</v>
      </c>
      <c r="CZ1" t="s">
        <v>414</v>
      </c>
      <c r="DA1" t="s">
        <v>415</v>
      </c>
      <c r="DB1" t="s">
        <v>416</v>
      </c>
    </row>
    <row r="2" spans="2:106" x14ac:dyDescent="0.25">
      <c r="B2" s="211" t="s">
        <v>353</v>
      </c>
      <c r="C2" s="215"/>
      <c r="D2" s="216" t="s">
        <v>351</v>
      </c>
      <c r="E2" s="212"/>
      <c r="F2" s="212"/>
      <c r="G2" s="215"/>
      <c r="H2" s="216" t="s">
        <v>352</v>
      </c>
      <c r="I2" s="212"/>
      <c r="J2" s="212"/>
      <c r="K2" s="215"/>
      <c r="L2" s="216" t="s">
        <v>361</v>
      </c>
      <c r="M2" s="212"/>
      <c r="N2" s="212"/>
      <c r="O2" s="215"/>
      <c r="P2" s="216" t="s">
        <v>406</v>
      </c>
      <c r="Q2" s="215"/>
      <c r="R2" s="168"/>
      <c r="S2" s="154"/>
      <c r="T2" s="154"/>
      <c r="U2" s="214"/>
      <c r="V2" s="214"/>
      <c r="W2" s="214"/>
      <c r="X2" s="214"/>
      <c r="Y2" s="214"/>
      <c r="Z2" s="214"/>
      <c r="AA2" s="214"/>
      <c r="AB2" s="214"/>
      <c r="AC2" s="214"/>
      <c r="AD2" s="211" t="s">
        <v>368</v>
      </c>
      <c r="AE2" s="212"/>
      <c r="AF2" s="212"/>
      <c r="AG2" s="212"/>
      <c r="AH2" s="212"/>
      <c r="AI2" s="213"/>
      <c r="CS2">
        <v>20</v>
      </c>
      <c r="CU2">
        <v>1</v>
      </c>
      <c r="CV2">
        <v>1</v>
      </c>
      <c r="CW2">
        <f>MOD(ROW()-2,$CS$2)+1</f>
        <v>1</v>
      </c>
      <c r="CX2" s="58">
        <f>VLOOKUP($CV2,$B$30:$V$49,MATCH($CW2,$B$29:$V$29,0),0)</f>
        <v>1201.5145058187181</v>
      </c>
      <c r="CY2" s="58">
        <f>VLOOKUP($CV2,$AY$30:$BS$49,MATCH($CW2,$AY$29:$BS$29,0),0)</f>
        <v>1361.0000000000005</v>
      </c>
      <c r="CZ2" s="108">
        <f>CY2-CX2</f>
        <v>159.48549418128232</v>
      </c>
      <c r="DA2" s="78">
        <f>CZ2/CX2</f>
        <v>0.13273705261894286</v>
      </c>
      <c r="DB2">
        <v>1000</v>
      </c>
    </row>
    <row r="3" spans="2:106" x14ac:dyDescent="0.25">
      <c r="B3" s="179" t="s">
        <v>354</v>
      </c>
      <c r="C3" s="180" t="s">
        <v>365</v>
      </c>
      <c r="D3" s="181" t="s">
        <v>346</v>
      </c>
      <c r="E3" s="182" t="s">
        <v>360</v>
      </c>
      <c r="F3" s="182" t="s">
        <v>347</v>
      </c>
      <c r="G3" s="182" t="s">
        <v>348</v>
      </c>
      <c r="H3" s="181" t="s">
        <v>346</v>
      </c>
      <c r="I3" s="182" t="s">
        <v>360</v>
      </c>
      <c r="J3" s="182" t="s">
        <v>347</v>
      </c>
      <c r="K3" s="182" t="s">
        <v>348</v>
      </c>
      <c r="L3" s="183" t="s">
        <v>346</v>
      </c>
      <c r="M3" s="184" t="s">
        <v>360</v>
      </c>
      <c r="N3" s="184" t="s">
        <v>364</v>
      </c>
      <c r="O3" s="185" t="s">
        <v>348</v>
      </c>
      <c r="P3" s="186" t="s">
        <v>355</v>
      </c>
      <c r="Q3" s="187" t="s">
        <v>357</v>
      </c>
      <c r="R3" s="188" t="s">
        <v>366</v>
      </c>
      <c r="T3" s="138"/>
      <c r="U3" s="199"/>
      <c r="V3" s="199"/>
      <c r="W3" s="199"/>
      <c r="X3" s="199"/>
      <c r="Y3" s="200"/>
      <c r="Z3" s="199"/>
      <c r="AA3" s="199"/>
      <c r="AB3" s="199"/>
      <c r="AC3" s="199"/>
      <c r="AD3" s="193" t="s">
        <v>402</v>
      </c>
      <c r="AE3" s="184" t="s">
        <v>367</v>
      </c>
      <c r="AF3" s="189" t="s">
        <v>369</v>
      </c>
      <c r="AG3" s="189" t="s">
        <v>403</v>
      </c>
      <c r="AH3" s="189" t="s">
        <v>404</v>
      </c>
      <c r="AI3" s="190" t="s">
        <v>269</v>
      </c>
      <c r="AK3" s="90" t="s">
        <v>405</v>
      </c>
      <c r="CU3" s="95">
        <v>2</v>
      </c>
      <c r="CV3" s="95">
        <f>IF(CW2&lt;$CS$2,CV2,CV2+1)</f>
        <v>1</v>
      </c>
      <c r="CW3" s="95">
        <f ref="CW3:CW66" si="0" t="shared">MOD(ROW()-2,$CS$2)+1</f>
        <v>2</v>
      </c>
      <c r="CX3" s="58">
        <f ref="CX3:CX66" si="1" t="shared">VLOOKUP($CV3,$B$30:$V$49,MATCH($CW3,$B$29:$V$29,0),0)</f>
        <v>308.49696771021144</v>
      </c>
      <c r="CY3" s="58">
        <f ref="CY3:CY66" si="2" t="shared">VLOOKUP($CV3,$AY$30:$BS$49,MATCH($CW3,$AY$29:$BS$29,0),0)</f>
        <v>288.00000000000011</v>
      </c>
      <c r="CZ3" s="108">
        <f ref="CZ3:CZ66" si="3" t="shared">CY3-CX3</f>
        <v>-20.496967710211322</v>
      </c>
      <c r="DA3" s="78">
        <f ref="DA3:DA66" si="4" t="shared">CZ3/CX3</f>
        <v>-6.644139118237713E-2</v>
      </c>
      <c r="DB3" s="95">
        <v>2000</v>
      </c>
    </row>
    <row r="4" spans="2:106" x14ac:dyDescent="0.25">
      <c r="B4" s="169">
        <v>1</v>
      </c>
      <c r="C4" s="170" t="s">
        <v>326</v>
      </c>
      <c r="D4" s="132">
        <f>County_Flow!BX22</f>
        <v>59653.544440759513</v>
      </c>
      <c r="E4" s="133">
        <f>County_Flow!BY22</f>
        <v>40646.598554106436</v>
      </c>
      <c r="F4" s="133">
        <f>County_Flow!BZ22</f>
        <v>51288</v>
      </c>
      <c r="G4" s="134">
        <f>County_Flow!CA22</f>
        <v>49682</v>
      </c>
      <c r="H4" s="132">
        <f>County_Flow!CB22</f>
        <v>71768.093765829864</v>
      </c>
      <c r="I4" s="133">
        <f>County_Flow!CC22</f>
        <v>24843.661500699181</v>
      </c>
      <c r="J4" s="133">
        <f>County_Flow!CD22</f>
        <v>49826.091080591927</v>
      </c>
      <c r="K4" s="134">
        <f>County_Flow!CE22</f>
        <v>49682</v>
      </c>
      <c r="L4" s="100">
        <f>County_Flow!CF22</f>
        <v>0.10651245735504584</v>
      </c>
      <c r="M4" s="100">
        <f>County_Flow!CG22</f>
        <v>3.6870972841643181E-2</v>
      </c>
      <c r="N4" s="104">
        <f>County_Flow!CH22</f>
        <v>7.3947894153446034E-2</v>
      </c>
      <c r="O4" s="150">
        <f>County_Flow!CI22</f>
        <v>7.3734045710893439E-2</v>
      </c>
      <c r="P4" s="125">
        <f>County_Flow!CJ22</f>
        <v>-2.1384844255259439E-4</v>
      </c>
      <c r="Q4" s="121">
        <f>County_Flow!CK22</f>
        <v>-2.8918800866570967E-3</v>
      </c>
      <c r="R4" s="171">
        <f>N4/O4</f>
        <v>1.0029002673119427</v>
      </c>
      <c r="S4" s="140"/>
      <c r="T4" s="201"/>
      <c r="U4" s="202"/>
      <c r="V4" s="203"/>
      <c r="W4" s="203"/>
      <c r="X4" s="204"/>
      <c r="Y4" s="30"/>
      <c r="Z4" s="30"/>
      <c r="AA4" s="100"/>
      <c r="AB4" s="165"/>
      <c r="AC4" s="165"/>
      <c r="AD4" s="194">
        <v>101</v>
      </c>
      <c r="AE4" s="192">
        <f>LN(R4)</f>
        <v>2.8960696509697085E-3</v>
      </c>
      <c r="AF4" s="164">
        <f ref="AF4:AF23" si="5" t="shared">AE4-AE$4</f>
        <v>0</v>
      </c>
      <c r="AG4" s="7">
        <f>VLOOKUP(AD4,calibration_dist!$T:$W,3,FALSE)</f>
        <v>0</v>
      </c>
      <c r="AH4" s="167">
        <f>AG4+AF4*AI4</f>
        <v>0</v>
      </c>
      <c r="AI4" s="174">
        <v>1</v>
      </c>
      <c r="CU4" s="95">
        <v>3</v>
      </c>
      <c r="CV4" s="95">
        <f ref="CV4:CV67" si="6" t="shared">IF(CW3&lt;$CS$2,CV3,CV3+1)</f>
        <v>1</v>
      </c>
      <c r="CW4" s="95">
        <f si="0" t="shared"/>
        <v>3</v>
      </c>
      <c r="CX4" s="58">
        <f si="1" t="shared"/>
        <v>166.42599573840354</v>
      </c>
      <c r="CY4" s="58">
        <f si="2" t="shared"/>
        <v>162.00000000000006</v>
      </c>
      <c r="CZ4" s="108">
        <f si="3" t="shared"/>
        <v>-4.4259957384034863</v>
      </c>
      <c r="DA4" s="78">
        <f si="4" t="shared"/>
        <v>-2.65943773913811E-2</v>
      </c>
      <c r="DB4" s="95">
        <v>3000</v>
      </c>
    </row>
    <row r="5" spans="2:106" x14ac:dyDescent="0.25">
      <c r="B5" s="144">
        <v>2</v>
      </c>
      <c r="C5" s="170" t="s">
        <v>327</v>
      </c>
      <c r="D5" s="115">
        <f>County_Flow!BX23</f>
        <v>23682.665169572778</v>
      </c>
      <c r="E5" s="116">
        <f>County_Flow!BY23</f>
        <v>42317.179366221637</v>
      </c>
      <c r="F5" s="116">
        <f>County_Flow!BZ23</f>
        <v>34948</v>
      </c>
      <c r="G5" s="123">
        <f>County_Flow!CA23</f>
        <v>34115</v>
      </c>
      <c r="H5" s="115">
        <f>County_Flow!CB23</f>
        <v>28492.183498040809</v>
      </c>
      <c r="I5" s="116">
        <f>County_Flow!CC23</f>
        <v>25864.739418215606</v>
      </c>
      <c r="J5" s="116">
        <f>County_Flow!CD23</f>
        <v>33819.719318941352</v>
      </c>
      <c r="K5" s="123">
        <f>County_Flow!CE23</f>
        <v>34115</v>
      </c>
      <c r="L5" s="100">
        <f>County_Flow!CF23</f>
        <v>4.2285817005106585E-2</v>
      </c>
      <c r="M5" s="100">
        <f>County_Flow!CG23</f>
        <v>3.8386374915725142E-2</v>
      </c>
      <c r="N5" s="104">
        <f>County_Flow!CH23</f>
        <v>5.0192519024846186E-2</v>
      </c>
      <c r="O5" s="150">
        <f>County_Flow!CI23</f>
        <v>5.0630750964677944E-2</v>
      </c>
      <c r="P5" s="125">
        <f>County_Flow!CJ23</f>
        <v>4.3823193983175829E-4</v>
      </c>
      <c r="Q5" s="121">
        <f>County_Flow!CK23</f>
        <v>8.7310210434913549E-3</v>
      </c>
      <c r="R5" s="171">
        <f ref="R5:R23" si="7" t="shared">N5/O5</f>
        <v>0.99134454987370246</v>
      </c>
      <c r="S5" s="140"/>
      <c r="T5" s="201"/>
      <c r="U5" s="202"/>
      <c r="V5" s="203"/>
      <c r="W5" s="203"/>
      <c r="X5" s="204"/>
      <c r="Y5" s="30"/>
      <c r="Z5" s="30"/>
      <c r="AA5" s="100"/>
      <c r="AB5" s="165"/>
      <c r="AC5" s="165"/>
      <c r="AD5" s="194">
        <v>102</v>
      </c>
      <c r="AE5" s="163">
        <f ref="AE5:AE23" si="8" t="shared">LN(R5)</f>
        <v>-8.6931260939181101E-3</v>
      </c>
      <c r="AF5" s="164">
        <f si="5" t="shared"/>
        <v>-1.1589195744887818E-2</v>
      </c>
      <c r="AG5" s="7">
        <f>VLOOKUP(AD5,calibration_dist!$T:$W,3,FALSE)</f>
        <v>6.1585552388600001E-2</v>
      </c>
      <c r="AH5" s="167">
        <f ref="AH5:AH23" si="9" t="shared">AG5+AF5*AI5</f>
        <v>4.9996356643712186E-2</v>
      </c>
      <c r="AI5" s="174">
        <v>1</v>
      </c>
      <c r="AK5" s="108">
        <f>MIN($U$26)</f>
        <v>0</v>
      </c>
      <c r="CU5" s="95">
        <v>4</v>
      </c>
      <c r="CV5" s="95">
        <f si="6" t="shared"/>
        <v>1</v>
      </c>
      <c r="CW5" s="95">
        <f si="0" t="shared"/>
        <v>4</v>
      </c>
      <c r="CX5" s="58">
        <f si="1" t="shared"/>
        <v>150.18931322733977</v>
      </c>
      <c r="CY5" s="58">
        <f si="2" t="shared"/>
        <v>257.00000000000011</v>
      </c>
      <c r="CZ5" s="108">
        <f si="3" t="shared"/>
        <v>106.81068677266035</v>
      </c>
      <c r="DA5" s="78">
        <f si="4" t="shared"/>
        <v>0.71117368125242231</v>
      </c>
      <c r="DB5" s="95">
        <v>4000</v>
      </c>
    </row>
    <row r="6" spans="2:106" x14ac:dyDescent="0.25">
      <c r="B6" s="144">
        <v>3</v>
      </c>
      <c r="C6" s="170" t="s">
        <v>328</v>
      </c>
      <c r="D6" s="115">
        <f>County_Flow!BX24</f>
        <v>14920.556829080699</v>
      </c>
      <c r="E6" s="116">
        <f>County_Flow!BY24</f>
        <v>44705.600948499537</v>
      </c>
      <c r="F6" s="116">
        <f>County_Flow!BZ24</f>
        <v>19462</v>
      </c>
      <c r="G6" s="123">
        <f>County_Flow!CA24</f>
        <v>18351</v>
      </c>
      <c r="H6" s="115">
        <f>County_Flow!CB24</f>
        <v>17950.650402865198</v>
      </c>
      <c r="I6" s="116">
        <f>County_Flow!CC24</f>
        <v>27324.569746504709</v>
      </c>
      <c r="J6" s="116">
        <f>County_Flow!CD24</f>
        <v>18582.417499791751</v>
      </c>
      <c r="K6" s="123">
        <f>County_Flow!CE24</f>
        <v>18351</v>
      </c>
      <c r="L6" s="100">
        <f>County_Flow!CF24</f>
        <v>2.664091778400891E-2</v>
      </c>
      <c r="M6" s="100">
        <f>County_Flow!CG24</f>
        <v>4.0552938181218023E-2</v>
      </c>
      <c r="N6" s="104">
        <f>County_Flow!CH24</f>
        <v>2.7578535915392926E-2</v>
      </c>
      <c r="O6" s="150">
        <f>County_Flow!CI24</f>
        <v>2.7235084594835264E-2</v>
      </c>
      <c r="P6" s="125">
        <f>County_Flow!CJ24</f>
        <v>-3.4345132055766184E-4</v>
      </c>
      <c r="Q6" s="121">
        <f>County_Flow!CK24</f>
        <v>-1.2453573373558322E-2</v>
      </c>
      <c r="R6" s="171">
        <f si="7" t="shared"/>
        <v>1.0126106206632746</v>
      </c>
      <c r="S6" s="140"/>
      <c r="T6" s="201"/>
      <c r="U6" s="202"/>
      <c r="V6" s="203"/>
      <c r="W6" s="203"/>
      <c r="X6" s="204"/>
      <c r="Y6" s="30"/>
      <c r="Z6" s="30"/>
      <c r="AA6" s="100"/>
      <c r="AB6" s="165"/>
      <c r="AC6" s="165"/>
      <c r="AD6" s="194">
        <v>103</v>
      </c>
      <c r="AE6" s="163">
        <f si="8" t="shared"/>
        <v>1.2531769006740575E-2</v>
      </c>
      <c r="AF6" s="164">
        <f si="5" t="shared"/>
        <v>9.6356993557708669E-3</v>
      </c>
      <c r="AG6" s="7">
        <f>VLOOKUP(AD6,calibration_dist!$T:$W,3,FALSE)</f>
        <v>-0.17738509358310001</v>
      </c>
      <c r="AH6" s="167">
        <f si="9" t="shared"/>
        <v>-0.16774939422732915</v>
      </c>
      <c r="AI6" s="174">
        <v>1</v>
      </c>
      <c r="AK6">
        <f>COUNT($U$4:$U$23)</f>
        <v>0</v>
      </c>
      <c r="CU6" s="95">
        <v>5</v>
      </c>
      <c r="CV6" s="95">
        <f si="6" t="shared"/>
        <v>1</v>
      </c>
      <c r="CW6" s="95">
        <f si="0" t="shared"/>
        <v>5</v>
      </c>
      <c r="CX6" s="58">
        <f si="1" t="shared"/>
        <v>174.54433699393545</v>
      </c>
      <c r="CY6" s="58">
        <f si="2" t="shared"/>
        <v>229.00000000000009</v>
      </c>
      <c r="CZ6" s="108">
        <f si="3" t="shared"/>
        <v>54.45566300606464</v>
      </c>
      <c r="DA6" s="78">
        <f si="4" t="shared"/>
        <v>0.31198756684931406</v>
      </c>
      <c r="DB6" s="95">
        <v>5000</v>
      </c>
    </row>
    <row r="7" spans="2:106" x14ac:dyDescent="0.25">
      <c r="B7" s="144">
        <v>4</v>
      </c>
      <c r="C7" s="170" t="s">
        <v>329</v>
      </c>
      <c r="D7" s="115">
        <f>County_Flow!BX25</f>
        <v>17534.852697132013</v>
      </c>
      <c r="E7" s="116">
        <f>County_Flow!BY25</f>
        <v>25156.048569777733</v>
      </c>
      <c r="F7" s="116">
        <f>County_Flow!BZ25</f>
        <v>17033</v>
      </c>
      <c r="G7" s="123">
        <f>County_Flow!CA25</f>
        <v>16035</v>
      </c>
      <c r="H7" s="115">
        <f>County_Flow!CB25</f>
        <v>21095.862187828829</v>
      </c>
      <c r="I7" s="116">
        <f>County_Flow!CC25</f>
        <v>15375.66186579631</v>
      </c>
      <c r="J7" s="116">
        <f>County_Flow!CD25</f>
        <v>16236.883961394382</v>
      </c>
      <c r="K7" s="123">
        <f>County_Flow!CE25</f>
        <v>16035</v>
      </c>
      <c r="L7" s="100">
        <f>County_Flow!CF25</f>
        <v>3.1308789236908337E-2</v>
      </c>
      <c r="M7" s="100">
        <f>County_Flow!CG25</f>
        <v>2.2819326010383358E-2</v>
      </c>
      <c r="N7" s="104">
        <f>County_Flow!CH25</f>
        <v>2.4097482875325593E-2</v>
      </c>
      <c r="O7" s="150">
        <f>County_Flow!CI25</f>
        <v>2.3797862867319681E-2</v>
      </c>
      <c r="P7" s="125">
        <f>County_Flow!CJ25</f>
        <v>-2.9962000800591235E-4</v>
      </c>
      <c r="Q7" s="121">
        <f>County_Flow!CK25</f>
        <v>-1.243366411156175E-2</v>
      </c>
      <c r="R7" s="171">
        <f si="7" t="shared"/>
        <v>1.0125902065104075</v>
      </c>
      <c r="S7" s="140"/>
      <c r="T7" s="201"/>
      <c r="U7" s="202"/>
      <c r="V7" s="203"/>
      <c r="W7" s="203"/>
      <c r="X7" s="204"/>
      <c r="Y7" s="30"/>
      <c r="Z7" s="30"/>
      <c r="AA7" s="100"/>
      <c r="AB7" s="165"/>
      <c r="AC7" s="165"/>
      <c r="AD7" s="194">
        <v>104</v>
      </c>
      <c r="AE7" s="163">
        <f si="8" t="shared"/>
        <v>1.2511608879810149E-2</v>
      </c>
      <c r="AF7" s="164">
        <f si="5" t="shared"/>
        <v>9.6155392288404407E-3</v>
      </c>
      <c r="AG7" s="7">
        <f>VLOOKUP(AD7,calibration_dist!$T:$W,3,FALSE)</f>
        <v>0.2419007637824</v>
      </c>
      <c r="AH7" s="167">
        <f si="9" t="shared"/>
        <v>0.25151630301124045</v>
      </c>
      <c r="AI7" s="174">
        <v>1</v>
      </c>
      <c r="AK7" t="b">
        <f>$AC$160&lt;=1.5</f>
        <v>1</v>
      </c>
      <c r="CU7" s="95">
        <v>6</v>
      </c>
      <c r="CV7" s="95">
        <f si="6" t="shared"/>
        <v>1</v>
      </c>
      <c r="CW7" s="95">
        <f si="0" t="shared"/>
        <v>6</v>
      </c>
      <c r="CX7" s="58">
        <f si="1" t="shared"/>
        <v>1281.8860842484839</v>
      </c>
      <c r="CY7" s="58">
        <f si="2" t="shared"/>
        <v>1432.0000000000005</v>
      </c>
      <c r="CZ7" s="108">
        <f si="3" t="shared"/>
        <v>150.11391575151652</v>
      </c>
      <c r="DA7" s="78">
        <f si="4" t="shared"/>
        <v>0.11710394363124864</v>
      </c>
      <c r="DB7" s="95">
        <v>6000</v>
      </c>
    </row>
    <row r="8" spans="2:106" x14ac:dyDescent="0.25">
      <c r="B8" s="144">
        <v>5</v>
      </c>
      <c r="C8" s="170" t="s">
        <v>330</v>
      </c>
      <c r="D8" s="115">
        <f>County_Flow!BX26</f>
        <v>16427.66561240298</v>
      </c>
      <c r="E8" s="116">
        <f>County_Flow!BY26</f>
        <v>23447.799661338322</v>
      </c>
      <c r="F8" s="116">
        <f>County_Flow!BZ26</f>
        <v>15612</v>
      </c>
      <c r="G8" s="123">
        <f>County_Flow!CA26</f>
        <v>15173</v>
      </c>
      <c r="H8" s="115">
        <f>County_Flow!CB26</f>
        <v>19763.82555432988</v>
      </c>
      <c r="I8" s="116">
        <f>County_Flow!CC26</f>
        <v>14331.560781084017</v>
      </c>
      <c r="J8" s="116">
        <f>County_Flow!CD26</f>
        <v>15029.609620549096</v>
      </c>
      <c r="K8" s="123">
        <f>County_Flow!CE26</f>
        <v>15173</v>
      </c>
      <c r="L8" s="100">
        <f>County_Flow!CF26</f>
        <v>2.9331887139106391E-2</v>
      </c>
      <c r="M8" s="100">
        <f>County_Flow!CG26</f>
        <v>2.1269754795316141E-2</v>
      </c>
      <c r="N8" s="104">
        <f>County_Flow!CH26</f>
        <v>2.2305742980927721E-2</v>
      </c>
      <c r="O8" s="150">
        <f>County_Flow!CI26</f>
        <v>2.2518551498961117E-2</v>
      </c>
      <c r="P8" s="125">
        <f>County_Flow!CJ26</f>
        <v>2.1280851803339579E-4</v>
      </c>
      <c r="Q8" s="121">
        <f>County_Flow!CK26</f>
        <v>9.5405258733304056E-3</v>
      </c>
      <c r="R8" s="171">
        <f si="7" t="shared"/>
        <v>0.99054963557299791</v>
      </c>
      <c r="S8" s="140"/>
      <c r="T8" s="201"/>
      <c r="U8" s="202"/>
      <c r="V8" s="203"/>
      <c r="W8" s="203"/>
      <c r="X8" s="204"/>
      <c r="Y8" s="30"/>
      <c r="Z8" s="30"/>
      <c r="AA8" s="100"/>
      <c r="AB8" s="165"/>
      <c r="AC8" s="165"/>
      <c r="AD8" s="194">
        <v>105</v>
      </c>
      <c r="AE8" s="163">
        <f si="8" t="shared"/>
        <v>-9.4953024655610781E-3</v>
      </c>
      <c r="AF8" s="164">
        <f si="5" t="shared"/>
        <v>-1.2391372116530786E-2</v>
      </c>
      <c r="AG8" s="7">
        <f>VLOOKUP(AD8,calibration_dist!$T:$W,3,FALSE)</f>
        <v>-3.3705109193499998E-2</v>
      </c>
      <c r="AH8" s="167">
        <f si="9" t="shared"/>
        <v>-4.6096481310030787E-2</v>
      </c>
      <c r="AI8" s="174">
        <v>1</v>
      </c>
      <c r="AK8" t="b">
        <f ref="AK8" t="array">$AC$4:$AC$23&lt;=0.02</f>
        <v>1</v>
      </c>
      <c r="CU8" s="95">
        <v>7</v>
      </c>
      <c r="CV8" s="95">
        <f si="6" t="shared"/>
        <v>1</v>
      </c>
      <c r="CW8" s="95">
        <f si="0" t="shared"/>
        <v>7</v>
      </c>
      <c r="CX8" s="58">
        <f si="1" t="shared"/>
        <v>211.88870676938208</v>
      </c>
      <c r="CY8" s="58">
        <f si="2" t="shared"/>
        <v>130.00000000000006</v>
      </c>
      <c r="CZ8" s="108">
        <f si="3" t="shared"/>
        <v>-81.888706769382026</v>
      </c>
      <c r="DA8" s="78">
        <f si="4" t="shared"/>
        <v>-0.38647036936474871</v>
      </c>
      <c r="DB8" s="95">
        <v>7000</v>
      </c>
    </row>
    <row r="9" spans="2:106" x14ac:dyDescent="0.25">
      <c r="B9" s="144">
        <v>6</v>
      </c>
      <c r="C9" s="170" t="s">
        <v>331</v>
      </c>
      <c r="D9" s="115">
        <f>County_Flow!BX27</f>
        <v>84979.951347610724</v>
      </c>
      <c r="E9" s="116">
        <f>County_Flow!BY27</f>
        <v>72475.32530618021</v>
      </c>
      <c r="F9" s="116">
        <f>County_Flow!BZ27</f>
        <v>99098</v>
      </c>
      <c r="G9" s="123">
        <f>County_Flow!CA27</f>
        <v>96685</v>
      </c>
      <c r="H9" s="115">
        <f>County_Flow!CB27</f>
        <v>102237.8330358493</v>
      </c>
      <c r="I9" s="116">
        <f>County_Flow!CC27</f>
        <v>44297.739862857299</v>
      </c>
      <c r="J9" s="116">
        <f>County_Flow!CD27</f>
        <v>97301.751523931598</v>
      </c>
      <c r="K9" s="123">
        <f>County_Flow!CE27</f>
        <v>96685</v>
      </c>
      <c r="L9" s="100">
        <f>County_Flow!CF27</f>
        <v>0.15173320426810527</v>
      </c>
      <c r="M9" s="100">
        <f>County_Flow!CG27</f>
        <v>6.5743158003646912E-2</v>
      </c>
      <c r="N9" s="104">
        <f>County_Flow!CH27</f>
        <v>0.14440746738487922</v>
      </c>
      <c r="O9" s="150">
        <f>County_Flow!CI27</f>
        <v>0.14349213416444048</v>
      </c>
      <c r="P9" s="125">
        <f>County_Flow!CJ27</f>
        <v>-9.1533322043874099E-4</v>
      </c>
      <c r="Q9" s="121">
        <f>County_Flow!CK27</f>
        <v>-6.3385449313305168E-3</v>
      </c>
      <c r="R9" s="171">
        <f si="7" t="shared"/>
        <v>1.00637897837236</v>
      </c>
      <c r="S9" s="140"/>
      <c r="T9" s="201"/>
      <c r="U9" s="202"/>
      <c r="V9" s="203"/>
      <c r="W9" s="203"/>
      <c r="X9" s="204"/>
      <c r="Y9" s="30"/>
      <c r="Z9" s="30"/>
      <c r="AA9" s="100"/>
      <c r="AB9" s="165"/>
      <c r="AC9" s="165"/>
      <c r="AD9" s="194">
        <v>106</v>
      </c>
      <c r="AE9" s="163">
        <f si="8" t="shared"/>
        <v>6.3587188010895577E-3</v>
      </c>
      <c r="AF9" s="164">
        <f si="5" t="shared"/>
        <v>3.4626491501198492E-3</v>
      </c>
      <c r="AG9" s="7">
        <f>VLOOKUP(AD9,calibration_dist!$T:$W,3,FALSE)</f>
        <v>0.1143372177009</v>
      </c>
      <c r="AH9" s="167">
        <f si="9" t="shared"/>
        <v>0.11779986685101984</v>
      </c>
      <c r="AI9" s="174">
        <v>1</v>
      </c>
      <c r="AK9" t="b">
        <f ref="AK9" t="array">$AW$30:$AW$49&lt;=0.25</f>
        <v>1</v>
      </c>
      <c r="CU9" s="95">
        <v>8</v>
      </c>
      <c r="CV9" s="95">
        <f si="6" t="shared"/>
        <v>1</v>
      </c>
      <c r="CW9" s="95">
        <f si="0" t="shared"/>
        <v>8</v>
      </c>
      <c r="CX9" s="58">
        <f si="1" t="shared"/>
        <v>21.107687264382886</v>
      </c>
      <c r="CY9" s="58">
        <f si="2" t="shared"/>
        <v>35.000000000000014</v>
      </c>
      <c r="CZ9" s="108">
        <f si="3" t="shared"/>
        <v>13.892312735617129</v>
      </c>
      <c r="DA9" s="78">
        <f si="4" t="shared"/>
        <v>0.65816366149497674</v>
      </c>
      <c r="DB9" s="95">
        <v>8000</v>
      </c>
    </row>
    <row r="10" spans="2:106" x14ac:dyDescent="0.25">
      <c r="B10" s="144">
        <v>7</v>
      </c>
      <c r="C10" s="170" t="s">
        <v>332</v>
      </c>
      <c r="D10" s="115">
        <f>County_Flow!BX28</f>
        <v>52872.439568670117</v>
      </c>
      <c r="E10" s="116">
        <f>County_Flow!BY28</f>
        <v>127027.92076090976</v>
      </c>
      <c r="F10" s="116">
        <f>County_Flow!BZ28</f>
        <v>65730</v>
      </c>
      <c r="G10" s="123">
        <f>County_Flow!CA28</f>
        <v>64115</v>
      </c>
      <c r="H10" s="115">
        <f>County_Flow!CB28</f>
        <v>63609.869893997158</v>
      </c>
      <c r="I10" s="116">
        <f>County_Flow!CC28</f>
        <v>77640.904203110811</v>
      </c>
      <c r="J10" s="116">
        <f>County_Flow!CD28</f>
        <v>64337.962781391827</v>
      </c>
      <c r="K10" s="123">
        <f>County_Flow!CE28</f>
        <v>64115</v>
      </c>
      <c r="L10" s="100">
        <f>County_Flow!CF28</f>
        <v>9.4404674820417311E-2</v>
      </c>
      <c r="M10" s="100">
        <f>County_Flow!CG28</f>
        <v>0.1152284122931297</v>
      </c>
      <c r="N10" s="104">
        <f>County_Flow!CH28</f>
        <v>9.5485251975945137E-2</v>
      </c>
      <c r="O10" s="150">
        <f>County_Flow!CI28</f>
        <v>9.5154348471356481E-2</v>
      </c>
      <c r="P10" s="125">
        <f>County_Flow!CJ28</f>
        <v>-3.3090350458865603E-4</v>
      </c>
      <c r="Q10" s="121">
        <f>County_Flow!CK28</f>
        <v>-3.4654933378822084E-3</v>
      </c>
      <c r="R10" s="171">
        <f si="7" t="shared"/>
        <v>1.003477544746032</v>
      </c>
      <c r="S10" s="140"/>
      <c r="T10" s="201"/>
      <c r="U10" s="202"/>
      <c r="V10" s="203"/>
      <c r="W10" s="203"/>
      <c r="X10" s="204"/>
      <c r="Y10" s="30"/>
      <c r="Z10" s="30"/>
      <c r="AA10" s="100"/>
      <c r="AB10" s="165"/>
      <c r="AC10" s="165"/>
      <c r="AD10" s="194">
        <v>107</v>
      </c>
      <c r="AE10" s="163">
        <f si="8" t="shared"/>
        <v>3.4715120691918926E-3</v>
      </c>
      <c r="AF10" s="164">
        <f si="5" t="shared"/>
        <v>5.7544241822218411E-4</v>
      </c>
      <c r="AG10" s="7">
        <f>VLOOKUP(AD10,calibration_dist!$T:$W,3,FALSE)</f>
        <v>0.29549776405130002</v>
      </c>
      <c r="AH10" s="167">
        <f si="9" t="shared"/>
        <v>0.29607320646952218</v>
      </c>
      <c r="AI10" s="174">
        <v>1</v>
      </c>
      <c r="AK10">
        <f>{32767,32767,0.000001,0.01,FALSE,FALSE,TRUE,1,1,1,0.0001,TRUE}</f>
        <v>32767</v>
      </c>
      <c r="CU10" s="95">
        <v>9</v>
      </c>
      <c r="CV10" s="95">
        <f si="6" t="shared"/>
        <v>1</v>
      </c>
      <c r="CW10" s="95">
        <f si="0" t="shared"/>
        <v>9</v>
      </c>
      <c r="CX10" s="58">
        <f si="1" t="shared"/>
        <v>213.51237502048846</v>
      </c>
      <c r="CY10" s="58">
        <f si="2" t="shared"/>
        <v>165.00000000000006</v>
      </c>
      <c r="CZ10" s="108">
        <f si="3" t="shared"/>
        <v>-48.512375020488406</v>
      </c>
      <c r="DA10" s="78">
        <f si="4" t="shared"/>
        <v>-0.22721106922178727</v>
      </c>
      <c r="DB10" s="95">
        <v>9000</v>
      </c>
    </row>
    <row r="11" spans="2:106" x14ac:dyDescent="0.25">
      <c r="B11" s="144">
        <v>8</v>
      </c>
      <c r="C11" s="170" t="s">
        <v>333</v>
      </c>
      <c r="D11" s="115">
        <f>County_Flow!BX29</f>
        <v>4985.6374748589815</v>
      </c>
      <c r="E11" s="116">
        <f>County_Flow!BY29</f>
        <v>6263.4287909958512</v>
      </c>
      <c r="F11" s="116">
        <f>County_Flow!BZ29</f>
        <v>3746</v>
      </c>
      <c r="G11" s="123">
        <f>County_Flow!CA29</f>
        <v>3527</v>
      </c>
      <c r="H11" s="115">
        <f>County_Flow!CB29</f>
        <v>5998.1297194074823</v>
      </c>
      <c r="I11" s="116">
        <f>County_Flow!CC29</f>
        <v>3828.2786322230609</v>
      </c>
      <c r="J11" s="116">
        <f>County_Flow!CD29</f>
        <v>3538.7606834884073</v>
      </c>
      <c r="K11" s="123">
        <f>County_Flow!CE29</f>
        <v>3527</v>
      </c>
      <c r="L11" s="100">
        <f>County_Flow!CF29</f>
        <v>8.9019437806581846E-3</v>
      </c>
      <c r="M11" s="100">
        <f>County_Flow!CG29</f>
        <v>5.6816245654839129E-3</v>
      </c>
      <c r="N11" s="104">
        <f>County_Flow!CH29</f>
        <v>5.2519452114698842E-3</v>
      </c>
      <c r="O11" s="150">
        <f>County_Flow!CI29</f>
        <v>5.2344909468685068E-3</v>
      </c>
      <c r="P11" s="125">
        <f>County_Flow!CJ29</f>
        <v>-1.7454264601377348E-5</v>
      </c>
      <c r="Q11" s="121">
        <f>County_Flow!CK29</f>
        <v>-3.3233904579311442E-3</v>
      </c>
      <c r="R11" s="171">
        <f si="7" t="shared"/>
        <v>1.0033344722110598</v>
      </c>
      <c r="S11" s="140"/>
      <c r="T11" s="201"/>
      <c r="U11" s="202"/>
      <c r="V11" s="203"/>
      <c r="W11" s="203"/>
      <c r="X11" s="204"/>
      <c r="Y11" s="30"/>
      <c r="Z11" s="30"/>
      <c r="AA11" s="100"/>
      <c r="AB11" s="165"/>
      <c r="AC11" s="165"/>
      <c r="AD11" s="194">
        <v>108</v>
      </c>
      <c r="AE11" s="163">
        <f si="8" t="shared"/>
        <v>3.3289251861099434E-3</v>
      </c>
      <c r="AF11" s="164">
        <f si="5" t="shared"/>
        <v>4.3285553514023486E-4</v>
      </c>
      <c r="AG11" s="7">
        <f>VLOOKUP(AD11,calibration_dist!$T:$W,3,FALSE)</f>
        <v>-0.24958234591280001</v>
      </c>
      <c r="AH11" s="167">
        <f si="9" t="shared"/>
        <v>-0.24914949037765977</v>
      </c>
      <c r="AI11" s="174">
        <v>1</v>
      </c>
      <c r="AK11">
        <f>{0,0,1,100,0,FALSE,TRUE,0.075,0,0,FALSE,30}</f>
        <v>0</v>
      </c>
      <c r="CU11" s="95">
        <v>10</v>
      </c>
      <c r="CV11" s="95">
        <f si="6" t="shared"/>
        <v>1</v>
      </c>
      <c r="CW11" s="95">
        <f si="0" t="shared"/>
        <v>10</v>
      </c>
      <c r="CX11" s="58">
        <f si="1" t="shared"/>
        <v>106.35027044746762</v>
      </c>
      <c r="CY11" s="58">
        <f si="2" t="shared"/>
        <v>114.00000000000004</v>
      </c>
      <c r="CZ11" s="108">
        <f si="3" t="shared"/>
        <v>7.6497295525324205</v>
      </c>
      <c r="DA11" s="78">
        <f si="4" t="shared"/>
        <v>7.1929573101659872E-2</v>
      </c>
      <c r="DB11" s="95">
        <v>10000</v>
      </c>
    </row>
    <row r="12" spans="2:106" x14ac:dyDescent="0.25">
      <c r="B12" s="144">
        <v>9</v>
      </c>
      <c r="C12" s="170" t="s">
        <v>334</v>
      </c>
      <c r="D12" s="115">
        <f>County_Flow!BX30</f>
        <v>36973.784533068967</v>
      </c>
      <c r="E12" s="116">
        <f>County_Flow!BY30</f>
        <v>78564.017617084086</v>
      </c>
      <c r="F12" s="116">
        <f>County_Flow!BZ30</f>
        <v>40943</v>
      </c>
      <c r="G12" s="123">
        <f>County_Flow!CA30</f>
        <v>38822</v>
      </c>
      <c r="H12" s="115">
        <f>County_Flow!CB30</f>
        <v>44482.487337899052</v>
      </c>
      <c r="I12" s="116">
        <f>County_Flow!CC30</f>
        <v>48019.217578948337</v>
      </c>
      <c r="J12" s="116">
        <f>County_Flow!CD30</f>
        <v>39525.670062138488</v>
      </c>
      <c r="K12" s="123">
        <f>County_Flow!CE30</f>
        <v>38822</v>
      </c>
      <c r="L12" s="100">
        <f>County_Flow!CF30</f>
        <v>6.6017345410951417E-2</v>
      </c>
      <c r="M12" s="100">
        <f>County_Flow!CG30</f>
        <v>7.1266277202357273E-2</v>
      </c>
      <c r="N12" s="104">
        <f>County_Flow!CH30</f>
        <v>5.8660834167614272E-2</v>
      </c>
      <c r="O12" s="150">
        <f>County_Flow!CI30</f>
        <v>5.7616503413475809E-2</v>
      </c>
      <c r="P12" s="125">
        <f>County_Flow!CJ30</f>
        <v>-1.044330754138463E-3</v>
      </c>
      <c r="Q12" s="121">
        <f>County_Flow!CK30</f>
        <v>-1.7802862317887212E-2</v>
      </c>
      <c r="R12" s="171">
        <f si="7" t="shared"/>
        <v>1.018125548970648</v>
      </c>
      <c r="S12" s="140"/>
      <c r="T12" s="201"/>
      <c r="U12" s="202"/>
      <c r="V12" s="203"/>
      <c r="W12" s="203"/>
      <c r="X12" s="204"/>
      <c r="Y12" s="30"/>
      <c r="Z12" s="30"/>
      <c r="AA12" s="100"/>
      <c r="AB12" s="165"/>
      <c r="AC12" s="165"/>
      <c r="AD12" s="194">
        <v>109</v>
      </c>
      <c r="AE12" s="163">
        <f si="8" t="shared"/>
        <v>1.7963239571717027E-2</v>
      </c>
      <c r="AF12" s="164">
        <f si="5" t="shared"/>
        <v>1.5067169920747319E-2</v>
      </c>
      <c r="AG12" s="7">
        <f>VLOOKUP(AD12,calibration_dist!$T:$W,3,FALSE)</f>
        <v>0.1613318461263</v>
      </c>
      <c r="AH12" s="167">
        <f si="9" t="shared"/>
        <v>0.17639901604704733</v>
      </c>
      <c r="AI12" s="174">
        <v>1</v>
      </c>
      <c r="CU12" s="95">
        <v>11</v>
      </c>
      <c r="CV12" s="95">
        <f si="6" t="shared"/>
        <v>1</v>
      </c>
      <c r="CW12" s="95">
        <f si="0" t="shared"/>
        <v>11</v>
      </c>
      <c r="CX12" s="58">
        <f si="1" t="shared"/>
        <v>146.13014259957384</v>
      </c>
      <c r="CY12" s="58">
        <f si="2" t="shared"/>
        <v>124.00000000000004</v>
      </c>
      <c r="CZ12" s="108">
        <f si="3" t="shared"/>
        <v>-22.130142599573801</v>
      </c>
      <c r="DA12" s="78">
        <f si="4" t="shared"/>
        <v>-0.15144132624447559</v>
      </c>
      <c r="DB12" s="95">
        <v>11000</v>
      </c>
    </row>
    <row r="13" spans="2:106" x14ac:dyDescent="0.25">
      <c r="B13" s="144">
        <v>10</v>
      </c>
      <c r="C13" s="170" t="s">
        <v>335</v>
      </c>
      <c r="D13" s="115">
        <f>County_Flow!BX31</f>
        <v>8821.4341383130341</v>
      </c>
      <c r="E13" s="116">
        <f>County_Flow!BY31</f>
        <v>30027.582046531123</v>
      </c>
      <c r="F13" s="116">
        <f>County_Flow!BZ31</f>
        <v>13127</v>
      </c>
      <c r="G13" s="123">
        <f>County_Flow!CA31</f>
        <v>12586</v>
      </c>
      <c r="H13" s="115">
        <f>County_Flow!CB31</f>
        <v>10612.906882947353</v>
      </c>
      <c r="I13" s="116">
        <f>County_Flow!CC31</f>
        <v>18353.198313887569</v>
      </c>
      <c r="J13" s="116">
        <f>County_Flow!CD31</f>
        <v>12777.292692961244</v>
      </c>
      <c r="K13" s="123">
        <f>County_Flow!CE31</f>
        <v>12586</v>
      </c>
      <c r="L13" s="100">
        <f>County_Flow!CF31</f>
        <v>1.5750826481073548E-2</v>
      </c>
      <c r="M13" s="100">
        <f>County_Flow!CG31</f>
        <v>2.7238347156259373E-2</v>
      </c>
      <c r="N13" s="104">
        <f>County_Flow!CH31</f>
        <v>1.8963034569547708E-2</v>
      </c>
      <c r="O13" s="150">
        <f>County_Flow!CI31</f>
        <v>1.8679133273968536E-2</v>
      </c>
      <c r="P13" s="125">
        <f>County_Flow!CJ31</f>
        <v>-2.8390129557917185E-4</v>
      </c>
      <c r="Q13" s="121">
        <f>County_Flow!CK31</f>
        <v>-1.4971300850502028E-2</v>
      </c>
      <c r="R13" s="171">
        <f si="7" t="shared"/>
        <v>1.0151988473670146</v>
      </c>
      <c r="S13" s="140"/>
      <c r="T13" s="201"/>
      <c r="U13" s="202"/>
      <c r="V13" s="203"/>
      <c r="W13" s="203"/>
      <c r="X13" s="204"/>
      <c r="Y13" s="30"/>
      <c r="Z13" s="30"/>
      <c r="AA13" s="100"/>
      <c r="AB13" s="165"/>
      <c r="AC13" s="165"/>
      <c r="AD13" s="194">
        <v>110</v>
      </c>
      <c r="AE13" s="163">
        <f si="8" t="shared"/>
        <v>1.5084502042115188E-2</v>
      </c>
      <c r="AF13" s="164">
        <f si="5" t="shared"/>
        <v>1.218843239114548E-2</v>
      </c>
      <c r="AG13" s="7">
        <f>VLOOKUP(AD13,calibration_dist!$T:$W,3,FALSE)</f>
        <v>-4.5588844644699998E-2</v>
      </c>
      <c r="AH13" s="167">
        <f si="9" t="shared"/>
        <v>-3.3400412253554515E-2</v>
      </c>
      <c r="AI13" s="174">
        <v>1</v>
      </c>
      <c r="CU13" s="95">
        <v>12</v>
      </c>
      <c r="CV13" s="95">
        <f si="6" t="shared"/>
        <v>1</v>
      </c>
      <c r="CW13" s="95">
        <f si="0" t="shared"/>
        <v>12</v>
      </c>
      <c r="CX13" s="58">
        <f si="1" t="shared"/>
        <v>820.76430093427302</v>
      </c>
      <c r="CY13" s="58">
        <f si="2" t="shared"/>
        <v>572.00000000000023</v>
      </c>
      <c r="CZ13" s="108">
        <f si="3" t="shared"/>
        <v>-248.7643009342728</v>
      </c>
      <c r="DA13" s="78">
        <f si="4" t="shared"/>
        <v>-0.30308859760482432</v>
      </c>
      <c r="DB13" s="95">
        <v>12000</v>
      </c>
    </row>
    <row r="14" spans="2:106" x14ac:dyDescent="0.25">
      <c r="B14" s="144">
        <v>11</v>
      </c>
      <c r="C14" s="170" t="s">
        <v>336</v>
      </c>
      <c r="D14" s="115">
        <f>County_Flow!BX32</f>
        <v>29966.124608656566</v>
      </c>
      <c r="E14" s="116">
        <f>County_Flow!BY32</f>
        <v>73900.424834647361</v>
      </c>
      <c r="F14" s="116">
        <f>County_Flow!BZ32</f>
        <v>38310</v>
      </c>
      <c r="G14" s="123">
        <f>County_Flow!CA32</f>
        <v>36741</v>
      </c>
      <c r="H14" s="115">
        <f>County_Flow!CB32</f>
        <v>36051.69920537289</v>
      </c>
      <c r="I14" s="116">
        <f>County_Flow!CC32</f>
        <v>45168.776838876707</v>
      </c>
      <c r="J14" s="116">
        <f>County_Flow!CD32</f>
        <v>36303.793335936367</v>
      </c>
      <c r="K14" s="123">
        <f>County_Flow!CE32</f>
        <v>36741</v>
      </c>
      <c r="L14" s="100">
        <f>County_Flow!CF32</f>
        <v>5.350504482839552E-2</v>
      </c>
      <c r="M14" s="100">
        <f>County_Flow!CG32</f>
        <v>6.7035881328104327E-2</v>
      </c>
      <c r="N14" s="104">
        <f>County_Flow!CH32</f>
        <v>5.3879182748495659E-2</v>
      </c>
      <c r="O14" s="150">
        <f>County_Flow!CI32</f>
        <v>5.4528049866429208E-2</v>
      </c>
      <c r="P14" s="125">
        <f>County_Flow!CJ32</f>
        <v>6.4886711793354923E-4</v>
      </c>
      <c r="Q14" s="121">
        <f>County_Flow!CK32</f>
        <v>1.2043002228939292E-2</v>
      </c>
      <c r="R14" s="171">
        <f si="7" t="shared"/>
        <v>0.98810030581465869</v>
      </c>
      <c r="S14" s="140"/>
      <c r="T14" s="201"/>
      <c r="U14" s="202"/>
      <c r="V14" s="203"/>
      <c r="W14" s="203"/>
      <c r="X14" s="204"/>
      <c r="Y14" s="30"/>
      <c r="Z14" s="30"/>
      <c r="AA14" s="100"/>
      <c r="AB14" s="165"/>
      <c r="AC14" s="165"/>
      <c r="AD14" s="194">
        <v>111</v>
      </c>
      <c r="AE14" s="163">
        <f si="8" t="shared"/>
        <v>-1.197106228358674E-2</v>
      </c>
      <c r="AF14" s="164">
        <f si="5" t="shared"/>
        <v>-1.4867131934556448E-2</v>
      </c>
      <c r="AG14" s="7">
        <f>VLOOKUP(AD14,calibration_dist!$T:$W,3,FALSE)</f>
        <v>-0.14910096747439999</v>
      </c>
      <c r="AH14" s="167">
        <f si="9" t="shared"/>
        <v>-0.16396809940895643</v>
      </c>
      <c r="AI14" s="174">
        <v>1</v>
      </c>
      <c r="CU14" s="95">
        <v>13</v>
      </c>
      <c r="CV14" s="95">
        <f si="6" t="shared"/>
        <v>1</v>
      </c>
      <c r="CW14" s="95">
        <f si="0" t="shared"/>
        <v>13</v>
      </c>
      <c r="CX14" s="58">
        <f si="1" t="shared"/>
        <v>51.14554990985085</v>
      </c>
      <c r="CY14" s="58">
        <f si="2" t="shared"/>
        <v>12.000000000000004</v>
      </c>
      <c r="CZ14" s="108">
        <f si="3" t="shared"/>
        <v>-39.145549909850843</v>
      </c>
      <c r="DA14" s="78">
        <f si="4" t="shared"/>
        <v>-0.76537548191091487</v>
      </c>
      <c r="DB14" s="95">
        <v>13000</v>
      </c>
    </row>
    <row r="15" spans="2:106" x14ac:dyDescent="0.25">
      <c r="B15" s="144">
        <v>12</v>
      </c>
      <c r="C15" s="170" t="s">
        <v>337</v>
      </c>
      <c r="D15" s="115">
        <f>County_Flow!BX33</f>
        <v>105320.53463114968</v>
      </c>
      <c r="E15" s="116">
        <f>County_Flow!BY33</f>
        <v>187525.61191568145</v>
      </c>
      <c r="F15" s="116">
        <f>County_Flow!BZ33</f>
        <v>144341</v>
      </c>
      <c r="G15" s="123">
        <f>County_Flow!CA33</f>
        <v>141088</v>
      </c>
      <c r="H15" s="115">
        <f>County_Flow!CB33</f>
        <v>126709.21863464455</v>
      </c>
      <c r="I15" s="116">
        <f>County_Flow!CC33</f>
        <v>114617.77838416446</v>
      </c>
      <c r="J15" s="116">
        <f>County_Flow!CD33</f>
        <v>142489.58738938224</v>
      </c>
      <c r="K15" s="123">
        <f>County_Flow!CE33</f>
        <v>141088</v>
      </c>
      <c r="L15" s="100">
        <f>County_Flow!CF33</f>
        <v>0.18805167502915493</v>
      </c>
      <c r="M15" s="100">
        <f>County_Flow!CG33</f>
        <v>0.17010652772954057</v>
      </c>
      <c r="N15" s="104">
        <f>County_Flow!CH33</f>
        <v>0.21147163459391846</v>
      </c>
      <c r="O15" s="150">
        <f>County_Flow!CI33</f>
        <v>0.20939151083407539</v>
      </c>
      <c r="P15" s="125">
        <f>County_Flow!CJ33</f>
        <v>-2.0801237598430666E-3</v>
      </c>
      <c r="Q15" s="121">
        <f>County_Flow!CK33</f>
        <v>-9.8364197346723688E-3</v>
      </c>
      <c r="R15" s="171">
        <f si="7" t="shared"/>
        <v>1.0099341360667262</v>
      </c>
      <c r="S15" s="140"/>
      <c r="T15" s="201"/>
      <c r="U15" s="202"/>
      <c r="V15" s="203"/>
      <c r="W15" s="203"/>
      <c r="X15" s="204"/>
      <c r="Y15" s="30"/>
      <c r="Z15" s="30"/>
      <c r="AA15" s="100"/>
      <c r="AB15" s="165"/>
      <c r="AC15" s="165"/>
      <c r="AD15" s="194">
        <v>112</v>
      </c>
      <c r="AE15" s="163">
        <f si="8" t="shared"/>
        <v>9.8851169116626666E-3</v>
      </c>
      <c r="AF15" s="164">
        <f si="5" t="shared"/>
        <v>6.9890472606929585E-3</v>
      </c>
      <c r="AG15" s="7">
        <f>VLOOKUP(AD15,calibration_dist!$T:$W,3,FALSE)</f>
        <v>0.17468608903999999</v>
      </c>
      <c r="AH15" s="167">
        <f si="9" t="shared"/>
        <v>0.18167513630069296</v>
      </c>
      <c r="AI15" s="174">
        <v>1</v>
      </c>
      <c r="CU15" s="95">
        <v>14</v>
      </c>
      <c r="CV15" s="95">
        <f si="6" t="shared"/>
        <v>1</v>
      </c>
      <c r="CW15" s="95">
        <f si="0" t="shared"/>
        <v>14</v>
      </c>
      <c r="CX15" s="58">
        <f si="1" t="shared"/>
        <v>9.7420095066382562</v>
      </c>
      <c r="CY15" s="58">
        <f si="2" t="shared"/>
        <v>14.000000000000005</v>
      </c>
      <c r="CZ15" s="108">
        <f si="3" t="shared"/>
        <v>4.2579904933617492</v>
      </c>
      <c r="DA15" s="78">
        <f si="4" t="shared"/>
        <v>0.43707517329564627</v>
      </c>
      <c r="DB15" s="95">
        <v>14000</v>
      </c>
    </row>
    <row r="16" spans="2:106" x14ac:dyDescent="0.25">
      <c r="B16" s="144">
        <v>13</v>
      </c>
      <c r="C16" s="170" t="s">
        <v>338</v>
      </c>
      <c r="D16" s="115">
        <f>County_Flow!BX34</f>
        <v>39542.599161277889</v>
      </c>
      <c r="E16" s="116">
        <f>County_Flow!BY34</f>
        <v>122536.09099123925</v>
      </c>
      <c r="F16" s="116">
        <f>County_Flow!BZ34</f>
        <v>53417</v>
      </c>
      <c r="G16" s="123">
        <f>County_Flow!CA34</f>
        <v>52606</v>
      </c>
      <c r="H16" s="115">
        <f>County_Flow!CB34</f>
        <v>47572.981470857339</v>
      </c>
      <c r="I16" s="116">
        <f>County_Flow!CC34</f>
        <v>74895.446962256799</v>
      </c>
      <c r="J16" s="116">
        <f>County_Flow!CD34</f>
        <v>52316.598933068235</v>
      </c>
      <c r="K16" s="123">
        <f>County_Flow!CE34</f>
        <v>52606</v>
      </c>
      <c r="L16" s="100">
        <f>County_Flow!CF34</f>
        <v>7.0604009306704296E-2</v>
      </c>
      <c r="M16" s="100">
        <f>County_Flow!CG34</f>
        <v>0.11115382452101037</v>
      </c>
      <c r="N16" s="104">
        <f>County_Flow!CH34</f>
        <v>7.7644106460475287E-2</v>
      </c>
      <c r="O16" s="150">
        <f>County_Flow!CI34</f>
        <v>7.8073612347877713E-2</v>
      </c>
      <c r="P16" s="125">
        <f>County_Flow!CJ34</f>
        <v>4.2950588740242601E-4</v>
      </c>
      <c r="Q16" s="121">
        <f>County_Flow!CK34</f>
        <v>5.5317255485589399E-3</v>
      </c>
      <c r="R16" s="171">
        <f si="7" t="shared"/>
        <v>0.99449870609946101</v>
      </c>
      <c r="S16" s="140"/>
      <c r="T16" s="201"/>
      <c r="U16" s="202"/>
      <c r="V16" s="203"/>
      <c r="W16" s="203"/>
      <c r="X16" s="204"/>
      <c r="Y16" s="30"/>
      <c r="Z16" s="30"/>
      <c r="AA16" s="100"/>
      <c r="AB16" s="165"/>
      <c r="AC16" s="165"/>
      <c r="AD16" s="194">
        <v>113</v>
      </c>
      <c r="AE16" s="163">
        <f si="8" t="shared"/>
        <v>-5.5164817453054512E-3</v>
      </c>
      <c r="AF16" s="164">
        <f si="5" t="shared"/>
        <v>-8.4125513962751593E-3</v>
      </c>
      <c r="AG16" s="7">
        <f>VLOOKUP(AD16,calibration_dist!$T:$W,3,FALSE)</f>
        <v>1.3048994599762</v>
      </c>
      <c r="AH16" s="167">
        <f si="9" t="shared"/>
        <v>1.2880743571836497</v>
      </c>
      <c r="AI16" s="174">
        <v>2</v>
      </c>
      <c r="CU16" s="95">
        <v>15</v>
      </c>
      <c r="CV16" s="95">
        <f si="6" t="shared"/>
        <v>1</v>
      </c>
      <c r="CW16" s="95">
        <f si="0" t="shared"/>
        <v>15</v>
      </c>
      <c r="CX16" s="58">
        <f si="1" t="shared"/>
        <v>23.543189641042453</v>
      </c>
      <c r="CY16" s="58">
        <f si="2" t="shared"/>
        <v>15.000000000000005</v>
      </c>
      <c r="CZ16" s="108">
        <f si="3" t="shared"/>
        <v>-8.5431896410424475</v>
      </c>
      <c r="DA16" s="78">
        <f si="4" t="shared"/>
        <v>-0.36287307587877754</v>
      </c>
      <c r="DB16" s="95">
        <v>15000</v>
      </c>
    </row>
    <row r="17" spans="2:106" x14ac:dyDescent="0.25">
      <c r="B17" s="144">
        <v>14</v>
      </c>
      <c r="C17" s="170" t="s">
        <v>339</v>
      </c>
      <c r="D17" s="115">
        <f>County_Flow!BX35</f>
        <v>10674.988460489061</v>
      </c>
      <c r="E17" s="116">
        <f>County_Flow!BY35</f>
        <v>27767.802248882606</v>
      </c>
      <c r="F17" s="116">
        <f>County_Flow!BZ35</f>
        <v>11908</v>
      </c>
      <c r="G17" s="123">
        <f>County_Flow!CA35</f>
        <v>11087</v>
      </c>
      <c r="H17" s="115">
        <f>County_Flow!CB35</f>
        <v>12842.884357732497</v>
      </c>
      <c r="I17" s="116">
        <f>County_Flow!CC35</f>
        <v>16971.995301680625</v>
      </c>
      <c r="J17" s="116">
        <f>County_Flow!CD35</f>
        <v>10795.83624303071</v>
      </c>
      <c r="K17" s="123">
        <f>County_Flow!CE35</f>
        <v>11087</v>
      </c>
      <c r="L17" s="100">
        <f>County_Flow!CF35</f>
        <v>1.9060380465616655E-2</v>
      </c>
      <c r="M17" s="100">
        <f>County_Flow!CG35</f>
        <v>2.5188476256575575E-2</v>
      </c>
      <c r="N17" s="104">
        <f>County_Flow!CH35</f>
        <v>1.6022315587757067E-2</v>
      </c>
      <c r="O17" s="150">
        <f>County_Flow!CI35</f>
        <v>1.6454437518551499E-2</v>
      </c>
      <c r="P17" s="125">
        <f>County_Flow!CJ35</f>
        <v>4.321219307944317E-4</v>
      </c>
      <c r="Q17" s="121">
        <f>County_Flow!CK35</f>
        <v>2.6970004955128146E-2</v>
      </c>
      <c r="R17" s="171">
        <f si="7" t="shared"/>
        <v>0.97373827392718604</v>
      </c>
      <c r="S17" s="140"/>
      <c r="T17" s="201"/>
      <c r="U17" s="202"/>
      <c r="V17" s="203"/>
      <c r="W17" s="203"/>
      <c r="X17" s="204"/>
      <c r="Y17" s="30"/>
      <c r="Z17" s="30"/>
      <c r="AA17" s="100"/>
      <c r="AB17" s="165"/>
      <c r="AC17" s="165"/>
      <c r="AD17" s="194">
        <v>114</v>
      </c>
      <c r="AE17" s="163">
        <f si="8" t="shared"/>
        <v>-2.6612724049726678E-2</v>
      </c>
      <c r="AF17" s="164">
        <f si="5" t="shared"/>
        <v>-2.9508793700696388E-2</v>
      </c>
      <c r="AG17" s="7">
        <f>VLOOKUP(AD17,calibration_dist!$T:$W,3,FALSE)</f>
        <v>4.9409553856600001E-2</v>
      </c>
      <c r="AH17" s="167">
        <f si="9" t="shared"/>
        <v>1.9900760155903613E-2</v>
      </c>
      <c r="AI17" s="174">
        <v>1</v>
      </c>
      <c r="CU17" s="95">
        <v>16</v>
      </c>
      <c r="CV17" s="95">
        <f si="6" t="shared"/>
        <v>1</v>
      </c>
      <c r="CW17" s="95">
        <f si="0" t="shared"/>
        <v>16</v>
      </c>
      <c r="CX17" s="58">
        <f si="1" t="shared"/>
        <v>13.801180134404195</v>
      </c>
      <c r="CY17" s="58">
        <f si="2" t="shared"/>
        <v>10.000000000000004</v>
      </c>
      <c r="CZ17" s="108">
        <f si="3" t="shared"/>
        <v>-3.8011801344041913</v>
      </c>
      <c r="DA17" s="78">
        <f si="4" t="shared"/>
        <v>-0.275424282371943</v>
      </c>
      <c r="DB17" s="95">
        <v>16000</v>
      </c>
    </row>
    <row r="18" spans="2:106" x14ac:dyDescent="0.25">
      <c r="B18" s="144">
        <v>15</v>
      </c>
      <c r="C18" s="170" t="s">
        <v>340</v>
      </c>
      <c r="D18" s="115">
        <f>County_Flow!BX36</f>
        <v>12678.195969196768</v>
      </c>
      <c r="E18" s="116">
        <f>County_Flow!BY36</f>
        <v>44768.247239469332</v>
      </c>
      <c r="F18" s="116">
        <f>County_Flow!BZ36</f>
        <v>23778</v>
      </c>
      <c r="G18" s="123">
        <f>County_Flow!CA36</f>
        <v>21781</v>
      </c>
      <c r="H18" s="115">
        <f>County_Flow!CB36</f>
        <v>15252.906857906313</v>
      </c>
      <c r="I18" s="116">
        <f>County_Flow!CC36</f>
        <v>27362.859869233089</v>
      </c>
      <c r="J18" s="116">
        <f>County_Flow!CD36</f>
        <v>22068.377475144262</v>
      </c>
      <c r="K18" s="123">
        <f>County_Flow!CE36</f>
        <v>21781</v>
      </c>
      <c r="L18" s="100">
        <f>County_Flow!CF36</f>
        <v>2.2637142858275925E-2</v>
      </c>
      <c r="M18" s="100">
        <f>County_Flow!CG36</f>
        <v>4.0609765314979347E-2</v>
      </c>
      <c r="N18" s="104">
        <f>County_Flow!CH36</f>
        <v>3.2752118544292469E-2</v>
      </c>
      <c r="O18" s="150">
        <f>County_Flow!CI36</f>
        <v>3.2325615909765508E-2</v>
      </c>
      <c r="P18" s="125">
        <f>County_Flow!CJ36</f>
        <v>-4.2650263452696097E-4</v>
      </c>
      <c r="Q18" s="121">
        <f>County_Flow!CK36</f>
        <v>-1.3022138825925759E-2</v>
      </c>
      <c r="R18" s="171">
        <f si="7" t="shared"/>
        <v>1.0131939523044977</v>
      </c>
      <c r="S18" s="140"/>
      <c r="T18" s="201"/>
      <c r="U18" s="202"/>
      <c r="V18" s="203"/>
      <c r="W18" s="203"/>
      <c r="X18" s="204"/>
      <c r="Y18" s="30"/>
      <c r="Z18" s="30"/>
      <c r="AA18" s="100"/>
      <c r="AB18" s="165"/>
      <c r="AC18" s="165"/>
      <c r="AD18" s="194">
        <v>115</v>
      </c>
      <c r="AE18" s="163">
        <f si="8" t="shared"/>
        <v>1.3107670221625286E-2</v>
      </c>
      <c r="AF18" s="164">
        <f si="5" t="shared"/>
        <v>1.0211600570655578E-2</v>
      </c>
      <c r="AG18" s="7">
        <f>VLOOKUP(AD18,calibration_dist!$T:$W,3,FALSE)</f>
        <v>0.21697886195819999</v>
      </c>
      <c r="AH18" s="167">
        <f si="9" t="shared"/>
        <v>0.22719046252885555</v>
      </c>
      <c r="AI18" s="174">
        <v>1</v>
      </c>
      <c r="CU18" s="95">
        <v>17</v>
      </c>
      <c r="CV18" s="95">
        <f si="6" t="shared"/>
        <v>1</v>
      </c>
      <c r="CW18" s="95">
        <f si="0" t="shared"/>
        <v>17</v>
      </c>
      <c r="CX18" s="58">
        <f si="1" t="shared"/>
        <v>5.6828388788723156</v>
      </c>
      <c r="CY18" s="58">
        <f si="2" t="shared"/>
        <v>7.0000000000000027</v>
      </c>
      <c r="CZ18" s="108">
        <f si="3" t="shared"/>
        <v>1.317161121127687</v>
      </c>
      <c r="DA18" s="78">
        <f si="4" t="shared"/>
        <v>0.23177871996769689</v>
      </c>
      <c r="DB18" s="95">
        <v>17000</v>
      </c>
    </row>
    <row r="19" spans="2:106" x14ac:dyDescent="0.25">
      <c r="B19" s="144">
        <v>16</v>
      </c>
      <c r="C19" s="170" t="s">
        <v>341</v>
      </c>
      <c r="D19" s="115">
        <f>County_Flow!BX37</f>
        <v>1470.352749710549</v>
      </c>
      <c r="E19" s="116">
        <f>County_Flow!BY37</f>
        <v>12509.496665138753</v>
      </c>
      <c r="F19" s="116">
        <f>County_Flow!BZ37</f>
        <v>3306</v>
      </c>
      <c r="G19" s="123">
        <f>County_Flow!CA37</f>
        <v>3189</v>
      </c>
      <c r="H19" s="115">
        <f>County_Flow!CB37</f>
        <v>1768.9546362977003</v>
      </c>
      <c r="I19" s="116">
        <f>County_Flow!CC37</f>
        <v>7645.9460753926933</v>
      </c>
      <c r="J19" s="116">
        <f>County_Flow!CD37</f>
        <v>3170.8742212042634</v>
      </c>
      <c r="K19" s="123">
        <f>County_Flow!CE37</f>
        <v>3189</v>
      </c>
      <c r="L19" s="100">
        <f>County_Flow!CF37</f>
        <v>2.6253408078030587E-3</v>
      </c>
      <c r="M19" s="100">
        <f>County_Flow!CG37</f>
        <v>1.1347500853951755E-2</v>
      </c>
      <c r="N19" s="104">
        <f>County_Flow!CH37</f>
        <v>4.7059575856400471E-3</v>
      </c>
      <c r="O19" s="150">
        <f>County_Flow!CI37</f>
        <v>4.7328584149599288E-3</v>
      </c>
      <c r="P19" s="125">
        <f>County_Flow!CJ37</f>
        <v>2.6900829319881706E-5</v>
      </c>
      <c r="Q19" s="121">
        <f>County_Flow!CK37</f>
        <v>5.7163348437241314E-3</v>
      </c>
      <c r="R19" s="171">
        <f si="7" t="shared"/>
        <v>0.99431615591228084</v>
      </c>
      <c r="S19" s="140"/>
      <c r="T19" s="201"/>
      <c r="U19" s="202"/>
      <c r="V19" s="203"/>
      <c r="W19" s="203"/>
      <c r="X19" s="204"/>
      <c r="Y19" s="30"/>
      <c r="Z19" s="30"/>
      <c r="AA19" s="100"/>
      <c r="AB19" s="165"/>
      <c r="AC19" s="165"/>
      <c r="AD19" s="194">
        <v>116</v>
      </c>
      <c r="AE19" s="163">
        <f si="8" t="shared"/>
        <v>-5.700058599219523E-3</v>
      </c>
      <c r="AF19" s="164">
        <f si="5" t="shared"/>
        <v>-8.5961282501892319E-3</v>
      </c>
      <c r="AG19" s="7">
        <f>VLOOKUP(AD19,calibration_dist!$T:$W,3,FALSE)</f>
        <v>-0.46096256471820002</v>
      </c>
      <c r="AH19" s="167">
        <f si="9" t="shared"/>
        <v>-0.46955869296838926</v>
      </c>
      <c r="AI19" s="174">
        <v>1</v>
      </c>
      <c r="CU19" s="95">
        <v>18</v>
      </c>
      <c r="CV19" s="95">
        <f si="6" t="shared"/>
        <v>1</v>
      </c>
      <c r="CW19" s="95">
        <f si="0" t="shared"/>
        <v>18</v>
      </c>
      <c r="CX19" s="58">
        <f si="1" t="shared"/>
        <v>8.9301753810850677</v>
      </c>
      <c r="CY19" s="58">
        <f si="2" t="shared"/>
        <v>5.0000000000000018</v>
      </c>
      <c r="CZ19" s="108">
        <f si="3" t="shared"/>
        <v>-3.9301753810850659</v>
      </c>
      <c r="DA19" s="78">
        <f si="4" t="shared"/>
        <v>-0.4401005818328651</v>
      </c>
      <c r="DB19" s="95">
        <v>18000</v>
      </c>
    </row>
    <row r="20" spans="2:106" x14ac:dyDescent="0.25">
      <c r="B20" s="144">
        <v>17</v>
      </c>
      <c r="C20" s="170" t="s">
        <v>342</v>
      </c>
      <c r="D20" s="115">
        <f>County_Flow!BX38</f>
        <v>6774.47985647735</v>
      </c>
      <c r="E20" s="116">
        <f>County_Flow!BY38</f>
        <v>20649.37775784919</v>
      </c>
      <c r="F20" s="116">
        <f>County_Flow!BZ38</f>
        <v>9368</v>
      </c>
      <c r="G20" s="123">
        <f>County_Flow!CA38</f>
        <v>9193</v>
      </c>
      <c r="H20" s="115">
        <f>County_Flow!CB38</f>
        <v>8150.2534361091839</v>
      </c>
      <c r="I20" s="116">
        <f>County_Flow!CC38</f>
        <v>12621.133611787647</v>
      </c>
      <c r="J20" s="116">
        <f>County_Flow!CD38</f>
        <v>8658.3248663277209</v>
      </c>
      <c r="K20" s="123">
        <f>County_Flow!CE38</f>
        <v>9193</v>
      </c>
      <c r="L20" s="100">
        <f>County_Flow!CF38</f>
        <v>1.2095953452224972E-2</v>
      </c>
      <c r="M20" s="100">
        <f>County_Flow!CG38</f>
        <v>1.8731275766974836E-2</v>
      </c>
      <c r="N20" s="104">
        <f>County_Flow!CH38</f>
        <v>1.2849992381014726E-2</v>
      </c>
      <c r="O20" s="150">
        <f>County_Flow!CI38</f>
        <v>1.3643514395963193E-2</v>
      </c>
      <c r="P20" s="125">
        <f>County_Flow!CJ38</f>
        <v>7.9352201494846744E-4</v>
      </c>
      <c r="Q20" s="121">
        <f>County_Flow!CK38</f>
        <v>6.1752722602455588E-2</v>
      </c>
      <c r="R20" s="171">
        <f si="7" t="shared"/>
        <v>0.94183888462174725</v>
      </c>
      <c r="S20" s="140"/>
      <c r="T20" s="201"/>
      <c r="U20" s="202"/>
      <c r="V20" s="203"/>
      <c r="W20" s="203"/>
      <c r="X20" s="204"/>
      <c r="Y20" s="30"/>
      <c r="Z20" s="30"/>
      <c r="AA20" s="100"/>
      <c r="AB20" s="165"/>
      <c r="AC20" s="165"/>
      <c r="AD20" s="194">
        <v>117</v>
      </c>
      <c r="AE20" s="163">
        <f si="8" t="shared"/>
        <v>-5.9921054467391051E-2</v>
      </c>
      <c r="AF20" s="164">
        <f si="5" t="shared"/>
        <v>-6.2817124118360754E-2</v>
      </c>
      <c r="AG20" s="7">
        <f>VLOOKUP(AD20,calibration_dist!$T:$W,3,FALSE)</f>
        <v>-6.5598826231399995E-2</v>
      </c>
      <c r="AH20" s="167">
        <f si="9" t="shared"/>
        <v>-0.12841595034976075</v>
      </c>
      <c r="AI20" s="174">
        <v>1</v>
      </c>
      <c r="CU20" s="95">
        <v>19</v>
      </c>
      <c r="CV20" s="95">
        <f si="6" t="shared"/>
        <v>1</v>
      </c>
      <c r="CW20" s="95">
        <f si="0" t="shared"/>
        <v>19</v>
      </c>
      <c r="CX20" s="58">
        <f si="1" t="shared"/>
        <v>26.790526143255203</v>
      </c>
      <c r="CY20" s="58">
        <f si="2" t="shared"/>
        <v>16.000000000000007</v>
      </c>
      <c r="CZ20" s="108">
        <f si="3" t="shared"/>
        <v>-10.790526143255196</v>
      </c>
      <c r="DA20" s="78">
        <f si="4" t="shared"/>
        <v>-0.40277395395505605</v>
      </c>
      <c r="DB20" s="95">
        <v>19000</v>
      </c>
    </row>
    <row r="21" spans="2:106" x14ac:dyDescent="0.25">
      <c r="B21" s="144">
        <v>18</v>
      </c>
      <c r="C21" s="170" t="s">
        <v>343</v>
      </c>
      <c r="D21" s="115">
        <f>County_Flow!BX39</f>
        <v>8463.186929443702</v>
      </c>
      <c r="E21" s="116">
        <f>County_Flow!BY39</f>
        <v>34453.925335698776</v>
      </c>
      <c r="F21" s="116">
        <f>County_Flow!BZ39</f>
        <v>13081</v>
      </c>
      <c r="G21" s="123">
        <f>County_Flow!CA39</f>
        <v>12357</v>
      </c>
      <c r="H21" s="115">
        <f>County_Flow!CB39</f>
        <v>10181.906185193111</v>
      </c>
      <c r="I21" s="116">
        <f>County_Flow!CC39</f>
        <v>21058.629475995549</v>
      </c>
      <c r="J21" s="116">
        <f>County_Flow!CD39</f>
        <v>12436.167866658989</v>
      </c>
      <c r="K21" s="123">
        <f>County_Flow!CE39</f>
        <v>12357</v>
      </c>
      <c r="L21" s="100">
        <f>County_Flow!CF39</f>
        <v>1.5111169761343298E-2</v>
      </c>
      <c r="M21" s="100">
        <f>County_Flow!CG39</f>
        <v>3.1253531427716752E-2</v>
      </c>
      <c r="N21" s="104">
        <f>County_Flow!CH39</f>
        <v>1.8456764420687135E-2</v>
      </c>
      <c r="O21" s="150">
        <f>County_Flow!CI39</f>
        <v>1.8339269813000891E-2</v>
      </c>
      <c r="P21" s="125">
        <f>County_Flow!CJ39</f>
        <v>-1.1749460768624431E-4</v>
      </c>
      <c r="Q21" s="121">
        <f>County_Flow!CK39</f>
        <v>-6.3659374421308279E-3</v>
      </c>
      <c r="R21" s="171">
        <f si="7" t="shared"/>
        <v>1.0064067222350888</v>
      </c>
      <c r="S21" s="140"/>
      <c r="T21" s="201"/>
      <c r="U21" s="202"/>
      <c r="V21" s="203"/>
      <c r="W21" s="203"/>
      <c r="X21" s="204"/>
      <c r="Y21" s="30"/>
      <c r="Z21" s="30"/>
      <c r="AA21" s="100"/>
      <c r="AB21" s="165"/>
      <c r="AC21" s="165"/>
      <c r="AD21" s="194">
        <v>118</v>
      </c>
      <c r="AE21" s="163">
        <f si="8" t="shared"/>
        <v>6.386286428107308E-3</v>
      </c>
      <c r="AF21" s="164">
        <f si="5" t="shared"/>
        <v>3.4902167771375995E-3</v>
      </c>
      <c r="AG21" s="7">
        <f>VLOOKUP(AD21,calibration_dist!$T:$W,3,FALSE)</f>
        <v>0.30646725571720002</v>
      </c>
      <c r="AH21" s="167">
        <f si="9" t="shared"/>
        <v>0.30995747249433764</v>
      </c>
      <c r="AI21" s="174">
        <v>1</v>
      </c>
      <c r="CU21" s="95">
        <v>20</v>
      </c>
      <c r="CV21" s="95">
        <f si="6" t="shared"/>
        <v>1</v>
      </c>
      <c r="CW21" s="95">
        <f si="0" t="shared"/>
        <v>20</v>
      </c>
      <c r="CX21" s="58">
        <f si="1" t="shared"/>
        <v>10.553843632191443</v>
      </c>
      <c r="CY21" s="58">
        <f si="2" t="shared"/>
        <v>5.0000000000000018</v>
      </c>
      <c r="CZ21" s="108">
        <f si="3" t="shared"/>
        <v>-5.5538436321914411</v>
      </c>
      <c r="DA21" s="78">
        <f si="4" t="shared"/>
        <v>-0.52623895385857811</v>
      </c>
      <c r="DB21" s="95">
        <v>20000</v>
      </c>
    </row>
    <row r="22" spans="2:106" x14ac:dyDescent="0.25">
      <c r="B22" s="144">
        <v>19</v>
      </c>
      <c r="C22" s="170" t="s">
        <v>344</v>
      </c>
      <c r="D22" s="115">
        <f>County_Flow!BX40</f>
        <v>12412.957962668792</v>
      </c>
      <c r="E22" s="116">
        <f>County_Flow!BY40</f>
        <v>46181.170491572484</v>
      </c>
      <c r="F22" s="116">
        <f>County_Flow!BZ40</f>
        <v>22540</v>
      </c>
      <c r="G22" s="123">
        <f>County_Flow!CA40</f>
        <v>21772</v>
      </c>
      <c r="H22" s="115">
        <f>County_Flow!CB40</f>
        <v>14933.803838945465</v>
      </c>
      <c r="I22" s="116">
        <f>County_Flow!CC40</f>
        <v>28226.454567200042</v>
      </c>
      <c r="J22" s="116">
        <f>County_Flow!CD40</f>
        <v>20828.406746613717</v>
      </c>
      <c r="K22" s="123">
        <f>County_Flow!CE40</f>
        <v>21772</v>
      </c>
      <c r="L22" s="100">
        <f>County_Flow!CF40</f>
        <v>2.2163555712296633E-2</v>
      </c>
      <c r="M22" s="100">
        <f>County_Flow!CG40</f>
        <v>4.1891443406352091E-2</v>
      </c>
      <c r="N22" s="104">
        <f>County_Flow!CH40</f>
        <v>3.091185328972057E-2</v>
      </c>
      <c r="O22" s="150">
        <f>County_Flow!CI40</f>
        <v>3.2312258830513509E-2</v>
      </c>
      <c r="P22" s="125">
        <f>County_Flow!CJ40</f>
        <v>1.4004055407929386E-3</v>
      </c>
      <c r="Q22" s="121">
        <f>County_Flow!CK40</f>
        <v>4.5303189286895057E-2</v>
      </c>
      <c r="R22" s="171">
        <f si="7" t="shared"/>
        <v>0.95666024006125838</v>
      </c>
      <c r="S22" s="140"/>
      <c r="T22" s="201"/>
      <c r="U22" s="202"/>
      <c r="V22" s="203"/>
      <c r="W22" s="203"/>
      <c r="X22" s="204"/>
      <c r="Y22" s="30"/>
      <c r="Z22" s="30"/>
      <c r="AA22" s="100"/>
      <c r="AB22" s="165"/>
      <c r="AC22" s="165"/>
      <c r="AD22" s="194">
        <v>119</v>
      </c>
      <c r="AE22" s="163">
        <f si="8" t="shared"/>
        <v>-4.430697662514553E-2</v>
      </c>
      <c r="AF22" s="164">
        <f si="5" t="shared"/>
        <v>-4.720304627611524E-2</v>
      </c>
      <c r="AG22" s="7">
        <f>VLOOKUP(AD22,calibration_dist!$T:$W,3,FALSE)</f>
        <v>0.1628137198364</v>
      </c>
      <c r="AH22" s="167">
        <f si="9" t="shared"/>
        <v>0.11561067356028476</v>
      </c>
      <c r="AI22" s="174">
        <v>1</v>
      </c>
      <c r="CU22" s="95">
        <v>21</v>
      </c>
      <c r="CV22" s="95">
        <f si="6" t="shared"/>
        <v>2</v>
      </c>
      <c r="CW22" s="95">
        <f si="0" t="shared"/>
        <v>1</v>
      </c>
      <c r="CX22" s="58">
        <f si="1" t="shared"/>
        <v>1702.9552972731337</v>
      </c>
      <c r="CY22" s="58">
        <f si="2" t="shared"/>
        <v>1743</v>
      </c>
      <c r="CZ22" s="108">
        <f si="3" t="shared"/>
        <v>40.044702726866262</v>
      </c>
      <c r="DA22" s="78">
        <f si="4" t="shared"/>
        <v>2.3514829068612696E-2</v>
      </c>
      <c r="DB22" s="95">
        <v>21000</v>
      </c>
    </row>
    <row r="23" spans="2:106" x14ac:dyDescent="0.25">
      <c r="B23" s="144">
        <v>20</v>
      </c>
      <c r="C23" s="170" t="s">
        <v>345</v>
      </c>
      <c r="D23" s="115">
        <f>County_Flow!BX41</f>
        <v>11905.715030577378</v>
      </c>
      <c r="E23" s="116">
        <f>County_Flow!BY41</f>
        <v>41477.384054506212</v>
      </c>
      <c r="F23" s="116">
        <f>County_Flow!BZ41</f>
        <v>15078</v>
      </c>
      <c r="G23" s="123">
        <f>County_Flow!CA41</f>
        <v>14895</v>
      </c>
      <c r="H23" s="115">
        <f>County_Flow!CB41</f>
        <v>14323.549097946079</v>
      </c>
      <c r="I23" s="116">
        <f>County_Flow!CC41</f>
        <v>25351.447010085572</v>
      </c>
      <c r="J23" s="116">
        <f>County_Flow!CD41</f>
        <v>13755.873697453415</v>
      </c>
      <c r="K23" s="123">
        <f>County_Flow!CE41</f>
        <v>14895</v>
      </c>
      <c r="L23" s="100">
        <f>County_Flow!CF41</f>
        <v>2.1257864496803329E-2</v>
      </c>
      <c r="M23" s="100">
        <f>County_Flow!CG41</f>
        <v>3.7624587429631297E-2</v>
      </c>
      <c r="N23" s="104">
        <f>County_Flow!CH41</f>
        <v>2.0415366128604062E-2</v>
      </c>
      <c r="O23" s="150">
        <f>County_Flow!CI41</f>
        <v>2.2105966162065897E-2</v>
      </c>
      <c r="P23" s="126">
        <f>County_Flow!CJ41</f>
        <v>1.6906000334618344E-3</v>
      </c>
      <c r="Q23" s="122">
        <f>County_Flow!CK41</f>
        <v>8.2810174591634131E-2</v>
      </c>
      <c r="R23" s="172">
        <f si="7" t="shared"/>
        <v>0.92352290684480809</v>
      </c>
      <c r="S23" s="140"/>
      <c r="T23" s="201"/>
      <c r="U23" s="202"/>
      <c r="V23" s="203"/>
      <c r="W23" s="203"/>
      <c r="X23" s="204"/>
      <c r="Y23" s="30"/>
      <c r="Z23" s="30"/>
      <c r="AA23" s="100"/>
      <c r="AB23" s="165"/>
      <c r="AC23" s="165"/>
      <c r="AD23" s="194">
        <v>120</v>
      </c>
      <c r="AE23" s="163">
        <f si="8" t="shared"/>
        <v>-7.9559675270597957E-2</v>
      </c>
      <c r="AF23" s="164">
        <f si="5" t="shared"/>
        <v>-8.2455744921567667E-2</v>
      </c>
      <c r="AG23" s="7">
        <f>VLOOKUP(AD23,calibration_dist!$T:$W,3,FALSE)</f>
        <v>-0.40270863939919999</v>
      </c>
      <c r="AH23" s="167">
        <f si="9" t="shared"/>
        <v>-0.48516438432076764</v>
      </c>
      <c r="AI23" s="174">
        <v>1</v>
      </c>
      <c r="CU23" s="95">
        <v>22</v>
      </c>
      <c r="CV23" s="95">
        <f si="6" t="shared"/>
        <v>2</v>
      </c>
      <c r="CW23" s="95">
        <f si="0" t="shared"/>
        <v>2</v>
      </c>
      <c r="CX23" s="58">
        <f si="1" t="shared"/>
        <v>1730.5648189539561</v>
      </c>
      <c r="CY23" s="58">
        <f si="2" t="shared"/>
        <v>2317</v>
      </c>
      <c r="CZ23" s="108">
        <f si="3" t="shared"/>
        <v>586.43518104604391</v>
      </c>
      <c r="DA23" s="78">
        <f si="4" t="shared"/>
        <v>0.33886923773275135</v>
      </c>
      <c r="DB23" s="95">
        <v>22000</v>
      </c>
    </row>
    <row ht="15.75" r="24" spans="2:106" thickBot="1" x14ac:dyDescent="0.3">
      <c r="B24" s="173"/>
      <c r="C24" s="110" t="s">
        <v>218</v>
      </c>
      <c r="D24" s="117">
        <f>County_Flow!BX42</f>
        <v>560061.6671711175</v>
      </c>
      <c r="E24" s="111">
        <f>County_Flow!BY42</f>
        <v>1102401.03315633</v>
      </c>
      <c r="F24" s="111">
        <f>County_Flow!BZ42</f>
        <v>696114</v>
      </c>
      <c r="G24" s="124">
        <f>County_Flow!CA42</f>
        <v>673800</v>
      </c>
      <c r="H24" s="117">
        <f>County_Flow!CB42</f>
        <v>673799.99999999977</v>
      </c>
      <c r="I24" s="111">
        <f>County_Flow!CC42</f>
        <v>673800.00000000012</v>
      </c>
      <c r="J24" s="111">
        <f>County_Flow!CD42</f>
        <v>673799.99999999988</v>
      </c>
      <c r="K24" s="124">
        <f>County_Flow!CE42</f>
        <v>673800</v>
      </c>
      <c r="L24" s="130">
        <f>County_Flow!CF42</f>
        <v>1</v>
      </c>
      <c r="M24" s="130">
        <f>County_Flow!CG42</f>
        <v>1</v>
      </c>
      <c r="N24" s="130">
        <f>County_Flow!CH42</f>
        <v>1</v>
      </c>
      <c r="O24" s="131">
        <f>County_Flow!CI42</f>
        <v>1</v>
      </c>
      <c r="P24" s="119"/>
      <c r="Q24" s="137"/>
      <c r="R24" s="172">
        <f>V24/W24</f>
        <v>0.98012038779009758</v>
      </c>
      <c r="S24" t="s">
        <v>417</v>
      </c>
      <c r="T24" s="141"/>
      <c r="V24" s="108">
        <f>N41</f>
        <v>45782.40343406325</v>
      </c>
      <c r="W24" s="108">
        <f>BK41</f>
        <v>46711</v>
      </c>
      <c r="X24" s="30">
        <f>M68</f>
        <v>3.1322999222522132E-3</v>
      </c>
      <c r="Y24" s="30">
        <f>AK68</f>
        <v>1.5701988720688632E-3</v>
      </c>
      <c r="Z24" s="166"/>
      <c r="AA24" s="166"/>
      <c r="AB24" s="7"/>
      <c r="AC24" s="41"/>
      <c r="AD24" s="194">
        <v>121</v>
      </c>
      <c r="AE24" s="163">
        <f ref="AE24:AE25" si="10" t="shared">LN(R24)</f>
        <v>-2.0079870178536689E-2</v>
      </c>
      <c r="AF24" s="164">
        <f>AE24-AF14</f>
        <v>-5.2127382439802403E-3</v>
      </c>
      <c r="AG24" s="7">
        <f>VLOOKUP(AD24,calibration_dist!$T:$W,3,FALSE)</f>
        <v>-0.47819038789149998</v>
      </c>
      <c r="AH24" s="167">
        <f>AG24+AI24*(AF24-(AF15*AI15))</f>
        <v>-0.47819038789149998</v>
      </c>
      <c r="AI24" s="174">
        <v>0</v>
      </c>
      <c r="CU24" s="95">
        <v>23</v>
      </c>
      <c r="CV24" s="95">
        <f si="6" t="shared"/>
        <v>2</v>
      </c>
      <c r="CW24" s="95">
        <f si="0" t="shared"/>
        <v>3</v>
      </c>
      <c r="CX24" s="58">
        <f si="1" t="shared"/>
        <v>675.88109074653551</v>
      </c>
      <c r="CY24" s="58">
        <f si="2" t="shared"/>
        <v>618</v>
      </c>
      <c r="CZ24" s="108">
        <f si="3" t="shared"/>
        <v>-57.881090746535506</v>
      </c>
      <c r="DA24" s="78">
        <f si="4" t="shared"/>
        <v>-8.5637979134175382E-2</v>
      </c>
      <c r="DB24" s="95">
        <v>23000</v>
      </c>
    </row>
    <row ht="15.75" r="25" spans="2:106" thickBot="1" x14ac:dyDescent="0.3">
      <c r="R25" s="172">
        <f>V25/W25</f>
        <v>0.90871062105687439</v>
      </c>
      <c r="S25" s="95" t="s">
        <v>418</v>
      </c>
      <c r="U25" s="41"/>
      <c r="V25" s="108">
        <f>O42</f>
        <v>29606.700744654023</v>
      </c>
      <c r="W25" s="108">
        <f>BL42</f>
        <v>32581</v>
      </c>
      <c r="X25" s="30">
        <f>M69</f>
        <v>1.8878927685034193E-3</v>
      </c>
      <c r="Y25" s="30">
        <f>AK69</f>
        <v>4.7343425348768181E-4</v>
      </c>
      <c r="Z25" s="7"/>
      <c r="AA25" s="7"/>
      <c r="AB25" s="7"/>
      <c r="AD25" s="195">
        <v>122</v>
      </c>
      <c r="AE25" s="175">
        <f si="10" t="shared"/>
        <v>-9.5728584160659214E-2</v>
      </c>
      <c r="AF25" s="176">
        <f>AE25-AF14</f>
        <v>-8.0861452226102762E-2</v>
      </c>
      <c r="AG25" s="1">
        <f>VLOOKUP(AD25,calibration_dist!$T:$W,3,FALSE)</f>
        <v>-1.0119832457914</v>
      </c>
      <c r="AH25" s="177">
        <f>AG25+AI25*(AF25-(AF16*AI16))</f>
        <v>-1.0119832457914</v>
      </c>
      <c r="AI25" s="178">
        <v>0</v>
      </c>
      <c r="CU25" s="95">
        <v>24</v>
      </c>
      <c r="CV25" s="95">
        <f si="6" t="shared"/>
        <v>2</v>
      </c>
      <c r="CW25" s="95">
        <f si="0" t="shared"/>
        <v>4</v>
      </c>
      <c r="CX25" s="58">
        <f si="1" t="shared"/>
        <v>406.4121591417076</v>
      </c>
      <c r="CY25" s="58">
        <f si="2" t="shared"/>
        <v>464</v>
      </c>
      <c r="CZ25" s="108">
        <f si="3" t="shared"/>
        <v>57.587840858292395</v>
      </c>
      <c r="DA25" s="78">
        <f si="4" t="shared"/>
        <v>0.14169812482951008</v>
      </c>
      <c r="DB25" s="95">
        <v>24000</v>
      </c>
    </row>
    <row r="26" spans="2:106" x14ac:dyDescent="0.25">
      <c r="U26" s="143"/>
      <c r="AH26" s="141"/>
      <c r="CU26" s="95">
        <v>25</v>
      </c>
      <c r="CV26" s="95">
        <f si="6" t="shared"/>
        <v>2</v>
      </c>
      <c r="CW26" s="95">
        <f si="0" t="shared"/>
        <v>5</v>
      </c>
      <c r="CX26" s="58">
        <f si="1" t="shared"/>
        <v>436.23044255699597</v>
      </c>
      <c r="CY26" s="58">
        <f si="2" t="shared"/>
        <v>450</v>
      </c>
      <c r="CZ26" s="108">
        <f si="3" t="shared"/>
        <v>13.769557443004032</v>
      </c>
      <c r="DA26" s="78">
        <f si="4" t="shared"/>
        <v>3.1564870535611377E-2</v>
      </c>
      <c r="DB26" s="95">
        <v>25000</v>
      </c>
    </row>
    <row r="27" spans="2:106" x14ac:dyDescent="0.25">
      <c r="B27" s="142" t="s">
        <v>321</v>
      </c>
      <c r="Z27" s="142" t="s">
        <v>324</v>
      </c>
      <c r="AH27" s="141"/>
      <c r="AY27" s="142" t="s">
        <v>407</v>
      </c>
      <c r="BW27" s="142" t="s">
        <v>408</v>
      </c>
      <c r="CU27" s="95">
        <v>26</v>
      </c>
      <c r="CV27" s="95">
        <f si="6" t="shared"/>
        <v>2</v>
      </c>
      <c r="CW27" s="95">
        <f si="0" t="shared"/>
        <v>6</v>
      </c>
      <c r="CX27" s="58">
        <f si="1" t="shared"/>
        <v>2817.2755923111313</v>
      </c>
      <c r="CY27" s="58">
        <f si="2" t="shared"/>
        <v>3028</v>
      </c>
      <c r="CZ27" s="108">
        <f si="3" t="shared"/>
        <v>210.72440768886872</v>
      </c>
      <c r="DA27" s="78">
        <f si="4" t="shared"/>
        <v>7.479722901940257E-2</v>
      </c>
      <c r="DB27" s="95">
        <v>26000</v>
      </c>
    </row>
    <row ht="15.75" r="28" spans="2:106" thickBot="1" x14ac:dyDescent="0.3">
      <c r="W28" s="7"/>
      <c r="X28" s="7"/>
      <c r="Y28" s="95"/>
      <c r="Z28" t="s">
        <v>409</v>
      </c>
      <c r="AA28" s="191">
        <v>1</v>
      </c>
      <c r="AB28" s="191">
        <v>1</v>
      </c>
      <c r="AC28" s="191">
        <v>1</v>
      </c>
      <c r="AD28" s="191">
        <v>1</v>
      </c>
      <c r="AE28" s="191">
        <v>1</v>
      </c>
      <c r="AF28" s="191">
        <v>1</v>
      </c>
      <c r="AG28" s="191">
        <v>1</v>
      </c>
      <c r="AH28" s="191">
        <v>1</v>
      </c>
      <c r="AI28" s="191">
        <v>1</v>
      </c>
      <c r="AJ28" s="191">
        <v>1</v>
      </c>
      <c r="AK28" s="191">
        <v>1</v>
      </c>
      <c r="AL28" s="191">
        <v>1</v>
      </c>
      <c r="AM28" s="191">
        <v>1</v>
      </c>
      <c r="AN28" s="191">
        <v>1</v>
      </c>
      <c r="AO28" s="191">
        <v>1</v>
      </c>
      <c r="AP28" s="191">
        <v>1</v>
      </c>
      <c r="AQ28" s="191">
        <v>1</v>
      </c>
      <c r="AR28" s="191">
        <v>1</v>
      </c>
      <c r="AS28" s="191">
        <v>1</v>
      </c>
      <c r="AT28" s="191">
        <v>1</v>
      </c>
      <c r="AU28" s="95"/>
      <c r="AV28" s="95"/>
      <c r="CU28" s="95">
        <v>27</v>
      </c>
      <c r="CV28" s="95">
        <f si="6" t="shared"/>
        <v>2</v>
      </c>
      <c r="CW28" s="95">
        <f si="0" t="shared"/>
        <v>7</v>
      </c>
      <c r="CX28" s="58">
        <f si="1" t="shared"/>
        <v>1232.4890478319176</v>
      </c>
      <c r="CY28" s="58">
        <f si="2" t="shared"/>
        <v>1105</v>
      </c>
      <c r="CZ28" s="108">
        <f si="3" t="shared"/>
        <v>-127.48904783191756</v>
      </c>
      <c r="DA28" s="78">
        <f si="4" t="shared"/>
        <v>-0.10344030890674824</v>
      </c>
      <c r="DB28" s="95">
        <v>27000</v>
      </c>
    </row>
    <row r="29" spans="2:106" x14ac:dyDescent="0.25">
      <c r="B29" s="2" t="s">
        <v>14</v>
      </c>
      <c r="C29" s="2">
        <v>1</v>
      </c>
      <c r="D29" s="2">
        <v>2</v>
      </c>
      <c r="E29" s="2">
        <v>3</v>
      </c>
      <c r="F29" s="2">
        <v>4</v>
      </c>
      <c r="G29" s="2">
        <v>5</v>
      </c>
      <c r="H29" s="2">
        <v>6</v>
      </c>
      <c r="I29" s="2">
        <v>7</v>
      </c>
      <c r="J29" s="2">
        <v>8</v>
      </c>
      <c r="K29" s="2">
        <v>9</v>
      </c>
      <c r="L29" s="2">
        <v>10</v>
      </c>
      <c r="M29" s="2">
        <v>11</v>
      </c>
      <c r="N29" s="2">
        <v>12</v>
      </c>
      <c r="O29" s="2">
        <v>13</v>
      </c>
      <c r="P29" s="2">
        <v>14</v>
      </c>
      <c r="Q29" s="2">
        <v>15</v>
      </c>
      <c r="R29" s="2">
        <v>16</v>
      </c>
      <c r="S29" s="2">
        <v>17</v>
      </c>
      <c r="T29" s="2">
        <v>18</v>
      </c>
      <c r="U29" s="2">
        <v>19</v>
      </c>
      <c r="V29" s="2">
        <v>20</v>
      </c>
      <c r="W29" s="3" t="s">
        <v>15</v>
      </c>
      <c r="X29" s="3" t="s">
        <v>3</v>
      </c>
      <c r="Y29" s="95"/>
      <c r="Z29" s="2" t="s">
        <v>14</v>
      </c>
      <c r="AA29" s="2">
        <v>1</v>
      </c>
      <c r="AB29" s="2">
        <v>2</v>
      </c>
      <c r="AC29" s="2">
        <v>3</v>
      </c>
      <c r="AD29" s="2">
        <v>4</v>
      </c>
      <c r="AE29" s="2">
        <v>5</v>
      </c>
      <c r="AF29" s="2">
        <v>6</v>
      </c>
      <c r="AG29" s="2">
        <v>7</v>
      </c>
      <c r="AH29" s="2">
        <v>8</v>
      </c>
      <c r="AI29" s="2">
        <v>9</v>
      </c>
      <c r="AJ29" s="2">
        <v>10</v>
      </c>
      <c r="AK29" s="2">
        <v>11</v>
      </c>
      <c r="AL29" s="2">
        <v>12</v>
      </c>
      <c r="AM29" s="2">
        <v>13</v>
      </c>
      <c r="AN29" s="2">
        <v>14</v>
      </c>
      <c r="AO29" s="2">
        <v>15</v>
      </c>
      <c r="AP29" s="2">
        <v>16</v>
      </c>
      <c r="AQ29" s="2">
        <v>17</v>
      </c>
      <c r="AR29" s="2">
        <v>18</v>
      </c>
      <c r="AS29" s="2">
        <v>19</v>
      </c>
      <c r="AT29" s="2">
        <v>20</v>
      </c>
      <c r="AU29" s="3" t="s">
        <v>15</v>
      </c>
      <c r="AV29" s="3" t="s">
        <v>3</v>
      </c>
      <c r="AY29" s="2" t="s">
        <v>14</v>
      </c>
      <c r="AZ29" s="2">
        <v>1</v>
      </c>
      <c r="BA29" s="2">
        <v>2</v>
      </c>
      <c r="BB29" s="2">
        <v>3</v>
      </c>
      <c r="BC29" s="2">
        <v>4</v>
      </c>
      <c r="BD29" s="2">
        <v>5</v>
      </c>
      <c r="BE29" s="2">
        <v>6</v>
      </c>
      <c r="BF29" s="2">
        <v>7</v>
      </c>
      <c r="BG29" s="2">
        <v>8</v>
      </c>
      <c r="BH29" s="2">
        <v>9</v>
      </c>
      <c r="BI29" s="2">
        <v>10</v>
      </c>
      <c r="BJ29" s="2">
        <v>11</v>
      </c>
      <c r="BK29" s="2">
        <v>12</v>
      </c>
      <c r="BL29" s="2">
        <v>13</v>
      </c>
      <c r="BM29" s="2">
        <v>14</v>
      </c>
      <c r="BN29" s="2">
        <v>15</v>
      </c>
      <c r="BO29" s="2">
        <v>16</v>
      </c>
      <c r="BP29" s="2">
        <v>17</v>
      </c>
      <c r="BQ29" s="2">
        <v>18</v>
      </c>
      <c r="BR29" s="2">
        <v>19</v>
      </c>
      <c r="BS29" s="2">
        <v>20</v>
      </c>
      <c r="BT29" s="3" t="s">
        <v>15</v>
      </c>
      <c r="BU29" s="3" t="s">
        <v>3</v>
      </c>
      <c r="BW29" s="2" t="s">
        <v>14</v>
      </c>
      <c r="BX29" s="2">
        <v>1</v>
      </c>
      <c r="BY29" s="2">
        <v>2</v>
      </c>
      <c r="BZ29" s="2">
        <v>3</v>
      </c>
      <c r="CA29" s="2">
        <v>4</v>
      </c>
      <c r="CB29" s="2">
        <v>5</v>
      </c>
      <c r="CC29" s="2">
        <v>6</v>
      </c>
      <c r="CD29" s="2">
        <v>7</v>
      </c>
      <c r="CE29" s="2">
        <v>8</v>
      </c>
      <c r="CF29" s="2">
        <v>9</v>
      </c>
      <c r="CG29" s="2">
        <v>10</v>
      </c>
      <c r="CH29" s="2">
        <v>11</v>
      </c>
      <c r="CI29" s="2">
        <v>12</v>
      </c>
      <c r="CJ29" s="2">
        <v>13</v>
      </c>
      <c r="CK29" s="2">
        <v>14</v>
      </c>
      <c r="CL29" s="2">
        <v>15</v>
      </c>
      <c r="CM29" s="2">
        <v>16</v>
      </c>
      <c r="CN29" s="2">
        <v>17</v>
      </c>
      <c r="CO29" s="2">
        <v>18</v>
      </c>
      <c r="CP29" s="2">
        <v>19</v>
      </c>
      <c r="CQ29" s="2">
        <v>20</v>
      </c>
      <c r="CR29" s="3" t="s">
        <v>15</v>
      </c>
      <c r="CS29" s="3" t="s">
        <v>3</v>
      </c>
      <c r="CU29" s="95">
        <v>28</v>
      </c>
      <c r="CV29" s="95">
        <f si="6" t="shared"/>
        <v>2</v>
      </c>
      <c r="CW29" s="95">
        <f si="0" t="shared"/>
        <v>8</v>
      </c>
      <c r="CX29" s="58">
        <f si="1" t="shared"/>
        <v>93.872373714796595</v>
      </c>
      <c r="CY29" s="58">
        <f si="2" t="shared"/>
        <v>85</v>
      </c>
      <c r="CZ29" s="108">
        <f si="3" t="shared"/>
        <v>-8.8723737147965949</v>
      </c>
      <c r="DA29" s="78">
        <f si="4" t="shared"/>
        <v>-9.4515280307629956E-2</v>
      </c>
      <c r="DB29" s="95">
        <v>28000</v>
      </c>
    </row>
    <row r="30" spans="2:106" x14ac:dyDescent="0.25">
      <c r="B30" s="31">
        <v>1</v>
      </c>
      <c r="C30" s="77">
        <f>County_Flow!Z34</f>
        <v>1201.5145058187181</v>
      </c>
      <c r="D30" s="77">
        <f>County_Flow!AA34*$AA28</f>
        <v>308.49696771021144</v>
      </c>
      <c r="E30" s="77">
        <f>County_Flow!AB34*$AA28</f>
        <v>166.42599573840354</v>
      </c>
      <c r="F30" s="77">
        <f>County_Flow!AC34*$AA28</f>
        <v>150.18931322733977</v>
      </c>
      <c r="G30" s="77">
        <f>County_Flow!AD34*$AA28</f>
        <v>174.54433699393545</v>
      </c>
      <c r="H30" s="77">
        <f>County_Flow!AE34*$AA28</f>
        <v>1281.8860842484839</v>
      </c>
      <c r="I30" s="77">
        <f>County_Flow!AF34*$AA28</f>
        <v>211.88870676938208</v>
      </c>
      <c r="J30" s="77">
        <f>County_Flow!AG34*$AA28</f>
        <v>21.107687264382886</v>
      </c>
      <c r="K30" s="77">
        <f>County_Flow!AH34*$AA28</f>
        <v>213.51237502048846</v>
      </c>
      <c r="L30" s="77">
        <f>County_Flow!AI34*$AA28</f>
        <v>106.35027044746762</v>
      </c>
      <c r="M30" s="77">
        <f>County_Flow!AJ34*$AA28</f>
        <v>146.13014259957384</v>
      </c>
      <c r="N30" s="77">
        <f>County_Flow!AK34*$AA28</f>
        <v>820.76430093427302</v>
      </c>
      <c r="O30" s="77">
        <f>County_Flow!AL34*$AA28</f>
        <v>51.14554990985085</v>
      </c>
      <c r="P30" s="77">
        <f>County_Flow!AM34*$AA28</f>
        <v>9.7420095066382562</v>
      </c>
      <c r="Q30" s="77">
        <f>County_Flow!AN34*$AA28</f>
        <v>23.543189641042453</v>
      </c>
      <c r="R30" s="77">
        <f>County_Flow!AO34*$AA28</f>
        <v>13.801180134404195</v>
      </c>
      <c r="S30" s="77">
        <f>County_Flow!AP34*$AA28</f>
        <v>5.6828388788723156</v>
      </c>
      <c r="T30" s="77">
        <f>County_Flow!AQ34*$AA28</f>
        <v>8.9301753810850677</v>
      </c>
      <c r="U30" s="77">
        <f>County_Flow!AR34*$AA28</f>
        <v>26.790526143255203</v>
      </c>
      <c r="V30" s="77">
        <f>County_Flow!AS34*$AA28</f>
        <v>10.553843632191443</v>
      </c>
      <c r="W30" s="77">
        <f>County_Flow!AT34</f>
        <v>0</v>
      </c>
      <c r="X30" s="77">
        <f>SUM(C30:W30)</f>
        <v>4953.0000000000018</v>
      </c>
      <c r="Y30" s="95"/>
      <c r="Z30" s="31">
        <v>1</v>
      </c>
      <c r="AA30" s="77">
        <f>County_Flow!AX34*AA$28</f>
        <v>1361</v>
      </c>
      <c r="AB30" s="77">
        <f>County_Flow!AY34*AB$28</f>
        <v>288</v>
      </c>
      <c r="AC30" s="77">
        <f>County_Flow!AZ34*AC$28</f>
        <v>162</v>
      </c>
      <c r="AD30" s="77">
        <f>County_Flow!BA34*AD$28</f>
        <v>257</v>
      </c>
      <c r="AE30" s="77">
        <f>County_Flow!BB34*AE$28</f>
        <v>229</v>
      </c>
      <c r="AF30" s="77">
        <f>County_Flow!BC34*AF$28</f>
        <v>1432</v>
      </c>
      <c r="AG30" s="77">
        <f>County_Flow!BD34*AG$28</f>
        <v>130</v>
      </c>
      <c r="AH30" s="77">
        <f>County_Flow!BE34*AH$28</f>
        <v>35</v>
      </c>
      <c r="AI30" s="77">
        <f>County_Flow!BF34*AI$28</f>
        <v>165</v>
      </c>
      <c r="AJ30" s="77">
        <f>County_Flow!BG34*AJ$28</f>
        <v>114</v>
      </c>
      <c r="AK30" s="77">
        <f>County_Flow!BH34*AK$28</f>
        <v>124</v>
      </c>
      <c r="AL30" s="77">
        <f>County_Flow!BI34*AL$28</f>
        <v>572</v>
      </c>
      <c r="AM30" s="77">
        <f>County_Flow!BJ34*AM$28</f>
        <v>12</v>
      </c>
      <c r="AN30" s="77">
        <f>County_Flow!BK34*AN$28</f>
        <v>14</v>
      </c>
      <c r="AO30" s="77">
        <f>County_Flow!BL34*AO$28</f>
        <v>15</v>
      </c>
      <c r="AP30" s="77">
        <f>County_Flow!BM34*AP$28</f>
        <v>10</v>
      </c>
      <c r="AQ30" s="77">
        <f>County_Flow!BN34*AQ$28</f>
        <v>7</v>
      </c>
      <c r="AR30" s="77">
        <f>County_Flow!BO34*AR$28</f>
        <v>5</v>
      </c>
      <c r="AS30" s="77">
        <f>County_Flow!BP34*AS$28</f>
        <v>16</v>
      </c>
      <c r="AT30" s="77">
        <f>County_Flow!BQ34*AT$28</f>
        <v>5</v>
      </c>
      <c r="AU30" s="77">
        <f>County_Flow!BR34</f>
        <v>0</v>
      </c>
      <c r="AV30" s="97">
        <f>SUM(AA30:AU30)</f>
        <v>4953</v>
      </c>
      <c r="AW30" s="139">
        <f>ABS((AV30-X30)/X30)</f>
        <v>3.6725003100057657E-16</v>
      </c>
      <c r="AY30" s="31">
        <v>1</v>
      </c>
      <c r="AZ30" s="77">
        <f>AA30*$X30/$AV30</f>
        <v>1361.0000000000005</v>
      </c>
      <c r="BA30" s="77">
        <f ref="BA30:BS30" si="11" t="shared">AB30*$X30/$AV30</f>
        <v>288.00000000000011</v>
      </c>
      <c r="BB30" s="77">
        <f si="11" t="shared"/>
        <v>162.00000000000006</v>
      </c>
      <c r="BC30" s="77">
        <f si="11" t="shared"/>
        <v>257.00000000000011</v>
      </c>
      <c r="BD30" s="77">
        <f si="11" t="shared"/>
        <v>229.00000000000009</v>
      </c>
      <c r="BE30" s="77">
        <f si="11" t="shared"/>
        <v>1432.0000000000005</v>
      </c>
      <c r="BF30" s="77">
        <f si="11" t="shared"/>
        <v>130.00000000000006</v>
      </c>
      <c r="BG30" s="77">
        <f si="11" t="shared"/>
        <v>35.000000000000014</v>
      </c>
      <c r="BH30" s="77">
        <f si="11" t="shared"/>
        <v>165.00000000000006</v>
      </c>
      <c r="BI30" s="77">
        <f si="11" t="shared"/>
        <v>114.00000000000004</v>
      </c>
      <c r="BJ30" s="77">
        <f si="11" t="shared"/>
        <v>124.00000000000004</v>
      </c>
      <c r="BK30" s="77">
        <f si="11" t="shared"/>
        <v>572.00000000000023</v>
      </c>
      <c r="BL30" s="77">
        <f si="11" t="shared"/>
        <v>12.000000000000004</v>
      </c>
      <c r="BM30" s="77">
        <f si="11" t="shared"/>
        <v>14.000000000000005</v>
      </c>
      <c r="BN30" s="77">
        <f si="11" t="shared"/>
        <v>15.000000000000005</v>
      </c>
      <c r="BO30" s="77">
        <f si="11" t="shared"/>
        <v>10.000000000000004</v>
      </c>
      <c r="BP30" s="77">
        <f si="11" t="shared"/>
        <v>7.0000000000000027</v>
      </c>
      <c r="BQ30" s="77">
        <f si="11" t="shared"/>
        <v>5.0000000000000018</v>
      </c>
      <c r="BR30" s="77">
        <f si="11" t="shared"/>
        <v>16.000000000000007</v>
      </c>
      <c r="BS30" s="77">
        <f si="11" t="shared"/>
        <v>5.0000000000000018</v>
      </c>
      <c r="BT30" s="77">
        <f ref="BT30" si="12" t="shared">AU30*$X30/$AV30</f>
        <v>0</v>
      </c>
      <c r="BU30" s="77">
        <f ref="BU30:BU49" si="13" t="shared">AV30*$X30/$AV30</f>
        <v>4953.0000000000018</v>
      </c>
      <c r="BW30" s="31">
        <v>1</v>
      </c>
      <c r="BX30" s="77">
        <f>ABS(AZ30-C30)</f>
        <v>159.48549418128232</v>
      </c>
      <c r="BY30" s="77">
        <f ref="BY30:CS30" si="14" t="shared">ABS(BA30-D30)</f>
        <v>20.496967710211322</v>
      </c>
      <c r="BZ30" s="77">
        <f si="14" t="shared"/>
        <v>4.4259957384034863</v>
      </c>
      <c r="CA30" s="77">
        <f si="14" t="shared"/>
        <v>106.81068677266035</v>
      </c>
      <c r="CB30" s="77">
        <f si="14" t="shared"/>
        <v>54.45566300606464</v>
      </c>
      <c r="CC30" s="77">
        <f si="14" t="shared"/>
        <v>150.11391575151652</v>
      </c>
      <c r="CD30" s="77">
        <f si="14" t="shared"/>
        <v>81.888706769382026</v>
      </c>
      <c r="CE30" s="77">
        <f si="14" t="shared"/>
        <v>13.892312735617129</v>
      </c>
      <c r="CF30" s="77">
        <f si="14" t="shared"/>
        <v>48.512375020488406</v>
      </c>
      <c r="CG30" s="77">
        <f si="14" t="shared"/>
        <v>7.6497295525324205</v>
      </c>
      <c r="CH30" s="77">
        <f si="14" t="shared"/>
        <v>22.130142599573801</v>
      </c>
      <c r="CI30" s="77">
        <f si="14" t="shared"/>
        <v>248.7643009342728</v>
      </c>
      <c r="CJ30" s="77">
        <f si="14" t="shared"/>
        <v>39.145549909850843</v>
      </c>
      <c r="CK30" s="77">
        <f si="14" t="shared"/>
        <v>4.2579904933617492</v>
      </c>
      <c r="CL30" s="77">
        <f si="14" t="shared"/>
        <v>8.5431896410424475</v>
      </c>
      <c r="CM30" s="77">
        <f si="14" t="shared"/>
        <v>3.8011801344041913</v>
      </c>
      <c r="CN30" s="77">
        <f si="14" t="shared"/>
        <v>1.317161121127687</v>
      </c>
      <c r="CO30" s="77">
        <f si="14" t="shared"/>
        <v>3.9301753810850659</v>
      </c>
      <c r="CP30" s="77">
        <f si="14" t="shared"/>
        <v>10.790526143255196</v>
      </c>
      <c r="CQ30" s="77">
        <f si="14" t="shared"/>
        <v>5.5538436321914411</v>
      </c>
      <c r="CR30" s="77">
        <f si="14" t="shared"/>
        <v>0</v>
      </c>
      <c r="CS30" s="77">
        <f si="14" t="shared"/>
        <v>0</v>
      </c>
      <c r="CU30" s="95">
        <v>29</v>
      </c>
      <c r="CV30" s="95">
        <f si="6" t="shared"/>
        <v>2</v>
      </c>
      <c r="CW30" s="95">
        <f si="0" t="shared"/>
        <v>9</v>
      </c>
      <c r="CX30" s="58">
        <f si="1" t="shared"/>
        <v>1201.5663835493965</v>
      </c>
      <c r="CY30" s="58">
        <f si="2" t="shared"/>
        <v>1161</v>
      </c>
      <c r="CZ30" s="108">
        <f si="3" t="shared"/>
        <v>-40.566383549396505</v>
      </c>
      <c r="DA30" s="78">
        <f si="4" t="shared"/>
        <v>-3.3761250401800058E-2</v>
      </c>
      <c r="DB30" s="95">
        <v>29000</v>
      </c>
    </row>
    <row r="31" spans="2:106" x14ac:dyDescent="0.25">
      <c r="B31" s="95">
        <v>2</v>
      </c>
      <c r="C31" s="77">
        <f>County_Flow!Z35</f>
        <v>1702.9552972731337</v>
      </c>
      <c r="D31" s="77">
        <f>County_Flow!AA35</f>
        <v>1730.5648189539561</v>
      </c>
      <c r="E31" s="77">
        <f>County_Flow!AB35</f>
        <v>675.88109074653551</v>
      </c>
      <c r="F31" s="77">
        <f>County_Flow!AC35</f>
        <v>406.4121591417076</v>
      </c>
      <c r="G31" s="77">
        <f>County_Flow!AD35</f>
        <v>436.23044255699597</v>
      </c>
      <c r="H31" s="77">
        <f>County_Flow!AE35</f>
        <v>2817.2755923111313</v>
      </c>
      <c r="I31" s="77">
        <f>County_Flow!AF35</f>
        <v>1232.4890478319176</v>
      </c>
      <c r="J31" s="77">
        <f>County_Flow!AG35</f>
        <v>93.872373714796595</v>
      </c>
      <c r="K31" s="77">
        <f>County_Flow!AH35</f>
        <v>1201.5663835493965</v>
      </c>
      <c r="L31" s="77">
        <f>County_Flow!AI35</f>
        <v>297.07845328565043</v>
      </c>
      <c r="M31" s="77">
        <f>County_Flow!AJ35</f>
        <v>721.16070630308457</v>
      </c>
      <c r="N31" s="77">
        <f>County_Flow!AK35</f>
        <v>2725.6119803308002</v>
      </c>
      <c r="O31" s="77">
        <f>County_Flow!AL35</f>
        <v>247.38131426016986</v>
      </c>
      <c r="P31" s="77">
        <f>County_Flow!AM35</f>
        <v>51.905900759946356</v>
      </c>
      <c r="Q31" s="77">
        <f>County_Flow!AN35</f>
        <v>176.7009387572642</v>
      </c>
      <c r="R31" s="77">
        <f>County_Flow!AO35</f>
        <v>50.801519892713451</v>
      </c>
      <c r="S31" s="77">
        <f>County_Flow!AP35</f>
        <v>49.697139025480553</v>
      </c>
      <c r="T31" s="77">
        <f>County_Flow!AQ35</f>
        <v>68.471613768439866</v>
      </c>
      <c r="U31" s="77">
        <f>County_Flow!AR35</f>
        <v>97.18551631649531</v>
      </c>
      <c r="V31" s="77">
        <f>County_Flow!AS35</f>
        <v>39.757711220384444</v>
      </c>
      <c r="W31" s="77">
        <f>County_Flow!AT35</f>
        <v>0</v>
      </c>
      <c r="X31" s="77">
        <f ref="X31:X51" si="15" t="shared">SUM(C31:W31)</f>
        <v>14823</v>
      </c>
      <c r="Y31" s="95"/>
      <c r="Z31" s="95">
        <v>2</v>
      </c>
      <c r="AA31" s="77">
        <f>County_Flow!AX35*AA$28</f>
        <v>1743</v>
      </c>
      <c r="AB31" s="77">
        <f>County_Flow!AY35*AB$28</f>
        <v>2317</v>
      </c>
      <c r="AC31" s="77">
        <f>County_Flow!AZ35*AC$28</f>
        <v>618</v>
      </c>
      <c r="AD31" s="77">
        <f>County_Flow!BA35*AD$28</f>
        <v>464</v>
      </c>
      <c r="AE31" s="77">
        <f>County_Flow!BB35*AE$28</f>
        <v>450</v>
      </c>
      <c r="AF31" s="77">
        <f>County_Flow!BC35*AF$28</f>
        <v>3028</v>
      </c>
      <c r="AG31" s="77">
        <f>County_Flow!BD35*AG$28</f>
        <v>1105</v>
      </c>
      <c r="AH31" s="77">
        <f>County_Flow!BE35*AH$28</f>
        <v>85</v>
      </c>
      <c r="AI31" s="77">
        <f>County_Flow!BF35*AI$28</f>
        <v>1161</v>
      </c>
      <c r="AJ31" s="77">
        <f>County_Flow!BG35*AJ$28</f>
        <v>317</v>
      </c>
      <c r="AK31" s="77">
        <f>County_Flow!BH35*AK$28</f>
        <v>408</v>
      </c>
      <c r="AL31" s="77">
        <f>County_Flow!BI35*AL$28</f>
        <v>2816</v>
      </c>
      <c r="AM31" s="77">
        <f>County_Flow!BJ35*AM$28</f>
        <v>63</v>
      </c>
      <c r="AN31" s="77">
        <f>County_Flow!BK35*AN$28</f>
        <v>34</v>
      </c>
      <c r="AO31" s="77">
        <f>County_Flow!BL35*AO$28</f>
        <v>94</v>
      </c>
      <c r="AP31" s="77">
        <f>County_Flow!BM35*AP$28</f>
        <v>28</v>
      </c>
      <c r="AQ31" s="77">
        <f>County_Flow!BN35*AQ$28</f>
        <v>21</v>
      </c>
      <c r="AR31" s="77">
        <f>County_Flow!BO35*AR$28</f>
        <v>11</v>
      </c>
      <c r="AS31" s="77">
        <f>County_Flow!BP35*AS$28</f>
        <v>49</v>
      </c>
      <c r="AT31" s="77">
        <f>County_Flow!BQ35*AT$28</f>
        <v>11</v>
      </c>
      <c r="AU31" s="77">
        <f>County_Flow!BR35</f>
        <v>0</v>
      </c>
      <c r="AV31" s="15">
        <f ref="AV31:AV49" si="16" t="shared">SUM(AA31:AU31)</f>
        <v>14823</v>
      </c>
      <c r="AW31" s="139">
        <f ref="AW31:AW49" si="17" t="shared">ABS((AV31-X31)/X31)</f>
        <v>0</v>
      </c>
      <c r="AY31" s="95">
        <v>2</v>
      </c>
      <c r="AZ31" s="77">
        <f ref="AZ31:AZ49" si="18" t="shared">AA31*$X31/$AV31</f>
        <v>1743</v>
      </c>
      <c r="BA31" s="77">
        <f ref="BA31:BA49" si="19" t="shared">AB31*$X31/$AV31</f>
        <v>2317</v>
      </c>
      <c r="BB31" s="77">
        <f ref="BB31:BB49" si="20" t="shared">AC31*$X31/$AV31</f>
        <v>618</v>
      </c>
      <c r="BC31" s="77">
        <f ref="BC31:BC49" si="21" t="shared">AD31*$X31/$AV31</f>
        <v>464</v>
      </c>
      <c r="BD31" s="77">
        <f ref="BD31:BD49" si="22" t="shared">AE31*$X31/$AV31</f>
        <v>450</v>
      </c>
      <c r="BE31" s="77">
        <f ref="BE31:BE49" si="23" t="shared">AF31*$X31/$AV31</f>
        <v>3028</v>
      </c>
      <c r="BF31" s="77">
        <f ref="BF31:BF49" si="24" t="shared">AG31*$X31/$AV31</f>
        <v>1105</v>
      </c>
      <c r="BG31" s="77">
        <f ref="BG31:BG49" si="25" t="shared">AH31*$X31/$AV31</f>
        <v>85</v>
      </c>
      <c r="BH31" s="77">
        <f ref="BH31:BH49" si="26" t="shared">AI31*$X31/$AV31</f>
        <v>1161</v>
      </c>
      <c r="BI31" s="77">
        <f ref="BI31:BI49" si="27" t="shared">AJ31*$X31/$AV31</f>
        <v>317</v>
      </c>
      <c r="BJ31" s="77">
        <f ref="BJ31:BJ49" si="28" t="shared">AK31*$X31/$AV31</f>
        <v>408</v>
      </c>
      <c r="BK31" s="77">
        <f ref="BK31:BK49" si="29" t="shared">AL31*$X31/$AV31</f>
        <v>2816</v>
      </c>
      <c r="BL31" s="77">
        <f ref="BL31:BL49" si="30" t="shared">AM31*$X31/$AV31</f>
        <v>63</v>
      </c>
      <c r="BM31" s="77">
        <f ref="BM31:BM49" si="31" t="shared">AN31*$X31/$AV31</f>
        <v>34</v>
      </c>
      <c r="BN31" s="77">
        <f ref="BN31:BN49" si="32" t="shared">AO31*$X31/$AV31</f>
        <v>94</v>
      </c>
      <c r="BO31" s="77">
        <f ref="BO31:BO49" si="33" t="shared">AP31*$X31/$AV31</f>
        <v>28</v>
      </c>
      <c r="BP31" s="77">
        <f ref="BP31:BP49" si="34" t="shared">AQ31*$X31/$AV31</f>
        <v>21</v>
      </c>
      <c r="BQ31" s="77">
        <f ref="BQ31:BQ49" si="35" t="shared">AR31*$X31/$AV31</f>
        <v>11</v>
      </c>
      <c r="BR31" s="77">
        <f ref="BR31:BR49" si="36" t="shared">AS31*$X31/$AV31</f>
        <v>49</v>
      </c>
      <c r="BS31" s="77">
        <f ref="BS31:BS49" si="37" t="shared">AT31*$X31/$AV31</f>
        <v>11</v>
      </c>
      <c r="BT31" s="77">
        <f ref="BT31:BT50" si="38" t="shared">ABS(AU31-W31)</f>
        <v>0</v>
      </c>
      <c r="BU31" s="77">
        <f si="13" t="shared"/>
        <v>14823</v>
      </c>
      <c r="BV31" s="95"/>
      <c r="BW31" s="95">
        <v>2</v>
      </c>
      <c r="BX31" s="77">
        <f ref="BX31:BX49" si="39" t="shared">ABS(AZ31-C31)</f>
        <v>40.044702726866262</v>
      </c>
      <c r="BY31" s="77">
        <f ref="BY31:BY49" si="40" t="shared">ABS(BA31-D31)</f>
        <v>586.43518104604391</v>
      </c>
      <c r="BZ31" s="77">
        <f ref="BZ31:BZ49" si="41" t="shared">ABS(BB31-E31)</f>
        <v>57.881090746535506</v>
      </c>
      <c r="CA31" s="77">
        <f ref="CA31:CA49" si="42" t="shared">ABS(BC31-F31)</f>
        <v>57.587840858292395</v>
      </c>
      <c r="CB31" s="77">
        <f ref="CB31:CB49" si="43" t="shared">ABS(BD31-G31)</f>
        <v>13.769557443004032</v>
      </c>
      <c r="CC31" s="77">
        <f ref="CC31:CC49" si="44" t="shared">ABS(BE31-H31)</f>
        <v>210.72440768886872</v>
      </c>
      <c r="CD31" s="77">
        <f ref="CD31:CD49" si="45" t="shared">ABS(BF31-I31)</f>
        <v>127.48904783191756</v>
      </c>
      <c r="CE31" s="77">
        <f ref="CE31:CE49" si="46" t="shared">ABS(BG31-J31)</f>
        <v>8.8723737147965949</v>
      </c>
      <c r="CF31" s="77">
        <f ref="CF31:CF49" si="47" t="shared">ABS(BH31-K31)</f>
        <v>40.566383549396505</v>
      </c>
      <c r="CG31" s="77">
        <f ref="CG31:CG49" si="48" t="shared">ABS(BI31-L31)</f>
        <v>19.921546714349574</v>
      </c>
      <c r="CH31" s="77">
        <f ref="CH31:CH49" si="49" t="shared">ABS(BJ31-M31)</f>
        <v>313.16070630308457</v>
      </c>
      <c r="CI31" s="77">
        <f ref="CI31:CI49" si="50" t="shared">ABS(BK31-N31)</f>
        <v>90.388019669199821</v>
      </c>
      <c r="CJ31" s="77">
        <f ref="CJ31:CJ49" si="51" t="shared">ABS(BL31-O31)</f>
        <v>184.38131426016986</v>
      </c>
      <c r="CK31" s="77">
        <f ref="CK31:CK49" si="52" t="shared">ABS(BM31-P31)</f>
        <v>17.905900759946356</v>
      </c>
      <c r="CL31" s="77">
        <f ref="CL31:CL49" si="53" t="shared">ABS(BN31-Q31)</f>
        <v>82.700938757264197</v>
      </c>
      <c r="CM31" s="77">
        <f ref="CM31:CM49" si="54" t="shared">ABS(BO31-R31)</f>
        <v>22.801519892713451</v>
      </c>
      <c r="CN31" s="77">
        <f ref="CN31:CN49" si="55" t="shared">ABS(BP31-S31)</f>
        <v>28.697139025480553</v>
      </c>
      <c r="CO31" s="77">
        <f ref="CO31:CO49" si="56" t="shared">ABS(BQ31-T31)</f>
        <v>57.471613768439866</v>
      </c>
      <c r="CP31" s="77">
        <f ref="CP31:CP49" si="57" t="shared">ABS(BR31-U31)</f>
        <v>48.18551631649531</v>
      </c>
      <c r="CQ31" s="77">
        <f ref="CQ31:CQ49" si="58" t="shared">ABS(BS31-V31)</f>
        <v>28.757711220384444</v>
      </c>
      <c r="CR31" s="77">
        <f ref="CR31:CR49" si="59" t="shared">ABS(BT31-W31)</f>
        <v>0</v>
      </c>
      <c r="CS31" s="77">
        <f ref="CS31:CS49" si="60" t="shared">ABS(BU31-X31)</f>
        <v>0</v>
      </c>
      <c r="CU31" s="95">
        <v>30</v>
      </c>
      <c r="CV31" s="95">
        <f si="6" t="shared"/>
        <v>2</v>
      </c>
      <c r="CW31" s="95">
        <f si="0" t="shared"/>
        <v>10</v>
      </c>
      <c r="CX31" s="58">
        <f si="1" t="shared"/>
        <v>297.07845328565043</v>
      </c>
      <c r="CY31" s="58">
        <f si="2" t="shared"/>
        <v>317</v>
      </c>
      <c r="CZ31" s="108">
        <f si="3" t="shared"/>
        <v>19.921546714349574</v>
      </c>
      <c r="DA31" s="78">
        <f si="4" t="shared"/>
        <v>6.70582012731646E-2</v>
      </c>
      <c r="DB31" s="95">
        <v>30000</v>
      </c>
    </row>
    <row r="32" spans="2:106" x14ac:dyDescent="0.25">
      <c r="B32" s="95">
        <v>3</v>
      </c>
      <c r="C32" s="77">
        <f>County_Flow!Z36</f>
        <v>4176.3188726433245</v>
      </c>
      <c r="D32" s="77">
        <f>County_Flow!AA36</f>
        <v>1733.7697191227394</v>
      </c>
      <c r="E32" s="77">
        <f>County_Flow!AB36</f>
        <v>2712.0470373220469</v>
      </c>
      <c r="F32" s="77">
        <f>County_Flow!AC36</f>
        <v>1212.7404771065794</v>
      </c>
      <c r="G32" s="77">
        <f>County_Flow!AD36</f>
        <v>1115.7212389380531</v>
      </c>
      <c r="H32" s="77">
        <f>County_Flow!AE36</f>
        <v>6068.1940169295885</v>
      </c>
      <c r="I32" s="77">
        <f>County_Flow!AF36</f>
        <v>1587.3425355906118</v>
      </c>
      <c r="J32" s="77">
        <f>County_Flow!AG36</f>
        <v>229.97152751058098</v>
      </c>
      <c r="K32" s="77">
        <f>County_Flow!AH36</f>
        <v>1478.6450557906887</v>
      </c>
      <c r="L32" s="77">
        <f>County_Flow!AI36</f>
        <v>632.42170065409778</v>
      </c>
      <c r="M32" s="77">
        <f>County_Flow!AJ36</f>
        <v>1509.1881492881878</v>
      </c>
      <c r="N32" s="77">
        <f>County_Flow!AK36</f>
        <v>4064.9264140053865</v>
      </c>
      <c r="O32" s="77">
        <f>County_Flow!AL36</f>
        <v>404.24682570219318</v>
      </c>
      <c r="P32" s="77">
        <f>County_Flow!AM36</f>
        <v>159.00375144286264</v>
      </c>
      <c r="Q32" s="77">
        <f>County_Flow!AN36</f>
        <v>274.88784147749135</v>
      </c>
      <c r="R32" s="77">
        <f>County_Flow!AO36</f>
        <v>106.00250096190842</v>
      </c>
      <c r="S32" s="77">
        <f>County_Flow!AP36</f>
        <v>111.39245863793768</v>
      </c>
      <c r="T32" s="77">
        <f>County_Flow!AQ36</f>
        <v>89.832627933820703</v>
      </c>
      <c r="U32" s="77">
        <f>County_Flow!AR36</f>
        <v>283.87110427087339</v>
      </c>
      <c r="V32" s="77">
        <f>County_Flow!AS36</f>
        <v>66.476144671027313</v>
      </c>
      <c r="W32" s="77">
        <f>County_Flow!AT36</f>
        <v>0</v>
      </c>
      <c r="X32" s="77">
        <f si="15" t="shared"/>
        <v>28017</v>
      </c>
      <c r="Y32" s="95"/>
      <c r="Z32" s="95">
        <v>3</v>
      </c>
      <c r="AA32" s="77">
        <f>County_Flow!AX36*AA$28</f>
        <v>4545</v>
      </c>
      <c r="AB32" s="77">
        <f>County_Flow!AY36*AB$28</f>
        <v>2214</v>
      </c>
      <c r="AC32" s="77">
        <f>County_Flow!AZ36*AC$28</f>
        <v>2669</v>
      </c>
      <c r="AD32" s="77">
        <f>County_Flow!BA36*AD$28</f>
        <v>1477</v>
      </c>
      <c r="AE32" s="77">
        <f>County_Flow!BB36*AE$28</f>
        <v>1157</v>
      </c>
      <c r="AF32" s="77">
        <f>County_Flow!BC36*AF$28</f>
        <v>6681</v>
      </c>
      <c r="AG32" s="77">
        <f>County_Flow!BD36*AG$28</f>
        <v>1080</v>
      </c>
      <c r="AH32" s="77">
        <f>County_Flow!BE36*AH$28</f>
        <v>326</v>
      </c>
      <c r="AI32" s="77">
        <f>County_Flow!BF36*AI$28</f>
        <v>1395</v>
      </c>
      <c r="AJ32" s="77">
        <f>County_Flow!BG36*AJ$28</f>
        <v>627</v>
      </c>
      <c r="AK32" s="77">
        <f>County_Flow!BH36*AK$28</f>
        <v>1749</v>
      </c>
      <c r="AL32" s="77">
        <f>County_Flow!BI36*AL$28</f>
        <v>3436</v>
      </c>
      <c r="AM32" s="77">
        <f>County_Flow!BJ36*AM$28</f>
        <v>88</v>
      </c>
      <c r="AN32" s="77">
        <f>County_Flow!BK36*AN$28</f>
        <v>94</v>
      </c>
      <c r="AO32" s="77">
        <f>County_Flow!BL36*AO$28</f>
        <v>92</v>
      </c>
      <c r="AP32" s="77">
        <f>County_Flow!BM36*AP$28</f>
        <v>57</v>
      </c>
      <c r="AQ32" s="77">
        <f>County_Flow!BN36*AQ$28</f>
        <v>92</v>
      </c>
      <c r="AR32" s="77">
        <f>County_Flow!BO36*AR$28</f>
        <v>13</v>
      </c>
      <c r="AS32" s="77">
        <f>County_Flow!BP36*AS$28</f>
        <v>214</v>
      </c>
      <c r="AT32" s="77">
        <f>County_Flow!BQ36*AT$28</f>
        <v>11</v>
      </c>
      <c r="AU32" s="77">
        <f>County_Flow!BR36</f>
        <v>0</v>
      </c>
      <c r="AV32" s="15">
        <f si="16" t="shared"/>
        <v>28017</v>
      </c>
      <c r="AW32" s="139">
        <f si="17" t="shared"/>
        <v>0</v>
      </c>
      <c r="AY32" s="95">
        <v>3</v>
      </c>
      <c r="AZ32" s="77">
        <f si="18" t="shared"/>
        <v>4545</v>
      </c>
      <c r="BA32" s="77">
        <f si="19" t="shared"/>
        <v>2214</v>
      </c>
      <c r="BB32" s="77">
        <f si="20" t="shared"/>
        <v>2669</v>
      </c>
      <c r="BC32" s="77">
        <f si="21" t="shared"/>
        <v>1477</v>
      </c>
      <c r="BD32" s="77">
        <f si="22" t="shared"/>
        <v>1157</v>
      </c>
      <c r="BE32" s="77">
        <f si="23" t="shared"/>
        <v>6681</v>
      </c>
      <c r="BF32" s="77">
        <f si="24" t="shared"/>
        <v>1080</v>
      </c>
      <c r="BG32" s="77">
        <f si="25" t="shared"/>
        <v>326</v>
      </c>
      <c r="BH32" s="77">
        <f si="26" t="shared"/>
        <v>1395</v>
      </c>
      <c r="BI32" s="77">
        <f si="27" t="shared"/>
        <v>627</v>
      </c>
      <c r="BJ32" s="77">
        <f si="28" t="shared"/>
        <v>1749</v>
      </c>
      <c r="BK32" s="77">
        <f si="29" t="shared"/>
        <v>3436</v>
      </c>
      <c r="BL32" s="77">
        <f si="30" t="shared"/>
        <v>88</v>
      </c>
      <c r="BM32" s="77">
        <f si="31" t="shared"/>
        <v>94</v>
      </c>
      <c r="BN32" s="77">
        <f si="32" t="shared"/>
        <v>92</v>
      </c>
      <c r="BO32" s="77">
        <f si="33" t="shared"/>
        <v>57</v>
      </c>
      <c r="BP32" s="77">
        <f si="34" t="shared"/>
        <v>92</v>
      </c>
      <c r="BQ32" s="77">
        <f si="35" t="shared"/>
        <v>13</v>
      </c>
      <c r="BR32" s="77">
        <f si="36" t="shared"/>
        <v>214</v>
      </c>
      <c r="BS32" s="77">
        <f si="37" t="shared"/>
        <v>11</v>
      </c>
      <c r="BT32" s="77">
        <f si="38" t="shared"/>
        <v>0</v>
      </c>
      <c r="BU32" s="77">
        <f si="13" t="shared"/>
        <v>28017</v>
      </c>
      <c r="BV32" s="95"/>
      <c r="BW32" s="95">
        <v>3</v>
      </c>
      <c r="BX32" s="77">
        <f si="39" t="shared"/>
        <v>368.68112735667546</v>
      </c>
      <c r="BY32" s="77">
        <f si="40" t="shared"/>
        <v>480.23028087726061</v>
      </c>
      <c r="BZ32" s="77">
        <f si="41" t="shared"/>
        <v>43.04703732204689</v>
      </c>
      <c r="CA32" s="77">
        <f si="42" t="shared"/>
        <v>264.25952289342058</v>
      </c>
      <c r="CB32" s="77">
        <f si="43" t="shared"/>
        <v>41.278761061946852</v>
      </c>
      <c r="CC32" s="77">
        <f si="44" t="shared"/>
        <v>612.80598307041146</v>
      </c>
      <c r="CD32" s="77">
        <f si="45" t="shared"/>
        <v>507.34253559061176</v>
      </c>
      <c r="CE32" s="77">
        <f si="46" t="shared"/>
        <v>96.028472489419016</v>
      </c>
      <c r="CF32" s="77">
        <f si="47" t="shared"/>
        <v>83.64505579068873</v>
      </c>
      <c r="CG32" s="77">
        <f si="48" t="shared"/>
        <v>5.4217006540977764</v>
      </c>
      <c r="CH32" s="77">
        <f si="49" t="shared"/>
        <v>239.81185071181221</v>
      </c>
      <c r="CI32" s="77">
        <f si="50" t="shared"/>
        <v>628.9264140053865</v>
      </c>
      <c r="CJ32" s="77">
        <f si="51" t="shared"/>
        <v>316.24682570219318</v>
      </c>
      <c r="CK32" s="77">
        <f si="52" t="shared"/>
        <v>65.003751442862637</v>
      </c>
      <c r="CL32" s="77">
        <f si="53" t="shared"/>
        <v>182.88784147749135</v>
      </c>
      <c r="CM32" s="77">
        <f si="54" t="shared"/>
        <v>49.002500961908424</v>
      </c>
      <c r="CN32" s="77">
        <f si="55" t="shared"/>
        <v>19.392458637937679</v>
      </c>
      <c r="CO32" s="77">
        <f si="56" t="shared"/>
        <v>76.832627933820703</v>
      </c>
      <c r="CP32" s="77">
        <f si="57" t="shared"/>
        <v>69.871104270873388</v>
      </c>
      <c r="CQ32" s="77">
        <f si="58" t="shared"/>
        <v>55.476144671027313</v>
      </c>
      <c r="CR32" s="77">
        <f si="59" t="shared"/>
        <v>0</v>
      </c>
      <c r="CS32" s="77">
        <f si="60" t="shared"/>
        <v>0</v>
      </c>
      <c r="CU32" s="95">
        <v>31</v>
      </c>
      <c r="CV32" s="95">
        <f si="6" t="shared"/>
        <v>2</v>
      </c>
      <c r="CW32" s="95">
        <f si="0" t="shared"/>
        <v>11</v>
      </c>
      <c r="CX32" s="58">
        <f si="1" t="shared"/>
        <v>721.16070630308457</v>
      </c>
      <c r="CY32" s="58">
        <f si="2" t="shared"/>
        <v>408</v>
      </c>
      <c r="CZ32" s="108">
        <f si="3" t="shared"/>
        <v>-313.16070630308457</v>
      </c>
      <c r="DA32" s="78">
        <f si="4" t="shared"/>
        <v>-0.43424538187674289</v>
      </c>
      <c r="DB32" s="95">
        <v>31000</v>
      </c>
    </row>
    <row r="33" spans="2:106" x14ac:dyDescent="0.25">
      <c r="B33" s="95">
        <v>4</v>
      </c>
      <c r="C33" s="77">
        <f>County_Flow!Z37</f>
        <v>1062.3040986180904</v>
      </c>
      <c r="D33" s="77">
        <f>County_Flow!AA37</f>
        <v>631.75722361809039</v>
      </c>
      <c r="E33" s="77">
        <f>County_Flow!AB37</f>
        <v>513.483040201005</v>
      </c>
      <c r="F33" s="77">
        <f>County_Flow!AC37</f>
        <v>713.97220477386929</v>
      </c>
      <c r="G33" s="77">
        <f>County_Flow!AD37</f>
        <v>574.0625</v>
      </c>
      <c r="H33" s="77">
        <f>County_Flow!AE37</f>
        <v>1924.8402167085426</v>
      </c>
      <c r="I33" s="77">
        <f>County_Flow!AF37</f>
        <v>576.9472361809045</v>
      </c>
      <c r="J33" s="77">
        <f>County_Flow!AG37</f>
        <v>103.85050251256281</v>
      </c>
      <c r="K33" s="77">
        <f>County_Flow!AH37</f>
        <v>549.54224246231149</v>
      </c>
      <c r="L33" s="77">
        <f>County_Flow!AI37</f>
        <v>271.88638505025125</v>
      </c>
      <c r="M33" s="77">
        <f>County_Flow!AJ37</f>
        <v>468.76962939698495</v>
      </c>
      <c r="N33" s="77">
        <f>County_Flow!AK37</f>
        <v>1319.7668027638192</v>
      </c>
      <c r="O33" s="77">
        <f>County_Flow!AL37</f>
        <v>142.07325690954772</v>
      </c>
      <c r="P33" s="77">
        <f>County_Flow!AM37</f>
        <v>53.367619346733669</v>
      </c>
      <c r="Q33" s="77">
        <f>County_Flow!AN37</f>
        <v>81.493797110552762</v>
      </c>
      <c r="R33" s="77">
        <f>County_Flow!AO37</f>
        <v>34.616834170854268</v>
      </c>
      <c r="S33" s="77">
        <f>County_Flow!AP37</f>
        <v>26.683809673366834</v>
      </c>
      <c r="T33" s="77">
        <f>County_Flow!AQ37</f>
        <v>49.040515075376881</v>
      </c>
      <c r="U33" s="77">
        <f>County_Flow!AR37</f>
        <v>69.233668341708537</v>
      </c>
      <c r="V33" s="77">
        <f>County_Flow!AS37</f>
        <v>17.308417085427134</v>
      </c>
      <c r="W33" s="77">
        <f>County_Flow!AT37</f>
        <v>0</v>
      </c>
      <c r="X33" s="77">
        <f si="15" t="shared"/>
        <v>9185</v>
      </c>
      <c r="Y33" s="95"/>
      <c r="Z33" s="95">
        <v>4</v>
      </c>
      <c r="AA33" s="77">
        <f>County_Flow!AX37*AA$28</f>
        <v>1275</v>
      </c>
      <c r="AB33" s="77">
        <f>County_Flow!AY37*AB$28</f>
        <v>627</v>
      </c>
      <c r="AC33" s="77">
        <f>County_Flow!AZ37*AC$28</f>
        <v>493</v>
      </c>
      <c r="AD33" s="77">
        <f>County_Flow!BA37*AD$28</f>
        <v>949</v>
      </c>
      <c r="AE33" s="77">
        <f>County_Flow!BB37*AE$28</f>
        <v>534</v>
      </c>
      <c r="AF33" s="77">
        <f>County_Flow!BC37*AF$28</f>
        <v>2369</v>
      </c>
      <c r="AG33" s="77">
        <f>County_Flow!BD37*AG$28</f>
        <v>279</v>
      </c>
      <c r="AH33" s="77">
        <f>County_Flow!BE37*AH$28</f>
        <v>147</v>
      </c>
      <c r="AI33" s="77">
        <f>County_Flow!BF37*AI$28</f>
        <v>406</v>
      </c>
      <c r="AJ33" s="77">
        <f>County_Flow!BG37*AJ$28</f>
        <v>347</v>
      </c>
      <c r="AK33" s="77">
        <f>County_Flow!BH37*AK$28</f>
        <v>445</v>
      </c>
      <c r="AL33" s="77">
        <f>County_Flow!BI37*AL$28</f>
        <v>1086</v>
      </c>
      <c r="AM33" s="77">
        <f>County_Flow!BJ37*AM$28</f>
        <v>32</v>
      </c>
      <c r="AN33" s="77">
        <f>County_Flow!BK37*AN$28</f>
        <v>47</v>
      </c>
      <c r="AO33" s="77">
        <f>County_Flow!BL37*AO$28</f>
        <v>26</v>
      </c>
      <c r="AP33" s="77">
        <f>County_Flow!BM37*AP$28</f>
        <v>33</v>
      </c>
      <c r="AQ33" s="77">
        <f>County_Flow!BN37*AQ$28</f>
        <v>26</v>
      </c>
      <c r="AR33" s="77">
        <f>County_Flow!BO37*AR$28</f>
        <v>11</v>
      </c>
      <c r="AS33" s="77">
        <f>County_Flow!BP37*AS$28</f>
        <v>46</v>
      </c>
      <c r="AT33" s="77">
        <f>County_Flow!BQ37*AT$28</f>
        <v>7</v>
      </c>
      <c r="AU33" s="77">
        <f>County_Flow!BR37</f>
        <v>0</v>
      </c>
      <c r="AV33" s="15">
        <f si="16" t="shared"/>
        <v>9185</v>
      </c>
      <c r="AW33" s="139">
        <f si="17" t="shared"/>
        <v>0</v>
      </c>
      <c r="AY33" s="95">
        <v>4</v>
      </c>
      <c r="AZ33" s="77">
        <f si="18" t="shared"/>
        <v>1275</v>
      </c>
      <c r="BA33" s="77">
        <f si="19" t="shared"/>
        <v>627</v>
      </c>
      <c r="BB33" s="77">
        <f si="20" t="shared"/>
        <v>493</v>
      </c>
      <c r="BC33" s="77">
        <f si="21" t="shared"/>
        <v>949</v>
      </c>
      <c r="BD33" s="77">
        <f si="22" t="shared"/>
        <v>534</v>
      </c>
      <c r="BE33" s="77">
        <f si="23" t="shared"/>
        <v>2369</v>
      </c>
      <c r="BF33" s="77">
        <f si="24" t="shared"/>
        <v>279</v>
      </c>
      <c r="BG33" s="77">
        <f si="25" t="shared"/>
        <v>147</v>
      </c>
      <c r="BH33" s="77">
        <f si="26" t="shared"/>
        <v>406</v>
      </c>
      <c r="BI33" s="77">
        <f si="27" t="shared"/>
        <v>347</v>
      </c>
      <c r="BJ33" s="77">
        <f si="28" t="shared"/>
        <v>445</v>
      </c>
      <c r="BK33" s="77">
        <f si="29" t="shared"/>
        <v>1086</v>
      </c>
      <c r="BL33" s="77">
        <f si="30" t="shared"/>
        <v>32</v>
      </c>
      <c r="BM33" s="77">
        <f si="31" t="shared"/>
        <v>47</v>
      </c>
      <c r="BN33" s="77">
        <f si="32" t="shared"/>
        <v>26</v>
      </c>
      <c r="BO33" s="77">
        <f si="33" t="shared"/>
        <v>33</v>
      </c>
      <c r="BP33" s="77">
        <f si="34" t="shared"/>
        <v>26</v>
      </c>
      <c r="BQ33" s="77">
        <f si="35" t="shared"/>
        <v>11</v>
      </c>
      <c r="BR33" s="77">
        <f si="36" t="shared"/>
        <v>46</v>
      </c>
      <c r="BS33" s="77">
        <f si="37" t="shared"/>
        <v>7</v>
      </c>
      <c r="BT33" s="77">
        <f si="38" t="shared"/>
        <v>0</v>
      </c>
      <c r="BU33" s="77">
        <f si="13" t="shared"/>
        <v>9185</v>
      </c>
      <c r="BV33" s="95"/>
      <c r="BW33" s="95">
        <v>4</v>
      </c>
      <c r="BX33" s="77">
        <f si="39" t="shared"/>
        <v>212.69590138190961</v>
      </c>
      <c r="BY33" s="77">
        <f si="40" t="shared"/>
        <v>4.7572236180903928</v>
      </c>
      <c r="BZ33" s="77">
        <f si="41" t="shared"/>
        <v>20.483040201004997</v>
      </c>
      <c r="CA33" s="77">
        <f si="42" t="shared"/>
        <v>235.02779522613071</v>
      </c>
      <c r="CB33" s="77">
        <f si="43" t="shared"/>
        <v>40.0625</v>
      </c>
      <c r="CC33" s="77">
        <f si="44" t="shared"/>
        <v>444.15978329145742</v>
      </c>
      <c r="CD33" s="77">
        <f si="45" t="shared"/>
        <v>297.9472361809045</v>
      </c>
      <c r="CE33" s="77">
        <f si="46" t="shared"/>
        <v>43.149497487437188</v>
      </c>
      <c r="CF33" s="77">
        <f si="47" t="shared"/>
        <v>143.54224246231149</v>
      </c>
      <c r="CG33" s="77">
        <f si="48" t="shared"/>
        <v>75.113614949748751</v>
      </c>
      <c r="CH33" s="77">
        <f si="49" t="shared"/>
        <v>23.769629396984953</v>
      </c>
      <c r="CI33" s="77">
        <f si="50" t="shared"/>
        <v>233.76680276381921</v>
      </c>
      <c r="CJ33" s="77">
        <f si="51" t="shared"/>
        <v>110.07325690954772</v>
      </c>
      <c r="CK33" s="77">
        <f si="52" t="shared"/>
        <v>6.3676193467336688</v>
      </c>
      <c r="CL33" s="77">
        <f si="53" t="shared"/>
        <v>55.493797110552762</v>
      </c>
      <c r="CM33" s="77">
        <f si="54" t="shared"/>
        <v>1.6168341708542684</v>
      </c>
      <c r="CN33" s="77">
        <f si="55" t="shared"/>
        <v>0.6838096733668344</v>
      </c>
      <c r="CO33" s="77">
        <f si="56" t="shared"/>
        <v>38.040515075376881</v>
      </c>
      <c r="CP33" s="77">
        <f si="57" t="shared"/>
        <v>23.233668341708537</v>
      </c>
      <c r="CQ33" s="77">
        <f si="58" t="shared"/>
        <v>10.308417085427134</v>
      </c>
      <c r="CR33" s="77">
        <f si="59" t="shared"/>
        <v>0</v>
      </c>
      <c r="CS33" s="77">
        <f si="60" t="shared"/>
        <v>0</v>
      </c>
      <c r="CU33" s="95">
        <v>32</v>
      </c>
      <c r="CV33" s="95">
        <f si="6" t="shared"/>
        <v>2</v>
      </c>
      <c r="CW33" s="95">
        <f si="0" t="shared"/>
        <v>12</v>
      </c>
      <c r="CX33" s="58">
        <f si="1" t="shared"/>
        <v>2725.6119803308002</v>
      </c>
      <c r="CY33" s="58">
        <f si="2" t="shared"/>
        <v>2816</v>
      </c>
      <c r="CZ33" s="108">
        <f si="3" t="shared"/>
        <v>90.388019669199821</v>
      </c>
      <c r="DA33" s="78">
        <f si="4" t="shared"/>
        <v>3.3162467849965085E-2</v>
      </c>
      <c r="DB33" s="95">
        <v>32000</v>
      </c>
    </row>
    <row r="34" spans="2:106" x14ac:dyDescent="0.25">
      <c r="B34" s="95">
        <v>5</v>
      </c>
      <c r="C34" s="77">
        <f>County_Flow!Z38</f>
        <v>1226.3123111782477</v>
      </c>
      <c r="D34" s="77">
        <f>County_Flow!AA38</f>
        <v>469.38160876132929</v>
      </c>
      <c r="E34" s="77">
        <f>County_Flow!AB38</f>
        <v>332.37292296072508</v>
      </c>
      <c r="F34" s="77">
        <f>County_Flow!AC38</f>
        <v>390.72847432024167</v>
      </c>
      <c r="G34" s="77">
        <f>County_Flow!AD38</f>
        <v>667.28304380664645</v>
      </c>
      <c r="H34" s="77">
        <f>County_Flow!AE38</f>
        <v>2185.3731117824773</v>
      </c>
      <c r="I34" s="77">
        <f>County_Flow!AF38</f>
        <v>435.55230362537765</v>
      </c>
      <c r="J34" s="77">
        <f>County_Flow!AG38</f>
        <v>73.578738670694861</v>
      </c>
      <c r="K34" s="77">
        <f>County_Flow!AH38</f>
        <v>377.19675226586105</v>
      </c>
      <c r="L34" s="77">
        <f>County_Flow!AI38</f>
        <v>318.8412009063444</v>
      </c>
      <c r="M34" s="77">
        <f>County_Flow!AJ38</f>
        <v>320.53266616314198</v>
      </c>
      <c r="N34" s="77">
        <f>County_Flow!AK38</f>
        <v>1710.0713746223566</v>
      </c>
      <c r="O34" s="77">
        <f>County_Flow!AL38</f>
        <v>149.6946752265861</v>
      </c>
      <c r="P34" s="77">
        <f>County_Flow!AM38</f>
        <v>49.052492447129914</v>
      </c>
      <c r="Q34" s="77">
        <f>County_Flow!AN38</f>
        <v>63.429947129909365</v>
      </c>
      <c r="R34" s="77">
        <f>County_Flow!AO38</f>
        <v>49.8982250755287</v>
      </c>
      <c r="S34" s="77">
        <f>County_Flow!AP38</f>
        <v>29.600641993957701</v>
      </c>
      <c r="T34" s="77">
        <f>County_Flow!AQ38</f>
        <v>42.286631419939575</v>
      </c>
      <c r="U34" s="77">
        <f>County_Flow!AR38</f>
        <v>49.8982250755287</v>
      </c>
      <c r="V34" s="77">
        <f>County_Flow!AS38</f>
        <v>16.914652567975832</v>
      </c>
      <c r="W34" s="77">
        <f>County_Flow!AT38</f>
        <v>0</v>
      </c>
      <c r="X34" s="77">
        <f si="15" t="shared"/>
        <v>8958.0000000000018</v>
      </c>
      <c r="Y34" s="95"/>
      <c r="Z34" s="95">
        <v>5</v>
      </c>
      <c r="AA34" s="77">
        <f>County_Flow!AX38*AA$28</f>
        <v>1109</v>
      </c>
      <c r="AB34" s="77">
        <f>County_Flow!AY38*AB$28</f>
        <v>491</v>
      </c>
      <c r="AC34" s="77">
        <f>County_Flow!AZ38*AC$28</f>
        <v>245</v>
      </c>
      <c r="AD34" s="77">
        <f>County_Flow!BA38*AD$28</f>
        <v>417</v>
      </c>
      <c r="AE34" s="77">
        <f>County_Flow!BB38*AE$28</f>
        <v>823</v>
      </c>
      <c r="AF34" s="77">
        <f>County_Flow!BC38*AF$28</f>
        <v>3257</v>
      </c>
      <c r="AG34" s="77">
        <f>County_Flow!BD38*AG$28</f>
        <v>254</v>
      </c>
      <c r="AH34" s="77">
        <f>County_Flow!BE38*AH$28</f>
        <v>95</v>
      </c>
      <c r="AI34" s="77">
        <f>County_Flow!BF38*AI$28</f>
        <v>263</v>
      </c>
      <c r="AJ34" s="77">
        <f>County_Flow!BG38*AJ$28</f>
        <v>431</v>
      </c>
      <c r="AK34" s="77">
        <f>County_Flow!BH38*AK$28</f>
        <v>197</v>
      </c>
      <c r="AL34" s="77">
        <f>County_Flow!BI38*AL$28</f>
        <v>1177</v>
      </c>
      <c r="AM34" s="77">
        <f>County_Flow!BJ38*AM$28</f>
        <v>25</v>
      </c>
      <c r="AN34" s="77">
        <f>County_Flow!BK38*AN$28</f>
        <v>31</v>
      </c>
      <c r="AO34" s="77">
        <f>County_Flow!BL38*AO$28</f>
        <v>19</v>
      </c>
      <c r="AP34" s="77">
        <f>County_Flow!BM38*AP$28</f>
        <v>54</v>
      </c>
      <c r="AQ34" s="77">
        <f>County_Flow!BN38*AQ$28</f>
        <v>7</v>
      </c>
      <c r="AR34" s="77">
        <f>County_Flow!BO38*AR$28</f>
        <v>9</v>
      </c>
      <c r="AS34" s="77">
        <f>County_Flow!BP38*AS$28</f>
        <v>44</v>
      </c>
      <c r="AT34" s="77">
        <f>County_Flow!BQ38*AT$28</f>
        <v>10</v>
      </c>
      <c r="AU34" s="77">
        <f>County_Flow!BR38</f>
        <v>0</v>
      </c>
      <c r="AV34" s="15">
        <f si="16" t="shared"/>
        <v>8958</v>
      </c>
      <c r="AW34" s="139">
        <f si="17" t="shared"/>
        <v>2.0305753555993035E-16</v>
      </c>
      <c r="AY34" s="95">
        <v>5</v>
      </c>
      <c r="AZ34" s="77">
        <f si="18" t="shared"/>
        <v>1109.0000000000002</v>
      </c>
      <c r="BA34" s="77">
        <f si="19" t="shared"/>
        <v>491.00000000000011</v>
      </c>
      <c r="BB34" s="77">
        <f si="20" t="shared"/>
        <v>245.00000000000006</v>
      </c>
      <c r="BC34" s="77">
        <f si="21" t="shared"/>
        <v>417.00000000000011</v>
      </c>
      <c r="BD34" s="77">
        <f si="22" t="shared"/>
        <v>823.00000000000023</v>
      </c>
      <c r="BE34" s="77">
        <f si="23" t="shared"/>
        <v>3257.0000000000009</v>
      </c>
      <c r="BF34" s="77">
        <f si="24" t="shared"/>
        <v>254.00000000000006</v>
      </c>
      <c r="BG34" s="77">
        <f si="25" t="shared"/>
        <v>95.000000000000014</v>
      </c>
      <c r="BH34" s="77">
        <f si="26" t="shared"/>
        <v>263.00000000000006</v>
      </c>
      <c r="BI34" s="77">
        <f si="27" t="shared"/>
        <v>431.00000000000011</v>
      </c>
      <c r="BJ34" s="77">
        <f si="28" t="shared"/>
        <v>197.00000000000006</v>
      </c>
      <c r="BK34" s="77">
        <f si="29" t="shared"/>
        <v>1177.0000000000002</v>
      </c>
      <c r="BL34" s="77">
        <f si="30" t="shared"/>
        <v>25.000000000000007</v>
      </c>
      <c r="BM34" s="77">
        <f si="31" t="shared"/>
        <v>31.000000000000007</v>
      </c>
      <c r="BN34" s="77">
        <f si="32" t="shared"/>
        <v>19.000000000000004</v>
      </c>
      <c r="BO34" s="77">
        <f si="33" t="shared"/>
        <v>54.000000000000014</v>
      </c>
      <c r="BP34" s="77">
        <f si="34" t="shared"/>
        <v>7.0000000000000018</v>
      </c>
      <c r="BQ34" s="77">
        <f si="35" t="shared"/>
        <v>9.0000000000000018</v>
      </c>
      <c r="BR34" s="77">
        <f si="36" t="shared"/>
        <v>44.000000000000007</v>
      </c>
      <c r="BS34" s="77">
        <f si="37" t="shared"/>
        <v>10.000000000000002</v>
      </c>
      <c r="BT34" s="77">
        <f si="38" t="shared"/>
        <v>0</v>
      </c>
      <c r="BU34" s="77">
        <f si="13" t="shared"/>
        <v>8958.0000000000018</v>
      </c>
      <c r="BV34" s="95"/>
      <c r="BW34" s="95">
        <v>5</v>
      </c>
      <c r="BX34" s="77">
        <f si="39" t="shared"/>
        <v>117.31231117824746</v>
      </c>
      <c r="BY34" s="77">
        <f si="40" t="shared"/>
        <v>21.618391238670824</v>
      </c>
      <c r="BZ34" s="77">
        <f si="41" t="shared"/>
        <v>87.37292296072502</v>
      </c>
      <c r="CA34" s="77">
        <f si="42" t="shared"/>
        <v>26.27152567975844</v>
      </c>
      <c r="CB34" s="77">
        <f si="43" t="shared"/>
        <v>155.71695619335378</v>
      </c>
      <c r="CC34" s="77">
        <f si="44" t="shared"/>
        <v>1071.6268882175236</v>
      </c>
      <c r="CD34" s="77">
        <f si="45" t="shared"/>
        <v>181.55230362537759</v>
      </c>
      <c r="CE34" s="77">
        <f si="46" t="shared"/>
        <v>21.421261329305153</v>
      </c>
      <c r="CF34" s="77">
        <f si="47" t="shared"/>
        <v>114.19675226586099</v>
      </c>
      <c r="CG34" s="77">
        <f si="48" t="shared"/>
        <v>112.15879909365572</v>
      </c>
      <c r="CH34" s="77">
        <f si="49" t="shared"/>
        <v>123.53266616314193</v>
      </c>
      <c r="CI34" s="77">
        <f si="50" t="shared"/>
        <v>533.07137462235642</v>
      </c>
      <c r="CJ34" s="77">
        <f si="51" t="shared"/>
        <v>124.6946752265861</v>
      </c>
      <c r="CK34" s="77">
        <f si="52" t="shared"/>
        <v>18.052492447129907</v>
      </c>
      <c r="CL34" s="77">
        <f si="53" t="shared"/>
        <v>44.429947129909365</v>
      </c>
      <c r="CM34" s="77">
        <f si="54" t="shared"/>
        <v>4.1017749244713144</v>
      </c>
      <c r="CN34" s="77">
        <f si="55" t="shared"/>
        <v>22.600641993957701</v>
      </c>
      <c r="CO34" s="77">
        <f si="56" t="shared"/>
        <v>33.286631419939575</v>
      </c>
      <c r="CP34" s="77">
        <f si="57" t="shared"/>
        <v>5.8982250755286927</v>
      </c>
      <c r="CQ34" s="77">
        <f si="58" t="shared"/>
        <v>6.9146525679758302</v>
      </c>
      <c r="CR34" s="77">
        <f si="59" t="shared"/>
        <v>0</v>
      </c>
      <c r="CS34" s="77">
        <f si="60" t="shared"/>
        <v>0</v>
      </c>
      <c r="CU34" s="95">
        <v>33</v>
      </c>
      <c r="CV34" s="95">
        <f si="6" t="shared"/>
        <v>2</v>
      </c>
      <c r="CW34" s="95">
        <f si="0" t="shared"/>
        <v>13</v>
      </c>
      <c r="CX34" s="58">
        <f si="1" t="shared"/>
        <v>247.38131426016986</v>
      </c>
      <c r="CY34" s="58">
        <f si="2" t="shared"/>
        <v>63</v>
      </c>
      <c r="CZ34" s="108">
        <f si="3" t="shared"/>
        <v>-184.38131426016986</v>
      </c>
      <c r="DA34" s="78">
        <f si="4" t="shared"/>
        <v>-0.74533242258652088</v>
      </c>
      <c r="DB34" s="95">
        <v>33000</v>
      </c>
    </row>
    <row r="35" spans="2:106" x14ac:dyDescent="0.25">
      <c r="B35" s="95">
        <v>6</v>
      </c>
      <c r="C35" s="77">
        <f>County_Flow!Z39</f>
        <v>3511.3710547296346</v>
      </c>
      <c r="D35" s="77">
        <f>County_Flow!AA39</f>
        <v>1020.5641795244572</v>
      </c>
      <c r="E35" s="77">
        <f>County_Flow!AB39</f>
        <v>667.8513811377386</v>
      </c>
      <c r="F35" s="77">
        <f>County_Flow!AC39</f>
        <v>671.48759555409652</v>
      </c>
      <c r="G35" s="77">
        <f>County_Flow!AD39</f>
        <v>934.50710500398634</v>
      </c>
      <c r="H35" s="77">
        <f>County_Flow!AE39</f>
        <v>8695.4007409839141</v>
      </c>
      <c r="I35" s="77">
        <f>County_Flow!AF39</f>
        <v>1155.1041129297005</v>
      </c>
      <c r="J35" s="77">
        <f>County_Flow!AG39</f>
        <v>75.148431271397087</v>
      </c>
      <c r="K35" s="77">
        <f>County_Flow!AH39</f>
        <v>942.99160530882159</v>
      </c>
      <c r="L35" s="77">
        <f>County_Flow!AI39</f>
        <v>630.27716550204002</v>
      </c>
      <c r="M35" s="77">
        <f>County_Flow!AJ39</f>
        <v>584.21844956150642</v>
      </c>
      <c r="N35" s="77">
        <f>County_Flow!AK39</f>
        <v>5632.4961309384234</v>
      </c>
      <c r="O35" s="77">
        <f>County_Flow!AL39</f>
        <v>469.07165971017213</v>
      </c>
      <c r="P35" s="77">
        <f>County_Flow!AM39</f>
        <v>93.329503353186709</v>
      </c>
      <c r="Q35" s="77">
        <f>County_Flow!AN39</f>
        <v>197.56764995544717</v>
      </c>
      <c r="R35" s="77">
        <f>County_Flow!AO39</f>
        <v>138.17614782160109</v>
      </c>
      <c r="S35" s="77">
        <f>County_Flow!AP39</f>
        <v>53.331144773249541</v>
      </c>
      <c r="T35" s="77">
        <f>County_Flow!AQ39</f>
        <v>135.75200487736248</v>
      </c>
      <c r="U35" s="77">
        <f>County_Flow!AR39</f>
        <v>178.17450640153825</v>
      </c>
      <c r="V35" s="77">
        <f>County_Flow!AS39</f>
        <v>58.179430661726776</v>
      </c>
      <c r="W35" s="77">
        <f>County_Flow!AT39</f>
        <v>0</v>
      </c>
      <c r="X35" s="77">
        <f si="15" t="shared"/>
        <v>25844.999999999996</v>
      </c>
      <c r="Y35" s="95"/>
      <c r="Z35" s="95">
        <v>6</v>
      </c>
      <c r="AA35" s="77">
        <f>County_Flow!AX39*AA$28</f>
        <v>3238</v>
      </c>
      <c r="AB35" s="77">
        <f>County_Flow!AY39*AB$28</f>
        <v>1484</v>
      </c>
      <c r="AC35" s="77">
        <f>County_Flow!AZ39*AC$28</f>
        <v>603</v>
      </c>
      <c r="AD35" s="77">
        <f>County_Flow!BA39*AD$28</f>
        <v>818</v>
      </c>
      <c r="AE35" s="77">
        <f>County_Flow!BB39*AE$28</f>
        <v>1217</v>
      </c>
      <c r="AF35" s="77">
        <f>County_Flow!BC39*AF$28</f>
        <v>11089</v>
      </c>
      <c r="AG35" s="77">
        <f>County_Flow!BD39*AG$28</f>
        <v>702</v>
      </c>
      <c r="AH35" s="77">
        <f>County_Flow!BE39*AH$28</f>
        <v>180</v>
      </c>
      <c r="AI35" s="77">
        <f>County_Flow!BF39*AI$28</f>
        <v>735</v>
      </c>
      <c r="AJ35" s="77">
        <f>County_Flow!BG39*AJ$28</f>
        <v>709</v>
      </c>
      <c r="AK35" s="77">
        <f>County_Flow!BH39*AK$28</f>
        <v>416</v>
      </c>
      <c r="AL35" s="77">
        <f>County_Flow!BI39*AL$28</f>
        <v>4272</v>
      </c>
      <c r="AM35" s="77">
        <f>County_Flow!BJ39*AM$28</f>
        <v>60</v>
      </c>
      <c r="AN35" s="77">
        <f>County_Flow!BK39*AN$28</f>
        <v>44</v>
      </c>
      <c r="AO35" s="77">
        <f>County_Flow!BL39*AO$28</f>
        <v>61</v>
      </c>
      <c r="AP35" s="77">
        <f>County_Flow!BM39*AP$28</f>
        <v>83</v>
      </c>
      <c r="AQ35" s="77">
        <f>County_Flow!BN39*AQ$28</f>
        <v>31</v>
      </c>
      <c r="AR35" s="77">
        <f>County_Flow!BO39*AR$28</f>
        <v>15</v>
      </c>
      <c r="AS35" s="77">
        <f>County_Flow!BP39*AS$28</f>
        <v>64</v>
      </c>
      <c r="AT35" s="77">
        <f>County_Flow!BQ39*AT$28</f>
        <v>24</v>
      </c>
      <c r="AU35" s="77">
        <f>County_Flow!BR39</f>
        <v>0</v>
      </c>
      <c r="AV35" s="15">
        <f si="16" t="shared"/>
        <v>25845</v>
      </c>
      <c r="AW35" s="139">
        <f si="17" t="shared"/>
        <v>1.407614164090429E-16</v>
      </c>
      <c r="AY35" s="95">
        <v>6</v>
      </c>
      <c r="AZ35" s="77">
        <f si="18" t="shared"/>
        <v>3237.9999999999995</v>
      </c>
      <c r="BA35" s="77">
        <f si="19" t="shared"/>
        <v>1483.9999999999998</v>
      </c>
      <c r="BB35" s="77">
        <f si="20" t="shared"/>
        <v>602.99999999999989</v>
      </c>
      <c r="BC35" s="77">
        <f si="21" t="shared"/>
        <v>817.99999999999989</v>
      </c>
      <c r="BD35" s="77">
        <f si="22" t="shared"/>
        <v>1216.9999999999998</v>
      </c>
      <c r="BE35" s="77">
        <f si="23" t="shared"/>
        <v>11088.999999999998</v>
      </c>
      <c r="BF35" s="77">
        <f si="24" t="shared"/>
        <v>701.99999999999989</v>
      </c>
      <c r="BG35" s="77">
        <f si="25" t="shared"/>
        <v>179.99999999999997</v>
      </c>
      <c r="BH35" s="77">
        <f si="26" t="shared"/>
        <v>734.99999999999989</v>
      </c>
      <c r="BI35" s="77">
        <f si="27" t="shared"/>
        <v>708.99999999999989</v>
      </c>
      <c r="BJ35" s="77">
        <f si="28" t="shared"/>
        <v>415.99999999999994</v>
      </c>
      <c r="BK35" s="77">
        <f si="29" t="shared"/>
        <v>4271.9999999999991</v>
      </c>
      <c r="BL35" s="77">
        <f si="30" t="shared"/>
        <v>59.999999999999993</v>
      </c>
      <c r="BM35" s="77">
        <f si="31" t="shared"/>
        <v>43.999999999999993</v>
      </c>
      <c r="BN35" s="77">
        <f si="32" t="shared"/>
        <v>60.999999999999993</v>
      </c>
      <c r="BO35" s="77">
        <f si="33" t="shared"/>
        <v>82.999999999999986</v>
      </c>
      <c r="BP35" s="77">
        <f si="34" t="shared"/>
        <v>30.999999999999996</v>
      </c>
      <c r="BQ35" s="77">
        <f si="35" t="shared"/>
        <v>14.999999999999998</v>
      </c>
      <c r="BR35" s="77">
        <f si="36" t="shared"/>
        <v>63.999999999999993</v>
      </c>
      <c r="BS35" s="77">
        <f si="37" t="shared"/>
        <v>23.999999999999996</v>
      </c>
      <c r="BT35" s="77">
        <f si="38" t="shared"/>
        <v>0</v>
      </c>
      <c r="BU35" s="77">
        <f si="13" t="shared"/>
        <v>25844.999999999996</v>
      </c>
      <c r="BV35" s="95"/>
      <c r="BW35" s="95">
        <v>6</v>
      </c>
      <c r="BX35" s="77">
        <f si="39" t="shared"/>
        <v>273.37105472963503</v>
      </c>
      <c r="BY35" s="77">
        <f si="40" t="shared"/>
        <v>463.43582047554253</v>
      </c>
      <c r="BZ35" s="77">
        <f si="41" t="shared"/>
        <v>64.851381137738713</v>
      </c>
      <c r="CA35" s="77">
        <f si="42" t="shared"/>
        <v>146.51240444590337</v>
      </c>
      <c r="CB35" s="77">
        <f si="43" t="shared"/>
        <v>282.49289499601343</v>
      </c>
      <c r="CC35" s="77">
        <f si="44" t="shared"/>
        <v>2393.599259016084</v>
      </c>
      <c r="CD35" s="77">
        <f si="45" t="shared"/>
        <v>453.10411292970059</v>
      </c>
      <c r="CE35" s="77">
        <f si="46" t="shared"/>
        <v>104.85156872860289</v>
      </c>
      <c r="CF35" s="77">
        <f si="47" t="shared"/>
        <v>207.9916053088217</v>
      </c>
      <c r="CG35" s="77">
        <f si="48" t="shared"/>
        <v>78.722834497959866</v>
      </c>
      <c r="CH35" s="77">
        <f si="49" t="shared"/>
        <v>168.21844956150647</v>
      </c>
      <c r="CI35" s="77">
        <f si="50" t="shared"/>
        <v>1360.4961309384244</v>
      </c>
      <c r="CJ35" s="77">
        <f si="51" t="shared"/>
        <v>409.07165971017213</v>
      </c>
      <c r="CK35" s="77">
        <f si="52" t="shared"/>
        <v>49.329503353186716</v>
      </c>
      <c r="CL35" s="77">
        <f si="53" t="shared"/>
        <v>136.56764995544717</v>
      </c>
      <c r="CM35" s="77">
        <f si="54" t="shared"/>
        <v>55.176147821601106</v>
      </c>
      <c r="CN35" s="77">
        <f si="55" t="shared"/>
        <v>22.331144773249544</v>
      </c>
      <c r="CO35" s="77">
        <f si="56" t="shared"/>
        <v>120.75200487736248</v>
      </c>
      <c r="CP35" s="77">
        <f si="57" t="shared"/>
        <v>114.17450640153825</v>
      </c>
      <c r="CQ35" s="77">
        <f si="58" t="shared"/>
        <v>34.179430661726784</v>
      </c>
      <c r="CR35" s="77">
        <f si="59" t="shared"/>
        <v>0</v>
      </c>
      <c r="CS35" s="77">
        <f si="60" t="shared"/>
        <v>0</v>
      </c>
      <c r="CU35" s="95">
        <v>34</v>
      </c>
      <c r="CV35" s="95">
        <f si="6" t="shared"/>
        <v>2</v>
      </c>
      <c r="CW35" s="95">
        <f si="0" t="shared"/>
        <v>14</v>
      </c>
      <c r="CX35" s="58">
        <f si="1" t="shared"/>
        <v>51.905900759946356</v>
      </c>
      <c r="CY35" s="58">
        <f si="2" t="shared"/>
        <v>34</v>
      </c>
      <c r="CZ35" s="108">
        <f si="3" t="shared"/>
        <v>-17.905900759946356</v>
      </c>
      <c r="DA35" s="78">
        <f si="4" t="shared"/>
        <v>-0.34496850064807277</v>
      </c>
      <c r="DB35" s="95">
        <v>34000</v>
      </c>
    </row>
    <row r="36" spans="2:106" x14ac:dyDescent="0.25">
      <c r="B36" s="95">
        <v>7</v>
      </c>
      <c r="C36" s="77">
        <f>County_Flow!Z40</f>
        <v>5293.0668275478001</v>
      </c>
      <c r="D36" s="77">
        <f>County_Flow!AA40</f>
        <v>5375.0059402264706</v>
      </c>
      <c r="E36" s="77">
        <f>County_Flow!AB40</f>
        <v>2372.2372377946908</v>
      </c>
      <c r="F36" s="77">
        <f>County_Flow!AC40</f>
        <v>1869.6107295340635</v>
      </c>
      <c r="G36" s="77">
        <f>County_Flow!AD40</f>
        <v>1714.7258214219416</v>
      </c>
      <c r="H36" s="77">
        <f>County_Flow!AE40</f>
        <v>10427.251717096713</v>
      </c>
      <c r="I36" s="77">
        <f>County_Flow!AF40</f>
        <v>18350.364210135511</v>
      </c>
      <c r="J36" s="77">
        <f>County_Flow!AG40</f>
        <v>333.75199554483015</v>
      </c>
      <c r="K36" s="77">
        <f>County_Flow!AH40</f>
        <v>5323.0445516985328</v>
      </c>
      <c r="L36" s="77">
        <f>County_Flow!AI40</f>
        <v>1301.033228141823</v>
      </c>
      <c r="M36" s="77">
        <f>County_Flow!AJ40</f>
        <v>2691.0003712641546</v>
      </c>
      <c r="N36" s="77">
        <f>County_Flow!AK40</f>
        <v>16261.916094301096</v>
      </c>
      <c r="O36" s="77">
        <f>County_Flow!AL40</f>
        <v>5605.8344161871173</v>
      </c>
      <c r="P36" s="77">
        <f>County_Flow!AM40</f>
        <v>258.80768516799702</v>
      </c>
      <c r="Q36" s="77">
        <f>County_Flow!AN40</f>
        <v>1630.7881937998886</v>
      </c>
      <c r="R36" s="77">
        <f>County_Flow!AO40</f>
        <v>208.84481158344161</v>
      </c>
      <c r="S36" s="77">
        <f>County_Flow!AP40</f>
        <v>197.85297939483942</v>
      </c>
      <c r="T36" s="77">
        <f>County_Flow!AQ40</f>
        <v>758.43642101355113</v>
      </c>
      <c r="U36" s="77">
        <f>County_Flow!AR40</f>
        <v>474.64729905327641</v>
      </c>
      <c r="V36" s="77">
        <f>County_Flow!AS40</f>
        <v>296.77946909225915</v>
      </c>
      <c r="W36" s="77">
        <f>County_Flow!AT40</f>
        <v>0</v>
      </c>
      <c r="X36" s="77">
        <f si="15" t="shared"/>
        <v>80745.000000000015</v>
      </c>
      <c r="Y36" s="95"/>
      <c r="Z36" s="95">
        <v>7</v>
      </c>
      <c r="AA36" s="77">
        <f>County_Flow!AX40*AA$28</f>
        <v>4944</v>
      </c>
      <c r="AB36" s="77">
        <f>County_Flow!AY40*AB$28</f>
        <v>5204</v>
      </c>
      <c r="AC36" s="77">
        <f>County_Flow!AZ40*AC$28</f>
        <v>1718</v>
      </c>
      <c r="AD36" s="77">
        <f>County_Flow!BA40*AD$28</f>
        <v>1273</v>
      </c>
      <c r="AE36" s="77">
        <f>County_Flow!BB40*AE$28</f>
        <v>1250</v>
      </c>
      <c r="AF36" s="77">
        <f>County_Flow!BC40*AF$28</f>
        <v>9103</v>
      </c>
      <c r="AG36" s="77">
        <f>County_Flow!BD40*AG$28</f>
        <v>21582</v>
      </c>
      <c r="AH36" s="77">
        <f>County_Flow!BE40*AH$28</f>
        <v>267</v>
      </c>
      <c r="AI36" s="77">
        <f>County_Flow!BF40*AI$28</f>
        <v>5163</v>
      </c>
      <c r="AJ36" s="77">
        <f>County_Flow!BG40*AJ$28</f>
        <v>958</v>
      </c>
      <c r="AK36" s="77">
        <f>County_Flow!BH40*AK$28</f>
        <v>977</v>
      </c>
      <c r="AL36" s="77">
        <f>County_Flow!BI40*AL$28</f>
        <v>19595</v>
      </c>
      <c r="AM36" s="77">
        <f>County_Flow!BJ40*AM$28</f>
        <v>6865</v>
      </c>
      <c r="AN36" s="77">
        <f>County_Flow!BK40*AN$28</f>
        <v>91</v>
      </c>
      <c r="AO36" s="77">
        <f>County_Flow!BL40*AO$28</f>
        <v>1062</v>
      </c>
      <c r="AP36" s="77">
        <f>County_Flow!BM40*AP$28</f>
        <v>113</v>
      </c>
      <c r="AQ36" s="77">
        <f>County_Flow!BN40*AQ$28</f>
        <v>72</v>
      </c>
      <c r="AR36" s="77">
        <f>County_Flow!BO40*AR$28</f>
        <v>297</v>
      </c>
      <c r="AS36" s="77">
        <f>County_Flow!BP40*AS$28</f>
        <v>162</v>
      </c>
      <c r="AT36" s="77">
        <f>County_Flow!BQ40*AT$28</f>
        <v>49</v>
      </c>
      <c r="AU36" s="77">
        <f>County_Flow!BR40</f>
        <v>0</v>
      </c>
      <c r="AV36" s="15">
        <f si="16" t="shared"/>
        <v>80745</v>
      </c>
      <c r="AW36" s="139">
        <f si="17" t="shared"/>
        <v>1.8022063568477118E-16</v>
      </c>
      <c r="AY36" s="95">
        <v>7</v>
      </c>
      <c r="AZ36" s="77">
        <f si="18" t="shared"/>
        <v>4944.0000000000009</v>
      </c>
      <c r="BA36" s="77">
        <f si="19" t="shared"/>
        <v>5204.0000000000009</v>
      </c>
      <c r="BB36" s="77">
        <f si="20" t="shared"/>
        <v>1718.0000000000005</v>
      </c>
      <c r="BC36" s="77">
        <f si="21" t="shared"/>
        <v>1273.0000000000002</v>
      </c>
      <c r="BD36" s="77">
        <f si="22" t="shared"/>
        <v>1250.0000000000002</v>
      </c>
      <c r="BE36" s="77">
        <f si="23" t="shared"/>
        <v>9103.0000000000018</v>
      </c>
      <c r="BF36" s="77">
        <f si="24" t="shared"/>
        <v>21582.000000000004</v>
      </c>
      <c r="BG36" s="77">
        <f si="25" t="shared"/>
        <v>267.00000000000006</v>
      </c>
      <c r="BH36" s="77">
        <f si="26" t="shared"/>
        <v>5163.0000000000009</v>
      </c>
      <c r="BI36" s="77">
        <f si="27" t="shared"/>
        <v>958.00000000000023</v>
      </c>
      <c r="BJ36" s="77">
        <f si="28" t="shared"/>
        <v>977.00000000000023</v>
      </c>
      <c r="BK36" s="77">
        <f si="29" t="shared"/>
        <v>19595.000000000004</v>
      </c>
      <c r="BL36" s="77">
        <f si="30" t="shared"/>
        <v>6865.0000000000018</v>
      </c>
      <c r="BM36" s="77">
        <f si="31" t="shared"/>
        <v>91.000000000000014</v>
      </c>
      <c r="BN36" s="77">
        <f si="32" t="shared"/>
        <v>1062.0000000000002</v>
      </c>
      <c r="BO36" s="77">
        <f si="33" t="shared"/>
        <v>113.00000000000003</v>
      </c>
      <c r="BP36" s="77">
        <f si="34" t="shared"/>
        <v>72.000000000000014</v>
      </c>
      <c r="BQ36" s="77">
        <f si="35" t="shared"/>
        <v>297.00000000000006</v>
      </c>
      <c r="BR36" s="77">
        <f si="36" t="shared"/>
        <v>162.00000000000003</v>
      </c>
      <c r="BS36" s="77">
        <f si="37" t="shared"/>
        <v>49.000000000000014</v>
      </c>
      <c r="BT36" s="77">
        <f si="38" t="shared"/>
        <v>0</v>
      </c>
      <c r="BU36" s="77">
        <f si="13" t="shared"/>
        <v>80745.000000000015</v>
      </c>
      <c r="BV36" s="95"/>
      <c r="BW36" s="95">
        <v>7</v>
      </c>
      <c r="BX36" s="77">
        <f si="39" t="shared"/>
        <v>349.06682754779922</v>
      </c>
      <c r="BY36" s="77">
        <f si="40" t="shared"/>
        <v>171.00594022646965</v>
      </c>
      <c r="BZ36" s="77">
        <f si="41" t="shared"/>
        <v>654.23723779469037</v>
      </c>
      <c r="CA36" s="77">
        <f si="42" t="shared"/>
        <v>596.61072953406324</v>
      </c>
      <c r="CB36" s="77">
        <f si="43" t="shared"/>
        <v>464.72582142194142</v>
      </c>
      <c r="CC36" s="77">
        <f si="44" t="shared"/>
        <v>1324.2517170967112</v>
      </c>
      <c r="CD36" s="77">
        <f si="45" t="shared"/>
        <v>3231.6357898644928</v>
      </c>
      <c r="CE36" s="77">
        <f si="46" t="shared"/>
        <v>66.751995544830095</v>
      </c>
      <c r="CF36" s="77">
        <f si="47" t="shared"/>
        <v>160.0445516985319</v>
      </c>
      <c r="CG36" s="77">
        <f si="48" t="shared"/>
        <v>343.03322814182275</v>
      </c>
      <c r="CH36" s="77">
        <f si="49" t="shared"/>
        <v>1714.0003712641544</v>
      </c>
      <c r="CI36" s="77">
        <f si="50" t="shared"/>
        <v>3333.083905698908</v>
      </c>
      <c r="CJ36" s="77">
        <f si="51" t="shared"/>
        <v>1259.1655838128845</v>
      </c>
      <c r="CK36" s="77">
        <f si="52" t="shared"/>
        <v>167.80768516799702</v>
      </c>
      <c r="CL36" s="77">
        <f si="53" t="shared"/>
        <v>568.7881937998884</v>
      </c>
      <c r="CM36" s="77">
        <f si="54" t="shared"/>
        <v>95.844811583441583</v>
      </c>
      <c r="CN36" s="77">
        <f si="55" t="shared"/>
        <v>125.85297939483941</v>
      </c>
      <c r="CO36" s="77">
        <f si="56" t="shared"/>
        <v>461.43642101355107</v>
      </c>
      <c r="CP36" s="77">
        <f si="57" t="shared"/>
        <v>312.64729905327636</v>
      </c>
      <c r="CQ36" s="77">
        <f si="58" t="shared"/>
        <v>247.77946909225915</v>
      </c>
      <c r="CR36" s="77">
        <f si="59" t="shared"/>
        <v>0</v>
      </c>
      <c r="CS36" s="77">
        <f si="60" t="shared"/>
        <v>0</v>
      </c>
      <c r="CU36" s="95">
        <v>35</v>
      </c>
      <c r="CV36" s="95">
        <f si="6" t="shared"/>
        <v>2</v>
      </c>
      <c r="CW36" s="95">
        <f si="0" t="shared"/>
        <v>15</v>
      </c>
      <c r="CX36" s="58">
        <f si="1" t="shared"/>
        <v>176.7009387572642</v>
      </c>
      <c r="CY36" s="58">
        <f si="2" t="shared"/>
        <v>94</v>
      </c>
      <c r="CZ36" s="108">
        <f si="3" t="shared"/>
        <v>-82.700938757264197</v>
      </c>
      <c r="DA36" s="78">
        <f si="4" t="shared"/>
        <v>-0.46802772718073266</v>
      </c>
      <c r="DB36" s="95">
        <v>35000</v>
      </c>
    </row>
    <row r="37" spans="2:106" x14ac:dyDescent="0.25">
      <c r="B37" s="95">
        <v>8</v>
      </c>
      <c r="C37" s="77">
        <f>County_Flow!Z41</f>
        <v>438.98548567175288</v>
      </c>
      <c r="D37" s="77">
        <f>County_Flow!AA41</f>
        <v>312.65872720506138</v>
      </c>
      <c r="E37" s="77">
        <f>County_Flow!AB41</f>
        <v>220.28228507629325</v>
      </c>
      <c r="F37" s="77">
        <f>County_Flow!AC41</f>
        <v>234.49404540379604</v>
      </c>
      <c r="G37" s="77">
        <f>County_Flow!AD41</f>
        <v>195.8064756233718</v>
      </c>
      <c r="H37" s="77">
        <f>County_Flow!AE41</f>
        <v>877.97097134350577</v>
      </c>
      <c r="I37" s="77">
        <f>County_Flow!AF41</f>
        <v>255.81168589505023</v>
      </c>
      <c r="J37" s="77">
        <f>County_Flow!AG41</f>
        <v>100.27186453293635</v>
      </c>
      <c r="K37" s="77">
        <f>County_Flow!AH41</f>
        <v>266.86527726088576</v>
      </c>
      <c r="L37" s="77">
        <f>County_Flow!AI41</f>
        <v>120.79996278377372</v>
      </c>
      <c r="M37" s="77">
        <f>County_Flow!AJ41</f>
        <v>356.08355042798661</v>
      </c>
      <c r="N37" s="77">
        <f>County_Flow!AK41</f>
        <v>555.04819501302575</v>
      </c>
      <c r="O37" s="77">
        <f>County_Flow!AL41</f>
        <v>71.058801637513952</v>
      </c>
      <c r="P37" s="77">
        <f>County_Flow!AM41</f>
        <v>79.743766282099003</v>
      </c>
      <c r="Q37" s="77">
        <f>County_Flow!AN41</f>
        <v>42.63528098250837</v>
      </c>
      <c r="R37" s="77">
        <f>County_Flow!AO41</f>
        <v>11.843133606252326</v>
      </c>
      <c r="S37" s="77">
        <f>County_Flow!AP41</f>
        <v>27.633978414588761</v>
      </c>
      <c r="T37" s="77">
        <f>County_Flow!AQ41</f>
        <v>25.265351693338296</v>
      </c>
      <c r="U37" s="77">
        <f>County_Flow!AR41</f>
        <v>38.687569780424269</v>
      </c>
      <c r="V37" s="77">
        <f>County_Flow!AS41</f>
        <v>11.053591365835505</v>
      </c>
      <c r="W37" s="77">
        <f>County_Flow!AT41</f>
        <v>0</v>
      </c>
      <c r="X37" s="77">
        <f si="15" t="shared"/>
        <v>4243.0000000000009</v>
      </c>
      <c r="Y37" s="95"/>
      <c r="Z37" s="95">
        <v>8</v>
      </c>
      <c r="AA37" s="77">
        <f>County_Flow!AX41*AA$28</f>
        <v>520</v>
      </c>
      <c r="AB37" s="77">
        <f>County_Flow!AY41*AB$28</f>
        <v>291</v>
      </c>
      <c r="AC37" s="77">
        <f>County_Flow!AZ41*AC$28</f>
        <v>320</v>
      </c>
      <c r="AD37" s="77">
        <f>County_Flow!BA41*AD$28</f>
        <v>299</v>
      </c>
      <c r="AE37" s="77">
        <f>County_Flow!BB41*AE$28</f>
        <v>194</v>
      </c>
      <c r="AF37" s="77">
        <f>County_Flow!BC41*AF$28</f>
        <v>964</v>
      </c>
      <c r="AG37" s="77">
        <f>County_Flow!BD41*AG$28</f>
        <v>135</v>
      </c>
      <c r="AH37" s="77">
        <f>County_Flow!BE41*AH$28</f>
        <v>91</v>
      </c>
      <c r="AI37" s="77">
        <f>County_Flow!BF41*AI$28</f>
        <v>178</v>
      </c>
      <c r="AJ37" s="77">
        <f>County_Flow!BG41*AJ$28</f>
        <v>135</v>
      </c>
      <c r="AK37" s="77">
        <f>County_Flow!BH41*AK$28</f>
        <v>465</v>
      </c>
      <c r="AL37" s="77">
        <f>County_Flow!BI41*AL$28</f>
        <v>455</v>
      </c>
      <c r="AM37" s="77">
        <f>County_Flow!BJ41*AM$28</f>
        <v>12</v>
      </c>
      <c r="AN37" s="77">
        <f>County_Flow!BK41*AN$28</f>
        <v>64</v>
      </c>
      <c r="AO37" s="77">
        <f>County_Flow!BL41*AO$28</f>
        <v>14</v>
      </c>
      <c r="AP37" s="77">
        <f>County_Flow!BM41*AP$28</f>
        <v>10</v>
      </c>
      <c r="AQ37" s="77">
        <f>County_Flow!BN41*AQ$28</f>
        <v>41</v>
      </c>
      <c r="AR37" s="77">
        <f>County_Flow!BO41*AR$28</f>
        <v>2</v>
      </c>
      <c r="AS37" s="77">
        <f>County_Flow!BP41*AS$28</f>
        <v>53</v>
      </c>
      <c r="AT37" s="77">
        <f>County_Flow!BQ41*AT$28</f>
        <v>0</v>
      </c>
      <c r="AU37" s="77">
        <f>County_Flow!BR41</f>
        <v>0</v>
      </c>
      <c r="AV37" s="15">
        <f si="16" t="shared"/>
        <v>4243</v>
      </c>
      <c r="AW37" s="139">
        <f si="17" t="shared"/>
        <v>2.1435180338744475E-16</v>
      </c>
      <c r="AY37" s="95">
        <v>8</v>
      </c>
      <c r="AZ37" s="77">
        <f si="18" t="shared"/>
        <v>520.00000000000011</v>
      </c>
      <c r="BA37" s="77">
        <f si="19" t="shared"/>
        <v>291.00000000000006</v>
      </c>
      <c r="BB37" s="77">
        <f si="20" t="shared"/>
        <v>320.00000000000006</v>
      </c>
      <c r="BC37" s="77">
        <f si="21" t="shared"/>
        <v>299.00000000000006</v>
      </c>
      <c r="BD37" s="77">
        <f si="22" t="shared"/>
        <v>194.00000000000006</v>
      </c>
      <c r="BE37" s="77">
        <f si="23" t="shared"/>
        <v>964.00000000000023</v>
      </c>
      <c r="BF37" s="77">
        <f si="24" t="shared"/>
        <v>135.00000000000003</v>
      </c>
      <c r="BG37" s="77">
        <f si="25" t="shared"/>
        <v>91.000000000000014</v>
      </c>
      <c r="BH37" s="77">
        <f si="26" t="shared"/>
        <v>178.00000000000003</v>
      </c>
      <c r="BI37" s="77">
        <f si="27" t="shared"/>
        <v>135.00000000000003</v>
      </c>
      <c r="BJ37" s="77">
        <f si="28" t="shared"/>
        <v>465.00000000000011</v>
      </c>
      <c r="BK37" s="77">
        <f si="29" t="shared"/>
        <v>455.00000000000011</v>
      </c>
      <c r="BL37" s="77">
        <f si="30" t="shared"/>
        <v>12.000000000000004</v>
      </c>
      <c r="BM37" s="77">
        <f si="31" t="shared"/>
        <v>64.000000000000014</v>
      </c>
      <c r="BN37" s="77">
        <f si="32" t="shared"/>
        <v>14.000000000000004</v>
      </c>
      <c r="BO37" s="77">
        <f si="33" t="shared"/>
        <v>10.000000000000002</v>
      </c>
      <c r="BP37" s="77">
        <f si="34" t="shared"/>
        <v>41.000000000000007</v>
      </c>
      <c r="BQ37" s="77">
        <f si="35" t="shared"/>
        <v>2.0000000000000004</v>
      </c>
      <c r="BR37" s="77">
        <f si="36" t="shared"/>
        <v>53.000000000000014</v>
      </c>
      <c r="BS37" s="77">
        <f si="37" t="shared"/>
        <v>0</v>
      </c>
      <c r="BT37" s="77">
        <f si="38" t="shared"/>
        <v>0</v>
      </c>
      <c r="BU37" s="77">
        <f si="13" t="shared"/>
        <v>4243.0000000000009</v>
      </c>
      <c r="BV37" s="95"/>
      <c r="BW37" s="95">
        <v>8</v>
      </c>
      <c r="BX37" s="77">
        <f si="39" t="shared"/>
        <v>81.01451432824723</v>
      </c>
      <c r="BY37" s="77">
        <f si="40" t="shared"/>
        <v>21.658727205061325</v>
      </c>
      <c r="BZ37" s="77">
        <f si="41" t="shared"/>
        <v>99.717714923706808</v>
      </c>
      <c r="CA37" s="77">
        <f si="42" t="shared"/>
        <v>64.50595459620402</v>
      </c>
      <c r="CB37" s="77">
        <f si="43" t="shared"/>
        <v>1.8064756233717389</v>
      </c>
      <c r="CC37" s="77">
        <f si="44" t="shared"/>
        <v>86.029028656494461</v>
      </c>
      <c r="CD37" s="77">
        <f si="45" t="shared"/>
        <v>120.8116858950502</v>
      </c>
      <c r="CE37" s="77">
        <f si="46" t="shared"/>
        <v>9.2718645329363341</v>
      </c>
      <c r="CF37" s="77">
        <f si="47" t="shared"/>
        <v>88.865277260885733</v>
      </c>
      <c r="CG37" s="77">
        <f si="48" t="shared"/>
        <v>14.200037216226306</v>
      </c>
      <c r="CH37" s="77">
        <f si="49" t="shared"/>
        <v>108.91644957201351</v>
      </c>
      <c r="CI37" s="77">
        <f si="50" t="shared"/>
        <v>100.04819501302563</v>
      </c>
      <c r="CJ37" s="77">
        <f si="51" t="shared"/>
        <v>59.058801637513952</v>
      </c>
      <c r="CK37" s="77">
        <f si="52" t="shared"/>
        <v>15.743766282098989</v>
      </c>
      <c r="CL37" s="77">
        <f si="53" t="shared"/>
        <v>28.635280982508366</v>
      </c>
      <c r="CM37" s="77">
        <f si="54" t="shared"/>
        <v>1.8431336062523247</v>
      </c>
      <c r="CN37" s="77">
        <f si="55" t="shared"/>
        <v>13.366021585411247</v>
      </c>
      <c r="CO37" s="77">
        <f si="56" t="shared"/>
        <v>23.265351693338296</v>
      </c>
      <c r="CP37" s="77">
        <f si="57" t="shared"/>
        <v>14.312430219575745</v>
      </c>
      <c r="CQ37" s="77">
        <f si="58" t="shared"/>
        <v>11.053591365835505</v>
      </c>
      <c r="CR37" s="77">
        <f si="59" t="shared"/>
        <v>0</v>
      </c>
      <c r="CS37" s="77">
        <f si="60" t="shared"/>
        <v>0</v>
      </c>
      <c r="CU37" s="95">
        <v>36</v>
      </c>
      <c r="CV37" s="95">
        <f si="6" t="shared"/>
        <v>2</v>
      </c>
      <c r="CW37" s="95">
        <f si="0" t="shared"/>
        <v>16</v>
      </c>
      <c r="CX37" s="58">
        <f si="1" t="shared"/>
        <v>50.801519892713451</v>
      </c>
      <c r="CY37" s="58">
        <f si="2" t="shared"/>
        <v>28</v>
      </c>
      <c r="CZ37" s="108">
        <f si="3" t="shared"/>
        <v>-22.801519892713451</v>
      </c>
      <c r="DA37" s="78">
        <f si="4" t="shared"/>
        <v>-0.44883538801333994</v>
      </c>
      <c r="DB37" s="95">
        <v>36000</v>
      </c>
    </row>
    <row r="38" spans="2:106" x14ac:dyDescent="0.25">
      <c r="B38" s="95">
        <v>9</v>
      </c>
      <c r="C38" s="77">
        <f>County_Flow!Z42</f>
        <v>5385.3936755270388</v>
      </c>
      <c r="D38" s="77">
        <f>County_Flow!AA42</f>
        <v>4538.1983272227317</v>
      </c>
      <c r="E38" s="77">
        <f>County_Flow!AB42</f>
        <v>2149.6728918423469</v>
      </c>
      <c r="F38" s="77">
        <f>County_Flow!AC42</f>
        <v>1616.3980293308891</v>
      </c>
      <c r="G38" s="77">
        <f>County_Flow!AD42</f>
        <v>1211.811067827681</v>
      </c>
      <c r="H38" s="77">
        <f>County_Flow!AE42</f>
        <v>9445.8869156736928</v>
      </c>
      <c r="I38" s="77">
        <f>County_Flow!AF42</f>
        <v>5369.7951420714944</v>
      </c>
      <c r="J38" s="77">
        <f>County_Flow!AG42</f>
        <v>309.04594408799267</v>
      </c>
      <c r="K38" s="77">
        <f>County_Flow!AH42</f>
        <v>9357.1702566452805</v>
      </c>
      <c r="L38" s="77">
        <f>County_Flow!AI42</f>
        <v>880.34223189734189</v>
      </c>
      <c r="M38" s="77">
        <f>County_Flow!AJ42</f>
        <v>3087.5347158570116</v>
      </c>
      <c r="N38" s="77">
        <f>County_Flow!AK42</f>
        <v>8890.1891613198895</v>
      </c>
      <c r="O38" s="77">
        <f>County_Flow!AL42</f>
        <v>1983.9384738771769</v>
      </c>
      <c r="P38" s="77">
        <f>County_Flow!AM42</f>
        <v>275.89906049495875</v>
      </c>
      <c r="Q38" s="77">
        <f>County_Flow!AN42</f>
        <v>3353.684692942255</v>
      </c>
      <c r="R38" s="77">
        <f>County_Flow!AO42</f>
        <v>128.6879010082493</v>
      </c>
      <c r="S38" s="77">
        <f>County_Flow!AP42</f>
        <v>281.74851054078829</v>
      </c>
      <c r="T38" s="77">
        <f>County_Flow!AQ42</f>
        <v>263.22525206232814</v>
      </c>
      <c r="U38" s="77">
        <f>County_Flow!AR42</f>
        <v>840.3709899175069</v>
      </c>
      <c r="V38" s="77">
        <f>County_Flow!AS42</f>
        <v>194.00675985334556</v>
      </c>
      <c r="W38" s="77">
        <f>County_Flow!AT42</f>
        <v>0</v>
      </c>
      <c r="X38" s="77">
        <f si="15" t="shared"/>
        <v>59563</v>
      </c>
      <c r="Y38" s="95"/>
      <c r="Z38" s="95">
        <v>9</v>
      </c>
      <c r="AA38" s="77">
        <f>County_Flow!AX42*AA$28</f>
        <v>5482</v>
      </c>
      <c r="AB38" s="77">
        <f>County_Flow!AY42*AB$28</f>
        <v>5406</v>
      </c>
      <c r="AC38" s="77">
        <f>County_Flow!AZ42*AC$28</f>
        <v>2412</v>
      </c>
      <c r="AD38" s="77">
        <f>County_Flow!BA42*AD$28</f>
        <v>1432</v>
      </c>
      <c r="AE38" s="77">
        <f>County_Flow!BB42*AE$28</f>
        <v>1303</v>
      </c>
      <c r="AF38" s="77">
        <f>County_Flow!BC42*AF$28</f>
        <v>9078</v>
      </c>
      <c r="AG38" s="77">
        <f>County_Flow!BD42*AG$28</f>
        <v>5731</v>
      </c>
      <c r="AH38" s="77">
        <f>County_Flow!BE42*AH$28</f>
        <v>258</v>
      </c>
      <c r="AI38" s="77">
        <f>County_Flow!BF42*AI$28</f>
        <v>12960</v>
      </c>
      <c r="AJ38" s="77">
        <f>County_Flow!BG42*AJ$28</f>
        <v>718</v>
      </c>
      <c r="AK38" s="77">
        <f>County_Flow!BH42*AK$28</f>
        <v>2821</v>
      </c>
      <c r="AL38" s="77">
        <f>County_Flow!BI42*AL$28</f>
        <v>7166</v>
      </c>
      <c r="AM38" s="77">
        <f>County_Flow!BJ42*AM$28</f>
        <v>1083</v>
      </c>
      <c r="AN38" s="77">
        <f>County_Flow!BK42*AN$28</f>
        <v>136</v>
      </c>
      <c r="AO38" s="77">
        <f>County_Flow!BL42*AO$28</f>
        <v>2813</v>
      </c>
      <c r="AP38" s="77">
        <f>County_Flow!BM42*AP$28</f>
        <v>77</v>
      </c>
      <c r="AQ38" s="77">
        <f>County_Flow!BN42*AQ$28</f>
        <v>139</v>
      </c>
      <c r="AR38" s="77">
        <f>County_Flow!BO42*AR$28</f>
        <v>53</v>
      </c>
      <c r="AS38" s="77">
        <f>County_Flow!BP42*AS$28</f>
        <v>479</v>
      </c>
      <c r="AT38" s="77">
        <f>County_Flow!BQ42*AT$28</f>
        <v>16</v>
      </c>
      <c r="AU38" s="77">
        <f>County_Flow!BR42</f>
        <v>0</v>
      </c>
      <c r="AV38" s="15">
        <f si="16" t="shared"/>
        <v>59563</v>
      </c>
      <c r="AW38" s="139">
        <f si="17" t="shared"/>
        <v>0</v>
      </c>
      <c r="AY38" s="95">
        <v>9</v>
      </c>
      <c r="AZ38" s="77">
        <f si="18" t="shared"/>
        <v>5482</v>
      </c>
      <c r="BA38" s="77">
        <f si="19" t="shared"/>
        <v>5406</v>
      </c>
      <c r="BB38" s="77">
        <f si="20" t="shared"/>
        <v>2412</v>
      </c>
      <c r="BC38" s="77">
        <f si="21" t="shared"/>
        <v>1432</v>
      </c>
      <c r="BD38" s="77">
        <f si="22" t="shared"/>
        <v>1303</v>
      </c>
      <c r="BE38" s="77">
        <f si="23" t="shared"/>
        <v>9078</v>
      </c>
      <c r="BF38" s="77">
        <f si="24" t="shared"/>
        <v>5731</v>
      </c>
      <c r="BG38" s="77">
        <f si="25" t="shared"/>
        <v>258</v>
      </c>
      <c r="BH38" s="77">
        <f si="26" t="shared"/>
        <v>12960</v>
      </c>
      <c r="BI38" s="77">
        <f si="27" t="shared"/>
        <v>718</v>
      </c>
      <c r="BJ38" s="77">
        <f si="28" t="shared"/>
        <v>2821</v>
      </c>
      <c r="BK38" s="77">
        <f si="29" t="shared"/>
        <v>7166</v>
      </c>
      <c r="BL38" s="77">
        <f si="30" t="shared"/>
        <v>1083</v>
      </c>
      <c r="BM38" s="77">
        <f si="31" t="shared"/>
        <v>136</v>
      </c>
      <c r="BN38" s="77">
        <f si="32" t="shared"/>
        <v>2813</v>
      </c>
      <c r="BO38" s="77">
        <f si="33" t="shared"/>
        <v>77</v>
      </c>
      <c r="BP38" s="77">
        <f si="34" t="shared"/>
        <v>139</v>
      </c>
      <c r="BQ38" s="77">
        <f si="35" t="shared"/>
        <v>53</v>
      </c>
      <c r="BR38" s="77">
        <f si="36" t="shared"/>
        <v>479</v>
      </c>
      <c r="BS38" s="77">
        <f si="37" t="shared"/>
        <v>16</v>
      </c>
      <c r="BT38" s="77">
        <f si="38" t="shared"/>
        <v>0</v>
      </c>
      <c r="BU38" s="77">
        <f si="13" t="shared"/>
        <v>59563</v>
      </c>
      <c r="BV38" s="95"/>
      <c r="BW38" s="95">
        <v>9</v>
      </c>
      <c r="BX38" s="77">
        <f si="39" t="shared"/>
        <v>96.606324472961205</v>
      </c>
      <c r="BY38" s="77">
        <f si="40" t="shared"/>
        <v>867.80167277726832</v>
      </c>
      <c r="BZ38" s="77">
        <f si="41" t="shared"/>
        <v>262.32710815765313</v>
      </c>
      <c r="CA38" s="77">
        <f si="42" t="shared"/>
        <v>184.39802933088913</v>
      </c>
      <c r="CB38" s="77">
        <f si="43" t="shared"/>
        <v>91.188932172319028</v>
      </c>
      <c r="CC38" s="77">
        <f si="44" t="shared"/>
        <v>367.88691567369278</v>
      </c>
      <c r="CD38" s="77">
        <f si="45" t="shared"/>
        <v>361.20485792850559</v>
      </c>
      <c r="CE38" s="77">
        <f si="46" t="shared"/>
        <v>51.045944087992666</v>
      </c>
      <c r="CF38" s="77">
        <f si="47" t="shared"/>
        <v>3602.8297433547195</v>
      </c>
      <c r="CG38" s="77">
        <f si="48" t="shared"/>
        <v>162.34223189734189</v>
      </c>
      <c r="CH38" s="77">
        <f si="49" t="shared"/>
        <v>266.53471585701163</v>
      </c>
      <c r="CI38" s="77">
        <f si="50" t="shared"/>
        <v>1724.1891613198895</v>
      </c>
      <c r="CJ38" s="77">
        <f si="51" t="shared"/>
        <v>900.93847387717688</v>
      </c>
      <c r="CK38" s="77">
        <f si="52" t="shared"/>
        <v>139.89906049495875</v>
      </c>
      <c r="CL38" s="77">
        <f si="53" t="shared"/>
        <v>540.68469294225497</v>
      </c>
      <c r="CM38" s="77">
        <f si="54" t="shared"/>
        <v>51.687901008249298</v>
      </c>
      <c r="CN38" s="77">
        <f si="55" t="shared"/>
        <v>142.74851054078829</v>
      </c>
      <c r="CO38" s="77">
        <f si="56" t="shared"/>
        <v>210.22525206232814</v>
      </c>
      <c r="CP38" s="77">
        <f si="57" t="shared"/>
        <v>361.3709899175069</v>
      </c>
      <c r="CQ38" s="77">
        <f si="58" t="shared"/>
        <v>178.00675985334556</v>
      </c>
      <c r="CR38" s="77">
        <f si="59" t="shared"/>
        <v>0</v>
      </c>
      <c r="CS38" s="77">
        <f si="60" t="shared"/>
        <v>0</v>
      </c>
      <c r="CU38" s="95">
        <v>37</v>
      </c>
      <c r="CV38" s="95">
        <f si="6" t="shared"/>
        <v>2</v>
      </c>
      <c r="CW38" s="95">
        <f si="0" t="shared"/>
        <v>17</v>
      </c>
      <c r="CX38" s="58">
        <f si="1" t="shared"/>
        <v>49.697139025480553</v>
      </c>
      <c r="CY38" s="58">
        <f si="2" t="shared"/>
        <v>21</v>
      </c>
      <c r="CZ38" s="108">
        <f si="3" t="shared"/>
        <v>-28.697139025480553</v>
      </c>
      <c r="DA38" s="78">
        <f si="4" t="shared"/>
        <v>-0.57744046414356065</v>
      </c>
      <c r="DB38" s="95">
        <v>37000</v>
      </c>
    </row>
    <row r="39" spans="2:106" x14ac:dyDescent="0.25">
      <c r="B39" s="95">
        <v>10</v>
      </c>
      <c r="C39" s="77">
        <f>County_Flow!Z43</f>
        <v>2714.4944885820059</v>
      </c>
      <c r="D39" s="77">
        <f>County_Flow!AA43</f>
        <v>971.70126034690736</v>
      </c>
      <c r="E39" s="77">
        <f>County_Flow!AB43</f>
        <v>503.61291127656921</v>
      </c>
      <c r="F39" s="77">
        <f>County_Flow!AC43</f>
        <v>754.3745268499647</v>
      </c>
      <c r="G39" s="77">
        <f>County_Flow!AD43</f>
        <v>1248.5838775425316</v>
      </c>
      <c r="H39" s="77">
        <f>County_Flow!AE43</f>
        <v>6546.9678465954003</v>
      </c>
      <c r="I39" s="77">
        <f>County_Flow!AF43</f>
        <v>1014.5397030073624</v>
      </c>
      <c r="J39" s="77">
        <f>County_Flow!AG43</f>
        <v>216.28189343205358</v>
      </c>
      <c r="K39" s="77">
        <f>County_Flow!AH43</f>
        <v>945.58025872467863</v>
      </c>
      <c r="L39" s="77">
        <f>County_Flow!AI43</f>
        <v>1982.0616030947131</v>
      </c>
      <c r="M39" s="77">
        <f>County_Flow!AJ43</f>
        <v>709.44640405973132</v>
      </c>
      <c r="N39" s="77">
        <f>County_Flow!AK43</f>
        <v>5911.7050871427982</v>
      </c>
      <c r="O39" s="77">
        <f>County_Flow!AL43</f>
        <v>434.6534669938855</v>
      </c>
      <c r="P39" s="77">
        <f>County_Flow!AM43</f>
        <v>140.00856869514578</v>
      </c>
      <c r="Q39" s="77">
        <f>County_Flow!AN43</f>
        <v>152.54664947381556</v>
      </c>
      <c r="R39" s="77">
        <f>County_Flow!AO43</f>
        <v>417.93602595565909</v>
      </c>
      <c r="S39" s="77">
        <f>County_Flow!AP43</f>
        <v>58.511043633792269</v>
      </c>
      <c r="T39" s="77">
        <f>County_Flow!AQ43</f>
        <v>138.96372863025664</v>
      </c>
      <c r="U39" s="77">
        <f>County_Flow!AR43</f>
        <v>178.66765109604427</v>
      </c>
      <c r="V39" s="77">
        <f>County_Flow!AS43</f>
        <v>78.363004866686069</v>
      </c>
      <c r="W39" s="77">
        <f>County_Flow!AT43</f>
        <v>0</v>
      </c>
      <c r="X39" s="77">
        <f si="15" t="shared"/>
        <v>25119</v>
      </c>
      <c r="Y39" s="95"/>
      <c r="Z39" s="95">
        <v>10</v>
      </c>
      <c r="AA39" s="77">
        <f>County_Flow!AX43*AA$28</f>
        <v>2657</v>
      </c>
      <c r="AB39" s="77">
        <f>County_Flow!AY43*AB$28</f>
        <v>1226</v>
      </c>
      <c r="AC39" s="77">
        <f>County_Flow!AZ43*AC$28</f>
        <v>562</v>
      </c>
      <c r="AD39" s="77">
        <f>County_Flow!BA43*AD$28</f>
        <v>1019</v>
      </c>
      <c r="AE39" s="77">
        <f>County_Flow!BB43*AE$28</f>
        <v>1378</v>
      </c>
      <c r="AF39" s="77">
        <f>County_Flow!BC43*AF$28</f>
        <v>6992</v>
      </c>
      <c r="AG39" s="77">
        <f>County_Flow!BD43*AG$28</f>
        <v>613</v>
      </c>
      <c r="AH39" s="77">
        <f>County_Flow!BE43*AH$28</f>
        <v>262</v>
      </c>
      <c r="AI39" s="77">
        <f>County_Flow!BF43*AI$28</f>
        <v>542</v>
      </c>
      <c r="AJ39" s="77">
        <f>County_Flow!BG43*AJ$28</f>
        <v>2430</v>
      </c>
      <c r="AK39" s="77">
        <f>County_Flow!BH43*AK$28</f>
        <v>434</v>
      </c>
      <c r="AL39" s="77">
        <f>County_Flow!BI43*AL$28</f>
        <v>6231</v>
      </c>
      <c r="AM39" s="77">
        <f>County_Flow!BJ43*AM$28</f>
        <v>85</v>
      </c>
      <c r="AN39" s="77">
        <f>County_Flow!BK43*AN$28</f>
        <v>41</v>
      </c>
      <c r="AO39" s="77">
        <f>County_Flow!BL43*AO$28</f>
        <v>38</v>
      </c>
      <c r="AP39" s="77">
        <f>County_Flow!BM43*AP$28</f>
        <v>434</v>
      </c>
      <c r="AQ39" s="77">
        <f>County_Flow!BN43*AQ$28</f>
        <v>25</v>
      </c>
      <c r="AR39" s="77">
        <f>County_Flow!BO43*AR$28</f>
        <v>61</v>
      </c>
      <c r="AS39" s="77">
        <f>County_Flow!BP43*AS$28</f>
        <v>74</v>
      </c>
      <c r="AT39" s="77">
        <f>County_Flow!BQ43*AT$28</f>
        <v>15</v>
      </c>
      <c r="AU39" s="77">
        <f>County_Flow!BR43</f>
        <v>0</v>
      </c>
      <c r="AV39" s="15">
        <f si="16" t="shared"/>
        <v>25119</v>
      </c>
      <c r="AW39" s="139">
        <f si="17" t="shared"/>
        <v>0</v>
      </c>
      <c r="AY39" s="95">
        <v>10</v>
      </c>
      <c r="AZ39" s="77">
        <f si="18" t="shared"/>
        <v>2657</v>
      </c>
      <c r="BA39" s="77">
        <f si="19" t="shared"/>
        <v>1226</v>
      </c>
      <c r="BB39" s="77">
        <f si="20" t="shared"/>
        <v>562</v>
      </c>
      <c r="BC39" s="77">
        <f si="21" t="shared"/>
        <v>1019</v>
      </c>
      <c r="BD39" s="77">
        <f si="22" t="shared"/>
        <v>1378</v>
      </c>
      <c r="BE39" s="77">
        <f si="23" t="shared"/>
        <v>6992</v>
      </c>
      <c r="BF39" s="77">
        <f si="24" t="shared"/>
        <v>613</v>
      </c>
      <c r="BG39" s="77">
        <f si="25" t="shared"/>
        <v>262</v>
      </c>
      <c r="BH39" s="77">
        <f si="26" t="shared"/>
        <v>542</v>
      </c>
      <c r="BI39" s="77">
        <f si="27" t="shared"/>
        <v>2430</v>
      </c>
      <c r="BJ39" s="77">
        <f si="28" t="shared"/>
        <v>434</v>
      </c>
      <c r="BK39" s="77">
        <f si="29" t="shared"/>
        <v>6231</v>
      </c>
      <c r="BL39" s="77">
        <f si="30" t="shared"/>
        <v>85</v>
      </c>
      <c r="BM39" s="77">
        <f si="31" t="shared"/>
        <v>41</v>
      </c>
      <c r="BN39" s="77">
        <f si="32" t="shared"/>
        <v>38</v>
      </c>
      <c r="BO39" s="77">
        <f si="33" t="shared"/>
        <v>434</v>
      </c>
      <c r="BP39" s="77">
        <f si="34" t="shared"/>
        <v>25</v>
      </c>
      <c r="BQ39" s="77">
        <f si="35" t="shared"/>
        <v>61</v>
      </c>
      <c r="BR39" s="77">
        <f si="36" t="shared"/>
        <v>74</v>
      </c>
      <c r="BS39" s="77">
        <f si="37" t="shared"/>
        <v>15</v>
      </c>
      <c r="BT39" s="77">
        <f si="38" t="shared"/>
        <v>0</v>
      </c>
      <c r="BU39" s="77">
        <f si="13" t="shared"/>
        <v>25119</v>
      </c>
      <c r="BV39" s="95"/>
      <c r="BW39" s="95">
        <v>10</v>
      </c>
      <c r="BX39" s="77">
        <f si="39" t="shared"/>
        <v>57.494488582005943</v>
      </c>
      <c r="BY39" s="77">
        <f si="40" t="shared"/>
        <v>254.29873965309264</v>
      </c>
      <c r="BZ39" s="77">
        <f si="41" t="shared"/>
        <v>58.387088723430793</v>
      </c>
      <c r="CA39" s="77">
        <f si="42" t="shared"/>
        <v>264.6254731500353</v>
      </c>
      <c r="CB39" s="77">
        <f si="43" t="shared"/>
        <v>129.41612245746842</v>
      </c>
      <c r="CC39" s="77">
        <f si="44" t="shared"/>
        <v>445.03215340459974</v>
      </c>
      <c r="CD39" s="77">
        <f si="45" t="shared"/>
        <v>401.53970300736239</v>
      </c>
      <c r="CE39" s="77">
        <f si="46" t="shared"/>
        <v>45.718106567946421</v>
      </c>
      <c r="CF39" s="77">
        <f si="47" t="shared"/>
        <v>403.58025872467863</v>
      </c>
      <c r="CG39" s="77">
        <f si="48" t="shared"/>
        <v>447.93839690528694</v>
      </c>
      <c r="CH39" s="77">
        <f si="49" t="shared"/>
        <v>275.44640405973132</v>
      </c>
      <c r="CI39" s="77">
        <f si="50" t="shared"/>
        <v>319.29491285720178</v>
      </c>
      <c r="CJ39" s="77">
        <f si="51" t="shared"/>
        <v>349.6534669938855</v>
      </c>
      <c r="CK39" s="77">
        <f si="52" t="shared"/>
        <v>99.008568695145783</v>
      </c>
      <c r="CL39" s="77">
        <f si="53" t="shared"/>
        <v>114.54664947381556</v>
      </c>
      <c r="CM39" s="77">
        <f si="54" t="shared"/>
        <v>16.06397404434091</v>
      </c>
      <c r="CN39" s="77">
        <f si="55" t="shared"/>
        <v>33.511043633792269</v>
      </c>
      <c r="CO39" s="77">
        <f si="56" t="shared"/>
        <v>77.963728630256639</v>
      </c>
      <c r="CP39" s="77">
        <f si="57" t="shared"/>
        <v>104.66765109604427</v>
      </c>
      <c r="CQ39" s="77">
        <f si="58" t="shared"/>
        <v>63.363004866686069</v>
      </c>
      <c r="CR39" s="77">
        <f si="59" t="shared"/>
        <v>0</v>
      </c>
      <c r="CS39" s="77">
        <f si="60" t="shared"/>
        <v>0</v>
      </c>
      <c r="CU39" s="95">
        <v>38</v>
      </c>
      <c r="CV39" s="95">
        <f si="6" t="shared"/>
        <v>2</v>
      </c>
      <c r="CW39" s="95">
        <f si="0" t="shared"/>
        <v>18</v>
      </c>
      <c r="CX39" s="58">
        <f si="1" t="shared"/>
        <v>68.471613768439866</v>
      </c>
      <c r="CY39" s="58">
        <f si="2" t="shared"/>
        <v>11</v>
      </c>
      <c r="CZ39" s="108">
        <f si="3" t="shared"/>
        <v>-57.471613768439866</v>
      </c>
      <c r="DA39" s="78">
        <f si="4" t="shared"/>
        <v>-0.83934948521586983</v>
      </c>
      <c r="DB39" s="95">
        <v>38000</v>
      </c>
    </row>
    <row r="40" spans="2:106" x14ac:dyDescent="0.25">
      <c r="B40" s="95">
        <v>11</v>
      </c>
      <c r="C40" s="77">
        <f>County_Flow!Z44</f>
        <v>4527.2320768662239</v>
      </c>
      <c r="D40" s="77">
        <f>County_Flow!AA44</f>
        <v>3217.07270879527</v>
      </c>
      <c r="E40" s="77">
        <f>County_Flow!AB44</f>
        <v>2514.271988174427</v>
      </c>
      <c r="F40" s="77">
        <f>County_Flow!AC44</f>
        <v>1911.733647450111</v>
      </c>
      <c r="G40" s="77">
        <f>County_Flow!AD44</f>
        <v>1410.4217479674796</v>
      </c>
      <c r="H40" s="77">
        <f>County_Flow!AE44</f>
        <v>7993.0326127124908</v>
      </c>
      <c r="I40" s="77">
        <f>County_Flow!AF44</f>
        <v>2708.0483185513672</v>
      </c>
      <c r="J40" s="77">
        <f>County_Flow!AG44</f>
        <v>492.63534737620103</v>
      </c>
      <c r="K40" s="77">
        <f>County_Flow!AH44</f>
        <v>3739.5939578713969</v>
      </c>
      <c r="L40" s="77">
        <f>County_Flow!AI44</f>
        <v>826.20057280118249</v>
      </c>
      <c r="M40" s="77">
        <f>County_Flow!AJ44</f>
        <v>10013.705192165558</v>
      </c>
      <c r="N40" s="77">
        <f>County_Flow!AK44</f>
        <v>5775.6915188470066</v>
      </c>
      <c r="O40" s="77">
        <f>County_Flow!AL44</f>
        <v>1030.5815779748707</v>
      </c>
      <c r="P40" s="77">
        <f>County_Flow!AM44</f>
        <v>594.82584996304502</v>
      </c>
      <c r="Q40" s="77">
        <f>County_Flow!AN44</f>
        <v>942.85199556541022</v>
      </c>
      <c r="R40" s="77">
        <f>County_Flow!AO44</f>
        <v>120.50766814486327</v>
      </c>
      <c r="S40" s="77">
        <f>County_Flow!AP44</f>
        <v>735.57880635624542</v>
      </c>
      <c r="T40" s="77">
        <f>County_Flow!AQ44</f>
        <v>214.02161862527714</v>
      </c>
      <c r="U40" s="77">
        <f>County_Flow!AR44</f>
        <v>3233.461751662971</v>
      </c>
      <c r="V40" s="77">
        <f>County_Flow!AS44</f>
        <v>173.5310421286031</v>
      </c>
      <c r="W40" s="77">
        <f>County_Flow!AT44</f>
        <v>0</v>
      </c>
      <c r="X40" s="77">
        <f si="15" t="shared"/>
        <v>52175.000000000007</v>
      </c>
      <c r="Y40" s="95"/>
      <c r="Z40" s="95">
        <v>11</v>
      </c>
      <c r="AA40" s="77">
        <f>County_Flow!AX44*AA$28</f>
        <v>5201</v>
      </c>
      <c r="AB40" s="77">
        <f>County_Flow!AY44*AB$28</f>
        <v>3064</v>
      </c>
      <c r="AC40" s="77">
        <f>County_Flow!AZ44*AC$28</f>
        <v>3328</v>
      </c>
      <c r="AD40" s="77">
        <f>County_Flow!BA44*AD$28</f>
        <v>2169</v>
      </c>
      <c r="AE40" s="77">
        <f>County_Flow!BB44*AE$28</f>
        <v>1418</v>
      </c>
      <c r="AF40" s="77">
        <f>County_Flow!BC44*AF$28</f>
        <v>7768</v>
      </c>
      <c r="AG40" s="77">
        <f>County_Flow!BD44*AG$28</f>
        <v>1449</v>
      </c>
      <c r="AH40" s="77">
        <f>County_Flow!BE44*AH$28</f>
        <v>527</v>
      </c>
      <c r="AI40" s="77">
        <f>County_Flow!BF44*AI$28</f>
        <v>3826</v>
      </c>
      <c r="AJ40" s="77">
        <f>County_Flow!BG44*AJ$28</f>
        <v>778</v>
      </c>
      <c r="AK40" s="77">
        <f>County_Flow!BH44*AK$28</f>
        <v>13912</v>
      </c>
      <c r="AL40" s="77">
        <f>County_Flow!BI44*AL$28</f>
        <v>3803</v>
      </c>
      <c r="AM40" s="77">
        <f>County_Flow!BJ44*AM$28</f>
        <v>158</v>
      </c>
      <c r="AN40" s="77">
        <f>County_Flow!BK44*AN$28</f>
        <v>565</v>
      </c>
      <c r="AO40" s="77">
        <f>County_Flow!BL44*AO$28</f>
        <v>542</v>
      </c>
      <c r="AP40" s="77">
        <f>County_Flow!BM44*AP$28</f>
        <v>72</v>
      </c>
      <c r="AQ40" s="77">
        <f>County_Flow!BN44*AQ$28</f>
        <v>898</v>
      </c>
      <c r="AR40" s="77">
        <f>County_Flow!BO44*AR$28</f>
        <v>23</v>
      </c>
      <c r="AS40" s="77">
        <f>County_Flow!BP44*AS$28</f>
        <v>2660</v>
      </c>
      <c r="AT40" s="77">
        <f>County_Flow!BQ44*AT$28</f>
        <v>14</v>
      </c>
      <c r="AU40" s="77">
        <f>County_Flow!BR44</f>
        <v>0</v>
      </c>
      <c r="AV40" s="15">
        <f si="16" t="shared"/>
        <v>52175</v>
      </c>
      <c r="AW40" s="139">
        <f si="17" t="shared"/>
        <v>1.394529490020781E-16</v>
      </c>
      <c r="AY40" s="95">
        <v>11</v>
      </c>
      <c r="AZ40" s="77">
        <f si="18" t="shared"/>
        <v>5201.0000000000009</v>
      </c>
      <c r="BA40" s="77">
        <f si="19" t="shared"/>
        <v>3064.0000000000005</v>
      </c>
      <c r="BB40" s="77">
        <f si="20" t="shared"/>
        <v>3328.0000000000005</v>
      </c>
      <c r="BC40" s="77">
        <f si="21" t="shared"/>
        <v>2169.0000000000005</v>
      </c>
      <c r="BD40" s="77">
        <f si="22" t="shared"/>
        <v>1418.0000000000002</v>
      </c>
      <c r="BE40" s="77">
        <f si="23" t="shared"/>
        <v>7768.0000000000009</v>
      </c>
      <c r="BF40" s="77">
        <f si="24" t="shared"/>
        <v>1449.0000000000002</v>
      </c>
      <c r="BG40" s="77">
        <f si="25" t="shared"/>
        <v>527.00000000000011</v>
      </c>
      <c r="BH40" s="77">
        <f si="26" t="shared"/>
        <v>3826.0000000000005</v>
      </c>
      <c r="BI40" s="77">
        <f si="27" t="shared"/>
        <v>778.00000000000011</v>
      </c>
      <c r="BJ40" s="77">
        <f si="28" t="shared"/>
        <v>13912.000000000002</v>
      </c>
      <c r="BK40" s="77">
        <f si="29" t="shared"/>
        <v>3803.0000000000005</v>
      </c>
      <c r="BL40" s="77">
        <f si="30" t="shared"/>
        <v>158.00000000000003</v>
      </c>
      <c r="BM40" s="77">
        <f si="31" t="shared"/>
        <v>565.00000000000011</v>
      </c>
      <c r="BN40" s="77">
        <f si="32" t="shared"/>
        <v>542.00000000000011</v>
      </c>
      <c r="BO40" s="77">
        <f si="33" t="shared"/>
        <v>72.000000000000014</v>
      </c>
      <c r="BP40" s="77">
        <f si="34" t="shared"/>
        <v>898.00000000000011</v>
      </c>
      <c r="BQ40" s="77">
        <f si="35" t="shared"/>
        <v>23.000000000000004</v>
      </c>
      <c r="BR40" s="77">
        <f si="36" t="shared"/>
        <v>2660.0000000000005</v>
      </c>
      <c r="BS40" s="77">
        <f si="37" t="shared"/>
        <v>14.000000000000002</v>
      </c>
      <c r="BT40" s="77">
        <f si="38" t="shared"/>
        <v>0</v>
      </c>
      <c r="BU40" s="77">
        <f si="13" t="shared"/>
        <v>52175.000000000007</v>
      </c>
      <c r="BV40" s="95"/>
      <c r="BW40" s="95">
        <v>11</v>
      </c>
      <c r="BX40" s="77">
        <f si="39" t="shared"/>
        <v>673.767923133777</v>
      </c>
      <c r="BY40" s="77">
        <f si="40" t="shared"/>
        <v>153.07270879526959</v>
      </c>
      <c r="BZ40" s="77">
        <f si="41" t="shared"/>
        <v>813.7280118255735</v>
      </c>
      <c r="CA40" s="77">
        <f si="42" t="shared"/>
        <v>257.26635254988946</v>
      </c>
      <c r="CB40" s="77">
        <f si="43" t="shared"/>
        <v>7.5782520325205951</v>
      </c>
      <c r="CC40" s="77">
        <f si="44" t="shared"/>
        <v>225.03261271248994</v>
      </c>
      <c r="CD40" s="77">
        <f si="45" t="shared"/>
        <v>1259.0483185513669</v>
      </c>
      <c r="CE40" s="77">
        <f si="46" t="shared"/>
        <v>34.364652623799088</v>
      </c>
      <c r="CF40" s="77">
        <f si="47" t="shared"/>
        <v>86.406042128603531</v>
      </c>
      <c r="CG40" s="77">
        <f si="48" t="shared"/>
        <v>48.200572801182375</v>
      </c>
      <c r="CH40" s="77">
        <f si="49" t="shared"/>
        <v>3898.2948078344434</v>
      </c>
      <c r="CI40" s="77">
        <f si="50" t="shared"/>
        <v>1972.6915188470061</v>
      </c>
      <c r="CJ40" s="77">
        <f si="51" t="shared"/>
        <v>872.5815779748707</v>
      </c>
      <c r="CK40" s="77">
        <f si="52" t="shared"/>
        <v>29.825849963044902</v>
      </c>
      <c r="CL40" s="77">
        <f si="53" t="shared"/>
        <v>400.85199556541011</v>
      </c>
      <c r="CM40" s="77">
        <f si="54" t="shared"/>
        <v>48.50766814486326</v>
      </c>
      <c r="CN40" s="77">
        <f si="55" t="shared"/>
        <v>162.42119364375469</v>
      </c>
      <c r="CO40" s="77">
        <f si="56" t="shared"/>
        <v>191.02161862527714</v>
      </c>
      <c r="CP40" s="77">
        <f si="57" t="shared"/>
        <v>573.46175166297053</v>
      </c>
      <c r="CQ40" s="77">
        <f si="58" t="shared"/>
        <v>159.5310421286031</v>
      </c>
      <c r="CR40" s="77">
        <f si="59" t="shared"/>
        <v>0</v>
      </c>
      <c r="CS40" s="77">
        <f si="60" t="shared"/>
        <v>0</v>
      </c>
      <c r="CU40" s="95">
        <v>39</v>
      </c>
      <c r="CV40" s="95">
        <f si="6" t="shared"/>
        <v>2</v>
      </c>
      <c r="CW40" s="95">
        <f si="0" t="shared"/>
        <v>19</v>
      </c>
      <c r="CX40" s="58">
        <f si="1" t="shared"/>
        <v>97.18551631649531</v>
      </c>
      <c r="CY40" s="58">
        <f si="2" t="shared"/>
        <v>49</v>
      </c>
      <c r="CZ40" s="108">
        <f si="3" t="shared"/>
        <v>-48.18551631649531</v>
      </c>
      <c r="DA40" s="78">
        <f si="4" t="shared"/>
        <v>-0.49580964471674854</v>
      </c>
      <c r="DB40" s="95">
        <v>39000</v>
      </c>
    </row>
    <row r="41" spans="2:106" x14ac:dyDescent="0.25">
      <c r="B41" s="95">
        <v>12</v>
      </c>
      <c r="C41" s="77">
        <f>County_Flow!Z45</f>
        <v>8229.4601703357876</v>
      </c>
      <c r="D41" s="77">
        <f>County_Flow!AA45</f>
        <v>4349.7537553962457</v>
      </c>
      <c r="E41" s="77">
        <f>County_Flow!AB45</f>
        <v>1791.9906334850468</v>
      </c>
      <c r="F41" s="77">
        <f>County_Flow!AC45</f>
        <v>1955.9365049909165</v>
      </c>
      <c r="G41" s="77">
        <f>County_Flow!AD45</f>
        <v>2225.7208505069052</v>
      </c>
      <c r="H41" s="77">
        <f>County_Flow!AE45</f>
        <v>18836.13547750669</v>
      </c>
      <c r="I41" s="77">
        <f>County_Flow!AF45</f>
        <v>7381.7147461567019</v>
      </c>
      <c r="J41" s="77">
        <f>County_Flow!AG45</f>
        <v>310.25199734338679</v>
      </c>
      <c r="K41" s="77">
        <f>County_Flow!AH45</f>
        <v>4123.5499580020705</v>
      </c>
      <c r="L41" s="77">
        <f>County_Flow!AI45</f>
        <v>1947.6354482058093</v>
      </c>
      <c r="M41" s="77">
        <f>County_Flow!AJ45</f>
        <v>2110.5436876135409</v>
      </c>
      <c r="N41" s="77">
        <f>County_Flow!AK45</f>
        <v>45782.40343406325</v>
      </c>
      <c r="O41" s="77">
        <f>County_Flow!AL45</f>
        <v>2746.6121637723904</v>
      </c>
      <c r="P41" s="77">
        <f>County_Flow!AM45</f>
        <v>226.20379739417498</v>
      </c>
      <c r="Q41" s="77">
        <f>County_Flow!AN45</f>
        <v>762.65959213173676</v>
      </c>
      <c r="R41" s="77">
        <f>County_Flow!AO45</f>
        <v>433.73021702185849</v>
      </c>
      <c r="S41" s="77">
        <f>County_Flow!AP45</f>
        <v>154.60718262262418</v>
      </c>
      <c r="T41" s="77">
        <f>County_Flow!AQ45</f>
        <v>1647.7597718438069</v>
      </c>
      <c r="U41" s="77">
        <f>County_Flow!AR45</f>
        <v>447.21943429765793</v>
      </c>
      <c r="V41" s="77">
        <f>County_Flow!AS45</f>
        <v>775.11117730939782</v>
      </c>
      <c r="W41" s="77">
        <f>County_Flow!AT45</f>
        <v>0</v>
      </c>
      <c r="X41" s="77">
        <f si="15" t="shared"/>
        <v>106239</v>
      </c>
      <c r="Y41" s="95"/>
      <c r="Z41" s="95">
        <v>12</v>
      </c>
      <c r="AA41" s="77">
        <f>County_Flow!AX45*AA$28</f>
        <v>8476</v>
      </c>
      <c r="AB41" s="77">
        <f>County_Flow!AY45*AB$28</f>
        <v>5638</v>
      </c>
      <c r="AC41" s="77">
        <f>County_Flow!AZ45*AC$28</f>
        <v>1798</v>
      </c>
      <c r="AD41" s="77">
        <f>County_Flow!BA45*AD$28</f>
        <v>2285</v>
      </c>
      <c r="AE41" s="77">
        <f>County_Flow!BB45*AE$28</f>
        <v>2465</v>
      </c>
      <c r="AF41" s="77">
        <f>County_Flow!BC45*AF$28</f>
        <v>18501</v>
      </c>
      <c r="AG41" s="77">
        <f>County_Flow!BD45*AG$28</f>
        <v>8372</v>
      </c>
      <c r="AH41" s="77">
        <f>County_Flow!BE45*AH$28</f>
        <v>473</v>
      </c>
      <c r="AI41" s="77">
        <f>County_Flow!BF45*AI$28</f>
        <v>3154</v>
      </c>
      <c r="AJ41" s="77">
        <f>County_Flow!BG45*AJ$28</f>
        <v>2504</v>
      </c>
      <c r="AK41" s="77">
        <f>County_Flow!BH45*AK$28</f>
        <v>1058</v>
      </c>
      <c r="AL41" s="77">
        <f>County_Flow!BI45*AL$28</f>
        <v>46711</v>
      </c>
      <c r="AM41" s="77">
        <f>County_Flow!BJ45*AM$28</f>
        <v>1962</v>
      </c>
      <c r="AN41" s="77">
        <f>County_Flow!BK45*AN$28</f>
        <v>79</v>
      </c>
      <c r="AO41" s="77">
        <f>County_Flow!BL45*AO$28</f>
        <v>326</v>
      </c>
      <c r="AP41" s="77">
        <f>County_Flow!BM45*AP$28</f>
        <v>682</v>
      </c>
      <c r="AQ41" s="77">
        <f>County_Flow!BN45*AQ$28</f>
        <v>105</v>
      </c>
      <c r="AR41" s="77">
        <f>County_Flow!BO45*AR$28</f>
        <v>1259</v>
      </c>
      <c r="AS41" s="77">
        <f>County_Flow!BP45*AS$28</f>
        <v>175</v>
      </c>
      <c r="AT41" s="77">
        <f>County_Flow!BQ45*AT$28</f>
        <v>216</v>
      </c>
      <c r="AU41" s="77">
        <f>County_Flow!BR45</f>
        <v>0</v>
      </c>
      <c r="AV41" s="15">
        <f si="16" t="shared"/>
        <v>106239</v>
      </c>
      <c r="AW41" s="139">
        <f si="17" t="shared"/>
        <v>0</v>
      </c>
      <c r="AY41" s="95">
        <v>12</v>
      </c>
      <c r="AZ41" s="77">
        <f si="18" t="shared"/>
        <v>8476</v>
      </c>
      <c r="BA41" s="77">
        <f si="19" t="shared"/>
        <v>5638</v>
      </c>
      <c r="BB41" s="77">
        <f si="20" t="shared"/>
        <v>1798</v>
      </c>
      <c r="BC41" s="77">
        <f si="21" t="shared"/>
        <v>2285</v>
      </c>
      <c r="BD41" s="77">
        <f si="22" t="shared"/>
        <v>2465</v>
      </c>
      <c r="BE41" s="77">
        <f si="23" t="shared"/>
        <v>18501</v>
      </c>
      <c r="BF41" s="77">
        <f si="24" t="shared"/>
        <v>8372</v>
      </c>
      <c r="BG41" s="77">
        <f si="25" t="shared"/>
        <v>473</v>
      </c>
      <c r="BH41" s="77">
        <f si="26" t="shared"/>
        <v>3154</v>
      </c>
      <c r="BI41" s="77">
        <f si="27" t="shared"/>
        <v>2504</v>
      </c>
      <c r="BJ41" s="77">
        <f si="28" t="shared"/>
        <v>1058</v>
      </c>
      <c r="BK41" s="77">
        <f si="29" t="shared"/>
        <v>46711</v>
      </c>
      <c r="BL41" s="77">
        <f si="30" t="shared"/>
        <v>1962</v>
      </c>
      <c r="BM41" s="77">
        <f si="31" t="shared"/>
        <v>79</v>
      </c>
      <c r="BN41" s="77">
        <f si="32" t="shared"/>
        <v>326</v>
      </c>
      <c r="BO41" s="77">
        <f si="33" t="shared"/>
        <v>682</v>
      </c>
      <c r="BP41" s="77">
        <f si="34" t="shared"/>
        <v>105</v>
      </c>
      <c r="BQ41" s="77">
        <f si="35" t="shared"/>
        <v>1259</v>
      </c>
      <c r="BR41" s="77">
        <f si="36" t="shared"/>
        <v>175</v>
      </c>
      <c r="BS41" s="77">
        <f si="37" t="shared"/>
        <v>216</v>
      </c>
      <c r="BT41" s="77">
        <f si="38" t="shared"/>
        <v>0</v>
      </c>
      <c r="BU41" s="77">
        <f si="13" t="shared"/>
        <v>106239</v>
      </c>
      <c r="BV41" s="95"/>
      <c r="BW41" s="95">
        <v>12</v>
      </c>
      <c r="BX41" s="77">
        <f si="39" t="shared"/>
        <v>246.53982966421245</v>
      </c>
      <c r="BY41" s="77">
        <f si="40" t="shared"/>
        <v>1288.2462446037543</v>
      </c>
      <c r="BZ41" s="77">
        <f si="41" t="shared"/>
        <v>6.0093665149531716</v>
      </c>
      <c r="CA41" s="77">
        <f si="42" t="shared"/>
        <v>329.06349500908345</v>
      </c>
      <c r="CB41" s="77">
        <f si="43" t="shared"/>
        <v>239.27914949309479</v>
      </c>
      <c r="CC41" s="77">
        <f si="44" t="shared"/>
        <v>335.13547750669022</v>
      </c>
      <c r="CD41" s="77">
        <f si="45" t="shared"/>
        <v>990.28525384329805</v>
      </c>
      <c r="CE41" s="77">
        <f si="46" t="shared"/>
        <v>162.74800265661321</v>
      </c>
      <c r="CF41" s="77">
        <f si="47" t="shared"/>
        <v>969.54995800207053</v>
      </c>
      <c r="CG41" s="77">
        <f si="48" t="shared"/>
        <v>556.36455179419067</v>
      </c>
      <c r="CH41" s="77">
        <f si="49" t="shared"/>
        <v>1052.5436876135409</v>
      </c>
      <c r="CI41" s="77">
        <f si="50" t="shared"/>
        <v>928.59656593675027</v>
      </c>
      <c r="CJ41" s="77">
        <f si="51" t="shared"/>
        <v>784.61216377239043</v>
      </c>
      <c r="CK41" s="77">
        <f si="52" t="shared"/>
        <v>147.20379739417498</v>
      </c>
      <c r="CL41" s="77">
        <f si="53" t="shared"/>
        <v>436.65959213173676</v>
      </c>
      <c r="CM41" s="77">
        <f si="54" t="shared"/>
        <v>248.26978297814151</v>
      </c>
      <c r="CN41" s="77">
        <f si="55" t="shared"/>
        <v>49.60718262262418</v>
      </c>
      <c r="CO41" s="77">
        <f si="56" t="shared"/>
        <v>388.7597718438069</v>
      </c>
      <c r="CP41" s="77">
        <f si="57" t="shared"/>
        <v>272.21943429765793</v>
      </c>
      <c r="CQ41" s="77">
        <f si="58" t="shared"/>
        <v>559.11117730939782</v>
      </c>
      <c r="CR41" s="77">
        <f si="59" t="shared"/>
        <v>0</v>
      </c>
      <c r="CS41" s="77">
        <f si="60" t="shared"/>
        <v>0</v>
      </c>
      <c r="CU41" s="95">
        <v>40</v>
      </c>
      <c r="CV41" s="95">
        <f si="6" t="shared"/>
        <v>2</v>
      </c>
      <c r="CW41" s="95">
        <f si="0" t="shared"/>
        <v>20</v>
      </c>
      <c r="CX41" s="58">
        <f si="1" t="shared"/>
        <v>39.757711220384444</v>
      </c>
      <c r="CY41" s="58">
        <f si="2" t="shared"/>
        <v>11</v>
      </c>
      <c r="CZ41" s="108">
        <f si="3" t="shared"/>
        <v>-28.757711220384444</v>
      </c>
      <c r="DA41" s="78">
        <f si="4" t="shared"/>
        <v>-0.72332411342733138</v>
      </c>
      <c r="DB41" s="95">
        <v>40000</v>
      </c>
    </row>
    <row r="42" spans="2:106" x14ac:dyDescent="0.25">
      <c r="B42" s="95">
        <v>13</v>
      </c>
      <c r="C42" s="77">
        <f>County_Flow!Z46</f>
        <v>2460.7754489825716</v>
      </c>
      <c r="D42" s="77">
        <f>County_Flow!AA46</f>
        <v>2279.1940348036155</v>
      </c>
      <c r="E42" s="77">
        <f>County_Flow!AB46</f>
        <v>902.94583007021788</v>
      </c>
      <c r="F42" s="77">
        <f>County_Flow!AC46</f>
        <v>1002.1706465614506</v>
      </c>
      <c r="G42" s="77">
        <f>County_Flow!AD46</f>
        <v>603.28688426669498</v>
      </c>
      <c r="H42" s="77">
        <f>County_Flow!AE46</f>
        <v>4673.4888567370617</v>
      </c>
      <c r="I42" s="77">
        <f>County_Flow!AF46</f>
        <v>13315.970373123431</v>
      </c>
      <c r="J42" s="77">
        <f>County_Flow!AG46</f>
        <v>156.7752100561477</v>
      </c>
      <c r="K42" s="77">
        <f>County_Flow!AH46</f>
        <v>2792.1863360632892</v>
      </c>
      <c r="L42" s="77">
        <f>County_Flow!AI46</f>
        <v>731.28689754038521</v>
      </c>
      <c r="M42" s="77">
        <f>County_Flow!AJ46</f>
        <v>1272.0621474176037</v>
      </c>
      <c r="N42" s="77">
        <f>County_Flow!AK46</f>
        <v>10370.977819663645</v>
      </c>
      <c r="O42" s="77">
        <f>County_Flow!AL46</f>
        <v>29606.700744654023</v>
      </c>
      <c r="P42" s="77">
        <f>County_Flow!AM46</f>
        <v>176.62017335439427</v>
      </c>
      <c r="Q42" s="77">
        <f>County_Flow!AN46</f>
        <v>2061.8916866878162</v>
      </c>
      <c r="R42" s="77">
        <f>County_Flow!AO46</f>
        <v>157.76745822106002</v>
      </c>
      <c r="S42" s="77">
        <f>County_Flow!AP46</f>
        <v>186.54265500351752</v>
      </c>
      <c r="T42" s="77">
        <f>County_Flow!AQ46</f>
        <v>1333.5815336421679</v>
      </c>
      <c r="U42" s="77">
        <f>County_Flow!AR46</f>
        <v>353.24034670878854</v>
      </c>
      <c r="V42" s="77">
        <f>County_Flow!AS46</f>
        <v>315.53491644212005</v>
      </c>
      <c r="W42" s="77">
        <f>County_Flow!AT46</f>
        <v>0</v>
      </c>
      <c r="X42" s="77">
        <f si="15" t="shared"/>
        <v>74753</v>
      </c>
      <c r="Y42" s="95"/>
      <c r="Z42" s="95">
        <v>13</v>
      </c>
      <c r="AA42" s="77">
        <f>County_Flow!AX46*AA$28</f>
        <v>1638</v>
      </c>
      <c r="AB42" s="77">
        <f>County_Flow!AY46*AB$28</f>
        <v>1505</v>
      </c>
      <c r="AC42" s="77">
        <f>County_Flow!AZ46*AC$28</f>
        <v>462</v>
      </c>
      <c r="AD42" s="77">
        <f>County_Flow!BA46*AD$28</f>
        <v>446</v>
      </c>
      <c r="AE42" s="77">
        <f>County_Flow!BB46*AE$28</f>
        <v>372</v>
      </c>
      <c r="AF42" s="77">
        <f>County_Flow!BC46*AF$28</f>
        <v>2745</v>
      </c>
      <c r="AG42" s="77">
        <f>County_Flow!BD46*AG$28</f>
        <v>16455</v>
      </c>
      <c r="AH42" s="77">
        <f>County_Flow!BE46*AH$28</f>
        <v>64</v>
      </c>
      <c r="AI42" s="77">
        <f>County_Flow!BF46*AI$28</f>
        <v>2057</v>
      </c>
      <c r="AJ42" s="77">
        <f>County_Flow!BG46*AJ$28</f>
        <v>241</v>
      </c>
      <c r="AK42" s="77">
        <f>County_Flow!BH46*AK$28</f>
        <v>319</v>
      </c>
      <c r="AL42" s="77">
        <f>County_Flow!BI46*AL$28</f>
        <v>11549</v>
      </c>
      <c r="AM42" s="77">
        <f>County_Flow!BJ46*AM$28</f>
        <v>32581</v>
      </c>
      <c r="AN42" s="77">
        <f>County_Flow!BK46*AN$28</f>
        <v>17</v>
      </c>
      <c r="AO42" s="77">
        <f>County_Flow!BL46*AO$28</f>
        <v>2678</v>
      </c>
      <c r="AP42" s="77">
        <f>County_Flow!BM46*AP$28</f>
        <v>92</v>
      </c>
      <c r="AQ42" s="77">
        <f>County_Flow!BN46*AQ$28</f>
        <v>44</v>
      </c>
      <c r="AR42" s="77">
        <f>County_Flow!BO46*AR$28</f>
        <v>1178</v>
      </c>
      <c r="AS42" s="77">
        <f>County_Flow!BP46*AS$28</f>
        <v>232</v>
      </c>
      <c r="AT42" s="77">
        <f>County_Flow!BQ46*AT$28</f>
        <v>78</v>
      </c>
      <c r="AU42" s="77">
        <f>County_Flow!BR46</f>
        <v>0</v>
      </c>
      <c r="AV42" s="15">
        <f si="16" t="shared"/>
        <v>74753</v>
      </c>
      <c r="AW42" s="139">
        <f si="17" t="shared"/>
        <v>0</v>
      </c>
      <c r="AY42" s="95">
        <v>13</v>
      </c>
      <c r="AZ42" s="77">
        <f si="18" t="shared"/>
        <v>1638</v>
      </c>
      <c r="BA42" s="77">
        <f si="19" t="shared"/>
        <v>1505</v>
      </c>
      <c r="BB42" s="77">
        <f si="20" t="shared"/>
        <v>462</v>
      </c>
      <c r="BC42" s="77">
        <f si="21" t="shared"/>
        <v>446</v>
      </c>
      <c r="BD42" s="77">
        <f si="22" t="shared"/>
        <v>372</v>
      </c>
      <c r="BE42" s="77">
        <f si="23" t="shared"/>
        <v>2745</v>
      </c>
      <c r="BF42" s="77">
        <f si="24" t="shared"/>
        <v>16455</v>
      </c>
      <c r="BG42" s="77">
        <f si="25" t="shared"/>
        <v>64</v>
      </c>
      <c r="BH42" s="77">
        <f si="26" t="shared"/>
        <v>2057</v>
      </c>
      <c r="BI42" s="77">
        <f si="27" t="shared"/>
        <v>241</v>
      </c>
      <c r="BJ42" s="77">
        <f si="28" t="shared"/>
        <v>319</v>
      </c>
      <c r="BK42" s="77">
        <f si="29" t="shared"/>
        <v>11549</v>
      </c>
      <c r="BL42" s="77">
        <f si="30" t="shared"/>
        <v>32581</v>
      </c>
      <c r="BM42" s="77">
        <f si="31" t="shared"/>
        <v>17</v>
      </c>
      <c r="BN42" s="77">
        <f si="32" t="shared"/>
        <v>2678</v>
      </c>
      <c r="BO42" s="77">
        <f si="33" t="shared"/>
        <v>92</v>
      </c>
      <c r="BP42" s="77">
        <f si="34" t="shared"/>
        <v>44</v>
      </c>
      <c r="BQ42" s="77">
        <f si="35" t="shared"/>
        <v>1178</v>
      </c>
      <c r="BR42" s="77">
        <f si="36" t="shared"/>
        <v>232</v>
      </c>
      <c r="BS42" s="77">
        <f si="37" t="shared"/>
        <v>78</v>
      </c>
      <c r="BT42" s="77">
        <f si="38" t="shared"/>
        <v>0</v>
      </c>
      <c r="BU42" s="77">
        <f si="13" t="shared"/>
        <v>74753</v>
      </c>
      <c r="BV42" s="95"/>
      <c r="BW42" s="95">
        <v>13</v>
      </c>
      <c r="BX42" s="77">
        <f si="39" t="shared"/>
        <v>822.77544898257156</v>
      </c>
      <c r="BY42" s="77">
        <f si="40" t="shared"/>
        <v>774.19403480361552</v>
      </c>
      <c r="BZ42" s="77">
        <f si="41" t="shared"/>
        <v>440.94583007021788</v>
      </c>
      <c r="CA42" s="77">
        <f si="42" t="shared"/>
        <v>556.17064656145055</v>
      </c>
      <c r="CB42" s="77">
        <f si="43" t="shared"/>
        <v>231.28688426669498</v>
      </c>
      <c r="CC42" s="77">
        <f si="44" t="shared"/>
        <v>1928.4888567370617</v>
      </c>
      <c r="CD42" s="77">
        <f si="45" t="shared"/>
        <v>3139.0296268765687</v>
      </c>
      <c r="CE42" s="77">
        <f si="46" t="shared"/>
        <v>92.775210056147699</v>
      </c>
      <c r="CF42" s="77">
        <f si="47" t="shared"/>
        <v>735.18633606328922</v>
      </c>
      <c r="CG42" s="77">
        <f si="48" t="shared"/>
        <v>490.28689754038521</v>
      </c>
      <c r="CH42" s="77">
        <f si="49" t="shared"/>
        <v>953.06214741760368</v>
      </c>
      <c r="CI42" s="77">
        <f si="50" t="shared"/>
        <v>1178.0221803363547</v>
      </c>
      <c r="CJ42" s="77">
        <f si="51" t="shared"/>
        <v>2974.2992553459771</v>
      </c>
      <c r="CK42" s="77">
        <f si="52" t="shared"/>
        <v>159.62017335439427</v>
      </c>
      <c r="CL42" s="77">
        <f si="53" t="shared"/>
        <v>616.10831331218378</v>
      </c>
      <c r="CM42" s="77">
        <f si="54" t="shared"/>
        <v>65.767458221060025</v>
      </c>
      <c r="CN42" s="77">
        <f si="55" t="shared"/>
        <v>142.54265500351752</v>
      </c>
      <c r="CO42" s="77">
        <f si="56" t="shared"/>
        <v>155.58153364216787</v>
      </c>
      <c r="CP42" s="77">
        <f si="57" t="shared"/>
        <v>121.24034670878854</v>
      </c>
      <c r="CQ42" s="77">
        <f si="58" t="shared"/>
        <v>237.53491644212005</v>
      </c>
      <c r="CR42" s="77">
        <f si="59" t="shared"/>
        <v>0</v>
      </c>
      <c r="CS42" s="77">
        <f si="60" t="shared"/>
        <v>0</v>
      </c>
      <c r="CU42" s="95">
        <v>41</v>
      </c>
      <c r="CV42" s="95">
        <f si="6" t="shared"/>
        <v>3</v>
      </c>
      <c r="CW42" s="95">
        <f si="0" t="shared"/>
        <v>1</v>
      </c>
      <c r="CX42" s="58">
        <f si="1" t="shared"/>
        <v>4176.3188726433245</v>
      </c>
      <c r="CY42" s="58">
        <f si="2" t="shared"/>
        <v>4545</v>
      </c>
      <c r="CZ42" s="108">
        <f si="3" t="shared"/>
        <v>368.68112735667546</v>
      </c>
      <c r="DA42" s="78">
        <f si="4" t="shared"/>
        <v>8.8278969733775497E-2</v>
      </c>
      <c r="DB42" s="95">
        <v>41000</v>
      </c>
    </row>
    <row r="43" spans="2:106" x14ac:dyDescent="0.25">
      <c r="B43" s="95">
        <v>14</v>
      </c>
      <c r="C43" s="77">
        <f>County_Flow!Z47</f>
        <v>1176.5781691951659</v>
      </c>
      <c r="D43" s="77">
        <f>County_Flow!AA47</f>
        <v>1078.750321419388</v>
      </c>
      <c r="E43" s="77">
        <f>County_Flow!AB47</f>
        <v>615.16970943687329</v>
      </c>
      <c r="F43" s="77">
        <f>County_Flow!AC47</f>
        <v>620.45770120853695</v>
      </c>
      <c r="G43" s="77">
        <f>County_Flow!AD47</f>
        <v>428.32733350475695</v>
      </c>
      <c r="H43" s="77">
        <f>County_Flow!AE47</f>
        <v>2061.4354589868863</v>
      </c>
      <c r="I43" s="77">
        <f>County_Flow!AF47</f>
        <v>805.53741321676512</v>
      </c>
      <c r="J43" s="77">
        <f>County_Flow!AG47</f>
        <v>286.43288763178197</v>
      </c>
      <c r="K43" s="77">
        <f>County_Flow!AH47</f>
        <v>705.94690151709949</v>
      </c>
      <c r="L43" s="77">
        <f>County_Flow!AI47</f>
        <v>300.53419902288505</v>
      </c>
      <c r="M43" s="77">
        <f>County_Flow!AJ47</f>
        <v>1982.1155824119312</v>
      </c>
      <c r="N43" s="77">
        <f>County_Flow!AK47</f>
        <v>1764.4265878117767</v>
      </c>
      <c r="O43" s="77">
        <f>County_Flow!AL47</f>
        <v>393.95538698894319</v>
      </c>
      <c r="P43" s="77">
        <f>County_Flow!AM47</f>
        <v>6209.8650038570331</v>
      </c>
      <c r="Q43" s="77">
        <f>County_Flow!AN47</f>
        <v>210.63833890460273</v>
      </c>
      <c r="R43" s="77">
        <f>County_Flow!AO47</f>
        <v>65.218565183851894</v>
      </c>
      <c r="S43" s="77">
        <f>County_Flow!AP47</f>
        <v>1071.6996657238365</v>
      </c>
      <c r="T43" s="77">
        <f>County_Flow!AQ47</f>
        <v>118.97981486243249</v>
      </c>
      <c r="U43" s="77">
        <f>County_Flow!AR47</f>
        <v>525.27384931859092</v>
      </c>
      <c r="V43" s="77">
        <f>County_Flow!AS47</f>
        <v>143.65710979686295</v>
      </c>
      <c r="W43" s="77">
        <f>County_Flow!AT47</f>
        <v>0</v>
      </c>
      <c r="X43" s="77">
        <f si="15" t="shared"/>
        <v>20565</v>
      </c>
      <c r="Y43" s="95"/>
      <c r="Z43" s="95">
        <v>14</v>
      </c>
      <c r="AA43" s="77">
        <f>County_Flow!AX47*AA$28</f>
        <v>1367</v>
      </c>
      <c r="AB43" s="77">
        <f>County_Flow!AY47*AB$28</f>
        <v>656</v>
      </c>
      <c r="AC43" s="77">
        <f>County_Flow!AZ47*AC$28</f>
        <v>657</v>
      </c>
      <c r="AD43" s="77">
        <f>County_Flow!BA47*AD$28</f>
        <v>683</v>
      </c>
      <c r="AE43" s="77">
        <f>County_Flow!BB47*AE$28</f>
        <v>484</v>
      </c>
      <c r="AF43" s="77">
        <f>County_Flow!BC47*AF$28</f>
        <v>2511</v>
      </c>
      <c r="AG43" s="77">
        <f>County_Flow!BD47*AG$28</f>
        <v>283</v>
      </c>
      <c r="AH43" s="77">
        <f>County_Flow!BE47*AH$28</f>
        <v>249</v>
      </c>
      <c r="AI43" s="77">
        <f>County_Flow!BF47*AI$28</f>
        <v>565</v>
      </c>
      <c r="AJ43" s="77">
        <f>County_Flow!BG47*AJ$28</f>
        <v>333</v>
      </c>
      <c r="AK43" s="77">
        <f>County_Flow!BH47*AK$28</f>
        <v>2303</v>
      </c>
      <c r="AL43" s="77">
        <f>County_Flow!BI47*AL$28</f>
        <v>1027</v>
      </c>
      <c r="AM43" s="77">
        <f>County_Flow!BJ47*AM$28</f>
        <v>36</v>
      </c>
      <c r="AN43" s="77">
        <f>County_Flow!BK47*AN$28</f>
        <v>7106</v>
      </c>
      <c r="AO43" s="77">
        <f>County_Flow!BL47*AO$28</f>
        <v>56</v>
      </c>
      <c r="AP43" s="77">
        <f>County_Flow!BM47*AP$28</f>
        <v>24</v>
      </c>
      <c r="AQ43" s="77">
        <f>County_Flow!BN47*AQ$28</f>
        <v>1452</v>
      </c>
      <c r="AR43" s="77">
        <f>County_Flow!BO47*AR$28</f>
        <v>6</v>
      </c>
      <c r="AS43" s="77">
        <f>County_Flow!BP47*AS$28</f>
        <v>765</v>
      </c>
      <c r="AT43" s="77">
        <f>County_Flow!BQ47*AT$28</f>
        <v>2</v>
      </c>
      <c r="AU43" s="77">
        <f>County_Flow!BR47</f>
        <v>0</v>
      </c>
      <c r="AV43" s="15">
        <f si="16" t="shared"/>
        <v>20565</v>
      </c>
      <c r="AW43" s="139">
        <f si="17" t="shared"/>
        <v>0</v>
      </c>
      <c r="AY43" s="95">
        <v>14</v>
      </c>
      <c r="AZ43" s="77">
        <f si="18" t="shared"/>
        <v>1367</v>
      </c>
      <c r="BA43" s="77">
        <f si="19" t="shared"/>
        <v>656</v>
      </c>
      <c r="BB43" s="77">
        <f si="20" t="shared"/>
        <v>657</v>
      </c>
      <c r="BC43" s="77">
        <f si="21" t="shared"/>
        <v>683</v>
      </c>
      <c r="BD43" s="77">
        <f si="22" t="shared"/>
        <v>484</v>
      </c>
      <c r="BE43" s="77">
        <f si="23" t="shared"/>
        <v>2511</v>
      </c>
      <c r="BF43" s="77">
        <f si="24" t="shared"/>
        <v>283</v>
      </c>
      <c r="BG43" s="77">
        <f si="25" t="shared"/>
        <v>249</v>
      </c>
      <c r="BH43" s="77">
        <f si="26" t="shared"/>
        <v>565</v>
      </c>
      <c r="BI43" s="77">
        <f si="27" t="shared"/>
        <v>333</v>
      </c>
      <c r="BJ43" s="77">
        <f si="28" t="shared"/>
        <v>2303</v>
      </c>
      <c r="BK43" s="77">
        <f si="29" t="shared"/>
        <v>1027</v>
      </c>
      <c r="BL43" s="77">
        <f si="30" t="shared"/>
        <v>36</v>
      </c>
      <c r="BM43" s="77">
        <f si="31" t="shared"/>
        <v>7106</v>
      </c>
      <c r="BN43" s="77">
        <f si="32" t="shared"/>
        <v>56</v>
      </c>
      <c r="BO43" s="77">
        <f si="33" t="shared"/>
        <v>24</v>
      </c>
      <c r="BP43" s="77">
        <f si="34" t="shared"/>
        <v>1452</v>
      </c>
      <c r="BQ43" s="77">
        <f si="35" t="shared"/>
        <v>6</v>
      </c>
      <c r="BR43" s="77">
        <f si="36" t="shared"/>
        <v>765</v>
      </c>
      <c r="BS43" s="77">
        <f si="37" t="shared"/>
        <v>2</v>
      </c>
      <c r="BT43" s="77">
        <f si="38" t="shared"/>
        <v>0</v>
      </c>
      <c r="BU43" s="77">
        <f si="13" t="shared"/>
        <v>20565</v>
      </c>
      <c r="BV43" s="95"/>
      <c r="BW43" s="95">
        <v>14</v>
      </c>
      <c r="BX43" s="77">
        <f si="39" t="shared"/>
        <v>190.42183080483414</v>
      </c>
      <c r="BY43" s="77">
        <f si="40" t="shared"/>
        <v>422.750321419388</v>
      </c>
      <c r="BZ43" s="77">
        <f si="41" t="shared"/>
        <v>41.830290563126709</v>
      </c>
      <c r="CA43" s="77">
        <f si="42" t="shared"/>
        <v>62.542298791463054</v>
      </c>
      <c r="CB43" s="77">
        <f si="43" t="shared"/>
        <v>55.67266649524305</v>
      </c>
      <c r="CC43" s="77">
        <f si="44" t="shared"/>
        <v>449.56454101311374</v>
      </c>
      <c r="CD43" s="77">
        <f si="45" t="shared"/>
        <v>522.53741321676512</v>
      </c>
      <c r="CE43" s="77">
        <f si="46" t="shared"/>
        <v>37.432887631781966</v>
      </c>
      <c r="CF43" s="77">
        <f si="47" t="shared"/>
        <v>140.94690151709949</v>
      </c>
      <c r="CG43" s="77">
        <f si="48" t="shared"/>
        <v>32.465800977114952</v>
      </c>
      <c r="CH43" s="77">
        <f si="49" t="shared"/>
        <v>320.8844175880688</v>
      </c>
      <c r="CI43" s="77">
        <f si="50" t="shared"/>
        <v>737.4265878117767</v>
      </c>
      <c r="CJ43" s="77">
        <f si="51" t="shared"/>
        <v>357.95538698894319</v>
      </c>
      <c r="CK43" s="77">
        <f si="52" t="shared"/>
        <v>896.13499614296688</v>
      </c>
      <c r="CL43" s="77">
        <f si="53" t="shared"/>
        <v>154.63833890460273</v>
      </c>
      <c r="CM43" s="77">
        <f si="54" t="shared"/>
        <v>41.218565183851894</v>
      </c>
      <c r="CN43" s="77">
        <f si="55" t="shared"/>
        <v>380.30033427616354</v>
      </c>
      <c r="CO43" s="77">
        <f si="56" t="shared"/>
        <v>112.97981486243249</v>
      </c>
      <c r="CP43" s="77">
        <f si="57" t="shared"/>
        <v>239.72615068140908</v>
      </c>
      <c r="CQ43" s="77">
        <f si="58" t="shared"/>
        <v>141.65710979686295</v>
      </c>
      <c r="CR43" s="77">
        <f si="59" t="shared"/>
        <v>0</v>
      </c>
      <c r="CS43" s="77">
        <f si="60" t="shared"/>
        <v>0</v>
      </c>
      <c r="CU43" s="95">
        <v>42</v>
      </c>
      <c r="CV43" s="95">
        <f si="6" t="shared"/>
        <v>3</v>
      </c>
      <c r="CW43" s="95">
        <f si="0" t="shared"/>
        <v>2</v>
      </c>
      <c r="CX43" s="58">
        <f si="1" t="shared"/>
        <v>1733.7697191227394</v>
      </c>
      <c r="CY43" s="58">
        <f si="2" t="shared"/>
        <v>2214</v>
      </c>
      <c r="CZ43" s="108">
        <f si="3" t="shared"/>
        <v>480.23028087726061</v>
      </c>
      <c r="DA43" s="78">
        <f si="4" t="shared"/>
        <v>0.27698619694445331</v>
      </c>
      <c r="DB43" s="95">
        <v>42000</v>
      </c>
    </row>
    <row r="44" spans="2:106" x14ac:dyDescent="0.25">
      <c r="B44" s="95">
        <v>15</v>
      </c>
      <c r="C44" s="77">
        <f>County_Flow!Z48</f>
        <v>1191.1255292002552</v>
      </c>
      <c r="D44" s="77">
        <f>County_Flow!AA48</f>
        <v>1391.2628312938584</v>
      </c>
      <c r="E44" s="77">
        <f>County_Flow!AB48</f>
        <v>436.42275126138139</v>
      </c>
      <c r="F44" s="77">
        <f>County_Flow!AC48</f>
        <v>432.01444064257959</v>
      </c>
      <c r="G44" s="77">
        <f>County_Flow!AD48</f>
        <v>306.81841906860757</v>
      </c>
      <c r="H44" s="77">
        <f>County_Flow!AE48</f>
        <v>2155.6638925940961</v>
      </c>
      <c r="I44" s="77">
        <f>County_Flow!AF48</f>
        <v>3121.0839181116976</v>
      </c>
      <c r="J44" s="77">
        <f>County_Flow!AG48</f>
        <v>104.91779272748362</v>
      </c>
      <c r="K44" s="77">
        <f>County_Flow!AH48</f>
        <v>3065.5392043147945</v>
      </c>
      <c r="L44" s="77">
        <f>County_Flow!AI48</f>
        <v>310.34506756364902</v>
      </c>
      <c r="M44" s="77">
        <f>County_Flow!AJ48</f>
        <v>999.80484834425567</v>
      </c>
      <c r="N44" s="77">
        <f>County_Flow!AK48</f>
        <v>2914.7749811517715</v>
      </c>
      <c r="O44" s="77">
        <f>County_Flow!AL48</f>
        <v>2736.6792321521775</v>
      </c>
      <c r="P44" s="77">
        <f>County_Flow!AM48</f>
        <v>157.81752015310559</v>
      </c>
      <c r="Q44" s="77">
        <f>County_Flow!AN48</f>
        <v>9837.5859769181698</v>
      </c>
      <c r="R44" s="77">
        <f>County_Flow!AO48</f>
        <v>60.834686539465295</v>
      </c>
      <c r="S44" s="77">
        <f>County_Flow!AP48</f>
        <v>147.23757466798122</v>
      </c>
      <c r="T44" s="77">
        <f>County_Flow!AQ48</f>
        <v>161.34416864814708</v>
      </c>
      <c r="U44" s="77">
        <f>County_Flow!AR48</f>
        <v>751.17612944383234</v>
      </c>
      <c r="V44" s="77">
        <f>County_Flow!AS48</f>
        <v>122.55103520269094</v>
      </c>
      <c r="W44" s="77">
        <f>County_Flow!AT48</f>
        <v>0</v>
      </c>
      <c r="X44" s="77">
        <f si="15" t="shared"/>
        <v>30405.000000000004</v>
      </c>
      <c r="Y44" s="95"/>
      <c r="Z44" s="95">
        <v>15</v>
      </c>
      <c r="AA44" s="77">
        <f>County_Flow!AX48*AA$28</f>
        <v>1191</v>
      </c>
      <c r="AB44" s="77">
        <f>County_Flow!AY48*AB$28</f>
        <v>1052</v>
      </c>
      <c r="AC44" s="77">
        <f>County_Flow!AZ48*AC$28</f>
        <v>420</v>
      </c>
      <c r="AD44" s="77">
        <f>County_Flow!BA48*AD$28</f>
        <v>255</v>
      </c>
      <c r="AE44" s="77">
        <f>County_Flow!BB48*AE$28</f>
        <v>247</v>
      </c>
      <c r="AF44" s="77">
        <f>County_Flow!BC48*AF$28</f>
        <v>1791</v>
      </c>
      <c r="AG44" s="77">
        <f>County_Flow!BD48*AG$28</f>
        <v>2489</v>
      </c>
      <c r="AH44" s="77">
        <f>County_Flow!BE48*AH$28</f>
        <v>56</v>
      </c>
      <c r="AI44" s="77">
        <f>County_Flow!BF48*AI$28</f>
        <v>3534</v>
      </c>
      <c r="AJ44" s="77">
        <f>County_Flow!BG48*AJ$28</f>
        <v>129</v>
      </c>
      <c r="AK44" s="77">
        <f>County_Flow!BH48*AK$28</f>
        <v>756</v>
      </c>
      <c r="AL44" s="77">
        <f>County_Flow!BI48*AL$28</f>
        <v>1935</v>
      </c>
      <c r="AM44" s="77">
        <f>County_Flow!BJ48*AM$28</f>
        <v>3749</v>
      </c>
      <c r="AN44" s="77">
        <f>County_Flow!BK48*AN$28</f>
        <v>51</v>
      </c>
      <c r="AO44" s="77">
        <f>County_Flow!BL48*AO$28</f>
        <v>11579</v>
      </c>
      <c r="AP44" s="77">
        <f>County_Flow!BM48*AP$28</f>
        <v>14</v>
      </c>
      <c r="AQ44" s="77">
        <f>County_Flow!BN48*AQ$28</f>
        <v>79</v>
      </c>
      <c r="AR44" s="77">
        <f>County_Flow!BO48*AR$28</f>
        <v>58</v>
      </c>
      <c r="AS44" s="77">
        <f>County_Flow!BP48*AS$28</f>
        <v>1013</v>
      </c>
      <c r="AT44" s="77">
        <f>County_Flow!BQ48*AT$28</f>
        <v>7</v>
      </c>
      <c r="AU44" s="77">
        <f>County_Flow!BR48</f>
        <v>0</v>
      </c>
      <c r="AV44" s="15">
        <f si="16" t="shared"/>
        <v>30405</v>
      </c>
      <c r="AW44" s="139">
        <f si="17" t="shared"/>
        <v>1.1965067610892E-16</v>
      </c>
      <c r="AY44" s="95">
        <v>15</v>
      </c>
      <c r="AZ44" s="77">
        <f si="18" t="shared"/>
        <v>1191.0000000000002</v>
      </c>
      <c r="BA44" s="77">
        <f si="19" t="shared"/>
        <v>1052.0000000000002</v>
      </c>
      <c r="BB44" s="77">
        <f si="20" t="shared"/>
        <v>420.00000000000006</v>
      </c>
      <c r="BC44" s="77">
        <f si="21" t="shared"/>
        <v>255.00000000000003</v>
      </c>
      <c r="BD44" s="77">
        <f si="22" t="shared"/>
        <v>247.00000000000003</v>
      </c>
      <c r="BE44" s="77">
        <f si="23" t="shared"/>
        <v>1791.0000000000002</v>
      </c>
      <c r="BF44" s="77">
        <f si="24" t="shared"/>
        <v>2489.0000000000005</v>
      </c>
      <c r="BG44" s="77">
        <f si="25" t="shared"/>
        <v>56.000000000000007</v>
      </c>
      <c r="BH44" s="77">
        <f si="26" t="shared"/>
        <v>3534.0000000000005</v>
      </c>
      <c r="BI44" s="77">
        <f si="27" t="shared"/>
        <v>129.00000000000003</v>
      </c>
      <c r="BJ44" s="77">
        <f si="28" t="shared"/>
        <v>756.00000000000011</v>
      </c>
      <c r="BK44" s="77">
        <f si="29" t="shared"/>
        <v>1935.0000000000002</v>
      </c>
      <c r="BL44" s="77">
        <f si="30" t="shared"/>
        <v>3749.0000000000005</v>
      </c>
      <c r="BM44" s="77">
        <f si="31" t="shared"/>
        <v>51.000000000000007</v>
      </c>
      <c r="BN44" s="77">
        <f si="32" t="shared"/>
        <v>11579.000000000002</v>
      </c>
      <c r="BO44" s="77">
        <f si="33" t="shared"/>
        <v>14.000000000000002</v>
      </c>
      <c r="BP44" s="77">
        <f si="34" t="shared"/>
        <v>79.000000000000014</v>
      </c>
      <c r="BQ44" s="77">
        <f si="35" t="shared"/>
        <v>58.000000000000007</v>
      </c>
      <c r="BR44" s="77">
        <f si="36" t="shared"/>
        <v>1013.0000000000001</v>
      </c>
      <c r="BS44" s="77">
        <f si="37" t="shared"/>
        <v>7.0000000000000009</v>
      </c>
      <c r="BT44" s="77">
        <f si="38" t="shared"/>
        <v>0</v>
      </c>
      <c r="BU44" s="77">
        <f si="13" t="shared"/>
        <v>30405.000000000004</v>
      </c>
      <c r="BV44" s="95"/>
      <c r="BW44" s="95">
        <v>15</v>
      </c>
      <c r="BX44" s="77">
        <f si="39" t="shared"/>
        <v>0.12552920025495951</v>
      </c>
      <c r="BY44" s="77">
        <f si="40" t="shared"/>
        <v>339.2628312938582</v>
      </c>
      <c r="BZ44" s="77">
        <f si="41" t="shared"/>
        <v>16.422751261381336</v>
      </c>
      <c r="CA44" s="77">
        <f si="42" t="shared"/>
        <v>177.01444064257956</v>
      </c>
      <c r="CB44" s="77">
        <f si="43" t="shared"/>
        <v>59.81841906860754</v>
      </c>
      <c r="CC44" s="77">
        <f si="44" t="shared"/>
        <v>364.66389259409584</v>
      </c>
      <c r="CD44" s="77">
        <f si="45" t="shared"/>
        <v>632.08391811169713</v>
      </c>
      <c r="CE44" s="77">
        <f si="46" t="shared"/>
        <v>48.917792727483608</v>
      </c>
      <c r="CF44" s="77">
        <f si="47" t="shared"/>
        <v>468.46079568520599</v>
      </c>
      <c r="CG44" s="77">
        <f si="48" t="shared"/>
        <v>181.345067563649</v>
      </c>
      <c r="CH44" s="77">
        <f si="49" t="shared"/>
        <v>243.80484834425556</v>
      </c>
      <c r="CI44" s="77">
        <f si="50" t="shared"/>
        <v>979.77498115177127</v>
      </c>
      <c r="CJ44" s="77">
        <f si="51" t="shared"/>
        <v>1012.3207678478229</v>
      </c>
      <c r="CK44" s="77">
        <f si="52" t="shared"/>
        <v>106.81752015310559</v>
      </c>
      <c r="CL44" s="77">
        <f si="53" t="shared"/>
        <v>1741.4140230818321</v>
      </c>
      <c r="CM44" s="77">
        <f si="54" t="shared"/>
        <v>46.834686539465295</v>
      </c>
      <c r="CN44" s="77">
        <f si="55" t="shared"/>
        <v>68.237574667981207</v>
      </c>
      <c r="CO44" s="77">
        <f si="56" t="shared"/>
        <v>103.34416864814708</v>
      </c>
      <c r="CP44" s="77">
        <f si="57" t="shared"/>
        <v>261.82387055616778</v>
      </c>
      <c r="CQ44" s="77">
        <f si="58" t="shared"/>
        <v>115.55103520269094</v>
      </c>
      <c r="CR44" s="77">
        <f si="59" t="shared"/>
        <v>0</v>
      </c>
      <c r="CS44" s="77">
        <f si="60" t="shared"/>
        <v>0</v>
      </c>
      <c r="CU44" s="95">
        <v>43</v>
      </c>
      <c r="CV44" s="95">
        <f si="6" t="shared"/>
        <v>3</v>
      </c>
      <c r="CW44" s="95">
        <f si="0" t="shared"/>
        <v>3</v>
      </c>
      <c r="CX44" s="58">
        <f si="1" t="shared"/>
        <v>2712.0470373220469</v>
      </c>
      <c r="CY44" s="58">
        <f si="2" t="shared"/>
        <v>2669</v>
      </c>
      <c r="CZ44" s="108">
        <f si="3" t="shared"/>
        <v>-43.04703732204689</v>
      </c>
      <c r="DA44" s="78">
        <f si="4" t="shared"/>
        <v>-1.5872526077037648E-2</v>
      </c>
      <c r="DB44" s="95">
        <v>43000</v>
      </c>
    </row>
    <row r="45" spans="2:106" x14ac:dyDescent="0.25">
      <c r="B45" s="95">
        <v>16</v>
      </c>
      <c r="C45" s="77">
        <f>County_Flow!Z49</f>
        <v>1040.1769457622772</v>
      </c>
      <c r="D45" s="77">
        <f>County_Flow!AA49</f>
        <v>594.51339915373774</v>
      </c>
      <c r="E45" s="77">
        <f>County_Flow!AB49</f>
        <v>246.31106552122066</v>
      </c>
      <c r="F45" s="77">
        <f>County_Flow!AC49</f>
        <v>347.31632260546223</v>
      </c>
      <c r="G45" s="77">
        <f>County_Flow!AD49</f>
        <v>479.33196563662005</v>
      </c>
      <c r="H45" s="77">
        <f>County_Flow!AE49</f>
        <v>2837.8933196563662</v>
      </c>
      <c r="I45" s="77">
        <f>County_Flow!AF49</f>
        <v>528.94858315168619</v>
      </c>
      <c r="J45" s="77">
        <f>County_Flow!AG49</f>
        <v>79.740992434927549</v>
      </c>
      <c r="K45" s="77">
        <f>County_Flow!AH49</f>
        <v>421.7412488780613</v>
      </c>
      <c r="L45" s="77">
        <f>County_Flow!AI49</f>
        <v>826.64828824208234</v>
      </c>
      <c r="M45" s="77">
        <f>County_Flow!AJ49</f>
        <v>268.46134119758943</v>
      </c>
      <c r="N45" s="77">
        <f>County_Flow!AK49</f>
        <v>4381.3245287857417</v>
      </c>
      <c r="O45" s="77">
        <f>County_Flow!AL49</f>
        <v>344.65828952429797</v>
      </c>
      <c r="P45" s="77">
        <f>County_Flow!AM49</f>
        <v>50.502628542120782</v>
      </c>
      <c r="Q45" s="77">
        <f>County_Flow!AN49</f>
        <v>94.803179894858317</v>
      </c>
      <c r="R45" s="77">
        <f>County_Flow!AO49</f>
        <v>788.54981407872799</v>
      </c>
      <c r="S45" s="77">
        <f>County_Flow!AP49</f>
        <v>26.580330811642519</v>
      </c>
      <c r="T45" s="77">
        <f>County_Flow!AQ49</f>
        <v>266.68931914347991</v>
      </c>
      <c r="U45" s="77">
        <f>County_Flow!AR49</f>
        <v>76.196948326708551</v>
      </c>
      <c r="V45" s="77">
        <f>County_Flow!AS49</f>
        <v>119.61148865239132</v>
      </c>
      <c r="W45" s="77">
        <f>County_Flow!AT49</f>
        <v>0</v>
      </c>
      <c r="X45" s="77">
        <f si="15" t="shared"/>
        <v>13819.999999999998</v>
      </c>
      <c r="Y45" s="95"/>
      <c r="Z45" s="95">
        <v>16</v>
      </c>
      <c r="AA45" s="77">
        <f>County_Flow!AX49*AA$28</f>
        <v>1112</v>
      </c>
      <c r="AB45" s="77">
        <f>County_Flow!AY49*AB$28</f>
        <v>498</v>
      </c>
      <c r="AC45" s="77">
        <f>County_Flow!AZ49*AC$28</f>
        <v>204</v>
      </c>
      <c r="AD45" s="77">
        <f>County_Flow!BA49*AD$28</f>
        <v>380</v>
      </c>
      <c r="AE45" s="77">
        <f>County_Flow!BB49*AE$28</f>
        <v>543</v>
      </c>
      <c r="AF45" s="77">
        <f>County_Flow!BC49*AF$28</f>
        <v>2886</v>
      </c>
      <c r="AG45" s="77">
        <f>County_Flow!BD49*AG$28</f>
        <v>312</v>
      </c>
      <c r="AH45" s="77">
        <f>County_Flow!BE49*AH$28</f>
        <v>107</v>
      </c>
      <c r="AI45" s="77">
        <f>County_Flow!BF49*AI$28</f>
        <v>216</v>
      </c>
      <c r="AJ45" s="77">
        <f>County_Flow!BG49*AJ$28</f>
        <v>957</v>
      </c>
      <c r="AK45" s="77">
        <f>County_Flow!BH49*AK$28</f>
        <v>151</v>
      </c>
      <c r="AL45" s="77">
        <f>County_Flow!BI49*AL$28</f>
        <v>5010</v>
      </c>
      <c r="AM45" s="77">
        <f>County_Flow!BJ49*AM$28</f>
        <v>88</v>
      </c>
      <c r="AN45" s="77">
        <f>County_Flow!BK49*AN$28</f>
        <v>30</v>
      </c>
      <c r="AO45" s="77">
        <f>County_Flow!BL49*AO$28</f>
        <v>20</v>
      </c>
      <c r="AP45" s="77">
        <f>County_Flow!BM49*AP$28</f>
        <v>962</v>
      </c>
      <c r="AQ45" s="77">
        <f>County_Flow!BN49*AQ$28</f>
        <v>10</v>
      </c>
      <c r="AR45" s="77">
        <f>County_Flow!BO49*AR$28</f>
        <v>197</v>
      </c>
      <c r="AS45" s="77">
        <f>County_Flow!BP49*AS$28</f>
        <v>34</v>
      </c>
      <c r="AT45" s="77">
        <f>County_Flow!BQ49*AT$28</f>
        <v>103</v>
      </c>
      <c r="AU45" s="77">
        <f>County_Flow!BR49</f>
        <v>0</v>
      </c>
      <c r="AV45" s="15">
        <f si="16" t="shared"/>
        <v>13820</v>
      </c>
      <c r="AW45" s="139">
        <f si="17" t="shared"/>
        <v>1.3162007261547444E-16</v>
      </c>
      <c r="AY45" s="95">
        <v>16</v>
      </c>
      <c r="AZ45" s="77">
        <f si="18" t="shared"/>
        <v>1111.9999999999998</v>
      </c>
      <c r="BA45" s="77">
        <f si="19" t="shared"/>
        <v>497.99999999999994</v>
      </c>
      <c r="BB45" s="77">
        <f si="20" t="shared"/>
        <v>203.99999999999997</v>
      </c>
      <c r="BC45" s="77">
        <f si="21" t="shared"/>
        <v>379.99999999999994</v>
      </c>
      <c r="BD45" s="77">
        <f si="22" t="shared"/>
        <v>542.99999999999989</v>
      </c>
      <c r="BE45" s="77">
        <f si="23" t="shared"/>
        <v>2885.9999999999995</v>
      </c>
      <c r="BF45" s="77">
        <f si="24" t="shared"/>
        <v>311.99999999999994</v>
      </c>
      <c r="BG45" s="77">
        <f si="25" t="shared"/>
        <v>106.99999999999999</v>
      </c>
      <c r="BH45" s="77">
        <f si="26" t="shared"/>
        <v>215.99999999999997</v>
      </c>
      <c r="BI45" s="77">
        <f si="27" t="shared"/>
        <v>956.99999999999989</v>
      </c>
      <c r="BJ45" s="77">
        <f si="28" t="shared"/>
        <v>150.99999999999997</v>
      </c>
      <c r="BK45" s="77">
        <f si="29" t="shared"/>
        <v>5009.9999999999991</v>
      </c>
      <c r="BL45" s="77">
        <f si="30" t="shared"/>
        <v>87.999999999999986</v>
      </c>
      <c r="BM45" s="77">
        <f si="31" t="shared"/>
        <v>29.999999999999996</v>
      </c>
      <c r="BN45" s="77">
        <f si="32" t="shared"/>
        <v>19.999999999999996</v>
      </c>
      <c r="BO45" s="77">
        <f si="33" t="shared"/>
        <v>961.99999999999989</v>
      </c>
      <c r="BP45" s="77">
        <f si="34" t="shared"/>
        <v>9.9999999999999982</v>
      </c>
      <c r="BQ45" s="77">
        <f si="35" t="shared"/>
        <v>196.99999999999997</v>
      </c>
      <c r="BR45" s="77">
        <f si="36" t="shared"/>
        <v>33.999999999999993</v>
      </c>
      <c r="BS45" s="77">
        <f si="37" t="shared"/>
        <v>102.99999999999999</v>
      </c>
      <c r="BT45" s="77">
        <f si="38" t="shared"/>
        <v>0</v>
      </c>
      <c r="BU45" s="77">
        <f si="13" t="shared"/>
        <v>13819.999999999998</v>
      </c>
      <c r="BV45" s="95"/>
      <c r="BW45" s="95">
        <v>16</v>
      </c>
      <c r="BX45" s="77">
        <f si="39" t="shared"/>
        <v>71.823054237722545</v>
      </c>
      <c r="BY45" s="77">
        <f si="40" t="shared"/>
        <v>96.513399153737794</v>
      </c>
      <c r="BZ45" s="77">
        <f si="41" t="shared"/>
        <v>42.311065521220684</v>
      </c>
      <c r="CA45" s="77">
        <f si="42" t="shared"/>
        <v>32.68367739453771</v>
      </c>
      <c r="CB45" s="77">
        <f si="43" t="shared"/>
        <v>63.668034363379832</v>
      </c>
      <c r="CC45" s="77">
        <f si="44" t="shared"/>
        <v>48.106680343633343</v>
      </c>
      <c r="CD45" s="77">
        <f si="45" t="shared"/>
        <v>216.94858315168625</v>
      </c>
      <c r="CE45" s="77">
        <f si="46" t="shared"/>
        <v>27.259007565072437</v>
      </c>
      <c r="CF45" s="77">
        <f si="47" t="shared"/>
        <v>205.74124887806133</v>
      </c>
      <c r="CG45" s="77">
        <f si="48" t="shared"/>
        <v>130.35171175791754</v>
      </c>
      <c r="CH45" s="77">
        <f si="49" t="shared"/>
        <v>117.46134119758946</v>
      </c>
      <c r="CI45" s="77">
        <f si="50" t="shared"/>
        <v>628.67547121425741</v>
      </c>
      <c r="CJ45" s="77">
        <f si="51" t="shared"/>
        <v>256.65828952429797</v>
      </c>
      <c r="CK45" s="77">
        <f si="52" t="shared"/>
        <v>20.502628542120785</v>
      </c>
      <c r="CL45" s="77">
        <f si="53" t="shared"/>
        <v>74.803179894858317</v>
      </c>
      <c r="CM45" s="77">
        <f si="54" t="shared"/>
        <v>173.4501859212719</v>
      </c>
      <c r="CN45" s="77">
        <f si="55" t="shared"/>
        <v>16.580330811642519</v>
      </c>
      <c r="CO45" s="77">
        <f si="56" t="shared"/>
        <v>69.689319143479935</v>
      </c>
      <c r="CP45" s="77">
        <f si="57" t="shared"/>
        <v>42.196948326708558</v>
      </c>
      <c r="CQ45" s="77">
        <f si="58" t="shared"/>
        <v>16.61148865239133</v>
      </c>
      <c r="CR45" s="77">
        <f si="59" t="shared"/>
        <v>0</v>
      </c>
      <c r="CS45" s="77">
        <f si="60" t="shared"/>
        <v>0</v>
      </c>
      <c r="CU45" s="95">
        <v>44</v>
      </c>
      <c r="CV45" s="95">
        <f si="6" t="shared"/>
        <v>3</v>
      </c>
      <c r="CW45" s="95">
        <f si="0" t="shared"/>
        <v>4</v>
      </c>
      <c r="CX45" s="58">
        <f si="1" t="shared"/>
        <v>1212.7404771065794</v>
      </c>
      <c r="CY45" s="58">
        <f si="2" t="shared"/>
        <v>1477</v>
      </c>
      <c r="CZ45" s="108">
        <f si="3" t="shared"/>
        <v>264.25952289342058</v>
      </c>
      <c r="DA45" s="78">
        <f si="4" t="shared"/>
        <v>0.21790278124789317</v>
      </c>
      <c r="DB45" s="95">
        <v>44000</v>
      </c>
    </row>
    <row r="46" spans="2:106" x14ac:dyDescent="0.25">
      <c r="B46" s="95">
        <v>17</v>
      </c>
      <c r="C46" s="77">
        <f>County_Flow!Z50</f>
        <v>1003.9778926359961</v>
      </c>
      <c r="D46" s="77">
        <f>County_Flow!AA50</f>
        <v>933.80236425976148</v>
      </c>
      <c r="E46" s="77">
        <f>County_Flow!AB50</f>
        <v>506.19947802057209</v>
      </c>
      <c r="F46" s="77">
        <f>County_Flow!AC50</f>
        <v>537.07671050611532</v>
      </c>
      <c r="G46" s="77">
        <f>County_Flow!AD50</f>
        <v>319.06473568394654</v>
      </c>
      <c r="H46" s="77">
        <f>County_Flow!AE50</f>
        <v>1783.3940944680417</v>
      </c>
      <c r="I46" s="77">
        <f>County_Flow!AF50</f>
        <v>737.31088480630467</v>
      </c>
      <c r="J46" s="77">
        <f>County_Flow!AG50</f>
        <v>190.87743718335807</v>
      </c>
      <c r="K46" s="77">
        <f>County_Flow!AH50</f>
        <v>742.92492707640349</v>
      </c>
      <c r="L46" s="77">
        <f>County_Flow!AI50</f>
        <v>232.9827542090988</v>
      </c>
      <c r="M46" s="77">
        <f>County_Flow!AJ50</f>
        <v>3039.0682155467994</v>
      </c>
      <c r="N46" s="77">
        <f>County_Flow!AK50</f>
        <v>1427.8380840284531</v>
      </c>
      <c r="O46" s="77">
        <f>County_Flow!AL50</f>
        <v>315.32204083721405</v>
      </c>
      <c r="P46" s="77">
        <f>County_Flow!AM50</f>
        <v>1412.8673046415231</v>
      </c>
      <c r="Q46" s="77">
        <f>County_Flow!AN50</f>
        <v>284.44480835167082</v>
      </c>
      <c r="R46" s="77">
        <f>County_Flow!AO50</f>
        <v>65.49715981781894</v>
      </c>
      <c r="S46" s="77">
        <f>County_Flow!AP50</f>
        <v>2660.1203623151323</v>
      </c>
      <c r="T46" s="77">
        <f>County_Flow!AQ50</f>
        <v>81.403612916432124</v>
      </c>
      <c r="U46" s="77">
        <f>County_Flow!AR50</f>
        <v>1932.1662146256588</v>
      </c>
      <c r="V46" s="77">
        <f>County_Flow!AS50</f>
        <v>77.660918069699605</v>
      </c>
      <c r="W46" s="77">
        <f>County_Flow!AT50</f>
        <v>0</v>
      </c>
      <c r="X46" s="77">
        <f si="15" t="shared"/>
        <v>18284</v>
      </c>
      <c r="Y46" s="95"/>
      <c r="Z46" s="95">
        <v>17</v>
      </c>
      <c r="AA46" s="77">
        <f>County_Flow!AX50*AA$28</f>
        <v>1037</v>
      </c>
      <c r="AB46" s="77">
        <f>County_Flow!AY50*AB$28</f>
        <v>541</v>
      </c>
      <c r="AC46" s="77">
        <f>County_Flow!AZ50*AC$28</f>
        <v>616</v>
      </c>
      <c r="AD46" s="77">
        <f>County_Flow!BA50*AD$28</f>
        <v>447</v>
      </c>
      <c r="AE46" s="77">
        <f>County_Flow!BB50*AE$28</f>
        <v>342</v>
      </c>
      <c r="AF46" s="77">
        <f>County_Flow!BC50*AF$28</f>
        <v>1624</v>
      </c>
      <c r="AG46" s="77">
        <f>County_Flow!BD50*AG$28</f>
        <v>280</v>
      </c>
      <c r="AH46" s="77">
        <f>County_Flow!BE50*AH$28</f>
        <v>111</v>
      </c>
      <c r="AI46" s="77">
        <f>County_Flow!BF50*AI$28</f>
        <v>588</v>
      </c>
      <c r="AJ46" s="77">
        <f>County_Flow!BG50*AJ$28</f>
        <v>163</v>
      </c>
      <c r="AK46" s="77">
        <f>County_Flow!BH50*AK$28</f>
        <v>3276</v>
      </c>
      <c r="AL46" s="77">
        <f>County_Flow!BI50*AL$28</f>
        <v>775</v>
      </c>
      <c r="AM46" s="77">
        <f>County_Flow!BJ50*AM$28</f>
        <v>31</v>
      </c>
      <c r="AN46" s="77">
        <f>County_Flow!BK50*AN$28</f>
        <v>1892</v>
      </c>
      <c r="AO46" s="77">
        <f>County_Flow!BL50*AO$28</f>
        <v>175</v>
      </c>
      <c r="AP46" s="77">
        <f>County_Flow!BM50*AP$28</f>
        <v>9</v>
      </c>
      <c r="AQ46" s="77">
        <f>County_Flow!BN50*AQ$28</f>
        <v>3501</v>
      </c>
      <c r="AR46" s="77">
        <f>County_Flow!BO50*AR$28</f>
        <v>8</v>
      </c>
      <c r="AS46" s="77">
        <f>County_Flow!BP50*AS$28</f>
        <v>2863</v>
      </c>
      <c r="AT46" s="77">
        <f>County_Flow!BQ50*AT$28</f>
        <v>5</v>
      </c>
      <c r="AU46" s="77">
        <f>County_Flow!BR50</f>
        <v>0</v>
      </c>
      <c r="AV46" s="15">
        <f si="16" t="shared"/>
        <v>18284</v>
      </c>
      <c r="AW46" s="139">
        <f si="17" t="shared"/>
        <v>0</v>
      </c>
      <c r="AY46" s="95">
        <v>17</v>
      </c>
      <c r="AZ46" s="77">
        <f si="18" t="shared"/>
        <v>1037</v>
      </c>
      <c r="BA46" s="77">
        <f si="19" t="shared"/>
        <v>541</v>
      </c>
      <c r="BB46" s="77">
        <f si="20" t="shared"/>
        <v>616</v>
      </c>
      <c r="BC46" s="77">
        <f si="21" t="shared"/>
        <v>447</v>
      </c>
      <c r="BD46" s="77">
        <f si="22" t="shared"/>
        <v>342</v>
      </c>
      <c r="BE46" s="77">
        <f si="23" t="shared"/>
        <v>1624</v>
      </c>
      <c r="BF46" s="77">
        <f si="24" t="shared"/>
        <v>280</v>
      </c>
      <c r="BG46" s="77">
        <f si="25" t="shared"/>
        <v>111</v>
      </c>
      <c r="BH46" s="77">
        <f si="26" t="shared"/>
        <v>588</v>
      </c>
      <c r="BI46" s="77">
        <f si="27" t="shared"/>
        <v>163</v>
      </c>
      <c r="BJ46" s="77">
        <f si="28" t="shared"/>
        <v>3276</v>
      </c>
      <c r="BK46" s="77">
        <f si="29" t="shared"/>
        <v>775</v>
      </c>
      <c r="BL46" s="77">
        <f si="30" t="shared"/>
        <v>31</v>
      </c>
      <c r="BM46" s="77">
        <f si="31" t="shared"/>
        <v>1892</v>
      </c>
      <c r="BN46" s="77">
        <f si="32" t="shared"/>
        <v>175</v>
      </c>
      <c r="BO46" s="77">
        <f si="33" t="shared"/>
        <v>9</v>
      </c>
      <c r="BP46" s="77">
        <f si="34" t="shared"/>
        <v>3501</v>
      </c>
      <c r="BQ46" s="77">
        <f si="35" t="shared"/>
        <v>8</v>
      </c>
      <c r="BR46" s="77">
        <f si="36" t="shared"/>
        <v>2863</v>
      </c>
      <c r="BS46" s="77">
        <f si="37" t="shared"/>
        <v>5</v>
      </c>
      <c r="BT46" s="77">
        <f si="38" t="shared"/>
        <v>0</v>
      </c>
      <c r="BU46" s="77">
        <f si="13" t="shared"/>
        <v>18284</v>
      </c>
      <c r="BV46" s="95"/>
      <c r="BW46" s="95">
        <v>17</v>
      </c>
      <c r="BX46" s="77">
        <f si="39" t="shared"/>
        <v>33.022107364003887</v>
      </c>
      <c r="BY46" s="77">
        <f si="40" t="shared"/>
        <v>392.80236425976148</v>
      </c>
      <c r="BZ46" s="77">
        <f si="41" t="shared"/>
        <v>109.80052197942791</v>
      </c>
      <c r="CA46" s="77">
        <f si="42" t="shared"/>
        <v>90.076710506115319</v>
      </c>
      <c r="CB46" s="77">
        <f si="43" t="shared"/>
        <v>22.935264316053463</v>
      </c>
      <c r="CC46" s="77">
        <f si="44" t="shared"/>
        <v>159.39409446804166</v>
      </c>
      <c r="CD46" s="77">
        <f si="45" t="shared"/>
        <v>457.31088480630467</v>
      </c>
      <c r="CE46" s="77">
        <f si="46" t="shared"/>
        <v>79.877437183358069</v>
      </c>
      <c r="CF46" s="77">
        <f si="47" t="shared"/>
        <v>154.92492707640349</v>
      </c>
      <c r="CG46" s="77">
        <f si="48" t="shared"/>
        <v>69.9827542090988</v>
      </c>
      <c r="CH46" s="77">
        <f si="49" t="shared"/>
        <v>236.93178445320063</v>
      </c>
      <c r="CI46" s="77">
        <f si="50" t="shared"/>
        <v>652.83808402845307</v>
      </c>
      <c r="CJ46" s="77">
        <f si="51" t="shared"/>
        <v>284.32204083721405</v>
      </c>
      <c r="CK46" s="77">
        <f si="52" t="shared"/>
        <v>479.13269535847689</v>
      </c>
      <c r="CL46" s="77">
        <f si="53" t="shared"/>
        <v>109.44480835167082</v>
      </c>
      <c r="CM46" s="77">
        <f si="54" t="shared"/>
        <v>56.49715981781894</v>
      </c>
      <c r="CN46" s="77">
        <f si="55" t="shared"/>
        <v>840.8796376848677</v>
      </c>
      <c r="CO46" s="77">
        <f si="56" t="shared"/>
        <v>73.403612916432124</v>
      </c>
      <c r="CP46" s="77">
        <f si="57" t="shared"/>
        <v>930.83378537434123</v>
      </c>
      <c r="CQ46" s="77">
        <f si="58" t="shared"/>
        <v>72.660918069699605</v>
      </c>
      <c r="CR46" s="77">
        <f si="59" t="shared"/>
        <v>0</v>
      </c>
      <c r="CS46" s="77">
        <f si="60" t="shared"/>
        <v>0</v>
      </c>
      <c r="CU46" s="95">
        <v>45</v>
      </c>
      <c r="CV46" s="95">
        <f si="6" t="shared"/>
        <v>3</v>
      </c>
      <c r="CW46" s="95">
        <f si="0" t="shared"/>
        <v>5</v>
      </c>
      <c r="CX46" s="58">
        <f si="1" t="shared"/>
        <v>1115.7212389380531</v>
      </c>
      <c r="CY46" s="58">
        <f si="2" t="shared"/>
        <v>1157</v>
      </c>
      <c r="CZ46" s="108">
        <f si="3" t="shared"/>
        <v>41.278761061946852</v>
      </c>
      <c r="DA46" s="78">
        <f si="4" t="shared"/>
        <v>3.6997378575705973E-2</v>
      </c>
      <c r="DB46" s="95">
        <v>45000</v>
      </c>
    </row>
    <row r="47" spans="2:106" x14ac:dyDescent="0.25">
      <c r="B47" s="95">
        <v>18</v>
      </c>
      <c r="C47" s="77">
        <f>County_Flow!Z51</f>
        <v>1358.0683105631458</v>
      </c>
      <c r="D47" s="77">
        <f>County_Flow!AA51</f>
        <v>969.77418638231711</v>
      </c>
      <c r="E47" s="77">
        <f>County_Flow!AB51</f>
        <v>333.51005220482057</v>
      </c>
      <c r="F47" s="77">
        <f>County_Flow!AC51</f>
        <v>431.54470731978228</v>
      </c>
      <c r="G47" s="77">
        <f>County_Flow!AD51</f>
        <v>346.96578918138397</v>
      </c>
      <c r="H47" s="77">
        <f>County_Flow!AE51</f>
        <v>2923.7394201932689</v>
      </c>
      <c r="I47" s="77">
        <f>County_Flow!AF51</f>
        <v>2989.0958569365766</v>
      </c>
      <c r="J47" s="77">
        <f>County_Flow!AG51</f>
        <v>85.54004220815284</v>
      </c>
      <c r="K47" s="77">
        <f>County_Flow!AH51</f>
        <v>1011.1025213817616</v>
      </c>
      <c r="L47" s="77">
        <f>County_Flow!AI51</f>
        <v>470.95079417971789</v>
      </c>
      <c r="M47" s="77">
        <f>County_Flow!AJ51</f>
        <v>442.11707208708208</v>
      </c>
      <c r="N47" s="77">
        <f>County_Flow!AK51</f>
        <v>13775.791291791626</v>
      </c>
      <c r="O47" s="77">
        <f>County_Flow!AL51</f>
        <v>3939.6475619238031</v>
      </c>
      <c r="P47" s="77">
        <f>County_Flow!AM51</f>
        <v>61.51194046428968</v>
      </c>
      <c r="Q47" s="77">
        <f>County_Flow!AN51</f>
        <v>348.88803732089303</v>
      </c>
      <c r="R47" s="77">
        <f>County_Flow!AO51</f>
        <v>161.46884371876041</v>
      </c>
      <c r="S47" s="77">
        <f>County_Flow!AP51</f>
        <v>53.822947906253475</v>
      </c>
      <c r="T47" s="77">
        <f>County_Flow!AQ51</f>
        <v>3338.9450183272247</v>
      </c>
      <c r="U47" s="77">
        <f>County_Flow!AR51</f>
        <v>126.86837720759748</v>
      </c>
      <c r="V47" s="77">
        <f>County_Flow!AS51</f>
        <v>1442.6472287015438</v>
      </c>
      <c r="W47" s="77">
        <f>County_Flow!AT51</f>
        <v>0</v>
      </c>
      <c r="X47" s="77">
        <f si="15" t="shared"/>
        <v>34612</v>
      </c>
      <c r="Y47" s="95"/>
      <c r="Z47" s="95">
        <v>18</v>
      </c>
      <c r="AA47" s="77">
        <f>County_Flow!AX51*AA$28</f>
        <v>833</v>
      </c>
      <c r="AB47" s="77">
        <f>County_Flow!AY51*AB$28</f>
        <v>521</v>
      </c>
      <c r="AC47" s="77">
        <f>County_Flow!AZ51*AC$28</f>
        <v>158</v>
      </c>
      <c r="AD47" s="77">
        <f>County_Flow!BA51*AD$28</f>
        <v>220</v>
      </c>
      <c r="AE47" s="77">
        <f>County_Flow!BB51*AE$28</f>
        <v>234</v>
      </c>
      <c r="AF47" s="77">
        <f>County_Flow!BC51*AF$28</f>
        <v>1739</v>
      </c>
      <c r="AG47" s="77">
        <f>County_Flow!BD51*AG$28</f>
        <v>1997</v>
      </c>
      <c r="AH47" s="77">
        <f>County_Flow!BE51*AH$28</f>
        <v>51</v>
      </c>
      <c r="AI47" s="77">
        <f>County_Flow!BF51*AI$28</f>
        <v>320</v>
      </c>
      <c r="AJ47" s="77">
        <f>County_Flow!BG51*AJ$28</f>
        <v>308</v>
      </c>
      <c r="AK47" s="77">
        <f>County_Flow!BH51*AK$28</f>
        <v>97</v>
      </c>
      <c r="AL47" s="77">
        <f>County_Flow!BI51*AL$28</f>
        <v>16283</v>
      </c>
      <c r="AM47" s="77">
        <f>County_Flow!BJ51*AM$28</f>
        <v>5066</v>
      </c>
      <c r="AN47" s="77">
        <f>County_Flow!BK51*AN$28</f>
        <v>7</v>
      </c>
      <c r="AO47" s="77">
        <f>County_Flow!BL51*AO$28</f>
        <v>180</v>
      </c>
      <c r="AP47" s="77">
        <f>County_Flow!BM51*AP$28</f>
        <v>227</v>
      </c>
      <c r="AQ47" s="77">
        <f>County_Flow!BN51*AQ$28</f>
        <v>11</v>
      </c>
      <c r="AR47" s="77">
        <f>County_Flow!BO51*AR$28</f>
        <v>5087</v>
      </c>
      <c r="AS47" s="77">
        <f>County_Flow!BP51*AS$28</f>
        <v>46</v>
      </c>
      <c r="AT47" s="77">
        <f>County_Flow!BQ51*AT$28</f>
        <v>1227</v>
      </c>
      <c r="AU47" s="77">
        <f>County_Flow!BR51</f>
        <v>0</v>
      </c>
      <c r="AV47" s="15">
        <f si="16" t="shared"/>
        <v>34612</v>
      </c>
      <c r="AW47" s="139">
        <f si="17" t="shared"/>
        <v>0</v>
      </c>
      <c r="AY47" s="95">
        <v>18</v>
      </c>
      <c r="AZ47" s="77">
        <f si="18" t="shared"/>
        <v>833</v>
      </c>
      <c r="BA47" s="77">
        <f si="19" t="shared"/>
        <v>521</v>
      </c>
      <c r="BB47" s="77">
        <f si="20" t="shared"/>
        <v>158</v>
      </c>
      <c r="BC47" s="77">
        <f si="21" t="shared"/>
        <v>220</v>
      </c>
      <c r="BD47" s="77">
        <f si="22" t="shared"/>
        <v>234</v>
      </c>
      <c r="BE47" s="77">
        <f si="23" t="shared"/>
        <v>1739</v>
      </c>
      <c r="BF47" s="77">
        <f si="24" t="shared"/>
        <v>1997</v>
      </c>
      <c r="BG47" s="77">
        <f si="25" t="shared"/>
        <v>51</v>
      </c>
      <c r="BH47" s="77">
        <f si="26" t="shared"/>
        <v>320</v>
      </c>
      <c r="BI47" s="77">
        <f si="27" t="shared"/>
        <v>308</v>
      </c>
      <c r="BJ47" s="77">
        <f si="28" t="shared"/>
        <v>97</v>
      </c>
      <c r="BK47" s="77">
        <f si="29" t="shared"/>
        <v>16283</v>
      </c>
      <c r="BL47" s="77">
        <f si="30" t="shared"/>
        <v>5066</v>
      </c>
      <c r="BM47" s="77">
        <f si="31" t="shared"/>
        <v>7</v>
      </c>
      <c r="BN47" s="77">
        <f si="32" t="shared"/>
        <v>180</v>
      </c>
      <c r="BO47" s="77">
        <f si="33" t="shared"/>
        <v>227</v>
      </c>
      <c r="BP47" s="77">
        <f si="34" t="shared"/>
        <v>11</v>
      </c>
      <c r="BQ47" s="77">
        <f si="35" t="shared"/>
        <v>5087</v>
      </c>
      <c r="BR47" s="77">
        <f si="36" t="shared"/>
        <v>46</v>
      </c>
      <c r="BS47" s="77">
        <f si="37" t="shared"/>
        <v>1227</v>
      </c>
      <c r="BT47" s="77">
        <f si="38" t="shared"/>
        <v>0</v>
      </c>
      <c r="BU47" s="77">
        <f si="13" t="shared"/>
        <v>34612</v>
      </c>
      <c r="BV47" s="95"/>
      <c r="BW47" s="95">
        <v>18</v>
      </c>
      <c r="BX47" s="77">
        <f si="39" t="shared"/>
        <v>525.06831056314581</v>
      </c>
      <c r="BY47" s="77">
        <f si="40" t="shared"/>
        <v>448.77418638231711</v>
      </c>
      <c r="BZ47" s="77">
        <f si="41" t="shared"/>
        <v>175.51005220482057</v>
      </c>
      <c r="CA47" s="77">
        <f si="42" t="shared"/>
        <v>211.54470731978228</v>
      </c>
      <c r="CB47" s="77">
        <f si="43" t="shared"/>
        <v>112.96578918138397</v>
      </c>
      <c r="CC47" s="77">
        <f si="44" t="shared"/>
        <v>1184.7394201932689</v>
      </c>
      <c r="CD47" s="77">
        <f si="45" t="shared"/>
        <v>992.09585693657664</v>
      </c>
      <c r="CE47" s="77">
        <f si="46" t="shared"/>
        <v>34.54004220815284</v>
      </c>
      <c r="CF47" s="77">
        <f si="47" t="shared"/>
        <v>691.10252138176156</v>
      </c>
      <c r="CG47" s="77">
        <f si="48" t="shared"/>
        <v>162.95079417971789</v>
      </c>
      <c r="CH47" s="77">
        <f si="49" t="shared"/>
        <v>345.11707208708208</v>
      </c>
      <c r="CI47" s="77">
        <f si="50" t="shared"/>
        <v>2507.2087082083744</v>
      </c>
      <c r="CJ47" s="77">
        <f si="51" t="shared"/>
        <v>1126.3524380761969</v>
      </c>
      <c r="CK47" s="77">
        <f si="52" t="shared"/>
        <v>54.51194046428968</v>
      </c>
      <c r="CL47" s="77">
        <f si="53" t="shared"/>
        <v>168.88803732089303</v>
      </c>
      <c r="CM47" s="77">
        <f si="54" t="shared"/>
        <v>65.531156281239589</v>
      </c>
      <c r="CN47" s="77">
        <f si="55" t="shared"/>
        <v>42.822947906253475</v>
      </c>
      <c r="CO47" s="77">
        <f si="56" t="shared"/>
        <v>1748.0549816727753</v>
      </c>
      <c r="CP47" s="77">
        <f si="57" t="shared"/>
        <v>80.868377207597476</v>
      </c>
      <c r="CQ47" s="77">
        <f si="58" t="shared"/>
        <v>215.64722870154378</v>
      </c>
      <c r="CR47" s="77">
        <f si="59" t="shared"/>
        <v>0</v>
      </c>
      <c r="CS47" s="77">
        <f si="60" t="shared"/>
        <v>0</v>
      </c>
      <c r="CU47" s="95">
        <v>46</v>
      </c>
      <c r="CV47" s="95">
        <f si="6" t="shared"/>
        <v>3</v>
      </c>
      <c r="CW47" s="95">
        <f si="0" t="shared"/>
        <v>6</v>
      </c>
      <c r="CX47" s="58">
        <f si="1" t="shared"/>
        <v>6068.1940169295885</v>
      </c>
      <c r="CY47" s="58">
        <f si="2" t="shared"/>
        <v>6681</v>
      </c>
      <c r="CZ47" s="108">
        <f si="3" t="shared"/>
        <v>612.80598307041146</v>
      </c>
      <c r="DA47" s="78">
        <f si="4" t="shared"/>
        <v>0.10098655075311545</v>
      </c>
      <c r="DB47" s="95">
        <v>46000</v>
      </c>
    </row>
    <row r="48" spans="2:106" x14ac:dyDescent="0.25">
      <c r="B48" s="95">
        <v>19</v>
      </c>
      <c r="C48" s="77">
        <f>County_Flow!Z52</f>
        <v>1474.8996742671009</v>
      </c>
      <c r="D48" s="77">
        <f>County_Flow!AA52</f>
        <v>1343.3570032573291</v>
      </c>
      <c r="E48" s="77">
        <f>County_Flow!AB52</f>
        <v>715.37589576547236</v>
      </c>
      <c r="F48" s="77">
        <f>County_Flow!AC52</f>
        <v>751.41498371335513</v>
      </c>
      <c r="G48" s="77">
        <f>County_Flow!AD52</f>
        <v>451.38957654723123</v>
      </c>
      <c r="H48" s="77">
        <f>County_Flow!AE52</f>
        <v>2710.1394136807817</v>
      </c>
      <c r="I48" s="77">
        <f>County_Flow!AF52</f>
        <v>1365.8814332247557</v>
      </c>
      <c r="J48" s="77">
        <f>County_Flow!AG52</f>
        <v>198.21498371335505</v>
      </c>
      <c r="K48" s="77">
        <f>County_Flow!AH52</f>
        <v>1649.6892508143321</v>
      </c>
      <c r="L48" s="77">
        <f>County_Flow!AI52</f>
        <v>340.56938110749184</v>
      </c>
      <c r="M48" s="77">
        <f>County_Flow!AJ52</f>
        <v>5326.5771986970685</v>
      </c>
      <c r="N48" s="77">
        <f>County_Flow!AK52</f>
        <v>2875.0182410423454</v>
      </c>
      <c r="O48" s="77">
        <f>County_Flow!AL52</f>
        <v>666.72312703583054</v>
      </c>
      <c r="P48" s="77">
        <f>County_Flow!AM52</f>
        <v>631.58501628664499</v>
      </c>
      <c r="Q48" s="77">
        <f>County_Flow!AN52</f>
        <v>1332.5452768729642</v>
      </c>
      <c r="R48" s="77">
        <f>County_Flow!AO52</f>
        <v>81.087947882736159</v>
      </c>
      <c r="S48" s="77">
        <f>County_Flow!AP52</f>
        <v>2747.9804560260586</v>
      </c>
      <c r="T48" s="77">
        <f>County_Flow!AQ52</f>
        <v>156.77003257328991</v>
      </c>
      <c r="U48" s="77">
        <f>County_Flow!AR52</f>
        <v>11020.75309446254</v>
      </c>
      <c r="V48" s="77">
        <f>County_Flow!AS52</f>
        <v>118.02801302931597</v>
      </c>
      <c r="W48" s="77">
        <f>County_Flow!AT52</f>
        <v>0</v>
      </c>
      <c r="X48" s="77">
        <f si="15" t="shared"/>
        <v>35958.000000000007</v>
      </c>
      <c r="Y48" s="95"/>
      <c r="Z48" s="95">
        <v>19</v>
      </c>
      <c r="AA48" s="77">
        <f>County_Flow!AX52*AA$28</f>
        <v>1696</v>
      </c>
      <c r="AB48" s="77">
        <f>County_Flow!AY52*AB$28</f>
        <v>952</v>
      </c>
      <c r="AC48" s="77">
        <f>County_Flow!AZ52*AC$28</f>
        <v>856</v>
      </c>
      <c r="AD48" s="77">
        <f>County_Flow!BA52*AD$28</f>
        <v>672</v>
      </c>
      <c r="AE48" s="77">
        <f>County_Flow!BB52*AE$28</f>
        <v>442</v>
      </c>
      <c r="AF48" s="77">
        <f>County_Flow!BC52*AF$28</f>
        <v>2532</v>
      </c>
      <c r="AG48" s="77">
        <f>County_Flow!BD52*AG$28</f>
        <v>544</v>
      </c>
      <c r="AH48" s="77">
        <f>County_Flow!BE52*AH$28</f>
        <v>120</v>
      </c>
      <c r="AI48" s="77">
        <f>County_Flow!BF52*AI$28</f>
        <v>1499</v>
      </c>
      <c r="AJ48" s="77">
        <f>County_Flow!BG52*AJ$28</f>
        <v>241</v>
      </c>
      <c r="AK48" s="77">
        <f>County_Flow!BH52*AK$28</f>
        <v>6801</v>
      </c>
      <c r="AL48" s="77">
        <f>County_Flow!BI52*AL$28</f>
        <v>1224</v>
      </c>
      <c r="AM48" s="77">
        <f>County_Flow!BJ52*AM$28</f>
        <v>220</v>
      </c>
      <c r="AN48" s="77">
        <f>County_Flow!BK52*AN$28</f>
        <v>741</v>
      </c>
      <c r="AO48" s="77">
        <f>County_Flow!BL52*AO$28</f>
        <v>1978</v>
      </c>
      <c r="AP48" s="77">
        <f>County_Flow!BM52*AP$28</f>
        <v>21</v>
      </c>
      <c r="AQ48" s="77">
        <f>County_Flow!BN52*AQ$28</f>
        <v>2627</v>
      </c>
      <c r="AR48" s="77">
        <f>County_Flow!BO52*AR$28</f>
        <v>11</v>
      </c>
      <c r="AS48" s="77">
        <f>County_Flow!BP52*AS$28</f>
        <v>12777</v>
      </c>
      <c r="AT48" s="77">
        <f>County_Flow!BQ52*AT$28</f>
        <v>4</v>
      </c>
      <c r="AU48" s="77">
        <f>County_Flow!BR52</f>
        <v>0</v>
      </c>
      <c r="AV48" s="15">
        <f si="16" t="shared"/>
        <v>35958</v>
      </c>
      <c r="AW48" s="139">
        <f si="17" t="shared"/>
        <v>2.0234600406539364E-16</v>
      </c>
      <c r="AY48" s="95">
        <v>19</v>
      </c>
      <c r="AZ48" s="77">
        <f si="18" t="shared"/>
        <v>1696.0000000000005</v>
      </c>
      <c r="BA48" s="77">
        <f si="19" t="shared"/>
        <v>952.00000000000023</v>
      </c>
      <c r="BB48" s="77">
        <f si="20" t="shared"/>
        <v>856.00000000000023</v>
      </c>
      <c r="BC48" s="77">
        <f si="21" t="shared"/>
        <v>672.00000000000011</v>
      </c>
      <c r="BD48" s="77">
        <f si="22" t="shared"/>
        <v>442.00000000000011</v>
      </c>
      <c r="BE48" s="77">
        <f si="23" t="shared"/>
        <v>2532.0000000000005</v>
      </c>
      <c r="BF48" s="77">
        <f si="24" t="shared"/>
        <v>544.00000000000011</v>
      </c>
      <c r="BG48" s="77">
        <f si="25" t="shared"/>
        <v>120.00000000000003</v>
      </c>
      <c r="BH48" s="77">
        <f si="26" t="shared"/>
        <v>1499.0000000000002</v>
      </c>
      <c r="BI48" s="77">
        <f si="27" t="shared"/>
        <v>241.00000000000006</v>
      </c>
      <c r="BJ48" s="77">
        <f si="28" t="shared"/>
        <v>6801.0000000000018</v>
      </c>
      <c r="BK48" s="77">
        <f si="29" t="shared"/>
        <v>1224.0000000000002</v>
      </c>
      <c r="BL48" s="77">
        <f si="30" t="shared"/>
        <v>220.00000000000006</v>
      </c>
      <c r="BM48" s="77">
        <f si="31" t="shared"/>
        <v>741.00000000000011</v>
      </c>
      <c r="BN48" s="77">
        <f si="32" t="shared"/>
        <v>1978.0000000000005</v>
      </c>
      <c r="BO48" s="77">
        <f si="33" t="shared"/>
        <v>21.000000000000004</v>
      </c>
      <c r="BP48" s="77">
        <f si="34" t="shared"/>
        <v>2627.0000000000005</v>
      </c>
      <c r="BQ48" s="77">
        <f si="35" t="shared"/>
        <v>11.000000000000002</v>
      </c>
      <c r="BR48" s="77">
        <f si="36" t="shared"/>
        <v>12777.000000000004</v>
      </c>
      <c r="BS48" s="77">
        <f si="37" t="shared"/>
        <v>4.0000000000000009</v>
      </c>
      <c r="BT48" s="77">
        <f si="38" t="shared"/>
        <v>0</v>
      </c>
      <c r="BU48" s="77">
        <f si="13" t="shared"/>
        <v>35958.000000000007</v>
      </c>
      <c r="BV48" s="95"/>
      <c r="BW48" s="95">
        <v>19</v>
      </c>
      <c r="BX48" s="77">
        <f si="39" t="shared"/>
        <v>221.10032573289959</v>
      </c>
      <c r="BY48" s="77">
        <f si="40" t="shared"/>
        <v>391.35700325732887</v>
      </c>
      <c r="BZ48" s="77">
        <f si="41" t="shared"/>
        <v>140.62410423452786</v>
      </c>
      <c r="CA48" s="77">
        <f si="42" t="shared"/>
        <v>79.414983713355014</v>
      </c>
      <c r="CB48" s="77">
        <f si="43" t="shared"/>
        <v>9.3895765472311155</v>
      </c>
      <c r="CC48" s="77">
        <f si="44" t="shared"/>
        <v>178.13941368078122</v>
      </c>
      <c r="CD48" s="77">
        <f si="45" t="shared"/>
        <v>821.8814332247556</v>
      </c>
      <c r="CE48" s="77">
        <f si="46" t="shared"/>
        <v>78.214983713355025</v>
      </c>
      <c r="CF48" s="77">
        <f si="47" t="shared"/>
        <v>150.6892508143319</v>
      </c>
      <c r="CG48" s="77">
        <f si="48" t="shared"/>
        <v>99.569381107491779</v>
      </c>
      <c r="CH48" s="77">
        <f si="49" t="shared"/>
        <v>1474.4228013029333</v>
      </c>
      <c r="CI48" s="77">
        <f si="50" t="shared"/>
        <v>1651.0182410423452</v>
      </c>
      <c r="CJ48" s="77">
        <f si="51" t="shared"/>
        <v>446.72312703583049</v>
      </c>
      <c r="CK48" s="77">
        <f si="52" t="shared"/>
        <v>109.41498371335513</v>
      </c>
      <c r="CL48" s="77">
        <f si="53" t="shared"/>
        <v>645.45472312703623</v>
      </c>
      <c r="CM48" s="77">
        <f si="54" t="shared"/>
        <v>60.087947882736159</v>
      </c>
      <c r="CN48" s="77">
        <f si="55" t="shared"/>
        <v>120.98045602605816</v>
      </c>
      <c r="CO48" s="77">
        <f si="56" t="shared"/>
        <v>145.77003257328991</v>
      </c>
      <c r="CP48" s="77">
        <f si="57" t="shared"/>
        <v>1756.246905537464</v>
      </c>
      <c r="CQ48" s="77">
        <f si="58" t="shared"/>
        <v>114.02801302931597</v>
      </c>
      <c r="CR48" s="77">
        <f si="59" t="shared"/>
        <v>0</v>
      </c>
      <c r="CS48" s="77">
        <f si="60" t="shared"/>
        <v>0</v>
      </c>
      <c r="CU48" s="95">
        <v>47</v>
      </c>
      <c r="CV48" s="95">
        <f si="6" t="shared"/>
        <v>3</v>
      </c>
      <c r="CW48" s="95">
        <f si="0" t="shared"/>
        <v>7</v>
      </c>
      <c r="CX48" s="58">
        <f si="1" t="shared"/>
        <v>1587.3425355906118</v>
      </c>
      <c r="CY48" s="58">
        <f si="2" t="shared"/>
        <v>1080</v>
      </c>
      <c r="CZ48" s="108">
        <f si="3" t="shared"/>
        <v>-507.34253559061176</v>
      </c>
      <c r="DA48" s="78">
        <f si="4" t="shared"/>
        <v>-0.31961755211318765</v>
      </c>
      <c r="DB48" s="95">
        <v>47000</v>
      </c>
    </row>
    <row r="49" spans="2:106" x14ac:dyDescent="0.25">
      <c r="B49" s="95">
        <v>20</v>
      </c>
      <c r="C49" s="77">
        <f>County_Flow!Z53</f>
        <v>651.08024519364722</v>
      </c>
      <c r="D49" s="77">
        <f>County_Flow!AA53</f>
        <v>570.13994148787958</v>
      </c>
      <c r="E49" s="77">
        <f>County_Flow!AB53</f>
        <v>206.35330175536362</v>
      </c>
      <c r="F49" s="77">
        <f>County_Flow!AC53</f>
        <v>226.81074115352465</v>
      </c>
      <c r="G49" s="77">
        <f>County_Flow!AD53</f>
        <v>185.00640847032599</v>
      </c>
      <c r="H49" s="77">
        <f>County_Flow!AE53</f>
        <v>1055.7817637224853</v>
      </c>
      <c r="I49" s="77">
        <f>County_Flow!AF53</f>
        <v>1194.53657007523</v>
      </c>
      <c r="J49" s="77">
        <f>County_Flow!AG53</f>
        <v>76.493034271384786</v>
      </c>
      <c r="K49" s="77">
        <f>County_Flow!AH53</f>
        <v>617.28099749233775</v>
      </c>
      <c r="L49" s="77">
        <f>County_Flow!AI53</f>
        <v>249.04708832543886</v>
      </c>
      <c r="M49" s="77">
        <f>County_Flow!AJ53</f>
        <v>255.27326553357483</v>
      </c>
      <c r="N49" s="77">
        <f>County_Flow!AK53</f>
        <v>5528.8453608247428</v>
      </c>
      <c r="O49" s="77">
        <f>County_Flow!AL53</f>
        <v>976.62036779047094</v>
      </c>
      <c r="P49" s="77">
        <f>County_Flow!AM53</f>
        <v>103.17665087768181</v>
      </c>
      <c r="Q49" s="77">
        <f>County_Flow!AN53</f>
        <v>194.79040122596822</v>
      </c>
      <c r="R49" s="77">
        <f>County_Flow!AO53</f>
        <v>75.60358038450822</v>
      </c>
      <c r="S49" s="77">
        <f>County_Flow!AP53</f>
        <v>32.020339927556421</v>
      </c>
      <c r="T49" s="77">
        <f>County_Flow!AQ53</f>
        <v>3536.4686542212312</v>
      </c>
      <c r="U49" s="77">
        <f>County_Flow!AR53</f>
        <v>124.52354416271943</v>
      </c>
      <c r="V49" s="77">
        <f>County_Flow!AS53</f>
        <v>9678.1477431039293</v>
      </c>
      <c r="W49" s="77">
        <f>County_Flow!AT53</f>
        <v>0</v>
      </c>
      <c r="X49" s="77">
        <f si="15" t="shared"/>
        <v>25538</v>
      </c>
      <c r="Y49" s="95"/>
      <c r="Z49" s="95">
        <v>20</v>
      </c>
      <c r="AA49" s="77">
        <f>County_Flow!AX53*AA$28</f>
        <v>257</v>
      </c>
      <c r="AB49" s="77">
        <f>County_Flow!AY53*AB$28</f>
        <v>140</v>
      </c>
      <c r="AC49" s="77">
        <f>County_Flow!AZ53*AC$28</f>
        <v>50</v>
      </c>
      <c r="AD49" s="77">
        <f>County_Flow!BA53*AD$28</f>
        <v>73</v>
      </c>
      <c r="AE49" s="77">
        <f>County_Flow!BB53*AE$28</f>
        <v>91</v>
      </c>
      <c r="AF49" s="77">
        <f>County_Flow!BC53*AF$28</f>
        <v>595</v>
      </c>
      <c r="AG49" s="77">
        <f>County_Flow!BD53*AG$28</f>
        <v>323</v>
      </c>
      <c r="AH49" s="77">
        <f>County_Flow!BE53*AH$28</f>
        <v>23</v>
      </c>
      <c r="AI49" s="77">
        <f>County_Flow!BF53*AI$28</f>
        <v>95</v>
      </c>
      <c r="AJ49" s="77">
        <f>County_Flow!BG53*AJ$28</f>
        <v>146</v>
      </c>
      <c r="AK49" s="77">
        <f>County_Flow!BH53*AK$28</f>
        <v>32</v>
      </c>
      <c r="AL49" s="77">
        <f>County_Flow!BI53*AL$28</f>
        <v>5965</v>
      </c>
      <c r="AM49" s="77">
        <f>County_Flow!BJ53*AM$28</f>
        <v>390</v>
      </c>
      <c r="AN49" s="77">
        <f>County_Flow!BK53*AN$28</f>
        <v>3</v>
      </c>
      <c r="AO49" s="77">
        <f>County_Flow!BL53*AO$28</f>
        <v>13</v>
      </c>
      <c r="AP49" s="77">
        <f>County_Flow!BM53*AP$28</f>
        <v>187</v>
      </c>
      <c r="AQ49" s="77">
        <f>County_Flow!BN53*AQ$28</f>
        <v>5</v>
      </c>
      <c r="AR49" s="77">
        <f>County_Flow!BO53*AR$28</f>
        <v>4053</v>
      </c>
      <c r="AS49" s="77">
        <f>County_Flow!BP53*AS$28</f>
        <v>6</v>
      </c>
      <c r="AT49" s="77">
        <f>County_Flow!BQ53*AT$28</f>
        <v>13091</v>
      </c>
      <c r="AU49" s="77">
        <f>County_Flow!BR53</f>
        <v>0</v>
      </c>
      <c r="AV49" s="15">
        <f si="16" t="shared"/>
        <v>25538</v>
      </c>
      <c r="AW49" s="139">
        <f si="17" t="shared"/>
        <v>0</v>
      </c>
      <c r="AY49" s="95">
        <v>20</v>
      </c>
      <c r="AZ49" s="77">
        <f si="18" t="shared"/>
        <v>257</v>
      </c>
      <c r="BA49" s="77">
        <f si="19" t="shared"/>
        <v>140</v>
      </c>
      <c r="BB49" s="77">
        <f si="20" t="shared"/>
        <v>50</v>
      </c>
      <c r="BC49" s="77">
        <f si="21" t="shared"/>
        <v>73</v>
      </c>
      <c r="BD49" s="77">
        <f si="22" t="shared"/>
        <v>91</v>
      </c>
      <c r="BE49" s="77">
        <f si="23" t="shared"/>
        <v>595</v>
      </c>
      <c r="BF49" s="77">
        <f si="24" t="shared"/>
        <v>323</v>
      </c>
      <c r="BG49" s="77">
        <f si="25" t="shared"/>
        <v>23</v>
      </c>
      <c r="BH49" s="77">
        <f si="26" t="shared"/>
        <v>95</v>
      </c>
      <c r="BI49" s="77">
        <f si="27" t="shared"/>
        <v>146</v>
      </c>
      <c r="BJ49" s="77">
        <f si="28" t="shared"/>
        <v>32</v>
      </c>
      <c r="BK49" s="77">
        <f si="29" t="shared"/>
        <v>5965</v>
      </c>
      <c r="BL49" s="77">
        <f si="30" t="shared"/>
        <v>390</v>
      </c>
      <c r="BM49" s="77">
        <f si="31" t="shared"/>
        <v>3</v>
      </c>
      <c r="BN49" s="77">
        <f si="32" t="shared"/>
        <v>13</v>
      </c>
      <c r="BO49" s="77">
        <f si="33" t="shared"/>
        <v>187</v>
      </c>
      <c r="BP49" s="77">
        <f si="34" t="shared"/>
        <v>5</v>
      </c>
      <c r="BQ49" s="77">
        <f si="35" t="shared"/>
        <v>4053</v>
      </c>
      <c r="BR49" s="77">
        <f si="36" t="shared"/>
        <v>6</v>
      </c>
      <c r="BS49" s="77">
        <f si="37" t="shared"/>
        <v>13091</v>
      </c>
      <c r="BT49" s="77">
        <f si="38" t="shared"/>
        <v>0</v>
      </c>
      <c r="BU49" s="77">
        <f si="13" t="shared"/>
        <v>25538</v>
      </c>
      <c r="BV49" s="95"/>
      <c r="BW49" s="95">
        <v>20</v>
      </c>
      <c r="BX49" s="77">
        <f si="39" t="shared"/>
        <v>394.08024519364722</v>
      </c>
      <c r="BY49" s="77">
        <f si="40" t="shared"/>
        <v>430.13994148787958</v>
      </c>
      <c r="BZ49" s="77">
        <f si="41" t="shared"/>
        <v>156.35330175536362</v>
      </c>
      <c r="CA49" s="77">
        <f si="42" t="shared"/>
        <v>153.81074115352465</v>
      </c>
      <c r="CB49" s="77">
        <f si="43" t="shared"/>
        <v>94.006408470325994</v>
      </c>
      <c r="CC49" s="77">
        <f si="44" t="shared"/>
        <v>460.78176372248527</v>
      </c>
      <c r="CD49" s="77">
        <f si="45" t="shared"/>
        <v>871.53657007522997</v>
      </c>
      <c r="CE49" s="77">
        <f si="46" t="shared"/>
        <v>53.493034271384786</v>
      </c>
      <c r="CF49" s="77">
        <f si="47" t="shared"/>
        <v>522.28099749233775</v>
      </c>
      <c r="CG49" s="77">
        <f si="48" t="shared"/>
        <v>103.04708832543886</v>
      </c>
      <c r="CH49" s="77">
        <f si="49" t="shared"/>
        <v>223.27326553357483</v>
      </c>
      <c r="CI49" s="77">
        <f si="50" t="shared"/>
        <v>436.15463917525722</v>
      </c>
      <c r="CJ49" s="77">
        <f si="51" t="shared"/>
        <v>586.62036779047094</v>
      </c>
      <c r="CK49" s="77">
        <f si="52" t="shared"/>
        <v>100.17665087768181</v>
      </c>
      <c r="CL49" s="77">
        <f si="53" t="shared"/>
        <v>181.79040122596822</v>
      </c>
      <c r="CM49" s="77">
        <f si="54" t="shared"/>
        <v>111.39641961549178</v>
      </c>
      <c r="CN49" s="77">
        <f si="55" t="shared"/>
        <v>27.020339927556421</v>
      </c>
      <c r="CO49" s="77">
        <f si="56" t="shared"/>
        <v>516.53134577876881</v>
      </c>
      <c r="CP49" s="77">
        <f si="57" t="shared"/>
        <v>118.52354416271943</v>
      </c>
      <c r="CQ49" s="77">
        <f si="58" t="shared"/>
        <v>3412.8522568960707</v>
      </c>
      <c r="CR49" s="77">
        <f si="59" t="shared"/>
        <v>0</v>
      </c>
      <c r="CS49" s="77">
        <f si="60" t="shared"/>
        <v>0</v>
      </c>
      <c r="CU49" s="95">
        <v>48</v>
      </c>
      <c r="CV49" s="95">
        <f si="6" t="shared"/>
        <v>3</v>
      </c>
      <c r="CW49" s="95">
        <f si="0" t="shared"/>
        <v>8</v>
      </c>
      <c r="CX49" s="58">
        <f si="1" t="shared"/>
        <v>229.97152751058098</v>
      </c>
      <c r="CY49" s="58">
        <f si="2" t="shared"/>
        <v>326</v>
      </c>
      <c r="CZ49" s="108">
        <f si="3" t="shared"/>
        <v>96.028472489419016</v>
      </c>
      <c r="DA49" s="78">
        <f si="4" t="shared"/>
        <v>0.41756678980618916</v>
      </c>
      <c r="DB49" s="95">
        <v>48000</v>
      </c>
    </row>
    <row r="50" spans="2:106" x14ac:dyDescent="0.25">
      <c r="B50" s="101" t="s">
        <v>15</v>
      </c>
      <c r="C50" s="77">
        <f>County_Flow!Z54</f>
        <v>0</v>
      </c>
      <c r="D50" s="77">
        <f>County_Flow!AA54</f>
        <v>0</v>
      </c>
      <c r="E50" s="77">
        <f>County_Flow!AB54</f>
        <v>0</v>
      </c>
      <c r="F50" s="77">
        <f>County_Flow!AC54</f>
        <v>0</v>
      </c>
      <c r="G50" s="77">
        <f>County_Flow!AD54</f>
        <v>0</v>
      </c>
      <c r="H50" s="77">
        <f>County_Flow!AE54</f>
        <v>0</v>
      </c>
      <c r="I50" s="77">
        <f>County_Flow!AF54</f>
        <v>0</v>
      </c>
      <c r="J50" s="77">
        <f>County_Flow!AG54</f>
        <v>0</v>
      </c>
      <c r="K50" s="77">
        <f>County_Flow!AH54</f>
        <v>0</v>
      </c>
      <c r="L50" s="77">
        <f>County_Flow!AI54</f>
        <v>0</v>
      </c>
      <c r="M50" s="77">
        <f>County_Flow!AJ54</f>
        <v>0</v>
      </c>
      <c r="N50" s="77">
        <f>County_Flow!AK54</f>
        <v>0</v>
      </c>
      <c r="O50" s="77">
        <f>County_Flow!AL54</f>
        <v>0</v>
      </c>
      <c r="P50" s="77">
        <f>County_Flow!AM54</f>
        <v>0</v>
      </c>
      <c r="Q50" s="77">
        <f>County_Flow!AN54</f>
        <v>0</v>
      </c>
      <c r="R50" s="77">
        <f>County_Flow!AO54</f>
        <v>0</v>
      </c>
      <c r="S50" s="77">
        <f>County_Flow!AP54</f>
        <v>0</v>
      </c>
      <c r="T50" s="77">
        <f>County_Flow!AQ54</f>
        <v>0</v>
      </c>
      <c r="U50" s="77">
        <f>County_Flow!AR54</f>
        <v>0</v>
      </c>
      <c r="V50" s="77">
        <f>County_Flow!AS54</f>
        <v>0</v>
      </c>
      <c r="W50" s="77">
        <f>County_Flow!AT54</f>
        <v>0</v>
      </c>
      <c r="X50" s="77">
        <f si="15" t="shared"/>
        <v>0</v>
      </c>
      <c r="Y50" s="95"/>
      <c r="Z50" s="101" t="s">
        <v>15</v>
      </c>
      <c r="AA50" s="77">
        <f>County_Flow!AX54</f>
        <v>0</v>
      </c>
      <c r="AB50" s="77">
        <f>County_Flow!AY54</f>
        <v>0</v>
      </c>
      <c r="AC50" s="77">
        <f>County_Flow!AZ54</f>
        <v>0</v>
      </c>
      <c r="AD50" s="77">
        <f>County_Flow!BA54</f>
        <v>0</v>
      </c>
      <c r="AE50" s="77">
        <f>County_Flow!BB54</f>
        <v>0</v>
      </c>
      <c r="AF50" s="77">
        <f>County_Flow!BC54</f>
        <v>0</v>
      </c>
      <c r="AG50" s="77">
        <f>County_Flow!BD54</f>
        <v>0</v>
      </c>
      <c r="AH50" s="77">
        <f>County_Flow!BE54</f>
        <v>0</v>
      </c>
      <c r="AI50" s="77">
        <f>County_Flow!BF54</f>
        <v>0</v>
      </c>
      <c r="AJ50" s="77">
        <f>County_Flow!BG54</f>
        <v>0</v>
      </c>
      <c r="AK50" s="77">
        <f>County_Flow!BH54</f>
        <v>0</v>
      </c>
      <c r="AL50" s="77">
        <f>County_Flow!BI54</f>
        <v>0</v>
      </c>
      <c r="AM50" s="77">
        <f>County_Flow!BJ54</f>
        <v>0</v>
      </c>
      <c r="AN50" s="77">
        <f>County_Flow!BK54</f>
        <v>0</v>
      </c>
      <c r="AO50" s="77">
        <f>County_Flow!BL54</f>
        <v>0</v>
      </c>
      <c r="AP50" s="77">
        <f>County_Flow!BM54</f>
        <v>0</v>
      </c>
      <c r="AQ50" s="77">
        <f>County_Flow!BN54</f>
        <v>0</v>
      </c>
      <c r="AR50" s="77">
        <f>County_Flow!BO54</f>
        <v>0</v>
      </c>
      <c r="AS50" s="77">
        <f>County_Flow!BP54</f>
        <v>0</v>
      </c>
      <c r="AT50" s="77">
        <f>County_Flow!BQ54</f>
        <v>0</v>
      </c>
      <c r="AU50" s="77">
        <f>County_Flow!BR54</f>
        <v>0</v>
      </c>
      <c r="AV50" s="16">
        <f>SUM(AA50:AU50)</f>
        <v>0</v>
      </c>
      <c r="AY50" s="101" t="s">
        <v>15</v>
      </c>
      <c r="AZ50" s="77">
        <f ref="AZ50" si="61" t="shared">ABS(AA50-C50)</f>
        <v>0</v>
      </c>
      <c r="BA50" s="77">
        <f ref="BA50" si="62" t="shared">ABS(AB50-D50)</f>
        <v>0</v>
      </c>
      <c r="BB50" s="77">
        <f ref="BB50" si="63" t="shared">ABS(AC50-E50)</f>
        <v>0</v>
      </c>
      <c r="BC50" s="77">
        <f ref="BC50" si="64" t="shared">ABS(AD50-F50)</f>
        <v>0</v>
      </c>
      <c r="BD50" s="77">
        <f ref="BD50" si="65" t="shared">ABS(AE50-G50)</f>
        <v>0</v>
      </c>
      <c r="BE50" s="77">
        <f ref="BE50" si="66" t="shared">ABS(AF50-H50)</f>
        <v>0</v>
      </c>
      <c r="BF50" s="77">
        <f ref="BF50" si="67" t="shared">ABS(AG50-I50)</f>
        <v>0</v>
      </c>
      <c r="BG50" s="77">
        <f ref="BG50" si="68" t="shared">ABS(AH50-J50)</f>
        <v>0</v>
      </c>
      <c r="BH50" s="77">
        <f ref="BH50" si="69" t="shared">ABS(AI50-K50)</f>
        <v>0</v>
      </c>
      <c r="BI50" s="77">
        <f ref="BI50" si="70" t="shared">ABS(AJ50-L50)</f>
        <v>0</v>
      </c>
      <c r="BJ50" s="77">
        <f ref="BJ50" si="71" t="shared">ABS(AK50-M50)</f>
        <v>0</v>
      </c>
      <c r="BK50" s="77">
        <f ref="BK50" si="72" t="shared">ABS(AL50-N50)</f>
        <v>0</v>
      </c>
      <c r="BL50" s="77">
        <f ref="BL50" si="73" t="shared">ABS(AM50-O50)</f>
        <v>0</v>
      </c>
      <c r="BM50" s="77">
        <f ref="BM50" si="74" t="shared">ABS(AN50-P50)</f>
        <v>0</v>
      </c>
      <c r="BN50" s="77">
        <f ref="BN50" si="75" t="shared">ABS(AO50-Q50)</f>
        <v>0</v>
      </c>
      <c r="BO50" s="77">
        <f ref="BO50" si="76" t="shared">ABS(AP50-R50)</f>
        <v>0</v>
      </c>
      <c r="BP50" s="77">
        <f ref="BP50" si="77" t="shared">ABS(AQ50-S50)</f>
        <v>0</v>
      </c>
      <c r="BQ50" s="77">
        <f ref="BQ50" si="78" t="shared">ABS(AR50-T50)</f>
        <v>0</v>
      </c>
      <c r="BR50" s="77">
        <f ref="BR50" si="79" t="shared">ABS(AS50-U50)</f>
        <v>0</v>
      </c>
      <c r="BS50" s="77">
        <f ref="BS50" si="80" t="shared">ABS(AT50-V50)</f>
        <v>0</v>
      </c>
      <c r="BT50" s="77">
        <f si="38" t="shared"/>
        <v>0</v>
      </c>
      <c r="BU50" s="16"/>
      <c r="BW50" s="101" t="s">
        <v>15</v>
      </c>
      <c r="BX50" s="77">
        <f ref="BX50" si="81" t="shared">ABS(AZ50-C50)</f>
        <v>0</v>
      </c>
      <c r="BY50" s="77">
        <f ref="BY50" si="82" t="shared">ABS(BA50-D50)</f>
        <v>0</v>
      </c>
      <c r="BZ50" s="77">
        <f ref="BZ50" si="83" t="shared">ABS(BB50-E50)</f>
        <v>0</v>
      </c>
      <c r="CA50" s="77">
        <f ref="CA50" si="84" t="shared">ABS(BC50-F50)</f>
        <v>0</v>
      </c>
      <c r="CB50" s="77">
        <f ref="CB50" si="85" t="shared">ABS(BD50-G50)</f>
        <v>0</v>
      </c>
      <c r="CC50" s="77">
        <f ref="CC50" si="86" t="shared">ABS(BE50-H50)</f>
        <v>0</v>
      </c>
      <c r="CD50" s="77">
        <f ref="CD50" si="87" t="shared">ABS(BF50-I50)</f>
        <v>0</v>
      </c>
      <c r="CE50" s="77">
        <f ref="CE50" si="88" t="shared">ABS(BG50-J50)</f>
        <v>0</v>
      </c>
      <c r="CF50" s="77">
        <f ref="CF50" si="89" t="shared">ABS(BH50-K50)</f>
        <v>0</v>
      </c>
      <c r="CG50" s="77">
        <f ref="CG50" si="90" t="shared">ABS(BI50-L50)</f>
        <v>0</v>
      </c>
      <c r="CH50" s="77">
        <f ref="CH50" si="91" t="shared">ABS(BJ50-M50)</f>
        <v>0</v>
      </c>
      <c r="CI50" s="77">
        <f ref="CI50" si="92" t="shared">ABS(BK50-N50)</f>
        <v>0</v>
      </c>
      <c r="CJ50" s="77">
        <f ref="CJ50" si="93" t="shared">ABS(BL50-O50)</f>
        <v>0</v>
      </c>
      <c r="CK50" s="77">
        <f ref="CK50" si="94" t="shared">ABS(BM50-P50)</f>
        <v>0</v>
      </c>
      <c r="CL50" s="77">
        <f ref="CL50" si="95" t="shared">ABS(BN50-Q50)</f>
        <v>0</v>
      </c>
      <c r="CM50" s="77">
        <f ref="CM50" si="96" t="shared">ABS(BO50-R50)</f>
        <v>0</v>
      </c>
      <c r="CN50" s="77">
        <f ref="CN50" si="97" t="shared">ABS(BP50-S50)</f>
        <v>0</v>
      </c>
      <c r="CO50" s="77">
        <f ref="CO50" si="98" t="shared">ABS(BQ50-T50)</f>
        <v>0</v>
      </c>
      <c r="CP50" s="77">
        <f ref="CP50" si="99" t="shared">ABS(BR50-U50)</f>
        <v>0</v>
      </c>
      <c r="CQ50" s="77">
        <f ref="CQ50" si="100" t="shared">ABS(BS50-V50)</f>
        <v>0</v>
      </c>
      <c r="CR50" s="77">
        <f ref="CR50:CR51" si="101" t="shared">ABS(BT50-W50)</f>
        <v>0</v>
      </c>
      <c r="CS50" s="16">
        <f ref="CS50:CS51" si="102" t="shared">ABS(BU50-X50)</f>
        <v>0</v>
      </c>
      <c r="CU50" s="95">
        <v>49</v>
      </c>
      <c r="CV50" s="95">
        <f si="6" t="shared"/>
        <v>3</v>
      </c>
      <c r="CW50" s="95">
        <f si="0" t="shared"/>
        <v>9</v>
      </c>
      <c r="CX50" s="58">
        <f si="1" t="shared"/>
        <v>1478.6450557906887</v>
      </c>
      <c r="CY50" s="58">
        <f si="2" t="shared"/>
        <v>1395</v>
      </c>
      <c r="CZ50" s="108">
        <f si="3" t="shared"/>
        <v>-83.64505579068873</v>
      </c>
      <c r="DA50" s="78">
        <f si="4" t="shared"/>
        <v>-5.6568718410897119E-2</v>
      </c>
      <c r="DB50" s="95">
        <v>49000</v>
      </c>
    </row>
    <row ht="15.75" r="51" spans="2:106" thickBot="1" x14ac:dyDescent="0.3">
      <c r="B51" s="1" t="s">
        <v>3</v>
      </c>
      <c r="C51" s="107">
        <f>SUM(C30:C50)</f>
        <v>49826.091080591927</v>
      </c>
      <c r="D51" s="107">
        <f ref="D51:W51" si="103" t="shared">SUM(D30:D50)</f>
        <v>33819.719318941352</v>
      </c>
      <c r="E51" s="107">
        <f si="103" t="shared"/>
        <v>18582.417499791751</v>
      </c>
      <c r="F51" s="107">
        <f si="103" t="shared"/>
        <v>16236.883961394382</v>
      </c>
      <c r="G51" s="107">
        <f si="103" t="shared"/>
        <v>15029.609620549096</v>
      </c>
      <c r="H51" s="107">
        <f si="103" t="shared"/>
        <v>97301.751523931598</v>
      </c>
      <c r="I51" s="107">
        <f si="103" t="shared"/>
        <v>64337.962781391827</v>
      </c>
      <c r="J51" s="107">
        <f si="103" t="shared"/>
        <v>3538.7606834884073</v>
      </c>
      <c r="K51" s="107">
        <f si="103" t="shared"/>
        <v>39525.670062138488</v>
      </c>
      <c r="L51" s="107">
        <f si="103" t="shared"/>
        <v>12777.292692961244</v>
      </c>
      <c r="M51" s="107">
        <f si="103" t="shared"/>
        <v>36303.793335936367</v>
      </c>
      <c r="N51" s="107">
        <f si="103" t="shared"/>
        <v>142489.58738938224</v>
      </c>
      <c r="O51" s="107">
        <f si="103" t="shared"/>
        <v>52316.598933068235</v>
      </c>
      <c r="P51" s="107">
        <f si="103" t="shared"/>
        <v>10795.83624303071</v>
      </c>
      <c r="Q51" s="107">
        <f si="103" t="shared"/>
        <v>22068.377475144262</v>
      </c>
      <c r="R51" s="107">
        <f si="103" t="shared"/>
        <v>3170.8742212042634</v>
      </c>
      <c r="S51" s="107">
        <f si="103" t="shared"/>
        <v>8658.3248663277209</v>
      </c>
      <c r="T51" s="107">
        <f si="103" t="shared"/>
        <v>12436.167866658989</v>
      </c>
      <c r="U51" s="107">
        <f si="103" t="shared"/>
        <v>20828.406746613717</v>
      </c>
      <c r="V51" s="107">
        <f si="103" t="shared"/>
        <v>13755.873697453415</v>
      </c>
      <c r="W51" s="107">
        <f si="103" t="shared"/>
        <v>0</v>
      </c>
      <c r="X51" s="107">
        <f si="15" t="shared"/>
        <v>673799.99999999988</v>
      </c>
      <c r="Y51" s="95"/>
      <c r="Z51" s="1" t="s">
        <v>3</v>
      </c>
      <c r="AA51" s="96">
        <f>SUM(AA30:AA50)</f>
        <v>49682</v>
      </c>
      <c r="AB51" s="96">
        <f ref="AB51:AV51" si="104" t="shared">SUM(AB30:AB50)</f>
        <v>34115</v>
      </c>
      <c r="AC51" s="96">
        <f si="104" t="shared"/>
        <v>18351</v>
      </c>
      <c r="AD51" s="96">
        <f si="104" t="shared"/>
        <v>16035</v>
      </c>
      <c r="AE51" s="96">
        <f si="104" t="shared"/>
        <v>15173</v>
      </c>
      <c r="AF51" s="96">
        <f si="104" t="shared"/>
        <v>96685</v>
      </c>
      <c r="AG51" s="96">
        <f si="104" t="shared"/>
        <v>64115</v>
      </c>
      <c r="AH51" s="96">
        <f si="104" t="shared"/>
        <v>3527</v>
      </c>
      <c r="AI51" s="96">
        <f si="104" t="shared"/>
        <v>38822</v>
      </c>
      <c r="AJ51" s="96">
        <f si="104" t="shared"/>
        <v>12586</v>
      </c>
      <c r="AK51" s="96">
        <f si="104" t="shared"/>
        <v>36741</v>
      </c>
      <c r="AL51" s="96">
        <f si="104" t="shared"/>
        <v>141088</v>
      </c>
      <c r="AM51" s="96">
        <f si="104" t="shared"/>
        <v>52606</v>
      </c>
      <c r="AN51" s="96">
        <f si="104" t="shared"/>
        <v>11087</v>
      </c>
      <c r="AO51" s="96">
        <f si="104" t="shared"/>
        <v>21781</v>
      </c>
      <c r="AP51" s="96">
        <f si="104" t="shared"/>
        <v>3189</v>
      </c>
      <c r="AQ51" s="96">
        <f si="104" t="shared"/>
        <v>9193</v>
      </c>
      <c r="AR51" s="96">
        <f si="104" t="shared"/>
        <v>12357</v>
      </c>
      <c r="AS51" s="96">
        <f si="104" t="shared"/>
        <v>21772</v>
      </c>
      <c r="AT51" s="96">
        <f si="104" t="shared"/>
        <v>14895</v>
      </c>
      <c r="AU51" s="96">
        <f si="104" t="shared"/>
        <v>0</v>
      </c>
      <c r="AV51" s="96">
        <f si="104" t="shared"/>
        <v>673800</v>
      </c>
      <c r="AY51" s="1" t="s">
        <v>3</v>
      </c>
      <c r="AZ51" s="96">
        <f>ABS(SUM(AZ30:AZ50))</f>
        <v>49682</v>
      </c>
      <c r="BA51" s="96">
        <f ref="BA51:BS51" si="105" t="shared">ABS(SUM(BA30:BA50))</f>
        <v>34115</v>
      </c>
      <c r="BB51" s="96">
        <f si="105" t="shared"/>
        <v>18351</v>
      </c>
      <c r="BC51" s="96">
        <f si="105" t="shared"/>
        <v>16035</v>
      </c>
      <c r="BD51" s="96">
        <f si="105" t="shared"/>
        <v>15173</v>
      </c>
      <c r="BE51" s="96">
        <f si="105" t="shared"/>
        <v>96685</v>
      </c>
      <c r="BF51" s="96">
        <f si="105" t="shared"/>
        <v>64115.000000000007</v>
      </c>
      <c r="BG51" s="96">
        <f si="105" t="shared"/>
        <v>3527</v>
      </c>
      <c r="BH51" s="96">
        <f si="105" t="shared"/>
        <v>38822</v>
      </c>
      <c r="BI51" s="96">
        <f si="105" t="shared"/>
        <v>12586</v>
      </c>
      <c r="BJ51" s="96">
        <f si="105" t="shared"/>
        <v>36741</v>
      </c>
      <c r="BK51" s="96">
        <f si="105" t="shared"/>
        <v>141088</v>
      </c>
      <c r="BL51" s="96">
        <f si="105" t="shared"/>
        <v>52606</v>
      </c>
      <c r="BM51" s="96">
        <f si="105" t="shared"/>
        <v>11087</v>
      </c>
      <c r="BN51" s="96">
        <f si="105" t="shared"/>
        <v>21781</v>
      </c>
      <c r="BO51" s="96">
        <f si="105" t="shared"/>
        <v>3189</v>
      </c>
      <c r="BP51" s="96">
        <f si="105" t="shared"/>
        <v>9193</v>
      </c>
      <c r="BQ51" s="96">
        <f si="105" t="shared"/>
        <v>12357</v>
      </c>
      <c r="BR51" s="96">
        <f si="105" t="shared"/>
        <v>21772.000000000004</v>
      </c>
      <c r="BS51" s="96">
        <f si="105" t="shared"/>
        <v>14895</v>
      </c>
      <c r="BT51" s="96">
        <f ref="BT51" si="106" t="shared">ABS(SUM(BT30:BT50))</f>
        <v>0</v>
      </c>
      <c r="BU51" s="96">
        <f ref="BU51" si="107" t="shared">ABS(SUM(BU30:BU50))</f>
        <v>673800</v>
      </c>
      <c r="BW51" s="1" t="s">
        <v>3</v>
      </c>
      <c r="BX51" s="96">
        <f>SUM(BX30:BX49)</f>
        <v>4934.4973513626992</v>
      </c>
      <c r="BY51" s="96">
        <f ref="BY51:CQ51" si="108" t="shared">SUM(BY30:BY49)</f>
        <v>7628.8519802846213</v>
      </c>
      <c r="BZ51" s="96">
        <f si="108" t="shared"/>
        <v>3296.2659136365496</v>
      </c>
      <c r="CA51" s="96">
        <f si="108" t="shared"/>
        <v>3896.1980161291394</v>
      </c>
      <c r="CB51" s="96">
        <f si="108" t="shared"/>
        <v>2171.5141286100179</v>
      </c>
      <c r="CC51" s="96">
        <f si="108" t="shared"/>
        <v>12440.276804839021</v>
      </c>
      <c r="CD51" s="96">
        <f si="108" t="shared"/>
        <v>15667.273838417552</v>
      </c>
      <c r="CE51" s="96">
        <f si="108" t="shared"/>
        <v>1110.6264478560324</v>
      </c>
      <c r="CF51" s="96">
        <f si="108" t="shared"/>
        <v>9019.0632244755507</v>
      </c>
      <c r="CG51" s="96">
        <f si="108" t="shared"/>
        <v>3141.0667398792089</v>
      </c>
      <c r="CH51" s="96">
        <f si="108" t="shared"/>
        <v>12121.317558861308</v>
      </c>
      <c r="CI51" s="96">
        <f si="108" t="shared"/>
        <v>20244.436195574832</v>
      </c>
      <c r="CJ51" s="96">
        <f si="108" t="shared"/>
        <v>12454.875023233993</v>
      </c>
      <c r="CK51" s="96">
        <f si="108" t="shared"/>
        <v>2686.7175744470323</v>
      </c>
      <c r="CL51" s="96">
        <f si="108" t="shared"/>
        <v>6293.3315941863666</v>
      </c>
      <c r="CM51" s="96">
        <f si="108" t="shared"/>
        <v>1219.5008087341773</v>
      </c>
      <c r="CN51" s="96">
        <f si="108" t="shared"/>
        <v>2261.8935629503708</v>
      </c>
      <c r="CO51" s="96">
        <f si="108" t="shared"/>
        <v>4608.340521562076</v>
      </c>
      <c r="CP51" s="96">
        <f si="108" t="shared"/>
        <v>5462.2930313516272</v>
      </c>
      <c r="CQ51" s="96">
        <f si="108" t="shared"/>
        <v>5686.5782112455554</v>
      </c>
      <c r="CR51" s="96">
        <f si="101" t="shared"/>
        <v>0</v>
      </c>
      <c r="CS51" s="96">
        <f si="102" t="shared"/>
        <v>1.1641532182693481E-10</v>
      </c>
      <c r="CU51" s="95">
        <v>50</v>
      </c>
      <c r="CV51" s="95">
        <f si="6" t="shared"/>
        <v>3</v>
      </c>
      <c r="CW51" s="95">
        <f si="0" t="shared"/>
        <v>10</v>
      </c>
      <c r="CX51" s="58">
        <f si="1" t="shared"/>
        <v>632.42170065409778</v>
      </c>
      <c r="CY51" s="58">
        <f si="2" t="shared"/>
        <v>627</v>
      </c>
      <c r="CZ51" s="108">
        <f si="3" t="shared"/>
        <v>-5.4217006540977764</v>
      </c>
      <c r="DA51" s="78">
        <f si="4" t="shared"/>
        <v>-8.5729200128494137E-3</v>
      </c>
      <c r="DB51" s="95">
        <v>50000</v>
      </c>
    </row>
    <row r="52" spans="2:106" x14ac:dyDescent="0.25">
      <c r="B52" s="95"/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95"/>
      <c r="AN52" s="95"/>
      <c r="AO52" s="95"/>
      <c r="AP52" s="95"/>
      <c r="AQ52" s="95"/>
      <c r="AR52" s="95"/>
      <c r="AS52" s="95"/>
      <c r="AT52" s="95"/>
      <c r="AU52" s="95"/>
      <c r="AV52" s="95"/>
      <c r="CU52" s="95">
        <v>51</v>
      </c>
      <c r="CV52" s="95">
        <f si="6" t="shared"/>
        <v>3</v>
      </c>
      <c r="CW52" s="95">
        <f si="0" t="shared"/>
        <v>11</v>
      </c>
      <c r="CX52" s="58">
        <f si="1" t="shared"/>
        <v>1509.1881492881878</v>
      </c>
      <c r="CY52" s="58">
        <f si="2" t="shared"/>
        <v>1749</v>
      </c>
      <c r="CZ52" s="108">
        <f si="3" t="shared"/>
        <v>239.81185071181221</v>
      </c>
      <c r="DA52" s="78">
        <f si="4" t="shared"/>
        <v>0.15890122833585729</v>
      </c>
      <c r="DB52" s="95">
        <v>51000</v>
      </c>
    </row>
    <row r="53" spans="2:106" x14ac:dyDescent="0.25"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95"/>
      <c r="AN53" s="95"/>
      <c r="AO53" s="95"/>
      <c r="AP53" s="95"/>
      <c r="AQ53" s="95"/>
      <c r="AR53" s="95"/>
      <c r="AS53" s="95"/>
      <c r="AT53" s="95"/>
      <c r="AU53" s="95"/>
      <c r="AV53" s="95"/>
      <c r="CU53" s="95">
        <v>52</v>
      </c>
      <c r="CV53" s="95">
        <f si="6" t="shared"/>
        <v>3</v>
      </c>
      <c r="CW53" s="95">
        <f si="0" t="shared"/>
        <v>12</v>
      </c>
      <c r="CX53" s="58">
        <f si="1" t="shared"/>
        <v>4064.9264140053865</v>
      </c>
      <c r="CY53" s="58">
        <f si="2" t="shared"/>
        <v>3436</v>
      </c>
      <c r="CZ53" s="108">
        <f si="3" t="shared"/>
        <v>-628.9264140053865</v>
      </c>
      <c r="DA53" s="78">
        <f si="4" t="shared"/>
        <v>-0.15472024581760438</v>
      </c>
      <c r="DB53" s="95">
        <v>52000</v>
      </c>
    </row>
    <row r="54" spans="2:106" x14ac:dyDescent="0.25"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95"/>
      <c r="AN54" s="95"/>
      <c r="AO54" s="95"/>
      <c r="AP54" s="95"/>
      <c r="AQ54" s="95"/>
      <c r="AR54" s="95"/>
      <c r="AS54" s="95"/>
      <c r="AT54" s="95"/>
      <c r="AU54" s="95"/>
      <c r="AV54" s="95"/>
      <c r="CU54" s="95">
        <v>53</v>
      </c>
      <c r="CV54" s="95">
        <f si="6" t="shared"/>
        <v>3</v>
      </c>
      <c r="CW54" s="95">
        <f si="0" t="shared"/>
        <v>13</v>
      </c>
      <c r="CX54" s="58">
        <f si="1" t="shared"/>
        <v>404.24682570219318</v>
      </c>
      <c r="CY54" s="58">
        <f si="2" t="shared"/>
        <v>88</v>
      </c>
      <c r="CZ54" s="108">
        <f si="3" t="shared"/>
        <v>-316.24682570219318</v>
      </c>
      <c r="DA54" s="78">
        <f si="4" t="shared"/>
        <v>-0.78231121580944907</v>
      </c>
      <c r="DB54" s="95">
        <v>53000</v>
      </c>
    </row>
    <row ht="15.75" r="55" spans="2:106" thickBot="1" x14ac:dyDescent="0.3">
      <c r="B55" s="4" t="s">
        <v>321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7"/>
      <c r="Q55" s="7"/>
      <c r="R55" s="7"/>
      <c r="S55" s="7"/>
      <c r="T55" s="7"/>
      <c r="U55" s="7"/>
      <c r="V55" s="7"/>
      <c r="W55" s="7"/>
      <c r="X55" s="7"/>
      <c r="Y55" s="95"/>
      <c r="Z55" s="4" t="s">
        <v>324</v>
      </c>
      <c r="AA55" s="1"/>
      <c r="AB55" s="1"/>
      <c r="AC55" s="1"/>
      <c r="AD55" s="1"/>
      <c r="AE55" s="1"/>
      <c r="AF55" s="1"/>
      <c r="AG55" s="1"/>
      <c r="AH55" s="1"/>
      <c r="AI55" s="1"/>
      <c r="AJ55" s="95"/>
      <c r="AK55" s="95"/>
      <c r="AL55" s="95"/>
      <c r="AM55" s="95"/>
      <c r="AN55" s="95"/>
      <c r="AO55" s="95"/>
      <c r="AP55" s="95"/>
      <c r="AQ55" s="95"/>
      <c r="AR55" s="95"/>
      <c r="AS55" s="95"/>
      <c r="AT55" s="95"/>
      <c r="AU55" s="95"/>
      <c r="AV55" s="95"/>
      <c r="AY55" s="10" t="s">
        <v>371</v>
      </c>
      <c r="CU55" s="95">
        <v>54</v>
      </c>
      <c r="CV55" s="95">
        <f si="6" t="shared"/>
        <v>3</v>
      </c>
      <c r="CW55" s="95">
        <f si="0" t="shared"/>
        <v>14</v>
      </c>
      <c r="CX55" s="58">
        <f si="1" t="shared"/>
        <v>159.00375144286264</v>
      </c>
      <c r="CY55" s="58">
        <f si="2" t="shared"/>
        <v>94</v>
      </c>
      <c r="CZ55" s="108">
        <f si="3" t="shared"/>
        <v>-65.003751442862637</v>
      </c>
      <c r="DA55" s="78">
        <f si="4" t="shared"/>
        <v>-0.40881897975986731</v>
      </c>
      <c r="DB55" s="95">
        <v>54000</v>
      </c>
    </row>
    <row r="56" spans="2:106" x14ac:dyDescent="0.25">
      <c r="B56" s="2" t="s">
        <v>14</v>
      </c>
      <c r="C56" s="2">
        <v>1</v>
      </c>
      <c r="D56" s="2">
        <v>2</v>
      </c>
      <c r="E56" s="2">
        <v>3</v>
      </c>
      <c r="F56" s="2">
        <v>4</v>
      </c>
      <c r="G56" s="2">
        <v>5</v>
      </c>
      <c r="H56" s="2">
        <v>6</v>
      </c>
      <c r="I56" s="2">
        <v>7</v>
      </c>
      <c r="J56" s="2">
        <v>8</v>
      </c>
      <c r="K56" s="2">
        <v>9</v>
      </c>
      <c r="L56" s="2">
        <v>10</v>
      </c>
      <c r="M56" s="2">
        <v>11</v>
      </c>
      <c r="N56" s="2">
        <v>12</v>
      </c>
      <c r="O56" s="2">
        <v>13</v>
      </c>
      <c r="P56" s="2">
        <v>14</v>
      </c>
      <c r="Q56" s="2">
        <v>15</v>
      </c>
      <c r="R56" s="2">
        <v>16</v>
      </c>
      <c r="S56" s="2">
        <v>17</v>
      </c>
      <c r="T56" s="2">
        <v>18</v>
      </c>
      <c r="U56" s="2">
        <v>19</v>
      </c>
      <c r="V56" s="2">
        <v>20</v>
      </c>
      <c r="W56" s="3" t="s">
        <v>15</v>
      </c>
      <c r="X56" s="3" t="s">
        <v>3</v>
      </c>
      <c r="Y56" s="95"/>
      <c r="Z56" s="2" t="s">
        <v>14</v>
      </c>
      <c r="AA56" s="2">
        <v>1</v>
      </c>
      <c r="AB56" s="2">
        <v>2</v>
      </c>
      <c r="AC56" s="2">
        <v>3</v>
      </c>
      <c r="AD56" s="2">
        <v>4</v>
      </c>
      <c r="AE56" s="2">
        <v>5</v>
      </c>
      <c r="AF56" s="2">
        <v>6</v>
      </c>
      <c r="AG56" s="2">
        <v>7</v>
      </c>
      <c r="AH56" s="2">
        <v>8</v>
      </c>
      <c r="AI56" s="2">
        <v>9</v>
      </c>
      <c r="AJ56" s="2">
        <v>10</v>
      </c>
      <c r="AK56" s="2">
        <v>11</v>
      </c>
      <c r="AL56" s="2">
        <v>12</v>
      </c>
      <c r="AM56" s="2">
        <v>13</v>
      </c>
      <c r="AN56" s="2">
        <v>14</v>
      </c>
      <c r="AO56" s="2">
        <v>15</v>
      </c>
      <c r="AP56" s="2">
        <v>16</v>
      </c>
      <c r="AQ56" s="2">
        <v>17</v>
      </c>
      <c r="AR56" s="2">
        <v>18</v>
      </c>
      <c r="AS56" s="2">
        <v>19</v>
      </c>
      <c r="AT56" s="2">
        <v>20</v>
      </c>
      <c r="AU56" s="3" t="s">
        <v>15</v>
      </c>
      <c r="AV56" s="3" t="s">
        <v>3</v>
      </c>
      <c r="AY56" s="148" t="s">
        <v>363</v>
      </c>
      <c r="AZ56" s="2">
        <v>1</v>
      </c>
      <c r="BA56" s="2">
        <v>2</v>
      </c>
      <c r="BB56" s="2">
        <v>3</v>
      </c>
      <c r="BC56" s="2">
        <v>4</v>
      </c>
      <c r="BD56" s="2">
        <v>5</v>
      </c>
      <c r="BE56" s="2">
        <v>6</v>
      </c>
      <c r="BF56" s="2">
        <v>7</v>
      </c>
      <c r="BG56" s="2">
        <v>8</v>
      </c>
      <c r="BH56" s="2">
        <v>9</v>
      </c>
      <c r="BI56" s="2">
        <v>10</v>
      </c>
      <c r="BJ56" s="2">
        <v>11</v>
      </c>
      <c r="BK56" s="2">
        <v>12</v>
      </c>
      <c r="BL56" s="2">
        <v>13</v>
      </c>
      <c r="BM56" s="2">
        <v>14</v>
      </c>
      <c r="BN56" s="2">
        <v>15</v>
      </c>
      <c r="BO56" s="2">
        <v>16</v>
      </c>
      <c r="BP56" s="2">
        <v>17</v>
      </c>
      <c r="BQ56" s="2">
        <v>18</v>
      </c>
      <c r="BR56" s="2">
        <v>19</v>
      </c>
      <c r="BS56" s="2">
        <v>20</v>
      </c>
      <c r="BT56" s="3" t="s">
        <v>15</v>
      </c>
      <c r="BU56" s="149" t="s">
        <v>3</v>
      </c>
      <c r="CU56" s="95">
        <v>55</v>
      </c>
      <c r="CV56" s="95">
        <f si="6" t="shared"/>
        <v>3</v>
      </c>
      <c r="CW56" s="95">
        <f si="0" t="shared"/>
        <v>15</v>
      </c>
      <c r="CX56" s="58">
        <f si="1" t="shared"/>
        <v>274.88784147749135</v>
      </c>
      <c r="CY56" s="58">
        <f si="2" t="shared"/>
        <v>92</v>
      </c>
      <c r="CZ56" s="108">
        <f si="3" t="shared"/>
        <v>-182.88784147749135</v>
      </c>
      <c r="DA56" s="78">
        <f si="4" t="shared"/>
        <v>-0.66531804569634545</v>
      </c>
      <c r="DB56" s="95">
        <v>55000</v>
      </c>
    </row>
    <row r="57" spans="2:106" x14ac:dyDescent="0.25">
      <c r="B57" s="31">
        <v>1</v>
      </c>
      <c r="C57" s="103">
        <f>IF($X$51&gt;0,C30/$X$51,0)</f>
        <v>1.7831916085169462E-3</v>
      </c>
      <c r="D57" s="103">
        <f ref="D57:X57" si="109" t="shared">IF($X$51&gt;0,D30/$X$51,0)</f>
        <v>4.5784649407867541E-4</v>
      </c>
      <c r="E57" s="103">
        <f si="109" t="shared"/>
        <v>2.4699613496349598E-4</v>
      </c>
      <c r="F57" s="103">
        <f si="109" t="shared"/>
        <v>2.2289895106461827E-4</v>
      </c>
      <c r="G57" s="103">
        <f si="109" t="shared"/>
        <v>2.5904472691293479E-4</v>
      </c>
      <c r="H57" s="103">
        <f si="109" t="shared"/>
        <v>1.9024726688163908E-3</v>
      </c>
      <c r="I57" s="103">
        <f si="109" t="shared"/>
        <v>3.1446824988035337E-4</v>
      </c>
      <c r="J57" s="103">
        <f si="109" t="shared"/>
        <v>3.1326339068540949E-5</v>
      </c>
      <c r="K57" s="103">
        <f si="109" t="shared"/>
        <v>3.1687796827024119E-4</v>
      </c>
      <c r="L57" s="103">
        <f si="109" t="shared"/>
        <v>1.5783655453764861E-4</v>
      </c>
      <c r="M57" s="103">
        <f si="109" t="shared"/>
        <v>2.168746550898989E-4</v>
      </c>
      <c r="N57" s="103">
        <f si="109" t="shared"/>
        <v>1.2181126460882653E-3</v>
      </c>
      <c r="O57" s="103">
        <f si="109" t="shared"/>
        <v>7.5906129281464618E-5</v>
      </c>
      <c r="P57" s="103">
        <f si="109" t="shared"/>
        <v>1.4458310339326592E-5</v>
      </c>
      <c r="Q57" s="103">
        <f si="109" t="shared"/>
        <v>3.4940916653372599E-5</v>
      </c>
      <c r="R57" s="103">
        <f si="109" t="shared"/>
        <v>2.0482606314046002E-5</v>
      </c>
      <c r="S57" s="103">
        <f si="109" t="shared"/>
        <v>8.4340143646071779E-6</v>
      </c>
      <c r="T57" s="103">
        <f si="109" t="shared"/>
        <v>1.3253451144382709E-5</v>
      </c>
      <c r="U57" s="103">
        <f si="109" t="shared"/>
        <v>3.9760353433148124E-5</v>
      </c>
      <c r="V57" s="103">
        <f si="109" t="shared"/>
        <v>1.5663169534270475E-5</v>
      </c>
      <c r="W57" s="103">
        <f si="109" t="shared"/>
        <v>0</v>
      </c>
      <c r="X57" s="103">
        <f si="109" t="shared"/>
        <v>7.3508459483526307E-3</v>
      </c>
      <c r="Y57" s="95"/>
      <c r="Z57" s="31">
        <v>1</v>
      </c>
      <c r="AA57" s="103">
        <f>IF($BU$51&gt;0,AZ30/$BU$51,0)</f>
        <v>2.0198872068863173E-3</v>
      </c>
      <c r="AB57" s="103">
        <f ref="AB57:AV57" si="110" t="shared">IF($BU$51&gt;0,BA30/$BU$51,0)</f>
        <v>4.2742653606411417E-4</v>
      </c>
      <c r="AC57" s="103">
        <f si="110" t="shared"/>
        <v>2.4042742653606421E-4</v>
      </c>
      <c r="AD57" s="103">
        <f si="110" t="shared"/>
        <v>3.8141881864054632E-4</v>
      </c>
      <c r="AE57" s="103">
        <f si="110" t="shared"/>
        <v>3.3986346096764631E-4</v>
      </c>
      <c r="AF57" s="103">
        <f si="110" t="shared"/>
        <v>2.1252597209854562E-3</v>
      </c>
      <c r="AG57" s="103">
        <f si="110" t="shared"/>
        <v>1.9293558919560708E-4</v>
      </c>
      <c r="AH57" s="103">
        <f si="110" t="shared"/>
        <v>5.1944197091124985E-5</v>
      </c>
      <c r="AI57" s="103">
        <f si="110" t="shared"/>
        <v>2.4487978628673205E-4</v>
      </c>
      <c r="AJ57" s="103">
        <f si="110" t="shared"/>
        <v>1.691896705253785E-4</v>
      </c>
      <c r="AK57" s="103">
        <f si="110" t="shared"/>
        <v>1.8403086969427136E-4</v>
      </c>
      <c r="AL57" s="103">
        <f si="110" t="shared"/>
        <v>8.4891659246067114E-4</v>
      </c>
      <c r="AM57" s="103">
        <f si="110" t="shared"/>
        <v>1.7809439002671423E-5</v>
      </c>
      <c r="AN57" s="103">
        <f si="110" t="shared"/>
        <v>2.0777678836449995E-5</v>
      </c>
      <c r="AO57" s="103">
        <f si="110" t="shared"/>
        <v>2.2261798753339277E-5</v>
      </c>
      <c r="AP57" s="103">
        <f si="110" t="shared"/>
        <v>1.4841199168892852E-5</v>
      </c>
      <c r="AQ57" s="103">
        <f si="110" t="shared"/>
        <v>1.0388839418224997E-5</v>
      </c>
      <c r="AR57" s="103">
        <f si="110" t="shared"/>
        <v>7.4205995844464261E-6</v>
      </c>
      <c r="AS57" s="103">
        <f si="110" t="shared"/>
        <v>2.3745918670228563E-5</v>
      </c>
      <c r="AT57" s="103">
        <f si="110" t="shared"/>
        <v>7.4205995844464261E-6</v>
      </c>
      <c r="AU57" s="103">
        <f si="110" t="shared"/>
        <v>0</v>
      </c>
      <c r="AV57" s="103">
        <f si="110" t="shared"/>
        <v>7.3508459483526299E-3</v>
      </c>
      <c r="AX57" t="s">
        <v>220</v>
      </c>
      <c r="AY57" s="144" t="s">
        <v>370</v>
      </c>
      <c r="AZ57" s="116">
        <f>C51</f>
        <v>49826.091080591927</v>
      </c>
      <c r="BA57" s="116">
        <f ref="BA57:BU57" si="111" t="shared">D51</f>
        <v>33819.719318941352</v>
      </c>
      <c r="BB57" s="116">
        <f si="111" t="shared"/>
        <v>18582.417499791751</v>
      </c>
      <c r="BC57" s="116">
        <f si="111" t="shared"/>
        <v>16236.883961394382</v>
      </c>
      <c r="BD57" s="116">
        <f si="111" t="shared"/>
        <v>15029.609620549096</v>
      </c>
      <c r="BE57" s="116">
        <f si="111" t="shared"/>
        <v>97301.751523931598</v>
      </c>
      <c r="BF57" s="116">
        <f si="111" t="shared"/>
        <v>64337.962781391827</v>
      </c>
      <c r="BG57" s="116">
        <f si="111" t="shared"/>
        <v>3538.7606834884073</v>
      </c>
      <c r="BH57" s="116">
        <f si="111" t="shared"/>
        <v>39525.670062138488</v>
      </c>
      <c r="BI57" s="116">
        <f si="111" t="shared"/>
        <v>12777.292692961244</v>
      </c>
      <c r="BJ57" s="116">
        <f si="111" t="shared"/>
        <v>36303.793335936367</v>
      </c>
      <c r="BK57" s="116">
        <f si="111" t="shared"/>
        <v>142489.58738938224</v>
      </c>
      <c r="BL57" s="116">
        <f si="111" t="shared"/>
        <v>52316.598933068235</v>
      </c>
      <c r="BM57" s="116">
        <f si="111" t="shared"/>
        <v>10795.83624303071</v>
      </c>
      <c r="BN57" s="116">
        <f si="111" t="shared"/>
        <v>22068.377475144262</v>
      </c>
      <c r="BO57" s="116">
        <f si="111" t="shared"/>
        <v>3170.8742212042634</v>
      </c>
      <c r="BP57" s="116">
        <f si="111" t="shared"/>
        <v>8658.3248663277209</v>
      </c>
      <c r="BQ57" s="116">
        <f si="111" t="shared"/>
        <v>12436.167866658989</v>
      </c>
      <c r="BR57" s="116">
        <f si="111" t="shared"/>
        <v>20828.406746613717</v>
      </c>
      <c r="BS57" s="116">
        <f si="111" t="shared"/>
        <v>13755.873697453415</v>
      </c>
      <c r="BT57" s="116">
        <f si="111" t="shared"/>
        <v>0</v>
      </c>
      <c r="BU57" s="152">
        <f si="111" t="shared"/>
        <v>673799.99999999988</v>
      </c>
      <c r="CU57" s="95">
        <v>56</v>
      </c>
      <c r="CV57" s="95">
        <f si="6" t="shared"/>
        <v>3</v>
      </c>
      <c r="CW57" s="95">
        <f si="0" t="shared"/>
        <v>16</v>
      </c>
      <c r="CX57" s="58">
        <f si="1" t="shared"/>
        <v>106.00250096190842</v>
      </c>
      <c r="CY57" s="58">
        <f si="2" t="shared"/>
        <v>57</v>
      </c>
      <c r="CZ57" s="108">
        <f si="3" t="shared"/>
        <v>-49.002500961908424</v>
      </c>
      <c r="DA57" s="78">
        <f si="4" t="shared"/>
        <v>-0.46227683797307084</v>
      </c>
      <c r="DB57" s="95">
        <v>56000</v>
      </c>
    </row>
    <row r="58" spans="2:106" x14ac:dyDescent="0.25">
      <c r="B58" s="95">
        <v>2</v>
      </c>
      <c r="C58" s="104">
        <f ref="C58:X58" si="112" t="shared">IF($X$51&gt;0,C31/$X$51,0)</f>
        <v>2.5273898742551705E-3</v>
      </c>
      <c r="D58" s="104">
        <f si="112" t="shared"/>
        <v>2.5683657152774657E-3</v>
      </c>
      <c r="E58" s="104">
        <f si="112" t="shared"/>
        <v>1.0030885882257876E-3</v>
      </c>
      <c r="F58" s="104">
        <f si="112" t="shared"/>
        <v>6.0316437984818589E-4</v>
      </c>
      <c r="G58" s="104">
        <f si="112" t="shared"/>
        <v>6.4741828815226483E-4</v>
      </c>
      <c r="H58" s="104">
        <f si="112" t="shared"/>
        <v>4.1811748179150067E-3</v>
      </c>
      <c r="I58" s="104">
        <f si="112" t="shared"/>
        <v>1.8291615432352594E-3</v>
      </c>
      <c r="J58" s="104">
        <f si="112" t="shared"/>
        <v>1.3931785947580381E-4</v>
      </c>
      <c r="K58" s="104">
        <f si="112" t="shared"/>
        <v>1.783268601290289E-3</v>
      </c>
      <c r="L58" s="104">
        <f si="112" t="shared"/>
        <v>4.4090004939989681E-4</v>
      </c>
      <c r="M58" s="104">
        <f si="112" t="shared"/>
        <v>1.0702889675023519E-3</v>
      </c>
      <c r="N58" s="104">
        <f si="112" t="shared"/>
        <v>4.0451350257209862E-3</v>
      </c>
      <c r="O58" s="104">
        <f si="112" t="shared"/>
        <v>3.6714353555976538E-4</v>
      </c>
      <c r="P58" s="104">
        <f si="112" t="shared"/>
        <v>7.7034581121915055E-5</v>
      </c>
      <c r="Q58" s="104">
        <f si="112" t="shared"/>
        <v>2.6224538254268956E-4</v>
      </c>
      <c r="R58" s="104">
        <f si="112" t="shared"/>
        <v>7.5395547481023236E-5</v>
      </c>
      <c r="S58" s="104">
        <f si="112" t="shared"/>
        <v>7.3756513840131431E-5</v>
      </c>
      <c r="T58" s="104">
        <f si="112" t="shared"/>
        <v>1.0162008573529219E-4</v>
      </c>
      <c r="U58" s="104">
        <f si="112" t="shared"/>
        <v>1.4423496039847925E-4</v>
      </c>
      <c r="V58" s="104">
        <f si="112" t="shared"/>
        <v>5.9005211072105149E-5</v>
      </c>
      <c r="W58" s="104">
        <f si="112" t="shared"/>
        <v>0</v>
      </c>
      <c r="X58" s="104">
        <f si="112" t="shared"/>
        <v>2.1999109528049871E-2</v>
      </c>
      <c r="Y58" s="95"/>
      <c r="Z58" s="95">
        <v>2</v>
      </c>
      <c r="AA58" s="104">
        <f ref="AA58:AA78" si="113" t="shared">IF($BU$51&gt;0,AZ31/$BU$51,0)</f>
        <v>2.5868210151380232E-3</v>
      </c>
      <c r="AB58" s="104">
        <f ref="AB58:AB78" si="114" t="shared">IF($BU$51&gt;0,BA31/$BU$51,0)</f>
        <v>3.4387058474324725E-3</v>
      </c>
      <c r="AC58" s="104">
        <f ref="AC58:AC78" si="115" t="shared">IF($BU$51&gt;0,BB31/$BU$51,0)</f>
        <v>9.1718610863757795E-4</v>
      </c>
      <c r="AD58" s="104">
        <f ref="AD58:AD78" si="116" t="shared">IF($BU$51&gt;0,BC31/$BU$51,0)</f>
        <v>6.8863164143662808E-4</v>
      </c>
      <c r="AE58" s="104">
        <f ref="AE58:AE78" si="117" t="shared">IF($BU$51&gt;0,BD31/$BU$51,0)</f>
        <v>6.6785396260017811E-4</v>
      </c>
      <c r="AF58" s="104">
        <f ref="AF58:AF78" si="118" t="shared">IF($BU$51&gt;0,BE31/$BU$51,0)</f>
        <v>4.4939151083407541E-3</v>
      </c>
      <c r="AG58" s="104">
        <f ref="AG58:AG78" si="119" t="shared">IF($BU$51&gt;0,BF31/$BU$51,0)</f>
        <v>1.6399525081626596E-3</v>
      </c>
      <c r="AH58" s="104">
        <f ref="AH58:AH78" si="120" t="shared">IF($BU$51&gt;0,BG31/$BU$51,0)</f>
        <v>1.2615019293558919E-4</v>
      </c>
      <c r="AI58" s="104">
        <f ref="AI58:AI78" si="121" t="shared">IF($BU$51&gt;0,BH31/$BU$51,0)</f>
        <v>1.7230632235084595E-3</v>
      </c>
      <c r="AJ58" s="104">
        <f ref="AJ58:AJ78" si="122" t="shared">IF($BU$51&gt;0,BI31/$BU$51,0)</f>
        <v>4.7046601365390326E-4</v>
      </c>
      <c r="AK58" s="104">
        <f ref="AK58:AK78" si="123" t="shared">IF($BU$51&gt;0,BJ31/$BU$51,0)</f>
        <v>6.0552092609082817E-4</v>
      </c>
      <c r="AL58" s="104">
        <f ref="AL58:AL78" si="124" t="shared">IF($BU$51&gt;0,BK31/$BU$51,0)</f>
        <v>4.1792816859602252E-3</v>
      </c>
      <c r="AM58" s="104">
        <f ref="AM58:AM78" si="125" t="shared">IF($BU$51&gt;0,BL31/$BU$51,0)</f>
        <v>9.3499554764024927E-5</v>
      </c>
      <c r="AN58" s="104">
        <f ref="AN58:AN78" si="126" t="shared">IF($BU$51&gt;0,BM31/$BU$51,0)</f>
        <v>5.0460077174235679E-5</v>
      </c>
      <c r="AO58" s="104">
        <f ref="AO58:AO78" si="127" t="shared">IF($BU$51&gt;0,BN31/$BU$51,0)</f>
        <v>1.3950727218759275E-4</v>
      </c>
      <c r="AP58" s="104">
        <f ref="AP58:AP78" si="128" t="shared">IF($BU$51&gt;0,BO31/$BU$51,0)</f>
        <v>4.1555357672899969E-5</v>
      </c>
      <c r="AQ58" s="104">
        <f ref="AQ58:AQ78" si="129" t="shared">IF($BU$51&gt;0,BP31/$BU$51,0)</f>
        <v>3.116651825467498E-5</v>
      </c>
      <c r="AR58" s="104">
        <f ref="AR58:AR78" si="130" t="shared">IF($BU$51&gt;0,BQ31/$BU$51,0)</f>
        <v>1.632531908578213E-5</v>
      </c>
      <c r="AS58" s="104">
        <f ref="AS58:AS78" si="131" t="shared">IF($BU$51&gt;0,BR31/$BU$51,0)</f>
        <v>7.2721875927574949E-5</v>
      </c>
      <c r="AT58" s="104">
        <f ref="AT58:AT78" si="132" t="shared">IF($BU$51&gt;0,BS31/$BU$51,0)</f>
        <v>1.632531908578213E-5</v>
      </c>
      <c r="AU58" s="104">
        <f ref="AU58:AU78" si="133" t="shared">IF($BU$51&gt;0,BT31/$BU$51,0)</f>
        <v>0</v>
      </c>
      <c r="AV58" s="104">
        <f ref="AV58:AV78" si="134" t="shared">IF($BU$51&gt;0,BU31/$BU$51,0)</f>
        <v>2.1999109528049867E-2</v>
      </c>
      <c r="AY58" s="151" t="s">
        <v>348</v>
      </c>
      <c r="AZ58" s="60">
        <f>AZ51</f>
        <v>49682</v>
      </c>
      <c r="BA58" s="60">
        <f ref="BA58:BU58" si="135" t="shared">BA51</f>
        <v>34115</v>
      </c>
      <c r="BB58" s="60">
        <f si="135" t="shared"/>
        <v>18351</v>
      </c>
      <c r="BC58" s="60">
        <f si="135" t="shared"/>
        <v>16035</v>
      </c>
      <c r="BD58" s="60">
        <f si="135" t="shared"/>
        <v>15173</v>
      </c>
      <c r="BE58" s="60">
        <f si="135" t="shared"/>
        <v>96685</v>
      </c>
      <c r="BF58" s="60">
        <f si="135" t="shared"/>
        <v>64115.000000000007</v>
      </c>
      <c r="BG58" s="60">
        <f si="135" t="shared"/>
        <v>3527</v>
      </c>
      <c r="BH58" s="60">
        <f si="135" t="shared"/>
        <v>38822</v>
      </c>
      <c r="BI58" s="60">
        <f si="135" t="shared"/>
        <v>12586</v>
      </c>
      <c r="BJ58" s="60">
        <f si="135" t="shared"/>
        <v>36741</v>
      </c>
      <c r="BK58" s="60">
        <f si="135" t="shared"/>
        <v>141088</v>
      </c>
      <c r="BL58" s="60">
        <f si="135" t="shared"/>
        <v>52606</v>
      </c>
      <c r="BM58" s="60">
        <f si="135" t="shared"/>
        <v>11087</v>
      </c>
      <c r="BN58" s="60">
        <f si="135" t="shared"/>
        <v>21781</v>
      </c>
      <c r="BO58" s="60">
        <f si="135" t="shared"/>
        <v>3189</v>
      </c>
      <c r="BP58" s="60">
        <f si="135" t="shared"/>
        <v>9193</v>
      </c>
      <c r="BQ58" s="60">
        <f si="135" t="shared"/>
        <v>12357</v>
      </c>
      <c r="BR58" s="60">
        <f si="135" t="shared"/>
        <v>21772.000000000004</v>
      </c>
      <c r="BS58" s="60">
        <f si="135" t="shared"/>
        <v>14895</v>
      </c>
      <c r="BT58" s="60">
        <f si="135" t="shared"/>
        <v>0</v>
      </c>
      <c r="BU58" s="153">
        <f si="135" t="shared"/>
        <v>673800</v>
      </c>
      <c r="CU58" s="95">
        <v>57</v>
      </c>
      <c r="CV58" s="95">
        <f si="6" t="shared"/>
        <v>3</v>
      </c>
      <c r="CW58" s="95">
        <f si="0" t="shared"/>
        <v>17</v>
      </c>
      <c r="CX58" s="58">
        <f si="1" t="shared"/>
        <v>111.39245863793768</v>
      </c>
      <c r="CY58" s="58">
        <f si="2" t="shared"/>
        <v>92</v>
      </c>
      <c r="CZ58" s="108">
        <f si="3" t="shared"/>
        <v>-19.392458637937679</v>
      </c>
      <c r="DA58" s="78">
        <f si="4" t="shared"/>
        <v>-0.17409130631517508</v>
      </c>
      <c r="DB58" s="95">
        <v>57000</v>
      </c>
    </row>
    <row r="59" spans="2:106" x14ac:dyDescent="0.25">
      <c r="B59" s="95">
        <v>3</v>
      </c>
      <c r="C59" s="104">
        <f ref="C59:X59" si="136" t="shared">IF($X$51&gt;0,C32/$X$51,0)</f>
        <v>6.1981580181705628E-3</v>
      </c>
      <c r="D59" s="104">
        <f si="136" t="shared"/>
        <v>2.5731221714495986E-3</v>
      </c>
      <c r="E59" s="104">
        <f si="136" t="shared"/>
        <v>4.0250030236302272E-3</v>
      </c>
      <c r="F59" s="104">
        <f si="136" t="shared"/>
        <v>1.7998522960916883E-3</v>
      </c>
      <c r="G59" s="104">
        <f si="136" t="shared"/>
        <v>1.6558641124043534E-3</v>
      </c>
      <c r="H59" s="104">
        <f si="136" t="shared"/>
        <v>9.0059276000735971E-3</v>
      </c>
      <c r="I59" s="104">
        <f si="136" t="shared"/>
        <v>2.3558066719955653E-3</v>
      </c>
      <c r="J59" s="104">
        <f si="136" t="shared"/>
        <v>3.4130532429590537E-4</v>
      </c>
      <c r="K59" s="104">
        <f si="136" t="shared"/>
        <v>2.194486577308829E-3</v>
      </c>
      <c r="L59" s="104">
        <f si="136" t="shared"/>
        <v>9.3858964181373983E-4</v>
      </c>
      <c r="M59" s="104">
        <f si="136" t="shared"/>
        <v>2.2398161906918789E-3</v>
      </c>
      <c r="N59" s="104">
        <f si="136" t="shared"/>
        <v>6.0328382517147328E-3</v>
      </c>
      <c r="O59" s="104">
        <f si="136" t="shared"/>
        <v>5.999507653638962E-4</v>
      </c>
      <c r="P59" s="104">
        <f si="136" t="shared"/>
        <v>2.359806343764658E-4</v>
      </c>
      <c r="Q59" s="104">
        <f si="136" t="shared"/>
        <v>4.0796652044744941E-4</v>
      </c>
      <c r="R59" s="104">
        <f si="136" t="shared"/>
        <v>1.5732042291764388E-4</v>
      </c>
      <c r="S59" s="104">
        <f si="136" t="shared"/>
        <v>1.6531976645582918E-4</v>
      </c>
      <c r="T59" s="104">
        <f si="136" t="shared"/>
        <v>1.3332239230308803E-4</v>
      </c>
      <c r="U59" s="104">
        <f si="136" t="shared"/>
        <v>4.2129875967775816E-4</v>
      </c>
      <c r="V59" s="104">
        <f si="136" t="shared"/>
        <v>9.8658570304285137E-5</v>
      </c>
      <c r="W59" s="104">
        <f si="136" t="shared"/>
        <v>0</v>
      </c>
      <c r="X59" s="104">
        <f si="136" t="shared"/>
        <v>4.1580587711487094E-2</v>
      </c>
      <c r="Y59" s="95"/>
      <c r="Z59" s="95">
        <v>3</v>
      </c>
      <c r="AA59" s="104">
        <f si="113" t="shared"/>
        <v>6.7453250222617991E-3</v>
      </c>
      <c r="AB59" s="104">
        <f si="114" t="shared"/>
        <v>3.2858414959928764E-3</v>
      </c>
      <c r="AC59" s="104">
        <f si="115" t="shared"/>
        <v>3.9611160581775008E-3</v>
      </c>
      <c r="AD59" s="104">
        <f si="116" t="shared"/>
        <v>2.1920451172454734E-3</v>
      </c>
      <c r="AE59" s="104">
        <f si="117" t="shared"/>
        <v>1.7171267438409023E-3</v>
      </c>
      <c r="AF59" s="104">
        <f si="118" t="shared"/>
        <v>9.915405164737311E-3</v>
      </c>
      <c r="AG59" s="104">
        <f si="119" t="shared"/>
        <v>1.6028495102404273E-3</v>
      </c>
      <c r="AH59" s="104">
        <f si="120" t="shared"/>
        <v>4.838230929059068E-4</v>
      </c>
      <c r="AI59" s="104">
        <f si="121" t="shared"/>
        <v>2.0703472840605521E-3</v>
      </c>
      <c r="AJ59" s="104">
        <f si="122" t="shared"/>
        <v>9.3054318788958143E-4</v>
      </c>
      <c r="AK59" s="104">
        <f si="123" t="shared"/>
        <v>2.595725734639359E-3</v>
      </c>
      <c r="AL59" s="104">
        <f si="124" t="shared"/>
        <v>5.0994360344315823E-3</v>
      </c>
      <c r="AM59" s="104">
        <f si="125" t="shared"/>
        <v>1.3060255268625704E-4</v>
      </c>
      <c r="AN59" s="104">
        <f si="126" t="shared"/>
        <v>1.3950727218759275E-4</v>
      </c>
      <c r="AO59" s="104">
        <f si="127" t="shared"/>
        <v>1.3653903235381418E-4</v>
      </c>
      <c r="AP59" s="104">
        <f si="128" t="shared"/>
        <v>8.4594835262689224E-5</v>
      </c>
      <c r="AQ59" s="104">
        <f si="129" t="shared"/>
        <v>1.3653903235381418E-4</v>
      </c>
      <c r="AR59" s="104">
        <f si="130" t="shared"/>
        <v>1.9293558919560702E-5</v>
      </c>
      <c r="AS59" s="104">
        <f si="131" t="shared"/>
        <v>3.1760166221430692E-4</v>
      </c>
      <c r="AT59" s="104">
        <f si="132" t="shared"/>
        <v>1.632531908578213E-5</v>
      </c>
      <c r="AU59" s="104">
        <f si="133" t="shared"/>
        <v>0</v>
      </c>
      <c r="AV59" s="104">
        <f si="134" t="shared"/>
        <v>4.1580587711487087E-2</v>
      </c>
      <c r="AX59" t="s">
        <v>361</v>
      </c>
      <c r="AY59" s="144" t="s">
        <v>370</v>
      </c>
      <c r="AZ59" s="104">
        <f ref="AZ59:BU59" si="137" t="shared">C78</f>
        <v>7.3947894153446034E-2</v>
      </c>
      <c r="BA59" s="104">
        <f si="137" t="shared"/>
        <v>5.0192519024846186E-2</v>
      </c>
      <c r="BB59" s="104">
        <f si="137" t="shared"/>
        <v>2.7578535915392926E-2</v>
      </c>
      <c r="BC59" s="104">
        <f si="137" t="shared"/>
        <v>2.4097482875325593E-2</v>
      </c>
      <c r="BD59" s="104">
        <f si="137" t="shared"/>
        <v>2.2305742980927721E-2</v>
      </c>
      <c r="BE59" s="104">
        <f si="137" t="shared"/>
        <v>0.14440746738487922</v>
      </c>
      <c r="BF59" s="104">
        <f si="137" t="shared"/>
        <v>9.5485251975945137E-2</v>
      </c>
      <c r="BG59" s="104">
        <f si="137" t="shared"/>
        <v>5.2519452114698842E-3</v>
      </c>
      <c r="BH59" s="104">
        <f si="137" t="shared"/>
        <v>5.8660834167614272E-2</v>
      </c>
      <c r="BI59" s="104">
        <f si="137" t="shared"/>
        <v>1.8963034569547708E-2</v>
      </c>
      <c r="BJ59" s="104">
        <f si="137" t="shared"/>
        <v>5.3879182748495659E-2</v>
      </c>
      <c r="BK59" s="104">
        <f si="137" t="shared"/>
        <v>0.21147163459391846</v>
      </c>
      <c r="BL59" s="104">
        <f si="137" t="shared"/>
        <v>7.7644106460475287E-2</v>
      </c>
      <c r="BM59" s="104">
        <f si="137" t="shared"/>
        <v>1.6022315587757067E-2</v>
      </c>
      <c r="BN59" s="104">
        <f si="137" t="shared"/>
        <v>3.2752118544292469E-2</v>
      </c>
      <c r="BO59" s="104">
        <f si="137" t="shared"/>
        <v>4.7059575856400471E-3</v>
      </c>
      <c r="BP59" s="104">
        <f si="137" t="shared"/>
        <v>1.2849992381014726E-2</v>
      </c>
      <c r="BQ59" s="104">
        <f si="137" t="shared"/>
        <v>1.8456764420687135E-2</v>
      </c>
      <c r="BR59" s="104">
        <f si="137" t="shared"/>
        <v>3.091185328972057E-2</v>
      </c>
      <c r="BS59" s="104">
        <f si="137" t="shared"/>
        <v>2.0415366128604062E-2</v>
      </c>
      <c r="BT59" s="104">
        <f si="137" t="shared"/>
        <v>0</v>
      </c>
      <c r="BU59" s="145">
        <f si="137" t="shared"/>
        <v>1</v>
      </c>
      <c r="CU59" s="95">
        <v>58</v>
      </c>
      <c r="CV59" s="95">
        <f si="6" t="shared"/>
        <v>3</v>
      </c>
      <c r="CW59" s="95">
        <f si="0" t="shared"/>
        <v>18</v>
      </c>
      <c r="CX59" s="58">
        <f si="1" t="shared"/>
        <v>89.832627933820703</v>
      </c>
      <c r="CY59" s="58">
        <f si="2" t="shared"/>
        <v>13</v>
      </c>
      <c r="CZ59" s="108">
        <f si="3" t="shared"/>
        <v>-76.832627933820703</v>
      </c>
      <c r="DA59" s="78">
        <f si="4" t="shared"/>
        <v>-0.85528643323696329</v>
      </c>
      <c r="DB59" s="95">
        <v>58000</v>
      </c>
    </row>
    <row ht="15.75" r="60" spans="2:106" thickBot="1" x14ac:dyDescent="0.3">
      <c r="B60" s="95">
        <v>4</v>
      </c>
      <c r="C60" s="104">
        <f ref="C60:X60" si="138" t="shared">IF($X$51&gt;0,C33/$X$51,0)</f>
        <v>1.5765866705522271E-3</v>
      </c>
      <c r="D60" s="104">
        <f si="138" t="shared"/>
        <v>9.3760347821028568E-4</v>
      </c>
      <c r="E60" s="104">
        <f si="138" t="shared"/>
        <v>7.620704069471729E-4</v>
      </c>
      <c r="F60" s="104">
        <f si="138" t="shared"/>
        <v>1.0596203692102544E-3</v>
      </c>
      <c r="G60" s="104">
        <f si="138" t="shared"/>
        <v>8.5197758978925516E-4</v>
      </c>
      <c r="H60" s="104">
        <f si="138" t="shared"/>
        <v>2.8566937024466356E-3</v>
      </c>
      <c r="I60" s="104">
        <f si="138" t="shared"/>
        <v>8.5625888421030658E-4</v>
      </c>
      <c r="J60" s="104">
        <f si="138" t="shared"/>
        <v>1.541265991578552E-4</v>
      </c>
      <c r="K60" s="104">
        <f si="138" t="shared"/>
        <v>8.1558658721031703E-4</v>
      </c>
      <c r="L60" s="104">
        <f si="138" t="shared"/>
        <v>4.0351199918410699E-4</v>
      </c>
      <c r="M60" s="104">
        <f si="138" t="shared"/>
        <v>6.957103434208742E-4</v>
      </c>
      <c r="N60" s="104">
        <f si="138" t="shared"/>
        <v>1.9586921976310766E-3</v>
      </c>
      <c r="O60" s="104">
        <f si="138" t="shared"/>
        <v>2.10853750236788E-4</v>
      </c>
      <c r="P60" s="104">
        <f si="138" t="shared"/>
        <v>7.9203946789453363E-5</v>
      </c>
      <c r="Q60" s="104">
        <f si="138" t="shared"/>
        <v>1.2094656739470581E-4</v>
      </c>
      <c r="R60" s="104">
        <f si="138" t="shared"/>
        <v>5.1375533052618398E-5</v>
      </c>
      <c r="S60" s="104">
        <f si="138" t="shared"/>
        <v>3.9601973394726682E-5</v>
      </c>
      <c r="T60" s="104">
        <f si="138" t="shared"/>
        <v>7.2782005157876061E-5</v>
      </c>
      <c r="U60" s="104">
        <f si="138" t="shared"/>
        <v>1.027510661052368E-4</v>
      </c>
      <c r="V60" s="104">
        <f si="138" t="shared"/>
        <v>2.5687766526309199E-5</v>
      </c>
      <c r="W60" s="104">
        <f si="138" t="shared"/>
        <v>0</v>
      </c>
      <c r="X60" s="104">
        <f si="138" t="shared"/>
        <v>1.3631641436628083E-2</v>
      </c>
      <c r="Y60" s="95"/>
      <c r="Z60" s="95">
        <v>4</v>
      </c>
      <c r="AA60" s="104">
        <f si="113" t="shared"/>
        <v>1.8922528940338379E-3</v>
      </c>
      <c r="AB60" s="104">
        <f si="114" t="shared"/>
        <v>9.3054318788958143E-4</v>
      </c>
      <c r="AC60" s="104">
        <f si="115" t="shared"/>
        <v>7.3167111902641734E-4</v>
      </c>
      <c r="AD60" s="104">
        <f si="116" t="shared"/>
        <v>1.4084298011279312E-3</v>
      </c>
      <c r="AE60" s="104">
        <f si="117" t="shared"/>
        <v>7.9252003561887797E-4</v>
      </c>
      <c r="AF60" s="104">
        <f si="118" t="shared"/>
        <v>3.5158800831107152E-3</v>
      </c>
      <c r="AG60" s="104">
        <f si="119" t="shared"/>
        <v>4.1406945681211042E-4</v>
      </c>
      <c r="AH60" s="104">
        <f si="120" t="shared"/>
        <v>2.1816562778272485E-4</v>
      </c>
      <c r="AI60" s="104">
        <f si="121" t="shared"/>
        <v>6.0255268625704957E-4</v>
      </c>
      <c r="AJ60" s="104">
        <f si="122" t="shared"/>
        <v>5.1498961116058176E-4</v>
      </c>
      <c r="AK60" s="104">
        <f si="123" t="shared"/>
        <v>6.6043336301573172E-4</v>
      </c>
      <c r="AL60" s="104">
        <f si="124" t="shared"/>
        <v>1.6117542297417631E-3</v>
      </c>
      <c r="AM60" s="104">
        <f si="125" t="shared"/>
        <v>4.7491837340457107E-5</v>
      </c>
      <c r="AN60" s="104">
        <f si="126" t="shared"/>
        <v>6.9753636093796377E-5</v>
      </c>
      <c r="AO60" s="104">
        <f si="127" t="shared"/>
        <v>3.8587117839121404E-5</v>
      </c>
      <c r="AP60" s="104">
        <f si="128" t="shared"/>
        <v>4.8975957257346393E-5</v>
      </c>
      <c r="AQ60" s="104">
        <f si="129" t="shared"/>
        <v>3.8587117839121404E-5</v>
      </c>
      <c r="AR60" s="104">
        <f si="130" t="shared"/>
        <v>1.632531908578213E-5</v>
      </c>
      <c r="AS60" s="104">
        <f si="131" t="shared"/>
        <v>6.8269516176907091E-5</v>
      </c>
      <c r="AT60" s="104">
        <f si="132" t="shared"/>
        <v>1.0388839418224992E-5</v>
      </c>
      <c r="AU60" s="104">
        <f si="133" t="shared"/>
        <v>0</v>
      </c>
      <c r="AV60" s="104">
        <f si="134" t="shared"/>
        <v>1.3631641436628079E-2</v>
      </c>
      <c r="AY60" s="146" t="s">
        <v>348</v>
      </c>
      <c r="AZ60" s="106">
        <f ref="AZ60:BU60" si="139" t="shared">AA78</f>
        <v>7.3734045710893439E-2</v>
      </c>
      <c r="BA60" s="106">
        <f si="139" t="shared"/>
        <v>5.0630750964677944E-2</v>
      </c>
      <c r="BB60" s="106">
        <f si="139" t="shared"/>
        <v>2.7235084594835264E-2</v>
      </c>
      <c r="BC60" s="106">
        <f si="139" t="shared"/>
        <v>2.3797862867319681E-2</v>
      </c>
      <c r="BD60" s="106">
        <f si="139" t="shared"/>
        <v>2.2518551498961117E-2</v>
      </c>
      <c r="BE60" s="106">
        <f si="139" t="shared"/>
        <v>0.14349213416444048</v>
      </c>
      <c r="BF60" s="106">
        <f si="139" t="shared"/>
        <v>9.5154348471356495E-2</v>
      </c>
      <c r="BG60" s="106">
        <f si="139" t="shared"/>
        <v>5.2344909468685068E-3</v>
      </c>
      <c r="BH60" s="106">
        <f si="139" t="shared"/>
        <v>5.7616503413475809E-2</v>
      </c>
      <c r="BI60" s="106">
        <f si="139" t="shared"/>
        <v>1.8679133273968536E-2</v>
      </c>
      <c r="BJ60" s="106">
        <f si="139" t="shared"/>
        <v>5.4528049866429208E-2</v>
      </c>
      <c r="BK60" s="106">
        <f si="139" t="shared"/>
        <v>0.20939151083407539</v>
      </c>
      <c r="BL60" s="106">
        <f si="139" t="shared"/>
        <v>7.8073612347877713E-2</v>
      </c>
      <c r="BM60" s="106">
        <f si="139" t="shared"/>
        <v>1.6454437518551499E-2</v>
      </c>
      <c r="BN60" s="106">
        <f si="139" t="shared"/>
        <v>3.2325615909765508E-2</v>
      </c>
      <c r="BO60" s="106">
        <f si="139" t="shared"/>
        <v>4.7328584149599288E-3</v>
      </c>
      <c r="BP60" s="106">
        <f si="139" t="shared"/>
        <v>1.3643514395963193E-2</v>
      </c>
      <c r="BQ60" s="106">
        <f si="139" t="shared"/>
        <v>1.8339269813000891E-2</v>
      </c>
      <c r="BR60" s="106">
        <f si="139" t="shared"/>
        <v>3.2312258830513509E-2</v>
      </c>
      <c r="BS60" s="106">
        <f si="139" t="shared"/>
        <v>2.2105966162065897E-2</v>
      </c>
      <c r="BT60" s="106">
        <f si="139" t="shared"/>
        <v>0</v>
      </c>
      <c r="BU60" s="147">
        <f si="139" t="shared"/>
        <v>1</v>
      </c>
      <c r="CU60" s="95">
        <v>59</v>
      </c>
      <c r="CV60" s="95">
        <f si="6" t="shared"/>
        <v>3</v>
      </c>
      <c r="CW60" s="95">
        <f si="0" t="shared"/>
        <v>19</v>
      </c>
      <c r="CX60" s="58">
        <f si="1" t="shared"/>
        <v>283.87110427087339</v>
      </c>
      <c r="CY60" s="58">
        <f si="2" t="shared"/>
        <v>214</v>
      </c>
      <c r="CZ60" s="108">
        <f si="3" t="shared"/>
        <v>-69.871104270873388</v>
      </c>
      <c r="DA60" s="78">
        <f si="4" t="shared"/>
        <v>-0.24613672621008126</v>
      </c>
      <c r="DB60" s="95">
        <v>59000</v>
      </c>
    </row>
    <row r="61" spans="2:106" x14ac:dyDescent="0.25">
      <c r="B61" s="95">
        <v>5</v>
      </c>
      <c r="C61" s="104">
        <f ref="C61:X61" si="140" t="shared">IF($X$51&gt;0,C34/$X$51,0)</f>
        <v>1.819994525346168E-3</v>
      </c>
      <c r="D61" s="104">
        <f si="140" t="shared"/>
        <v>6.9661859418422285E-4</v>
      </c>
      <c r="E61" s="104">
        <f si="140" t="shared"/>
        <v>4.9328127480071998E-4</v>
      </c>
      <c r="F61" s="104">
        <f si="140" t="shared"/>
        <v>5.798879108344342E-4</v>
      </c>
      <c r="G61" s="104">
        <f si="140" t="shared"/>
        <v>9.9032805551594921E-4</v>
      </c>
      <c r="H61" s="104">
        <f si="140" t="shared"/>
        <v>3.243355761030688E-3</v>
      </c>
      <c r="I61" s="104">
        <f si="140" t="shared"/>
        <v>6.4641184865743204E-4</v>
      </c>
      <c r="J61" s="104">
        <f si="140" t="shared"/>
        <v>1.0919967152077007E-4</v>
      </c>
      <c r="K61" s="104">
        <f si="140" t="shared"/>
        <v>5.5980521262371792E-4</v>
      </c>
      <c r="L61" s="104">
        <f si="140" t="shared"/>
        <v>4.7319857659000364E-4</v>
      </c>
      <c r="M61" s="104">
        <f si="140" t="shared"/>
        <v>4.757089138663432E-4</v>
      </c>
      <c r="N61" s="104">
        <f si="140" t="shared"/>
        <v>2.5379509863792771E-3</v>
      </c>
      <c r="O61" s="104">
        <f si="140" t="shared"/>
        <v>2.2216484895604946E-4</v>
      </c>
      <c r="P61" s="104">
        <f si="140" t="shared"/>
        <v>7.2799781013846727E-5</v>
      </c>
      <c r="Q61" s="104">
        <f si="140" t="shared"/>
        <v>9.4137647862732818E-5</v>
      </c>
      <c r="R61" s="104">
        <f si="140" t="shared"/>
        <v>7.4054949652016481E-5</v>
      </c>
      <c r="S61" s="104">
        <f si="140" t="shared"/>
        <v>4.3930902335941983E-5</v>
      </c>
      <c r="T61" s="104">
        <f si="140" t="shared"/>
        <v>6.2758431908488545E-5</v>
      </c>
      <c r="U61" s="104">
        <f si="140" t="shared"/>
        <v>7.4054949652016481E-5</v>
      </c>
      <c r="V61" s="104">
        <f si="140" t="shared"/>
        <v>2.5103372763395421E-5</v>
      </c>
      <c r="W61" s="104">
        <f si="140" t="shared"/>
        <v>0</v>
      </c>
      <c r="X61" s="104">
        <f si="140" t="shared"/>
        <v>1.3294746215494218E-2</v>
      </c>
      <c r="Y61" s="95"/>
      <c r="Z61" s="95">
        <v>5</v>
      </c>
      <c r="AA61" s="104">
        <f si="113" t="shared"/>
        <v>1.645888987830217E-3</v>
      </c>
      <c r="AB61" s="104">
        <f si="114" t="shared"/>
        <v>7.2870287919263896E-4</v>
      </c>
      <c r="AC61" s="104">
        <f si="115" t="shared"/>
        <v>3.6360937963787483E-4</v>
      </c>
      <c r="AD61" s="104">
        <f si="116" t="shared"/>
        <v>6.1887800534283187E-4</v>
      </c>
      <c r="AE61" s="104">
        <f si="117" t="shared"/>
        <v>1.2214306915998817E-3</v>
      </c>
      <c r="AF61" s="104">
        <f si="118" t="shared"/>
        <v>4.8337785693084011E-3</v>
      </c>
      <c r="AG61" s="104">
        <f si="119" t="shared"/>
        <v>3.7696645888987836E-4</v>
      </c>
      <c r="AH61" s="104">
        <f si="120" t="shared"/>
        <v>1.4099139210448205E-4</v>
      </c>
      <c r="AI61" s="104">
        <f si="121" t="shared"/>
        <v>3.9032353814188195E-4</v>
      </c>
      <c r="AJ61" s="104">
        <f si="122" t="shared"/>
        <v>6.3965568417928185E-4</v>
      </c>
      <c r="AK61" s="104">
        <f si="123" t="shared"/>
        <v>2.9237162362718915E-4</v>
      </c>
      <c r="AL61" s="104">
        <f si="124" t="shared"/>
        <v>1.7468091421786883E-3</v>
      </c>
      <c r="AM61" s="104">
        <f si="125" t="shared"/>
        <v>3.7102997922232125E-5</v>
      </c>
      <c r="AN61" s="104">
        <f si="126" t="shared"/>
        <v>4.6007717423567834E-5</v>
      </c>
      <c r="AO61" s="104">
        <f si="127" t="shared"/>
        <v>2.8198278420896415E-5</v>
      </c>
      <c r="AP61" s="104">
        <f si="128" t="shared"/>
        <v>8.0142475512021393E-5</v>
      </c>
      <c r="AQ61" s="104">
        <f si="129" t="shared"/>
        <v>1.0388839418224996E-5</v>
      </c>
      <c r="AR61" s="104">
        <f si="130" t="shared"/>
        <v>1.3357079252003564E-5</v>
      </c>
      <c r="AS61" s="104">
        <f si="131" t="shared"/>
        <v>6.5301276343128533E-5</v>
      </c>
      <c r="AT61" s="104">
        <f si="132" t="shared"/>
        <v>1.4841199168892849E-5</v>
      </c>
      <c r="AU61" s="104">
        <f si="133" t="shared"/>
        <v>0</v>
      </c>
      <c r="AV61" s="104">
        <f si="134" t="shared"/>
        <v>1.3294746215494214E-2</v>
      </c>
      <c r="CU61" s="95">
        <v>60</v>
      </c>
      <c r="CV61" s="95">
        <f si="6" t="shared"/>
        <v>3</v>
      </c>
      <c r="CW61" s="95">
        <f si="0" t="shared"/>
        <v>20</v>
      </c>
      <c r="CX61" s="58">
        <f si="1" t="shared"/>
        <v>66.476144671027313</v>
      </c>
      <c r="CY61" s="58">
        <f si="2" t="shared"/>
        <v>11</v>
      </c>
      <c r="CZ61" s="108">
        <f si="3" t="shared"/>
        <v>-55.476144671027313</v>
      </c>
      <c r="DA61" s="78">
        <f si="4" t="shared"/>
        <v>-0.83452710661191221</v>
      </c>
      <c r="DB61" s="95">
        <v>60000</v>
      </c>
    </row>
    <row r="62" spans="2:106" x14ac:dyDescent="0.25">
      <c r="B62" s="95">
        <v>6</v>
      </c>
      <c r="C62" s="104">
        <f ref="C62:X62" si="141" t="shared">IF($X$51&gt;0,C35/$X$51,0)</f>
        <v>5.211295717912786E-3</v>
      </c>
      <c r="D62" s="104">
        <f si="141" t="shared"/>
        <v>1.5146396252960187E-3</v>
      </c>
      <c r="E62" s="104">
        <f si="141" t="shared"/>
        <v>9.9117153626853468E-4</v>
      </c>
      <c r="F62" s="104">
        <f si="141" t="shared"/>
        <v>9.9656811450593141E-4</v>
      </c>
      <c r="G62" s="104">
        <f si="141" t="shared"/>
        <v>1.3869206070109624E-3</v>
      </c>
      <c r="H62" s="104">
        <f si="141" t="shared"/>
        <v>1.2905017425028073E-2</v>
      </c>
      <c r="I62" s="104">
        <f si="141" t="shared"/>
        <v>1.7143130200796982E-3</v>
      </c>
      <c r="J62" s="104">
        <f si="141" t="shared"/>
        <v>1.1152928357286598E-4</v>
      </c>
      <c r="K62" s="104">
        <f si="141" t="shared"/>
        <v>1.3995126228982216E-3</v>
      </c>
      <c r="L62" s="104">
        <f si="141" t="shared"/>
        <v>9.3540689448210173E-4</v>
      </c>
      <c r="M62" s="104">
        <f si="141" t="shared"/>
        <v>8.6705023680840976E-4</v>
      </c>
      <c r="N62" s="104">
        <f si="141" t="shared"/>
        <v>8.3592996897275517E-3</v>
      </c>
      <c r="O62" s="104">
        <f si="141" t="shared"/>
        <v>6.9615859262417955E-4</v>
      </c>
      <c r="P62" s="104">
        <f si="141" t="shared"/>
        <v>1.3851217475984969E-4</v>
      </c>
      <c r="Q62" s="104">
        <f si="141" t="shared"/>
        <v>2.9321408423188956E-4</v>
      </c>
      <c r="R62" s="104">
        <f si="141" t="shared"/>
        <v>2.0506997302107617E-4</v>
      </c>
      <c r="S62" s="104">
        <f si="141" t="shared"/>
        <v>7.9149814148485523E-5</v>
      </c>
      <c r="T62" s="104">
        <f si="141" t="shared"/>
        <v>2.0147225419614499E-4</v>
      </c>
      <c r="U62" s="104">
        <f si="141" t="shared"/>
        <v>2.644323336324403E-4</v>
      </c>
      <c r="V62" s="104">
        <f si="141" t="shared"/>
        <v>8.6345251798347852E-5</v>
      </c>
      <c r="W62" s="104">
        <f si="141" t="shared"/>
        <v>0</v>
      </c>
      <c r="X62" s="104">
        <f si="141" t="shared"/>
        <v>3.8357079252003566E-2</v>
      </c>
      <c r="Y62" s="95"/>
      <c r="Z62" s="95">
        <v>6</v>
      </c>
      <c r="AA62" s="104">
        <f si="113" t="shared"/>
        <v>4.8055802908875027E-3</v>
      </c>
      <c r="AB62" s="104">
        <f si="114" t="shared"/>
        <v>2.2024339566636981E-3</v>
      </c>
      <c r="AC62" s="104">
        <f si="115" t="shared"/>
        <v>8.9492430988423845E-4</v>
      </c>
      <c r="AD62" s="104">
        <f si="116" t="shared"/>
        <v>1.2140100920154347E-3</v>
      </c>
      <c r="AE62" s="104">
        <f si="117" t="shared"/>
        <v>1.806173938854259E-3</v>
      </c>
      <c r="AF62" s="104">
        <f si="118" t="shared"/>
        <v>1.6457405758385276E-2</v>
      </c>
      <c r="AG62" s="104">
        <f si="119" t="shared"/>
        <v>1.0418521816562777E-3</v>
      </c>
      <c r="AH62" s="104">
        <f si="120" t="shared"/>
        <v>2.6714158504007122E-4</v>
      </c>
      <c r="AI62" s="104">
        <f si="121" t="shared"/>
        <v>1.0908281389136242E-3</v>
      </c>
      <c r="AJ62" s="104">
        <f si="122" t="shared"/>
        <v>1.0522410210745026E-3</v>
      </c>
      <c r="AK62" s="104">
        <f si="123" t="shared"/>
        <v>6.1739388542594235E-4</v>
      </c>
      <c r="AL62" s="104">
        <f si="124" t="shared"/>
        <v>6.3401602849510229E-3</v>
      </c>
      <c r="AM62" s="104">
        <f si="125" t="shared"/>
        <v>8.9047195013357069E-5</v>
      </c>
      <c r="AN62" s="104">
        <f si="126" t="shared"/>
        <v>6.5301276343128519E-5</v>
      </c>
      <c r="AO62" s="104">
        <f si="127" t="shared"/>
        <v>9.0531314930246355E-5</v>
      </c>
      <c r="AP62" s="104">
        <f si="128" t="shared"/>
        <v>1.2318195310181059E-4</v>
      </c>
      <c r="AQ62" s="104">
        <f si="129" t="shared"/>
        <v>4.6007717423567821E-5</v>
      </c>
      <c r="AR62" s="104">
        <f si="130" t="shared"/>
        <v>2.2261798753339267E-5</v>
      </c>
      <c r="AS62" s="104">
        <f si="131" t="shared"/>
        <v>9.4983674680914213E-5</v>
      </c>
      <c r="AT62" s="104">
        <f si="132" t="shared"/>
        <v>3.5618878005342825E-5</v>
      </c>
      <c r="AU62" s="104">
        <f si="133" t="shared"/>
        <v>0</v>
      </c>
      <c r="AV62" s="104">
        <f si="134" t="shared"/>
        <v>3.8357079252003559E-2</v>
      </c>
      <c r="CU62" s="95">
        <v>61</v>
      </c>
      <c r="CV62" s="95">
        <f si="6" t="shared"/>
        <v>4</v>
      </c>
      <c r="CW62" s="95">
        <f si="0" t="shared"/>
        <v>1</v>
      </c>
      <c r="CX62" s="58">
        <f si="1" t="shared"/>
        <v>1062.3040986180904</v>
      </c>
      <c r="CY62" s="58">
        <f si="2" t="shared"/>
        <v>1275</v>
      </c>
      <c r="CZ62" s="108">
        <f si="3" t="shared"/>
        <v>212.69590138190961</v>
      </c>
      <c r="DA62" s="78">
        <f si="4" t="shared"/>
        <v>0.2002212941271688</v>
      </c>
      <c r="DB62" s="95">
        <v>61000</v>
      </c>
    </row>
    <row r="63" spans="2:106" x14ac:dyDescent="0.25">
      <c r="B63" s="95">
        <v>7</v>
      </c>
      <c r="C63" s="104">
        <f ref="C63:X63" si="142" t="shared">IF($X$51&gt;0,C36/$X$51,0)</f>
        <v>7.8555459001896713E-3</v>
      </c>
      <c r="D63" s="104">
        <f si="142" t="shared"/>
        <v>7.9771533692883229E-3</v>
      </c>
      <c r="E63" s="104">
        <f si="142" t="shared"/>
        <v>3.5206845321975235E-3</v>
      </c>
      <c r="F63" s="104">
        <f si="142" t="shared"/>
        <v>2.7747265205314096E-3</v>
      </c>
      <c r="G63" s="104">
        <f si="142" t="shared"/>
        <v>2.5448587435766426E-3</v>
      </c>
      <c r="H63" s="104">
        <f si="142" t="shared"/>
        <v>1.5475291951761228E-2</v>
      </c>
      <c r="I63" s="104">
        <f si="142" t="shared"/>
        <v>2.7234141006434422E-2</v>
      </c>
      <c r="J63" s="104">
        <f si="142" t="shared"/>
        <v>4.9532798388962629E-4</v>
      </c>
      <c r="K63" s="104">
        <f si="142" t="shared"/>
        <v>7.9000364376647873E-3</v>
      </c>
      <c r="L63" s="104">
        <f si="142" t="shared"/>
        <v>1.9308893264200404E-3</v>
      </c>
      <c r="M63" s="104">
        <f si="142" t="shared"/>
        <v>3.9937672473495918E-3</v>
      </c>
      <c r="N63" s="104">
        <f si="142" t="shared"/>
        <v>2.4134633562334668E-2</v>
      </c>
      <c r="O63" s="104">
        <f si="142" t="shared"/>
        <v>8.3197305078467169E-3</v>
      </c>
      <c r="P63" s="104">
        <f si="142" t="shared"/>
        <v>3.8410164020183596E-4</v>
      </c>
      <c r="Q63" s="104">
        <f si="142" t="shared"/>
        <v>2.4202852386463179E-3</v>
      </c>
      <c r="R63" s="104">
        <f si="142" t="shared"/>
        <v>3.0995074440997574E-4</v>
      </c>
      <c r="S63" s="104">
        <f si="142" t="shared"/>
        <v>2.9363754733576647E-4</v>
      </c>
      <c r="T63" s="104">
        <f si="142" t="shared"/>
        <v>1.1256105981204381E-3</v>
      </c>
      <c r="U63" s="104">
        <f si="142" t="shared"/>
        <v>7.0443351002267218E-4</v>
      </c>
      <c r="V63" s="104">
        <f si="142" t="shared"/>
        <v>4.4045632100364975E-4</v>
      </c>
      <c r="W63" s="104">
        <f si="142" t="shared"/>
        <v>0</v>
      </c>
      <c r="X63" s="104">
        <f si="142" t="shared"/>
        <v>0.11983526268922533</v>
      </c>
      <c r="Y63" s="95"/>
      <c r="Z63" s="95">
        <v>7</v>
      </c>
      <c r="AA63" s="104">
        <f si="113" t="shared"/>
        <v>7.3374888691006245E-3</v>
      </c>
      <c r="AB63" s="104">
        <f si="114" t="shared"/>
        <v>7.7233600474918389E-3</v>
      </c>
      <c r="AC63" s="104">
        <f si="115" t="shared"/>
        <v>2.5497180172157916E-3</v>
      </c>
      <c r="AD63" s="104">
        <f si="116" t="shared"/>
        <v>1.8892846542000598E-3</v>
      </c>
      <c r="AE63" s="104">
        <f si="117" t="shared"/>
        <v>1.8551498961116061E-3</v>
      </c>
      <c r="AF63" s="104">
        <f si="118" t="shared"/>
        <v>1.3509943603443162E-2</v>
      </c>
      <c r="AG63" s="104">
        <f si="119" t="shared"/>
        <v>3.2030276046304547E-2</v>
      </c>
      <c r="AH63" s="104">
        <f si="120" t="shared"/>
        <v>3.9626001780943909E-4</v>
      </c>
      <c r="AI63" s="104">
        <f si="121" t="shared"/>
        <v>7.6625111308993776E-3</v>
      </c>
      <c r="AJ63" s="104">
        <f si="122" t="shared"/>
        <v>1.4217868803799349E-3</v>
      </c>
      <c r="AK63" s="104">
        <f si="123" t="shared"/>
        <v>1.4499851588008314E-3</v>
      </c>
      <c r="AL63" s="104">
        <f si="124" t="shared"/>
        <v>2.9081329771445539E-2</v>
      </c>
      <c r="AM63" s="104">
        <f si="125" t="shared"/>
        <v>1.0188483229444942E-2</v>
      </c>
      <c r="AN63" s="104">
        <f si="126" t="shared"/>
        <v>1.3505491243692494E-4</v>
      </c>
      <c r="AO63" s="104">
        <f si="127" t="shared"/>
        <v>1.5761353517364206E-3</v>
      </c>
      <c r="AP63" s="104">
        <f si="128" t="shared"/>
        <v>1.677055506084892E-4</v>
      </c>
      <c r="AQ63" s="104">
        <f si="129" t="shared"/>
        <v>1.0685663401602852E-4</v>
      </c>
      <c r="AR63" s="104">
        <f si="130" t="shared"/>
        <v>4.4078361531611765E-4</v>
      </c>
      <c r="AS63" s="104">
        <f si="131" t="shared"/>
        <v>2.4042742653606415E-4</v>
      </c>
      <c r="AT63" s="104">
        <f si="132" t="shared"/>
        <v>7.2721875927574963E-5</v>
      </c>
      <c r="AU63" s="104">
        <f si="133" t="shared"/>
        <v>0</v>
      </c>
      <c r="AV63" s="104">
        <f si="134" t="shared"/>
        <v>0.11983526268922531</v>
      </c>
      <c r="CU63" s="95">
        <v>62</v>
      </c>
      <c r="CV63" s="95">
        <f si="6" t="shared"/>
        <v>4</v>
      </c>
      <c r="CW63" s="95">
        <f si="0" t="shared"/>
        <v>2</v>
      </c>
      <c r="CX63" s="58">
        <f si="1" t="shared"/>
        <v>631.75722361809039</v>
      </c>
      <c r="CY63" s="58">
        <f si="2" t="shared"/>
        <v>627</v>
      </c>
      <c r="CZ63" s="108">
        <f si="3" t="shared"/>
        <v>-4.7572236180903928</v>
      </c>
      <c r="DA63" s="78">
        <f si="4" t="shared"/>
        <v>-7.5301451890738133E-3</v>
      </c>
      <c r="DB63" s="95">
        <v>62000</v>
      </c>
    </row>
    <row r="64" spans="2:106" x14ac:dyDescent="0.25">
      <c r="B64" s="95">
        <v>8</v>
      </c>
      <c r="C64" s="104">
        <f ref="C64:X64" si="143" t="shared">IF($X$51&gt;0,C37/$X$51,0)</f>
        <v>6.5150710251076426E-4</v>
      </c>
      <c r="D64" s="104">
        <f si="143" t="shared"/>
        <v>4.6402304423428533E-4</v>
      </c>
      <c r="E64" s="104">
        <f si="143" t="shared"/>
        <v>3.2692532661961009E-4</v>
      </c>
      <c r="F64" s="104">
        <f si="143" t="shared"/>
        <v>3.48017283175714E-4</v>
      </c>
      <c r="G64" s="104">
        <f si="143" t="shared"/>
        <v>2.9060029032854237E-4</v>
      </c>
      <c r="H64" s="104">
        <f si="143" t="shared"/>
        <v>1.3030142050215285E-3</v>
      </c>
      <c r="I64" s="104">
        <f si="143" t="shared"/>
        <v>3.7965521800986982E-4</v>
      </c>
      <c r="J64" s="104">
        <f si="143" t="shared"/>
        <v>1.4881547125695512E-4</v>
      </c>
      <c r="K64" s="104">
        <f si="143" t="shared"/>
        <v>3.9606007310906177E-4</v>
      </c>
      <c r="L64" s="104">
        <f si="143" t="shared"/>
        <v>1.7928163072688296E-4</v>
      </c>
      <c r="M64" s="104">
        <f si="143" t="shared"/>
        <v>5.28470689266825E-4</v>
      </c>
      <c r="N64" s="104">
        <f si="143" t="shared"/>
        <v>8.2375808105227943E-4</v>
      </c>
      <c r="O64" s="104">
        <f si="143" t="shared"/>
        <v>1.0545978278051939E-4</v>
      </c>
      <c r="P64" s="104">
        <f si="143" t="shared"/>
        <v>1.1834931178702734E-4</v>
      </c>
      <c r="Q64" s="104">
        <f si="143" t="shared"/>
        <v>6.3275869668311628E-5</v>
      </c>
      <c r="R64" s="104">
        <f si="143" t="shared"/>
        <v>1.75766304634199E-5</v>
      </c>
      <c r="S64" s="104">
        <f si="143" t="shared"/>
        <v>4.1012137747979764E-5</v>
      </c>
      <c r="T64" s="104">
        <f si="143" t="shared"/>
        <v>3.7496811655295784E-5</v>
      </c>
      <c r="U64" s="104">
        <f si="143" t="shared"/>
        <v>5.7416992847171678E-5</v>
      </c>
      <c r="V64" s="104">
        <f si="143" t="shared"/>
        <v>1.6404855099191908E-5</v>
      </c>
      <c r="W64" s="104">
        <f si="143" t="shared"/>
        <v>0</v>
      </c>
      <c r="X64" s="104">
        <f si="143" t="shared"/>
        <v>6.2971208073612376E-3</v>
      </c>
      <c r="Y64" s="95"/>
      <c r="Z64" s="95">
        <v>8</v>
      </c>
      <c r="AA64" s="104">
        <f si="113" t="shared"/>
        <v>7.7174235678242821E-4</v>
      </c>
      <c r="AB64" s="104">
        <f si="114" t="shared"/>
        <v>4.3187889581478191E-4</v>
      </c>
      <c r="AC64" s="104">
        <f si="115" t="shared"/>
        <v>4.7491837340457116E-4</v>
      </c>
      <c r="AD64" s="104">
        <f si="116" t="shared"/>
        <v>4.4375185514989619E-4</v>
      </c>
      <c r="AE64" s="104">
        <f si="117" t="shared"/>
        <v>2.8791926387652131E-4</v>
      </c>
      <c r="AF64" s="104">
        <f si="118" t="shared"/>
        <v>1.4306915998812707E-3</v>
      </c>
      <c r="AG64" s="104">
        <f si="119" t="shared"/>
        <v>2.0035618878005347E-4</v>
      </c>
      <c r="AH64" s="104">
        <f si="120" t="shared"/>
        <v>1.3505491243692494E-4</v>
      </c>
      <c r="AI64" s="104">
        <f si="121" t="shared"/>
        <v>2.6417334520629273E-4</v>
      </c>
      <c r="AJ64" s="104">
        <f si="122" t="shared"/>
        <v>2.0035618878005347E-4</v>
      </c>
      <c r="AK64" s="104">
        <f si="123" t="shared"/>
        <v>6.9011576135351749E-4</v>
      </c>
      <c r="AL64" s="104">
        <f si="124" t="shared"/>
        <v>6.7527456218462471E-4</v>
      </c>
      <c r="AM64" s="104">
        <f si="125" t="shared"/>
        <v>1.7809439002671423E-5</v>
      </c>
      <c r="AN64" s="104">
        <f si="126" t="shared"/>
        <v>9.498367468091424E-5</v>
      </c>
      <c r="AO64" s="104">
        <f si="127" t="shared"/>
        <v>2.0777678836449991E-5</v>
      </c>
      <c r="AP64" s="104">
        <f si="128" t="shared"/>
        <v>1.4841199168892849E-5</v>
      </c>
      <c r="AQ64" s="104">
        <f si="129" t="shared"/>
        <v>6.0848916592460681E-5</v>
      </c>
      <c r="AR64" s="104">
        <f si="130" t="shared"/>
        <v>2.96823983377857E-6</v>
      </c>
      <c r="AS64" s="104">
        <f si="131" t="shared"/>
        <v>7.8658355595132107E-5</v>
      </c>
      <c r="AT64" s="104">
        <f si="132" t="shared"/>
        <v>0</v>
      </c>
      <c r="AU64" s="104">
        <f si="133" t="shared"/>
        <v>0</v>
      </c>
      <c r="AV64" s="104">
        <f si="134" t="shared"/>
        <v>6.2971208073612358E-3</v>
      </c>
      <c r="CU64" s="95">
        <v>63</v>
      </c>
      <c r="CV64" s="95">
        <f si="6" t="shared"/>
        <v>4</v>
      </c>
      <c r="CW64" s="95">
        <f si="0" t="shared"/>
        <v>3</v>
      </c>
      <c r="CX64" s="58">
        <f si="1" t="shared"/>
        <v>513.483040201005</v>
      </c>
      <c r="CY64" s="58">
        <f si="2" t="shared"/>
        <v>493</v>
      </c>
      <c r="CZ64" s="108">
        <f si="3" t="shared"/>
        <v>-20.483040201004997</v>
      </c>
      <c r="DA64" s="78">
        <f si="4" t="shared"/>
        <v>-3.9890392860856376E-2</v>
      </c>
      <c r="DB64" s="95">
        <v>63000</v>
      </c>
    </row>
    <row r="65" spans="2:106" x14ac:dyDescent="0.25">
      <c r="B65" s="95">
        <v>9</v>
      </c>
      <c r="C65" s="104">
        <f ref="C65:X65" si="144" t="shared">IF($X$51&gt;0,C38/$X$51,0)</f>
        <v>7.9925700141392688E-3</v>
      </c>
      <c r="D65" s="104">
        <f si="144" t="shared"/>
        <v>6.7352305242248927E-3</v>
      </c>
      <c r="E65" s="104">
        <f si="144" t="shared"/>
        <v>3.1903723535802128E-3</v>
      </c>
      <c r="F65" s="104">
        <f si="144" t="shared"/>
        <v>2.3989285089505629E-3</v>
      </c>
      <c r="G65" s="104">
        <f si="144" t="shared"/>
        <v>1.7984729412699335E-3</v>
      </c>
      <c r="H65" s="104">
        <f si="144" t="shared"/>
        <v>1.4018828904235225E-2</v>
      </c>
      <c r="I65" s="104">
        <f si="144" t="shared"/>
        <v>7.9694199199636315E-3</v>
      </c>
      <c r="J65" s="104">
        <f si="144" t="shared"/>
        <v>4.5866124085484227E-4</v>
      </c>
      <c r="K65" s="104">
        <f si="144" t="shared"/>
        <v>1.3887162743611282E-2</v>
      </c>
      <c r="L65" s="104">
        <f si="144" t="shared"/>
        <v>1.3065334400376106E-3</v>
      </c>
      <c r="M65" s="104">
        <f si="144" t="shared"/>
        <v>4.5822717658904897E-3</v>
      </c>
      <c r="N65" s="104">
        <f si="144" t="shared"/>
        <v>1.3194106799228096E-2</v>
      </c>
      <c r="O65" s="104">
        <f si="144" t="shared"/>
        <v>2.9444026029640507E-3</v>
      </c>
      <c r="P65" s="104">
        <f si="144" t="shared"/>
        <v>4.0946729073160996E-4</v>
      </c>
      <c r="Q65" s="104">
        <f si="144" t="shared"/>
        <v>4.9772702477623261E-3</v>
      </c>
      <c r="R65" s="104">
        <f si="144" t="shared"/>
        <v>1.9098827694901947E-4</v>
      </c>
      <c r="S65" s="104">
        <f si="144" t="shared"/>
        <v>4.1814857604747455E-4</v>
      </c>
      <c r="T65" s="104">
        <f si="144" t="shared"/>
        <v>3.9065783921390349E-4</v>
      </c>
      <c r="U65" s="104">
        <f si="144" t="shared"/>
        <v>1.2472113237125364E-3</v>
      </c>
      <c r="V65" s="104">
        <f si="144" t="shared"/>
        <v>2.8792929630950669E-4</v>
      </c>
      <c r="W65" s="104">
        <f si="144" t="shared"/>
        <v>0</v>
      </c>
      <c r="X65" s="104">
        <f si="144" t="shared"/>
        <v>8.839863460967648E-2</v>
      </c>
      <c r="Y65" s="95"/>
      <c r="Z65" s="95">
        <v>9</v>
      </c>
      <c r="AA65" s="104">
        <f si="113" t="shared"/>
        <v>8.135945384387059E-3</v>
      </c>
      <c r="AB65" s="104">
        <f si="114" t="shared"/>
        <v>8.0231522707034722E-3</v>
      </c>
      <c r="AC65" s="104">
        <f si="115" t="shared"/>
        <v>3.5796972395369547E-3</v>
      </c>
      <c r="AD65" s="104">
        <f si="116" t="shared"/>
        <v>2.1252597209854558E-3</v>
      </c>
      <c r="AE65" s="104">
        <f si="117" t="shared"/>
        <v>1.9338082517067379E-3</v>
      </c>
      <c r="AF65" s="104">
        <f si="118" t="shared"/>
        <v>1.3472840605520927E-2</v>
      </c>
      <c r="AG65" s="104">
        <f si="119" t="shared"/>
        <v>8.5054912436924902E-3</v>
      </c>
      <c r="AH65" s="104">
        <f si="120" t="shared"/>
        <v>3.8290293855743545E-4</v>
      </c>
      <c r="AI65" s="104">
        <f si="121" t="shared"/>
        <v>1.9234194122885129E-2</v>
      </c>
      <c r="AJ65" s="104">
        <f si="122" t="shared"/>
        <v>1.0655981003265063E-3</v>
      </c>
      <c r="AK65" s="104">
        <f si="123" t="shared"/>
        <v>4.1867022855446717E-3</v>
      </c>
      <c r="AL65" s="104">
        <f si="124" t="shared"/>
        <v>1.0635203324428614E-2</v>
      </c>
      <c r="AM65" s="104">
        <f si="125" t="shared"/>
        <v>1.6073018699910952E-3</v>
      </c>
      <c r="AN65" s="104">
        <f si="126" t="shared"/>
        <v>2.0184030869694272E-4</v>
      </c>
      <c r="AO65" s="104">
        <f si="127" t="shared"/>
        <v>4.1748293262095573E-3</v>
      </c>
      <c r="AP65" s="104">
        <f si="128" t="shared"/>
        <v>1.1427723360047492E-4</v>
      </c>
      <c r="AQ65" s="104">
        <f si="129" t="shared"/>
        <v>2.0629266844761056E-4</v>
      </c>
      <c r="AR65" s="104">
        <f si="130" t="shared"/>
        <v>7.865835559513208E-5</v>
      </c>
      <c r="AS65" s="104">
        <f si="131" t="shared"/>
        <v>7.1089344018996736E-4</v>
      </c>
      <c r="AT65" s="104">
        <f si="132" t="shared"/>
        <v>2.3745918670228553E-5</v>
      </c>
      <c r="AU65" s="104">
        <f si="133" t="shared"/>
        <v>0</v>
      </c>
      <c r="AV65" s="104">
        <f si="134" t="shared"/>
        <v>8.8398634609676466E-2</v>
      </c>
      <c r="CU65" s="95">
        <v>64</v>
      </c>
      <c r="CV65" s="95">
        <f si="6" t="shared"/>
        <v>4</v>
      </c>
      <c r="CW65" s="95">
        <f si="0" t="shared"/>
        <v>4</v>
      </c>
      <c r="CX65" s="58">
        <f si="1" t="shared"/>
        <v>713.97220477386929</v>
      </c>
      <c r="CY65" s="58">
        <f si="2" t="shared"/>
        <v>949</v>
      </c>
      <c r="CZ65" s="108">
        <f si="3" t="shared"/>
        <v>235.02779522613071</v>
      </c>
      <c r="DA65" s="78">
        <f si="4" t="shared"/>
        <v>0.3291833962928139</v>
      </c>
      <c r="DB65" s="95">
        <v>64000</v>
      </c>
    </row>
    <row r="66" spans="2:106" x14ac:dyDescent="0.25">
      <c r="B66" s="95">
        <v>10</v>
      </c>
      <c r="C66" s="104">
        <f ref="C66:X66" si="145" t="shared">IF($X$51&gt;0,C39/$X$51,0)</f>
        <v>4.028635334790749E-3</v>
      </c>
      <c r="D66" s="104">
        <f si="145" t="shared"/>
        <v>1.4421211937472656E-3</v>
      </c>
      <c r="E66" s="104">
        <f si="145" t="shared"/>
        <v>7.4742195202815267E-4</v>
      </c>
      <c r="F66" s="104">
        <f si="145" t="shared"/>
        <v>1.1195822600919632E-3</v>
      </c>
      <c r="G66" s="104">
        <f si="145" t="shared"/>
        <v>1.853048200567723E-3</v>
      </c>
      <c r="H66" s="104">
        <f si="145" t="shared"/>
        <v>9.7164853763659857E-3</v>
      </c>
      <c r="I66" s="104">
        <f si="145" t="shared"/>
        <v>1.5056985797081664E-3</v>
      </c>
      <c r="J66" s="104">
        <f si="145" t="shared"/>
        <v>3.2098826570503656E-4</v>
      </c>
      <c r="K66" s="104">
        <f si="145" t="shared"/>
        <v>1.4033544949906185E-3</v>
      </c>
      <c r="L66" s="104">
        <f si="145" t="shared"/>
        <v>2.9416171016543682E-3</v>
      </c>
      <c r="M66" s="104">
        <f si="145" t="shared"/>
        <v>1.0529035382305305E-3</v>
      </c>
      <c r="N66" s="104">
        <f si="145" t="shared"/>
        <v>8.7736792626043319E-3</v>
      </c>
      <c r="O66" s="104">
        <f si="145" t="shared"/>
        <v>6.4507786731060493E-4</v>
      </c>
      <c r="P66" s="104">
        <f si="145" t="shared"/>
        <v>2.0778950533562751E-4</v>
      </c>
      <c r="Q66" s="104">
        <f si="145" t="shared"/>
        <v>2.2639752073881804E-4</v>
      </c>
      <c r="R66" s="104">
        <f si="145" t="shared"/>
        <v>6.2026718010635082E-4</v>
      </c>
      <c r="S66" s="104">
        <f si="145" t="shared"/>
        <v>8.6837405214889104E-5</v>
      </c>
      <c r="T66" s="104">
        <f si="145" t="shared"/>
        <v>2.0623883738536163E-4</v>
      </c>
      <c r="U66" s="104">
        <f si="145" t="shared"/>
        <v>2.6516421949546496E-4</v>
      </c>
      <c r="V66" s="104">
        <f si="145" t="shared"/>
        <v>1.1630009626994076E-4</v>
      </c>
      <c r="W66" s="104">
        <f si="145" t="shared"/>
        <v>0</v>
      </c>
      <c r="X66" s="104">
        <f si="145" t="shared"/>
        <v>3.7279608192341947E-2</v>
      </c>
      <c r="Y66" s="95"/>
      <c r="Z66" s="95">
        <v>10</v>
      </c>
      <c r="AA66" s="104">
        <f si="113" t="shared"/>
        <v>3.9433066191748292E-3</v>
      </c>
      <c r="AB66" s="104">
        <f si="114" t="shared"/>
        <v>1.8195310181062629E-3</v>
      </c>
      <c r="AC66" s="104">
        <f si="115" t="shared"/>
        <v>8.3407539329177793E-4</v>
      </c>
      <c r="AD66" s="104">
        <f si="116" t="shared"/>
        <v>1.5123181953101811E-3</v>
      </c>
      <c r="AE66" s="104">
        <f si="117" t="shared"/>
        <v>2.0451172454734341E-3</v>
      </c>
      <c r="AF66" s="104">
        <f si="118" t="shared"/>
        <v>1.0376966458889879E-2</v>
      </c>
      <c r="AG66" s="104">
        <f si="119" t="shared"/>
        <v>9.0976550905313145E-4</v>
      </c>
      <c r="AH66" s="104">
        <f si="120" t="shared"/>
        <v>3.888394182249926E-4</v>
      </c>
      <c r="AI66" s="104">
        <f si="121" t="shared"/>
        <v>8.0439299495399226E-4</v>
      </c>
      <c r="AJ66" s="104">
        <f si="122" t="shared"/>
        <v>3.6064113980409616E-3</v>
      </c>
      <c r="AK66" s="104">
        <f si="123" t="shared"/>
        <v>6.4410804392994953E-4</v>
      </c>
      <c r="AL66" s="104">
        <f si="124" t="shared"/>
        <v>9.2475512021371331E-3</v>
      </c>
      <c r="AM66" s="104">
        <f si="125" t="shared"/>
        <v>1.2615019293558919E-4</v>
      </c>
      <c r="AN66" s="104">
        <f si="126" t="shared"/>
        <v>6.0848916592460668E-5</v>
      </c>
      <c r="AO66" s="104">
        <f si="127" t="shared"/>
        <v>5.6396556841792816E-5</v>
      </c>
      <c r="AP66" s="104">
        <f si="128" t="shared"/>
        <v>6.4410804392994953E-4</v>
      </c>
      <c r="AQ66" s="104">
        <f si="129" t="shared"/>
        <v>3.7102997922232118E-5</v>
      </c>
      <c r="AR66" s="104">
        <f si="130" t="shared"/>
        <v>9.0531314930246369E-5</v>
      </c>
      <c r="AS66" s="104">
        <f si="131" t="shared"/>
        <v>1.0982487384980706E-4</v>
      </c>
      <c r="AT66" s="104">
        <f si="132" t="shared"/>
        <v>2.2261798753339271E-5</v>
      </c>
      <c r="AU66" s="104">
        <f si="133" t="shared"/>
        <v>0</v>
      </c>
      <c r="AV66" s="104">
        <f si="134" t="shared"/>
        <v>3.727960819234194E-2</v>
      </c>
      <c r="CU66" s="95">
        <v>65</v>
      </c>
      <c r="CV66" s="95">
        <f si="6" t="shared"/>
        <v>4</v>
      </c>
      <c r="CW66" s="95">
        <f si="0" t="shared"/>
        <v>5</v>
      </c>
      <c r="CX66" s="58">
        <f si="1" t="shared"/>
        <v>574.0625</v>
      </c>
      <c r="CY66" s="58">
        <f si="2" t="shared"/>
        <v>534</v>
      </c>
      <c r="CZ66" s="108">
        <f si="3" t="shared"/>
        <v>-40.0625</v>
      </c>
      <c r="DA66" s="78">
        <f si="4" t="shared"/>
        <v>-6.9787697332607507E-2</v>
      </c>
      <c r="DB66" s="95">
        <v>65000</v>
      </c>
    </row>
    <row r="67" spans="2:106" x14ac:dyDescent="0.25">
      <c r="B67" s="95">
        <v>11</v>
      </c>
      <c r="C67" s="104">
        <f ref="C67:X67" si="146" t="shared">IF($X$51&gt;0,C40/$X$51,0)</f>
        <v>6.7189552936572049E-3</v>
      </c>
      <c r="D67" s="104">
        <f si="146" t="shared"/>
        <v>4.7745216812040232E-3</v>
      </c>
      <c r="E67" s="104">
        <f si="146" t="shared"/>
        <v>3.7314811341264877E-3</v>
      </c>
      <c r="F67" s="104">
        <f si="146" t="shared"/>
        <v>2.8372419819681083E-3</v>
      </c>
      <c r="G67" s="104">
        <f si="146" t="shared"/>
        <v>2.093235007372336E-3</v>
      </c>
      <c r="H67" s="104">
        <f si="146" t="shared"/>
        <v>1.1862618896872205E-2</v>
      </c>
      <c r="I67" s="104">
        <f si="146" t="shared"/>
        <v>4.019068445460623E-3</v>
      </c>
      <c r="J67" s="104">
        <f si="146" t="shared"/>
        <v>7.3112993080469142E-4</v>
      </c>
      <c r="K67" s="104">
        <f si="146" t="shared"/>
        <v>5.5500058739557699E-3</v>
      </c>
      <c r="L67" s="104">
        <f si="146" t="shared"/>
        <v>1.2261807254395705E-3</v>
      </c>
      <c r="M67" s="104">
        <f si="146" t="shared"/>
        <v>1.486153931755055E-2</v>
      </c>
      <c r="N67" s="104">
        <f si="146" t="shared"/>
        <v>8.5718188169293663E-3</v>
      </c>
      <c r="O67" s="104">
        <f si="146" t="shared"/>
        <v>1.5295066458516932E-3</v>
      </c>
      <c r="P67" s="104">
        <f si="146" t="shared"/>
        <v>8.8279289101075267E-4</v>
      </c>
      <c r="Q67" s="104">
        <f si="146" t="shared"/>
        <v>1.3993054252974331E-3</v>
      </c>
      <c r="R67" s="104">
        <f si="146" t="shared"/>
        <v>1.78847830431676E-4</v>
      </c>
      <c r="S67" s="104">
        <f si="146" t="shared"/>
        <v>1.0916871569549504E-3</v>
      </c>
      <c r="T67" s="104">
        <f si="146" t="shared"/>
        <v>3.1763374684665657E-4</v>
      </c>
      <c r="U67" s="104">
        <f si="146" t="shared"/>
        <v>4.79884498614273E-3</v>
      </c>
      <c r="V67" s="104">
        <f si="146" t="shared"/>
        <v>2.5754087582161343E-4</v>
      </c>
      <c r="W67" s="104">
        <f si="146" t="shared"/>
        <v>0</v>
      </c>
      <c r="X67" s="104">
        <f si="146" t="shared"/>
        <v>7.7433956663698456E-2</v>
      </c>
      <c r="Y67" s="95"/>
      <c r="Z67" s="95">
        <v>11</v>
      </c>
      <c r="AA67" s="104">
        <f si="113" t="shared"/>
        <v>7.718907687741171E-3</v>
      </c>
      <c r="AB67" s="104">
        <f si="114" t="shared"/>
        <v>4.5473434253487689E-3</v>
      </c>
      <c r="AC67" s="104">
        <f si="115" t="shared"/>
        <v>4.9391510834075397E-3</v>
      </c>
      <c r="AD67" s="104">
        <f si="116" t="shared"/>
        <v>3.2190560997328592E-3</v>
      </c>
      <c r="AE67" s="104">
        <f si="117" t="shared"/>
        <v>2.104482042149006E-3</v>
      </c>
      <c r="AF67" s="104">
        <f si="118" t="shared"/>
        <v>1.1528643514395965E-2</v>
      </c>
      <c r="AG67" s="104">
        <f si="119" t="shared"/>
        <v>2.1504897595725739E-3</v>
      </c>
      <c r="AH67" s="104">
        <f si="120" t="shared"/>
        <v>7.821311962006532E-4</v>
      </c>
      <c r="AI67" s="104">
        <f si="121" t="shared"/>
        <v>5.678242802018404E-3</v>
      </c>
      <c r="AJ67" s="104">
        <f si="122" t="shared"/>
        <v>1.1546452953398636E-3</v>
      </c>
      <c r="AK67" s="104">
        <f si="123" t="shared"/>
        <v>2.0647076283763732E-2</v>
      </c>
      <c r="AL67" s="104">
        <f si="124" t="shared"/>
        <v>5.6441080439299501E-3</v>
      </c>
      <c r="AM67" s="104">
        <f si="125" t="shared"/>
        <v>2.3449094686850701E-4</v>
      </c>
      <c r="AN67" s="104">
        <f si="126" t="shared"/>
        <v>8.3852775304244604E-4</v>
      </c>
      <c r="AO67" s="104">
        <f si="127" t="shared"/>
        <v>8.0439299495399248E-4</v>
      </c>
      <c r="AP67" s="104">
        <f si="128" t="shared"/>
        <v>1.0685663401602852E-4</v>
      </c>
      <c r="AQ67" s="104">
        <f si="129" t="shared"/>
        <v>1.3327396853665778E-3</v>
      </c>
      <c r="AR67" s="104">
        <f si="130" t="shared"/>
        <v>3.4134758088453552E-5</v>
      </c>
      <c r="AS67" s="104">
        <f si="131" t="shared"/>
        <v>3.947758978925498E-3</v>
      </c>
      <c r="AT67" s="104">
        <f si="132" t="shared"/>
        <v>2.0777678836449988E-5</v>
      </c>
      <c r="AU67" s="104">
        <f si="133" t="shared"/>
        <v>0</v>
      </c>
      <c r="AV67" s="104">
        <f si="134" t="shared"/>
        <v>7.7433956663698442E-2</v>
      </c>
      <c r="CU67" s="95">
        <v>66</v>
      </c>
      <c r="CV67" s="95">
        <f si="6" t="shared"/>
        <v>4</v>
      </c>
      <c r="CW67" s="95">
        <f ref="CW67:CW130" si="147" t="shared">MOD(ROW()-2,$CS$2)+1</f>
        <v>6</v>
      </c>
      <c r="CX67" s="58">
        <f ref="CX67:CX130" si="148" t="shared">VLOOKUP($CV67,$B$30:$V$49,MATCH($CW67,$B$29:$V$29,0),0)</f>
        <v>1924.8402167085426</v>
      </c>
      <c r="CY67" s="58">
        <f ref="CY67:CY130" si="149" t="shared">VLOOKUP($CV67,$AY$30:$BS$49,MATCH($CW67,$AY$29:$BS$29,0),0)</f>
        <v>2369</v>
      </c>
      <c r="CZ67" s="108">
        <f ref="CZ67:CZ130" si="150" t="shared">CY67-CX67</f>
        <v>444.15978329145742</v>
      </c>
      <c r="DA67" s="78">
        <f ref="DA67:DA130" si="151" t="shared">CZ67/CX67</f>
        <v>0.23075150832569685</v>
      </c>
    </row>
    <row r="68" spans="2:106" x14ac:dyDescent="0.25">
      <c r="B68" s="95">
        <v>12</v>
      </c>
      <c r="C68" s="104">
        <f ref="C68:X68" si="152" t="shared">IF($X$51&gt;0,C41/$X$51,0)</f>
        <v>1.221350574404243E-2</v>
      </c>
      <c r="D68" s="104">
        <f si="152" t="shared"/>
        <v>6.4555561819475311E-3</v>
      </c>
      <c r="E68" s="104">
        <f si="152" t="shared"/>
        <v>2.6595289900342048E-3</v>
      </c>
      <c r="F68" s="104">
        <f si="152" t="shared"/>
        <v>2.9028443232278376E-3</v>
      </c>
      <c r="G68" s="104">
        <f si="152" t="shared"/>
        <v>3.3032366436730569E-3</v>
      </c>
      <c r="H68" s="104">
        <f si="152" t="shared"/>
        <v>2.7955083819392539E-2</v>
      </c>
      <c r="I68" s="104">
        <f si="152" t="shared"/>
        <v>1.0955349875566494E-2</v>
      </c>
      <c r="J68" s="104">
        <f si="152" t="shared"/>
        <v>4.6045116851200184E-4</v>
      </c>
      <c r="K68" s="104">
        <f si="152" t="shared"/>
        <v>6.1198426209588472E-3</v>
      </c>
      <c r="L68" s="104">
        <f si="152" t="shared"/>
        <v>2.890524559521831E-3</v>
      </c>
      <c r="M68" s="104">
        <f si="152" t="shared"/>
        <v>3.1322999222522132E-3</v>
      </c>
      <c r="N68" s="104">
        <f si="152" t="shared"/>
        <v>6.7946576779553666E-2</v>
      </c>
      <c r="O68" s="104">
        <f si="152" t="shared"/>
        <v>4.0763018162249792E-3</v>
      </c>
      <c r="P68" s="104">
        <f si="152" t="shared"/>
        <v>3.3571356098868364E-4</v>
      </c>
      <c r="Q68" s="104">
        <f si="152" t="shared"/>
        <v>1.1318782904893691E-3</v>
      </c>
      <c r="R68" s="104">
        <f si="152" t="shared"/>
        <v>6.4370765363885212E-4</v>
      </c>
      <c r="S68" s="104">
        <f si="152" t="shared"/>
        <v>2.294555990243755E-4</v>
      </c>
      <c r="T68" s="104">
        <f si="152" t="shared"/>
        <v>2.4454730956423379E-3</v>
      </c>
      <c r="U68" s="104">
        <f si="152" t="shared"/>
        <v>6.6372726966111312E-4</v>
      </c>
      <c r="V68" s="104">
        <f si="152" t="shared"/>
        <v>1.1503579360483793E-3</v>
      </c>
      <c r="W68" s="104">
        <f si="152" t="shared"/>
        <v>0</v>
      </c>
      <c r="X68" s="104">
        <f si="152" t="shared"/>
        <v>0.15767141585040073</v>
      </c>
      <c r="Y68" s="95"/>
      <c r="Z68" s="95">
        <v>12</v>
      </c>
      <c r="AA68" s="104">
        <f si="113" t="shared"/>
        <v>1.2579400415553577E-2</v>
      </c>
      <c r="AB68" s="104">
        <f si="114" t="shared"/>
        <v>8.3674680914217862E-3</v>
      </c>
      <c r="AC68" s="104">
        <f si="115" t="shared"/>
        <v>2.6684476105669338E-3</v>
      </c>
      <c r="AD68" s="104">
        <f si="116" t="shared"/>
        <v>3.3912140100920154E-3</v>
      </c>
      <c r="AE68" s="104">
        <f si="117" t="shared"/>
        <v>3.6583555951320867E-3</v>
      </c>
      <c r="AF68" s="104">
        <f si="118" t="shared"/>
        <v>2.7457702582368654E-2</v>
      </c>
      <c r="AG68" s="104">
        <f si="119" t="shared"/>
        <v>1.2425051944197091E-2</v>
      </c>
      <c r="AH68" s="104">
        <f si="120" t="shared"/>
        <v>7.0198872068863167E-4</v>
      </c>
      <c r="AI68" s="104">
        <f si="121" t="shared"/>
        <v>4.6809142178688042E-3</v>
      </c>
      <c r="AJ68" s="104">
        <f si="122" t="shared"/>
        <v>3.7162362718907689E-3</v>
      </c>
      <c r="AK68" s="104">
        <f si="123" t="shared"/>
        <v>1.5701988720688632E-3</v>
      </c>
      <c r="AL68" s="104">
        <f si="124" t="shared"/>
        <v>6.9324725437815371E-2</v>
      </c>
      <c r="AM68" s="104">
        <f si="125" t="shared"/>
        <v>2.9118432769367764E-3</v>
      </c>
      <c r="AN68" s="104">
        <f si="126" t="shared"/>
        <v>1.1724547343425349E-4</v>
      </c>
      <c r="AO68" s="104">
        <f si="127" t="shared"/>
        <v>4.838230929059068E-4</v>
      </c>
      <c r="AP68" s="104">
        <f si="128" t="shared"/>
        <v>1.0121697833184921E-3</v>
      </c>
      <c r="AQ68" s="104">
        <f si="129" t="shared"/>
        <v>1.5583259127337489E-4</v>
      </c>
      <c r="AR68" s="104">
        <f si="130" t="shared"/>
        <v>1.8685069753636094E-3</v>
      </c>
      <c r="AS68" s="104">
        <f si="131" t="shared"/>
        <v>2.5972098545562483E-4</v>
      </c>
      <c r="AT68" s="104">
        <f si="132" t="shared"/>
        <v>3.2056990204808546E-4</v>
      </c>
      <c r="AU68" s="104">
        <f si="133" t="shared"/>
        <v>0</v>
      </c>
      <c r="AV68" s="104">
        <f si="134" t="shared"/>
        <v>0.1576714158504007</v>
      </c>
      <c r="CU68" s="95">
        <v>67</v>
      </c>
      <c r="CV68" s="95">
        <f ref="CV68:CV131" si="153" t="shared">IF(CW67&lt;$CS$2,CV67,CV67+1)</f>
        <v>4</v>
      </c>
      <c r="CW68" s="95">
        <f si="147" t="shared"/>
        <v>7</v>
      </c>
      <c r="CX68" s="58">
        <f si="148" t="shared"/>
        <v>576.9472361809045</v>
      </c>
      <c r="CY68" s="58">
        <f si="149" t="shared"/>
        <v>279</v>
      </c>
      <c r="CZ68" s="108">
        <f si="150" t="shared"/>
        <v>-297.9472361809045</v>
      </c>
      <c r="DA68" s="78">
        <f si="151" t="shared"/>
        <v>-0.51642025040827433</v>
      </c>
    </row>
    <row r="69" spans="2:106" x14ac:dyDescent="0.25">
      <c r="B69" s="95">
        <v>13</v>
      </c>
      <c r="C69" s="104">
        <f ref="C69:X69" si="154" t="shared">IF($X$51&gt;0,C42/$X$51,0)</f>
        <v>3.6520858548272071E-3</v>
      </c>
      <c r="D69" s="104">
        <f si="154" t="shared"/>
        <v>3.3825972615072956E-3</v>
      </c>
      <c r="E69" s="104">
        <f si="154" t="shared"/>
        <v>1.3400798902793382E-3</v>
      </c>
      <c r="F69" s="104">
        <f si="154" t="shared"/>
        <v>1.487341416683661E-3</v>
      </c>
      <c r="G69" s="104">
        <f si="154" t="shared"/>
        <v>8.9535008053828302E-4</v>
      </c>
      <c r="H69" s="104">
        <f si="154" t="shared"/>
        <v>6.9360178936436071E-3</v>
      </c>
      <c r="I69" s="104">
        <f si="154" t="shared"/>
        <v>1.9762496843460126E-2</v>
      </c>
      <c r="J69" s="104">
        <f si="154" t="shared"/>
        <v>2.326732117188301E-4</v>
      </c>
      <c r="K69" s="104">
        <f si="154" t="shared"/>
        <v>4.1439393530176456E-3</v>
      </c>
      <c r="L69" s="104">
        <f si="154" t="shared"/>
        <v>1.0853174495998594E-3</v>
      </c>
      <c r="M69" s="104">
        <f si="154" t="shared"/>
        <v>1.8878927685034193E-3</v>
      </c>
      <c r="N69" s="104">
        <f si="154" t="shared"/>
        <v>1.5391774739779826E-2</v>
      </c>
      <c r="O69" s="104">
        <f si="154" t="shared"/>
        <v>4.3939894248521856E-2</v>
      </c>
      <c r="P69" s="104">
        <f si="154" t="shared"/>
        <v>2.6212551699969473E-4</v>
      </c>
      <c r="Q69" s="104">
        <f si="154" t="shared"/>
        <v>3.0600945186818294E-3</v>
      </c>
      <c r="R69" s="104">
        <f si="154" t="shared"/>
        <v>2.3414582698287332E-4</v>
      </c>
      <c r="S69" s="104">
        <f si="154" t="shared"/>
        <v>2.7685166964012698E-4</v>
      </c>
      <c r="T69" s="104">
        <f si="154" t="shared"/>
        <v>1.9791949148740993E-3</v>
      </c>
      <c r="U69" s="104">
        <f si="154" t="shared"/>
        <v>5.2425103399938945E-4</v>
      </c>
      <c r="V69" s="104">
        <f si="154" t="shared"/>
        <v>4.6829165396574665E-4</v>
      </c>
      <c r="W69" s="104">
        <f si="154" t="shared"/>
        <v>0</v>
      </c>
      <c r="X69" s="104">
        <f si="154" t="shared"/>
        <v>0.11094241614722472</v>
      </c>
      <c r="Y69" s="95"/>
      <c r="Z69" s="95">
        <v>13</v>
      </c>
      <c r="AA69" s="104">
        <f si="113" t="shared"/>
        <v>2.4309884238646481E-3</v>
      </c>
      <c r="AB69" s="104">
        <f si="114" t="shared"/>
        <v>2.2336004749183734E-3</v>
      </c>
      <c r="AC69" s="104">
        <f si="115" t="shared"/>
        <v>6.8566340160284948E-4</v>
      </c>
      <c r="AD69" s="104">
        <f si="116" t="shared"/>
        <v>6.6191748293262091E-4</v>
      </c>
      <c r="AE69" s="104">
        <f si="117" t="shared"/>
        <v>5.5209260908281393E-4</v>
      </c>
      <c r="AF69" s="104">
        <f si="118" t="shared"/>
        <v>4.0739091718610867E-3</v>
      </c>
      <c r="AG69" s="104">
        <f si="119" t="shared"/>
        <v>2.442119323241318E-2</v>
      </c>
      <c r="AH69" s="104">
        <f si="120" t="shared"/>
        <v>9.4983674680914213E-5</v>
      </c>
      <c r="AI69" s="104">
        <f si="121" t="shared"/>
        <v>3.0528346690412585E-3</v>
      </c>
      <c r="AJ69" s="104">
        <f si="122" t="shared"/>
        <v>3.5767289997031758E-4</v>
      </c>
      <c r="AK69" s="104">
        <f si="123" t="shared"/>
        <v>4.7343425348768181E-4</v>
      </c>
      <c r="AL69" s="104">
        <f si="124" t="shared"/>
        <v>1.7140100920154347E-2</v>
      </c>
      <c r="AM69" s="104">
        <f si="125" t="shared"/>
        <v>4.8354111012169784E-2</v>
      </c>
      <c r="AN69" s="104">
        <f si="126" t="shared"/>
        <v>2.5230038587117839E-5</v>
      </c>
      <c r="AO69" s="104">
        <f si="127" t="shared"/>
        <v>3.9744731374295045E-3</v>
      </c>
      <c r="AP69" s="104">
        <f si="128" t="shared"/>
        <v>1.3653903235381418E-4</v>
      </c>
      <c r="AQ69" s="104">
        <f si="129" t="shared"/>
        <v>6.5301276343128519E-5</v>
      </c>
      <c r="AR69" s="104">
        <f si="130" t="shared"/>
        <v>1.7482932620955774E-3</v>
      </c>
      <c r="AS69" s="104">
        <f si="131" t="shared"/>
        <v>3.4431582071831404E-4</v>
      </c>
      <c r="AT69" s="104">
        <f si="132" t="shared"/>
        <v>1.157613535173642E-4</v>
      </c>
      <c r="AU69" s="104">
        <f si="133" t="shared"/>
        <v>0</v>
      </c>
      <c r="AV69" s="104">
        <f si="134" t="shared"/>
        <v>0.11094241614722469</v>
      </c>
      <c r="CU69" s="95">
        <v>68</v>
      </c>
      <c r="CV69" s="95">
        <f si="153" t="shared"/>
        <v>4</v>
      </c>
      <c r="CW69" s="95">
        <f si="147" t="shared"/>
        <v>8</v>
      </c>
      <c r="CX69" s="58">
        <f si="148" t="shared"/>
        <v>103.85050251256281</v>
      </c>
      <c r="CY69" s="58">
        <f si="149" t="shared"/>
        <v>147</v>
      </c>
      <c r="CZ69" s="108">
        <f si="150" t="shared"/>
        <v>43.149497487437188</v>
      </c>
      <c r="DA69" s="78">
        <f si="151" t="shared"/>
        <v>0.41549628016693885</v>
      </c>
    </row>
    <row r="70" spans="2:106" x14ac:dyDescent="0.25">
      <c r="B70" s="95">
        <v>14</v>
      </c>
      <c r="C70" s="104">
        <f ref="C70:X70" si="155" t="shared">IF($X$51&gt;0,C43/$X$51,0)</f>
        <v>1.7461830946796765E-3</v>
      </c>
      <c r="D70" s="104">
        <f si="155" t="shared"/>
        <v>1.6009948373692316E-3</v>
      </c>
      <c r="E70" s="104">
        <f si="155" t="shared"/>
        <v>9.1298561804225794E-4</v>
      </c>
      <c r="F70" s="104">
        <f si="155" t="shared"/>
        <v>9.2083363195093063E-4</v>
      </c>
      <c r="G70" s="104">
        <f si="155" t="shared"/>
        <v>6.3568912660248895E-4</v>
      </c>
      <c r="H70" s="104">
        <f si="155" t="shared"/>
        <v>3.0594174220642425E-3</v>
      </c>
      <c r="I70" s="104">
        <f si="155" t="shared"/>
        <v>1.195514118754475E-3</v>
      </c>
      <c r="J70" s="104">
        <f si="155" t="shared"/>
        <v>4.2510075338643812E-4</v>
      </c>
      <c r="K70" s="104">
        <f si="155" t="shared"/>
        <v>1.0477098568078059E-3</v>
      </c>
      <c r="L70" s="104">
        <f si="155" t="shared"/>
        <v>4.4602879047623195E-4</v>
      </c>
      <c r="M70" s="104">
        <f si="155" t="shared"/>
        <v>2.9416972134341519E-3</v>
      </c>
      <c r="N70" s="104">
        <f si="155" t="shared"/>
        <v>2.6186206408604588E-3</v>
      </c>
      <c r="O70" s="104">
        <f si="155" t="shared"/>
        <v>5.8467703619611644E-4</v>
      </c>
      <c r="P70" s="104">
        <f si="155" t="shared"/>
        <v>9.2161843334179795E-3</v>
      </c>
      <c r="Q70" s="104">
        <f si="155" t="shared"/>
        <v>3.1261255402879602E-4</v>
      </c>
      <c r="R70" s="104">
        <f si="155" t="shared"/>
        <v>9.6792171540296688E-5</v>
      </c>
      <c r="S70" s="104">
        <f si="155" t="shared"/>
        <v>1.5905308188243347E-3</v>
      </c>
      <c r="T70" s="104">
        <f si="155" t="shared"/>
        <v>1.7658031294513581E-4</v>
      </c>
      <c r="U70" s="104">
        <f si="155" t="shared"/>
        <v>7.7956938159482196E-4</v>
      </c>
      <c r="V70" s="104">
        <f si="155" t="shared"/>
        <v>2.1320437785227512E-4</v>
      </c>
      <c r="W70" s="104">
        <f si="155" t="shared"/>
        <v>0</v>
      </c>
      <c r="X70" s="104">
        <f si="155" t="shared"/>
        <v>3.0520926090828144E-2</v>
      </c>
      <c r="Y70" s="95"/>
      <c r="Z70" s="95">
        <v>14</v>
      </c>
      <c r="AA70" s="104">
        <f si="113" t="shared"/>
        <v>2.0287919263876522E-3</v>
      </c>
      <c r="AB70" s="104">
        <f si="114" t="shared"/>
        <v>9.7358266547937068E-4</v>
      </c>
      <c r="AC70" s="104">
        <f si="115" t="shared"/>
        <v>9.7506678539625998E-4</v>
      </c>
      <c r="AD70" s="104">
        <f si="116" t="shared"/>
        <v>1.0136539032353814E-3</v>
      </c>
      <c r="AE70" s="104">
        <f si="117" t="shared"/>
        <v>7.1831403977441375E-4</v>
      </c>
      <c r="AF70" s="104">
        <f si="118" t="shared"/>
        <v>3.7266251113089936E-3</v>
      </c>
      <c r="AG70" s="104">
        <f si="119" t="shared"/>
        <v>4.2000593647966756E-4</v>
      </c>
      <c r="AH70" s="104">
        <f si="120" t="shared"/>
        <v>3.6954585930543186E-4</v>
      </c>
      <c r="AI70" s="104">
        <f si="121" t="shared"/>
        <v>8.3852775304244583E-4</v>
      </c>
      <c r="AJ70" s="104">
        <f si="122" t="shared"/>
        <v>4.9421193232413179E-4</v>
      </c>
      <c r="AK70" s="104">
        <f si="123" t="shared"/>
        <v>3.4179281685960228E-3</v>
      </c>
      <c r="AL70" s="104">
        <f si="124" t="shared"/>
        <v>1.5241911546452953E-3</v>
      </c>
      <c r="AM70" s="104">
        <f si="125" t="shared"/>
        <v>5.3428317008014251E-5</v>
      </c>
      <c r="AN70" s="104">
        <f si="126" t="shared"/>
        <v>1.0546156129415257E-2</v>
      </c>
      <c r="AO70" s="104">
        <f si="127" t="shared"/>
        <v>8.3110715345799938E-5</v>
      </c>
      <c r="AP70" s="104">
        <f si="128" t="shared"/>
        <v>3.5618878005342832E-5</v>
      </c>
      <c r="AQ70" s="104">
        <f si="129" t="shared"/>
        <v>2.1549421193232414E-3</v>
      </c>
      <c r="AR70" s="104">
        <f si="130" t="shared"/>
        <v>8.9047195013357079E-6</v>
      </c>
      <c r="AS70" s="104">
        <f si="131" t="shared"/>
        <v>1.1353517364203027E-3</v>
      </c>
      <c r="AT70" s="104">
        <f si="132" t="shared"/>
        <v>2.9682398337785692E-6</v>
      </c>
      <c r="AU70" s="104">
        <f si="133" t="shared"/>
        <v>0</v>
      </c>
      <c r="AV70" s="104">
        <f si="134" t="shared"/>
        <v>3.052092609082814E-2</v>
      </c>
      <c r="CU70" s="95">
        <v>69</v>
      </c>
      <c r="CV70" s="95">
        <f si="153" t="shared"/>
        <v>4</v>
      </c>
      <c r="CW70" s="95">
        <f si="147" t="shared"/>
        <v>9</v>
      </c>
      <c r="CX70" s="58">
        <f si="148" t="shared"/>
        <v>549.54224246231149</v>
      </c>
      <c r="CY70" s="58">
        <f si="149" t="shared"/>
        <v>406</v>
      </c>
      <c r="CZ70" s="108">
        <f si="150" t="shared"/>
        <v>-143.54224246231149</v>
      </c>
      <c r="DA70" s="78">
        <f si="151" t="shared"/>
        <v>-0.26120329134144016</v>
      </c>
    </row>
    <row r="71" spans="2:106" x14ac:dyDescent="0.25">
      <c r="B71" s="95">
        <v>15</v>
      </c>
      <c r="C71" s="104">
        <f ref="C71:X71" si="156" t="shared">IF($X$51&gt;0,C44/$X$51,0)</f>
        <v>1.7677731214013883E-3</v>
      </c>
      <c r="D71" s="104">
        <f si="156" t="shared"/>
        <v>2.0648008775509923E-3</v>
      </c>
      <c r="E71" s="104">
        <f si="156" t="shared"/>
        <v>6.4770369733063444E-4</v>
      </c>
      <c r="F71" s="104">
        <f si="156" t="shared"/>
        <v>6.4116123574143615E-4</v>
      </c>
      <c r="G71" s="104">
        <f si="156" t="shared"/>
        <v>4.5535532660820365E-4</v>
      </c>
      <c r="H71" s="104">
        <f si="156" t="shared"/>
        <v>3.1992637171179821E-3</v>
      </c>
      <c r="I71" s="104">
        <f si="156" t="shared"/>
        <v>4.6320628051524163E-3</v>
      </c>
      <c r="J71" s="104">
        <f si="156" t="shared"/>
        <v>1.5571058582292021E-4</v>
      </c>
      <c r="K71" s="104">
        <f si="156" t="shared"/>
        <v>4.5496277891285174E-3</v>
      </c>
      <c r="L71" s="104">
        <f si="156" t="shared"/>
        <v>4.605892958795623E-4</v>
      </c>
      <c r="M71" s="104">
        <f si="156" t="shared"/>
        <v>1.4838302884301808E-3</v>
      </c>
      <c r="N71" s="104">
        <f si="156" t="shared"/>
        <v>4.3258756027779342E-3</v>
      </c>
      <c r="O71" s="104">
        <f si="156" t="shared"/>
        <v>4.0615601545743217E-3</v>
      </c>
      <c r="P71" s="104">
        <f si="156" t="shared"/>
        <v>2.3422012489330012E-4</v>
      </c>
      <c r="Q71" s="104">
        <f si="156" t="shared"/>
        <v>1.4600157282454989E-2</v>
      </c>
      <c r="R71" s="104">
        <f si="156" t="shared"/>
        <v>9.0285969930936939E-5</v>
      </c>
      <c r="S71" s="104">
        <f si="156" t="shared"/>
        <v>2.1851821707922418E-4</v>
      </c>
      <c r="T71" s="104">
        <f si="156" t="shared"/>
        <v>2.3945409416465879E-4</v>
      </c>
      <c r="U71" s="104">
        <f si="156" t="shared"/>
        <v>1.1148354547993952E-3</v>
      </c>
      <c r="V71" s="104">
        <f si="156" t="shared"/>
        <v>1.818804321797135E-4</v>
      </c>
      <c r="W71" s="104">
        <f si="156" t="shared"/>
        <v>0</v>
      </c>
      <c r="X71" s="104">
        <f si="156" t="shared"/>
        <v>4.512466607301871E-2</v>
      </c>
      <c r="Y71" s="95"/>
      <c r="Z71" s="95">
        <v>15</v>
      </c>
      <c r="AA71" s="104">
        <f si="113" t="shared"/>
        <v>1.7675868210151383E-3</v>
      </c>
      <c r="AB71" s="104">
        <f si="114" t="shared"/>
        <v>1.5612941525675278E-3</v>
      </c>
      <c r="AC71" s="104">
        <f si="115" t="shared"/>
        <v>6.2333036509349966E-4</v>
      </c>
      <c r="AD71" s="104">
        <f si="116" t="shared"/>
        <v>3.7845057880676761E-4</v>
      </c>
      <c r="AE71" s="104">
        <f si="117" t="shared"/>
        <v>3.6657761947165337E-4</v>
      </c>
      <c r="AF71" s="104">
        <f si="118" t="shared"/>
        <v>2.6580587711487092E-3</v>
      </c>
      <c r="AG71" s="104">
        <f si="119" t="shared"/>
        <v>3.6939744731374303E-3</v>
      </c>
      <c r="AH71" s="104">
        <f si="120" t="shared"/>
        <v>8.3110715345799952E-5</v>
      </c>
      <c r="AI71" s="104">
        <f si="121" t="shared"/>
        <v>5.2448797862867328E-3</v>
      </c>
      <c r="AJ71" s="104">
        <f si="122" t="shared"/>
        <v>1.9145146927871775E-4</v>
      </c>
      <c r="AK71" s="104">
        <f si="123" t="shared"/>
        <v>1.1219946571682995E-3</v>
      </c>
      <c r="AL71" s="104">
        <f si="124" t="shared"/>
        <v>2.8717720391807661E-3</v>
      </c>
      <c r="AM71" s="104">
        <f si="125" t="shared"/>
        <v>5.5639655684179288E-3</v>
      </c>
      <c r="AN71" s="104">
        <f si="126" t="shared"/>
        <v>7.5690115761353522E-5</v>
      </c>
      <c r="AO71" s="104">
        <f si="127" t="shared"/>
        <v>1.7184624517661031E-2</v>
      </c>
      <c r="AP71" s="104">
        <f si="128" t="shared"/>
        <v>2.0777678836449988E-5</v>
      </c>
      <c r="AQ71" s="104">
        <f si="129" t="shared"/>
        <v>1.172454734342535E-4</v>
      </c>
      <c r="AR71" s="104">
        <f si="130" t="shared"/>
        <v>8.6078955179578524E-5</v>
      </c>
      <c r="AS71" s="104">
        <f si="131" t="shared"/>
        <v>1.5034134758088456E-3</v>
      </c>
      <c r="AT71" s="104">
        <f si="132" t="shared"/>
        <v>1.0388839418224994E-5</v>
      </c>
      <c r="AU71" s="104">
        <f si="133" t="shared"/>
        <v>0</v>
      </c>
      <c r="AV71" s="104">
        <f si="134" t="shared"/>
        <v>4.5124666073018703E-2</v>
      </c>
      <c r="CU71" s="95">
        <v>70</v>
      </c>
      <c r="CV71" s="95">
        <f si="153" t="shared"/>
        <v>4</v>
      </c>
      <c r="CW71" s="95">
        <f si="147" t="shared"/>
        <v>10</v>
      </c>
      <c r="CX71" s="58">
        <f si="148" t="shared"/>
        <v>271.88638505025125</v>
      </c>
      <c r="CY71" s="58">
        <f si="149" t="shared"/>
        <v>347</v>
      </c>
      <c r="CZ71" s="108">
        <f si="150" t="shared"/>
        <v>75.113614949748751</v>
      </c>
      <c r="DA71" s="78">
        <f si="151" t="shared"/>
        <v>0.27626839400533393</v>
      </c>
    </row>
    <row r="72" spans="2:106" x14ac:dyDescent="0.25">
      <c r="B72" s="95">
        <v>16</v>
      </c>
      <c r="C72" s="104">
        <f ref="C72:X72" si="157" t="shared">IF($X$51&gt;0,C45/$X$51,0)</f>
        <v>1.5437473222948612E-3</v>
      </c>
      <c r="D72" s="104">
        <f si="157" t="shared"/>
        <v>8.8232917654161146E-4</v>
      </c>
      <c r="E72" s="104">
        <f si="157" t="shared"/>
        <v>3.6555515809026521E-4</v>
      </c>
      <c r="F72" s="104">
        <f si="157" t="shared"/>
        <v>5.154590718395107E-4</v>
      </c>
      <c r="G72" s="104">
        <f si="157" t="shared"/>
        <v>7.1138611700299816E-4</v>
      </c>
      <c r="H72" s="104">
        <f si="157" t="shared"/>
        <v>4.2117739977090632E-3</v>
      </c>
      <c r="I72" s="104">
        <f si="157" t="shared"/>
        <v>7.8502312726578551E-4</v>
      </c>
      <c r="J72" s="104">
        <f si="157" t="shared"/>
        <v>1.1834519506519377E-4</v>
      </c>
      <c r="K72" s="104">
        <f si="157" t="shared"/>
        <v>6.2591458723369156E-4</v>
      </c>
      <c r="L72" s="104">
        <f si="157" t="shared"/>
        <v>1.226845188842509E-3</v>
      </c>
      <c r="M72" s="104">
        <f si="157" t="shared"/>
        <v>3.9842882338615238E-4</v>
      </c>
      <c r="N72" s="104">
        <f si="157" t="shared"/>
        <v>6.50241099552648E-3</v>
      </c>
      <c r="O72" s="104">
        <f si="157" t="shared"/>
        <v>5.1151423200400425E-4</v>
      </c>
      <c r="P72" s="104">
        <f si="157" t="shared"/>
        <v>7.4951956874622717E-5</v>
      </c>
      <c r="Q72" s="104">
        <f si="157" t="shared"/>
        <v>1.4069928746639706E-4</v>
      </c>
      <c r="R72" s="104">
        <f si="157" t="shared"/>
        <v>1.1703024845335828E-3</v>
      </c>
      <c r="S72" s="104">
        <f si="157" t="shared"/>
        <v>3.9448398355064591E-5</v>
      </c>
      <c r="T72" s="104">
        <f si="157" t="shared"/>
        <v>3.9579893016248137E-4</v>
      </c>
      <c r="U72" s="104">
        <f si="157" t="shared"/>
        <v>1.1308540861785183E-4</v>
      </c>
      <c r="V72" s="104">
        <f si="157" t="shared"/>
        <v>1.7751779259779065E-4</v>
      </c>
      <c r="W72" s="104">
        <f si="157" t="shared"/>
        <v>0</v>
      </c>
      <c r="X72" s="104">
        <f si="157" t="shared"/>
        <v>2.0510537251409916E-2</v>
      </c>
      <c r="Y72" s="95"/>
      <c r="Z72" s="95">
        <v>16</v>
      </c>
      <c r="AA72" s="104">
        <f si="113" t="shared"/>
        <v>1.6503413475808843E-3</v>
      </c>
      <c r="AB72" s="104">
        <f si="114" t="shared"/>
        <v>7.3909171861086362E-4</v>
      </c>
      <c r="AC72" s="104">
        <f si="115" t="shared"/>
        <v>3.0276046304541403E-4</v>
      </c>
      <c r="AD72" s="104">
        <f si="116" t="shared"/>
        <v>5.6396556841792811E-4</v>
      </c>
      <c r="AE72" s="104">
        <f si="117" t="shared"/>
        <v>8.0587711487088145E-4</v>
      </c>
      <c r="AF72" s="104">
        <f si="118" t="shared"/>
        <v>4.2831700801424745E-3</v>
      </c>
      <c r="AG72" s="104">
        <f si="119" t="shared"/>
        <v>4.6304541406945671E-4</v>
      </c>
      <c r="AH72" s="104">
        <f si="120" t="shared"/>
        <v>1.5880083110715343E-4</v>
      </c>
      <c r="AI72" s="104">
        <f si="121" t="shared"/>
        <v>3.2056990204808546E-4</v>
      </c>
      <c r="AJ72" s="104">
        <f si="122" t="shared"/>
        <v>1.4203027604630452E-3</v>
      </c>
      <c r="AK72" s="104">
        <f si="123" t="shared"/>
        <v>2.2410210745028194E-4</v>
      </c>
      <c r="AL72" s="104">
        <f si="124" t="shared"/>
        <v>7.4354407836153148E-3</v>
      </c>
      <c r="AM72" s="104">
        <f si="125" t="shared"/>
        <v>1.3060255268625704E-4</v>
      </c>
      <c r="AN72" s="104">
        <f si="126" t="shared"/>
        <v>4.4523597506678535E-5</v>
      </c>
      <c r="AO72" s="104">
        <f si="127" t="shared"/>
        <v>2.9682398337785687E-5</v>
      </c>
      <c r="AP72" s="104">
        <f si="128" t="shared"/>
        <v>1.4277233600474917E-3</v>
      </c>
      <c r="AQ72" s="104">
        <f si="129" t="shared"/>
        <v>1.4841199168892844E-5</v>
      </c>
      <c r="AR72" s="104">
        <f si="130" t="shared"/>
        <v>2.9237162362718904E-4</v>
      </c>
      <c r="AS72" s="104">
        <f si="131" t="shared"/>
        <v>5.0460077174235665E-5</v>
      </c>
      <c r="AT72" s="104">
        <f si="132" t="shared"/>
        <v>1.5286435143959629E-4</v>
      </c>
      <c r="AU72" s="104">
        <f si="133" t="shared"/>
        <v>0</v>
      </c>
      <c r="AV72" s="104">
        <f si="134" t="shared"/>
        <v>2.0510537251409913E-2</v>
      </c>
      <c r="CU72" s="95">
        <v>71</v>
      </c>
      <c r="CV72" s="95">
        <f si="153" t="shared"/>
        <v>4</v>
      </c>
      <c r="CW72" s="95">
        <f si="147" t="shared"/>
        <v>11</v>
      </c>
      <c r="CX72" s="58">
        <f si="148" t="shared"/>
        <v>468.76962939698495</v>
      </c>
      <c r="CY72" s="58">
        <f si="149" t="shared"/>
        <v>445</v>
      </c>
      <c r="CZ72" s="108">
        <f si="150" t="shared"/>
        <v>-23.769629396984953</v>
      </c>
      <c r="DA72" s="78">
        <f si="151" t="shared"/>
        <v>-5.0706419329173878E-2</v>
      </c>
    </row>
    <row r="73" spans="2:106" x14ac:dyDescent="0.25">
      <c r="B73" s="95">
        <v>17</v>
      </c>
      <c r="C73" s="104">
        <f ref="C73:X73" si="158" t="shared">IF($X$51&gt;0,C46/$X$51,0)</f>
        <v>1.490023586577614E-3</v>
      </c>
      <c r="D73" s="104">
        <f si="158" t="shared"/>
        <v>1.385874687236215E-3</v>
      </c>
      <c r="E73" s="104">
        <f si="158" t="shared"/>
        <v>7.5126072724929086E-4</v>
      </c>
      <c r="F73" s="104">
        <f si="158" t="shared"/>
        <v>7.9708624295950637E-4</v>
      </c>
      <c r="G73" s="104">
        <f si="158" t="shared"/>
        <v>4.7353032900556037E-4</v>
      </c>
      <c r="H73" s="104">
        <f si="158" t="shared"/>
        <v>2.6467706952627516E-3</v>
      </c>
      <c r="I73" s="104">
        <f si="158" t="shared"/>
        <v>1.0942577690802981E-3</v>
      </c>
      <c r="J73" s="104">
        <f si="158" t="shared"/>
        <v>2.8328500620860506E-4</v>
      </c>
      <c r="K73" s="104">
        <f si="158" t="shared"/>
        <v>1.1025896810276099E-3</v>
      </c>
      <c r="L73" s="104">
        <f si="158" t="shared"/>
        <v>3.4577434581344442E-4</v>
      </c>
      <c r="M73" s="104">
        <f si="158" t="shared"/>
        <v>4.5103416674781831E-3</v>
      </c>
      <c r="N73" s="104">
        <f si="158" t="shared"/>
        <v>2.1190829385996637E-3</v>
      </c>
      <c r="O73" s="104">
        <f si="158" t="shared"/>
        <v>4.6797572104068579E-4</v>
      </c>
      <c r="P73" s="104">
        <f si="158" t="shared"/>
        <v>2.0968645067401654E-3</v>
      </c>
      <c r="Q73" s="104">
        <f si="158" t="shared"/>
        <v>4.2215020533047028E-4</v>
      </c>
      <c r="R73" s="104">
        <f si="158" t="shared"/>
        <v>9.7205639385305662E-5</v>
      </c>
      <c r="S73" s="104">
        <f si="158" t="shared"/>
        <v>3.9479376110346286E-3</v>
      </c>
      <c r="T73" s="104">
        <f si="158" t="shared"/>
        <v>1.2081272323602277E-4</v>
      </c>
      <c r="U73" s="104">
        <f si="158" t="shared"/>
        <v>2.867566361866517E-3</v>
      </c>
      <c r="V73" s="104">
        <f si="158" t="shared"/>
        <v>1.1525811527114814E-4</v>
      </c>
      <c r="W73" s="104">
        <f si="158" t="shared"/>
        <v>0</v>
      </c>
      <c r="X73" s="104">
        <f si="158" t="shared"/>
        <v>2.7135648560403684E-2</v>
      </c>
      <c r="Y73" s="95"/>
      <c r="Z73" s="95">
        <v>17</v>
      </c>
      <c r="AA73" s="104">
        <f si="113" t="shared"/>
        <v>1.5390323538141881E-3</v>
      </c>
      <c r="AB73" s="104">
        <f si="114" t="shared"/>
        <v>8.0290887503710296E-4</v>
      </c>
      <c r="AC73" s="104">
        <f si="115" t="shared"/>
        <v>9.1421786880379935E-4</v>
      </c>
      <c r="AD73" s="104">
        <f si="116" t="shared"/>
        <v>6.6340160284951021E-4</v>
      </c>
      <c r="AE73" s="104">
        <f si="117" t="shared"/>
        <v>5.0756901157613537E-4</v>
      </c>
      <c r="AF73" s="104">
        <f si="118" t="shared"/>
        <v>2.4102107450281983E-3</v>
      </c>
      <c r="AG73" s="104">
        <f si="119" t="shared"/>
        <v>4.1555357672899972E-4</v>
      </c>
      <c r="AH73" s="104">
        <f si="120" t="shared"/>
        <v>1.647373107747106E-4</v>
      </c>
      <c r="AI73" s="104">
        <f si="121" t="shared"/>
        <v>8.7266251113089939E-4</v>
      </c>
      <c r="AJ73" s="104">
        <f si="122" t="shared"/>
        <v>2.419115464529534E-4</v>
      </c>
      <c r="AK73" s="104">
        <f si="123" t="shared"/>
        <v>4.8619768477292961E-3</v>
      </c>
      <c r="AL73" s="104">
        <f si="124" t="shared"/>
        <v>1.1501929355891957E-3</v>
      </c>
      <c r="AM73" s="104">
        <f si="125" t="shared"/>
        <v>4.6007717423567827E-5</v>
      </c>
      <c r="AN73" s="104">
        <f si="126" t="shared"/>
        <v>2.8079548827545267E-3</v>
      </c>
      <c r="AO73" s="104">
        <f si="127" t="shared"/>
        <v>2.5972098545562483E-4</v>
      </c>
      <c r="AP73" s="104">
        <f si="128" t="shared"/>
        <v>1.3357079252003563E-5</v>
      </c>
      <c r="AQ73" s="104">
        <f si="129" t="shared"/>
        <v>5.1959038290293859E-3</v>
      </c>
      <c r="AR73" s="104">
        <f si="130" t="shared"/>
        <v>1.1872959335114277E-5</v>
      </c>
      <c r="AS73" s="104">
        <f si="131" t="shared"/>
        <v>4.2490353220540223E-3</v>
      </c>
      <c r="AT73" s="104">
        <f si="132" t="shared"/>
        <v>7.4205995844464235E-6</v>
      </c>
      <c r="AU73" s="104">
        <f si="133" t="shared"/>
        <v>0</v>
      </c>
      <c r="AV73" s="104">
        <f si="134" t="shared"/>
        <v>2.713564856040368E-2</v>
      </c>
      <c r="CU73" s="95">
        <v>72</v>
      </c>
      <c r="CV73" s="95">
        <f si="153" t="shared"/>
        <v>4</v>
      </c>
      <c r="CW73" s="95">
        <f si="147" t="shared"/>
        <v>12</v>
      </c>
      <c r="CX73" s="58">
        <f si="148" t="shared"/>
        <v>1319.7668027638192</v>
      </c>
      <c r="CY73" s="58">
        <f si="149" t="shared"/>
        <v>1086</v>
      </c>
      <c r="CZ73" s="108">
        <f si="150" t="shared"/>
        <v>-233.76680276381921</v>
      </c>
      <c r="DA73" s="78">
        <f si="151" t="shared"/>
        <v>-0.17712735482834635</v>
      </c>
    </row>
    <row r="74" spans="2:106" x14ac:dyDescent="0.25">
      <c r="B74" s="95">
        <v>18</v>
      </c>
      <c r="C74" s="104">
        <f ref="C74:X74" si="159" t="shared">IF($X$51&gt;0,C47/$X$51,0)</f>
        <v>2.0155362282029475E-3</v>
      </c>
      <c r="D74" s="104">
        <f si="159" t="shared"/>
        <v>1.4392611848950984E-3</v>
      </c>
      <c r="E74" s="104">
        <f si="159" t="shared"/>
        <v>4.9496891095995941E-4</v>
      </c>
      <c r="F74" s="104">
        <f si="159" t="shared"/>
        <v>6.4046409516144609E-4</v>
      </c>
      <c r="G74" s="104">
        <f si="159" t="shared"/>
        <v>5.1493883820330076E-4</v>
      </c>
      <c r="H74" s="104">
        <f si="159" t="shared"/>
        <v>4.33917990530316E-3</v>
      </c>
      <c r="I74" s="104">
        <f si="159" t="shared"/>
        <v>4.4361766947708181E-3</v>
      </c>
      <c r="J74" s="104">
        <f si="159" t="shared"/>
        <v>1.2695168033266971E-4</v>
      </c>
      <c r="K74" s="104">
        <f si="159" t="shared"/>
        <v>1.5005973899996463E-3</v>
      </c>
      <c r="L74" s="104">
        <f si="159" t="shared"/>
        <v>6.9894745351694568E-4</v>
      </c>
      <c r="M74" s="104">
        <f si="159" t="shared"/>
        <v>6.5615475228121426E-4</v>
      </c>
      <c r="N74" s="104">
        <f si="159" t="shared"/>
        <v>2.0444926227057923E-2</v>
      </c>
      <c r="O74" s="104">
        <f si="159" t="shared"/>
        <v>5.8469094121754283E-3</v>
      </c>
      <c r="P74" s="104">
        <f si="159" t="shared"/>
        <v>9.1291095969560238E-5</v>
      </c>
      <c r="Q74" s="104">
        <f si="159" t="shared"/>
        <v>5.1779168495234948E-4</v>
      </c>
      <c r="R74" s="104">
        <f si="159" t="shared"/>
        <v>2.3963912692009562E-4</v>
      </c>
      <c r="S74" s="104">
        <f si="159" t="shared"/>
        <v>7.9879708973365217E-5</v>
      </c>
      <c r="T74" s="104">
        <f si="159" t="shared"/>
        <v>4.9553948030976926E-3</v>
      </c>
      <c r="U74" s="104">
        <f si="159" t="shared"/>
        <v>1.8828788543721802E-4</v>
      </c>
      <c r="V74" s="104">
        <f si="159" t="shared"/>
        <v>2.1410614851610924E-3</v>
      </c>
      <c r="W74" s="104">
        <f si="159" t="shared"/>
        <v>0</v>
      </c>
      <c r="X74" s="104">
        <f si="159" t="shared"/>
        <v>5.1368358563371928E-2</v>
      </c>
      <c r="Y74" s="95"/>
      <c r="Z74" s="95">
        <v>18</v>
      </c>
      <c r="AA74" s="104">
        <f si="113" t="shared"/>
        <v>1.2362718907687742E-3</v>
      </c>
      <c r="AB74" s="104">
        <f si="114" t="shared"/>
        <v>7.7322647669931729E-4</v>
      </c>
      <c r="AC74" s="104">
        <f si="115" t="shared"/>
        <v>2.3449094686850698E-4</v>
      </c>
      <c r="AD74" s="104">
        <f si="116" t="shared"/>
        <v>3.2650638171564261E-4</v>
      </c>
      <c r="AE74" s="104">
        <f si="117" t="shared"/>
        <v>3.4728406055209259E-4</v>
      </c>
      <c r="AF74" s="104">
        <f si="118" t="shared"/>
        <v>2.580884535470466E-3</v>
      </c>
      <c r="AG74" s="104">
        <f si="119" t="shared"/>
        <v>2.9637874740279014E-3</v>
      </c>
      <c r="AH74" s="104">
        <f si="120" t="shared"/>
        <v>7.5690115761353522E-5</v>
      </c>
      <c r="AI74" s="104">
        <f si="121" t="shared"/>
        <v>4.7491837340457111E-4</v>
      </c>
      <c r="AJ74" s="104">
        <f si="122" t="shared"/>
        <v>4.5710893440189967E-4</v>
      </c>
      <c r="AK74" s="104">
        <f si="123" t="shared"/>
        <v>1.439596319382606E-4</v>
      </c>
      <c r="AL74" s="104">
        <f si="124" t="shared"/>
        <v>2.4165924606708224E-2</v>
      </c>
      <c r="AM74" s="104">
        <f si="125" t="shared"/>
        <v>7.5185514989611164E-3</v>
      </c>
      <c r="AN74" s="104">
        <f si="126" t="shared"/>
        <v>1.0388839418224992E-5</v>
      </c>
      <c r="AO74" s="104">
        <f si="127" t="shared"/>
        <v>2.6714158504007122E-4</v>
      </c>
      <c r="AP74" s="104">
        <f si="128" t="shared"/>
        <v>3.368952211338676E-4</v>
      </c>
      <c r="AQ74" s="104">
        <f si="129" t="shared"/>
        <v>1.632531908578213E-5</v>
      </c>
      <c r="AR74" s="104">
        <f si="130" t="shared"/>
        <v>7.5497180172157908E-3</v>
      </c>
      <c r="AS74" s="104">
        <f si="131" t="shared"/>
        <v>6.8269516176907091E-5</v>
      </c>
      <c r="AT74" s="104">
        <f si="132" t="shared"/>
        <v>1.8210151380231522E-3</v>
      </c>
      <c r="AU74" s="104">
        <f si="133" t="shared"/>
        <v>0</v>
      </c>
      <c r="AV74" s="104">
        <f si="134" t="shared"/>
        <v>5.1368358563371921E-2</v>
      </c>
      <c r="CU74" s="95">
        <v>73</v>
      </c>
      <c r="CV74" s="95">
        <f si="153" t="shared"/>
        <v>4</v>
      </c>
      <c r="CW74" s="95">
        <f si="147" t="shared"/>
        <v>13</v>
      </c>
      <c r="CX74" s="58">
        <f si="148" t="shared"/>
        <v>142.07325690954772</v>
      </c>
      <c r="CY74" s="58">
        <f si="149" t="shared"/>
        <v>32</v>
      </c>
      <c r="CZ74" s="108">
        <f si="150" t="shared"/>
        <v>-110.07325690954772</v>
      </c>
      <c r="DA74" s="78">
        <f si="151" t="shared"/>
        <v>-0.77476408512002293</v>
      </c>
    </row>
    <row r="75" spans="2:106" x14ac:dyDescent="0.25">
      <c r="B75" s="95">
        <v>19</v>
      </c>
      <c r="C75" s="104">
        <f ref="C75:X75" si="160" t="shared">IF($X$51&gt;0,C48/$X$51,0)</f>
        <v>2.1889279819933233E-3</v>
      </c>
      <c r="D75" s="104">
        <f si="160" t="shared"/>
        <v>1.9937028840269059E-3</v>
      </c>
      <c r="E75" s="104">
        <f si="160" t="shared"/>
        <v>1.0617036149680507E-3</v>
      </c>
      <c r="F75" s="104">
        <f si="160" t="shared"/>
        <v>1.115189943178028E-3</v>
      </c>
      <c r="G75" s="104">
        <f si="160" t="shared"/>
        <v>6.6991626082996635E-4</v>
      </c>
      <c r="H75" s="104">
        <f si="160" t="shared"/>
        <v>4.0221718813902973E-3</v>
      </c>
      <c r="I75" s="104">
        <f si="160" t="shared"/>
        <v>2.027131839158142E-3</v>
      </c>
      <c r="J75" s="104">
        <f si="160" t="shared"/>
        <v>2.9417480515487546E-4</v>
      </c>
      <c r="K75" s="104">
        <f si="160" t="shared"/>
        <v>2.4483366738117132E-3</v>
      </c>
      <c r="L75" s="104">
        <f si="160" t="shared"/>
        <v>5.0544580158428602E-4</v>
      </c>
      <c r="M75" s="104">
        <f si="160" t="shared"/>
        <v>7.9052793094346527E-3</v>
      </c>
      <c r="N75" s="104">
        <f si="160" t="shared"/>
        <v>4.2668718329509437E-3</v>
      </c>
      <c r="O75" s="104">
        <f si="160" t="shared"/>
        <v>9.8949707188458096E-4</v>
      </c>
      <c r="P75" s="104">
        <f si="160" t="shared"/>
        <v>9.3734790187985318E-4</v>
      </c>
      <c r="Q75" s="104">
        <f si="160" t="shared"/>
        <v>1.977656985563913E-3</v>
      </c>
      <c r="R75" s="104">
        <f si="160" t="shared"/>
        <v>1.2034423847244906E-4</v>
      </c>
      <c r="S75" s="104">
        <f si="160" t="shared"/>
        <v>4.0783325260107736E-3</v>
      </c>
      <c r="T75" s="104">
        <f si="160" t="shared"/>
        <v>2.326655277134015E-4</v>
      </c>
      <c r="U75" s="104">
        <f si="160" t="shared"/>
        <v>1.6356119166611074E-2</v>
      </c>
      <c r="V75" s="104">
        <f si="160" t="shared"/>
        <v>1.7516772488767584E-4</v>
      </c>
      <c r="W75" s="104">
        <f si="160" t="shared"/>
        <v>0</v>
      </c>
      <c r="X75" s="104">
        <f si="160" t="shared"/>
        <v>5.3365983971504917E-2</v>
      </c>
      <c r="Y75" s="95"/>
      <c r="Z75" s="95">
        <v>19</v>
      </c>
      <c r="AA75" s="104">
        <f si="113" t="shared"/>
        <v>2.5170673790442274E-3</v>
      </c>
      <c r="AB75" s="104">
        <f si="114" t="shared"/>
        <v>1.4128821608785994E-3</v>
      </c>
      <c r="AC75" s="104">
        <f si="115" t="shared"/>
        <v>1.2704066488572279E-3</v>
      </c>
      <c r="AD75" s="104">
        <f si="116" t="shared"/>
        <v>9.9732858414959937E-4</v>
      </c>
      <c r="AE75" s="104">
        <f si="117" t="shared"/>
        <v>6.5598100326506403E-4</v>
      </c>
      <c r="AF75" s="104">
        <f si="118" t="shared"/>
        <v>3.7577916295636693E-3</v>
      </c>
      <c r="AG75" s="104">
        <f si="119" t="shared"/>
        <v>8.0736123478777097E-4</v>
      </c>
      <c r="AH75" s="104">
        <f si="120" t="shared"/>
        <v>1.7809439002671419E-4</v>
      </c>
      <c r="AI75" s="104">
        <f si="121" t="shared"/>
        <v>2.224695755417038E-3</v>
      </c>
      <c r="AJ75" s="104">
        <f si="122" t="shared"/>
        <v>3.5767289997031768E-4</v>
      </c>
      <c r="AK75" s="104">
        <f si="123" t="shared"/>
        <v>1.0093499554764027E-2</v>
      </c>
      <c r="AL75" s="104">
        <f si="124" t="shared"/>
        <v>1.8165627782724847E-3</v>
      </c>
      <c r="AM75" s="104">
        <f si="125" t="shared"/>
        <v>3.2650638171564272E-4</v>
      </c>
      <c r="AN75" s="104">
        <f si="126" t="shared"/>
        <v>1.0997328584149602E-3</v>
      </c>
      <c r="AO75" s="104">
        <f si="127" t="shared"/>
        <v>2.9355891956070056E-3</v>
      </c>
      <c r="AP75" s="104">
        <f si="128" t="shared"/>
        <v>3.116651825467498E-5</v>
      </c>
      <c r="AQ75" s="104">
        <f si="129" t="shared"/>
        <v>3.8987830216681515E-3</v>
      </c>
      <c r="AR75" s="104">
        <f si="130" t="shared"/>
        <v>1.6325319085782133E-5</v>
      </c>
      <c r="AS75" s="104">
        <f si="131" t="shared"/>
        <v>1.8962600178094396E-2</v>
      </c>
      <c r="AT75" s="104">
        <f si="132" t="shared"/>
        <v>5.93647966755714E-6</v>
      </c>
      <c r="AU75" s="104">
        <f si="133" t="shared"/>
        <v>0</v>
      </c>
      <c r="AV75" s="104">
        <f si="134" t="shared"/>
        <v>5.336598397150491E-2</v>
      </c>
      <c r="CU75" s="95">
        <v>74</v>
      </c>
      <c r="CV75" s="95">
        <f si="153" t="shared"/>
        <v>4</v>
      </c>
      <c r="CW75" s="95">
        <f si="147" t="shared"/>
        <v>14</v>
      </c>
      <c r="CX75" s="58">
        <f si="148" t="shared"/>
        <v>53.367619346733669</v>
      </c>
      <c r="CY75" s="58">
        <f si="149" t="shared"/>
        <v>47</v>
      </c>
      <c r="CZ75" s="108">
        <f si="150" t="shared"/>
        <v>-6.3676193467336688</v>
      </c>
      <c r="DA75" s="78">
        <f si="151" t="shared"/>
        <v>-0.11931615883711692</v>
      </c>
    </row>
    <row r="76" spans="2:106" x14ac:dyDescent="0.25">
      <c r="B76" s="95">
        <v>20</v>
      </c>
      <c r="C76" s="104">
        <f ref="C76:X76" si="161" t="shared">IF($X$51&gt;0,C49/$X$51,0)</f>
        <v>9.6628115938505099E-4</v>
      </c>
      <c r="D76" s="104">
        <f si="161" t="shared"/>
        <v>8.4615604257625365E-4</v>
      </c>
      <c r="E76" s="104">
        <f si="161" t="shared"/>
        <v>3.0625304505099981E-4</v>
      </c>
      <c r="F76" s="104">
        <f si="161" t="shared"/>
        <v>3.366143383103661E-4</v>
      </c>
      <c r="G76" s="104">
        <f si="161" t="shared"/>
        <v>2.7457169556296534E-4</v>
      </c>
      <c r="H76" s="104">
        <f si="161" t="shared"/>
        <v>1.5669067434290374E-3</v>
      </c>
      <c r="I76" s="104">
        <f si="161" t="shared"/>
        <v>1.7728355151012617E-3</v>
      </c>
      <c r="J76" s="104">
        <f si="161" t="shared"/>
        <v>1.1352483566545682E-4</v>
      </c>
      <c r="K76" s="104">
        <f si="161" t="shared"/>
        <v>9.1611902269566324E-4</v>
      </c>
      <c r="L76" s="104">
        <f si="161" t="shared"/>
        <v>3.6961574402706875E-4</v>
      </c>
      <c r="M76" s="104">
        <f si="161" t="shared"/>
        <v>3.7885613762774542E-4</v>
      </c>
      <c r="N76" s="104">
        <f si="161" t="shared"/>
        <v>8.2054695174009259E-3</v>
      </c>
      <c r="O76" s="104">
        <f si="161" t="shared"/>
        <v>1.4494217390775765E-3</v>
      </c>
      <c r="P76" s="104">
        <f si="161" t="shared"/>
        <v>1.531265225254999E-4</v>
      </c>
      <c r="Q76" s="104">
        <f si="161" t="shared"/>
        <v>2.8909231407831443E-4</v>
      </c>
      <c r="R76" s="104">
        <f si="161" t="shared"/>
        <v>1.1220477943678871E-4</v>
      </c>
      <c r="S76" s="104">
        <f si="161" t="shared"/>
        <v>4.7522024232051685E-5</v>
      </c>
      <c r="T76" s="104">
        <f si="161" t="shared"/>
        <v>5.2485435651843746E-3</v>
      </c>
      <c r="U76" s="104">
        <f si="161" t="shared"/>
        <v>1.8480787201353437E-4</v>
      </c>
      <c r="V76" s="104">
        <f si="161" t="shared"/>
        <v>1.4363531824137623E-2</v>
      </c>
      <c r="W76" s="104">
        <f si="161" t="shared"/>
        <v>0</v>
      </c>
      <c r="X76" s="104">
        <f si="161" t="shared"/>
        <v>3.7901454437518557E-2</v>
      </c>
      <c r="Y76" s="95"/>
      <c r="Z76" s="95">
        <v>20</v>
      </c>
      <c r="AA76" s="104">
        <f si="113" t="shared"/>
        <v>3.8141881864054615E-4</v>
      </c>
      <c r="AB76" s="104">
        <f si="114" t="shared"/>
        <v>2.0777678836449986E-4</v>
      </c>
      <c r="AC76" s="104">
        <f si="115" t="shared"/>
        <v>7.4205995844464235E-5</v>
      </c>
      <c r="AD76" s="104">
        <f si="116" t="shared"/>
        <v>1.0834075393291777E-4</v>
      </c>
      <c r="AE76" s="104">
        <f si="117" t="shared"/>
        <v>1.3505491243692491E-4</v>
      </c>
      <c r="AF76" s="104">
        <f si="118" t="shared"/>
        <v>8.8305135054912438E-4</v>
      </c>
      <c r="AG76" s="104">
        <f si="119" t="shared"/>
        <v>4.7937073315523895E-4</v>
      </c>
      <c r="AH76" s="104">
        <f si="120" t="shared"/>
        <v>3.4134758088453546E-5</v>
      </c>
      <c r="AI76" s="104">
        <f si="121" t="shared"/>
        <v>1.4099139210448205E-4</v>
      </c>
      <c r="AJ76" s="104">
        <f si="122" t="shared"/>
        <v>2.1668150786583555E-4</v>
      </c>
      <c r="AK76" s="104">
        <f si="123" t="shared"/>
        <v>4.7491837340457107E-5</v>
      </c>
      <c r="AL76" s="104">
        <f si="124" t="shared"/>
        <v>8.8527753042445829E-3</v>
      </c>
      <c r="AM76" s="104">
        <f si="125" t="shared"/>
        <v>5.78806767586821E-4</v>
      </c>
      <c r="AN76" s="104">
        <f si="126" t="shared"/>
        <v>4.452359750667854E-6</v>
      </c>
      <c r="AO76" s="104">
        <f si="127" t="shared"/>
        <v>1.9293558919560702E-5</v>
      </c>
      <c r="AP76" s="104">
        <f si="128" t="shared"/>
        <v>2.7753042445829621E-4</v>
      </c>
      <c r="AQ76" s="104">
        <f si="129" t="shared"/>
        <v>7.4205995844464235E-6</v>
      </c>
      <c r="AR76" s="104">
        <f si="130" t="shared"/>
        <v>6.0151380231522706E-3</v>
      </c>
      <c r="AS76" s="104">
        <f si="131" t="shared"/>
        <v>8.9047195013357079E-6</v>
      </c>
      <c r="AT76" s="104">
        <f si="132" t="shared"/>
        <v>1.9428613831997624E-2</v>
      </c>
      <c r="AU76" s="104">
        <f si="133" t="shared"/>
        <v>0</v>
      </c>
      <c r="AV76" s="104">
        <f si="134" t="shared"/>
        <v>3.790145443751855E-2</v>
      </c>
      <c r="CU76" s="95">
        <v>75</v>
      </c>
      <c r="CV76" s="95">
        <f si="153" t="shared"/>
        <v>4</v>
      </c>
      <c r="CW76" s="95">
        <f si="147" t="shared"/>
        <v>15</v>
      </c>
      <c r="CX76" s="58">
        <f si="148" t="shared"/>
        <v>81.493797110552762</v>
      </c>
      <c r="CY76" s="58">
        <f si="149" t="shared"/>
        <v>26</v>
      </c>
      <c r="CZ76" s="108">
        <f si="150" t="shared"/>
        <v>-55.493797110552762</v>
      </c>
      <c r="DA76" s="78">
        <f si="151" t="shared"/>
        <v>-0.68095731304888207</v>
      </c>
    </row>
    <row r="77" spans="2:106" x14ac:dyDescent="0.25">
      <c r="B77" s="101" t="s">
        <v>15</v>
      </c>
      <c r="C77" s="105">
        <f ref="C77:X77" si="162" t="shared">IF($X$51&gt;0,C50/$X$51,0)</f>
        <v>0</v>
      </c>
      <c r="D77" s="105">
        <f si="162" t="shared"/>
        <v>0</v>
      </c>
      <c r="E77" s="105">
        <f si="162" t="shared"/>
        <v>0</v>
      </c>
      <c r="F77" s="105">
        <f si="162" t="shared"/>
        <v>0</v>
      </c>
      <c r="G77" s="105">
        <f si="162" t="shared"/>
        <v>0</v>
      </c>
      <c r="H77" s="105">
        <f si="162" t="shared"/>
        <v>0</v>
      </c>
      <c r="I77" s="105">
        <f si="162" t="shared"/>
        <v>0</v>
      </c>
      <c r="J77" s="105">
        <f si="162" t="shared"/>
        <v>0</v>
      </c>
      <c r="K77" s="105">
        <f si="162" t="shared"/>
        <v>0</v>
      </c>
      <c r="L77" s="105">
        <f si="162" t="shared"/>
        <v>0</v>
      </c>
      <c r="M77" s="105">
        <f si="162" t="shared"/>
        <v>0</v>
      </c>
      <c r="N77" s="105">
        <f si="162" t="shared"/>
        <v>0</v>
      </c>
      <c r="O77" s="105">
        <f si="162" t="shared"/>
        <v>0</v>
      </c>
      <c r="P77" s="105">
        <f si="162" t="shared"/>
        <v>0</v>
      </c>
      <c r="Q77" s="105">
        <f si="162" t="shared"/>
        <v>0</v>
      </c>
      <c r="R77" s="105">
        <f si="162" t="shared"/>
        <v>0</v>
      </c>
      <c r="S77" s="105">
        <f si="162" t="shared"/>
        <v>0</v>
      </c>
      <c r="T77" s="105">
        <f si="162" t="shared"/>
        <v>0</v>
      </c>
      <c r="U77" s="105">
        <f si="162" t="shared"/>
        <v>0</v>
      </c>
      <c r="V77" s="105">
        <f si="162" t="shared"/>
        <v>0</v>
      </c>
      <c r="W77" s="105">
        <f si="162" t="shared"/>
        <v>0</v>
      </c>
      <c r="X77" s="105">
        <f si="162" t="shared"/>
        <v>0</v>
      </c>
      <c r="Y77" s="95"/>
      <c r="Z77" s="101" t="s">
        <v>15</v>
      </c>
      <c r="AA77" s="105">
        <f si="113" t="shared"/>
        <v>0</v>
      </c>
      <c r="AB77" s="105">
        <f si="114" t="shared"/>
        <v>0</v>
      </c>
      <c r="AC77" s="105">
        <f si="115" t="shared"/>
        <v>0</v>
      </c>
      <c r="AD77" s="105">
        <f si="116" t="shared"/>
        <v>0</v>
      </c>
      <c r="AE77" s="105">
        <f si="117" t="shared"/>
        <v>0</v>
      </c>
      <c r="AF77" s="105">
        <f si="118" t="shared"/>
        <v>0</v>
      </c>
      <c r="AG77" s="105">
        <f si="119" t="shared"/>
        <v>0</v>
      </c>
      <c r="AH77" s="105">
        <f si="120" t="shared"/>
        <v>0</v>
      </c>
      <c r="AI77" s="105">
        <f si="121" t="shared"/>
        <v>0</v>
      </c>
      <c r="AJ77" s="105">
        <f si="122" t="shared"/>
        <v>0</v>
      </c>
      <c r="AK77" s="105">
        <f si="123" t="shared"/>
        <v>0</v>
      </c>
      <c r="AL77" s="105">
        <f si="124" t="shared"/>
        <v>0</v>
      </c>
      <c r="AM77" s="105">
        <f si="125" t="shared"/>
        <v>0</v>
      </c>
      <c r="AN77" s="105">
        <f si="126" t="shared"/>
        <v>0</v>
      </c>
      <c r="AO77" s="105">
        <f si="127" t="shared"/>
        <v>0</v>
      </c>
      <c r="AP77" s="105">
        <f si="128" t="shared"/>
        <v>0</v>
      </c>
      <c r="AQ77" s="105">
        <f si="129" t="shared"/>
        <v>0</v>
      </c>
      <c r="AR77" s="105">
        <f si="130" t="shared"/>
        <v>0</v>
      </c>
      <c r="AS77" s="105">
        <f si="131" t="shared"/>
        <v>0</v>
      </c>
      <c r="AT77" s="105">
        <f si="132" t="shared"/>
        <v>0</v>
      </c>
      <c r="AU77" s="105">
        <f si="133" t="shared"/>
        <v>0</v>
      </c>
      <c r="AV77" s="105">
        <f si="134" t="shared"/>
        <v>0</v>
      </c>
      <c r="CU77" s="95">
        <v>76</v>
      </c>
      <c r="CV77" s="95">
        <f si="153" t="shared"/>
        <v>4</v>
      </c>
      <c r="CW77" s="95">
        <f si="147" t="shared"/>
        <v>16</v>
      </c>
      <c r="CX77" s="58">
        <f si="148" t="shared"/>
        <v>34.616834170854268</v>
      </c>
      <c r="CY77" s="58">
        <f si="149" t="shared"/>
        <v>33</v>
      </c>
      <c r="CZ77" s="108">
        <f si="150" t="shared"/>
        <v>-1.6168341708542684</v>
      </c>
      <c r="DA77" s="78">
        <f si="151" t="shared"/>
        <v>-4.6706586826347221E-2</v>
      </c>
    </row>
    <row ht="15.75" r="78" spans="2:106" thickBot="1" x14ac:dyDescent="0.3">
      <c r="B78" s="1" t="s">
        <v>3</v>
      </c>
      <c r="C78" s="106">
        <f ref="C78:X78" si="163" t="shared">IF($X$51&gt;0,C51/$X$51,0)</f>
        <v>7.3947894153446034E-2</v>
      </c>
      <c r="D78" s="106">
        <f si="163" t="shared"/>
        <v>5.0192519024846186E-2</v>
      </c>
      <c r="E78" s="106">
        <f si="163" t="shared"/>
        <v>2.7578535915392926E-2</v>
      </c>
      <c r="F78" s="106">
        <f si="163" t="shared"/>
        <v>2.4097482875325593E-2</v>
      </c>
      <c r="G78" s="106">
        <f si="163" t="shared"/>
        <v>2.2305742980927721E-2</v>
      </c>
      <c r="H78" s="106">
        <f si="163" t="shared"/>
        <v>0.14440746738487922</v>
      </c>
      <c r="I78" s="106">
        <f si="163" t="shared"/>
        <v>9.5485251975945137E-2</v>
      </c>
      <c r="J78" s="106">
        <f si="163" t="shared"/>
        <v>5.2519452114698842E-3</v>
      </c>
      <c r="K78" s="106">
        <f si="163" t="shared"/>
        <v>5.8660834167614272E-2</v>
      </c>
      <c r="L78" s="106">
        <f si="163" t="shared"/>
        <v>1.8963034569547708E-2</v>
      </c>
      <c r="M78" s="106">
        <f si="163" t="shared"/>
        <v>5.3879182748495659E-2</v>
      </c>
      <c r="N78" s="106">
        <f si="163" t="shared"/>
        <v>0.21147163459391846</v>
      </c>
      <c r="O78" s="106">
        <f si="163" t="shared"/>
        <v>7.7644106460475287E-2</v>
      </c>
      <c r="P78" s="106">
        <f si="163" t="shared"/>
        <v>1.6022315587757067E-2</v>
      </c>
      <c r="Q78" s="106">
        <f si="163" t="shared"/>
        <v>3.2752118544292469E-2</v>
      </c>
      <c r="R78" s="106">
        <f si="163" t="shared"/>
        <v>4.7059575856400471E-3</v>
      </c>
      <c r="S78" s="106">
        <f si="163" t="shared"/>
        <v>1.2849992381014726E-2</v>
      </c>
      <c r="T78" s="106">
        <f si="163" t="shared"/>
        <v>1.8456764420687135E-2</v>
      </c>
      <c r="U78" s="106">
        <f si="163" t="shared"/>
        <v>3.091185328972057E-2</v>
      </c>
      <c r="V78" s="106">
        <f si="163" t="shared"/>
        <v>2.0415366128604062E-2</v>
      </c>
      <c r="W78" s="106">
        <f si="163" t="shared"/>
        <v>0</v>
      </c>
      <c r="X78" s="106">
        <f si="163" t="shared"/>
        <v>1</v>
      </c>
      <c r="Y78" s="95"/>
      <c r="Z78" s="1" t="s">
        <v>3</v>
      </c>
      <c r="AA78" s="106">
        <f si="113" t="shared"/>
        <v>7.3734045710893439E-2</v>
      </c>
      <c r="AB78" s="106">
        <f si="114" t="shared"/>
        <v>5.0630750964677944E-2</v>
      </c>
      <c r="AC78" s="106">
        <f si="115" t="shared"/>
        <v>2.7235084594835264E-2</v>
      </c>
      <c r="AD78" s="106">
        <f si="116" t="shared"/>
        <v>2.3797862867319681E-2</v>
      </c>
      <c r="AE78" s="106">
        <f si="117" t="shared"/>
        <v>2.2518551498961117E-2</v>
      </c>
      <c r="AF78" s="106">
        <f si="118" t="shared"/>
        <v>0.14349213416444048</v>
      </c>
      <c r="AG78" s="106">
        <f si="119" t="shared"/>
        <v>9.5154348471356495E-2</v>
      </c>
      <c r="AH78" s="106">
        <f si="120" t="shared"/>
        <v>5.2344909468685068E-3</v>
      </c>
      <c r="AI78" s="106">
        <f si="121" t="shared"/>
        <v>5.7616503413475809E-2</v>
      </c>
      <c r="AJ78" s="106">
        <f si="122" t="shared"/>
        <v>1.8679133273968536E-2</v>
      </c>
      <c r="AK78" s="106">
        <f si="123" t="shared"/>
        <v>5.4528049866429208E-2</v>
      </c>
      <c r="AL78" s="106">
        <f si="124" t="shared"/>
        <v>0.20939151083407539</v>
      </c>
      <c r="AM78" s="106">
        <f si="125" t="shared"/>
        <v>7.8073612347877713E-2</v>
      </c>
      <c r="AN78" s="106">
        <f si="126" t="shared"/>
        <v>1.6454437518551499E-2</v>
      </c>
      <c r="AO78" s="106">
        <f si="127" t="shared"/>
        <v>3.2325615909765508E-2</v>
      </c>
      <c r="AP78" s="106">
        <f si="128" t="shared"/>
        <v>4.7328584149599288E-3</v>
      </c>
      <c r="AQ78" s="106">
        <f si="129" t="shared"/>
        <v>1.3643514395963193E-2</v>
      </c>
      <c r="AR78" s="106">
        <f si="130" t="shared"/>
        <v>1.8339269813000891E-2</v>
      </c>
      <c r="AS78" s="106">
        <f si="131" t="shared"/>
        <v>3.2312258830513509E-2</v>
      </c>
      <c r="AT78" s="106">
        <f si="132" t="shared"/>
        <v>2.2105966162065897E-2</v>
      </c>
      <c r="AU78" s="106">
        <f si="133" t="shared"/>
        <v>0</v>
      </c>
      <c r="AV78" s="106">
        <f si="134" t="shared"/>
        <v>1</v>
      </c>
      <c r="CU78" s="95">
        <v>77</v>
      </c>
      <c r="CV78" s="95">
        <f si="153" t="shared"/>
        <v>4</v>
      </c>
      <c r="CW78" s="95">
        <f si="147" t="shared"/>
        <v>17</v>
      </c>
      <c r="CX78" s="58">
        <f si="148" t="shared"/>
        <v>26.683809673366834</v>
      </c>
      <c r="CY78" s="58">
        <f si="149" t="shared"/>
        <v>26</v>
      </c>
      <c r="CZ78" s="108">
        <f si="150" t="shared"/>
        <v>-0.6838096733668344</v>
      </c>
      <c r="DA78" s="78">
        <f si="151" t="shared"/>
        <v>-2.5626388500640005E-2</v>
      </c>
    </row>
    <row r="79" spans="2:106" x14ac:dyDescent="0.25">
      <c r="B79" s="95"/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95"/>
      <c r="AL79" s="95"/>
      <c r="AM79" s="95"/>
      <c r="AN79" s="95"/>
      <c r="AO79" s="95"/>
      <c r="AP79" s="95"/>
      <c r="AQ79" s="95"/>
      <c r="AR79" s="95"/>
      <c r="AS79" s="95"/>
      <c r="AT79" s="95"/>
      <c r="AU79" s="95"/>
      <c r="AV79" s="95"/>
      <c r="CU79" s="95">
        <v>78</v>
      </c>
      <c r="CV79" s="95">
        <f si="153" t="shared"/>
        <v>4</v>
      </c>
      <c r="CW79" s="95">
        <f si="147" t="shared"/>
        <v>18</v>
      </c>
      <c r="CX79" s="58">
        <f si="148" t="shared"/>
        <v>49.040515075376881</v>
      </c>
      <c r="CY79" s="58">
        <f si="149" t="shared"/>
        <v>11</v>
      </c>
      <c r="CZ79" s="108">
        <f si="150" t="shared"/>
        <v>-38.040515075376881</v>
      </c>
      <c r="DA79" s="78">
        <f si="151" t="shared"/>
        <v>-0.77569566748855234</v>
      </c>
    </row>
    <row r="80" spans="2:106" x14ac:dyDescent="0.25"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  <c r="AT80" s="95"/>
      <c r="AU80" s="95"/>
      <c r="AV80" s="95"/>
      <c r="CU80" s="95">
        <v>79</v>
      </c>
      <c r="CV80" s="95">
        <f si="153" t="shared"/>
        <v>4</v>
      </c>
      <c r="CW80" s="95">
        <f si="147" t="shared"/>
        <v>19</v>
      </c>
      <c r="CX80" s="58">
        <f si="148" t="shared"/>
        <v>69.233668341708537</v>
      </c>
      <c r="CY80" s="58">
        <f si="149" t="shared"/>
        <v>46</v>
      </c>
      <c r="CZ80" s="108">
        <f si="150" t="shared"/>
        <v>-23.233668341708537</v>
      </c>
      <c r="DA80" s="78">
        <f si="151" t="shared"/>
        <v>-0.3355833786971511</v>
      </c>
    </row>
    <row r="81" spans="2:105" x14ac:dyDescent="0.25">
      <c r="B81" s="95"/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5"/>
      <c r="AK81" s="95"/>
      <c r="AL81" s="95"/>
      <c r="AM81" s="95"/>
      <c r="AN81" s="95"/>
      <c r="AO81" s="95"/>
      <c r="AP81" s="95"/>
      <c r="AQ81" s="95"/>
      <c r="AR81" s="95"/>
      <c r="AS81" s="95"/>
      <c r="AT81" s="95"/>
      <c r="AU81" s="95"/>
      <c r="AV81" s="95"/>
      <c r="CU81" s="95">
        <v>80</v>
      </c>
      <c r="CV81" s="95">
        <f si="153" t="shared"/>
        <v>4</v>
      </c>
      <c r="CW81" s="95">
        <f si="147" t="shared"/>
        <v>20</v>
      </c>
      <c r="CX81" s="58">
        <f si="148" t="shared"/>
        <v>17.308417085427134</v>
      </c>
      <c r="CY81" s="58">
        <f si="149" t="shared"/>
        <v>7</v>
      </c>
      <c r="CZ81" s="108">
        <f si="150" t="shared"/>
        <v>-10.308417085427134</v>
      </c>
      <c r="DA81" s="78">
        <f si="151" t="shared"/>
        <v>-0.59557249138087454</v>
      </c>
    </row>
    <row ht="15.75" r="82" spans="2:105" thickBot="1" x14ac:dyDescent="0.3">
      <c r="B82" s="95"/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23" t="s">
        <v>325</v>
      </c>
      <c r="AA82" s="24"/>
      <c r="AB82" s="24"/>
      <c r="AC82" s="24"/>
      <c r="AD82" s="24"/>
      <c r="AE82" s="24"/>
      <c r="AF82" s="24"/>
      <c r="AG82" s="24"/>
      <c r="AH82" s="24"/>
      <c r="AI82" s="24"/>
      <c r="AJ82" s="95"/>
      <c r="AK82" s="95"/>
      <c r="AL82" s="95"/>
      <c r="AM82" s="95"/>
      <c r="AN82" s="95"/>
      <c r="AO82" s="95"/>
      <c r="AP82" s="95"/>
      <c r="AQ82" s="95"/>
      <c r="AR82" s="95"/>
      <c r="AS82" s="95"/>
      <c r="AT82" s="95"/>
      <c r="AU82" s="95"/>
      <c r="AV82" s="95"/>
      <c r="CU82" s="95">
        <v>81</v>
      </c>
      <c r="CV82" s="95">
        <f si="153" t="shared"/>
        <v>5</v>
      </c>
      <c r="CW82" s="95">
        <f si="147" t="shared"/>
        <v>1</v>
      </c>
      <c r="CX82" s="58">
        <f si="148" t="shared"/>
        <v>1226.3123111782477</v>
      </c>
      <c r="CY82" s="58">
        <f si="149" t="shared"/>
        <v>1109.0000000000002</v>
      </c>
      <c r="CZ82" s="108">
        <f si="150" t="shared"/>
        <v>-117.31231117824746</v>
      </c>
      <c r="DA82" s="78">
        <f si="151" t="shared"/>
        <v>-9.5662671008768671E-2</v>
      </c>
    </row>
    <row r="83" spans="2:105" x14ac:dyDescent="0.25">
      <c r="B83" s="95"/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2" t="s">
        <v>14</v>
      </c>
      <c r="AA83" s="2">
        <v>1</v>
      </c>
      <c r="AB83" s="2">
        <v>2</v>
      </c>
      <c r="AC83" s="2">
        <v>3</v>
      </c>
      <c r="AD83" s="2">
        <v>4</v>
      </c>
      <c r="AE83" s="2">
        <v>5</v>
      </c>
      <c r="AF83" s="2">
        <v>6</v>
      </c>
      <c r="AG83" s="2">
        <v>7</v>
      </c>
      <c r="AH83" s="2">
        <v>8</v>
      </c>
      <c r="AI83" s="2">
        <v>9</v>
      </c>
      <c r="AJ83" s="2">
        <v>10</v>
      </c>
      <c r="AK83" s="2">
        <v>11</v>
      </c>
      <c r="AL83" s="2">
        <v>12</v>
      </c>
      <c r="AM83" s="2">
        <v>13</v>
      </c>
      <c r="AN83" s="2">
        <v>14</v>
      </c>
      <c r="AO83" s="2">
        <v>15</v>
      </c>
      <c r="AP83" s="2">
        <v>16</v>
      </c>
      <c r="AQ83" s="2">
        <v>17</v>
      </c>
      <c r="AR83" s="2">
        <v>18</v>
      </c>
      <c r="AS83" s="2">
        <v>19</v>
      </c>
      <c r="AT83" s="2">
        <v>20</v>
      </c>
      <c r="AU83" s="3" t="s">
        <v>15</v>
      </c>
      <c r="AV83" s="3" t="s">
        <v>3</v>
      </c>
      <c r="CU83" s="95">
        <v>82</v>
      </c>
      <c r="CV83" s="95">
        <f si="153" t="shared"/>
        <v>5</v>
      </c>
      <c r="CW83" s="95">
        <f si="147" t="shared"/>
        <v>2</v>
      </c>
      <c r="CX83" s="58">
        <f si="148" t="shared"/>
        <v>469.38160876132929</v>
      </c>
      <c r="CY83" s="58">
        <f si="149" t="shared"/>
        <v>491.00000000000011</v>
      </c>
      <c r="CZ83" s="108">
        <f si="150" t="shared"/>
        <v>21.618391238670824</v>
      </c>
      <c r="DA83" s="78">
        <f si="151" t="shared"/>
        <v>4.6057175728977745E-2</v>
      </c>
    </row>
    <row r="84" spans="2:105" x14ac:dyDescent="0.25">
      <c r="B84" s="95"/>
      <c r="C84" s="95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31">
        <v>1</v>
      </c>
      <c r="AA84" s="103">
        <f>AA57-C57</f>
        <v>2.3669559836937107E-4</v>
      </c>
      <c r="AB84" s="103">
        <f ref="AB84:AV96" si="164" t="shared">AB57-D57</f>
        <v>-3.0419958014561244E-5</v>
      </c>
      <c r="AC84" s="103">
        <f si="164" t="shared"/>
        <v>-6.5687084274317705E-6</v>
      </c>
      <c r="AD84" s="103">
        <f si="164" t="shared"/>
        <v>1.5851986757592804E-4</v>
      </c>
      <c r="AE84" s="103">
        <f si="164" t="shared"/>
        <v>8.0818734054711517E-5</v>
      </c>
      <c r="AF84" s="103">
        <f si="164" t="shared"/>
        <v>2.2278705216906541E-4</v>
      </c>
      <c r="AG84" s="103">
        <f si="164" t="shared"/>
        <v>-1.2153266068474629E-4</v>
      </c>
      <c r="AH84" s="103">
        <f si="164" t="shared"/>
        <v>2.0617858022584036E-5</v>
      </c>
      <c r="AI84" s="103">
        <f si="164" t="shared"/>
        <v>-7.1998181983509138E-5</v>
      </c>
      <c r="AJ84" s="103">
        <f si="164" t="shared"/>
        <v>1.1353115987729889E-5</v>
      </c>
      <c r="AK84" s="103">
        <f si="164" t="shared"/>
        <v>-3.2843785395627532E-5</v>
      </c>
      <c r="AL84" s="103">
        <f si="164" t="shared"/>
        <v>-3.6919605362759414E-4</v>
      </c>
      <c r="AM84" s="103">
        <f si="164" t="shared"/>
        <v>-5.8096690278793198E-5</v>
      </c>
      <c r="AN84" s="103">
        <f si="164" t="shared"/>
        <v>6.3193684971234029E-6</v>
      </c>
      <c r="AO84" s="103">
        <f si="164" t="shared"/>
        <v>-1.2679117900033322E-5</v>
      </c>
      <c r="AP84" s="103">
        <f si="164" t="shared"/>
        <v>-5.6414071451531502E-6</v>
      </c>
      <c r="AQ84" s="103">
        <f si="164" t="shared"/>
        <v>1.9548250536178195E-6</v>
      </c>
      <c r="AR84" s="103">
        <f si="164" t="shared"/>
        <v>-5.8328515599362829E-6</v>
      </c>
      <c r="AS84" s="103">
        <f si="164" t="shared"/>
        <v>-1.601443476291956E-5</v>
      </c>
      <c r="AT84" s="103">
        <f si="164" t="shared"/>
        <v>-8.2425699498240477E-6</v>
      </c>
      <c r="AU84" s="103">
        <f si="164" t="shared"/>
        <v>0</v>
      </c>
      <c r="AV84" s="103">
        <f si="164" t="shared"/>
        <v>0</v>
      </c>
      <c r="CU84" s="95">
        <v>83</v>
      </c>
      <c r="CV84" s="95">
        <f si="153" t="shared"/>
        <v>5</v>
      </c>
      <c r="CW84" s="95">
        <f si="147" t="shared"/>
        <v>3</v>
      </c>
      <c r="CX84" s="58">
        <f si="148" t="shared"/>
        <v>332.37292296072508</v>
      </c>
      <c r="CY84" s="58">
        <f si="149" t="shared"/>
        <v>245.00000000000006</v>
      </c>
      <c r="CZ84" s="108">
        <f si="150" t="shared"/>
        <v>-87.37292296072502</v>
      </c>
      <c r="DA84" s="78">
        <f si="151" t="shared"/>
        <v>-0.26287617590031381</v>
      </c>
    </row>
    <row r="85" spans="2:105" x14ac:dyDescent="0.25"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>
        <v>2</v>
      </c>
      <c r="AA85" s="104">
        <f ref="AA85:AD100" si="165" t="shared">AA58-C58</f>
        <v>5.9431140882852673E-5</v>
      </c>
      <c r="AB85" s="104">
        <f si="164" t="shared"/>
        <v>8.7034013215500682E-4</v>
      </c>
      <c r="AC85" s="104">
        <f si="164" t="shared"/>
        <v>-8.5902479588209645E-5</v>
      </c>
      <c r="AD85" s="104">
        <f si="164" t="shared"/>
        <v>8.5467261588442192E-5</v>
      </c>
      <c r="AE85" s="104">
        <f si="164" t="shared"/>
        <v>2.0435674447913279E-5</v>
      </c>
      <c r="AF85" s="104">
        <f si="164" t="shared"/>
        <v>3.1274029042574741E-4</v>
      </c>
      <c r="AG85" s="104">
        <f si="164" t="shared"/>
        <v>-1.8920903507259985E-4</v>
      </c>
      <c r="AH85" s="104">
        <f si="164" t="shared"/>
        <v>-1.3167666540214615E-5</v>
      </c>
      <c r="AI85" s="104">
        <f si="164" t="shared"/>
        <v>-6.0205377781829498E-5</v>
      </c>
      <c r="AJ85" s="104">
        <f si="164" t="shared"/>
        <v>2.9565964254006454E-5</v>
      </c>
      <c r="AK85" s="104">
        <f si="164" t="shared"/>
        <v>-4.6476804141152368E-4</v>
      </c>
      <c r="AL85" s="104">
        <f si="164" t="shared"/>
        <v>1.3414666023923907E-4</v>
      </c>
      <c r="AM85" s="104">
        <f si="164" t="shared"/>
        <v>-2.7364398079574048E-4</v>
      </c>
      <c r="AN85" s="104">
        <f si="164" t="shared"/>
        <v>-2.6574503947679377E-5</v>
      </c>
      <c r="AO85" s="104">
        <f si="164" t="shared"/>
        <v>-1.2273811035509681E-4</v>
      </c>
      <c r="AP85" s="104">
        <f si="164" t="shared"/>
        <v>-3.3840189808123267E-5</v>
      </c>
      <c r="AQ85" s="104">
        <f si="164" t="shared"/>
        <v>-4.2589995585456451E-5</v>
      </c>
      <c r="AR85" s="104">
        <f si="164" t="shared"/>
        <v>-8.5294766649510057E-5</v>
      </c>
      <c r="AS85" s="104">
        <f si="164" t="shared"/>
        <v>-7.1513084470904302E-5</v>
      </c>
      <c r="AT85" s="104">
        <f si="164" t="shared"/>
        <v>-4.2679891986323023E-5</v>
      </c>
      <c r="AU85" s="104">
        <f si="164" t="shared"/>
        <v>0</v>
      </c>
      <c r="AV85" s="104">
        <f si="164" t="shared"/>
        <v>0</v>
      </c>
      <c r="CU85" s="95">
        <v>84</v>
      </c>
      <c r="CV85" s="95">
        <f si="153" t="shared"/>
        <v>5</v>
      </c>
      <c r="CW85" s="95">
        <f si="147" t="shared"/>
        <v>4</v>
      </c>
      <c r="CX85" s="58">
        <f si="148" t="shared"/>
        <v>390.72847432024167</v>
      </c>
      <c r="CY85" s="58">
        <f si="149" t="shared"/>
        <v>417.00000000000011</v>
      </c>
      <c r="CZ85" s="108">
        <f si="150" t="shared"/>
        <v>26.27152567975844</v>
      </c>
      <c r="DA85" s="78">
        <f si="151" t="shared"/>
        <v>6.7237294966699196E-2</v>
      </c>
    </row>
    <row r="86" spans="2:105" x14ac:dyDescent="0.25"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>
        <v>3</v>
      </c>
      <c r="AA86" s="104">
        <f si="165" t="shared"/>
        <v>5.4716700409123634E-4</v>
      </c>
      <c r="AB86" s="104">
        <f si="164" t="shared"/>
        <v>7.1271932454327778E-4</v>
      </c>
      <c r="AC86" s="104">
        <f si="164" t="shared"/>
        <v>-6.3886965452726423E-5</v>
      </c>
      <c r="AD86" s="104">
        <f si="164" t="shared"/>
        <v>3.9219282115378513E-4</v>
      </c>
      <c r="AE86" s="104">
        <f si="164" t="shared"/>
        <v>6.126263143654896E-5</v>
      </c>
      <c r="AF86" s="104">
        <f si="164" t="shared"/>
        <v>9.0947756466371391E-4</v>
      </c>
      <c r="AG86" s="104">
        <f si="164" t="shared"/>
        <v>-7.5295716175513799E-4</v>
      </c>
      <c r="AH86" s="104">
        <f si="164" t="shared"/>
        <v>1.4251776861000143E-4</v>
      </c>
      <c r="AI86" s="104">
        <f si="164" t="shared"/>
        <v>-1.241392932482769E-4</v>
      </c>
      <c r="AJ86" s="104">
        <f si="164" t="shared"/>
        <v>-8.0464539241584037E-6</v>
      </c>
      <c r="AK86" s="104">
        <f si="164" t="shared"/>
        <v>3.5590954394748011E-4</v>
      </c>
      <c r="AL86" s="104">
        <f si="164" t="shared"/>
        <v>-9.3340221728315052E-4</v>
      </c>
      <c r="AM86" s="104">
        <f si="164" t="shared"/>
        <v>-4.6934821267763914E-4</v>
      </c>
      <c r="AN86" s="104">
        <f si="164" t="shared"/>
        <v>-9.6473362188873046E-5</v>
      </c>
      <c r="AO86" s="104">
        <f si="164" t="shared"/>
        <v>-2.7142748809363525E-4</v>
      </c>
      <c r="AP86" s="104">
        <f si="164" t="shared"/>
        <v>-7.2725587654954652E-5</v>
      </c>
      <c r="AQ86" s="104">
        <f si="164" t="shared"/>
        <v>-2.8780734102014995E-5</v>
      </c>
      <c r="AR86" s="104">
        <f si="164" t="shared"/>
        <v>-1.1402883338352732E-4</v>
      </c>
      <c r="AS86" s="104">
        <f si="164" t="shared"/>
        <v>-1.0369709746345124E-4</v>
      </c>
      <c r="AT86" s="104">
        <f si="164" t="shared"/>
        <v>-8.2333251218503004E-5</v>
      </c>
      <c r="AU86" s="104">
        <f si="164" t="shared"/>
        <v>0</v>
      </c>
      <c r="AV86" s="104">
        <f si="164" t="shared"/>
        <v>0</v>
      </c>
      <c r="CU86" s="95">
        <v>85</v>
      </c>
      <c r="CV86" s="95">
        <f si="153" t="shared"/>
        <v>5</v>
      </c>
      <c r="CW86" s="95">
        <f si="147" t="shared"/>
        <v>5</v>
      </c>
      <c r="CX86" s="58">
        <f si="148" t="shared"/>
        <v>667.28304380664645</v>
      </c>
      <c r="CY86" s="58">
        <f si="149" t="shared"/>
        <v>823.00000000000023</v>
      </c>
      <c r="CZ86" s="108">
        <f si="150" t="shared"/>
        <v>155.71695619335378</v>
      </c>
      <c r="DA86" s="78">
        <f si="151" t="shared"/>
        <v>0.23335967793372359</v>
      </c>
    </row>
    <row r="87" spans="2:105" x14ac:dyDescent="0.25">
      <c r="B87" s="95"/>
      <c r="C87" s="95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>
        <v>4</v>
      </c>
      <c r="AA87" s="104">
        <f si="165" t="shared"/>
        <v>3.1566622348161086E-4</v>
      </c>
      <c r="AB87" s="104">
        <f si="164" t="shared"/>
        <v>-7.0602903207042482E-6</v>
      </c>
      <c r="AC87" s="104">
        <f si="164" t="shared"/>
        <v>-3.0399287920755561E-5</v>
      </c>
      <c r="AD87" s="104">
        <f si="164" t="shared"/>
        <v>3.4880943191767681E-4</v>
      </c>
      <c r="AE87" s="104">
        <f si="164" t="shared"/>
        <v>-5.9457554170377186E-5</v>
      </c>
      <c r="AF87" s="104">
        <f si="164" t="shared"/>
        <v>6.5918638066407966E-4</v>
      </c>
      <c r="AG87" s="104">
        <f si="164" t="shared"/>
        <v>-4.4218942739819616E-4</v>
      </c>
      <c r="AH87" s="104">
        <f si="164" t="shared"/>
        <v>6.4039028624869647E-5</v>
      </c>
      <c r="AI87" s="104">
        <f si="164" t="shared"/>
        <v>-2.1303390095326745E-4</v>
      </c>
      <c r="AJ87" s="104">
        <f si="164" t="shared"/>
        <v>1.1147761197647478E-4</v>
      </c>
      <c r="AK87" s="104">
        <f si="164" t="shared"/>
        <v>-3.5276980405142479E-5</v>
      </c>
      <c r="AL87" s="104">
        <f si="164" t="shared"/>
        <v>-3.4693796788931347E-4</v>
      </c>
      <c r="AM87" s="104">
        <f si="164" t="shared"/>
        <v>-1.633619128963309E-4</v>
      </c>
      <c r="AN87" s="104">
        <f si="164" t="shared"/>
        <v>-9.4503106956569862E-6</v>
      </c>
      <c r="AO87" s="104">
        <f si="164" t="shared"/>
        <v>-8.2359449555584411E-5</v>
      </c>
      <c r="AP87" s="104">
        <f si="164" t="shared"/>
        <v>-2.3995757952720054E-6</v>
      </c>
      <c r="AQ87" s="104">
        <f si="164" t="shared"/>
        <v>-1.0148555556052779E-6</v>
      </c>
      <c r="AR87" s="104">
        <f si="164" t="shared"/>
        <v>-5.6456686072093928E-5</v>
      </c>
      <c r="AS87" s="104">
        <f si="164" t="shared"/>
        <v>-3.4481549928329705E-5</v>
      </c>
      <c r="AT87" s="104">
        <f si="164" t="shared"/>
        <v>-1.5298927108084207E-5</v>
      </c>
      <c r="AU87" s="104">
        <f si="164" t="shared"/>
        <v>0</v>
      </c>
      <c r="AV87" s="104">
        <f si="164" t="shared"/>
        <v>0</v>
      </c>
      <c r="CU87" s="95">
        <v>86</v>
      </c>
      <c r="CV87" s="95">
        <f si="153" t="shared"/>
        <v>5</v>
      </c>
      <c r="CW87" s="95">
        <f si="147" t="shared"/>
        <v>6</v>
      </c>
      <c r="CX87" s="58">
        <f si="148" t="shared"/>
        <v>2185.3731117824773</v>
      </c>
      <c r="CY87" s="58">
        <f si="149" t="shared"/>
        <v>3257.0000000000009</v>
      </c>
      <c r="CZ87" s="108">
        <f si="150" t="shared"/>
        <v>1071.6268882175236</v>
      </c>
      <c r="DA87" s="78">
        <f si="151" t="shared"/>
        <v>0.49036335371741718</v>
      </c>
    </row>
    <row r="88" spans="2:105" x14ac:dyDescent="0.25">
      <c r="B88" s="95"/>
      <c r="C88" s="95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>
        <v>5</v>
      </c>
      <c r="AA88" s="104">
        <f si="165" t="shared"/>
        <v>-1.7410553751595094E-4</v>
      </c>
      <c r="AB88" s="104">
        <f si="164" t="shared"/>
        <v>3.2084285008416105E-5</v>
      </c>
      <c r="AC88" s="104">
        <f si="164" t="shared"/>
        <v>-1.2967189516284515E-4</v>
      </c>
      <c r="AD88" s="104">
        <f si="164" t="shared"/>
        <v>3.8990094508397667E-5</v>
      </c>
      <c r="AE88" s="104">
        <f si="164" t="shared"/>
        <v>2.3110263608393244E-4</v>
      </c>
      <c r="AF88" s="104">
        <f si="164" t="shared"/>
        <v>1.5904228082777132E-3</v>
      </c>
      <c r="AG88" s="104">
        <f si="164" t="shared"/>
        <v>-2.6944538976755367E-4</v>
      </c>
      <c r="AH88" s="104">
        <f si="164" t="shared"/>
        <v>3.1791720583711984E-5</v>
      </c>
      <c r="AI88" s="104">
        <f si="164" t="shared"/>
        <v>-1.6948167448183597E-4</v>
      </c>
      <c r="AJ88" s="104">
        <f si="164" t="shared"/>
        <v>1.6645710758927821E-4</v>
      </c>
      <c r="AK88" s="104">
        <f si="164" t="shared"/>
        <v>-1.8333729023915405E-4</v>
      </c>
      <c r="AL88" s="104">
        <f si="164" t="shared"/>
        <v>-7.9114184420058875E-4</v>
      </c>
      <c r="AM88" s="104">
        <f si="164" t="shared"/>
        <v>-1.8506185103381735E-4</v>
      </c>
      <c r="AN88" s="104">
        <f si="164" t="shared"/>
        <v>-2.6792063590278893E-5</v>
      </c>
      <c r="AO88" s="104">
        <f si="164" t="shared"/>
        <v>-6.593936944183641E-5</v>
      </c>
      <c r="AP88" s="104">
        <f si="164" t="shared"/>
        <v>6.0875258600049119E-6</v>
      </c>
      <c r="AQ88" s="104">
        <f si="164" t="shared"/>
        <v>-3.3542062917716987E-5</v>
      </c>
      <c r="AR88" s="104">
        <f si="164" t="shared"/>
        <v>-4.9401352656484984E-5</v>
      </c>
      <c r="AS88" s="104">
        <f si="164" t="shared"/>
        <v>-8.7536733088879488E-6</v>
      </c>
      <c r="AT88" s="104">
        <f si="164" t="shared"/>
        <v>-1.0262173594502572E-5</v>
      </c>
      <c r="AU88" s="104">
        <f si="164" t="shared"/>
        <v>0</v>
      </c>
      <c r="AV88" s="104">
        <f si="164" t="shared"/>
        <v>0</v>
      </c>
      <c r="CU88" s="95">
        <v>87</v>
      </c>
      <c r="CV88" s="95">
        <f si="153" t="shared"/>
        <v>5</v>
      </c>
      <c r="CW88" s="95">
        <f si="147" t="shared"/>
        <v>7</v>
      </c>
      <c r="CX88" s="58">
        <f si="148" t="shared"/>
        <v>435.55230362537765</v>
      </c>
      <c r="CY88" s="58">
        <f si="149" t="shared"/>
        <v>254.00000000000006</v>
      </c>
      <c r="CZ88" s="108">
        <f si="150" t="shared"/>
        <v>-181.55230362537759</v>
      </c>
      <c r="DA88" s="78">
        <f si="151" t="shared"/>
        <v>-0.41683238066749456</v>
      </c>
    </row>
    <row r="89" spans="2:105" x14ac:dyDescent="0.25">
      <c r="B89" s="95"/>
      <c r="C89" s="95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>
        <v>6</v>
      </c>
      <c r="AA89" s="104">
        <f si="165" t="shared"/>
        <v>-4.0571542702528326E-4</v>
      </c>
      <c r="AB89" s="104">
        <f si="164" t="shared"/>
        <v>6.8779433136767943E-4</v>
      </c>
      <c r="AC89" s="104">
        <f si="164" t="shared"/>
        <v>-9.6247226384296226E-5</v>
      </c>
      <c r="AD89" s="104">
        <f si="164" t="shared"/>
        <v>2.1744197750950332E-4</v>
      </c>
      <c r="AE89" s="104">
        <f si="164" t="shared"/>
        <v>4.1925333184329662E-4</v>
      </c>
      <c r="AF89" s="104">
        <f si="164" t="shared"/>
        <v>3.552388333357203E-3</v>
      </c>
      <c r="AG89" s="104">
        <f si="164" t="shared"/>
        <v>-6.7246083842342048E-4</v>
      </c>
      <c r="AH89" s="104">
        <f si="164" t="shared"/>
        <v>1.5561230146720524E-4</v>
      </c>
      <c r="AI89" s="104">
        <f si="164" t="shared"/>
        <v>-3.0868448398459745E-4</v>
      </c>
      <c r="AJ89" s="104">
        <f si="164" t="shared"/>
        <v>1.1683412659240085E-4</v>
      </c>
      <c r="AK89" s="104">
        <f si="164" t="shared"/>
        <v>-2.496563513824674E-4</v>
      </c>
      <c r="AL89" s="104">
        <f si="164" t="shared"/>
        <v>-2.0191394047765288E-3</v>
      </c>
      <c r="AM89" s="104">
        <f si="164" t="shared"/>
        <v>-6.0711139761082244E-4</v>
      </c>
      <c r="AN89" s="104">
        <f si="164" t="shared"/>
        <v>-7.3210898416721171E-5</v>
      </c>
      <c r="AO89" s="104">
        <f si="164" t="shared"/>
        <v>-2.026827693016432E-4</v>
      </c>
      <c r="AP89" s="104">
        <f si="164" t="shared"/>
        <v>-8.1888019919265577E-5</v>
      </c>
      <c r="AQ89" s="104">
        <f si="164" t="shared"/>
        <v>-3.3142096724917703E-5</v>
      </c>
      <c r="AR89" s="104">
        <f si="164" t="shared"/>
        <v>-1.7921045544280572E-4</v>
      </c>
      <c r="AS89" s="104">
        <f si="164" t="shared"/>
        <v>-1.694486589515261E-4</v>
      </c>
      <c r="AT89" s="104">
        <f si="164" t="shared"/>
        <v>-5.0726373793005027E-5</v>
      </c>
      <c r="AU89" s="104">
        <f si="164" t="shared"/>
        <v>0</v>
      </c>
      <c r="AV89" s="104">
        <f si="164" t="shared"/>
        <v>0</v>
      </c>
      <c r="CU89" s="95">
        <v>88</v>
      </c>
      <c r="CV89" s="95">
        <f si="153" t="shared"/>
        <v>5</v>
      </c>
      <c r="CW89" s="95">
        <f si="147" t="shared"/>
        <v>8</v>
      </c>
      <c r="CX89" s="58">
        <f si="148" t="shared"/>
        <v>73.578738670694861</v>
      </c>
      <c r="CY89" s="58">
        <f si="149" t="shared"/>
        <v>95.000000000000014</v>
      </c>
      <c r="CZ89" s="108">
        <f si="150" t="shared"/>
        <v>21.421261329305153</v>
      </c>
      <c r="DA89" s="78">
        <f si="151" t="shared"/>
        <v>0.29113384812394005</v>
      </c>
    </row>
    <row r="90" spans="2:105" x14ac:dyDescent="0.25">
      <c r="B90" s="95"/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>
        <v>7</v>
      </c>
      <c r="AA90" s="104">
        <f si="165" t="shared"/>
        <v>-5.1805703108904685E-4</v>
      </c>
      <c r="AB90" s="104">
        <f si="164" t="shared"/>
        <v>-2.5379332179648398E-4</v>
      </c>
      <c r="AC90" s="104">
        <f si="164" t="shared"/>
        <v>-9.7096651498173193E-4</v>
      </c>
      <c r="AD90" s="104">
        <f si="164" t="shared"/>
        <v>-8.8544186633134981E-4</v>
      </c>
      <c r="AE90" s="104">
        <f si="164" t="shared"/>
        <v>-6.8970884746503655E-4</v>
      </c>
      <c r="AF90" s="104">
        <f si="164" t="shared"/>
        <v>-1.9653483483180658E-3</v>
      </c>
      <c r="AG90" s="104">
        <f si="164" t="shared"/>
        <v>4.7961350398701245E-3</v>
      </c>
      <c r="AH90" s="104">
        <f si="164" t="shared"/>
        <v>-9.9067966080187194E-5</v>
      </c>
      <c r="AI90" s="104">
        <f si="164" t="shared"/>
        <v>-2.3752530676540966E-4</v>
      </c>
      <c r="AJ90" s="104">
        <f si="164" t="shared"/>
        <v>-5.0910244604010545E-4</v>
      </c>
      <c r="AK90" s="104">
        <f si="164" t="shared"/>
        <v>-2.5437820885487604E-3</v>
      </c>
      <c r="AL90" s="104">
        <f si="164" t="shared"/>
        <v>4.9466962091108714E-3</v>
      </c>
      <c r="AM90" s="104">
        <f si="164" t="shared"/>
        <v>1.8687527215982252E-3</v>
      </c>
      <c r="AN90" s="104">
        <f si="164" t="shared"/>
        <v>-2.49046727764911E-4</v>
      </c>
      <c r="AO90" s="104">
        <f si="164" t="shared"/>
        <v>-8.4414988690989729E-4</v>
      </c>
      <c r="AP90" s="104">
        <f si="164" t="shared"/>
        <v>-1.4224519380148654E-4</v>
      </c>
      <c r="AQ90" s="104">
        <f si="164" t="shared"/>
        <v>-1.8678091331973795E-4</v>
      </c>
      <c r="AR90" s="104">
        <f si="164" t="shared"/>
        <v>-6.8482698280432049E-4</v>
      </c>
      <c r="AS90" s="104">
        <f si="164" t="shared"/>
        <v>-4.6400608348660802E-4</v>
      </c>
      <c r="AT90" s="104">
        <f si="164" t="shared"/>
        <v>-3.6773444507607478E-4</v>
      </c>
      <c r="AU90" s="104">
        <f si="164" t="shared"/>
        <v>0</v>
      </c>
      <c r="AV90" s="104">
        <f si="164" t="shared"/>
        <v>0</v>
      </c>
      <c r="CU90" s="95">
        <v>89</v>
      </c>
      <c r="CV90" s="95">
        <f si="153" t="shared"/>
        <v>5</v>
      </c>
      <c r="CW90" s="95">
        <f si="147" t="shared"/>
        <v>9</v>
      </c>
      <c r="CX90" s="58">
        <f si="148" t="shared"/>
        <v>377.19675226586105</v>
      </c>
      <c r="CY90" s="58">
        <f si="149" t="shared"/>
        <v>263.00000000000006</v>
      </c>
      <c r="CZ90" s="108">
        <f si="150" t="shared"/>
        <v>-114.19675226586099</v>
      </c>
      <c r="DA90" s="78">
        <f si="151" t="shared"/>
        <v>-0.30275115461591051</v>
      </c>
    </row>
    <row r="91" spans="2:105" x14ac:dyDescent="0.25">
      <c r="B91" s="95"/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>
        <v>8</v>
      </c>
      <c r="AA91" s="104">
        <f si="165" t="shared"/>
        <v>1.2023525427166395E-4</v>
      </c>
      <c r="AB91" s="104">
        <f si="164" t="shared"/>
        <v>-3.2144148419503422E-5</v>
      </c>
      <c r="AC91" s="104">
        <f si="164" t="shared"/>
        <v>1.4799304678496107E-4</v>
      </c>
      <c r="AD91" s="104">
        <f si="164" t="shared"/>
        <v>9.5734571974182199E-5</v>
      </c>
      <c r="AE91" s="104">
        <f si="164" t="shared"/>
        <v>-2.6810264520210582E-6</v>
      </c>
      <c r="AF91" s="104">
        <f si="164" t="shared"/>
        <v>1.2767739485974221E-4</v>
      </c>
      <c r="AG91" s="104">
        <f si="164" t="shared"/>
        <v>-1.7929902922981635E-4</v>
      </c>
      <c r="AH91" s="104">
        <f si="164" t="shared"/>
        <v>-1.3760558820030184E-5</v>
      </c>
      <c r="AI91" s="104">
        <f si="164" t="shared"/>
        <v>-1.3188672790276904E-4</v>
      </c>
      <c r="AJ91" s="104">
        <f si="164" t="shared"/>
        <v>2.1074558053170509E-5</v>
      </c>
      <c r="AK91" s="104">
        <f si="164" t="shared"/>
        <v>1.6164507208669249E-4</v>
      </c>
      <c r="AL91" s="104">
        <f si="164" t="shared"/>
        <v>-1.4848351886765471E-4</v>
      </c>
      <c r="AM91" s="104">
        <f si="164" t="shared"/>
        <v>-8.7650343777847975E-5</v>
      </c>
      <c r="AN91" s="104">
        <f si="164" t="shared"/>
        <v>-2.3365637106113096E-5</v>
      </c>
      <c r="AO91" s="104">
        <f si="164" t="shared"/>
        <v>-4.2498190831861637E-5</v>
      </c>
      <c r="AP91" s="104">
        <f si="164" t="shared"/>
        <v>-2.7354312945270513E-6</v>
      </c>
      <c r="AQ91" s="104">
        <f si="164" t="shared"/>
        <v>1.9836778844480918E-5</v>
      </c>
      <c r="AR91" s="104">
        <f si="164" t="shared"/>
        <v>-3.4528571821517212E-5</v>
      </c>
      <c r="AS91" s="104">
        <f si="164" t="shared"/>
        <v>2.1241362747960429E-5</v>
      </c>
      <c r="AT91" s="104">
        <f si="164" t="shared"/>
        <v>-1.6404855099191908E-5</v>
      </c>
      <c r="AU91" s="104">
        <f si="164" t="shared"/>
        <v>0</v>
      </c>
      <c r="AV91" s="104">
        <f si="164" t="shared"/>
        <v>0</v>
      </c>
      <c r="CU91" s="95">
        <v>90</v>
      </c>
      <c r="CV91" s="95">
        <f si="153" t="shared"/>
        <v>5</v>
      </c>
      <c r="CW91" s="95">
        <f si="147" t="shared"/>
        <v>10</v>
      </c>
      <c r="CX91" s="58">
        <f si="148" t="shared"/>
        <v>318.8412009063444</v>
      </c>
      <c r="CY91" s="58">
        <f si="149" t="shared"/>
        <v>431.00000000000011</v>
      </c>
      <c r="CZ91" s="108">
        <f si="150" t="shared"/>
        <v>112.15879909365572</v>
      </c>
      <c r="DA91" s="78">
        <f si="151" t="shared"/>
        <v>0.35177009362287831</v>
      </c>
    </row>
    <row r="92" spans="2:105" x14ac:dyDescent="0.25"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>
        <v>9</v>
      </c>
      <c r="AA92" s="104">
        <f si="165" t="shared"/>
        <v>1.4337537024779017E-4</v>
      </c>
      <c r="AB92" s="104">
        <f si="164" t="shared"/>
        <v>1.2879217464785795E-3</v>
      </c>
      <c r="AC92" s="104">
        <f si="164" t="shared"/>
        <v>3.8932488595674192E-4</v>
      </c>
      <c r="AD92" s="104">
        <f si="164" t="shared"/>
        <v>-2.7366878796510714E-4</v>
      </c>
      <c r="AE92" s="104">
        <f si="164" t="shared"/>
        <v>1.353353104368044E-4</v>
      </c>
      <c r="AF92" s="104">
        <f si="164" t="shared"/>
        <v>-5.4598829871429881E-4</v>
      </c>
      <c r="AG92" s="104">
        <f si="164" t="shared"/>
        <v>5.3607132372885877E-4</v>
      </c>
      <c r="AH92" s="104">
        <f si="164" t="shared"/>
        <v>-7.5758302297406822E-5</v>
      </c>
      <c r="AI92" s="104">
        <f si="164" t="shared"/>
        <v>5.3470313792738471E-3</v>
      </c>
      <c r="AJ92" s="104">
        <f si="164" t="shared"/>
        <v>-2.4093533971110436E-4</v>
      </c>
      <c r="AK92" s="104">
        <f si="164" t="shared"/>
        <v>-3.9556948034581794E-4</v>
      </c>
      <c r="AL92" s="104">
        <f si="164" t="shared"/>
        <v>-2.5589034747994822E-3</v>
      </c>
      <c r="AM92" s="104">
        <f si="164" t="shared"/>
        <v>-1.3371007329729555E-3</v>
      </c>
      <c r="AN92" s="104">
        <f si="164" t="shared"/>
        <v>-2.0762698203466724E-4</v>
      </c>
      <c r="AO92" s="104">
        <f si="164" t="shared"/>
        <v>-8.0244092155276874E-4</v>
      </c>
      <c r="AP92" s="104">
        <f si="164" t="shared"/>
        <v>-7.6711043348544553E-5</v>
      </c>
      <c r="AQ92" s="104">
        <f si="164" t="shared"/>
        <v>-2.1185590759986399E-4</v>
      </c>
      <c r="AR92" s="104">
        <f si="164" t="shared"/>
        <v>-3.1199948361877142E-4</v>
      </c>
      <c r="AS92" s="104">
        <f si="164" t="shared"/>
        <v>-5.3631788352256904E-4</v>
      </c>
      <c r="AT92" s="104">
        <f si="164" t="shared"/>
        <v>-2.6418337763927811E-4</v>
      </c>
      <c r="AU92" s="104">
        <f si="164" t="shared"/>
        <v>0</v>
      </c>
      <c r="AV92" s="104">
        <f si="164" t="shared"/>
        <v>0</v>
      </c>
      <c r="CU92" s="95">
        <v>91</v>
      </c>
      <c r="CV92" s="95">
        <f si="153" t="shared"/>
        <v>5</v>
      </c>
      <c r="CW92" s="95">
        <f si="147" t="shared"/>
        <v>11</v>
      </c>
      <c r="CX92" s="58">
        <f si="148" t="shared"/>
        <v>320.53266616314198</v>
      </c>
      <c r="CY92" s="58">
        <f si="149" t="shared"/>
        <v>197.00000000000006</v>
      </c>
      <c r="CZ92" s="108">
        <f si="150" t="shared"/>
        <v>-123.53266616314193</v>
      </c>
      <c r="DA92" s="78">
        <f si="151" t="shared"/>
        <v>-0.3853980551868848</v>
      </c>
    </row>
    <row r="93" spans="2:105" x14ac:dyDescent="0.25">
      <c r="B93" s="95"/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>
        <v>10</v>
      </c>
      <c r="AA93" s="104">
        <f si="165" t="shared"/>
        <v>-8.5328715615919787E-5</v>
      </c>
      <c r="AB93" s="104">
        <f si="164" t="shared"/>
        <v>3.7740982435899729E-4</v>
      </c>
      <c r="AC93" s="104">
        <f si="164" t="shared"/>
        <v>8.6653441263625261E-5</v>
      </c>
      <c r="AD93" s="104">
        <f si="164" t="shared"/>
        <v>3.9273593521821793E-4</v>
      </c>
      <c r="AE93" s="104">
        <f si="164" t="shared"/>
        <v>1.920690449057111E-4</v>
      </c>
      <c r="AF93" s="104">
        <f si="164" t="shared"/>
        <v>6.6048108252389319E-4</v>
      </c>
      <c r="AG93" s="104">
        <f si="164" t="shared"/>
        <v>-5.9593307065503498E-4</v>
      </c>
      <c r="AH93" s="104">
        <f si="164" t="shared"/>
        <v>6.7851152519956041E-5</v>
      </c>
      <c r="AI93" s="104">
        <f si="164" t="shared"/>
        <v>-5.9896150003662621E-4</v>
      </c>
      <c r="AJ93" s="104">
        <f si="164" t="shared"/>
        <v>6.6479429638659346E-4</v>
      </c>
      <c r="AK93" s="104">
        <f si="164" t="shared"/>
        <v>-4.0879549430058093E-4</v>
      </c>
      <c r="AL93" s="104">
        <f si="164" t="shared"/>
        <v>4.7387193953280123E-4</v>
      </c>
      <c r="AM93" s="104">
        <f si="164" t="shared"/>
        <v>-5.1892767437501576E-4</v>
      </c>
      <c r="AN93" s="104">
        <f si="164" t="shared"/>
        <v>-1.4694058874316685E-4</v>
      </c>
      <c r="AO93" s="104">
        <f si="164" t="shared"/>
        <v>-1.7000096389702522E-4</v>
      </c>
      <c r="AP93" s="104">
        <f si="164" t="shared"/>
        <v>2.3840863823598713E-5</v>
      </c>
      <c r="AQ93" s="104">
        <f si="164" t="shared"/>
        <v>-4.9734407292656987E-5</v>
      </c>
      <c r="AR93" s="104">
        <f si="164" t="shared"/>
        <v>-1.1570752245511526E-4</v>
      </c>
      <c r="AS93" s="104">
        <f si="164" t="shared"/>
        <v>-1.553393456456579E-4</v>
      </c>
      <c r="AT93" s="104">
        <f si="164" t="shared"/>
        <v>-9.403829751660148E-5</v>
      </c>
      <c r="AU93" s="104">
        <f si="164" t="shared"/>
        <v>0</v>
      </c>
      <c r="AV93" s="104">
        <f si="164" t="shared"/>
        <v>0</v>
      </c>
      <c r="CU93" s="95">
        <v>92</v>
      </c>
      <c r="CV93" s="95">
        <f si="153" t="shared"/>
        <v>5</v>
      </c>
      <c r="CW93" s="95">
        <f si="147" t="shared"/>
        <v>12</v>
      </c>
      <c r="CX93" s="58">
        <f si="148" t="shared"/>
        <v>1710.0713746223566</v>
      </c>
      <c r="CY93" s="58">
        <f si="149" t="shared"/>
        <v>1177.0000000000002</v>
      </c>
      <c r="CZ93" s="108">
        <f si="150" t="shared"/>
        <v>-533.07137462235642</v>
      </c>
      <c r="DA93" s="78">
        <f si="151" t="shared"/>
        <v>-0.31172463473349299</v>
      </c>
    </row>
    <row r="94" spans="2:105" x14ac:dyDescent="0.25">
      <c r="B94" s="95"/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>
        <v>11</v>
      </c>
      <c r="AA94" s="104">
        <f si="165" t="shared"/>
        <v>9.9995239408396611E-4</v>
      </c>
      <c r="AB94" s="104">
        <f si="164" t="shared"/>
        <v>-2.2717825585525427E-4</v>
      </c>
      <c r="AC94" s="104">
        <f si="164" t="shared"/>
        <v>1.207669949281052E-3</v>
      </c>
      <c r="AD94" s="104">
        <f si="164" t="shared"/>
        <v>3.8181411776475093E-4</v>
      </c>
      <c r="AE94" s="104">
        <f si="164" t="shared"/>
        <v>1.1247034776670078E-5</v>
      </c>
      <c r="AF94" s="104">
        <f si="164" t="shared"/>
        <v>-3.3397538247624016E-4</v>
      </c>
      <c r="AG94" s="104">
        <f si="164" t="shared"/>
        <v>-1.8685786858880491E-3</v>
      </c>
      <c r="AH94" s="104">
        <f si="164" t="shared"/>
        <v>5.100126539596178E-5</v>
      </c>
      <c r="AI94" s="104">
        <f si="164" t="shared"/>
        <v>1.2823692806263401E-4</v>
      </c>
      <c r="AJ94" s="104">
        <f si="164" t="shared"/>
        <v>-7.1535430099706893E-5</v>
      </c>
      <c r="AK94" s="104">
        <f si="164" t="shared"/>
        <v>5.7855369662131815E-3</v>
      </c>
      <c r="AL94" s="104">
        <f si="164" t="shared"/>
        <v>-2.9277107729994162E-3</v>
      </c>
      <c r="AM94" s="104">
        <f si="164" t="shared"/>
        <v>-1.2950156989831863E-3</v>
      </c>
      <c r="AN94" s="104">
        <f si="164" t="shared"/>
        <v>-4.4265137968306631E-5</v>
      </c>
      <c r="AO94" s="104">
        <f si="164" t="shared"/>
        <v>-5.9491243034344064E-4</v>
      </c>
      <c r="AP94" s="104">
        <f si="164" t="shared"/>
        <v>-7.1991196415647482E-5</v>
      </c>
      <c r="AQ94" s="104">
        <f si="164" t="shared"/>
        <v>2.4105252841162745E-4</v>
      </c>
      <c r="AR94" s="104">
        <f si="164" t="shared"/>
        <v>-2.83498988758203E-4</v>
      </c>
      <c r="AS94" s="104">
        <f si="164" t="shared"/>
        <v>-8.5108600721723205E-4</v>
      </c>
      <c r="AT94" s="104">
        <f si="164" t="shared"/>
        <v>-2.3676319698516345E-4</v>
      </c>
      <c r="AU94" s="104">
        <f si="164" t="shared"/>
        <v>0</v>
      </c>
      <c r="AV94" s="104">
        <f si="164" t="shared"/>
        <v>0</v>
      </c>
      <c r="CU94" s="95">
        <v>93</v>
      </c>
      <c r="CV94" s="95">
        <f si="153" t="shared"/>
        <v>5</v>
      </c>
      <c r="CW94" s="95">
        <f si="147" t="shared"/>
        <v>13</v>
      </c>
      <c r="CX94" s="58">
        <f si="148" t="shared"/>
        <v>149.6946752265861</v>
      </c>
      <c r="CY94" s="58">
        <f si="149" t="shared"/>
        <v>25.000000000000007</v>
      </c>
      <c r="CZ94" s="108">
        <f si="150" t="shared"/>
        <v>-124.6946752265861</v>
      </c>
      <c r="DA94" s="78">
        <f si="151" t="shared"/>
        <v>-0.83299339163428077</v>
      </c>
    </row>
    <row r="95" spans="2:105" x14ac:dyDescent="0.25"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>
        <v>12</v>
      </c>
      <c r="AA95" s="104">
        <f si="165" t="shared"/>
        <v>3.6589467151114732E-4</v>
      </c>
      <c r="AB95" s="104">
        <f si="164" t="shared"/>
        <v>1.9119119094742551E-3</v>
      </c>
      <c r="AC95" s="104">
        <f si="164" t="shared"/>
        <v>8.9186205327290539E-6</v>
      </c>
      <c r="AD95" s="104">
        <f si="164" t="shared"/>
        <v>4.8836968686417773E-4</v>
      </c>
      <c r="AE95" s="104">
        <f si="164" t="shared"/>
        <v>3.5511895145902981E-4</v>
      </c>
      <c r="AF95" s="104">
        <f si="164" t="shared"/>
        <v>-4.9738123702388476E-4</v>
      </c>
      <c r="AG95" s="104">
        <f si="164" t="shared"/>
        <v>1.4697020686305975E-3</v>
      </c>
      <c r="AH95" s="104">
        <f si="164" t="shared"/>
        <v>2.4153755217662983E-4</v>
      </c>
      <c r="AI95" s="104">
        <f si="164" t="shared"/>
        <v>-1.438928403090043E-3</v>
      </c>
      <c r="AJ95" s="104">
        <f si="164" t="shared"/>
        <v>8.2571171236893795E-4</v>
      </c>
      <c r="AK95" s="104">
        <f si="164" t="shared"/>
        <v>-1.5621010501833501E-3</v>
      </c>
      <c r="AL95" s="104">
        <f si="164" t="shared"/>
        <v>1.3781486582617047E-3</v>
      </c>
      <c r="AM95" s="104">
        <f si="164" t="shared"/>
        <v>-1.1644585392882028E-3</v>
      </c>
      <c r="AN95" s="104">
        <f si="164" t="shared"/>
        <v>-2.1846808755443016E-4</v>
      </c>
      <c r="AO95" s="104">
        <f si="164" t="shared"/>
        <v>-6.4805519758346232E-4</v>
      </c>
      <c r="AP95" s="104">
        <f si="164" t="shared"/>
        <v>3.6846212967964003E-4</v>
      </c>
      <c r="AQ95" s="104">
        <f si="164" t="shared"/>
        <v>-7.3623007751000616E-5</v>
      </c>
      <c r="AR95" s="104">
        <f si="164" t="shared"/>
        <v>-5.7696612027872854E-4</v>
      </c>
      <c r="AS95" s="104">
        <f si="164" t="shared"/>
        <v>-4.0400628420548829E-4</v>
      </c>
      <c r="AT95" s="104">
        <f si="164" t="shared"/>
        <v>-8.2978803400029382E-4</v>
      </c>
      <c r="AU95" s="104">
        <f si="164" t="shared"/>
        <v>0</v>
      </c>
      <c r="AV95" s="104">
        <f si="164" t="shared"/>
        <v>0</v>
      </c>
      <c r="CU95" s="95">
        <v>94</v>
      </c>
      <c r="CV95" s="95">
        <f si="153" t="shared"/>
        <v>5</v>
      </c>
      <c r="CW95" s="95">
        <f si="147" t="shared"/>
        <v>14</v>
      </c>
      <c r="CX95" s="58">
        <f si="148" t="shared"/>
        <v>49.052492447129914</v>
      </c>
      <c r="CY95" s="58">
        <f si="149" t="shared"/>
        <v>31.000000000000007</v>
      </c>
      <c r="CZ95" s="108">
        <f si="150" t="shared"/>
        <v>-18.052492447129907</v>
      </c>
      <c r="DA95" s="78">
        <f si="151" t="shared"/>
        <v>-0.36802395854986097</v>
      </c>
    </row>
    <row r="96" spans="2:105" x14ac:dyDescent="0.25">
      <c r="B96" s="95"/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>
        <v>13</v>
      </c>
      <c r="AA96" s="104">
        <f si="165" t="shared"/>
        <v>-1.221097430962559E-3</v>
      </c>
      <c r="AB96" s="104">
        <f si="164" t="shared"/>
        <v>-1.1489967865889223E-3</v>
      </c>
      <c r="AC96" s="104">
        <f si="164" t="shared"/>
        <v>-6.5441648867648871E-4</v>
      </c>
      <c r="AD96" s="104">
        <f si="164" t="shared"/>
        <v>-8.2542393375104007E-4</v>
      </c>
      <c r="AE96" s="104">
        <f ref="AE96:AV105" si="166" t="shared">AE69-G69</f>
        <v>-3.4325747145546909E-4</v>
      </c>
      <c r="AF96" s="104">
        <f si="166" t="shared"/>
        <v>-2.8621087217825204E-3</v>
      </c>
      <c r="AG96" s="104">
        <f si="166" t="shared"/>
        <v>4.6586963889530542E-3</v>
      </c>
      <c r="AH96" s="104">
        <f si="166" t="shared"/>
        <v>-1.376895370379159E-4</v>
      </c>
      <c r="AI96" s="104">
        <f si="166" t="shared"/>
        <v>-1.0911046839763871E-3</v>
      </c>
      <c r="AJ96" s="104">
        <f si="166" t="shared"/>
        <v>-7.2764454962954191E-4</v>
      </c>
      <c r="AK96" s="104">
        <f si="166" t="shared"/>
        <v>-1.4144585150157375E-3</v>
      </c>
      <c r="AL96" s="104">
        <f si="166" t="shared"/>
        <v>1.7483261803745206E-3</v>
      </c>
      <c r="AM96" s="104">
        <f si="166" t="shared"/>
        <v>4.4142167636479282E-3</v>
      </c>
      <c r="AN96" s="104">
        <f si="166" t="shared"/>
        <v>-2.3689547841257688E-4</v>
      </c>
      <c r="AO96" s="104">
        <f si="166" t="shared"/>
        <v>9.1437861874767504E-4</v>
      </c>
      <c r="AP96" s="104">
        <f si="166" t="shared"/>
        <v>-9.7606794629059141E-5</v>
      </c>
      <c r="AQ96" s="104">
        <f si="166" t="shared"/>
        <v>-2.1155039329699845E-4</v>
      </c>
      <c r="AR96" s="104">
        <f si="166" t="shared"/>
        <v>-2.3090165277852193E-4</v>
      </c>
      <c r="AS96" s="104">
        <f si="166" t="shared"/>
        <v>-1.7993521328107541E-4</v>
      </c>
      <c r="AT96" s="104">
        <f si="166" t="shared"/>
        <v>-3.5253030044838241E-4</v>
      </c>
      <c r="AU96" s="104">
        <f si="166" t="shared"/>
        <v>0</v>
      </c>
      <c r="AV96" s="104">
        <f si="166" t="shared"/>
        <v>0</v>
      </c>
      <c r="CU96" s="95">
        <v>95</v>
      </c>
      <c r="CV96" s="95">
        <f si="153" t="shared"/>
        <v>5</v>
      </c>
      <c r="CW96" s="95">
        <f si="147" t="shared"/>
        <v>15</v>
      </c>
      <c r="CX96" s="58">
        <f si="148" t="shared"/>
        <v>63.429947129909365</v>
      </c>
      <c r="CY96" s="58">
        <f si="149" t="shared"/>
        <v>19.000000000000004</v>
      </c>
      <c r="CZ96" s="108">
        <f si="150" t="shared"/>
        <v>-44.429947129909365</v>
      </c>
      <c r="DA96" s="78">
        <f si="151" t="shared"/>
        <v>-0.70045694723524599</v>
      </c>
    </row>
    <row r="97" spans="2:105" x14ac:dyDescent="0.25">
      <c r="B97" s="95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>
        <v>14</v>
      </c>
      <c r="AA97" s="104">
        <f si="165" t="shared"/>
        <v>2.8260883170797566E-4</v>
      </c>
      <c r="AB97" s="104">
        <f si="165" t="shared"/>
        <v>-6.274121718898609E-4</v>
      </c>
      <c r="AC97" s="104">
        <f si="165" t="shared"/>
        <v>6.2081167354002039E-5</v>
      </c>
      <c r="AD97" s="104">
        <f si="165" t="shared"/>
        <v>9.2820271284450818E-5</v>
      </c>
      <c r="AE97" s="104">
        <f si="166" t="shared"/>
        <v>8.2624913171924796E-5</v>
      </c>
      <c r="AF97" s="104">
        <f si="166" t="shared"/>
        <v>6.6720768924475107E-4</v>
      </c>
      <c r="AG97" s="104">
        <f si="166" t="shared"/>
        <v>-7.7550818227480739E-4</v>
      </c>
      <c r="AH97" s="104">
        <f si="166" t="shared"/>
        <v>-5.5554894081006256E-5</v>
      </c>
      <c r="AI97" s="104">
        <f si="166" t="shared"/>
        <v>-2.0918210376536005E-4</v>
      </c>
      <c r="AJ97" s="104">
        <f si="166" t="shared"/>
        <v>4.8183141847899836E-5</v>
      </c>
      <c r="AK97" s="104">
        <f si="166" t="shared"/>
        <v>4.7623095516187083E-4</v>
      </c>
      <c r="AL97" s="104">
        <f si="166" t="shared"/>
        <v>-1.0944294862151635E-3</v>
      </c>
      <c r="AM97" s="104">
        <f si="166" t="shared"/>
        <v>-5.312487191881022E-4</v>
      </c>
      <c r="AN97" s="104">
        <f si="166" t="shared"/>
        <v>1.3299717959972777E-3</v>
      </c>
      <c r="AO97" s="104">
        <f si="166" t="shared"/>
        <v>-2.2950183868299608E-4</v>
      </c>
      <c r="AP97" s="104">
        <f si="166" t="shared"/>
        <v>-6.1173293534953863E-5</v>
      </c>
      <c r="AQ97" s="104">
        <f si="166" t="shared"/>
        <v>5.644113004989067E-4</v>
      </c>
      <c r="AR97" s="104">
        <f si="166" t="shared"/>
        <v>-1.6767559344380009E-4</v>
      </c>
      <c r="AS97" s="104">
        <f si="166" t="shared"/>
        <v>3.5578235482548075E-4</v>
      </c>
      <c r="AT97" s="104">
        <f si="166" t="shared"/>
        <v>-2.1023613801849655E-4</v>
      </c>
      <c r="AU97" s="104">
        <f si="166" t="shared"/>
        <v>0</v>
      </c>
      <c r="AV97" s="104">
        <f si="166" t="shared"/>
        <v>0</v>
      </c>
      <c r="CU97" s="95">
        <v>96</v>
      </c>
      <c r="CV97" s="95">
        <f si="153" t="shared"/>
        <v>5</v>
      </c>
      <c r="CW97" s="95">
        <f si="147" t="shared"/>
        <v>16</v>
      </c>
      <c r="CX97" s="58">
        <f si="148" t="shared"/>
        <v>49.8982250755287</v>
      </c>
      <c r="CY97" s="58">
        <f si="149" t="shared"/>
        <v>54.000000000000014</v>
      </c>
      <c r="CZ97" s="108">
        <f si="150" t="shared"/>
        <v>4.1017749244713144</v>
      </c>
      <c r="DA97" s="78">
        <f si="151" t="shared"/>
        <v>8.2202822209861012E-2</v>
      </c>
    </row>
    <row r="98" spans="2:105" x14ac:dyDescent="0.25">
      <c r="B98" s="95"/>
      <c r="C98" s="95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>
        <v>15</v>
      </c>
      <c r="AA98" s="104">
        <f si="165" t="shared"/>
        <v>-1.8630038625005486E-7</v>
      </c>
      <c r="AB98" s="104">
        <f si="165" t="shared"/>
        <v>-5.0350672498346446E-4</v>
      </c>
      <c r="AC98" s="104">
        <f si="165" t="shared"/>
        <v>-2.4373332237134782E-5</v>
      </c>
      <c r="AD98" s="104">
        <f si="165" t="shared"/>
        <v>-2.6271065693466854E-4</v>
      </c>
      <c r="AE98" s="104">
        <f si="166" t="shared"/>
        <v>-8.8777707136550278E-5</v>
      </c>
      <c r="AF98" s="104">
        <f si="166" t="shared"/>
        <v>-5.4120494596927296E-4</v>
      </c>
      <c r="AG98" s="104">
        <f si="166" t="shared"/>
        <v>-9.3808833201498593E-4</v>
      </c>
      <c r="AH98" s="104">
        <f si="166" t="shared"/>
        <v>-7.2599870477120263E-5</v>
      </c>
      <c r="AI98" s="104">
        <f si="166" t="shared"/>
        <v>6.952519971582154E-4</v>
      </c>
      <c r="AJ98" s="104">
        <f si="166" t="shared"/>
        <v>-2.6913782660084454E-4</v>
      </c>
      <c r="AK98" s="104">
        <f si="166" t="shared"/>
        <v>-3.6183563126188133E-4</v>
      </c>
      <c r="AL98" s="104">
        <f si="166" t="shared"/>
        <v>-1.4541035635971681E-3</v>
      </c>
      <c r="AM98" s="104">
        <f si="166" t="shared"/>
        <v>1.502405413843607E-3</v>
      </c>
      <c r="AN98" s="104">
        <f si="166" t="shared"/>
        <v>-1.585300091319466E-4</v>
      </c>
      <c r="AO98" s="104">
        <f si="166" t="shared"/>
        <v>2.5844672352060422E-3</v>
      </c>
      <c r="AP98" s="104">
        <f si="166" t="shared"/>
        <v>-6.9508291094486947E-5</v>
      </c>
      <c r="AQ98" s="104">
        <f si="166" t="shared"/>
        <v>-1.0127274364497068E-4</v>
      </c>
      <c r="AR98" s="104">
        <f si="166" t="shared"/>
        <v>-1.5337513898508025E-4</v>
      </c>
      <c r="AS98" s="104">
        <f si="166" t="shared"/>
        <v>3.8857802100945036E-4</v>
      </c>
      <c r="AT98" s="104">
        <f si="166" t="shared"/>
        <v>-1.7149159276148851E-4</v>
      </c>
      <c r="AU98" s="104">
        <f si="166" t="shared"/>
        <v>0</v>
      </c>
      <c r="AV98" s="104">
        <f si="166" t="shared"/>
        <v>0</v>
      </c>
      <c r="CU98" s="95">
        <v>97</v>
      </c>
      <c r="CV98" s="95">
        <f si="153" t="shared"/>
        <v>5</v>
      </c>
      <c r="CW98" s="95">
        <f si="147" t="shared"/>
        <v>17</v>
      </c>
      <c r="CX98" s="58">
        <f si="148" t="shared"/>
        <v>29.600641993957701</v>
      </c>
      <c r="CY98" s="58">
        <f si="149" t="shared"/>
        <v>7.0000000000000018</v>
      </c>
      <c r="CZ98" s="108">
        <f si="150" t="shared"/>
        <v>-22.600641993957701</v>
      </c>
      <c r="DA98" s="78">
        <f si="151" t="shared"/>
        <v>-0.76351864255414148</v>
      </c>
    </row>
    <row r="99" spans="2:105" x14ac:dyDescent="0.25">
      <c r="B99" s="95"/>
      <c r="C99" s="95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>
        <v>16</v>
      </c>
      <c r="AA99" s="104">
        <f si="165" t="shared"/>
        <v>1.0659402528602306E-4</v>
      </c>
      <c r="AB99" s="104">
        <f si="165" t="shared"/>
        <v>-1.4323745793074784E-4</v>
      </c>
      <c r="AC99" s="104">
        <f si="165" t="shared"/>
        <v>-6.2794695044851177E-5</v>
      </c>
      <c r="AD99" s="104">
        <f si="165" t="shared"/>
        <v>4.850649657841741E-5</v>
      </c>
      <c r="AE99" s="104">
        <f si="166" t="shared"/>
        <v>9.4490997867883292E-5</v>
      </c>
      <c r="AF99" s="104">
        <f si="166" t="shared"/>
        <v>7.1396082433411272E-5</v>
      </c>
      <c r="AG99" s="104">
        <f si="166" t="shared"/>
        <v>-3.219777131963288E-4</v>
      </c>
      <c r="AH99" s="104">
        <f si="166" t="shared"/>
        <v>4.0455636041959665E-5</v>
      </c>
      <c r="AI99" s="104">
        <f si="166" t="shared"/>
        <v>-3.053446851856061E-4</v>
      </c>
      <c r="AJ99" s="104">
        <f si="166" t="shared"/>
        <v>1.9345757162053624E-4</v>
      </c>
      <c r="AK99" s="104">
        <f si="166" t="shared"/>
        <v>-1.7432671593587044E-4</v>
      </c>
      <c r="AL99" s="104">
        <f si="166" t="shared"/>
        <v>9.3302978808883479E-4</v>
      </c>
      <c r="AM99" s="104">
        <f si="166" t="shared"/>
        <v>-3.8091167931774718E-4</v>
      </c>
      <c r="AN99" s="104">
        <f si="166" t="shared"/>
        <v>-3.0428359367944183E-5</v>
      </c>
      <c r="AO99" s="104">
        <f si="166" t="shared"/>
        <v>-1.1101688912861136E-4</v>
      </c>
      <c r="AP99" s="104">
        <f si="166" t="shared"/>
        <v>2.5742087551390894E-4</v>
      </c>
      <c r="AQ99" s="104">
        <f si="166" t="shared"/>
        <v>-2.4607199186171748E-5</v>
      </c>
      <c r="AR99" s="104">
        <f si="166" t="shared"/>
        <v>-1.0342730653529233E-4</v>
      </c>
      <c r="AS99" s="104">
        <f si="166" t="shared"/>
        <v>-6.2625331443616169E-5</v>
      </c>
      <c r="AT99" s="104">
        <f si="166" t="shared"/>
        <v>-2.4653441158194362E-5</v>
      </c>
      <c r="AU99" s="104">
        <f si="166" t="shared"/>
        <v>0</v>
      </c>
      <c r="AV99" s="104">
        <f si="166" t="shared"/>
        <v>0</v>
      </c>
      <c r="CU99" s="95">
        <v>98</v>
      </c>
      <c r="CV99" s="95">
        <f si="153" t="shared"/>
        <v>5</v>
      </c>
      <c r="CW99" s="95">
        <f si="147" t="shared"/>
        <v>18</v>
      </c>
      <c r="CX99" s="58">
        <f si="148" t="shared"/>
        <v>42.286631419939575</v>
      </c>
      <c r="CY99" s="58">
        <f si="149" t="shared"/>
        <v>9.0000000000000018</v>
      </c>
      <c r="CZ99" s="108">
        <f si="150" t="shared"/>
        <v>-33.286631419939575</v>
      </c>
      <c r="DA99" s="78">
        <f si="151" t="shared"/>
        <v>-0.78716677829872739</v>
      </c>
    </row>
    <row r="100" spans="2:105" x14ac:dyDescent="0.25"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>
        <v>17</v>
      </c>
      <c r="AA100" s="104">
        <f si="165" t="shared"/>
        <v>4.9008767236574094E-5</v>
      </c>
      <c r="AB100" s="104">
        <f si="165" t="shared"/>
        <v>-5.8296581219911207E-4</v>
      </c>
      <c r="AC100" s="104">
        <f si="165" t="shared"/>
        <v>1.6295714155450849E-4</v>
      </c>
      <c r="AD100" s="104">
        <f si="165" t="shared"/>
        <v>-1.3368464010999617E-4</v>
      </c>
      <c r="AE100" s="104">
        <f si="166" t="shared"/>
        <v>3.4038682570575001E-5</v>
      </c>
      <c r="AF100" s="104">
        <f si="166" t="shared"/>
        <v>-2.3655995023455327E-4</v>
      </c>
      <c r="AG100" s="104">
        <f si="166" t="shared"/>
        <v>-6.7870419235129833E-4</v>
      </c>
      <c r="AH100" s="104">
        <f si="166" t="shared"/>
        <v>-1.1854769543389446E-4</v>
      </c>
      <c r="AI100" s="104">
        <f si="166" t="shared"/>
        <v>-2.2992716989671052E-4</v>
      </c>
      <c r="AJ100" s="104">
        <f si="166" t="shared"/>
        <v>-1.0386279936049102E-4</v>
      </c>
      <c r="AK100" s="104">
        <f si="166" t="shared"/>
        <v>3.5163518025111296E-4</v>
      </c>
      <c r="AL100" s="104">
        <f si="166" t="shared"/>
        <v>-9.6889000301046799E-4</v>
      </c>
      <c r="AM100" s="104">
        <f si="166" t="shared"/>
        <v>-4.2196800361711799E-4</v>
      </c>
      <c r="AN100" s="104">
        <f si="166" t="shared"/>
        <v>7.110903760143613E-4</v>
      </c>
      <c r="AO100" s="104">
        <f si="166" t="shared"/>
        <v>-1.6242921987484545E-4</v>
      </c>
      <c r="AP100" s="104">
        <f si="166" t="shared"/>
        <v>-8.3848560133302101E-5</v>
      </c>
      <c r="AQ100" s="104">
        <f si="166" t="shared"/>
        <v>1.2479662179947573E-3</v>
      </c>
      <c r="AR100" s="104">
        <f si="166" t="shared"/>
        <v>-1.0893976390090849E-4</v>
      </c>
      <c r="AS100" s="104">
        <f si="166" t="shared"/>
        <v>1.3814689601875053E-3</v>
      </c>
      <c r="AT100" s="104">
        <f si="166" t="shared"/>
        <v>-1.0783751568670171E-4</v>
      </c>
      <c r="AU100" s="104">
        <f si="166" t="shared"/>
        <v>0</v>
      </c>
      <c r="AV100" s="104">
        <f si="166" t="shared"/>
        <v>0</v>
      </c>
      <c r="CU100" s="95">
        <v>99</v>
      </c>
      <c r="CV100" s="95">
        <f si="153" t="shared"/>
        <v>5</v>
      </c>
      <c r="CW100" s="95">
        <f si="147" t="shared"/>
        <v>19</v>
      </c>
      <c r="CX100" s="58">
        <f si="148" t="shared"/>
        <v>49.8982250755287</v>
      </c>
      <c r="CY100" s="58">
        <f si="149" t="shared"/>
        <v>44.000000000000007</v>
      </c>
      <c r="CZ100" s="108">
        <f si="150" t="shared"/>
        <v>-5.8982250755286927</v>
      </c>
      <c r="DA100" s="78">
        <f si="151" t="shared"/>
        <v>-0.11820510782900223</v>
      </c>
    </row>
    <row r="101" spans="2:105" x14ac:dyDescent="0.25">
      <c r="B101" s="95"/>
      <c r="C101" s="95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>
        <v>18</v>
      </c>
      <c r="AA101" s="104">
        <f ref="AA101:AD105" si="167" t="shared">AA74-C74</f>
        <v>-7.7926433743417327E-4</v>
      </c>
      <c r="AB101" s="104">
        <f si="167" t="shared"/>
        <v>-6.6603470819578113E-4</v>
      </c>
      <c r="AC101" s="104">
        <f si="167" t="shared"/>
        <v>-2.6047796409145246E-4</v>
      </c>
      <c r="AD101" s="104">
        <f si="167" t="shared"/>
        <v>-3.1395771344580348E-4</v>
      </c>
      <c r="AE101" s="104">
        <f si="166" t="shared"/>
        <v>-1.6765477765120818E-4</v>
      </c>
      <c r="AF101" s="104">
        <f si="166" t="shared"/>
        <v>-1.758295369832694E-3</v>
      </c>
      <c r="AG101" s="104">
        <f si="166" t="shared"/>
        <v>-1.4723892207429167E-3</v>
      </c>
      <c r="AH101" s="104">
        <f si="166" t="shared"/>
        <v>-5.1261564571316193E-5</v>
      </c>
      <c r="AI101" s="104">
        <f si="166" t="shared"/>
        <v>-1.0256790165950752E-3</v>
      </c>
      <c r="AJ101" s="104">
        <f si="166" t="shared"/>
        <v>-2.41838519115046E-4</v>
      </c>
      <c r="AK101" s="104">
        <f si="166" t="shared"/>
        <v>-5.1219512034295371E-4</v>
      </c>
      <c r="AL101" s="104">
        <f si="166" t="shared"/>
        <v>3.7209983796503004E-3</v>
      </c>
      <c r="AM101" s="104">
        <f si="166" t="shared"/>
        <v>1.6716420867856881E-3</v>
      </c>
      <c r="AN101" s="104">
        <f si="166" t="shared"/>
        <v>-8.0902256551335249E-5</v>
      </c>
      <c r="AO101" s="104">
        <f si="166" t="shared"/>
        <v>-2.5065009991227826E-4</v>
      </c>
      <c r="AP101" s="104">
        <f si="166" t="shared"/>
        <v>9.7256094213771975E-5</v>
      </c>
      <c r="AQ101" s="104">
        <f si="166" t="shared"/>
        <v>-6.3554389887583083E-5</v>
      </c>
      <c r="AR101" s="104">
        <f si="166" t="shared"/>
        <v>2.5943232141180982E-3</v>
      </c>
      <c r="AS101" s="104">
        <f si="166" t="shared"/>
        <v>-1.2001836926031093E-4</v>
      </c>
      <c r="AT101" s="104">
        <f si="166" t="shared"/>
        <v>-3.2004634713794018E-4</v>
      </c>
      <c r="AU101" s="104">
        <f si="166" t="shared"/>
        <v>0</v>
      </c>
      <c r="AV101" s="104">
        <f si="166" t="shared"/>
        <v>0</v>
      </c>
      <c r="CU101" s="95">
        <v>100</v>
      </c>
      <c r="CV101" s="95">
        <f si="153" t="shared"/>
        <v>5</v>
      </c>
      <c r="CW101" s="95">
        <f si="147" t="shared"/>
        <v>20</v>
      </c>
      <c r="CX101" s="58">
        <f si="148" t="shared"/>
        <v>16.914652567975832</v>
      </c>
      <c r="CY101" s="58">
        <f si="149" t="shared"/>
        <v>10.000000000000002</v>
      </c>
      <c r="CZ101" s="108">
        <f si="150" t="shared"/>
        <v>-6.9146525679758302</v>
      </c>
      <c r="DA101" s="78">
        <f si="151" t="shared"/>
        <v>-0.40879660638535381</v>
      </c>
    </row>
    <row r="102" spans="2:105" x14ac:dyDescent="0.25">
      <c r="B102" s="95"/>
      <c r="C102" s="95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>
        <v>19</v>
      </c>
      <c r="AA102" s="104">
        <f si="167" t="shared"/>
        <v>3.2813939705090417E-4</v>
      </c>
      <c r="AB102" s="104">
        <f si="167" t="shared"/>
        <v>-5.8082072314830655E-4</v>
      </c>
      <c r="AC102" s="104">
        <f si="167" t="shared"/>
        <v>2.0870303388917724E-4</v>
      </c>
      <c r="AD102" s="104">
        <f si="167" t="shared"/>
        <v>-1.1786135902842865E-4</v>
      </c>
      <c r="AE102" s="104">
        <f si="166" t="shared"/>
        <v>-1.3935257564902316E-5</v>
      </c>
      <c r="AF102" s="104">
        <f si="166" t="shared"/>
        <v>-2.6438025182662795E-4</v>
      </c>
      <c r="AG102" s="104">
        <f si="166" t="shared"/>
        <v>-1.219770604370371E-3</v>
      </c>
      <c r="AH102" s="104">
        <f si="166" t="shared"/>
        <v>-1.1608041512816127E-4</v>
      </c>
      <c r="AI102" s="104">
        <f si="166" t="shared"/>
        <v>-2.2364091839467519E-4</v>
      </c>
      <c r="AJ102" s="104">
        <f si="166" t="shared"/>
        <v>-1.4777290161396833E-4</v>
      </c>
      <c r="AK102" s="104">
        <f si="166" t="shared"/>
        <v>2.1882202453293743E-3</v>
      </c>
      <c r="AL102" s="104">
        <f si="166" t="shared"/>
        <v>-2.4503090546784592E-3</v>
      </c>
      <c r="AM102" s="104">
        <f si="166" t="shared"/>
        <v>-6.629906901689383E-4</v>
      </c>
      <c r="AN102" s="104">
        <f si="166" t="shared"/>
        <v>1.6238495653510699E-4</v>
      </c>
      <c r="AO102" s="104">
        <f si="166" t="shared"/>
        <v>9.5793221004309261E-4</v>
      </c>
      <c r="AP102" s="104">
        <f si="166" t="shared"/>
        <v>-8.9177720217774081E-5</v>
      </c>
      <c r="AQ102" s="104">
        <f si="166" t="shared"/>
        <v>-1.7954950434262212E-4</v>
      </c>
      <c r="AR102" s="104">
        <f si="166" t="shared"/>
        <v>-2.1634020862761936E-4</v>
      </c>
      <c r="AS102" s="104">
        <f si="166" t="shared"/>
        <v>2.606481011483322E-3</v>
      </c>
      <c r="AT102" s="104">
        <f si="166" t="shared"/>
        <v>-1.692312452201187E-4</v>
      </c>
      <c r="AU102" s="104">
        <f si="166" t="shared"/>
        <v>0</v>
      </c>
      <c r="AV102" s="104">
        <f si="166" t="shared"/>
        <v>0</v>
      </c>
      <c r="CU102" s="95">
        <v>101</v>
      </c>
      <c r="CV102" s="95">
        <f si="153" t="shared"/>
        <v>6</v>
      </c>
      <c r="CW102" s="95">
        <f si="147" t="shared"/>
        <v>1</v>
      </c>
      <c r="CX102" s="58">
        <f si="148" t="shared"/>
        <v>3511.3710547296346</v>
      </c>
      <c r="CY102" s="58">
        <f si="149" t="shared"/>
        <v>3237.9999999999995</v>
      </c>
      <c r="CZ102" s="108">
        <f si="150" t="shared"/>
        <v>-273.37105472963503</v>
      </c>
      <c r="DA102" s="78">
        <f si="151" t="shared"/>
        <v>-7.7853080881730916E-2</v>
      </c>
    </row>
    <row r="103" spans="2:105" x14ac:dyDescent="0.25">
      <c r="B103" s="95"/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>
        <v>20</v>
      </c>
      <c r="AA103" s="104">
        <f si="167" t="shared"/>
        <v>-5.8486234074450489E-4</v>
      </c>
      <c r="AB103" s="104">
        <f si="167" t="shared"/>
        <v>-6.3837925421175376E-4</v>
      </c>
      <c r="AC103" s="104">
        <f si="167" t="shared"/>
        <v>-2.3204704920653558E-4</v>
      </c>
      <c r="AD103" s="104">
        <f si="167" t="shared"/>
        <v>-2.2827358437744832E-4</v>
      </c>
      <c r="AE103" s="104">
        <f si="166" t="shared"/>
        <v>-1.3951678312604043E-4</v>
      </c>
      <c r="AF103" s="104">
        <f si="166" t="shared"/>
        <v>-6.8385539287991299E-4</v>
      </c>
      <c r="AG103" s="104">
        <f si="166" t="shared"/>
        <v>-1.2934647819460227E-3</v>
      </c>
      <c r="AH103" s="104">
        <f si="166" t="shared"/>
        <v>-7.9390077577003263E-5</v>
      </c>
      <c r="AI103" s="104">
        <f si="166" t="shared"/>
        <v>-7.7512763059118118E-4</v>
      </c>
      <c r="AJ103" s="104">
        <f si="166" t="shared"/>
        <v>-1.529342361612332E-4</v>
      </c>
      <c r="AK103" s="104">
        <f si="166" t="shared"/>
        <v>-3.3136430028728832E-4</v>
      </c>
      <c r="AL103" s="104">
        <f si="166" t="shared"/>
        <v>6.47305786843657E-4</v>
      </c>
      <c r="AM103" s="104">
        <f si="166" t="shared"/>
        <v>-8.7061497149075549E-4</v>
      </c>
      <c r="AN103" s="104">
        <f si="166" t="shared"/>
        <v>-1.4867416277483206E-4</v>
      </c>
      <c r="AO103" s="104">
        <f si="166" t="shared"/>
        <v>-2.6979875515875375E-4</v>
      </c>
      <c r="AP103" s="104">
        <f si="166" t="shared"/>
        <v>1.653256450215075E-4</v>
      </c>
      <c r="AQ103" s="104">
        <f si="166" t="shared"/>
        <v>-4.0101424647605261E-5</v>
      </c>
      <c r="AR103" s="104">
        <f si="166" t="shared"/>
        <v>7.6659445796789603E-4</v>
      </c>
      <c r="AS103" s="104">
        <f si="166" t="shared"/>
        <v>-1.7590315251219866E-4</v>
      </c>
      <c r="AT103" s="104">
        <f si="166" t="shared"/>
        <v>5.0650820078600011E-3</v>
      </c>
      <c r="AU103" s="104">
        <f si="166" t="shared"/>
        <v>0</v>
      </c>
      <c r="AV103" s="104">
        <f si="166" t="shared"/>
        <v>0</v>
      </c>
      <c r="CU103" s="95">
        <v>102</v>
      </c>
      <c r="CV103" s="95">
        <f si="153" t="shared"/>
        <v>6</v>
      </c>
      <c r="CW103" s="95">
        <f si="147" t="shared"/>
        <v>2</v>
      </c>
      <c r="CX103" s="58">
        <f si="148" t="shared"/>
        <v>1020.5641795244572</v>
      </c>
      <c r="CY103" s="58">
        <f si="149" t="shared"/>
        <v>1483.9999999999998</v>
      </c>
      <c r="CZ103" s="108">
        <f si="150" t="shared"/>
        <v>463.43582047554253</v>
      </c>
      <c r="DA103" s="78">
        <f si="151" t="shared"/>
        <v>0.45409767437799492</v>
      </c>
    </row>
    <row r="104" spans="2:105" x14ac:dyDescent="0.25">
      <c r="B104" s="95"/>
      <c r="C104" s="95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101" t="s">
        <v>15</v>
      </c>
      <c r="AA104" s="105">
        <f si="167" t="shared"/>
        <v>0</v>
      </c>
      <c r="AB104" s="105">
        <f si="167" t="shared"/>
        <v>0</v>
      </c>
      <c r="AC104" s="105">
        <f si="167" t="shared"/>
        <v>0</v>
      </c>
      <c r="AD104" s="105">
        <f si="167" t="shared"/>
        <v>0</v>
      </c>
      <c r="AE104" s="105">
        <f si="166" t="shared"/>
        <v>0</v>
      </c>
      <c r="AF104" s="105">
        <f si="166" t="shared"/>
        <v>0</v>
      </c>
      <c r="AG104" s="105">
        <f si="166" t="shared"/>
        <v>0</v>
      </c>
      <c r="AH104" s="105">
        <f si="166" t="shared"/>
        <v>0</v>
      </c>
      <c r="AI104" s="105">
        <f si="166" t="shared"/>
        <v>0</v>
      </c>
      <c r="AJ104" s="105">
        <f si="166" t="shared"/>
        <v>0</v>
      </c>
      <c r="AK104" s="105">
        <f si="166" t="shared"/>
        <v>0</v>
      </c>
      <c r="AL104" s="105">
        <f si="166" t="shared"/>
        <v>0</v>
      </c>
      <c r="AM104" s="105">
        <f si="166" t="shared"/>
        <v>0</v>
      </c>
      <c r="AN104" s="105">
        <f si="166" t="shared"/>
        <v>0</v>
      </c>
      <c r="AO104" s="105">
        <f si="166" t="shared"/>
        <v>0</v>
      </c>
      <c r="AP104" s="105">
        <f si="166" t="shared"/>
        <v>0</v>
      </c>
      <c r="AQ104" s="105">
        <f si="166" t="shared"/>
        <v>0</v>
      </c>
      <c r="AR104" s="105">
        <f si="166" t="shared"/>
        <v>0</v>
      </c>
      <c r="AS104" s="105">
        <f si="166" t="shared"/>
        <v>0</v>
      </c>
      <c r="AT104" s="105">
        <f si="166" t="shared"/>
        <v>0</v>
      </c>
      <c r="AU104" s="105">
        <f si="166" t="shared"/>
        <v>0</v>
      </c>
      <c r="AV104" s="105">
        <f si="166" t="shared"/>
        <v>0</v>
      </c>
      <c r="CU104" s="95">
        <v>103</v>
      </c>
      <c r="CV104" s="95">
        <f si="153" t="shared"/>
        <v>6</v>
      </c>
      <c r="CW104" s="95">
        <f si="147" t="shared"/>
        <v>3</v>
      </c>
      <c r="CX104" s="58">
        <f si="148" t="shared"/>
        <v>667.8513811377386</v>
      </c>
      <c r="CY104" s="58">
        <f si="149" t="shared"/>
        <v>602.99999999999989</v>
      </c>
      <c r="CZ104" s="108">
        <f si="150" t="shared"/>
        <v>-64.851381137738713</v>
      </c>
      <c r="DA104" s="78">
        <f si="151" t="shared"/>
        <v>-9.7104510029251065E-2</v>
      </c>
    </row>
    <row ht="15.75" r="105" spans="2:105" thickBot="1" x14ac:dyDescent="0.3"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1" t="s">
        <v>3</v>
      </c>
      <c r="AA105" s="106">
        <f si="167" t="shared"/>
        <v>-2.1384844255259439E-4</v>
      </c>
      <c r="AB105" s="106">
        <f si="167" t="shared"/>
        <v>4.3823193983175829E-4</v>
      </c>
      <c r="AC105" s="106">
        <f si="167" t="shared"/>
        <v>-3.4345132055766184E-4</v>
      </c>
      <c r="AD105" s="106">
        <f si="167" t="shared"/>
        <v>-2.9962000800591235E-4</v>
      </c>
      <c r="AE105" s="106">
        <f si="166" t="shared"/>
        <v>2.1280851803339579E-4</v>
      </c>
      <c r="AF105" s="106">
        <f si="166" t="shared"/>
        <v>-9.1533322043874099E-4</v>
      </c>
      <c r="AG105" s="106">
        <f si="166" t="shared"/>
        <v>-3.3090350458864215E-4</v>
      </c>
      <c r="AH105" s="106">
        <f si="166" t="shared"/>
        <v>-1.7454264601377348E-5</v>
      </c>
      <c r="AI105" s="106">
        <f si="166" t="shared"/>
        <v>-1.044330754138463E-3</v>
      </c>
      <c r="AJ105" s="106">
        <f si="166" t="shared"/>
        <v>-2.8390129557917185E-4</v>
      </c>
      <c r="AK105" s="106">
        <f si="166" t="shared"/>
        <v>6.4886711793354923E-4</v>
      </c>
      <c r="AL105" s="106">
        <f si="166" t="shared"/>
        <v>-2.0801237598430666E-3</v>
      </c>
      <c r="AM105" s="106">
        <f si="166" t="shared"/>
        <v>4.2950588740242601E-4</v>
      </c>
      <c r="AN105" s="106">
        <f si="166" t="shared"/>
        <v>4.321219307944317E-4</v>
      </c>
      <c r="AO105" s="106">
        <f si="166" t="shared"/>
        <v>-4.2650263452696097E-4</v>
      </c>
      <c r="AP105" s="106">
        <f si="166" t="shared"/>
        <v>2.6900829319881706E-5</v>
      </c>
      <c r="AQ105" s="106">
        <f si="166" t="shared"/>
        <v>7.9352201494846744E-4</v>
      </c>
      <c r="AR105" s="106">
        <f si="166" t="shared"/>
        <v>-1.1749460768624431E-4</v>
      </c>
      <c r="AS105" s="106">
        <f si="166" t="shared"/>
        <v>1.4004055407929386E-3</v>
      </c>
      <c r="AT105" s="106">
        <f si="166" t="shared"/>
        <v>1.6906000334618344E-3</v>
      </c>
      <c r="AU105" s="106">
        <f si="166" t="shared"/>
        <v>0</v>
      </c>
      <c r="AV105" s="106">
        <f si="166" t="shared"/>
        <v>0</v>
      </c>
      <c r="CU105" s="95">
        <v>104</v>
      </c>
      <c r="CV105" s="95">
        <f si="153" t="shared"/>
        <v>6</v>
      </c>
      <c r="CW105" s="95">
        <f si="147" t="shared"/>
        <v>4</v>
      </c>
      <c r="CX105" s="58">
        <f si="148" t="shared"/>
        <v>671.48759555409652</v>
      </c>
      <c r="CY105" s="58">
        <f si="149" t="shared"/>
        <v>817.99999999999989</v>
      </c>
      <c r="CZ105" s="108">
        <f si="150" t="shared"/>
        <v>146.51240444590337</v>
      </c>
      <c r="DA105" s="78">
        <f si="151" t="shared"/>
        <v>0.21819078329362826</v>
      </c>
    </row>
    <row r="106" spans="2:105" x14ac:dyDescent="0.25">
      <c r="B106" s="95"/>
      <c r="C106" s="95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I106" s="95"/>
      <c r="AJ106" s="95"/>
      <c r="AK106" s="95"/>
      <c r="AL106" s="95"/>
      <c r="AM106" s="95"/>
      <c r="AN106" s="95"/>
      <c r="AO106" s="95"/>
      <c r="AP106" s="95"/>
      <c r="AQ106" s="95"/>
      <c r="AR106" s="95"/>
      <c r="AS106" s="95"/>
      <c r="AT106" s="95"/>
      <c r="AU106" s="95"/>
      <c r="AV106" s="95"/>
      <c r="CU106" s="95">
        <v>105</v>
      </c>
      <c r="CV106" s="95">
        <f si="153" t="shared"/>
        <v>6</v>
      </c>
      <c r="CW106" s="95">
        <f si="147" t="shared"/>
        <v>5</v>
      </c>
      <c r="CX106" s="58">
        <f si="148" t="shared"/>
        <v>934.50710500398634</v>
      </c>
      <c r="CY106" s="58">
        <f si="149" t="shared"/>
        <v>1216.9999999999998</v>
      </c>
      <c r="CZ106" s="108">
        <f si="150" t="shared"/>
        <v>282.49289499601343</v>
      </c>
      <c r="DA106" s="78">
        <f si="151" t="shared"/>
        <v>0.30229079424153593</v>
      </c>
    </row>
    <row r="107" spans="2:105" x14ac:dyDescent="0.25">
      <c r="CU107" s="95">
        <v>106</v>
      </c>
      <c r="CV107" s="95">
        <f si="153" t="shared"/>
        <v>6</v>
      </c>
      <c r="CW107" s="95">
        <f si="147" t="shared"/>
        <v>6</v>
      </c>
      <c r="CX107" s="58">
        <f si="148" t="shared"/>
        <v>8695.4007409839141</v>
      </c>
      <c r="CY107" s="58">
        <f si="149" t="shared"/>
        <v>11088.999999999998</v>
      </c>
      <c r="CZ107" s="108">
        <f si="150" t="shared"/>
        <v>2393.599259016084</v>
      </c>
      <c r="DA107" s="78">
        <f si="151" t="shared"/>
        <v>0.27527187421441834</v>
      </c>
    </row>
    <row ht="15.75" r="108" spans="2:105" thickBot="1" x14ac:dyDescent="0.3">
      <c r="Z108" s="23" t="s">
        <v>372</v>
      </c>
      <c r="AA108" s="24"/>
      <c r="AB108" s="24"/>
      <c r="AC108" s="24"/>
      <c r="AD108" s="24"/>
      <c r="AE108" s="24"/>
      <c r="AF108" s="24"/>
      <c r="AG108" s="24"/>
      <c r="AH108" s="24"/>
      <c r="AI108" s="24"/>
      <c r="AJ108" s="95"/>
      <c r="AK108" s="95"/>
      <c r="AL108" s="95"/>
      <c r="AM108" s="95"/>
      <c r="AN108" s="95"/>
      <c r="AO108" s="95"/>
      <c r="AP108" s="95"/>
      <c r="AQ108" s="95"/>
      <c r="AR108" s="95"/>
      <c r="AS108" s="95"/>
      <c r="AT108" s="95"/>
      <c r="AU108" s="95"/>
      <c r="AV108" s="95"/>
      <c r="CU108" s="95">
        <v>107</v>
      </c>
      <c r="CV108" s="95">
        <f si="153" t="shared"/>
        <v>6</v>
      </c>
      <c r="CW108" s="95">
        <f si="147" t="shared"/>
        <v>7</v>
      </c>
      <c r="CX108" s="58">
        <f si="148" t="shared"/>
        <v>1155.1041129297005</v>
      </c>
      <c r="CY108" s="58">
        <f si="149" t="shared"/>
        <v>701.99999999999989</v>
      </c>
      <c r="CZ108" s="108">
        <f si="150" t="shared"/>
        <v>-453.10411292970059</v>
      </c>
      <c r="DA108" s="78">
        <f si="151" t="shared"/>
        <v>-0.39226257430638761</v>
      </c>
    </row>
    <row r="109" spans="2:105" x14ac:dyDescent="0.25">
      <c r="Z109" s="2" t="s">
        <v>14</v>
      </c>
      <c r="AA109" s="2">
        <v>1</v>
      </c>
      <c r="AB109" s="2">
        <v>2</v>
      </c>
      <c r="AC109" s="2">
        <v>3</v>
      </c>
      <c r="AD109" s="2">
        <v>4</v>
      </c>
      <c r="AE109" s="2">
        <v>5</v>
      </c>
      <c r="AF109" s="2">
        <v>6</v>
      </c>
      <c r="AG109" s="2">
        <v>7</v>
      </c>
      <c r="AH109" s="2">
        <v>8</v>
      </c>
      <c r="AI109" s="2">
        <v>9</v>
      </c>
      <c r="AJ109" s="2">
        <v>10</v>
      </c>
      <c r="AK109" s="2">
        <v>11</v>
      </c>
      <c r="AL109" s="2">
        <v>12</v>
      </c>
      <c r="AM109" s="2">
        <v>13</v>
      </c>
      <c r="AN109" s="2">
        <v>14</v>
      </c>
      <c r="AO109" s="2">
        <v>15</v>
      </c>
      <c r="AP109" s="2">
        <v>16</v>
      </c>
      <c r="AQ109" s="2">
        <v>17</v>
      </c>
      <c r="AR109" s="2">
        <v>18</v>
      </c>
      <c r="AS109" s="2">
        <v>19</v>
      </c>
      <c r="AT109" s="2">
        <v>20</v>
      </c>
      <c r="AU109" s="3" t="s">
        <v>15</v>
      </c>
      <c r="AV109" s="3" t="s">
        <v>3</v>
      </c>
      <c r="CU109" s="95">
        <v>108</v>
      </c>
      <c r="CV109" s="95">
        <f si="153" t="shared"/>
        <v>6</v>
      </c>
      <c r="CW109" s="95">
        <f si="147" t="shared"/>
        <v>8</v>
      </c>
      <c r="CX109" s="58">
        <f si="148" t="shared"/>
        <v>75.148431271397087</v>
      </c>
      <c r="CY109" s="58">
        <f si="149" t="shared"/>
        <v>179.99999999999997</v>
      </c>
      <c r="CZ109" s="108">
        <f si="150" t="shared"/>
        <v>104.85156872860289</v>
      </c>
      <c r="DA109" s="78">
        <f si="151" t="shared"/>
        <v>1.3952595810008794</v>
      </c>
    </row>
    <row r="110" spans="2:105" x14ac:dyDescent="0.25">
      <c r="Z110" s="31">
        <v>1</v>
      </c>
      <c r="AA110" s="103">
        <f>IF(C30&gt;0,(AZ30-C30)/C30,0)</f>
        <v>0.13273705261894286</v>
      </c>
      <c r="AB110" s="103">
        <f ref="AB110:AV110" si="168" t="shared">IF(D30&gt;0,(BA30-D30)/D30,0)</f>
        <v>-6.644139118237713E-2</v>
      </c>
      <c r="AC110" s="103">
        <f si="168" t="shared"/>
        <v>-2.65943773913811E-2</v>
      </c>
      <c r="AD110" s="103">
        <f si="168" t="shared"/>
        <v>0.71117368125242231</v>
      </c>
      <c r="AE110" s="103">
        <f si="168" t="shared"/>
        <v>0.31198756684931406</v>
      </c>
      <c r="AF110" s="103">
        <f si="168" t="shared"/>
        <v>0.11710394363124864</v>
      </c>
      <c r="AG110" s="103">
        <f si="168" t="shared"/>
        <v>-0.38647036936474871</v>
      </c>
      <c r="AH110" s="103">
        <f si="168" t="shared"/>
        <v>0.65816366149497674</v>
      </c>
      <c r="AI110" s="103">
        <f si="168" t="shared"/>
        <v>-0.22721106922178727</v>
      </c>
      <c r="AJ110" s="103">
        <f si="168" t="shared"/>
        <v>7.1929573101659872E-2</v>
      </c>
      <c r="AK110" s="103">
        <f si="168" t="shared"/>
        <v>-0.15144132624447559</v>
      </c>
      <c r="AL110" s="103">
        <f si="168" t="shared"/>
        <v>-0.30308859760482432</v>
      </c>
      <c r="AM110" s="103">
        <f si="168" t="shared"/>
        <v>-0.76537548191091487</v>
      </c>
      <c r="AN110" s="103">
        <f si="168" t="shared"/>
        <v>0.43707517329564627</v>
      </c>
      <c r="AO110" s="103">
        <f si="168" t="shared"/>
        <v>-0.36287307587877754</v>
      </c>
      <c r="AP110" s="103">
        <f si="168" t="shared"/>
        <v>-0.275424282371943</v>
      </c>
      <c r="AQ110" s="103">
        <f si="168" t="shared"/>
        <v>0.23177871996769689</v>
      </c>
      <c r="AR110" s="103">
        <f si="168" t="shared"/>
        <v>-0.4401005818328651</v>
      </c>
      <c r="AS110" s="103">
        <f si="168" t="shared"/>
        <v>-0.40277395395505605</v>
      </c>
      <c r="AT110" s="103">
        <f si="168" t="shared"/>
        <v>-0.52623895385857811</v>
      </c>
      <c r="AU110" s="103">
        <f si="168" t="shared"/>
        <v>0</v>
      </c>
      <c r="AV110" s="103">
        <f si="168" t="shared"/>
        <v>0</v>
      </c>
      <c r="CU110" s="95">
        <v>109</v>
      </c>
      <c r="CV110" s="95">
        <f si="153" t="shared"/>
        <v>6</v>
      </c>
      <c r="CW110" s="95">
        <f si="147" t="shared"/>
        <v>9</v>
      </c>
      <c r="CX110" s="58">
        <f si="148" t="shared"/>
        <v>942.99160530882159</v>
      </c>
      <c r="CY110" s="58">
        <f si="149" t="shared"/>
        <v>734.99999999999989</v>
      </c>
      <c r="CZ110" s="108">
        <f si="150" t="shared"/>
        <v>-207.9916053088217</v>
      </c>
      <c r="DA110" s="78">
        <f si="151" t="shared"/>
        <v>-0.22056570189795724</v>
      </c>
    </row>
    <row r="111" spans="2:105" x14ac:dyDescent="0.25">
      <c r="Z111" s="95">
        <v>2</v>
      </c>
      <c r="AA111" s="104">
        <f ref="AA111:AA131" si="169" t="shared">IF(C31&gt;0,(AZ31-C31)/C31,0)</f>
        <v>2.3514829068612696E-2</v>
      </c>
      <c r="AB111" s="104">
        <f ref="AB111:AB131" si="170" t="shared">IF(D31&gt;0,(BA31-D31)/D31,0)</f>
        <v>0.33886923773275135</v>
      </c>
      <c r="AC111" s="104">
        <f ref="AC111:AC131" si="171" t="shared">IF(E31&gt;0,(BB31-E31)/E31,0)</f>
        <v>-8.5637979134175382E-2</v>
      </c>
      <c r="AD111" s="104">
        <f ref="AD111:AD131" si="172" t="shared">IF(F31&gt;0,(BC31-F31)/F31,0)</f>
        <v>0.14169812482951008</v>
      </c>
      <c r="AE111" s="104">
        <f ref="AE111:AE131" si="173" t="shared">IF(G31&gt;0,(BD31-G31)/G31,0)</f>
        <v>3.1564870535611377E-2</v>
      </c>
      <c r="AF111" s="104">
        <f ref="AF111:AF131" si="174" t="shared">IF(H31&gt;0,(BE31-H31)/H31,0)</f>
        <v>7.479722901940257E-2</v>
      </c>
      <c r="AG111" s="104">
        <f ref="AG111:AG131" si="175" t="shared">IF(I31&gt;0,(BF31-I31)/I31,0)</f>
        <v>-0.10344030890674824</v>
      </c>
      <c r="AH111" s="104">
        <f ref="AH111:AH131" si="176" t="shared">IF(J31&gt;0,(BG31-J31)/J31,0)</f>
        <v>-9.4515280307629956E-2</v>
      </c>
      <c r="AI111" s="104">
        <f ref="AI111:AI131" si="177" t="shared">IF(K31&gt;0,(BH31-K31)/K31,0)</f>
        <v>-3.3761250401800058E-2</v>
      </c>
      <c r="AJ111" s="104">
        <f ref="AJ111:AJ131" si="178" t="shared">IF(L31&gt;0,(BI31-L31)/L31,0)</f>
        <v>6.70582012731646E-2</v>
      </c>
      <c r="AK111" s="104">
        <f ref="AK111:AK131" si="179" t="shared">IF(M31&gt;0,(BJ31-M31)/M31,0)</f>
        <v>-0.43424538187674289</v>
      </c>
      <c r="AL111" s="104">
        <f ref="AL111:AL131" si="180" t="shared">IF(N31&gt;0,(BK31-N31)/N31,0)</f>
        <v>3.3162467849965085E-2</v>
      </c>
      <c r="AM111" s="104">
        <f ref="AM111:AM131" si="181" t="shared">IF(O31&gt;0,(BL31-O31)/O31,0)</f>
        <v>-0.74533242258652088</v>
      </c>
      <c r="AN111" s="104">
        <f ref="AN111:AN131" si="182" t="shared">IF(P31&gt;0,(BM31-P31)/P31,0)</f>
        <v>-0.34496850064807277</v>
      </c>
      <c r="AO111" s="104">
        <f ref="AO111:AO131" si="183" t="shared">IF(Q31&gt;0,(BN31-Q31)/Q31,0)</f>
        <v>-0.46802772718073266</v>
      </c>
      <c r="AP111" s="104">
        <f ref="AP111:AP131" si="184" t="shared">IF(R31&gt;0,(BO31-R31)/R31,0)</f>
        <v>-0.44883538801333994</v>
      </c>
      <c r="AQ111" s="104">
        <f ref="AQ111:AQ131" si="185" t="shared">IF(S31&gt;0,(BP31-S31)/S31,0)</f>
        <v>-0.57744046414356065</v>
      </c>
      <c r="AR111" s="104">
        <f ref="AR111:AR131" si="186" t="shared">IF(T31&gt;0,(BQ31-T31)/T31,0)</f>
        <v>-0.83934948521586983</v>
      </c>
      <c r="AS111" s="104">
        <f ref="AS111:AS131" si="187" t="shared">IF(U31&gt;0,(BR31-U31)/U31,0)</f>
        <v>-0.49580964471674854</v>
      </c>
      <c r="AT111" s="104">
        <f ref="AT111:AT131" si="188" t="shared">IF(V31&gt;0,(BS31-V31)/V31,0)</f>
        <v>-0.72332411342733138</v>
      </c>
      <c r="AU111" s="104">
        <f ref="AU111:AU131" si="189" t="shared">IF(W31&gt;0,(BT31-W31)/W31,0)</f>
        <v>0</v>
      </c>
      <c r="AV111" s="104">
        <f ref="AV111:AV131" si="190" t="shared">IF(X31&gt;0,(BU31-X31)/X31,0)</f>
        <v>0</v>
      </c>
      <c r="CU111" s="95">
        <v>110</v>
      </c>
      <c r="CV111" s="95">
        <f si="153" t="shared"/>
        <v>6</v>
      </c>
      <c r="CW111" s="95">
        <f si="147" t="shared"/>
        <v>10</v>
      </c>
      <c r="CX111" s="58">
        <f si="148" t="shared"/>
        <v>630.27716550204002</v>
      </c>
      <c r="CY111" s="58">
        <f si="149" t="shared"/>
        <v>708.99999999999989</v>
      </c>
      <c r="CZ111" s="108">
        <f si="150" t="shared"/>
        <v>78.722834497959866</v>
      </c>
      <c r="DA111" s="78">
        <f si="151" t="shared"/>
        <v>0.1249019301456909</v>
      </c>
    </row>
    <row r="112" spans="2:105" x14ac:dyDescent="0.25">
      <c r="Z112" s="95">
        <v>3</v>
      </c>
      <c r="AA112" s="104">
        <f si="169" t="shared"/>
        <v>8.8278969733775497E-2</v>
      </c>
      <c r="AB112" s="104">
        <f si="170" t="shared"/>
        <v>0.27698619694445331</v>
      </c>
      <c r="AC112" s="104">
        <f si="171" t="shared"/>
        <v>-1.5872526077037648E-2</v>
      </c>
      <c r="AD112" s="104">
        <f si="172" t="shared"/>
        <v>0.21790278124789317</v>
      </c>
      <c r="AE112" s="104">
        <f si="173" t="shared"/>
        <v>3.6997378575705973E-2</v>
      </c>
      <c r="AF112" s="104">
        <f si="174" t="shared"/>
        <v>0.10098655075311545</v>
      </c>
      <c r="AG112" s="104">
        <f si="175" t="shared"/>
        <v>-0.31961755211318765</v>
      </c>
      <c r="AH112" s="104">
        <f si="176" t="shared"/>
        <v>0.41756678980618916</v>
      </c>
      <c r="AI112" s="104">
        <f si="177" t="shared"/>
        <v>-5.6568718410897119E-2</v>
      </c>
      <c r="AJ112" s="104">
        <f si="178" t="shared"/>
        <v>-8.5729200128494137E-3</v>
      </c>
      <c r="AK112" s="104">
        <f si="179" t="shared"/>
        <v>0.15890122833585729</v>
      </c>
      <c r="AL112" s="104">
        <f si="180" t="shared"/>
        <v>-0.15472024581760438</v>
      </c>
      <c r="AM112" s="104">
        <f si="181" t="shared"/>
        <v>-0.78231121580944907</v>
      </c>
      <c r="AN112" s="104">
        <f si="182" t="shared"/>
        <v>-0.40881897975986731</v>
      </c>
      <c r="AO112" s="104">
        <f si="183" t="shared"/>
        <v>-0.66531804569634545</v>
      </c>
      <c r="AP112" s="104">
        <f si="184" t="shared"/>
        <v>-0.46227683797307084</v>
      </c>
      <c r="AQ112" s="104">
        <f si="185" t="shared"/>
        <v>-0.17409130631517508</v>
      </c>
      <c r="AR112" s="104">
        <f si="186" t="shared"/>
        <v>-0.85528643323696329</v>
      </c>
      <c r="AS112" s="104">
        <f si="187" t="shared"/>
        <v>-0.24613672621008126</v>
      </c>
      <c r="AT112" s="104">
        <f si="188" t="shared"/>
        <v>-0.83452710661191221</v>
      </c>
      <c r="AU112" s="104">
        <f si="189" t="shared"/>
        <v>0</v>
      </c>
      <c r="AV112" s="104">
        <f si="190" t="shared"/>
        <v>0</v>
      </c>
      <c r="CU112" s="95">
        <v>111</v>
      </c>
      <c r="CV112" s="95">
        <f si="153" t="shared"/>
        <v>6</v>
      </c>
      <c r="CW112" s="95">
        <f si="147" t="shared"/>
        <v>11</v>
      </c>
      <c r="CX112" s="58">
        <f si="148" t="shared"/>
        <v>584.21844956150642</v>
      </c>
      <c r="CY112" s="58">
        <f si="149" t="shared"/>
        <v>415.99999999999994</v>
      </c>
      <c r="CZ112" s="108">
        <f si="150" t="shared"/>
        <v>-168.21844956150647</v>
      </c>
      <c r="DA112" s="78">
        <f si="151" t="shared"/>
        <v>-0.28793758514090961</v>
      </c>
    </row>
    <row r="113" spans="26:105" x14ac:dyDescent="0.25">
      <c r="Z113" s="95">
        <v>4</v>
      </c>
      <c r="AA113" s="104">
        <f si="169" t="shared"/>
        <v>0.2002212941271688</v>
      </c>
      <c r="AB113" s="104">
        <f si="170" t="shared"/>
        <v>-7.5301451890738133E-3</v>
      </c>
      <c r="AC113" s="104">
        <f si="171" t="shared"/>
        <v>-3.9890392860856376E-2</v>
      </c>
      <c r="AD113" s="104">
        <f si="172" t="shared"/>
        <v>0.3291833962928139</v>
      </c>
      <c r="AE113" s="104">
        <f si="173" t="shared"/>
        <v>-6.9787697332607507E-2</v>
      </c>
      <c r="AF113" s="104">
        <f si="174" t="shared"/>
        <v>0.23075150832569685</v>
      </c>
      <c r="AG113" s="104">
        <f si="175" t="shared"/>
        <v>-0.51642025040827433</v>
      </c>
      <c r="AH113" s="104">
        <f si="176" t="shared"/>
        <v>0.41549628016693885</v>
      </c>
      <c r="AI113" s="104">
        <f si="177" t="shared"/>
        <v>-0.26120329134144016</v>
      </c>
      <c r="AJ113" s="104">
        <f si="178" t="shared"/>
        <v>0.27626839400533393</v>
      </c>
      <c r="AK113" s="104">
        <f si="179" t="shared"/>
        <v>-5.0706419329173878E-2</v>
      </c>
      <c r="AL113" s="104">
        <f si="180" t="shared"/>
        <v>-0.17712735482834635</v>
      </c>
      <c r="AM113" s="104">
        <f si="181" t="shared"/>
        <v>-0.77476408512002293</v>
      </c>
      <c r="AN113" s="104">
        <f si="182" t="shared"/>
        <v>-0.11931615883711692</v>
      </c>
      <c r="AO113" s="104">
        <f si="183" t="shared"/>
        <v>-0.68095731304888207</v>
      </c>
      <c r="AP113" s="104">
        <f si="184" t="shared"/>
        <v>-4.6706586826347221E-2</v>
      </c>
      <c r="AQ113" s="104">
        <f si="185" t="shared"/>
        <v>-2.5626388500640005E-2</v>
      </c>
      <c r="AR113" s="104">
        <f si="186" t="shared"/>
        <v>-0.77569566748855234</v>
      </c>
      <c r="AS113" s="104">
        <f si="187" t="shared"/>
        <v>-0.3355833786971511</v>
      </c>
      <c r="AT113" s="104">
        <f si="188" t="shared"/>
        <v>-0.59557249138087454</v>
      </c>
      <c r="AU113" s="104">
        <f si="189" t="shared"/>
        <v>0</v>
      </c>
      <c r="AV113" s="104">
        <f si="190" t="shared"/>
        <v>0</v>
      </c>
      <c r="CU113" s="95">
        <v>112</v>
      </c>
      <c r="CV113" s="95">
        <f si="153" t="shared"/>
        <v>6</v>
      </c>
      <c r="CW113" s="95">
        <f si="147" t="shared"/>
        <v>12</v>
      </c>
      <c r="CX113" s="58">
        <f si="148" t="shared"/>
        <v>5632.4961309384234</v>
      </c>
      <c r="CY113" s="58">
        <f si="149" t="shared"/>
        <v>4271.9999999999991</v>
      </c>
      <c r="CZ113" s="108">
        <f si="150" t="shared"/>
        <v>-1360.4961309384244</v>
      </c>
      <c r="DA113" s="78">
        <f si="151" t="shared"/>
        <v>-0.24154408619394005</v>
      </c>
    </row>
    <row r="114" spans="26:105" x14ac:dyDescent="0.25">
      <c r="Z114" s="95">
        <v>5</v>
      </c>
      <c r="AA114" s="104">
        <f si="169" t="shared"/>
        <v>-9.5662671008768671E-2</v>
      </c>
      <c r="AB114" s="104">
        <f si="170" t="shared"/>
        <v>4.6057175728977745E-2</v>
      </c>
      <c r="AC114" s="104">
        <f si="171" t="shared"/>
        <v>-0.26287617590031381</v>
      </c>
      <c r="AD114" s="104">
        <f si="172" t="shared"/>
        <v>6.7237294966699196E-2</v>
      </c>
      <c r="AE114" s="104">
        <f si="173" t="shared"/>
        <v>0.23335967793372359</v>
      </c>
      <c r="AF114" s="104">
        <f si="174" t="shared"/>
        <v>0.49036335371741718</v>
      </c>
      <c r="AG114" s="104">
        <f si="175" t="shared"/>
        <v>-0.41683238066749456</v>
      </c>
      <c r="AH114" s="104">
        <f si="176" t="shared"/>
        <v>0.29113384812394005</v>
      </c>
      <c r="AI114" s="104">
        <f si="177" t="shared"/>
        <v>-0.30275115461591051</v>
      </c>
      <c r="AJ114" s="104">
        <f si="178" t="shared"/>
        <v>0.35177009362287831</v>
      </c>
      <c r="AK114" s="104">
        <f si="179" t="shared"/>
        <v>-0.3853980551868848</v>
      </c>
      <c r="AL114" s="104">
        <f si="180" t="shared"/>
        <v>-0.31172463473349299</v>
      </c>
      <c r="AM114" s="104">
        <f si="181" t="shared"/>
        <v>-0.83299339163428077</v>
      </c>
      <c r="AN114" s="104">
        <f si="182" t="shared"/>
        <v>-0.36802395854986097</v>
      </c>
      <c r="AO114" s="104">
        <f si="183" t="shared"/>
        <v>-0.70045694723524599</v>
      </c>
      <c r="AP114" s="104">
        <f si="184" t="shared"/>
        <v>8.2202822209861012E-2</v>
      </c>
      <c r="AQ114" s="104">
        <f si="185" t="shared"/>
        <v>-0.76351864255414148</v>
      </c>
      <c r="AR114" s="104">
        <f si="186" t="shared"/>
        <v>-0.78716677829872739</v>
      </c>
      <c r="AS114" s="104">
        <f si="187" t="shared"/>
        <v>-0.11820510782900223</v>
      </c>
      <c r="AT114" s="104">
        <f si="188" t="shared"/>
        <v>-0.40879660638535381</v>
      </c>
      <c r="AU114" s="104">
        <f si="189" t="shared"/>
        <v>0</v>
      </c>
      <c r="AV114" s="104">
        <f si="190" t="shared"/>
        <v>0</v>
      </c>
      <c r="CU114" s="95">
        <v>113</v>
      </c>
      <c r="CV114" s="95">
        <f si="153" t="shared"/>
        <v>6</v>
      </c>
      <c r="CW114" s="95">
        <f si="147" t="shared"/>
        <v>13</v>
      </c>
      <c r="CX114" s="58">
        <f si="148" t="shared"/>
        <v>469.07165971017213</v>
      </c>
      <c r="CY114" s="58">
        <f si="149" t="shared"/>
        <v>59.999999999999993</v>
      </c>
      <c r="CZ114" s="108">
        <f si="150" t="shared"/>
        <v>-409.07165971017213</v>
      </c>
      <c r="DA114" s="78">
        <f si="151" t="shared"/>
        <v>-0.87208777431347584</v>
      </c>
    </row>
    <row r="115" spans="26:105" x14ac:dyDescent="0.25">
      <c r="Z115" s="95">
        <v>6</v>
      </c>
      <c r="AA115" s="104">
        <f si="169" t="shared"/>
        <v>-7.7853080881730916E-2</v>
      </c>
      <c r="AB115" s="104">
        <f si="170" t="shared"/>
        <v>0.45409767437799492</v>
      </c>
      <c r="AC115" s="104">
        <f si="171" t="shared"/>
        <v>-9.7104510029251065E-2</v>
      </c>
      <c r="AD115" s="104">
        <f si="172" t="shared"/>
        <v>0.21819078329362826</v>
      </c>
      <c r="AE115" s="104">
        <f si="173" t="shared"/>
        <v>0.30229079424153593</v>
      </c>
      <c r="AF115" s="104">
        <f si="174" t="shared"/>
        <v>0.27527187421441834</v>
      </c>
      <c r="AG115" s="104">
        <f si="175" t="shared"/>
        <v>-0.39226257430638761</v>
      </c>
      <c r="AH115" s="104">
        <f si="176" t="shared"/>
        <v>1.3952595810008794</v>
      </c>
      <c r="AI115" s="104">
        <f si="177" t="shared"/>
        <v>-0.22056570189795724</v>
      </c>
      <c r="AJ115" s="104">
        <f si="178" t="shared"/>
        <v>0.1249019301456909</v>
      </c>
      <c r="AK115" s="104">
        <f si="179" t="shared"/>
        <v>-0.28793758514090961</v>
      </c>
      <c r="AL115" s="104">
        <f si="180" t="shared"/>
        <v>-0.24154408619394005</v>
      </c>
      <c r="AM115" s="104">
        <f si="181" t="shared"/>
        <v>-0.87208777431347584</v>
      </c>
      <c r="AN115" s="104">
        <f si="182" t="shared"/>
        <v>-0.52855208246966823</v>
      </c>
      <c r="AO115" s="104">
        <f si="183" t="shared"/>
        <v>-0.69124499879531942</v>
      </c>
      <c r="AP115" s="104">
        <f si="184" t="shared"/>
        <v>-0.39931745595367807</v>
      </c>
      <c r="AQ115" s="104">
        <f si="185" t="shared"/>
        <v>-0.41872614713589762</v>
      </c>
      <c r="AR115" s="104">
        <f si="186" t="shared"/>
        <v>-0.88950439432882844</v>
      </c>
      <c r="AS115" s="104">
        <f si="187" t="shared"/>
        <v>-0.64080158664355669</v>
      </c>
      <c r="AT115" s="104">
        <f si="188" t="shared"/>
        <v>-0.58748307216095974</v>
      </c>
      <c r="AU115" s="104">
        <f si="189" t="shared"/>
        <v>0</v>
      </c>
      <c r="AV115" s="104">
        <f si="190" t="shared"/>
        <v>0</v>
      </c>
      <c r="CU115" s="95">
        <v>114</v>
      </c>
      <c r="CV115" s="95">
        <f si="153" t="shared"/>
        <v>6</v>
      </c>
      <c r="CW115" s="95">
        <f si="147" t="shared"/>
        <v>14</v>
      </c>
      <c r="CX115" s="58">
        <f si="148" t="shared"/>
        <v>93.329503353186709</v>
      </c>
      <c r="CY115" s="58">
        <f si="149" t="shared"/>
        <v>43.999999999999993</v>
      </c>
      <c r="CZ115" s="108">
        <f si="150" t="shared"/>
        <v>-49.329503353186716</v>
      </c>
      <c r="DA115" s="78">
        <f si="151" t="shared"/>
        <v>-0.52855208246966823</v>
      </c>
    </row>
    <row r="116" spans="26:105" x14ac:dyDescent="0.25">
      <c r="Z116" s="95">
        <v>7</v>
      </c>
      <c r="AA116" s="104">
        <f si="169" t="shared"/>
        <v>-6.5947935085776482E-2</v>
      </c>
      <c r="AB116" s="104">
        <f si="170" t="shared"/>
        <v>-3.1815023486144178E-2</v>
      </c>
      <c r="AC116" s="104">
        <f si="171" t="shared"/>
        <v>-0.27578912739894879</v>
      </c>
      <c r="AD116" s="104">
        <f si="172" t="shared"/>
        <v>-0.31910959865038219</v>
      </c>
      <c r="AE116" s="104">
        <f si="173" t="shared"/>
        <v>-0.27102048363426762</v>
      </c>
      <c r="AF116" s="104">
        <f si="174" t="shared"/>
        <v>-0.12699911280797449</v>
      </c>
      <c r="AG116" s="104">
        <f si="175" t="shared"/>
        <v>0.1761074468527199</v>
      </c>
      <c r="AH116" s="104">
        <f si="176" t="shared"/>
        <v>-0.20000478329983154</v>
      </c>
      <c r="AI116" s="104">
        <f si="177" t="shared"/>
        <v>-3.0066355850330656E-2</v>
      </c>
      <c r="AJ116" s="104">
        <f si="178" t="shared"/>
        <v>-0.26366215767736673</v>
      </c>
      <c r="AK116" s="104">
        <f si="179" t="shared"/>
        <v>-0.63693799137566309</v>
      </c>
      <c r="AL116" s="104">
        <f si="180" t="shared"/>
        <v>0.20496255707941882</v>
      </c>
      <c r="AM116" s="104">
        <f si="181" t="shared"/>
        <v>0.224616977657596</v>
      </c>
      <c r="AN116" s="104">
        <f si="182" t="shared"/>
        <v>-0.64838756646298912</v>
      </c>
      <c r="AO116" s="104">
        <f si="183" t="shared"/>
        <v>-0.34878115745648053</v>
      </c>
      <c r="AP116" s="104">
        <f si="184" t="shared"/>
        <v>-0.4589283825475734</v>
      </c>
      <c r="AQ116" s="104">
        <f si="185" t="shared"/>
        <v>-0.6360934254302264</v>
      </c>
      <c r="AR116" s="104">
        <f si="186" t="shared"/>
        <v>-0.60840488171296103</v>
      </c>
      <c r="AS116" s="104">
        <f si="187" t="shared"/>
        <v>-0.65869393900877016</v>
      </c>
      <c r="AT116" s="104">
        <f si="188" t="shared"/>
        <v>-0.83489423931556572</v>
      </c>
      <c r="AU116" s="104">
        <f si="189" t="shared"/>
        <v>0</v>
      </c>
      <c r="AV116" s="104">
        <f si="190" t="shared"/>
        <v>0</v>
      </c>
      <c r="CU116" s="95">
        <v>115</v>
      </c>
      <c r="CV116" s="95">
        <f si="153" t="shared"/>
        <v>6</v>
      </c>
      <c r="CW116" s="95">
        <f si="147" t="shared"/>
        <v>15</v>
      </c>
      <c r="CX116" s="58">
        <f si="148" t="shared"/>
        <v>197.56764995544717</v>
      </c>
      <c r="CY116" s="58">
        <f si="149" t="shared"/>
        <v>60.999999999999993</v>
      </c>
      <c r="CZ116" s="108">
        <f si="150" t="shared"/>
        <v>-136.56764995544717</v>
      </c>
      <c r="DA116" s="78">
        <f si="151" t="shared"/>
        <v>-0.69124499879531942</v>
      </c>
    </row>
    <row r="117" spans="26:105" x14ac:dyDescent="0.25">
      <c r="Z117" s="95">
        <v>8</v>
      </c>
      <c r="AA117" s="104">
        <f si="169" t="shared"/>
        <v>0.18454941443969528</v>
      </c>
      <c r="AB117" s="104">
        <f si="170" t="shared"/>
        <v>-6.9272741556502787E-2</v>
      </c>
      <c r="AC117" s="104">
        <f si="171" t="shared"/>
        <v>0.45268149860153423</v>
      </c>
      <c r="AD117" s="104">
        <f si="172" t="shared"/>
        <v>0.2750856828160626</v>
      </c>
      <c r="AE117" s="104">
        <f si="173" t="shared"/>
        <v>-9.2258216569223363E-3</v>
      </c>
      <c r="AF117" s="104">
        <f si="174" t="shared"/>
        <v>9.7986187999871396E-2</v>
      </c>
      <c r="AG117" s="104">
        <f si="175" t="shared"/>
        <v>-0.4722680493361614</v>
      </c>
      <c r="AH117" s="104">
        <f si="176" t="shared"/>
        <v>-9.2467259645808222E-2</v>
      </c>
      <c r="AI117" s="104">
        <f si="177" t="shared"/>
        <v>-0.33299677714913661</v>
      </c>
      <c r="AJ117" s="104">
        <f si="178" t="shared"/>
        <v>0.11755001317048175</v>
      </c>
      <c r="AK117" s="104">
        <f si="179" t="shared"/>
        <v>0.30587329698635007</v>
      </c>
      <c r="AL117" s="104">
        <f si="180" t="shared"/>
        <v>-0.18025136539841866</v>
      </c>
      <c r="AM117" s="104">
        <f si="181" t="shared"/>
        <v>-0.83112577578757163</v>
      </c>
      <c r="AN117" s="104">
        <f si="182" t="shared"/>
        <v>-0.19742942948548911</v>
      </c>
      <c r="AO117" s="104">
        <f si="183" t="shared"/>
        <v>-0.67163345292027821</v>
      </c>
      <c r="AP117" s="104">
        <f si="184" t="shared"/>
        <v>-0.15562887893785832</v>
      </c>
      <c r="AQ117" s="104">
        <f si="185" t="shared"/>
        <v>0.48368068415204901</v>
      </c>
      <c r="AR117" s="104">
        <f si="186" t="shared"/>
        <v>-0.92084020740042427</v>
      </c>
      <c r="AS117" s="104">
        <f si="187" t="shared"/>
        <v>0.36994906376408704</v>
      </c>
      <c r="AT117" s="104">
        <f si="188" t="shared"/>
        <v>-1</v>
      </c>
      <c r="AU117" s="104">
        <f si="189" t="shared"/>
        <v>0</v>
      </c>
      <c r="AV117" s="104">
        <f si="190" t="shared"/>
        <v>0</v>
      </c>
      <c r="CU117" s="95">
        <v>116</v>
      </c>
      <c r="CV117" s="95">
        <f si="153" t="shared"/>
        <v>6</v>
      </c>
      <c r="CW117" s="95">
        <f si="147" t="shared"/>
        <v>16</v>
      </c>
      <c r="CX117" s="58">
        <f si="148" t="shared"/>
        <v>138.17614782160109</v>
      </c>
      <c r="CY117" s="58">
        <f si="149" t="shared"/>
        <v>82.999999999999986</v>
      </c>
      <c r="CZ117" s="108">
        <f si="150" t="shared"/>
        <v>-55.176147821601106</v>
      </c>
      <c r="DA117" s="78">
        <f si="151" t="shared"/>
        <v>-0.39931745595367807</v>
      </c>
    </row>
    <row r="118" spans="26:105" x14ac:dyDescent="0.25">
      <c r="Z118" s="95">
        <v>9</v>
      </c>
      <c r="AA118" s="104">
        <f si="169" t="shared"/>
        <v>1.7938581707029409E-2</v>
      </c>
      <c r="AB118" s="104">
        <f si="170" t="shared"/>
        <v>0.19122162810111079</v>
      </c>
      <c r="AC118" s="104">
        <f si="171" t="shared"/>
        <v>0.12203117467459404</v>
      </c>
      <c r="AD118" s="104">
        <f si="172" t="shared"/>
        <v>-0.11407959301164269</v>
      </c>
      <c r="AE118" s="104">
        <f si="173" t="shared"/>
        <v>7.5250123219113937E-2</v>
      </c>
      <c r="AF118" s="104">
        <f si="174" t="shared"/>
        <v>-3.8946783817965562E-2</v>
      </c>
      <c r="AG118" s="104">
        <f si="175" t="shared"/>
        <v>6.72660405791876E-2</v>
      </c>
      <c r="AH118" s="104">
        <f si="176" t="shared"/>
        <v>-0.16517267113351497</v>
      </c>
      <c r="AI118" s="104">
        <f si="177" t="shared"/>
        <v>0.38503411229437229</v>
      </c>
      <c r="AJ118" s="104">
        <f si="178" t="shared"/>
        <v>-0.18440809268851807</v>
      </c>
      <c r="AK118" s="104">
        <f si="179" t="shared"/>
        <v>-8.6326062825508726E-2</v>
      </c>
      <c r="AL118" s="104">
        <f si="180" t="shared"/>
        <v>-0.1939429105537622</v>
      </c>
      <c r="AM118" s="104">
        <f si="181" t="shared"/>
        <v>-0.45411613602940432</v>
      </c>
      <c r="AN118" s="104">
        <f si="182" t="shared"/>
        <v>-0.50706609962347082</v>
      </c>
      <c r="AO118" s="104">
        <f si="183" t="shared"/>
        <v>-0.16122108738490304</v>
      </c>
      <c r="AP118" s="104">
        <f si="184" t="shared"/>
        <v>-0.40165315156500953</v>
      </c>
      <c r="AQ118" s="104">
        <f si="185" t="shared"/>
        <v>-0.50665222778568264</v>
      </c>
      <c r="AR118" s="104">
        <f si="186" t="shared"/>
        <v>-0.79865153671711431</v>
      </c>
      <c r="AS118" s="104">
        <f si="187" t="shared"/>
        <v>-0.43001364189520636</v>
      </c>
      <c r="AT118" s="104">
        <f si="188" t="shared"/>
        <v>-0.91752864687758928</v>
      </c>
      <c r="AU118" s="104">
        <f si="189" t="shared"/>
        <v>0</v>
      </c>
      <c r="AV118" s="104">
        <f si="190" t="shared"/>
        <v>0</v>
      </c>
      <c r="CU118" s="95">
        <v>117</v>
      </c>
      <c r="CV118" s="95">
        <f si="153" t="shared"/>
        <v>6</v>
      </c>
      <c r="CW118" s="95">
        <f si="147" t="shared"/>
        <v>17</v>
      </c>
      <c r="CX118" s="58">
        <f si="148" t="shared"/>
        <v>53.331144773249541</v>
      </c>
      <c r="CY118" s="58">
        <f si="149" t="shared"/>
        <v>30.999999999999996</v>
      </c>
      <c r="CZ118" s="108">
        <f si="150" t="shared"/>
        <v>-22.331144773249544</v>
      </c>
      <c r="DA118" s="78">
        <f si="151" t="shared"/>
        <v>-0.41872614713589762</v>
      </c>
    </row>
    <row r="119" spans="26:105" x14ac:dyDescent="0.25">
      <c r="Z119" s="95">
        <v>10</v>
      </c>
      <c r="AA119" s="104">
        <f si="169" t="shared"/>
        <v>-2.1180550862727975E-2</v>
      </c>
      <c r="AB119" s="104">
        <f si="170" t="shared"/>
        <v>0.26170465145049349</v>
      </c>
      <c r="AC119" s="104">
        <f si="171" t="shared"/>
        <v>0.11593644129462428</v>
      </c>
      <c r="AD119" s="104">
        <f si="172" t="shared"/>
        <v>0.35078792261852959</v>
      </c>
      <c r="AE119" s="104">
        <f si="173" t="shared"/>
        <v>0.10365032320630778</v>
      </c>
      <c r="AF119" s="104">
        <f si="174" t="shared"/>
        <v>6.7975307628252435E-2</v>
      </c>
      <c r="AG119" s="104">
        <f si="175" t="shared"/>
        <v>-0.39578510512411996</v>
      </c>
      <c r="AH119" s="104">
        <f si="176" t="shared"/>
        <v>0.21138203407817435</v>
      </c>
      <c r="AI119" s="104">
        <f si="177" t="shared"/>
        <v>-0.4268069843896643</v>
      </c>
      <c r="AJ119" s="104">
        <f si="178" t="shared"/>
        <v>0.22599620324912886</v>
      </c>
      <c r="AK119" s="104">
        <f si="179" t="shared"/>
        <v>-0.38825540940586728</v>
      </c>
      <c r="AL119" s="104">
        <f si="180" t="shared"/>
        <v>5.4010629446253559E-2</v>
      </c>
      <c r="AM119" s="104">
        <f si="181" t="shared"/>
        <v>-0.80444191418080713</v>
      </c>
      <c r="AN119" s="104">
        <f si="182" t="shared"/>
        <v>-0.7071607803571418</v>
      </c>
      <c r="AO119" s="104">
        <f si="183" t="shared"/>
        <v>-0.75089587263257029</v>
      </c>
      <c r="AP119" s="104">
        <f si="184" t="shared"/>
        <v>3.8436442533540331E-2</v>
      </c>
      <c r="AQ119" s="104">
        <f si="185" t="shared"/>
        <v>-0.57273023266394818</v>
      </c>
      <c r="AR119" s="104">
        <f si="186" t="shared"/>
        <v>-0.56103653376843521</v>
      </c>
      <c r="AS119" s="104">
        <f si="187" t="shared"/>
        <v>-0.58582317758114655</v>
      </c>
      <c r="AT119" s="104">
        <f si="188" t="shared"/>
        <v>-0.80858314423344879</v>
      </c>
      <c r="AU119" s="104">
        <f si="189" t="shared"/>
        <v>0</v>
      </c>
      <c r="AV119" s="104">
        <f si="190" t="shared"/>
        <v>0</v>
      </c>
      <c r="CU119" s="95">
        <v>118</v>
      </c>
      <c r="CV119" s="95">
        <f si="153" t="shared"/>
        <v>6</v>
      </c>
      <c r="CW119" s="95">
        <f si="147" t="shared"/>
        <v>18</v>
      </c>
      <c r="CX119" s="58">
        <f si="148" t="shared"/>
        <v>135.75200487736248</v>
      </c>
      <c r="CY119" s="58">
        <f si="149" t="shared"/>
        <v>14.999999999999998</v>
      </c>
      <c r="CZ119" s="108">
        <f si="150" t="shared"/>
        <v>-120.75200487736248</v>
      </c>
      <c r="DA119" s="78">
        <f si="151" t="shared"/>
        <v>-0.88950439432882844</v>
      </c>
    </row>
    <row r="120" spans="26:105" x14ac:dyDescent="0.25">
      <c r="Z120" s="95">
        <v>11</v>
      </c>
      <c r="AA120" s="104">
        <f si="169" t="shared"/>
        <v>0.14882557635529103</v>
      </c>
      <c r="AB120" s="104">
        <f si="170" t="shared"/>
        <v>-4.7581364380350696E-2</v>
      </c>
      <c r="AC120" s="104">
        <f si="171" t="shared"/>
        <v>0.32364358973605256</v>
      </c>
      <c r="AD120" s="104">
        <f si="172" t="shared"/>
        <v>0.13457227835741337</v>
      </c>
      <c r="AE120" s="104">
        <f si="173" t="shared"/>
        <v>5.3730396907459826E-3</v>
      </c>
      <c r="AF120" s="104">
        <f si="174" t="shared"/>
        <v>-2.8153596215107091E-2</v>
      </c>
      <c r="AG120" s="104">
        <f si="175" t="shared"/>
        <v>-0.46492830645831212</v>
      </c>
      <c r="AH120" s="104">
        <f si="176" t="shared"/>
        <v>6.9756774065902583E-2</v>
      </c>
      <c r="AI120" s="104">
        <f si="177" t="shared"/>
        <v>2.3105728349659238E-2</v>
      </c>
      <c r="AJ120" s="104">
        <f si="178" t="shared"/>
        <v>-5.8340037985886745E-2</v>
      </c>
      <c r="AK120" s="104">
        <f si="179" t="shared"/>
        <v>0.38929594321234462</v>
      </c>
      <c r="AL120" s="104">
        <f si="180" t="shared"/>
        <v>-0.34155070651017244</v>
      </c>
      <c r="AM120" s="104">
        <f si="181" t="shared"/>
        <v>-0.84668850736641776</v>
      </c>
      <c r="AN120" s="104">
        <f si="182" t="shared"/>
        <v>-5.0142154993596706E-2</v>
      </c>
      <c r="AO120" s="104">
        <f si="183" t="shared"/>
        <v>-0.42514837689347718</v>
      </c>
      <c r="AP120" s="104">
        <f si="184" t="shared"/>
        <v>-0.40252764734068031</v>
      </c>
      <c r="AQ120" s="104">
        <f si="185" t="shared"/>
        <v>0.22080733191365642</v>
      </c>
      <c r="AR120" s="104">
        <f si="186" t="shared"/>
        <v>-0.89253422085238088</v>
      </c>
      <c r="AS120" s="104">
        <f si="187" t="shared"/>
        <v>-0.17735226073666679</v>
      </c>
      <c r="AT120" s="104">
        <f si="188" t="shared"/>
        <v>-0.91932279188628019</v>
      </c>
      <c r="AU120" s="104">
        <f si="189" t="shared"/>
        <v>0</v>
      </c>
      <c r="AV120" s="104">
        <f si="190" t="shared"/>
        <v>0</v>
      </c>
      <c r="CU120" s="95">
        <v>119</v>
      </c>
      <c r="CV120" s="95">
        <f si="153" t="shared"/>
        <v>6</v>
      </c>
      <c r="CW120" s="95">
        <f si="147" t="shared"/>
        <v>19</v>
      </c>
      <c r="CX120" s="58">
        <f si="148" t="shared"/>
        <v>178.17450640153825</v>
      </c>
      <c r="CY120" s="58">
        <f si="149" t="shared"/>
        <v>63.999999999999993</v>
      </c>
      <c r="CZ120" s="108">
        <f si="150" t="shared"/>
        <v>-114.17450640153825</v>
      </c>
      <c r="DA120" s="78">
        <f si="151" t="shared"/>
        <v>-0.64080158664355669</v>
      </c>
    </row>
    <row r="121" spans="26:105" x14ac:dyDescent="0.25">
      <c r="Z121" s="95">
        <v>12</v>
      </c>
      <c r="AA121" s="104">
        <f si="169" t="shared"/>
        <v>2.9958201942929249E-2</v>
      </c>
      <c r="AB121" s="104">
        <f si="170" t="shared"/>
        <v>0.29616532729136069</v>
      </c>
      <c r="AC121" s="104">
        <f si="171" t="shared"/>
        <v>3.3534586636015007E-3</v>
      </c>
      <c r="AD121" s="104">
        <f si="172" t="shared"/>
        <v>0.16823833195475416</v>
      </c>
      <c r="AE121" s="104">
        <f si="173" t="shared"/>
        <v>0.10750636111379343</v>
      </c>
      <c r="AF121" s="104">
        <f si="174" t="shared"/>
        <v>-1.7792156884138721E-2</v>
      </c>
      <c r="AG121" s="104">
        <f si="175" t="shared"/>
        <v>0.13415382304753665</v>
      </c>
      <c r="AH121" s="104">
        <f si="176" t="shared"/>
        <v>0.52456713913265729</v>
      </c>
      <c r="AI121" s="104">
        <f si="177" t="shared"/>
        <v>-0.23512506647835882</v>
      </c>
      <c r="AJ121" s="104">
        <f si="178" t="shared"/>
        <v>0.28566154528904369</v>
      </c>
      <c r="AK121" s="104">
        <f si="179" t="shared"/>
        <v>-0.49870736805438298</v>
      </c>
      <c r="AL121" s="104">
        <f si="180" t="shared"/>
        <v>2.0282826944071075E-2</v>
      </c>
      <c r="AM121" s="104">
        <f si="181" t="shared"/>
        <v>-0.28566543690491375</v>
      </c>
      <c r="AN121" s="104">
        <f si="182" t="shared"/>
        <v>-0.65075741030846923</v>
      </c>
      <c r="AO121" s="104">
        <f si="183" t="shared"/>
        <v>-0.57254848249035206</v>
      </c>
      <c r="AP121" s="104">
        <f si="184" t="shared"/>
        <v>0.57240601008352054</v>
      </c>
      <c r="AQ121" s="104">
        <f si="185" t="shared"/>
        <v>-0.32085949553656118</v>
      </c>
      <c r="AR121" s="104">
        <f si="186" t="shared"/>
        <v>-0.23593231154611408</v>
      </c>
      <c r="AS121" s="104">
        <f si="187" t="shared"/>
        <v>-0.60869321281882305</v>
      </c>
      <c r="AT121" s="104">
        <f si="188" t="shared"/>
        <v>-0.72133029902911561</v>
      </c>
      <c r="AU121" s="104">
        <f si="189" t="shared"/>
        <v>0</v>
      </c>
      <c r="AV121" s="104">
        <f si="190" t="shared"/>
        <v>0</v>
      </c>
      <c r="CU121" s="95">
        <v>120</v>
      </c>
      <c r="CV121" s="95">
        <f si="153" t="shared"/>
        <v>6</v>
      </c>
      <c r="CW121" s="95">
        <f si="147" t="shared"/>
        <v>20</v>
      </c>
      <c r="CX121" s="58">
        <f si="148" t="shared"/>
        <v>58.179430661726776</v>
      </c>
      <c r="CY121" s="58">
        <f si="149" t="shared"/>
        <v>23.999999999999996</v>
      </c>
      <c r="CZ121" s="108">
        <f si="150" t="shared"/>
        <v>-34.179430661726784</v>
      </c>
      <c r="DA121" s="78">
        <f si="151" t="shared"/>
        <v>-0.58748307216095974</v>
      </c>
    </row>
    <row r="122" spans="26:105" x14ac:dyDescent="0.25">
      <c r="Z122" s="95">
        <v>13</v>
      </c>
      <c r="AA122" s="104">
        <f si="169" t="shared"/>
        <v>-0.3343561678180571</v>
      </c>
      <c r="AB122" s="104">
        <f si="170" t="shared"/>
        <v>-0.33967886146662507</v>
      </c>
      <c r="AC122" s="104">
        <f si="171" t="shared"/>
        <v>-0.48834139921320374</v>
      </c>
      <c r="AD122" s="104">
        <f si="172" t="shared"/>
        <v>-0.55496601149687297</v>
      </c>
      <c r="AE122" s="104">
        <f si="173" t="shared"/>
        <v>-0.38337794223361571</v>
      </c>
      <c r="AF122" s="104">
        <f si="174" t="shared"/>
        <v>-0.41264436823403378</v>
      </c>
      <c r="AG122" s="104">
        <f si="175" t="shared"/>
        <v>0.23573420028121234</v>
      </c>
      <c r="AH122" s="104">
        <f si="176" t="shared"/>
        <v>-0.59177219423224536</v>
      </c>
      <c r="AI122" s="104">
        <f si="177" t="shared"/>
        <v>-0.26330131573519205</v>
      </c>
      <c r="AJ122" s="104">
        <f si="178" t="shared"/>
        <v>-0.67044397922268151</v>
      </c>
      <c r="AK122" s="104">
        <f si="179" t="shared"/>
        <v>-0.74922608879794306</v>
      </c>
      <c r="AL122" s="104">
        <f si="180" t="shared"/>
        <v>0.11358834247073539</v>
      </c>
      <c r="AM122" s="104">
        <f si="181" t="shared"/>
        <v>0.1004603410896108</v>
      </c>
      <c r="AN122" s="104">
        <f si="182" t="shared"/>
        <v>-0.90374825436339634</v>
      </c>
      <c r="AO122" s="104">
        <f si="183" t="shared"/>
        <v>0.29880731237725128</v>
      </c>
      <c r="AP122" s="104">
        <f si="184" t="shared"/>
        <v>-0.41686326801885987</v>
      </c>
      <c r="AQ122" s="104">
        <f si="185" t="shared"/>
        <v>-0.76412901382168963</v>
      </c>
      <c r="AR122" s="104">
        <f si="186" t="shared"/>
        <v>-0.11666443312037804</v>
      </c>
      <c r="AS122" s="104">
        <f si="187" t="shared"/>
        <v>-0.34322338271493974</v>
      </c>
      <c r="AT122" s="104">
        <f si="188" t="shared"/>
        <v>-0.75280073318190799</v>
      </c>
      <c r="AU122" s="104">
        <f si="189" t="shared"/>
        <v>0</v>
      </c>
      <c r="AV122" s="104">
        <f si="190" t="shared"/>
        <v>0</v>
      </c>
      <c r="CU122" s="95">
        <v>121</v>
      </c>
      <c r="CV122" s="95">
        <f si="153" t="shared"/>
        <v>7</v>
      </c>
      <c r="CW122" s="95">
        <f si="147" t="shared"/>
        <v>1</v>
      </c>
      <c r="CX122" s="58">
        <f si="148" t="shared"/>
        <v>5293.0668275478001</v>
      </c>
      <c r="CY122" s="58">
        <f si="149" t="shared"/>
        <v>4944.0000000000009</v>
      </c>
      <c r="CZ122" s="108">
        <f si="150" t="shared"/>
        <v>-349.06682754779922</v>
      </c>
      <c r="DA122" s="78">
        <f si="151" t="shared"/>
        <v>-6.5947935085776482E-2</v>
      </c>
    </row>
    <row r="123" spans="26:105" x14ac:dyDescent="0.25">
      <c r="Z123" s="95">
        <v>14</v>
      </c>
      <c r="AA123" s="104">
        <f si="169" t="shared"/>
        <v>0.16184375657342981</v>
      </c>
      <c r="AB123" s="104">
        <f si="170" t="shared"/>
        <v>-0.39188894132902369</v>
      </c>
      <c r="AC123" s="104">
        <f si="171" t="shared"/>
        <v>6.7997968562883537E-2</v>
      </c>
      <c r="AD123" s="104">
        <f si="172" t="shared"/>
        <v>0.1008002619189708</v>
      </c>
      <c r="AE123" s="104">
        <f si="173" t="shared"/>
        <v>0.12997691751237433</v>
      </c>
      <c r="AF123" s="104">
        <f si="174" t="shared"/>
        <v>0.21808324827887499</v>
      </c>
      <c r="AG123" s="104">
        <f si="175" t="shared"/>
        <v>-0.64868174294985048</v>
      </c>
      <c r="AH123" s="104">
        <f si="176" t="shared"/>
        <v>-0.1306864164282108</v>
      </c>
      <c r="AI123" s="104">
        <f si="177" t="shared"/>
        <v>-0.1996565197951867</v>
      </c>
      <c r="AJ123" s="104">
        <f si="178" t="shared"/>
        <v>0.10802697690535629</v>
      </c>
      <c r="AK123" s="104">
        <f si="179" t="shared"/>
        <v>0.16188986173934497</v>
      </c>
      <c r="AL123" s="104">
        <f si="180" t="shared"/>
        <v>-0.41794121268957152</v>
      </c>
      <c r="AM123" s="104">
        <f si="181" t="shared"/>
        <v>-0.90861909447373446</v>
      </c>
      <c r="AN123" s="104">
        <f si="182" t="shared"/>
        <v>0.14430828940506196</v>
      </c>
      <c r="AO123" s="104">
        <f si="183" t="shared"/>
        <v>-0.73414146593055796</v>
      </c>
      <c r="AP123" s="104">
        <f si="184" t="shared"/>
        <v>-0.63200662369152527</v>
      </c>
      <c r="AQ123" s="104">
        <f si="185" t="shared"/>
        <v>0.35485719221467232</v>
      </c>
      <c r="AR123" s="104">
        <f si="186" t="shared"/>
        <v>-0.94957127806143127</v>
      </c>
      <c r="AS123" s="104">
        <f si="187" t="shared"/>
        <v>0.4563831818248571</v>
      </c>
      <c r="AT123" s="104">
        <f si="188" t="shared"/>
        <v>-0.98607796020100857</v>
      </c>
      <c r="AU123" s="104">
        <f si="189" t="shared"/>
        <v>0</v>
      </c>
      <c r="AV123" s="104">
        <f si="190" t="shared"/>
        <v>0</v>
      </c>
      <c r="CU123" s="95">
        <v>122</v>
      </c>
      <c r="CV123" s="95">
        <f si="153" t="shared"/>
        <v>7</v>
      </c>
      <c r="CW123" s="95">
        <f si="147" t="shared"/>
        <v>2</v>
      </c>
      <c r="CX123" s="58">
        <f si="148" t="shared"/>
        <v>5375.0059402264706</v>
      </c>
      <c r="CY123" s="58">
        <f si="149" t="shared"/>
        <v>5204.0000000000009</v>
      </c>
      <c r="CZ123" s="108">
        <f si="150" t="shared"/>
        <v>-171.00594022646965</v>
      </c>
      <c r="DA123" s="78">
        <f si="151" t="shared"/>
        <v>-3.1815023486144178E-2</v>
      </c>
    </row>
    <row r="124" spans="26:105" x14ac:dyDescent="0.25">
      <c r="Z124" s="95">
        <v>15</v>
      </c>
      <c r="AA124" s="104">
        <f si="169" t="shared"/>
        <v>-1.053870454268932E-4</v>
      </c>
      <c r="AB124" s="104">
        <f si="170" t="shared"/>
        <v>-0.24385243655100572</v>
      </c>
      <c r="AC124" s="104">
        <f si="171" t="shared"/>
        <v>-3.7630373792189073E-2</v>
      </c>
      <c r="AD124" s="104">
        <f si="172" t="shared"/>
        <v>-0.40974195302195859</v>
      </c>
      <c r="AE124" s="104">
        <f si="173" t="shared"/>
        <v>-0.19496358546594153</v>
      </c>
      <c r="AF124" s="104">
        <f si="174" t="shared"/>
        <v>-0.16916546862751614</v>
      </c>
      <c r="AG124" s="104">
        <f si="175" t="shared"/>
        <v>-0.20252064176925988</v>
      </c>
      <c r="AH124" s="104">
        <f si="176" t="shared"/>
        <v>-0.46624877874188642</v>
      </c>
      <c r="AI124" s="104">
        <f si="177" t="shared"/>
        <v>0.15281513771731906</v>
      </c>
      <c r="AJ124" s="104">
        <f si="178" t="shared"/>
        <v>-0.58433365475176025</v>
      </c>
      <c r="AK124" s="104">
        <f si="179" t="shared"/>
        <v>-0.24385243655100577</v>
      </c>
      <c r="AL124" s="104">
        <f si="180" t="shared"/>
        <v>-0.33614086421333761</v>
      </c>
      <c r="AM124" s="104">
        <f si="181" t="shared"/>
        <v>0.36990844814929746</v>
      </c>
      <c r="AN124" s="104">
        <f si="182" t="shared"/>
        <v>-0.67684196310699407</v>
      </c>
      <c r="AO124" s="104">
        <f si="183" t="shared"/>
        <v>0.17701639682414919</v>
      </c>
      <c r="AP124" s="104">
        <f si="184" t="shared"/>
        <v>-0.76986813286334965</v>
      </c>
      <c r="AQ124" s="104">
        <f si="185" t="shared"/>
        <v>-0.46345217803170169</v>
      </c>
      <c r="AR124" s="104">
        <f si="186" t="shared"/>
        <v>-0.64052001081933063</v>
      </c>
      <c r="AS124" s="104">
        <f si="187" t="shared"/>
        <v>0.34855190453139273</v>
      </c>
      <c r="AT124" s="104">
        <f si="188" t="shared"/>
        <v>-0.94288093945169471</v>
      </c>
      <c r="AU124" s="104">
        <f si="189" t="shared"/>
        <v>0</v>
      </c>
      <c r="AV124" s="104">
        <f si="190" t="shared"/>
        <v>0</v>
      </c>
      <c r="CU124" s="95">
        <v>123</v>
      </c>
      <c r="CV124" s="95">
        <f si="153" t="shared"/>
        <v>7</v>
      </c>
      <c r="CW124" s="95">
        <f si="147" t="shared"/>
        <v>3</v>
      </c>
      <c r="CX124" s="58">
        <f si="148" t="shared"/>
        <v>2372.2372377946908</v>
      </c>
      <c r="CY124" s="58">
        <f si="149" t="shared"/>
        <v>1718.0000000000005</v>
      </c>
      <c r="CZ124" s="108">
        <f si="150" t="shared"/>
        <v>-654.23723779469037</v>
      </c>
      <c r="DA124" s="78">
        <f si="151" t="shared"/>
        <v>-0.27578912739894879</v>
      </c>
    </row>
    <row r="125" spans="26:105" x14ac:dyDescent="0.25">
      <c r="Z125" s="95">
        <v>16</v>
      </c>
      <c r="AA125" s="104">
        <f si="169" t="shared"/>
        <v>6.9048881087330927E-2</v>
      </c>
      <c r="AB125" s="104">
        <f si="170" t="shared"/>
        <v>-0.16234015800336904</v>
      </c>
      <c r="AC125" s="104">
        <f si="171" t="shared"/>
        <v>-0.17177898780830625</v>
      </c>
      <c r="AD125" s="104">
        <f si="172" t="shared"/>
        <v>9.4103487994329285E-2</v>
      </c>
      <c r="AE125" s="104">
        <f si="173" t="shared"/>
        <v>0.1328265981151909</v>
      </c>
      <c r="AF125" s="104">
        <f si="174" t="shared"/>
        <v>1.695154642016581E-2</v>
      </c>
      <c r="AG125" s="104">
        <f si="175" t="shared"/>
        <v>-0.410150608323819</v>
      </c>
      <c r="AH125" s="104">
        <f si="176" t="shared"/>
        <v>0.34184434796591084</v>
      </c>
      <c r="AI125" s="104">
        <f si="177" t="shared"/>
        <v>-0.48783762419584337</v>
      </c>
      <c r="AJ125" s="104">
        <f si="178" t="shared"/>
        <v>0.15768702798032566</v>
      </c>
      <c r="AK125" s="104">
        <f si="179" t="shared"/>
        <v>-0.43753540332325574</v>
      </c>
      <c r="AL125" s="104">
        <f si="180" t="shared"/>
        <v>0.14348982073429997</v>
      </c>
      <c r="AM125" s="104">
        <f si="181" t="shared"/>
        <v>-0.74467464536698424</v>
      </c>
      <c r="AN125" s="104">
        <f si="182" t="shared"/>
        <v>-0.405971513443522</v>
      </c>
      <c r="AO125" s="104">
        <f si="183" t="shared"/>
        <v>-0.78903661225097044</v>
      </c>
      <c r="AP125" s="104">
        <f si="184" t="shared"/>
        <v>0.21996097497520278</v>
      </c>
      <c r="AQ125" s="104">
        <f si="185" t="shared"/>
        <v>-0.62378195851423057</v>
      </c>
      <c r="AR125" s="104">
        <f si="186" t="shared"/>
        <v>-0.2613127491093365</v>
      </c>
      <c r="AS125" s="104">
        <f si="187" t="shared"/>
        <v>-0.55378790428432012</v>
      </c>
      <c r="AT125" s="104">
        <f si="188" t="shared"/>
        <v>-0.13887870504368333</v>
      </c>
      <c r="AU125" s="104">
        <f si="189" t="shared"/>
        <v>0</v>
      </c>
      <c r="AV125" s="104">
        <f si="190" t="shared"/>
        <v>0</v>
      </c>
      <c r="CU125" s="95">
        <v>124</v>
      </c>
      <c r="CV125" s="95">
        <f si="153" t="shared"/>
        <v>7</v>
      </c>
      <c r="CW125" s="95">
        <f si="147" t="shared"/>
        <v>4</v>
      </c>
      <c r="CX125" s="58">
        <f si="148" t="shared"/>
        <v>1869.6107295340635</v>
      </c>
      <c r="CY125" s="58">
        <f si="149" t="shared"/>
        <v>1273.0000000000002</v>
      </c>
      <c r="CZ125" s="108">
        <f si="150" t="shared"/>
        <v>-596.61072953406324</v>
      </c>
      <c r="DA125" s="78">
        <f si="151" t="shared"/>
        <v>-0.31910959865038219</v>
      </c>
    </row>
    <row r="126" spans="26:105" x14ac:dyDescent="0.25">
      <c r="Z126" s="95">
        <v>17</v>
      </c>
      <c r="AA126" s="104">
        <f si="169" t="shared"/>
        <v>3.289126942556736E-2</v>
      </c>
      <c r="AB126" s="104">
        <f si="170" t="shared"/>
        <v>-0.42064828629036677</v>
      </c>
      <c r="AC126" s="104">
        <f si="171" t="shared"/>
        <v>0.21691156697511565</v>
      </c>
      <c r="AD126" s="104">
        <f si="172" t="shared"/>
        <v>-0.16771665712562989</v>
      </c>
      <c r="AE126" s="104">
        <f si="173" t="shared"/>
        <v>7.1882792897464756E-2</v>
      </c>
      <c r="AF126" s="104">
        <f si="174" t="shared"/>
        <v>-8.9376820839807927E-2</v>
      </c>
      <c r="AG126" s="104">
        <f si="175" t="shared"/>
        <v>-0.62024160259948224</v>
      </c>
      <c r="AH126" s="104">
        <f si="176" t="shared"/>
        <v>-0.41847500868647614</v>
      </c>
      <c r="AI126" s="104">
        <f si="177" t="shared"/>
        <v>-0.20853375816325354</v>
      </c>
      <c r="AJ126" s="104">
        <f si="178" t="shared"/>
        <v>-0.30037740109420391</v>
      </c>
      <c r="AK126" s="104">
        <f si="179" t="shared"/>
        <v>7.7961982966075372E-2</v>
      </c>
      <c r="AL126" s="104">
        <f si="180" t="shared"/>
        <v>-0.45722136937723235</v>
      </c>
      <c r="AM126" s="104">
        <f si="181" t="shared"/>
        <v>-0.90168781123675446</v>
      </c>
      <c r="AN126" s="104">
        <f si="182" t="shared"/>
        <v>0.33912080333690209</v>
      </c>
      <c r="AO126" s="104">
        <f si="183" t="shared"/>
        <v>-0.3847664121060691</v>
      </c>
      <c r="AP126" s="104">
        <f si="184" t="shared"/>
        <v>-0.86258946151201676</v>
      </c>
      <c r="AQ126" s="104">
        <f si="185" t="shared"/>
        <v>0.31610586107203087</v>
      </c>
      <c r="AR126" s="104">
        <f si="186" t="shared"/>
        <v>-0.9017242636612125</v>
      </c>
      <c r="AS126" s="104">
        <f si="187" t="shared"/>
        <v>0.48175657887418477</v>
      </c>
      <c r="AT126" s="104">
        <f si="188" t="shared"/>
        <v>-0.93561755224793286</v>
      </c>
      <c r="AU126" s="104">
        <f si="189" t="shared"/>
        <v>0</v>
      </c>
      <c r="AV126" s="104">
        <f si="190" t="shared"/>
        <v>0</v>
      </c>
      <c r="CU126" s="95">
        <v>125</v>
      </c>
      <c r="CV126" s="95">
        <f si="153" t="shared"/>
        <v>7</v>
      </c>
      <c r="CW126" s="95">
        <f si="147" t="shared"/>
        <v>5</v>
      </c>
      <c r="CX126" s="58">
        <f si="148" t="shared"/>
        <v>1714.7258214219416</v>
      </c>
      <c r="CY126" s="58">
        <f si="149" t="shared"/>
        <v>1250.0000000000002</v>
      </c>
      <c r="CZ126" s="108">
        <f si="150" t="shared"/>
        <v>-464.72582142194142</v>
      </c>
      <c r="DA126" s="78">
        <f si="151" t="shared"/>
        <v>-0.27102048363426762</v>
      </c>
    </row>
    <row r="127" spans="26:105" x14ac:dyDescent="0.25">
      <c r="Z127" s="95">
        <v>18</v>
      </c>
      <c r="AA127" s="104">
        <f si="169" t="shared"/>
        <v>-0.3866287921447909</v>
      </c>
      <c r="AB127" s="104">
        <f si="170" t="shared"/>
        <v>-0.46276153014181742</v>
      </c>
      <c r="AC127" s="104">
        <f si="171" t="shared"/>
        <v>-0.5262511610805467</v>
      </c>
      <c r="AD127" s="104">
        <f si="172" t="shared"/>
        <v>-0.49020345686460687</v>
      </c>
      <c r="AE127" s="104">
        <f si="173" t="shared"/>
        <v>-0.32558192393524027</v>
      </c>
      <c r="AF127" s="104">
        <f si="174" t="shared"/>
        <v>-0.40521375195432213</v>
      </c>
      <c r="AG127" s="104">
        <f si="175" t="shared"/>
        <v>-0.33190499884247343</v>
      </c>
      <c r="AH127" s="104">
        <f si="176" t="shared"/>
        <v>-0.40378799584998126</v>
      </c>
      <c r="AI127" s="104">
        <f si="177" t="shared"/>
        <v>-0.68351379485960384</v>
      </c>
      <c r="AJ127" s="104">
        <f si="178" t="shared"/>
        <v>-0.34600386323488141</v>
      </c>
      <c r="AK127" s="104">
        <f si="179" t="shared"/>
        <v>-0.78060109838759117</v>
      </c>
      <c r="AL127" s="104">
        <f si="180" t="shared"/>
        <v>0.18200106658862547</v>
      </c>
      <c r="AM127" s="104">
        <f si="181" t="shared"/>
        <v>0.28590182760565974</v>
      </c>
      <c r="AN127" s="104">
        <f si="182" t="shared"/>
        <v>-0.88620095631572859</v>
      </c>
      <c r="AO127" s="104">
        <f si="183" t="shared"/>
        <v>-0.48407517385170956</v>
      </c>
      <c r="AP127" s="104">
        <f si="184" t="shared"/>
        <v>0.40584396823562435</v>
      </c>
      <c r="AQ127" s="104">
        <f si="185" t="shared"/>
        <v>-0.7956262072609005</v>
      </c>
      <c r="AR127" s="104">
        <f si="186" t="shared"/>
        <v>0.52353512024841065</v>
      </c>
      <c r="AS127" s="104">
        <f si="187" t="shared"/>
        <v>-0.63741949717911817</v>
      </c>
      <c r="AT127" s="104">
        <f si="188" t="shared"/>
        <v>-0.14948022247659071</v>
      </c>
      <c r="AU127" s="104">
        <f si="189" t="shared"/>
        <v>0</v>
      </c>
      <c r="AV127" s="104">
        <f si="190" t="shared"/>
        <v>0</v>
      </c>
      <c r="CU127" s="95">
        <v>126</v>
      </c>
      <c r="CV127" s="95">
        <f si="153" t="shared"/>
        <v>7</v>
      </c>
      <c r="CW127" s="95">
        <f si="147" t="shared"/>
        <v>6</v>
      </c>
      <c r="CX127" s="58">
        <f si="148" t="shared"/>
        <v>10427.251717096713</v>
      </c>
      <c r="CY127" s="58">
        <f si="149" t="shared"/>
        <v>9103.0000000000018</v>
      </c>
      <c r="CZ127" s="108">
        <f si="150" t="shared"/>
        <v>-1324.2517170967112</v>
      </c>
      <c r="DA127" s="78">
        <f si="151" t="shared"/>
        <v>-0.12699911280797449</v>
      </c>
    </row>
    <row r="128" spans="26:105" x14ac:dyDescent="0.25">
      <c r="Z128" s="95">
        <v>19</v>
      </c>
      <c r="AA128" s="104">
        <f si="169" t="shared"/>
        <v>0.14990872232904084</v>
      </c>
      <c r="AB128" s="104">
        <f si="170" t="shared"/>
        <v>-0.2913276234897938</v>
      </c>
      <c r="AC128" s="104">
        <f si="171" t="shared"/>
        <v>0.1965737244809683</v>
      </c>
      <c r="AD128" s="104">
        <f si="172" t="shared"/>
        <v>-0.10568725063333276</v>
      </c>
      <c r="AE128" s="104">
        <f si="173" t="shared"/>
        <v>-2.0801491738143038E-2</v>
      </c>
      <c r="AF128" s="104">
        <f si="174" t="shared"/>
        <v>-6.5730719527391693E-2</v>
      </c>
      <c r="AG128" s="104">
        <f si="175" t="shared"/>
        <v>-0.60172238470534589</v>
      </c>
      <c r="AH128" s="104">
        <f si="176" t="shared"/>
        <v>-0.39459672648392807</v>
      </c>
      <c r="AI128" s="104">
        <f si="177" t="shared"/>
        <v>-9.1344021754368301E-2</v>
      </c>
      <c r="AJ128" s="104">
        <f si="178" t="shared"/>
        <v>-0.2923615175965138</v>
      </c>
      <c r="AK128" s="104">
        <f si="179" t="shared"/>
        <v>0.2768049248706263</v>
      </c>
      <c r="AL128" s="104">
        <f si="180" t="shared"/>
        <v>-0.57426357073955958</v>
      </c>
      <c r="AM128" s="104">
        <f si="181" t="shared"/>
        <v>-0.67002794551601486</v>
      </c>
      <c r="AN128" s="104">
        <f si="182" t="shared"/>
        <v>0.17323872620767988</v>
      </c>
      <c r="AO128" s="104">
        <f si="183" t="shared"/>
        <v>0.48437732985831555</v>
      </c>
      <c r="AP128" s="104">
        <f si="184" t="shared"/>
        <v>-0.74102193299590269</v>
      </c>
      <c r="AQ128" s="104">
        <f si="185" t="shared"/>
        <v>-4.402522432820058E-2</v>
      </c>
      <c r="AR128" s="104">
        <f si="186" t="shared"/>
        <v>-0.92983352864421009</v>
      </c>
      <c r="AS128" s="104">
        <f si="187" t="shared"/>
        <v>0.15935815733136274</v>
      </c>
      <c r="AT128" s="104">
        <f si="188" t="shared"/>
        <v>-0.96610974041385855</v>
      </c>
      <c r="AU128" s="104">
        <f si="189" t="shared"/>
        <v>0</v>
      </c>
      <c r="AV128" s="104">
        <f si="190" t="shared"/>
        <v>0</v>
      </c>
      <c r="CU128" s="95">
        <v>127</v>
      </c>
      <c r="CV128" s="95">
        <f si="153" t="shared"/>
        <v>7</v>
      </c>
      <c r="CW128" s="95">
        <f si="147" t="shared"/>
        <v>7</v>
      </c>
      <c r="CX128" s="58">
        <f si="148" t="shared"/>
        <v>18350.364210135511</v>
      </c>
      <c r="CY128" s="58">
        <f si="149" t="shared"/>
        <v>21582.000000000004</v>
      </c>
      <c r="CZ128" s="108">
        <f si="150" t="shared"/>
        <v>3231.6357898644928</v>
      </c>
      <c r="DA128" s="78">
        <f si="151" t="shared"/>
        <v>0.1761074468527199</v>
      </c>
    </row>
    <row r="129" spans="26:105" x14ac:dyDescent="0.25">
      <c r="Z129" s="95">
        <v>20</v>
      </c>
      <c r="AA129" s="104">
        <f si="169" t="shared"/>
        <v>-0.60527139028221955</v>
      </c>
      <c r="AB129" s="104">
        <f si="170" t="shared"/>
        <v>-0.75444625115257569</v>
      </c>
      <c r="AC129" s="104">
        <f si="171" t="shared"/>
        <v>-0.75769711666995232</v>
      </c>
      <c r="AD129" s="104">
        <f si="172" t="shared"/>
        <v>-0.67814575434684798</v>
      </c>
      <c r="AE129" s="104">
        <f si="173" t="shared"/>
        <v>-0.50812514684000309</v>
      </c>
      <c r="AF129" s="104">
        <f si="174" t="shared"/>
        <v>-0.43643656251255619</v>
      </c>
      <c r="AG129" s="104">
        <f si="175" t="shared"/>
        <v>-0.72960225070408857</v>
      </c>
      <c r="AH129" s="104">
        <f si="176" t="shared"/>
        <v>-0.69931902663973611</v>
      </c>
      <c r="AI129" s="104">
        <f si="177" t="shared"/>
        <v>-0.84609926372927224</v>
      </c>
      <c r="AJ129" s="104">
        <f si="178" t="shared"/>
        <v>-0.41376548113175887</v>
      </c>
      <c r="AK129" s="104">
        <f si="179" t="shared"/>
        <v>-0.87464413896569515</v>
      </c>
      <c r="AL129" s="104">
        <f si="180" t="shared"/>
        <v>7.8887111270226531E-2</v>
      </c>
      <c r="AM129" s="104">
        <f si="181" t="shared"/>
        <v>-0.60066366332053345</v>
      </c>
      <c r="AN129" s="104">
        <f si="182" t="shared"/>
        <v>-0.97092365400039427</v>
      </c>
      <c r="AO129" s="104">
        <f si="183" t="shared"/>
        <v>-0.9332615985275412</v>
      </c>
      <c r="AP129" s="104">
        <f si="184" t="shared"/>
        <v>1.4734278330331272</v>
      </c>
      <c r="AQ129" s="104">
        <f si="185" t="shared"/>
        <v>-0.8438492529650804</v>
      </c>
      <c r="AR129" s="104">
        <f si="186" t="shared"/>
        <v>0.14605851098445963</v>
      </c>
      <c r="AS129" s="104">
        <f si="187" t="shared"/>
        <v>-0.95181634091493905</v>
      </c>
      <c r="AT129" s="104">
        <f si="188" t="shared"/>
        <v>0.35263485818635759</v>
      </c>
      <c r="AU129" s="104">
        <f si="189" t="shared"/>
        <v>0</v>
      </c>
      <c r="AV129" s="104">
        <f si="190" t="shared"/>
        <v>0</v>
      </c>
      <c r="CU129" s="95">
        <v>128</v>
      </c>
      <c r="CV129" s="95">
        <f si="153" t="shared"/>
        <v>7</v>
      </c>
      <c r="CW129" s="95">
        <f si="147" t="shared"/>
        <v>8</v>
      </c>
      <c r="CX129" s="58">
        <f si="148" t="shared"/>
        <v>333.75199554483015</v>
      </c>
      <c r="CY129" s="58">
        <f si="149" t="shared"/>
        <v>267.00000000000006</v>
      </c>
      <c r="CZ129" s="108">
        <f si="150" t="shared"/>
        <v>-66.751995544830095</v>
      </c>
      <c r="DA129" s="78">
        <f si="151" t="shared"/>
        <v>-0.20000478329983154</v>
      </c>
    </row>
    <row r="130" spans="26:105" x14ac:dyDescent="0.25">
      <c r="Z130" s="101" t="s">
        <v>15</v>
      </c>
      <c r="AA130" s="105">
        <f si="169" t="shared"/>
        <v>0</v>
      </c>
      <c r="AB130" s="105">
        <f si="170" t="shared"/>
        <v>0</v>
      </c>
      <c r="AC130" s="105">
        <f si="171" t="shared"/>
        <v>0</v>
      </c>
      <c r="AD130" s="105">
        <f si="172" t="shared"/>
        <v>0</v>
      </c>
      <c r="AE130" s="105">
        <f si="173" t="shared"/>
        <v>0</v>
      </c>
      <c r="AF130" s="105">
        <f si="174" t="shared"/>
        <v>0</v>
      </c>
      <c r="AG130" s="105">
        <f si="175" t="shared"/>
        <v>0</v>
      </c>
      <c r="AH130" s="105">
        <f si="176" t="shared"/>
        <v>0</v>
      </c>
      <c r="AI130" s="105">
        <f si="177" t="shared"/>
        <v>0</v>
      </c>
      <c r="AJ130" s="105">
        <f si="178" t="shared"/>
        <v>0</v>
      </c>
      <c r="AK130" s="105">
        <f si="179" t="shared"/>
        <v>0</v>
      </c>
      <c r="AL130" s="105">
        <f si="180" t="shared"/>
        <v>0</v>
      </c>
      <c r="AM130" s="105">
        <f si="181" t="shared"/>
        <v>0</v>
      </c>
      <c r="AN130" s="105">
        <f si="182" t="shared"/>
        <v>0</v>
      </c>
      <c r="AO130" s="105">
        <f si="183" t="shared"/>
        <v>0</v>
      </c>
      <c r="AP130" s="105">
        <f si="184" t="shared"/>
        <v>0</v>
      </c>
      <c r="AQ130" s="105">
        <f si="185" t="shared"/>
        <v>0</v>
      </c>
      <c r="AR130" s="105">
        <f si="186" t="shared"/>
        <v>0</v>
      </c>
      <c r="AS130" s="105">
        <f si="187" t="shared"/>
        <v>0</v>
      </c>
      <c r="AT130" s="105">
        <f si="188" t="shared"/>
        <v>0</v>
      </c>
      <c r="AU130" s="105">
        <f si="189" t="shared"/>
        <v>0</v>
      </c>
      <c r="AV130" s="105">
        <f si="190" t="shared"/>
        <v>0</v>
      </c>
      <c r="CU130" s="95">
        <v>129</v>
      </c>
      <c r="CV130" s="95">
        <f si="153" t="shared"/>
        <v>7</v>
      </c>
      <c r="CW130" s="95">
        <f si="147" t="shared"/>
        <v>9</v>
      </c>
      <c r="CX130" s="58">
        <f si="148" t="shared"/>
        <v>5323.0445516985328</v>
      </c>
      <c r="CY130" s="58">
        <f si="149" t="shared"/>
        <v>5163.0000000000009</v>
      </c>
      <c r="CZ130" s="108">
        <f si="150" t="shared"/>
        <v>-160.0445516985319</v>
      </c>
      <c r="DA130" s="78">
        <f si="151" t="shared"/>
        <v>-3.0066355850330656E-2</v>
      </c>
    </row>
    <row ht="15.75" r="131" spans="26:105" thickBot="1" x14ac:dyDescent="0.3">
      <c r="Z131" s="1" t="s">
        <v>3</v>
      </c>
      <c r="AA131" s="106">
        <f si="169" t="shared"/>
        <v>-2.8918800866570967E-3</v>
      </c>
      <c r="AB131" s="106">
        <f si="170" t="shared"/>
        <v>8.7310210434913549E-3</v>
      </c>
      <c r="AC131" s="106">
        <f si="171" t="shared"/>
        <v>-1.2453573373558322E-2</v>
      </c>
      <c r="AD131" s="106">
        <f si="172" t="shared"/>
        <v>-1.243366411156175E-2</v>
      </c>
      <c r="AE131" s="106">
        <f si="173" t="shared"/>
        <v>9.5405258733304056E-3</v>
      </c>
      <c r="AF131" s="106">
        <f si="174" t="shared"/>
        <v>-6.3385449313305168E-3</v>
      </c>
      <c r="AG131" s="106">
        <f si="175" t="shared"/>
        <v>-3.4654933378820956E-3</v>
      </c>
      <c r="AH131" s="106">
        <f si="176" t="shared"/>
        <v>-3.3233904579311442E-3</v>
      </c>
      <c r="AI131" s="106">
        <f si="177" t="shared"/>
        <v>-1.7802862317887212E-2</v>
      </c>
      <c r="AJ131" s="106">
        <f si="178" t="shared"/>
        <v>-1.4971300850502028E-2</v>
      </c>
      <c r="AK131" s="106">
        <f si="179" t="shared"/>
        <v>1.2043002228939292E-2</v>
      </c>
      <c r="AL131" s="106">
        <f si="180" t="shared"/>
        <v>-9.8364197346723688E-3</v>
      </c>
      <c r="AM131" s="106">
        <f si="181" t="shared"/>
        <v>5.5317255485589399E-3</v>
      </c>
      <c r="AN131" s="106">
        <f si="182" t="shared"/>
        <v>2.6970004955128146E-2</v>
      </c>
      <c r="AO131" s="106">
        <f si="183" t="shared"/>
        <v>-1.3022138825925759E-2</v>
      </c>
      <c r="AP131" s="106">
        <f si="184" t="shared"/>
        <v>5.7163348437241314E-3</v>
      </c>
      <c r="AQ131" s="106">
        <f si="185" t="shared"/>
        <v>6.1752722602455588E-2</v>
      </c>
      <c r="AR131" s="106">
        <f si="186" t="shared"/>
        <v>-6.3659374421308279E-3</v>
      </c>
      <c r="AS131" s="106">
        <f si="187" t="shared"/>
        <v>4.5303189286895237E-2</v>
      </c>
      <c r="AT131" s="106">
        <f si="188" t="shared"/>
        <v>8.2810174591634131E-2</v>
      </c>
      <c r="AU131" s="106">
        <f si="189" t="shared"/>
        <v>0</v>
      </c>
      <c r="AV131" s="106">
        <f si="190" t="shared"/>
        <v>1.7277429775442986E-16</v>
      </c>
      <c r="CU131" s="95">
        <v>130</v>
      </c>
      <c r="CV131" s="95">
        <f si="153" t="shared"/>
        <v>7</v>
      </c>
      <c r="CW131" s="95">
        <f ref="CW131:CW194" si="191" t="shared">MOD(ROW()-2,$CS$2)+1</f>
        <v>10</v>
      </c>
      <c r="CX131" s="58">
        <f ref="CX131:CX194" si="192" t="shared">VLOOKUP($CV131,$B$30:$V$49,MATCH($CW131,$B$29:$V$29,0),0)</f>
        <v>1301.033228141823</v>
      </c>
      <c r="CY131" s="58">
        <f ref="CY131:CY194" si="193" t="shared">VLOOKUP($CV131,$AY$30:$BS$49,MATCH($CW131,$AY$29:$BS$29,0),0)</f>
        <v>958.00000000000023</v>
      </c>
      <c r="CZ131" s="108">
        <f ref="CZ131:CZ194" si="194" t="shared">CY131-CX131</f>
        <v>-343.03322814182275</v>
      </c>
      <c r="DA131" s="78">
        <f ref="DA131:DA194" si="195" t="shared">CZ131/CX131</f>
        <v>-0.26366215767736673</v>
      </c>
    </row>
    <row r="132" spans="26:105" x14ac:dyDescent="0.25">
      <c r="CU132" s="95">
        <v>131</v>
      </c>
      <c r="CV132" s="95">
        <f ref="CV132:CV195" si="196" t="shared">IF(CW131&lt;$CS$2,CV131,CV131+1)</f>
        <v>7</v>
      </c>
      <c r="CW132" s="95">
        <f si="191" t="shared"/>
        <v>11</v>
      </c>
      <c r="CX132" s="58">
        <f si="192" t="shared"/>
        <v>2691.0003712641546</v>
      </c>
      <c r="CY132" s="58">
        <f si="193" t="shared"/>
        <v>977.00000000000023</v>
      </c>
      <c r="CZ132" s="108">
        <f si="194" t="shared"/>
        <v>-1714.0003712641544</v>
      </c>
      <c r="DA132" s="78">
        <f si="195" t="shared"/>
        <v>-0.63693799137566309</v>
      </c>
    </row>
    <row r="133" spans="26:105" x14ac:dyDescent="0.25">
      <c r="CU133" s="95">
        <v>132</v>
      </c>
      <c r="CV133" s="95">
        <f si="196" t="shared"/>
        <v>7</v>
      </c>
      <c r="CW133" s="95">
        <f si="191" t="shared"/>
        <v>12</v>
      </c>
      <c r="CX133" s="58">
        <f si="192" t="shared"/>
        <v>16261.916094301096</v>
      </c>
      <c r="CY133" s="58">
        <f si="193" t="shared"/>
        <v>19595.000000000004</v>
      </c>
      <c r="CZ133" s="108">
        <f si="194" t="shared"/>
        <v>3333.083905698908</v>
      </c>
      <c r="DA133" s="78">
        <f si="195" t="shared"/>
        <v>0.20496255707941882</v>
      </c>
    </row>
    <row ht="15.75" r="134" spans="26:105" thickBot="1" x14ac:dyDescent="0.3">
      <c r="Z134" s="23" t="s">
        <v>372</v>
      </c>
      <c r="AA134" s="24"/>
      <c r="AB134" s="24"/>
      <c r="AC134" s="24"/>
      <c r="AD134" s="24"/>
      <c r="AE134" s="24"/>
      <c r="AF134" s="24"/>
      <c r="AG134" s="24"/>
      <c r="AH134" s="24"/>
      <c r="AI134" s="24"/>
      <c r="AJ134" s="95"/>
      <c r="AK134" s="95"/>
      <c r="AL134" s="95"/>
      <c r="AM134" s="95"/>
      <c r="AN134" s="95"/>
      <c r="AO134" s="95"/>
      <c r="AP134" s="95"/>
      <c r="AQ134" s="95"/>
      <c r="AR134" s="95"/>
      <c r="AS134" s="95"/>
      <c r="AT134" s="95"/>
      <c r="AU134" s="95"/>
      <c r="AV134" s="95"/>
      <c r="CU134" s="95">
        <v>133</v>
      </c>
      <c r="CV134" s="95">
        <f si="196" t="shared"/>
        <v>7</v>
      </c>
      <c r="CW134" s="95">
        <f si="191" t="shared"/>
        <v>13</v>
      </c>
      <c r="CX134" s="58">
        <f si="192" t="shared"/>
        <v>5605.8344161871173</v>
      </c>
      <c r="CY134" s="58">
        <f si="193" t="shared"/>
        <v>6865.0000000000018</v>
      </c>
      <c r="CZ134" s="108">
        <f si="194" t="shared"/>
        <v>1259.1655838128845</v>
      </c>
      <c r="DA134" s="78">
        <f si="195" t="shared"/>
        <v>0.224616977657596</v>
      </c>
    </row>
    <row r="135" spans="26:105" x14ac:dyDescent="0.25">
      <c r="Z135" s="2" t="s">
        <v>14</v>
      </c>
      <c r="AA135" s="2">
        <v>1</v>
      </c>
      <c r="AB135" s="2">
        <v>2</v>
      </c>
      <c r="AC135" s="2">
        <v>3</v>
      </c>
      <c r="AD135" s="2">
        <v>4</v>
      </c>
      <c r="AE135" s="2">
        <v>5</v>
      </c>
      <c r="AF135" s="2">
        <v>6</v>
      </c>
      <c r="AG135" s="2">
        <v>7</v>
      </c>
      <c r="AH135" s="2">
        <v>8</v>
      </c>
      <c r="AI135" s="2">
        <v>9</v>
      </c>
      <c r="AJ135" s="2">
        <v>10</v>
      </c>
      <c r="AK135" s="2">
        <v>11</v>
      </c>
      <c r="AL135" s="2">
        <v>12</v>
      </c>
      <c r="AM135" s="2">
        <v>13</v>
      </c>
      <c r="AN135" s="2">
        <v>14</v>
      </c>
      <c r="AO135" s="2">
        <v>15</v>
      </c>
      <c r="AP135" s="2">
        <v>16</v>
      </c>
      <c r="AQ135" s="2">
        <v>17</v>
      </c>
      <c r="AR135" s="2">
        <v>18</v>
      </c>
      <c r="AS135" s="2">
        <v>19</v>
      </c>
      <c r="AT135" s="2">
        <v>20</v>
      </c>
      <c r="AU135" s="3" t="s">
        <v>15</v>
      </c>
      <c r="AV135" s="3" t="s">
        <v>3</v>
      </c>
      <c r="CU135" s="95">
        <v>134</v>
      </c>
      <c r="CV135" s="95">
        <f si="196" t="shared"/>
        <v>7</v>
      </c>
      <c r="CW135" s="95">
        <f si="191" t="shared"/>
        <v>14</v>
      </c>
      <c r="CX135" s="58">
        <f si="192" t="shared"/>
        <v>258.80768516799702</v>
      </c>
      <c r="CY135" s="58">
        <f si="193" t="shared"/>
        <v>91.000000000000014</v>
      </c>
      <c r="CZ135" s="108">
        <f si="194" t="shared"/>
        <v>-167.80768516799702</v>
      </c>
      <c r="DA135" s="78">
        <f si="195" t="shared"/>
        <v>-0.64838756646298912</v>
      </c>
    </row>
    <row r="136" spans="26:105" x14ac:dyDescent="0.25">
      <c r="Z136" s="31">
        <v>1</v>
      </c>
      <c r="AA136" s="103">
        <f>ABS(AA110)</f>
        <v>0.13273705261894286</v>
      </c>
      <c r="AB136" s="103">
        <f ref="AB136:AV136" si="197" t="shared">ABS(AB110)</f>
        <v>6.644139118237713E-2</v>
      </c>
      <c r="AC136" s="103">
        <f si="197" t="shared"/>
        <v>2.65943773913811E-2</v>
      </c>
      <c r="AD136" s="103">
        <f si="197" t="shared"/>
        <v>0.71117368125242231</v>
      </c>
      <c r="AE136" s="103">
        <f si="197" t="shared"/>
        <v>0.31198756684931406</v>
      </c>
      <c r="AF136" s="103">
        <f si="197" t="shared"/>
        <v>0.11710394363124864</v>
      </c>
      <c r="AG136" s="103">
        <f si="197" t="shared"/>
        <v>0.38647036936474871</v>
      </c>
      <c r="AH136" s="103">
        <f si="197" t="shared"/>
        <v>0.65816366149497674</v>
      </c>
      <c r="AI136" s="103">
        <f si="197" t="shared"/>
        <v>0.22721106922178727</v>
      </c>
      <c r="AJ136" s="103">
        <f si="197" t="shared"/>
        <v>7.1929573101659872E-2</v>
      </c>
      <c r="AK136" s="103">
        <f si="197" t="shared"/>
        <v>0.15144132624447559</v>
      </c>
      <c r="AL136" s="103">
        <f si="197" t="shared"/>
        <v>0.30308859760482432</v>
      </c>
      <c r="AM136" s="103">
        <f si="197" t="shared"/>
        <v>0.76537548191091487</v>
      </c>
      <c r="AN136" s="103">
        <f si="197" t="shared"/>
        <v>0.43707517329564627</v>
      </c>
      <c r="AO136" s="103">
        <f si="197" t="shared"/>
        <v>0.36287307587877754</v>
      </c>
      <c r="AP136" s="103">
        <f si="197" t="shared"/>
        <v>0.275424282371943</v>
      </c>
      <c r="AQ136" s="103">
        <f si="197" t="shared"/>
        <v>0.23177871996769689</v>
      </c>
      <c r="AR136" s="103">
        <f si="197" t="shared"/>
        <v>0.4401005818328651</v>
      </c>
      <c r="AS136" s="103">
        <f si="197" t="shared"/>
        <v>0.40277395395505605</v>
      </c>
      <c r="AT136" s="103">
        <f si="197" t="shared"/>
        <v>0.52623895385857811</v>
      </c>
      <c r="AU136" s="103">
        <f si="197" t="shared"/>
        <v>0</v>
      </c>
      <c r="AV136" s="103">
        <f si="197" t="shared"/>
        <v>0</v>
      </c>
      <c r="CU136" s="95">
        <v>135</v>
      </c>
      <c r="CV136" s="95">
        <f si="196" t="shared"/>
        <v>7</v>
      </c>
      <c r="CW136" s="95">
        <f si="191" t="shared"/>
        <v>15</v>
      </c>
      <c r="CX136" s="58">
        <f si="192" t="shared"/>
        <v>1630.7881937998886</v>
      </c>
      <c r="CY136" s="58">
        <f si="193" t="shared"/>
        <v>1062.0000000000002</v>
      </c>
      <c r="CZ136" s="108">
        <f si="194" t="shared"/>
        <v>-568.7881937998884</v>
      </c>
      <c r="DA136" s="78">
        <f si="195" t="shared"/>
        <v>-0.34878115745648053</v>
      </c>
    </row>
    <row r="137" spans="26:105" x14ac:dyDescent="0.25">
      <c r="Z137" s="95">
        <v>2</v>
      </c>
      <c r="AA137" s="104">
        <f ref="AA137:AV137" si="198" t="shared">ABS(AA111)</f>
        <v>2.3514829068612696E-2</v>
      </c>
      <c r="AB137" s="104">
        <f si="198" t="shared"/>
        <v>0.33886923773275135</v>
      </c>
      <c r="AC137" s="104">
        <f si="198" t="shared"/>
        <v>8.5637979134175382E-2</v>
      </c>
      <c r="AD137" s="104">
        <f si="198" t="shared"/>
        <v>0.14169812482951008</v>
      </c>
      <c r="AE137" s="104">
        <f si="198" t="shared"/>
        <v>3.1564870535611377E-2</v>
      </c>
      <c r="AF137" s="104">
        <f si="198" t="shared"/>
        <v>7.479722901940257E-2</v>
      </c>
      <c r="AG137" s="104">
        <f si="198" t="shared"/>
        <v>0.10344030890674824</v>
      </c>
      <c r="AH137" s="104">
        <f si="198" t="shared"/>
        <v>9.4515280307629956E-2</v>
      </c>
      <c r="AI137" s="104">
        <f si="198" t="shared"/>
        <v>3.3761250401800058E-2</v>
      </c>
      <c r="AJ137" s="104">
        <f si="198" t="shared"/>
        <v>6.70582012731646E-2</v>
      </c>
      <c r="AK137" s="104">
        <f si="198" t="shared"/>
        <v>0.43424538187674289</v>
      </c>
      <c r="AL137" s="104">
        <f si="198" t="shared"/>
        <v>3.3162467849965085E-2</v>
      </c>
      <c r="AM137" s="104">
        <f si="198" t="shared"/>
        <v>0.74533242258652088</v>
      </c>
      <c r="AN137" s="104">
        <f si="198" t="shared"/>
        <v>0.34496850064807277</v>
      </c>
      <c r="AO137" s="104">
        <f si="198" t="shared"/>
        <v>0.46802772718073266</v>
      </c>
      <c r="AP137" s="104">
        <f si="198" t="shared"/>
        <v>0.44883538801333994</v>
      </c>
      <c r="AQ137" s="104">
        <f si="198" t="shared"/>
        <v>0.57744046414356065</v>
      </c>
      <c r="AR137" s="104">
        <f si="198" t="shared"/>
        <v>0.83934948521586983</v>
      </c>
      <c r="AS137" s="104">
        <f si="198" t="shared"/>
        <v>0.49580964471674854</v>
      </c>
      <c r="AT137" s="104">
        <f si="198" t="shared"/>
        <v>0.72332411342733138</v>
      </c>
      <c r="AU137" s="104">
        <f si="198" t="shared"/>
        <v>0</v>
      </c>
      <c r="AV137" s="104">
        <f si="198" t="shared"/>
        <v>0</v>
      </c>
      <c r="CU137" s="95">
        <v>136</v>
      </c>
      <c r="CV137" s="95">
        <f si="196" t="shared"/>
        <v>7</v>
      </c>
      <c r="CW137" s="95">
        <f si="191" t="shared"/>
        <v>16</v>
      </c>
      <c r="CX137" s="58">
        <f si="192" t="shared"/>
        <v>208.84481158344161</v>
      </c>
      <c r="CY137" s="58">
        <f si="193" t="shared"/>
        <v>113.00000000000003</v>
      </c>
      <c r="CZ137" s="108">
        <f si="194" t="shared"/>
        <v>-95.844811583441583</v>
      </c>
      <c r="DA137" s="78">
        <f si="195" t="shared"/>
        <v>-0.4589283825475734</v>
      </c>
    </row>
    <row r="138" spans="26:105" x14ac:dyDescent="0.25">
      <c r="Z138" s="95">
        <v>3</v>
      </c>
      <c r="AA138" s="104">
        <f ref="AA138:AV138" si="199" t="shared">ABS(AA112)</f>
        <v>8.8278969733775497E-2</v>
      </c>
      <c r="AB138" s="104">
        <f si="199" t="shared"/>
        <v>0.27698619694445331</v>
      </c>
      <c r="AC138" s="104">
        <f si="199" t="shared"/>
        <v>1.5872526077037648E-2</v>
      </c>
      <c r="AD138" s="104">
        <f si="199" t="shared"/>
        <v>0.21790278124789317</v>
      </c>
      <c r="AE138" s="104">
        <f si="199" t="shared"/>
        <v>3.6997378575705973E-2</v>
      </c>
      <c r="AF138" s="104">
        <f si="199" t="shared"/>
        <v>0.10098655075311545</v>
      </c>
      <c r="AG138" s="104">
        <f si="199" t="shared"/>
        <v>0.31961755211318765</v>
      </c>
      <c r="AH138" s="104">
        <f si="199" t="shared"/>
        <v>0.41756678980618916</v>
      </c>
      <c r="AI138" s="104">
        <f si="199" t="shared"/>
        <v>5.6568718410897119E-2</v>
      </c>
      <c r="AJ138" s="104">
        <f si="199" t="shared"/>
        <v>8.5729200128494137E-3</v>
      </c>
      <c r="AK138" s="104">
        <f si="199" t="shared"/>
        <v>0.15890122833585729</v>
      </c>
      <c r="AL138" s="104">
        <f si="199" t="shared"/>
        <v>0.15472024581760438</v>
      </c>
      <c r="AM138" s="104">
        <f si="199" t="shared"/>
        <v>0.78231121580944907</v>
      </c>
      <c r="AN138" s="104">
        <f si="199" t="shared"/>
        <v>0.40881897975986731</v>
      </c>
      <c r="AO138" s="104">
        <f si="199" t="shared"/>
        <v>0.66531804569634545</v>
      </c>
      <c r="AP138" s="104">
        <f si="199" t="shared"/>
        <v>0.46227683797307084</v>
      </c>
      <c r="AQ138" s="104">
        <f si="199" t="shared"/>
        <v>0.17409130631517508</v>
      </c>
      <c r="AR138" s="104">
        <f si="199" t="shared"/>
        <v>0.85528643323696329</v>
      </c>
      <c r="AS138" s="104">
        <f si="199" t="shared"/>
        <v>0.24613672621008126</v>
      </c>
      <c r="AT138" s="104">
        <f si="199" t="shared"/>
        <v>0.83452710661191221</v>
      </c>
      <c r="AU138" s="104">
        <f si="199" t="shared"/>
        <v>0</v>
      </c>
      <c r="AV138" s="104">
        <f si="199" t="shared"/>
        <v>0</v>
      </c>
      <c r="CU138" s="95">
        <v>137</v>
      </c>
      <c r="CV138" s="95">
        <f si="196" t="shared"/>
        <v>7</v>
      </c>
      <c r="CW138" s="95">
        <f si="191" t="shared"/>
        <v>17</v>
      </c>
      <c r="CX138" s="58">
        <f si="192" t="shared"/>
        <v>197.85297939483942</v>
      </c>
      <c r="CY138" s="58">
        <f si="193" t="shared"/>
        <v>72.000000000000014</v>
      </c>
      <c r="CZ138" s="108">
        <f si="194" t="shared"/>
        <v>-125.85297939483941</v>
      </c>
      <c r="DA138" s="78">
        <f si="195" t="shared"/>
        <v>-0.6360934254302264</v>
      </c>
    </row>
    <row r="139" spans="26:105" x14ac:dyDescent="0.25">
      <c r="Z139" s="95">
        <v>4</v>
      </c>
      <c r="AA139" s="104">
        <f ref="AA139:AV139" si="200" t="shared">ABS(AA113)</f>
        <v>0.2002212941271688</v>
      </c>
      <c r="AB139" s="104">
        <f si="200" t="shared"/>
        <v>7.5301451890738133E-3</v>
      </c>
      <c r="AC139" s="104">
        <f si="200" t="shared"/>
        <v>3.9890392860856376E-2</v>
      </c>
      <c r="AD139" s="104">
        <f si="200" t="shared"/>
        <v>0.3291833962928139</v>
      </c>
      <c r="AE139" s="104">
        <f si="200" t="shared"/>
        <v>6.9787697332607507E-2</v>
      </c>
      <c r="AF139" s="104">
        <f si="200" t="shared"/>
        <v>0.23075150832569685</v>
      </c>
      <c r="AG139" s="104">
        <f si="200" t="shared"/>
        <v>0.51642025040827433</v>
      </c>
      <c r="AH139" s="104">
        <f si="200" t="shared"/>
        <v>0.41549628016693885</v>
      </c>
      <c r="AI139" s="104">
        <f si="200" t="shared"/>
        <v>0.26120329134144016</v>
      </c>
      <c r="AJ139" s="104">
        <f si="200" t="shared"/>
        <v>0.27626839400533393</v>
      </c>
      <c r="AK139" s="104">
        <f si="200" t="shared"/>
        <v>5.0706419329173878E-2</v>
      </c>
      <c r="AL139" s="104">
        <f si="200" t="shared"/>
        <v>0.17712735482834635</v>
      </c>
      <c r="AM139" s="104">
        <f si="200" t="shared"/>
        <v>0.77476408512002293</v>
      </c>
      <c r="AN139" s="104">
        <f si="200" t="shared"/>
        <v>0.11931615883711692</v>
      </c>
      <c r="AO139" s="104">
        <f si="200" t="shared"/>
        <v>0.68095731304888207</v>
      </c>
      <c r="AP139" s="104">
        <f si="200" t="shared"/>
        <v>4.6706586826347221E-2</v>
      </c>
      <c r="AQ139" s="104">
        <f si="200" t="shared"/>
        <v>2.5626388500640005E-2</v>
      </c>
      <c r="AR139" s="104">
        <f si="200" t="shared"/>
        <v>0.77569566748855234</v>
      </c>
      <c r="AS139" s="104">
        <f si="200" t="shared"/>
        <v>0.3355833786971511</v>
      </c>
      <c r="AT139" s="104">
        <f si="200" t="shared"/>
        <v>0.59557249138087454</v>
      </c>
      <c r="AU139" s="104">
        <f si="200" t="shared"/>
        <v>0</v>
      </c>
      <c r="AV139" s="104">
        <f si="200" t="shared"/>
        <v>0</v>
      </c>
      <c r="CU139" s="95">
        <v>138</v>
      </c>
      <c r="CV139" s="95">
        <f si="196" t="shared"/>
        <v>7</v>
      </c>
      <c r="CW139" s="95">
        <f si="191" t="shared"/>
        <v>18</v>
      </c>
      <c r="CX139" s="58">
        <f si="192" t="shared"/>
        <v>758.43642101355113</v>
      </c>
      <c r="CY139" s="58">
        <f si="193" t="shared"/>
        <v>297.00000000000006</v>
      </c>
      <c r="CZ139" s="108">
        <f si="194" t="shared"/>
        <v>-461.43642101355107</v>
      </c>
      <c r="DA139" s="78">
        <f si="195" t="shared"/>
        <v>-0.60840488171296103</v>
      </c>
    </row>
    <row r="140" spans="26:105" x14ac:dyDescent="0.25">
      <c r="Z140" s="95">
        <v>5</v>
      </c>
      <c r="AA140" s="104">
        <f ref="AA140:AV140" si="201" t="shared">ABS(AA114)</f>
        <v>9.5662671008768671E-2</v>
      </c>
      <c r="AB140" s="104">
        <f si="201" t="shared"/>
        <v>4.6057175728977745E-2</v>
      </c>
      <c r="AC140" s="104">
        <f si="201" t="shared"/>
        <v>0.26287617590031381</v>
      </c>
      <c r="AD140" s="104">
        <f si="201" t="shared"/>
        <v>6.7237294966699196E-2</v>
      </c>
      <c r="AE140" s="104">
        <f si="201" t="shared"/>
        <v>0.23335967793372359</v>
      </c>
      <c r="AF140" s="104">
        <f si="201" t="shared"/>
        <v>0.49036335371741718</v>
      </c>
      <c r="AG140" s="104">
        <f si="201" t="shared"/>
        <v>0.41683238066749456</v>
      </c>
      <c r="AH140" s="104">
        <f si="201" t="shared"/>
        <v>0.29113384812394005</v>
      </c>
      <c r="AI140" s="104">
        <f si="201" t="shared"/>
        <v>0.30275115461591051</v>
      </c>
      <c r="AJ140" s="104">
        <f si="201" t="shared"/>
        <v>0.35177009362287831</v>
      </c>
      <c r="AK140" s="104">
        <f si="201" t="shared"/>
        <v>0.3853980551868848</v>
      </c>
      <c r="AL140" s="104">
        <f si="201" t="shared"/>
        <v>0.31172463473349299</v>
      </c>
      <c r="AM140" s="104">
        <f si="201" t="shared"/>
        <v>0.83299339163428077</v>
      </c>
      <c r="AN140" s="104">
        <f si="201" t="shared"/>
        <v>0.36802395854986097</v>
      </c>
      <c r="AO140" s="104">
        <f si="201" t="shared"/>
        <v>0.70045694723524599</v>
      </c>
      <c r="AP140" s="104">
        <f si="201" t="shared"/>
        <v>8.2202822209861012E-2</v>
      </c>
      <c r="AQ140" s="104">
        <f si="201" t="shared"/>
        <v>0.76351864255414148</v>
      </c>
      <c r="AR140" s="104">
        <f si="201" t="shared"/>
        <v>0.78716677829872739</v>
      </c>
      <c r="AS140" s="104">
        <f si="201" t="shared"/>
        <v>0.11820510782900223</v>
      </c>
      <c r="AT140" s="104">
        <f si="201" t="shared"/>
        <v>0.40879660638535381</v>
      </c>
      <c r="AU140" s="104">
        <f si="201" t="shared"/>
        <v>0</v>
      </c>
      <c r="AV140" s="104">
        <f si="201" t="shared"/>
        <v>0</v>
      </c>
      <c r="CU140" s="95">
        <v>139</v>
      </c>
      <c r="CV140" s="95">
        <f si="196" t="shared"/>
        <v>7</v>
      </c>
      <c r="CW140" s="95">
        <f si="191" t="shared"/>
        <v>19</v>
      </c>
      <c r="CX140" s="58">
        <f si="192" t="shared"/>
        <v>474.64729905327641</v>
      </c>
      <c r="CY140" s="58">
        <f si="193" t="shared"/>
        <v>162.00000000000003</v>
      </c>
      <c r="CZ140" s="108">
        <f si="194" t="shared"/>
        <v>-312.64729905327636</v>
      </c>
      <c r="DA140" s="78">
        <f si="195" t="shared"/>
        <v>-0.65869393900877016</v>
      </c>
    </row>
    <row r="141" spans="26:105" x14ac:dyDescent="0.25">
      <c r="Z141" s="95">
        <v>6</v>
      </c>
      <c r="AA141" s="104">
        <f ref="AA141:AV141" si="202" t="shared">ABS(AA115)</f>
        <v>7.7853080881730916E-2</v>
      </c>
      <c r="AB141" s="104">
        <f si="202" t="shared"/>
        <v>0.45409767437799492</v>
      </c>
      <c r="AC141" s="104">
        <f si="202" t="shared"/>
        <v>9.7104510029251065E-2</v>
      </c>
      <c r="AD141" s="104">
        <f si="202" t="shared"/>
        <v>0.21819078329362826</v>
      </c>
      <c r="AE141" s="104">
        <f si="202" t="shared"/>
        <v>0.30229079424153593</v>
      </c>
      <c r="AF141" s="104">
        <f si="202" t="shared"/>
        <v>0.27527187421441834</v>
      </c>
      <c r="AG141" s="104">
        <f si="202" t="shared"/>
        <v>0.39226257430638761</v>
      </c>
      <c r="AH141" s="104">
        <f si="202" t="shared"/>
        <v>1.3952595810008794</v>
      </c>
      <c r="AI141" s="104">
        <f si="202" t="shared"/>
        <v>0.22056570189795724</v>
      </c>
      <c r="AJ141" s="104">
        <f si="202" t="shared"/>
        <v>0.1249019301456909</v>
      </c>
      <c r="AK141" s="104">
        <f si="202" t="shared"/>
        <v>0.28793758514090961</v>
      </c>
      <c r="AL141" s="104">
        <f si="202" t="shared"/>
        <v>0.24154408619394005</v>
      </c>
      <c r="AM141" s="104">
        <f si="202" t="shared"/>
        <v>0.87208777431347584</v>
      </c>
      <c r="AN141" s="104">
        <f si="202" t="shared"/>
        <v>0.52855208246966823</v>
      </c>
      <c r="AO141" s="104">
        <f si="202" t="shared"/>
        <v>0.69124499879531942</v>
      </c>
      <c r="AP141" s="104">
        <f si="202" t="shared"/>
        <v>0.39931745595367807</v>
      </c>
      <c r="AQ141" s="104">
        <f si="202" t="shared"/>
        <v>0.41872614713589762</v>
      </c>
      <c r="AR141" s="104">
        <f si="202" t="shared"/>
        <v>0.88950439432882844</v>
      </c>
      <c r="AS141" s="104">
        <f si="202" t="shared"/>
        <v>0.64080158664355669</v>
      </c>
      <c r="AT141" s="104">
        <f si="202" t="shared"/>
        <v>0.58748307216095974</v>
      </c>
      <c r="AU141" s="104">
        <f si="202" t="shared"/>
        <v>0</v>
      </c>
      <c r="AV141" s="104">
        <f si="202" t="shared"/>
        <v>0</v>
      </c>
      <c r="CU141" s="95">
        <v>140</v>
      </c>
      <c r="CV141" s="95">
        <f si="196" t="shared"/>
        <v>7</v>
      </c>
      <c r="CW141" s="95">
        <f si="191" t="shared"/>
        <v>20</v>
      </c>
      <c r="CX141" s="58">
        <f si="192" t="shared"/>
        <v>296.77946909225915</v>
      </c>
      <c r="CY141" s="58">
        <f si="193" t="shared"/>
        <v>49.000000000000014</v>
      </c>
      <c r="CZ141" s="108">
        <f si="194" t="shared"/>
        <v>-247.77946909225915</v>
      </c>
      <c r="DA141" s="78">
        <f si="195" t="shared"/>
        <v>-0.83489423931556572</v>
      </c>
    </row>
    <row r="142" spans="26:105" x14ac:dyDescent="0.25">
      <c r="Z142" s="95">
        <v>7</v>
      </c>
      <c r="AA142" s="104">
        <f ref="AA142:AV142" si="203" t="shared">ABS(AA116)</f>
        <v>6.5947935085776482E-2</v>
      </c>
      <c r="AB142" s="104">
        <f si="203" t="shared"/>
        <v>3.1815023486144178E-2</v>
      </c>
      <c r="AC142" s="104">
        <f si="203" t="shared"/>
        <v>0.27578912739894879</v>
      </c>
      <c r="AD142" s="104">
        <f si="203" t="shared"/>
        <v>0.31910959865038219</v>
      </c>
      <c r="AE142" s="104">
        <f si="203" t="shared"/>
        <v>0.27102048363426762</v>
      </c>
      <c r="AF142" s="104">
        <f si="203" t="shared"/>
        <v>0.12699911280797449</v>
      </c>
      <c r="AG142" s="104">
        <f si="203" t="shared"/>
        <v>0.1761074468527199</v>
      </c>
      <c r="AH142" s="104">
        <f si="203" t="shared"/>
        <v>0.20000478329983154</v>
      </c>
      <c r="AI142" s="104">
        <f si="203" t="shared"/>
        <v>3.0066355850330656E-2</v>
      </c>
      <c r="AJ142" s="104">
        <f si="203" t="shared"/>
        <v>0.26366215767736673</v>
      </c>
      <c r="AK142" s="104">
        <f si="203" t="shared"/>
        <v>0.63693799137566309</v>
      </c>
      <c r="AL142" s="104">
        <f si="203" t="shared"/>
        <v>0.20496255707941882</v>
      </c>
      <c r="AM142" s="104">
        <f si="203" t="shared"/>
        <v>0.224616977657596</v>
      </c>
      <c r="AN142" s="104">
        <f si="203" t="shared"/>
        <v>0.64838756646298912</v>
      </c>
      <c r="AO142" s="104">
        <f si="203" t="shared"/>
        <v>0.34878115745648053</v>
      </c>
      <c r="AP142" s="104">
        <f si="203" t="shared"/>
        <v>0.4589283825475734</v>
      </c>
      <c r="AQ142" s="104">
        <f si="203" t="shared"/>
        <v>0.6360934254302264</v>
      </c>
      <c r="AR142" s="104">
        <f si="203" t="shared"/>
        <v>0.60840488171296103</v>
      </c>
      <c r="AS142" s="104">
        <f si="203" t="shared"/>
        <v>0.65869393900877016</v>
      </c>
      <c r="AT142" s="104">
        <f si="203" t="shared"/>
        <v>0.83489423931556572</v>
      </c>
      <c r="AU142" s="104">
        <f si="203" t="shared"/>
        <v>0</v>
      </c>
      <c r="AV142" s="104">
        <f si="203" t="shared"/>
        <v>0</v>
      </c>
      <c r="CU142" s="95">
        <v>141</v>
      </c>
      <c r="CV142" s="95">
        <f si="196" t="shared"/>
        <v>8</v>
      </c>
      <c r="CW142" s="95">
        <f si="191" t="shared"/>
        <v>1</v>
      </c>
      <c r="CX142" s="58">
        <f si="192" t="shared"/>
        <v>438.98548567175288</v>
      </c>
      <c r="CY142" s="58">
        <f si="193" t="shared"/>
        <v>520.00000000000011</v>
      </c>
      <c r="CZ142" s="108">
        <f si="194" t="shared"/>
        <v>81.01451432824723</v>
      </c>
      <c r="DA142" s="78">
        <f si="195" t="shared"/>
        <v>0.18454941443969528</v>
      </c>
    </row>
    <row r="143" spans="26:105" x14ac:dyDescent="0.25">
      <c r="Z143" s="95">
        <v>8</v>
      </c>
      <c r="AA143" s="104">
        <f ref="AA143:AV143" si="204" t="shared">ABS(AA117)</f>
        <v>0.18454941443969528</v>
      </c>
      <c r="AB143" s="104">
        <f si="204" t="shared"/>
        <v>6.9272741556502787E-2</v>
      </c>
      <c r="AC143" s="104">
        <f si="204" t="shared"/>
        <v>0.45268149860153423</v>
      </c>
      <c r="AD143" s="104">
        <f si="204" t="shared"/>
        <v>0.2750856828160626</v>
      </c>
      <c r="AE143" s="104">
        <f si="204" t="shared"/>
        <v>9.2258216569223363E-3</v>
      </c>
      <c r="AF143" s="104">
        <f si="204" t="shared"/>
        <v>9.7986187999871396E-2</v>
      </c>
      <c r="AG143" s="104">
        <f si="204" t="shared"/>
        <v>0.4722680493361614</v>
      </c>
      <c r="AH143" s="104">
        <f si="204" t="shared"/>
        <v>9.2467259645808222E-2</v>
      </c>
      <c r="AI143" s="104">
        <f si="204" t="shared"/>
        <v>0.33299677714913661</v>
      </c>
      <c r="AJ143" s="104">
        <f si="204" t="shared"/>
        <v>0.11755001317048175</v>
      </c>
      <c r="AK143" s="104">
        <f si="204" t="shared"/>
        <v>0.30587329698635007</v>
      </c>
      <c r="AL143" s="104">
        <f si="204" t="shared"/>
        <v>0.18025136539841866</v>
      </c>
      <c r="AM143" s="104">
        <f si="204" t="shared"/>
        <v>0.83112577578757163</v>
      </c>
      <c r="AN143" s="104">
        <f si="204" t="shared"/>
        <v>0.19742942948548911</v>
      </c>
      <c r="AO143" s="104">
        <f si="204" t="shared"/>
        <v>0.67163345292027821</v>
      </c>
      <c r="AP143" s="104">
        <f si="204" t="shared"/>
        <v>0.15562887893785832</v>
      </c>
      <c r="AQ143" s="104">
        <f si="204" t="shared"/>
        <v>0.48368068415204901</v>
      </c>
      <c r="AR143" s="104">
        <f si="204" t="shared"/>
        <v>0.92084020740042427</v>
      </c>
      <c r="AS143" s="104">
        <f si="204" t="shared"/>
        <v>0.36994906376408704</v>
      </c>
      <c r="AT143" s="104">
        <f si="204" t="shared"/>
        <v>1</v>
      </c>
      <c r="AU143" s="104">
        <f si="204" t="shared"/>
        <v>0</v>
      </c>
      <c r="AV143" s="104">
        <f si="204" t="shared"/>
        <v>0</v>
      </c>
      <c r="CU143" s="95">
        <v>142</v>
      </c>
      <c r="CV143" s="95">
        <f si="196" t="shared"/>
        <v>8</v>
      </c>
      <c r="CW143" s="95">
        <f si="191" t="shared"/>
        <v>2</v>
      </c>
      <c r="CX143" s="58">
        <f si="192" t="shared"/>
        <v>312.65872720506138</v>
      </c>
      <c r="CY143" s="58">
        <f si="193" t="shared"/>
        <v>291.00000000000006</v>
      </c>
      <c r="CZ143" s="108">
        <f si="194" t="shared"/>
        <v>-21.658727205061325</v>
      </c>
      <c r="DA143" s="78">
        <f si="195" t="shared"/>
        <v>-6.9272741556502787E-2</v>
      </c>
    </row>
    <row r="144" spans="26:105" x14ac:dyDescent="0.25">
      <c r="Z144" s="95">
        <v>9</v>
      </c>
      <c r="AA144" s="104">
        <f ref="AA144:AV144" si="205" t="shared">ABS(AA118)</f>
        <v>1.7938581707029409E-2</v>
      </c>
      <c r="AB144" s="104">
        <f si="205" t="shared"/>
        <v>0.19122162810111079</v>
      </c>
      <c r="AC144" s="104">
        <f si="205" t="shared"/>
        <v>0.12203117467459404</v>
      </c>
      <c r="AD144" s="104">
        <f si="205" t="shared"/>
        <v>0.11407959301164269</v>
      </c>
      <c r="AE144" s="104">
        <f si="205" t="shared"/>
        <v>7.5250123219113937E-2</v>
      </c>
      <c r="AF144" s="104">
        <f si="205" t="shared"/>
        <v>3.8946783817965562E-2</v>
      </c>
      <c r="AG144" s="104">
        <f si="205" t="shared"/>
        <v>6.72660405791876E-2</v>
      </c>
      <c r="AH144" s="104">
        <f si="205" t="shared"/>
        <v>0.16517267113351497</v>
      </c>
      <c r="AI144" s="104">
        <f si="205" t="shared"/>
        <v>0.38503411229437229</v>
      </c>
      <c r="AJ144" s="104">
        <f si="205" t="shared"/>
        <v>0.18440809268851807</v>
      </c>
      <c r="AK144" s="104">
        <f si="205" t="shared"/>
        <v>8.6326062825508726E-2</v>
      </c>
      <c r="AL144" s="104">
        <f si="205" t="shared"/>
        <v>0.1939429105537622</v>
      </c>
      <c r="AM144" s="104">
        <f si="205" t="shared"/>
        <v>0.45411613602940432</v>
      </c>
      <c r="AN144" s="104">
        <f si="205" t="shared"/>
        <v>0.50706609962347082</v>
      </c>
      <c r="AO144" s="104">
        <f si="205" t="shared"/>
        <v>0.16122108738490304</v>
      </c>
      <c r="AP144" s="104">
        <f si="205" t="shared"/>
        <v>0.40165315156500953</v>
      </c>
      <c r="AQ144" s="104">
        <f si="205" t="shared"/>
        <v>0.50665222778568264</v>
      </c>
      <c r="AR144" s="104">
        <f si="205" t="shared"/>
        <v>0.79865153671711431</v>
      </c>
      <c r="AS144" s="104">
        <f si="205" t="shared"/>
        <v>0.43001364189520636</v>
      </c>
      <c r="AT144" s="104">
        <f si="205" t="shared"/>
        <v>0.91752864687758928</v>
      </c>
      <c r="AU144" s="104">
        <f si="205" t="shared"/>
        <v>0</v>
      </c>
      <c r="AV144" s="104">
        <f si="205" t="shared"/>
        <v>0</v>
      </c>
      <c r="CU144" s="95">
        <v>143</v>
      </c>
      <c r="CV144" s="95">
        <f si="196" t="shared"/>
        <v>8</v>
      </c>
      <c r="CW144" s="95">
        <f si="191" t="shared"/>
        <v>3</v>
      </c>
      <c r="CX144" s="58">
        <f si="192" t="shared"/>
        <v>220.28228507629325</v>
      </c>
      <c r="CY144" s="58">
        <f si="193" t="shared"/>
        <v>320.00000000000006</v>
      </c>
      <c r="CZ144" s="108">
        <f si="194" t="shared"/>
        <v>99.717714923706808</v>
      </c>
      <c r="DA144" s="78">
        <f si="195" t="shared"/>
        <v>0.45268149860153423</v>
      </c>
    </row>
    <row r="145" spans="26:105" x14ac:dyDescent="0.25">
      <c r="Z145" s="95">
        <v>10</v>
      </c>
      <c r="AA145" s="104">
        <f ref="AA145:AV145" si="206" t="shared">ABS(AA119)</f>
        <v>2.1180550862727975E-2</v>
      </c>
      <c r="AB145" s="104">
        <f si="206" t="shared"/>
        <v>0.26170465145049349</v>
      </c>
      <c r="AC145" s="104">
        <f si="206" t="shared"/>
        <v>0.11593644129462428</v>
      </c>
      <c r="AD145" s="104">
        <f si="206" t="shared"/>
        <v>0.35078792261852959</v>
      </c>
      <c r="AE145" s="104">
        <f si="206" t="shared"/>
        <v>0.10365032320630778</v>
      </c>
      <c r="AF145" s="104">
        <f si="206" t="shared"/>
        <v>6.7975307628252435E-2</v>
      </c>
      <c r="AG145" s="104">
        <f si="206" t="shared"/>
        <v>0.39578510512411996</v>
      </c>
      <c r="AH145" s="104">
        <f si="206" t="shared"/>
        <v>0.21138203407817435</v>
      </c>
      <c r="AI145" s="104">
        <f si="206" t="shared"/>
        <v>0.4268069843896643</v>
      </c>
      <c r="AJ145" s="104">
        <f si="206" t="shared"/>
        <v>0.22599620324912886</v>
      </c>
      <c r="AK145" s="104">
        <f si="206" t="shared"/>
        <v>0.38825540940586728</v>
      </c>
      <c r="AL145" s="104">
        <f si="206" t="shared"/>
        <v>5.4010629446253559E-2</v>
      </c>
      <c r="AM145" s="104">
        <f si="206" t="shared"/>
        <v>0.80444191418080713</v>
      </c>
      <c r="AN145" s="104">
        <f si="206" t="shared"/>
        <v>0.7071607803571418</v>
      </c>
      <c r="AO145" s="104">
        <f si="206" t="shared"/>
        <v>0.75089587263257029</v>
      </c>
      <c r="AP145" s="104">
        <f si="206" t="shared"/>
        <v>3.8436442533540331E-2</v>
      </c>
      <c r="AQ145" s="104">
        <f si="206" t="shared"/>
        <v>0.57273023266394818</v>
      </c>
      <c r="AR145" s="104">
        <f si="206" t="shared"/>
        <v>0.56103653376843521</v>
      </c>
      <c r="AS145" s="104">
        <f si="206" t="shared"/>
        <v>0.58582317758114655</v>
      </c>
      <c r="AT145" s="104">
        <f si="206" t="shared"/>
        <v>0.80858314423344879</v>
      </c>
      <c r="AU145" s="104">
        <f si="206" t="shared"/>
        <v>0</v>
      </c>
      <c r="AV145" s="104">
        <f si="206" t="shared"/>
        <v>0</v>
      </c>
      <c r="CU145" s="95">
        <v>144</v>
      </c>
      <c r="CV145" s="95">
        <f si="196" t="shared"/>
        <v>8</v>
      </c>
      <c r="CW145" s="95">
        <f si="191" t="shared"/>
        <v>4</v>
      </c>
      <c r="CX145" s="58">
        <f si="192" t="shared"/>
        <v>234.49404540379604</v>
      </c>
      <c r="CY145" s="58">
        <f si="193" t="shared"/>
        <v>299.00000000000006</v>
      </c>
      <c r="CZ145" s="108">
        <f si="194" t="shared"/>
        <v>64.50595459620402</v>
      </c>
      <c r="DA145" s="78">
        <f si="195" t="shared"/>
        <v>0.2750856828160626</v>
      </c>
    </row>
    <row r="146" spans="26:105" x14ac:dyDescent="0.25">
      <c r="Z146" s="95">
        <v>11</v>
      </c>
      <c r="AA146" s="104">
        <f ref="AA146:AV146" si="207" t="shared">ABS(AA120)</f>
        <v>0.14882557635529103</v>
      </c>
      <c r="AB146" s="104">
        <f si="207" t="shared"/>
        <v>4.7581364380350696E-2</v>
      </c>
      <c r="AC146" s="104">
        <f si="207" t="shared"/>
        <v>0.32364358973605256</v>
      </c>
      <c r="AD146" s="104">
        <f si="207" t="shared"/>
        <v>0.13457227835741337</v>
      </c>
      <c r="AE146" s="104">
        <f si="207" t="shared"/>
        <v>5.3730396907459826E-3</v>
      </c>
      <c r="AF146" s="104">
        <f si="207" t="shared"/>
        <v>2.8153596215107091E-2</v>
      </c>
      <c r="AG146" s="104">
        <f si="207" t="shared"/>
        <v>0.46492830645831212</v>
      </c>
      <c r="AH146" s="104">
        <f si="207" t="shared"/>
        <v>6.9756774065902583E-2</v>
      </c>
      <c r="AI146" s="104">
        <f si="207" t="shared"/>
        <v>2.3105728349659238E-2</v>
      </c>
      <c r="AJ146" s="104">
        <f si="207" t="shared"/>
        <v>5.8340037985886745E-2</v>
      </c>
      <c r="AK146" s="104">
        <f si="207" t="shared"/>
        <v>0.38929594321234462</v>
      </c>
      <c r="AL146" s="104">
        <f si="207" t="shared"/>
        <v>0.34155070651017244</v>
      </c>
      <c r="AM146" s="104">
        <f si="207" t="shared"/>
        <v>0.84668850736641776</v>
      </c>
      <c r="AN146" s="104">
        <f si="207" t="shared"/>
        <v>5.0142154993596706E-2</v>
      </c>
      <c r="AO146" s="104">
        <f si="207" t="shared"/>
        <v>0.42514837689347718</v>
      </c>
      <c r="AP146" s="104">
        <f si="207" t="shared"/>
        <v>0.40252764734068031</v>
      </c>
      <c r="AQ146" s="104">
        <f si="207" t="shared"/>
        <v>0.22080733191365642</v>
      </c>
      <c r="AR146" s="104">
        <f si="207" t="shared"/>
        <v>0.89253422085238088</v>
      </c>
      <c r="AS146" s="104">
        <f si="207" t="shared"/>
        <v>0.17735226073666679</v>
      </c>
      <c r="AT146" s="104">
        <f si="207" t="shared"/>
        <v>0.91932279188628019</v>
      </c>
      <c r="AU146" s="104">
        <f si="207" t="shared"/>
        <v>0</v>
      </c>
      <c r="AV146" s="104">
        <f si="207" t="shared"/>
        <v>0</v>
      </c>
      <c r="CU146" s="95">
        <v>145</v>
      </c>
      <c r="CV146" s="95">
        <f si="196" t="shared"/>
        <v>8</v>
      </c>
      <c r="CW146" s="95">
        <f si="191" t="shared"/>
        <v>5</v>
      </c>
      <c r="CX146" s="58">
        <f si="192" t="shared"/>
        <v>195.8064756233718</v>
      </c>
      <c r="CY146" s="58">
        <f si="193" t="shared"/>
        <v>194.00000000000006</v>
      </c>
      <c r="CZ146" s="108">
        <f si="194" t="shared"/>
        <v>-1.8064756233717389</v>
      </c>
      <c r="DA146" s="78">
        <f si="195" t="shared"/>
        <v>-9.2258216569223363E-3</v>
      </c>
    </row>
    <row r="147" spans="26:105" x14ac:dyDescent="0.25">
      <c r="Z147" s="95">
        <v>12</v>
      </c>
      <c r="AA147" s="104">
        <f ref="AA147:AV147" si="208" t="shared">ABS(AA121)</f>
        <v>2.9958201942929249E-2</v>
      </c>
      <c r="AB147" s="104">
        <f si="208" t="shared"/>
        <v>0.29616532729136069</v>
      </c>
      <c r="AC147" s="104">
        <f si="208" t="shared"/>
        <v>3.3534586636015007E-3</v>
      </c>
      <c r="AD147" s="104">
        <f si="208" t="shared"/>
        <v>0.16823833195475416</v>
      </c>
      <c r="AE147" s="104">
        <f si="208" t="shared"/>
        <v>0.10750636111379343</v>
      </c>
      <c r="AF147" s="104">
        <f si="208" t="shared"/>
        <v>1.7792156884138721E-2</v>
      </c>
      <c r="AG147" s="104">
        <f si="208" t="shared"/>
        <v>0.13415382304753665</v>
      </c>
      <c r="AH147" s="104">
        <f si="208" t="shared"/>
        <v>0.52456713913265729</v>
      </c>
      <c r="AI147" s="104">
        <f si="208" t="shared"/>
        <v>0.23512506647835882</v>
      </c>
      <c r="AJ147" s="104">
        <f si="208" t="shared"/>
        <v>0.28566154528904369</v>
      </c>
      <c r="AK147" s="104">
        <f si="208" t="shared"/>
        <v>0.49870736805438298</v>
      </c>
      <c r="AL147" s="104">
        <f si="208" t="shared"/>
        <v>2.0282826944071075E-2</v>
      </c>
      <c r="AM147" s="104">
        <f si="208" t="shared"/>
        <v>0.28566543690491375</v>
      </c>
      <c r="AN147" s="104">
        <f si="208" t="shared"/>
        <v>0.65075741030846923</v>
      </c>
      <c r="AO147" s="104">
        <f si="208" t="shared"/>
        <v>0.57254848249035206</v>
      </c>
      <c r="AP147" s="104">
        <f si="208" t="shared"/>
        <v>0.57240601008352054</v>
      </c>
      <c r="AQ147" s="104">
        <f si="208" t="shared"/>
        <v>0.32085949553656118</v>
      </c>
      <c r="AR147" s="104">
        <f si="208" t="shared"/>
        <v>0.23593231154611408</v>
      </c>
      <c r="AS147" s="104">
        <f si="208" t="shared"/>
        <v>0.60869321281882305</v>
      </c>
      <c r="AT147" s="104">
        <f si="208" t="shared"/>
        <v>0.72133029902911561</v>
      </c>
      <c r="AU147" s="104">
        <f si="208" t="shared"/>
        <v>0</v>
      </c>
      <c r="AV147" s="104">
        <f si="208" t="shared"/>
        <v>0</v>
      </c>
      <c r="CU147" s="95">
        <v>146</v>
      </c>
      <c r="CV147" s="95">
        <f si="196" t="shared"/>
        <v>8</v>
      </c>
      <c r="CW147" s="95">
        <f si="191" t="shared"/>
        <v>6</v>
      </c>
      <c r="CX147" s="58">
        <f si="192" t="shared"/>
        <v>877.97097134350577</v>
      </c>
      <c r="CY147" s="58">
        <f si="193" t="shared"/>
        <v>964.00000000000023</v>
      </c>
      <c r="CZ147" s="108">
        <f si="194" t="shared"/>
        <v>86.029028656494461</v>
      </c>
      <c r="DA147" s="78">
        <f si="195" t="shared"/>
        <v>9.7986187999871396E-2</v>
      </c>
    </row>
    <row r="148" spans="26:105" x14ac:dyDescent="0.25">
      <c r="Z148" s="95">
        <v>13</v>
      </c>
      <c r="AA148" s="104">
        <f ref="AA148:AV148" si="209" t="shared">ABS(AA122)</f>
        <v>0.3343561678180571</v>
      </c>
      <c r="AB148" s="104">
        <f si="209" t="shared"/>
        <v>0.33967886146662507</v>
      </c>
      <c r="AC148" s="104">
        <f si="209" t="shared"/>
        <v>0.48834139921320374</v>
      </c>
      <c r="AD148" s="104">
        <f si="209" t="shared"/>
        <v>0.55496601149687297</v>
      </c>
      <c r="AE148" s="104">
        <f si="209" t="shared"/>
        <v>0.38337794223361571</v>
      </c>
      <c r="AF148" s="104">
        <f si="209" t="shared"/>
        <v>0.41264436823403378</v>
      </c>
      <c r="AG148" s="104">
        <f si="209" t="shared"/>
        <v>0.23573420028121234</v>
      </c>
      <c r="AH148" s="104">
        <f si="209" t="shared"/>
        <v>0.59177219423224536</v>
      </c>
      <c r="AI148" s="104">
        <f si="209" t="shared"/>
        <v>0.26330131573519205</v>
      </c>
      <c r="AJ148" s="104">
        <f si="209" t="shared"/>
        <v>0.67044397922268151</v>
      </c>
      <c r="AK148" s="104">
        <f si="209" t="shared"/>
        <v>0.74922608879794306</v>
      </c>
      <c r="AL148" s="104">
        <f si="209" t="shared"/>
        <v>0.11358834247073539</v>
      </c>
      <c r="AM148" s="104">
        <f si="209" t="shared"/>
        <v>0.1004603410896108</v>
      </c>
      <c r="AN148" s="104">
        <f si="209" t="shared"/>
        <v>0.90374825436339634</v>
      </c>
      <c r="AO148" s="104">
        <f si="209" t="shared"/>
        <v>0.29880731237725128</v>
      </c>
      <c r="AP148" s="104">
        <f si="209" t="shared"/>
        <v>0.41686326801885987</v>
      </c>
      <c r="AQ148" s="104">
        <f si="209" t="shared"/>
        <v>0.76412901382168963</v>
      </c>
      <c r="AR148" s="104">
        <f si="209" t="shared"/>
        <v>0.11666443312037804</v>
      </c>
      <c r="AS148" s="104">
        <f si="209" t="shared"/>
        <v>0.34322338271493974</v>
      </c>
      <c r="AT148" s="104">
        <f si="209" t="shared"/>
        <v>0.75280073318190799</v>
      </c>
      <c r="AU148" s="104">
        <f si="209" t="shared"/>
        <v>0</v>
      </c>
      <c r="AV148" s="104">
        <f si="209" t="shared"/>
        <v>0</v>
      </c>
      <c r="CU148" s="95">
        <v>147</v>
      </c>
      <c r="CV148" s="95">
        <f si="196" t="shared"/>
        <v>8</v>
      </c>
      <c r="CW148" s="95">
        <f si="191" t="shared"/>
        <v>7</v>
      </c>
      <c r="CX148" s="58">
        <f si="192" t="shared"/>
        <v>255.81168589505023</v>
      </c>
      <c r="CY148" s="58">
        <f si="193" t="shared"/>
        <v>135.00000000000003</v>
      </c>
      <c r="CZ148" s="108">
        <f si="194" t="shared"/>
        <v>-120.8116858950502</v>
      </c>
      <c r="DA148" s="78">
        <f si="195" t="shared"/>
        <v>-0.4722680493361614</v>
      </c>
    </row>
    <row r="149" spans="26:105" x14ac:dyDescent="0.25">
      <c r="Z149" s="95">
        <v>14</v>
      </c>
      <c r="AA149" s="104">
        <f ref="AA149:AV149" si="210" t="shared">ABS(AA123)</f>
        <v>0.16184375657342981</v>
      </c>
      <c r="AB149" s="104">
        <f si="210" t="shared"/>
        <v>0.39188894132902369</v>
      </c>
      <c r="AC149" s="104">
        <f si="210" t="shared"/>
        <v>6.7997968562883537E-2</v>
      </c>
      <c r="AD149" s="104">
        <f si="210" t="shared"/>
        <v>0.1008002619189708</v>
      </c>
      <c r="AE149" s="104">
        <f si="210" t="shared"/>
        <v>0.12997691751237433</v>
      </c>
      <c r="AF149" s="104">
        <f si="210" t="shared"/>
        <v>0.21808324827887499</v>
      </c>
      <c r="AG149" s="104">
        <f si="210" t="shared"/>
        <v>0.64868174294985048</v>
      </c>
      <c r="AH149" s="104">
        <f si="210" t="shared"/>
        <v>0.1306864164282108</v>
      </c>
      <c r="AI149" s="104">
        <f si="210" t="shared"/>
        <v>0.1996565197951867</v>
      </c>
      <c r="AJ149" s="104">
        <f si="210" t="shared"/>
        <v>0.10802697690535629</v>
      </c>
      <c r="AK149" s="104">
        <f si="210" t="shared"/>
        <v>0.16188986173934497</v>
      </c>
      <c r="AL149" s="104">
        <f si="210" t="shared"/>
        <v>0.41794121268957152</v>
      </c>
      <c r="AM149" s="104">
        <f si="210" t="shared"/>
        <v>0.90861909447373446</v>
      </c>
      <c r="AN149" s="104">
        <f si="210" t="shared"/>
        <v>0.14430828940506196</v>
      </c>
      <c r="AO149" s="104">
        <f si="210" t="shared"/>
        <v>0.73414146593055796</v>
      </c>
      <c r="AP149" s="104">
        <f si="210" t="shared"/>
        <v>0.63200662369152527</v>
      </c>
      <c r="AQ149" s="104">
        <f si="210" t="shared"/>
        <v>0.35485719221467232</v>
      </c>
      <c r="AR149" s="104">
        <f si="210" t="shared"/>
        <v>0.94957127806143127</v>
      </c>
      <c r="AS149" s="104">
        <f si="210" t="shared"/>
        <v>0.4563831818248571</v>
      </c>
      <c r="AT149" s="104">
        <f si="210" t="shared"/>
        <v>0.98607796020100857</v>
      </c>
      <c r="AU149" s="104">
        <f si="210" t="shared"/>
        <v>0</v>
      </c>
      <c r="AV149" s="104">
        <f si="210" t="shared"/>
        <v>0</v>
      </c>
      <c r="CU149" s="95">
        <v>148</v>
      </c>
      <c r="CV149" s="95">
        <f si="196" t="shared"/>
        <v>8</v>
      </c>
      <c r="CW149" s="95">
        <f si="191" t="shared"/>
        <v>8</v>
      </c>
      <c r="CX149" s="58">
        <f si="192" t="shared"/>
        <v>100.27186453293635</v>
      </c>
      <c r="CY149" s="58">
        <f si="193" t="shared"/>
        <v>91.000000000000014</v>
      </c>
      <c r="CZ149" s="108">
        <f si="194" t="shared"/>
        <v>-9.2718645329363341</v>
      </c>
      <c r="DA149" s="78">
        <f si="195" t="shared"/>
        <v>-9.2467259645808222E-2</v>
      </c>
    </row>
    <row r="150" spans="26:105" x14ac:dyDescent="0.25">
      <c r="Z150" s="95">
        <v>15</v>
      </c>
      <c r="AA150" s="104">
        <f ref="AA150:AV150" si="211" t="shared">ABS(AA124)</f>
        <v>1.053870454268932E-4</v>
      </c>
      <c r="AB150" s="104">
        <f si="211" t="shared"/>
        <v>0.24385243655100572</v>
      </c>
      <c r="AC150" s="104">
        <f si="211" t="shared"/>
        <v>3.7630373792189073E-2</v>
      </c>
      <c r="AD150" s="104">
        <f si="211" t="shared"/>
        <v>0.40974195302195859</v>
      </c>
      <c r="AE150" s="104">
        <f si="211" t="shared"/>
        <v>0.19496358546594153</v>
      </c>
      <c r="AF150" s="104">
        <f si="211" t="shared"/>
        <v>0.16916546862751614</v>
      </c>
      <c r="AG150" s="104">
        <f si="211" t="shared"/>
        <v>0.20252064176925988</v>
      </c>
      <c r="AH150" s="104">
        <f si="211" t="shared"/>
        <v>0.46624877874188642</v>
      </c>
      <c r="AI150" s="104">
        <f si="211" t="shared"/>
        <v>0.15281513771731906</v>
      </c>
      <c r="AJ150" s="104">
        <f si="211" t="shared"/>
        <v>0.58433365475176025</v>
      </c>
      <c r="AK150" s="104">
        <f si="211" t="shared"/>
        <v>0.24385243655100577</v>
      </c>
      <c r="AL150" s="104">
        <f si="211" t="shared"/>
        <v>0.33614086421333761</v>
      </c>
      <c r="AM150" s="104">
        <f si="211" t="shared"/>
        <v>0.36990844814929746</v>
      </c>
      <c r="AN150" s="104">
        <f si="211" t="shared"/>
        <v>0.67684196310699407</v>
      </c>
      <c r="AO150" s="104">
        <f si="211" t="shared"/>
        <v>0.17701639682414919</v>
      </c>
      <c r="AP150" s="104">
        <f si="211" t="shared"/>
        <v>0.76986813286334965</v>
      </c>
      <c r="AQ150" s="104">
        <f si="211" t="shared"/>
        <v>0.46345217803170169</v>
      </c>
      <c r="AR150" s="104">
        <f si="211" t="shared"/>
        <v>0.64052001081933063</v>
      </c>
      <c r="AS150" s="104">
        <f si="211" t="shared"/>
        <v>0.34855190453139273</v>
      </c>
      <c r="AT150" s="104">
        <f si="211" t="shared"/>
        <v>0.94288093945169471</v>
      </c>
      <c r="AU150" s="104">
        <f si="211" t="shared"/>
        <v>0</v>
      </c>
      <c r="AV150" s="104">
        <f si="211" t="shared"/>
        <v>0</v>
      </c>
      <c r="CU150" s="95">
        <v>149</v>
      </c>
      <c r="CV150" s="95">
        <f si="196" t="shared"/>
        <v>8</v>
      </c>
      <c r="CW150" s="95">
        <f si="191" t="shared"/>
        <v>9</v>
      </c>
      <c r="CX150" s="58">
        <f si="192" t="shared"/>
        <v>266.86527726088576</v>
      </c>
      <c r="CY150" s="58">
        <f si="193" t="shared"/>
        <v>178.00000000000003</v>
      </c>
      <c r="CZ150" s="108">
        <f si="194" t="shared"/>
        <v>-88.865277260885733</v>
      </c>
      <c r="DA150" s="78">
        <f si="195" t="shared"/>
        <v>-0.33299677714913661</v>
      </c>
    </row>
    <row r="151" spans="26:105" x14ac:dyDescent="0.25">
      <c r="Z151" s="95">
        <v>16</v>
      </c>
      <c r="AA151" s="104">
        <f ref="AA151:AV151" si="212" t="shared">ABS(AA125)</f>
        <v>6.9048881087330927E-2</v>
      </c>
      <c r="AB151" s="104">
        <f si="212" t="shared"/>
        <v>0.16234015800336904</v>
      </c>
      <c r="AC151" s="104">
        <f si="212" t="shared"/>
        <v>0.17177898780830625</v>
      </c>
      <c r="AD151" s="104">
        <f si="212" t="shared"/>
        <v>9.4103487994329285E-2</v>
      </c>
      <c r="AE151" s="104">
        <f si="212" t="shared"/>
        <v>0.1328265981151909</v>
      </c>
      <c r="AF151" s="104">
        <f si="212" t="shared"/>
        <v>1.695154642016581E-2</v>
      </c>
      <c r="AG151" s="104">
        <f si="212" t="shared"/>
        <v>0.410150608323819</v>
      </c>
      <c r="AH151" s="104">
        <f si="212" t="shared"/>
        <v>0.34184434796591084</v>
      </c>
      <c r="AI151" s="104">
        <f si="212" t="shared"/>
        <v>0.48783762419584337</v>
      </c>
      <c r="AJ151" s="104">
        <f si="212" t="shared"/>
        <v>0.15768702798032566</v>
      </c>
      <c r="AK151" s="104">
        <f si="212" t="shared"/>
        <v>0.43753540332325574</v>
      </c>
      <c r="AL151" s="104">
        <f si="212" t="shared"/>
        <v>0.14348982073429997</v>
      </c>
      <c r="AM151" s="104">
        <f si="212" t="shared"/>
        <v>0.74467464536698424</v>
      </c>
      <c r="AN151" s="104">
        <f si="212" t="shared"/>
        <v>0.405971513443522</v>
      </c>
      <c r="AO151" s="104">
        <f si="212" t="shared"/>
        <v>0.78903661225097044</v>
      </c>
      <c r="AP151" s="104">
        <f si="212" t="shared"/>
        <v>0.21996097497520278</v>
      </c>
      <c r="AQ151" s="104">
        <f si="212" t="shared"/>
        <v>0.62378195851423057</v>
      </c>
      <c r="AR151" s="104">
        <f si="212" t="shared"/>
        <v>0.2613127491093365</v>
      </c>
      <c r="AS151" s="104">
        <f si="212" t="shared"/>
        <v>0.55378790428432012</v>
      </c>
      <c r="AT151" s="104">
        <f si="212" t="shared"/>
        <v>0.13887870504368333</v>
      </c>
      <c r="AU151" s="104">
        <f si="212" t="shared"/>
        <v>0</v>
      </c>
      <c r="AV151" s="104">
        <f si="212" t="shared"/>
        <v>0</v>
      </c>
      <c r="CU151" s="95">
        <v>150</v>
      </c>
      <c r="CV151" s="95">
        <f si="196" t="shared"/>
        <v>8</v>
      </c>
      <c r="CW151" s="95">
        <f si="191" t="shared"/>
        <v>10</v>
      </c>
      <c r="CX151" s="58">
        <f si="192" t="shared"/>
        <v>120.79996278377372</v>
      </c>
      <c r="CY151" s="58">
        <f si="193" t="shared"/>
        <v>135.00000000000003</v>
      </c>
      <c r="CZ151" s="108">
        <f si="194" t="shared"/>
        <v>14.200037216226306</v>
      </c>
      <c r="DA151" s="78">
        <f si="195" t="shared"/>
        <v>0.11755001317048175</v>
      </c>
    </row>
    <row r="152" spans="26:105" x14ac:dyDescent="0.25">
      <c r="Z152" s="95">
        <v>17</v>
      </c>
      <c r="AA152" s="104">
        <f ref="AA152:AV152" si="213" t="shared">ABS(AA126)</f>
        <v>3.289126942556736E-2</v>
      </c>
      <c r="AB152" s="104">
        <f si="213" t="shared"/>
        <v>0.42064828629036677</v>
      </c>
      <c r="AC152" s="104">
        <f si="213" t="shared"/>
        <v>0.21691156697511565</v>
      </c>
      <c r="AD152" s="104">
        <f si="213" t="shared"/>
        <v>0.16771665712562989</v>
      </c>
      <c r="AE152" s="104">
        <f si="213" t="shared"/>
        <v>7.1882792897464756E-2</v>
      </c>
      <c r="AF152" s="104">
        <f si="213" t="shared"/>
        <v>8.9376820839807927E-2</v>
      </c>
      <c r="AG152" s="104">
        <f si="213" t="shared"/>
        <v>0.62024160259948224</v>
      </c>
      <c r="AH152" s="104">
        <f si="213" t="shared"/>
        <v>0.41847500868647614</v>
      </c>
      <c r="AI152" s="104">
        <f si="213" t="shared"/>
        <v>0.20853375816325354</v>
      </c>
      <c r="AJ152" s="104">
        <f si="213" t="shared"/>
        <v>0.30037740109420391</v>
      </c>
      <c r="AK152" s="104">
        <f si="213" t="shared"/>
        <v>7.7961982966075372E-2</v>
      </c>
      <c r="AL152" s="104">
        <f si="213" t="shared"/>
        <v>0.45722136937723235</v>
      </c>
      <c r="AM152" s="104">
        <f si="213" t="shared"/>
        <v>0.90168781123675446</v>
      </c>
      <c r="AN152" s="104">
        <f si="213" t="shared"/>
        <v>0.33912080333690209</v>
      </c>
      <c r="AO152" s="104">
        <f si="213" t="shared"/>
        <v>0.3847664121060691</v>
      </c>
      <c r="AP152" s="104">
        <f si="213" t="shared"/>
        <v>0.86258946151201676</v>
      </c>
      <c r="AQ152" s="104">
        <f si="213" t="shared"/>
        <v>0.31610586107203087</v>
      </c>
      <c r="AR152" s="104">
        <f si="213" t="shared"/>
        <v>0.9017242636612125</v>
      </c>
      <c r="AS152" s="104">
        <f si="213" t="shared"/>
        <v>0.48175657887418477</v>
      </c>
      <c r="AT152" s="104">
        <f si="213" t="shared"/>
        <v>0.93561755224793286</v>
      </c>
      <c r="AU152" s="104">
        <f si="213" t="shared"/>
        <v>0</v>
      </c>
      <c r="AV152" s="104">
        <f si="213" t="shared"/>
        <v>0</v>
      </c>
      <c r="CU152" s="95">
        <v>151</v>
      </c>
      <c r="CV152" s="95">
        <f si="196" t="shared"/>
        <v>8</v>
      </c>
      <c r="CW152" s="95">
        <f si="191" t="shared"/>
        <v>11</v>
      </c>
      <c r="CX152" s="58">
        <f si="192" t="shared"/>
        <v>356.08355042798661</v>
      </c>
      <c r="CY152" s="58">
        <f si="193" t="shared"/>
        <v>465.00000000000011</v>
      </c>
      <c r="CZ152" s="108">
        <f si="194" t="shared"/>
        <v>108.91644957201351</v>
      </c>
      <c r="DA152" s="78">
        <f si="195" t="shared"/>
        <v>0.30587329698635007</v>
      </c>
    </row>
    <row r="153" spans="26:105" x14ac:dyDescent="0.25">
      <c r="Z153" s="95">
        <v>18</v>
      </c>
      <c r="AA153" s="104">
        <f ref="AA153:AV153" si="214" t="shared">ABS(AA127)</f>
        <v>0.3866287921447909</v>
      </c>
      <c r="AB153" s="104">
        <f si="214" t="shared"/>
        <v>0.46276153014181742</v>
      </c>
      <c r="AC153" s="104">
        <f si="214" t="shared"/>
        <v>0.5262511610805467</v>
      </c>
      <c r="AD153" s="104">
        <f si="214" t="shared"/>
        <v>0.49020345686460687</v>
      </c>
      <c r="AE153" s="104">
        <f si="214" t="shared"/>
        <v>0.32558192393524027</v>
      </c>
      <c r="AF153" s="104">
        <f si="214" t="shared"/>
        <v>0.40521375195432213</v>
      </c>
      <c r="AG153" s="104">
        <f si="214" t="shared"/>
        <v>0.33190499884247343</v>
      </c>
      <c r="AH153" s="104">
        <f si="214" t="shared"/>
        <v>0.40378799584998126</v>
      </c>
      <c r="AI153" s="104">
        <f si="214" t="shared"/>
        <v>0.68351379485960384</v>
      </c>
      <c r="AJ153" s="104">
        <f si="214" t="shared"/>
        <v>0.34600386323488141</v>
      </c>
      <c r="AK153" s="104">
        <f si="214" t="shared"/>
        <v>0.78060109838759117</v>
      </c>
      <c r="AL153" s="104">
        <f si="214" t="shared"/>
        <v>0.18200106658862547</v>
      </c>
      <c r="AM153" s="104">
        <f si="214" t="shared"/>
        <v>0.28590182760565974</v>
      </c>
      <c r="AN153" s="104">
        <f si="214" t="shared"/>
        <v>0.88620095631572859</v>
      </c>
      <c r="AO153" s="104">
        <f si="214" t="shared"/>
        <v>0.48407517385170956</v>
      </c>
      <c r="AP153" s="104">
        <f si="214" t="shared"/>
        <v>0.40584396823562435</v>
      </c>
      <c r="AQ153" s="104">
        <f si="214" t="shared"/>
        <v>0.7956262072609005</v>
      </c>
      <c r="AR153" s="104">
        <f si="214" t="shared"/>
        <v>0.52353512024841065</v>
      </c>
      <c r="AS153" s="104">
        <f si="214" t="shared"/>
        <v>0.63741949717911817</v>
      </c>
      <c r="AT153" s="104">
        <f si="214" t="shared"/>
        <v>0.14948022247659071</v>
      </c>
      <c r="AU153" s="104">
        <f si="214" t="shared"/>
        <v>0</v>
      </c>
      <c r="AV153" s="104">
        <f si="214" t="shared"/>
        <v>0</v>
      </c>
      <c r="CU153" s="95">
        <v>152</v>
      </c>
      <c r="CV153" s="95">
        <f si="196" t="shared"/>
        <v>8</v>
      </c>
      <c r="CW153" s="95">
        <f si="191" t="shared"/>
        <v>12</v>
      </c>
      <c r="CX153" s="58">
        <f si="192" t="shared"/>
        <v>555.04819501302575</v>
      </c>
      <c r="CY153" s="58">
        <f si="193" t="shared"/>
        <v>455.00000000000011</v>
      </c>
      <c r="CZ153" s="108">
        <f si="194" t="shared"/>
        <v>-100.04819501302563</v>
      </c>
      <c r="DA153" s="78">
        <f si="195" t="shared"/>
        <v>-0.18025136539841866</v>
      </c>
    </row>
    <row r="154" spans="26:105" x14ac:dyDescent="0.25">
      <c r="Z154" s="95">
        <v>19</v>
      </c>
      <c r="AA154" s="104">
        <f ref="AA154:AV154" si="215" t="shared">ABS(AA128)</f>
        <v>0.14990872232904084</v>
      </c>
      <c r="AB154" s="104">
        <f si="215" t="shared"/>
        <v>0.2913276234897938</v>
      </c>
      <c r="AC154" s="104">
        <f si="215" t="shared"/>
        <v>0.1965737244809683</v>
      </c>
      <c r="AD154" s="104">
        <f si="215" t="shared"/>
        <v>0.10568725063333276</v>
      </c>
      <c r="AE154" s="104">
        <f si="215" t="shared"/>
        <v>2.0801491738143038E-2</v>
      </c>
      <c r="AF154" s="104">
        <f si="215" t="shared"/>
        <v>6.5730719527391693E-2</v>
      </c>
      <c r="AG154" s="104">
        <f si="215" t="shared"/>
        <v>0.60172238470534589</v>
      </c>
      <c r="AH154" s="104">
        <f si="215" t="shared"/>
        <v>0.39459672648392807</v>
      </c>
      <c r="AI154" s="104">
        <f si="215" t="shared"/>
        <v>9.1344021754368301E-2</v>
      </c>
      <c r="AJ154" s="104">
        <f si="215" t="shared"/>
        <v>0.2923615175965138</v>
      </c>
      <c r="AK154" s="104">
        <f si="215" t="shared"/>
        <v>0.2768049248706263</v>
      </c>
      <c r="AL154" s="104">
        <f si="215" t="shared"/>
        <v>0.57426357073955958</v>
      </c>
      <c r="AM154" s="104">
        <f si="215" t="shared"/>
        <v>0.67002794551601486</v>
      </c>
      <c r="AN154" s="104">
        <f si="215" t="shared"/>
        <v>0.17323872620767988</v>
      </c>
      <c r="AO154" s="104">
        <f si="215" t="shared"/>
        <v>0.48437732985831555</v>
      </c>
      <c r="AP154" s="104">
        <f si="215" t="shared"/>
        <v>0.74102193299590269</v>
      </c>
      <c r="AQ154" s="104">
        <f si="215" t="shared"/>
        <v>4.402522432820058E-2</v>
      </c>
      <c r="AR154" s="104">
        <f si="215" t="shared"/>
        <v>0.92983352864421009</v>
      </c>
      <c r="AS154" s="104">
        <f si="215" t="shared"/>
        <v>0.15935815733136274</v>
      </c>
      <c r="AT154" s="104">
        <f si="215" t="shared"/>
        <v>0.96610974041385855</v>
      </c>
      <c r="AU154" s="104">
        <f si="215" t="shared"/>
        <v>0</v>
      </c>
      <c r="AV154" s="104">
        <f si="215" t="shared"/>
        <v>0</v>
      </c>
      <c r="CU154" s="95">
        <v>153</v>
      </c>
      <c r="CV154" s="95">
        <f si="196" t="shared"/>
        <v>8</v>
      </c>
      <c r="CW154" s="95">
        <f si="191" t="shared"/>
        <v>13</v>
      </c>
      <c r="CX154" s="58">
        <f si="192" t="shared"/>
        <v>71.058801637513952</v>
      </c>
      <c r="CY154" s="58">
        <f si="193" t="shared"/>
        <v>12.000000000000004</v>
      </c>
      <c r="CZ154" s="108">
        <f si="194" t="shared"/>
        <v>-59.058801637513952</v>
      </c>
      <c r="DA154" s="78">
        <f si="195" t="shared"/>
        <v>-0.83112577578757163</v>
      </c>
    </row>
    <row r="155" spans="26:105" x14ac:dyDescent="0.25">
      <c r="Z155" s="95">
        <v>20</v>
      </c>
      <c r="AA155" s="104">
        <f ref="AA155:AV155" si="216" t="shared">ABS(AA129)</f>
        <v>0.60527139028221955</v>
      </c>
      <c r="AB155" s="104">
        <f si="216" t="shared"/>
        <v>0.75444625115257569</v>
      </c>
      <c r="AC155" s="104">
        <f si="216" t="shared"/>
        <v>0.75769711666995232</v>
      </c>
      <c r="AD155" s="104">
        <f si="216" t="shared"/>
        <v>0.67814575434684798</v>
      </c>
      <c r="AE155" s="104">
        <f si="216" t="shared"/>
        <v>0.50812514684000309</v>
      </c>
      <c r="AF155" s="104">
        <f si="216" t="shared"/>
        <v>0.43643656251255619</v>
      </c>
      <c r="AG155" s="104">
        <f si="216" t="shared"/>
        <v>0.72960225070408857</v>
      </c>
      <c r="AH155" s="104">
        <f si="216" t="shared"/>
        <v>0.69931902663973611</v>
      </c>
      <c r="AI155" s="104">
        <f si="216" t="shared"/>
        <v>0.84609926372927224</v>
      </c>
      <c r="AJ155" s="104">
        <f si="216" t="shared"/>
        <v>0.41376548113175887</v>
      </c>
      <c r="AK155" s="104">
        <f si="216" t="shared"/>
        <v>0.87464413896569515</v>
      </c>
      <c r="AL155" s="104">
        <f si="216" t="shared"/>
        <v>7.8887111270226531E-2</v>
      </c>
      <c r="AM155" s="104">
        <f si="216" t="shared"/>
        <v>0.60066366332053345</v>
      </c>
      <c r="AN155" s="104">
        <f si="216" t="shared"/>
        <v>0.97092365400039427</v>
      </c>
      <c r="AO155" s="104">
        <f si="216" t="shared"/>
        <v>0.9332615985275412</v>
      </c>
      <c r="AP155" s="104">
        <f si="216" t="shared"/>
        <v>1.4734278330331272</v>
      </c>
      <c r="AQ155" s="104">
        <f si="216" t="shared"/>
        <v>0.8438492529650804</v>
      </c>
      <c r="AR155" s="104">
        <f si="216" t="shared"/>
        <v>0.14605851098445963</v>
      </c>
      <c r="AS155" s="104">
        <f si="216" t="shared"/>
        <v>0.95181634091493905</v>
      </c>
      <c r="AT155" s="104">
        <f si="216" t="shared"/>
        <v>0.35263485818635759</v>
      </c>
      <c r="AU155" s="104">
        <f si="216" t="shared"/>
        <v>0</v>
      </c>
      <c r="AV155" s="104">
        <f si="216" t="shared"/>
        <v>0</v>
      </c>
      <c r="CU155" s="95">
        <v>154</v>
      </c>
      <c r="CV155" s="95">
        <f si="196" t="shared"/>
        <v>8</v>
      </c>
      <c r="CW155" s="95">
        <f si="191" t="shared"/>
        <v>14</v>
      </c>
      <c r="CX155" s="58">
        <f si="192" t="shared"/>
        <v>79.743766282099003</v>
      </c>
      <c r="CY155" s="58">
        <f si="193" t="shared"/>
        <v>64.000000000000014</v>
      </c>
      <c r="CZ155" s="108">
        <f si="194" t="shared"/>
        <v>-15.743766282098989</v>
      </c>
      <c r="DA155" s="78">
        <f si="195" t="shared"/>
        <v>-0.19742942948548911</v>
      </c>
    </row>
    <row r="156" spans="26:105" x14ac:dyDescent="0.25">
      <c r="Z156" s="101" t="s">
        <v>15</v>
      </c>
      <c r="AA156" s="105">
        <f ref="AA156:AV156" si="217" t="shared">ABS(AA130)</f>
        <v>0</v>
      </c>
      <c r="AB156" s="105">
        <f si="217" t="shared"/>
        <v>0</v>
      </c>
      <c r="AC156" s="105">
        <f si="217" t="shared"/>
        <v>0</v>
      </c>
      <c r="AD156" s="105">
        <f si="217" t="shared"/>
        <v>0</v>
      </c>
      <c r="AE156" s="105">
        <f si="217" t="shared"/>
        <v>0</v>
      </c>
      <c r="AF156" s="105">
        <f si="217" t="shared"/>
        <v>0</v>
      </c>
      <c r="AG156" s="105">
        <f si="217" t="shared"/>
        <v>0</v>
      </c>
      <c r="AH156" s="105">
        <f si="217" t="shared"/>
        <v>0</v>
      </c>
      <c r="AI156" s="105">
        <f si="217" t="shared"/>
        <v>0</v>
      </c>
      <c r="AJ156" s="105">
        <f si="217" t="shared"/>
        <v>0</v>
      </c>
      <c r="AK156" s="105">
        <f si="217" t="shared"/>
        <v>0</v>
      </c>
      <c r="AL156" s="105">
        <f si="217" t="shared"/>
        <v>0</v>
      </c>
      <c r="AM156" s="105">
        <f si="217" t="shared"/>
        <v>0</v>
      </c>
      <c r="AN156" s="105">
        <f si="217" t="shared"/>
        <v>0</v>
      </c>
      <c r="AO156" s="105">
        <f si="217" t="shared"/>
        <v>0</v>
      </c>
      <c r="AP156" s="105">
        <f si="217" t="shared"/>
        <v>0</v>
      </c>
      <c r="AQ156" s="105">
        <f si="217" t="shared"/>
        <v>0</v>
      </c>
      <c r="AR156" s="105">
        <f si="217" t="shared"/>
        <v>0</v>
      </c>
      <c r="AS156" s="105">
        <f si="217" t="shared"/>
        <v>0</v>
      </c>
      <c r="AT156" s="105">
        <f si="217" t="shared"/>
        <v>0</v>
      </c>
      <c r="AU156" s="105">
        <f si="217" t="shared"/>
        <v>0</v>
      </c>
      <c r="AV156" s="105">
        <f si="217" t="shared"/>
        <v>0</v>
      </c>
      <c r="CU156" s="95">
        <v>155</v>
      </c>
      <c r="CV156" s="95">
        <f si="196" t="shared"/>
        <v>8</v>
      </c>
      <c r="CW156" s="95">
        <f si="191" t="shared"/>
        <v>15</v>
      </c>
      <c r="CX156" s="58">
        <f si="192" t="shared"/>
        <v>42.63528098250837</v>
      </c>
      <c r="CY156" s="58">
        <f si="193" t="shared"/>
        <v>14.000000000000004</v>
      </c>
      <c r="CZ156" s="108">
        <f si="194" t="shared"/>
        <v>-28.635280982508366</v>
      </c>
      <c r="DA156" s="78">
        <f si="195" t="shared"/>
        <v>-0.67163345292027821</v>
      </c>
    </row>
    <row ht="15.75" r="157" spans="26:105" thickBot="1" x14ac:dyDescent="0.3">
      <c r="Z157" s="1" t="s">
        <v>3</v>
      </c>
      <c r="AA157" s="106">
        <f ref="AA157:AV157" si="218" t="shared">ABS(AA131)</f>
        <v>2.8918800866570967E-3</v>
      </c>
      <c r="AB157" s="106">
        <f si="218" t="shared"/>
        <v>8.7310210434913549E-3</v>
      </c>
      <c r="AC157" s="106">
        <f si="218" t="shared"/>
        <v>1.2453573373558322E-2</v>
      </c>
      <c r="AD157" s="106">
        <f si="218" t="shared"/>
        <v>1.243366411156175E-2</v>
      </c>
      <c r="AE157" s="106">
        <f si="218" t="shared"/>
        <v>9.5405258733304056E-3</v>
      </c>
      <c r="AF157" s="106">
        <f si="218" t="shared"/>
        <v>6.3385449313305168E-3</v>
      </c>
      <c r="AG157" s="106">
        <f si="218" t="shared"/>
        <v>3.4654933378820956E-3</v>
      </c>
      <c r="AH157" s="106">
        <f si="218" t="shared"/>
        <v>3.3233904579311442E-3</v>
      </c>
      <c r="AI157" s="106">
        <f si="218" t="shared"/>
        <v>1.7802862317887212E-2</v>
      </c>
      <c r="AJ157" s="106">
        <f si="218" t="shared"/>
        <v>1.4971300850502028E-2</v>
      </c>
      <c r="AK157" s="106">
        <f si="218" t="shared"/>
        <v>1.2043002228939292E-2</v>
      </c>
      <c r="AL157" s="106">
        <f si="218" t="shared"/>
        <v>9.8364197346723688E-3</v>
      </c>
      <c r="AM157" s="106">
        <f si="218" t="shared"/>
        <v>5.5317255485589399E-3</v>
      </c>
      <c r="AN157" s="106">
        <f si="218" t="shared"/>
        <v>2.6970004955128146E-2</v>
      </c>
      <c r="AO157" s="106">
        <f si="218" t="shared"/>
        <v>1.3022138825925759E-2</v>
      </c>
      <c r="AP157" s="106">
        <f si="218" t="shared"/>
        <v>5.7163348437241314E-3</v>
      </c>
      <c r="AQ157" s="106">
        <f si="218" t="shared"/>
        <v>6.1752722602455588E-2</v>
      </c>
      <c r="AR157" s="106">
        <f si="218" t="shared"/>
        <v>6.3659374421308279E-3</v>
      </c>
      <c r="AS157" s="106">
        <f si="218" t="shared"/>
        <v>4.5303189286895237E-2</v>
      </c>
      <c r="AT157" s="106">
        <f si="218" t="shared"/>
        <v>8.2810174591634131E-2</v>
      </c>
      <c r="AU157" s="106">
        <f si="218" t="shared"/>
        <v>0</v>
      </c>
      <c r="AV157" s="106">
        <f si="218" t="shared"/>
        <v>1.7277429775442986E-16</v>
      </c>
      <c r="CU157" s="95">
        <v>156</v>
      </c>
      <c r="CV157" s="95">
        <f si="196" t="shared"/>
        <v>8</v>
      </c>
      <c r="CW157" s="95">
        <f si="191" t="shared"/>
        <v>16</v>
      </c>
      <c r="CX157" s="58">
        <f si="192" t="shared"/>
        <v>11.843133606252326</v>
      </c>
      <c r="CY157" s="58">
        <f si="193" t="shared"/>
        <v>10.000000000000002</v>
      </c>
      <c r="CZ157" s="108">
        <f si="194" t="shared"/>
        <v>-1.8431336062523247</v>
      </c>
      <c r="DA157" s="78">
        <f si="195" t="shared"/>
        <v>-0.15562887893785832</v>
      </c>
    </row>
    <row r="158" spans="26:105" x14ac:dyDescent="0.25">
      <c r="CU158" s="95">
        <v>157</v>
      </c>
      <c r="CV158" s="95">
        <f si="196" t="shared"/>
        <v>8</v>
      </c>
      <c r="CW158" s="95">
        <f si="191" t="shared"/>
        <v>17</v>
      </c>
      <c r="CX158" s="58">
        <f si="192" t="shared"/>
        <v>27.633978414588761</v>
      </c>
      <c r="CY158" s="58">
        <f si="193" t="shared"/>
        <v>41.000000000000007</v>
      </c>
      <c r="CZ158" s="108">
        <f si="194" t="shared"/>
        <v>13.366021585411247</v>
      </c>
      <c r="DA158" s="78">
        <f si="195" t="shared"/>
        <v>0.48368068415204901</v>
      </c>
    </row>
    <row r="159" spans="26:105" x14ac:dyDescent="0.25">
      <c r="AA159" s="127" t="s">
        <v>374</v>
      </c>
      <c r="AB159" s="127" t="s">
        <v>375</v>
      </c>
      <c r="AC159" s="127" t="s">
        <v>376</v>
      </c>
      <c r="CU159" s="95">
        <v>158</v>
      </c>
      <c r="CV159" s="95">
        <f si="196" t="shared"/>
        <v>8</v>
      </c>
      <c r="CW159" s="95">
        <f si="191" t="shared"/>
        <v>18</v>
      </c>
      <c r="CX159" s="58">
        <f si="192" t="shared"/>
        <v>25.265351693338296</v>
      </c>
      <c r="CY159" s="58">
        <f si="193" t="shared"/>
        <v>2.0000000000000004</v>
      </c>
      <c r="CZ159" s="108">
        <f si="194" t="shared"/>
        <v>-23.265351693338296</v>
      </c>
      <c r="DA159" s="78">
        <f si="195" t="shared"/>
        <v>-0.92084020740042427</v>
      </c>
    </row>
    <row r="160" spans="26:105" x14ac:dyDescent="0.25">
      <c r="Z160" t="s">
        <v>373</v>
      </c>
      <c r="AA160" s="8">
        <f>SUM(AA136:AL155)</f>
        <v>62.603095341296829</v>
      </c>
      <c r="AB160" s="8">
        <f>MIN($AA$136:$AL$155)</f>
        <v>1.053870454268932E-4</v>
      </c>
      <c r="AC160" s="8">
        <f>MAX($AA$136:$AL$154)</f>
        <v>1.3952595810008794</v>
      </c>
      <c r="CU160" s="95">
        <v>159</v>
      </c>
      <c r="CV160" s="95">
        <f si="196" t="shared"/>
        <v>8</v>
      </c>
      <c r="CW160" s="95">
        <f si="191" t="shared"/>
        <v>19</v>
      </c>
      <c r="CX160" s="58">
        <f si="192" t="shared"/>
        <v>38.687569780424269</v>
      </c>
      <c r="CY160" s="58">
        <f si="193" t="shared"/>
        <v>53.000000000000014</v>
      </c>
      <c r="CZ160" s="108">
        <f si="194" t="shared"/>
        <v>14.312430219575745</v>
      </c>
      <c r="DA160" s="78">
        <f si="195" t="shared"/>
        <v>0.36994906376408704</v>
      </c>
    </row>
    <row r="161" spans="26:105" x14ac:dyDescent="0.25">
      <c r="Z161" t="s">
        <v>377</v>
      </c>
      <c r="AA161" s="8">
        <f>SUM(AM136:AT155)</f>
        <v>87.635799971290226</v>
      </c>
      <c r="AB161" s="8">
        <f>MIN($AM$136:$AT$155)</f>
        <v>2.5626388500640005E-2</v>
      </c>
      <c r="AC161" s="8">
        <f>MAX($AM$136:$AT$155)</f>
        <v>1.4734278330331272</v>
      </c>
      <c r="CU161" s="95">
        <v>160</v>
      </c>
      <c r="CV161" s="95">
        <f si="196" t="shared"/>
        <v>8</v>
      </c>
      <c r="CW161" s="95">
        <f si="191" t="shared"/>
        <v>20</v>
      </c>
      <c r="CX161" s="58">
        <f si="192" t="shared"/>
        <v>11.053591365835505</v>
      </c>
      <c r="CY161" s="58">
        <f si="193" t="shared"/>
        <v>0</v>
      </c>
      <c r="CZ161" s="108">
        <f si="194" t="shared"/>
        <v>-11.053591365835505</v>
      </c>
      <c r="DA161" s="78">
        <f si="195" t="shared"/>
        <v>-1</v>
      </c>
    </row>
    <row r="162" spans="26:105" x14ac:dyDescent="0.25">
      <c r="CU162" s="95">
        <v>161</v>
      </c>
      <c r="CV162" s="95">
        <f si="196" t="shared"/>
        <v>9</v>
      </c>
      <c r="CW162" s="95">
        <f si="191" t="shared"/>
        <v>1</v>
      </c>
      <c r="CX162" s="58">
        <f si="192" t="shared"/>
        <v>5385.3936755270388</v>
      </c>
      <c r="CY162" s="58">
        <f si="193" t="shared"/>
        <v>5482</v>
      </c>
      <c r="CZ162" s="108">
        <f si="194" t="shared"/>
        <v>96.606324472961205</v>
      </c>
      <c r="DA162" s="78">
        <f si="195" t="shared"/>
        <v>1.7938581707029409E-2</v>
      </c>
    </row>
    <row r="163" spans="26:105" x14ac:dyDescent="0.25">
      <c r="CU163" s="95">
        <v>162</v>
      </c>
      <c r="CV163" s="95">
        <f si="196" t="shared"/>
        <v>9</v>
      </c>
      <c r="CW163" s="95">
        <f si="191" t="shared"/>
        <v>2</v>
      </c>
      <c r="CX163" s="58">
        <f si="192" t="shared"/>
        <v>4538.1983272227317</v>
      </c>
      <c r="CY163" s="58">
        <f si="193" t="shared"/>
        <v>5406</v>
      </c>
      <c r="CZ163" s="108">
        <f si="194" t="shared"/>
        <v>867.80167277726832</v>
      </c>
      <c r="DA163" s="78">
        <f si="195" t="shared"/>
        <v>0.19122162810111079</v>
      </c>
    </row>
    <row r="164" spans="26:105" x14ac:dyDescent="0.25">
      <c r="CU164" s="95">
        <v>163</v>
      </c>
      <c r="CV164" s="95">
        <f si="196" t="shared"/>
        <v>9</v>
      </c>
      <c r="CW164" s="95">
        <f si="191" t="shared"/>
        <v>3</v>
      </c>
      <c r="CX164" s="58">
        <f si="192" t="shared"/>
        <v>2149.6728918423469</v>
      </c>
      <c r="CY164" s="58">
        <f si="193" t="shared"/>
        <v>2412</v>
      </c>
      <c r="CZ164" s="108">
        <f si="194" t="shared"/>
        <v>262.32710815765313</v>
      </c>
      <c r="DA164" s="78">
        <f si="195" t="shared"/>
        <v>0.12203117467459404</v>
      </c>
    </row>
    <row r="165" spans="26:105" x14ac:dyDescent="0.25">
      <c r="CU165" s="95">
        <v>164</v>
      </c>
      <c r="CV165" s="95">
        <f si="196" t="shared"/>
        <v>9</v>
      </c>
      <c r="CW165" s="95">
        <f si="191" t="shared"/>
        <v>4</v>
      </c>
      <c r="CX165" s="58">
        <f si="192" t="shared"/>
        <v>1616.3980293308891</v>
      </c>
      <c r="CY165" s="58">
        <f si="193" t="shared"/>
        <v>1432</v>
      </c>
      <c r="CZ165" s="108">
        <f si="194" t="shared"/>
        <v>-184.39802933088913</v>
      </c>
      <c r="DA165" s="78">
        <f si="195" t="shared"/>
        <v>-0.11407959301164269</v>
      </c>
    </row>
    <row r="166" spans="26:105" x14ac:dyDescent="0.25">
      <c r="CU166" s="95">
        <v>165</v>
      </c>
      <c r="CV166" s="95">
        <f si="196" t="shared"/>
        <v>9</v>
      </c>
      <c r="CW166" s="95">
        <f si="191" t="shared"/>
        <v>5</v>
      </c>
      <c r="CX166" s="58">
        <f si="192" t="shared"/>
        <v>1211.811067827681</v>
      </c>
      <c r="CY166" s="58">
        <f si="193" t="shared"/>
        <v>1303</v>
      </c>
      <c r="CZ166" s="108">
        <f si="194" t="shared"/>
        <v>91.188932172319028</v>
      </c>
      <c r="DA166" s="78">
        <f si="195" t="shared"/>
        <v>7.5250123219113937E-2</v>
      </c>
    </row>
    <row r="167" spans="26:105" x14ac:dyDescent="0.25">
      <c r="CU167" s="95">
        <v>166</v>
      </c>
      <c r="CV167" s="95">
        <f si="196" t="shared"/>
        <v>9</v>
      </c>
      <c r="CW167" s="95">
        <f si="191" t="shared"/>
        <v>6</v>
      </c>
      <c r="CX167" s="58">
        <f si="192" t="shared"/>
        <v>9445.8869156736928</v>
      </c>
      <c r="CY167" s="58">
        <f si="193" t="shared"/>
        <v>9078</v>
      </c>
      <c r="CZ167" s="108">
        <f si="194" t="shared"/>
        <v>-367.88691567369278</v>
      </c>
      <c r="DA167" s="78">
        <f si="195" t="shared"/>
        <v>-3.8946783817965562E-2</v>
      </c>
    </row>
    <row r="168" spans="26:105" x14ac:dyDescent="0.25">
      <c r="CU168" s="95">
        <v>167</v>
      </c>
      <c r="CV168" s="95">
        <f si="196" t="shared"/>
        <v>9</v>
      </c>
      <c r="CW168" s="95">
        <f si="191" t="shared"/>
        <v>7</v>
      </c>
      <c r="CX168" s="58">
        <f si="192" t="shared"/>
        <v>5369.7951420714944</v>
      </c>
      <c r="CY168" s="58">
        <f si="193" t="shared"/>
        <v>5731</v>
      </c>
      <c r="CZ168" s="108">
        <f si="194" t="shared"/>
        <v>361.20485792850559</v>
      </c>
      <c r="DA168" s="78">
        <f si="195" t="shared"/>
        <v>6.72660405791876E-2</v>
      </c>
    </row>
    <row r="169" spans="26:105" x14ac:dyDescent="0.25">
      <c r="CU169" s="95">
        <v>168</v>
      </c>
      <c r="CV169" s="95">
        <f si="196" t="shared"/>
        <v>9</v>
      </c>
      <c r="CW169" s="95">
        <f si="191" t="shared"/>
        <v>8</v>
      </c>
      <c r="CX169" s="58">
        <f si="192" t="shared"/>
        <v>309.04594408799267</v>
      </c>
      <c r="CY169" s="58">
        <f si="193" t="shared"/>
        <v>258</v>
      </c>
      <c r="CZ169" s="108">
        <f si="194" t="shared"/>
        <v>-51.045944087992666</v>
      </c>
      <c r="DA169" s="78">
        <f si="195" t="shared"/>
        <v>-0.16517267113351497</v>
      </c>
    </row>
    <row r="170" spans="26:105" x14ac:dyDescent="0.25">
      <c r="CU170" s="95">
        <v>169</v>
      </c>
      <c r="CV170" s="95">
        <f si="196" t="shared"/>
        <v>9</v>
      </c>
      <c r="CW170" s="95">
        <f si="191" t="shared"/>
        <v>9</v>
      </c>
      <c r="CX170" s="58">
        <f si="192" t="shared"/>
        <v>9357.1702566452805</v>
      </c>
      <c r="CY170" s="58">
        <f si="193" t="shared"/>
        <v>12960</v>
      </c>
      <c r="CZ170" s="108">
        <f si="194" t="shared"/>
        <v>3602.8297433547195</v>
      </c>
      <c r="DA170" s="78">
        <f si="195" t="shared"/>
        <v>0.38503411229437229</v>
      </c>
    </row>
    <row r="171" spans="26:105" x14ac:dyDescent="0.25">
      <c r="CU171" s="95">
        <v>170</v>
      </c>
      <c r="CV171" s="95">
        <f si="196" t="shared"/>
        <v>9</v>
      </c>
      <c r="CW171" s="95">
        <f si="191" t="shared"/>
        <v>10</v>
      </c>
      <c r="CX171" s="58">
        <f si="192" t="shared"/>
        <v>880.34223189734189</v>
      </c>
      <c r="CY171" s="58">
        <f si="193" t="shared"/>
        <v>718</v>
      </c>
      <c r="CZ171" s="108">
        <f si="194" t="shared"/>
        <v>-162.34223189734189</v>
      </c>
      <c r="DA171" s="78">
        <f si="195" t="shared"/>
        <v>-0.18440809268851807</v>
      </c>
    </row>
    <row r="172" spans="26:105" x14ac:dyDescent="0.25">
      <c r="CU172" s="95">
        <v>171</v>
      </c>
      <c r="CV172" s="95">
        <f si="196" t="shared"/>
        <v>9</v>
      </c>
      <c r="CW172" s="95">
        <f si="191" t="shared"/>
        <v>11</v>
      </c>
      <c r="CX172" s="58">
        <f si="192" t="shared"/>
        <v>3087.5347158570116</v>
      </c>
      <c r="CY172" s="58">
        <f si="193" t="shared"/>
        <v>2821</v>
      </c>
      <c r="CZ172" s="108">
        <f si="194" t="shared"/>
        <v>-266.53471585701163</v>
      </c>
      <c r="DA172" s="78">
        <f si="195" t="shared"/>
        <v>-8.6326062825508726E-2</v>
      </c>
    </row>
    <row r="173" spans="26:105" x14ac:dyDescent="0.25">
      <c r="CU173" s="95">
        <v>172</v>
      </c>
      <c r="CV173" s="95">
        <f si="196" t="shared"/>
        <v>9</v>
      </c>
      <c r="CW173" s="95">
        <f si="191" t="shared"/>
        <v>12</v>
      </c>
      <c r="CX173" s="58">
        <f si="192" t="shared"/>
        <v>8890.1891613198895</v>
      </c>
      <c r="CY173" s="58">
        <f si="193" t="shared"/>
        <v>7166</v>
      </c>
      <c r="CZ173" s="108">
        <f si="194" t="shared"/>
        <v>-1724.1891613198895</v>
      </c>
      <c r="DA173" s="78">
        <f si="195" t="shared"/>
        <v>-0.1939429105537622</v>
      </c>
    </row>
    <row r="174" spans="26:105" x14ac:dyDescent="0.25">
      <c r="CU174" s="95">
        <v>173</v>
      </c>
      <c r="CV174" s="95">
        <f si="196" t="shared"/>
        <v>9</v>
      </c>
      <c r="CW174" s="95">
        <f si="191" t="shared"/>
        <v>13</v>
      </c>
      <c r="CX174" s="58">
        <f si="192" t="shared"/>
        <v>1983.9384738771769</v>
      </c>
      <c r="CY174" s="58">
        <f si="193" t="shared"/>
        <v>1083</v>
      </c>
      <c r="CZ174" s="108">
        <f si="194" t="shared"/>
        <v>-900.93847387717688</v>
      </c>
      <c r="DA174" s="78">
        <f si="195" t="shared"/>
        <v>-0.45411613602940432</v>
      </c>
    </row>
    <row r="175" spans="26:105" x14ac:dyDescent="0.25">
      <c r="CU175" s="95">
        <v>174</v>
      </c>
      <c r="CV175" s="95">
        <f si="196" t="shared"/>
        <v>9</v>
      </c>
      <c r="CW175" s="95">
        <f si="191" t="shared"/>
        <v>14</v>
      </c>
      <c r="CX175" s="58">
        <f si="192" t="shared"/>
        <v>275.89906049495875</v>
      </c>
      <c r="CY175" s="58">
        <f si="193" t="shared"/>
        <v>136</v>
      </c>
      <c r="CZ175" s="108">
        <f si="194" t="shared"/>
        <v>-139.89906049495875</v>
      </c>
      <c r="DA175" s="78">
        <f si="195" t="shared"/>
        <v>-0.50706609962347082</v>
      </c>
    </row>
    <row r="176" spans="26:105" x14ac:dyDescent="0.25">
      <c r="CU176" s="95">
        <v>175</v>
      </c>
      <c r="CV176" s="95">
        <f si="196" t="shared"/>
        <v>9</v>
      </c>
      <c r="CW176" s="95">
        <f si="191" t="shared"/>
        <v>15</v>
      </c>
      <c r="CX176" s="58">
        <f si="192" t="shared"/>
        <v>3353.684692942255</v>
      </c>
      <c r="CY176" s="58">
        <f si="193" t="shared"/>
        <v>2813</v>
      </c>
      <c r="CZ176" s="108">
        <f si="194" t="shared"/>
        <v>-540.68469294225497</v>
      </c>
      <c r="DA176" s="78">
        <f si="195" t="shared"/>
        <v>-0.16122108738490304</v>
      </c>
    </row>
    <row r="177" spans="99:105" x14ac:dyDescent="0.25">
      <c r="CU177" s="95">
        <v>176</v>
      </c>
      <c r="CV177" s="95">
        <f si="196" t="shared"/>
        <v>9</v>
      </c>
      <c r="CW177" s="95">
        <f si="191" t="shared"/>
        <v>16</v>
      </c>
      <c r="CX177" s="58">
        <f si="192" t="shared"/>
        <v>128.6879010082493</v>
      </c>
      <c r="CY177" s="58">
        <f si="193" t="shared"/>
        <v>77</v>
      </c>
      <c r="CZ177" s="108">
        <f si="194" t="shared"/>
        <v>-51.687901008249298</v>
      </c>
      <c r="DA177" s="78">
        <f si="195" t="shared"/>
        <v>-0.40165315156500953</v>
      </c>
    </row>
    <row r="178" spans="99:105" x14ac:dyDescent="0.25">
      <c r="CU178" s="95">
        <v>177</v>
      </c>
      <c r="CV178" s="95">
        <f si="196" t="shared"/>
        <v>9</v>
      </c>
      <c r="CW178" s="95">
        <f si="191" t="shared"/>
        <v>17</v>
      </c>
      <c r="CX178" s="58">
        <f si="192" t="shared"/>
        <v>281.74851054078829</v>
      </c>
      <c r="CY178" s="58">
        <f si="193" t="shared"/>
        <v>139</v>
      </c>
      <c r="CZ178" s="108">
        <f si="194" t="shared"/>
        <v>-142.74851054078829</v>
      </c>
      <c r="DA178" s="78">
        <f si="195" t="shared"/>
        <v>-0.50665222778568264</v>
      </c>
    </row>
    <row r="179" spans="99:105" x14ac:dyDescent="0.25">
      <c r="CU179" s="95">
        <v>178</v>
      </c>
      <c r="CV179" s="95">
        <f si="196" t="shared"/>
        <v>9</v>
      </c>
      <c r="CW179" s="95">
        <f si="191" t="shared"/>
        <v>18</v>
      </c>
      <c r="CX179" s="58">
        <f si="192" t="shared"/>
        <v>263.22525206232814</v>
      </c>
      <c r="CY179" s="58">
        <f si="193" t="shared"/>
        <v>53</v>
      </c>
      <c r="CZ179" s="108">
        <f si="194" t="shared"/>
        <v>-210.22525206232814</v>
      </c>
      <c r="DA179" s="78">
        <f si="195" t="shared"/>
        <v>-0.79865153671711431</v>
      </c>
    </row>
    <row r="180" spans="99:105" x14ac:dyDescent="0.25">
      <c r="CU180" s="95">
        <v>179</v>
      </c>
      <c r="CV180" s="95">
        <f si="196" t="shared"/>
        <v>9</v>
      </c>
      <c r="CW180" s="95">
        <f si="191" t="shared"/>
        <v>19</v>
      </c>
      <c r="CX180" s="58">
        <f si="192" t="shared"/>
        <v>840.3709899175069</v>
      </c>
      <c r="CY180" s="58">
        <f si="193" t="shared"/>
        <v>479</v>
      </c>
      <c r="CZ180" s="108">
        <f si="194" t="shared"/>
        <v>-361.3709899175069</v>
      </c>
      <c r="DA180" s="78">
        <f si="195" t="shared"/>
        <v>-0.43001364189520636</v>
      </c>
    </row>
    <row r="181" spans="99:105" x14ac:dyDescent="0.25">
      <c r="CU181" s="95">
        <v>180</v>
      </c>
      <c r="CV181" s="95">
        <f si="196" t="shared"/>
        <v>9</v>
      </c>
      <c r="CW181" s="95">
        <f si="191" t="shared"/>
        <v>20</v>
      </c>
      <c r="CX181" s="58">
        <f si="192" t="shared"/>
        <v>194.00675985334556</v>
      </c>
      <c r="CY181" s="58">
        <f si="193" t="shared"/>
        <v>16</v>
      </c>
      <c r="CZ181" s="108">
        <f si="194" t="shared"/>
        <v>-178.00675985334556</v>
      </c>
      <c r="DA181" s="78">
        <f si="195" t="shared"/>
        <v>-0.91752864687758928</v>
      </c>
    </row>
    <row r="182" spans="99:105" x14ac:dyDescent="0.25">
      <c r="CU182" s="95">
        <v>181</v>
      </c>
      <c r="CV182" s="95">
        <f si="196" t="shared"/>
        <v>10</v>
      </c>
      <c r="CW182" s="95">
        <f si="191" t="shared"/>
        <v>1</v>
      </c>
      <c r="CX182" s="58">
        <f si="192" t="shared"/>
        <v>2714.4944885820059</v>
      </c>
      <c r="CY182" s="58">
        <f si="193" t="shared"/>
        <v>2657</v>
      </c>
      <c r="CZ182" s="108">
        <f si="194" t="shared"/>
        <v>-57.494488582005943</v>
      </c>
      <c r="DA182" s="78">
        <f si="195" t="shared"/>
        <v>-2.1180550862727975E-2</v>
      </c>
    </row>
    <row r="183" spans="99:105" x14ac:dyDescent="0.25">
      <c r="CU183" s="95">
        <v>182</v>
      </c>
      <c r="CV183" s="95">
        <f si="196" t="shared"/>
        <v>10</v>
      </c>
      <c r="CW183" s="95">
        <f si="191" t="shared"/>
        <v>2</v>
      </c>
      <c r="CX183" s="58">
        <f si="192" t="shared"/>
        <v>971.70126034690736</v>
      </c>
      <c r="CY183" s="58">
        <f si="193" t="shared"/>
        <v>1226</v>
      </c>
      <c r="CZ183" s="108">
        <f si="194" t="shared"/>
        <v>254.29873965309264</v>
      </c>
      <c r="DA183" s="78">
        <f si="195" t="shared"/>
        <v>0.26170465145049349</v>
      </c>
    </row>
    <row r="184" spans="99:105" x14ac:dyDescent="0.25">
      <c r="CU184" s="95">
        <v>183</v>
      </c>
      <c r="CV184" s="95">
        <f si="196" t="shared"/>
        <v>10</v>
      </c>
      <c r="CW184" s="95">
        <f si="191" t="shared"/>
        <v>3</v>
      </c>
      <c r="CX184" s="58">
        <f si="192" t="shared"/>
        <v>503.61291127656921</v>
      </c>
      <c r="CY184" s="58">
        <f si="193" t="shared"/>
        <v>562</v>
      </c>
      <c r="CZ184" s="108">
        <f si="194" t="shared"/>
        <v>58.387088723430793</v>
      </c>
      <c r="DA184" s="78">
        <f si="195" t="shared"/>
        <v>0.11593644129462428</v>
      </c>
    </row>
    <row r="185" spans="99:105" x14ac:dyDescent="0.25">
      <c r="CU185" s="95">
        <v>184</v>
      </c>
      <c r="CV185" s="95">
        <f si="196" t="shared"/>
        <v>10</v>
      </c>
      <c r="CW185" s="95">
        <f si="191" t="shared"/>
        <v>4</v>
      </c>
      <c r="CX185" s="58">
        <f si="192" t="shared"/>
        <v>754.3745268499647</v>
      </c>
      <c r="CY185" s="58">
        <f si="193" t="shared"/>
        <v>1019</v>
      </c>
      <c r="CZ185" s="108">
        <f si="194" t="shared"/>
        <v>264.6254731500353</v>
      </c>
      <c r="DA185" s="78">
        <f si="195" t="shared"/>
        <v>0.35078792261852959</v>
      </c>
    </row>
    <row r="186" spans="99:105" x14ac:dyDescent="0.25">
      <c r="CU186" s="95">
        <v>185</v>
      </c>
      <c r="CV186" s="95">
        <f si="196" t="shared"/>
        <v>10</v>
      </c>
      <c r="CW186" s="95">
        <f si="191" t="shared"/>
        <v>5</v>
      </c>
      <c r="CX186" s="58">
        <f si="192" t="shared"/>
        <v>1248.5838775425316</v>
      </c>
      <c r="CY186" s="58">
        <f si="193" t="shared"/>
        <v>1378</v>
      </c>
      <c r="CZ186" s="108">
        <f si="194" t="shared"/>
        <v>129.41612245746842</v>
      </c>
      <c r="DA186" s="78">
        <f si="195" t="shared"/>
        <v>0.10365032320630778</v>
      </c>
    </row>
    <row r="187" spans="99:105" x14ac:dyDescent="0.25">
      <c r="CU187" s="95">
        <v>186</v>
      </c>
      <c r="CV187" s="95">
        <f si="196" t="shared"/>
        <v>10</v>
      </c>
      <c r="CW187" s="95">
        <f si="191" t="shared"/>
        <v>6</v>
      </c>
      <c r="CX187" s="58">
        <f si="192" t="shared"/>
        <v>6546.9678465954003</v>
      </c>
      <c r="CY187" s="58">
        <f si="193" t="shared"/>
        <v>6992</v>
      </c>
      <c r="CZ187" s="108">
        <f si="194" t="shared"/>
        <v>445.03215340459974</v>
      </c>
      <c r="DA187" s="78">
        <f si="195" t="shared"/>
        <v>6.7975307628252435E-2</v>
      </c>
    </row>
    <row r="188" spans="99:105" x14ac:dyDescent="0.25">
      <c r="CU188" s="95">
        <v>187</v>
      </c>
      <c r="CV188" s="95">
        <f si="196" t="shared"/>
        <v>10</v>
      </c>
      <c r="CW188" s="95">
        <f si="191" t="shared"/>
        <v>7</v>
      </c>
      <c r="CX188" s="58">
        <f si="192" t="shared"/>
        <v>1014.5397030073624</v>
      </c>
      <c r="CY188" s="58">
        <f si="193" t="shared"/>
        <v>613</v>
      </c>
      <c r="CZ188" s="108">
        <f si="194" t="shared"/>
        <v>-401.53970300736239</v>
      </c>
      <c r="DA188" s="78">
        <f si="195" t="shared"/>
        <v>-0.39578510512411996</v>
      </c>
    </row>
    <row r="189" spans="99:105" x14ac:dyDescent="0.25">
      <c r="CU189" s="95">
        <v>188</v>
      </c>
      <c r="CV189" s="95">
        <f si="196" t="shared"/>
        <v>10</v>
      </c>
      <c r="CW189" s="95">
        <f si="191" t="shared"/>
        <v>8</v>
      </c>
      <c r="CX189" s="58">
        <f si="192" t="shared"/>
        <v>216.28189343205358</v>
      </c>
      <c r="CY189" s="58">
        <f si="193" t="shared"/>
        <v>262</v>
      </c>
      <c r="CZ189" s="108">
        <f si="194" t="shared"/>
        <v>45.718106567946421</v>
      </c>
      <c r="DA189" s="78">
        <f si="195" t="shared"/>
        <v>0.21138203407817435</v>
      </c>
    </row>
    <row r="190" spans="99:105" x14ac:dyDescent="0.25">
      <c r="CU190" s="95">
        <v>189</v>
      </c>
      <c r="CV190" s="95">
        <f si="196" t="shared"/>
        <v>10</v>
      </c>
      <c r="CW190" s="95">
        <f si="191" t="shared"/>
        <v>9</v>
      </c>
      <c r="CX190" s="58">
        <f si="192" t="shared"/>
        <v>945.58025872467863</v>
      </c>
      <c r="CY190" s="58">
        <f si="193" t="shared"/>
        <v>542</v>
      </c>
      <c r="CZ190" s="108">
        <f si="194" t="shared"/>
        <v>-403.58025872467863</v>
      </c>
      <c r="DA190" s="78">
        <f si="195" t="shared"/>
        <v>-0.4268069843896643</v>
      </c>
    </row>
    <row r="191" spans="99:105" x14ac:dyDescent="0.25">
      <c r="CU191" s="95">
        <v>190</v>
      </c>
      <c r="CV191" s="95">
        <f si="196" t="shared"/>
        <v>10</v>
      </c>
      <c r="CW191" s="95">
        <f si="191" t="shared"/>
        <v>10</v>
      </c>
      <c r="CX191" s="58">
        <f si="192" t="shared"/>
        <v>1982.0616030947131</v>
      </c>
      <c r="CY191" s="58">
        <f si="193" t="shared"/>
        <v>2430</v>
      </c>
      <c r="CZ191" s="108">
        <f si="194" t="shared"/>
        <v>447.93839690528694</v>
      </c>
      <c r="DA191" s="78">
        <f si="195" t="shared"/>
        <v>0.22599620324912886</v>
      </c>
    </row>
    <row r="192" spans="99:105" x14ac:dyDescent="0.25">
      <c r="CU192" s="95">
        <v>191</v>
      </c>
      <c r="CV192" s="95">
        <f si="196" t="shared"/>
        <v>10</v>
      </c>
      <c r="CW192" s="95">
        <f si="191" t="shared"/>
        <v>11</v>
      </c>
      <c r="CX192" s="58">
        <f si="192" t="shared"/>
        <v>709.44640405973132</v>
      </c>
      <c r="CY192" s="58">
        <f si="193" t="shared"/>
        <v>434</v>
      </c>
      <c r="CZ192" s="108">
        <f si="194" t="shared"/>
        <v>-275.44640405973132</v>
      </c>
      <c r="DA192" s="78">
        <f si="195" t="shared"/>
        <v>-0.38825540940586728</v>
      </c>
    </row>
    <row r="193" spans="99:105" x14ac:dyDescent="0.25">
      <c r="CU193" s="95">
        <v>192</v>
      </c>
      <c r="CV193" s="95">
        <f si="196" t="shared"/>
        <v>10</v>
      </c>
      <c r="CW193" s="95">
        <f si="191" t="shared"/>
        <v>12</v>
      </c>
      <c r="CX193" s="58">
        <f si="192" t="shared"/>
        <v>5911.7050871427982</v>
      </c>
      <c r="CY193" s="58">
        <f si="193" t="shared"/>
        <v>6231</v>
      </c>
      <c r="CZ193" s="108">
        <f si="194" t="shared"/>
        <v>319.29491285720178</v>
      </c>
      <c r="DA193" s="78">
        <f si="195" t="shared"/>
        <v>5.4010629446253559E-2</v>
      </c>
    </row>
    <row r="194" spans="99:105" x14ac:dyDescent="0.25">
      <c r="CU194" s="95">
        <v>193</v>
      </c>
      <c r="CV194" s="95">
        <f si="196" t="shared"/>
        <v>10</v>
      </c>
      <c r="CW194" s="95">
        <f si="191" t="shared"/>
        <v>13</v>
      </c>
      <c r="CX194" s="58">
        <f si="192" t="shared"/>
        <v>434.6534669938855</v>
      </c>
      <c r="CY194" s="58">
        <f si="193" t="shared"/>
        <v>85</v>
      </c>
      <c r="CZ194" s="108">
        <f si="194" t="shared"/>
        <v>-349.6534669938855</v>
      </c>
      <c r="DA194" s="78">
        <f si="195" t="shared"/>
        <v>-0.80444191418080713</v>
      </c>
    </row>
    <row r="195" spans="99:105" x14ac:dyDescent="0.25">
      <c r="CU195" s="95">
        <v>194</v>
      </c>
      <c r="CV195" s="95">
        <f si="196" t="shared"/>
        <v>10</v>
      </c>
      <c r="CW195" s="95">
        <f ref="CW195:CW258" si="219" t="shared">MOD(ROW()-2,$CS$2)+1</f>
        <v>14</v>
      </c>
      <c r="CX195" s="58">
        <f ref="CX195:CX258" si="220" t="shared">VLOOKUP($CV195,$B$30:$V$49,MATCH($CW195,$B$29:$V$29,0),0)</f>
        <v>140.00856869514578</v>
      </c>
      <c r="CY195" s="58">
        <f ref="CY195:CY258" si="221" t="shared">VLOOKUP($CV195,$AY$30:$BS$49,MATCH($CW195,$AY$29:$BS$29,0),0)</f>
        <v>41</v>
      </c>
      <c r="CZ195" s="108">
        <f ref="CZ195:CZ258" si="222" t="shared">CY195-CX195</f>
        <v>-99.008568695145783</v>
      </c>
      <c r="DA195" s="78">
        <f ref="DA195:DA258" si="223" t="shared">CZ195/CX195</f>
        <v>-0.7071607803571418</v>
      </c>
    </row>
    <row r="196" spans="99:105" x14ac:dyDescent="0.25">
      <c r="CU196" s="95">
        <v>195</v>
      </c>
      <c r="CV196" s="95">
        <f ref="CV196:CV259" si="224" t="shared">IF(CW195&lt;$CS$2,CV195,CV195+1)</f>
        <v>10</v>
      </c>
      <c r="CW196" s="95">
        <f si="219" t="shared"/>
        <v>15</v>
      </c>
      <c r="CX196" s="58">
        <f si="220" t="shared"/>
        <v>152.54664947381556</v>
      </c>
      <c r="CY196" s="58">
        <f si="221" t="shared"/>
        <v>38</v>
      </c>
      <c r="CZ196" s="108">
        <f si="222" t="shared"/>
        <v>-114.54664947381556</v>
      </c>
      <c r="DA196" s="78">
        <f si="223" t="shared"/>
        <v>-0.75089587263257029</v>
      </c>
    </row>
    <row r="197" spans="99:105" x14ac:dyDescent="0.25">
      <c r="CU197" s="95">
        <v>196</v>
      </c>
      <c r="CV197" s="95">
        <f si="224" t="shared"/>
        <v>10</v>
      </c>
      <c r="CW197" s="95">
        <f si="219" t="shared"/>
        <v>16</v>
      </c>
      <c r="CX197" s="58">
        <f si="220" t="shared"/>
        <v>417.93602595565909</v>
      </c>
      <c r="CY197" s="58">
        <f si="221" t="shared"/>
        <v>434</v>
      </c>
      <c r="CZ197" s="108">
        <f si="222" t="shared"/>
        <v>16.06397404434091</v>
      </c>
      <c r="DA197" s="78">
        <f si="223" t="shared"/>
        <v>3.8436442533540331E-2</v>
      </c>
    </row>
    <row r="198" spans="99:105" x14ac:dyDescent="0.25">
      <c r="CU198" s="95">
        <v>197</v>
      </c>
      <c r="CV198" s="95">
        <f si="224" t="shared"/>
        <v>10</v>
      </c>
      <c r="CW198" s="95">
        <f si="219" t="shared"/>
        <v>17</v>
      </c>
      <c r="CX198" s="58">
        <f si="220" t="shared"/>
        <v>58.511043633792269</v>
      </c>
      <c r="CY198" s="58">
        <f si="221" t="shared"/>
        <v>25</v>
      </c>
      <c r="CZ198" s="108">
        <f si="222" t="shared"/>
        <v>-33.511043633792269</v>
      </c>
      <c r="DA198" s="78">
        <f si="223" t="shared"/>
        <v>-0.57273023266394818</v>
      </c>
    </row>
    <row r="199" spans="99:105" x14ac:dyDescent="0.25">
      <c r="CU199" s="95">
        <v>198</v>
      </c>
      <c r="CV199" s="95">
        <f si="224" t="shared"/>
        <v>10</v>
      </c>
      <c r="CW199" s="95">
        <f si="219" t="shared"/>
        <v>18</v>
      </c>
      <c r="CX199" s="58">
        <f si="220" t="shared"/>
        <v>138.96372863025664</v>
      </c>
      <c r="CY199" s="58">
        <f si="221" t="shared"/>
        <v>61</v>
      </c>
      <c r="CZ199" s="108">
        <f si="222" t="shared"/>
        <v>-77.963728630256639</v>
      </c>
      <c r="DA199" s="78">
        <f si="223" t="shared"/>
        <v>-0.56103653376843521</v>
      </c>
    </row>
    <row r="200" spans="99:105" x14ac:dyDescent="0.25">
      <c r="CU200" s="95">
        <v>199</v>
      </c>
      <c r="CV200" s="95">
        <f si="224" t="shared"/>
        <v>10</v>
      </c>
      <c r="CW200" s="95">
        <f si="219" t="shared"/>
        <v>19</v>
      </c>
      <c r="CX200" s="58">
        <f si="220" t="shared"/>
        <v>178.66765109604427</v>
      </c>
      <c r="CY200" s="58">
        <f si="221" t="shared"/>
        <v>74</v>
      </c>
      <c r="CZ200" s="108">
        <f si="222" t="shared"/>
        <v>-104.66765109604427</v>
      </c>
      <c r="DA200" s="78">
        <f si="223" t="shared"/>
        <v>-0.58582317758114655</v>
      </c>
    </row>
    <row r="201" spans="99:105" x14ac:dyDescent="0.25">
      <c r="CU201" s="95">
        <v>200</v>
      </c>
      <c r="CV201" s="95">
        <f si="224" t="shared"/>
        <v>10</v>
      </c>
      <c r="CW201" s="95">
        <f si="219" t="shared"/>
        <v>20</v>
      </c>
      <c r="CX201" s="58">
        <f si="220" t="shared"/>
        <v>78.363004866686069</v>
      </c>
      <c r="CY201" s="58">
        <f si="221" t="shared"/>
        <v>15</v>
      </c>
      <c r="CZ201" s="108">
        <f si="222" t="shared"/>
        <v>-63.363004866686069</v>
      </c>
      <c r="DA201" s="78">
        <f si="223" t="shared"/>
        <v>-0.80858314423344879</v>
      </c>
    </row>
    <row r="202" spans="99:105" x14ac:dyDescent="0.25">
      <c r="CU202" s="95">
        <v>201</v>
      </c>
      <c r="CV202" s="95">
        <f si="224" t="shared"/>
        <v>11</v>
      </c>
      <c r="CW202" s="95">
        <f si="219" t="shared"/>
        <v>1</v>
      </c>
      <c r="CX202" s="58">
        <f si="220" t="shared"/>
        <v>4527.2320768662239</v>
      </c>
      <c r="CY202" s="58">
        <f si="221" t="shared"/>
        <v>5201.0000000000009</v>
      </c>
      <c r="CZ202" s="108">
        <f si="222" t="shared"/>
        <v>673.767923133777</v>
      </c>
      <c r="DA202" s="78">
        <f si="223" t="shared"/>
        <v>0.14882557635529103</v>
      </c>
    </row>
    <row r="203" spans="99:105" x14ac:dyDescent="0.25">
      <c r="CU203" s="95">
        <v>202</v>
      </c>
      <c r="CV203" s="95">
        <f si="224" t="shared"/>
        <v>11</v>
      </c>
      <c r="CW203" s="95">
        <f si="219" t="shared"/>
        <v>2</v>
      </c>
      <c r="CX203" s="58">
        <f si="220" t="shared"/>
        <v>3217.07270879527</v>
      </c>
      <c r="CY203" s="58">
        <f si="221" t="shared"/>
        <v>3064.0000000000005</v>
      </c>
      <c r="CZ203" s="108">
        <f si="222" t="shared"/>
        <v>-153.07270879526959</v>
      </c>
      <c r="DA203" s="78">
        <f si="223" t="shared"/>
        <v>-4.7581364380350696E-2</v>
      </c>
    </row>
    <row r="204" spans="99:105" x14ac:dyDescent="0.25">
      <c r="CU204" s="95">
        <v>203</v>
      </c>
      <c r="CV204" s="95">
        <f si="224" t="shared"/>
        <v>11</v>
      </c>
      <c r="CW204" s="95">
        <f si="219" t="shared"/>
        <v>3</v>
      </c>
      <c r="CX204" s="58">
        <f si="220" t="shared"/>
        <v>2514.271988174427</v>
      </c>
      <c r="CY204" s="58">
        <f si="221" t="shared"/>
        <v>3328.0000000000005</v>
      </c>
      <c r="CZ204" s="108">
        <f si="222" t="shared"/>
        <v>813.7280118255735</v>
      </c>
      <c r="DA204" s="78">
        <f si="223" t="shared"/>
        <v>0.32364358973605256</v>
      </c>
    </row>
    <row r="205" spans="99:105" x14ac:dyDescent="0.25">
      <c r="CU205" s="95">
        <v>204</v>
      </c>
      <c r="CV205" s="95">
        <f si="224" t="shared"/>
        <v>11</v>
      </c>
      <c r="CW205" s="95">
        <f si="219" t="shared"/>
        <v>4</v>
      </c>
      <c r="CX205" s="58">
        <f si="220" t="shared"/>
        <v>1911.733647450111</v>
      </c>
      <c r="CY205" s="58">
        <f si="221" t="shared"/>
        <v>2169.0000000000005</v>
      </c>
      <c r="CZ205" s="108">
        <f si="222" t="shared"/>
        <v>257.26635254988946</v>
      </c>
      <c r="DA205" s="78">
        <f si="223" t="shared"/>
        <v>0.13457227835741337</v>
      </c>
    </row>
    <row r="206" spans="99:105" x14ac:dyDescent="0.25">
      <c r="CU206" s="95">
        <v>205</v>
      </c>
      <c r="CV206" s="95">
        <f si="224" t="shared"/>
        <v>11</v>
      </c>
      <c r="CW206" s="95">
        <f si="219" t="shared"/>
        <v>5</v>
      </c>
      <c r="CX206" s="58">
        <f si="220" t="shared"/>
        <v>1410.4217479674796</v>
      </c>
      <c r="CY206" s="58">
        <f si="221" t="shared"/>
        <v>1418.0000000000002</v>
      </c>
      <c r="CZ206" s="108">
        <f si="222" t="shared"/>
        <v>7.5782520325205951</v>
      </c>
      <c r="DA206" s="78">
        <f si="223" t="shared"/>
        <v>5.3730396907459826E-3</v>
      </c>
    </row>
    <row r="207" spans="99:105" x14ac:dyDescent="0.25">
      <c r="CU207" s="95">
        <v>206</v>
      </c>
      <c r="CV207" s="95">
        <f si="224" t="shared"/>
        <v>11</v>
      </c>
      <c r="CW207" s="95">
        <f si="219" t="shared"/>
        <v>6</v>
      </c>
      <c r="CX207" s="58">
        <f si="220" t="shared"/>
        <v>7993.0326127124908</v>
      </c>
      <c r="CY207" s="58">
        <f si="221" t="shared"/>
        <v>7768.0000000000009</v>
      </c>
      <c r="CZ207" s="108">
        <f si="222" t="shared"/>
        <v>-225.03261271248994</v>
      </c>
      <c r="DA207" s="78">
        <f si="223" t="shared"/>
        <v>-2.8153596215107091E-2</v>
      </c>
    </row>
    <row r="208" spans="99:105" x14ac:dyDescent="0.25">
      <c r="CU208" s="95">
        <v>207</v>
      </c>
      <c r="CV208" s="95">
        <f si="224" t="shared"/>
        <v>11</v>
      </c>
      <c r="CW208" s="95">
        <f si="219" t="shared"/>
        <v>7</v>
      </c>
      <c r="CX208" s="58">
        <f si="220" t="shared"/>
        <v>2708.0483185513672</v>
      </c>
      <c r="CY208" s="58">
        <f si="221" t="shared"/>
        <v>1449.0000000000002</v>
      </c>
      <c r="CZ208" s="108">
        <f si="222" t="shared"/>
        <v>-1259.0483185513669</v>
      </c>
      <c r="DA208" s="78">
        <f si="223" t="shared"/>
        <v>-0.46492830645831212</v>
      </c>
    </row>
    <row r="209" spans="99:105" x14ac:dyDescent="0.25">
      <c r="CU209" s="95">
        <v>208</v>
      </c>
      <c r="CV209" s="95">
        <f si="224" t="shared"/>
        <v>11</v>
      </c>
      <c r="CW209" s="95">
        <f si="219" t="shared"/>
        <v>8</v>
      </c>
      <c r="CX209" s="58">
        <f si="220" t="shared"/>
        <v>492.63534737620103</v>
      </c>
      <c r="CY209" s="58">
        <f si="221" t="shared"/>
        <v>527.00000000000011</v>
      </c>
      <c r="CZ209" s="108">
        <f si="222" t="shared"/>
        <v>34.364652623799088</v>
      </c>
      <c r="DA209" s="78">
        <f si="223" t="shared"/>
        <v>6.9756774065902583E-2</v>
      </c>
    </row>
    <row r="210" spans="99:105" x14ac:dyDescent="0.25">
      <c r="CU210" s="95">
        <v>209</v>
      </c>
      <c r="CV210" s="95">
        <f si="224" t="shared"/>
        <v>11</v>
      </c>
      <c r="CW210" s="95">
        <f si="219" t="shared"/>
        <v>9</v>
      </c>
      <c r="CX210" s="58">
        <f si="220" t="shared"/>
        <v>3739.5939578713969</v>
      </c>
      <c r="CY210" s="58">
        <f si="221" t="shared"/>
        <v>3826.0000000000005</v>
      </c>
      <c r="CZ210" s="108">
        <f si="222" t="shared"/>
        <v>86.406042128603531</v>
      </c>
      <c r="DA210" s="78">
        <f si="223" t="shared"/>
        <v>2.3105728349659238E-2</v>
      </c>
    </row>
    <row r="211" spans="99:105" x14ac:dyDescent="0.25">
      <c r="CU211" s="95">
        <v>210</v>
      </c>
      <c r="CV211" s="95">
        <f si="224" t="shared"/>
        <v>11</v>
      </c>
      <c r="CW211" s="95">
        <f si="219" t="shared"/>
        <v>10</v>
      </c>
      <c r="CX211" s="58">
        <f si="220" t="shared"/>
        <v>826.20057280118249</v>
      </c>
      <c r="CY211" s="58">
        <f si="221" t="shared"/>
        <v>778.00000000000011</v>
      </c>
      <c r="CZ211" s="108">
        <f si="222" t="shared"/>
        <v>-48.200572801182375</v>
      </c>
      <c r="DA211" s="78">
        <f si="223" t="shared"/>
        <v>-5.8340037985886745E-2</v>
      </c>
    </row>
    <row r="212" spans="99:105" x14ac:dyDescent="0.25">
      <c r="CU212" s="95">
        <v>211</v>
      </c>
      <c r="CV212" s="95">
        <f si="224" t="shared"/>
        <v>11</v>
      </c>
      <c r="CW212" s="95">
        <f si="219" t="shared"/>
        <v>11</v>
      </c>
      <c r="CX212" s="58">
        <f si="220" t="shared"/>
        <v>10013.705192165558</v>
      </c>
      <c r="CY212" s="58">
        <f si="221" t="shared"/>
        <v>13912.000000000002</v>
      </c>
      <c r="CZ212" s="108">
        <f si="222" t="shared"/>
        <v>3898.2948078344434</v>
      </c>
      <c r="DA212" s="78">
        <f si="223" t="shared"/>
        <v>0.38929594321234462</v>
      </c>
    </row>
    <row r="213" spans="99:105" x14ac:dyDescent="0.25">
      <c r="CU213" s="95">
        <v>212</v>
      </c>
      <c r="CV213" s="95">
        <f si="224" t="shared"/>
        <v>11</v>
      </c>
      <c r="CW213" s="95">
        <f si="219" t="shared"/>
        <v>12</v>
      </c>
      <c r="CX213" s="58">
        <f si="220" t="shared"/>
        <v>5775.6915188470066</v>
      </c>
      <c r="CY213" s="58">
        <f si="221" t="shared"/>
        <v>3803.0000000000005</v>
      </c>
      <c r="CZ213" s="108">
        <f si="222" t="shared"/>
        <v>-1972.6915188470061</v>
      </c>
      <c r="DA213" s="78">
        <f si="223" t="shared"/>
        <v>-0.34155070651017244</v>
      </c>
    </row>
    <row r="214" spans="99:105" x14ac:dyDescent="0.25">
      <c r="CU214" s="95">
        <v>213</v>
      </c>
      <c r="CV214" s="95">
        <f si="224" t="shared"/>
        <v>11</v>
      </c>
      <c r="CW214" s="95">
        <f si="219" t="shared"/>
        <v>13</v>
      </c>
      <c r="CX214" s="58">
        <f si="220" t="shared"/>
        <v>1030.5815779748707</v>
      </c>
      <c r="CY214" s="58">
        <f si="221" t="shared"/>
        <v>158.00000000000003</v>
      </c>
      <c r="CZ214" s="108">
        <f si="222" t="shared"/>
        <v>-872.5815779748707</v>
      </c>
      <c r="DA214" s="78">
        <f si="223" t="shared"/>
        <v>-0.84668850736641776</v>
      </c>
    </row>
    <row r="215" spans="99:105" x14ac:dyDescent="0.25">
      <c r="CU215" s="95">
        <v>214</v>
      </c>
      <c r="CV215" s="95">
        <f si="224" t="shared"/>
        <v>11</v>
      </c>
      <c r="CW215" s="95">
        <f si="219" t="shared"/>
        <v>14</v>
      </c>
      <c r="CX215" s="58">
        <f si="220" t="shared"/>
        <v>594.82584996304502</v>
      </c>
      <c r="CY215" s="58">
        <f si="221" t="shared"/>
        <v>565.00000000000011</v>
      </c>
      <c r="CZ215" s="108">
        <f si="222" t="shared"/>
        <v>-29.825849963044902</v>
      </c>
      <c r="DA215" s="78">
        <f si="223" t="shared"/>
        <v>-5.0142154993596706E-2</v>
      </c>
    </row>
    <row r="216" spans="99:105" x14ac:dyDescent="0.25">
      <c r="CU216" s="95">
        <v>215</v>
      </c>
      <c r="CV216" s="95">
        <f si="224" t="shared"/>
        <v>11</v>
      </c>
      <c r="CW216" s="95">
        <f si="219" t="shared"/>
        <v>15</v>
      </c>
      <c r="CX216" s="58">
        <f si="220" t="shared"/>
        <v>942.85199556541022</v>
      </c>
      <c r="CY216" s="58">
        <f si="221" t="shared"/>
        <v>542.00000000000011</v>
      </c>
      <c r="CZ216" s="108">
        <f si="222" t="shared"/>
        <v>-400.85199556541011</v>
      </c>
      <c r="DA216" s="78">
        <f si="223" t="shared"/>
        <v>-0.42514837689347718</v>
      </c>
    </row>
    <row r="217" spans="99:105" x14ac:dyDescent="0.25">
      <c r="CU217" s="95">
        <v>216</v>
      </c>
      <c r="CV217" s="95">
        <f si="224" t="shared"/>
        <v>11</v>
      </c>
      <c r="CW217" s="95">
        <f si="219" t="shared"/>
        <v>16</v>
      </c>
      <c r="CX217" s="58">
        <f si="220" t="shared"/>
        <v>120.50766814486327</v>
      </c>
      <c r="CY217" s="58">
        <f si="221" t="shared"/>
        <v>72.000000000000014</v>
      </c>
      <c r="CZ217" s="108">
        <f si="222" t="shared"/>
        <v>-48.50766814486326</v>
      </c>
      <c r="DA217" s="78">
        <f si="223" t="shared"/>
        <v>-0.40252764734068031</v>
      </c>
    </row>
    <row r="218" spans="99:105" x14ac:dyDescent="0.25">
      <c r="CU218" s="95">
        <v>217</v>
      </c>
      <c r="CV218" s="95">
        <f si="224" t="shared"/>
        <v>11</v>
      </c>
      <c r="CW218" s="95">
        <f si="219" t="shared"/>
        <v>17</v>
      </c>
      <c r="CX218" s="58">
        <f si="220" t="shared"/>
        <v>735.57880635624542</v>
      </c>
      <c r="CY218" s="58">
        <f si="221" t="shared"/>
        <v>898.00000000000011</v>
      </c>
      <c r="CZ218" s="108">
        <f si="222" t="shared"/>
        <v>162.42119364375469</v>
      </c>
      <c r="DA218" s="78">
        <f si="223" t="shared"/>
        <v>0.22080733191365642</v>
      </c>
    </row>
    <row r="219" spans="99:105" x14ac:dyDescent="0.25">
      <c r="CU219" s="95">
        <v>218</v>
      </c>
      <c r="CV219" s="95">
        <f si="224" t="shared"/>
        <v>11</v>
      </c>
      <c r="CW219" s="95">
        <f si="219" t="shared"/>
        <v>18</v>
      </c>
      <c r="CX219" s="58">
        <f si="220" t="shared"/>
        <v>214.02161862527714</v>
      </c>
      <c r="CY219" s="58">
        <f si="221" t="shared"/>
        <v>23.000000000000004</v>
      </c>
      <c r="CZ219" s="108">
        <f si="222" t="shared"/>
        <v>-191.02161862527714</v>
      </c>
      <c r="DA219" s="78">
        <f si="223" t="shared"/>
        <v>-0.89253422085238088</v>
      </c>
    </row>
    <row r="220" spans="99:105" x14ac:dyDescent="0.25">
      <c r="CU220" s="95">
        <v>219</v>
      </c>
      <c r="CV220" s="95">
        <f si="224" t="shared"/>
        <v>11</v>
      </c>
      <c r="CW220" s="95">
        <f si="219" t="shared"/>
        <v>19</v>
      </c>
      <c r="CX220" s="58">
        <f si="220" t="shared"/>
        <v>3233.461751662971</v>
      </c>
      <c r="CY220" s="58">
        <f si="221" t="shared"/>
        <v>2660.0000000000005</v>
      </c>
      <c r="CZ220" s="108">
        <f si="222" t="shared"/>
        <v>-573.46175166297053</v>
      </c>
      <c r="DA220" s="78">
        <f si="223" t="shared"/>
        <v>-0.17735226073666679</v>
      </c>
    </row>
    <row r="221" spans="99:105" x14ac:dyDescent="0.25">
      <c r="CU221" s="95">
        <v>220</v>
      </c>
      <c r="CV221" s="95">
        <f si="224" t="shared"/>
        <v>11</v>
      </c>
      <c r="CW221" s="95">
        <f si="219" t="shared"/>
        <v>20</v>
      </c>
      <c r="CX221" s="58">
        <f si="220" t="shared"/>
        <v>173.5310421286031</v>
      </c>
      <c r="CY221" s="58">
        <f si="221" t="shared"/>
        <v>14.000000000000002</v>
      </c>
      <c r="CZ221" s="108">
        <f si="222" t="shared"/>
        <v>-159.5310421286031</v>
      </c>
      <c r="DA221" s="78">
        <f si="223" t="shared"/>
        <v>-0.91932279188628019</v>
      </c>
    </row>
    <row r="222" spans="99:105" x14ac:dyDescent="0.25">
      <c r="CU222" s="95">
        <v>221</v>
      </c>
      <c r="CV222" s="95">
        <f si="224" t="shared"/>
        <v>12</v>
      </c>
      <c r="CW222" s="95">
        <f si="219" t="shared"/>
        <v>1</v>
      </c>
      <c r="CX222" s="58">
        <f si="220" t="shared"/>
        <v>8229.4601703357876</v>
      </c>
      <c r="CY222" s="58">
        <f si="221" t="shared"/>
        <v>8476</v>
      </c>
      <c r="CZ222" s="108">
        <f si="222" t="shared"/>
        <v>246.53982966421245</v>
      </c>
      <c r="DA222" s="78">
        <f si="223" t="shared"/>
        <v>2.9958201942929249E-2</v>
      </c>
    </row>
    <row r="223" spans="99:105" x14ac:dyDescent="0.25">
      <c r="CU223" s="95">
        <v>222</v>
      </c>
      <c r="CV223" s="95">
        <f si="224" t="shared"/>
        <v>12</v>
      </c>
      <c r="CW223" s="95">
        <f si="219" t="shared"/>
        <v>2</v>
      </c>
      <c r="CX223" s="58">
        <f si="220" t="shared"/>
        <v>4349.7537553962457</v>
      </c>
      <c r="CY223" s="58">
        <f si="221" t="shared"/>
        <v>5638</v>
      </c>
      <c r="CZ223" s="108">
        <f si="222" t="shared"/>
        <v>1288.2462446037543</v>
      </c>
      <c r="DA223" s="78">
        <f si="223" t="shared"/>
        <v>0.29616532729136069</v>
      </c>
    </row>
    <row r="224" spans="99:105" x14ac:dyDescent="0.25">
      <c r="CU224" s="95">
        <v>223</v>
      </c>
      <c r="CV224" s="95">
        <f si="224" t="shared"/>
        <v>12</v>
      </c>
      <c r="CW224" s="95">
        <f si="219" t="shared"/>
        <v>3</v>
      </c>
      <c r="CX224" s="58">
        <f si="220" t="shared"/>
        <v>1791.9906334850468</v>
      </c>
      <c r="CY224" s="58">
        <f si="221" t="shared"/>
        <v>1798</v>
      </c>
      <c r="CZ224" s="108">
        <f si="222" t="shared"/>
        <v>6.0093665149531716</v>
      </c>
      <c r="DA224" s="78">
        <f si="223" t="shared"/>
        <v>3.3534586636015007E-3</v>
      </c>
    </row>
    <row r="225" spans="99:105" x14ac:dyDescent="0.25">
      <c r="CU225" s="95">
        <v>224</v>
      </c>
      <c r="CV225" s="95">
        <f si="224" t="shared"/>
        <v>12</v>
      </c>
      <c r="CW225" s="95">
        <f si="219" t="shared"/>
        <v>4</v>
      </c>
      <c r="CX225" s="58">
        <f si="220" t="shared"/>
        <v>1955.9365049909165</v>
      </c>
      <c r="CY225" s="58">
        <f si="221" t="shared"/>
        <v>2285</v>
      </c>
      <c r="CZ225" s="108">
        <f si="222" t="shared"/>
        <v>329.06349500908345</v>
      </c>
      <c r="DA225" s="78">
        <f si="223" t="shared"/>
        <v>0.16823833195475416</v>
      </c>
    </row>
    <row r="226" spans="99:105" x14ac:dyDescent="0.25">
      <c r="CU226" s="95">
        <v>225</v>
      </c>
      <c r="CV226" s="95">
        <f si="224" t="shared"/>
        <v>12</v>
      </c>
      <c r="CW226" s="95">
        <f si="219" t="shared"/>
        <v>5</v>
      </c>
      <c r="CX226" s="58">
        <f si="220" t="shared"/>
        <v>2225.7208505069052</v>
      </c>
      <c r="CY226" s="58">
        <f si="221" t="shared"/>
        <v>2465</v>
      </c>
      <c r="CZ226" s="108">
        <f si="222" t="shared"/>
        <v>239.27914949309479</v>
      </c>
      <c r="DA226" s="78">
        <f si="223" t="shared"/>
        <v>0.10750636111379343</v>
      </c>
    </row>
    <row r="227" spans="99:105" x14ac:dyDescent="0.25">
      <c r="CU227" s="95">
        <v>226</v>
      </c>
      <c r="CV227" s="95">
        <f si="224" t="shared"/>
        <v>12</v>
      </c>
      <c r="CW227" s="95">
        <f si="219" t="shared"/>
        <v>6</v>
      </c>
      <c r="CX227" s="58">
        <f si="220" t="shared"/>
        <v>18836.13547750669</v>
      </c>
      <c r="CY227" s="58">
        <f si="221" t="shared"/>
        <v>18501</v>
      </c>
      <c r="CZ227" s="108">
        <f si="222" t="shared"/>
        <v>-335.13547750669022</v>
      </c>
      <c r="DA227" s="78">
        <f si="223" t="shared"/>
        <v>-1.7792156884138721E-2</v>
      </c>
    </row>
    <row r="228" spans="99:105" x14ac:dyDescent="0.25">
      <c r="CU228" s="95">
        <v>227</v>
      </c>
      <c r="CV228" s="95">
        <f si="224" t="shared"/>
        <v>12</v>
      </c>
      <c r="CW228" s="95">
        <f si="219" t="shared"/>
        <v>7</v>
      </c>
      <c r="CX228" s="58">
        <f si="220" t="shared"/>
        <v>7381.7147461567019</v>
      </c>
      <c r="CY228" s="58">
        <f si="221" t="shared"/>
        <v>8372</v>
      </c>
      <c r="CZ228" s="108">
        <f si="222" t="shared"/>
        <v>990.28525384329805</v>
      </c>
      <c r="DA228" s="78">
        <f si="223" t="shared"/>
        <v>0.13415382304753665</v>
      </c>
    </row>
    <row r="229" spans="99:105" x14ac:dyDescent="0.25">
      <c r="CU229" s="95">
        <v>228</v>
      </c>
      <c r="CV229" s="95">
        <f si="224" t="shared"/>
        <v>12</v>
      </c>
      <c r="CW229" s="95">
        <f si="219" t="shared"/>
        <v>8</v>
      </c>
      <c r="CX229" s="58">
        <f si="220" t="shared"/>
        <v>310.25199734338679</v>
      </c>
      <c r="CY229" s="58">
        <f si="221" t="shared"/>
        <v>473</v>
      </c>
      <c r="CZ229" s="108">
        <f si="222" t="shared"/>
        <v>162.74800265661321</v>
      </c>
      <c r="DA229" s="78">
        <f si="223" t="shared"/>
        <v>0.52456713913265729</v>
      </c>
    </row>
    <row r="230" spans="99:105" x14ac:dyDescent="0.25">
      <c r="CU230" s="95">
        <v>229</v>
      </c>
      <c r="CV230" s="95">
        <f si="224" t="shared"/>
        <v>12</v>
      </c>
      <c r="CW230" s="95">
        <f si="219" t="shared"/>
        <v>9</v>
      </c>
      <c r="CX230" s="58">
        <f si="220" t="shared"/>
        <v>4123.5499580020705</v>
      </c>
      <c r="CY230" s="58">
        <f si="221" t="shared"/>
        <v>3154</v>
      </c>
      <c r="CZ230" s="108">
        <f si="222" t="shared"/>
        <v>-969.54995800207053</v>
      </c>
      <c r="DA230" s="78">
        <f si="223" t="shared"/>
        <v>-0.23512506647835882</v>
      </c>
    </row>
    <row r="231" spans="99:105" x14ac:dyDescent="0.25">
      <c r="CU231" s="95">
        <v>230</v>
      </c>
      <c r="CV231" s="95">
        <f si="224" t="shared"/>
        <v>12</v>
      </c>
      <c r="CW231" s="95">
        <f si="219" t="shared"/>
        <v>10</v>
      </c>
      <c r="CX231" s="58">
        <f si="220" t="shared"/>
        <v>1947.6354482058093</v>
      </c>
      <c r="CY231" s="58">
        <f si="221" t="shared"/>
        <v>2504</v>
      </c>
      <c r="CZ231" s="108">
        <f si="222" t="shared"/>
        <v>556.36455179419067</v>
      </c>
      <c r="DA231" s="78">
        <f si="223" t="shared"/>
        <v>0.28566154528904369</v>
      </c>
    </row>
    <row r="232" spans="99:105" x14ac:dyDescent="0.25">
      <c r="CU232" s="95">
        <v>231</v>
      </c>
      <c r="CV232" s="95">
        <f si="224" t="shared"/>
        <v>12</v>
      </c>
      <c r="CW232" s="95">
        <f si="219" t="shared"/>
        <v>11</v>
      </c>
      <c r="CX232" s="58">
        <f si="220" t="shared"/>
        <v>2110.5436876135409</v>
      </c>
      <c r="CY232" s="58">
        <f si="221" t="shared"/>
        <v>1058</v>
      </c>
      <c r="CZ232" s="108">
        <f si="222" t="shared"/>
        <v>-1052.5436876135409</v>
      </c>
      <c r="DA232" s="78">
        <f si="223" t="shared"/>
        <v>-0.49870736805438298</v>
      </c>
    </row>
    <row r="233" spans="99:105" x14ac:dyDescent="0.25">
      <c r="CU233" s="95">
        <v>232</v>
      </c>
      <c r="CV233" s="95">
        <f si="224" t="shared"/>
        <v>12</v>
      </c>
      <c r="CW233" s="95">
        <f si="219" t="shared"/>
        <v>12</v>
      </c>
      <c r="CX233" s="58">
        <f si="220" t="shared"/>
        <v>45782.40343406325</v>
      </c>
      <c r="CY233" s="58">
        <f si="221" t="shared"/>
        <v>46711</v>
      </c>
      <c r="CZ233" s="108">
        <f si="222" t="shared"/>
        <v>928.59656593675027</v>
      </c>
      <c r="DA233" s="78">
        <f si="223" t="shared"/>
        <v>2.0282826944071075E-2</v>
      </c>
    </row>
    <row r="234" spans="99:105" x14ac:dyDescent="0.25">
      <c r="CU234" s="95">
        <v>233</v>
      </c>
      <c r="CV234" s="95">
        <f si="224" t="shared"/>
        <v>12</v>
      </c>
      <c r="CW234" s="95">
        <f si="219" t="shared"/>
        <v>13</v>
      </c>
      <c r="CX234" s="58">
        <f si="220" t="shared"/>
        <v>2746.6121637723904</v>
      </c>
      <c r="CY234" s="58">
        <f si="221" t="shared"/>
        <v>1962</v>
      </c>
      <c r="CZ234" s="108">
        <f si="222" t="shared"/>
        <v>-784.61216377239043</v>
      </c>
      <c r="DA234" s="78">
        <f si="223" t="shared"/>
        <v>-0.28566543690491375</v>
      </c>
    </row>
    <row r="235" spans="99:105" x14ac:dyDescent="0.25">
      <c r="CU235" s="95">
        <v>234</v>
      </c>
      <c r="CV235" s="95">
        <f si="224" t="shared"/>
        <v>12</v>
      </c>
      <c r="CW235" s="95">
        <f si="219" t="shared"/>
        <v>14</v>
      </c>
      <c r="CX235" s="58">
        <f si="220" t="shared"/>
        <v>226.20379739417498</v>
      </c>
      <c r="CY235" s="58">
        <f si="221" t="shared"/>
        <v>79</v>
      </c>
      <c r="CZ235" s="108">
        <f si="222" t="shared"/>
        <v>-147.20379739417498</v>
      </c>
      <c r="DA235" s="78">
        <f si="223" t="shared"/>
        <v>-0.65075741030846923</v>
      </c>
    </row>
    <row r="236" spans="99:105" x14ac:dyDescent="0.25">
      <c r="CU236" s="95">
        <v>235</v>
      </c>
      <c r="CV236" s="95">
        <f si="224" t="shared"/>
        <v>12</v>
      </c>
      <c r="CW236" s="95">
        <f si="219" t="shared"/>
        <v>15</v>
      </c>
      <c r="CX236" s="58">
        <f si="220" t="shared"/>
        <v>762.65959213173676</v>
      </c>
      <c r="CY236" s="58">
        <f si="221" t="shared"/>
        <v>326</v>
      </c>
      <c r="CZ236" s="108">
        <f si="222" t="shared"/>
        <v>-436.65959213173676</v>
      </c>
      <c r="DA236" s="78">
        <f si="223" t="shared"/>
        <v>-0.57254848249035206</v>
      </c>
    </row>
    <row r="237" spans="99:105" x14ac:dyDescent="0.25">
      <c r="CU237" s="95">
        <v>236</v>
      </c>
      <c r="CV237" s="95">
        <f si="224" t="shared"/>
        <v>12</v>
      </c>
      <c r="CW237" s="95">
        <f si="219" t="shared"/>
        <v>16</v>
      </c>
      <c r="CX237" s="58">
        <f si="220" t="shared"/>
        <v>433.73021702185849</v>
      </c>
      <c r="CY237" s="58">
        <f si="221" t="shared"/>
        <v>682</v>
      </c>
      <c r="CZ237" s="108">
        <f si="222" t="shared"/>
        <v>248.26978297814151</v>
      </c>
      <c r="DA237" s="78">
        <f si="223" t="shared"/>
        <v>0.57240601008352054</v>
      </c>
    </row>
    <row r="238" spans="99:105" x14ac:dyDescent="0.25">
      <c r="CU238" s="95">
        <v>237</v>
      </c>
      <c r="CV238" s="95">
        <f si="224" t="shared"/>
        <v>12</v>
      </c>
      <c r="CW238" s="95">
        <f si="219" t="shared"/>
        <v>17</v>
      </c>
      <c r="CX238" s="58">
        <f si="220" t="shared"/>
        <v>154.60718262262418</v>
      </c>
      <c r="CY238" s="58">
        <f si="221" t="shared"/>
        <v>105</v>
      </c>
      <c r="CZ238" s="108">
        <f si="222" t="shared"/>
        <v>-49.60718262262418</v>
      </c>
      <c r="DA238" s="78">
        <f si="223" t="shared"/>
        <v>-0.32085949553656118</v>
      </c>
    </row>
    <row r="239" spans="99:105" x14ac:dyDescent="0.25">
      <c r="CU239" s="95">
        <v>238</v>
      </c>
      <c r="CV239" s="95">
        <f si="224" t="shared"/>
        <v>12</v>
      </c>
      <c r="CW239" s="95">
        <f si="219" t="shared"/>
        <v>18</v>
      </c>
      <c r="CX239" s="58">
        <f si="220" t="shared"/>
        <v>1647.7597718438069</v>
      </c>
      <c r="CY239" s="58">
        <f si="221" t="shared"/>
        <v>1259</v>
      </c>
      <c r="CZ239" s="108">
        <f si="222" t="shared"/>
        <v>-388.7597718438069</v>
      </c>
      <c r="DA239" s="78">
        <f si="223" t="shared"/>
        <v>-0.23593231154611408</v>
      </c>
    </row>
    <row r="240" spans="99:105" x14ac:dyDescent="0.25">
      <c r="CU240" s="95">
        <v>239</v>
      </c>
      <c r="CV240" s="95">
        <f si="224" t="shared"/>
        <v>12</v>
      </c>
      <c r="CW240" s="95">
        <f si="219" t="shared"/>
        <v>19</v>
      </c>
      <c r="CX240" s="58">
        <f si="220" t="shared"/>
        <v>447.21943429765793</v>
      </c>
      <c r="CY240" s="58">
        <f si="221" t="shared"/>
        <v>175</v>
      </c>
      <c r="CZ240" s="108">
        <f si="222" t="shared"/>
        <v>-272.21943429765793</v>
      </c>
      <c r="DA240" s="78">
        <f si="223" t="shared"/>
        <v>-0.60869321281882305</v>
      </c>
    </row>
    <row r="241" spans="99:105" x14ac:dyDescent="0.25">
      <c r="CU241" s="95">
        <v>240</v>
      </c>
      <c r="CV241" s="95">
        <f si="224" t="shared"/>
        <v>12</v>
      </c>
      <c r="CW241" s="95">
        <f si="219" t="shared"/>
        <v>20</v>
      </c>
      <c r="CX241" s="58">
        <f si="220" t="shared"/>
        <v>775.11117730939782</v>
      </c>
      <c r="CY241" s="58">
        <f si="221" t="shared"/>
        <v>216</v>
      </c>
      <c r="CZ241" s="108">
        <f si="222" t="shared"/>
        <v>-559.11117730939782</v>
      </c>
      <c r="DA241" s="78">
        <f si="223" t="shared"/>
        <v>-0.72133029902911561</v>
      </c>
    </row>
    <row r="242" spans="99:105" x14ac:dyDescent="0.25">
      <c r="CU242" s="95">
        <v>241</v>
      </c>
      <c r="CV242" s="95">
        <f si="224" t="shared"/>
        <v>13</v>
      </c>
      <c r="CW242" s="95">
        <f si="219" t="shared"/>
        <v>1</v>
      </c>
      <c r="CX242" s="58">
        <f si="220" t="shared"/>
        <v>2460.7754489825716</v>
      </c>
      <c r="CY242" s="58">
        <f si="221" t="shared"/>
        <v>1638</v>
      </c>
      <c r="CZ242" s="108">
        <f si="222" t="shared"/>
        <v>-822.77544898257156</v>
      </c>
      <c r="DA242" s="78">
        <f si="223" t="shared"/>
        <v>-0.3343561678180571</v>
      </c>
    </row>
    <row r="243" spans="99:105" x14ac:dyDescent="0.25">
      <c r="CU243" s="95">
        <v>242</v>
      </c>
      <c r="CV243" s="95">
        <f si="224" t="shared"/>
        <v>13</v>
      </c>
      <c r="CW243" s="95">
        <f si="219" t="shared"/>
        <v>2</v>
      </c>
      <c r="CX243" s="58">
        <f si="220" t="shared"/>
        <v>2279.1940348036155</v>
      </c>
      <c r="CY243" s="58">
        <f si="221" t="shared"/>
        <v>1505</v>
      </c>
      <c r="CZ243" s="108">
        <f si="222" t="shared"/>
        <v>-774.19403480361552</v>
      </c>
      <c r="DA243" s="78">
        <f si="223" t="shared"/>
        <v>-0.33967886146662507</v>
      </c>
    </row>
    <row r="244" spans="99:105" x14ac:dyDescent="0.25">
      <c r="CU244" s="95">
        <v>243</v>
      </c>
      <c r="CV244" s="95">
        <f si="224" t="shared"/>
        <v>13</v>
      </c>
      <c r="CW244" s="95">
        <f si="219" t="shared"/>
        <v>3</v>
      </c>
      <c r="CX244" s="58">
        <f si="220" t="shared"/>
        <v>902.94583007021788</v>
      </c>
      <c r="CY244" s="58">
        <f si="221" t="shared"/>
        <v>462</v>
      </c>
      <c r="CZ244" s="108">
        <f si="222" t="shared"/>
        <v>-440.94583007021788</v>
      </c>
      <c r="DA244" s="78">
        <f si="223" t="shared"/>
        <v>-0.48834139921320374</v>
      </c>
    </row>
    <row r="245" spans="99:105" x14ac:dyDescent="0.25">
      <c r="CU245" s="95">
        <v>244</v>
      </c>
      <c r="CV245" s="95">
        <f si="224" t="shared"/>
        <v>13</v>
      </c>
      <c r="CW245" s="95">
        <f si="219" t="shared"/>
        <v>4</v>
      </c>
      <c r="CX245" s="58">
        <f si="220" t="shared"/>
        <v>1002.1706465614506</v>
      </c>
      <c r="CY245" s="58">
        <f si="221" t="shared"/>
        <v>446</v>
      </c>
      <c r="CZ245" s="108">
        <f si="222" t="shared"/>
        <v>-556.17064656145055</v>
      </c>
      <c r="DA245" s="78">
        <f si="223" t="shared"/>
        <v>-0.55496601149687297</v>
      </c>
    </row>
    <row r="246" spans="99:105" x14ac:dyDescent="0.25">
      <c r="CU246" s="95">
        <v>245</v>
      </c>
      <c r="CV246" s="95">
        <f si="224" t="shared"/>
        <v>13</v>
      </c>
      <c r="CW246" s="95">
        <f si="219" t="shared"/>
        <v>5</v>
      </c>
      <c r="CX246" s="58">
        <f si="220" t="shared"/>
        <v>603.28688426669498</v>
      </c>
      <c r="CY246" s="58">
        <f si="221" t="shared"/>
        <v>372</v>
      </c>
      <c r="CZ246" s="108">
        <f si="222" t="shared"/>
        <v>-231.28688426669498</v>
      </c>
      <c r="DA246" s="78">
        <f si="223" t="shared"/>
        <v>-0.38337794223361571</v>
      </c>
    </row>
    <row r="247" spans="99:105" x14ac:dyDescent="0.25">
      <c r="CU247" s="95">
        <v>246</v>
      </c>
      <c r="CV247" s="95">
        <f si="224" t="shared"/>
        <v>13</v>
      </c>
      <c r="CW247" s="95">
        <f si="219" t="shared"/>
        <v>6</v>
      </c>
      <c r="CX247" s="58">
        <f si="220" t="shared"/>
        <v>4673.4888567370617</v>
      </c>
      <c r="CY247" s="58">
        <f si="221" t="shared"/>
        <v>2745</v>
      </c>
      <c r="CZ247" s="108">
        <f si="222" t="shared"/>
        <v>-1928.4888567370617</v>
      </c>
      <c r="DA247" s="78">
        <f si="223" t="shared"/>
        <v>-0.41264436823403378</v>
      </c>
    </row>
    <row r="248" spans="99:105" x14ac:dyDescent="0.25">
      <c r="CU248" s="95">
        <v>247</v>
      </c>
      <c r="CV248" s="95">
        <f si="224" t="shared"/>
        <v>13</v>
      </c>
      <c r="CW248" s="95">
        <f si="219" t="shared"/>
        <v>7</v>
      </c>
      <c r="CX248" s="58">
        <f si="220" t="shared"/>
        <v>13315.970373123431</v>
      </c>
      <c r="CY248" s="58">
        <f si="221" t="shared"/>
        <v>16455</v>
      </c>
      <c r="CZ248" s="108">
        <f si="222" t="shared"/>
        <v>3139.0296268765687</v>
      </c>
      <c r="DA248" s="78">
        <f si="223" t="shared"/>
        <v>0.23573420028121234</v>
      </c>
    </row>
    <row r="249" spans="99:105" x14ac:dyDescent="0.25">
      <c r="CU249" s="95">
        <v>248</v>
      </c>
      <c r="CV249" s="95">
        <f si="224" t="shared"/>
        <v>13</v>
      </c>
      <c r="CW249" s="95">
        <f si="219" t="shared"/>
        <v>8</v>
      </c>
      <c r="CX249" s="58">
        <f si="220" t="shared"/>
        <v>156.7752100561477</v>
      </c>
      <c r="CY249" s="58">
        <f si="221" t="shared"/>
        <v>64</v>
      </c>
      <c r="CZ249" s="108">
        <f si="222" t="shared"/>
        <v>-92.775210056147699</v>
      </c>
      <c r="DA249" s="78">
        <f si="223" t="shared"/>
        <v>-0.59177219423224536</v>
      </c>
    </row>
    <row r="250" spans="99:105" x14ac:dyDescent="0.25">
      <c r="CU250" s="95">
        <v>249</v>
      </c>
      <c r="CV250" s="95">
        <f si="224" t="shared"/>
        <v>13</v>
      </c>
      <c r="CW250" s="95">
        <f si="219" t="shared"/>
        <v>9</v>
      </c>
      <c r="CX250" s="58">
        <f si="220" t="shared"/>
        <v>2792.1863360632892</v>
      </c>
      <c r="CY250" s="58">
        <f si="221" t="shared"/>
        <v>2057</v>
      </c>
      <c r="CZ250" s="108">
        <f si="222" t="shared"/>
        <v>-735.18633606328922</v>
      </c>
      <c r="DA250" s="78">
        <f si="223" t="shared"/>
        <v>-0.26330131573519205</v>
      </c>
    </row>
    <row r="251" spans="99:105" x14ac:dyDescent="0.25">
      <c r="CU251" s="95">
        <v>250</v>
      </c>
      <c r="CV251" s="95">
        <f si="224" t="shared"/>
        <v>13</v>
      </c>
      <c r="CW251" s="95">
        <f si="219" t="shared"/>
        <v>10</v>
      </c>
      <c r="CX251" s="58">
        <f si="220" t="shared"/>
        <v>731.28689754038521</v>
      </c>
      <c r="CY251" s="58">
        <f si="221" t="shared"/>
        <v>241</v>
      </c>
      <c r="CZ251" s="108">
        <f si="222" t="shared"/>
        <v>-490.28689754038521</v>
      </c>
      <c r="DA251" s="78">
        <f si="223" t="shared"/>
        <v>-0.67044397922268151</v>
      </c>
    </row>
    <row r="252" spans="99:105" x14ac:dyDescent="0.25">
      <c r="CU252" s="95">
        <v>251</v>
      </c>
      <c r="CV252" s="95">
        <f si="224" t="shared"/>
        <v>13</v>
      </c>
      <c r="CW252" s="95">
        <f si="219" t="shared"/>
        <v>11</v>
      </c>
      <c r="CX252" s="58">
        <f si="220" t="shared"/>
        <v>1272.0621474176037</v>
      </c>
      <c r="CY252" s="58">
        <f si="221" t="shared"/>
        <v>319</v>
      </c>
      <c r="CZ252" s="108">
        <f si="222" t="shared"/>
        <v>-953.06214741760368</v>
      </c>
      <c r="DA252" s="78">
        <f si="223" t="shared"/>
        <v>-0.74922608879794306</v>
      </c>
    </row>
    <row r="253" spans="99:105" x14ac:dyDescent="0.25">
      <c r="CU253" s="95">
        <v>252</v>
      </c>
      <c r="CV253" s="95">
        <f si="224" t="shared"/>
        <v>13</v>
      </c>
      <c r="CW253" s="95">
        <f si="219" t="shared"/>
        <v>12</v>
      </c>
      <c r="CX253" s="58">
        <f si="220" t="shared"/>
        <v>10370.977819663645</v>
      </c>
      <c r="CY253" s="58">
        <f si="221" t="shared"/>
        <v>11549</v>
      </c>
      <c r="CZ253" s="108">
        <f si="222" t="shared"/>
        <v>1178.0221803363547</v>
      </c>
      <c r="DA253" s="78">
        <f si="223" t="shared"/>
        <v>0.11358834247073539</v>
      </c>
    </row>
    <row r="254" spans="99:105" x14ac:dyDescent="0.25">
      <c r="CU254" s="95">
        <v>253</v>
      </c>
      <c r="CV254" s="95">
        <f si="224" t="shared"/>
        <v>13</v>
      </c>
      <c r="CW254" s="95">
        <f si="219" t="shared"/>
        <v>13</v>
      </c>
      <c r="CX254" s="58">
        <f si="220" t="shared"/>
        <v>29606.700744654023</v>
      </c>
      <c r="CY254" s="58">
        <f si="221" t="shared"/>
        <v>32581</v>
      </c>
      <c r="CZ254" s="108">
        <f si="222" t="shared"/>
        <v>2974.2992553459771</v>
      </c>
      <c r="DA254" s="78">
        <f si="223" t="shared"/>
        <v>0.1004603410896108</v>
      </c>
    </row>
    <row r="255" spans="99:105" x14ac:dyDescent="0.25">
      <c r="CU255" s="95">
        <v>254</v>
      </c>
      <c r="CV255" s="95">
        <f si="224" t="shared"/>
        <v>13</v>
      </c>
      <c r="CW255" s="95">
        <f si="219" t="shared"/>
        <v>14</v>
      </c>
      <c r="CX255" s="58">
        <f si="220" t="shared"/>
        <v>176.62017335439427</v>
      </c>
      <c r="CY255" s="58">
        <f si="221" t="shared"/>
        <v>17</v>
      </c>
      <c r="CZ255" s="108">
        <f si="222" t="shared"/>
        <v>-159.62017335439427</v>
      </c>
      <c r="DA255" s="78">
        <f si="223" t="shared"/>
        <v>-0.90374825436339634</v>
      </c>
    </row>
    <row r="256" spans="99:105" x14ac:dyDescent="0.25">
      <c r="CU256" s="95">
        <v>255</v>
      </c>
      <c r="CV256" s="95">
        <f si="224" t="shared"/>
        <v>13</v>
      </c>
      <c r="CW256" s="95">
        <f si="219" t="shared"/>
        <v>15</v>
      </c>
      <c r="CX256" s="58">
        <f si="220" t="shared"/>
        <v>2061.8916866878162</v>
      </c>
      <c r="CY256" s="58">
        <f si="221" t="shared"/>
        <v>2678</v>
      </c>
      <c r="CZ256" s="108">
        <f si="222" t="shared"/>
        <v>616.10831331218378</v>
      </c>
      <c r="DA256" s="78">
        <f si="223" t="shared"/>
        <v>0.29880731237725128</v>
      </c>
    </row>
    <row r="257" spans="99:105" x14ac:dyDescent="0.25">
      <c r="CU257" s="95">
        <v>256</v>
      </c>
      <c r="CV257" s="95">
        <f si="224" t="shared"/>
        <v>13</v>
      </c>
      <c r="CW257" s="95">
        <f si="219" t="shared"/>
        <v>16</v>
      </c>
      <c r="CX257" s="58">
        <f si="220" t="shared"/>
        <v>157.76745822106002</v>
      </c>
      <c r="CY257" s="58">
        <f si="221" t="shared"/>
        <v>92</v>
      </c>
      <c r="CZ257" s="108">
        <f si="222" t="shared"/>
        <v>-65.767458221060025</v>
      </c>
      <c r="DA257" s="78">
        <f si="223" t="shared"/>
        <v>-0.41686326801885987</v>
      </c>
    </row>
    <row r="258" spans="99:105" x14ac:dyDescent="0.25">
      <c r="CU258" s="95">
        <v>257</v>
      </c>
      <c r="CV258" s="95">
        <f si="224" t="shared"/>
        <v>13</v>
      </c>
      <c r="CW258" s="95">
        <f si="219" t="shared"/>
        <v>17</v>
      </c>
      <c r="CX258" s="58">
        <f si="220" t="shared"/>
        <v>186.54265500351752</v>
      </c>
      <c r="CY258" s="58">
        <f si="221" t="shared"/>
        <v>44</v>
      </c>
      <c r="CZ258" s="108">
        <f si="222" t="shared"/>
        <v>-142.54265500351752</v>
      </c>
      <c r="DA258" s="78">
        <f si="223" t="shared"/>
        <v>-0.76412901382168963</v>
      </c>
    </row>
    <row r="259" spans="99:105" x14ac:dyDescent="0.25">
      <c r="CU259" s="95">
        <v>258</v>
      </c>
      <c r="CV259" s="95">
        <f si="224" t="shared"/>
        <v>13</v>
      </c>
      <c r="CW259" s="95">
        <f ref="CW259:CW322" si="225" t="shared">MOD(ROW()-2,$CS$2)+1</f>
        <v>18</v>
      </c>
      <c r="CX259" s="58">
        <f ref="CX259:CX322" si="226" t="shared">VLOOKUP($CV259,$B$30:$V$49,MATCH($CW259,$B$29:$V$29,0),0)</f>
        <v>1333.5815336421679</v>
      </c>
      <c r="CY259" s="58">
        <f ref="CY259:CY322" si="227" t="shared">VLOOKUP($CV259,$AY$30:$BS$49,MATCH($CW259,$AY$29:$BS$29,0),0)</f>
        <v>1178</v>
      </c>
      <c r="CZ259" s="108">
        <f ref="CZ259:CZ322" si="228" t="shared">CY259-CX259</f>
        <v>-155.58153364216787</v>
      </c>
      <c r="DA259" s="78">
        <f ref="DA259:DA322" si="229" t="shared">CZ259/CX259</f>
        <v>-0.11666443312037804</v>
      </c>
    </row>
    <row r="260" spans="99:105" x14ac:dyDescent="0.25">
      <c r="CU260" s="95">
        <v>259</v>
      </c>
      <c r="CV260" s="95">
        <f ref="CV260:CV323" si="230" t="shared">IF(CW259&lt;$CS$2,CV259,CV259+1)</f>
        <v>13</v>
      </c>
      <c r="CW260" s="95">
        <f si="225" t="shared"/>
        <v>19</v>
      </c>
      <c r="CX260" s="58">
        <f si="226" t="shared"/>
        <v>353.24034670878854</v>
      </c>
      <c r="CY260" s="58">
        <f si="227" t="shared"/>
        <v>232</v>
      </c>
      <c r="CZ260" s="108">
        <f si="228" t="shared"/>
        <v>-121.24034670878854</v>
      </c>
      <c r="DA260" s="78">
        <f si="229" t="shared"/>
        <v>-0.34322338271493974</v>
      </c>
    </row>
    <row r="261" spans="99:105" x14ac:dyDescent="0.25">
      <c r="CU261" s="95">
        <v>260</v>
      </c>
      <c r="CV261" s="95">
        <f si="230" t="shared"/>
        <v>13</v>
      </c>
      <c r="CW261" s="95">
        <f si="225" t="shared"/>
        <v>20</v>
      </c>
      <c r="CX261" s="58">
        <f si="226" t="shared"/>
        <v>315.53491644212005</v>
      </c>
      <c r="CY261" s="58">
        <f si="227" t="shared"/>
        <v>78</v>
      </c>
      <c r="CZ261" s="108">
        <f si="228" t="shared"/>
        <v>-237.53491644212005</v>
      </c>
      <c r="DA261" s="78">
        <f si="229" t="shared"/>
        <v>-0.75280073318190799</v>
      </c>
    </row>
    <row r="262" spans="99:105" x14ac:dyDescent="0.25">
      <c r="CU262" s="95">
        <v>261</v>
      </c>
      <c r="CV262" s="95">
        <f si="230" t="shared"/>
        <v>14</v>
      </c>
      <c r="CW262" s="95">
        <f si="225" t="shared"/>
        <v>1</v>
      </c>
      <c r="CX262" s="58">
        <f si="226" t="shared"/>
        <v>1176.5781691951659</v>
      </c>
      <c r="CY262" s="58">
        <f si="227" t="shared"/>
        <v>1367</v>
      </c>
      <c r="CZ262" s="108">
        <f si="228" t="shared"/>
        <v>190.42183080483414</v>
      </c>
      <c r="DA262" s="78">
        <f si="229" t="shared"/>
        <v>0.16184375657342981</v>
      </c>
    </row>
    <row r="263" spans="99:105" x14ac:dyDescent="0.25">
      <c r="CU263" s="95">
        <v>262</v>
      </c>
      <c r="CV263" s="95">
        <f si="230" t="shared"/>
        <v>14</v>
      </c>
      <c r="CW263" s="95">
        <f si="225" t="shared"/>
        <v>2</v>
      </c>
      <c r="CX263" s="58">
        <f si="226" t="shared"/>
        <v>1078.750321419388</v>
      </c>
      <c r="CY263" s="58">
        <f si="227" t="shared"/>
        <v>656</v>
      </c>
      <c r="CZ263" s="108">
        <f si="228" t="shared"/>
        <v>-422.750321419388</v>
      </c>
      <c r="DA263" s="78">
        <f si="229" t="shared"/>
        <v>-0.39188894132902369</v>
      </c>
    </row>
    <row r="264" spans="99:105" x14ac:dyDescent="0.25">
      <c r="CU264" s="95">
        <v>263</v>
      </c>
      <c r="CV264" s="95">
        <f si="230" t="shared"/>
        <v>14</v>
      </c>
      <c r="CW264" s="95">
        <f si="225" t="shared"/>
        <v>3</v>
      </c>
      <c r="CX264" s="58">
        <f si="226" t="shared"/>
        <v>615.16970943687329</v>
      </c>
      <c r="CY264" s="58">
        <f si="227" t="shared"/>
        <v>657</v>
      </c>
      <c r="CZ264" s="108">
        <f si="228" t="shared"/>
        <v>41.830290563126709</v>
      </c>
      <c r="DA264" s="78">
        <f si="229" t="shared"/>
        <v>6.7997968562883537E-2</v>
      </c>
    </row>
    <row r="265" spans="99:105" x14ac:dyDescent="0.25">
      <c r="CU265" s="95">
        <v>264</v>
      </c>
      <c r="CV265" s="95">
        <f si="230" t="shared"/>
        <v>14</v>
      </c>
      <c r="CW265" s="95">
        <f si="225" t="shared"/>
        <v>4</v>
      </c>
      <c r="CX265" s="58">
        <f si="226" t="shared"/>
        <v>620.45770120853695</v>
      </c>
      <c r="CY265" s="58">
        <f si="227" t="shared"/>
        <v>683</v>
      </c>
      <c r="CZ265" s="108">
        <f si="228" t="shared"/>
        <v>62.542298791463054</v>
      </c>
      <c r="DA265" s="78">
        <f si="229" t="shared"/>
        <v>0.1008002619189708</v>
      </c>
    </row>
    <row r="266" spans="99:105" x14ac:dyDescent="0.25">
      <c r="CU266" s="95">
        <v>265</v>
      </c>
      <c r="CV266" s="95">
        <f si="230" t="shared"/>
        <v>14</v>
      </c>
      <c r="CW266" s="95">
        <f si="225" t="shared"/>
        <v>5</v>
      </c>
      <c r="CX266" s="58">
        <f si="226" t="shared"/>
        <v>428.32733350475695</v>
      </c>
      <c r="CY266" s="58">
        <f si="227" t="shared"/>
        <v>484</v>
      </c>
      <c r="CZ266" s="108">
        <f si="228" t="shared"/>
        <v>55.67266649524305</v>
      </c>
      <c r="DA266" s="78">
        <f si="229" t="shared"/>
        <v>0.12997691751237433</v>
      </c>
    </row>
    <row r="267" spans="99:105" x14ac:dyDescent="0.25">
      <c r="CU267" s="95">
        <v>266</v>
      </c>
      <c r="CV267" s="95">
        <f si="230" t="shared"/>
        <v>14</v>
      </c>
      <c r="CW267" s="95">
        <f si="225" t="shared"/>
        <v>6</v>
      </c>
      <c r="CX267" s="58">
        <f si="226" t="shared"/>
        <v>2061.4354589868863</v>
      </c>
      <c r="CY267" s="58">
        <f si="227" t="shared"/>
        <v>2511</v>
      </c>
      <c r="CZ267" s="108">
        <f si="228" t="shared"/>
        <v>449.56454101311374</v>
      </c>
      <c r="DA267" s="78">
        <f si="229" t="shared"/>
        <v>0.21808324827887499</v>
      </c>
    </row>
    <row r="268" spans="99:105" x14ac:dyDescent="0.25">
      <c r="CU268" s="95">
        <v>267</v>
      </c>
      <c r="CV268" s="95">
        <f si="230" t="shared"/>
        <v>14</v>
      </c>
      <c r="CW268" s="95">
        <f si="225" t="shared"/>
        <v>7</v>
      </c>
      <c r="CX268" s="58">
        <f si="226" t="shared"/>
        <v>805.53741321676512</v>
      </c>
      <c r="CY268" s="58">
        <f si="227" t="shared"/>
        <v>283</v>
      </c>
      <c r="CZ268" s="108">
        <f si="228" t="shared"/>
        <v>-522.53741321676512</v>
      </c>
      <c r="DA268" s="78">
        <f si="229" t="shared"/>
        <v>-0.64868174294985048</v>
      </c>
    </row>
    <row r="269" spans="99:105" x14ac:dyDescent="0.25">
      <c r="CU269" s="95">
        <v>268</v>
      </c>
      <c r="CV269" s="95">
        <f si="230" t="shared"/>
        <v>14</v>
      </c>
      <c r="CW269" s="95">
        <f si="225" t="shared"/>
        <v>8</v>
      </c>
      <c r="CX269" s="58">
        <f si="226" t="shared"/>
        <v>286.43288763178197</v>
      </c>
      <c r="CY269" s="58">
        <f si="227" t="shared"/>
        <v>249</v>
      </c>
      <c r="CZ269" s="108">
        <f si="228" t="shared"/>
        <v>-37.432887631781966</v>
      </c>
      <c r="DA269" s="78">
        <f si="229" t="shared"/>
        <v>-0.1306864164282108</v>
      </c>
    </row>
    <row r="270" spans="99:105" x14ac:dyDescent="0.25">
      <c r="CU270" s="95">
        <v>269</v>
      </c>
      <c r="CV270" s="95">
        <f si="230" t="shared"/>
        <v>14</v>
      </c>
      <c r="CW270" s="95">
        <f si="225" t="shared"/>
        <v>9</v>
      </c>
      <c r="CX270" s="58">
        <f si="226" t="shared"/>
        <v>705.94690151709949</v>
      </c>
      <c r="CY270" s="58">
        <f si="227" t="shared"/>
        <v>565</v>
      </c>
      <c r="CZ270" s="108">
        <f si="228" t="shared"/>
        <v>-140.94690151709949</v>
      </c>
      <c r="DA270" s="78">
        <f si="229" t="shared"/>
        <v>-0.1996565197951867</v>
      </c>
    </row>
    <row r="271" spans="99:105" x14ac:dyDescent="0.25">
      <c r="CU271" s="95">
        <v>270</v>
      </c>
      <c r="CV271" s="95">
        <f si="230" t="shared"/>
        <v>14</v>
      </c>
      <c r="CW271" s="95">
        <f si="225" t="shared"/>
        <v>10</v>
      </c>
      <c r="CX271" s="58">
        <f si="226" t="shared"/>
        <v>300.53419902288505</v>
      </c>
      <c r="CY271" s="58">
        <f si="227" t="shared"/>
        <v>333</v>
      </c>
      <c r="CZ271" s="108">
        <f si="228" t="shared"/>
        <v>32.465800977114952</v>
      </c>
      <c r="DA271" s="78">
        <f si="229" t="shared"/>
        <v>0.10802697690535629</v>
      </c>
    </row>
    <row r="272" spans="99:105" x14ac:dyDescent="0.25">
      <c r="CU272" s="95">
        <v>271</v>
      </c>
      <c r="CV272" s="95">
        <f si="230" t="shared"/>
        <v>14</v>
      </c>
      <c r="CW272" s="95">
        <f si="225" t="shared"/>
        <v>11</v>
      </c>
      <c r="CX272" s="58">
        <f si="226" t="shared"/>
        <v>1982.1155824119312</v>
      </c>
      <c r="CY272" s="58">
        <f si="227" t="shared"/>
        <v>2303</v>
      </c>
      <c r="CZ272" s="108">
        <f si="228" t="shared"/>
        <v>320.8844175880688</v>
      </c>
      <c r="DA272" s="78">
        <f si="229" t="shared"/>
        <v>0.16188986173934497</v>
      </c>
    </row>
    <row r="273" spans="99:105" x14ac:dyDescent="0.25">
      <c r="CU273" s="95">
        <v>272</v>
      </c>
      <c r="CV273" s="95">
        <f si="230" t="shared"/>
        <v>14</v>
      </c>
      <c r="CW273" s="95">
        <f si="225" t="shared"/>
        <v>12</v>
      </c>
      <c r="CX273" s="58">
        <f si="226" t="shared"/>
        <v>1764.4265878117767</v>
      </c>
      <c r="CY273" s="58">
        <f si="227" t="shared"/>
        <v>1027</v>
      </c>
      <c r="CZ273" s="108">
        <f si="228" t="shared"/>
        <v>-737.4265878117767</v>
      </c>
      <c r="DA273" s="78">
        <f si="229" t="shared"/>
        <v>-0.41794121268957152</v>
      </c>
    </row>
    <row r="274" spans="99:105" x14ac:dyDescent="0.25">
      <c r="CU274" s="95">
        <v>273</v>
      </c>
      <c r="CV274" s="95">
        <f si="230" t="shared"/>
        <v>14</v>
      </c>
      <c r="CW274" s="95">
        <f si="225" t="shared"/>
        <v>13</v>
      </c>
      <c r="CX274" s="58">
        <f si="226" t="shared"/>
        <v>393.95538698894319</v>
      </c>
      <c r="CY274" s="58">
        <f si="227" t="shared"/>
        <v>36</v>
      </c>
      <c r="CZ274" s="108">
        <f si="228" t="shared"/>
        <v>-357.95538698894319</v>
      </c>
      <c r="DA274" s="78">
        <f si="229" t="shared"/>
        <v>-0.90861909447373446</v>
      </c>
    </row>
    <row r="275" spans="99:105" x14ac:dyDescent="0.25">
      <c r="CU275" s="95">
        <v>274</v>
      </c>
      <c r="CV275" s="95">
        <f si="230" t="shared"/>
        <v>14</v>
      </c>
      <c r="CW275" s="95">
        <f si="225" t="shared"/>
        <v>14</v>
      </c>
      <c r="CX275" s="58">
        <f si="226" t="shared"/>
        <v>6209.8650038570331</v>
      </c>
      <c r="CY275" s="58">
        <f si="227" t="shared"/>
        <v>7106</v>
      </c>
      <c r="CZ275" s="108">
        <f si="228" t="shared"/>
        <v>896.13499614296688</v>
      </c>
      <c r="DA275" s="78">
        <f si="229" t="shared"/>
        <v>0.14430828940506196</v>
      </c>
    </row>
    <row r="276" spans="99:105" x14ac:dyDescent="0.25">
      <c r="CU276" s="95">
        <v>275</v>
      </c>
      <c r="CV276" s="95">
        <f si="230" t="shared"/>
        <v>14</v>
      </c>
      <c r="CW276" s="95">
        <f si="225" t="shared"/>
        <v>15</v>
      </c>
      <c r="CX276" s="58">
        <f si="226" t="shared"/>
        <v>210.63833890460273</v>
      </c>
      <c r="CY276" s="58">
        <f si="227" t="shared"/>
        <v>56</v>
      </c>
      <c r="CZ276" s="108">
        <f si="228" t="shared"/>
        <v>-154.63833890460273</v>
      </c>
      <c r="DA276" s="78">
        <f si="229" t="shared"/>
        <v>-0.73414146593055796</v>
      </c>
    </row>
    <row r="277" spans="99:105" x14ac:dyDescent="0.25">
      <c r="CU277" s="95">
        <v>276</v>
      </c>
      <c r="CV277" s="95">
        <f si="230" t="shared"/>
        <v>14</v>
      </c>
      <c r="CW277" s="95">
        <f si="225" t="shared"/>
        <v>16</v>
      </c>
      <c r="CX277" s="58">
        <f si="226" t="shared"/>
        <v>65.218565183851894</v>
      </c>
      <c r="CY277" s="58">
        <f si="227" t="shared"/>
        <v>24</v>
      </c>
      <c r="CZ277" s="108">
        <f si="228" t="shared"/>
        <v>-41.218565183851894</v>
      </c>
      <c r="DA277" s="78">
        <f si="229" t="shared"/>
        <v>-0.63200662369152527</v>
      </c>
    </row>
    <row r="278" spans="99:105" x14ac:dyDescent="0.25">
      <c r="CU278" s="95">
        <v>277</v>
      </c>
      <c r="CV278" s="95">
        <f si="230" t="shared"/>
        <v>14</v>
      </c>
      <c r="CW278" s="95">
        <f si="225" t="shared"/>
        <v>17</v>
      </c>
      <c r="CX278" s="58">
        <f si="226" t="shared"/>
        <v>1071.6996657238365</v>
      </c>
      <c r="CY278" s="58">
        <f si="227" t="shared"/>
        <v>1452</v>
      </c>
      <c r="CZ278" s="108">
        <f si="228" t="shared"/>
        <v>380.30033427616354</v>
      </c>
      <c r="DA278" s="78">
        <f si="229" t="shared"/>
        <v>0.35485719221467232</v>
      </c>
    </row>
    <row r="279" spans="99:105" x14ac:dyDescent="0.25">
      <c r="CU279" s="95">
        <v>278</v>
      </c>
      <c r="CV279" s="95">
        <f si="230" t="shared"/>
        <v>14</v>
      </c>
      <c r="CW279" s="95">
        <f si="225" t="shared"/>
        <v>18</v>
      </c>
      <c r="CX279" s="58">
        <f si="226" t="shared"/>
        <v>118.97981486243249</v>
      </c>
      <c r="CY279" s="58">
        <f si="227" t="shared"/>
        <v>6</v>
      </c>
      <c r="CZ279" s="108">
        <f si="228" t="shared"/>
        <v>-112.97981486243249</v>
      </c>
      <c r="DA279" s="78">
        <f si="229" t="shared"/>
        <v>-0.94957127806143127</v>
      </c>
    </row>
    <row r="280" spans="99:105" x14ac:dyDescent="0.25">
      <c r="CU280" s="95">
        <v>279</v>
      </c>
      <c r="CV280" s="95">
        <f si="230" t="shared"/>
        <v>14</v>
      </c>
      <c r="CW280" s="95">
        <f si="225" t="shared"/>
        <v>19</v>
      </c>
      <c r="CX280" s="58">
        <f si="226" t="shared"/>
        <v>525.27384931859092</v>
      </c>
      <c r="CY280" s="58">
        <f si="227" t="shared"/>
        <v>765</v>
      </c>
      <c r="CZ280" s="108">
        <f si="228" t="shared"/>
        <v>239.72615068140908</v>
      </c>
      <c r="DA280" s="78">
        <f si="229" t="shared"/>
        <v>0.4563831818248571</v>
      </c>
    </row>
    <row r="281" spans="99:105" x14ac:dyDescent="0.25">
      <c r="CU281" s="95">
        <v>280</v>
      </c>
      <c r="CV281" s="95">
        <f si="230" t="shared"/>
        <v>14</v>
      </c>
      <c r="CW281" s="95">
        <f si="225" t="shared"/>
        <v>20</v>
      </c>
      <c r="CX281" s="58">
        <f si="226" t="shared"/>
        <v>143.65710979686295</v>
      </c>
      <c r="CY281" s="58">
        <f si="227" t="shared"/>
        <v>2</v>
      </c>
      <c r="CZ281" s="108">
        <f si="228" t="shared"/>
        <v>-141.65710979686295</v>
      </c>
      <c r="DA281" s="78">
        <f si="229" t="shared"/>
        <v>-0.98607796020100857</v>
      </c>
    </row>
    <row r="282" spans="99:105" x14ac:dyDescent="0.25">
      <c r="CU282" s="95">
        <v>281</v>
      </c>
      <c r="CV282" s="95">
        <f si="230" t="shared"/>
        <v>15</v>
      </c>
      <c r="CW282" s="95">
        <f si="225" t="shared"/>
        <v>1</v>
      </c>
      <c r="CX282" s="58">
        <f si="226" t="shared"/>
        <v>1191.1255292002552</v>
      </c>
      <c r="CY282" s="58">
        <f si="227" t="shared"/>
        <v>1191.0000000000002</v>
      </c>
      <c r="CZ282" s="108">
        <f si="228" t="shared"/>
        <v>-0.12552920025495951</v>
      </c>
      <c r="DA282" s="78">
        <f si="229" t="shared"/>
        <v>-1.053870454268932E-4</v>
      </c>
    </row>
    <row r="283" spans="99:105" x14ac:dyDescent="0.25">
      <c r="CU283" s="95">
        <v>282</v>
      </c>
      <c r="CV283" s="95">
        <f si="230" t="shared"/>
        <v>15</v>
      </c>
      <c r="CW283" s="95">
        <f si="225" t="shared"/>
        <v>2</v>
      </c>
      <c r="CX283" s="58">
        <f si="226" t="shared"/>
        <v>1391.2628312938584</v>
      </c>
      <c r="CY283" s="58">
        <f si="227" t="shared"/>
        <v>1052.0000000000002</v>
      </c>
      <c r="CZ283" s="108">
        <f si="228" t="shared"/>
        <v>-339.2628312938582</v>
      </c>
      <c r="DA283" s="78">
        <f si="229" t="shared"/>
        <v>-0.24385243655100572</v>
      </c>
    </row>
    <row r="284" spans="99:105" x14ac:dyDescent="0.25">
      <c r="CU284" s="95">
        <v>283</v>
      </c>
      <c r="CV284" s="95">
        <f si="230" t="shared"/>
        <v>15</v>
      </c>
      <c r="CW284" s="95">
        <f si="225" t="shared"/>
        <v>3</v>
      </c>
      <c r="CX284" s="58">
        <f si="226" t="shared"/>
        <v>436.42275126138139</v>
      </c>
      <c r="CY284" s="58">
        <f si="227" t="shared"/>
        <v>420.00000000000006</v>
      </c>
      <c r="CZ284" s="108">
        <f si="228" t="shared"/>
        <v>-16.422751261381336</v>
      </c>
      <c r="DA284" s="78">
        <f si="229" t="shared"/>
        <v>-3.7630373792189073E-2</v>
      </c>
    </row>
    <row r="285" spans="99:105" x14ac:dyDescent="0.25">
      <c r="CU285" s="95">
        <v>284</v>
      </c>
      <c r="CV285" s="95">
        <f si="230" t="shared"/>
        <v>15</v>
      </c>
      <c r="CW285" s="95">
        <f si="225" t="shared"/>
        <v>4</v>
      </c>
      <c r="CX285" s="58">
        <f si="226" t="shared"/>
        <v>432.01444064257959</v>
      </c>
      <c r="CY285" s="58">
        <f si="227" t="shared"/>
        <v>255.00000000000003</v>
      </c>
      <c r="CZ285" s="108">
        <f si="228" t="shared"/>
        <v>-177.01444064257956</v>
      </c>
      <c r="DA285" s="78">
        <f si="229" t="shared"/>
        <v>-0.40974195302195859</v>
      </c>
    </row>
    <row r="286" spans="99:105" x14ac:dyDescent="0.25">
      <c r="CU286" s="95">
        <v>285</v>
      </c>
      <c r="CV286" s="95">
        <f si="230" t="shared"/>
        <v>15</v>
      </c>
      <c r="CW286" s="95">
        <f si="225" t="shared"/>
        <v>5</v>
      </c>
      <c r="CX286" s="58">
        <f si="226" t="shared"/>
        <v>306.81841906860757</v>
      </c>
      <c r="CY286" s="58">
        <f si="227" t="shared"/>
        <v>247.00000000000003</v>
      </c>
      <c r="CZ286" s="108">
        <f si="228" t="shared"/>
        <v>-59.81841906860754</v>
      </c>
      <c r="DA286" s="78">
        <f si="229" t="shared"/>
        <v>-0.19496358546594153</v>
      </c>
    </row>
    <row r="287" spans="99:105" x14ac:dyDescent="0.25">
      <c r="CU287" s="95">
        <v>286</v>
      </c>
      <c r="CV287" s="95">
        <f si="230" t="shared"/>
        <v>15</v>
      </c>
      <c r="CW287" s="95">
        <f si="225" t="shared"/>
        <v>6</v>
      </c>
      <c r="CX287" s="58">
        <f si="226" t="shared"/>
        <v>2155.6638925940961</v>
      </c>
      <c r="CY287" s="58">
        <f si="227" t="shared"/>
        <v>1791.0000000000002</v>
      </c>
      <c r="CZ287" s="108">
        <f si="228" t="shared"/>
        <v>-364.66389259409584</v>
      </c>
      <c r="DA287" s="78">
        <f si="229" t="shared"/>
        <v>-0.16916546862751614</v>
      </c>
    </row>
    <row r="288" spans="99:105" x14ac:dyDescent="0.25">
      <c r="CU288" s="95">
        <v>287</v>
      </c>
      <c r="CV288" s="95">
        <f si="230" t="shared"/>
        <v>15</v>
      </c>
      <c r="CW288" s="95">
        <f si="225" t="shared"/>
        <v>7</v>
      </c>
      <c r="CX288" s="58">
        <f si="226" t="shared"/>
        <v>3121.0839181116976</v>
      </c>
      <c r="CY288" s="58">
        <f si="227" t="shared"/>
        <v>2489.0000000000005</v>
      </c>
      <c r="CZ288" s="108">
        <f si="228" t="shared"/>
        <v>-632.08391811169713</v>
      </c>
      <c r="DA288" s="78">
        <f si="229" t="shared"/>
        <v>-0.20252064176925988</v>
      </c>
    </row>
    <row r="289" spans="99:105" x14ac:dyDescent="0.25">
      <c r="CU289" s="95">
        <v>288</v>
      </c>
      <c r="CV289" s="95">
        <f si="230" t="shared"/>
        <v>15</v>
      </c>
      <c r="CW289" s="95">
        <f si="225" t="shared"/>
        <v>8</v>
      </c>
      <c r="CX289" s="58">
        <f si="226" t="shared"/>
        <v>104.91779272748362</v>
      </c>
      <c r="CY289" s="58">
        <f si="227" t="shared"/>
        <v>56.000000000000007</v>
      </c>
      <c r="CZ289" s="108">
        <f si="228" t="shared"/>
        <v>-48.917792727483608</v>
      </c>
      <c r="DA289" s="78">
        <f si="229" t="shared"/>
        <v>-0.46624877874188642</v>
      </c>
    </row>
    <row r="290" spans="99:105" x14ac:dyDescent="0.25">
      <c r="CU290" s="95">
        <v>289</v>
      </c>
      <c r="CV290" s="95">
        <f si="230" t="shared"/>
        <v>15</v>
      </c>
      <c r="CW290" s="95">
        <f si="225" t="shared"/>
        <v>9</v>
      </c>
      <c r="CX290" s="58">
        <f si="226" t="shared"/>
        <v>3065.5392043147945</v>
      </c>
      <c r="CY290" s="58">
        <f si="227" t="shared"/>
        <v>3534.0000000000005</v>
      </c>
      <c r="CZ290" s="108">
        <f si="228" t="shared"/>
        <v>468.46079568520599</v>
      </c>
      <c r="DA290" s="78">
        <f si="229" t="shared"/>
        <v>0.15281513771731906</v>
      </c>
    </row>
    <row r="291" spans="99:105" x14ac:dyDescent="0.25">
      <c r="CU291" s="95">
        <v>290</v>
      </c>
      <c r="CV291" s="95">
        <f si="230" t="shared"/>
        <v>15</v>
      </c>
      <c r="CW291" s="95">
        <f si="225" t="shared"/>
        <v>10</v>
      </c>
      <c r="CX291" s="58">
        <f si="226" t="shared"/>
        <v>310.34506756364902</v>
      </c>
      <c r="CY291" s="58">
        <f si="227" t="shared"/>
        <v>129.00000000000003</v>
      </c>
      <c r="CZ291" s="108">
        <f si="228" t="shared"/>
        <v>-181.345067563649</v>
      </c>
      <c r="DA291" s="78">
        <f si="229" t="shared"/>
        <v>-0.58433365475176025</v>
      </c>
    </row>
    <row r="292" spans="99:105" x14ac:dyDescent="0.25">
      <c r="CU292" s="95">
        <v>291</v>
      </c>
      <c r="CV292" s="95">
        <f si="230" t="shared"/>
        <v>15</v>
      </c>
      <c r="CW292" s="95">
        <f si="225" t="shared"/>
        <v>11</v>
      </c>
      <c r="CX292" s="58">
        <f si="226" t="shared"/>
        <v>999.80484834425567</v>
      </c>
      <c r="CY292" s="58">
        <f si="227" t="shared"/>
        <v>756.00000000000011</v>
      </c>
      <c r="CZ292" s="108">
        <f si="228" t="shared"/>
        <v>-243.80484834425556</v>
      </c>
      <c r="DA292" s="78">
        <f si="229" t="shared"/>
        <v>-0.24385243655100577</v>
      </c>
    </row>
    <row r="293" spans="99:105" x14ac:dyDescent="0.25">
      <c r="CU293" s="95">
        <v>292</v>
      </c>
      <c r="CV293" s="95">
        <f si="230" t="shared"/>
        <v>15</v>
      </c>
      <c r="CW293" s="95">
        <f si="225" t="shared"/>
        <v>12</v>
      </c>
      <c r="CX293" s="58">
        <f si="226" t="shared"/>
        <v>2914.7749811517715</v>
      </c>
      <c r="CY293" s="58">
        <f si="227" t="shared"/>
        <v>1935.0000000000002</v>
      </c>
      <c r="CZ293" s="108">
        <f si="228" t="shared"/>
        <v>-979.77498115177127</v>
      </c>
      <c r="DA293" s="78">
        <f si="229" t="shared"/>
        <v>-0.33614086421333761</v>
      </c>
    </row>
    <row r="294" spans="99:105" x14ac:dyDescent="0.25">
      <c r="CU294" s="95">
        <v>293</v>
      </c>
      <c r="CV294" s="95">
        <f si="230" t="shared"/>
        <v>15</v>
      </c>
      <c r="CW294" s="95">
        <f si="225" t="shared"/>
        <v>13</v>
      </c>
      <c r="CX294" s="58">
        <f si="226" t="shared"/>
        <v>2736.6792321521775</v>
      </c>
      <c r="CY294" s="58">
        <f si="227" t="shared"/>
        <v>3749.0000000000005</v>
      </c>
      <c r="CZ294" s="108">
        <f si="228" t="shared"/>
        <v>1012.3207678478229</v>
      </c>
      <c r="DA294" s="78">
        <f si="229" t="shared"/>
        <v>0.36990844814929746</v>
      </c>
    </row>
    <row r="295" spans="99:105" x14ac:dyDescent="0.25">
      <c r="CU295" s="95">
        <v>294</v>
      </c>
      <c r="CV295" s="95">
        <f si="230" t="shared"/>
        <v>15</v>
      </c>
      <c r="CW295" s="95">
        <f si="225" t="shared"/>
        <v>14</v>
      </c>
      <c r="CX295" s="58">
        <f si="226" t="shared"/>
        <v>157.81752015310559</v>
      </c>
      <c r="CY295" s="58">
        <f si="227" t="shared"/>
        <v>51.000000000000007</v>
      </c>
      <c r="CZ295" s="108">
        <f si="228" t="shared"/>
        <v>-106.81752015310559</v>
      </c>
      <c r="DA295" s="78">
        <f si="229" t="shared"/>
        <v>-0.67684196310699407</v>
      </c>
    </row>
    <row r="296" spans="99:105" x14ac:dyDescent="0.25">
      <c r="CU296" s="95">
        <v>295</v>
      </c>
      <c r="CV296" s="95">
        <f si="230" t="shared"/>
        <v>15</v>
      </c>
      <c r="CW296" s="95">
        <f si="225" t="shared"/>
        <v>15</v>
      </c>
      <c r="CX296" s="58">
        <f si="226" t="shared"/>
        <v>9837.5859769181698</v>
      </c>
      <c r="CY296" s="58">
        <f si="227" t="shared"/>
        <v>11579.000000000002</v>
      </c>
      <c r="CZ296" s="108">
        <f si="228" t="shared"/>
        <v>1741.4140230818321</v>
      </c>
      <c r="DA296" s="78">
        <f si="229" t="shared"/>
        <v>0.17701639682414919</v>
      </c>
    </row>
    <row r="297" spans="99:105" x14ac:dyDescent="0.25">
      <c r="CU297" s="95">
        <v>296</v>
      </c>
      <c r="CV297" s="95">
        <f si="230" t="shared"/>
        <v>15</v>
      </c>
      <c r="CW297" s="95">
        <f si="225" t="shared"/>
        <v>16</v>
      </c>
      <c r="CX297" s="58">
        <f si="226" t="shared"/>
        <v>60.834686539465295</v>
      </c>
      <c r="CY297" s="58">
        <f si="227" t="shared"/>
        <v>14.000000000000002</v>
      </c>
      <c r="CZ297" s="108">
        <f si="228" t="shared"/>
        <v>-46.834686539465295</v>
      </c>
      <c r="DA297" s="78">
        <f si="229" t="shared"/>
        <v>-0.76986813286334965</v>
      </c>
    </row>
    <row r="298" spans="99:105" x14ac:dyDescent="0.25">
      <c r="CU298" s="95">
        <v>297</v>
      </c>
      <c r="CV298" s="95">
        <f si="230" t="shared"/>
        <v>15</v>
      </c>
      <c r="CW298" s="95">
        <f si="225" t="shared"/>
        <v>17</v>
      </c>
      <c r="CX298" s="58">
        <f si="226" t="shared"/>
        <v>147.23757466798122</v>
      </c>
      <c r="CY298" s="58">
        <f si="227" t="shared"/>
        <v>79.000000000000014</v>
      </c>
      <c r="CZ298" s="108">
        <f si="228" t="shared"/>
        <v>-68.237574667981207</v>
      </c>
      <c r="DA298" s="78">
        <f si="229" t="shared"/>
        <v>-0.46345217803170169</v>
      </c>
    </row>
    <row r="299" spans="99:105" x14ac:dyDescent="0.25">
      <c r="CU299" s="95">
        <v>298</v>
      </c>
      <c r="CV299" s="95">
        <f si="230" t="shared"/>
        <v>15</v>
      </c>
      <c r="CW299" s="95">
        <f si="225" t="shared"/>
        <v>18</v>
      </c>
      <c r="CX299" s="58">
        <f si="226" t="shared"/>
        <v>161.34416864814708</v>
      </c>
      <c r="CY299" s="58">
        <f si="227" t="shared"/>
        <v>58.000000000000007</v>
      </c>
      <c r="CZ299" s="108">
        <f si="228" t="shared"/>
        <v>-103.34416864814708</v>
      </c>
      <c r="DA299" s="78">
        <f si="229" t="shared"/>
        <v>-0.64052001081933063</v>
      </c>
    </row>
    <row r="300" spans="99:105" x14ac:dyDescent="0.25">
      <c r="CU300" s="95">
        <v>299</v>
      </c>
      <c r="CV300" s="95">
        <f si="230" t="shared"/>
        <v>15</v>
      </c>
      <c r="CW300" s="95">
        <f si="225" t="shared"/>
        <v>19</v>
      </c>
      <c r="CX300" s="58">
        <f si="226" t="shared"/>
        <v>751.17612944383234</v>
      </c>
      <c r="CY300" s="58">
        <f si="227" t="shared"/>
        <v>1013.0000000000001</v>
      </c>
      <c r="CZ300" s="108">
        <f si="228" t="shared"/>
        <v>261.82387055616778</v>
      </c>
      <c r="DA300" s="78">
        <f si="229" t="shared"/>
        <v>0.34855190453139273</v>
      </c>
    </row>
    <row r="301" spans="99:105" x14ac:dyDescent="0.25">
      <c r="CU301" s="95">
        <v>300</v>
      </c>
      <c r="CV301" s="95">
        <f si="230" t="shared"/>
        <v>15</v>
      </c>
      <c r="CW301" s="95">
        <f si="225" t="shared"/>
        <v>20</v>
      </c>
      <c r="CX301" s="58">
        <f si="226" t="shared"/>
        <v>122.55103520269094</v>
      </c>
      <c r="CY301" s="58">
        <f si="227" t="shared"/>
        <v>7.0000000000000009</v>
      </c>
      <c r="CZ301" s="108">
        <f si="228" t="shared"/>
        <v>-115.55103520269094</v>
      </c>
      <c r="DA301" s="78">
        <f si="229" t="shared"/>
        <v>-0.94288093945169471</v>
      </c>
    </row>
    <row r="302" spans="99:105" x14ac:dyDescent="0.25">
      <c r="CU302" s="95">
        <v>301</v>
      </c>
      <c r="CV302" s="95">
        <f si="230" t="shared"/>
        <v>16</v>
      </c>
      <c r="CW302" s="95">
        <f si="225" t="shared"/>
        <v>1</v>
      </c>
      <c r="CX302" s="58">
        <f si="226" t="shared"/>
        <v>1040.1769457622772</v>
      </c>
      <c r="CY302" s="58">
        <f si="227" t="shared"/>
        <v>1111.9999999999998</v>
      </c>
      <c r="CZ302" s="108">
        <f si="228" t="shared"/>
        <v>71.823054237722545</v>
      </c>
      <c r="DA302" s="78">
        <f si="229" t="shared"/>
        <v>6.9048881087330927E-2</v>
      </c>
    </row>
    <row r="303" spans="99:105" x14ac:dyDescent="0.25">
      <c r="CU303" s="95">
        <v>302</v>
      </c>
      <c r="CV303" s="95">
        <f si="230" t="shared"/>
        <v>16</v>
      </c>
      <c r="CW303" s="95">
        <f si="225" t="shared"/>
        <v>2</v>
      </c>
      <c r="CX303" s="58">
        <f si="226" t="shared"/>
        <v>594.51339915373774</v>
      </c>
      <c r="CY303" s="58">
        <f si="227" t="shared"/>
        <v>497.99999999999994</v>
      </c>
      <c r="CZ303" s="108">
        <f si="228" t="shared"/>
        <v>-96.513399153737794</v>
      </c>
      <c r="DA303" s="78">
        <f si="229" t="shared"/>
        <v>-0.16234015800336904</v>
      </c>
    </row>
    <row r="304" spans="99:105" x14ac:dyDescent="0.25">
      <c r="CU304" s="95">
        <v>303</v>
      </c>
      <c r="CV304" s="95">
        <f si="230" t="shared"/>
        <v>16</v>
      </c>
      <c r="CW304" s="95">
        <f si="225" t="shared"/>
        <v>3</v>
      </c>
      <c r="CX304" s="58">
        <f si="226" t="shared"/>
        <v>246.31106552122066</v>
      </c>
      <c r="CY304" s="58">
        <f si="227" t="shared"/>
        <v>203.99999999999997</v>
      </c>
      <c r="CZ304" s="108">
        <f si="228" t="shared"/>
        <v>-42.311065521220684</v>
      </c>
      <c r="DA304" s="78">
        <f si="229" t="shared"/>
        <v>-0.17177898780830625</v>
      </c>
    </row>
    <row r="305" spans="99:105" x14ac:dyDescent="0.25">
      <c r="CU305" s="95">
        <v>304</v>
      </c>
      <c r="CV305" s="95">
        <f si="230" t="shared"/>
        <v>16</v>
      </c>
      <c r="CW305" s="95">
        <f si="225" t="shared"/>
        <v>4</v>
      </c>
      <c r="CX305" s="58">
        <f si="226" t="shared"/>
        <v>347.31632260546223</v>
      </c>
      <c r="CY305" s="58">
        <f si="227" t="shared"/>
        <v>379.99999999999994</v>
      </c>
      <c r="CZ305" s="108">
        <f si="228" t="shared"/>
        <v>32.68367739453771</v>
      </c>
      <c r="DA305" s="78">
        <f si="229" t="shared"/>
        <v>9.4103487994329285E-2</v>
      </c>
    </row>
    <row r="306" spans="99:105" x14ac:dyDescent="0.25">
      <c r="CU306" s="95">
        <v>305</v>
      </c>
      <c r="CV306" s="95">
        <f si="230" t="shared"/>
        <v>16</v>
      </c>
      <c r="CW306" s="95">
        <f si="225" t="shared"/>
        <v>5</v>
      </c>
      <c r="CX306" s="58">
        <f si="226" t="shared"/>
        <v>479.33196563662005</v>
      </c>
      <c r="CY306" s="58">
        <f si="227" t="shared"/>
        <v>542.99999999999989</v>
      </c>
      <c r="CZ306" s="108">
        <f si="228" t="shared"/>
        <v>63.668034363379832</v>
      </c>
      <c r="DA306" s="78">
        <f si="229" t="shared"/>
        <v>0.1328265981151909</v>
      </c>
    </row>
    <row r="307" spans="99:105" x14ac:dyDescent="0.25">
      <c r="CU307" s="95">
        <v>306</v>
      </c>
      <c r="CV307" s="95">
        <f si="230" t="shared"/>
        <v>16</v>
      </c>
      <c r="CW307" s="95">
        <f si="225" t="shared"/>
        <v>6</v>
      </c>
      <c r="CX307" s="58">
        <f si="226" t="shared"/>
        <v>2837.8933196563662</v>
      </c>
      <c r="CY307" s="58">
        <f si="227" t="shared"/>
        <v>2885.9999999999995</v>
      </c>
      <c r="CZ307" s="108">
        <f si="228" t="shared"/>
        <v>48.106680343633343</v>
      </c>
      <c r="DA307" s="78">
        <f si="229" t="shared"/>
        <v>1.695154642016581E-2</v>
      </c>
    </row>
    <row r="308" spans="99:105" x14ac:dyDescent="0.25">
      <c r="CU308" s="95">
        <v>307</v>
      </c>
      <c r="CV308" s="95">
        <f si="230" t="shared"/>
        <v>16</v>
      </c>
      <c r="CW308" s="95">
        <f si="225" t="shared"/>
        <v>7</v>
      </c>
      <c r="CX308" s="58">
        <f si="226" t="shared"/>
        <v>528.94858315168619</v>
      </c>
      <c r="CY308" s="58">
        <f si="227" t="shared"/>
        <v>311.99999999999994</v>
      </c>
      <c r="CZ308" s="108">
        <f si="228" t="shared"/>
        <v>-216.94858315168625</v>
      </c>
      <c r="DA308" s="78">
        <f si="229" t="shared"/>
        <v>-0.410150608323819</v>
      </c>
    </row>
    <row r="309" spans="99:105" x14ac:dyDescent="0.25">
      <c r="CU309" s="95">
        <v>308</v>
      </c>
      <c r="CV309" s="95">
        <f si="230" t="shared"/>
        <v>16</v>
      </c>
      <c r="CW309" s="95">
        <f si="225" t="shared"/>
        <v>8</v>
      </c>
      <c r="CX309" s="58">
        <f si="226" t="shared"/>
        <v>79.740992434927549</v>
      </c>
      <c r="CY309" s="58">
        <f si="227" t="shared"/>
        <v>106.99999999999999</v>
      </c>
      <c r="CZ309" s="108">
        <f si="228" t="shared"/>
        <v>27.259007565072437</v>
      </c>
      <c r="DA309" s="78">
        <f si="229" t="shared"/>
        <v>0.34184434796591084</v>
      </c>
    </row>
    <row r="310" spans="99:105" x14ac:dyDescent="0.25">
      <c r="CU310" s="95">
        <v>309</v>
      </c>
      <c r="CV310" s="95">
        <f si="230" t="shared"/>
        <v>16</v>
      </c>
      <c r="CW310" s="95">
        <f si="225" t="shared"/>
        <v>9</v>
      </c>
      <c r="CX310" s="58">
        <f si="226" t="shared"/>
        <v>421.7412488780613</v>
      </c>
      <c r="CY310" s="58">
        <f si="227" t="shared"/>
        <v>215.99999999999997</v>
      </c>
      <c r="CZ310" s="108">
        <f si="228" t="shared"/>
        <v>-205.74124887806133</v>
      </c>
      <c r="DA310" s="78">
        <f si="229" t="shared"/>
        <v>-0.48783762419584337</v>
      </c>
    </row>
    <row r="311" spans="99:105" x14ac:dyDescent="0.25">
      <c r="CU311" s="95">
        <v>310</v>
      </c>
      <c r="CV311" s="95">
        <f si="230" t="shared"/>
        <v>16</v>
      </c>
      <c r="CW311" s="95">
        <f si="225" t="shared"/>
        <v>10</v>
      </c>
      <c r="CX311" s="58">
        <f si="226" t="shared"/>
        <v>826.64828824208234</v>
      </c>
      <c r="CY311" s="58">
        <f si="227" t="shared"/>
        <v>956.99999999999989</v>
      </c>
      <c r="CZ311" s="108">
        <f si="228" t="shared"/>
        <v>130.35171175791754</v>
      </c>
      <c r="DA311" s="78">
        <f si="229" t="shared"/>
        <v>0.15768702798032566</v>
      </c>
    </row>
    <row r="312" spans="99:105" x14ac:dyDescent="0.25">
      <c r="CU312" s="95">
        <v>311</v>
      </c>
      <c r="CV312" s="95">
        <f si="230" t="shared"/>
        <v>16</v>
      </c>
      <c r="CW312" s="95">
        <f si="225" t="shared"/>
        <v>11</v>
      </c>
      <c r="CX312" s="58">
        <f si="226" t="shared"/>
        <v>268.46134119758943</v>
      </c>
      <c r="CY312" s="58">
        <f si="227" t="shared"/>
        <v>150.99999999999997</v>
      </c>
      <c r="CZ312" s="108">
        <f si="228" t="shared"/>
        <v>-117.46134119758946</v>
      </c>
      <c r="DA312" s="78">
        <f si="229" t="shared"/>
        <v>-0.43753540332325574</v>
      </c>
    </row>
    <row r="313" spans="99:105" x14ac:dyDescent="0.25">
      <c r="CU313" s="95">
        <v>312</v>
      </c>
      <c r="CV313" s="95">
        <f si="230" t="shared"/>
        <v>16</v>
      </c>
      <c r="CW313" s="95">
        <f si="225" t="shared"/>
        <v>12</v>
      </c>
      <c r="CX313" s="58">
        <f si="226" t="shared"/>
        <v>4381.3245287857417</v>
      </c>
      <c r="CY313" s="58">
        <f si="227" t="shared"/>
        <v>5009.9999999999991</v>
      </c>
      <c r="CZ313" s="108">
        <f si="228" t="shared"/>
        <v>628.67547121425741</v>
      </c>
      <c r="DA313" s="78">
        <f si="229" t="shared"/>
        <v>0.14348982073429997</v>
      </c>
    </row>
    <row r="314" spans="99:105" x14ac:dyDescent="0.25">
      <c r="CU314" s="95">
        <v>313</v>
      </c>
      <c r="CV314" s="95">
        <f si="230" t="shared"/>
        <v>16</v>
      </c>
      <c r="CW314" s="95">
        <f si="225" t="shared"/>
        <v>13</v>
      </c>
      <c r="CX314" s="58">
        <f si="226" t="shared"/>
        <v>344.65828952429797</v>
      </c>
      <c r="CY314" s="58">
        <f si="227" t="shared"/>
        <v>87.999999999999986</v>
      </c>
      <c r="CZ314" s="108">
        <f si="228" t="shared"/>
        <v>-256.65828952429797</v>
      </c>
      <c r="DA314" s="78">
        <f si="229" t="shared"/>
        <v>-0.74467464536698424</v>
      </c>
    </row>
    <row r="315" spans="99:105" x14ac:dyDescent="0.25">
      <c r="CU315" s="95">
        <v>314</v>
      </c>
      <c r="CV315" s="95">
        <f si="230" t="shared"/>
        <v>16</v>
      </c>
      <c r="CW315" s="95">
        <f si="225" t="shared"/>
        <v>14</v>
      </c>
      <c r="CX315" s="58">
        <f si="226" t="shared"/>
        <v>50.502628542120782</v>
      </c>
      <c r="CY315" s="58">
        <f si="227" t="shared"/>
        <v>29.999999999999996</v>
      </c>
      <c r="CZ315" s="108">
        <f si="228" t="shared"/>
        <v>-20.502628542120785</v>
      </c>
      <c r="DA315" s="78">
        <f si="229" t="shared"/>
        <v>-0.405971513443522</v>
      </c>
    </row>
    <row r="316" spans="99:105" x14ac:dyDescent="0.25">
      <c r="CU316" s="95">
        <v>315</v>
      </c>
      <c r="CV316" s="95">
        <f si="230" t="shared"/>
        <v>16</v>
      </c>
      <c r="CW316" s="95">
        <f si="225" t="shared"/>
        <v>15</v>
      </c>
      <c r="CX316" s="58">
        <f si="226" t="shared"/>
        <v>94.803179894858317</v>
      </c>
      <c r="CY316" s="58">
        <f si="227" t="shared"/>
        <v>19.999999999999996</v>
      </c>
      <c r="CZ316" s="108">
        <f si="228" t="shared"/>
        <v>-74.803179894858317</v>
      </c>
      <c r="DA316" s="78">
        <f si="229" t="shared"/>
        <v>-0.78903661225097044</v>
      </c>
    </row>
    <row r="317" spans="99:105" x14ac:dyDescent="0.25">
      <c r="CU317" s="95">
        <v>316</v>
      </c>
      <c r="CV317" s="95">
        <f si="230" t="shared"/>
        <v>16</v>
      </c>
      <c r="CW317" s="95">
        <f si="225" t="shared"/>
        <v>16</v>
      </c>
      <c r="CX317" s="58">
        <f si="226" t="shared"/>
        <v>788.54981407872799</v>
      </c>
      <c r="CY317" s="58">
        <f si="227" t="shared"/>
        <v>961.99999999999989</v>
      </c>
      <c r="CZ317" s="108">
        <f si="228" t="shared"/>
        <v>173.4501859212719</v>
      </c>
      <c r="DA317" s="78">
        <f si="229" t="shared"/>
        <v>0.21996097497520278</v>
      </c>
    </row>
    <row r="318" spans="99:105" x14ac:dyDescent="0.25">
      <c r="CU318" s="95">
        <v>317</v>
      </c>
      <c r="CV318" s="95">
        <f si="230" t="shared"/>
        <v>16</v>
      </c>
      <c r="CW318" s="95">
        <f si="225" t="shared"/>
        <v>17</v>
      </c>
      <c r="CX318" s="58">
        <f si="226" t="shared"/>
        <v>26.580330811642519</v>
      </c>
      <c r="CY318" s="58">
        <f si="227" t="shared"/>
        <v>9.9999999999999982</v>
      </c>
      <c r="CZ318" s="108">
        <f si="228" t="shared"/>
        <v>-16.580330811642519</v>
      </c>
      <c r="DA318" s="78">
        <f si="229" t="shared"/>
        <v>-0.62378195851423057</v>
      </c>
    </row>
    <row r="319" spans="99:105" x14ac:dyDescent="0.25">
      <c r="CU319" s="95">
        <v>318</v>
      </c>
      <c r="CV319" s="95">
        <f si="230" t="shared"/>
        <v>16</v>
      </c>
      <c r="CW319" s="95">
        <f si="225" t="shared"/>
        <v>18</v>
      </c>
      <c r="CX319" s="58">
        <f si="226" t="shared"/>
        <v>266.68931914347991</v>
      </c>
      <c r="CY319" s="58">
        <f si="227" t="shared"/>
        <v>196.99999999999997</v>
      </c>
      <c r="CZ319" s="108">
        <f si="228" t="shared"/>
        <v>-69.689319143479935</v>
      </c>
      <c r="DA319" s="78">
        <f si="229" t="shared"/>
        <v>-0.2613127491093365</v>
      </c>
    </row>
    <row r="320" spans="99:105" x14ac:dyDescent="0.25">
      <c r="CU320" s="95">
        <v>319</v>
      </c>
      <c r="CV320" s="95">
        <f si="230" t="shared"/>
        <v>16</v>
      </c>
      <c r="CW320" s="95">
        <f si="225" t="shared"/>
        <v>19</v>
      </c>
      <c r="CX320" s="58">
        <f si="226" t="shared"/>
        <v>76.196948326708551</v>
      </c>
      <c r="CY320" s="58">
        <f si="227" t="shared"/>
        <v>33.999999999999993</v>
      </c>
      <c r="CZ320" s="108">
        <f si="228" t="shared"/>
        <v>-42.196948326708558</v>
      </c>
      <c r="DA320" s="78">
        <f si="229" t="shared"/>
        <v>-0.55378790428432012</v>
      </c>
    </row>
    <row r="321" spans="99:105" x14ac:dyDescent="0.25">
      <c r="CU321" s="95">
        <v>320</v>
      </c>
      <c r="CV321" s="95">
        <f si="230" t="shared"/>
        <v>16</v>
      </c>
      <c r="CW321" s="95">
        <f si="225" t="shared"/>
        <v>20</v>
      </c>
      <c r="CX321" s="58">
        <f si="226" t="shared"/>
        <v>119.61148865239132</v>
      </c>
      <c r="CY321" s="58">
        <f si="227" t="shared"/>
        <v>102.99999999999999</v>
      </c>
      <c r="CZ321" s="108">
        <f si="228" t="shared"/>
        <v>-16.61148865239133</v>
      </c>
      <c r="DA321" s="78">
        <f si="229" t="shared"/>
        <v>-0.13887870504368333</v>
      </c>
    </row>
    <row r="322" spans="99:105" x14ac:dyDescent="0.25">
      <c r="CU322" s="95">
        <v>321</v>
      </c>
      <c r="CV322" s="95">
        <f si="230" t="shared"/>
        <v>17</v>
      </c>
      <c r="CW322" s="95">
        <f si="225" t="shared"/>
        <v>1</v>
      </c>
      <c r="CX322" s="58">
        <f si="226" t="shared"/>
        <v>1003.9778926359961</v>
      </c>
      <c r="CY322" s="58">
        <f si="227" t="shared"/>
        <v>1037</v>
      </c>
      <c r="CZ322" s="108">
        <f si="228" t="shared"/>
        <v>33.022107364003887</v>
      </c>
      <c r="DA322" s="78">
        <f si="229" t="shared"/>
        <v>3.289126942556736E-2</v>
      </c>
    </row>
    <row r="323" spans="99:105" x14ac:dyDescent="0.25">
      <c r="CU323" s="95">
        <v>322</v>
      </c>
      <c r="CV323" s="95">
        <f si="230" t="shared"/>
        <v>17</v>
      </c>
      <c r="CW323" s="95">
        <f ref="CW323:CW386" si="231" t="shared">MOD(ROW()-2,$CS$2)+1</f>
        <v>2</v>
      </c>
      <c r="CX323" s="58">
        <f ref="CX323:CX386" si="232" t="shared">VLOOKUP($CV323,$B$30:$V$49,MATCH($CW323,$B$29:$V$29,0),0)</f>
        <v>933.80236425976148</v>
      </c>
      <c r="CY323" s="58">
        <f ref="CY323:CY386" si="233" t="shared">VLOOKUP($CV323,$AY$30:$BS$49,MATCH($CW323,$AY$29:$BS$29,0),0)</f>
        <v>541</v>
      </c>
      <c r="CZ323" s="108">
        <f ref="CZ323:CZ386" si="234" t="shared">CY323-CX323</f>
        <v>-392.80236425976148</v>
      </c>
      <c r="DA323" s="78">
        <f ref="DA323:DA386" si="235" t="shared">CZ323/CX323</f>
        <v>-0.42064828629036677</v>
      </c>
    </row>
    <row r="324" spans="99:105" x14ac:dyDescent="0.25">
      <c r="CU324" s="95">
        <v>323</v>
      </c>
      <c r="CV324" s="95">
        <f ref="CV324:CV387" si="236" t="shared">IF(CW323&lt;$CS$2,CV323,CV323+1)</f>
        <v>17</v>
      </c>
      <c r="CW324" s="95">
        <f si="231" t="shared"/>
        <v>3</v>
      </c>
      <c r="CX324" s="58">
        <f si="232" t="shared"/>
        <v>506.19947802057209</v>
      </c>
      <c r="CY324" s="58">
        <f si="233" t="shared"/>
        <v>616</v>
      </c>
      <c r="CZ324" s="108">
        <f si="234" t="shared"/>
        <v>109.80052197942791</v>
      </c>
      <c r="DA324" s="78">
        <f si="235" t="shared"/>
        <v>0.21691156697511565</v>
      </c>
    </row>
    <row r="325" spans="99:105" x14ac:dyDescent="0.25">
      <c r="CU325" s="95">
        <v>324</v>
      </c>
      <c r="CV325" s="95">
        <f si="236" t="shared"/>
        <v>17</v>
      </c>
      <c r="CW325" s="95">
        <f si="231" t="shared"/>
        <v>4</v>
      </c>
      <c r="CX325" s="58">
        <f si="232" t="shared"/>
        <v>537.07671050611532</v>
      </c>
      <c r="CY325" s="58">
        <f si="233" t="shared"/>
        <v>447</v>
      </c>
      <c r="CZ325" s="108">
        <f si="234" t="shared"/>
        <v>-90.076710506115319</v>
      </c>
      <c r="DA325" s="78">
        <f si="235" t="shared"/>
        <v>-0.16771665712562989</v>
      </c>
    </row>
    <row r="326" spans="99:105" x14ac:dyDescent="0.25">
      <c r="CU326" s="95">
        <v>325</v>
      </c>
      <c r="CV326" s="95">
        <f si="236" t="shared"/>
        <v>17</v>
      </c>
      <c r="CW326" s="95">
        <f si="231" t="shared"/>
        <v>5</v>
      </c>
      <c r="CX326" s="58">
        <f si="232" t="shared"/>
        <v>319.06473568394654</v>
      </c>
      <c r="CY326" s="58">
        <f si="233" t="shared"/>
        <v>342</v>
      </c>
      <c r="CZ326" s="108">
        <f si="234" t="shared"/>
        <v>22.935264316053463</v>
      </c>
      <c r="DA326" s="78">
        <f si="235" t="shared"/>
        <v>7.1882792897464756E-2</v>
      </c>
    </row>
    <row r="327" spans="99:105" x14ac:dyDescent="0.25">
      <c r="CU327" s="95">
        <v>326</v>
      </c>
      <c r="CV327" s="95">
        <f si="236" t="shared"/>
        <v>17</v>
      </c>
      <c r="CW327" s="95">
        <f si="231" t="shared"/>
        <v>6</v>
      </c>
      <c r="CX327" s="58">
        <f si="232" t="shared"/>
        <v>1783.3940944680417</v>
      </c>
      <c r="CY327" s="58">
        <f si="233" t="shared"/>
        <v>1624</v>
      </c>
      <c r="CZ327" s="108">
        <f si="234" t="shared"/>
        <v>-159.39409446804166</v>
      </c>
      <c r="DA327" s="78">
        <f si="235" t="shared"/>
        <v>-8.9376820839807927E-2</v>
      </c>
    </row>
    <row r="328" spans="99:105" x14ac:dyDescent="0.25">
      <c r="CU328" s="95">
        <v>327</v>
      </c>
      <c r="CV328" s="95">
        <f si="236" t="shared"/>
        <v>17</v>
      </c>
      <c r="CW328" s="95">
        <f si="231" t="shared"/>
        <v>7</v>
      </c>
      <c r="CX328" s="58">
        <f si="232" t="shared"/>
        <v>737.31088480630467</v>
      </c>
      <c r="CY328" s="58">
        <f si="233" t="shared"/>
        <v>280</v>
      </c>
      <c r="CZ328" s="108">
        <f si="234" t="shared"/>
        <v>-457.31088480630467</v>
      </c>
      <c r="DA328" s="78">
        <f si="235" t="shared"/>
        <v>-0.62024160259948224</v>
      </c>
    </row>
    <row r="329" spans="99:105" x14ac:dyDescent="0.25">
      <c r="CU329" s="95">
        <v>328</v>
      </c>
      <c r="CV329" s="95">
        <f si="236" t="shared"/>
        <v>17</v>
      </c>
      <c r="CW329" s="95">
        <f si="231" t="shared"/>
        <v>8</v>
      </c>
      <c r="CX329" s="58">
        <f si="232" t="shared"/>
        <v>190.87743718335807</v>
      </c>
      <c r="CY329" s="58">
        <f si="233" t="shared"/>
        <v>111</v>
      </c>
      <c r="CZ329" s="108">
        <f si="234" t="shared"/>
        <v>-79.877437183358069</v>
      </c>
      <c r="DA329" s="78">
        <f si="235" t="shared"/>
        <v>-0.41847500868647614</v>
      </c>
    </row>
    <row r="330" spans="99:105" x14ac:dyDescent="0.25">
      <c r="CU330" s="95">
        <v>329</v>
      </c>
      <c r="CV330" s="95">
        <f si="236" t="shared"/>
        <v>17</v>
      </c>
      <c r="CW330" s="95">
        <f si="231" t="shared"/>
        <v>9</v>
      </c>
      <c r="CX330" s="58">
        <f si="232" t="shared"/>
        <v>742.92492707640349</v>
      </c>
      <c r="CY330" s="58">
        <f si="233" t="shared"/>
        <v>588</v>
      </c>
      <c r="CZ330" s="108">
        <f si="234" t="shared"/>
        <v>-154.92492707640349</v>
      </c>
      <c r="DA330" s="78">
        <f si="235" t="shared"/>
        <v>-0.20853375816325354</v>
      </c>
    </row>
    <row r="331" spans="99:105" x14ac:dyDescent="0.25">
      <c r="CU331" s="95">
        <v>330</v>
      </c>
      <c r="CV331" s="95">
        <f si="236" t="shared"/>
        <v>17</v>
      </c>
      <c r="CW331" s="95">
        <f si="231" t="shared"/>
        <v>10</v>
      </c>
      <c r="CX331" s="58">
        <f si="232" t="shared"/>
        <v>232.9827542090988</v>
      </c>
      <c r="CY331" s="58">
        <f si="233" t="shared"/>
        <v>163</v>
      </c>
      <c r="CZ331" s="108">
        <f si="234" t="shared"/>
        <v>-69.9827542090988</v>
      </c>
      <c r="DA331" s="78">
        <f si="235" t="shared"/>
        <v>-0.30037740109420391</v>
      </c>
    </row>
    <row r="332" spans="99:105" x14ac:dyDescent="0.25">
      <c r="CU332" s="95">
        <v>331</v>
      </c>
      <c r="CV332" s="95">
        <f si="236" t="shared"/>
        <v>17</v>
      </c>
      <c r="CW332" s="95">
        <f si="231" t="shared"/>
        <v>11</v>
      </c>
      <c r="CX332" s="58">
        <f si="232" t="shared"/>
        <v>3039.0682155467994</v>
      </c>
      <c r="CY332" s="58">
        <f si="233" t="shared"/>
        <v>3276</v>
      </c>
      <c r="CZ332" s="108">
        <f si="234" t="shared"/>
        <v>236.93178445320063</v>
      </c>
      <c r="DA332" s="78">
        <f si="235" t="shared"/>
        <v>7.7961982966075372E-2</v>
      </c>
    </row>
    <row r="333" spans="99:105" x14ac:dyDescent="0.25">
      <c r="CU333" s="95">
        <v>332</v>
      </c>
      <c r="CV333" s="95">
        <f si="236" t="shared"/>
        <v>17</v>
      </c>
      <c r="CW333" s="95">
        <f si="231" t="shared"/>
        <v>12</v>
      </c>
      <c r="CX333" s="58">
        <f si="232" t="shared"/>
        <v>1427.8380840284531</v>
      </c>
      <c r="CY333" s="58">
        <f si="233" t="shared"/>
        <v>775</v>
      </c>
      <c r="CZ333" s="108">
        <f si="234" t="shared"/>
        <v>-652.83808402845307</v>
      </c>
      <c r="DA333" s="78">
        <f si="235" t="shared"/>
        <v>-0.45722136937723235</v>
      </c>
    </row>
    <row r="334" spans="99:105" x14ac:dyDescent="0.25">
      <c r="CU334" s="95">
        <v>333</v>
      </c>
      <c r="CV334" s="95">
        <f si="236" t="shared"/>
        <v>17</v>
      </c>
      <c r="CW334" s="95">
        <f si="231" t="shared"/>
        <v>13</v>
      </c>
      <c r="CX334" s="58">
        <f si="232" t="shared"/>
        <v>315.32204083721405</v>
      </c>
      <c r="CY334" s="58">
        <f si="233" t="shared"/>
        <v>31</v>
      </c>
      <c r="CZ334" s="108">
        <f si="234" t="shared"/>
        <v>-284.32204083721405</v>
      </c>
      <c r="DA334" s="78">
        <f si="235" t="shared"/>
        <v>-0.90168781123675446</v>
      </c>
    </row>
    <row r="335" spans="99:105" x14ac:dyDescent="0.25">
      <c r="CU335" s="95">
        <v>334</v>
      </c>
      <c r="CV335" s="95">
        <f si="236" t="shared"/>
        <v>17</v>
      </c>
      <c r="CW335" s="95">
        <f si="231" t="shared"/>
        <v>14</v>
      </c>
      <c r="CX335" s="58">
        <f si="232" t="shared"/>
        <v>1412.8673046415231</v>
      </c>
      <c r="CY335" s="58">
        <f si="233" t="shared"/>
        <v>1892</v>
      </c>
      <c r="CZ335" s="108">
        <f si="234" t="shared"/>
        <v>479.13269535847689</v>
      </c>
      <c r="DA335" s="78">
        <f si="235" t="shared"/>
        <v>0.33912080333690209</v>
      </c>
    </row>
    <row r="336" spans="99:105" x14ac:dyDescent="0.25">
      <c r="CU336" s="95">
        <v>335</v>
      </c>
      <c r="CV336" s="95">
        <f si="236" t="shared"/>
        <v>17</v>
      </c>
      <c r="CW336" s="95">
        <f si="231" t="shared"/>
        <v>15</v>
      </c>
      <c r="CX336" s="58">
        <f si="232" t="shared"/>
        <v>284.44480835167082</v>
      </c>
      <c r="CY336" s="58">
        <f si="233" t="shared"/>
        <v>175</v>
      </c>
      <c r="CZ336" s="108">
        <f si="234" t="shared"/>
        <v>-109.44480835167082</v>
      </c>
      <c r="DA336" s="78">
        <f si="235" t="shared"/>
        <v>-0.3847664121060691</v>
      </c>
    </row>
    <row r="337" spans="99:105" x14ac:dyDescent="0.25">
      <c r="CU337" s="95">
        <v>336</v>
      </c>
      <c r="CV337" s="95">
        <f si="236" t="shared"/>
        <v>17</v>
      </c>
      <c r="CW337" s="95">
        <f si="231" t="shared"/>
        <v>16</v>
      </c>
      <c r="CX337" s="58">
        <f si="232" t="shared"/>
        <v>65.49715981781894</v>
      </c>
      <c r="CY337" s="58">
        <f si="233" t="shared"/>
        <v>9</v>
      </c>
      <c r="CZ337" s="108">
        <f si="234" t="shared"/>
        <v>-56.49715981781894</v>
      </c>
      <c r="DA337" s="78">
        <f si="235" t="shared"/>
        <v>-0.86258946151201676</v>
      </c>
    </row>
    <row r="338" spans="99:105" x14ac:dyDescent="0.25">
      <c r="CU338" s="95">
        <v>337</v>
      </c>
      <c r="CV338" s="95">
        <f si="236" t="shared"/>
        <v>17</v>
      </c>
      <c r="CW338" s="95">
        <f si="231" t="shared"/>
        <v>17</v>
      </c>
      <c r="CX338" s="58">
        <f si="232" t="shared"/>
        <v>2660.1203623151323</v>
      </c>
      <c r="CY338" s="58">
        <f si="233" t="shared"/>
        <v>3501</v>
      </c>
      <c r="CZ338" s="108">
        <f si="234" t="shared"/>
        <v>840.8796376848677</v>
      </c>
      <c r="DA338" s="78">
        <f si="235" t="shared"/>
        <v>0.31610586107203087</v>
      </c>
    </row>
    <row r="339" spans="99:105" x14ac:dyDescent="0.25">
      <c r="CU339" s="95">
        <v>338</v>
      </c>
      <c r="CV339" s="95">
        <f si="236" t="shared"/>
        <v>17</v>
      </c>
      <c r="CW339" s="95">
        <f si="231" t="shared"/>
        <v>18</v>
      </c>
      <c r="CX339" s="58">
        <f si="232" t="shared"/>
        <v>81.403612916432124</v>
      </c>
      <c r="CY339" s="58">
        <f si="233" t="shared"/>
        <v>8</v>
      </c>
      <c r="CZ339" s="108">
        <f si="234" t="shared"/>
        <v>-73.403612916432124</v>
      </c>
      <c r="DA339" s="78">
        <f si="235" t="shared"/>
        <v>-0.9017242636612125</v>
      </c>
    </row>
    <row r="340" spans="99:105" x14ac:dyDescent="0.25">
      <c r="CU340" s="95">
        <v>339</v>
      </c>
      <c r="CV340" s="95">
        <f si="236" t="shared"/>
        <v>17</v>
      </c>
      <c r="CW340" s="95">
        <f si="231" t="shared"/>
        <v>19</v>
      </c>
      <c r="CX340" s="58">
        <f si="232" t="shared"/>
        <v>1932.1662146256588</v>
      </c>
      <c r="CY340" s="58">
        <f si="233" t="shared"/>
        <v>2863</v>
      </c>
      <c r="CZ340" s="108">
        <f si="234" t="shared"/>
        <v>930.83378537434123</v>
      </c>
      <c r="DA340" s="78">
        <f si="235" t="shared"/>
        <v>0.48175657887418477</v>
      </c>
    </row>
    <row r="341" spans="99:105" x14ac:dyDescent="0.25">
      <c r="CU341" s="95">
        <v>340</v>
      </c>
      <c r="CV341" s="95">
        <f si="236" t="shared"/>
        <v>17</v>
      </c>
      <c r="CW341" s="95">
        <f si="231" t="shared"/>
        <v>20</v>
      </c>
      <c r="CX341" s="58">
        <f si="232" t="shared"/>
        <v>77.660918069699605</v>
      </c>
      <c r="CY341" s="58">
        <f si="233" t="shared"/>
        <v>5</v>
      </c>
      <c r="CZ341" s="108">
        <f si="234" t="shared"/>
        <v>-72.660918069699605</v>
      </c>
      <c r="DA341" s="78">
        <f si="235" t="shared"/>
        <v>-0.93561755224793286</v>
      </c>
    </row>
    <row r="342" spans="99:105" x14ac:dyDescent="0.25">
      <c r="CU342" s="95">
        <v>341</v>
      </c>
      <c r="CV342" s="95">
        <f si="236" t="shared"/>
        <v>18</v>
      </c>
      <c r="CW342" s="95">
        <f si="231" t="shared"/>
        <v>1</v>
      </c>
      <c r="CX342" s="58">
        <f si="232" t="shared"/>
        <v>1358.0683105631458</v>
      </c>
      <c r="CY342" s="58">
        <f si="233" t="shared"/>
        <v>833</v>
      </c>
      <c r="CZ342" s="108">
        <f si="234" t="shared"/>
        <v>-525.06831056314581</v>
      </c>
      <c r="DA342" s="78">
        <f si="235" t="shared"/>
        <v>-0.3866287921447909</v>
      </c>
    </row>
    <row r="343" spans="99:105" x14ac:dyDescent="0.25">
      <c r="CU343" s="95">
        <v>342</v>
      </c>
      <c r="CV343" s="95">
        <f si="236" t="shared"/>
        <v>18</v>
      </c>
      <c r="CW343" s="95">
        <f si="231" t="shared"/>
        <v>2</v>
      </c>
      <c r="CX343" s="58">
        <f si="232" t="shared"/>
        <v>969.77418638231711</v>
      </c>
      <c r="CY343" s="58">
        <f si="233" t="shared"/>
        <v>521</v>
      </c>
      <c r="CZ343" s="108">
        <f si="234" t="shared"/>
        <v>-448.77418638231711</v>
      </c>
      <c r="DA343" s="78">
        <f si="235" t="shared"/>
        <v>-0.46276153014181742</v>
      </c>
    </row>
    <row r="344" spans="99:105" x14ac:dyDescent="0.25">
      <c r="CU344" s="95">
        <v>343</v>
      </c>
      <c r="CV344" s="95">
        <f si="236" t="shared"/>
        <v>18</v>
      </c>
      <c r="CW344" s="95">
        <f si="231" t="shared"/>
        <v>3</v>
      </c>
      <c r="CX344" s="58">
        <f si="232" t="shared"/>
        <v>333.51005220482057</v>
      </c>
      <c r="CY344" s="58">
        <f si="233" t="shared"/>
        <v>158</v>
      </c>
      <c r="CZ344" s="108">
        <f si="234" t="shared"/>
        <v>-175.51005220482057</v>
      </c>
      <c r="DA344" s="78">
        <f si="235" t="shared"/>
        <v>-0.5262511610805467</v>
      </c>
    </row>
    <row r="345" spans="99:105" x14ac:dyDescent="0.25">
      <c r="CU345" s="95">
        <v>344</v>
      </c>
      <c r="CV345" s="95">
        <f si="236" t="shared"/>
        <v>18</v>
      </c>
      <c r="CW345" s="95">
        <f si="231" t="shared"/>
        <v>4</v>
      </c>
      <c r="CX345" s="58">
        <f si="232" t="shared"/>
        <v>431.54470731978228</v>
      </c>
      <c r="CY345" s="58">
        <f si="233" t="shared"/>
        <v>220</v>
      </c>
      <c r="CZ345" s="108">
        <f si="234" t="shared"/>
        <v>-211.54470731978228</v>
      </c>
      <c r="DA345" s="78">
        <f si="235" t="shared"/>
        <v>-0.49020345686460687</v>
      </c>
    </row>
    <row r="346" spans="99:105" x14ac:dyDescent="0.25">
      <c r="CU346" s="95">
        <v>345</v>
      </c>
      <c r="CV346" s="95">
        <f si="236" t="shared"/>
        <v>18</v>
      </c>
      <c r="CW346" s="95">
        <f si="231" t="shared"/>
        <v>5</v>
      </c>
      <c r="CX346" s="58">
        <f si="232" t="shared"/>
        <v>346.96578918138397</v>
      </c>
      <c r="CY346" s="58">
        <f si="233" t="shared"/>
        <v>234</v>
      </c>
      <c r="CZ346" s="108">
        <f si="234" t="shared"/>
        <v>-112.96578918138397</v>
      </c>
      <c r="DA346" s="78">
        <f si="235" t="shared"/>
        <v>-0.32558192393524027</v>
      </c>
    </row>
    <row r="347" spans="99:105" x14ac:dyDescent="0.25">
      <c r="CU347" s="95">
        <v>346</v>
      </c>
      <c r="CV347" s="95">
        <f si="236" t="shared"/>
        <v>18</v>
      </c>
      <c r="CW347" s="95">
        <f si="231" t="shared"/>
        <v>6</v>
      </c>
      <c r="CX347" s="58">
        <f si="232" t="shared"/>
        <v>2923.7394201932689</v>
      </c>
      <c r="CY347" s="58">
        <f si="233" t="shared"/>
        <v>1739</v>
      </c>
      <c r="CZ347" s="108">
        <f si="234" t="shared"/>
        <v>-1184.7394201932689</v>
      </c>
      <c r="DA347" s="78">
        <f si="235" t="shared"/>
        <v>-0.40521375195432213</v>
      </c>
    </row>
    <row r="348" spans="99:105" x14ac:dyDescent="0.25">
      <c r="CU348" s="95">
        <v>347</v>
      </c>
      <c r="CV348" s="95">
        <f si="236" t="shared"/>
        <v>18</v>
      </c>
      <c r="CW348" s="95">
        <f si="231" t="shared"/>
        <v>7</v>
      </c>
      <c r="CX348" s="58">
        <f si="232" t="shared"/>
        <v>2989.0958569365766</v>
      </c>
      <c r="CY348" s="58">
        <f si="233" t="shared"/>
        <v>1997</v>
      </c>
      <c r="CZ348" s="108">
        <f si="234" t="shared"/>
        <v>-992.09585693657664</v>
      </c>
      <c r="DA348" s="78">
        <f si="235" t="shared"/>
        <v>-0.33190499884247343</v>
      </c>
    </row>
    <row r="349" spans="99:105" x14ac:dyDescent="0.25">
      <c r="CU349" s="95">
        <v>348</v>
      </c>
      <c r="CV349" s="95">
        <f si="236" t="shared"/>
        <v>18</v>
      </c>
      <c r="CW349" s="95">
        <f si="231" t="shared"/>
        <v>8</v>
      </c>
      <c r="CX349" s="58">
        <f si="232" t="shared"/>
        <v>85.54004220815284</v>
      </c>
      <c r="CY349" s="58">
        <f si="233" t="shared"/>
        <v>51</v>
      </c>
      <c r="CZ349" s="108">
        <f si="234" t="shared"/>
        <v>-34.54004220815284</v>
      </c>
      <c r="DA349" s="78">
        <f si="235" t="shared"/>
        <v>-0.40378799584998126</v>
      </c>
    </row>
    <row r="350" spans="99:105" x14ac:dyDescent="0.25">
      <c r="CU350" s="95">
        <v>349</v>
      </c>
      <c r="CV350" s="95">
        <f si="236" t="shared"/>
        <v>18</v>
      </c>
      <c r="CW350" s="95">
        <f si="231" t="shared"/>
        <v>9</v>
      </c>
      <c r="CX350" s="58">
        <f si="232" t="shared"/>
        <v>1011.1025213817616</v>
      </c>
      <c r="CY350" s="58">
        <f si="233" t="shared"/>
        <v>320</v>
      </c>
      <c r="CZ350" s="108">
        <f si="234" t="shared"/>
        <v>-691.10252138176156</v>
      </c>
      <c r="DA350" s="78">
        <f si="235" t="shared"/>
        <v>-0.68351379485960384</v>
      </c>
    </row>
    <row r="351" spans="99:105" x14ac:dyDescent="0.25">
      <c r="CU351" s="95">
        <v>350</v>
      </c>
      <c r="CV351" s="95">
        <f si="236" t="shared"/>
        <v>18</v>
      </c>
      <c r="CW351" s="95">
        <f si="231" t="shared"/>
        <v>10</v>
      </c>
      <c r="CX351" s="58">
        <f si="232" t="shared"/>
        <v>470.95079417971789</v>
      </c>
      <c r="CY351" s="58">
        <f si="233" t="shared"/>
        <v>308</v>
      </c>
      <c r="CZ351" s="108">
        <f si="234" t="shared"/>
        <v>-162.95079417971789</v>
      </c>
      <c r="DA351" s="78">
        <f si="235" t="shared"/>
        <v>-0.34600386323488141</v>
      </c>
    </row>
    <row r="352" spans="99:105" x14ac:dyDescent="0.25">
      <c r="CU352" s="95">
        <v>351</v>
      </c>
      <c r="CV352" s="95">
        <f si="236" t="shared"/>
        <v>18</v>
      </c>
      <c r="CW352" s="95">
        <f si="231" t="shared"/>
        <v>11</v>
      </c>
      <c r="CX352" s="58">
        <f si="232" t="shared"/>
        <v>442.11707208708208</v>
      </c>
      <c r="CY352" s="58">
        <f si="233" t="shared"/>
        <v>97</v>
      </c>
      <c r="CZ352" s="108">
        <f si="234" t="shared"/>
        <v>-345.11707208708208</v>
      </c>
      <c r="DA352" s="78">
        <f si="235" t="shared"/>
        <v>-0.78060109838759117</v>
      </c>
    </row>
    <row r="353" spans="99:105" x14ac:dyDescent="0.25">
      <c r="CU353" s="95">
        <v>352</v>
      </c>
      <c r="CV353" s="95">
        <f si="236" t="shared"/>
        <v>18</v>
      </c>
      <c r="CW353" s="95">
        <f si="231" t="shared"/>
        <v>12</v>
      </c>
      <c r="CX353" s="58">
        <f si="232" t="shared"/>
        <v>13775.791291791626</v>
      </c>
      <c r="CY353" s="58">
        <f si="233" t="shared"/>
        <v>16283</v>
      </c>
      <c r="CZ353" s="108">
        <f si="234" t="shared"/>
        <v>2507.2087082083744</v>
      </c>
      <c r="DA353" s="78">
        <f si="235" t="shared"/>
        <v>0.18200106658862547</v>
      </c>
    </row>
    <row r="354" spans="99:105" x14ac:dyDescent="0.25">
      <c r="CU354" s="95">
        <v>353</v>
      </c>
      <c r="CV354" s="95">
        <f si="236" t="shared"/>
        <v>18</v>
      </c>
      <c r="CW354" s="95">
        <f si="231" t="shared"/>
        <v>13</v>
      </c>
      <c r="CX354" s="58">
        <f si="232" t="shared"/>
        <v>3939.6475619238031</v>
      </c>
      <c r="CY354" s="58">
        <f si="233" t="shared"/>
        <v>5066</v>
      </c>
      <c r="CZ354" s="108">
        <f si="234" t="shared"/>
        <v>1126.3524380761969</v>
      </c>
      <c r="DA354" s="78">
        <f si="235" t="shared"/>
        <v>0.28590182760565974</v>
      </c>
    </row>
    <row r="355" spans="99:105" x14ac:dyDescent="0.25">
      <c r="CU355" s="95">
        <v>354</v>
      </c>
      <c r="CV355" s="95">
        <f si="236" t="shared"/>
        <v>18</v>
      </c>
      <c r="CW355" s="95">
        <f si="231" t="shared"/>
        <v>14</v>
      </c>
      <c r="CX355" s="58">
        <f si="232" t="shared"/>
        <v>61.51194046428968</v>
      </c>
      <c r="CY355" s="58">
        <f si="233" t="shared"/>
        <v>7</v>
      </c>
      <c r="CZ355" s="108">
        <f si="234" t="shared"/>
        <v>-54.51194046428968</v>
      </c>
      <c r="DA355" s="78">
        <f si="235" t="shared"/>
        <v>-0.88620095631572859</v>
      </c>
    </row>
    <row r="356" spans="99:105" x14ac:dyDescent="0.25">
      <c r="CU356" s="95">
        <v>355</v>
      </c>
      <c r="CV356" s="95">
        <f si="236" t="shared"/>
        <v>18</v>
      </c>
      <c r="CW356" s="95">
        <f si="231" t="shared"/>
        <v>15</v>
      </c>
      <c r="CX356" s="58">
        <f si="232" t="shared"/>
        <v>348.88803732089303</v>
      </c>
      <c r="CY356" s="58">
        <f si="233" t="shared"/>
        <v>180</v>
      </c>
      <c r="CZ356" s="108">
        <f si="234" t="shared"/>
        <v>-168.88803732089303</v>
      </c>
      <c r="DA356" s="78">
        <f si="235" t="shared"/>
        <v>-0.48407517385170956</v>
      </c>
    </row>
    <row r="357" spans="99:105" x14ac:dyDescent="0.25">
      <c r="CU357" s="95">
        <v>356</v>
      </c>
      <c r="CV357" s="95">
        <f si="236" t="shared"/>
        <v>18</v>
      </c>
      <c r="CW357" s="95">
        <f si="231" t="shared"/>
        <v>16</v>
      </c>
      <c r="CX357" s="58">
        <f si="232" t="shared"/>
        <v>161.46884371876041</v>
      </c>
      <c r="CY357" s="58">
        <f si="233" t="shared"/>
        <v>227</v>
      </c>
      <c r="CZ357" s="108">
        <f si="234" t="shared"/>
        <v>65.531156281239589</v>
      </c>
      <c r="DA357" s="78">
        <f si="235" t="shared"/>
        <v>0.40584396823562435</v>
      </c>
    </row>
    <row r="358" spans="99:105" x14ac:dyDescent="0.25">
      <c r="CU358" s="95">
        <v>357</v>
      </c>
      <c r="CV358" s="95">
        <f si="236" t="shared"/>
        <v>18</v>
      </c>
      <c r="CW358" s="95">
        <f si="231" t="shared"/>
        <v>17</v>
      </c>
      <c r="CX358" s="58">
        <f si="232" t="shared"/>
        <v>53.822947906253475</v>
      </c>
      <c r="CY358" s="58">
        <f si="233" t="shared"/>
        <v>11</v>
      </c>
      <c r="CZ358" s="108">
        <f si="234" t="shared"/>
        <v>-42.822947906253475</v>
      </c>
      <c r="DA358" s="78">
        <f si="235" t="shared"/>
        <v>-0.7956262072609005</v>
      </c>
    </row>
    <row r="359" spans="99:105" x14ac:dyDescent="0.25">
      <c r="CU359" s="95">
        <v>358</v>
      </c>
      <c r="CV359" s="95">
        <f si="236" t="shared"/>
        <v>18</v>
      </c>
      <c r="CW359" s="95">
        <f si="231" t="shared"/>
        <v>18</v>
      </c>
      <c r="CX359" s="58">
        <f si="232" t="shared"/>
        <v>3338.9450183272247</v>
      </c>
      <c r="CY359" s="58">
        <f si="233" t="shared"/>
        <v>5087</v>
      </c>
      <c r="CZ359" s="108">
        <f si="234" t="shared"/>
        <v>1748.0549816727753</v>
      </c>
      <c r="DA359" s="78">
        <f si="235" t="shared"/>
        <v>0.52353512024841065</v>
      </c>
    </row>
    <row r="360" spans="99:105" x14ac:dyDescent="0.25">
      <c r="CU360" s="95">
        <v>359</v>
      </c>
      <c r="CV360" s="95">
        <f si="236" t="shared"/>
        <v>18</v>
      </c>
      <c r="CW360" s="95">
        <f si="231" t="shared"/>
        <v>19</v>
      </c>
      <c r="CX360" s="58">
        <f si="232" t="shared"/>
        <v>126.86837720759748</v>
      </c>
      <c r="CY360" s="58">
        <f si="233" t="shared"/>
        <v>46</v>
      </c>
      <c r="CZ360" s="108">
        <f si="234" t="shared"/>
        <v>-80.868377207597476</v>
      </c>
      <c r="DA360" s="78">
        <f si="235" t="shared"/>
        <v>-0.63741949717911817</v>
      </c>
    </row>
    <row r="361" spans="99:105" x14ac:dyDescent="0.25">
      <c r="CU361" s="95">
        <v>360</v>
      </c>
      <c r="CV361" s="95">
        <f si="236" t="shared"/>
        <v>18</v>
      </c>
      <c r="CW361" s="95">
        <f si="231" t="shared"/>
        <v>20</v>
      </c>
      <c r="CX361" s="58">
        <f si="232" t="shared"/>
        <v>1442.6472287015438</v>
      </c>
      <c r="CY361" s="58">
        <f si="233" t="shared"/>
        <v>1227</v>
      </c>
      <c r="CZ361" s="108">
        <f si="234" t="shared"/>
        <v>-215.64722870154378</v>
      </c>
      <c r="DA361" s="78">
        <f si="235" t="shared"/>
        <v>-0.14948022247659071</v>
      </c>
    </row>
    <row r="362" spans="99:105" x14ac:dyDescent="0.25">
      <c r="CU362" s="95">
        <v>361</v>
      </c>
      <c r="CV362" s="95">
        <f si="236" t="shared"/>
        <v>19</v>
      </c>
      <c r="CW362" s="95">
        <f si="231" t="shared"/>
        <v>1</v>
      </c>
      <c r="CX362" s="58">
        <f si="232" t="shared"/>
        <v>1474.8996742671009</v>
      </c>
      <c r="CY362" s="58">
        <f si="233" t="shared"/>
        <v>1696.0000000000005</v>
      </c>
      <c r="CZ362" s="108">
        <f si="234" t="shared"/>
        <v>221.10032573289959</v>
      </c>
      <c r="DA362" s="78">
        <f si="235" t="shared"/>
        <v>0.14990872232904084</v>
      </c>
    </row>
    <row r="363" spans="99:105" x14ac:dyDescent="0.25">
      <c r="CU363" s="95">
        <v>362</v>
      </c>
      <c r="CV363" s="95">
        <f si="236" t="shared"/>
        <v>19</v>
      </c>
      <c r="CW363" s="95">
        <f si="231" t="shared"/>
        <v>2</v>
      </c>
      <c r="CX363" s="58">
        <f si="232" t="shared"/>
        <v>1343.3570032573291</v>
      </c>
      <c r="CY363" s="58">
        <f si="233" t="shared"/>
        <v>952.00000000000023</v>
      </c>
      <c r="CZ363" s="108">
        <f si="234" t="shared"/>
        <v>-391.35700325732887</v>
      </c>
      <c r="DA363" s="78">
        <f si="235" t="shared"/>
        <v>-0.2913276234897938</v>
      </c>
    </row>
    <row r="364" spans="99:105" x14ac:dyDescent="0.25">
      <c r="CU364" s="95">
        <v>363</v>
      </c>
      <c r="CV364" s="95">
        <f si="236" t="shared"/>
        <v>19</v>
      </c>
      <c r="CW364" s="95">
        <f si="231" t="shared"/>
        <v>3</v>
      </c>
      <c r="CX364" s="58">
        <f si="232" t="shared"/>
        <v>715.37589576547236</v>
      </c>
      <c r="CY364" s="58">
        <f si="233" t="shared"/>
        <v>856.00000000000023</v>
      </c>
      <c r="CZ364" s="108">
        <f si="234" t="shared"/>
        <v>140.62410423452786</v>
      </c>
      <c r="DA364" s="78">
        <f si="235" t="shared"/>
        <v>0.1965737244809683</v>
      </c>
    </row>
    <row r="365" spans="99:105" x14ac:dyDescent="0.25">
      <c r="CU365" s="95">
        <v>364</v>
      </c>
      <c r="CV365" s="95">
        <f si="236" t="shared"/>
        <v>19</v>
      </c>
      <c r="CW365" s="95">
        <f si="231" t="shared"/>
        <v>4</v>
      </c>
      <c r="CX365" s="58">
        <f si="232" t="shared"/>
        <v>751.41498371335513</v>
      </c>
      <c r="CY365" s="58">
        <f si="233" t="shared"/>
        <v>672.00000000000011</v>
      </c>
      <c r="CZ365" s="108">
        <f si="234" t="shared"/>
        <v>-79.414983713355014</v>
      </c>
      <c r="DA365" s="78">
        <f si="235" t="shared"/>
        <v>-0.10568725063333276</v>
      </c>
    </row>
    <row r="366" spans="99:105" x14ac:dyDescent="0.25">
      <c r="CU366" s="95">
        <v>365</v>
      </c>
      <c r="CV366" s="95">
        <f si="236" t="shared"/>
        <v>19</v>
      </c>
      <c r="CW366" s="95">
        <f si="231" t="shared"/>
        <v>5</v>
      </c>
      <c r="CX366" s="58">
        <f si="232" t="shared"/>
        <v>451.38957654723123</v>
      </c>
      <c r="CY366" s="58">
        <f si="233" t="shared"/>
        <v>442.00000000000011</v>
      </c>
      <c r="CZ366" s="108">
        <f si="234" t="shared"/>
        <v>-9.3895765472311155</v>
      </c>
      <c r="DA366" s="78">
        <f si="235" t="shared"/>
        <v>-2.0801491738143038E-2</v>
      </c>
    </row>
    <row r="367" spans="99:105" x14ac:dyDescent="0.25">
      <c r="CU367" s="95">
        <v>366</v>
      </c>
      <c r="CV367" s="95">
        <f si="236" t="shared"/>
        <v>19</v>
      </c>
      <c r="CW367" s="95">
        <f si="231" t="shared"/>
        <v>6</v>
      </c>
      <c r="CX367" s="58">
        <f si="232" t="shared"/>
        <v>2710.1394136807817</v>
      </c>
      <c r="CY367" s="58">
        <f si="233" t="shared"/>
        <v>2532.0000000000005</v>
      </c>
      <c r="CZ367" s="108">
        <f si="234" t="shared"/>
        <v>-178.13941368078122</v>
      </c>
      <c r="DA367" s="78">
        <f si="235" t="shared"/>
        <v>-6.5730719527391693E-2</v>
      </c>
    </row>
    <row r="368" spans="99:105" x14ac:dyDescent="0.25">
      <c r="CU368" s="95">
        <v>367</v>
      </c>
      <c r="CV368" s="95">
        <f si="236" t="shared"/>
        <v>19</v>
      </c>
      <c r="CW368" s="95">
        <f si="231" t="shared"/>
        <v>7</v>
      </c>
      <c r="CX368" s="58">
        <f si="232" t="shared"/>
        <v>1365.8814332247557</v>
      </c>
      <c r="CY368" s="58">
        <f si="233" t="shared"/>
        <v>544.00000000000011</v>
      </c>
      <c r="CZ368" s="108">
        <f si="234" t="shared"/>
        <v>-821.8814332247556</v>
      </c>
      <c r="DA368" s="78">
        <f si="235" t="shared"/>
        <v>-0.60172238470534589</v>
      </c>
    </row>
    <row r="369" spans="99:105" x14ac:dyDescent="0.25">
      <c r="CU369" s="95">
        <v>368</v>
      </c>
      <c r="CV369" s="95">
        <f si="236" t="shared"/>
        <v>19</v>
      </c>
      <c r="CW369" s="95">
        <f si="231" t="shared"/>
        <v>8</v>
      </c>
      <c r="CX369" s="58">
        <f si="232" t="shared"/>
        <v>198.21498371335505</v>
      </c>
      <c r="CY369" s="58">
        <f si="233" t="shared"/>
        <v>120.00000000000003</v>
      </c>
      <c r="CZ369" s="108">
        <f si="234" t="shared"/>
        <v>-78.214983713355025</v>
      </c>
      <c r="DA369" s="78">
        <f si="235" t="shared"/>
        <v>-0.39459672648392807</v>
      </c>
    </row>
    <row r="370" spans="99:105" x14ac:dyDescent="0.25">
      <c r="CU370" s="95">
        <v>369</v>
      </c>
      <c r="CV370" s="95">
        <f si="236" t="shared"/>
        <v>19</v>
      </c>
      <c r="CW370" s="95">
        <f si="231" t="shared"/>
        <v>9</v>
      </c>
      <c r="CX370" s="58">
        <f si="232" t="shared"/>
        <v>1649.6892508143321</v>
      </c>
      <c r="CY370" s="58">
        <f si="233" t="shared"/>
        <v>1499.0000000000002</v>
      </c>
      <c r="CZ370" s="108">
        <f si="234" t="shared"/>
        <v>-150.6892508143319</v>
      </c>
      <c r="DA370" s="78">
        <f si="235" t="shared"/>
        <v>-9.1344021754368301E-2</v>
      </c>
    </row>
    <row r="371" spans="99:105" x14ac:dyDescent="0.25">
      <c r="CU371" s="95">
        <v>370</v>
      </c>
      <c r="CV371" s="95">
        <f si="236" t="shared"/>
        <v>19</v>
      </c>
      <c r="CW371" s="95">
        <f si="231" t="shared"/>
        <v>10</v>
      </c>
      <c r="CX371" s="58">
        <f si="232" t="shared"/>
        <v>340.56938110749184</v>
      </c>
      <c r="CY371" s="58">
        <f si="233" t="shared"/>
        <v>241.00000000000006</v>
      </c>
      <c r="CZ371" s="108">
        <f si="234" t="shared"/>
        <v>-99.569381107491779</v>
      </c>
      <c r="DA371" s="78">
        <f si="235" t="shared"/>
        <v>-0.2923615175965138</v>
      </c>
    </row>
    <row r="372" spans="99:105" x14ac:dyDescent="0.25">
      <c r="CU372" s="95">
        <v>371</v>
      </c>
      <c r="CV372" s="95">
        <f si="236" t="shared"/>
        <v>19</v>
      </c>
      <c r="CW372" s="95">
        <f si="231" t="shared"/>
        <v>11</v>
      </c>
      <c r="CX372" s="58">
        <f si="232" t="shared"/>
        <v>5326.5771986970685</v>
      </c>
      <c r="CY372" s="58">
        <f si="233" t="shared"/>
        <v>6801.0000000000018</v>
      </c>
      <c r="CZ372" s="108">
        <f si="234" t="shared"/>
        <v>1474.4228013029333</v>
      </c>
      <c r="DA372" s="78">
        <f si="235" t="shared"/>
        <v>0.2768049248706263</v>
      </c>
    </row>
    <row r="373" spans="99:105" x14ac:dyDescent="0.25">
      <c r="CU373" s="95">
        <v>372</v>
      </c>
      <c r="CV373" s="95">
        <f si="236" t="shared"/>
        <v>19</v>
      </c>
      <c r="CW373" s="95">
        <f si="231" t="shared"/>
        <v>12</v>
      </c>
      <c r="CX373" s="58">
        <f si="232" t="shared"/>
        <v>2875.0182410423454</v>
      </c>
      <c r="CY373" s="58">
        <f si="233" t="shared"/>
        <v>1224.0000000000002</v>
      </c>
      <c r="CZ373" s="108">
        <f si="234" t="shared"/>
        <v>-1651.0182410423452</v>
      </c>
      <c r="DA373" s="78">
        <f si="235" t="shared"/>
        <v>-0.57426357073955958</v>
      </c>
    </row>
    <row r="374" spans="99:105" x14ac:dyDescent="0.25">
      <c r="CU374" s="95">
        <v>373</v>
      </c>
      <c r="CV374" s="95">
        <f si="236" t="shared"/>
        <v>19</v>
      </c>
      <c r="CW374" s="95">
        <f si="231" t="shared"/>
        <v>13</v>
      </c>
      <c r="CX374" s="58">
        <f si="232" t="shared"/>
        <v>666.72312703583054</v>
      </c>
      <c r="CY374" s="58">
        <f si="233" t="shared"/>
        <v>220.00000000000006</v>
      </c>
      <c r="CZ374" s="108">
        <f si="234" t="shared"/>
        <v>-446.72312703583049</v>
      </c>
      <c r="DA374" s="78">
        <f si="235" t="shared"/>
        <v>-0.67002794551601486</v>
      </c>
    </row>
    <row r="375" spans="99:105" x14ac:dyDescent="0.25">
      <c r="CU375" s="95">
        <v>374</v>
      </c>
      <c r="CV375" s="95">
        <f si="236" t="shared"/>
        <v>19</v>
      </c>
      <c r="CW375" s="95">
        <f si="231" t="shared"/>
        <v>14</v>
      </c>
      <c r="CX375" s="58">
        <f si="232" t="shared"/>
        <v>631.58501628664499</v>
      </c>
      <c r="CY375" s="58">
        <f si="233" t="shared"/>
        <v>741.00000000000011</v>
      </c>
      <c r="CZ375" s="108">
        <f si="234" t="shared"/>
        <v>109.41498371335513</v>
      </c>
      <c r="DA375" s="78">
        <f si="235" t="shared"/>
        <v>0.17323872620767988</v>
      </c>
    </row>
    <row r="376" spans="99:105" x14ac:dyDescent="0.25">
      <c r="CU376" s="95">
        <v>375</v>
      </c>
      <c r="CV376" s="95">
        <f si="236" t="shared"/>
        <v>19</v>
      </c>
      <c r="CW376" s="95">
        <f si="231" t="shared"/>
        <v>15</v>
      </c>
      <c r="CX376" s="58">
        <f si="232" t="shared"/>
        <v>1332.5452768729642</v>
      </c>
      <c r="CY376" s="58">
        <f si="233" t="shared"/>
        <v>1978.0000000000005</v>
      </c>
      <c r="CZ376" s="108">
        <f si="234" t="shared"/>
        <v>645.45472312703623</v>
      </c>
      <c r="DA376" s="78">
        <f si="235" t="shared"/>
        <v>0.48437732985831555</v>
      </c>
    </row>
    <row r="377" spans="99:105" x14ac:dyDescent="0.25">
      <c r="CU377" s="95">
        <v>376</v>
      </c>
      <c r="CV377" s="95">
        <f si="236" t="shared"/>
        <v>19</v>
      </c>
      <c r="CW377" s="95">
        <f si="231" t="shared"/>
        <v>16</v>
      </c>
      <c r="CX377" s="58">
        <f si="232" t="shared"/>
        <v>81.087947882736159</v>
      </c>
      <c r="CY377" s="58">
        <f si="233" t="shared"/>
        <v>21.000000000000004</v>
      </c>
      <c r="CZ377" s="108">
        <f si="234" t="shared"/>
        <v>-60.087947882736159</v>
      </c>
      <c r="DA377" s="78">
        <f si="235" t="shared"/>
        <v>-0.74102193299590269</v>
      </c>
    </row>
    <row r="378" spans="99:105" x14ac:dyDescent="0.25">
      <c r="CU378" s="95">
        <v>377</v>
      </c>
      <c r="CV378" s="95">
        <f si="236" t="shared"/>
        <v>19</v>
      </c>
      <c r="CW378" s="95">
        <f si="231" t="shared"/>
        <v>17</v>
      </c>
      <c r="CX378" s="58">
        <f si="232" t="shared"/>
        <v>2747.9804560260586</v>
      </c>
      <c r="CY378" s="58">
        <f si="233" t="shared"/>
        <v>2627.0000000000005</v>
      </c>
      <c r="CZ378" s="108">
        <f si="234" t="shared"/>
        <v>-120.98045602605816</v>
      </c>
      <c r="DA378" s="78">
        <f si="235" t="shared"/>
        <v>-4.402522432820058E-2</v>
      </c>
    </row>
    <row r="379" spans="99:105" x14ac:dyDescent="0.25">
      <c r="CU379" s="95">
        <v>378</v>
      </c>
      <c r="CV379" s="95">
        <f si="236" t="shared"/>
        <v>19</v>
      </c>
      <c r="CW379" s="95">
        <f si="231" t="shared"/>
        <v>18</v>
      </c>
      <c r="CX379" s="58">
        <f si="232" t="shared"/>
        <v>156.77003257328991</v>
      </c>
      <c r="CY379" s="58">
        <f si="233" t="shared"/>
        <v>11.000000000000002</v>
      </c>
      <c r="CZ379" s="108">
        <f si="234" t="shared"/>
        <v>-145.77003257328991</v>
      </c>
      <c r="DA379" s="78">
        <f si="235" t="shared"/>
        <v>-0.92983352864421009</v>
      </c>
    </row>
    <row r="380" spans="99:105" x14ac:dyDescent="0.25">
      <c r="CU380" s="95">
        <v>379</v>
      </c>
      <c r="CV380" s="95">
        <f si="236" t="shared"/>
        <v>19</v>
      </c>
      <c r="CW380" s="95">
        <f si="231" t="shared"/>
        <v>19</v>
      </c>
      <c r="CX380" s="58">
        <f si="232" t="shared"/>
        <v>11020.75309446254</v>
      </c>
      <c r="CY380" s="58">
        <f si="233" t="shared"/>
        <v>12777.000000000004</v>
      </c>
      <c r="CZ380" s="108">
        <f si="234" t="shared"/>
        <v>1756.246905537464</v>
      </c>
      <c r="DA380" s="78">
        <f si="235" t="shared"/>
        <v>0.15935815733136274</v>
      </c>
    </row>
    <row r="381" spans="99:105" x14ac:dyDescent="0.25">
      <c r="CU381" s="95">
        <v>380</v>
      </c>
      <c r="CV381" s="95">
        <f si="236" t="shared"/>
        <v>19</v>
      </c>
      <c r="CW381" s="95">
        <f si="231" t="shared"/>
        <v>20</v>
      </c>
      <c r="CX381" s="58">
        <f si="232" t="shared"/>
        <v>118.02801302931597</v>
      </c>
      <c r="CY381" s="58">
        <f si="233" t="shared"/>
        <v>4.0000000000000009</v>
      </c>
      <c r="CZ381" s="108">
        <f si="234" t="shared"/>
        <v>-114.02801302931597</v>
      </c>
      <c r="DA381" s="78">
        <f si="235" t="shared"/>
        <v>-0.96610974041385855</v>
      </c>
    </row>
    <row r="382" spans="99:105" x14ac:dyDescent="0.25">
      <c r="CU382" s="95">
        <v>381</v>
      </c>
      <c r="CV382" s="95">
        <f si="236" t="shared"/>
        <v>20</v>
      </c>
      <c r="CW382" s="95">
        <f si="231" t="shared"/>
        <v>1</v>
      </c>
      <c r="CX382" s="58">
        <f si="232" t="shared"/>
        <v>651.08024519364722</v>
      </c>
      <c r="CY382" s="58">
        <f si="233" t="shared"/>
        <v>257</v>
      </c>
      <c r="CZ382" s="108">
        <f si="234" t="shared"/>
        <v>-394.08024519364722</v>
      </c>
      <c r="DA382" s="78">
        <f si="235" t="shared"/>
        <v>-0.60527139028221955</v>
      </c>
    </row>
    <row r="383" spans="99:105" x14ac:dyDescent="0.25">
      <c r="CU383" s="95">
        <v>382</v>
      </c>
      <c r="CV383" s="95">
        <f si="236" t="shared"/>
        <v>20</v>
      </c>
      <c r="CW383" s="95">
        <f si="231" t="shared"/>
        <v>2</v>
      </c>
      <c r="CX383" s="58">
        <f si="232" t="shared"/>
        <v>570.13994148787958</v>
      </c>
      <c r="CY383" s="58">
        <f si="233" t="shared"/>
        <v>140</v>
      </c>
      <c r="CZ383" s="108">
        <f si="234" t="shared"/>
        <v>-430.13994148787958</v>
      </c>
      <c r="DA383" s="78">
        <f si="235" t="shared"/>
        <v>-0.75444625115257569</v>
      </c>
    </row>
    <row r="384" spans="99:105" x14ac:dyDescent="0.25">
      <c r="CU384" s="95">
        <v>383</v>
      </c>
      <c r="CV384" s="95">
        <f si="236" t="shared"/>
        <v>20</v>
      </c>
      <c r="CW384" s="95">
        <f si="231" t="shared"/>
        <v>3</v>
      </c>
      <c r="CX384" s="58">
        <f si="232" t="shared"/>
        <v>206.35330175536362</v>
      </c>
      <c r="CY384" s="58">
        <f si="233" t="shared"/>
        <v>50</v>
      </c>
      <c r="CZ384" s="108">
        <f si="234" t="shared"/>
        <v>-156.35330175536362</v>
      </c>
      <c r="DA384" s="78">
        <f si="235" t="shared"/>
        <v>-0.75769711666995232</v>
      </c>
    </row>
    <row r="385" spans="99:105" x14ac:dyDescent="0.25">
      <c r="CU385" s="95">
        <v>384</v>
      </c>
      <c r="CV385" s="95">
        <f si="236" t="shared"/>
        <v>20</v>
      </c>
      <c r="CW385" s="95">
        <f si="231" t="shared"/>
        <v>4</v>
      </c>
      <c r="CX385" s="58">
        <f si="232" t="shared"/>
        <v>226.81074115352465</v>
      </c>
      <c r="CY385" s="58">
        <f si="233" t="shared"/>
        <v>73</v>
      </c>
      <c r="CZ385" s="108">
        <f si="234" t="shared"/>
        <v>-153.81074115352465</v>
      </c>
      <c r="DA385" s="78">
        <f si="235" t="shared"/>
        <v>-0.67814575434684798</v>
      </c>
    </row>
    <row r="386" spans="99:105" x14ac:dyDescent="0.25">
      <c r="CU386" s="95">
        <v>385</v>
      </c>
      <c r="CV386" s="95">
        <f si="236" t="shared"/>
        <v>20</v>
      </c>
      <c r="CW386" s="95">
        <f si="231" t="shared"/>
        <v>5</v>
      </c>
      <c r="CX386" s="58">
        <f si="232" t="shared"/>
        <v>185.00640847032599</v>
      </c>
      <c r="CY386" s="58">
        <f si="233" t="shared"/>
        <v>91</v>
      </c>
      <c r="CZ386" s="108">
        <f si="234" t="shared"/>
        <v>-94.006408470325994</v>
      </c>
      <c r="DA386" s="78">
        <f si="235" t="shared"/>
        <v>-0.50812514684000309</v>
      </c>
    </row>
    <row r="387" spans="99:105" x14ac:dyDescent="0.25">
      <c r="CU387" s="95">
        <v>386</v>
      </c>
      <c r="CV387" s="95">
        <f si="236" t="shared"/>
        <v>20</v>
      </c>
      <c r="CW387" s="95">
        <f ref="CW387:CW401" si="237" t="shared">MOD(ROW()-2,$CS$2)+1</f>
        <v>6</v>
      </c>
      <c r="CX387" s="58">
        <f ref="CX387:CX401" si="238" t="shared">VLOOKUP($CV387,$B$30:$V$49,MATCH($CW387,$B$29:$V$29,0),0)</f>
        <v>1055.7817637224853</v>
      </c>
      <c r="CY387" s="58">
        <f ref="CY387:CY401" si="239" t="shared">VLOOKUP($CV387,$AY$30:$BS$49,MATCH($CW387,$AY$29:$BS$29,0),0)</f>
        <v>595</v>
      </c>
      <c r="CZ387" s="108">
        <f ref="CZ387:CZ401" si="240" t="shared">CY387-CX387</f>
        <v>-460.78176372248527</v>
      </c>
      <c r="DA387" s="78">
        <f ref="DA387:DA401" si="241" t="shared">CZ387/CX387</f>
        <v>-0.43643656251255619</v>
      </c>
    </row>
    <row r="388" spans="99:105" x14ac:dyDescent="0.25">
      <c r="CU388" s="95">
        <v>387</v>
      </c>
      <c r="CV388" s="95">
        <f ref="CV388:CV401" si="242" t="shared">IF(CW387&lt;$CS$2,CV387,CV387+1)</f>
        <v>20</v>
      </c>
      <c r="CW388" s="95">
        <f si="237" t="shared"/>
        <v>7</v>
      </c>
      <c r="CX388" s="58">
        <f si="238" t="shared"/>
        <v>1194.53657007523</v>
      </c>
      <c r="CY388" s="58">
        <f si="239" t="shared"/>
        <v>323</v>
      </c>
      <c r="CZ388" s="108">
        <f si="240" t="shared"/>
        <v>-871.53657007522997</v>
      </c>
      <c r="DA388" s="78">
        <f si="241" t="shared"/>
        <v>-0.72960225070408857</v>
      </c>
    </row>
    <row r="389" spans="99:105" x14ac:dyDescent="0.25">
      <c r="CU389" s="95">
        <v>388</v>
      </c>
      <c r="CV389" s="95">
        <f si="242" t="shared"/>
        <v>20</v>
      </c>
      <c r="CW389" s="95">
        <f si="237" t="shared"/>
        <v>8</v>
      </c>
      <c r="CX389" s="58">
        <f si="238" t="shared"/>
        <v>76.493034271384786</v>
      </c>
      <c r="CY389" s="58">
        <f si="239" t="shared"/>
        <v>23</v>
      </c>
      <c r="CZ389" s="108">
        <f si="240" t="shared"/>
        <v>-53.493034271384786</v>
      </c>
      <c r="DA389" s="78">
        <f si="241" t="shared"/>
        <v>-0.69931902663973611</v>
      </c>
    </row>
    <row r="390" spans="99:105" x14ac:dyDescent="0.25">
      <c r="CU390" s="95">
        <v>389</v>
      </c>
      <c r="CV390" s="95">
        <f si="242" t="shared"/>
        <v>20</v>
      </c>
      <c r="CW390" s="95">
        <f si="237" t="shared"/>
        <v>9</v>
      </c>
      <c r="CX390" s="58">
        <f si="238" t="shared"/>
        <v>617.28099749233775</v>
      </c>
      <c r="CY390" s="58">
        <f si="239" t="shared"/>
        <v>95</v>
      </c>
      <c r="CZ390" s="108">
        <f si="240" t="shared"/>
        <v>-522.28099749233775</v>
      </c>
      <c r="DA390" s="78">
        <f si="241" t="shared"/>
        <v>-0.84609926372927224</v>
      </c>
    </row>
    <row r="391" spans="99:105" x14ac:dyDescent="0.25">
      <c r="CU391" s="95">
        <v>390</v>
      </c>
      <c r="CV391" s="95">
        <f si="242" t="shared"/>
        <v>20</v>
      </c>
      <c r="CW391" s="95">
        <f si="237" t="shared"/>
        <v>10</v>
      </c>
      <c r="CX391" s="58">
        <f si="238" t="shared"/>
        <v>249.04708832543886</v>
      </c>
      <c r="CY391" s="58">
        <f si="239" t="shared"/>
        <v>146</v>
      </c>
      <c r="CZ391" s="108">
        <f si="240" t="shared"/>
        <v>-103.04708832543886</v>
      </c>
      <c r="DA391" s="78">
        <f si="241" t="shared"/>
        <v>-0.41376548113175887</v>
      </c>
    </row>
    <row r="392" spans="99:105" x14ac:dyDescent="0.25">
      <c r="CU392" s="95">
        <v>391</v>
      </c>
      <c r="CV392" s="95">
        <f si="242" t="shared"/>
        <v>20</v>
      </c>
      <c r="CW392" s="95">
        <f si="237" t="shared"/>
        <v>11</v>
      </c>
      <c r="CX392" s="58">
        <f si="238" t="shared"/>
        <v>255.27326553357483</v>
      </c>
      <c r="CY392" s="58">
        <f si="239" t="shared"/>
        <v>32</v>
      </c>
      <c r="CZ392" s="108">
        <f si="240" t="shared"/>
        <v>-223.27326553357483</v>
      </c>
      <c r="DA392" s="78">
        <f si="241" t="shared"/>
        <v>-0.87464413896569515</v>
      </c>
    </row>
    <row r="393" spans="99:105" x14ac:dyDescent="0.25">
      <c r="CU393" s="95">
        <v>392</v>
      </c>
      <c r="CV393" s="95">
        <f si="242" t="shared"/>
        <v>20</v>
      </c>
      <c r="CW393" s="95">
        <f si="237" t="shared"/>
        <v>12</v>
      </c>
      <c r="CX393" s="58">
        <f si="238" t="shared"/>
        <v>5528.8453608247428</v>
      </c>
      <c r="CY393" s="58">
        <f si="239" t="shared"/>
        <v>5965</v>
      </c>
      <c r="CZ393" s="108">
        <f si="240" t="shared"/>
        <v>436.15463917525722</v>
      </c>
      <c r="DA393" s="78">
        <f si="241" t="shared"/>
        <v>7.8887111270226531E-2</v>
      </c>
    </row>
    <row r="394" spans="99:105" x14ac:dyDescent="0.25">
      <c r="CU394" s="95">
        <v>393</v>
      </c>
      <c r="CV394" s="95">
        <f si="242" t="shared"/>
        <v>20</v>
      </c>
      <c r="CW394" s="95">
        <f si="237" t="shared"/>
        <v>13</v>
      </c>
      <c r="CX394" s="58">
        <f si="238" t="shared"/>
        <v>976.62036779047094</v>
      </c>
      <c r="CY394" s="58">
        <f si="239" t="shared"/>
        <v>390</v>
      </c>
      <c r="CZ394" s="108">
        <f si="240" t="shared"/>
        <v>-586.62036779047094</v>
      </c>
      <c r="DA394" s="78">
        <f si="241" t="shared"/>
        <v>-0.60066366332053345</v>
      </c>
    </row>
    <row r="395" spans="99:105" x14ac:dyDescent="0.25">
      <c r="CU395" s="95">
        <v>394</v>
      </c>
      <c r="CV395" s="95">
        <f si="242" t="shared"/>
        <v>20</v>
      </c>
      <c r="CW395" s="95">
        <f si="237" t="shared"/>
        <v>14</v>
      </c>
      <c r="CX395" s="58">
        <f si="238" t="shared"/>
        <v>103.17665087768181</v>
      </c>
      <c r="CY395" s="58">
        <f si="239" t="shared"/>
        <v>3</v>
      </c>
      <c r="CZ395" s="108">
        <f si="240" t="shared"/>
        <v>-100.17665087768181</v>
      </c>
      <c r="DA395" s="78">
        <f si="241" t="shared"/>
        <v>-0.97092365400039427</v>
      </c>
    </row>
    <row r="396" spans="99:105" x14ac:dyDescent="0.25">
      <c r="CU396" s="95">
        <v>395</v>
      </c>
      <c r="CV396" s="95">
        <f si="242" t="shared"/>
        <v>20</v>
      </c>
      <c r="CW396" s="95">
        <f si="237" t="shared"/>
        <v>15</v>
      </c>
      <c r="CX396" s="58">
        <f si="238" t="shared"/>
        <v>194.79040122596822</v>
      </c>
      <c r="CY396" s="58">
        <f si="239" t="shared"/>
        <v>13</v>
      </c>
      <c r="CZ396" s="108">
        <f si="240" t="shared"/>
        <v>-181.79040122596822</v>
      </c>
      <c r="DA396" s="78">
        <f si="241" t="shared"/>
        <v>-0.9332615985275412</v>
      </c>
    </row>
    <row r="397" spans="99:105" x14ac:dyDescent="0.25">
      <c r="CU397" s="95">
        <v>396</v>
      </c>
      <c r="CV397" s="95">
        <f si="242" t="shared"/>
        <v>20</v>
      </c>
      <c r="CW397" s="95">
        <f si="237" t="shared"/>
        <v>16</v>
      </c>
      <c r="CX397" s="58">
        <f si="238" t="shared"/>
        <v>75.60358038450822</v>
      </c>
      <c r="CY397" s="58">
        <f si="239" t="shared"/>
        <v>187</v>
      </c>
      <c r="CZ397" s="108">
        <f si="240" t="shared"/>
        <v>111.39641961549178</v>
      </c>
      <c r="DA397" s="78">
        <f si="241" t="shared"/>
        <v>1.4734278330331272</v>
      </c>
    </row>
    <row r="398" spans="99:105" x14ac:dyDescent="0.25">
      <c r="CU398" s="95">
        <v>397</v>
      </c>
      <c r="CV398" s="95">
        <f si="242" t="shared"/>
        <v>20</v>
      </c>
      <c r="CW398" s="95">
        <f si="237" t="shared"/>
        <v>17</v>
      </c>
      <c r="CX398" s="58">
        <f si="238" t="shared"/>
        <v>32.020339927556421</v>
      </c>
      <c r="CY398" s="58">
        <f si="239" t="shared"/>
        <v>5</v>
      </c>
      <c r="CZ398" s="108">
        <f si="240" t="shared"/>
        <v>-27.020339927556421</v>
      </c>
      <c r="DA398" s="78">
        <f si="241" t="shared"/>
        <v>-0.8438492529650804</v>
      </c>
    </row>
    <row r="399" spans="99:105" x14ac:dyDescent="0.25">
      <c r="CU399" s="95">
        <v>398</v>
      </c>
      <c r="CV399" s="95">
        <f si="242" t="shared"/>
        <v>20</v>
      </c>
      <c r="CW399" s="95">
        <f si="237" t="shared"/>
        <v>18</v>
      </c>
      <c r="CX399" s="58">
        <f si="238" t="shared"/>
        <v>3536.4686542212312</v>
      </c>
      <c r="CY399" s="58">
        <f si="239" t="shared"/>
        <v>4053</v>
      </c>
      <c r="CZ399" s="108">
        <f si="240" t="shared"/>
        <v>516.53134577876881</v>
      </c>
      <c r="DA399" s="78">
        <f si="241" t="shared"/>
        <v>0.14605851098445963</v>
      </c>
    </row>
    <row r="400" spans="99:105" x14ac:dyDescent="0.25">
      <c r="CU400" s="95">
        <v>399</v>
      </c>
      <c r="CV400" s="95">
        <f si="242" t="shared"/>
        <v>20</v>
      </c>
      <c r="CW400" s="95">
        <f si="237" t="shared"/>
        <v>19</v>
      </c>
      <c r="CX400" s="58">
        <f si="238" t="shared"/>
        <v>124.52354416271943</v>
      </c>
      <c r="CY400" s="58">
        <f si="239" t="shared"/>
        <v>6</v>
      </c>
      <c r="CZ400" s="108">
        <f si="240" t="shared"/>
        <v>-118.52354416271943</v>
      </c>
      <c r="DA400" s="78">
        <f si="241" t="shared"/>
        <v>-0.95181634091493905</v>
      </c>
    </row>
    <row r="401" spans="99:105" x14ac:dyDescent="0.25">
      <c r="CU401" s="95">
        <v>400</v>
      </c>
      <c r="CV401" s="95">
        <f si="242" t="shared"/>
        <v>20</v>
      </c>
      <c r="CW401" s="95">
        <f si="237" t="shared"/>
        <v>20</v>
      </c>
      <c r="CX401" s="58">
        <f si="238" t="shared"/>
        <v>9678.1477431039293</v>
      </c>
      <c r="CY401" s="58">
        <f si="239" t="shared"/>
        <v>13091</v>
      </c>
      <c r="CZ401" s="108">
        <f si="240" t="shared"/>
        <v>3412.8522568960707</v>
      </c>
      <c r="DA401" s="78">
        <f si="241" t="shared"/>
        <v>0.35263485818635759</v>
      </c>
    </row>
    <row r="402" spans="99:105" x14ac:dyDescent="0.25">
      <c r="CU402" s="95"/>
      <c r="CV402" s="95"/>
      <c r="CW402" s="95"/>
    </row>
    <row r="403" spans="99:105" x14ac:dyDescent="0.25">
      <c r="CU403" s="95"/>
      <c r="CV403" s="95"/>
      <c r="CW403" s="95"/>
    </row>
  </sheetData>
  <mergeCells count="7">
    <mergeCell ref="AD2:AI2"/>
    <mergeCell ref="U2:AC2"/>
    <mergeCell ref="B2:C2"/>
    <mergeCell ref="D2:G2"/>
    <mergeCell ref="H2:K2"/>
    <mergeCell ref="L2:O2"/>
    <mergeCell ref="P2:Q2"/>
  </mergeCells>
  <conditionalFormatting sqref="P4:P23">
    <cfRule priority="1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4:Q23">
    <cfRule priority="1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84:AU104">
    <cfRule priority="2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05:AU105">
    <cfRule priority="2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V84:AV104">
    <cfRule priority="20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23">
    <cfRule priority="17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23">
    <cfRule priority="1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0:AT129">
    <cfRule priority="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31:AT131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127"/>
  <sheetViews>
    <sheetView topLeftCell="A6" workbookViewId="0">
      <selection activeCell="W74" sqref="W74:W95"/>
    </sheetView>
  </sheetViews>
  <sheetFormatPr defaultRowHeight="15" x14ac:dyDescent="0.25"/>
  <cols>
    <col min="1" max="1" bestFit="true" customWidth="true" width="12.710937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bestFit="true" customWidth="true" width="12.7109375" collapsed="true"/>
    <col min="8" max="8" bestFit="true" customWidth="true" width="11.5703125" collapsed="true"/>
    <col min="9" max="10" bestFit="true" customWidth="true" width="10.5703125" collapsed="true"/>
    <col min="11" max="11" bestFit="true" customWidth="true" width="11.5703125" collapsed="true"/>
    <col min="13" max="13" bestFit="true" customWidth="true" width="10.85546875" collapsed="true"/>
    <col min="14" max="14" bestFit="true" customWidth="true" width="16.42578125" collapsed="true"/>
    <col min="15" max="15" bestFit="true" customWidth="true" width="9.42578125" collapsed="true"/>
    <col min="16" max="16" bestFit="true" customWidth="true" width="13.42578125" collapsed="true"/>
    <col min="17" max="17" bestFit="true" customWidth="true" width="16.42578125" collapsed="true"/>
    <col min="21" max="21" bestFit="true" customWidth="true" width="10.0" collapsed="true"/>
    <col min="22" max="23" bestFit="true" customWidth="true" width="17.5703125" collapsed="true"/>
    <col min="24" max="24" bestFit="true" customWidth="true" width="11.5703125" collapsed="true"/>
  </cols>
  <sheetData>
    <row r="1" spans="1:31" x14ac:dyDescent="0.25">
      <c r="M1" s="36"/>
      <c r="T1" s="36" t="s">
        <v>268</v>
      </c>
      <c r="Z1" s="36" t="s">
        <v>267</v>
      </c>
    </row>
    <row r="2" spans="1:31" x14ac:dyDescent="0.25">
      <c r="V2" s="41" t="s">
        <v>238</v>
      </c>
      <c r="W2" s="41" t="s">
        <v>239</v>
      </c>
      <c r="X2" s="41" t="s">
        <v>401</v>
      </c>
      <c r="Z2" s="75"/>
      <c r="AA2" s="36" t="s">
        <v>255</v>
      </c>
      <c r="AC2" s="75"/>
      <c r="AD2" s="75"/>
      <c r="AE2" s="75"/>
    </row>
    <row r="3" spans="1:31" x14ac:dyDescent="0.25">
      <c r="T3">
        <f>WorkLocationCoefficients!B11</f>
        <v>1</v>
      </c>
      <c r="U3" t="str">
        <f>WorkLocationCoefficients!C11</f>
        <v>Beta00001</v>
      </c>
      <c r="V3" s="40">
        <f>WorkLocationCoefficients!E11</f>
        <v>1</v>
      </c>
      <c r="W3" s="162">
        <f>_xlfn.IFNA(VLOOKUP(T3,$M$13:$Q$39,5,FALSE),_xlfn.IFNA(VLOOKUP(T3,calibration_flow!$AD$3:$AH$25,5,FALSE),V3))</f>
        <v>1</v>
      </c>
      <c r="X3">
        <f>IF(W3=V3,0,1)</f>
        <v>0</v>
      </c>
      <c r="Z3">
        <v>1</v>
      </c>
      <c r="AA3" s="31" t="s">
        <v>310</v>
      </c>
      <c r="AC3" s="75"/>
      <c r="AD3" s="75"/>
      <c r="AE3" s="75"/>
    </row>
    <row r="4" spans="1:31" x14ac:dyDescent="0.25">
      <c r="C4" s="10" t="s">
        <v>299</v>
      </c>
      <c r="I4" s="10" t="s">
        <v>219</v>
      </c>
      <c r="T4">
        <f>WorkLocationCoefficients!B12</f>
        <v>2</v>
      </c>
      <c r="U4" t="str">
        <f>WorkLocationCoefficients!C12</f>
        <v>Beta00002</v>
      </c>
      <c r="V4" s="40">
        <f>WorkLocationCoefficients!E12</f>
        <v>0.7</v>
      </c>
      <c r="W4" s="162">
        <f>_xlfn.IFNA(VLOOKUP(T4,$M$13:$Q$39,5,FALSE),_xlfn.IFNA(VLOOKUP(T4,calibration_flow!$AD$3:$AH$25,5,FALSE),V4))</f>
        <v>0.7</v>
      </c>
      <c r="X4" s="95">
        <f ref="X4:X67" si="0" t="shared">IF(W4=V4,0,1)</f>
        <v>0</v>
      </c>
      <c r="Z4">
        <v>2</v>
      </c>
      <c r="AA4" s="31" t="s">
        <v>262</v>
      </c>
      <c r="AC4" s="75"/>
      <c r="AD4" s="75"/>
      <c r="AE4" s="75"/>
    </row>
    <row ht="15.75" r="5" spans="1:31" thickBot="1" x14ac:dyDescent="0.3">
      <c r="A5" s="36" t="s">
        <v>220</v>
      </c>
      <c r="M5" s="53"/>
      <c r="N5" s="32"/>
      <c r="O5" s="32"/>
      <c r="P5" s="32"/>
      <c r="Q5" s="32"/>
      <c r="T5">
        <f>WorkLocationCoefficients!B13</f>
        <v>3</v>
      </c>
      <c r="U5" t="str">
        <f>WorkLocationCoefficients!C13</f>
        <v>Beta00003</v>
      </c>
      <c r="V5" s="40">
        <f>WorkLocationCoefficients!E13</f>
        <v>1</v>
      </c>
      <c r="W5" s="162">
        <f>_xlfn.IFNA(VLOOKUP(T5,$M$13:$Q$39,5,FALSE),_xlfn.IFNA(VLOOKUP(T5,calibration_flow!$AD$3:$AH$25,5,FALSE),V5))</f>
        <v>1</v>
      </c>
      <c r="X5" s="95">
        <f si="0" t="shared"/>
        <v>0</v>
      </c>
      <c r="Z5">
        <v>3</v>
      </c>
      <c r="AA5" s="75" t="s">
        <v>264</v>
      </c>
      <c r="AB5" s="75"/>
      <c r="AC5" s="75"/>
      <c r="AD5" s="75"/>
      <c r="AE5" s="75"/>
    </row>
    <row r="6" spans="1:31" x14ac:dyDescent="0.25">
      <c r="A6" s="5" t="s">
        <v>2</v>
      </c>
      <c r="B6" s="5" t="s">
        <v>8</v>
      </c>
      <c r="C6" s="5" t="s">
        <v>9</v>
      </c>
      <c r="D6" s="5" t="s">
        <v>10</v>
      </c>
      <c r="E6" s="5" t="s">
        <v>218</v>
      </c>
      <c r="G6" s="5" t="s">
        <v>2</v>
      </c>
      <c r="H6" s="5" t="s">
        <v>8</v>
      </c>
      <c r="I6" s="5" t="s">
        <v>9</v>
      </c>
      <c r="J6" s="5" t="s">
        <v>10</v>
      </c>
      <c r="K6" s="5" t="s">
        <v>218</v>
      </c>
      <c r="M6" s="54"/>
      <c r="N6" s="54"/>
      <c r="O6" s="54"/>
      <c r="P6" s="54"/>
      <c r="Q6" s="54"/>
      <c r="T6">
        <f>WorkLocationCoefficients!B14</f>
        <v>4</v>
      </c>
      <c r="U6" t="str">
        <f>WorkLocationCoefficients!C14</f>
        <v>Beta00004</v>
      </c>
      <c r="V6" s="40">
        <f>WorkLocationCoefficients!E14</f>
        <v>0.5</v>
      </c>
      <c r="W6" s="162">
        <f>_xlfn.IFNA(VLOOKUP(T6,$M$13:$Q$39,5,FALSE),_xlfn.IFNA(VLOOKUP(T6,calibration_flow!$AD$3:$AH$25,5,FALSE),V6))</f>
        <v>0.5</v>
      </c>
      <c r="X6" s="95">
        <f si="0" t="shared"/>
        <v>0</v>
      </c>
      <c r="Z6">
        <v>4</v>
      </c>
      <c r="AA6" s="75" t="s">
        <v>266</v>
      </c>
      <c r="AB6" s="75"/>
      <c r="AC6" s="75"/>
      <c r="AD6" s="75"/>
      <c r="AE6" s="75"/>
    </row>
    <row r="7" spans="1:31" x14ac:dyDescent="0.25">
      <c r="A7" s="35" t="s">
        <v>214</v>
      </c>
      <c r="B7" s="58">
        <f>SUM(TLFD!B11:B13)+0.5*(TLFD!B14)</f>
        <v>66229.96038936908</v>
      </c>
      <c r="C7" s="58">
        <f>SUM(TLFD!C11:C13)+0.5*(TLFD!C14)</f>
        <v>13772.852248797035</v>
      </c>
      <c r="D7" s="58">
        <f>SUM(TLFD!D11:D13)+0.5*(TLFD!D14)</f>
        <v>7971.483502731945</v>
      </c>
      <c r="E7" s="58">
        <f>SUM(B7:D7)</f>
        <v>87974.296140898063</v>
      </c>
      <c r="G7" s="35" t="s">
        <v>214</v>
      </c>
      <c r="H7" s="58">
        <f>SUM(TLFD!H11:H13)+0.5*(TLFD!H14)</f>
        <v>75271.5</v>
      </c>
      <c r="I7" s="58">
        <f>SUM(TLFD!I11:I13)+0.5*(TLFD!I14)</f>
        <v>15405</v>
      </c>
      <c r="J7" s="58">
        <f>SUM(TLFD!J11:J13)+0.5*(TLFD!J14)</f>
        <v>8293.5</v>
      </c>
      <c r="K7" s="58">
        <f>SUM(H7:J7)</f>
        <v>98970</v>
      </c>
      <c r="M7" s="32"/>
      <c r="N7" s="45"/>
      <c r="O7" s="46"/>
      <c r="P7" s="46"/>
      <c r="Q7" s="45"/>
      <c r="T7">
        <f>WorkLocationCoefficients!B15</f>
        <v>5</v>
      </c>
      <c r="U7" t="str">
        <f>WorkLocationCoefficients!C15</f>
        <v>Beta00005</v>
      </c>
      <c r="V7" s="40">
        <f>WorkLocationCoefficients!E15</f>
        <v>0</v>
      </c>
      <c r="W7" s="162">
        <f>_xlfn.IFNA(VLOOKUP(T7,$M$13:$Q$39,5,FALSE),_xlfn.IFNA(VLOOKUP(T7,calibration_flow!$AD$3:$AH$25,5,FALSE),V7))</f>
        <v>0</v>
      </c>
      <c r="X7" s="95">
        <f si="0" t="shared"/>
        <v>0</v>
      </c>
      <c r="Z7" s="75">
        <v>5</v>
      </c>
      <c r="AA7" s="75" t="s">
        <v>256</v>
      </c>
      <c r="AB7" s="75"/>
      <c r="AC7" s="75"/>
      <c r="AD7" s="75"/>
      <c r="AE7" s="75"/>
    </row>
    <row r="8" spans="1:31" x14ac:dyDescent="0.25">
      <c r="A8" s="35" t="s">
        <v>215</v>
      </c>
      <c r="B8" s="58">
        <f>0.5*(TLFD!B14)+SUM(TLFD!B15:B20)</f>
        <v>149880.23179273275</v>
      </c>
      <c r="C8" s="58">
        <f>0.5*(TLFD!C14)+SUM(TLFD!C15:C20)</f>
        <v>20864.708198730492</v>
      </c>
      <c r="D8" s="58">
        <f>0.5*(TLFD!D14)+SUM(TLFD!D15:D20)</f>
        <v>12285.545512791181</v>
      </c>
      <c r="E8" s="58">
        <f>SUM(B8:D8)</f>
        <v>183030.48550425441</v>
      </c>
      <c r="G8" s="35" t="s">
        <v>215</v>
      </c>
      <c r="H8" s="58">
        <f>0.5*(TLFD!H14)+SUM(TLFD!H15:H20)</f>
        <v>174841.5</v>
      </c>
      <c r="I8" s="58">
        <f>0.5*(TLFD!I14)+SUM(TLFD!I15:I20)</f>
        <v>27785</v>
      </c>
      <c r="J8" s="58">
        <f>0.5*(TLFD!J14)+SUM(TLFD!J15:J20)</f>
        <v>10396.5</v>
      </c>
      <c r="K8" s="58">
        <f>SUM(H8:J8)</f>
        <v>213023</v>
      </c>
      <c r="M8" s="74" t="s">
        <v>245</v>
      </c>
      <c r="N8" s="45"/>
      <c r="O8" s="46"/>
      <c r="P8" s="46"/>
      <c r="Q8" s="45"/>
      <c r="T8" s="72">
        <f>WorkLocationCoefficients!B16</f>
        <v>6</v>
      </c>
      <c r="U8" s="72" t="str">
        <f>WorkLocationCoefficients!C16</f>
        <v>Beta00006</v>
      </c>
      <c r="V8" s="73">
        <f>WorkLocationCoefficients!E16</f>
        <v>-4.1530549264700003</v>
      </c>
      <c r="W8" s="162">
        <f>_xlfn.IFNA(VLOOKUP(T8,$M$13:$Q$39,5,FALSE),_xlfn.IFNA(VLOOKUP(T8,calibration_flow!$AD$3:$AH$25,5,FALSE),V8))</f>
        <v>-4.1530549264700003</v>
      </c>
      <c r="X8" s="95">
        <f si="0" t="shared"/>
        <v>0</v>
      </c>
      <c r="Z8" s="75"/>
      <c r="AA8" s="75"/>
      <c r="AB8" s="75"/>
      <c r="AC8" s="75"/>
      <c r="AD8" s="75"/>
      <c r="AE8" s="75"/>
    </row>
    <row r="9" spans="1:31" x14ac:dyDescent="0.25">
      <c r="A9" s="47" t="s">
        <v>216</v>
      </c>
      <c r="B9" s="60">
        <f>SUM(TLFD!B21:B101)</f>
        <v>259778.63881129297</v>
      </c>
      <c r="C9" s="60">
        <f>SUM(TLFD!C21:C101)</f>
        <v>20447.81305639257</v>
      </c>
      <c r="D9" s="60">
        <f>SUM(TLFD!D21:D101)</f>
        <v>8830.4336582794913</v>
      </c>
      <c r="E9" s="60">
        <f>SUM(B9:D9)</f>
        <v>289056.88552596502</v>
      </c>
      <c r="G9" s="47" t="s">
        <v>216</v>
      </c>
      <c r="H9" s="60">
        <f>SUM(TLFD!H21:H101)</f>
        <v>331248</v>
      </c>
      <c r="I9" s="60">
        <f>SUM(TLFD!I21:I101)</f>
        <v>23268</v>
      </c>
      <c r="J9" s="60">
        <f>SUM(TLFD!J21:J101)</f>
        <v>7291</v>
      </c>
      <c r="K9" s="60">
        <f>SUM(H9:J9)</f>
        <v>361807</v>
      </c>
      <c r="M9" s="32" t="s">
        <v>246</v>
      </c>
      <c r="N9" s="45"/>
      <c r="O9" s="46"/>
      <c r="P9" s="46"/>
      <c r="Q9" s="45"/>
      <c r="T9" s="72">
        <f>WorkLocationCoefficients!B17</f>
        <v>7</v>
      </c>
      <c r="U9" s="72" t="str">
        <f>WorkLocationCoefficients!C17</f>
        <v>Beta00007</v>
      </c>
      <c r="V9" s="73">
        <f>WorkLocationCoefficients!E17</f>
        <v>0.16304005993109999</v>
      </c>
      <c r="W9" s="162">
        <f>_xlfn.IFNA(VLOOKUP(T9,$M$13:$Q$39,5,FALSE),_xlfn.IFNA(VLOOKUP(T9,calibration_flow!$AD$3:$AH$25,5,FALSE),V9))</f>
        <v>0.16304005993109999</v>
      </c>
      <c r="X9" s="95">
        <f si="0" t="shared"/>
        <v>0</v>
      </c>
      <c r="Z9" s="75"/>
      <c r="AA9" s="76" t="s">
        <v>257</v>
      </c>
      <c r="AB9" s="75"/>
      <c r="AC9" s="75"/>
      <c r="AD9" s="75"/>
      <c r="AE9" s="75"/>
    </row>
    <row ht="15.75" r="10" spans="1:31" thickBot="1" x14ac:dyDescent="0.3">
      <c r="A10" s="49" t="s">
        <v>3</v>
      </c>
      <c r="B10" s="61">
        <f>SUM(B7:B9)</f>
        <v>475888.83099339483</v>
      </c>
      <c r="C10" s="61">
        <f ref="C10:E10" si="1" t="shared">SUM(C7:C9)</f>
        <v>55085.373503920098</v>
      </c>
      <c r="D10" s="61">
        <f si="1" t="shared"/>
        <v>29087.46267380262</v>
      </c>
      <c r="E10" s="61">
        <f si="1" t="shared"/>
        <v>560061.6671711175</v>
      </c>
      <c r="F10" s="32"/>
      <c r="G10" s="49" t="s">
        <v>3</v>
      </c>
      <c r="H10" s="61">
        <f>SUM(H7:H9)</f>
        <v>581361</v>
      </c>
      <c r="I10" s="61">
        <f ref="I10:K10" si="2" t="shared">SUM(I7:I9)</f>
        <v>66458</v>
      </c>
      <c r="J10" s="61">
        <f si="2" t="shared"/>
        <v>25981</v>
      </c>
      <c r="K10" s="61">
        <f si="2" t="shared"/>
        <v>673800</v>
      </c>
      <c r="L10" s="32"/>
      <c r="M10" s="32" t="s">
        <v>247</v>
      </c>
      <c r="N10" s="32"/>
      <c r="O10" s="32"/>
      <c r="P10" s="32"/>
      <c r="Q10" s="32"/>
      <c r="T10" s="72">
        <f>WorkLocationCoefficients!B18</f>
        <v>8</v>
      </c>
      <c r="U10" s="72" t="str">
        <f>WorkLocationCoefficients!C18</f>
        <v>Beta00008</v>
      </c>
      <c r="V10" s="73">
        <f>WorkLocationCoefficients!E18</f>
        <v>-0.66484078944180003</v>
      </c>
      <c r="W10" s="162">
        <f>_xlfn.IFNA(VLOOKUP(T10,$M$13:$Q$39,5,FALSE),_xlfn.IFNA(VLOOKUP(T10,calibration_flow!$AD$3:$AH$25,5,FALSE),V10))</f>
        <v>-0.66484078944180003</v>
      </c>
      <c r="X10" s="95">
        <f si="0" t="shared"/>
        <v>0</v>
      </c>
      <c r="Z10" s="75">
        <v>1</v>
      </c>
      <c r="AA10" s="31" t="s">
        <v>310</v>
      </c>
      <c r="AB10" s="75"/>
      <c r="AC10" s="75"/>
      <c r="AD10" s="75"/>
      <c r="AE10" s="75"/>
    </row>
    <row r="11" spans="1:31" x14ac:dyDescent="0.25">
      <c r="T11" s="72">
        <f>WorkLocationCoefficients!B19</f>
        <v>9</v>
      </c>
      <c r="U11" s="72" t="str">
        <f>WorkLocationCoefficients!C19</f>
        <v>Beta00009</v>
      </c>
      <c r="V11" s="73">
        <f>WorkLocationCoefficients!E19</f>
        <v>-2.1673496431996999</v>
      </c>
      <c r="W11" s="162">
        <f>_xlfn.IFNA(VLOOKUP(T11,$M$13:$Q$39,5,FALSE),_xlfn.IFNA(VLOOKUP(T11,calibration_flow!$AD$3:$AH$25,5,FALSE),V11))</f>
        <v>-2.1673496431996999</v>
      </c>
      <c r="X11" s="95">
        <f si="0" t="shared"/>
        <v>0</v>
      </c>
      <c r="Z11" s="75">
        <v>2</v>
      </c>
      <c r="AA11" s="75" t="s">
        <v>258</v>
      </c>
      <c r="AB11" s="75"/>
      <c r="AC11" s="75"/>
      <c r="AD11" s="75"/>
      <c r="AE11" s="75"/>
    </row>
    <row ht="15.75" r="12" spans="1:31" thickBot="1" x14ac:dyDescent="0.3">
      <c r="A12" s="42" t="s">
        <v>243</v>
      </c>
      <c r="M12" s="10" t="s">
        <v>399</v>
      </c>
      <c r="T12" s="72">
        <f>WorkLocationCoefficients!B20</f>
        <v>10</v>
      </c>
      <c r="U12" s="72" t="str">
        <f>WorkLocationCoefficients!C20</f>
        <v>Beta00010</v>
      </c>
      <c r="V12" s="73">
        <f>WorkLocationCoefficients!E20</f>
        <v>-3.3544504276017002</v>
      </c>
      <c r="W12" s="162">
        <f>_xlfn.IFNA(VLOOKUP(T12,$M$13:$Q$39,5,FALSE),_xlfn.IFNA(VLOOKUP(T12,calibration_flow!$AD$3:$AH$25,5,FALSE),V12))</f>
        <v>-3.3544504276017002</v>
      </c>
      <c r="X12" s="95">
        <f si="0" t="shared"/>
        <v>0</v>
      </c>
      <c r="Z12" s="75">
        <v>3</v>
      </c>
      <c r="AA12" s="75" t="s">
        <v>259</v>
      </c>
      <c r="AB12" s="75"/>
      <c r="AC12" s="75"/>
      <c r="AD12" s="75"/>
      <c r="AE12" s="75"/>
    </row>
    <row r="13" spans="1:31" x14ac:dyDescent="0.25">
      <c r="A13" s="5" t="s">
        <v>2</v>
      </c>
      <c r="B13" s="5" t="s">
        <v>8</v>
      </c>
      <c r="C13" s="5" t="s">
        <v>9</v>
      </c>
      <c r="D13" s="5" t="s">
        <v>10</v>
      </c>
      <c r="E13" s="5" t="s">
        <v>218</v>
      </c>
      <c r="G13" s="5" t="s">
        <v>2</v>
      </c>
      <c r="H13" s="5" t="s">
        <v>8</v>
      </c>
      <c r="I13" s="5" t="s">
        <v>9</v>
      </c>
      <c r="J13" s="5" t="s">
        <v>10</v>
      </c>
      <c r="K13" s="5" t="s">
        <v>218</v>
      </c>
      <c r="M13" s="5" t="s">
        <v>225</v>
      </c>
      <c r="N13" s="5" t="s">
        <v>223</v>
      </c>
      <c r="O13" s="5" t="s">
        <v>221</v>
      </c>
      <c r="P13" s="5" t="s">
        <v>222</v>
      </c>
      <c r="Q13" s="5" t="s">
        <v>224</v>
      </c>
      <c r="R13" s="54" t="s">
        <v>269</v>
      </c>
      <c r="T13">
        <f>WorkLocationCoefficients!B21</f>
        <v>11</v>
      </c>
      <c r="U13" t="str">
        <f>WorkLocationCoefficients!C21</f>
        <v>Beta00011</v>
      </c>
      <c r="V13" s="40">
        <f>WorkLocationCoefficients!E21</f>
        <v>-0.22974879339000001</v>
      </c>
      <c r="W13" s="162">
        <f>_xlfn.IFNA(VLOOKUP(T13,$M$13:$Q$39,5,FALSE),_xlfn.IFNA(VLOOKUP(T13,calibration_flow!$AD$3:$AH$25,5,FALSE),V13))</f>
        <v>-0.22974879339000001</v>
      </c>
      <c r="X13" s="95">
        <f si="0" t="shared"/>
        <v>0</v>
      </c>
      <c r="Z13" s="75">
        <v>4</v>
      </c>
      <c r="AA13" s="75" t="s">
        <v>260</v>
      </c>
      <c r="AB13" s="75"/>
      <c r="AC13" s="75"/>
      <c r="AD13" s="75"/>
      <c r="AE13" s="75"/>
    </row>
    <row r="14" spans="1:31" x14ac:dyDescent="0.25">
      <c r="A14" s="35" t="s">
        <v>214</v>
      </c>
      <c r="B14" s="50">
        <f>B7/B$10</f>
        <v>0.1391710754192681</v>
      </c>
      <c r="C14" s="50">
        <f ref="C14:E14" si="3" t="shared">C7/C$10</f>
        <v>0.2500273915328341</v>
      </c>
      <c r="D14" s="50">
        <f si="3" t="shared"/>
        <v>0.27405221253318168</v>
      </c>
      <c r="E14" s="21">
        <f si="3" t="shared"/>
        <v>0.15707965979042623</v>
      </c>
      <c r="G14" s="35" t="s">
        <v>214</v>
      </c>
      <c r="H14" s="50">
        <f>H7/H$10</f>
        <v>0.12947462936110266</v>
      </c>
      <c r="I14" s="50">
        <f ref="I14:K14" si="4" t="shared">I7/I$10</f>
        <v>0.23180053567666797</v>
      </c>
      <c r="J14" s="50">
        <f si="4" t="shared"/>
        <v>0.31921404102998346</v>
      </c>
      <c r="K14" s="21">
        <f si="4" t="shared"/>
        <v>0.1468833481745325</v>
      </c>
      <c r="M14">
        <v>6</v>
      </c>
      <c r="N14" s="157">
        <f>V8</f>
        <v>-4.1530549264700003</v>
      </c>
      <c r="O14" s="8">
        <f>B14/H14</f>
        <v>1.07489070334484</v>
      </c>
      <c r="P14" s="141">
        <f>R14*(LN(O14)-LN(O14))</f>
        <v>0</v>
      </c>
      <c r="Q14" s="155">
        <f>N14+P14</f>
        <v>-4.1530549264700003</v>
      </c>
      <c r="R14" s="91">
        <v>0</v>
      </c>
      <c r="T14">
        <f>WorkLocationCoefficients!B22</f>
        <v>12</v>
      </c>
      <c r="U14" t="str">
        <f>WorkLocationCoefficients!C22</f>
        <v>Beta00012</v>
      </c>
      <c r="V14" s="40">
        <f>WorkLocationCoefficients!E22</f>
        <v>-0.93478838755000004</v>
      </c>
      <c r="W14" s="162">
        <f>_xlfn.IFNA(VLOOKUP(T14,$M$13:$Q$39,5,FALSE),_xlfn.IFNA(VLOOKUP(T14,calibration_flow!$AD$3:$AH$25,5,FALSE),V14))</f>
        <v>-0.93478838755000004</v>
      </c>
      <c r="X14" s="95">
        <f si="0" t="shared"/>
        <v>0</v>
      </c>
      <c r="Z14" s="75">
        <v>5</v>
      </c>
      <c r="AA14" s="75" t="s">
        <v>263</v>
      </c>
      <c r="AB14" s="75"/>
      <c r="AC14" s="75"/>
      <c r="AD14" s="75"/>
      <c r="AE14" s="75"/>
    </row>
    <row r="15" spans="1:31" x14ac:dyDescent="0.25">
      <c r="A15" s="35" t="s">
        <v>215</v>
      </c>
      <c r="B15" s="50">
        <f ref="B15:E15" si="5" t="shared">B8/B$10</f>
        <v>0.31494799211795965</v>
      </c>
      <c r="C15" s="50">
        <f si="5" t="shared"/>
        <v>0.3787703862486414</v>
      </c>
      <c r="D15" s="50">
        <f si="5" t="shared"/>
        <v>0.42236566491088462</v>
      </c>
      <c r="E15" s="50">
        <f si="5" t="shared"/>
        <v>0.3268041650283709</v>
      </c>
      <c r="G15" s="35" t="s">
        <v>215</v>
      </c>
      <c r="H15" s="50">
        <f ref="H15:K15" si="6" t="shared">H8/H$10</f>
        <v>0.30074514802334523</v>
      </c>
      <c r="I15" s="50">
        <f si="6" t="shared"/>
        <v>0.41808360167323722</v>
      </c>
      <c r="J15" s="50">
        <f si="6" t="shared"/>
        <v>0.40015780762865172</v>
      </c>
      <c r="K15" s="21">
        <f si="6" t="shared"/>
        <v>0.31615167705550606</v>
      </c>
      <c r="M15">
        <v>7</v>
      </c>
      <c r="N15" s="157">
        <f ref="N15:N16" si="7" t="shared">V9</f>
        <v>0.16304005993109999</v>
      </c>
      <c r="O15" s="8">
        <f>B15/H15</f>
        <v>1.0472255136548767</v>
      </c>
      <c r="P15" s="141">
        <f>R15*(LN(O15)-LN(O14))</f>
        <v>0</v>
      </c>
      <c r="Q15" s="155">
        <f>N15+P15</f>
        <v>0.16304005993109999</v>
      </c>
      <c r="R15" s="91">
        <v>0</v>
      </c>
      <c r="T15">
        <f>WorkLocationCoefficients!B23</f>
        <v>13</v>
      </c>
      <c r="U15" t="str">
        <f>WorkLocationCoefficients!C23</f>
        <v>Beta00013</v>
      </c>
      <c r="V15" s="40">
        <f>WorkLocationCoefficients!E23</f>
        <v>0.40796503771199999</v>
      </c>
      <c r="W15" s="162">
        <f>_xlfn.IFNA(VLOOKUP(T15,$M$13:$Q$39,5,FALSE),_xlfn.IFNA(VLOOKUP(T15,calibration_flow!$AD$3:$AH$25,5,FALSE),V15))</f>
        <v>0.40796503771199999</v>
      </c>
      <c r="X15" s="95">
        <f si="0" t="shared"/>
        <v>0</v>
      </c>
      <c r="Z15" s="75">
        <v>6</v>
      </c>
      <c r="AA15" s="75" t="s">
        <v>265</v>
      </c>
      <c r="AB15" s="75"/>
      <c r="AC15" s="75"/>
      <c r="AD15" s="75"/>
      <c r="AE15" s="75"/>
    </row>
    <row r="16" spans="1:31" x14ac:dyDescent="0.25">
      <c r="A16" s="47" t="s">
        <v>216</v>
      </c>
      <c r="B16" s="50">
        <f ref="B16:E16" si="8" t="shared">B9/B$10</f>
        <v>0.54588093246277214</v>
      </c>
      <c r="C16" s="50">
        <f si="8" t="shared"/>
        <v>0.3712022222185245</v>
      </c>
      <c r="D16" s="50">
        <f si="8" t="shared"/>
        <v>0.30358212255593359</v>
      </c>
      <c r="E16" s="50">
        <f si="8" t="shared"/>
        <v>0.5161161751812029</v>
      </c>
      <c r="G16" s="47" t="s">
        <v>216</v>
      </c>
      <c r="H16" s="50">
        <f ref="H16:K16" si="9" t="shared">H9/H$10</f>
        <v>0.56978022261555217</v>
      </c>
      <c r="I16" s="50">
        <f si="9" t="shared"/>
        <v>0.35011586265009481</v>
      </c>
      <c r="J16" s="50">
        <f si="9" t="shared"/>
        <v>0.28062815134136482</v>
      </c>
      <c r="K16" s="21">
        <f si="9" t="shared"/>
        <v>0.53696497476996141</v>
      </c>
      <c r="L16" s="32"/>
      <c r="M16" s="6">
        <v>8</v>
      </c>
      <c r="N16" s="158">
        <f si="7" t="shared"/>
        <v>-0.66484078944180003</v>
      </c>
      <c r="O16" s="13">
        <f>B16/H16</f>
        <v>0.95805524796373009</v>
      </c>
      <c r="P16" s="159">
        <f>R16*(LN(O16)-LN(O14)-LN(O15))</f>
        <v>0</v>
      </c>
      <c r="Q16" s="156">
        <f>N16+P16</f>
        <v>-0.66484078944180003</v>
      </c>
      <c r="R16" s="91">
        <v>0</v>
      </c>
      <c r="T16">
        <f>WorkLocationCoefficients!B24</f>
        <v>14</v>
      </c>
      <c r="U16" t="str">
        <f>WorkLocationCoefficients!C24</f>
        <v>Beta00014</v>
      </c>
      <c r="V16" s="40">
        <f>WorkLocationCoefficients!E24</f>
        <v>-0.50293651045300003</v>
      </c>
      <c r="W16" s="162">
        <f>_xlfn.IFNA(VLOOKUP(T16,$M$13:$Q$39,5,FALSE),_xlfn.IFNA(VLOOKUP(T16,calibration_flow!$AD$3:$AH$25,5,FALSE),V16))</f>
        <v>-0.50293651045300003</v>
      </c>
      <c r="X16" s="95">
        <f si="0" t="shared"/>
        <v>0</v>
      </c>
      <c r="Z16" s="75">
        <v>7</v>
      </c>
      <c r="AA16" s="75" t="s">
        <v>266</v>
      </c>
      <c r="AB16" s="75"/>
      <c r="AC16" s="75"/>
      <c r="AD16" s="75"/>
      <c r="AE16" s="75"/>
    </row>
    <row ht="15.75" r="17" spans="1:31" thickBot="1" x14ac:dyDescent="0.3">
      <c r="A17" s="49" t="s">
        <v>3</v>
      </c>
      <c r="B17" s="51">
        <f>SUM(B14:B16)</f>
        <v>0.99999999999999989</v>
      </c>
      <c r="C17" s="51">
        <f ref="C17" si="10" t="shared">SUM(C14:C16)</f>
        <v>1</v>
      </c>
      <c r="D17" s="51">
        <f ref="D17" si="11" t="shared">SUM(D14:D16)</f>
        <v>1</v>
      </c>
      <c r="E17" s="51">
        <f ref="E17" si="12" t="shared">SUM(E14:E16)</f>
        <v>1</v>
      </c>
      <c r="F17" s="32"/>
      <c r="G17" s="49" t="s">
        <v>3</v>
      </c>
      <c r="H17" s="51">
        <f>SUM(H14:H16)</f>
        <v>1</v>
      </c>
      <c r="I17" s="51">
        <f ref="I17" si="13" t="shared">SUM(I14:I16)</f>
        <v>1</v>
      </c>
      <c r="J17" s="51">
        <f ref="J17" si="14" t="shared">SUM(J14:J16)</f>
        <v>1</v>
      </c>
      <c r="K17" s="51">
        <f ref="K17" si="15" t="shared">SUM(K14:K16)</f>
        <v>1</v>
      </c>
      <c r="L17" s="32"/>
      <c r="M17" s="32"/>
      <c r="N17" s="45"/>
      <c r="O17" s="46"/>
      <c r="P17" s="46"/>
      <c r="Q17" s="45"/>
      <c r="T17">
        <f>WorkLocationCoefficients!B25</f>
        <v>15</v>
      </c>
      <c r="U17" t="str">
        <f>WorkLocationCoefficients!C25</f>
        <v>Beta00015</v>
      </c>
      <c r="V17" s="40">
        <f>WorkLocationCoefficients!E25</f>
        <v>-1.61322160644</v>
      </c>
      <c r="W17" s="162">
        <f>_xlfn.IFNA(VLOOKUP(T17,$M$13:$Q$39,5,FALSE),_xlfn.IFNA(VLOOKUP(T17,calibration_flow!$AD$3:$AH$25,5,FALSE),V17))</f>
        <v>-1.61322160644</v>
      </c>
      <c r="X17" s="95">
        <f si="0" t="shared"/>
        <v>0</v>
      </c>
      <c r="Z17" s="75">
        <v>8</v>
      </c>
      <c r="AA17" s="75" t="s">
        <v>261</v>
      </c>
      <c r="AB17" s="75"/>
      <c r="AC17" s="75"/>
      <c r="AD17" s="75"/>
      <c r="AE17" s="75"/>
    </row>
    <row r="18" spans="1:31" x14ac:dyDescent="0.25">
      <c r="A18" s="43"/>
      <c r="B18" s="44"/>
      <c r="C18" s="44"/>
      <c r="D18" s="44"/>
      <c r="E18" s="44"/>
      <c r="F18" s="32"/>
      <c r="G18" s="43"/>
      <c r="H18" s="44"/>
      <c r="I18" s="44"/>
      <c r="J18" s="44"/>
      <c r="K18" s="44"/>
      <c r="L18" s="32"/>
      <c r="M18" s="32"/>
      <c r="N18" s="45"/>
      <c r="O18" s="46"/>
      <c r="P18" s="46"/>
      <c r="Q18" s="45"/>
      <c r="T18">
        <f>WorkLocationCoefficients!B26</f>
        <v>16</v>
      </c>
      <c r="U18" t="str">
        <f>WorkLocationCoefficients!C26</f>
        <v>Beta00016</v>
      </c>
      <c r="V18" s="40">
        <f>WorkLocationCoefficients!E26</f>
        <v>0.130749629122</v>
      </c>
      <c r="W18" s="162">
        <f>_xlfn.IFNA(VLOOKUP(T18,$M$13:$Q$39,5,FALSE),_xlfn.IFNA(VLOOKUP(T18,calibration_flow!$AD$3:$AH$25,5,FALSE),V18))</f>
        <v>0.130749629122</v>
      </c>
      <c r="X18" s="95">
        <f si="0" t="shared"/>
        <v>0</v>
      </c>
    </row>
    <row r="19" spans="1:31" x14ac:dyDescent="0.25">
      <c r="A19" s="43"/>
      <c r="B19" s="44"/>
      <c r="C19" s="44"/>
      <c r="D19" s="44"/>
      <c r="E19" s="44"/>
      <c r="F19" s="32"/>
      <c r="G19" s="43"/>
      <c r="H19" s="44"/>
      <c r="I19" s="44"/>
      <c r="J19" s="44"/>
      <c r="K19" s="44"/>
      <c r="L19" s="32"/>
      <c r="M19" s="32"/>
      <c r="N19" s="45"/>
      <c r="O19" s="46"/>
      <c r="P19" s="46"/>
      <c r="Q19" s="45"/>
      <c r="R19" s="7"/>
      <c r="T19">
        <f>WorkLocationCoefficients!B27</f>
        <v>17</v>
      </c>
      <c r="U19" t="str">
        <f>WorkLocationCoefficients!C27</f>
        <v>Beta00017</v>
      </c>
      <c r="V19" s="40">
        <f>WorkLocationCoefficients!E27</f>
        <v>8.4077289836199998E-2</v>
      </c>
      <c r="W19" s="162">
        <f>_xlfn.IFNA(VLOOKUP(T19,$M$13:$Q$39,5,FALSE),_xlfn.IFNA(VLOOKUP(T19,calibration_flow!$AD$3:$AH$25,5,FALSE),V19))</f>
        <v>8.4077289836199998E-2</v>
      </c>
      <c r="X19" s="95">
        <f si="0" t="shared"/>
        <v>0</v>
      </c>
    </row>
    <row r="20" spans="1:31" x14ac:dyDescent="0.25">
      <c r="A20" s="32"/>
      <c r="B20" s="44"/>
      <c r="C20" s="44"/>
      <c r="D20" s="44"/>
      <c r="E20" s="44"/>
      <c r="F20" s="32"/>
      <c r="G20" s="32"/>
      <c r="H20" s="44"/>
      <c r="I20" s="44"/>
      <c r="J20" s="44"/>
      <c r="K20" s="44"/>
      <c r="L20" s="32"/>
      <c r="M20" s="32"/>
      <c r="N20" s="32"/>
      <c r="O20" s="32"/>
      <c r="P20" s="46"/>
      <c r="Q20" s="32"/>
      <c r="T20">
        <f>WorkLocationCoefficients!B28</f>
        <v>18</v>
      </c>
      <c r="U20" t="str">
        <f>WorkLocationCoefficients!C28</f>
        <v>Beta00018</v>
      </c>
      <c r="V20" s="40">
        <f>WorkLocationCoefficients!E28</f>
        <v>0</v>
      </c>
      <c r="W20" s="162">
        <f>_xlfn.IFNA(VLOOKUP(T20,$M$13:$Q$39,5,FALSE),_xlfn.IFNA(VLOOKUP(T20,calibration_flow!$AD$3:$AH$25,5,FALSE),V20))</f>
        <v>0</v>
      </c>
      <c r="X20" s="95">
        <f si="0" t="shared"/>
        <v>0</v>
      </c>
    </row>
    <row r="21" spans="1:31" x14ac:dyDescent="0.25">
      <c r="T21">
        <f>WorkLocationCoefficients!B29</f>
        <v>19</v>
      </c>
      <c r="U21" t="str">
        <f>WorkLocationCoefficients!C29</f>
        <v>Beta00019</v>
      </c>
      <c r="V21" s="40">
        <f>WorkLocationCoefficients!E29</f>
        <v>0.106386053639</v>
      </c>
      <c r="W21" s="162">
        <f>_xlfn.IFNA(VLOOKUP(T21,$M$13:$Q$39,5,FALSE),_xlfn.IFNA(VLOOKUP(T21,calibration_flow!$AD$3:$AH$25,5,FALSE),V21))</f>
        <v>0.106386053639</v>
      </c>
      <c r="X21" s="95">
        <f si="0" t="shared"/>
        <v>0</v>
      </c>
    </row>
    <row r="22" spans="1:31" x14ac:dyDescent="0.25">
      <c r="N22" s="37"/>
      <c r="Q22" s="38"/>
      <c r="T22">
        <f>WorkLocationCoefficients!B30</f>
        <v>20</v>
      </c>
      <c r="U22" t="str">
        <f>WorkLocationCoefficients!C30</f>
        <v>Beta00020</v>
      </c>
      <c r="V22" s="40">
        <f>WorkLocationCoefficients!E30</f>
        <v>0.88087687792799996</v>
      </c>
      <c r="W22" s="162">
        <f>_xlfn.IFNA(VLOOKUP(T22,$M$13:$Q$39,5,FALSE),_xlfn.IFNA(VLOOKUP(T22,calibration_flow!$AD$3:$AH$25,5,FALSE),V22))</f>
        <v>0.88087687792799996</v>
      </c>
      <c r="X22" s="95">
        <f si="0" t="shared"/>
        <v>0</v>
      </c>
    </row>
    <row r="23" spans="1:31" x14ac:dyDescent="0.25">
      <c r="A23" s="42" t="s">
        <v>242</v>
      </c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T23">
        <f>WorkLocationCoefficients!B31</f>
        <v>21</v>
      </c>
      <c r="U23" t="str">
        <f>WorkLocationCoefficients!C31</f>
        <v>Beta00021</v>
      </c>
      <c r="V23" s="40">
        <f>WorkLocationCoefficients!E31</f>
        <v>-0.16458061134300001</v>
      </c>
      <c r="W23" s="162">
        <f>_xlfn.IFNA(VLOOKUP(T23,$M$13:$Q$39,5,FALSE),_xlfn.IFNA(VLOOKUP(T23,calibration_flow!$AD$3:$AH$25,5,FALSE),V23))</f>
        <v>-0.16458061134300001</v>
      </c>
      <c r="X23" s="95">
        <f si="0" t="shared"/>
        <v>0</v>
      </c>
    </row>
    <row ht="15.75" r="24" spans="1:31" thickBot="1" x14ac:dyDescent="0.3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T24">
        <f>WorkLocationCoefficients!B32</f>
        <v>22</v>
      </c>
      <c r="U24" t="str">
        <f>WorkLocationCoefficients!C32</f>
        <v>Beta00022</v>
      </c>
      <c r="V24" s="40">
        <f>WorkLocationCoefficients!E32</f>
        <v>0.154182014038</v>
      </c>
      <c r="W24" s="162">
        <f>_xlfn.IFNA(VLOOKUP(T24,$M$13:$Q$39,5,FALSE),_xlfn.IFNA(VLOOKUP(T24,calibration_flow!$AD$3:$AH$25,5,FALSE),V24))</f>
        <v>0.154182014038</v>
      </c>
      <c r="X24" s="95">
        <f si="0" t="shared"/>
        <v>0</v>
      </c>
    </row>
    <row r="25" spans="1:31" x14ac:dyDescent="0.25">
      <c r="A25" s="5"/>
      <c r="B25" s="5" t="s">
        <v>244</v>
      </c>
      <c r="C25" s="52"/>
      <c r="D25" s="52"/>
      <c r="E25" s="52"/>
      <c r="G25" s="5"/>
      <c r="H25" s="5" t="s">
        <v>244</v>
      </c>
      <c r="I25" s="52"/>
      <c r="J25" s="52"/>
      <c r="K25" s="52"/>
      <c r="M25" s="54"/>
      <c r="N25" s="54"/>
      <c r="O25" s="54"/>
      <c r="P25" s="54"/>
      <c r="Q25" s="54"/>
      <c r="T25">
        <f>WorkLocationCoefficients!B33</f>
        <v>23</v>
      </c>
      <c r="U25" t="str">
        <f>WorkLocationCoefficients!C33</f>
        <v>Beta00023</v>
      </c>
      <c r="V25" s="40">
        <f>WorkLocationCoefficients!E33</f>
        <v>4.79448884421E-2</v>
      </c>
      <c r="W25" s="162">
        <f>_xlfn.IFNA(VLOOKUP(T25,$M$13:$Q$39,5,FALSE),_xlfn.IFNA(VLOOKUP(T25,calibration_flow!$AD$3:$AH$25,5,FALSE),V25))</f>
        <v>4.79448884421E-2</v>
      </c>
      <c r="X25" s="95">
        <f si="0" t="shared"/>
        <v>0</v>
      </c>
    </row>
    <row r="26" spans="1:31" x14ac:dyDescent="0.25">
      <c r="A26" s="48" t="s">
        <v>217</v>
      </c>
      <c r="B26" s="70">
        <f>WorkAtHome!E14</f>
        <v>19471.927305737503</v>
      </c>
      <c r="C26" s="55"/>
      <c r="D26" s="55"/>
      <c r="E26" s="55"/>
      <c r="G26" s="48" t="s">
        <v>217</v>
      </c>
      <c r="H26" s="70">
        <f>WorkAtHome!L14</f>
        <v>34205</v>
      </c>
      <c r="I26" s="55"/>
      <c r="J26" s="55"/>
      <c r="K26" s="55"/>
      <c r="L26" s="32"/>
      <c r="M26" s="32"/>
      <c r="N26" s="45"/>
      <c r="O26" s="46"/>
      <c r="P26" s="46"/>
      <c r="Q26" s="45"/>
      <c r="T26">
        <f>WorkLocationCoefficients!B34</f>
        <v>24</v>
      </c>
      <c r="U26" t="str">
        <f>WorkLocationCoefficients!C34</f>
        <v>Beta00024</v>
      </c>
      <c r="V26" s="40">
        <f>WorkLocationCoefficients!E34</f>
        <v>6.4843520043099998E-2</v>
      </c>
      <c r="W26" s="162">
        <f>_xlfn.IFNA(VLOOKUP(T26,$M$13:$Q$39,5,FALSE),_xlfn.IFNA(VLOOKUP(T26,calibration_flow!$AD$3:$AH$25,5,FALSE),V26))</f>
        <v>6.4843520043099998E-2</v>
      </c>
      <c r="X26" s="95">
        <f si="0" t="shared"/>
        <v>0</v>
      </c>
    </row>
    <row ht="15.75" r="27" spans="1:31" thickBot="1" x14ac:dyDescent="0.3">
      <c r="A27" s="49" t="s">
        <v>3</v>
      </c>
      <c r="B27" s="61">
        <f>WorkAtHome!E25</f>
        <v>579533.59447685489</v>
      </c>
      <c r="G27" s="49" t="s">
        <v>3</v>
      </c>
      <c r="H27" s="61">
        <f>WorkAtHome!L25</f>
        <v>797755</v>
      </c>
      <c r="I27" s="7"/>
      <c r="J27" s="7"/>
      <c r="K27" s="7"/>
      <c r="M27" s="32"/>
      <c r="N27" s="32"/>
      <c r="O27" s="32"/>
      <c r="P27" s="32"/>
      <c r="Q27" s="32"/>
      <c r="T27">
        <f>WorkLocationCoefficients!B35</f>
        <v>25</v>
      </c>
      <c r="U27" t="str">
        <f>WorkLocationCoefficients!C35</f>
        <v>Beta00025</v>
      </c>
      <c r="V27" s="40">
        <f>WorkLocationCoefficients!E35</f>
        <v>0.15272053169499999</v>
      </c>
      <c r="W27" s="162">
        <f>_xlfn.IFNA(VLOOKUP(T27,$M$13:$Q$39,5,FALSE),_xlfn.IFNA(VLOOKUP(T27,calibration_flow!$AD$3:$AH$25,5,FALSE),V27))</f>
        <v>0.15272053169499999</v>
      </c>
      <c r="X27" s="95">
        <f si="0" t="shared"/>
        <v>0</v>
      </c>
    </row>
    <row r="28" spans="1:31" x14ac:dyDescent="0.25">
      <c r="T28">
        <f>WorkLocationCoefficients!B36</f>
        <v>26</v>
      </c>
      <c r="U28" t="str">
        <f>WorkLocationCoefficients!C36</f>
        <v>Beta00026</v>
      </c>
      <c r="V28" s="40">
        <f>WorkLocationCoefficients!E36</f>
        <v>7.2028590735099998E-2</v>
      </c>
      <c r="W28" s="162">
        <f>_xlfn.IFNA(VLOOKUP(T28,$M$13:$Q$39,5,FALSE),_xlfn.IFNA(VLOOKUP(T28,calibration_flow!$AD$3:$AH$25,5,FALSE),V28))</f>
        <v>7.2028590735099998E-2</v>
      </c>
      <c r="X28" s="95">
        <f si="0" t="shared"/>
        <v>0</v>
      </c>
    </row>
    <row ht="15.75" r="29" spans="1:31" thickBot="1" x14ac:dyDescent="0.3">
      <c r="A29" t="s">
        <v>243</v>
      </c>
      <c r="M29" s="10" t="s">
        <v>398</v>
      </c>
      <c r="T29">
        <f>WorkLocationCoefficients!B37</f>
        <v>27</v>
      </c>
      <c r="U29" t="str">
        <f>WorkLocationCoefficients!C37</f>
        <v>Beta00027</v>
      </c>
      <c r="V29" s="40">
        <f>WorkLocationCoefficients!E37</f>
        <v>-0.27934224041799999</v>
      </c>
      <c r="W29" s="162">
        <f>_xlfn.IFNA(VLOOKUP(T29,$M$13:$Q$39,5,FALSE),_xlfn.IFNA(VLOOKUP(T29,calibration_flow!$AD$3:$AH$25,5,FALSE),V29))</f>
        <v>-0.27934224041799999</v>
      </c>
      <c r="X29" s="95">
        <f si="0" t="shared"/>
        <v>0</v>
      </c>
    </row>
    <row r="30" spans="1:31" x14ac:dyDescent="0.25">
      <c r="A30" s="5"/>
      <c r="B30" s="5" t="s">
        <v>244</v>
      </c>
      <c r="C30" s="52"/>
      <c r="D30" s="52"/>
      <c r="E30" s="52"/>
      <c r="G30" s="5"/>
      <c r="H30" s="5" t="s">
        <v>244</v>
      </c>
      <c r="I30" s="52" t="s">
        <v>410</v>
      </c>
      <c r="J30" s="52"/>
      <c r="K30" s="52"/>
      <c r="M30" s="5" t="s">
        <v>225</v>
      </c>
      <c r="N30" s="5" t="s">
        <v>223</v>
      </c>
      <c r="O30" s="5" t="s">
        <v>221</v>
      </c>
      <c r="P30" s="5" t="s">
        <v>222</v>
      </c>
      <c r="Q30" s="5" t="s">
        <v>224</v>
      </c>
      <c r="R30" s="54" t="s">
        <v>269</v>
      </c>
      <c r="T30">
        <f>WorkLocationCoefficients!B38</f>
        <v>28</v>
      </c>
      <c r="U30" t="str">
        <f>WorkLocationCoefficients!C38</f>
        <v>Beta00028</v>
      </c>
      <c r="V30" s="40">
        <f>WorkLocationCoefficients!E38</f>
        <v>4.3626229225700003E-2</v>
      </c>
      <c r="W30" s="162">
        <f>_xlfn.IFNA(VLOOKUP(T30,$M$13:$Q$39,5,FALSE),_xlfn.IFNA(VLOOKUP(T30,calibration_flow!$AD$3:$AH$25,5,FALSE),V30))</f>
        <v>4.3626229225700003E-2</v>
      </c>
      <c r="X30" s="95">
        <f si="0" t="shared"/>
        <v>0</v>
      </c>
    </row>
    <row r="31" spans="1:31" x14ac:dyDescent="0.25">
      <c r="A31" s="48" t="s">
        <v>217</v>
      </c>
      <c r="B31" s="57">
        <f>B26/B27</f>
        <v>3.3599307255543685E-2</v>
      </c>
      <c r="C31" s="55"/>
      <c r="D31" s="55"/>
      <c r="E31" s="55"/>
      <c r="G31" s="48" t="s">
        <v>217</v>
      </c>
      <c r="H31" s="57">
        <f>H26/H27</f>
        <v>4.2876572381244871E-2</v>
      </c>
      <c r="I31" s="104">
        <f>H26/(K10+H26)</f>
        <v>4.8311805707586808E-2</v>
      </c>
      <c r="J31" s="55"/>
      <c r="K31" s="55"/>
      <c r="M31" s="6">
        <v>41</v>
      </c>
      <c r="N31" s="158">
        <f>V39</f>
        <v>-1.2033803293631999</v>
      </c>
      <c r="O31" s="13">
        <f>B31/H31</f>
        <v>0.78362857359000881</v>
      </c>
      <c r="P31" s="159">
        <f>R31*LN(O31)</f>
        <v>0</v>
      </c>
      <c r="Q31" s="160">
        <f ref="Q31" si="16" t="shared">N31+P31</f>
        <v>-1.2033803293631999</v>
      </c>
      <c r="R31" s="91">
        <v>0</v>
      </c>
      <c r="T31">
        <f>WorkLocationCoefficients!B39</f>
        <v>29</v>
      </c>
      <c r="U31" t="str">
        <f>WorkLocationCoefficients!C39</f>
        <v>Beta00029</v>
      </c>
      <c r="V31" s="40">
        <f>WorkLocationCoefficients!E39</f>
        <v>-8.7886819411100006E-2</v>
      </c>
      <c r="W31" s="162">
        <f>_xlfn.IFNA(VLOOKUP(T31,$M$13:$Q$39,5,FALSE),_xlfn.IFNA(VLOOKUP(T31,calibration_flow!$AD$3:$AH$25,5,FALSE),V31))</f>
        <v>-8.7886819411100006E-2</v>
      </c>
      <c r="X31" s="95">
        <f si="0" t="shared"/>
        <v>0</v>
      </c>
    </row>
    <row ht="15.75" r="32" spans="1:31" thickBot="1" x14ac:dyDescent="0.3">
      <c r="A32" s="49" t="s">
        <v>3</v>
      </c>
      <c r="B32" s="56">
        <f>B27/B27</f>
        <v>1</v>
      </c>
      <c r="G32" s="49" t="s">
        <v>3</v>
      </c>
      <c r="H32" s="56">
        <f>H27/H27</f>
        <v>1</v>
      </c>
      <c r="T32">
        <f>WorkLocationCoefficients!B40</f>
        <v>30</v>
      </c>
      <c r="U32" t="str">
        <f>WorkLocationCoefficients!C40</f>
        <v>Beta00030</v>
      </c>
      <c r="V32" s="40">
        <f>WorkLocationCoefficients!E40</f>
        <v>-4.2894941477000001E-2</v>
      </c>
      <c r="W32" s="162">
        <f>_xlfn.IFNA(VLOOKUP(T32,$M$13:$Q$39,5,FALSE),_xlfn.IFNA(VLOOKUP(T32,calibration_flow!$AD$3:$AH$25,5,FALSE),V32))</f>
        <v>-4.2894941477000001E-2</v>
      </c>
      <c r="X32" s="95">
        <f si="0" t="shared"/>
        <v>0</v>
      </c>
    </row>
    <row r="33" spans="1:24" x14ac:dyDescent="0.25">
      <c r="T33">
        <f>WorkLocationCoefficients!B41</f>
        <v>31</v>
      </c>
      <c r="U33" t="str">
        <f>WorkLocationCoefficients!C41</f>
        <v>Beta00031</v>
      </c>
      <c r="V33" s="40">
        <f>WorkLocationCoefficients!E41</f>
        <v>-0.13045579928000001</v>
      </c>
      <c r="W33" s="162">
        <f>_xlfn.IFNA(VLOOKUP(T33,$M$13:$Q$39,5,FALSE),_xlfn.IFNA(VLOOKUP(T33,calibration_flow!$AD$3:$AH$25,5,FALSE),V33))</f>
        <v>-0.13045579928000001</v>
      </c>
      <c r="X33" s="95">
        <f si="0" t="shared"/>
        <v>0</v>
      </c>
    </row>
    <row ht="15.75" r="34" spans="1:24" thickBot="1" x14ac:dyDescent="0.3">
      <c r="A34" s="1"/>
      <c r="B34" s="1"/>
      <c r="C34" s="1"/>
      <c r="D34" s="1"/>
      <c r="E34" s="1"/>
      <c r="F34" s="1"/>
      <c r="G34" s="1"/>
      <c r="H34" s="1"/>
      <c r="T34">
        <f>WorkLocationCoefficients!B42</f>
        <v>32</v>
      </c>
      <c r="U34" t="str">
        <f>WorkLocationCoefficients!C42</f>
        <v>Beta00032</v>
      </c>
      <c r="V34" s="40">
        <f>WorkLocationCoefficients!E42</f>
        <v>0.18945088644899999</v>
      </c>
      <c r="W34" s="162">
        <f>_xlfn.IFNA(VLOOKUP(T34,$M$13:$Q$39,5,FALSE),_xlfn.IFNA(VLOOKUP(T34,calibration_flow!$AD$3:$AH$25,5,FALSE),V34))</f>
        <v>0.18945088644899999</v>
      </c>
      <c r="X34" s="95">
        <f si="0" t="shared"/>
        <v>0</v>
      </c>
    </row>
    <row r="35" spans="1:24" x14ac:dyDescent="0.25">
      <c r="A35" s="7"/>
      <c r="B35" s="7"/>
      <c r="C35" s="5" t="s">
        <v>9</v>
      </c>
      <c r="D35" s="5"/>
      <c r="E35" s="5" t="s">
        <v>10</v>
      </c>
      <c r="F35" s="5"/>
      <c r="G35" s="3" t="s">
        <v>270</v>
      </c>
      <c r="H35" s="3"/>
      <c r="M35" s="36"/>
      <c r="T35">
        <f>WorkLocationCoefficients!B43</f>
        <v>33</v>
      </c>
      <c r="U35" t="str">
        <f>WorkLocationCoefficients!C43</f>
        <v>Beta00033</v>
      </c>
      <c r="V35" s="40">
        <f>WorkLocationCoefficients!E43</f>
        <v>-0.179523169776</v>
      </c>
      <c r="W35" s="162">
        <f>_xlfn.IFNA(VLOOKUP(T35,$M$13:$Q$39,5,FALSE),_xlfn.IFNA(VLOOKUP(T35,calibration_flow!$AD$3:$AH$25,5,FALSE),V35))</f>
        <v>-0.179523169776</v>
      </c>
      <c r="X35" s="95">
        <f si="0" t="shared"/>
        <v>0</v>
      </c>
    </row>
    <row ht="15.75" r="36" spans="1:24" thickBot="1" x14ac:dyDescent="0.3">
      <c r="A36" s="6" t="s">
        <v>271</v>
      </c>
      <c r="B36" s="6" t="s">
        <v>272</v>
      </c>
      <c r="C36" s="6" t="s">
        <v>203</v>
      </c>
      <c r="D36" s="6" t="s">
        <v>219</v>
      </c>
      <c r="E36" s="6" t="s">
        <v>203</v>
      </c>
      <c r="F36" s="6" t="s">
        <v>219</v>
      </c>
      <c r="G36" s="80" t="s">
        <v>9</v>
      </c>
      <c r="H36" s="80" t="s">
        <v>10</v>
      </c>
      <c r="M36" s="10" t="s">
        <v>400</v>
      </c>
      <c r="T36">
        <f>WorkLocationCoefficients!B44</f>
        <v>34</v>
      </c>
      <c r="U36" t="str">
        <f>WorkLocationCoefficients!C44</f>
        <v>Beta00034</v>
      </c>
      <c r="V36" s="40">
        <f>WorkLocationCoefficients!E44</f>
        <v>0.17233347539499999</v>
      </c>
      <c r="W36" s="162">
        <f>_xlfn.IFNA(VLOOKUP(T36,$M$13:$Q$39,5,FALSE),_xlfn.IFNA(VLOOKUP(T36,calibration_flow!$AD$3:$AH$25,5,FALSE),V36))</f>
        <v>0.17233347539499999</v>
      </c>
      <c r="X36" s="95">
        <f si="0" t="shared"/>
        <v>0</v>
      </c>
    </row>
    <row r="37" spans="1:24" x14ac:dyDescent="0.25">
      <c r="A37">
        <f>TLFD!A11+0.5</f>
        <v>0.5</v>
      </c>
      <c r="B37" s="81">
        <f>LN(1+A37)</f>
        <v>0.40546510810816438</v>
      </c>
      <c r="C37" s="78">
        <f>TLFD!C11/SUM(TLFD!$C$11:$C$100)</f>
        <v>3.8976578246529635E-2</v>
      </c>
      <c r="D37" s="78">
        <f>TLFD!I11/SUM(TLFD!$I$11:$I$100)</f>
        <v>2.8228354750368653E-2</v>
      </c>
      <c r="E37" s="78">
        <f>TLFD!D11/SUM(TLFD!$D$11:$D$101)</f>
        <v>2.7807318704047491E-2</v>
      </c>
      <c r="F37" s="78">
        <f>TLFD!J11/SUM(TLFD!$J$11:$J$100)</f>
        <v>4.8573957892305918E-2</v>
      </c>
      <c r="G37" s="141">
        <f ref="G37:G100" si="17" t="shared">IF(AND(C37&gt;0, D37&gt;0),LN(C37/D37),0)</f>
        <v>0.32263394755956676</v>
      </c>
      <c r="H37" s="141">
        <f>IF(AND(E37&gt;0, F37&gt;0),LN(E37/F37),0)</f>
        <v>-0.55778829266787455</v>
      </c>
      <c r="M37" s="82" t="s">
        <v>273</v>
      </c>
      <c r="N37" s="82" t="s">
        <v>274</v>
      </c>
      <c r="O37" s="82" t="s">
        <v>222</v>
      </c>
      <c r="P37" s="82" t="s">
        <v>223</v>
      </c>
      <c r="Q37" s="82" t="s">
        <v>224</v>
      </c>
      <c r="R37" s="54" t="s">
        <v>269</v>
      </c>
      <c r="T37">
        <f>WorkLocationCoefficients!B45</f>
        <v>35</v>
      </c>
      <c r="U37" t="str">
        <f>WorkLocationCoefficients!C45</f>
        <v>Beta00035</v>
      </c>
      <c r="V37" s="40">
        <f>WorkLocationCoefficients!E45</f>
        <v>-0.194698386872</v>
      </c>
      <c r="W37" s="162">
        <f>_xlfn.IFNA(VLOOKUP(T37,$M$13:$Q$39,5,FALSE),_xlfn.IFNA(VLOOKUP(T37,calibration_flow!$AD$3:$AH$25,5,FALSE),V37))</f>
        <v>-0.194698386872</v>
      </c>
      <c r="X37" s="95">
        <f si="0" t="shared"/>
        <v>0</v>
      </c>
    </row>
    <row r="38" spans="1:24" x14ac:dyDescent="0.25">
      <c r="A38">
        <f>TLFD!A12+0.5</f>
        <v>1.5</v>
      </c>
      <c r="B38" s="81">
        <f ref="B38:B101" si="18" t="shared">LN(1+A38)</f>
        <v>0.91629073187415511</v>
      </c>
      <c r="C38" s="78">
        <f>TLFD!C12/SUM(TLFD!$C$11:$C$100)</f>
        <v>9.6145615562690565E-2</v>
      </c>
      <c r="D38" s="78">
        <f>TLFD!I12/SUM(TLFD!$I$11:$I$100)</f>
        <v>7.2496915345029944E-2</v>
      </c>
      <c r="E38" s="78">
        <f>TLFD!D12/SUM(TLFD!$D$11:$D$101)</f>
        <v>0.14735728323036731</v>
      </c>
      <c r="F38" s="78">
        <f>TLFD!J12/SUM(TLFD!$J$11:$J$100)</f>
        <v>9.957276471267465E-2</v>
      </c>
      <c r="G38" s="141">
        <f si="17" t="shared"/>
        <v>0.28231985703268436</v>
      </c>
      <c r="H38" s="141">
        <f ref="H38:H101" si="19" t="shared">IF(AND(E38&gt;0, F38&gt;0),LN(E38/F38),0)</f>
        <v>0.39197145552373275</v>
      </c>
      <c r="M38" s="92">
        <v>9</v>
      </c>
      <c r="N38" s="83"/>
      <c r="O38" s="161">
        <f>K64</f>
        <v>-2.3769499067547318E-2</v>
      </c>
      <c r="P38" s="161">
        <f>VLOOKUP(M38,$T:$W,3,FALSE)</f>
        <v>-2.1673496431996999</v>
      </c>
      <c r="Q38" s="161">
        <f>P38+O38*R38</f>
        <v>-2.1673496431996999</v>
      </c>
      <c r="R38" s="91">
        <v>0</v>
      </c>
      <c r="T38">
        <f>WorkLocationCoefficients!B46</f>
        <v>36</v>
      </c>
      <c r="U38" t="str">
        <f>WorkLocationCoefficients!C46</f>
        <v>Beta00036</v>
      </c>
      <c r="V38" s="40">
        <f>WorkLocationCoefficients!E46</f>
        <v>0.38785322122799998</v>
      </c>
      <c r="W38" s="162">
        <f>_xlfn.IFNA(VLOOKUP(T38,$M$13:$Q$39,5,FALSE),_xlfn.IFNA(VLOOKUP(T38,calibration_flow!$AD$3:$AH$25,5,FALSE),V38))</f>
        <v>0.38785322122799998</v>
      </c>
      <c r="X38" s="95">
        <f si="0" t="shared"/>
        <v>0</v>
      </c>
    </row>
    <row r="39" spans="1:24" x14ac:dyDescent="0.25">
      <c r="A39">
        <f>TLFD!A13+0.5</f>
        <v>2.5</v>
      </c>
      <c r="B39" s="81">
        <f si="18" t="shared"/>
        <v>1.2527629684953681</v>
      </c>
      <c r="C39" s="78">
        <f>TLFD!C13/SUM(TLFD!$C$11:$C$100)</f>
        <v>7.4217345289507672E-2</v>
      </c>
      <c r="D39" s="78">
        <f>TLFD!I13/SUM(TLFD!$I$11:$I$100)</f>
        <v>8.7378494688374608E-2</v>
      </c>
      <c r="E39" s="78">
        <f>TLFD!D13/SUM(TLFD!$D$11:$D$101)</f>
        <v>3.5378076546726846E-2</v>
      </c>
      <c r="F39" s="78">
        <f>TLFD!J13/SUM(TLFD!$J$11:$J$100)</f>
        <v>0.1168546245333128</v>
      </c>
      <c r="G39" s="141">
        <f si="17" t="shared"/>
        <v>-0.16325130932328691</v>
      </c>
      <c r="H39" s="141">
        <f si="19" t="shared"/>
        <v>-1.1948383151662436</v>
      </c>
      <c r="M39" s="93">
        <v>10</v>
      </c>
      <c r="N39" s="6"/>
      <c r="O39" s="159">
        <f>K90</f>
        <v>3.2297982090088391E-2</v>
      </c>
      <c r="P39" s="159">
        <f>VLOOKUP(M39,$T:$W,3,FALSE)</f>
        <v>-3.3544504276017002</v>
      </c>
      <c r="Q39" s="159">
        <f>P39+O39*R39</f>
        <v>-3.3544504276017002</v>
      </c>
      <c r="R39" s="91">
        <v>0</v>
      </c>
      <c r="T39" s="72">
        <f>WorkLocationCoefficients!B47</f>
        <v>41</v>
      </c>
      <c r="U39" s="72" t="str">
        <f>WorkLocationCoefficients!C47</f>
        <v>Beta00041</v>
      </c>
      <c r="V39" s="73">
        <f>WorkLocationCoefficients!E47</f>
        <v>-1.2033803293631999</v>
      </c>
      <c r="W39" s="162">
        <f>_xlfn.IFNA(VLOOKUP(T39,$M$13:$Q$39,5,FALSE),_xlfn.IFNA(VLOOKUP(T39,calibration_flow!$AD$3:$AH$25,5,FALSE),V39))</f>
        <v>-1.2033803293631999</v>
      </c>
      <c r="X39" s="95">
        <f si="0" t="shared"/>
        <v>0</v>
      </c>
    </row>
    <row r="40" spans="1:24" x14ac:dyDescent="0.25">
      <c r="A40">
        <f>TLFD!A14+0.5</f>
        <v>3.5</v>
      </c>
      <c r="B40" s="81">
        <f si="18" t="shared"/>
        <v>1.5040773967762742</v>
      </c>
      <c r="C40" s="78">
        <f>TLFD!C14/SUM(TLFD!$C$11:$C$100)</f>
        <v>8.1375704868212689E-2</v>
      </c>
      <c r="D40" s="78">
        <f>TLFD!I14/SUM(TLFD!$I$11:$I$100)</f>
        <v>8.7393541785789522E-2</v>
      </c>
      <c r="E40" s="78">
        <f>TLFD!D14/SUM(TLFD!$D$11:$D$101)</f>
        <v>0.12701906810407995</v>
      </c>
      <c r="F40" s="78">
        <f>TLFD!J14/SUM(TLFD!$J$11:$J$100)</f>
        <v>0.10842538778338016</v>
      </c>
      <c r="G40" s="141">
        <f si="17" t="shared"/>
        <v>-7.1344624854009858E-2</v>
      </c>
      <c r="H40" s="141">
        <f si="19" t="shared"/>
        <v>0.15827495151248883</v>
      </c>
      <c r="T40">
        <f>WorkLocationCoefficients!B48</f>
        <v>42</v>
      </c>
      <c r="U40" t="str">
        <f>WorkLocationCoefficients!C48</f>
        <v>Beta00042</v>
      </c>
      <c r="V40" s="40">
        <f>WorkLocationCoefficients!E48</f>
        <v>5.07828619993</v>
      </c>
      <c r="W40" s="162">
        <f>_xlfn.IFNA(VLOOKUP(T40,$M$13:$Q$39,5,FALSE),_xlfn.IFNA(VLOOKUP(T40,calibration_flow!$AD$3:$AH$25,5,FALSE),V40))</f>
        <v>5.07828619993</v>
      </c>
      <c r="X40" s="95">
        <f si="0" t="shared"/>
        <v>0</v>
      </c>
    </row>
    <row r="41" spans="1:24" x14ac:dyDescent="0.25">
      <c r="A41">
        <f>TLFD!A15+0.5</f>
        <v>4.5</v>
      </c>
      <c r="B41" s="81">
        <f si="18" t="shared"/>
        <v>1.7047480922384253</v>
      </c>
      <c r="C41" s="78">
        <f>TLFD!C15/SUM(TLFD!$C$11:$C$100)</f>
        <v>5.7779556281112289E-2</v>
      </c>
      <c r="D41" s="78">
        <f>TLFD!I15/SUM(TLFD!$I$11:$I$100)</f>
        <v>8.3150260314785285E-2</v>
      </c>
      <c r="E41" s="78">
        <f>TLFD!D15/SUM(TLFD!$D$11:$D$101)</f>
        <v>8.1775610548790512E-2</v>
      </c>
      <c r="F41" s="78">
        <f>TLFD!J15/SUM(TLFD!$J$11:$J$100)</f>
        <v>8.7102113082637309E-2</v>
      </c>
      <c r="G41" s="141">
        <f si="17" t="shared"/>
        <v>-0.36401432074493628</v>
      </c>
      <c r="H41" s="141">
        <f si="19" t="shared"/>
        <v>-6.3102104384745783E-2</v>
      </c>
      <c r="I41" s="7"/>
      <c r="J41" s="7"/>
      <c r="K41" s="7"/>
      <c r="L41" s="7"/>
      <c r="M41" s="7"/>
      <c r="N41" s="7"/>
      <c r="O41" s="7"/>
      <c r="P41" s="7"/>
      <c r="Q41" s="7"/>
      <c r="T41">
        <f>WorkLocationCoefficients!B49</f>
        <v>43</v>
      </c>
      <c r="U41" t="str">
        <f>WorkLocationCoefficients!C49</f>
        <v>Beta00043</v>
      </c>
      <c r="V41" s="40">
        <f>WorkLocationCoefficients!E49</f>
        <v>-3.0390882271000002</v>
      </c>
      <c r="W41" s="162">
        <f>_xlfn.IFNA(VLOOKUP(T41,$M$13:$Q$39,5,FALSE),_xlfn.IFNA(VLOOKUP(T41,calibration_flow!$AD$3:$AH$25,5,FALSE),V41))</f>
        <v>-3.0390882271000002</v>
      </c>
      <c r="X41" s="95">
        <f si="0" t="shared"/>
        <v>0</v>
      </c>
    </row>
    <row r="42" spans="1:24" x14ac:dyDescent="0.25">
      <c r="A42">
        <f>TLFD!A16+0.5</f>
        <v>5.5</v>
      </c>
      <c r="B42" s="81">
        <f si="18" t="shared"/>
        <v>1.8718021769015913</v>
      </c>
      <c r="C42" s="78">
        <f>TLFD!C16/SUM(TLFD!$C$11:$C$100)</f>
        <v>5.203099100045374E-2</v>
      </c>
      <c r="D42" s="78">
        <f>TLFD!I16/SUM(TLFD!$I$11:$I$100)</f>
        <v>7.5446146438352041E-2</v>
      </c>
      <c r="E42" s="78">
        <f>TLFD!D16/SUM(TLFD!$D$11:$D$101)</f>
        <v>0.1120590866220401</v>
      </c>
      <c r="F42" s="78">
        <f>TLFD!J16/SUM(TLFD!$J$11:$J$100)</f>
        <v>7.1552288210615447E-2</v>
      </c>
      <c r="G42" s="141">
        <f si="17" t="shared"/>
        <v>-0.37157958770042787</v>
      </c>
      <c r="H42" s="141">
        <f si="19" t="shared"/>
        <v>0.4485978052373415</v>
      </c>
      <c r="I42" s="7"/>
      <c r="J42" s="7" t="s">
        <v>275</v>
      </c>
      <c r="K42" s="7"/>
      <c r="L42" s="7"/>
      <c r="M42" s="7"/>
      <c r="N42" s="7"/>
      <c r="O42" s="7"/>
      <c r="P42" s="7"/>
      <c r="Q42" s="7"/>
      <c r="T42">
        <f>WorkLocationCoefficients!B50</f>
        <v>44</v>
      </c>
      <c r="U42" t="str">
        <f>WorkLocationCoefficients!C50</f>
        <v>Beta00044</v>
      </c>
      <c r="V42" s="40">
        <f>WorkLocationCoefficients!E50</f>
        <v>-2.3320026601800001</v>
      </c>
      <c r="W42" s="162">
        <f>_xlfn.IFNA(VLOOKUP(T42,$M$13:$Q$39,5,FALSE),_xlfn.IFNA(VLOOKUP(T42,calibration_flow!$AD$3:$AH$25,5,FALSE),V42))</f>
        <v>-2.3320026601800001</v>
      </c>
      <c r="X42" s="95">
        <f si="0" t="shared"/>
        <v>0</v>
      </c>
    </row>
    <row r="43" spans="1:24" x14ac:dyDescent="0.25">
      <c r="A43">
        <f>TLFD!A17+0.5</f>
        <v>6.5</v>
      </c>
      <c r="B43" s="81">
        <f si="18" t="shared"/>
        <v>2.0149030205422647</v>
      </c>
      <c r="C43" s="78">
        <f>TLFD!C17/SUM(TLFD!$C$11:$C$100)</f>
        <v>6.2538869952427023E-2</v>
      </c>
      <c r="D43" s="78">
        <f>TLFD!I17/SUM(TLFD!$I$11:$I$100)</f>
        <v>6.6432935086821757E-2</v>
      </c>
      <c r="E43" s="78">
        <f>TLFD!D17/SUM(TLFD!$D$11:$D$101)</f>
        <v>4.4082491207318351E-2</v>
      </c>
      <c r="F43" s="78">
        <f>TLFD!J17/SUM(TLFD!$J$11:$J$100)</f>
        <v>5.7580539625110658E-2</v>
      </c>
      <c r="G43" s="141">
        <f si="17" t="shared"/>
        <v>-6.0404661184057129E-2</v>
      </c>
      <c r="H43" s="141">
        <f si="19" t="shared"/>
        <v>-0.26712197804546345</v>
      </c>
      <c r="I43" s="87"/>
      <c r="J43" s="7"/>
      <c r="K43" s="7"/>
      <c r="L43" s="7"/>
      <c r="M43" s="7"/>
      <c r="N43" s="7"/>
      <c r="O43" s="7"/>
      <c r="P43" s="7"/>
      <c r="Q43" s="7"/>
      <c r="T43">
        <f>WorkLocationCoefficients!B51</f>
        <v>50</v>
      </c>
      <c r="U43" t="str">
        <f>WorkLocationCoefficients!C51</f>
        <v>LSM_050</v>
      </c>
      <c r="V43" s="40">
        <f>WorkLocationCoefficients!E51</f>
        <v>0.33566647407</v>
      </c>
      <c r="W43" s="162">
        <f>_xlfn.IFNA(VLOOKUP(T43,$M$13:$Q$39,5,FALSE),_xlfn.IFNA(VLOOKUP(T43,calibration_flow!$AD$3:$AH$25,5,FALSE),V43))</f>
        <v>0.33566647407</v>
      </c>
      <c r="X43" s="95">
        <f si="0" t="shared"/>
        <v>0</v>
      </c>
    </row>
    <row r="44" spans="1:24" x14ac:dyDescent="0.25">
      <c r="A44">
        <f>TLFD!A18+0.5</f>
        <v>7.5</v>
      </c>
      <c r="B44" s="81">
        <f si="18" t="shared"/>
        <v>2.1400661634962708</v>
      </c>
      <c r="C44" s="78">
        <f>TLFD!C18/SUM(TLFD!$C$11:$C$100)</f>
        <v>8.2066749350611604E-2</v>
      </c>
      <c r="D44" s="78">
        <f>TLFD!I18/SUM(TLFD!$I$11:$I$100)</f>
        <v>5.4515633934214089E-2</v>
      </c>
      <c r="E44" s="78">
        <f>TLFD!D18/SUM(TLFD!$D$11:$D$101)</f>
        <v>2.8242832893670879E-2</v>
      </c>
      <c r="F44" s="78">
        <f>TLFD!J18/SUM(TLFD!$J$11:$J$100)</f>
        <v>4.9882606520149343E-2</v>
      </c>
      <c r="G44" s="141">
        <f si="17" t="shared"/>
        <v>0.40904541089276686</v>
      </c>
      <c r="H44" s="141">
        <f si="19" t="shared"/>
        <v>-0.56883265273797223</v>
      </c>
      <c r="I44" s="84"/>
      <c r="J44" s="7"/>
      <c r="K44" s="7"/>
      <c r="L44" s="7"/>
      <c r="M44" s="7"/>
      <c r="N44" s="7"/>
      <c r="O44" s="7"/>
      <c r="P44" s="7"/>
      <c r="Q44" s="7"/>
      <c r="T44">
        <f>WorkLocationCoefficients!B52</f>
        <v>51</v>
      </c>
      <c r="U44" t="str">
        <f>WorkLocationCoefficients!C52</f>
        <v>Gamma51</v>
      </c>
      <c r="V44" s="40">
        <f>WorkLocationCoefficients!E52</f>
        <v>-0.78911507665199998</v>
      </c>
      <c r="W44" s="162">
        <f>_xlfn.IFNA(VLOOKUP(T44,$M$13:$Q$39,5,FALSE),_xlfn.IFNA(VLOOKUP(T44,calibration_flow!$AD$3:$AH$25,5,FALSE),V44))</f>
        <v>-0.78911507665199998</v>
      </c>
      <c r="X44" s="95">
        <f si="0" t="shared"/>
        <v>0</v>
      </c>
    </row>
    <row r="45" spans="1:24" x14ac:dyDescent="0.25">
      <c r="A45">
        <f>TLFD!A19+0.5</f>
        <v>8.5</v>
      </c>
      <c r="B45" s="81">
        <f si="18" t="shared"/>
        <v>2.2512917986064953</v>
      </c>
      <c r="C45" s="78">
        <f>TLFD!C19/SUM(TLFD!$C$11:$C$100)</f>
        <v>5.1376106407214579E-2</v>
      </c>
      <c r="D45" s="78">
        <f>TLFD!I19/SUM(TLFD!$I$11:$I$100)</f>
        <v>4.7849769779409551E-2</v>
      </c>
      <c r="E45" s="78">
        <f>TLFD!D19/SUM(TLFD!$D$11:$D$101)</f>
        <v>5.4253152379806255E-2</v>
      </c>
      <c r="F45" s="78">
        <f>TLFD!J19/SUM(TLFD!$J$11:$J$100)</f>
        <v>4.1145452446018242E-2</v>
      </c>
      <c r="G45" s="141">
        <f si="17" t="shared"/>
        <v>7.1106901901574621E-2</v>
      </c>
      <c r="H45" s="141">
        <f si="19" t="shared"/>
        <v>0.27654768973954696</v>
      </c>
      <c r="I45" s="84"/>
      <c r="J45" s="85" t="s">
        <v>9</v>
      </c>
      <c r="K45" s="7" t="s">
        <v>300</v>
      </c>
      <c r="L45" s="7"/>
      <c r="M45" s="7"/>
      <c r="N45" s="7"/>
      <c r="O45" s="7"/>
      <c r="P45" s="7"/>
      <c r="Q45" s="7"/>
      <c r="T45">
        <f>WorkLocationCoefficients!B53</f>
        <v>52</v>
      </c>
      <c r="U45" t="str">
        <f>WorkLocationCoefficients!C53</f>
        <v>Gamma52</v>
      </c>
      <c r="V45" s="40">
        <f>WorkLocationCoefficients!E53</f>
        <v>0.56564055394500001</v>
      </c>
      <c r="W45" s="162">
        <f>_xlfn.IFNA(VLOOKUP(T45,$M$13:$Q$39,5,FALSE),_xlfn.IFNA(VLOOKUP(T45,calibration_flow!$AD$3:$AH$25,5,FALSE),V45))</f>
        <v>0.56564055394500001</v>
      </c>
      <c r="X45" s="95">
        <f si="0" t="shared"/>
        <v>0</v>
      </c>
    </row>
    <row r="46" spans="1:24" x14ac:dyDescent="0.25">
      <c r="A46">
        <f>TLFD!A20+0.5</f>
        <v>9.5</v>
      </c>
      <c r="B46" s="81">
        <f si="18" t="shared"/>
        <v>2.3513752571634776</v>
      </c>
      <c r="C46" s="78">
        <f>TLFD!C20/SUM(TLFD!$C$11:$C$100)</f>
        <v>3.2290260822716001E-2</v>
      </c>
      <c r="D46" s="78">
        <f>TLFD!I20/SUM(TLFD!$I$11:$I$100)</f>
        <v>4.699208522675976E-2</v>
      </c>
      <c r="E46" s="78">
        <f>TLFD!D20/SUM(TLFD!$D$11:$D$101)</f>
        <v>3.8442957207218381E-2</v>
      </c>
      <c r="F46" s="78">
        <f>TLFD!J20/SUM(TLFD!$J$11:$J$100)</f>
        <v>3.8682113852430623E-2</v>
      </c>
      <c r="G46" s="141">
        <f si="17" t="shared"/>
        <v>-0.37521352585361439</v>
      </c>
      <c r="H46" s="141">
        <f si="19" t="shared"/>
        <v>-6.2018072326162285E-3</v>
      </c>
      <c r="I46" s="84"/>
      <c r="J46" s="7"/>
      <c r="K46" s="7"/>
      <c r="L46" s="7"/>
      <c r="M46" s="7"/>
      <c r="N46" s="7"/>
      <c r="O46" s="7"/>
      <c r="P46" s="7"/>
      <c r="Q46" s="7"/>
      <c r="T46">
        <f>WorkLocationCoefficients!B54</f>
        <v>53</v>
      </c>
      <c r="U46" t="str">
        <f>WorkLocationCoefficients!C54</f>
        <v>Gamma53</v>
      </c>
      <c r="V46" s="40">
        <f>WorkLocationCoefficients!E54</f>
        <v>-1.85416848242</v>
      </c>
      <c r="W46" s="162">
        <f>_xlfn.IFNA(VLOOKUP(T46,$M$13:$Q$39,5,FALSE),_xlfn.IFNA(VLOOKUP(T46,calibration_flow!$AD$3:$AH$25,5,FALSE),V46))</f>
        <v>-1.85416848242</v>
      </c>
      <c r="X46" s="95">
        <f si="0" t="shared"/>
        <v>0</v>
      </c>
    </row>
    <row r="47" spans="1:24" x14ac:dyDescent="0.25">
      <c r="A47">
        <f>TLFD!A21+0.5</f>
        <v>10.5</v>
      </c>
      <c r="B47" s="81">
        <f si="18" t="shared"/>
        <v>2.4423470353692043</v>
      </c>
      <c r="C47" s="78">
        <f>TLFD!C21/SUM(TLFD!$C$11:$C$100)</f>
        <v>3.3550290551030336E-2</v>
      </c>
      <c r="D47" s="78">
        <f>TLFD!I21/SUM(TLFD!$I$11:$I$100)</f>
        <v>4.288422763248969E-2</v>
      </c>
      <c r="E47" s="78">
        <f>TLFD!D21/SUM(TLFD!$D$11:$D$101)</f>
        <v>5.7995096496483295E-2</v>
      </c>
      <c r="F47" s="78">
        <f>TLFD!J21/SUM(TLFD!$J$11:$J$100)</f>
        <v>3.4794657634425158E-2</v>
      </c>
      <c r="G47" s="141">
        <f si="17" t="shared"/>
        <v>-0.24545858045871113</v>
      </c>
      <c r="H47" s="141">
        <f si="19" t="shared"/>
        <v>0.51089460506491147</v>
      </c>
      <c r="I47" s="84"/>
      <c r="J47" t="s">
        <v>276</v>
      </c>
      <c r="T47">
        <f>WorkLocationCoefficients!B55</f>
        <v>54</v>
      </c>
      <c r="U47" t="str">
        <f>WorkLocationCoefficients!C55</f>
        <v>Gamma54</v>
      </c>
      <c r="V47" s="40">
        <f>WorkLocationCoefficients!E55</f>
        <v>0</v>
      </c>
      <c r="W47" s="162">
        <f>_xlfn.IFNA(VLOOKUP(T47,$M$13:$Q$39,5,FALSE),_xlfn.IFNA(VLOOKUP(T47,calibration_flow!$AD$3:$AH$25,5,FALSE),V47))</f>
        <v>0</v>
      </c>
      <c r="X47" s="95">
        <f si="0" t="shared"/>
        <v>0</v>
      </c>
    </row>
    <row ht="15.75" r="48" spans="1:24" thickBot="1" x14ac:dyDescent="0.3">
      <c r="A48">
        <f>TLFD!A22+0.5</f>
        <v>11.5</v>
      </c>
      <c r="B48" s="81">
        <f si="18" t="shared"/>
        <v>2.5257286443082556</v>
      </c>
      <c r="C48" s="78">
        <f>TLFD!C22/SUM(TLFD!$C$11:$C$100)</f>
        <v>6.5263351608353559E-2</v>
      </c>
      <c r="D48" s="78">
        <f>TLFD!I22/SUM(TLFD!$I$11:$I$100)</f>
        <v>3.8535616479581092E-2</v>
      </c>
      <c r="E48" s="78">
        <f>TLFD!D22/SUM(TLFD!$D$11:$D$101)</f>
        <v>3.5087996578801517E-2</v>
      </c>
      <c r="F48" s="78">
        <f>TLFD!J22/SUM(TLFD!$J$11:$J$100)</f>
        <v>3.2061891382163886E-2</v>
      </c>
      <c r="G48" s="141">
        <f si="17" t="shared"/>
        <v>0.52684773060566548</v>
      </c>
      <c r="H48" s="141">
        <f si="19" t="shared"/>
        <v>9.0190953654032763E-2</v>
      </c>
      <c r="I48" s="84"/>
      <c r="T48">
        <f>WorkLocationCoefficients!B56</f>
        <v>55</v>
      </c>
      <c r="U48" t="str">
        <f>WorkLocationCoefficients!C56</f>
        <v>Gamma55</v>
      </c>
      <c r="V48" s="40">
        <f>WorkLocationCoefficients!E56</f>
        <v>-1.1156286956100001</v>
      </c>
      <c r="W48" s="162">
        <f>_xlfn.IFNA(VLOOKUP(T48,$M$13:$Q$39,5,FALSE),_xlfn.IFNA(VLOOKUP(T48,calibration_flow!$AD$3:$AH$25,5,FALSE),V48))</f>
        <v>-1.1156286956100001</v>
      </c>
      <c r="X48" s="95">
        <f si="0" t="shared"/>
        <v>0</v>
      </c>
    </row>
    <row r="49" spans="1:24" x14ac:dyDescent="0.25">
      <c r="A49">
        <f>TLFD!A23+0.5</f>
        <v>12.5</v>
      </c>
      <c r="B49" s="81">
        <f si="18" t="shared"/>
        <v>2.6026896854443837</v>
      </c>
      <c r="C49" s="78">
        <f>TLFD!C23/SUM(TLFD!$C$11:$C$100)</f>
        <v>3.2724912124495645E-2</v>
      </c>
      <c r="D49" s="78">
        <f>TLFD!I23/SUM(TLFD!$I$11:$I$100)</f>
        <v>3.3615215624905957E-2</v>
      </c>
      <c r="E49" s="78">
        <f>TLFD!D23/SUM(TLFD!$D$11:$D$101)</f>
        <v>5.9281152702304607E-2</v>
      </c>
      <c r="F49" s="78">
        <f>TLFD!J23/SUM(TLFD!$J$11:$J$100)</f>
        <v>2.8020476502059199E-2</v>
      </c>
      <c r="G49" s="141">
        <f si="17" t="shared"/>
        <v>-2.6842183923680669E-2</v>
      </c>
      <c r="H49" s="141">
        <f si="19" t="shared"/>
        <v>0.74935587929644165</v>
      </c>
      <c r="I49" s="7"/>
      <c r="J49" s="86" t="s">
        <v>277</v>
      </c>
      <c r="K49" s="86"/>
      <c r="T49">
        <f>WorkLocationCoefficients!B57</f>
        <v>56</v>
      </c>
      <c r="U49" t="str">
        <f>WorkLocationCoefficients!C57</f>
        <v>Gamma56</v>
      </c>
      <c r="V49" s="40">
        <f>WorkLocationCoefficients!E57</f>
        <v>-0.81792869186600003</v>
      </c>
      <c r="W49" s="162">
        <f>_xlfn.IFNA(VLOOKUP(T49,$M$13:$Q$39,5,FALSE),_xlfn.IFNA(VLOOKUP(T49,calibration_flow!$AD$3:$AH$25,5,FALSE),V49))</f>
        <v>-0.81792869186600003</v>
      </c>
      <c r="X49" s="95">
        <f si="0" t="shared"/>
        <v>0</v>
      </c>
    </row>
    <row r="50" spans="1:24" x14ac:dyDescent="0.25">
      <c r="A50">
        <f>TLFD!A24+0.5</f>
        <v>13.5</v>
      </c>
      <c r="B50" s="81">
        <f si="18" t="shared"/>
        <v>2.6741486494265287</v>
      </c>
      <c r="C50" s="78">
        <f>TLFD!C24/SUM(TLFD!$C$11:$C$100)</f>
        <v>2.7887201739870342E-2</v>
      </c>
      <c r="D50" s="78">
        <f>TLFD!I24/SUM(TLFD!$I$11:$I$100)</f>
        <v>2.7987601191730115E-2</v>
      </c>
      <c r="E50" s="78">
        <f>TLFD!D24/SUM(TLFD!$D$11:$D$101)</f>
        <v>6.6407313325958272E-3</v>
      </c>
      <c r="F50" s="78">
        <f>TLFD!J24/SUM(TLFD!$J$11:$J$100)</f>
        <v>2.2708902659635887E-2</v>
      </c>
      <c r="G50" s="141">
        <f si="17" t="shared"/>
        <v>-3.5937329402974364E-3</v>
      </c>
      <c r="H50" s="141">
        <f si="19" t="shared"/>
        <v>-1.2295349373765336</v>
      </c>
      <c r="I50" s="7"/>
      <c r="J50" s="84" t="s">
        <v>278</v>
      </c>
      <c r="K50" s="84">
        <v>0.12440194136462766</v>
      </c>
      <c r="T50">
        <f>WorkLocationCoefficients!B58</f>
        <v>57</v>
      </c>
      <c r="U50" t="str">
        <f>WorkLocationCoefficients!C58</f>
        <v>Gamma57</v>
      </c>
      <c r="V50" s="40">
        <f>WorkLocationCoefficients!E58</f>
        <v>-1.04729487823</v>
      </c>
      <c r="W50" s="162">
        <f>_xlfn.IFNA(VLOOKUP(T50,$M$13:$Q$39,5,FALSE),_xlfn.IFNA(VLOOKUP(T50,calibration_flow!$AD$3:$AH$25,5,FALSE),V50))</f>
        <v>-1.04729487823</v>
      </c>
      <c r="X50" s="95">
        <f si="0" t="shared"/>
        <v>0</v>
      </c>
    </row>
    <row r="51" spans="1:24" x14ac:dyDescent="0.25">
      <c r="A51">
        <f>TLFD!A25+0.5</f>
        <v>14.5</v>
      </c>
      <c r="B51" s="81">
        <f si="18" t="shared"/>
        <v>2.7408400239252009</v>
      </c>
      <c r="C51" s="78">
        <f>TLFD!C25/SUM(TLFD!$C$11:$C$100)</f>
        <v>1.3805455684635703E-2</v>
      </c>
      <c r="D51" s="78">
        <f>TLFD!I25/SUM(TLFD!$I$11:$I$100)</f>
        <v>2.4602004273375666E-2</v>
      </c>
      <c r="E51" s="78">
        <f>TLFD!D25/SUM(TLFD!$D$11:$D$101)</f>
        <v>9.3671319283901745E-3</v>
      </c>
      <c r="F51" s="78">
        <f>TLFD!J25/SUM(TLFD!$J$11:$J$100)</f>
        <v>2.1284785035218044E-2</v>
      </c>
      <c r="G51" s="141">
        <f si="17" t="shared"/>
        <v>-0.57776406064345642</v>
      </c>
      <c r="H51" s="141">
        <f si="19" t="shared"/>
        <v>-0.82078554136551096</v>
      </c>
      <c r="I51" s="87"/>
      <c r="J51" s="84" t="s">
        <v>279</v>
      </c>
      <c r="K51" s="84">
        <v>1.547584301528826E-2</v>
      </c>
      <c r="T51">
        <f>WorkLocationCoefficients!B59</f>
        <v>58</v>
      </c>
      <c r="U51" t="str">
        <f>WorkLocationCoefficients!C59</f>
        <v>Gamma58</v>
      </c>
      <c r="V51" s="40">
        <f>WorkLocationCoefficients!E59</f>
        <v>-2.0228517391</v>
      </c>
      <c r="W51" s="162">
        <f>_xlfn.IFNA(VLOOKUP(T51,$M$13:$Q$39,5,FALSE),_xlfn.IFNA(VLOOKUP(T51,calibration_flow!$AD$3:$AH$25,5,FALSE),V51))</f>
        <v>-2.0228517391</v>
      </c>
      <c r="X51" s="95">
        <f si="0" t="shared"/>
        <v>0</v>
      </c>
    </row>
    <row r="52" spans="1:24" x14ac:dyDescent="0.25">
      <c r="A52">
        <f>TLFD!A26+0.5</f>
        <v>15.5</v>
      </c>
      <c r="B52" s="81">
        <f si="18" t="shared"/>
        <v>2.8033603809065348</v>
      </c>
      <c r="C52" s="78">
        <f>TLFD!C26/SUM(TLFD!$C$11:$C$100)</f>
        <v>1.9467632905581872E-2</v>
      </c>
      <c r="D52" s="78">
        <f>TLFD!I26/SUM(TLFD!$I$11:$I$100)</f>
        <v>2.2946823557735713E-2</v>
      </c>
      <c r="E52" s="78">
        <f>TLFD!D26/SUM(TLFD!$D$11:$D$101)</f>
        <v>1.676445180975521E-2</v>
      </c>
      <c r="F52" s="78">
        <f>TLFD!J26/SUM(TLFD!$J$11:$J$100)</f>
        <v>1.7012432161964512E-2</v>
      </c>
      <c r="G52" s="141">
        <f si="17" t="shared"/>
        <v>-0.16442628436209178</v>
      </c>
      <c r="H52" s="141">
        <f si="19" t="shared"/>
        <v>-1.4683699538964442E-2</v>
      </c>
      <c r="I52" s="84"/>
      <c r="J52" s="84" t="s">
        <v>280</v>
      </c>
      <c r="K52" s="84">
        <v>4.2398879591084831E-3</v>
      </c>
      <c r="T52">
        <f>WorkLocationCoefficients!B60</f>
        <v>59</v>
      </c>
      <c r="U52" t="str">
        <f>WorkLocationCoefficients!C60</f>
        <v>Gamma59</v>
      </c>
      <c r="V52" s="40">
        <f>WorkLocationCoefficients!E60</f>
        <v>-1.2945321250099999</v>
      </c>
      <c r="W52" s="162">
        <f>_xlfn.IFNA(VLOOKUP(T52,$M$13:$Q$39,5,FALSE),_xlfn.IFNA(VLOOKUP(T52,calibration_flow!$AD$3:$AH$25,5,FALSE),V52))</f>
        <v>-1.2945321250099999</v>
      </c>
      <c r="X52" s="95">
        <f si="0" t="shared"/>
        <v>0</v>
      </c>
    </row>
    <row r="53" spans="1:24" x14ac:dyDescent="0.25">
      <c r="A53">
        <f>TLFD!A27+0.5</f>
        <v>16.5</v>
      </c>
      <c r="B53" s="81">
        <f si="18" t="shared"/>
        <v>2.8622008809294686</v>
      </c>
      <c r="C53" s="78">
        <f>TLFD!C27/SUM(TLFD!$C$11:$C$100)</f>
        <v>1.8133471200207502E-2</v>
      </c>
      <c r="D53" s="78">
        <f>TLFD!I27/SUM(TLFD!$I$11:$I$100)</f>
        <v>1.7514821390953686E-2</v>
      </c>
      <c r="E53" s="78">
        <f>TLFD!D27/SUM(TLFD!$D$11:$D$101)</f>
        <v>5.7891922245772755E-3</v>
      </c>
      <c r="F53" s="78">
        <f>TLFD!J27/SUM(TLFD!$J$11:$J$100)</f>
        <v>1.3586851930256726E-2</v>
      </c>
      <c r="G53" s="141">
        <f si="17" t="shared"/>
        <v>3.471200901056086E-2</v>
      </c>
      <c r="H53" s="141">
        <f si="19" t="shared"/>
        <v>-0.85310978559521489</v>
      </c>
      <c r="I53" s="84"/>
      <c r="J53" s="84" t="s">
        <v>281</v>
      </c>
      <c r="K53" s="84">
        <v>0.69923901473582173</v>
      </c>
      <c r="T53">
        <f>WorkLocationCoefficients!B61</f>
        <v>60</v>
      </c>
      <c r="U53" t="str">
        <f>WorkLocationCoefficients!C61</f>
        <v>Gamma60</v>
      </c>
      <c r="V53" s="40">
        <f>WorkLocationCoefficients!E61</f>
        <v>-0.66178028021599999</v>
      </c>
      <c r="W53" s="162">
        <f>_xlfn.IFNA(VLOOKUP(T53,$M$13:$Q$39,5,FALSE),_xlfn.IFNA(VLOOKUP(T53,calibration_flow!$AD$3:$AH$25,5,FALSE),V53))</f>
        <v>-0.66178028021599999</v>
      </c>
      <c r="X53" s="95">
        <f si="0" t="shared"/>
        <v>0</v>
      </c>
    </row>
    <row ht="15.75" r="54" spans="1:24" thickBot="1" x14ac:dyDescent="0.3">
      <c r="A54">
        <f>TLFD!A28+0.5</f>
        <v>17.5</v>
      </c>
      <c r="B54" s="81">
        <f si="18" t="shared"/>
        <v>2.917770732084279</v>
      </c>
      <c r="C54" s="78">
        <f>TLFD!C28/SUM(TLFD!$C$11:$C$100)</f>
        <v>1.3554859776230737E-2</v>
      </c>
      <c r="D54" s="78">
        <f>TLFD!I28/SUM(TLFD!$I$11:$I$100)</f>
        <v>1.4535496102801769E-2</v>
      </c>
      <c r="E54" s="78">
        <f>TLFD!D28/SUM(TLFD!$D$11:$D$101)</f>
        <v>2.3687329144026054E-3</v>
      </c>
      <c r="F54" s="78">
        <f>TLFD!J28/SUM(TLFD!$J$11:$J$100)</f>
        <v>1.3471382933682306E-2</v>
      </c>
      <c r="G54" s="141">
        <f si="17" t="shared"/>
        <v>-6.9848526931345634E-2</v>
      </c>
      <c r="H54" s="141">
        <f si="19" t="shared"/>
        <v>-1.7382124759292545</v>
      </c>
      <c r="I54" s="84"/>
      <c r="J54" s="88" t="s">
        <v>282</v>
      </c>
      <c r="K54" s="88">
        <v>90</v>
      </c>
      <c r="T54">
        <f>WorkLocationCoefficients!B62</f>
        <v>61</v>
      </c>
      <c r="U54" t="str">
        <f>WorkLocationCoefficients!C62</f>
        <v>Gamma61</v>
      </c>
      <c r="V54" s="40">
        <f>WorkLocationCoefficients!E62</f>
        <v>-0.55504741134900004</v>
      </c>
      <c r="W54" s="162">
        <f>_xlfn.IFNA(VLOOKUP(T54,$M$13:$Q$39,5,FALSE),_xlfn.IFNA(VLOOKUP(T54,calibration_flow!$AD$3:$AH$25,5,FALSE),V54))</f>
        <v>-0.55504741134900004</v>
      </c>
      <c r="X54" s="95">
        <f si="0" t="shared"/>
        <v>0</v>
      </c>
    </row>
    <row r="55" spans="1:24" x14ac:dyDescent="0.25">
      <c r="A55">
        <f>TLFD!A29+0.5</f>
        <v>18.5</v>
      </c>
      <c r="B55" s="81">
        <f si="18" t="shared"/>
        <v>2.9704144655697009</v>
      </c>
      <c r="C55" s="78">
        <f>TLFD!C29/SUM(TLFD!$C$11:$C$100)</f>
        <v>1.3088770698112916E-2</v>
      </c>
      <c r="D55" s="78">
        <f>TLFD!I29/SUM(TLFD!$I$11:$I$100)</f>
        <v>1.4249601251918506E-2</v>
      </c>
      <c r="E55" s="78">
        <f>TLFD!D29/SUM(TLFD!$D$11:$D$101)</f>
        <v>1.6361572534435126E-2</v>
      </c>
      <c r="F55" s="78">
        <f>TLFD!J29/SUM(TLFD!$J$11:$J$100)</f>
        <v>1.1508409991917171E-2</v>
      </c>
      <c r="G55" s="141">
        <f si="17" t="shared"/>
        <v>-8.4974260016690853E-2</v>
      </c>
      <c r="H55" s="141">
        <f si="19" t="shared"/>
        <v>0.35185737550008545</v>
      </c>
      <c r="I55" s="7"/>
      <c r="T55">
        <f>WorkLocationCoefficients!B63</f>
        <v>62</v>
      </c>
      <c r="U55" t="str">
        <f>WorkLocationCoefficients!C63</f>
        <v>Gamma62</v>
      </c>
      <c r="V55" s="40">
        <f>WorkLocationCoefficients!E63</f>
        <v>-1.7449233454799999</v>
      </c>
      <c r="W55" s="162">
        <f>_xlfn.IFNA(VLOOKUP(T55,$M$13:$Q$39,5,FALSE),_xlfn.IFNA(VLOOKUP(T55,calibration_flow!$AD$3:$AH$25,5,FALSE),V55))</f>
        <v>-1.7449233454799999</v>
      </c>
      <c r="X55" s="95">
        <f si="0" t="shared"/>
        <v>0</v>
      </c>
    </row>
    <row ht="15.75" r="56" spans="1:24" thickBot="1" x14ac:dyDescent="0.3">
      <c r="A56">
        <f>TLFD!A30+0.5</f>
        <v>19.5</v>
      </c>
      <c r="B56" s="81">
        <f si="18" t="shared"/>
        <v>3.0204248861443626</v>
      </c>
      <c r="C56" s="78">
        <f>TLFD!C30/SUM(TLFD!$C$11:$C$100)</f>
        <v>1.6059121804180915E-2</v>
      </c>
      <c r="D56" s="78">
        <f>TLFD!I30/SUM(TLFD!$I$11:$I$100)</f>
        <v>1.2082819224171657E-2</v>
      </c>
      <c r="E56" s="78">
        <f>TLFD!D30/SUM(TLFD!$D$11:$D$101)</f>
        <v>1.9023786586726637E-2</v>
      </c>
      <c r="F56" s="78">
        <f>TLFD!J30/SUM(TLFD!$J$11:$J$100)</f>
        <v>9.0835610638543545E-3</v>
      </c>
      <c r="G56" s="141">
        <f si="17" t="shared"/>
        <v>0.28449248008065287</v>
      </c>
      <c r="H56" s="141">
        <f si="19" t="shared"/>
        <v>0.73922381840131235</v>
      </c>
      <c r="I56" s="7"/>
      <c r="J56" t="s">
        <v>283</v>
      </c>
      <c r="T56">
        <f>WorkLocationCoefficients!B64</f>
        <v>63</v>
      </c>
      <c r="U56" t="str">
        <f>WorkLocationCoefficients!C64</f>
        <v>Gamma63</v>
      </c>
      <c r="V56" s="40">
        <f>WorkLocationCoefficients!E64</f>
        <v>1.1995398853399999</v>
      </c>
      <c r="W56" s="162">
        <f>_xlfn.IFNA(VLOOKUP(T56,$M$13:$Q$39,5,FALSE),_xlfn.IFNA(VLOOKUP(T56,calibration_flow!$AD$3:$AH$25,5,FALSE),V56))</f>
        <v>1.1995398853399999</v>
      </c>
      <c r="X56" s="95">
        <f si="0" t="shared"/>
        <v>0</v>
      </c>
    </row>
    <row r="57" spans="1:24" x14ac:dyDescent="0.25">
      <c r="A57">
        <f>TLFD!A31+0.5</f>
        <v>20.5</v>
      </c>
      <c r="B57" s="81">
        <f si="18" t="shared"/>
        <v>3.068052935133617</v>
      </c>
      <c r="C57" s="78">
        <f>TLFD!C31/SUM(TLFD!$C$11:$C$100)</f>
        <v>2.2386608780136267E-2</v>
      </c>
      <c r="D57" s="78">
        <f>TLFD!I31/SUM(TLFD!$I$11:$I$100)</f>
        <v>1.0397544313701887E-2</v>
      </c>
      <c r="E57" s="78">
        <f>TLFD!D31/SUM(TLFD!$D$11:$D$101)</f>
        <v>0</v>
      </c>
      <c r="F57" s="78">
        <f>TLFD!J31/SUM(TLFD!$J$11:$J$100)</f>
        <v>7.813402101535737E-3</v>
      </c>
      <c r="G57" s="141">
        <f si="17" t="shared"/>
        <v>0.76689330319540738</v>
      </c>
      <c r="H57" s="141">
        <f si="19" t="shared"/>
        <v>0</v>
      </c>
      <c r="I57" s="7"/>
      <c r="J57" s="89"/>
      <c r="K57" s="89" t="s">
        <v>284</v>
      </c>
      <c r="L57" s="89" t="s">
        <v>285</v>
      </c>
      <c r="M57" s="89" t="s">
        <v>286</v>
      </c>
      <c r="N57" s="89" t="s">
        <v>94</v>
      </c>
      <c r="O57" s="89" t="s">
        <v>287</v>
      </c>
      <c r="T57">
        <f>WorkLocationCoefficients!B65</f>
        <v>64</v>
      </c>
      <c r="U57" t="str">
        <f>WorkLocationCoefficients!C65</f>
        <v>Gamma64</v>
      </c>
      <c r="V57" s="40">
        <f>WorkLocationCoefficients!E65</f>
        <v>0.19542046398099999</v>
      </c>
      <c r="W57" s="162">
        <f>_xlfn.IFNA(VLOOKUP(T57,$M$13:$Q$39,5,FALSE),_xlfn.IFNA(VLOOKUP(T57,calibration_flow!$AD$3:$AH$25,5,FALSE),V57))</f>
        <v>0.19542046398099999</v>
      </c>
      <c r="X57" s="95">
        <f si="0" t="shared"/>
        <v>0</v>
      </c>
    </row>
    <row r="58" spans="1:24" x14ac:dyDescent="0.25">
      <c r="A58">
        <f>TLFD!A32+0.5</f>
        <v>21.5</v>
      </c>
      <c r="B58" s="81">
        <f si="18" t="shared"/>
        <v>3.1135153092103742</v>
      </c>
      <c r="C58" s="78">
        <f>TLFD!C32/SUM(TLFD!$C$11:$C$100)</f>
        <v>1.1058911120439085E-2</v>
      </c>
      <c r="D58" s="78">
        <f>TLFD!I32/SUM(TLFD!$I$11:$I$100)</f>
        <v>9.3743416894880981E-3</v>
      </c>
      <c r="E58" s="78">
        <f>TLFD!D32/SUM(TLFD!$D$11:$D$101)</f>
        <v>1.0581393977731775E-2</v>
      </c>
      <c r="F58" s="78">
        <f>TLFD!J32/SUM(TLFD!$J$11:$J$100)</f>
        <v>7.8903814325853514E-3</v>
      </c>
      <c r="G58" s="141">
        <f si="17" t="shared"/>
        <v>0.16526018960458927</v>
      </c>
      <c r="H58" s="141">
        <f si="19" t="shared"/>
        <v>0.2934526961906988</v>
      </c>
      <c r="I58" s="7"/>
      <c r="J58" s="84" t="s">
        <v>288</v>
      </c>
      <c r="K58" s="84">
        <v>1</v>
      </c>
      <c r="L58" s="84">
        <v>0.68402070831395179</v>
      </c>
      <c r="M58" s="84">
        <v>0.68402070831395179</v>
      </c>
      <c r="N58" s="84">
        <v>1.3990007442570487</v>
      </c>
      <c r="O58" s="84">
        <v>0.2400767404253939</v>
      </c>
      <c r="T58">
        <f>WorkLocationCoefficients!B66</f>
        <v>65</v>
      </c>
      <c r="U58" t="str">
        <f>WorkLocationCoefficients!C66</f>
        <v>Gamma65</v>
      </c>
      <c r="V58" s="40">
        <f>WorkLocationCoefficients!E66</f>
        <v>-0.90594458676599998</v>
      </c>
      <c r="W58" s="162">
        <f>_xlfn.IFNA(VLOOKUP(T58,$M$13:$Q$39,5,FALSE),_xlfn.IFNA(VLOOKUP(T58,calibration_flow!$AD$3:$AH$25,5,FALSE),V58))</f>
        <v>-0.90594458676599998</v>
      </c>
      <c r="X58" s="95">
        <f si="0" t="shared"/>
        <v>0</v>
      </c>
    </row>
    <row r="59" spans="1:24" x14ac:dyDescent="0.25">
      <c r="A59">
        <f>TLFD!A33+0.5</f>
        <v>22.5</v>
      </c>
      <c r="B59" s="81">
        <f si="18" t="shared"/>
        <v>3.1570004211501135</v>
      </c>
      <c r="C59" s="78">
        <f>TLFD!C33/SUM(TLFD!$C$11:$C$100)</f>
        <v>1.0404235871075466E-2</v>
      </c>
      <c r="D59" s="78">
        <f>TLFD!I33/SUM(TLFD!$I$11:$I$100)</f>
        <v>8.305997773029582E-3</v>
      </c>
      <c r="E59" s="78">
        <f>TLFD!D33/SUM(TLFD!$D$11:$D$101)</f>
        <v>0</v>
      </c>
      <c r="F59" s="78">
        <f>TLFD!J33/SUM(TLFD!$J$11:$J$100)</f>
        <v>7.0051191255147997E-3</v>
      </c>
      <c r="G59" s="141">
        <f si="17" t="shared"/>
        <v>0.22523514142817547</v>
      </c>
      <c r="H59" s="141">
        <f si="19" t="shared"/>
        <v>0</v>
      </c>
      <c r="I59" s="7"/>
      <c r="J59" s="84" t="s">
        <v>289</v>
      </c>
      <c r="K59" s="84">
        <v>89</v>
      </c>
      <c r="L59" s="84">
        <v>43.515232775856319</v>
      </c>
      <c r="M59" s="84">
        <v>0.48893519972872268</v>
      </c>
      <c r="N59" s="84"/>
      <c r="O59" s="84"/>
      <c r="T59">
        <f>WorkLocationCoefficients!B67</f>
        <v>66</v>
      </c>
      <c r="U59" t="str">
        <f>WorkLocationCoefficients!C67</f>
        <v>Gamma66</v>
      </c>
      <c r="V59" s="40">
        <f>WorkLocationCoefficients!E67</f>
        <v>-2.05104130438</v>
      </c>
      <c r="W59" s="162">
        <f>_xlfn.IFNA(VLOOKUP(T59,$M$13:$Q$39,5,FALSE),_xlfn.IFNA(VLOOKUP(T59,calibration_flow!$AD$3:$AH$25,5,FALSE),V59))</f>
        <v>-2.05104130438</v>
      </c>
      <c r="X59" s="95">
        <f si="0" t="shared"/>
        <v>0</v>
      </c>
    </row>
    <row ht="15.75" r="60" spans="1:24" thickBot="1" x14ac:dyDescent="0.3">
      <c r="A60">
        <f>TLFD!A34+0.5</f>
        <v>23.5</v>
      </c>
      <c r="B60" s="81">
        <f si="18" t="shared"/>
        <v>3.1986731175506815</v>
      </c>
      <c r="C60" s="78">
        <f>TLFD!C34/SUM(TLFD!$C$11:$C$100)</f>
        <v>1.0121798163712002E-2</v>
      </c>
      <c r="D60" s="78">
        <f>TLFD!I34/SUM(TLFD!$I$11:$I$100)</f>
        <v>7.8545848505823228E-3</v>
      </c>
      <c r="E60" s="78">
        <f>TLFD!D34/SUM(TLFD!$D$11:$D$101)</f>
        <v>2.6731419797043658E-3</v>
      </c>
      <c r="F60" s="78">
        <f>TLFD!J34/SUM(TLFD!$J$11:$J$100)</f>
        <v>5.6579808321465686E-3</v>
      </c>
      <c r="G60" s="141">
        <f si="17" t="shared"/>
        <v>0.25359391353842448</v>
      </c>
      <c r="H60" s="141">
        <f si="19" t="shared"/>
        <v>-0.74981253314577556</v>
      </c>
      <c r="J60" s="88" t="s">
        <v>3</v>
      </c>
      <c r="K60" s="88">
        <v>90</v>
      </c>
      <c r="L60" s="88">
        <v>44.199253484170271</v>
      </c>
      <c r="M60" s="88"/>
      <c r="N60" s="88"/>
      <c r="O60" s="88"/>
      <c r="T60">
        <f>WorkLocationCoefficients!B68</f>
        <v>67</v>
      </c>
      <c r="U60" t="str">
        <f>WorkLocationCoefficients!C68</f>
        <v>Gamma67</v>
      </c>
      <c r="V60" s="40">
        <f>WorkLocationCoefficients!E68</f>
        <v>-2.2381608455899999</v>
      </c>
      <c r="W60" s="162">
        <f>_xlfn.IFNA(VLOOKUP(T60,$M$13:$Q$39,5,FALSE),_xlfn.IFNA(VLOOKUP(T60,calibration_flow!$AD$3:$AH$25,5,FALSE),V60))</f>
        <v>-2.2381608455899999</v>
      </c>
      <c r="X60" s="95">
        <f si="0" t="shared"/>
        <v>0</v>
      </c>
    </row>
    <row ht="15.75" r="61" spans="1:24" thickBot="1" x14ac:dyDescent="0.3">
      <c r="A61">
        <f>TLFD!A35+0.5</f>
        <v>24.5</v>
      </c>
      <c r="B61" s="81">
        <f si="18" t="shared"/>
        <v>3.2386784521643803</v>
      </c>
      <c r="C61" s="78">
        <f>TLFD!C35/SUM(TLFD!$C$11:$C$100)</f>
        <v>5.8221011709321552E-3</v>
      </c>
      <c r="D61" s="78">
        <f>TLFD!I35/SUM(TLFD!$I$11:$I$100)</f>
        <v>6.8163351289536244E-3</v>
      </c>
      <c r="E61" s="78">
        <f>TLFD!D35/SUM(TLFD!$D$11:$D$101)</f>
        <v>1.0648376699883572E-2</v>
      </c>
      <c r="F61" s="78">
        <f>TLFD!J35/SUM(TLFD!$J$11:$J$100)</f>
        <v>4.9266771871752432E-3</v>
      </c>
      <c r="G61" s="141">
        <f si="17" t="shared"/>
        <v>-0.15766073377606912</v>
      </c>
      <c r="H61" s="141">
        <f si="19" t="shared"/>
        <v>0.77074269572090115</v>
      </c>
      <c r="T61">
        <f>WorkLocationCoefficients!B69</f>
        <v>68</v>
      </c>
      <c r="U61" t="str">
        <f>WorkLocationCoefficients!C69</f>
        <v>Gamma68</v>
      </c>
      <c r="V61" s="40">
        <f>WorkLocationCoefficients!E69</f>
        <v>-0.40946320528300001</v>
      </c>
      <c r="W61" s="162">
        <f>_xlfn.IFNA(VLOOKUP(T61,$M$13:$Q$39,5,FALSE),_xlfn.IFNA(VLOOKUP(T61,calibration_flow!$AD$3:$AH$25,5,FALSE),V61))</f>
        <v>-0.40946320528300001</v>
      </c>
      <c r="X61" s="95">
        <f si="0" t="shared"/>
        <v>0</v>
      </c>
    </row>
    <row r="62" spans="1:24" x14ac:dyDescent="0.25">
      <c r="A62">
        <f>TLFD!A36+0.5</f>
        <v>25.5</v>
      </c>
      <c r="B62" s="81">
        <f si="18" t="shared"/>
        <v>3.2771447329921766</v>
      </c>
      <c r="C62" s="78">
        <f>TLFD!C36/SUM(TLFD!$C$11:$C$100)</f>
        <v>1.7062674455497829E-3</v>
      </c>
      <c r="D62" s="78">
        <f>TLFD!I36/SUM(TLFD!$I$11:$I$100)</f>
        <v>6.4401576935809082E-3</v>
      </c>
      <c r="E62" s="78">
        <f>TLFD!D36/SUM(TLFD!$D$11:$D$101)</f>
        <v>0</v>
      </c>
      <c r="F62" s="78">
        <f>TLFD!J36/SUM(TLFD!$J$11:$J$100)</f>
        <v>4.8496978561256305E-3</v>
      </c>
      <c r="G62" s="141">
        <f si="17" t="shared"/>
        <v>-1.3282448220004528</v>
      </c>
      <c r="H62" s="141">
        <f si="19" t="shared"/>
        <v>0</v>
      </c>
      <c r="J62" s="89"/>
      <c r="K62" s="89" t="s">
        <v>290</v>
      </c>
      <c r="L62" s="89" t="s">
        <v>281</v>
      </c>
      <c r="M62" s="89" t="s">
        <v>291</v>
      </c>
      <c r="N62" s="89" t="s">
        <v>292</v>
      </c>
      <c r="O62" s="89" t="s">
        <v>293</v>
      </c>
      <c r="P62" s="89" t="s">
        <v>294</v>
      </c>
      <c r="Q62" s="89" t="s">
        <v>295</v>
      </c>
      <c r="R62" s="89" t="s">
        <v>296</v>
      </c>
      <c r="T62">
        <f>WorkLocationCoefficients!B70</f>
        <v>69</v>
      </c>
      <c r="U62" t="str">
        <f>WorkLocationCoefficients!C70</f>
        <v>Gamma69</v>
      </c>
      <c r="V62" s="40">
        <f>WorkLocationCoefficients!E70</f>
        <v>-1.1700902309500001</v>
      </c>
      <c r="W62" s="162">
        <f>_xlfn.IFNA(VLOOKUP(T62,$M$13:$Q$39,5,FALSE),_xlfn.IFNA(VLOOKUP(T62,calibration_flow!$AD$3:$AH$25,5,FALSE),V62))</f>
        <v>-1.1700902309500001</v>
      </c>
      <c r="X62" s="95">
        <f si="0" t="shared"/>
        <v>0</v>
      </c>
    </row>
    <row r="63" spans="1:24" x14ac:dyDescent="0.25">
      <c r="A63">
        <f>TLFD!A37+0.5</f>
        <v>26.5</v>
      </c>
      <c r="B63" s="81">
        <f si="18" t="shared"/>
        <v>3.3141860046725258</v>
      </c>
      <c r="C63" s="78">
        <f>TLFD!C37/SUM(TLFD!$C$11:$C$100)</f>
        <v>1.423679635725276E-2</v>
      </c>
      <c r="D63" s="78">
        <f>TLFD!I37/SUM(TLFD!$I$11:$I$100)</f>
        <v>5.6125673357609318E-3</v>
      </c>
      <c r="E63" s="78">
        <f>TLFD!D37/SUM(TLFD!$D$11:$D$101)</f>
        <v>0</v>
      </c>
      <c r="F63" s="78">
        <f>TLFD!J37/SUM(TLFD!$J$11:$J$100)</f>
        <v>3.9259458835302725E-3</v>
      </c>
      <c r="G63" s="141">
        <f si="17" t="shared"/>
        <v>0.93082165530177674</v>
      </c>
      <c r="H63" s="141">
        <f si="19" t="shared"/>
        <v>0</v>
      </c>
      <c r="J63" s="84" t="s">
        <v>297</v>
      </c>
      <c r="K63" s="84">
        <v>0</v>
      </c>
      <c r="L63" s="84" t="e">
        <v>#N/A</v>
      </c>
      <c r="M63" s="84" t="e">
        <v>#N/A</v>
      </c>
      <c r="N63" s="84" t="e">
        <v>#N/A</v>
      </c>
      <c r="O63" s="84" t="e">
        <v>#N/A</v>
      </c>
      <c r="P63" s="84" t="e">
        <v>#N/A</v>
      </c>
      <c r="Q63" s="84" t="e">
        <v>#N/A</v>
      </c>
      <c r="R63" s="84" t="e">
        <v>#N/A</v>
      </c>
      <c r="T63">
        <f>WorkLocationCoefficients!B71</f>
        <v>70</v>
      </c>
      <c r="U63" t="str">
        <f>WorkLocationCoefficients!C71</f>
        <v>Gamma70</v>
      </c>
      <c r="V63" s="40">
        <f>WorkLocationCoefficients!E71</f>
        <v>1.8412445021999999</v>
      </c>
      <c r="W63" s="162">
        <f>_xlfn.IFNA(VLOOKUP(T63,$M$13:$Q$39,5,FALSE),_xlfn.IFNA(VLOOKUP(T63,calibration_flow!$AD$3:$AH$25,5,FALSE),V63))</f>
        <v>1.8412445021999999</v>
      </c>
      <c r="X63" s="95">
        <f si="0" t="shared"/>
        <v>0</v>
      </c>
    </row>
    <row ht="15.75" r="64" spans="1:24" thickBot="1" x14ac:dyDescent="0.3">
      <c r="A64">
        <f>TLFD!A38+0.5</f>
        <v>27.5</v>
      </c>
      <c r="B64" s="81">
        <f si="18" t="shared"/>
        <v>3.3499040872746049</v>
      </c>
      <c r="C64" s="78">
        <f>TLFD!C38/SUM(TLFD!$C$11:$C$100)</f>
        <v>7.3596425623022425E-3</v>
      </c>
      <c r="D64" s="78">
        <f>TLFD!I38/SUM(TLFD!$I$11:$I$100)</f>
        <v>5.1160131210689457E-3</v>
      </c>
      <c r="E64" s="78">
        <f>TLFD!D38/SUM(TLFD!$D$11:$D$101)</f>
        <v>0</v>
      </c>
      <c r="F64" s="78">
        <f>TLFD!J38/SUM(TLFD!$J$11:$J$100)</f>
        <v>3.8874562180054657E-3</v>
      </c>
      <c r="G64" s="141">
        <f si="17" t="shared"/>
        <v>0.36363591823111774</v>
      </c>
      <c r="H64" s="141">
        <f si="19" t="shared"/>
        <v>0</v>
      </c>
      <c r="J64" s="88" t="s">
        <v>298</v>
      </c>
      <c r="K64" s="88">
        <v>-2.3769499067547318E-2</v>
      </c>
      <c r="L64" s="88">
        <v>2.0096066374795992E-2</v>
      </c>
      <c r="M64" s="88">
        <v>-1.1827936186237151</v>
      </c>
      <c r="N64" s="88">
        <v>0.24004105373670998</v>
      </c>
      <c r="O64" s="88">
        <v>-6.3699954898131447E-2</v>
      </c>
      <c r="P64" s="88">
        <v>1.6160956763036808E-2</v>
      </c>
      <c r="Q64" s="88">
        <v>-6.3699954898131447E-2</v>
      </c>
      <c r="R64" s="88">
        <v>1.6160956763036808E-2</v>
      </c>
      <c r="T64">
        <f>WorkLocationCoefficients!B72</f>
        <v>71</v>
      </c>
      <c r="U64" t="str">
        <f>WorkLocationCoefficients!C72</f>
        <v>Gamma71</v>
      </c>
      <c r="V64" s="40">
        <f>WorkLocationCoefficients!E72</f>
        <v>0.71619685052500004</v>
      </c>
      <c r="W64" s="162">
        <f>_xlfn.IFNA(VLOOKUP(T64,$M$13:$Q$39,5,FALSE),_xlfn.IFNA(VLOOKUP(T64,calibration_flow!$AD$3:$AH$25,5,FALSE),V64))</f>
        <v>0.71619685052500004</v>
      </c>
      <c r="X64" s="95">
        <f si="0" t="shared"/>
        <v>0</v>
      </c>
    </row>
    <row r="65" spans="1:24" x14ac:dyDescent="0.25">
      <c r="A65">
        <f>TLFD!A39+0.5</f>
        <v>28.5</v>
      </c>
      <c r="B65" s="81">
        <f si="18" t="shared"/>
        <v>3.3843902633457743</v>
      </c>
      <c r="C65" s="78">
        <f>TLFD!C39/SUM(TLFD!$C$11:$C$100)</f>
        <v>1.4674228013695121E-3</v>
      </c>
      <c r="D65" s="78">
        <f>TLFD!I39/SUM(TLFD!$I$11:$I$100)</f>
        <v>5.0558247314093111E-3</v>
      </c>
      <c r="E65" s="78">
        <f>TLFD!D39/SUM(TLFD!$D$11:$D$101)</f>
        <v>7.2125733987390209E-3</v>
      </c>
      <c r="F65" s="78">
        <f>TLFD!J39/SUM(TLFD!$J$11:$J$100)</f>
        <v>3.7334975559062391E-3</v>
      </c>
      <c r="G65" s="141">
        <f si="17" t="shared"/>
        <v>-1.2370333249827365</v>
      </c>
      <c r="H65" s="141">
        <f si="19" t="shared"/>
        <v>0.65848033152937568</v>
      </c>
      <c r="T65">
        <f>WorkLocationCoefficients!B73</f>
        <v>72</v>
      </c>
      <c r="U65" t="str">
        <f>WorkLocationCoefficients!C73</f>
        <v>Gamma72</v>
      </c>
      <c r="V65" s="40">
        <f>WorkLocationCoefficients!E73</f>
        <v>-0.101060642888</v>
      </c>
      <c r="W65" s="162">
        <f>_xlfn.IFNA(VLOOKUP(T65,$M$13:$Q$39,5,FALSE),_xlfn.IFNA(VLOOKUP(T65,calibration_flow!$AD$3:$AH$25,5,FALSE),V65))</f>
        <v>-0.101060642888</v>
      </c>
      <c r="X65" s="95">
        <f si="0" t="shared"/>
        <v>0</v>
      </c>
    </row>
    <row r="66" spans="1:24" x14ac:dyDescent="0.25">
      <c r="A66">
        <f>TLFD!A40+0.5</f>
        <v>29.5</v>
      </c>
      <c r="B66" s="81">
        <f si="18" t="shared"/>
        <v>3.417726683613366</v>
      </c>
      <c r="C66" s="78">
        <f>TLFD!C40/SUM(TLFD!$C$11:$C$100)</f>
        <v>2.8002911584190356E-3</v>
      </c>
      <c r="D66" s="78">
        <f>TLFD!I40/SUM(TLFD!$I$11:$I$100)</f>
        <v>4.0777633994402481E-3</v>
      </c>
      <c r="E66" s="78">
        <f>TLFD!D40/SUM(TLFD!$D$11:$D$101)</f>
        <v>0</v>
      </c>
      <c r="F66" s="78">
        <f>TLFD!J40/SUM(TLFD!$J$11:$J$100)</f>
        <v>2.7327662522612681E-3</v>
      </c>
      <c r="G66" s="141">
        <f si="17" t="shared"/>
        <v>-0.37582525477052842</v>
      </c>
      <c r="H66" s="141">
        <f si="19" t="shared"/>
        <v>0</v>
      </c>
      <c r="T66">
        <f>WorkLocationCoefficients!B74</f>
        <v>73</v>
      </c>
      <c r="U66" t="str">
        <f>WorkLocationCoefficients!C74</f>
        <v>Gamma73</v>
      </c>
      <c r="V66" s="40">
        <f>WorkLocationCoefficients!E74</f>
        <v>-0.34132571646100002</v>
      </c>
      <c r="W66" s="162">
        <f>_xlfn.IFNA(VLOOKUP(T66,$M$13:$Q$39,5,FALSE),_xlfn.IFNA(VLOOKUP(T66,calibration_flow!$AD$3:$AH$25,5,FALSE),V66))</f>
        <v>-0.34132571646100002</v>
      </c>
      <c r="X66" s="95">
        <f si="0" t="shared"/>
        <v>0</v>
      </c>
    </row>
    <row r="67" spans="1:24" x14ac:dyDescent="0.25">
      <c r="A67">
        <f>TLFD!A41+0.5</f>
        <v>30.5</v>
      </c>
      <c r="B67" s="81">
        <f si="18" t="shared"/>
        <v>3.4499875458315872</v>
      </c>
      <c r="C67" s="78">
        <f>TLFD!C41/SUM(TLFD!$C$11:$C$100)</f>
        <v>5.8575186839036333E-3</v>
      </c>
      <c r="D67" s="78">
        <f>TLFD!I41/SUM(TLFD!$I$11:$I$100)</f>
        <v>4.0175750097806136E-3</v>
      </c>
      <c r="E67" s="78">
        <f>TLFD!D41/SUM(TLFD!$D$11:$D$101)</f>
        <v>1.2475844842162543E-3</v>
      </c>
      <c r="F67" s="78">
        <f>TLFD!J41/SUM(TLFD!$J$11:$J$100)</f>
        <v>3.2331319040837534E-3</v>
      </c>
      <c r="G67" s="141">
        <f si="17" t="shared"/>
        <v>0.37704759191918669</v>
      </c>
      <c r="H67" s="141">
        <f si="19" t="shared"/>
        <v>-0.95224202802549829</v>
      </c>
      <c r="T67">
        <f>WorkLocationCoefficients!B75</f>
        <v>74</v>
      </c>
      <c r="U67" t="str">
        <f>WorkLocationCoefficients!C75</f>
        <v>Gamma74</v>
      </c>
      <c r="V67" s="40">
        <f>WorkLocationCoefficients!E75</f>
        <v>1.0486549950899999</v>
      </c>
      <c r="W67" s="162">
        <f>_xlfn.IFNA(VLOOKUP(T67,$M$13:$Q$39,5,FALSE),_xlfn.IFNA(VLOOKUP(T67,calibration_flow!$AD$3:$AH$25,5,FALSE),V67))</f>
        <v>1.0486549950899999</v>
      </c>
      <c r="X67" s="95">
        <f si="0" t="shared"/>
        <v>0</v>
      </c>
    </row>
    <row r="68" spans="1:24" x14ac:dyDescent="0.25">
      <c r="A68">
        <f>TLFD!A42+0.5</f>
        <v>31.5</v>
      </c>
      <c r="B68" s="81">
        <f si="18" t="shared"/>
        <v>3.4812400893356918</v>
      </c>
      <c r="C68" s="78">
        <f>TLFD!C42/SUM(TLFD!$C$11:$C$100)</f>
        <v>2.738097655528703E-3</v>
      </c>
      <c r="D68" s="78">
        <f>TLFD!I42/SUM(TLFD!$I$11:$I$100)</f>
        <v>4.0025279123657043E-3</v>
      </c>
      <c r="E68" s="78">
        <f>TLFD!D42/SUM(TLFD!$D$11:$D$101)</f>
        <v>0</v>
      </c>
      <c r="F68" s="78">
        <f>TLFD!J42/SUM(TLFD!$J$11:$J$100)</f>
        <v>2.7712559177860744E-3</v>
      </c>
      <c r="G68" s="141">
        <f si="17" t="shared"/>
        <v>-0.37966274662902361</v>
      </c>
      <c r="H68" s="141">
        <f si="19" t="shared"/>
        <v>0</v>
      </c>
      <c r="J68" s="7"/>
      <c r="K68" s="7"/>
      <c r="T68">
        <f>WorkLocationCoefficients!B76</f>
        <v>75</v>
      </c>
      <c r="U68" t="str">
        <f>WorkLocationCoefficients!C76</f>
        <v>Gamma75</v>
      </c>
      <c r="V68" s="40">
        <f>WorkLocationCoefficients!E76</f>
        <v>-30</v>
      </c>
      <c r="W68" s="162">
        <f>_xlfn.IFNA(VLOOKUP(T68,$M$13:$Q$39,5,FALSE),_xlfn.IFNA(VLOOKUP(T68,calibration_flow!$AD$3:$AH$25,5,FALSE),V68))</f>
        <v>-30</v>
      </c>
      <c r="X68" s="95">
        <f ref="X68:X93" si="20" t="shared">IF(W68=V68,0,1)</f>
        <v>0</v>
      </c>
    </row>
    <row r="69" spans="1:24" x14ac:dyDescent="0.25">
      <c r="A69">
        <f>TLFD!A43+0.5</f>
        <v>32.5</v>
      </c>
      <c r="B69" s="81">
        <f si="18" t="shared"/>
        <v>3.5115454388310208</v>
      </c>
      <c r="C69" s="78">
        <f>TLFD!C43/SUM(TLFD!$C$11:$C$100)</f>
        <v>2.9134744317942194E-3</v>
      </c>
      <c r="D69" s="78">
        <f>TLFD!I43/SUM(TLFD!$I$11:$I$100)</f>
        <v>3.0696078726413674E-3</v>
      </c>
      <c r="E69" s="78">
        <f>TLFD!D43/SUM(TLFD!$D$11:$D$101)</f>
        <v>0</v>
      </c>
      <c r="F69" s="78">
        <f>TLFD!J43/SUM(TLFD!$J$11:$J$100)</f>
        <v>1.8475039451907164E-3</v>
      </c>
      <c r="G69" s="141">
        <f si="17" t="shared"/>
        <v>-5.2203492867252968E-2</v>
      </c>
      <c r="H69" s="141">
        <f si="19" t="shared"/>
        <v>0</v>
      </c>
      <c r="J69" s="7"/>
      <c r="K69" s="7"/>
      <c r="T69">
        <f>WorkLocationCoefficients!B77</f>
        <v>76</v>
      </c>
      <c r="U69" t="str">
        <f>WorkLocationCoefficients!C77</f>
        <v>Gamma76</v>
      </c>
      <c r="V69" s="40">
        <f>WorkLocationCoefficients!E77</f>
        <v>0.91468797064200003</v>
      </c>
      <c r="W69" s="162">
        <f>_xlfn.IFNA(VLOOKUP(T69,$M$13:$Q$39,5,FALSE),_xlfn.IFNA(VLOOKUP(T69,calibration_flow!$AD$3:$AH$25,5,FALSE),V69))</f>
        <v>0.91468797064200003</v>
      </c>
      <c r="X69" s="95">
        <f si="20" t="shared"/>
        <v>0</v>
      </c>
    </row>
    <row r="70" spans="1:24" x14ac:dyDescent="0.25">
      <c r="A70">
        <f>TLFD!A44+0.5</f>
        <v>33.5</v>
      </c>
      <c r="B70" s="81">
        <f si="18" t="shared"/>
        <v>3.5409593240373143</v>
      </c>
      <c r="C70" s="78">
        <f>TLFD!C44/SUM(TLFD!$C$11:$C$100)</f>
        <v>8.5331252490466005E-4</v>
      </c>
      <c r="D70" s="78">
        <f>TLFD!I44/SUM(TLFD!$I$11:$I$100)</f>
        <v>3.0696078726413674E-3</v>
      </c>
      <c r="E70" s="78">
        <f>TLFD!D44/SUM(TLFD!$D$11:$D$101)</f>
        <v>3.9522802142914398E-2</v>
      </c>
      <c r="F70" s="78">
        <f>TLFD!J44/SUM(TLFD!$J$11:$J$100)</f>
        <v>2.1939109349139755E-3</v>
      </c>
      <c r="G70" s="141">
        <f si="17" t="shared"/>
        <v>-1.2801792400110827</v>
      </c>
      <c r="H70" s="141">
        <f si="19" t="shared"/>
        <v>2.8911920086062128</v>
      </c>
      <c r="J70" s="90" t="s">
        <v>10</v>
      </c>
      <c r="K70" s="7" t="s">
        <v>301</v>
      </c>
      <c r="T70">
        <f>WorkLocationCoefficients!B78</f>
        <v>77</v>
      </c>
      <c r="U70" t="str">
        <f>WorkLocationCoefficients!C78</f>
        <v>Gamma77</v>
      </c>
      <c r="V70" s="40">
        <f>WorkLocationCoefficients!E78</f>
        <v>-1.1830909132</v>
      </c>
      <c r="W70" s="162">
        <f>_xlfn.IFNA(VLOOKUP(T70,$M$13:$Q$39,5,FALSE),_xlfn.IFNA(VLOOKUP(T70,calibration_flow!$AD$3:$AH$25,5,FALSE),V70))</f>
        <v>-1.1830909132</v>
      </c>
      <c r="X70" s="95">
        <f si="20" t="shared"/>
        <v>0</v>
      </c>
    </row>
    <row r="71" spans="1:24" x14ac:dyDescent="0.25">
      <c r="A71">
        <f>TLFD!A45+0.5</f>
        <v>34.5</v>
      </c>
      <c r="B71" s="81">
        <f si="18" t="shared"/>
        <v>3.5695326964813701</v>
      </c>
      <c r="C71" s="78">
        <f>TLFD!C45/SUM(TLFD!$C$11:$C$100)</f>
        <v>3.9324217615594598E-3</v>
      </c>
      <c r="D71" s="78">
        <f>TLFD!I45/SUM(TLFD!$I$11:$I$100)</f>
        <v>2.422582683800295E-3</v>
      </c>
      <c r="E71" s="78">
        <f>TLFD!D45/SUM(TLFD!$D$11:$D$101)</f>
        <v>1.1688547535954768E-3</v>
      </c>
      <c r="F71" s="78">
        <f>TLFD!J45/SUM(TLFD!$J$11:$J$100)</f>
        <v>1.7320349486162965E-3</v>
      </c>
      <c r="G71" s="141">
        <f si="17" t="shared"/>
        <v>0.48442126460829127</v>
      </c>
      <c r="H71" s="141">
        <f si="19" t="shared"/>
        <v>-0.39327256177245862</v>
      </c>
      <c r="J71" s="84"/>
      <c r="K71" s="84"/>
      <c r="T71">
        <f>WorkLocationCoefficients!B79</f>
        <v>78</v>
      </c>
      <c r="U71" t="str">
        <f>WorkLocationCoefficients!C79</f>
        <v>Gamma78</v>
      </c>
      <c r="V71" s="40">
        <f>WorkLocationCoefficients!E79</f>
        <v>1.4576625009499999</v>
      </c>
      <c r="W71" s="162">
        <f>_xlfn.IFNA(VLOOKUP(T71,$M$13:$Q$39,5,FALSE),_xlfn.IFNA(VLOOKUP(T71,calibration_flow!$AD$3:$AH$25,5,FALSE),V71))</f>
        <v>1.4576625009499999</v>
      </c>
      <c r="X71" s="95">
        <f si="20" t="shared"/>
        <v>0</v>
      </c>
    </row>
    <row r="72" spans="1:24" x14ac:dyDescent="0.25">
      <c r="A72">
        <f>TLFD!A46+0.5</f>
        <v>35.5</v>
      </c>
      <c r="B72" s="81">
        <f si="18" t="shared"/>
        <v>3.597312260588446</v>
      </c>
      <c r="C72" s="78">
        <f>TLFD!C46/SUM(TLFD!$C$11:$C$100)</f>
        <v>2.7345032287633582E-3</v>
      </c>
      <c r="D72" s="78">
        <f>TLFD!I46/SUM(TLFD!$I$11:$I$100)</f>
        <v>2.1517349303319389E-3</v>
      </c>
      <c r="E72" s="78">
        <f>TLFD!D46/SUM(TLFD!$D$11:$D$101)</f>
        <v>0</v>
      </c>
      <c r="F72" s="78">
        <f>TLFD!J46/SUM(TLFD!$J$11:$J$100)</f>
        <v>1.501096955467457E-3</v>
      </c>
      <c r="G72" s="141">
        <f si="17" t="shared"/>
        <v>0.23967532347943379</v>
      </c>
      <c r="H72" s="141">
        <f si="19" t="shared"/>
        <v>0</v>
      </c>
      <c r="J72" s="84"/>
      <c r="K72" s="84"/>
      <c r="T72">
        <f>WorkLocationCoefficients!B80</f>
        <v>79</v>
      </c>
      <c r="U72" t="str">
        <f>WorkLocationCoefficients!C80</f>
        <v>Gamma79</v>
      </c>
      <c r="V72" s="40">
        <f>WorkLocationCoefficients!E80</f>
        <v>-1.62636517084</v>
      </c>
      <c r="W72" s="162">
        <f>_xlfn.IFNA(VLOOKUP(T72,$M$13:$Q$39,5,FALSE),_xlfn.IFNA(VLOOKUP(T72,calibration_flow!$AD$3:$AH$25,5,FALSE),V72))</f>
        <v>-1.62636517084</v>
      </c>
      <c r="X72" s="95">
        <f si="20" t="shared"/>
        <v>0</v>
      </c>
    </row>
    <row r="73" spans="1:24" x14ac:dyDescent="0.25">
      <c r="A73">
        <f>TLFD!A47+0.5</f>
        <v>36.5</v>
      </c>
      <c r="B73" s="81">
        <f si="18" t="shared"/>
        <v>3.6243409329763652</v>
      </c>
      <c r="C73" s="78">
        <f>TLFD!C47/SUM(TLFD!$C$11:$C$100)</f>
        <v>5.6191852866449357E-3</v>
      </c>
      <c r="D73" s="78">
        <f>TLFD!I47/SUM(TLFD!$I$11:$I$100)</f>
        <v>1.700322007884679E-3</v>
      </c>
      <c r="E73" s="78">
        <f>TLFD!D47/SUM(TLFD!$D$11:$D$101)</f>
        <v>0</v>
      </c>
      <c r="F73" s="78">
        <f>TLFD!J47/SUM(TLFD!$J$11:$J$100)</f>
        <v>1.0392209691697778E-3</v>
      </c>
      <c r="G73" s="141">
        <f si="17" t="shared"/>
        <v>1.1953690370798407</v>
      </c>
      <c r="H73" s="141">
        <f si="19" t="shared"/>
        <v>0</v>
      </c>
      <c r="J73" t="s">
        <v>276</v>
      </c>
      <c r="T73">
        <f>WorkLocationCoefficients!B81</f>
        <v>80</v>
      </c>
      <c r="U73" t="str">
        <f>WorkLocationCoefficients!C81</f>
        <v>Gamma80</v>
      </c>
      <c r="V73" s="40">
        <f>WorkLocationCoefficients!E81</f>
        <v>0</v>
      </c>
      <c r="W73" s="162">
        <f>_xlfn.IFNA(VLOOKUP(T73,$M$13:$Q$39,5,FALSE),_xlfn.IFNA(VLOOKUP(T73,calibration_flow!$AD$3:$AH$25,5,FALSE),V73))</f>
        <v>0</v>
      </c>
      <c r="X73" s="95">
        <f si="20" t="shared"/>
        <v>0</v>
      </c>
    </row>
    <row ht="15.75" r="74" spans="1:24" thickBot="1" x14ac:dyDescent="0.3">
      <c r="A74">
        <f>TLFD!A48+0.5</f>
        <v>37.5</v>
      </c>
      <c r="B74" s="81">
        <f si="18" t="shared"/>
        <v>3.6506582412937387</v>
      </c>
      <c r="C74" s="78">
        <f>TLFD!C48/SUM(TLFD!$C$11:$C$100)</f>
        <v>2.4276007665588696E-3</v>
      </c>
      <c r="D74" s="78">
        <f>TLFD!I48/SUM(TLFD!$I$11:$I$100)</f>
        <v>1.4595684492461404E-3</v>
      </c>
      <c r="E74" s="78">
        <f>TLFD!D48/SUM(TLFD!$D$11:$D$101)</f>
        <v>0</v>
      </c>
      <c r="F74" s="78">
        <f>TLFD!J48/SUM(TLFD!$J$11:$J$100)</f>
        <v>1.3086486278434241E-3</v>
      </c>
      <c r="G74" s="141">
        <f si="17" t="shared"/>
        <v>0.50876262142876472</v>
      </c>
      <c r="H74" s="141">
        <f si="19" t="shared"/>
        <v>0</v>
      </c>
      <c r="T74" s="72">
        <f>WorkLocationCoefficients!B82</f>
        <v>101</v>
      </c>
      <c r="U74" s="72" t="str">
        <f>WorkLocationCoefficients!C82</f>
        <v>DestD_1</v>
      </c>
      <c r="V74" s="73">
        <f>WorkLocationCoefficients!E82</f>
        <v>0</v>
      </c>
      <c r="W74" s="162">
        <f>_xlfn.IFNA(VLOOKUP(T74,$M$13:$Q$39,5,FALSE),_xlfn.IFNA(VLOOKUP(T74,calibration_flow!$AD$3:$AH$25,5,FALSE),V74))</f>
        <v>0</v>
      </c>
      <c r="X74" s="95">
        <f si="20" t="shared"/>
        <v>0</v>
      </c>
    </row>
    <row r="75" spans="1:24" x14ac:dyDescent="0.25">
      <c r="A75">
        <f>TLFD!A49+0.5</f>
        <v>38.5</v>
      </c>
      <c r="B75" s="81">
        <f si="18" t="shared"/>
        <v>3.6763006719070761</v>
      </c>
      <c r="C75" s="78">
        <f>TLFD!C49/SUM(TLFD!$C$11:$C$100)</f>
        <v>0</v>
      </c>
      <c r="D75" s="78">
        <f>TLFD!I49/SUM(TLFD!$I$11:$I$100)</f>
        <v>1.5197568389057751E-3</v>
      </c>
      <c r="E75" s="78">
        <f>TLFD!D49/SUM(TLFD!$D$11:$D$101)</f>
        <v>1.8475500106764574E-3</v>
      </c>
      <c r="F75" s="78">
        <f>TLFD!J49/SUM(TLFD!$J$11:$J$100)</f>
        <v>1.3471382933682306E-3</v>
      </c>
      <c r="G75" s="141">
        <f si="17" t="shared"/>
        <v>0</v>
      </c>
      <c r="H75" s="141">
        <f si="19" t="shared"/>
        <v>0.31587788301148761</v>
      </c>
      <c r="J75" s="86" t="s">
        <v>277</v>
      </c>
      <c r="K75" s="86"/>
      <c r="T75" s="72">
        <f>WorkLocationCoefficients!B83</f>
        <v>102</v>
      </c>
      <c r="U75" s="72" t="str">
        <f>WorkLocationCoefficients!C83</f>
        <v>DestD_2</v>
      </c>
      <c r="V75" s="73">
        <f>WorkLocationCoefficients!E83</f>
        <v>6.1585552388600001E-2</v>
      </c>
      <c r="W75" s="162">
        <f>_xlfn.IFNA(VLOOKUP(T75,$M$13:$Q$39,5,FALSE),_xlfn.IFNA(VLOOKUP(T75,calibration_flow!$AD$3:$AH$25,5,FALSE),V75))</f>
        <v>4.9996356643712186E-2</v>
      </c>
      <c r="X75" s="95">
        <f si="20" t="shared"/>
        <v>1</v>
      </c>
    </row>
    <row r="76" spans="1:24" x14ac:dyDescent="0.25">
      <c r="A76">
        <f>TLFD!A50+0.5</f>
        <v>39.5</v>
      </c>
      <c r="B76" s="81">
        <f si="18" t="shared"/>
        <v>3.7013019741124933</v>
      </c>
      <c r="C76" s="78">
        <f>TLFD!C50/SUM(TLFD!$C$11:$C$100)</f>
        <v>0</v>
      </c>
      <c r="D76" s="78">
        <f>TLFD!I50/SUM(TLFD!$I$11:$I$100)</f>
        <v>1.1435794035330586E-3</v>
      </c>
      <c r="E76" s="78">
        <f>TLFD!D50/SUM(TLFD!$D$11:$D$101)</f>
        <v>0</v>
      </c>
      <c r="F76" s="78">
        <f>TLFD!J50/SUM(TLFD!$J$11:$J$100)</f>
        <v>1.3086486278434241E-3</v>
      </c>
      <c r="G76" s="141">
        <f si="17" t="shared"/>
        <v>0</v>
      </c>
      <c r="H76" s="141">
        <f si="19" t="shared"/>
        <v>0</v>
      </c>
      <c r="J76" s="84" t="s">
        <v>278</v>
      </c>
      <c r="K76" s="84">
        <v>0.15401022166034731</v>
      </c>
      <c r="T76" s="72">
        <f>WorkLocationCoefficients!B84</f>
        <v>103</v>
      </c>
      <c r="U76" s="72" t="str">
        <f>WorkLocationCoefficients!C84</f>
        <v>DestD_3</v>
      </c>
      <c r="V76" s="73">
        <f>WorkLocationCoefficients!E84</f>
        <v>-0.17738509358310001</v>
      </c>
      <c r="W76" s="162">
        <f>_xlfn.IFNA(VLOOKUP(T76,$M$13:$Q$39,5,FALSE),_xlfn.IFNA(VLOOKUP(T76,calibration_flow!$AD$3:$AH$25,5,FALSE),V76))</f>
        <v>-0.16774939422732915</v>
      </c>
      <c r="X76" s="95">
        <f si="20" t="shared"/>
        <v>1</v>
      </c>
    </row>
    <row r="77" spans="1:24" x14ac:dyDescent="0.25">
      <c r="A77">
        <f>TLFD!A51+0.5</f>
        <v>40.5</v>
      </c>
      <c r="B77" s="81">
        <f si="18" t="shared"/>
        <v>3.7256934272366524</v>
      </c>
      <c r="C77" s="78">
        <f>TLFD!C51/SUM(TLFD!$C$11:$C$100)</f>
        <v>0</v>
      </c>
      <c r="D77" s="78">
        <f>TLFD!I51/SUM(TLFD!$I$11:$I$100)</f>
        <v>9.9310842938397188E-4</v>
      </c>
      <c r="E77" s="78">
        <f>TLFD!D51/SUM(TLFD!$D$11:$D$101)</f>
        <v>0</v>
      </c>
      <c r="F77" s="78">
        <f>TLFD!J51/SUM(TLFD!$J$11:$J$100)</f>
        <v>8.0828297602093834E-4</v>
      </c>
      <c r="G77" s="141">
        <f si="17" t="shared"/>
        <v>0</v>
      </c>
      <c r="H77" s="141">
        <f si="19" t="shared"/>
        <v>0</v>
      </c>
      <c r="J77" s="84" t="s">
        <v>279</v>
      </c>
      <c r="K77" s="84">
        <v>2.371914837586931E-2</v>
      </c>
      <c r="T77" s="72">
        <f>WorkLocationCoefficients!B85</f>
        <v>104</v>
      </c>
      <c r="U77" s="72" t="str">
        <f>WorkLocationCoefficients!C85</f>
        <v>DestD_4</v>
      </c>
      <c r="V77" s="73">
        <f>WorkLocationCoefficients!E85</f>
        <v>0.2419007637824</v>
      </c>
      <c r="W77" s="162">
        <f>_xlfn.IFNA(VLOOKUP(T77,$M$13:$Q$39,5,FALSE),_xlfn.IFNA(VLOOKUP(T77,calibration_flow!$AD$3:$AH$25,5,FALSE),V77))</f>
        <v>0.25151630301124045</v>
      </c>
      <c r="X77" s="95">
        <f si="20" t="shared"/>
        <v>1</v>
      </c>
    </row>
    <row r="78" spans="1:24" x14ac:dyDescent="0.25">
      <c r="A78">
        <f>TLFD!A52+0.5</f>
        <v>41.5</v>
      </c>
      <c r="B78" s="81">
        <f si="18" t="shared"/>
        <v>3.7495040759303713</v>
      </c>
      <c r="C78" s="78">
        <f>TLFD!C52/SUM(TLFD!$C$11:$C$100)</f>
        <v>0</v>
      </c>
      <c r="D78" s="78">
        <f>TLFD!I52/SUM(TLFD!$I$11:$I$100)</f>
        <v>6.3197809142616389E-4</v>
      </c>
      <c r="E78" s="78">
        <f>TLFD!D52/SUM(TLFD!$D$11:$D$101)</f>
        <v>0</v>
      </c>
      <c r="F78" s="78">
        <f>TLFD!J52/SUM(TLFD!$J$11:$J$100)</f>
        <v>8.0828297602093834E-4</v>
      </c>
      <c r="G78" s="141">
        <f si="17" t="shared"/>
        <v>0</v>
      </c>
      <c r="H78" s="141">
        <f si="19" t="shared"/>
        <v>0</v>
      </c>
      <c r="J78" s="84" t="s">
        <v>280</v>
      </c>
      <c r="K78" s="84">
        <v>1.2483193319689537E-2</v>
      </c>
      <c r="T78" s="72">
        <f>WorkLocationCoefficients!B86</f>
        <v>105</v>
      </c>
      <c r="U78" s="72" t="str">
        <f>WorkLocationCoefficients!C86</f>
        <v>DestD_5</v>
      </c>
      <c r="V78" s="73">
        <f>WorkLocationCoefficients!E86</f>
        <v>-3.3705109193499998E-2</v>
      </c>
      <c r="W78" s="162">
        <f>_xlfn.IFNA(VLOOKUP(T78,$M$13:$Q$39,5,FALSE),_xlfn.IFNA(VLOOKUP(T78,calibration_flow!$AD$3:$AH$25,5,FALSE),V78))</f>
        <v>-4.6096481310030787E-2</v>
      </c>
      <c r="X78" s="95">
        <f si="20" t="shared"/>
        <v>1</v>
      </c>
    </row>
    <row r="79" spans="1:24" x14ac:dyDescent="0.25">
      <c r="A79">
        <f>TLFD!A53+0.5</f>
        <v>42.5</v>
      </c>
      <c r="B79" s="81">
        <f si="18" t="shared"/>
        <v>3.7727609380946383</v>
      </c>
      <c r="C79" s="78">
        <f>TLFD!C53/SUM(TLFD!$C$11:$C$100)</f>
        <v>4.9513372072537438E-4</v>
      </c>
      <c r="D79" s="78">
        <f>TLFD!I53/SUM(TLFD!$I$11:$I$100)</f>
        <v>7.6740196816034185E-4</v>
      </c>
      <c r="E79" s="78">
        <f>TLFD!D53/SUM(TLFD!$D$11:$D$101)</f>
        <v>0</v>
      </c>
      <c r="F79" s="78">
        <f>TLFD!J53/SUM(TLFD!$J$11:$J$100)</f>
        <v>7.3130364497132525E-4</v>
      </c>
      <c r="G79" s="141">
        <f si="17" t="shared"/>
        <v>-0.43818287355580621</v>
      </c>
      <c r="H79" s="141">
        <f si="19" t="shared"/>
        <v>0</v>
      </c>
      <c r="J79" s="84" t="s">
        <v>281</v>
      </c>
      <c r="K79" s="84">
        <v>0.76424537909254264</v>
      </c>
      <c r="T79" s="72">
        <f>WorkLocationCoefficients!B87</f>
        <v>106</v>
      </c>
      <c r="U79" s="72" t="str">
        <f>WorkLocationCoefficients!C87</f>
        <v>DestD_6</v>
      </c>
      <c r="V79" s="73">
        <f>WorkLocationCoefficients!E87</f>
        <v>0.1143372177009</v>
      </c>
      <c r="W79" s="162">
        <f>_xlfn.IFNA(VLOOKUP(T79,$M$13:$Q$39,5,FALSE),_xlfn.IFNA(VLOOKUP(T79,calibration_flow!$AD$3:$AH$25,5,FALSE),V79))</f>
        <v>0.11779986685101984</v>
      </c>
      <c r="X79" s="95">
        <f si="20" t="shared"/>
        <v>1</v>
      </c>
    </row>
    <row ht="15.75" r="80" spans="1:24" thickBot="1" x14ac:dyDescent="0.3">
      <c r="A80">
        <f>TLFD!A54+0.5</f>
        <v>43.5</v>
      </c>
      <c r="B80" s="81">
        <f si="18" t="shared"/>
        <v>3.7954891891721947</v>
      </c>
      <c r="C80" s="78">
        <f>TLFD!C54/SUM(TLFD!$C$11:$C$100)</f>
        <v>1.3486793264157822E-3</v>
      </c>
      <c r="D80" s="78">
        <f>TLFD!I54/SUM(TLFD!$I$11:$I$100)</f>
        <v>6.921664810857985E-4</v>
      </c>
      <c r="E80" s="78">
        <f>TLFD!D54/SUM(TLFD!$D$11:$D$101)</f>
        <v>0</v>
      </c>
      <c r="F80" s="78">
        <f>TLFD!J54/SUM(TLFD!$J$11:$J$100)</f>
        <v>6.5432431392171205E-4</v>
      </c>
      <c r="G80" s="141">
        <f si="17" t="shared"/>
        <v>0.66705460959164553</v>
      </c>
      <c r="H80" s="141">
        <f si="19" t="shared"/>
        <v>0</v>
      </c>
      <c r="J80" s="88" t="s">
        <v>282</v>
      </c>
      <c r="K80" s="88">
        <v>90</v>
      </c>
      <c r="T80" s="72">
        <f>WorkLocationCoefficients!B88</f>
        <v>107</v>
      </c>
      <c r="U80" s="72" t="str">
        <f>WorkLocationCoefficients!C88</f>
        <v>DestD_7</v>
      </c>
      <c r="V80" s="73">
        <f>WorkLocationCoefficients!E88</f>
        <v>0.29549776405130002</v>
      </c>
      <c r="W80" s="162">
        <f>_xlfn.IFNA(VLOOKUP(T80,$M$13:$Q$39,5,FALSE),_xlfn.IFNA(VLOOKUP(T80,calibration_flow!$AD$3:$AH$25,5,FALSE),V80))</f>
        <v>0.29607320646952218</v>
      </c>
      <c r="X80" s="95">
        <f si="20" t="shared"/>
        <v>1</v>
      </c>
    </row>
    <row r="81" spans="1:24" x14ac:dyDescent="0.25">
      <c r="A81">
        <f>TLFD!A55+0.5</f>
        <v>44.5</v>
      </c>
      <c r="B81" s="81">
        <f si="18" t="shared"/>
        <v>3.8177123259569048</v>
      </c>
      <c r="C81" s="78">
        <f>TLFD!C55/SUM(TLFD!$C$11:$C$100)</f>
        <v>0</v>
      </c>
      <c r="D81" s="78">
        <f>TLFD!I55/SUM(TLFD!$I$11:$I$100)</f>
        <v>6.6207228625598125E-4</v>
      </c>
      <c r="E81" s="78">
        <f>TLFD!D55/SUM(TLFD!$D$11:$D$101)</f>
        <v>0</v>
      </c>
      <c r="F81" s="78">
        <f>TLFD!J55/SUM(TLFD!$J$11:$J$100)</f>
        <v>5.0036565182248565E-4</v>
      </c>
      <c r="G81" s="141">
        <f si="17" t="shared"/>
        <v>0</v>
      </c>
      <c r="H81" s="141">
        <f si="19" t="shared"/>
        <v>0</v>
      </c>
      <c r="T81" s="72">
        <f>WorkLocationCoefficients!B89</f>
        <v>108</v>
      </c>
      <c r="U81" s="72" t="str">
        <f>WorkLocationCoefficients!C89</f>
        <v>DestD_8</v>
      </c>
      <c r="V81" s="73">
        <f>WorkLocationCoefficients!E89</f>
        <v>-0.24958234591280001</v>
      </c>
      <c r="W81" s="162">
        <f>_xlfn.IFNA(VLOOKUP(T81,$M$13:$Q$39,5,FALSE),_xlfn.IFNA(VLOOKUP(T81,calibration_flow!$AD$3:$AH$25,5,FALSE),V81))</f>
        <v>-0.24914949037765977</v>
      </c>
      <c r="X81" s="95">
        <f si="20" t="shared"/>
        <v>1</v>
      </c>
    </row>
    <row ht="15.75" r="82" spans="1:24" thickBot="1" x14ac:dyDescent="0.3">
      <c r="A82">
        <f>TLFD!A56+0.5</f>
        <v>45.5</v>
      </c>
      <c r="B82" s="81">
        <f si="18" t="shared"/>
        <v>3.8394523125933104</v>
      </c>
      <c r="C82" s="78">
        <f>TLFD!C56/SUM(TLFD!$C$11:$C$100)</f>
        <v>0</v>
      </c>
      <c r="D82" s="78">
        <f>TLFD!I56/SUM(TLFD!$I$11:$I$100)</f>
        <v>6.3197809142616389E-4</v>
      </c>
      <c r="E82" s="78">
        <f>TLFD!D56/SUM(TLFD!$D$11:$D$101)</f>
        <v>0</v>
      </c>
      <c r="F82" s="78">
        <f>TLFD!J56/SUM(TLFD!$J$11:$J$100)</f>
        <v>4.233863207728725E-4</v>
      </c>
      <c r="G82" s="141">
        <f si="17" t="shared"/>
        <v>0</v>
      </c>
      <c r="H82" s="141">
        <f si="19" t="shared"/>
        <v>0</v>
      </c>
      <c r="J82" t="s">
        <v>283</v>
      </c>
      <c r="T82" s="72">
        <f>WorkLocationCoefficients!B90</f>
        <v>109</v>
      </c>
      <c r="U82" s="72" t="str">
        <f>WorkLocationCoefficients!C90</f>
        <v>DestD_9</v>
      </c>
      <c r="V82" s="73">
        <f>WorkLocationCoefficients!E90</f>
        <v>0.1613318461263</v>
      </c>
      <c r="W82" s="162">
        <f>_xlfn.IFNA(VLOOKUP(T82,$M$13:$Q$39,5,FALSE),_xlfn.IFNA(VLOOKUP(T82,calibration_flow!$AD$3:$AH$25,5,FALSE),V82))</f>
        <v>0.17639901604704733</v>
      </c>
      <c r="X82" s="95">
        <f si="20" t="shared"/>
        <v>1</v>
      </c>
    </row>
    <row r="83" spans="1:24" x14ac:dyDescent="0.25">
      <c r="A83">
        <f>TLFD!A57+0.5</f>
        <v>46.5</v>
      </c>
      <c r="B83" s="81">
        <f si="18" t="shared"/>
        <v>3.8607297110405954</v>
      </c>
      <c r="C83" s="78">
        <f>TLFD!C57/SUM(TLFD!$C$11:$C$100)</f>
        <v>0</v>
      </c>
      <c r="D83" s="78">
        <f>TLFD!I57/SUM(TLFD!$I$11:$I$100)</f>
        <v>5.5674260435162055E-4</v>
      </c>
      <c r="E83" s="78">
        <f>TLFD!D57/SUM(TLFD!$D$11:$D$101)</f>
        <v>0</v>
      </c>
      <c r="F83" s="78">
        <f>TLFD!J57/SUM(TLFD!$J$11:$J$100)</f>
        <v>2.6942765867364615E-4</v>
      </c>
      <c r="G83" s="141">
        <f si="17" t="shared"/>
        <v>0</v>
      </c>
      <c r="H83" s="141">
        <f si="19" t="shared"/>
        <v>0</v>
      </c>
      <c r="J83" s="89"/>
      <c r="K83" s="89" t="s">
        <v>284</v>
      </c>
      <c r="L83" s="89" t="s">
        <v>285</v>
      </c>
      <c r="M83" s="89" t="s">
        <v>286</v>
      </c>
      <c r="N83" s="89" t="s">
        <v>94</v>
      </c>
      <c r="O83" s="89" t="s">
        <v>287</v>
      </c>
      <c r="T83" s="72">
        <f>WorkLocationCoefficients!B91</f>
        <v>110</v>
      </c>
      <c r="U83" s="72" t="str">
        <f>WorkLocationCoefficients!C91</f>
        <v>DestD_10</v>
      </c>
      <c r="V83" s="73">
        <f>WorkLocationCoefficients!E91</f>
        <v>-4.5588844644699998E-2</v>
      </c>
      <c r="W83" s="162">
        <f>_xlfn.IFNA(VLOOKUP(T83,$M$13:$Q$39,5,FALSE),_xlfn.IFNA(VLOOKUP(T83,calibration_flow!$AD$3:$AH$25,5,FALSE),V83))</f>
        <v>-3.3400412253554515E-2</v>
      </c>
      <c r="X83" s="95">
        <f si="20" t="shared"/>
        <v>1</v>
      </c>
    </row>
    <row r="84" spans="1:24" x14ac:dyDescent="0.25">
      <c r="A84">
        <f>TLFD!A58+0.5</f>
        <v>47.5</v>
      </c>
      <c r="B84" s="81">
        <f si="18" t="shared"/>
        <v>3.8815637979434374</v>
      </c>
      <c r="C84" s="78">
        <f>TLFD!C58/SUM(TLFD!$C$11:$C$100)</f>
        <v>0</v>
      </c>
      <c r="D84" s="78">
        <f>TLFD!I58/SUM(TLFD!$I$11:$I$100)</f>
        <v>3.6113033795780793E-4</v>
      </c>
      <c r="E84" s="78">
        <f>TLFD!D58/SUM(TLFD!$D$11:$D$101)</f>
        <v>0</v>
      </c>
      <c r="F84" s="78">
        <f>TLFD!J58/SUM(TLFD!$J$11:$J$100)</f>
        <v>2.6942765867364615E-4</v>
      </c>
      <c r="G84" s="141">
        <f si="17" t="shared"/>
        <v>0</v>
      </c>
      <c r="H84" s="141">
        <f si="19" t="shared"/>
        <v>0</v>
      </c>
      <c r="J84" s="84" t="s">
        <v>288</v>
      </c>
      <c r="K84" s="84">
        <v>1</v>
      </c>
      <c r="L84" s="84">
        <v>1.2629320078343724</v>
      </c>
      <c r="M84" s="84">
        <v>1.2629320078343724</v>
      </c>
      <c r="N84" s="84">
        <v>2.1622919285372895</v>
      </c>
      <c r="O84" s="84">
        <v>0.14500021604772662</v>
      </c>
      <c r="T84" s="72">
        <f>WorkLocationCoefficients!B92</f>
        <v>111</v>
      </c>
      <c r="U84" s="72" t="str">
        <f>WorkLocationCoefficients!C92</f>
        <v>DestD_11</v>
      </c>
      <c r="V84" s="73">
        <f>WorkLocationCoefficients!E92</f>
        <v>-0.14910096747439999</v>
      </c>
      <c r="W84" s="162">
        <f>_xlfn.IFNA(VLOOKUP(T84,$M$13:$Q$39,5,FALSE),_xlfn.IFNA(VLOOKUP(T84,calibration_flow!$AD$3:$AH$25,5,FALSE),V84))</f>
        <v>-0.16396809940895643</v>
      </c>
      <c r="X84" s="95">
        <f si="20" t="shared"/>
        <v>1</v>
      </c>
    </row>
    <row r="85" spans="1:24" x14ac:dyDescent="0.25">
      <c r="A85">
        <f>TLFD!A59+0.5</f>
        <v>48.5</v>
      </c>
      <c r="B85" s="81">
        <f si="18" t="shared"/>
        <v>3.9019726695746448</v>
      </c>
      <c r="C85" s="78">
        <f>TLFD!C59/SUM(TLFD!$C$11:$C$100)</f>
        <v>0</v>
      </c>
      <c r="D85" s="78">
        <f>TLFD!I59/SUM(TLFD!$I$11:$I$100)</f>
        <v>2.8589485088326464E-4</v>
      </c>
      <c r="E85" s="78">
        <f>TLFD!D59/SUM(TLFD!$D$11:$D$101)</f>
        <v>0</v>
      </c>
      <c r="F85" s="78">
        <f>TLFD!J59/SUM(TLFD!$J$11:$J$100)</f>
        <v>2.6942765867364615E-4</v>
      </c>
      <c r="G85" s="141">
        <f si="17" t="shared"/>
        <v>0</v>
      </c>
      <c r="H85" s="141">
        <f si="19" t="shared"/>
        <v>0</v>
      </c>
      <c r="J85" s="84" t="s">
        <v>289</v>
      </c>
      <c r="K85" s="84">
        <v>89</v>
      </c>
      <c r="L85" s="84">
        <v>51.982318952323077</v>
      </c>
      <c r="M85" s="84">
        <v>0.58407099946430419</v>
      </c>
      <c r="N85" s="84"/>
      <c r="O85" s="84"/>
      <c r="T85" s="72">
        <f>WorkLocationCoefficients!B93</f>
        <v>112</v>
      </c>
      <c r="U85" s="72" t="str">
        <f>WorkLocationCoefficients!C93</f>
        <v>DestD_12</v>
      </c>
      <c r="V85" s="73">
        <f>WorkLocationCoefficients!E93</f>
        <v>0.17468608903999999</v>
      </c>
      <c r="W85" s="162">
        <f>_xlfn.IFNA(VLOOKUP(T85,$M$13:$Q$39,5,FALSE),_xlfn.IFNA(VLOOKUP(T85,calibration_flow!$AD$3:$AH$25,5,FALSE),V85))</f>
        <v>0.18167513630069296</v>
      </c>
      <c r="X85" s="95">
        <f si="20" t="shared"/>
        <v>1</v>
      </c>
    </row>
    <row ht="15.75" r="86" spans="1:24" thickBot="1" x14ac:dyDescent="0.3">
      <c r="A86">
        <f>TLFD!A60+0.5</f>
        <v>49.5</v>
      </c>
      <c r="B86" s="81">
        <f si="18" t="shared"/>
        <v>3.9219733362813143</v>
      </c>
      <c r="C86" s="78">
        <f>TLFD!C60/SUM(TLFD!$C$11:$C$100)</f>
        <v>0</v>
      </c>
      <c r="D86" s="78">
        <f>TLFD!I60/SUM(TLFD!$I$11:$I$100)</f>
        <v>2.106593638087213E-4</v>
      </c>
      <c r="E86" s="78">
        <f>TLFD!D60/SUM(TLFD!$D$11:$D$101)</f>
        <v>0</v>
      </c>
      <c r="F86" s="78">
        <f>TLFD!J60/SUM(TLFD!$J$11:$J$100)</f>
        <v>3.464069897232593E-4</v>
      </c>
      <c r="G86" s="141">
        <f si="17" t="shared"/>
        <v>0</v>
      </c>
      <c r="H86" s="141">
        <f si="19" t="shared"/>
        <v>0</v>
      </c>
      <c r="J86" s="88" t="s">
        <v>3</v>
      </c>
      <c r="K86" s="88">
        <v>90</v>
      </c>
      <c r="L86" s="88">
        <v>53.245250960157449</v>
      </c>
      <c r="M86" s="88"/>
      <c r="N86" s="88"/>
      <c r="O86" s="88"/>
      <c r="T86" s="72">
        <f>WorkLocationCoefficients!B94</f>
        <v>113</v>
      </c>
      <c r="U86" s="72" t="str">
        <f>WorkLocationCoefficients!C94</f>
        <v>DestD_13</v>
      </c>
      <c r="V86" s="73">
        <f>WorkLocationCoefficients!E94</f>
        <v>1.3048994599762</v>
      </c>
      <c r="W86" s="162">
        <f>_xlfn.IFNA(VLOOKUP(T86,$M$13:$Q$39,5,FALSE),_xlfn.IFNA(VLOOKUP(T86,calibration_flow!$AD$3:$AH$25,5,FALSE),V86))</f>
        <v>1.2880743571836497</v>
      </c>
      <c r="X86" s="95">
        <f si="20" t="shared"/>
        <v>1</v>
      </c>
    </row>
    <row ht="15.75" r="87" spans="1:24" thickBot="1" x14ac:dyDescent="0.3">
      <c r="A87">
        <f>TLFD!A61+0.5</f>
        <v>50.5</v>
      </c>
      <c r="B87" s="81">
        <f si="18" t="shared"/>
        <v>3.9415818076696905</v>
      </c>
      <c r="C87" s="78">
        <f>TLFD!C61/SUM(TLFD!$C$11:$C$100)</f>
        <v>0</v>
      </c>
      <c r="D87" s="78">
        <f>TLFD!I61/SUM(TLFD!$I$11:$I$100)</f>
        <v>2.7084775346835596E-4</v>
      </c>
      <c r="E87" s="78">
        <f>TLFD!D61/SUM(TLFD!$D$11:$D$101)</f>
        <v>0</v>
      </c>
      <c r="F87" s="78">
        <f>TLFD!J61/SUM(TLFD!$J$11:$J$100)</f>
        <v>1.1546899657441977E-4</v>
      </c>
      <c r="G87" s="141">
        <f si="17" t="shared"/>
        <v>0</v>
      </c>
      <c r="H87" s="141">
        <f si="19" t="shared"/>
        <v>0</v>
      </c>
      <c r="T87" s="72">
        <f>WorkLocationCoefficients!B95</f>
        <v>114</v>
      </c>
      <c r="U87" s="72" t="str">
        <f>WorkLocationCoefficients!C95</f>
        <v>DestD_14</v>
      </c>
      <c r="V87" s="73">
        <f>WorkLocationCoefficients!E95</f>
        <v>4.9409553856600001E-2</v>
      </c>
      <c r="W87" s="162">
        <f>_xlfn.IFNA(VLOOKUP(T87,$M$13:$Q$39,5,FALSE),_xlfn.IFNA(VLOOKUP(T87,calibration_flow!$AD$3:$AH$25,5,FALSE),V87))</f>
        <v>1.9900760155903613E-2</v>
      </c>
      <c r="X87" s="95">
        <f si="20" t="shared"/>
        <v>1</v>
      </c>
    </row>
    <row r="88" spans="1:24" x14ac:dyDescent="0.25">
      <c r="A88">
        <f>TLFD!A62+0.5</f>
        <v>51.5</v>
      </c>
      <c r="B88" s="81">
        <f si="18" t="shared"/>
        <v>3.9608131695975781</v>
      </c>
      <c r="C88" s="78">
        <f>TLFD!C62/SUM(TLFD!$C$11:$C$100)</f>
        <v>7.5965505958662321E-4</v>
      </c>
      <c r="D88" s="78">
        <f>TLFD!I62/SUM(TLFD!$I$11:$I$100)</f>
        <v>2.106593638087213E-4</v>
      </c>
      <c r="E88" s="78">
        <f>TLFD!D62/SUM(TLFD!$D$11:$D$101)</f>
        <v>0</v>
      </c>
      <c r="F88" s="78">
        <f>TLFD!J62/SUM(TLFD!$J$11:$J$100)</f>
        <v>2.6942765867364615E-4</v>
      </c>
      <c r="G88" s="141">
        <f si="17" t="shared"/>
        <v>1.2826220218727566</v>
      </c>
      <c r="H88" s="141">
        <f si="19" t="shared"/>
        <v>0</v>
      </c>
      <c r="J88" s="89"/>
      <c r="K88" s="89" t="s">
        <v>290</v>
      </c>
      <c r="L88" s="89" t="s">
        <v>281</v>
      </c>
      <c r="M88" s="89" t="s">
        <v>291</v>
      </c>
      <c r="N88" s="89" t="s">
        <v>292</v>
      </c>
      <c r="O88" s="89" t="s">
        <v>293</v>
      </c>
      <c r="P88" s="89" t="s">
        <v>294</v>
      </c>
      <c r="Q88" s="89" t="s">
        <v>295</v>
      </c>
      <c r="R88" s="89" t="s">
        <v>296</v>
      </c>
      <c r="T88" s="72">
        <f>WorkLocationCoefficients!B96</f>
        <v>115</v>
      </c>
      <c r="U88" s="72" t="str">
        <f>WorkLocationCoefficients!C96</f>
        <v>DestD_15</v>
      </c>
      <c r="V88" s="73">
        <f>WorkLocationCoefficients!E96</f>
        <v>0.21697886195819999</v>
      </c>
      <c r="W88" s="162">
        <f>_xlfn.IFNA(VLOOKUP(T88,$M$13:$Q$39,5,FALSE),_xlfn.IFNA(VLOOKUP(T88,calibration_flow!$AD$3:$AH$25,5,FALSE),V88))</f>
        <v>0.22719046252885555</v>
      </c>
      <c r="X88" s="95">
        <f si="20" t="shared"/>
        <v>1</v>
      </c>
    </row>
    <row r="89" spans="1:24" x14ac:dyDescent="0.25">
      <c r="A89">
        <f>TLFD!A63+0.5</f>
        <v>52.5</v>
      </c>
      <c r="B89" s="81">
        <f si="18" t="shared"/>
        <v>3.9796816539019608</v>
      </c>
      <c r="C89" s="78">
        <f>TLFD!C63/SUM(TLFD!$C$11:$C$100)</f>
        <v>0</v>
      </c>
      <c r="D89" s="78">
        <f>TLFD!I63/SUM(TLFD!$I$11:$I$100)</f>
        <v>2.2570646122362995E-4</v>
      </c>
      <c r="E89" s="78">
        <f>TLFD!D63/SUM(TLFD!$D$11:$D$101)</f>
        <v>0</v>
      </c>
      <c r="F89" s="78">
        <f>TLFD!J63/SUM(TLFD!$J$11:$J$100)</f>
        <v>1.9244832762403295E-4</v>
      </c>
      <c r="G89" s="141">
        <f si="17" t="shared"/>
        <v>0</v>
      </c>
      <c r="H89" s="141">
        <f si="19" t="shared"/>
        <v>0</v>
      </c>
      <c r="J89" s="84" t="s">
        <v>297</v>
      </c>
      <c r="K89" s="84">
        <v>0</v>
      </c>
      <c r="L89" s="84" t="e">
        <v>#N/A</v>
      </c>
      <c r="M89" s="84" t="e">
        <v>#N/A</v>
      </c>
      <c r="N89" s="84" t="e">
        <v>#N/A</v>
      </c>
      <c r="O89" s="84" t="e">
        <v>#N/A</v>
      </c>
      <c r="P89" s="84" t="e">
        <v>#N/A</v>
      </c>
      <c r="Q89" s="84" t="e">
        <v>#N/A</v>
      </c>
      <c r="R89" s="84" t="e">
        <v>#N/A</v>
      </c>
      <c r="T89" s="72">
        <f>WorkLocationCoefficients!B97</f>
        <v>116</v>
      </c>
      <c r="U89" s="72" t="str">
        <f>WorkLocationCoefficients!C97</f>
        <v>DestD_16</v>
      </c>
      <c r="V89" s="73">
        <f>WorkLocationCoefficients!E97</f>
        <v>-0.46096256471820002</v>
      </c>
      <c r="W89" s="162">
        <f>_xlfn.IFNA(VLOOKUP(T89,$M$13:$Q$39,5,FALSE),_xlfn.IFNA(VLOOKUP(T89,calibration_flow!$AD$3:$AH$25,5,FALSE),V89))</f>
        <v>-0.46955869296838926</v>
      </c>
      <c r="X89" s="95">
        <f si="20" t="shared"/>
        <v>1</v>
      </c>
    </row>
    <row ht="15.75" r="90" spans="1:24" thickBot="1" x14ac:dyDescent="0.3">
      <c r="A90">
        <f>TLFD!A64+0.5</f>
        <v>53.5</v>
      </c>
      <c r="B90" s="81">
        <f si="18" t="shared"/>
        <v>3.9982007016691985</v>
      </c>
      <c r="C90" s="78">
        <f>TLFD!C64/SUM(TLFD!$C$11:$C$100)</f>
        <v>0</v>
      </c>
      <c r="D90" s="78">
        <f>TLFD!I64/SUM(TLFD!$I$11:$I$100)</f>
        <v>1.2037677931926932E-4</v>
      </c>
      <c r="E90" s="78">
        <f>TLFD!D64/SUM(TLFD!$D$11:$D$101)</f>
        <v>0</v>
      </c>
      <c r="F90" s="78">
        <f>TLFD!J64/SUM(TLFD!$J$11:$J$100)</f>
        <v>3.8489665524806587E-5</v>
      </c>
      <c r="G90" s="141">
        <f si="17" t="shared"/>
        <v>0</v>
      </c>
      <c r="H90" s="141">
        <f si="19" t="shared"/>
        <v>0</v>
      </c>
      <c r="J90" s="88" t="s">
        <v>298</v>
      </c>
      <c r="K90" s="88">
        <v>3.2297982090088391E-2</v>
      </c>
      <c r="L90" s="88">
        <v>2.1964343437954996E-2</v>
      </c>
      <c r="M90" s="88">
        <v>1.4704733688636729</v>
      </c>
      <c r="N90" s="88">
        <v>0.14496023952276038</v>
      </c>
      <c r="O90" s="88">
        <v>-1.1344700469768834E-2</v>
      </c>
      <c r="P90" s="88">
        <v>7.5940664649945616E-2</v>
      </c>
      <c r="Q90" s="88">
        <v>-1.1344700469768834E-2</v>
      </c>
      <c r="R90" s="88">
        <v>7.5940664649945616E-2</v>
      </c>
      <c r="T90" s="72">
        <f>WorkLocationCoefficients!B98</f>
        <v>117</v>
      </c>
      <c r="U90" s="72" t="str">
        <f>WorkLocationCoefficients!C98</f>
        <v>DestD_17</v>
      </c>
      <c r="V90" s="73">
        <f>WorkLocationCoefficients!E98</f>
        <v>-6.5598826231399995E-2</v>
      </c>
      <c r="W90" s="162">
        <f>_xlfn.IFNA(VLOOKUP(T90,$M$13:$Q$39,5,FALSE),_xlfn.IFNA(VLOOKUP(T90,calibration_flow!$AD$3:$AH$25,5,FALSE),V90))</f>
        <v>-0.12841595034976075</v>
      </c>
      <c r="X90" s="95">
        <f si="20" t="shared"/>
        <v>1</v>
      </c>
    </row>
    <row r="91" spans="1:24" x14ac:dyDescent="0.25">
      <c r="A91">
        <f>TLFD!A65+0.5</f>
        <v>54.5</v>
      </c>
      <c r="B91" s="81">
        <f si="18" t="shared"/>
        <v>4.0163830207523885</v>
      </c>
      <c r="C91" s="78">
        <f>TLFD!C65/SUM(TLFD!$C$11:$C$100)</f>
        <v>0</v>
      </c>
      <c r="D91" s="78">
        <f>TLFD!I65/SUM(TLFD!$I$11:$I$100)</f>
        <v>1.9561226639381265E-4</v>
      </c>
      <c r="E91" s="78">
        <f>TLFD!D65/SUM(TLFD!$D$11:$D$101)</f>
        <v>0</v>
      </c>
      <c r="F91" s="78">
        <f>TLFD!J65/SUM(TLFD!$J$11:$J$100)</f>
        <v>2.3093799314883955E-4</v>
      </c>
      <c r="G91" s="141">
        <f si="17" t="shared"/>
        <v>0</v>
      </c>
      <c r="H91" s="141">
        <f si="19" t="shared"/>
        <v>0</v>
      </c>
      <c r="T91" s="72">
        <f>WorkLocationCoefficients!B99</f>
        <v>118</v>
      </c>
      <c r="U91" s="72" t="str">
        <f>WorkLocationCoefficients!C99</f>
        <v>DestD_18</v>
      </c>
      <c r="V91" s="73">
        <f>WorkLocationCoefficients!E99</f>
        <v>0.30646725571720002</v>
      </c>
      <c r="W91" s="162">
        <f>_xlfn.IFNA(VLOOKUP(T91,$M$13:$Q$39,5,FALSE),_xlfn.IFNA(VLOOKUP(T91,calibration_flow!$AD$3:$AH$25,5,FALSE),V91))</f>
        <v>0.30995747249433764</v>
      </c>
      <c r="X91" s="95">
        <f si="20" t="shared"/>
        <v>1</v>
      </c>
    </row>
    <row r="92" spans="1:24" x14ac:dyDescent="0.25">
      <c r="A92">
        <f>TLFD!A66+0.5</f>
        <v>55.5</v>
      </c>
      <c r="B92" s="81">
        <f si="18" t="shared"/>
        <v>4.0342406381523954</v>
      </c>
      <c r="C92" s="78">
        <f>TLFD!C66/SUM(TLFD!$C$11:$C$100)</f>
        <v>0</v>
      </c>
      <c r="D92" s="78">
        <f>TLFD!I66/SUM(TLFD!$I$11:$I$100)</f>
        <v>1.9561226639381265E-4</v>
      </c>
      <c r="E92" s="78">
        <f>TLFD!D66/SUM(TLFD!$D$11:$D$101)</f>
        <v>0</v>
      </c>
      <c r="F92" s="78">
        <f>TLFD!J66/SUM(TLFD!$J$11:$J$100)</f>
        <v>3.8489665524806587E-5</v>
      </c>
      <c r="G92" s="141">
        <f si="17" t="shared"/>
        <v>0</v>
      </c>
      <c r="H92" s="141">
        <f si="19" t="shared"/>
        <v>0</v>
      </c>
      <c r="T92" s="72">
        <f>WorkLocationCoefficients!B100</f>
        <v>119</v>
      </c>
      <c r="U92" s="72" t="str">
        <f>WorkLocationCoefficients!C100</f>
        <v>DestD_19</v>
      </c>
      <c r="V92" s="73">
        <f>WorkLocationCoefficients!E100</f>
        <v>0.1628137198364</v>
      </c>
      <c r="W92" s="162">
        <f>_xlfn.IFNA(VLOOKUP(T92,$M$13:$Q$39,5,FALSE),_xlfn.IFNA(VLOOKUP(T92,calibration_flow!$AD$3:$AH$25,5,FALSE),V92))</f>
        <v>0.11561067356028476</v>
      </c>
      <c r="X92" s="95">
        <f si="20" t="shared"/>
        <v>1</v>
      </c>
    </row>
    <row r="93" spans="1:24" x14ac:dyDescent="0.25">
      <c r="A93">
        <f>TLFD!A67+0.5</f>
        <v>56.5</v>
      </c>
      <c r="B93" s="81">
        <f si="18" t="shared"/>
        <v>4.0517849478033048</v>
      </c>
      <c r="C93" s="78">
        <f>TLFD!C67/SUM(TLFD!$C$11:$C$100)</f>
        <v>0</v>
      </c>
      <c r="D93" s="78">
        <f>TLFD!I67/SUM(TLFD!$I$11:$I$100)</f>
        <v>1.5047097414908663E-4</v>
      </c>
      <c r="E93" s="78">
        <f>TLFD!D67/SUM(TLFD!$D$11:$D$101)</f>
        <v>0</v>
      </c>
      <c r="F93" s="78">
        <f>TLFD!J67/SUM(TLFD!$J$11:$J$100)</f>
        <v>3.8489665524806587E-5</v>
      </c>
      <c r="G93" s="141">
        <f si="17" t="shared"/>
        <v>0</v>
      </c>
      <c r="H93" s="141">
        <f si="19" t="shared"/>
        <v>0</v>
      </c>
      <c r="T93" s="72">
        <f>WorkLocationCoefficients!B101</f>
        <v>120</v>
      </c>
      <c r="U93" s="72" t="str">
        <f>WorkLocationCoefficients!C101</f>
        <v>DestD_20</v>
      </c>
      <c r="V93" s="73">
        <f>WorkLocationCoefficients!E101</f>
        <v>-0.40270863939919999</v>
      </c>
      <c r="W93" s="162">
        <f>_xlfn.IFNA(VLOOKUP(T93,$M$13:$Q$39,5,FALSE),_xlfn.IFNA(VLOOKUP(T93,calibration_flow!$AD$3:$AH$25,5,FALSE),V93))</f>
        <v>-0.48516438432076764</v>
      </c>
      <c r="X93" s="95">
        <f si="20" t="shared"/>
        <v>1</v>
      </c>
    </row>
    <row r="94" spans="1:24" x14ac:dyDescent="0.25">
      <c r="A94">
        <f>TLFD!A68+0.5</f>
        <v>57.5</v>
      </c>
      <c r="B94" s="81">
        <f si="18" t="shared"/>
        <v>4.0690267542378109</v>
      </c>
      <c r="C94" s="78">
        <f>TLFD!C68/SUM(TLFD!$C$11:$C$100)</f>
        <v>0</v>
      </c>
      <c r="D94" s="78">
        <f>TLFD!I68/SUM(TLFD!$I$11:$I$100)</f>
        <v>1.0532968190436065E-4</v>
      </c>
      <c r="E94" s="78">
        <f>TLFD!D68/SUM(TLFD!$D$11:$D$101)</f>
        <v>0</v>
      </c>
      <c r="F94" s="78">
        <f>TLFD!J68/SUM(TLFD!$J$11:$J$100)</f>
        <v>3.8489665524806587E-5</v>
      </c>
      <c r="G94" s="141">
        <f si="17" t="shared"/>
        <v>0</v>
      </c>
      <c r="H94" s="141">
        <f si="19" t="shared"/>
        <v>0</v>
      </c>
      <c r="J94" s="84"/>
      <c r="K94" s="84"/>
      <c r="T94" s="72">
        <f>WorkLocationCoefficients!B102</f>
        <v>121</v>
      </c>
      <c r="U94" s="72" t="str">
        <f>WorkLocationCoefficients!C102</f>
        <v>O12_D12</v>
      </c>
      <c r="V94" s="73">
        <f>WorkLocationCoefficients!E102</f>
        <v>-0.47819038789149998</v>
      </c>
      <c r="W94" s="162">
        <f>_xlfn.IFNA(VLOOKUP(T94,$M$13:$Q$39,5,FALSE),_xlfn.IFNA(VLOOKUP(T94,calibration_flow!$AD$3:$AH$25,5,FALSE),V94))</f>
        <v>-0.47819038789149998</v>
      </c>
      <c r="X94" s="95">
        <f ref="X94:X95" si="21" t="shared">IF(W94=V94,0,1)</f>
        <v>0</v>
      </c>
    </row>
    <row r="95" spans="1:24" x14ac:dyDescent="0.25">
      <c r="A95">
        <f>TLFD!A69+0.5</f>
        <v>58.5</v>
      </c>
      <c r="B95" s="81">
        <f si="18" t="shared"/>
        <v>4.0859763125515842</v>
      </c>
      <c r="C95" s="78">
        <f>TLFD!C69/SUM(TLFD!$C$11:$C$100)</f>
        <v>0</v>
      </c>
      <c r="D95" s="78">
        <f>TLFD!I69/SUM(TLFD!$I$11:$I$100)</f>
        <v>3.0094194829817329E-5</v>
      </c>
      <c r="E95" s="78">
        <f>TLFD!D69/SUM(TLFD!$D$11:$D$101)</f>
        <v>0</v>
      </c>
      <c r="F95" s="78">
        <f>TLFD!J69/SUM(TLFD!$J$11:$J$100)</f>
        <v>3.8489665524806587E-5</v>
      </c>
      <c r="G95" s="141">
        <f si="17" t="shared"/>
        <v>0</v>
      </c>
      <c r="H95" s="141">
        <f si="19" t="shared"/>
        <v>0</v>
      </c>
      <c r="J95" s="84"/>
      <c r="K95" s="84"/>
      <c r="T95" s="72">
        <f>WorkLocationCoefficients!B103</f>
        <v>122</v>
      </c>
      <c r="U95" s="72" t="str">
        <f>WorkLocationCoefficients!C103</f>
        <v>O13_D13</v>
      </c>
      <c r="V95" s="73">
        <f>WorkLocationCoefficients!E103</f>
        <v>-1.0119832457914</v>
      </c>
      <c r="W95" s="162">
        <f>_xlfn.IFNA(VLOOKUP(T95,$M$13:$Q$39,5,FALSE),_xlfn.IFNA(VLOOKUP(T95,calibration_flow!$AD$3:$AH$25,5,FALSE),V95))</f>
        <v>-1.0119832457914</v>
      </c>
      <c r="X95" s="95">
        <f si="21" t="shared"/>
        <v>0</v>
      </c>
    </row>
    <row r="96" spans="1:24" x14ac:dyDescent="0.25">
      <c r="A96">
        <f>TLFD!A70+0.5</f>
        <v>59.5</v>
      </c>
      <c r="B96" s="81">
        <f si="18" t="shared"/>
        <v>4.1026433650367959</v>
      </c>
      <c r="C96" s="78">
        <f>TLFD!C70/SUM(TLFD!$C$11:$C$100)</f>
        <v>6.2349624825109066E-4</v>
      </c>
      <c r="D96" s="78">
        <f>TLFD!I70/SUM(TLFD!$I$11:$I$100)</f>
        <v>6.0188389659634658E-5</v>
      </c>
      <c r="E96" s="78">
        <f>TLFD!D70/SUM(TLFD!$D$11:$D$101)</f>
        <v>0</v>
      </c>
      <c r="F96" s="78">
        <f>TLFD!J70/SUM(TLFD!$J$11:$J$100)</f>
        <v>0</v>
      </c>
      <c r="G96" s="141">
        <f si="17" t="shared"/>
        <v>2.3378632769447694</v>
      </c>
      <c r="H96" s="141">
        <f si="19" t="shared"/>
        <v>0</v>
      </c>
      <c r="J96" s="84"/>
      <c r="K96" s="84"/>
    </row>
    <row r="97" spans="1:11" x14ac:dyDescent="0.25">
      <c r="A97">
        <f>TLFD!A71+0.5</f>
        <v>60.5</v>
      </c>
      <c r="B97" s="81">
        <f si="18" t="shared"/>
        <v>4.1190371748124726</v>
      </c>
      <c r="C97" s="78">
        <f>TLFD!C71/SUM(TLFD!$C$11:$C$100)</f>
        <v>0</v>
      </c>
      <c r="D97" s="78">
        <f>TLFD!I71/SUM(TLFD!$I$11:$I$100)</f>
        <v>1.5047097414908664E-5</v>
      </c>
      <c r="E97" s="78">
        <f>TLFD!D71/SUM(TLFD!$D$11:$D$101)</f>
        <v>0</v>
      </c>
      <c r="F97" s="78">
        <f>TLFD!J71/SUM(TLFD!$J$11:$J$100)</f>
        <v>1.1546899657441977E-4</v>
      </c>
      <c r="G97" s="141">
        <f si="17" t="shared"/>
        <v>0</v>
      </c>
      <c r="H97" s="141">
        <f si="19" t="shared"/>
        <v>0</v>
      </c>
      <c r="J97" s="84"/>
      <c r="K97" s="84"/>
    </row>
    <row r="98" spans="1:11" x14ac:dyDescent="0.25">
      <c r="A98">
        <f>TLFD!A72+0.5</f>
        <v>61.5</v>
      </c>
      <c r="B98" s="81">
        <f si="18" t="shared"/>
        <v>4.1351665567423561</v>
      </c>
      <c r="C98" s="78">
        <f>TLFD!C72/SUM(TLFD!$C$11:$C$100)</f>
        <v>0</v>
      </c>
      <c r="D98" s="78">
        <f>TLFD!I72/SUM(TLFD!$I$11:$I$100)</f>
        <v>1.5047097414908664E-5</v>
      </c>
      <c r="E98" s="78">
        <f>TLFD!D72/SUM(TLFD!$D$11:$D$101)</f>
        <v>0</v>
      </c>
      <c r="F98" s="78">
        <f>TLFD!J72/SUM(TLFD!$J$11:$J$100)</f>
        <v>0</v>
      </c>
      <c r="G98" s="141">
        <f si="17" t="shared"/>
        <v>0</v>
      </c>
      <c r="H98" s="141">
        <f si="19" t="shared"/>
        <v>0</v>
      </c>
      <c r="J98" s="84"/>
      <c r="K98" s="84"/>
    </row>
    <row r="99" spans="1:11" x14ac:dyDescent="0.25">
      <c r="A99">
        <f>TLFD!A73+0.5</f>
        <v>62.5</v>
      </c>
      <c r="B99" s="81">
        <f si="18" t="shared"/>
        <v>4.1510399058986458</v>
      </c>
      <c r="C99" s="78">
        <f>TLFD!C73/SUM(TLFD!$C$11:$C$100)</f>
        <v>0</v>
      </c>
      <c r="D99" s="78">
        <f>TLFD!I73/SUM(TLFD!$I$11:$I$100)</f>
        <v>4.5141292244725991E-5</v>
      </c>
      <c r="E99" s="78">
        <f>TLFD!D73/SUM(TLFD!$D$11:$D$101)</f>
        <v>0</v>
      </c>
      <c r="F99" s="78">
        <f>TLFD!J73/SUM(TLFD!$J$11:$J$100)</f>
        <v>0</v>
      </c>
      <c r="G99" s="141">
        <f si="17" t="shared"/>
        <v>0</v>
      </c>
      <c r="H99" s="141">
        <f si="19" t="shared"/>
        <v>0</v>
      </c>
      <c r="J99" s="84"/>
      <c r="K99" s="84"/>
    </row>
    <row r="100" spans="1:11" x14ac:dyDescent="0.25">
      <c r="A100">
        <f>TLFD!A74+0.5</f>
        <v>63.5</v>
      </c>
      <c r="B100" s="81">
        <f si="18" t="shared"/>
        <v>4.1666652238017265</v>
      </c>
      <c r="C100" s="78">
        <f>TLFD!C74/SUM(TLFD!$C$11:$C$100)</f>
        <v>0</v>
      </c>
      <c r="D100" s="78">
        <f>TLFD!I74/SUM(TLFD!$I$11:$I$100)</f>
        <v>4.5141292244725991E-5</v>
      </c>
      <c r="E100" s="78">
        <f>TLFD!D74/SUM(TLFD!$D$11:$D$101)</f>
        <v>0</v>
      </c>
      <c r="F100" s="78">
        <f>TLFD!J74/SUM(TLFD!$J$11:$J$100)</f>
        <v>3.8489665524806587E-5</v>
      </c>
      <c r="G100" s="141">
        <f si="17" t="shared"/>
        <v>0</v>
      </c>
      <c r="H100" s="141">
        <f si="19" t="shared"/>
        <v>0</v>
      </c>
      <c r="J100" s="84"/>
      <c r="K100" s="84"/>
    </row>
    <row r="101" spans="1:11" x14ac:dyDescent="0.25">
      <c r="A101">
        <f>TLFD!A75+0.5</f>
        <v>64.5</v>
      </c>
      <c r="B101" s="81">
        <f si="18" t="shared"/>
        <v>4.1820501426412067</v>
      </c>
      <c r="C101" s="78">
        <f>TLFD!C75/SUM(TLFD!$C$11:$C$100)</f>
        <v>0</v>
      </c>
      <c r="D101" s="78">
        <f>TLFD!I75/SUM(TLFD!$I$11:$I$100)</f>
        <v>0</v>
      </c>
      <c r="E101" s="78">
        <f>TLFD!D75/SUM(TLFD!$D$11:$D$101)</f>
        <v>0</v>
      </c>
      <c r="F101" s="78">
        <f>TLFD!J75/SUM(TLFD!$J$11:$J$100)</f>
        <v>3.8489665524806587E-5</v>
      </c>
      <c r="G101" s="141">
        <f ref="G101:G126" si="22" t="shared">IF(AND(C101&gt;0, D101&gt;0),LN(C101/D101),0)</f>
        <v>0</v>
      </c>
      <c r="H101" s="141">
        <f si="19" t="shared"/>
        <v>0</v>
      </c>
      <c r="J101" s="84"/>
      <c r="K101" s="84"/>
    </row>
    <row r="102" spans="1:11" x14ac:dyDescent="0.25">
      <c r="A102">
        <f>TLFD!A76+0.5</f>
        <v>65.5</v>
      </c>
      <c r="B102" s="81">
        <f ref="B102:B126" si="23" t="shared">LN(1+A102)</f>
        <v>4.1972019476618083</v>
      </c>
      <c r="C102" s="78">
        <f>TLFD!C76/SUM(TLFD!$C$11:$C$100)</f>
        <v>0</v>
      </c>
      <c r="D102" s="78">
        <f>TLFD!I76/SUM(TLFD!$I$11:$I$100)</f>
        <v>1.5047097414908664E-5</v>
      </c>
      <c r="E102" s="78">
        <f>TLFD!D76/SUM(TLFD!$D$11:$D$101)</f>
        <v>0</v>
      </c>
      <c r="F102" s="78">
        <f>TLFD!J76/SUM(TLFD!$J$11:$J$100)</f>
        <v>3.8489665524806587E-5</v>
      </c>
      <c r="G102" s="141">
        <f si="22" t="shared"/>
        <v>0</v>
      </c>
      <c r="H102" s="141">
        <f ref="H102:H126" si="24" t="shared">IF(AND(E102&gt;0, F102&gt;0),LN(E102/F102),0)</f>
        <v>0</v>
      </c>
      <c r="J102" s="84"/>
      <c r="K102" s="84"/>
    </row>
    <row r="103" spans="1:11" x14ac:dyDescent="0.25">
      <c r="A103">
        <f>TLFD!A77+0.5</f>
        <v>66.5</v>
      </c>
      <c r="B103" s="81">
        <f si="23" t="shared"/>
        <v>4.2121275978784842</v>
      </c>
      <c r="C103" s="78">
        <f>TLFD!C77/SUM(TLFD!$C$11:$C$100)</f>
        <v>0</v>
      </c>
      <c r="D103" s="78">
        <f>TLFD!I77/SUM(TLFD!$I$11:$I$100)</f>
        <v>1.5047097414908664E-5</v>
      </c>
      <c r="E103" s="78">
        <f>TLFD!D77/SUM(TLFD!$D$11:$D$101)</f>
        <v>0</v>
      </c>
      <c r="F103" s="78">
        <f>TLFD!J77/SUM(TLFD!$J$11:$J$100)</f>
        <v>3.8489665524806587E-5</v>
      </c>
      <c r="G103" s="141">
        <f si="22" t="shared"/>
        <v>0</v>
      </c>
      <c r="H103" s="141">
        <f si="24" t="shared"/>
        <v>0</v>
      </c>
      <c r="J103" s="84"/>
      <c r="K103" s="84"/>
    </row>
    <row r="104" spans="1:11" x14ac:dyDescent="0.25">
      <c r="A104">
        <f>TLFD!A78+0.5</f>
        <v>67.5</v>
      </c>
      <c r="B104" s="81">
        <f si="23" t="shared"/>
        <v>4.2268337452681797</v>
      </c>
      <c r="C104" s="78">
        <f>TLFD!C78/SUM(TLFD!$C$11:$C$100)</f>
        <v>0</v>
      </c>
      <c r="D104" s="78">
        <f>TLFD!I78/SUM(TLFD!$I$11:$I$100)</f>
        <v>0</v>
      </c>
      <c r="E104" s="78">
        <f>TLFD!D78/SUM(TLFD!$D$11:$D$101)</f>
        <v>0</v>
      </c>
      <c r="F104" s="78">
        <f>TLFD!J78/SUM(TLFD!$J$11:$J$100)</f>
        <v>0</v>
      </c>
      <c r="G104" s="141">
        <f si="22" t="shared"/>
        <v>0</v>
      </c>
      <c r="H104" s="141">
        <f si="24" t="shared"/>
        <v>0</v>
      </c>
      <c r="J104" s="84"/>
      <c r="K104" s="84"/>
    </row>
    <row r="105" spans="1:11" x14ac:dyDescent="0.25">
      <c r="A105">
        <f>TLFD!A79+0.5</f>
        <v>68.5</v>
      </c>
      <c r="B105" s="81">
        <f si="23" t="shared"/>
        <v>4.2413267525707461</v>
      </c>
      <c r="C105" s="78">
        <f>TLFD!C79/SUM(TLFD!$C$11:$C$100)</f>
        <v>0</v>
      </c>
      <c r="D105" s="78">
        <f>TLFD!I79/SUM(TLFD!$I$11:$I$100)</f>
        <v>0</v>
      </c>
      <c r="E105" s="78">
        <f>TLFD!D79/SUM(TLFD!$D$11:$D$101)</f>
        <v>0</v>
      </c>
      <c r="F105" s="78">
        <f>TLFD!J79/SUM(TLFD!$J$11:$J$100)</f>
        <v>0</v>
      </c>
      <c r="G105" s="141">
        <f si="22" t="shared"/>
        <v>0</v>
      </c>
      <c r="H105" s="141">
        <f si="24" t="shared"/>
        <v>0</v>
      </c>
      <c r="J105" s="84"/>
      <c r="K105" s="84"/>
    </row>
    <row r="106" spans="1:11" x14ac:dyDescent="0.25">
      <c r="A106">
        <f>TLFD!A80+0.5</f>
        <v>69.5</v>
      </c>
      <c r="B106" s="81">
        <f si="23" t="shared"/>
        <v>4.255612709818223</v>
      </c>
      <c r="C106" s="78">
        <f>TLFD!C80/SUM(TLFD!$C$11:$C$100)</f>
        <v>0</v>
      </c>
      <c r="D106" s="78">
        <f>TLFD!I80/SUM(TLFD!$I$11:$I$100)</f>
        <v>1.5047097414908664E-5</v>
      </c>
      <c r="E106" s="78">
        <f>TLFD!D80/SUM(TLFD!$D$11:$D$101)</f>
        <v>0</v>
      </c>
      <c r="F106" s="78">
        <f>TLFD!J80/SUM(TLFD!$J$11:$J$100)</f>
        <v>0</v>
      </c>
      <c r="G106" s="141">
        <f si="22" t="shared"/>
        <v>0</v>
      </c>
      <c r="H106" s="141">
        <f si="24" t="shared"/>
        <v>0</v>
      </c>
      <c r="J106" s="84"/>
      <c r="K106" s="84"/>
    </row>
    <row r="107" spans="1:11" x14ac:dyDescent="0.25">
      <c r="A107">
        <f>TLFD!A81+0.5</f>
        <v>70.5</v>
      </c>
      <c r="B107" s="81">
        <f si="23" t="shared"/>
        <v>4.2696974496999616</v>
      </c>
      <c r="C107" s="78">
        <f>TLFD!C81/SUM(TLFD!$C$11:$C$100)</f>
        <v>0</v>
      </c>
      <c r="D107" s="78">
        <f>TLFD!I81/SUM(TLFD!$I$11:$I$100)</f>
        <v>0</v>
      </c>
      <c r="E107" s="78">
        <f>TLFD!D81/SUM(TLFD!$D$11:$D$101)</f>
        <v>0</v>
      </c>
      <c r="F107" s="78">
        <f>TLFD!J81/SUM(TLFD!$J$11:$J$100)</f>
        <v>0</v>
      </c>
      <c r="G107" s="141">
        <f si="22" t="shared"/>
        <v>0</v>
      </c>
      <c r="H107" s="141">
        <f si="24" t="shared"/>
        <v>0</v>
      </c>
      <c r="J107" s="84"/>
      <c r="K107" s="84"/>
    </row>
    <row r="108" spans="1:11" x14ac:dyDescent="0.25">
      <c r="A108">
        <f>TLFD!A82+0.5</f>
        <v>71.5</v>
      </c>
      <c r="B108" s="81">
        <f si="23" t="shared"/>
        <v>4.2835865618606288</v>
      </c>
      <c r="C108" s="78">
        <f>TLFD!C82/SUM(TLFD!$C$11:$C$100)</f>
        <v>0</v>
      </c>
      <c r="D108" s="78">
        <f>TLFD!I82/SUM(TLFD!$I$11:$I$100)</f>
        <v>0</v>
      </c>
      <c r="E108" s="78">
        <f>TLFD!D82/SUM(TLFD!$D$11:$D$101)</f>
        <v>0</v>
      </c>
      <c r="F108" s="78">
        <f>TLFD!J82/SUM(TLFD!$J$11:$J$100)</f>
        <v>0</v>
      </c>
      <c r="G108" s="141">
        <f si="22" t="shared"/>
        <v>0</v>
      </c>
      <c r="H108" s="141">
        <f si="24" t="shared"/>
        <v>0</v>
      </c>
      <c r="J108" s="84"/>
      <c r="K108" s="84"/>
    </row>
    <row r="109" spans="1:11" x14ac:dyDescent="0.25">
      <c r="A109">
        <f>TLFD!A83+0.5</f>
        <v>72.5</v>
      </c>
      <c r="B109" s="81">
        <f si="23" t="shared"/>
        <v>4.2972854062187906</v>
      </c>
      <c r="C109" s="78">
        <f>TLFD!C83/SUM(TLFD!$C$11:$C$100)</f>
        <v>0</v>
      </c>
      <c r="D109" s="78">
        <f>TLFD!I83/SUM(TLFD!$I$11:$I$100)</f>
        <v>1.5047097414908664E-5</v>
      </c>
      <c r="E109" s="78">
        <f>TLFD!D83/SUM(TLFD!$D$11:$D$101)</f>
        <v>0</v>
      </c>
      <c r="F109" s="78">
        <f>TLFD!J83/SUM(TLFD!$J$11:$J$100)</f>
        <v>3.8489665524806587E-5</v>
      </c>
      <c r="G109" s="141">
        <f si="22" t="shared"/>
        <v>0</v>
      </c>
      <c r="H109" s="141">
        <f si="24" t="shared"/>
        <v>0</v>
      </c>
      <c r="J109" s="84"/>
      <c r="K109" s="84"/>
    </row>
    <row r="110" spans="1:11" x14ac:dyDescent="0.25">
      <c r="A110">
        <f>TLFD!A84+0.5</f>
        <v>73.5</v>
      </c>
      <c r="B110" s="81">
        <f si="23" t="shared"/>
        <v>4.3107991253855138</v>
      </c>
      <c r="C110" s="78">
        <f>TLFD!C84/SUM(TLFD!$C$11:$C$100)</f>
        <v>0</v>
      </c>
      <c r="D110" s="78">
        <f>TLFD!I84/SUM(TLFD!$I$11:$I$100)</f>
        <v>0</v>
      </c>
      <c r="E110" s="78">
        <f>TLFD!D84/SUM(TLFD!$D$11:$D$101)</f>
        <v>0</v>
      </c>
      <c r="F110" s="78">
        <f>TLFD!J84/SUM(TLFD!$J$11:$J$100)</f>
        <v>0</v>
      </c>
      <c r="G110" s="141">
        <f si="22" t="shared"/>
        <v>0</v>
      </c>
      <c r="H110" s="141">
        <f si="24" t="shared"/>
        <v>0</v>
      </c>
      <c r="J110" s="84"/>
      <c r="K110" s="84"/>
    </row>
    <row r="111" spans="1:11" x14ac:dyDescent="0.25">
      <c r="A111">
        <f>TLFD!A85+0.5</f>
        <v>74.5</v>
      </c>
      <c r="B111" s="81">
        <f si="23" t="shared"/>
        <v>4.3241326562549789</v>
      </c>
      <c r="C111" s="78">
        <f>TLFD!C85/SUM(TLFD!$C$11:$C$100)</f>
        <v>0</v>
      </c>
      <c r="D111" s="78">
        <f>TLFD!I85/SUM(TLFD!$I$11:$I$100)</f>
        <v>0</v>
      </c>
      <c r="E111" s="78">
        <f>TLFD!D85/SUM(TLFD!$D$11:$D$101)</f>
        <v>0</v>
      </c>
      <c r="F111" s="78">
        <f>TLFD!J85/SUM(TLFD!$J$11:$J$100)</f>
        <v>0</v>
      </c>
      <c r="G111" s="141">
        <f si="22" t="shared"/>
        <v>0</v>
      </c>
      <c r="H111" s="141">
        <f si="24" t="shared"/>
        <v>0</v>
      </c>
      <c r="J111" s="84"/>
      <c r="K111" s="84"/>
    </row>
    <row r="112" spans="1:11" x14ac:dyDescent="0.25">
      <c r="A112">
        <f>TLFD!A86+0.5</f>
        <v>75.5</v>
      </c>
      <c r="B112" s="81">
        <f si="23" t="shared"/>
        <v>4.3372907408324899</v>
      </c>
      <c r="C112" s="78">
        <f>TLFD!C86/SUM(TLFD!$C$11:$C$100)</f>
        <v>0</v>
      </c>
      <c r="D112" s="78">
        <f>TLFD!I86/SUM(TLFD!$I$11:$I$100)</f>
        <v>0</v>
      </c>
      <c r="E112" s="78">
        <f>TLFD!D86/SUM(TLFD!$D$11:$D$101)</f>
        <v>0</v>
      </c>
      <c r="F112" s="78">
        <f>TLFD!J86/SUM(TLFD!$J$11:$J$100)</f>
        <v>0</v>
      </c>
      <c r="G112" s="141">
        <f si="22" t="shared"/>
        <v>0</v>
      </c>
      <c r="H112" s="141">
        <f si="24" t="shared"/>
        <v>0</v>
      </c>
      <c r="J112" s="84"/>
      <c r="K112" s="84"/>
    </row>
    <row r="113" spans="1:13" x14ac:dyDescent="0.25">
      <c r="A113">
        <f>TLFD!A87+0.5</f>
        <v>76.5</v>
      </c>
      <c r="B113" s="81">
        <f si="23" t="shared"/>
        <v>4.3502779363593014</v>
      </c>
      <c r="C113" s="78">
        <f>TLFD!C87/SUM(TLFD!$C$11:$C$100)</f>
        <v>0</v>
      </c>
      <c r="D113" s="78">
        <f>TLFD!I87/SUM(TLFD!$I$11:$I$100)</f>
        <v>0</v>
      </c>
      <c r="E113" s="78">
        <f>TLFD!D87/SUM(TLFD!$D$11:$D$101)</f>
        <v>0</v>
      </c>
      <c r="F113" s="78">
        <f>TLFD!J87/SUM(TLFD!$J$11:$J$100)</f>
        <v>0</v>
      </c>
      <c r="G113" s="141">
        <f si="22" t="shared"/>
        <v>0</v>
      </c>
      <c r="H113" s="141">
        <f si="24" t="shared"/>
        <v>0</v>
      </c>
      <c r="J113" s="84"/>
      <c r="K113" s="84"/>
    </row>
    <row r="114" spans="1:13" x14ac:dyDescent="0.25">
      <c r="A114">
        <f>TLFD!A88+0.5</f>
        <v>77.5</v>
      </c>
      <c r="B114" s="81">
        <f si="23" t="shared"/>
        <v>4.3630986247883632</v>
      </c>
      <c r="C114" s="78">
        <f>TLFD!C88/SUM(TLFD!$C$11:$C$100)</f>
        <v>0</v>
      </c>
      <c r="D114" s="78">
        <f>TLFD!I88/SUM(TLFD!$I$11:$I$100)</f>
        <v>0</v>
      </c>
      <c r="E114" s="78">
        <f>TLFD!D88/SUM(TLFD!$D$11:$D$101)</f>
        <v>0</v>
      </c>
      <c r="F114" s="78">
        <f>TLFD!J88/SUM(TLFD!$J$11:$J$100)</f>
        <v>0</v>
      </c>
      <c r="G114" s="141">
        <f si="22" t="shared"/>
        <v>0</v>
      </c>
      <c r="H114" s="141">
        <f si="24" t="shared"/>
        <v>0</v>
      </c>
      <c r="J114" s="84"/>
      <c r="K114" s="84"/>
    </row>
    <row r="115" spans="1:13" x14ac:dyDescent="0.25">
      <c r="A115">
        <f>TLFD!A89+0.5</f>
        <v>78.5</v>
      </c>
      <c r="B115" s="81">
        <f si="23" t="shared"/>
        <v>4.3757570216602861</v>
      </c>
      <c r="C115" s="78">
        <f>TLFD!C89/SUM(TLFD!$C$11:$C$100)</f>
        <v>0</v>
      </c>
      <c r="D115" s="78">
        <f>TLFD!I89/SUM(TLFD!$I$11:$I$100)</f>
        <v>0</v>
      </c>
      <c r="E115" s="78">
        <f>TLFD!D89/SUM(TLFD!$D$11:$D$101)</f>
        <v>0</v>
      </c>
      <c r="F115" s="78">
        <f>TLFD!J89/SUM(TLFD!$J$11:$J$100)</f>
        <v>0</v>
      </c>
      <c r="G115" s="141">
        <f si="22" t="shared"/>
        <v>0</v>
      </c>
      <c r="H115" s="141">
        <f si="24" t="shared"/>
        <v>0</v>
      </c>
      <c r="J115" s="84"/>
      <c r="K115" s="84"/>
    </row>
    <row r="116" spans="1:13" x14ac:dyDescent="0.25">
      <c r="A116">
        <f>TLFD!A90+0.5</f>
        <v>79.5</v>
      </c>
      <c r="B116" s="81">
        <f si="23" t="shared"/>
        <v>4.3882571844245177</v>
      </c>
      <c r="C116" s="78">
        <f>TLFD!C90/SUM(TLFD!$C$11:$C$100)</f>
        <v>0</v>
      </c>
      <c r="D116" s="78">
        <f>TLFD!I90/SUM(TLFD!$I$11:$I$100)</f>
        <v>0</v>
      </c>
      <c r="E116" s="78">
        <f>TLFD!D90/SUM(TLFD!$D$11:$D$101)</f>
        <v>0</v>
      </c>
      <c r="F116" s="78">
        <f>TLFD!J90/SUM(TLFD!$J$11:$J$100)</f>
        <v>0</v>
      </c>
      <c r="G116" s="141">
        <f si="22" t="shared"/>
        <v>0</v>
      </c>
      <c r="H116" s="141">
        <f si="24" t="shared"/>
        <v>0</v>
      </c>
      <c r="J116" s="84"/>
      <c r="K116" s="84"/>
    </row>
    <row r="117" spans="1:13" x14ac:dyDescent="0.25">
      <c r="A117">
        <f>TLFD!A91+0.5</f>
        <v>80.5</v>
      </c>
      <c r="B117" s="81">
        <f si="23" t="shared"/>
        <v>4.4006030202468169</v>
      </c>
      <c r="C117" s="78">
        <f>TLFD!C91/SUM(TLFD!$C$11:$C$100)</f>
        <v>0</v>
      </c>
      <c r="D117" s="78">
        <f>TLFD!I91/SUM(TLFD!$I$11:$I$100)</f>
        <v>0</v>
      </c>
      <c r="E117" s="78">
        <f>TLFD!D91/SUM(TLFD!$D$11:$D$101)</f>
        <v>0</v>
      </c>
      <c r="F117" s="78">
        <f>TLFD!J91/SUM(TLFD!$J$11:$J$100)</f>
        <v>0</v>
      </c>
      <c r="G117" s="141">
        <f si="22" t="shared"/>
        <v>0</v>
      </c>
      <c r="H117" s="141">
        <f si="24" t="shared"/>
        <v>0</v>
      </c>
      <c r="J117" s="84"/>
      <c r="K117" s="84"/>
    </row>
    <row r="118" spans="1:13" x14ac:dyDescent="0.25">
      <c r="A118">
        <f>TLFD!A92+0.5</f>
        <v>81.5</v>
      </c>
      <c r="B118" s="81">
        <f si="23" t="shared"/>
        <v>4.4127982933406349</v>
      </c>
      <c r="C118" s="78">
        <f>TLFD!C92/SUM(TLFD!$C$11:$C$100)</f>
        <v>0</v>
      </c>
      <c r="D118" s="78">
        <f>TLFD!I92/SUM(TLFD!$I$11:$I$100)</f>
        <v>0</v>
      </c>
      <c r="E118" s="78">
        <f>TLFD!D92/SUM(TLFD!$D$11:$D$101)</f>
        <v>0</v>
      </c>
      <c r="F118" s="78">
        <f>TLFD!J92/SUM(TLFD!$J$11:$J$100)</f>
        <v>0</v>
      </c>
      <c r="G118" s="141">
        <f si="22" t="shared"/>
        <v>0</v>
      </c>
      <c r="H118" s="141">
        <f si="24" t="shared"/>
        <v>0</v>
      </c>
      <c r="J118" s="84"/>
      <c r="K118" s="84"/>
    </row>
    <row r="119" spans="1:13" x14ac:dyDescent="0.25">
      <c r="A119">
        <f>TLFD!A93+0.5</f>
        <v>82.5</v>
      </c>
      <c r="B119" s="81">
        <f si="23" t="shared"/>
        <v>4.42484663185681</v>
      </c>
      <c r="C119" s="78">
        <f>TLFD!C93/SUM(TLFD!$C$11:$C$100)</f>
        <v>0</v>
      </c>
      <c r="D119" s="78">
        <f>TLFD!I93/SUM(TLFD!$I$11:$I$100)</f>
        <v>1.5047097414908664E-5</v>
      </c>
      <c r="E119" s="78">
        <f>TLFD!D93/SUM(TLFD!$D$11:$D$101)</f>
        <v>0</v>
      </c>
      <c r="F119" s="78">
        <f>TLFD!J93/SUM(TLFD!$J$11:$J$100)</f>
        <v>0</v>
      </c>
      <c r="G119" s="141">
        <f si="22" t="shared"/>
        <v>0</v>
      </c>
      <c r="H119" s="141">
        <f si="24" t="shared"/>
        <v>0</v>
      </c>
      <c r="J119" s="84"/>
      <c r="K119" s="84"/>
    </row>
    <row r="120" spans="1:13" x14ac:dyDescent="0.25">
      <c r="A120">
        <f>TLFD!A94+0.5</f>
        <v>83.5</v>
      </c>
      <c r="B120" s="81">
        <f si="23" t="shared"/>
        <v>4.4367515343631281</v>
      </c>
      <c r="C120" s="78">
        <f>TLFD!C94/SUM(TLFD!$C$11:$C$100)</f>
        <v>0</v>
      </c>
      <c r="D120" s="78">
        <f>TLFD!I94/SUM(TLFD!$I$11:$I$100)</f>
        <v>0</v>
      </c>
      <c r="E120" s="78">
        <f>TLFD!D94/SUM(TLFD!$D$11:$D$101)</f>
        <v>0</v>
      </c>
      <c r="F120" s="78">
        <f>TLFD!J94/SUM(TLFD!$J$11:$J$100)</f>
        <v>0</v>
      </c>
      <c r="G120" s="141">
        <f si="22" t="shared"/>
        <v>0</v>
      </c>
      <c r="H120" s="141">
        <f si="24" t="shared"/>
        <v>0</v>
      </c>
      <c r="J120" s="84"/>
      <c r="K120" s="84"/>
    </row>
    <row r="121" spans="1:13" x14ac:dyDescent="0.25">
      <c r="A121">
        <f>TLFD!A95+0.5</f>
        <v>84.5</v>
      </c>
      <c r="B121" s="81">
        <f si="23" t="shared"/>
        <v>4.4485163759427149</v>
      </c>
      <c r="C121" s="78">
        <f>TLFD!C95/SUM(TLFD!$C$11:$C$100)</f>
        <v>0</v>
      </c>
      <c r="D121" s="78">
        <f>TLFD!I95/SUM(TLFD!$I$11:$I$100)</f>
        <v>0</v>
      </c>
      <c r="E121" s="78">
        <f>TLFD!D95/SUM(TLFD!$D$11:$D$101)</f>
        <v>0</v>
      </c>
      <c r="F121" s="78">
        <f>TLFD!J95/SUM(TLFD!$J$11:$J$100)</f>
        <v>0</v>
      </c>
      <c r="G121" s="141">
        <f si="22" t="shared"/>
        <v>0</v>
      </c>
      <c r="H121" s="141">
        <f si="24" t="shared"/>
        <v>0</v>
      </c>
      <c r="J121" s="84"/>
      <c r="K121" s="84"/>
    </row>
    <row r="122" spans="1:13" x14ac:dyDescent="0.25">
      <c r="A122">
        <f>TLFD!A96+0.5</f>
        <v>85.5</v>
      </c>
      <c r="B122" s="81">
        <f si="23" t="shared"/>
        <v>4.4601444139378339</v>
      </c>
      <c r="C122" s="78">
        <f>TLFD!C96/SUM(TLFD!$C$11:$C$100)</f>
        <v>0</v>
      </c>
      <c r="D122" s="78">
        <f>TLFD!I96/SUM(TLFD!$I$11:$I$100)</f>
        <v>0</v>
      </c>
      <c r="E122" s="78">
        <f>TLFD!D96/SUM(TLFD!$D$11:$D$101)</f>
        <v>0</v>
      </c>
      <c r="F122" s="78">
        <f>TLFD!J96/SUM(TLFD!$J$11:$J$100)</f>
        <v>0</v>
      </c>
      <c r="G122" s="141">
        <f si="22" t="shared"/>
        <v>0</v>
      </c>
      <c r="H122" s="141">
        <f si="24" t="shared"/>
        <v>0</v>
      </c>
      <c r="J122" s="84"/>
      <c r="K122" s="84"/>
    </row>
    <row r="123" spans="1:13" x14ac:dyDescent="0.25">
      <c r="A123">
        <f>TLFD!A97+0.5</f>
        <v>86.5</v>
      </c>
      <c r="B123" s="81">
        <f si="23" t="shared"/>
        <v>4.4716387933635691</v>
      </c>
      <c r="C123" s="78">
        <f>TLFD!C97/SUM(TLFD!$C$11:$C$100)</f>
        <v>0</v>
      </c>
      <c r="D123" s="78">
        <f>TLFD!I97/SUM(TLFD!$I$11:$I$100)</f>
        <v>0</v>
      </c>
      <c r="E123" s="78">
        <f>TLFD!D97/SUM(TLFD!$D$11:$D$101)</f>
        <v>0</v>
      </c>
      <c r="F123" s="78">
        <f>TLFD!J97/SUM(TLFD!$J$11:$J$100)</f>
        <v>0</v>
      </c>
      <c r="G123" s="141">
        <f si="22" t="shared"/>
        <v>0</v>
      </c>
      <c r="H123" s="141">
        <f si="24" t="shared"/>
        <v>0</v>
      </c>
      <c r="J123" s="84"/>
      <c r="K123" s="84"/>
    </row>
    <row r="124" spans="1:13" x14ac:dyDescent="0.25">
      <c r="A124">
        <f>TLFD!A98+0.5</f>
        <v>87.5</v>
      </c>
      <c r="B124" s="81">
        <f si="23" t="shared"/>
        <v>4.4830025520138834</v>
      </c>
      <c r="C124" s="78">
        <f>TLFD!C98/SUM(TLFD!$C$11:$C$100)</f>
        <v>0</v>
      </c>
      <c r="D124" s="78">
        <f>TLFD!I98/SUM(TLFD!$I$11:$I$100)</f>
        <v>0</v>
      </c>
      <c r="E124" s="78">
        <f>TLFD!D98/SUM(TLFD!$D$11:$D$101)</f>
        <v>0</v>
      </c>
      <c r="F124" s="78">
        <f>TLFD!J98/SUM(TLFD!$J$11:$J$100)</f>
        <v>0</v>
      </c>
      <c r="G124" s="141">
        <f si="22" t="shared"/>
        <v>0</v>
      </c>
      <c r="H124" s="141">
        <f si="24" t="shared"/>
        <v>0</v>
      </c>
      <c r="J124" s="84"/>
      <c r="K124" s="84"/>
    </row>
    <row r="125" spans="1:13" x14ac:dyDescent="0.25">
      <c r="A125">
        <f>TLFD!A99+0.5</f>
        <v>88.5</v>
      </c>
      <c r="B125" s="81">
        <f si="23" t="shared"/>
        <v>4.4942386252808095</v>
      </c>
      <c r="C125" s="78">
        <f>TLFD!C99/SUM(TLFD!$C$11:$C$100)</f>
        <v>0</v>
      </c>
      <c r="D125" s="78">
        <f>TLFD!I99/SUM(TLFD!$I$11:$I$100)</f>
        <v>0</v>
      </c>
      <c r="E125" s="78">
        <f>TLFD!D99/SUM(TLFD!$D$11:$D$101)</f>
        <v>0</v>
      </c>
      <c r="F125" s="78">
        <f>TLFD!J99/SUM(TLFD!$J$11:$J$100)</f>
        <v>0</v>
      </c>
      <c r="G125" s="141">
        <f si="22" t="shared"/>
        <v>0</v>
      </c>
      <c r="H125" s="141">
        <f si="24" t="shared"/>
        <v>0</v>
      </c>
      <c r="J125" s="84"/>
      <c r="K125" s="84"/>
    </row>
    <row r="126" spans="1:13" x14ac:dyDescent="0.25">
      <c r="A126">
        <f>TLFD!A100+0.5</f>
        <v>89.5</v>
      </c>
      <c r="B126" s="81">
        <f si="23" t="shared"/>
        <v>4.5053498507058807</v>
      </c>
      <c r="C126" s="78">
        <f>TLFD!C100/SUM(TLFD!$C$11:$C$100)</f>
        <v>0</v>
      </c>
      <c r="D126" s="78">
        <f>TLFD!I100/SUM(TLFD!$I$11:$I$100)</f>
        <v>0</v>
      </c>
      <c r="E126" s="78">
        <f>TLFD!D100/SUM(TLFD!$D$11:$D$101)</f>
        <v>0</v>
      </c>
      <c r="F126" s="78">
        <f>TLFD!J100/SUM(TLFD!$J$11:$J$100)</f>
        <v>0</v>
      </c>
      <c r="G126" s="141">
        <f si="22" t="shared"/>
        <v>0</v>
      </c>
      <c r="H126" s="141">
        <f si="24" t="shared"/>
        <v>0</v>
      </c>
      <c r="J126" s="84"/>
      <c r="K126" s="84"/>
    </row>
    <row r="127" spans="1:13" x14ac:dyDescent="0.25">
      <c r="D127" s="81"/>
      <c r="E127" s="78"/>
      <c r="F127" s="78"/>
      <c r="G127" s="78"/>
      <c r="H127" s="78"/>
      <c r="L127" s="84"/>
      <c r="M127" s="84"/>
    </row>
  </sheetData>
  <conditionalFormatting sqref="X3:X95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12</vt:i4>
      </vt:variant>
      <vt:variant>
        <vt:lpstr>Named Ranges</vt:lpstr>
      </vt:variant>
      <vt:variant>
        <vt:i4>35</vt:i4>
      </vt:variant>
    </vt:vector>
  </HeadingPairs>
  <TitlesOfParts>
    <vt:vector baseType="lpstr" size="47">
      <vt:lpstr>TLFD</vt:lpstr>
      <vt:lpstr>TDFD</vt:lpstr>
      <vt:lpstr>TDFD_Agg</vt:lpstr>
      <vt:lpstr>County_Flow</vt:lpstr>
      <vt:lpstr>Flow_ODData</vt:lpstr>
      <vt:lpstr>WorkAtHome</vt:lpstr>
      <vt:lpstr>Documentation</vt:lpstr>
      <vt:lpstr>CoeffDef</vt:lpstr>
      <vt:lpstr>County Codes</vt:lpstr>
      <vt:lpstr>WorkLocationCoefficients</vt:lpstr>
      <vt:lpstr>calibration_flow</vt:lpstr>
      <vt:lpstr>calibration_dist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2020-06-03T00:08:51Z</dcterms:modified>
</cp:coreProperties>
</file>