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6" rupBuild="14420"/>
  <workbookPr codeName="ThisWorkbook" defaultThemeVersion="124226"/>
  <mc:AlternateContent>
    <mc:Choice Requires="x15">
      <x15ac:absPath xmlns:x15ac="http://schemas.microsoft.com/office/spreadsheetml/2010/11/ac" url="E:\Projects\Clients\NashvilleMPO\ModelUpdate2023\Model\Development\Telecommute_Model\2018\DaySimSummaries\"/>
    </mc:Choice>
  </mc:AlternateContent>
  <bookViews>
    <workbookView activeTab="12" windowHeight="7185" windowWidth="20415" xWindow="-15" yWindow="-15"/>
  </bookViews>
  <sheets>
    <sheet name="TLFD" r:id="rId1" sheetId="3"/>
    <sheet name="TDFD" r:id="rId2" sheetId="4"/>
    <sheet name="TDFD_Agg" r:id="rId3" sheetId="10"/>
    <sheet name="County_Flow" r:id="rId4" sheetId="1"/>
    <sheet name="Flow_ODData" r:id="rId5" sheetId="17"/>
    <sheet name="WorkAtHome" r:id="rId6" sheetId="8"/>
    <sheet name="Telecommute" r:id="rId7" sheetId="19"/>
    <sheet name="Documentation" r:id="rId8" sheetId="7"/>
    <sheet name="CoeffDef" r:id="rId9" sheetId="11"/>
    <sheet name="County Codes" r:id="rId10" sheetId="16"/>
    <sheet name="WorkLocationCoefficients" r:id="rId11" sheetId="13"/>
    <sheet name="calibration_flow" r:id="rId12" sheetId="18"/>
    <sheet name="calibration_dist" r:id="rId13" sheetId="12"/>
  </sheets>
  <definedNames>
    <definedName name="athm">WorkAtHome!$I$7:$K$12</definedName>
    <definedName name="avgdist">TLFD!$O$11:$O$14</definedName>
    <definedName name="avgtime">TDFD!$O$11:$O$14</definedName>
    <definedName name="flows">County_Flow!$AX$7:$AZ$12</definedName>
    <definedName name="out1">TLFD!$B$11:$D$101</definedName>
    <definedName name="out10">County_Flow!$AX$7:$BE$14</definedName>
    <definedName name="out11">WorkAtHome!$B$18:$D$24</definedName>
    <definedName name="out12">WorkAtHome!$I$18:$K$24</definedName>
    <definedName name="out13">WorkAtHome!$B$7:$D$13</definedName>
    <definedName name="out14">WorkAtHome!$I$7:$K$13</definedName>
    <definedName name="out2">TLFD!$H$11:$J$101</definedName>
    <definedName name="out3">TDFD!$B$11:$D$101</definedName>
    <definedName name="out4">TDFD!$H$11:$J$101</definedName>
    <definedName name="out5">TLFD!$N$11:$N$14</definedName>
    <definedName name="out6">TLFD!$O$11:$O$14</definedName>
    <definedName name="out7">TDFD!$N$11:$N$14</definedName>
    <definedName name="out8">TDFD!$O$11:$O$14</definedName>
    <definedName name="out9">County_Flow!$B$7:$I$14</definedName>
    <definedName hidden="1" localSheetId="11" name="solver_adj">calibration_flow!$U$4:$U$23</definedName>
    <definedName hidden="1" localSheetId="11" name="solver_cvg">0.0001</definedName>
    <definedName hidden="1" localSheetId="11" name="solver_drv">1</definedName>
    <definedName hidden="1" localSheetId="11" name="solver_eng">1</definedName>
    <definedName hidden="1" localSheetId="11" name="solver_est">1</definedName>
    <definedName hidden="1" localSheetId="11" name="solver_itr">2147483647</definedName>
    <definedName hidden="1" localSheetId="11" name="solver_lhs1">calibration_flow!$AC$160</definedName>
    <definedName hidden="1" localSheetId="11" name="solver_lhs2">calibration_flow!$AC$4:$AC$23</definedName>
    <definedName hidden="1" localSheetId="11" name="solver_lhs3">calibration_flow!$AW$30:$AW$49</definedName>
    <definedName hidden="1" localSheetId="11" name="solver_lhs4">calibration_flow!$AW$30:$AW$49</definedName>
    <definedName hidden="1" localSheetId="11" name="solver_mip">2147483647</definedName>
    <definedName hidden="1" localSheetId="11" name="solver_mni">30</definedName>
    <definedName hidden="1" localSheetId="11" name="solver_mrt">0.075</definedName>
    <definedName hidden="1" localSheetId="11" name="solver_msl">2</definedName>
    <definedName hidden="1" localSheetId="11" name="solver_neg">1</definedName>
    <definedName hidden="1" localSheetId="11" name="solver_nod">2147483647</definedName>
    <definedName hidden="1" localSheetId="11" name="solver_num">3</definedName>
    <definedName hidden="1" localSheetId="11" name="solver_nwt">1</definedName>
    <definedName hidden="1" localSheetId="11" name="solver_opt">calibration_flow!$U$26</definedName>
    <definedName hidden="1" localSheetId="11" name="solver_pre">0.000001</definedName>
    <definedName hidden="1" localSheetId="11" name="solver_rbv">1</definedName>
    <definedName hidden="1" localSheetId="11" name="solver_rel1">1</definedName>
    <definedName hidden="1" localSheetId="11" name="solver_rel2">1</definedName>
    <definedName hidden="1" localSheetId="11" name="solver_rel3">1</definedName>
    <definedName hidden="1" localSheetId="11" name="solver_rel4">1</definedName>
    <definedName hidden="1" localSheetId="11" name="solver_rhs1">1.5</definedName>
    <definedName hidden="1" localSheetId="11" name="solver_rhs2">0.02</definedName>
    <definedName hidden="1" localSheetId="11" name="solver_rhs3">0.25</definedName>
    <definedName hidden="1" localSheetId="11" name="solver_rhs4">0.25</definedName>
    <definedName hidden="1" localSheetId="11" name="solver_rlx">2</definedName>
    <definedName hidden="1" localSheetId="11" name="solver_rsd">0</definedName>
    <definedName hidden="1" localSheetId="11" name="solver_scl">1</definedName>
    <definedName hidden="1" localSheetId="11" name="solver_sho">2</definedName>
    <definedName hidden="1" localSheetId="11" name="solver_ssz">100</definedName>
    <definedName hidden="1" localSheetId="11" name="solver_tim">2147483647</definedName>
    <definedName hidden="1" localSheetId="11" name="solver_tol">0.01</definedName>
    <definedName hidden="1" localSheetId="11" name="solver_typ">2</definedName>
    <definedName hidden="1" localSheetId="11" name="solver_val">0</definedName>
    <definedName hidden="1" localSheetId="11" name="solver_ver">3</definedName>
    <definedName name="tot">WorkAtHome!$I$18:$K$23</definedName>
    <definedName name="Wrk_dist">TLFD!$H$11:$J$101</definedName>
    <definedName name="Wrk_time">TDFD!$H$11:$J$101</definedName>
    <definedName name="out_1">TLFD!$B$11:$D$100</definedName>
    <definedName name="out_3">TDFD!$B$11:$D$100</definedName>
    <definedName name="out_5">TLFD!$N$11:$N$14</definedName>
    <definedName name="out_7">TDFD!$N$11:$N$14</definedName>
    <definedName name="out_9">County_Flow!$B$7:$U$26</definedName>
    <definedName name="out_11">WorkAtHome!$B$18:$D$24</definedName>
    <definedName name="out_13">WorkAtHome!$B$7:$D$13</definedName>
    <definedName name="out_2">TLFD!$H$11:$J$100</definedName>
    <definedName name="out_4">TDFD!$H$11:$J$100</definedName>
    <definedName name="out_6">TLFD!$O$11:$O$14</definedName>
    <definedName name="out_8">TDFD!$O$11:$O$14</definedName>
    <definedName name="out_10">County_Flow!$AX$7:$BQ$26</definedName>
    <definedName name="out_12">WorkAtHome!$I$18:$K$24</definedName>
    <definedName name="out_14">WorkAtHome!$I$7:$K$13</definedName>
    <definedName name="out_16">Telecommute!$I$22:$K$32</definedName>
    <definedName name="out_18">Telecommute!$I$7:$K$17</definedName>
  </definedNames>
  <calcPr calcId="162913"/>
  <fileRecoveryPr repairLoad="1"/>
</workbook>
</file>

<file path=xl/calcChain.xml><?xml version="1.0" encoding="utf-8"?>
<calcChain xmlns="http://schemas.openxmlformats.org/spreadsheetml/2006/main">
  <c i="12" l="1" r="H30"/>
  <c i="12" r="I30"/>
  <c i="19" r="H6"/>
  <c i="19" r="O6"/>
  <c i="19" r="E7"/>
  <c i="19" r="H7"/>
  <c i="19" r="L7"/>
  <c i="19" r="O7"/>
  <c i="19" r="S7"/>
  <c i="19" r="E8"/>
  <c i="19" r="H8"/>
  <c i="19" r="L8"/>
  <c i="19" r="S8" s="1"/>
  <c i="19" r="O8"/>
  <c i="19" r="E9"/>
  <c i="19" r="H9"/>
  <c i="19" r="O9" s="1"/>
  <c i="19" r="L9"/>
  <c i="19" r="S9" s="1"/>
  <c i="19" r="E10"/>
  <c i="19" r="H10"/>
  <c i="19" r="L10"/>
  <c i="19" r="S10" s="1"/>
  <c i="19" r="O10"/>
  <c i="19" r="E11"/>
  <c i="19" r="H11"/>
  <c i="19" r="O11" s="1"/>
  <c i="19" r="L11"/>
  <c i="19" r="S11" s="1"/>
  <c i="19" r="E12"/>
  <c i="19" r="S12" s="1"/>
  <c i="19" r="H12"/>
  <c i="19" r="O12" s="1"/>
  <c i="19" r="L12"/>
  <c i="19" r="E13"/>
  <c i="19" r="H13"/>
  <c i="19" r="O13" s="1"/>
  <c i="19" r="L13"/>
  <c i="19" r="S13" s="1"/>
  <c i="19" r="E14"/>
  <c i="19" r="H14"/>
  <c i="19" r="L14"/>
  <c i="19" r="O14"/>
  <c i="19" r="S14"/>
  <c i="19" r="E15"/>
  <c i="19" r="H15"/>
  <c i="19" r="L15"/>
  <c i="19" r="O15"/>
  <c i="19" r="S15"/>
  <c i="19" r="E16"/>
  <c i="19" r="H16"/>
  <c i="19" r="O16" s="1"/>
  <c i="19" r="L16"/>
  <c i="19" r="E17"/>
  <c i="19" r="E47" s="1"/>
  <c i="19" r="H17"/>
  <c i="19" r="L17"/>
  <c i="19" r="S17" s="1"/>
  <c i="19" r="O17"/>
  <c i="19" r="B18"/>
  <c i="19" r="C18"/>
  <c i="19" r="D18"/>
  <c i="19" r="I18"/>
  <c i="19" r="P18" s="1"/>
  <c i="19" r="J18"/>
  <c i="19" r="K18"/>
  <c i="19" r="Q18"/>
  <c i="19" r="R18"/>
  <c i="19" r="A21"/>
  <c i="19" r="A36" s="1"/>
  <c i="19" r="H36" s="1"/>
  <c i="19" r="A22"/>
  <c i="19" r="H22" s="1"/>
  <c i="19" r="O22" s="1"/>
  <c i="19" r="E22"/>
  <c i="19" r="L22"/>
  <c i="19" r="S22" s="1"/>
  <c i="19" r="A23"/>
  <c i="19" r="A38" s="1"/>
  <c i="19" r="H38" s="1"/>
  <c i="19" r="O38" s="1"/>
  <c i="19" r="E23"/>
  <c i="19" r="L23"/>
  <c i="19" r="A24"/>
  <c i="19" r="H24" s="1"/>
  <c i="19" r="O24" s="1"/>
  <c i="19" r="E24"/>
  <c i="19" r="L24"/>
  <c i="19" r="A25"/>
  <c i="19" r="A40" s="1"/>
  <c i="19" r="H40" s="1"/>
  <c i="19" r="O40" s="1"/>
  <c i="19" r="E25"/>
  <c i="19" r="H25"/>
  <c i="19" r="L25"/>
  <c i="19" r="O25"/>
  <c i="19" r="S25"/>
  <c i="19" r="A26"/>
  <c i="19" r="H26" s="1"/>
  <c i="19" r="O26" s="1"/>
  <c i="19" r="E26"/>
  <c i="19" r="L26"/>
  <c i="19" r="S26" s="1"/>
  <c i="19" r="A27"/>
  <c i="19" r="H27" s="1"/>
  <c i="19" r="O27" s="1"/>
  <c i="19" r="E27"/>
  <c i="19" r="L27"/>
  <c i="19" r="S27" s="1"/>
  <c i="19" r="A28"/>
  <c i="19" r="A43" s="1"/>
  <c i="19" r="H43" s="1"/>
  <c i="19" r="O43" s="1"/>
  <c i="19" r="E28"/>
  <c i="19" r="L28"/>
  <c i="19" r="A29"/>
  <c i="19" r="A44" s="1"/>
  <c i="19" r="H44" s="1"/>
  <c i="19" r="O44" s="1"/>
  <c i="19" r="E29"/>
  <c i="19" r="L29"/>
  <c i="19" r="A30"/>
  <c i="19" r="H30" s="1"/>
  <c i="19" r="O30" s="1"/>
  <c i="19" r="E30"/>
  <c i="19" r="L30"/>
  <c i="19" r="S30" s="1"/>
  <c i="19" r="A31"/>
  <c i="19" r="A46" s="1"/>
  <c i="19" r="H46" s="1"/>
  <c i="19" r="O46" s="1"/>
  <c i="19" r="E31"/>
  <c i="19" r="H31"/>
  <c i="19" r="L31"/>
  <c i="19" r="L46" s="1"/>
  <c i="19" r="O31"/>
  <c i="19" r="A32"/>
  <c i="19" r="H32" s="1"/>
  <c i="19" r="O32" s="1"/>
  <c i="19" r="E32"/>
  <c i="19" r="S32" s="1"/>
  <c i="19" r="L32"/>
  <c i="19" r="B33"/>
  <c i="19" r="C33"/>
  <c i="19" r="C48" s="1"/>
  <c i="19" r="D33"/>
  <c i="19" r="I33"/>
  <c i="19" r="J33"/>
  <c i="19" r="K33"/>
  <c i="19" r="R33" s="1"/>
  <c i="19" r="A37"/>
  <c i="19" r="B37"/>
  <c i="19" r="C37"/>
  <c i="19" r="D37"/>
  <c i="19" r="E37"/>
  <c i="19" r="H37"/>
  <c i="19" r="I37"/>
  <c i="19" r="J37"/>
  <c i="19" r="K37"/>
  <c i="19" r="R37" s="1"/>
  <c i="19" r="L37"/>
  <c i="19" r="S37" s="1"/>
  <c i="19" r="O37"/>
  <c i="19" r="P37"/>
  <c i="19" r="Q37"/>
  <c i="19" r="B38"/>
  <c i="19" r="C38"/>
  <c i="19" r="D38"/>
  <c i="19" r="I38"/>
  <c i="19" r="J38"/>
  <c i="19" r="K38"/>
  <c i="19" r="B39"/>
  <c i="19" r="C39"/>
  <c i="19" r="D39"/>
  <c i="19" r="I39"/>
  <c i="19" r="P39" s="1"/>
  <c i="19" r="J39"/>
  <c i="19" r="Q39" s="1"/>
  <c i="19" r="K39"/>
  <c i="19" r="R39" s="1"/>
  <c i="19" r="B40"/>
  <c i="19" r="C40"/>
  <c i="19" r="D40"/>
  <c i="19" r="I40"/>
  <c i="19" r="J40"/>
  <c i="19" r="K40"/>
  <c i="19" r="R40" s="1"/>
  <c i="19" r="B41"/>
  <c i="19" r="C41"/>
  <c i="19" r="D41"/>
  <c i="19" r="I41"/>
  <c i="19" r="J41"/>
  <c i="19" r="K41"/>
  <c i="19" r="A42"/>
  <c i="19" r="H42" s="1"/>
  <c i="19" r="O42" s="1"/>
  <c i="19" r="B42"/>
  <c i="19" r="C42"/>
  <c i="19" r="D42"/>
  <c i="19" r="I42"/>
  <c i="19" r="P42" s="1"/>
  <c i="19" r="J42"/>
  <c i="19" r="Q42" s="1"/>
  <c i="19" r="K42"/>
  <c i="19" r="R42" s="1"/>
  <c i="19" r="L42"/>
  <c i="19" r="B43"/>
  <c i="19" r="C43"/>
  <c i="19" r="D43"/>
  <c i="19" r="I43"/>
  <c i="19" r="J43"/>
  <c i="19" r="Q43" s="1"/>
  <c i="19" r="K43"/>
  <c i="19" r="R43" s="1"/>
  <c i="19" r="P43"/>
  <c i="19" r="B44"/>
  <c i="19" r="C44"/>
  <c i="19" r="D44"/>
  <c i="19" r="I44"/>
  <c i="19" r="P44" s="1"/>
  <c i="19" r="J44"/>
  <c i="19" r="K44"/>
  <c i="19" r="A45"/>
  <c i="19" r="H45" s="1"/>
  <c i="19" r="O45" s="1"/>
  <c i="19" r="B45"/>
  <c i="19" r="P45" s="1"/>
  <c i="19" r="C45"/>
  <c i="19" r="D45"/>
  <c i="19" r="I45"/>
  <c i="19" r="J45"/>
  <c i="19" r="K45"/>
  <c i="19" r="R45" s="1"/>
  <c i="19" r="B46"/>
  <c i="19" r="C46"/>
  <c i="19" r="D46"/>
  <c i="19" r="I46"/>
  <c i="19" r="J46"/>
  <c i="19" r="K46"/>
  <c i="19" r="Q46"/>
  <c i="19" r="R46"/>
  <c i="19" r="B47"/>
  <c i="19" r="C47"/>
  <c i="19" r="D47"/>
  <c i="19" r="I47"/>
  <c i="19" r="J47"/>
  <c i="19" r="K47"/>
  <c i="19" l="1" r="E39"/>
  <c i="19" r="Q41"/>
  <c i="19" r="H29"/>
  <c i="19" r="O29" s="1"/>
  <c i="19" r="E33"/>
  <c i="12" r="H27" s="1"/>
  <c i="12" r="H32" s="1"/>
  <c i="19" r="Q40"/>
  <c i="19" r="S28"/>
  <c i="19" r="E38"/>
  <c i="19" r="P41"/>
  <c i="19" r="L44"/>
  <c i="19" r="S44" s="1"/>
  <c i="19" r="A47"/>
  <c i="19" r="H47" s="1"/>
  <c i="19" r="O47" s="1"/>
  <c i="19" r="E44"/>
  <c i="19" r="P46"/>
  <c i="19" r="K48"/>
  <c i="19" r="R41"/>
  <c i="19" r="E42"/>
  <c i="19" r="S42" s="1"/>
  <c i="19" r="A39"/>
  <c i="19" r="H39" s="1"/>
  <c i="19" r="O39" s="1"/>
  <c i="19" r="L47"/>
  <c i="19" r="S29"/>
  <c i="19" r="L41"/>
  <c i="19" r="S24"/>
  <c i="19" r="Q38"/>
  <c i="19" r="P40"/>
  <c i="19" r="R38"/>
  <c i="19" r="Q45"/>
  <c i="19" r="P38"/>
  <c i="19" r="R44"/>
  <c i="19" r="B48"/>
  <c i="19" r="Q44"/>
  <c i="19" r="Q33"/>
  <c i="19" r="H21"/>
  <c i="19" r="L39"/>
  <c i="19" r="S39" s="1"/>
  <c i="19" r="P33"/>
  <c i="19" r="L33"/>
  <c i="19" r="L43"/>
  <c i="19" r="H23"/>
  <c i="19" r="O23" s="1"/>
  <c i="19" r="S16"/>
  <c i="19" r="E41"/>
  <c i="19" r="A41"/>
  <c i="19" r="H41" s="1"/>
  <c i="19" r="O41" s="1"/>
  <c i="19" r="D48"/>
  <c i="19" r="R48" s="1"/>
  <c i="19" r="E43"/>
  <c i="19" r="E46"/>
  <c i="19" r="S46" s="1"/>
  <c i="19" r="L40"/>
  <c i="19" r="S47"/>
  <c i="19" r="L45"/>
  <c i="19" r="S45" s="1"/>
  <c i="19" r="E40"/>
  <c i="19" r="R47"/>
  <c i="19" r="Q47"/>
  <c i="19" r="P47"/>
  <c i="19" r="O21"/>
  <c i="19" r="E45"/>
  <c i="19" r="L18"/>
  <c i="12" r="I26" s="1"/>
  <c i="19" r="H28"/>
  <c i="19" r="O28" s="1"/>
  <c i="19" r="E18"/>
  <c i="19" r="S31"/>
  <c i="19" r="S23"/>
  <c i="19" r="L38"/>
  <c i="19" r="S38" s="1"/>
  <c i="19" r="J48"/>
  <c i="19" r="Q48" s="1"/>
  <c i="19" r="I48"/>
  <c i="19" r="P48" s="1"/>
  <c i="18" r="CW30"/>
  <c i="18" r="CW31"/>
  <c i="18" r="CW32"/>
  <c i="18" r="CW33"/>
  <c i="18" r="CW34"/>
  <c i="18" r="CW35"/>
  <c i="18" r="CW36"/>
  <c i="18" r="CW37"/>
  <c i="18" r="CW38"/>
  <c i="18" r="CW39"/>
  <c i="18" r="CW40"/>
  <c i="18" r="CW41"/>
  <c i="18" r="CW42"/>
  <c i="18" r="CW43"/>
  <c i="18" r="CW44"/>
  <c i="18" r="CW45"/>
  <c i="18" r="CW46"/>
  <c i="18" r="CW47"/>
  <c i="18" r="CW48"/>
  <c i="18" r="CW49"/>
  <c i="18" r="CW50"/>
  <c i="18" r="CW51"/>
  <c i="18" r="CW52"/>
  <c i="18" r="CW53"/>
  <c i="18" r="CW54"/>
  <c i="18" r="CW55"/>
  <c i="18" r="CW56"/>
  <c i="18" r="CW57"/>
  <c i="18" r="CW58"/>
  <c i="18" r="CW59"/>
  <c i="18" r="CW60"/>
  <c i="18" r="CW61"/>
  <c i="18" r="CW62"/>
  <c i="18" r="CW63"/>
  <c i="18" r="CW64"/>
  <c i="18" r="CW65"/>
  <c i="18" r="CW66"/>
  <c i="18" r="CW67"/>
  <c i="18" r="CW68"/>
  <c i="18" r="CW69"/>
  <c i="18" r="CW70"/>
  <c i="18" r="CW71"/>
  <c i="18" r="CW72"/>
  <c i="18" r="CW73"/>
  <c i="18" r="CW74"/>
  <c i="18" r="CW75"/>
  <c i="18" r="CW76"/>
  <c i="18" r="CW77"/>
  <c i="18" r="CW78"/>
  <c i="18" r="CW79"/>
  <c i="18" r="CW80"/>
  <c i="18" r="CW81"/>
  <c i="18" r="CW82"/>
  <c i="18" r="CW83"/>
  <c i="18" r="CW84"/>
  <c i="18" r="CW85"/>
  <c i="18" r="CW86"/>
  <c i="18" r="CW87"/>
  <c i="18" r="CW88"/>
  <c i="18" r="CW89"/>
  <c i="18" r="CW90"/>
  <c i="18" r="CW91"/>
  <c i="18" r="CW92"/>
  <c i="18" r="CW93"/>
  <c i="18" r="CW94"/>
  <c i="18" r="CW95"/>
  <c i="18" r="CW96"/>
  <c i="18" r="CW97"/>
  <c i="18" r="CW98"/>
  <c i="18" r="CW99"/>
  <c i="18" r="CW100"/>
  <c i="18" r="CW101"/>
  <c i="18" r="CW102"/>
  <c i="18" r="CW103"/>
  <c i="18" r="CW104"/>
  <c i="18" r="CW105"/>
  <c i="18" r="CW106"/>
  <c i="18" r="CW107"/>
  <c i="18" r="CW108"/>
  <c i="18" r="CW109"/>
  <c i="18" r="CW110"/>
  <c i="18" r="CW111"/>
  <c i="18" r="CW112"/>
  <c i="18" r="CW113"/>
  <c i="18" r="CW114"/>
  <c i="18" r="CW115"/>
  <c i="18" r="CW116"/>
  <c i="18" r="CW117"/>
  <c i="18" r="CW118"/>
  <c i="18" r="CW119"/>
  <c i="18" r="CW120"/>
  <c i="18" r="CW121"/>
  <c i="18" r="CW122"/>
  <c i="18" r="CW123"/>
  <c i="18" r="CW124"/>
  <c i="18" r="CW125"/>
  <c i="18" r="CW126"/>
  <c i="18" r="CW127"/>
  <c i="18" r="CW128"/>
  <c i="18" r="CW129"/>
  <c i="18" r="CW130"/>
  <c i="18" r="CW131"/>
  <c i="18" r="CW132"/>
  <c i="18" r="CW133"/>
  <c i="18" r="CW134"/>
  <c i="18" r="CW135"/>
  <c i="18" r="CW136"/>
  <c i="18" r="CW137"/>
  <c i="18" r="CW138"/>
  <c i="18" r="CW139"/>
  <c i="18" r="CW140"/>
  <c i="18" r="CW141"/>
  <c i="18" r="CW142"/>
  <c i="18" r="CW143"/>
  <c i="18" r="CW144"/>
  <c i="18" r="CW145"/>
  <c i="18" r="CW146"/>
  <c i="18" r="CW147"/>
  <c i="18" r="CW148"/>
  <c i="18" r="CW149"/>
  <c i="18" r="CW150"/>
  <c i="18" r="CW151"/>
  <c i="18" r="CW152"/>
  <c i="18" r="CW153"/>
  <c i="18" r="CW154"/>
  <c i="18" r="CW155"/>
  <c i="18" r="CW156"/>
  <c i="18" r="CW157"/>
  <c i="18" r="CW158"/>
  <c i="18" r="CW159"/>
  <c i="18" r="CW160"/>
  <c i="18" r="CW161"/>
  <c i="18" r="CW162"/>
  <c i="18" r="CW163"/>
  <c i="18" r="CW164"/>
  <c i="18" r="CW165"/>
  <c i="18" r="CW166"/>
  <c i="18" r="CW167"/>
  <c i="18" r="CW168"/>
  <c i="18" r="CW169"/>
  <c i="18" r="CW170"/>
  <c i="18" r="CW171"/>
  <c i="18" r="CW172"/>
  <c i="18" r="CW173"/>
  <c i="18" r="CW174"/>
  <c i="18" r="CW175"/>
  <c i="18" r="CW176"/>
  <c i="18" r="CW177"/>
  <c i="18" r="CW178"/>
  <c i="18" r="CW179"/>
  <c i="18" r="CW180"/>
  <c i="18" r="CW181"/>
  <c i="18" r="CW182"/>
  <c i="18" r="CW183"/>
  <c i="18" r="CW184"/>
  <c i="18" r="CW185"/>
  <c i="18" r="CW186"/>
  <c i="18" r="CW187"/>
  <c i="18" r="CW188"/>
  <c i="18" r="CW189"/>
  <c i="18" r="CW190"/>
  <c i="18" r="CW191"/>
  <c i="18" r="CW192"/>
  <c i="18" r="CW193"/>
  <c i="18" r="CW194"/>
  <c i="18" r="CW195"/>
  <c i="18" r="CW196"/>
  <c i="18" r="CW197"/>
  <c i="18" r="CW198"/>
  <c i="18" r="CW199"/>
  <c i="18" r="CW200"/>
  <c i="18" r="CW201"/>
  <c i="18" r="CW202"/>
  <c i="18" r="CW203"/>
  <c i="18" r="CW204"/>
  <c i="18" r="CW205"/>
  <c i="18" r="CW206"/>
  <c i="18" r="CW207"/>
  <c i="18" r="CW208"/>
  <c i="18" r="CW209"/>
  <c i="18" r="CW210"/>
  <c i="18" r="CW211"/>
  <c i="18" r="CW212"/>
  <c i="18" r="CW213"/>
  <c i="18" r="CW214"/>
  <c i="18" r="CW215"/>
  <c i="18" r="CW216"/>
  <c i="18" r="CW217"/>
  <c i="18" r="CW218"/>
  <c i="18" r="CW219"/>
  <c i="18" r="CW220"/>
  <c i="18" r="CW221"/>
  <c i="18" r="CW222"/>
  <c i="18" r="CW223"/>
  <c i="18" r="CW224"/>
  <c i="18" r="CW225"/>
  <c i="18" r="CW226"/>
  <c i="18" r="CW227"/>
  <c i="18" r="CW228"/>
  <c i="18" r="CW229"/>
  <c i="18" r="CW230"/>
  <c i="18" r="CW231"/>
  <c i="18" r="CW232"/>
  <c i="18" r="CW233"/>
  <c i="18" r="CW234"/>
  <c i="18" r="CW235"/>
  <c i="18" r="CW236"/>
  <c i="18" r="CW237"/>
  <c i="18" r="CW238"/>
  <c i="18" r="CW239"/>
  <c i="18" r="CW240"/>
  <c i="18" r="CW241"/>
  <c i="18" r="CW242"/>
  <c i="18" r="CW243"/>
  <c i="18" r="CW244"/>
  <c i="18" r="CW245"/>
  <c i="18" r="CW246"/>
  <c i="18" r="CW247"/>
  <c i="18" r="CW248"/>
  <c i="18" r="CW249"/>
  <c i="18" r="CW250"/>
  <c i="18" r="CW251"/>
  <c i="18" r="CW252"/>
  <c i="18" r="CW253"/>
  <c i="18" r="CW254"/>
  <c i="18" r="CW255"/>
  <c i="18" r="CW256"/>
  <c i="18" r="CW257"/>
  <c i="18" r="CW258"/>
  <c i="18" r="CW259"/>
  <c i="18" r="CW260"/>
  <c i="18" r="CW261"/>
  <c i="18" r="CW262"/>
  <c i="18" r="CW263"/>
  <c i="18" r="CW264"/>
  <c i="18" r="CW265"/>
  <c i="18" r="CW266"/>
  <c i="18" r="CW267"/>
  <c i="18" r="CW268"/>
  <c i="18" r="CW269"/>
  <c i="18" r="CW270"/>
  <c i="18" r="CW271"/>
  <c i="18" r="CW272"/>
  <c i="18" r="CW273"/>
  <c i="18" r="CW274"/>
  <c i="18" r="CW275"/>
  <c i="18" r="CW276"/>
  <c i="18" r="CW277"/>
  <c i="18" r="CW278"/>
  <c i="18" r="CW279"/>
  <c i="18" r="CW280"/>
  <c i="18" r="CW281"/>
  <c i="18" r="CW282"/>
  <c i="18" r="CW283"/>
  <c i="18" r="CW284"/>
  <c i="18" r="CW285"/>
  <c i="18" r="CW286"/>
  <c i="18" r="CW287"/>
  <c i="18" r="CW288"/>
  <c i="18" r="CW289"/>
  <c i="18" r="CW290"/>
  <c i="18" r="CW291"/>
  <c i="18" r="CW292"/>
  <c i="18" r="CW293"/>
  <c i="18" r="CW294"/>
  <c i="18" r="CW295"/>
  <c i="18" r="CW296"/>
  <c i="18" r="CW297"/>
  <c i="18" r="CW298"/>
  <c i="18" r="CW299"/>
  <c i="18" r="CW300"/>
  <c i="18" r="CW301"/>
  <c i="18" r="CW302"/>
  <c i="18" r="CW303"/>
  <c i="18" r="CW304"/>
  <c i="18" r="CW305"/>
  <c i="18" r="CW306"/>
  <c i="18" r="CW307"/>
  <c i="18" r="CW308"/>
  <c i="18" r="CW309"/>
  <c i="18" r="CW310"/>
  <c i="18" r="CW311"/>
  <c i="18" r="CW312"/>
  <c i="18" r="CW313"/>
  <c i="18" r="CW314"/>
  <c i="18" r="CW315"/>
  <c i="18" r="CW316"/>
  <c i="18" r="CW317"/>
  <c i="18" r="CW318"/>
  <c i="18" r="CW319"/>
  <c i="18" r="CW320"/>
  <c i="18" r="CW321"/>
  <c i="18" r="CW322"/>
  <c i="18" r="CW323"/>
  <c i="18" r="CW324"/>
  <c i="18" r="CW325"/>
  <c i="18" r="CW326"/>
  <c i="18" r="CW327"/>
  <c i="18" r="CW328"/>
  <c i="18" r="CW329"/>
  <c i="18" r="CW330"/>
  <c i="18" r="CW331"/>
  <c i="18" r="CW332"/>
  <c i="18" r="CW333"/>
  <c i="18" r="CW334"/>
  <c i="18" r="CW335"/>
  <c i="18" r="CW336"/>
  <c i="18" r="CW337"/>
  <c i="18" r="CW338"/>
  <c i="18" r="CW339"/>
  <c i="18" r="CW340"/>
  <c i="18" r="CW341"/>
  <c i="18" r="CW342"/>
  <c i="18" r="CW343"/>
  <c i="18" r="CW344"/>
  <c i="18" r="CW345"/>
  <c i="18" r="CW346"/>
  <c i="18" r="CW347"/>
  <c i="18" r="CW348"/>
  <c i="18" r="CW349"/>
  <c i="18" r="CW350"/>
  <c i="18" r="CW351"/>
  <c i="18" r="CW352"/>
  <c i="18" r="CW353"/>
  <c i="18" r="CW354"/>
  <c i="18" r="CW355"/>
  <c i="18" r="CW356"/>
  <c i="18" r="CW357"/>
  <c i="18" r="CW358"/>
  <c i="18" r="CW359"/>
  <c i="18" r="CW360"/>
  <c i="18" r="CW361"/>
  <c i="18" r="CW362"/>
  <c i="18" r="CW363"/>
  <c i="18" r="CW364"/>
  <c i="18" r="CW365"/>
  <c i="18" r="CW366"/>
  <c i="18" r="CW367"/>
  <c i="18" r="CW368"/>
  <c i="18" r="CW369"/>
  <c i="18" r="CW370"/>
  <c i="18" r="CW371"/>
  <c i="18" r="CW372"/>
  <c i="18" r="CW373"/>
  <c i="18" r="CW374"/>
  <c i="18" r="CW375"/>
  <c i="18" r="CW376"/>
  <c i="18" r="CW377"/>
  <c i="18" r="CW378"/>
  <c i="18" r="CW379"/>
  <c i="18" r="CW380"/>
  <c i="18" r="CW381"/>
  <c i="18" r="CW382"/>
  <c i="18" r="CW383"/>
  <c i="18" r="CW384"/>
  <c i="18" r="CW385"/>
  <c i="18" r="CW386"/>
  <c i="18" r="CW387"/>
  <c i="18" r="CW388"/>
  <c i="18" r="CW389"/>
  <c i="18" r="CW390"/>
  <c i="18" r="CW391"/>
  <c i="18" r="CW392"/>
  <c i="18" r="CW393"/>
  <c i="18" r="CW394"/>
  <c i="18" r="CW395"/>
  <c i="18" r="CW396"/>
  <c i="18" r="CW397"/>
  <c i="18" r="CW398"/>
  <c i="18" r="CW399"/>
  <c i="18" r="CW400"/>
  <c i="18" r="CW401"/>
  <c i="18" r="CW3"/>
  <c i="18" r="CW4"/>
  <c i="18" r="CW5"/>
  <c i="18" r="CW6"/>
  <c i="18" r="CW7"/>
  <c i="18" r="CW8"/>
  <c i="18" r="CW9"/>
  <c i="18" r="CW10"/>
  <c i="18" r="CW11"/>
  <c i="18" r="CW12"/>
  <c i="18" r="CW13"/>
  <c i="18" r="CW14"/>
  <c i="18" r="CW15"/>
  <c i="18" r="CW16"/>
  <c i="18" r="CW17"/>
  <c i="18" r="CW18"/>
  <c i="18" r="CW19"/>
  <c i="18" r="CW20"/>
  <c i="18" r="CW21"/>
  <c i="18" r="CW22"/>
  <c i="18" r="CW23"/>
  <c i="18" r="CW24"/>
  <c i="18" r="CW25"/>
  <c i="18" r="CW26"/>
  <c i="18" r="CW27"/>
  <c i="18" r="CW28"/>
  <c i="18" r="CW29"/>
  <c i="18" r="CW2"/>
  <c i="19" l="1" r="S41"/>
  <c i="19" r="S43"/>
  <c i="19" r="S40"/>
  <c i="19" r="E48"/>
  <c i="12" r="H26"/>
  <c i="12" r="H31" s="1"/>
  <c i="19" r="S33"/>
  <c i="12" r="I27"/>
  <c i="12" r="I32" s="1"/>
  <c i="19" r="S18"/>
  <c i="19" r="L48"/>
  <c i="19" r="S48" s="1"/>
  <c i="18" r="CV3"/>
  <c i="18" r="CV4" s="1"/>
  <c i="8" r="J17"/>
  <c i="8" r="K17"/>
  <c i="8" r="L17"/>
  <c i="8" r="I17"/>
  <c i="8" r="C17"/>
  <c i="8" r="D17"/>
  <c i="8" r="E17"/>
  <c i="8" r="B17"/>
  <c i="8" r="P8"/>
  <c i="8" r="Q8"/>
  <c i="8" r="R8"/>
  <c i="8" r="P9"/>
  <c i="8" r="Q9"/>
  <c i="8" r="R9"/>
  <c i="8" r="P10"/>
  <c i="8" r="Q10"/>
  <c i="8" r="R10"/>
  <c i="8" r="P11"/>
  <c i="8" r="Q11"/>
  <c i="8" r="R11"/>
  <c i="8" r="P12"/>
  <c i="8" r="Q12"/>
  <c i="8" r="R12"/>
  <c i="8" r="P13"/>
  <c i="8" r="Q13"/>
  <c i="8" r="R13"/>
  <c i="8" r="J14"/>
  <c i="8" r="K14"/>
  <c i="8" r="I14"/>
  <c i="8" r="L8"/>
  <c i="8" r="L9"/>
  <c i="8" r="L10"/>
  <c i="8" r="L11"/>
  <c i="8" r="L12"/>
  <c i="8" r="L13"/>
  <c i="8" r="C14"/>
  <c i="8" r="D14"/>
  <c i="8" r="B14"/>
  <c i="12" l="1" r="I31"/>
  <c i="18" r="CV5"/>
  <c i="8" r="I30"/>
  <c i="8" r="J30"/>
  <c i="8" r="K30"/>
  <c i="8" r="I31"/>
  <c i="8" r="J31"/>
  <c i="8" r="K31"/>
  <c i="8" r="I32"/>
  <c i="8" r="J32"/>
  <c i="8" r="K32"/>
  <c i="8" r="I33"/>
  <c i="8" r="J33"/>
  <c i="8" r="K33"/>
  <c i="8" r="I34"/>
  <c i="8" r="J34"/>
  <c i="8" r="K34"/>
  <c i="8" r="I35"/>
  <c i="8" r="J35"/>
  <c i="8" r="K35"/>
  <c i="8" r="J29"/>
  <c i="8" r="K29"/>
  <c i="8" r="I29"/>
  <c i="8" r="B30"/>
  <c i="8" r="C30"/>
  <c i="8" r="D30"/>
  <c i="8" r="B31"/>
  <c i="8" r="C31"/>
  <c i="8" r="D31"/>
  <c i="8" r="B32"/>
  <c i="8" r="C32"/>
  <c i="8" r="D32"/>
  <c i="8" r="B33"/>
  <c i="8" r="C33"/>
  <c i="8" r="D33"/>
  <c i="8" r="B34"/>
  <c i="8" r="C34"/>
  <c i="8" r="D34"/>
  <c i="8" r="B35"/>
  <c i="8" r="C35"/>
  <c i="8" r="D35"/>
  <c i="8" r="C29"/>
  <c i="8" r="D29"/>
  <c i="8" r="B29"/>
  <c i="18" l="1" r="CV6"/>
  <c i="12" r="T94"/>
  <c i="12" r="U94"/>
  <c i="12" r="V94"/>
  <c i="12" r="T95"/>
  <c i="12" r="U95"/>
  <c i="12" r="V95"/>
  <c i="18" l="1" r="CV7"/>
  <c i="12" r="T93"/>
  <c i="12" r="U93"/>
  <c i="12" r="V93"/>
  <c i="12" r="T90"/>
  <c i="12" r="U90"/>
  <c i="12" r="V90"/>
  <c i="12" r="T91"/>
  <c i="12" r="U91"/>
  <c i="12" r="V91"/>
  <c i="12" r="T92"/>
  <c i="12" r="U92"/>
  <c i="12" r="V92"/>
  <c i="12" r="T77"/>
  <c i="12" r="U77"/>
  <c i="12" r="V77"/>
  <c i="12" r="T78"/>
  <c i="12" r="U78"/>
  <c i="12" r="V78"/>
  <c i="12" r="T79"/>
  <c i="12" r="U79"/>
  <c i="12" r="V79"/>
  <c i="12" r="T80"/>
  <c i="12" r="U80"/>
  <c i="12" r="V80"/>
  <c i="12" r="T81"/>
  <c i="12" r="U81"/>
  <c i="12" r="V81"/>
  <c i="12" r="T82"/>
  <c i="12" r="U82"/>
  <c i="12" r="V82"/>
  <c i="12" r="T83"/>
  <c i="12" r="U83"/>
  <c i="12" r="V83"/>
  <c i="12" r="T84"/>
  <c i="12" r="U84"/>
  <c i="12" r="V84"/>
  <c i="12" r="T85"/>
  <c i="12" r="U85"/>
  <c i="12" r="V85"/>
  <c i="12" r="T86"/>
  <c i="12" r="U86"/>
  <c i="12" r="V86"/>
  <c i="12" r="T87"/>
  <c i="12" r="U87"/>
  <c i="12" r="V87"/>
  <c i="12" r="T88"/>
  <c i="12" r="U88"/>
  <c i="12" r="V88"/>
  <c i="12" r="T89"/>
  <c i="12" r="U89"/>
  <c i="12" r="V89"/>
  <c i="18" l="1" r="CV8"/>
  <c i="18" r="AK11"/>
  <c i="18" r="AK10"/>
  <c i="18" r="AK6"/>
  <c i="18" l="1" r="CV9"/>
  <c i="17" r="X24"/>
  <c i="17" r="C51" s="1"/>
  <c i="17" r="X23"/>
  <c i="17" r="X22"/>
  <c i="17" r="X21"/>
  <c i="17" r="X20"/>
  <c i="17" r="X19"/>
  <c i="17" r="X18"/>
  <c i="17" r="X17"/>
  <c i="17" r="X16"/>
  <c i="17" r="X15"/>
  <c i="17" r="X14"/>
  <c i="17" r="X13"/>
  <c i="17" r="X12"/>
  <c i="17" r="X11"/>
  <c i="17" r="X10"/>
  <c i="17" r="X9"/>
  <c i="17" r="X8"/>
  <c i="17" r="X7"/>
  <c i="17" r="X6"/>
  <c i="17" r="X5"/>
  <c i="17" r="X4"/>
  <c i="17" r="W25"/>
  <c i="1" r="CQ8" s="1"/>
  <c i="17" r="V25"/>
  <c i="1" r="CP8" s="1"/>
  <c i="1" r="BY41" s="1"/>
  <c i="18" r="E23" s="1"/>
  <c i="17" r="U25"/>
  <c i="1" r="CO8" s="1"/>
  <c i="1" r="BY40" s="1"/>
  <c i="18" r="E22" s="1"/>
  <c i="17" r="T25"/>
  <c i="1" r="CN8" s="1"/>
  <c i="1" r="BY39" s="1"/>
  <c i="18" r="E21" s="1"/>
  <c i="17" r="S25"/>
  <c i="1" r="CM8" s="1"/>
  <c i="1" r="BY38" s="1"/>
  <c i="18" r="E20" s="1"/>
  <c i="17" r="R25"/>
  <c i="1" r="CL8" s="1"/>
  <c i="1" r="BY37" s="1"/>
  <c i="18" r="E19" s="1"/>
  <c i="17" r="Q25"/>
  <c i="1" r="CK8" s="1"/>
  <c i="1" r="BY36" s="1"/>
  <c i="18" r="E18" s="1"/>
  <c i="17" r="P25"/>
  <c i="1" r="CJ8" s="1"/>
  <c i="1" r="BY35" s="1"/>
  <c i="18" r="E17" s="1"/>
  <c i="17" r="O25"/>
  <c i="1" r="CI8" s="1"/>
  <c i="1" r="BY34" s="1"/>
  <c i="18" r="E16" s="1"/>
  <c i="17" r="N25"/>
  <c i="1" r="CH8" s="1"/>
  <c i="1" r="BY33" s="1"/>
  <c i="18" r="E15" s="1"/>
  <c i="17" r="M25"/>
  <c i="1" r="CG8" s="1"/>
  <c i="1" r="BY32" s="1"/>
  <c i="18" r="E14" s="1"/>
  <c i="17" r="L25"/>
  <c i="1" r="CF8" s="1"/>
  <c i="1" r="BY31" s="1"/>
  <c i="18" r="E13" s="1"/>
  <c i="17" r="K25"/>
  <c i="1" r="CE8" s="1"/>
  <c i="1" r="BY30" s="1"/>
  <c i="18" r="E12" s="1"/>
  <c i="17" r="J25"/>
  <c i="1" r="CD8" s="1"/>
  <c i="1" r="BY29" s="1"/>
  <c i="18" r="E11" s="1"/>
  <c i="17" r="I25"/>
  <c i="1" r="CC8" s="1"/>
  <c i="1" r="BY28" s="1"/>
  <c i="18" r="E10" s="1"/>
  <c i="17" r="H25"/>
  <c i="1" r="CB8" s="1"/>
  <c i="1" r="BY27" s="1"/>
  <c i="18" r="E9" s="1"/>
  <c i="17" r="G25"/>
  <c i="1" r="CA8" s="1"/>
  <c i="1" r="BY26" s="1"/>
  <c i="18" r="E8" s="1"/>
  <c i="17" r="F25"/>
  <c i="1" r="BZ8" s="1"/>
  <c i="1" r="BY25" s="1"/>
  <c i="18" r="E7" s="1"/>
  <c i="17" r="E25"/>
  <c i="1" r="BY8" s="1"/>
  <c i="1" r="BY24" s="1"/>
  <c i="18" r="E6" s="1"/>
  <c i="17" r="D25"/>
  <c i="1" r="BX8" s="1"/>
  <c i="1" r="BY23" s="1"/>
  <c i="18" r="E5" s="1"/>
  <c i="17" r="C25"/>
  <c i="1" r="BW8" s="1"/>
  <c i="1" r="BY22" s="1"/>
  <c i="18" r="E4" s="1"/>
  <c i="18" l="1" r="CV10"/>
  <c i="17" r="J51"/>
  <c i="1" r="BY42"/>
  <c i="18" r="E24" s="1"/>
  <c i="17" r="W51"/>
  <c i="17" r="V51"/>
  <c i="17" r="U51"/>
  <c i="17" r="X51"/>
  <c i="17" r="T51"/>
  <c i="17" r="R51"/>
  <c i="17" r="Q51"/>
  <c i="17" r="P51"/>
  <c i="17" r="X25"/>
  <c i="17" r="O51"/>
  <c i="17" r="N51"/>
  <c i="17" r="M51"/>
  <c i="17" r="L51"/>
  <c i="17" r="S51"/>
  <c i="17" r="K51"/>
  <c i="17" r="I51"/>
  <c i="17" r="H51"/>
  <c i="17" r="G51"/>
  <c i="17" r="F51"/>
  <c i="17" r="E51"/>
  <c i="17" r="D51"/>
  <c i="18" l="1" r="CV11"/>
  <c i="1" r="CR8"/>
  <c i="18" l="1" r="CV12"/>
  <c i="8" r="J25"/>
  <c i="8" r="J36" s="1"/>
  <c i="8" r="K25"/>
  <c i="8" r="K36" s="1"/>
  <c i="8" r="I25"/>
  <c i="8" r="I36" s="1"/>
  <c i="8" r="C25"/>
  <c i="8" r="C36" s="1"/>
  <c i="8" r="D25"/>
  <c i="8" r="D36" s="1"/>
  <c i="8" r="B25"/>
  <c i="8" r="B36" s="1"/>
  <c i="1" r="AT28"/>
  <c i="1" r="CQ9" s="1"/>
  <c i="1" r="AS28"/>
  <c i="1" r="CP9" s="1"/>
  <c i="1" r="BZ41" s="1"/>
  <c i="18" r="F23" s="1"/>
  <c i="1" r="AR28"/>
  <c i="1" r="CO9" s="1"/>
  <c i="1" r="BZ40" s="1"/>
  <c i="18" r="F22" s="1"/>
  <c i="1" r="AQ28"/>
  <c i="1" r="CN9" s="1"/>
  <c i="1" r="BZ39" s="1"/>
  <c i="18" r="F21" s="1"/>
  <c i="1" r="AP28"/>
  <c i="1" r="CM9" s="1"/>
  <c i="1" r="BZ38" s="1"/>
  <c i="18" r="F20" s="1"/>
  <c i="1" r="AO28"/>
  <c i="1" r="CL9" s="1"/>
  <c i="1" r="BZ37" s="1"/>
  <c i="18" r="F19" s="1"/>
  <c i="1" r="AN28"/>
  <c i="1" r="CK9" s="1"/>
  <c i="1" r="BZ36" s="1"/>
  <c i="18" r="F18" s="1"/>
  <c i="1" r="AM28"/>
  <c i="1" r="CJ9" s="1"/>
  <c i="1" r="BZ35" s="1"/>
  <c i="18" r="F17" s="1"/>
  <c i="1" r="AL28"/>
  <c i="1" r="CI9" s="1"/>
  <c i="1" r="BZ34" s="1"/>
  <c i="18" r="F16" s="1"/>
  <c i="1" r="AK28"/>
  <c i="1" r="CH9" s="1"/>
  <c i="1" r="BZ33" s="1"/>
  <c i="18" r="F15" s="1"/>
  <c i="1" r="AJ28"/>
  <c i="1" r="CG9" s="1"/>
  <c i="1" r="BZ32" s="1"/>
  <c i="18" r="F14" s="1"/>
  <c i="1" r="AI28"/>
  <c i="1" r="CF9" s="1"/>
  <c i="1" r="BZ31" s="1"/>
  <c i="18" r="F13" s="1"/>
  <c i="1" r="AH28"/>
  <c i="1" r="CE9" s="1"/>
  <c i="1" r="BZ30" s="1"/>
  <c i="18" r="F12" s="1"/>
  <c i="1" r="AG28"/>
  <c i="1" r="CD9" s="1"/>
  <c i="1" r="BZ29" s="1"/>
  <c i="18" r="F11" s="1"/>
  <c i="1" r="AF28"/>
  <c i="1" r="CC9" s="1"/>
  <c i="1" r="BZ28" s="1"/>
  <c i="18" r="F10" s="1"/>
  <c i="1" r="AE28"/>
  <c i="1" r="CB9" s="1"/>
  <c i="1" r="BZ27" s="1"/>
  <c i="18" r="F9" s="1"/>
  <c i="1" r="AD28"/>
  <c i="1" r="CA9" s="1"/>
  <c i="1" r="BZ26" s="1"/>
  <c i="18" r="F8" s="1"/>
  <c i="1" r="AC28"/>
  <c i="1" r="BZ9" s="1"/>
  <c i="1" r="BZ25" s="1"/>
  <c i="18" r="F7" s="1"/>
  <c i="1" r="AB28"/>
  <c i="1" r="BY9" s="1"/>
  <c i="1" r="BZ24" s="1"/>
  <c i="18" r="F6" s="1"/>
  <c i="1" r="AA28"/>
  <c i="1" r="BX9" s="1"/>
  <c i="1" r="BZ23" s="1"/>
  <c i="18" r="F5" s="1"/>
  <c i="1" r="Z28"/>
  <c i="1" r="BW9" s="1"/>
  <c i="1" r="BZ22" s="1"/>
  <c i="18" r="F4" s="1"/>
  <c i="1" r="AU27"/>
  <c i="1" r="AR54" s="1"/>
  <c i="18" r="U50" s="1"/>
  <c i="1" r="AU26"/>
  <c i="1" r="AU25"/>
  <c i="1" r="AU24"/>
  <c i="1" r="AU23"/>
  <c i="1" r="AU22"/>
  <c i="1" r="AU21"/>
  <c i="1" r="AU20"/>
  <c i="1" r="AU19"/>
  <c i="1" r="AU18"/>
  <c i="1" r="AU17"/>
  <c i="1" r="AU16"/>
  <c i="1" r="AU15"/>
  <c i="1" r="AU14"/>
  <c i="1" r="AU13"/>
  <c i="1" r="AU12"/>
  <c i="1" r="AU11"/>
  <c i="1" r="AU10"/>
  <c i="1" r="AU9"/>
  <c i="1" r="AU8"/>
  <c i="1" r="AU7"/>
  <c i="18" l="1" r="CV13"/>
  <c i="1" r="AP54"/>
  <c i="18" r="S50" s="1"/>
  <c i="18" r="AQ130" s="1"/>
  <c i="18" r="AQ156" s="1"/>
  <c i="1" r="AK54"/>
  <c i="18" r="N50" s="1"/>
  <c i="18" r="AL130" s="1"/>
  <c i="18" r="AL156" s="1"/>
  <c i="1" r="AJ54"/>
  <c i="18" r="M50" s="1"/>
  <c i="18" r="AK130" s="1"/>
  <c i="18" r="AK156" s="1"/>
  <c i="1" r="AQ54"/>
  <c i="18" r="T50" s="1"/>
  <c i="18" r="AR130" s="1"/>
  <c i="18" r="AR156" s="1"/>
  <c i="1" r="AI54"/>
  <c i="18" r="L50" s="1"/>
  <c i="18" r="AJ130" s="1"/>
  <c i="18" r="AJ156" s="1"/>
  <c i="1" r="AH54"/>
  <c i="18" r="K50" s="1"/>
  <c i="18" r="AI130" s="1"/>
  <c i="18" r="AI156" s="1"/>
  <c i="1" r="AG54"/>
  <c i="18" r="J50" s="1"/>
  <c i="18" r="AH130" s="1"/>
  <c i="18" r="AH156" s="1"/>
  <c i="1" r="AO54"/>
  <c i="18" r="R50" s="1"/>
  <c i="18" r="AP130" s="1"/>
  <c i="18" r="AP156" s="1"/>
  <c i="1" r="AF54"/>
  <c i="18" r="I50" s="1"/>
  <c i="18" r="AG130" s="1"/>
  <c i="18" r="AG156" s="1"/>
  <c i="1" r="AM54"/>
  <c i="18" r="P50" s="1"/>
  <c i="18" r="AN130" s="1"/>
  <c i="18" r="AN156" s="1"/>
  <c i="1" r="AN54"/>
  <c i="18" r="Q50" s="1"/>
  <c i="18" r="AO130" s="1"/>
  <c i="18" r="AO156" s="1"/>
  <c i="1" r="AL54"/>
  <c i="18" r="O50" s="1"/>
  <c i="18" r="AM130" s="1"/>
  <c i="18" r="AM156" s="1"/>
  <c i="1" r="AE54"/>
  <c i="18" r="H50" s="1"/>
  <c i="18" r="AF130" s="1"/>
  <c i="18" r="AF156" s="1"/>
  <c i="1" r="AD54"/>
  <c i="18" r="G50" s="1"/>
  <c i="18" r="AE130" s="1"/>
  <c i="18" r="AE156" s="1"/>
  <c i="18" r="AS130"/>
  <c i="18" r="AS156" s="1"/>
  <c i="1" r="AC54"/>
  <c i="18" r="F50" s="1"/>
  <c i="18" r="AD130" s="1"/>
  <c i="18" r="AD156" s="1"/>
  <c i="1" r="AB54"/>
  <c i="18" r="E50" s="1"/>
  <c i="18" r="AC130" s="1"/>
  <c i="18" r="AC156" s="1"/>
  <c i="1" r="AA54"/>
  <c i="18" r="D50" s="1"/>
  <c i="18" r="AB130" s="1"/>
  <c i="18" r="AB156" s="1"/>
  <c i="1" r="Z54"/>
  <c i="18" r="C50" s="1"/>
  <c i="18" r="AA130" s="1"/>
  <c i="18" r="AA156" s="1"/>
  <c i="1" r="AT54"/>
  <c i="18" r="W50" s="1"/>
  <c i="18" r="AU130" s="1"/>
  <c i="18" r="AU156" s="1"/>
  <c i="1" r="AS54"/>
  <c i="18" r="V50" s="1"/>
  <c i="18" r="AT130" s="1"/>
  <c i="18" r="AT156" s="1"/>
  <c i="1" r="BZ42"/>
  <c i="18" r="F24" s="1"/>
  <c i="1" r="AU28"/>
  <c i="1" r="AX35"/>
  <c i="18" r="AA31" s="1"/>
  <c i="1" r="AY35"/>
  <c i="18" r="AB31" s="1"/>
  <c i="1" r="AZ35"/>
  <c i="18" r="AC31" s="1"/>
  <c i="1" r="BA35"/>
  <c i="18" r="AD31" s="1"/>
  <c i="1" r="BB35"/>
  <c i="18" r="AE31" s="1"/>
  <c i="1" r="BC35"/>
  <c i="18" r="AF31" s="1"/>
  <c i="1" r="BD35"/>
  <c i="18" r="AG31" s="1"/>
  <c i="1" r="BE35"/>
  <c i="18" r="AH31" s="1"/>
  <c i="1" r="BF35"/>
  <c i="18" r="AI31" s="1"/>
  <c i="1" r="BG35"/>
  <c i="18" r="AJ31" s="1"/>
  <c i="1" r="BH35"/>
  <c i="18" r="AK31" s="1"/>
  <c i="1" r="BI35"/>
  <c i="18" r="AL31" s="1"/>
  <c i="1" r="BJ35"/>
  <c i="18" r="AM31" s="1"/>
  <c i="1" r="BK35"/>
  <c i="18" r="AN31" s="1"/>
  <c i="1" r="BL35"/>
  <c i="18" r="AO31" s="1"/>
  <c i="1" r="BM35"/>
  <c i="18" r="AP31" s="1"/>
  <c i="1" r="BN35"/>
  <c i="18" r="AQ31" s="1"/>
  <c i="1" r="BO35"/>
  <c i="18" r="AR31" s="1"/>
  <c i="1" r="BP35"/>
  <c i="18" r="AS31" s="1"/>
  <c i="1" r="BQ35"/>
  <c i="18" r="AT31" s="1"/>
  <c i="1" r="BR35"/>
  <c i="18" r="AU31" s="1"/>
  <c i="1" r="AX36"/>
  <c i="18" r="AA32" s="1"/>
  <c i="1" r="AY36"/>
  <c i="18" r="AB32" s="1"/>
  <c i="1" r="AZ36"/>
  <c i="18" r="AC32" s="1"/>
  <c i="1" r="BA36"/>
  <c i="18" r="AD32" s="1"/>
  <c i="1" r="BB36"/>
  <c i="18" r="AE32" s="1"/>
  <c i="1" r="BC36"/>
  <c i="18" r="AF32" s="1"/>
  <c i="1" r="BD36"/>
  <c i="18" r="AG32" s="1"/>
  <c i="1" r="BE36"/>
  <c i="18" r="AH32" s="1"/>
  <c i="1" r="BF36"/>
  <c i="18" r="AI32" s="1"/>
  <c i="1" r="BG36"/>
  <c i="18" r="AJ32" s="1"/>
  <c i="1" r="BH36"/>
  <c i="18" r="AK32" s="1"/>
  <c i="1" r="BI36"/>
  <c i="18" r="AL32" s="1"/>
  <c i="1" r="BJ36"/>
  <c i="18" r="AM32" s="1"/>
  <c i="1" r="BK36"/>
  <c i="18" r="AN32" s="1"/>
  <c i="1" r="BL36"/>
  <c i="18" r="AO32" s="1"/>
  <c i="1" r="BM36"/>
  <c i="18" r="AP32" s="1"/>
  <c i="1" r="BN36"/>
  <c i="18" r="AQ32" s="1"/>
  <c i="1" r="BO36"/>
  <c i="18" r="AR32" s="1"/>
  <c i="1" r="BP36"/>
  <c i="18" r="AS32" s="1"/>
  <c i="1" r="BQ36"/>
  <c i="18" r="AT32" s="1"/>
  <c i="1" r="BR36"/>
  <c i="18" r="AU32" s="1"/>
  <c i="1" r="AX37"/>
  <c i="18" r="AA33" s="1"/>
  <c i="1" r="AY37"/>
  <c i="18" r="AB33" s="1"/>
  <c i="1" r="AZ37"/>
  <c i="18" r="AC33" s="1"/>
  <c i="1" r="BA37"/>
  <c i="18" r="AD33" s="1"/>
  <c i="1" r="BB37"/>
  <c i="18" r="AE33" s="1"/>
  <c i="1" r="BC37"/>
  <c i="18" r="AF33" s="1"/>
  <c i="1" r="BD37"/>
  <c i="18" r="AG33" s="1"/>
  <c i="1" r="BE37"/>
  <c i="18" r="AH33" s="1"/>
  <c i="1" r="BF37"/>
  <c i="18" r="AI33" s="1"/>
  <c i="1" r="BG37"/>
  <c i="18" r="AJ33" s="1"/>
  <c i="1" r="BH37"/>
  <c i="18" r="AK33" s="1"/>
  <c i="1" r="BI37"/>
  <c i="18" r="AL33" s="1"/>
  <c i="1" r="BJ37"/>
  <c i="18" r="AM33" s="1"/>
  <c i="1" r="BK37"/>
  <c i="18" r="AN33" s="1"/>
  <c i="1" r="BL37"/>
  <c i="18" r="AO33" s="1"/>
  <c i="1" r="BM37"/>
  <c i="18" r="AP33" s="1"/>
  <c i="1" r="BN37"/>
  <c i="18" r="AQ33" s="1"/>
  <c i="1" r="BO37"/>
  <c i="18" r="AR33" s="1"/>
  <c i="1" r="BP37"/>
  <c i="18" r="AS33" s="1"/>
  <c i="1" r="BQ37"/>
  <c i="18" r="AT33" s="1"/>
  <c i="1" r="BR37"/>
  <c i="18" r="AU33" s="1"/>
  <c i="1" r="AX38"/>
  <c i="18" r="AA34" s="1"/>
  <c i="1" r="AY38"/>
  <c i="18" r="AB34" s="1"/>
  <c i="1" r="AZ38"/>
  <c i="18" r="AC34" s="1"/>
  <c i="1" r="BA38"/>
  <c i="18" r="AD34" s="1"/>
  <c i="1" r="BB38"/>
  <c i="18" r="AE34" s="1"/>
  <c i="1" r="BC38"/>
  <c i="18" r="AF34" s="1"/>
  <c i="1" r="BD38"/>
  <c i="18" r="AG34" s="1"/>
  <c i="1" r="BE38"/>
  <c i="18" r="AH34" s="1"/>
  <c i="1" r="BF38"/>
  <c i="18" r="AI34" s="1"/>
  <c i="1" r="BG38"/>
  <c i="18" r="AJ34" s="1"/>
  <c i="1" r="BH38"/>
  <c i="18" r="AK34" s="1"/>
  <c i="1" r="BI38"/>
  <c i="18" r="AL34" s="1"/>
  <c i="1" r="BJ38"/>
  <c i="18" r="AM34" s="1"/>
  <c i="1" r="BK38"/>
  <c i="18" r="AN34" s="1"/>
  <c i="1" r="BL38"/>
  <c i="18" r="AO34" s="1"/>
  <c i="1" r="BM38"/>
  <c i="18" r="AP34" s="1"/>
  <c i="1" r="BN38"/>
  <c i="18" r="AQ34" s="1"/>
  <c i="1" r="BO38"/>
  <c i="18" r="AR34" s="1"/>
  <c i="1" r="BP38"/>
  <c i="18" r="AS34" s="1"/>
  <c i="1" r="BQ38"/>
  <c i="18" r="AT34" s="1"/>
  <c i="1" r="BR38"/>
  <c i="18" r="AU34" s="1"/>
  <c i="1" r="AX39"/>
  <c i="18" r="AA35" s="1"/>
  <c i="1" r="AY39"/>
  <c i="18" r="AB35" s="1"/>
  <c i="1" r="AZ39"/>
  <c i="18" r="AC35" s="1"/>
  <c i="1" r="BA39"/>
  <c i="18" r="AD35" s="1"/>
  <c i="1" r="BB39"/>
  <c i="18" r="AE35" s="1"/>
  <c i="1" r="BC39"/>
  <c i="18" r="AF35" s="1"/>
  <c i="1" r="BD39"/>
  <c i="18" r="AG35" s="1"/>
  <c i="1" r="BE39"/>
  <c i="18" r="AH35" s="1"/>
  <c i="1" r="BF39"/>
  <c i="18" r="AI35" s="1"/>
  <c i="1" r="BG39"/>
  <c i="18" r="AJ35" s="1"/>
  <c i="1" r="BH39"/>
  <c i="18" r="AK35" s="1"/>
  <c i="1" r="BI39"/>
  <c i="18" r="AL35" s="1"/>
  <c i="1" r="BJ39"/>
  <c i="18" r="AM35" s="1"/>
  <c i="1" r="BK39"/>
  <c i="18" r="AN35" s="1"/>
  <c i="1" r="BL39"/>
  <c i="18" r="AO35" s="1"/>
  <c i="1" r="BM39"/>
  <c i="18" r="AP35" s="1"/>
  <c i="1" r="BN39"/>
  <c i="18" r="AQ35" s="1"/>
  <c i="1" r="BO39"/>
  <c i="18" r="AR35" s="1"/>
  <c i="1" r="BP39"/>
  <c i="18" r="AS35" s="1"/>
  <c i="1" r="BQ39"/>
  <c i="18" r="AT35" s="1"/>
  <c i="1" r="BR39"/>
  <c i="18" r="AU35" s="1"/>
  <c i="1" r="AX40"/>
  <c i="18" r="AA36" s="1"/>
  <c i="1" r="AY40"/>
  <c i="18" r="AB36" s="1"/>
  <c i="1" r="AZ40"/>
  <c i="18" r="AC36" s="1"/>
  <c i="1" r="BA40"/>
  <c i="18" r="AD36" s="1"/>
  <c i="1" r="BB40"/>
  <c i="18" r="AE36" s="1"/>
  <c i="1" r="BC40"/>
  <c i="18" r="AF36" s="1"/>
  <c i="1" r="BD40"/>
  <c i="18" r="AG36" s="1"/>
  <c i="1" r="BE40"/>
  <c i="18" r="AH36" s="1"/>
  <c i="1" r="BF40"/>
  <c i="18" r="AI36" s="1"/>
  <c i="1" r="BG40"/>
  <c i="18" r="AJ36" s="1"/>
  <c i="1" r="BH40"/>
  <c i="18" r="AK36" s="1"/>
  <c i="1" r="BI40"/>
  <c i="18" r="AL36" s="1"/>
  <c i="1" r="BJ40"/>
  <c i="18" r="AM36" s="1"/>
  <c i="1" r="BK40"/>
  <c i="18" r="AN36" s="1"/>
  <c i="1" r="BL40"/>
  <c i="18" r="AO36" s="1"/>
  <c i="1" r="BM40"/>
  <c i="18" r="AP36" s="1"/>
  <c i="1" r="BN40"/>
  <c i="18" r="AQ36" s="1"/>
  <c i="1" r="BO40"/>
  <c i="18" r="AR36" s="1"/>
  <c i="1" r="BP40"/>
  <c i="18" r="AS36" s="1"/>
  <c i="1" r="BQ40"/>
  <c i="18" r="AT36" s="1"/>
  <c i="1" r="BR40"/>
  <c i="18" r="AU36" s="1"/>
  <c i="1" r="AX41"/>
  <c i="18" r="AA37" s="1"/>
  <c i="1" r="AY41"/>
  <c i="18" r="AB37" s="1"/>
  <c i="1" r="AZ41"/>
  <c i="18" r="AC37" s="1"/>
  <c i="1" r="BA41"/>
  <c i="18" r="AD37" s="1"/>
  <c i="1" r="BB41"/>
  <c i="18" r="AE37" s="1"/>
  <c i="1" r="BC41"/>
  <c i="18" r="AF37" s="1"/>
  <c i="1" r="BD41"/>
  <c i="18" r="AG37" s="1"/>
  <c i="1" r="BE41"/>
  <c i="18" r="AH37" s="1"/>
  <c i="1" r="BF41"/>
  <c i="18" r="AI37" s="1"/>
  <c i="1" r="BG41"/>
  <c i="18" r="AJ37" s="1"/>
  <c i="1" r="BH41"/>
  <c i="18" r="AK37" s="1"/>
  <c i="1" r="BI41"/>
  <c i="18" r="AL37" s="1"/>
  <c i="1" r="BJ41"/>
  <c i="18" r="AM37" s="1"/>
  <c i="1" r="BK41"/>
  <c i="18" r="AN37" s="1"/>
  <c i="1" r="BL41"/>
  <c i="18" r="AO37" s="1"/>
  <c i="1" r="BM41"/>
  <c i="18" r="AP37" s="1"/>
  <c i="1" r="BN41"/>
  <c i="18" r="AQ37" s="1"/>
  <c i="1" r="BO41"/>
  <c i="18" r="AR37" s="1"/>
  <c i="1" r="BP41"/>
  <c i="18" r="AS37" s="1"/>
  <c i="1" r="BQ41"/>
  <c i="18" r="AT37" s="1"/>
  <c i="1" r="BR41"/>
  <c i="18" r="AU37" s="1"/>
  <c i="1" r="AX42"/>
  <c i="18" r="AA38" s="1"/>
  <c i="1" r="AY42"/>
  <c i="18" r="AB38" s="1"/>
  <c i="1" r="AZ42"/>
  <c i="18" r="AC38" s="1"/>
  <c i="1" r="BA42"/>
  <c i="18" r="AD38" s="1"/>
  <c i="1" r="BB42"/>
  <c i="18" r="AE38" s="1"/>
  <c i="1" r="BC42"/>
  <c i="18" r="AF38" s="1"/>
  <c i="1" r="BD42"/>
  <c i="18" r="AG38" s="1"/>
  <c i="1" r="BE42"/>
  <c i="18" r="AH38" s="1"/>
  <c i="1" r="BF42"/>
  <c i="18" r="AI38" s="1"/>
  <c i="1" r="BG42"/>
  <c i="18" r="AJ38" s="1"/>
  <c i="1" r="BH42"/>
  <c i="18" r="AK38" s="1"/>
  <c i="1" r="BI42"/>
  <c i="18" r="AL38" s="1"/>
  <c i="1" r="BJ42"/>
  <c i="18" r="AM38" s="1"/>
  <c i="1" r="BK42"/>
  <c i="18" r="AN38" s="1"/>
  <c i="1" r="BL42"/>
  <c i="18" r="AO38" s="1"/>
  <c i="1" r="BM42"/>
  <c i="18" r="AP38" s="1"/>
  <c i="1" r="BN42"/>
  <c i="18" r="AQ38" s="1"/>
  <c i="1" r="BO42"/>
  <c i="18" r="AR38" s="1"/>
  <c i="1" r="BP42"/>
  <c i="18" r="AS38" s="1"/>
  <c i="1" r="BQ42"/>
  <c i="18" r="AT38" s="1"/>
  <c i="1" r="BR42"/>
  <c i="18" r="AU38" s="1"/>
  <c i="1" r="AX43"/>
  <c i="18" r="AA39" s="1"/>
  <c i="1" r="AY43"/>
  <c i="18" r="AB39" s="1"/>
  <c i="1" r="AZ43"/>
  <c i="18" r="AC39" s="1"/>
  <c i="1" r="BA43"/>
  <c i="18" r="AD39" s="1"/>
  <c i="1" r="BB43"/>
  <c i="18" r="AE39" s="1"/>
  <c i="1" r="BC43"/>
  <c i="18" r="AF39" s="1"/>
  <c i="1" r="BD43"/>
  <c i="18" r="AG39" s="1"/>
  <c i="1" r="BE43"/>
  <c i="18" r="AH39" s="1"/>
  <c i="1" r="BF43"/>
  <c i="18" r="AI39" s="1"/>
  <c i="1" r="BG43"/>
  <c i="18" r="AJ39" s="1"/>
  <c i="1" r="BH43"/>
  <c i="18" r="AK39" s="1"/>
  <c i="1" r="BI43"/>
  <c i="18" r="AL39" s="1"/>
  <c i="1" r="BJ43"/>
  <c i="18" r="AM39" s="1"/>
  <c i="1" r="BK43"/>
  <c i="18" r="AN39" s="1"/>
  <c i="1" r="BL43"/>
  <c i="18" r="AO39" s="1"/>
  <c i="1" r="BM43"/>
  <c i="18" r="AP39" s="1"/>
  <c i="1" r="BN43"/>
  <c i="18" r="AQ39" s="1"/>
  <c i="1" r="BO43"/>
  <c i="18" r="AR39" s="1"/>
  <c i="1" r="BP43"/>
  <c i="18" r="AS39" s="1"/>
  <c i="1" r="BQ43"/>
  <c i="18" r="AT39" s="1"/>
  <c i="1" r="BR43"/>
  <c i="18" r="AU39" s="1"/>
  <c i="1" r="AX44"/>
  <c i="18" r="AA40" s="1"/>
  <c i="1" r="AY44"/>
  <c i="18" r="AB40" s="1"/>
  <c i="1" r="AZ44"/>
  <c i="18" r="AC40" s="1"/>
  <c i="1" r="BA44"/>
  <c i="18" r="AD40" s="1"/>
  <c i="1" r="BB44"/>
  <c i="18" r="AE40" s="1"/>
  <c i="1" r="BC44"/>
  <c i="18" r="AF40" s="1"/>
  <c i="1" r="BD44"/>
  <c i="18" r="AG40" s="1"/>
  <c i="1" r="BE44"/>
  <c i="18" r="AH40" s="1"/>
  <c i="1" r="BF44"/>
  <c i="18" r="AI40" s="1"/>
  <c i="1" r="BG44"/>
  <c i="18" r="AJ40" s="1"/>
  <c i="1" r="BH44"/>
  <c i="18" r="AK40" s="1"/>
  <c i="1" r="BI44"/>
  <c i="18" r="AL40" s="1"/>
  <c i="1" r="BJ44"/>
  <c i="18" r="AM40" s="1"/>
  <c i="1" r="BK44"/>
  <c i="18" r="AN40" s="1"/>
  <c i="1" r="BL44"/>
  <c i="18" r="AO40" s="1"/>
  <c i="1" r="BM44"/>
  <c i="18" r="AP40" s="1"/>
  <c i="1" r="BN44"/>
  <c i="18" r="AQ40" s="1"/>
  <c i="1" r="BO44"/>
  <c i="18" r="AR40" s="1"/>
  <c i="1" r="BP44"/>
  <c i="18" r="AS40" s="1"/>
  <c i="1" r="BQ44"/>
  <c i="18" r="AT40" s="1"/>
  <c i="1" r="BR44"/>
  <c i="18" r="AU40" s="1"/>
  <c i="1" r="AX45"/>
  <c i="18" r="AA41" s="1"/>
  <c i="1" r="AY45"/>
  <c i="18" r="AB41" s="1"/>
  <c i="1" r="AZ45"/>
  <c i="18" r="AC41" s="1"/>
  <c i="1" r="BA45"/>
  <c i="18" r="AD41" s="1"/>
  <c i="1" r="BB45"/>
  <c i="18" r="AE41" s="1"/>
  <c i="1" r="BC45"/>
  <c i="18" r="AF41" s="1"/>
  <c i="1" r="BD45"/>
  <c i="18" r="AG41" s="1"/>
  <c i="1" r="BE45"/>
  <c i="18" r="AH41" s="1"/>
  <c i="1" r="BF45"/>
  <c i="18" r="AI41" s="1"/>
  <c i="1" r="BG45"/>
  <c i="18" r="AJ41" s="1"/>
  <c i="1" r="BH45"/>
  <c i="18" r="AK41" s="1"/>
  <c i="1" r="BI45"/>
  <c i="18" r="AL41" s="1"/>
  <c i="1" r="BJ45"/>
  <c i="18" r="AM41" s="1"/>
  <c i="1" r="BK45"/>
  <c i="18" r="AN41" s="1"/>
  <c i="1" r="BL45"/>
  <c i="18" r="AO41" s="1"/>
  <c i="1" r="BM45"/>
  <c i="18" r="AP41" s="1"/>
  <c i="1" r="BN45"/>
  <c i="18" r="AQ41" s="1"/>
  <c i="1" r="BO45"/>
  <c i="18" r="AR41" s="1"/>
  <c i="1" r="BP45"/>
  <c i="18" r="AS41" s="1"/>
  <c i="1" r="BQ45"/>
  <c i="18" r="AT41" s="1"/>
  <c i="1" r="BR45"/>
  <c i="18" r="AU41" s="1"/>
  <c i="1" r="AX46"/>
  <c i="18" r="AA42" s="1"/>
  <c i="1" r="AY46"/>
  <c i="18" r="AB42" s="1"/>
  <c i="1" r="AZ46"/>
  <c i="18" r="AC42" s="1"/>
  <c i="1" r="BA46"/>
  <c i="18" r="AD42" s="1"/>
  <c i="1" r="BB46"/>
  <c i="18" r="AE42" s="1"/>
  <c i="1" r="BC46"/>
  <c i="18" r="AF42" s="1"/>
  <c i="1" r="BD46"/>
  <c i="18" r="AG42" s="1"/>
  <c i="1" r="BE46"/>
  <c i="18" r="AH42" s="1"/>
  <c i="1" r="BF46"/>
  <c i="18" r="AI42" s="1"/>
  <c i="1" r="BG46"/>
  <c i="18" r="AJ42" s="1"/>
  <c i="1" r="BH46"/>
  <c i="18" r="AK42" s="1"/>
  <c i="1" r="BI46"/>
  <c i="18" r="AL42" s="1"/>
  <c i="1" r="BJ46"/>
  <c i="18" r="AM42" s="1"/>
  <c i="1" r="BK46"/>
  <c i="18" r="AN42" s="1"/>
  <c i="1" r="BL46"/>
  <c i="18" r="AO42" s="1"/>
  <c i="1" r="BM46"/>
  <c i="18" r="AP42" s="1"/>
  <c i="1" r="BN46"/>
  <c i="18" r="AQ42" s="1"/>
  <c i="1" r="BO46"/>
  <c i="18" r="AR42" s="1"/>
  <c i="1" r="BP46"/>
  <c i="18" r="AS42" s="1"/>
  <c i="1" r="BQ46"/>
  <c i="18" r="AT42" s="1"/>
  <c i="1" r="BR46"/>
  <c i="18" r="AU42" s="1"/>
  <c i="1" r="AX47"/>
  <c i="18" r="AA43" s="1"/>
  <c i="1" r="AY47"/>
  <c i="18" r="AB43" s="1"/>
  <c i="1" r="AZ47"/>
  <c i="18" r="AC43" s="1"/>
  <c i="1" r="BA47"/>
  <c i="18" r="AD43" s="1"/>
  <c i="1" r="BB47"/>
  <c i="18" r="AE43" s="1"/>
  <c i="1" r="BC47"/>
  <c i="18" r="AF43" s="1"/>
  <c i="1" r="BD47"/>
  <c i="18" r="AG43" s="1"/>
  <c i="1" r="BE47"/>
  <c i="18" r="AH43" s="1"/>
  <c i="1" r="BF47"/>
  <c i="18" r="AI43" s="1"/>
  <c i="1" r="BG47"/>
  <c i="18" r="AJ43" s="1"/>
  <c i="1" r="BH47"/>
  <c i="18" r="AK43" s="1"/>
  <c i="1" r="BI47"/>
  <c i="18" r="AL43" s="1"/>
  <c i="1" r="BJ47"/>
  <c i="18" r="AM43" s="1"/>
  <c i="1" r="BK47"/>
  <c i="18" r="AN43" s="1"/>
  <c i="1" r="BL47"/>
  <c i="18" r="AO43" s="1"/>
  <c i="1" r="BM47"/>
  <c i="18" r="AP43" s="1"/>
  <c i="1" r="BN47"/>
  <c i="18" r="AQ43" s="1"/>
  <c i="1" r="BO47"/>
  <c i="18" r="AR43" s="1"/>
  <c i="1" r="BP47"/>
  <c i="18" r="AS43" s="1"/>
  <c i="1" r="BQ47"/>
  <c i="18" r="AT43" s="1"/>
  <c i="1" r="BR47"/>
  <c i="18" r="AU43" s="1"/>
  <c i="1" r="AX48"/>
  <c i="18" r="AA44" s="1"/>
  <c i="1" r="AY48"/>
  <c i="18" r="AB44" s="1"/>
  <c i="1" r="AZ48"/>
  <c i="18" r="AC44" s="1"/>
  <c i="1" r="BA48"/>
  <c i="18" r="AD44" s="1"/>
  <c i="1" r="BB48"/>
  <c i="18" r="AE44" s="1"/>
  <c i="1" r="BC48"/>
  <c i="18" r="AF44" s="1"/>
  <c i="1" r="BD48"/>
  <c i="18" r="AG44" s="1"/>
  <c i="1" r="BE48"/>
  <c i="18" r="AH44" s="1"/>
  <c i="1" r="BF48"/>
  <c i="18" r="AI44" s="1"/>
  <c i="1" r="BG48"/>
  <c i="18" r="AJ44" s="1"/>
  <c i="1" r="BH48"/>
  <c i="18" r="AK44" s="1"/>
  <c i="1" r="BI48"/>
  <c i="18" r="AL44" s="1"/>
  <c i="1" r="BJ48"/>
  <c i="18" r="AM44" s="1"/>
  <c i="1" r="BK48"/>
  <c i="18" r="AN44" s="1"/>
  <c i="1" r="BL48"/>
  <c i="18" r="AO44" s="1"/>
  <c i="1" r="BM48"/>
  <c i="18" r="AP44" s="1"/>
  <c i="1" r="BN48"/>
  <c i="18" r="AQ44" s="1"/>
  <c i="1" r="BO48"/>
  <c i="18" r="AR44" s="1"/>
  <c i="1" r="BP48"/>
  <c i="18" r="AS44" s="1"/>
  <c i="1" r="BQ48"/>
  <c i="18" r="AT44" s="1"/>
  <c i="1" r="BR48"/>
  <c i="18" r="AU44" s="1"/>
  <c i="1" r="AX49"/>
  <c i="18" r="AA45" s="1"/>
  <c i="1" r="AY49"/>
  <c i="18" r="AB45" s="1"/>
  <c i="1" r="AZ49"/>
  <c i="18" r="AC45" s="1"/>
  <c i="1" r="BA49"/>
  <c i="18" r="AD45" s="1"/>
  <c i="1" r="BB49"/>
  <c i="18" r="AE45" s="1"/>
  <c i="1" r="BC49"/>
  <c i="18" r="AF45" s="1"/>
  <c i="1" r="BD49"/>
  <c i="18" r="AG45" s="1"/>
  <c i="1" r="BE49"/>
  <c i="18" r="AH45" s="1"/>
  <c i="1" r="BF49"/>
  <c i="18" r="AI45" s="1"/>
  <c i="1" r="BG49"/>
  <c i="18" r="AJ45" s="1"/>
  <c i="1" r="BH49"/>
  <c i="18" r="AK45" s="1"/>
  <c i="1" r="BI49"/>
  <c i="18" r="AL45" s="1"/>
  <c i="1" r="BJ49"/>
  <c i="18" r="AM45" s="1"/>
  <c i="1" r="BK49"/>
  <c i="18" r="AN45" s="1"/>
  <c i="1" r="BL49"/>
  <c i="18" r="AO45" s="1"/>
  <c i="1" r="BM49"/>
  <c i="18" r="AP45" s="1"/>
  <c i="1" r="BN49"/>
  <c i="18" r="AQ45" s="1"/>
  <c i="1" r="BO49"/>
  <c i="18" r="AR45" s="1"/>
  <c i="1" r="BP49"/>
  <c i="18" r="AS45" s="1"/>
  <c i="1" r="BQ49"/>
  <c i="18" r="AT45" s="1"/>
  <c i="1" r="BR49"/>
  <c i="18" r="AU45" s="1"/>
  <c i="1" r="AX50"/>
  <c i="18" r="AA46" s="1"/>
  <c i="1" r="AY50"/>
  <c i="18" r="AB46" s="1"/>
  <c i="1" r="AZ50"/>
  <c i="18" r="AC46" s="1"/>
  <c i="1" r="BA50"/>
  <c i="18" r="AD46" s="1"/>
  <c i="1" r="BB50"/>
  <c i="18" r="AE46" s="1"/>
  <c i="1" r="BC50"/>
  <c i="18" r="AF46" s="1"/>
  <c i="1" r="BD50"/>
  <c i="18" r="AG46" s="1"/>
  <c i="1" r="BE50"/>
  <c i="18" r="AH46" s="1"/>
  <c i="1" r="BF50"/>
  <c i="18" r="AI46" s="1"/>
  <c i="1" r="BG50"/>
  <c i="18" r="AJ46" s="1"/>
  <c i="1" r="BH50"/>
  <c i="18" r="AK46" s="1"/>
  <c i="1" r="BI50"/>
  <c i="18" r="AL46" s="1"/>
  <c i="1" r="BJ50"/>
  <c i="18" r="AM46" s="1"/>
  <c i="1" r="BK50"/>
  <c i="18" r="AN46" s="1"/>
  <c i="1" r="BL50"/>
  <c i="18" r="AO46" s="1"/>
  <c i="1" r="BM50"/>
  <c i="18" r="AP46" s="1"/>
  <c i="1" r="BN50"/>
  <c i="18" r="AQ46" s="1"/>
  <c i="1" r="BO50"/>
  <c i="18" r="AR46" s="1"/>
  <c i="1" r="BP50"/>
  <c i="18" r="AS46" s="1"/>
  <c i="1" r="BQ50"/>
  <c i="18" r="AT46" s="1"/>
  <c i="1" r="BR50"/>
  <c i="18" r="AU46" s="1"/>
  <c i="1" r="AX51"/>
  <c i="18" r="AA47" s="1"/>
  <c i="1" r="AY51"/>
  <c i="18" r="AB47" s="1"/>
  <c i="1" r="AZ51"/>
  <c i="18" r="AC47" s="1"/>
  <c i="1" r="BA51"/>
  <c i="18" r="AD47" s="1"/>
  <c i="1" r="BB51"/>
  <c i="18" r="AE47" s="1"/>
  <c i="1" r="BC51"/>
  <c i="18" r="AF47" s="1"/>
  <c i="1" r="BD51"/>
  <c i="18" r="AG47" s="1"/>
  <c i="1" r="BE51"/>
  <c i="18" r="AH47" s="1"/>
  <c i="1" r="BF51"/>
  <c i="18" r="AI47" s="1"/>
  <c i="1" r="BG51"/>
  <c i="18" r="AJ47" s="1"/>
  <c i="1" r="BH51"/>
  <c i="18" r="AK47" s="1"/>
  <c i="1" r="BI51"/>
  <c i="18" r="AL47" s="1"/>
  <c i="1" r="BJ51"/>
  <c i="18" r="AM47" s="1"/>
  <c i="1" r="BK51"/>
  <c i="18" r="AN47" s="1"/>
  <c i="1" r="BL51"/>
  <c i="18" r="AO47" s="1"/>
  <c i="1" r="BM51"/>
  <c i="18" r="AP47" s="1"/>
  <c i="1" r="BN51"/>
  <c i="18" r="AQ47" s="1"/>
  <c i="1" r="BO51"/>
  <c i="18" r="AR47" s="1"/>
  <c i="1" r="BP51"/>
  <c i="18" r="AS47" s="1"/>
  <c i="1" r="BQ51"/>
  <c i="18" r="AT47" s="1"/>
  <c i="1" r="BR51"/>
  <c i="18" r="AU47" s="1"/>
  <c i="1" r="AX52"/>
  <c i="18" r="AA48" s="1"/>
  <c i="1" r="AY52"/>
  <c i="18" r="AB48" s="1"/>
  <c i="1" r="AZ52"/>
  <c i="18" r="AC48" s="1"/>
  <c i="1" r="BA52"/>
  <c i="18" r="AD48" s="1"/>
  <c i="1" r="BB52"/>
  <c i="18" r="AE48" s="1"/>
  <c i="1" r="BC52"/>
  <c i="18" r="AF48" s="1"/>
  <c i="1" r="BD52"/>
  <c i="18" r="AG48" s="1"/>
  <c i="1" r="BE52"/>
  <c i="18" r="AH48" s="1"/>
  <c i="1" r="BF52"/>
  <c i="18" r="AI48" s="1"/>
  <c i="1" r="BG52"/>
  <c i="18" r="AJ48" s="1"/>
  <c i="1" r="BH52"/>
  <c i="18" r="AK48" s="1"/>
  <c i="1" r="BI52"/>
  <c i="18" r="AL48" s="1"/>
  <c i="1" r="BJ52"/>
  <c i="18" r="AM48" s="1"/>
  <c i="1" r="BK52"/>
  <c i="18" r="AN48" s="1"/>
  <c i="1" r="BL52"/>
  <c i="18" r="AO48" s="1"/>
  <c i="1" r="BM52"/>
  <c i="18" r="AP48" s="1"/>
  <c i="1" r="BN52"/>
  <c i="18" r="AQ48" s="1"/>
  <c i="1" r="BO52"/>
  <c i="18" r="AR48" s="1"/>
  <c i="1" r="BP52"/>
  <c i="18" r="AS48" s="1"/>
  <c i="1" r="BQ52"/>
  <c i="18" r="AT48" s="1"/>
  <c i="1" r="BR52"/>
  <c i="18" r="AU48" s="1"/>
  <c i="1" r="AX53"/>
  <c i="18" r="AA49" s="1"/>
  <c i="1" r="AY53"/>
  <c i="18" r="AB49" s="1"/>
  <c i="1" r="AZ53"/>
  <c i="18" r="AC49" s="1"/>
  <c i="1" r="BA53"/>
  <c i="18" r="AD49" s="1"/>
  <c i="1" r="BB53"/>
  <c i="18" r="AE49" s="1"/>
  <c i="1" r="BC53"/>
  <c i="18" r="AF49" s="1"/>
  <c i="1" r="BD53"/>
  <c i="18" r="AG49" s="1"/>
  <c i="1" r="BE53"/>
  <c i="18" r="AH49" s="1"/>
  <c i="1" r="BF53"/>
  <c i="18" r="AI49" s="1"/>
  <c i="1" r="BG53"/>
  <c i="18" r="AJ49" s="1"/>
  <c i="1" r="BH53"/>
  <c i="18" r="AK49" s="1"/>
  <c i="1" r="BI53"/>
  <c i="18" r="AL49" s="1"/>
  <c i="1" r="BJ53"/>
  <c i="18" r="AM49" s="1"/>
  <c i="1" r="BK53"/>
  <c i="18" r="AN49" s="1"/>
  <c i="1" r="BL53"/>
  <c i="18" r="AO49" s="1"/>
  <c i="1" r="BM53"/>
  <c i="18" r="AP49" s="1"/>
  <c i="1" r="BN53"/>
  <c i="18" r="AQ49" s="1"/>
  <c i="1" r="BO53"/>
  <c i="18" r="AR49" s="1"/>
  <c i="1" r="BP53"/>
  <c i="18" r="AS49" s="1"/>
  <c i="1" r="BQ53"/>
  <c i="18" r="AT49" s="1"/>
  <c i="1" r="BR53"/>
  <c i="18" r="AU49" s="1"/>
  <c i="1" r="AX54"/>
  <c i="18" r="AA50" s="1"/>
  <c i="1" r="AY54"/>
  <c i="18" r="AB50" s="1"/>
  <c i="18" r="BA50" s="1"/>
  <c i="18" r="BY50" s="1"/>
  <c i="1" r="AZ54"/>
  <c i="18" r="AC50" s="1"/>
  <c i="1" r="BA54"/>
  <c i="18" r="AD50" s="1"/>
  <c i="1" r="BB54"/>
  <c i="18" r="AE50" s="1"/>
  <c i="18" r="BD50" s="1"/>
  <c i="18" r="CB50" s="1"/>
  <c i="1" r="BC54"/>
  <c i="18" r="AF50" s="1"/>
  <c i="18" r="BE50" s="1"/>
  <c i="18" r="CC50" s="1"/>
  <c i="1" r="BD54"/>
  <c i="18" r="AG50" s="1"/>
  <c i="18" r="BF50" s="1"/>
  <c i="18" r="CD50" s="1"/>
  <c i="1" r="BE54"/>
  <c i="18" r="AH50" s="1"/>
  <c i="18" r="BG50" s="1"/>
  <c i="18" r="CE50" s="1"/>
  <c i="1" r="BF54"/>
  <c i="18" r="AI50" s="1"/>
  <c i="18" r="BH50" s="1"/>
  <c i="18" r="CF50" s="1"/>
  <c i="1" r="BG54"/>
  <c i="18" r="AJ50" s="1"/>
  <c i="18" r="BI50" s="1"/>
  <c i="18" r="CG50" s="1"/>
  <c i="1" r="BH54"/>
  <c i="18" r="AK50" s="1"/>
  <c i="18" r="BJ50" s="1"/>
  <c i="18" r="CH50" s="1"/>
  <c i="1" r="BI54"/>
  <c i="18" r="AL50" s="1"/>
  <c i="18" r="BK50" s="1"/>
  <c i="18" r="CI50" s="1"/>
  <c i="1" r="BJ54"/>
  <c i="18" r="AM50" s="1"/>
  <c i="18" r="BL50" s="1"/>
  <c i="18" r="CJ50" s="1"/>
  <c i="1" r="BK54"/>
  <c i="18" r="AN50" s="1"/>
  <c i="18" r="BM50" s="1"/>
  <c i="18" r="CK50" s="1"/>
  <c i="1" r="BL54"/>
  <c i="18" r="AO50" s="1"/>
  <c i="18" r="BN50" s="1"/>
  <c i="18" r="CL50" s="1"/>
  <c i="1" r="BM54"/>
  <c i="18" r="AP50" s="1"/>
  <c i="18" r="BO50" s="1"/>
  <c i="18" r="CM50" s="1"/>
  <c i="1" r="BN54"/>
  <c i="18" r="AQ50" s="1"/>
  <c i="18" r="BP50" s="1"/>
  <c i="18" r="CN50" s="1"/>
  <c i="1" r="BO54"/>
  <c i="18" r="AR50" s="1"/>
  <c i="18" r="BQ50" s="1"/>
  <c i="18" r="CO50" s="1"/>
  <c i="1" r="BP54"/>
  <c i="18" r="AS50" s="1"/>
  <c i="18" r="BR50" s="1"/>
  <c i="18" r="CP50" s="1"/>
  <c i="1" r="BQ54"/>
  <c i="18" r="AT50" s="1"/>
  <c i="1" r="BR54"/>
  <c i="18" r="AU50" s="1"/>
  <c i="1" r="AY34"/>
  <c i="18" r="AB30" s="1"/>
  <c i="1" r="AZ34"/>
  <c i="18" r="AC30" s="1"/>
  <c i="1" r="BA34"/>
  <c i="18" r="AD30" s="1"/>
  <c i="1" r="BB34"/>
  <c i="18" r="AE30" s="1"/>
  <c i="1" r="BC34"/>
  <c i="18" r="AF30" s="1"/>
  <c i="1" r="BD34"/>
  <c i="18" r="AG30" s="1"/>
  <c i="1" r="BE34"/>
  <c i="18" r="AH30" s="1"/>
  <c i="1" r="BF34"/>
  <c i="18" r="AI30" s="1"/>
  <c i="1" r="BG34"/>
  <c i="18" r="AJ30" s="1"/>
  <c i="1" r="BH34"/>
  <c i="18" r="AK30" s="1"/>
  <c i="1" r="BI34"/>
  <c i="18" r="AL30" s="1"/>
  <c i="1" r="BJ34"/>
  <c i="18" r="AM30" s="1"/>
  <c i="1" r="BK34"/>
  <c i="18" r="AN30" s="1"/>
  <c i="1" r="BL34"/>
  <c i="18" r="AO30" s="1"/>
  <c i="1" r="BM34"/>
  <c i="18" r="AP30" s="1"/>
  <c i="1" r="BN34"/>
  <c i="18" r="AQ30" s="1"/>
  <c i="1" r="BO34"/>
  <c i="18" r="AR30" s="1"/>
  <c i="1" r="BP34"/>
  <c i="18" r="AS30" s="1"/>
  <c i="1" r="BQ34"/>
  <c i="18" r="AT30" s="1"/>
  <c i="1" r="BR34"/>
  <c i="18" r="AU30" s="1"/>
  <c i="1" r="AX34"/>
  <c i="18" r="AA30" s="1"/>
  <c i="1" r="BR28"/>
  <c i="1" r="CQ10" s="1"/>
  <c i="1" r="BQ28"/>
  <c i="1" r="CP10" s="1"/>
  <c i="1" r="CA41" s="1"/>
  <c i="18" r="G23" s="1"/>
  <c i="1" r="BP28"/>
  <c i="1" r="CO10" s="1"/>
  <c i="1" r="CA40" s="1"/>
  <c i="18" r="G22" s="1"/>
  <c i="1" r="BO28"/>
  <c i="1" r="CN10" s="1"/>
  <c i="1" r="CA39" s="1"/>
  <c i="18" r="G21" s="1"/>
  <c i="1" r="BN28"/>
  <c i="1" r="CM10" s="1"/>
  <c i="1" r="CA38" s="1"/>
  <c i="18" r="G20" s="1"/>
  <c i="1" r="BM28"/>
  <c i="1" r="CL10" s="1"/>
  <c i="1" r="CA37" s="1"/>
  <c i="18" r="G19" s="1"/>
  <c i="1" r="BL28"/>
  <c i="1" r="CK10" s="1"/>
  <c i="1" r="CA36" s="1"/>
  <c i="18" r="G18" s="1"/>
  <c i="1" r="BK28"/>
  <c i="1" r="CJ10" s="1"/>
  <c i="1" r="CA35" s="1"/>
  <c i="18" r="G17" s="1"/>
  <c i="1" r="BJ28"/>
  <c i="1" r="CI10" s="1"/>
  <c i="1" r="CA34" s="1"/>
  <c i="18" r="G16" s="1"/>
  <c i="1" r="BI28"/>
  <c i="1" r="CH10" s="1"/>
  <c i="1" r="CA33" s="1"/>
  <c i="18" r="G15" s="1"/>
  <c i="1" r="BH28"/>
  <c i="1" r="CG10" s="1"/>
  <c i="1" r="CA32" s="1"/>
  <c i="18" r="G14" s="1"/>
  <c i="1" r="BG28"/>
  <c i="1" r="CF10" s="1"/>
  <c i="1" r="CA31" s="1"/>
  <c i="18" r="G13" s="1"/>
  <c i="1" r="BF28"/>
  <c i="1" r="CE10" s="1"/>
  <c i="1" r="CA30" s="1"/>
  <c i="18" r="G12" s="1"/>
  <c i="1" r="BE28"/>
  <c i="1" r="CD10" s="1"/>
  <c i="1" r="CA29" s="1"/>
  <c i="18" r="G11" s="1"/>
  <c i="1" r="BD28"/>
  <c i="1" r="CC10" s="1"/>
  <c i="1" r="CA28" s="1"/>
  <c i="18" r="G10" s="1"/>
  <c i="1" r="BC28"/>
  <c i="1" r="CB10" s="1"/>
  <c i="1" r="CA27" s="1"/>
  <c i="18" r="G9" s="1"/>
  <c i="1" r="BB28"/>
  <c i="1" r="CA10" s="1"/>
  <c i="1" r="CA26" s="1"/>
  <c i="18" r="G8" s="1"/>
  <c i="1" r="BA28"/>
  <c i="1" r="BZ10" s="1"/>
  <c i="1" r="CA25" s="1"/>
  <c i="18" r="G7" s="1"/>
  <c i="1" r="AZ28"/>
  <c i="1" r="BY10" s="1"/>
  <c i="1" r="CA24" s="1"/>
  <c i="18" r="G6" s="1"/>
  <c i="1" r="AY28"/>
  <c i="1" r="BX10" s="1"/>
  <c i="1" r="CA23" s="1"/>
  <c i="18" r="G5" s="1"/>
  <c i="1" r="AX28"/>
  <c i="1" r="BW10" s="1"/>
  <c i="1" r="CA22" s="1"/>
  <c i="18" r="G4" s="1"/>
  <c i="1" r="BS27"/>
  <c i="1" r="BS26"/>
  <c i="1" r="BS25"/>
  <c i="1" r="BS24"/>
  <c i="1" r="BS23"/>
  <c i="1" r="BS22"/>
  <c i="1" r="BS21"/>
  <c i="1" r="BS20"/>
  <c i="1" r="BS19"/>
  <c i="1" r="BS18"/>
  <c i="1" r="BS17"/>
  <c i="1" r="BS16"/>
  <c i="1" r="BS15"/>
  <c i="1" r="BS14"/>
  <c i="1" r="BS13"/>
  <c i="1" r="BS12"/>
  <c i="1" r="BS11"/>
  <c i="1" r="BS10"/>
  <c i="1" r="BS9"/>
  <c i="1" r="BS8"/>
  <c i="1" r="BS7"/>
  <c i="1" r="W8"/>
  <c i="1" r="W9"/>
  <c i="1" r="K36" s="1"/>
  <c i="1" r="W10"/>
  <c i="1" r="W11"/>
  <c i="1" r="W12"/>
  <c i="1" r="W13"/>
  <c i="1" r="W14"/>
  <c i="1" r="W15"/>
  <c i="1" r="W16"/>
  <c i="1" r="W17"/>
  <c i="1" r="W18"/>
  <c i="1" r="W19"/>
  <c i="1" r="W20"/>
  <c i="1" r="W21"/>
  <c i="1" r="W22"/>
  <c i="1" r="W23"/>
  <c i="1" r="W24"/>
  <c i="1" r="W25"/>
  <c i="1" r="W26"/>
  <c i="1" r="W27"/>
  <c i="1" r="E54" s="1"/>
  <c i="1" r="W7"/>
  <c i="1" r="C28"/>
  <c i="1" r="BX7" s="1"/>
  <c i="1" r="BX23" s="1"/>
  <c i="18" r="D5" s="1"/>
  <c i="1" r="D28"/>
  <c i="1" r="BY7" s="1"/>
  <c i="1" r="BX24" s="1"/>
  <c i="18" r="D6" s="1"/>
  <c i="1" r="E28"/>
  <c i="1" r="BZ7" s="1"/>
  <c i="1" r="BX25" s="1"/>
  <c i="18" r="D7" s="1"/>
  <c i="1" r="F28"/>
  <c i="1" r="CA7" s="1"/>
  <c i="1" r="BX26" s="1"/>
  <c i="18" r="D8" s="1"/>
  <c i="1" r="G28"/>
  <c i="1" r="CB7" s="1"/>
  <c i="1" r="BX27" s="1"/>
  <c i="18" r="D9" s="1"/>
  <c i="1" r="H28"/>
  <c i="1" r="CC7" s="1"/>
  <c i="1" r="BX28" s="1"/>
  <c i="18" r="D10" s="1"/>
  <c i="1" r="I28"/>
  <c i="1" r="CD7" s="1"/>
  <c i="1" r="BX29" s="1"/>
  <c i="18" r="D11" s="1"/>
  <c i="1" r="J28"/>
  <c i="1" r="CE7" s="1"/>
  <c i="1" r="BX30" s="1"/>
  <c i="18" r="D12" s="1"/>
  <c i="1" r="K28"/>
  <c i="1" r="CF7" s="1"/>
  <c i="1" r="BX31" s="1"/>
  <c i="18" r="D13" s="1"/>
  <c i="1" r="L28"/>
  <c i="1" r="CG7" s="1"/>
  <c i="1" r="BX32" s="1"/>
  <c i="18" r="D14" s="1"/>
  <c i="1" r="M28"/>
  <c i="1" r="CH7" s="1"/>
  <c i="1" r="BX33" s="1"/>
  <c i="18" r="D15" s="1"/>
  <c i="1" r="N28"/>
  <c i="1" r="CI7" s="1"/>
  <c i="1" r="BX34" s="1"/>
  <c i="18" r="D16" s="1"/>
  <c i="1" r="O28"/>
  <c i="1" r="CJ7" s="1"/>
  <c i="1" r="BX35" s="1"/>
  <c i="18" r="D17" s="1"/>
  <c i="1" r="P28"/>
  <c i="1" r="CK7" s="1"/>
  <c i="1" r="BX36" s="1"/>
  <c i="18" r="D18" s="1"/>
  <c i="1" r="Q28"/>
  <c i="1" r="CL7" s="1"/>
  <c i="1" r="BX37" s="1"/>
  <c i="18" r="D19" s="1"/>
  <c i="1" r="R28"/>
  <c i="1" r="CM7" s="1"/>
  <c i="1" r="BX38" s="1"/>
  <c i="18" r="D20" s="1"/>
  <c i="1" r="S28"/>
  <c i="1" r="CN7" s="1"/>
  <c i="1" r="BX39" s="1"/>
  <c i="18" r="D21" s="1"/>
  <c i="1" r="T28"/>
  <c i="1" r="CO7" s="1"/>
  <c i="1" r="BX40" s="1"/>
  <c i="18" r="D22" s="1"/>
  <c i="1" r="U28"/>
  <c i="1" r="CP7" s="1"/>
  <c i="1" r="BX41" s="1"/>
  <c i="18" r="D23" s="1"/>
  <c i="1" r="V28"/>
  <c i="1" r="CQ7" s="1"/>
  <c i="1" r="B28"/>
  <c i="1" r="BW7" s="1"/>
  <c i="1" r="BX22" s="1"/>
  <c i="18" r="D4" s="1"/>
  <c i="1" l="1" r="T37"/>
  <c i="18" r="CV14"/>
  <c i="18" r="BB50"/>
  <c i="18" r="BZ50" s="1"/>
  <c i="18" r="BC50"/>
  <c i="18" r="CA50" s="1"/>
  <c i="18" r="BT50"/>
  <c i="18" r="CR50" s="1"/>
  <c i="18" r="BS50"/>
  <c i="18" r="CQ50" s="1"/>
  <c i="1" r="V35"/>
  <c i="18" r="AV38"/>
  <c i="18" r="AG51"/>
  <c i="18" r="AV36"/>
  <c i="18" r="AF51"/>
  <c i="18" r="AE51"/>
  <c i="18" r="AV34"/>
  <c i="18" r="AC51"/>
  <c i="18" r="AV32"/>
  <c i="18" r="AK51"/>
  <c i="18" r="AV49"/>
  <c i="18" r="AV47"/>
  <c i="18" r="AI51"/>
  <c i="18" r="AV43"/>
  <c i="18" r="AH51"/>
  <c i="18" r="AJ51"/>
  <c i="18" r="AV41"/>
  <c i="18" r="AV37"/>
  <c i="18" r="AV35"/>
  <c i="18" r="AV40"/>
  <c i="18" r="AV33"/>
  <c i="18" r="AV39"/>
  <c i="18" r="AB51"/>
  <c i="18" r="AV45"/>
  <c i="18" r="AV30"/>
  <c i="18" r="AA51"/>
  <c i="18" r="AV31"/>
  <c i="18" r="AZ50"/>
  <c i="18" r="BX50" s="1"/>
  <c i="18" r="AV50"/>
  <c i="18" r="AS51"/>
  <c i="18" r="AV48"/>
  <c i="18" r="AT51"/>
  <c i="18" r="AR51"/>
  <c i="18" r="AQ51"/>
  <c i="18" r="AV46"/>
  <c i="18" r="AP51"/>
  <c i="18" r="AO51"/>
  <c i="18" r="AV44"/>
  <c i="18" r="AD51"/>
  <c i="18" r="AU51"/>
  <c i="18" r="AN51"/>
  <c i="18" r="AM51"/>
  <c i="18" r="AV42"/>
  <c i="18" r="AL51"/>
  <c i="18" r="X50"/>
  <c i="1" r="AG47"/>
  <c i="18" r="J43" s="1"/>
  <c i="17" r="O44"/>
  <c i="17" r="I44"/>
  <c i="17" r="G44"/>
  <c i="17" r="U44"/>
  <c i="17" r="H44"/>
  <c i="17" r="L44"/>
  <c i="17" r="T44"/>
  <c i="17" r="J44"/>
  <c i="17" r="S44"/>
  <c i="17" r="Q44"/>
  <c i="17" r="D44"/>
  <c i="17" r="N44"/>
  <c i="17" r="F44"/>
  <c i="17" r="R44"/>
  <c i="17" r="P44"/>
  <c i="17" r="W44"/>
  <c i="17" r="X44"/>
  <c i="17" r="V44"/>
  <c i="17" r="E44"/>
  <c i="17" r="M44"/>
  <c i="17" r="K44"/>
  <c i="17" r="C44"/>
  <c i="1" r="AL49"/>
  <c i="18" r="O45" s="1"/>
  <c i="17" r="E46"/>
  <c i="17" r="V46"/>
  <c i="17" r="H46"/>
  <c i="17" r="K46"/>
  <c i="17" r="C46"/>
  <c i="17" r="D46"/>
  <c i="17" r="F46"/>
  <c i="17" r="W46"/>
  <c i="17" r="M46"/>
  <c i="17" r="P46"/>
  <c i="17" r="N46"/>
  <c i="17" r="T46"/>
  <c i="17" r="L46"/>
  <c i="17" r="X46"/>
  <c i="17" r="S46"/>
  <c i="17" r="R46"/>
  <c i="17" r="G46"/>
  <c i="17" r="I46"/>
  <c i="17" r="J46"/>
  <c i="17" r="Q46"/>
  <c i="17" r="O46"/>
  <c i="17" r="U46"/>
  <c i="1" r="AB52"/>
  <c i="18" r="E48" s="1"/>
  <c i="17" r="H49"/>
  <c i="17" r="J49"/>
  <c i="17" r="K49"/>
  <c i="17" r="N49"/>
  <c i="17" r="D49"/>
  <c i="17" r="I49"/>
  <c i="17" r="L49"/>
  <c i="17" r="X49"/>
  <c i="17" r="W49"/>
  <c i="17" r="M49"/>
  <c i="17" r="F49"/>
  <c i="17" r="G49"/>
  <c i="17" r="P49"/>
  <c i="17" r="U49"/>
  <c i="17" r="Q49"/>
  <c i="17" r="R49"/>
  <c i="17" r="O49"/>
  <c i="17" r="E49"/>
  <c i="17" r="C49"/>
  <c i="17" r="S49"/>
  <c i="17" r="V49"/>
  <c i="17" r="T49"/>
  <c i="1" r="AF48"/>
  <c i="18" r="I44" s="1"/>
  <c i="17" r="G45"/>
  <c i="17" r="I45"/>
  <c i="17" r="F45"/>
  <c i="17" r="C45"/>
  <c i="17" r="H45"/>
  <c i="17" r="D45"/>
  <c i="17" r="E45"/>
  <c i="17" r="P45"/>
  <c i="17" r="U45"/>
  <c i="17" r="X45"/>
  <c i="17" r="S45"/>
  <c i="17" r="T45"/>
  <c i="17" r="V45"/>
  <c i="17" r="K45"/>
  <c i="17" r="L45"/>
  <c i="17" r="O45"/>
  <c i="17" r="N45"/>
  <c i="17" r="M45"/>
  <c i="17" r="R45"/>
  <c i="17" r="J45"/>
  <c i="17" r="W45"/>
  <c i="17" r="Q45"/>
  <c i="1" r="AB51"/>
  <c i="18" r="E47" s="1"/>
  <c i="17" r="J48"/>
  <c i="17" r="G48"/>
  <c i="17" r="C48"/>
  <c i="17" r="K48"/>
  <c i="17" r="H48"/>
  <c i="17" r="D48"/>
  <c i="17" r="E48"/>
  <c i="17" r="I48"/>
  <c i="17" r="L48"/>
  <c i="17" r="M48"/>
  <c i="17" r="F48"/>
  <c i="17" r="U48"/>
  <c i="17" r="T48"/>
  <c i="17" r="N48"/>
  <c i="17" r="S48"/>
  <c i="17" r="R48"/>
  <c i="17" r="V48"/>
  <c i="17" r="Q48"/>
  <c i="17" r="O48"/>
  <c i="17" r="P48"/>
  <c i="17" r="W48"/>
  <c i="17" r="X48"/>
  <c i="1" r="AE50"/>
  <c i="18" r="H46" s="1"/>
  <c i="17" r="L47"/>
  <c i="17" r="O47"/>
  <c i="17" r="M47"/>
  <c i="17" r="X47"/>
  <c i="17" r="R47"/>
  <c i="17" r="N47"/>
  <c i="17" r="U47"/>
  <c i="17" r="T47"/>
  <c i="17" r="V47"/>
  <c i="17" r="F47"/>
  <c i="17" r="S47"/>
  <c i="17" r="D47"/>
  <c i="17" r="H47"/>
  <c i="17" r="K47"/>
  <c i="17" r="Q47"/>
  <c i="17" r="P47"/>
  <c i="17" r="C47"/>
  <c i="17" r="G47"/>
  <c i="17" r="J47"/>
  <c i="17" r="W47"/>
  <c i="17" r="E47"/>
  <c i="17" r="I47"/>
  <c i="1" r="AT34"/>
  <c i="18" r="W30" s="1"/>
  <c i="17" r="P31"/>
  <c i="17" r="I31"/>
  <c i="17" r="G31"/>
  <c i="17" r="H31"/>
  <c i="17" r="L31"/>
  <c i="17" r="J31"/>
  <c i="17" r="O31"/>
  <c i="17" r="N31"/>
  <c i="17" r="Q31"/>
  <c i="17" r="M31"/>
  <c i="17" r="K31"/>
  <c i="17" r="V31"/>
  <c i="17" r="C31"/>
  <c i="17" r="S31"/>
  <c i="17" r="F31"/>
  <c i="17" r="X31"/>
  <c i="17" r="R31"/>
  <c i="17" r="E31"/>
  <c i="17" r="U31"/>
  <c i="17" r="T31"/>
  <c i="17" r="D31"/>
  <c i="17" r="W31"/>
  <c i="1" r="AA35"/>
  <c i="18" r="D31" s="1"/>
  <c i="17" r="G32"/>
  <c i="17" r="L32"/>
  <c i="17" r="O32"/>
  <c i="17" r="D32"/>
  <c i="17" r="M32"/>
  <c i="17" r="R32"/>
  <c i="17" r="X32"/>
  <c i="17" r="F32"/>
  <c i="17" r="P32"/>
  <c i="17" r="S32"/>
  <c i="17" r="C32"/>
  <c i="17" r="H32"/>
  <c i="17" r="K32"/>
  <c i="17" r="N32"/>
  <c i="17" r="V32"/>
  <c i="17" r="E32"/>
  <c i="17" r="I32"/>
  <c i="17" r="Q32"/>
  <c i="17" r="U32"/>
  <c i="17" r="J32"/>
  <c i="17" r="W32"/>
  <c i="17" r="T32"/>
  <c i="1" r="AR36"/>
  <c i="18" r="U32" s="1"/>
  <c i="17" r="U33"/>
  <c i="17" r="F33"/>
  <c i="17" r="S33"/>
  <c i="17" r="C33"/>
  <c i="17" r="T33"/>
  <c i="17" r="O33"/>
  <c i="17" r="G33"/>
  <c i="17" r="R33"/>
  <c i="17" r="J33"/>
  <c i="17" r="M33"/>
  <c i="17" r="W33"/>
  <c i="17" r="H33"/>
  <c i="17" r="N33"/>
  <c i="17" r="Q33"/>
  <c i="17" r="I33"/>
  <c i="17" r="K33"/>
  <c i="17" r="E33"/>
  <c i="17" r="P33"/>
  <c i="17" r="X33"/>
  <c i="17" r="L33"/>
  <c i="17" r="V33"/>
  <c i="17" r="D33"/>
  <c i="1" r="AI46"/>
  <c i="18" r="L42" s="1"/>
  <c i="17" r="Q43"/>
  <c i="17" r="V43"/>
  <c i="17" r="L43"/>
  <c i="17" r="X43"/>
  <c i="17" r="M43"/>
  <c i="17" r="C43"/>
  <c i="17" r="E43"/>
  <c i="17" r="T43"/>
  <c i="17" r="G43"/>
  <c i="17" r="W43"/>
  <c i="17" r="P43"/>
  <c i="17" r="N43"/>
  <c i="17" r="R43"/>
  <c i="17" r="K43"/>
  <c i="17" r="I43"/>
  <c i="17" r="F43"/>
  <c i="17" r="O43"/>
  <c i="17" r="S43"/>
  <c i="17" r="D43"/>
  <c i="17" r="H43"/>
  <c i="17" r="J43"/>
  <c i="17" r="U43"/>
  <c i="1" r="AE37"/>
  <c i="18" r="H33" s="1"/>
  <c i="17" r="K34"/>
  <c i="17" r="D34"/>
  <c i="17" r="E34"/>
  <c i="17" r="L34"/>
  <c i="17" r="F34"/>
  <c i="17" r="G34"/>
  <c i="17" r="H34"/>
  <c i="17" r="I34"/>
  <c i="17" r="J34"/>
  <c i="17" r="N34"/>
  <c i="17" r="R34"/>
  <c i="17" r="T34"/>
  <c i="17" r="O34"/>
  <c i="17" r="Q34"/>
  <c i="17" r="V34"/>
  <c i="17" r="U34"/>
  <c i="17" r="X34"/>
  <c i="17" r="P34"/>
  <c i="17" r="C34"/>
  <c i="17" r="W34"/>
  <c i="17" r="M34"/>
  <c i="17" r="S34"/>
  <c i="1" r="AM38"/>
  <c i="18" r="P34" s="1"/>
  <c i="17" r="V35"/>
  <c i="17" r="W35"/>
  <c i="17" r="X35"/>
  <c i="17" r="I35"/>
  <c i="17" r="O35"/>
  <c i="17" r="K35"/>
  <c i="17" r="C35"/>
  <c i="17" r="U35"/>
  <c i="17" r="H35"/>
  <c i="17" r="N35"/>
  <c i="17" r="J35"/>
  <c i="17" r="R35"/>
  <c i="17" r="F35"/>
  <c i="17" r="G35"/>
  <c i="17" r="T35"/>
  <c i="17" r="S35"/>
  <c i="17" r="M35"/>
  <c i="17" r="L35"/>
  <c i="17" r="P35"/>
  <c i="17" r="E35"/>
  <c i="17" r="D35"/>
  <c i="17" r="Q35"/>
  <c i="1" r="Z39"/>
  <c i="18" r="C35" s="1"/>
  <c i="17" r="E36"/>
  <c i="17" r="G36"/>
  <c i="17" r="D36"/>
  <c i="17" r="C36"/>
  <c i="17" r="F36"/>
  <c i="17" r="H36"/>
  <c i="17" r="Q36"/>
  <c i="17" r="K36"/>
  <c i="17" r="O36"/>
  <c i="17" r="N36"/>
  <c i="17" r="P36"/>
  <c i="17" r="M36"/>
  <c i="17" r="R36"/>
  <c i="17" r="X36"/>
  <c i="17" r="T36"/>
  <c i="17" r="L36"/>
  <c i="17" r="J36"/>
  <c i="17" r="W36"/>
  <c i="17" r="I36"/>
  <c i="17" r="V36"/>
  <c i="17" r="S36"/>
  <c i="17" r="U36"/>
  <c i="1" r="AJ45"/>
  <c i="18" r="M41" s="1"/>
  <c i="17" r="R42"/>
  <c i="17" r="P42"/>
  <c i="17" r="S42"/>
  <c i="17" r="Q42"/>
  <c i="17" r="X42"/>
  <c i="17" r="U42"/>
  <c i="17" r="D42"/>
  <c i="17" r="T42"/>
  <c i="17" r="N42"/>
  <c i="17" r="M42"/>
  <c i="17" r="L42"/>
  <c i="17" r="E42"/>
  <c i="17" r="H42"/>
  <c i="17" r="I42"/>
  <c i="17" r="G42"/>
  <c i="17" r="F42"/>
  <c i="17" r="K42"/>
  <c i="17" r="O42"/>
  <c i="17" r="W42"/>
  <c i="17" r="J42"/>
  <c i="17" r="V42"/>
  <c i="17" r="C42"/>
  <c i="1" r="AS53"/>
  <c i="18" r="V49" s="1"/>
  <c i="17" r="K50"/>
  <c i="17" r="M50"/>
  <c i="17" r="J50"/>
  <c i="17" r="L50"/>
  <c i="17" r="P50"/>
  <c i="17" r="S50"/>
  <c i="17" r="O50"/>
  <c i="17" r="Q50"/>
  <c i="17" r="R50"/>
  <c i="17" r="N50"/>
  <c i="17" r="T50"/>
  <c i="17" r="V50"/>
  <c i="17" r="U50"/>
  <c i="17" r="E50"/>
  <c i="17" r="I50"/>
  <c i="17" r="C50"/>
  <c i="17" r="F50"/>
  <c i="17" r="H50"/>
  <c i="17" r="G50"/>
  <c i="17" r="X50"/>
  <c i="17" r="D50"/>
  <c i="17" r="W50"/>
  <c i="1" r="Z40"/>
  <c i="18" r="C36" s="1"/>
  <c i="17" r="K37"/>
  <c i="17" r="W37"/>
  <c i="17" r="H37"/>
  <c i="17" r="Q37"/>
  <c i="17" r="P37"/>
  <c i="17" r="J37"/>
  <c i="17" r="N37"/>
  <c i="17" r="L37"/>
  <c i="17" r="E37"/>
  <c i="17" r="I37"/>
  <c i="17" r="F37"/>
  <c i="17" r="U37"/>
  <c i="17" r="X37"/>
  <c i="17" r="S37"/>
  <c i="17" r="T37"/>
  <c i="17" r="V37"/>
  <c i="17" r="G37"/>
  <c i="17" r="R37"/>
  <c i="17" r="M37"/>
  <c i="17" r="C37"/>
  <c i="17" r="D37"/>
  <c i="17" r="O37"/>
  <c i="1" r="AS41"/>
  <c i="18" r="V37" s="1"/>
  <c i="17" r="P38"/>
  <c i="17" r="G38"/>
  <c i="17" r="S38"/>
  <c i="17" r="U38"/>
  <c i="17" r="T38"/>
  <c i="17" r="J38"/>
  <c i="17" r="M38"/>
  <c i="17" r="I38"/>
  <c i="17" r="F38"/>
  <c i="17" r="C38"/>
  <c i="17" r="R38"/>
  <c i="17" r="W38"/>
  <c i="17" r="V38"/>
  <c i="17" r="L38"/>
  <c i="17" r="O38"/>
  <c i="17" r="H38"/>
  <c i="17" r="N38"/>
  <c i="17" r="X38"/>
  <c i="17" r="D38"/>
  <c i="17" r="K38"/>
  <c i="17" r="E38"/>
  <c i="17" r="Q38"/>
  <c i="1" r="AM42"/>
  <c i="18" r="P38" s="1"/>
  <c i="17" r="G39"/>
  <c i="17" r="C39"/>
  <c i="17" r="L39"/>
  <c i="17" r="I39"/>
  <c i="17" r="N39"/>
  <c i="17" r="O39"/>
  <c i="17" r="S39"/>
  <c i="17" r="F39"/>
  <c i="17" r="H39"/>
  <c i="17" r="D39"/>
  <c i="17" r="V39"/>
  <c i="17" r="X39"/>
  <c i="17" r="Q39"/>
  <c i="17" r="E39"/>
  <c i="17" r="M39"/>
  <c i="17" r="T39"/>
  <c i="17" r="R39"/>
  <c i="17" r="W39"/>
  <c i="17" r="K39"/>
  <c i="17" r="J39"/>
  <c i="17" r="P39"/>
  <c i="17" r="U39"/>
  <c i="1" r="AT43"/>
  <c i="18" r="W39" s="1"/>
  <c i="18" r="AU119" s="1"/>
  <c i="18" r="AU145" s="1"/>
  <c i="17" r="K40"/>
  <c i="17" r="T40"/>
  <c i="17" r="V40"/>
  <c i="17" r="N40"/>
  <c i="17" r="P40"/>
  <c i="17" r="F40"/>
  <c i="17" r="I40"/>
  <c i="17" r="S40"/>
  <c i="17" r="L40"/>
  <c i="17" r="E40"/>
  <c i="17" r="W40"/>
  <c i="17" r="O40"/>
  <c i="17" r="H40"/>
  <c i="17" r="X40"/>
  <c i="17" r="G40"/>
  <c i="17" r="C40"/>
  <c i="17" r="J40"/>
  <c i="17" r="D40"/>
  <c i="17" r="Q40"/>
  <c i="17" r="U40"/>
  <c i="17" r="M40"/>
  <c i="17" r="R40"/>
  <c i="1" r="AO44"/>
  <c i="18" r="R40" s="1"/>
  <c i="17" r="U41"/>
  <c i="17" r="W41"/>
  <c i="17" r="F41"/>
  <c i="17" r="J41"/>
  <c i="17" r="X41"/>
  <c i="17" r="R41"/>
  <c i="17" r="O41"/>
  <c i="17" r="P41"/>
  <c i="17" r="C41"/>
  <c i="17" r="T41"/>
  <c i="17" r="L41"/>
  <c i="17" r="S41"/>
  <c i="17" r="V41"/>
  <c i="17" r="D41"/>
  <c i="17" r="G41"/>
  <c i="17" r="N41"/>
  <c i="17" r="M41"/>
  <c i="17" r="H41"/>
  <c i="17" r="I41"/>
  <c i="17" r="K41"/>
  <c i="17" r="E41"/>
  <c i="17" r="Q41"/>
  <c i="1" r="AE49"/>
  <c i="18" r="H45" s="1"/>
  <c i="1" r="AM47"/>
  <c i="18" r="P43" s="1"/>
  <c i="1" r="AJ49"/>
  <c i="18" r="M45" s="1"/>
  <c i="1" r="AS43"/>
  <c i="18" r="V39" s="1"/>
  <c i="1" r="AQ45"/>
  <c i="18" r="T41" s="1"/>
  <c i="1" r="AN47"/>
  <c i="18" r="Q43" s="1"/>
  <c i="1" r="AK49"/>
  <c i="18" r="N45" s="1"/>
  <c i="1" r="AM49"/>
  <c i="18" r="P45" s="1"/>
  <c i="1" r="AC48"/>
  <c i="18" r="F44" s="1"/>
  <c i="1" r="AB35"/>
  <c i="18" r="E31" s="1"/>
  <c i="1" r="AQ38"/>
  <c i="18" r="T34" s="1"/>
  <c i="1" r="AG46"/>
  <c i="18" r="J42" s="1"/>
  <c i="1" r="AD48"/>
  <c i="18" r="G44" s="1"/>
  <c i="1" r="AT36"/>
  <c i="18" r="W32" s="1"/>
  <c i="18" r="AU112" s="1"/>
  <c i="18" r="AU138" s="1"/>
  <c i="1" r="AK42"/>
  <c i="18" r="N38" s="1"/>
  <c i="1" r="AI44"/>
  <c i="18" r="L40" s="1"/>
  <c i="1" r="AR45"/>
  <c i="18" r="U41" s="1"/>
  <c i="1" r="AO47"/>
  <c i="18" r="R43" s="1"/>
  <c i="1" r="AE40"/>
  <c i="18" r="H36" s="1"/>
  <c i="1" r="AH46"/>
  <c i="18" r="K42" s="1"/>
  <c i="1" r="AM43"/>
  <c i="18" r="P39" s="1"/>
  <c i="1" r="AB42"/>
  <c i="18" r="E38" s="1"/>
  <c i="1" r="AE48"/>
  <c i="18" r="H44" s="1"/>
  <c i="1" r="AK45"/>
  <c i="18" r="N41" s="1"/>
  <c i="18" r="V24" s="1"/>
  <c i="1" r="AS45"/>
  <c i="18" r="V41" s="1"/>
  <c i="1" r="AT38"/>
  <c i="18" r="W34" s="1"/>
  <c i="18" r="AU114" s="1"/>
  <c i="18" r="AU140" s="1"/>
  <c i="1" r="AH47"/>
  <c i="18" r="K43" s="1"/>
  <c i="1" r="AP47"/>
  <c i="18" r="S43" s="1"/>
  <c i="1" r="AQ40"/>
  <c i="18" r="T36" s="1"/>
  <c i="1" r="AN42"/>
  <c i="18" r="Q38" s="1"/>
  <c i="1" r="AL36"/>
  <c i="18" r="O32" s="1"/>
  <c i="1" r="AL44"/>
  <c i="18" r="O40" s="1"/>
  <c i="1" r="AQ34"/>
  <c i="1" r="AF40"/>
  <c i="18" r="I36" s="1"/>
  <c i="1" r="AJ46"/>
  <c i="18" r="M42" s="1"/>
  <c i="1" r="AD36"/>
  <c i="18" r="G32" s="1"/>
  <c i="1" r="AC42"/>
  <c i="18" r="F38" s="1"/>
  <c i="1" r="AG48"/>
  <c i="18" r="J44" s="1"/>
  <c i="1" r="AT39"/>
  <c i="18" r="W35" s="1"/>
  <c i="18" r="AU115" s="1"/>
  <c i="18" r="AU141" s="1"/>
  <c i="1" r="AA44"/>
  <c i="18" r="D40" s="1"/>
  <c i="1" r="AF35"/>
  <c i="18" r="I31" s="1"/>
  <c i="1" r="AQ41"/>
  <c i="18" r="T37" s="1"/>
  <c i="1" r="AT45"/>
  <c i="18" r="W41" s="1"/>
  <c i="18" r="AU121" s="1"/>
  <c i="18" r="AU147" s="1"/>
  <c i="1" r="AC37"/>
  <c i="18" r="F33" s="1"/>
  <c i="1" r="AL45"/>
  <c i="18" r="O41" s="1"/>
  <c i="1" r="AQ47"/>
  <c i="18" r="T43" s="1"/>
  <c i="1" r="AR40"/>
  <c i="18" r="U36" s="1"/>
  <c i="1" r="AI47"/>
  <c i="18" r="L43" s="1"/>
  <c i="1" r="AN49"/>
  <c i="18" r="Q45" s="1"/>
  <c i="1" r="AK46"/>
  <c i="18" r="N42" s="1"/>
  <c i="1" r="AF49"/>
  <c i="18" r="I45" s="1"/>
  <c i="1" r="AR47"/>
  <c i="18" r="U43" s="1"/>
  <c i="1" r="AH48"/>
  <c i="18" r="K44" s="1"/>
  <c i="1" r="AO49"/>
  <c i="18" r="R45" s="1"/>
  <c i="1" r="AU54"/>
  <c i="1" r="AO43"/>
  <c i="18" r="R39" s="1"/>
  <c i="1" r="AA46"/>
  <c i="18" r="D42" s="1"/>
  <c i="1" r="AD37"/>
  <c i="18" r="G33" s="1"/>
  <c i="1" r="AM45"/>
  <c i="18" r="P41" s="1"/>
  <c i="1" r="AS47"/>
  <c i="18" r="V43" s="1"/>
  <c i="1" r="AA39"/>
  <c i="18" r="D35" s="1"/>
  <c i="1" r="AJ47"/>
  <c i="18" r="M43" s="1"/>
  <c i="1" r="AP49"/>
  <c i="18" r="S45" s="1"/>
  <c i="1" r="AG49"/>
  <c i="18" r="J45" s="1"/>
  <c i="1" r="AD44"/>
  <c i="18" r="G40" s="1"/>
  <c i="1" r="AG50"/>
  <c i="18" r="J46" s="1"/>
  <c i="1" r="AN45"/>
  <c i="18" r="Q41" s="1"/>
  <c i="1" r="AB46"/>
  <c i="18" r="E42" s="1"/>
  <c i="1" r="AD52"/>
  <c i="18" r="G48" s="1"/>
  <c i="1" r="AK47"/>
  <c i="18" r="N43" s="1"/>
  <c i="1" r="AT47"/>
  <c i="18" r="W43" s="1"/>
  <c i="18" r="AU123" s="1"/>
  <c i="18" r="AU149" s="1"/>
  <c i="1" r="AD38"/>
  <c i="18" r="G34" s="1"/>
  <c i="1" r="AQ49"/>
  <c i="18" r="T45" s="1"/>
  <c i="1" r="AI35"/>
  <c i="18" r="L31" s="1"/>
  <c i="1" r="J49"/>
  <c i="1" r="AA40"/>
  <c i="18" r="D36" s="1"/>
  <c i="1" r="AP36"/>
  <c i="18" r="S32" s="1"/>
  <c i="1" r="AF37"/>
  <c i="18" r="I33" s="1"/>
  <c i="1" r="AT41"/>
  <c i="18" r="W37" s="1"/>
  <c i="18" r="AU117" s="1"/>
  <c i="18" r="AU143" s="1"/>
  <c i="1" r="AC39"/>
  <c i="18" r="F35" s="1"/>
  <c i="1" r="CA42"/>
  <c i="18" r="G24" s="1"/>
  <c i="1" r="AQ43"/>
  <c i="18" r="T39" s="1"/>
  <c i="1" r="AG42"/>
  <c i="18" r="J38" s="1"/>
  <c i="1" r="Z41"/>
  <c i="18" r="C37" s="1"/>
  <c i="1" r="D38"/>
  <c i="1" r="AO45"/>
  <c i="18" r="R41" s="1"/>
  <c i="1" r="AE44"/>
  <c i="18" r="H40" s="1"/>
  <c i="1" r="AR42"/>
  <c i="18" r="U38" s="1"/>
  <c i="1" r="AL47"/>
  <c i="18" r="O43" s="1"/>
  <c i="1" r="AC46"/>
  <c i="18" r="F42" s="1"/>
  <c i="1" r="AP44"/>
  <c i="18" r="S40" s="1"/>
  <c i="1" r="T44"/>
  <c i="1" r="AI49"/>
  <c i="18" r="L45" s="1"/>
  <c i="1" r="AR49"/>
  <c i="18" r="U45" s="1"/>
  <c i="1" r="AN46"/>
  <c i="18" r="Q42" s="1"/>
  <c i="1" r="Z34"/>
  <c i="1" r="AD46"/>
  <c i="18" r="G42" s="1"/>
  <c i="1" r="AK48"/>
  <c i="18" r="N44" s="1"/>
  <c i="1" r="AH36"/>
  <c i="18" r="K32" s="1"/>
  <c i="1" r="AA48"/>
  <c i="18" r="D44" s="1"/>
  <c i="1" r="AB40"/>
  <c i="18" r="E36" s="1"/>
  <c i="1" r="AS49"/>
  <c i="18" r="V45" s="1"/>
  <c i="1" r="AR43"/>
  <c i="18" r="U39" s="1"/>
  <c i="1" r="AH44"/>
  <c i="18" r="K40" s="1"/>
  <c i="1" r="Z42"/>
  <c i="18" r="C38" s="1"/>
  <c i="1" r="AP45"/>
  <c i="18" r="S41" s="1"/>
  <c i="1" r="AF46"/>
  <c i="18" r="I42" s="1"/>
  <c i="1" r="AB36"/>
  <c i="18" r="E32" s="1"/>
  <c i="1" r="AD50"/>
  <c i="18" r="G46" s="1"/>
  <c i="1" r="AF51"/>
  <c i="18" r="I47" s="1"/>
  <c i="1" r="AA52"/>
  <c i="18" r="D48" s="1"/>
  <c i="1" r="AA38"/>
  <c i="18" r="D34" s="1"/>
  <c i="1" r="AD53"/>
  <c i="18" r="G49" s="1"/>
  <c i="1" r="AI38"/>
  <c i="18" r="L34" s="1"/>
  <c i="1" r="AJ40"/>
  <c i="18" r="M36" s="1"/>
  <c i="1" r="AN40"/>
  <c i="18" r="Q36" s="1"/>
  <c i="1" r="AT53"/>
  <c i="18" r="W49" s="1"/>
  <c i="18" r="AU129" s="1"/>
  <c i="18" r="AU155" s="1"/>
  <c i="1" r="AN43"/>
  <c i="18" r="Q39" s="1"/>
  <c i="1" r="AE38"/>
  <c i="18" r="H34" s="1"/>
  <c i="1" r="AH50"/>
  <c i="18" r="K46" s="1"/>
  <c i="1" r="AE52"/>
  <c i="18" r="H48" s="1"/>
  <c i="1" r="AJ51"/>
  <c i="18" r="M47" s="1"/>
  <c i="1" r="AO51"/>
  <c i="18" r="R47" s="1"/>
  <c i="1" r="AA50"/>
  <c i="18" r="D46" s="1"/>
  <c i="1" r="AO42"/>
  <c i="18" r="R38" s="1"/>
  <c i="1" r="AM53"/>
  <c i="18" r="P49" s="1"/>
  <c i="1" r="AS51"/>
  <c i="18" r="V47" s="1"/>
  <c i="1" r="AM44"/>
  <c i="18" r="P40" s="1"/>
  <c i="1" r="AA34"/>
  <c i="1" r="AN51"/>
  <c i="18" r="Q47" s="1"/>
  <c i="1" r="AC51"/>
  <c i="18" r="F47" s="1"/>
  <c i="1" r="AK51"/>
  <c i="18" r="N47" s="1"/>
  <c i="1" r="AQ36"/>
  <c i="18" r="T32" s="1"/>
  <c i="1" r="AQ53"/>
  <c i="18" r="T49" s="1"/>
  <c i="1" r="AB34"/>
  <c i="1" r="AA53"/>
  <c i="18" r="D49" s="1"/>
  <c i="1" r="AI53"/>
  <c i="18" r="L49" s="1"/>
  <c i="1" r="AN38"/>
  <c i="18" r="Q34" s="1"/>
  <c i="1" r="AC35"/>
  <c i="18" r="F31" s="1"/>
  <c i="1" r="AO35"/>
  <c i="18" r="R31" s="1"/>
  <c i="1" r="B51"/>
  <c i="1" r="Z51"/>
  <c i="18" r="C47" s="1"/>
  <c i="1" r="AG51"/>
  <c i="18" r="J47" s="1"/>
  <c i="1" r="AM36"/>
  <c i="18" r="P32" s="1"/>
  <c i="1" r="AK40"/>
  <c i="18" r="N36" s="1"/>
  <c i="1" r="AR38"/>
  <c i="18" r="U34" s="1"/>
  <c i="1" r="AL37"/>
  <c i="18" r="O33" s="1"/>
  <c i="1" r="AR34"/>
  <c i="1" r="AE53"/>
  <c i="18" r="H49" s="1"/>
  <c i="1" r="AJ38"/>
  <c i="18" r="M34" s="1"/>
  <c i="1" r="AH42"/>
  <c i="18" r="K38" s="1"/>
  <c i="1" r="AO40"/>
  <c i="18" r="R36" s="1"/>
  <c i="1" r="AP53"/>
  <c i="18" r="S49" s="1"/>
  <c i="1" r="AE36"/>
  <c i="18" r="H32" s="1"/>
  <c i="1" r="AI36"/>
  <c i="18" r="L32" s="1"/>
  <c i="1" r="AG40"/>
  <c i="18" r="J36" s="1"/>
  <c i="1" r="AF44"/>
  <c i="18" r="I40" s="1"/>
  <c i="1" r="AL42"/>
  <c i="18" r="O38" s="1"/>
  <c i="1" r="AQ35"/>
  <c i="18" r="T31" s="1"/>
  <c i="1" r="AB38"/>
  <c i="18" r="E34" s="1"/>
  <c i="1" r="AF38"/>
  <c i="18" r="I34" s="1"/>
  <c i="1" r="AD42"/>
  <c i="18" r="G38" s="1"/>
  <c i="1" r="AJ44"/>
  <c i="18" r="M40" s="1"/>
  <c i="1" r="AC34"/>
  <c i="1" r="AA51"/>
  <c i="18" r="D47" s="1"/>
  <c i="1" r="U50"/>
  <c i="1" r="AO50"/>
  <c i="18" r="R46" s="1"/>
  <c i="1" r="AS50"/>
  <c i="18" r="V46" s="1"/>
  <c i="1" r="AK50"/>
  <c i="18" r="N46" s="1"/>
  <c i="1" r="AJ50"/>
  <c i="18" r="M46" s="1"/>
  <c i="1" r="AM50"/>
  <c i="18" r="P46" s="1"/>
  <c i="1" r="AQ50"/>
  <c i="18" r="T46" s="1"/>
  <c i="1" r="AI50"/>
  <c i="18" r="L46" s="1"/>
  <c i="1" r="AL50"/>
  <c i="18" r="O46" s="1"/>
  <c i="1" r="AT50"/>
  <c i="18" r="W46" s="1"/>
  <c i="18" r="AU126" s="1"/>
  <c i="18" r="AU152" s="1"/>
  <c i="1" r="AN50"/>
  <c i="18" r="Q46" s="1"/>
  <c i="1" r="AP50"/>
  <c i="18" r="S46" s="1"/>
  <c i="1" r="AR50"/>
  <c i="18" r="U46" s="1"/>
  <c i="1" r="AR41"/>
  <c i="18" r="U37" s="1"/>
  <c i="1" r="AC40"/>
  <c i="18" r="F36" s="1"/>
  <c i="1" r="AB44"/>
  <c i="18" r="E40" s="1"/>
  <c i="1" r="AG35"/>
  <c i="18" r="J31" s="1"/>
  <c i="1" r="R52"/>
  <c i="1" r="AP52"/>
  <c i="18" r="S48" s="1"/>
  <c i="1" r="AG52"/>
  <c i="18" r="J48" s="1"/>
  <c i="1" r="AN52"/>
  <c i="18" r="Q48" s="1"/>
  <c i="1" r="AJ52"/>
  <c i="18" r="M48" s="1"/>
  <c i="1" r="AH52"/>
  <c i="18" r="K48" s="1"/>
  <c i="1" r="AF52"/>
  <c i="18" r="I48" s="1"/>
  <c i="1" r="AQ52"/>
  <c i="18" r="T48" s="1"/>
  <c i="1" r="AL52"/>
  <c i="18" r="O48" s="1"/>
  <c i="1" r="AR52"/>
  <c i="18" r="U48" s="1"/>
  <c i="1" r="AI52"/>
  <c i="18" r="L48" s="1"/>
  <c i="1" r="AS52"/>
  <c i="18" r="V48" s="1"/>
  <c i="1" r="AK52"/>
  <c i="18" r="N48" s="1"/>
  <c i="1" r="AM52"/>
  <c i="18" r="P48" s="1"/>
  <c i="1" r="AO52"/>
  <c i="18" r="R48" s="1"/>
  <c i="1" r="BX42"/>
  <c i="18" r="D24" s="1"/>
  <c i="1" r="AL51"/>
  <c i="18" r="O47" s="1"/>
  <c i="1" r="AN53"/>
  <c i="18" r="Q49" s="1"/>
  <c i="1" r="AT51"/>
  <c i="18" r="W47" s="1"/>
  <c i="18" r="AU127" s="1"/>
  <c i="18" r="AU153" s="1"/>
  <c i="1" r="AS40"/>
  <c i="18" r="V36" s="1"/>
  <c i="1" r="Z53"/>
  <c i="18" r="C49" s="1"/>
  <c i="1" r="AP51"/>
  <c i="18" r="S47" s="1"/>
  <c i="1" r="AJ53"/>
  <c i="18" r="M49" s="1"/>
  <c i="1" r="AR53"/>
  <c i="18" r="U49" s="1"/>
  <c i="1" r="AP42"/>
  <c i="18" r="S38" s="1"/>
  <c i="1" r="Z48"/>
  <c i="18" r="C44" s="1"/>
  <c i="1" r="AB50"/>
  <c i="18" r="E46" s="1"/>
  <c i="1" r="Z36"/>
  <c i="18" r="C32" s="1"/>
  <c i="1" r="AA36"/>
  <c i="18" r="D32" s="1"/>
  <c i="1" r="J54"/>
  <c i="1" r="AD51"/>
  <c i="18" r="G47" s="1"/>
  <c i="1" r="AH51"/>
  <c i="18" r="K47" s="1"/>
  <c i="1" r="AN36"/>
  <c i="18" r="Q32" s="1"/>
  <c i="1" r="AO38"/>
  <c i="18" r="R34" s="1"/>
  <c i="1" r="AJ35"/>
  <c i="18" r="M31" s="1"/>
  <c i="1" r="AN44"/>
  <c i="18" r="Q40" s="1"/>
  <c i="1" r="AL53"/>
  <c i="18" r="O49" s="1"/>
  <c i="1" r="AB53"/>
  <c i="18" r="E49" s="1"/>
  <c i="1" r="AF53"/>
  <c i="18" r="I49" s="1"/>
  <c i="1" r="AK38"/>
  <c i="18" r="N34" s="1"/>
  <c i="1" r="AL40"/>
  <c i="18" r="O36" s="1"/>
  <c i="1" r="AD35"/>
  <c i="18" r="G31" s="1"/>
  <c i="1" r="AL46"/>
  <c i="18" r="O42" s="1"/>
  <c i="18" r="V25" s="1"/>
  <c i="1" r="AL43"/>
  <c i="18" r="O39" s="1"/>
  <c i="1" r="D54"/>
  <c i="1" r="AS34"/>
  <c i="1" r="AJ36"/>
  <c i="18" r="M32" s="1"/>
  <c i="1" r="AH40"/>
  <c i="18" r="K36" s="1"/>
  <c i="1" r="AI42"/>
  <c i="18" r="L38" s="1"/>
  <c i="1" r="AA37"/>
  <c i="18" r="D33" s="1"/>
  <c i="1" r="AI48"/>
  <c i="18" r="L44" s="1"/>
  <c i="1" r="AT52"/>
  <c i="18" r="W48" s="1"/>
  <c i="18" r="AU128" s="1"/>
  <c i="18" r="AU154" s="1"/>
  <c i="1" r="C39"/>
  <c i="1" r="AE39"/>
  <c i="18" r="H35" s="1"/>
  <c i="1" r="AO39"/>
  <c i="18" r="R35" s="1"/>
  <c i="1" r="AH39"/>
  <c i="18" r="K35" s="1"/>
  <c i="1" r="AP39"/>
  <c i="18" r="S35" s="1"/>
  <c i="1" r="AG39"/>
  <c i="18" r="J35" s="1"/>
  <c i="1" r="AF39"/>
  <c i="18" r="I35" s="1"/>
  <c i="1" r="AN39"/>
  <c i="18" r="Q35" s="1"/>
  <c i="1" r="AD39"/>
  <c i="18" r="G35" s="1"/>
  <c i="1" r="AJ39"/>
  <c i="18" r="M35" s="1"/>
  <c i="1" r="AI39"/>
  <c i="18" r="L35" s="1"/>
  <c i="1" r="AQ39"/>
  <c i="18" r="T35" s="1"/>
  <c i="1" r="AK39"/>
  <c i="18" r="N35" s="1"/>
  <c i="1" r="AL39"/>
  <c i="18" r="O35" s="1"/>
  <c i="1" r="AM39"/>
  <c i="18" r="P35" s="1"/>
  <c i="1" r="AF36"/>
  <c i="18" r="I32" s="1"/>
  <c i="1" r="AG38"/>
  <c i="18" r="J34" s="1"/>
  <c i="1" r="AE42"/>
  <c i="18" r="H38" s="1"/>
  <c i="1" r="AG44"/>
  <c i="18" r="J40" s="1"/>
  <c i="1" r="AS38"/>
  <c i="18" r="V34" s="1"/>
  <c i="1" r="AF50"/>
  <c i="18" r="I46" s="1"/>
  <c i="1" r="Z46"/>
  <c i="18" r="C42" s="1"/>
  <c i="1" r="AC38"/>
  <c i="18" r="F34" s="1"/>
  <c i="1" r="AD40"/>
  <c i="18" r="G36" s="1"/>
  <c i="1" r="AC44"/>
  <c i="18" r="F40" s="1"/>
  <c i="1" r="AE46"/>
  <c i="18" r="H42" s="1"/>
  <c i="1" r="AP40"/>
  <c i="18" r="S36" s="1"/>
  <c i="1" r="AC52"/>
  <c i="18" r="F48" s="1"/>
  <c i="1" r="Z37"/>
  <c i="18" r="C33" s="1"/>
  <c i="1" r="AH53"/>
  <c i="18" r="K49" s="1"/>
  <c i="1" r="AA42"/>
  <c i="18" r="D38" s="1"/>
  <c i="1" r="AB48"/>
  <c i="18" r="E44" s="1"/>
  <c i="1" r="AD49"/>
  <c i="18" r="G45" s="1"/>
  <c i="1" r="AP43"/>
  <c i="18" r="S39" s="1"/>
  <c i="1" r="AT49"/>
  <c i="18" r="W45" s="1"/>
  <c i="18" r="AU125" s="1"/>
  <c i="18" r="AU151" s="1"/>
  <c i="1" r="AK44"/>
  <c i="18" r="N40" s="1"/>
  <c i="1" r="AH35"/>
  <c i="18" r="K31" s="1"/>
  <c i="1" r="Z44"/>
  <c i="18" r="C40" s="1"/>
  <c i="1" r="AQ51"/>
  <c i="18" r="T47" s="1"/>
  <c i="1" r="AR39"/>
  <c i="18" r="U35" s="1"/>
  <c i="1" r="P41"/>
  <c i="1" r="AL41"/>
  <c i="18" r="O37" s="1"/>
  <c i="1" r="AB41"/>
  <c i="18" r="E37" s="1"/>
  <c i="1" r="AM41"/>
  <c i="18" r="P37" s="1"/>
  <c i="1" r="AI41"/>
  <c i="18" r="L37" s="1"/>
  <c i="1" r="AK41"/>
  <c i="18" r="N37" s="1"/>
  <c i="1" r="AE41"/>
  <c i="18" r="H37" s="1"/>
  <c i="1" r="AA41"/>
  <c i="18" r="D37" s="1"/>
  <c i="1" r="AG41"/>
  <c i="18" r="J37" s="1"/>
  <c i="1" r="AN41"/>
  <c i="18" r="Q37" s="1"/>
  <c i="1" r="AC41"/>
  <c i="18" r="F37" s="1"/>
  <c i="1" r="AD41"/>
  <c i="18" r="G37" s="1"/>
  <c i="1" r="AF41"/>
  <c i="18" r="I37" s="1"/>
  <c i="1" r="AH41"/>
  <c i="18" r="K37" s="1"/>
  <c i="1" r="AJ41"/>
  <c i="18" r="M37" s="1"/>
  <c i="1" r="AM51"/>
  <c i="18" r="P47" s="1"/>
  <c i="1" r="AO53"/>
  <c i="18" r="R49" s="1"/>
  <c i="1" r="AB39"/>
  <c i="18" r="E35" s="1"/>
  <c i="1" r="Z50"/>
  <c i="18" r="C46" s="1"/>
  <c i="1" r="AR51"/>
  <c i="18" r="U47" s="1"/>
  <c i="1" r="S44"/>
  <c i="1" r="J43"/>
  <c i="1" r="AJ43"/>
  <c i="18" r="M39" s="1"/>
  <c i="1" r="AA43"/>
  <c i="18" r="D39" s="1"/>
  <c i="1" r="AF43"/>
  <c i="18" r="I39" s="1"/>
  <c i="1" r="AH43"/>
  <c i="18" r="K39" s="1"/>
  <c i="1" r="Z43"/>
  <c i="18" r="C39" s="1"/>
  <c i="1" r="AB43"/>
  <c i="18" r="E39" s="1"/>
  <c i="1" r="AD43"/>
  <c i="18" r="G39" s="1"/>
  <c i="1" r="AC43"/>
  <c i="18" r="F39" s="1"/>
  <c i="1" r="AI43"/>
  <c i="18" r="L39" s="1"/>
  <c i="1" r="AK43"/>
  <c i="18" r="N39" s="1"/>
  <c i="1" r="AE43"/>
  <c i="18" r="H39" s="1"/>
  <c i="1" r="AG43"/>
  <c i="18" r="J39" s="1"/>
  <c i="1" r="AD45"/>
  <c i="18" r="G41" s="1"/>
  <c i="1" r="AH45"/>
  <c i="18" r="K41" s="1"/>
  <c i="1" r="Z45"/>
  <c i="18" r="C41" s="1"/>
  <c i="1" r="AI45"/>
  <c i="18" r="L41" s="1"/>
  <c i="1" r="AB45"/>
  <c i="18" r="E41" s="1"/>
  <c i="1" r="AG45"/>
  <c i="18" r="J41" s="1"/>
  <c i="1" r="AA45"/>
  <c i="18" r="D41" s="1"/>
  <c i="1" r="AC45"/>
  <c i="18" r="F41" s="1"/>
  <c i="1" r="AE45"/>
  <c i="18" r="H41" s="1"/>
  <c i="1" r="AF45"/>
  <c i="18" r="I41" s="1"/>
  <c i="1" r="CR9"/>
  <c i="1" r="AH49"/>
  <c i="18" r="K45" s="1"/>
  <c i="1" r="AK53"/>
  <c i="18" r="N49" s="1"/>
  <c i="1" r="AC50"/>
  <c i="18" r="F46" s="1"/>
  <c i="1" r="AT40"/>
  <c i="18" r="W36" s="1"/>
  <c i="18" r="AU116" s="1"/>
  <c i="18" r="AU142" s="1"/>
  <c i="1" r="AO41"/>
  <c i="18" r="R37" s="1"/>
  <c i="1" r="U44"/>
  <c i="1" r="AS42"/>
  <c i="18" r="V38" s="1"/>
  <c i="1" r="AT42"/>
  <c i="18" r="W38" s="1"/>
  <c i="18" r="AU118" s="1"/>
  <c i="18" r="AU144" s="1"/>
  <c i="1" r="O44"/>
  <c i="1" r="AP46"/>
  <c i="18" r="S42" s="1"/>
  <c i="1" r="AO46"/>
  <c i="18" r="R42" s="1"/>
  <c i="1" r="AR46"/>
  <c i="18" r="U42" s="1"/>
  <c i="1" r="AS46"/>
  <c i="18" r="V42" s="1"/>
  <c i="1" r="AQ46"/>
  <c i="18" r="T42" s="1"/>
  <c i="1" r="AT46"/>
  <c i="18" r="W42" s="1"/>
  <c i="18" r="AU122" s="1"/>
  <c i="18" r="AU148" s="1"/>
  <c i="1" r="AE51"/>
  <c i="18" r="H47" s="1"/>
  <c i="1" r="AI51"/>
  <c i="18" r="L47" s="1"/>
  <c i="1" r="AO36"/>
  <c i="18" r="R32" s="1"/>
  <c i="1" r="AS36"/>
  <c i="18" r="V32" s="1"/>
  <c i="1" r="Z52"/>
  <c i="18" r="C48" s="1"/>
  <c i="1" r="AQ42"/>
  <c i="18" r="T38" s="1"/>
  <c i="1" r="Z38"/>
  <c i="18" r="C34" s="1"/>
  <c i="1" r="AN35"/>
  <c i="18" r="Q31" s="1"/>
  <c i="1" r="AK35"/>
  <c i="18" r="N31" s="1"/>
  <c i="1" r="AR35"/>
  <c i="18" r="U31" s="1"/>
  <c i="1" r="AM35"/>
  <c i="18" r="P31" s="1"/>
  <c i="1" r="AT35"/>
  <c i="18" r="W31" s="1"/>
  <c i="18" r="AU111" s="1"/>
  <c i="18" r="AU137" s="1"/>
  <c i="1" r="AL35"/>
  <c i="18" r="O31" s="1"/>
  <c i="1" r="AP35"/>
  <c i="18" r="S31" s="1"/>
  <c i="1" r="AS35"/>
  <c i="18" r="V31" s="1"/>
  <c i="1" r="AE47"/>
  <c i="18" r="H43" s="1"/>
  <c i="1" r="AC47"/>
  <c i="18" r="F43" s="1"/>
  <c i="1" r="AF47"/>
  <c i="18" r="I43" s="1"/>
  <c i="1" r="AA47"/>
  <c i="18" r="D43" s="1"/>
  <c i="1" r="AD47"/>
  <c i="18" r="G43" s="1"/>
  <c i="1" r="Z47"/>
  <c i="18" r="C43" s="1"/>
  <c i="1" r="AB47"/>
  <c i="18" r="E43" s="1"/>
  <c i="1" r="AC36"/>
  <c i="18" r="F32" s="1"/>
  <c i="1" r="AC53"/>
  <c i="18" r="F49" s="1"/>
  <c i="1" r="AG53"/>
  <c i="18" r="J49" s="1"/>
  <c i="1" r="AL38"/>
  <c i="18" r="O34" s="1"/>
  <c i="1" r="AP38"/>
  <c i="18" r="S34" s="1"/>
  <c i="1" r="AP34"/>
  <c i="1" r="P44"/>
  <c i="1" r="AR44"/>
  <c i="18" r="U40" s="1"/>
  <c i="1" r="AT44"/>
  <c i="18" r="W40" s="1"/>
  <c i="18" r="AU120" s="1"/>
  <c i="18" r="AU146" s="1"/>
  <c i="1" r="AQ44"/>
  <c i="18" r="T40" s="1"/>
  <c i="1" r="AS44"/>
  <c i="18" r="V40" s="1"/>
  <c i="1" r="AP48"/>
  <c i="18" r="S44" s="1"/>
  <c i="1" r="AN48"/>
  <c i="18" r="Q44" s="1"/>
  <c i="1" r="AO48"/>
  <c i="18" r="R44" s="1"/>
  <c i="1" r="AL48"/>
  <c i="18" r="O44" s="1"/>
  <c i="1" r="AR48"/>
  <c i="18" r="U44" s="1"/>
  <c i="1" r="AM48"/>
  <c i="18" r="P44" s="1"/>
  <c i="1" r="AQ48"/>
  <c i="18" r="T44" s="1"/>
  <c i="1" r="AT48"/>
  <c i="18" r="W44" s="1"/>
  <c i="18" r="AU124" s="1"/>
  <c i="18" r="AU150" s="1"/>
  <c i="1" r="AS48"/>
  <c i="18" r="V44" s="1"/>
  <c i="1" r="AS39"/>
  <c i="18" r="V35" s="1"/>
  <c i="1" r="AK36"/>
  <c i="18" r="N32" s="1"/>
  <c i="1" r="AI40"/>
  <c i="18" r="L36" s="1"/>
  <c i="1" r="AM40"/>
  <c i="18" r="P36" s="1"/>
  <c i="1" r="AE35"/>
  <c i="18" r="H31" s="1"/>
  <c i="1" r="AM46"/>
  <c i="18" r="P42" s="1"/>
  <c i="1" r="AJ34"/>
  <c i="1" r="AM34"/>
  <c i="1" r="AE34"/>
  <c i="1" r="AF34"/>
  <c i="1" r="AD34"/>
  <c i="1" r="AL34"/>
  <c i="1" r="AH34"/>
  <c i="1" r="AN34"/>
  <c i="1" r="AO34"/>
  <c i="1" r="AG34"/>
  <c i="1" r="AI34"/>
  <c i="1" r="AK34"/>
  <c i="1" r="W37"/>
  <c i="1" r="AM37"/>
  <c i="18" r="P33" s="1"/>
  <c i="1" r="AK37"/>
  <c i="18" r="N33" s="1"/>
  <c i="1" r="AS37"/>
  <c i="18" r="V33" s="1"/>
  <c i="1" r="AH37"/>
  <c i="18" r="K33" s="1"/>
  <c i="1" r="AQ37"/>
  <c i="18" r="T33" s="1"/>
  <c i="1" r="AJ37"/>
  <c i="18" r="M33" s="1"/>
  <c i="1" r="AI37"/>
  <c i="18" r="L33" s="1"/>
  <c i="1" r="AG37"/>
  <c i="18" r="J33" s="1"/>
  <c i="1" r="AO37"/>
  <c i="18" r="R33" s="1"/>
  <c i="1" r="AR37"/>
  <c i="18" r="U33" s="1"/>
  <c i="1" r="AN37"/>
  <c i="18" r="Q33" s="1"/>
  <c i="1" r="AT37"/>
  <c i="18" r="W33" s="1"/>
  <c i="18" r="AU113" s="1"/>
  <c i="18" r="AU139" s="1"/>
  <c i="1" r="AP37"/>
  <c i="18" r="S33" s="1"/>
  <c i="1" r="C49"/>
  <c i="1" r="AB49"/>
  <c i="18" r="E45" s="1"/>
  <c i="1" r="AA49"/>
  <c i="18" r="D45" s="1"/>
  <c i="1" r="Z49"/>
  <c i="18" r="C45" s="1"/>
  <c i="1" r="AC49"/>
  <c i="18" r="F45" s="1"/>
  <c i="1" r="AP41"/>
  <c i="18" r="S37" s="1"/>
  <c i="1" r="AG36"/>
  <c i="18" r="J32" s="1"/>
  <c i="1" r="AH38"/>
  <c i="18" r="K34" s="1"/>
  <c i="1" r="AF42"/>
  <c i="18" r="I38" s="1"/>
  <c i="1" r="AJ42"/>
  <c i="18" r="M38" s="1"/>
  <c i="1" r="AB37"/>
  <c i="18" r="E33" s="1"/>
  <c i="1" r="AJ48"/>
  <c i="18" r="M44" s="1"/>
  <c i="1" r="Z35"/>
  <c i="18" r="C31" s="1"/>
  <c i="1" r="R44"/>
  <c i="1" r="V43"/>
  <c i="1" r="U43"/>
  <c i="1" r="T43"/>
  <c i="1" r="S43"/>
  <c i="1" r="N43"/>
  <c i="1" r="M43"/>
  <c i="1" r="G39"/>
  <c i="1" r="F39"/>
  <c i="1" r="D39"/>
  <c i="1" r="G43"/>
  <c i="1" r="V37"/>
  <c i="1" r="G38"/>
  <c i="1" r="F43"/>
  <c i="1" r="E39"/>
  <c i="1" r="H38"/>
  <c i="1" r="P36"/>
  <c i="1" r="T41"/>
  <c i="1" r="O36"/>
  <c i="1" r="N36"/>
  <c i="1" r="M36"/>
  <c i="1" r="L36"/>
  <c i="1" r="C36"/>
  <c i="1" r="J36"/>
  <c i="1" r="B36"/>
  <c i="1" r="R34"/>
  <c i="1" r="BE55"/>
  <c i="1" r="CD14" s="1"/>
  <c i="1" r="CE29" s="1"/>
  <c i="18" r="K11" s="1"/>
  <c i="1" r="I36"/>
  <c i="1" r="Q44"/>
  <c i="1" r="V41"/>
  <c i="1" r="H36"/>
  <c i="1" r="W43"/>
  <c i="1" r="U41"/>
  <c i="1" r="G36"/>
  <c i="1" r="E42"/>
  <c i="1" r="F36"/>
  <c i="1" r="BS42"/>
  <c i="1" r="W41"/>
  <c i="1" r="S41"/>
  <c i="1" r="E36"/>
  <c i="1" r="I40"/>
  <c i="1" r="R41"/>
  <c i="1" r="D36"/>
  <c i="1" r="B39"/>
  <c i="1" r="Q41"/>
  <c i="1" r="B37"/>
  <c i="1" r="O41"/>
  <c i="1" r="W35"/>
  <c i="1" r="Q36"/>
  <c i="1" r="N41"/>
  <c i="1" r="B35"/>
  <c i="1" r="M41"/>
  <c i="1" r="U35"/>
  <c i="1" r="K41"/>
  <c i="1" r="T35"/>
  <c i="1" r="F41"/>
  <c i="1" r="S35"/>
  <c i="1" r="U54"/>
  <c i="1" r="BF55"/>
  <c i="1" r="CE14" s="1"/>
  <c i="1" r="CE30" s="1"/>
  <c i="18" r="K12" s="1"/>
  <c i="1" r="T54"/>
  <c i="1" r="B41"/>
  <c i="1" r="R35"/>
  <c i="1" r="S54"/>
  <c i="1" r="U40"/>
  <c i="1" r="Q35"/>
  <c i="1" r="R54"/>
  <c i="1" r="N39"/>
  <c i="1" r="P35"/>
  <c i="1" r="Q54"/>
  <c i="1" r="M39"/>
  <c i="1" r="O35"/>
  <c i="1" r="P54"/>
  <c i="1" r="L39"/>
  <c i="1" r="N35"/>
  <c i="1" r="O54"/>
  <c i="1" r="K39"/>
  <c i="1" r="L35"/>
  <c i="1" r="N54"/>
  <c i="1" r="J39"/>
  <c i="1" r="K35"/>
  <c i="1" r="C53"/>
  <c i="1" r="M38"/>
  <c i="1" r="M54"/>
  <c i="1" r="I39"/>
  <c i="1" r="L54"/>
  <c i="1" r="H39"/>
  <c i="1" r="D47"/>
  <c i="1" r="H47"/>
  <c i="1" r="W50"/>
  <c i="1" r="V50"/>
  <c i="1" r="R50"/>
  <c i="1" r="Q50"/>
  <c i="1" r="F47"/>
  <c i="1" r="I47"/>
  <c i="1" r="K50"/>
  <c i="1" r="E47"/>
  <c i="1" r="P50"/>
  <c i="1" r="I50"/>
  <c i="1" r="M50"/>
  <c i="1" r="N50"/>
  <c i="1" r="O50"/>
  <c i="1" r="S50"/>
  <c i="1" r="T50"/>
  <c i="1" r="S46"/>
  <c i="1" r="BS40"/>
  <c i="1" r="P45"/>
  <c i="1" r="Q45"/>
  <c i="1" r="B47"/>
  <c i="1" r="J47"/>
  <c i="1" r="K47"/>
  <c i="1" r="R46"/>
  <c i="1" r="N46"/>
  <c i="1" r="Q46"/>
  <c i="1" r="W46"/>
  <c i="1" r="BD55"/>
  <c i="1" r="CC14" s="1"/>
  <c i="1" r="CE28" s="1"/>
  <c i="18" r="K10" s="1"/>
  <c i="1" r="G34"/>
  <c i="1" r="L47"/>
  <c i="1" r="V44"/>
  <c i="1" r="BG55"/>
  <c i="1" r="CF14" s="1"/>
  <c i="1" r="CE31" s="1"/>
  <c i="18" r="K13" s="1"/>
  <c i="1" r="BC55"/>
  <c i="1" r="CB14" s="1"/>
  <c i="1" r="CE27" s="1"/>
  <c i="18" r="K9" s="1"/>
  <c i="1" r="G47"/>
  <c i="1" r="BB55"/>
  <c i="1" r="CA14" s="1"/>
  <c i="1" r="CE26" s="1"/>
  <c i="18" r="K8" s="1"/>
  <c i="1" r="BS38"/>
  <c i="1" r="BA55"/>
  <c i="1" r="BZ14" s="1"/>
  <c i="1" r="CE25" s="1"/>
  <c i="18" r="K7" s="1"/>
  <c i="1" r="C47"/>
  <c i="1" r="K54"/>
  <c i="1" r="L41"/>
  <c i="1" r="BS53"/>
  <c i="1" r="AZ55"/>
  <c i="1" r="BY14" s="1"/>
  <c i="1" r="CE24" s="1"/>
  <c i="18" r="K6" s="1"/>
  <c i="1" r="B52"/>
  <c i="1" r="I54"/>
  <c i="1" r="L50"/>
  <c i="1" r="V46"/>
  <c i="1" r="R43"/>
  <c i="1" r="J41"/>
  <c i="1" r="L38"/>
  <c i="1" r="BS51"/>
  <c i="1" r="BS36"/>
  <c i="1" r="G51"/>
  <c i="1" r="H54"/>
  <c i="1" r="U46"/>
  <c i="1" r="Q43"/>
  <c i="1" r="I41"/>
  <c i="1" r="K38"/>
  <c i="1" r="C50"/>
  <c i="1" r="G54"/>
  <c i="1" r="J50"/>
  <c i="1" r="T46"/>
  <c i="1" r="P43"/>
  <c i="1" r="H41"/>
  <c i="1" r="J38"/>
  <c i="1" r="BS49"/>
  <c i="1" r="K49"/>
  <c i="1" r="F54"/>
  <c i="1" r="O43"/>
  <c i="1" r="G41"/>
  <c i="1" r="I38"/>
  <c i="1" r="E48"/>
  <c i="1" r="BS47"/>
  <c i="1" r="O47"/>
  <c i="1" r="I49"/>
  <c i="1" r="E41"/>
  <c i="1" r="K46"/>
  <c i="1" r="B53"/>
  <c i="1" r="H49"/>
  <c i="1" r="P46"/>
  <c i="1" r="L43"/>
  <c i="1" r="D41"/>
  <c i="1" r="F38"/>
  <c i="1" r="BS45"/>
  <c i="1" r="S45"/>
  <c i="1" r="W52"/>
  <c i="1" r="G49"/>
  <c i="1" r="O46"/>
  <c i="1" r="K43"/>
  <c i="1" r="C41"/>
  <c i="1" r="E38"/>
  <c i="1" r="B44"/>
  <c i="1" r="F49"/>
  <c i="1" r="U52"/>
  <c i="1" r="E49"/>
  <c i="1" r="M46"/>
  <c i="1" r="I43"/>
  <c i="1" r="W40"/>
  <c i="1" r="C38"/>
  <c i="1" r="T52"/>
  <c i="1" r="D49"/>
  <c i="1" r="R45"/>
  <c i="1" r="H43"/>
  <c i="1" r="V40"/>
  <c i="1" r="B38"/>
  <c i="1" r="BS41"/>
  <c i="1" r="S52"/>
  <c i="1" r="B49"/>
  <c i="1" r="H40"/>
  <c i="1" r="BS39"/>
  <c i="1" r="Q52"/>
  <c i="1" r="W48"/>
  <c i="1" r="O45"/>
  <c i="1" r="E43"/>
  <c i="1" r="G40"/>
  <c i="1" r="U37"/>
  <c i="1" r="M35"/>
  <c i="1" r="V52"/>
  <c i="1" r="N45"/>
  <c i="1" r="S37"/>
  <c i="1" r="N52"/>
  <c i="1" r="T48"/>
  <c i="1" r="L45"/>
  <c i="1" r="B43"/>
  <c i="1" r="D40"/>
  <c i="1" r="R37"/>
  <c i="1" r="AX55"/>
  <c i="1" r="BW14" s="1"/>
  <c i="1" r="CE22" s="1"/>
  <c i="18" r="K4" s="1"/>
  <c i="1" r="BS35"/>
  <c i="1" r="C43"/>
  <c i="1" r="M52"/>
  <c i="1" r="S48"/>
  <c i="1" r="K45"/>
  <c i="1" r="W42"/>
  <c i="1" r="C40"/>
  <c i="1" r="Q37"/>
  <c i="1" r="BR55"/>
  <c i="1" r="CQ14" s="1"/>
  <c i="1" r="BS54"/>
  <c i="1" r="L52"/>
  <c i="1" r="R48"/>
  <c i="1" r="J45"/>
  <c i="1" r="V42"/>
  <c i="1" r="B40"/>
  <c i="1" r="P37"/>
  <c i="1" r="O52"/>
  <c i="1" r="K52"/>
  <c i="1" r="Q48"/>
  <c i="1" r="I45"/>
  <c i="1" r="U42"/>
  <c i="1" r="W39"/>
  <c i="1" r="O37"/>
  <c i="1" r="BP55"/>
  <c i="1" r="CO14" s="1"/>
  <c i="1" r="CE40" s="1"/>
  <c i="18" r="K22" s="1"/>
  <c i="1" r="BQ55"/>
  <c i="1" r="CP14" s="1"/>
  <c i="1" r="CE41" s="1"/>
  <c i="18" r="K23" s="1"/>
  <c i="1" r="BS52"/>
  <c i="1" r="Q34"/>
  <c i="1" r="J52"/>
  <c i="1" r="P48"/>
  <c i="1" r="H45"/>
  <c i="1" r="T42"/>
  <c i="1" r="V39"/>
  <c i="1" r="N37"/>
  <c i="1" r="BO55"/>
  <c i="1" r="CN14" s="1"/>
  <c i="1" r="CE39" s="1"/>
  <c i="18" r="K21" s="1"/>
  <c i="1" r="V48"/>
  <c i="1" r="P34"/>
  <c i="1" r="I52"/>
  <c i="1" r="O48"/>
  <c i="1" r="G45"/>
  <c i="1" r="S42"/>
  <c i="1" r="U39"/>
  <c i="1" r="M37"/>
  <c i="1" r="BN55"/>
  <c i="1" r="CM14" s="1"/>
  <c i="1" r="CE38" s="1"/>
  <c i="18" r="K20" s="1"/>
  <c i="1" r="BS50"/>
  <c i="1" r="BS34"/>
  <c i="1" r="F40"/>
  <c i="1" r="U48"/>
  <c i="1" r="O34"/>
  <c i="1" r="H52"/>
  <c i="1" r="N48"/>
  <c i="1" r="F45"/>
  <c i="1" r="R42"/>
  <c i="1" r="T39"/>
  <c i="1" r="L37"/>
  <c i="1" r="BM55"/>
  <c i="1" r="CL14" s="1"/>
  <c i="1" r="CE37" s="1"/>
  <c i="18" r="K19" s="1"/>
  <c i="1" r="N34"/>
  <c i="1" r="G52"/>
  <c i="1" r="M48"/>
  <c i="1" r="E45"/>
  <c i="1" r="Q42"/>
  <c i="1" r="S39"/>
  <c i="1" r="K37"/>
  <c i="1" r="BL55"/>
  <c i="1" r="CK14" s="1"/>
  <c i="1" r="CE36" s="1"/>
  <c i="18" r="K18" s="1"/>
  <c i="1" r="BS48"/>
  <c i="1" r="BS43"/>
  <c i="1" r="M45"/>
  <c i="1" r="M34"/>
  <c i="1" r="F51"/>
  <c i="1" r="L48"/>
  <c i="1" r="D45"/>
  <c i="1" r="D42"/>
  <c i="1" r="R39"/>
  <c i="1" r="J37"/>
  <c i="1" r="BK55"/>
  <c i="1" r="CJ14" s="1"/>
  <c i="1" r="CE35" s="1"/>
  <c i="18" r="K17" s="1"/>
  <c i="1" r="P52"/>
  <c i="1" r="BS37"/>
  <c i="1" r="E40"/>
  <c i="1" r="L34"/>
  <c i="1" r="E51"/>
  <c i="1" r="K48"/>
  <c i="1" r="C45"/>
  <c i="1" r="C42"/>
  <c i="1" r="Q39"/>
  <c i="1" r="I37"/>
  <c i="1" r="BJ55"/>
  <c i="1" r="CI14" s="1"/>
  <c i="1" r="CE34" s="1"/>
  <c i="18" r="K16" s="1"/>
  <c i="1" r="BS46"/>
  <c i="1" r="K34"/>
  <c i="1" r="D51"/>
  <c i="1" r="N47"/>
  <c i="1" r="B45"/>
  <c i="1" r="B42"/>
  <c i="1" r="P39"/>
  <c i="1" r="H37"/>
  <c i="1" r="BI55"/>
  <c i="1" r="CH14" s="1"/>
  <c i="1" r="CE33" s="1"/>
  <c i="18" r="K15" s="1"/>
  <c i="1" r="D43"/>
  <c i="1" r="H34"/>
  <c i="1" r="C51"/>
  <c i="1" r="M47"/>
  <c i="1" r="W44"/>
  <c i="1" r="O39"/>
  <c i="1" r="G37"/>
  <c i="1" r="BH55"/>
  <c i="1" r="CG14" s="1"/>
  <c i="1" r="CE32" s="1"/>
  <c i="18" r="K14" s="1"/>
  <c i="1" r="BS44"/>
  <c i="1" r="J34"/>
  <c i="1" r="I34"/>
  <c i="1" r="AY55"/>
  <c i="1" r="BX14" s="1"/>
  <c i="1" r="CE23" s="1"/>
  <c i="18" r="K5" s="1"/>
  <c i="1" r="J48"/>
  <c i="1" r="R53"/>
  <c i="1" r="U51"/>
  <c i="1" r="F34"/>
  <c i="1" r="Q53"/>
  <c i="1" r="J46"/>
  <c i="1" r="V53"/>
  <c i="1" r="U53"/>
  <c i="1" r="F50"/>
  <c i="1" r="B50"/>
  <c i="1" r="S51"/>
  <c i="1" r="R51"/>
  <c i="1" r="V49"/>
  <c i="1" r="D48"/>
  <c i="1" r="H46"/>
  <c i="1" r="L44"/>
  <c i="1" r="P42"/>
  <c i="1" r="T40"/>
  <c i="1" r="F37"/>
  <c i="1" r="J35"/>
  <c i="1" r="D34"/>
  <c i="1" r="C54"/>
  <c i="1" r="C52"/>
  <c i="1" r="M44"/>
  <c i="1" r="M53"/>
  <c i="1" r="Q51"/>
  <c i="1" r="U49"/>
  <c i="1" r="C48"/>
  <c i="1" r="G46"/>
  <c i="1" r="K44"/>
  <c i="1" r="O42"/>
  <c i="1" r="S40"/>
  <c i="1" r="W38"/>
  <c i="1" r="E37"/>
  <c i="1" r="I35"/>
  <c i="1" r="C34"/>
  <c i="1" r="F52"/>
  <c i="1" r="E52"/>
  <c i="1" r="I48"/>
  <c i="1" r="G48"/>
  <c i="1" r="N44"/>
  <c i="1" r="O53"/>
  <c i="1" r="L53"/>
  <c i="1" r="P51"/>
  <c i="1" r="T49"/>
  <c i="1" r="B48"/>
  <c i="1" r="F46"/>
  <c i="1" r="J44"/>
  <c i="1" r="N42"/>
  <c i="1" r="R40"/>
  <c i="1" r="V38"/>
  <c i="1" r="D37"/>
  <c i="1" r="H35"/>
  <c i="1" r="D52"/>
  <c i="1" r="S53"/>
  <c i="1" r="W49"/>
  <c i="1" r="K53"/>
  <c i="1" r="O51"/>
  <c i="1" r="S49"/>
  <c i="1" r="W47"/>
  <c i="1" r="E46"/>
  <c i="1" r="I44"/>
  <c i="1" r="M42"/>
  <c i="1" r="Q40"/>
  <c i="1" r="U38"/>
  <c i="1" r="C37"/>
  <c i="1" r="G35"/>
  <c i="1" r="B54"/>
  <c i="1" r="L46"/>
  <c i="1" r="J53"/>
  <c i="1" r="N51"/>
  <c i="1" r="R49"/>
  <c i="1" r="V47"/>
  <c i="1" r="D46"/>
  <c i="1" r="H44"/>
  <c i="1" r="L42"/>
  <c i="1" r="P40"/>
  <c i="1" r="T38"/>
  <c i="1" r="F35"/>
  <c i="1" r="H48"/>
  <c i="1" r="F48"/>
  <c i="1" r="B34"/>
  <c i="1" r="I53"/>
  <c i="1" r="M51"/>
  <c i="1" r="Q49"/>
  <c i="1" r="U47"/>
  <c i="1" r="C46"/>
  <c i="1" r="G44"/>
  <c i="1" r="K42"/>
  <c i="1" r="O40"/>
  <c i="1" r="S38"/>
  <c i="1" r="W36"/>
  <c i="1" r="E35"/>
  <c i="1" r="H50"/>
  <c i="1" r="E50"/>
  <c i="1" r="D50"/>
  <c i="1" r="W34"/>
  <c i="1" r="H53"/>
  <c i="1" r="L51"/>
  <c i="1" r="P49"/>
  <c i="1" r="T47"/>
  <c i="1" r="B46"/>
  <c i="1" r="F44"/>
  <c i="1" r="J42"/>
  <c i="1" r="N40"/>
  <c i="1" r="R38"/>
  <c i="1" r="V36"/>
  <c i="1" r="D35"/>
  <c i="1" r="V34"/>
  <c i="1" r="G53"/>
  <c i="1" r="K51"/>
  <c i="1" r="O49"/>
  <c i="1" r="S47"/>
  <c i="1" r="W45"/>
  <c i="1" r="E44"/>
  <c i="1" r="I42"/>
  <c i="1" r="M40"/>
  <c i="1" r="Q38"/>
  <c i="1" r="U36"/>
  <c i="1" r="C35"/>
  <c i="1" r="G50"/>
  <c i="1" r="W51"/>
  <c i="1" r="V51"/>
  <c i="1" r="T51"/>
  <c i="1" r="N53"/>
  <c i="1" r="U34"/>
  <c i="1" r="F53"/>
  <c i="1" r="J51"/>
  <c i="1" r="N49"/>
  <c i="1" r="R47"/>
  <c i="1" r="V45"/>
  <c i="1" r="D44"/>
  <c i="1" r="H42"/>
  <c i="1" r="L40"/>
  <c i="1" r="P38"/>
  <c i="1" r="T36"/>
  <c i="1" r="W53"/>
  <c i="1" r="T53"/>
  <c i="1" r="I46"/>
  <c i="1" r="T34"/>
  <c i="1" r="W54"/>
  <c i="1" r="E53"/>
  <c i="1" r="I51"/>
  <c i="1" r="M49"/>
  <c i="1" r="Q47"/>
  <c i="1" r="U45"/>
  <c i="1" r="C44"/>
  <c i="1" r="G42"/>
  <c i="1" r="K40"/>
  <c i="1" r="O38"/>
  <c i="1" r="S36"/>
  <c i="1" r="S34"/>
  <c i="1" r="V54"/>
  <c i="1" r="D53"/>
  <c i="1" r="H51"/>
  <c i="1" r="L49"/>
  <c i="1" r="P47"/>
  <c i="1" r="T45"/>
  <c i="1" r="F42"/>
  <c i="1" r="J40"/>
  <c i="1" r="N38"/>
  <c i="1" r="R36"/>
  <c i="1" r="E34"/>
  <c i="1" r="P53"/>
  <c i="1" r="BS28"/>
  <c i="1" r="AT55" s="1"/>
  <c i="1" r="CQ13" s="1"/>
  <c i="1" r="W28"/>
  <c i="1" r="CR7" s="1"/>
  <c i="8" r="Q24"/>
  <c i="8" r="R24"/>
  <c i="8" r="P24"/>
  <c i="8" r="L24"/>
  <c i="8" r="E24"/>
  <c i="8" r="E18"/>
  <c i="8" r="E19"/>
  <c i="8" r="E20"/>
  <c i="8" r="E21"/>
  <c i="8" r="E22"/>
  <c i="8" r="E23"/>
  <c i="8" r="P7"/>
  <c i="8" r="Q7"/>
  <c i="8" r="R7"/>
  <c i="8" r="E13"/>
  <c i="8" r="S13" s="1"/>
  <c i="8" r="H13"/>
  <c i="8" r="O13" s="1"/>
  <c i="18" l="1" r="CV15"/>
  <c i="8" r="E35"/>
  <c i="8" r="L35"/>
  <c i="18" r="E30"/>
  <c i="18" r="CX4" s="1"/>
  <c i="1" r="AB55"/>
  <c i="18" r="D30"/>
  <c i="1" r="AA55"/>
  <c i="18" r="F30"/>
  <c i="18" r="CX5" s="1"/>
  <c i="1" r="AC55"/>
  <c i="1" r="BZ13" s="1"/>
  <c i="1" r="CD25" s="1"/>
  <c i="18" r="S30"/>
  <c i="18" r="S51" s="1"/>
  <c i="1" r="AP55"/>
  <c i="1" r="CM13" s="1"/>
  <c i="1" r="CD38" s="1"/>
  <c i="18" r="N30"/>
  <c i="1" r="AK55"/>
  <c i="1" r="CH13" s="1"/>
  <c i="1" r="CD33" s="1"/>
  <c i="18" r="L30"/>
  <c i="1" r="AI55"/>
  <c i="1" r="CF13" s="1"/>
  <c i="1" r="CD31" s="1"/>
  <c i="18" r="T30"/>
  <c i="18" r="T51" s="1"/>
  <c i="1" r="AQ55"/>
  <c i="1" r="CN13" s="1"/>
  <c i="1" r="CD39" s="1"/>
  <c i="18" r="J30"/>
  <c i="1" r="AG55"/>
  <c i="1" r="CD13" s="1"/>
  <c i="1" r="CD29" s="1"/>
  <c i="18" r="R30"/>
  <c i="18" r="R51" s="1"/>
  <c i="1" r="AO55"/>
  <c i="1" r="CL13" s="1"/>
  <c i="1" r="CD37" s="1"/>
  <c i="18" r="Q30"/>
  <c i="18" r="Q51" s="1"/>
  <c i="1" r="AN55"/>
  <c i="1" r="CK13" s="1"/>
  <c i="1" r="CD36" s="1"/>
  <c i="18" r="C30"/>
  <c i="1" r="Z55"/>
  <c i="1" r="BW13" s="1"/>
  <c i="1" r="CD22" s="1"/>
  <c i="18" r="K30"/>
  <c i="1" r="AH55"/>
  <c i="1" r="CE13" s="1"/>
  <c i="1" r="CD30" s="1"/>
  <c i="18" r="O30"/>
  <c i="18" r="O51" s="1"/>
  <c i="1" r="AL55"/>
  <c i="1" r="CI13" s="1"/>
  <c i="1" r="CD34" s="1"/>
  <c i="18" r="V30"/>
  <c i="18" r="V51" s="1"/>
  <c i="1" r="AS55"/>
  <c i="1" r="CP13" s="1"/>
  <c i="1" r="CD41" s="1"/>
  <c i="18" r="U30"/>
  <c i="18" r="U51" s="1"/>
  <c i="1" r="AR55"/>
  <c i="1" r="CO13" s="1"/>
  <c i="1" r="CD40" s="1"/>
  <c i="18" r="G30"/>
  <c i="1" r="AD55"/>
  <c i="1" r="CA13" s="1"/>
  <c i="1" r="CD26" s="1"/>
  <c i="18" r="I30"/>
  <c i="1" r="AF55"/>
  <c i="1" r="CC13" s="1"/>
  <c i="1" r="CD28" s="1"/>
  <c i="18" r="H30"/>
  <c i="1" r="AE55"/>
  <c i="1" r="CB13" s="1"/>
  <c i="1" r="CD27" s="1"/>
  <c i="18" r="P30"/>
  <c i="18" r="P51" s="1"/>
  <c i="1" r="AM55"/>
  <c i="1" r="CJ13" s="1"/>
  <c i="1" r="CD35" s="1"/>
  <c i="18" r="M30"/>
  <c i="1" r="AJ55"/>
  <c i="1" r="CG13" s="1"/>
  <c i="1" r="CD32" s="1"/>
  <c i="18" r="BT47"/>
  <c i="18" r="CR47" s="1"/>
  <c i="18" r="BT46"/>
  <c i="18" r="CR46" s="1"/>
  <c i="18" r="X41"/>
  <c i="18" r="BU41" s="1"/>
  <c i="18" r="CS41" s="1"/>
  <c i="18" r="BT33"/>
  <c i="18" r="CR33" s="1"/>
  <c i="18" r="BT42"/>
  <c i="18" r="CR42" s="1"/>
  <c i="18" r="X32"/>
  <c i="18" r="AW32" s="1"/>
  <c i="18" r="BT44"/>
  <c i="18" r="CR44" s="1"/>
  <c i="18" r="BT45"/>
  <c i="18" r="CR45" s="1"/>
  <c i="18" r="BT36"/>
  <c i="18" r="CR36" s="1"/>
  <c i="18" r="X33"/>
  <c i="18" r="BT43"/>
  <c i="18" r="CR43" s="1"/>
  <c i="18" r="X31"/>
  <c i="18" r="BU31" s="1"/>
  <c i="18" r="CS31" s="1"/>
  <c i="18" r="X39"/>
  <c i="18" r="X36"/>
  <c i="18" r="AV130"/>
  <c i="18" r="AV156" s="1"/>
  <c i="18" r="CS50"/>
  <c i="18" r="X48"/>
  <c i="18" r="BT37"/>
  <c i="18" r="CR37" s="1"/>
  <c i="18" r="X35"/>
  <c i="18" r="AW35" s="1"/>
  <c i="18" r="BT34"/>
  <c i="18" r="CR34" s="1"/>
  <c i="18" r="BT31"/>
  <c i="18" r="CR31" s="1"/>
  <c i="18" r="X47"/>
  <c i="18" r="BU47" s="1"/>
  <c i="18" r="CS47" s="1"/>
  <c i="18" r="X45"/>
  <c i="18" r="BU45" s="1"/>
  <c i="18" r="CS45" s="1"/>
  <c i="18" r="BT41"/>
  <c i="18" r="CR41" s="1"/>
  <c i="18" r="X46"/>
  <c i="18" r="BU46" s="1"/>
  <c i="18" r="CS46" s="1"/>
  <c i="18" r="AV51"/>
  <c i="18" r="X43"/>
  <c i="18" r="X42"/>
  <c i="18" r="BU42" s="1"/>
  <c i="18" r="CS42" s="1"/>
  <c i="18" r="X40"/>
  <c i="18" r="BU40" s="1"/>
  <c i="18" r="CS40" s="1"/>
  <c i="18" r="E51"/>
  <c i="18" r="X38"/>
  <c i="18" r="BT35"/>
  <c i="18" r="CR35" s="1"/>
  <c i="18" r="X44"/>
  <c i="18" r="BT32"/>
  <c i="18" r="CR32" s="1"/>
  <c i="18" r="X37"/>
  <c i="18" r="AW37" s="1"/>
  <c i="18" r="X49"/>
  <c i="18" r="BU49" s="1"/>
  <c i="18" r="CS49" s="1"/>
  <c i="18" r="BT49"/>
  <c i="18" r="CR49" s="1"/>
  <c i="18" r="X34"/>
  <c i="18" r="AU110"/>
  <c i="18" r="AU136" s="1"/>
  <c i="18" r="W51"/>
  <c i="18" r="BT39"/>
  <c i="18" r="CR39" s="1"/>
  <c i="18" r="BT40"/>
  <c i="18" r="CR40" s="1"/>
  <c i="18" r="BT38"/>
  <c i="18" r="CR38" s="1"/>
  <c i="18" r="BT48"/>
  <c i="18" r="CR48" s="1"/>
  <c i="1" r="CR10"/>
  <c i="17" r="Q52"/>
  <c i="1" r="CK12" s="1"/>
  <c i="1" r="CC36" s="1"/>
  <c i="18" r="I18" s="1"/>
  <c i="17" r="H52"/>
  <c i="1" r="CB12" s="1"/>
  <c i="1" r="CC27" s="1"/>
  <c i="18" r="I9" s="1"/>
  <c i="17" r="V52"/>
  <c i="1" r="CP12" s="1"/>
  <c i="1" r="CC41" s="1"/>
  <c i="18" r="I23" s="1"/>
  <c i="17" r="S52"/>
  <c i="1" r="CM12" s="1"/>
  <c i="1" r="CC38" s="1"/>
  <c i="18" r="I20" s="1"/>
  <c i="17" r="T52"/>
  <c i="1" r="CN12" s="1"/>
  <c i="1" r="CC39" s="1"/>
  <c i="18" r="I21" s="1"/>
  <c i="17" r="U52"/>
  <c i="1" r="CO12" s="1"/>
  <c i="1" r="CC40" s="1"/>
  <c i="18" r="I22" s="1"/>
  <c i="17" r="E52"/>
  <c i="1" r="BY12" s="1"/>
  <c i="1" r="CC24" s="1"/>
  <c i="18" r="I6" s="1"/>
  <c i="17" r="M52"/>
  <c i="1" r="CG12" s="1"/>
  <c i="1" r="CC32" s="1"/>
  <c i="18" r="I14" s="1"/>
  <c i="17" r="N52"/>
  <c i="1" r="CH12" s="1"/>
  <c i="1" r="CC33" s="1"/>
  <c i="18" r="I15" s="1"/>
  <c i="17" r="R52"/>
  <c i="1" r="CL12" s="1"/>
  <c i="1" r="CC37" s="1"/>
  <c i="18" r="I19" s="1"/>
  <c i="17" r="G52"/>
  <c i="1" r="CA12" s="1"/>
  <c i="1" r="CC26" s="1"/>
  <c i="18" r="I8" s="1"/>
  <c i="17" r="C52"/>
  <c i="1" r="BW12" s="1"/>
  <c i="1" r="CC22" s="1"/>
  <c i="18" r="I4" s="1"/>
  <c i="17" r="J52"/>
  <c i="1" r="CD12" s="1"/>
  <c i="1" r="CC29" s="1"/>
  <c i="18" r="I11" s="1"/>
  <c i="17" r="P52"/>
  <c i="1" r="CJ12" s="1"/>
  <c i="1" r="CC35" s="1"/>
  <c i="18" r="I17" s="1"/>
  <c i="17" r="D52"/>
  <c i="1" r="BX12" s="1"/>
  <c i="1" r="CC23" s="1"/>
  <c i="18" r="I5" s="1"/>
  <c i="17" r="W52"/>
  <c i="1" r="CQ12" s="1"/>
  <c i="17" r="L52"/>
  <c i="1" r="CF12" s="1"/>
  <c i="1" r="CC31" s="1"/>
  <c i="18" r="I13" s="1"/>
  <c i="17" r="I52"/>
  <c i="1" r="CC12" s="1"/>
  <c i="1" r="CC28" s="1"/>
  <c i="18" r="I10" s="1"/>
  <c i="17" r="F52"/>
  <c i="1" r="BZ12" s="1"/>
  <c i="1" r="CC25" s="1"/>
  <c i="18" r="I7" s="1"/>
  <c i="17" r="K52"/>
  <c i="1" r="CE12" s="1"/>
  <c i="1" r="CC30" s="1"/>
  <c i="18" r="I12" s="1"/>
  <c i="17" r="O52"/>
  <c i="1" r="CI12" s="1"/>
  <c i="1" r="CC34" s="1"/>
  <c i="18" r="I16" s="1"/>
  <c i="17" r="X52"/>
  <c i="17" r="G71" s="1"/>
  <c i="1" r="AU39"/>
  <c i="1" r="AU42"/>
  <c i="1" r="AU34"/>
  <c i="1" r="AU41"/>
  <c i="1" r="BY13"/>
  <c i="1" r="CD24" s="1"/>
  <c i="1" r="AU37"/>
  <c i="1" r="AU51"/>
  <c i="1" r="AU40"/>
  <c i="1" r="CE42"/>
  <c i="1" r="CI30" s="1"/>
  <c i="18" r="O12" s="1"/>
  <c i="1" r="AU47"/>
  <c i="1" r="AU46"/>
  <c i="1" r="AU50"/>
  <c i="1" r="AU48"/>
  <c i="1" r="AU35"/>
  <c i="1" r="AU53"/>
  <c i="1" r="AU49"/>
  <c i="1" r="AU44"/>
  <c i="1" r="AU45"/>
  <c i="1" r="AU52"/>
  <c i="1" r="AU36"/>
  <c i="1" r="AU38"/>
  <c i="1" r="AU43"/>
  <c i="1" r="BS55"/>
  <c i="1" r="CR14" s="1"/>
  <c i="1" r="BX13"/>
  <c i="1" r="CD23" s="1"/>
  <c i="1" r="I55"/>
  <c i="1" r="CD11" s="1"/>
  <c i="1" r="CB29" s="1"/>
  <c i="18" r="H11" s="1"/>
  <c i="1" r="N55"/>
  <c i="1" r="CI11" s="1"/>
  <c i="1" r="CB34" s="1"/>
  <c i="18" r="H16" s="1"/>
  <c i="1" r="Q55"/>
  <c i="1" r="CL11" s="1"/>
  <c i="1" r="CB37" s="1"/>
  <c i="18" r="H19" s="1"/>
  <c i="1" r="U55"/>
  <c i="1" r="CP11" s="1"/>
  <c i="1" r="CB41" s="1"/>
  <c i="18" r="H23" s="1"/>
  <c i="1" r="B55"/>
  <c i="1" r="BW11" s="1"/>
  <c i="1" r="CB22" s="1"/>
  <c i="18" r="H4" s="1"/>
  <c i="1" r="C55"/>
  <c i="1" r="BX11" s="1"/>
  <c i="1" r="CB23" s="1"/>
  <c i="18" r="H5" s="1"/>
  <c i="1" r="M55"/>
  <c i="1" r="CH11" s="1"/>
  <c i="1" r="CB33" s="1"/>
  <c i="18" r="H15" s="1"/>
  <c i="1" r="D55"/>
  <c i="1" r="BY11" s="1"/>
  <c i="1" r="CB24" s="1"/>
  <c i="18" r="H6" s="1"/>
  <c i="1" r="V55"/>
  <c i="1" r="CQ11" s="1"/>
  <c i="1" r="E55"/>
  <c i="1" r="BZ11" s="1"/>
  <c i="1" r="CB25" s="1"/>
  <c i="18" r="H7" s="1"/>
  <c i="1" r="J55"/>
  <c i="1" r="CE11" s="1"/>
  <c i="1" r="CB30" s="1"/>
  <c i="18" r="H12" s="1"/>
  <c i="1" r="K55"/>
  <c i="1" r="CF11" s="1"/>
  <c i="1" r="CB31" s="1"/>
  <c i="18" r="H13" s="1"/>
  <c i="1" r="P55"/>
  <c i="1" r="CK11" s="1"/>
  <c i="1" r="CB36" s="1"/>
  <c i="18" r="H18" s="1"/>
  <c i="1" r="T55"/>
  <c i="1" r="CO11" s="1"/>
  <c i="1" r="CB40" s="1"/>
  <c i="18" r="H22" s="1"/>
  <c i="1" r="F55"/>
  <c i="1" r="CA11" s="1"/>
  <c i="1" r="CB26" s="1"/>
  <c i="18" r="H8" s="1"/>
  <c i="1" r="H55"/>
  <c i="1" r="CC11" s="1"/>
  <c i="1" r="CB28" s="1"/>
  <c i="18" r="H10" s="1"/>
  <c i="1" r="G55"/>
  <c i="1" r="CB11" s="1"/>
  <c i="1" r="CB27" s="1"/>
  <c i="18" r="H9" s="1"/>
  <c i="1" r="R55"/>
  <c i="1" r="CM11" s="1"/>
  <c i="1" r="CB38" s="1"/>
  <c i="18" r="H20" s="1"/>
  <c i="1" r="L55"/>
  <c i="1" r="CG11" s="1"/>
  <c i="1" r="CB32" s="1"/>
  <c i="18" r="H14" s="1"/>
  <c i="1" r="S55"/>
  <c i="1" r="CN11" s="1"/>
  <c i="1" r="CB39" s="1"/>
  <c i="18" r="H21" s="1"/>
  <c i="1" r="W55"/>
  <c i="1" r="CR11" s="1"/>
  <c i="1" r="O55"/>
  <c i="1" r="CJ11" s="1"/>
  <c i="1" r="CB35" s="1"/>
  <c i="18" r="H17" s="1"/>
  <c i="8" r="S24"/>
  <c i="8" r="P35"/>
  <c i="8" r="R35"/>
  <c i="8" r="Q35"/>
  <c i="8" r="E7"/>
  <c i="10" r="H11"/>
  <c i="18" l="1" r="AW46"/>
  <c i="1" r="BH80"/>
  <c i="18" r="H51"/>
  <c i="18" r="CX7"/>
  <c i="18" r="K51"/>
  <c i="18" r="BH57" s="1"/>
  <c i="18" r="CX10"/>
  <c i="18" r="L51"/>
  <c i="18" r="CX11"/>
  <c i="18" r="G51"/>
  <c i="18" r="CX6"/>
  <c i="18" r="N51"/>
  <c i="18" r="CX13"/>
  <c i="18" r="D51"/>
  <c i="18" r="BA57" s="1"/>
  <c i="18" r="CX3"/>
  <c i="18" r="I51"/>
  <c i="18" r="BF57" s="1"/>
  <c i="18" r="CX8"/>
  <c i="18" r="M51"/>
  <c i="18" r="BJ57" s="1"/>
  <c i="18" r="CX12"/>
  <c i="18" r="CX14"/>
  <c i="18" r="C51"/>
  <c i="18" r="AZ57" s="1"/>
  <c i="18" r="CX2"/>
  <c i="18" r="F51"/>
  <c i="18" r="J51"/>
  <c i="18" r="BG57" s="1"/>
  <c i="18" r="CX9"/>
  <c i="18" r="CV16"/>
  <c i="18" r="CX15"/>
  <c i="1" r="BL78"/>
  <c i="1" r="BC82"/>
  <c i="18" r="AW41"/>
  <c i="18" r="BU32"/>
  <c i="18" r="CS32" s="1"/>
  <c i="8" r="E29"/>
  <c i="18" r="AW40"/>
  <c i="18" r="AW42"/>
  <c i="18" r="X30"/>
  <c i="18" r="BU30" s="1"/>
  <c i="18" r="CS30" s="1"/>
  <c i="1" r="CI40"/>
  <c i="18" r="O22" s="1"/>
  <c i="18" r="AW47"/>
  <c i="1" r="CI27"/>
  <c i="18" r="O9" s="1"/>
  <c i="1" r="CI24"/>
  <c i="18" r="O6" s="1"/>
  <c i="1" r="CI26"/>
  <c i="18" r="O8" s="1"/>
  <c i="1" r="CI25"/>
  <c i="18" r="O7" s="1"/>
  <c i="1" r="BC76"/>
  <c i="18" r="AW31"/>
  <c i="1" r="AX69"/>
  <c i="1" r="BR62"/>
  <c i="18" r="AW49"/>
  <c i="1" r="BI79"/>
  <c i="1" r="BC74"/>
  <c i="1" r="BF72"/>
  <c i="1" r="BH70"/>
  <c i="1" r="AY78"/>
  <c i="1" r="BO62"/>
  <c i="1" r="BN82"/>
  <c i="1" r="BP66"/>
  <c i="1" r="AY63"/>
  <c i="1" r="AZ79"/>
  <c i="18" r="BU35"/>
  <c i="18" r="CS35" s="1"/>
  <c i="1" r="BD72"/>
  <c i="1" r="AY61"/>
  <c i="1" r="AZ65"/>
  <c i="1" r="BH75"/>
  <c i="1" r="BQ82"/>
  <c i="1" r="BK82"/>
  <c i="1" r="BF79"/>
  <c i="1" r="BO80"/>
  <c i="1" r="BM70"/>
  <c i="1" r="BL68"/>
  <c i="1" r="BB63"/>
  <c i="1" r="BS78"/>
  <c i="1" r="BE74"/>
  <c i="1" r="BN64"/>
  <c i="1" r="BC79"/>
  <c i="1" r="BA77"/>
  <c i="1" r="BO79"/>
  <c i="1" r="BI73"/>
  <c i="1" r="BD82"/>
  <c i="1" r="CK41"/>
  <c i="18" r="Q23" s="1"/>
  <c i="18" r="J23"/>
  <c i="1" r="CK37"/>
  <c i="18" r="Q19" s="1"/>
  <c i="18" r="J19"/>
  <c i="1" r="CK39"/>
  <c i="18" r="Q21" s="1"/>
  <c i="18" r="J21"/>
  <c i="18" r="BR32"/>
  <c i="18" r="BG32"/>
  <c i="18" r="BJ32"/>
  <c i="18" r="BO32"/>
  <c i="18" r="AZ32"/>
  <c i="18" r="BC32"/>
  <c i="18" r="BL32"/>
  <c i="18" r="BF32"/>
  <c i="18" r="BQ32"/>
  <c i="18" r="BN32"/>
  <c i="18" r="BI32"/>
  <c i="18" r="BB32"/>
  <c i="18" r="BE32"/>
  <c i="18" r="BH32"/>
  <c i="18" r="BS32"/>
  <c i="18" r="BP32"/>
  <c i="18" r="BK32"/>
  <c i="18" r="BA32"/>
  <c i="18" r="BD32"/>
  <c i="18" r="BM32"/>
  <c i="18" r="AV122"/>
  <c i="18" r="AV148" s="1"/>
  <c i="18" r="BM42"/>
  <c i="18" r="AZ42"/>
  <c i="18" r="BE42"/>
  <c i="18" r="BJ42"/>
  <c i="18" r="BB42"/>
  <c i="18" r="BG42"/>
  <c i="18" r="BO42"/>
  <c i="18" r="BQ42"/>
  <c i="18" r="BL42"/>
  <c i="18" r="W25" s="1"/>
  <c i="18" r="R25" s="1"/>
  <c i="18" r="BS42"/>
  <c i="18" r="BD42"/>
  <c i="18" r="BI42"/>
  <c i="18" r="BF42"/>
  <c i="18" r="BA42"/>
  <c i="18" r="BN42"/>
  <c i="18" r="BK42"/>
  <c i="18" r="BC42"/>
  <c i="18" r="BR42"/>
  <c i="18" r="BP42"/>
  <c i="18" r="BH42"/>
  <c i="18" r="AW45"/>
  <c i="18" r="BD48"/>
  <c i="18" r="BA48"/>
  <c i="18" r="BQ48"/>
  <c i="18" r="BI48"/>
  <c i="18" r="BS48"/>
  <c i="18" r="BP48"/>
  <c i="18" r="BM48"/>
  <c i="18" r="BF48"/>
  <c i="18" r="BO48"/>
  <c i="18" r="BC48"/>
  <c i="18" r="BR48"/>
  <c i="18" r="AZ48"/>
  <c i="18" r="BH48"/>
  <c i="18" r="BL48"/>
  <c i="18" r="BE48"/>
  <c i="18" r="BK48"/>
  <c i="18" r="BJ48"/>
  <c i="18" r="BN48"/>
  <c i="18" r="BB48"/>
  <c i="18" r="BG48"/>
  <c i="18" r="AV127"/>
  <c i="18" r="AV153" s="1"/>
  <c i="18" r="BH47"/>
  <c i="18" r="BE47"/>
  <c i="18" r="BQ47"/>
  <c i="18" r="BK47"/>
  <c i="18" r="BM47"/>
  <c i="18" r="BD47"/>
  <c i="18" r="AZ47"/>
  <c i="18" r="BS47"/>
  <c i="18" r="BN47"/>
  <c i="18" r="BG47"/>
  <c i="18" r="BJ47"/>
  <c i="18" r="BC47"/>
  <c i="18" r="BL47"/>
  <c i="18" r="BP47"/>
  <c i="18" r="BA47"/>
  <c i="18" r="BF47"/>
  <c i="18" r="BI47"/>
  <c i="18" r="BR47"/>
  <c i="18" r="BB47"/>
  <c i="18" r="BO47"/>
  <c i="17" r="O72"/>
  <c i="18" r="BU37"/>
  <c i="18" r="CS37" s="1"/>
  <c i="18" r="BQ57"/>
  <c i="18" r="BP33"/>
  <c i="18" r="BE33"/>
  <c i="18" r="BK33"/>
  <c i="18" r="BS33"/>
  <c i="18" r="BB33"/>
  <c i="18" r="BO33"/>
  <c i="18" r="BJ33"/>
  <c i="18" r="BR33"/>
  <c i="18" r="BI33"/>
  <c i="18" r="BD33"/>
  <c i="18" r="BN33"/>
  <c i="18" r="BH33"/>
  <c i="18" r="BA33"/>
  <c i="18" r="BG33"/>
  <c i="18" r="BQ33"/>
  <c i="18" r="BM33"/>
  <c i="18" r="BF33"/>
  <c i="18" r="BC33"/>
  <c i="18" r="AZ33"/>
  <c i="18" r="BL33"/>
  <c i="18" r="BI43"/>
  <c i="18" r="BL43"/>
  <c i="18" r="BE43"/>
  <c i="18" r="BO43"/>
  <c i="18" r="AZ43"/>
  <c i="18" r="BH43"/>
  <c i="18" r="BD43"/>
  <c i="18" r="BR43"/>
  <c i="18" r="BK43"/>
  <c i="18" r="BN43"/>
  <c i="18" r="BP43"/>
  <c i="18" r="BB43"/>
  <c i="18" r="BQ43"/>
  <c i="18" r="BG43"/>
  <c i="18" r="BC43"/>
  <c i="18" r="BJ43"/>
  <c i="18" r="BM43"/>
  <c i="18" r="BA43"/>
  <c i="18" r="BF43"/>
  <c i="18" r="BS43"/>
  <c i="18" r="BD57"/>
  <c i="18" r="BI57"/>
  <c i="18" r="BN57"/>
  <c i="1" r="CK28"/>
  <c i="18" r="Q10" s="1"/>
  <c i="18" r="J10"/>
  <c i="18" r="BP34"/>
  <c i="18" r="BE34"/>
  <c i="18" r="BH34"/>
  <c i="18" r="BM34"/>
  <c i="18" r="BR34"/>
  <c i="18" r="BF34"/>
  <c i="18" r="BA34"/>
  <c i="18" r="BJ34"/>
  <c i="18" r="BD34"/>
  <c i="18" r="BO34"/>
  <c i="18" r="BL34"/>
  <c i="18" r="BG34"/>
  <c i="18" r="AZ34"/>
  <c i="18" r="BC34"/>
  <c i="18" r="BQ34"/>
  <c i="18" r="BN34"/>
  <c i="18" r="BI34"/>
  <c i="18" r="BS34"/>
  <c i="18" r="BB34"/>
  <c i="18" r="BK34"/>
  <c i="18" r="BL38"/>
  <c i="18" r="BA38"/>
  <c i="18" r="BQ38"/>
  <c i="18" r="BD38"/>
  <c i="18" r="BI38"/>
  <c i="18" r="BN38"/>
  <c i="18" r="BF38"/>
  <c i="18" r="AZ38"/>
  <c i="18" r="BK38"/>
  <c i="18" r="BS38"/>
  <c i="18" r="BP38"/>
  <c i="18" r="BH38"/>
  <c i="18" r="BC38"/>
  <c i="18" r="BB38"/>
  <c i="18" r="BM38"/>
  <c i="18" r="BJ38"/>
  <c i="18" r="BE38"/>
  <c i="18" r="BR38"/>
  <c i="18" r="BO38"/>
  <c i="18" r="BG38"/>
  <c i="18" r="BU33"/>
  <c i="18" r="CS33" s="1"/>
  <c i="1" r="CK35"/>
  <c i="18" r="Q17" s="1"/>
  <c i="18" r="J17"/>
  <c i="18" r="AW33"/>
  <c i="18" r="AW43"/>
  <c i="1" r="CK34"/>
  <c i="18" r="Q16" s="1"/>
  <c i="18" r="J16"/>
  <c i="1" r="CK36"/>
  <c i="18" r="Q18" s="1"/>
  <c i="18" r="J18"/>
  <c i="18" r="BU43"/>
  <c i="18" r="CS43" s="1"/>
  <c i="18" r="BR57"/>
  <c i="18" r="BC44"/>
  <c i="18" r="BH44"/>
  <c i="18" r="AZ44"/>
  <c i="18" r="BS44"/>
  <c i="18" r="BE44"/>
  <c i="18" r="BQ44"/>
  <c i="18" r="BP44"/>
  <c i="18" r="BM44"/>
  <c i="18" r="BJ44"/>
  <c i="18" r="BB44"/>
  <c i="18" r="BO44"/>
  <c i="18" r="BG44"/>
  <c i="18" r="BR44"/>
  <c i="18" r="BD44"/>
  <c i="18" r="BL44"/>
  <c i="18" r="BI44"/>
  <c i="18" r="BA44"/>
  <c i="18" r="BK44"/>
  <c i="18" r="BN44"/>
  <c i="18" r="BF44"/>
  <c i="1" r="CK29"/>
  <c i="18" r="Q11" s="1"/>
  <c i="18" r="J11"/>
  <c i="18" r="BP57"/>
  <c i="18" r="BN36"/>
  <c i="18" r="BC36"/>
  <c i="18" r="BS36"/>
  <c i="18" r="BF36"/>
  <c i="18" r="BK36"/>
  <c i="18" r="BP36"/>
  <c i="18" r="BD36"/>
  <c i="18" r="BH36"/>
  <c i="18" r="BB36"/>
  <c i="18" r="BM36"/>
  <c i="18" r="BR36"/>
  <c i="18" r="BJ36"/>
  <c i="18" r="BE36"/>
  <c i="18" r="BA36"/>
  <c i="18" r="BO36"/>
  <c i="18" r="BL36"/>
  <c i="18" r="BG36"/>
  <c i="18" r="BQ36"/>
  <c i="18" r="AZ36"/>
  <c i="18" r="BI36"/>
  <c i="18" r="BM57"/>
  <c i="1" r="CK30"/>
  <c i="18" r="Q12" s="1"/>
  <c i="18" r="J12"/>
  <c i="18" r="BS57"/>
  <c i="18" r="BN35"/>
  <c i="18" r="BC35"/>
  <c i="18" r="BI35"/>
  <c i="18" r="BQ35"/>
  <c i="18" r="AZ35"/>
  <c i="18" r="BM35"/>
  <c i="18" r="BH35"/>
  <c i="18" r="BF35"/>
  <c i="18" r="BP35"/>
  <c i="18" r="BG35"/>
  <c i="18" r="BB35"/>
  <c i="18" r="BL35"/>
  <c i="18" r="BS35"/>
  <c i="18" r="BE35"/>
  <c i="18" r="BO35"/>
  <c i="18" r="BK35"/>
  <c i="18" r="BD35"/>
  <c i="18" r="BA35"/>
  <c i="18" r="BR35"/>
  <c i="18" r="BJ35"/>
  <c i="18" r="AW38"/>
  <c i="18" r="BB57"/>
  <c i="18" r="BE39"/>
  <c i="18" r="BM39"/>
  <c i="18" r="BB39"/>
  <c i="18" r="BP39"/>
  <c i="18" r="BI39"/>
  <c i="18" r="BS39"/>
  <c i="18" r="BD39"/>
  <c i="18" r="BL39"/>
  <c i="18" r="AZ39"/>
  <c i="18" r="BH39"/>
  <c i="18" r="BO39"/>
  <c i="18" r="BR39"/>
  <c i="18" r="BA39"/>
  <c i="18" r="BK39"/>
  <c i="18" r="BG39"/>
  <c i="18" r="BJ39"/>
  <c i="18" r="BN39"/>
  <c i="18" r="BQ39"/>
  <c i="18" r="BF39"/>
  <c i="18" r="BC39"/>
  <c i="1" r="CK22"/>
  <c i="18" r="Q4" s="1"/>
  <c i="18" r="J4"/>
  <c i="1" r="CK25"/>
  <c i="18" r="Q7" s="1"/>
  <c i="18" r="J7"/>
  <c i="1" r="BP76"/>
  <c i="1" r="CI42"/>
  <c i="18" r="O24" s="1"/>
  <c i="18" r="K24"/>
  <c i="18" r="BU38"/>
  <c i="18" r="CS38" s="1"/>
  <c i="1" r="CK40"/>
  <c i="18" r="Q22" s="1"/>
  <c i="18" r="J22"/>
  <c i="18" r="BK57"/>
  <c i="18" r="AU131"/>
  <c i="18" r="AU157" s="1"/>
  <c i="18" r="BT57"/>
  <c i="1" r="CK23"/>
  <c i="18" r="Q5" s="1"/>
  <c i="18" r="J5"/>
  <c i="18" r="AW44"/>
  <c i="18" r="AW34"/>
  <c i="18" r="AV121"/>
  <c i="18" r="AV147" s="1"/>
  <c i="18" r="BR41"/>
  <c i="18" r="BC41"/>
  <c i="18" r="BK41"/>
  <c i="18" r="W24" s="1"/>
  <c i="18" r="R24" s="1"/>
  <c i="18" r="BN41"/>
  <c i="18" r="BG41"/>
  <c i="18" r="AZ41"/>
  <c i="18" r="BQ41"/>
  <c i="18" r="BJ41"/>
  <c i="18" r="BF41"/>
  <c i="18" r="BB41"/>
  <c i="18" r="BM41"/>
  <c i="18" r="BP41"/>
  <c i="18" r="BA41"/>
  <c i="18" r="BI41"/>
  <c i="18" r="BE41"/>
  <c i="18" r="BL41"/>
  <c i="18" r="BS41"/>
  <c i="18" r="BO41"/>
  <c i="18" r="BD41"/>
  <c i="18" r="BH41"/>
  <c i="18" r="AW39"/>
  <c i="1" r="CK31"/>
  <c i="18" r="Q13" s="1"/>
  <c i="18" r="J13"/>
  <c i="18" r="BU44"/>
  <c i="18" r="CS44" s="1"/>
  <c i="18" r="AV126"/>
  <c i="18" r="AV152" s="1"/>
  <c i="18" r="BA46"/>
  <c i="18" r="BF46"/>
  <c i="18" r="BQ46"/>
  <c i="18" r="BC46"/>
  <c i="18" r="BK46"/>
  <c i="18" r="BH46"/>
  <c i="18" r="BP46"/>
  <c i="18" r="AZ46"/>
  <c i="18" r="BM46"/>
  <c i="18" r="BE46"/>
  <c i="18" r="BB46"/>
  <c i="18" r="BJ46"/>
  <c i="18" r="BR46"/>
  <c i="18" r="BO46"/>
  <c i="18" r="BG46"/>
  <c i="18" r="BS46"/>
  <c i="18" r="BN46"/>
  <c i="18" r="BL46"/>
  <c i="18" r="BD46"/>
  <c i="18" r="BI46"/>
  <c i="18" r="BU34"/>
  <c i="18" r="CS34" s="1"/>
  <c i="18" r="AV111"/>
  <c i="18" r="AV137" s="1"/>
  <c i="18" r="BR31"/>
  <c i="18" r="BG31"/>
  <c i="18" r="BM31"/>
  <c i="18" r="BD31"/>
  <c i="18" r="BA31"/>
  <c i="18" r="BQ31"/>
  <c i="18" r="BL31"/>
  <c i="18" r="BK31"/>
  <c i="18" r="BF31"/>
  <c i="18" r="BP31"/>
  <c i="18" r="BJ31"/>
  <c i="18" r="BC31"/>
  <c i="18" r="BI31"/>
  <c i="18" r="AZ31"/>
  <c i="18" r="BS31"/>
  <c i="18" r="BO31"/>
  <c i="18" r="BH31"/>
  <c i="18" r="BE31"/>
  <c i="18" r="BB31"/>
  <c i="18" r="BN31"/>
  <c i="18" r="BL57"/>
  <c i="18" r="BU39"/>
  <c i="18" r="CS39" s="1"/>
  <c i="1" r="CK32"/>
  <c i="18" r="Q14" s="1"/>
  <c i="18" r="J14"/>
  <c i="18" r="AW48"/>
  <c i="1" r="CK38"/>
  <c i="18" r="Q20" s="1"/>
  <c i="18" r="J20"/>
  <c i="1" r="BS68"/>
  <c i="1" r="CK24"/>
  <c i="18" r="Q6" s="1"/>
  <c i="18" r="J6"/>
  <c i="18" r="BU48"/>
  <c i="18" r="CS48" s="1"/>
  <c i="18" r="BO57"/>
  <c i="1" r="CK33"/>
  <c i="18" r="Q15" s="1"/>
  <c i="18" r="J15"/>
  <c i="1" r="BB67"/>
  <c i="1" r="CK26"/>
  <c i="18" r="Q8" s="1"/>
  <c i="18" r="J8"/>
  <c i="18" r="AW36"/>
  <c i="1" r="CK27"/>
  <c i="18" r="Q9" s="1"/>
  <c i="18" r="J9"/>
  <c i="18" r="AV120"/>
  <c i="18" r="AV146" s="1"/>
  <c i="18" r="BO40"/>
  <c i="18" r="BB40"/>
  <c i="18" r="BG40"/>
  <c i="18" r="BL40"/>
  <c i="18" r="AZ40"/>
  <c i="18" r="BD40"/>
  <c i="18" r="BJ40"/>
  <c i="18" r="BI40"/>
  <c i="18" r="BQ40"/>
  <c i="18" r="BS40"/>
  <c i="18" r="BN40"/>
  <c i="18" r="BR40"/>
  <c i="18" r="BF40"/>
  <c i="18" r="BA40"/>
  <c i="18" r="BK40"/>
  <c i="18" r="BH40"/>
  <c i="18" r="BC40"/>
  <c i="18" r="BP40"/>
  <c i="18" r="BM40"/>
  <c i="18" r="BE40"/>
  <c i="18" r="BU36"/>
  <c i="18" r="CS36" s="1"/>
  <c i="18" r="AV125"/>
  <c i="18" r="AV151" s="1"/>
  <c i="18" r="BG45"/>
  <c i="18" r="BJ45"/>
  <c i="18" r="BC45"/>
  <c i="18" r="BS45"/>
  <c i="18" r="BM45"/>
  <c i="18" r="BF45"/>
  <c i="18" r="AZ45"/>
  <c i="18" r="BB45"/>
  <c i="18" r="BP45"/>
  <c i="18" r="BI45"/>
  <c i="18" r="BL45"/>
  <c i="18" r="BN45"/>
  <c i="18" r="BE45"/>
  <c i="18" r="BA45"/>
  <c i="18" r="BR45"/>
  <c i="18" r="BH45"/>
  <c i="18" r="BK45"/>
  <c i="18" r="BO45"/>
  <c i="18" r="BD45"/>
  <c i="18" r="BQ45"/>
  <c i="18" r="AV117"/>
  <c i="18" r="AV143" s="1"/>
  <c i="18" r="BL37"/>
  <c i="18" r="BA37"/>
  <c i="18" r="BG37"/>
  <c i="18" r="BO37"/>
  <c i="18" r="BR37"/>
  <c i="18" r="BK37"/>
  <c i="18" r="BF37"/>
  <c i="18" r="BN37"/>
  <c i="18" r="BE37"/>
  <c i="18" r="AZ37"/>
  <c i="18" r="BJ37"/>
  <c i="18" r="BQ37"/>
  <c i="18" r="BC37"/>
  <c i="18" r="BM37"/>
  <c i="18" r="BI37"/>
  <c i="18" r="BD37"/>
  <c i="18" r="BP37"/>
  <c i="18" r="BB37"/>
  <c i="18" r="BS37"/>
  <c i="18" r="BH37"/>
  <c i="1" r="BS77"/>
  <c i="18" r="BE57"/>
  <c i="1" r="BA76"/>
  <c i="18" r="AV129"/>
  <c i="18" r="AV155" s="1"/>
  <c i="18" r="BF49"/>
  <c i="18" r="BO49"/>
  <c i="18" r="BI49"/>
  <c i="18" r="BK49"/>
  <c i="18" r="BB49"/>
  <c i="18" r="BQ49"/>
  <c i="18" r="BL49"/>
  <c i="18" r="BE49"/>
  <c i="18" r="BH49"/>
  <c i="18" r="BA49"/>
  <c i="18" r="BS49"/>
  <c i="18" r="BN49"/>
  <c i="18" r="BD49"/>
  <c i="18" r="BG49"/>
  <c i="18" r="BP49"/>
  <c i="18" r="BJ49"/>
  <c i="18" r="AZ49"/>
  <c i="18" r="BM49"/>
  <c i="18" r="BC49"/>
  <c i="18" r="BR49"/>
  <c i="1" r="BC67"/>
  <c i="1" r="BI72"/>
  <c i="1" r="AX65"/>
  <c i="1" r="BB81"/>
  <c i="1" r="AY81"/>
  <c i="1" r="BD77"/>
  <c i="1" r="BE75"/>
  <c i="1" r="AX75"/>
  <c i="1" r="BJ61"/>
  <c i="1" r="BQ80"/>
  <c i="1" r="BQ68"/>
  <c i="1" r="BE76"/>
  <c i="1" r="AX76"/>
  <c i="1" r="BL71"/>
  <c i="1" r="BS61"/>
  <c i="1" r="BR73"/>
  <c i="1" r="BA61"/>
  <c i="1" r="BS82"/>
  <c i="1" r="BP82"/>
  <c i="1" r="BC77"/>
  <c i="1" r="BP69"/>
  <c i="1" r="AZ82"/>
  <c i="1" r="BC72"/>
  <c i="1" r="BD80"/>
  <c i="1" r="BE81"/>
  <c i="1" r="BA67"/>
  <c i="1" r="AY74"/>
  <c i="1" r="BE79"/>
  <c i="1" r="BB79"/>
  <c i="1" r="BK73"/>
  <c i="1" r="BB66"/>
  <c i="1" r="BH78"/>
  <c i="1" r="BB61"/>
  <c i="1" r="BO68"/>
  <c i="1" r="BJ81"/>
  <c i="1" r="BL66"/>
  <c i="1" r="BL77"/>
  <c i="1" r="BF77"/>
  <c i="1" r="BO71"/>
  <c i="1" r="BF64"/>
  <c i="1" r="BL76"/>
  <c i="1" r="BP71"/>
  <c i="1" r="AZ72"/>
  <c i="1" r="BN81"/>
  <c i="1" r="BR70"/>
  <c i="1" r="BS69"/>
  <c i="1" r="BJ62"/>
  <c i="1" r="AX82"/>
  <c i="1" r="BG63"/>
  <c i="1" r="BH68"/>
  <c i="1" r="AX74"/>
  <c i="1" r="BB80"/>
  <c i="1" r="BK75"/>
  <c i="1" r="BM77"/>
  <c i="1" r="BE66"/>
  <c i="1" r="BM80"/>
  <c i="1" r="BP63"/>
  <c i="1" r="BG64"/>
  <c i="1" r="BD70"/>
  <c i="1" r="BI64"/>
  <c i="1" r="BQ78"/>
  <c i="1" r="AX62"/>
  <c i="1" r="BC65"/>
  <c i="1" r="BL63"/>
  <c i="1" r="AY77"/>
  <c i="1" r="BB74"/>
  <c i="1" r="BR66"/>
  <c i="1" r="AY67"/>
  <c i="1" r="BN66"/>
  <c i="1" r="BC75"/>
  <c i="1" r="BQ72"/>
  <c i="1" r="BB68"/>
  <c i="1" r="BQ75"/>
  <c i="1" r="BG73"/>
  <c i="1" r="AY71"/>
  <c i="1" r="BE80"/>
  <c i="1" r="AZ77"/>
  <c i="1" r="BM61"/>
  <c i="1" r="BA63"/>
  <c i="1" r="BB65"/>
  <c i="1" r="BN73"/>
  <c i="1" r="BS79"/>
  <c i="1" r="BG68"/>
  <c i="1" r="BO81"/>
  <c i="1" r="BE72"/>
  <c i="1" r="AZ63"/>
  <c i="1" r="BS62"/>
  <c i="1" r="BP62"/>
  <c i="1" r="BL82"/>
  <c i="1" r="AX66"/>
  <c i="1" r="BG67"/>
  <c i="1" r="BB82"/>
  <c i="1" r="BM76"/>
  <c i="1" r="BQ62"/>
  <c i="1" r="BD74"/>
  <c i="1" r="BF76"/>
  <c i="1" r="AX67"/>
  <c i="1" r="BD61"/>
  <c i="1" r="AZ70"/>
  <c i="1" r="BS75"/>
  <c i="1" r="BD63"/>
  <c i="1" r="BH74"/>
  <c i="1" r="AX78"/>
  <c i="1" r="BI70"/>
  <c i="1" r="AZ61"/>
  <c i="1" r="BP77"/>
  <c i="1" r="BO82"/>
  <c i="1" r="BP80"/>
  <c i="1" r="BB64"/>
  <c i="1" r="BC78"/>
  <c i="1" r="BF80"/>
  <c i="1" r="BJ82"/>
  <c i="1" r="BH72"/>
  <c i="1" r="BA81"/>
  <c i="1" r="BH79"/>
  <c i="1" r="BM75"/>
  <c i="1" r="BD67"/>
  <c i="1" r="BR71"/>
  <c i="1" r="BM62"/>
  <c i="1" r="BA74"/>
  <c i="1" r="BG74"/>
  <c i="1" r="BB76"/>
  <c i="1" r="BM68"/>
  <c i="1" r="BC81"/>
  <c i="1" r="BR82"/>
  <c i="1" r="BS80"/>
  <c i="1" r="AX79"/>
  <c i="1" r="BF62"/>
  <c i="1" r="BG76"/>
  <c i="1" r="AZ78"/>
  <c i="1" r="BE68"/>
  <c i="1" r="BH73"/>
  <c i="1" r="BK63"/>
  <c i="1" r="BN72"/>
  <c i="1" r="AZ69"/>
  <c i="1" r="BC70"/>
  <c i="1" r="BI61"/>
  <c i="1" r="BH66"/>
  <c i="1" r="BP79"/>
  <c i="1" r="BD76"/>
  <c i="1" r="BF74"/>
  <c i="1" r="BQ66"/>
  <c i="1" r="BG79"/>
  <c i="1" r="AZ81"/>
  <c i="1" r="BA79"/>
  <c i="1" r="BB77"/>
  <c i="1" r="BH81"/>
  <c i="1" r="BK74"/>
  <c i="1" r="BF66"/>
  <c i="1" r="BN62"/>
  <c i="1" r="BN79"/>
  <c i="1" r="BP64"/>
  <c i="1" r="AZ76"/>
  <c i="1" r="BA65"/>
  <c i="1" r="AX68"/>
  <c i="1" r="BF63"/>
  <c i="1" r="AY72"/>
  <c i="1" r="BO77"/>
  <c i="1" r="BA78"/>
  <c i="1" r="BM72"/>
  <c i="1" r="BJ72"/>
  <c i="1" r="AY65"/>
  <c i="1" r="BK77"/>
  <c i="1" r="BD79"/>
  <c i="1" r="BE77"/>
  <c i="1" r="BF75"/>
  <c i="1" r="AY75"/>
  <c i="1" r="BO72"/>
  <c i="1" r="BJ77"/>
  <c i="1" r="BL73"/>
  <c i="1" r="BK62"/>
  <c i="1" r="BA82"/>
  <c i="1" r="BG65"/>
  <c i="1" r="BR80"/>
  <c i="1" r="AX63"/>
  <c i="1" r="BS64"/>
  <c i="1" r="BD81"/>
  <c i="1" r="BI77"/>
  <c i="1" r="BQ73"/>
  <c i="1" r="BK79"/>
  <c i="1" r="BR64"/>
  <c i="8" r="S35"/>
  <c i="1" r="BL72"/>
  <c i="1" r="BN70"/>
  <c i="1" r="BC63"/>
  <c i="1" r="BO75"/>
  <c i="1" r="BH77"/>
  <c i="1" r="BI75"/>
  <c i="1" r="BJ73"/>
  <c i="1" r="BC73"/>
  <c i="1" r="BS70"/>
  <c i="1" r="BG80"/>
  <c i="1" r="BI74"/>
  <c i="1" r="AX61"/>
  <c i="1" r="BN80"/>
  <c i="1" r="BI66"/>
  <c i="1" r="BG70"/>
  <c i="1" r="BK68"/>
  <c i="1" r="BE61"/>
  <c i="1" r="BB78"/>
  <c i="1" r="BJ74"/>
  <c i="1" r="BA68"/>
  <c i="1" r="BK66"/>
  <c i="1" r="BJ63"/>
  <c i="1" r="BR68"/>
  <c i="1" r="BC61"/>
  <c i="1" r="BS73"/>
  <c i="1" r="BL75"/>
  <c i="1" r="BM73"/>
  <c i="1" r="BN71"/>
  <c i="1" r="BG71"/>
  <c i="1" r="BA69"/>
  <c i="1" r="BG77"/>
  <c i="1" r="BI78"/>
  <c i="1" r="BF65"/>
  <c i="1" r="BM82"/>
  <c i="1" r="AY79"/>
  <c i="1" r="AX81"/>
  <c i="1" r="BL61"/>
  <c i="1" r="BI82"/>
  <c i="1" r="BH65"/>
  <c i="1" r="AX70"/>
  <c i="1" r="BK72"/>
  <c i="1" r="AZ67"/>
  <c i="1" r="BF81"/>
  <c i="1" r="BA72"/>
  <c i="1" r="BP73"/>
  <c i="1" r="BQ71"/>
  <c i="1" r="BR69"/>
  <c i="1" r="BK69"/>
  <c i="1" r="BE67"/>
  <c i="1" r="BA70"/>
  <c i="1" r="BM64"/>
  <c i="1" r="BQ74"/>
  <c i="1" r="BO66"/>
  <c i="1" r="BP75"/>
  <c i="1" r="BF70"/>
  <c i="1" r="BQ79"/>
  <c i="1" r="BO64"/>
  <c i="1" r="BQ70"/>
  <c i="1" r="BD65"/>
  <c i="1" r="BJ79"/>
  <c i="1" r="BE70"/>
  <c i="1" r="AX72"/>
  <c i="1" r="AY70"/>
  <c i="1" r="AZ68"/>
  <c i="1" r="BO67"/>
  <c i="1" r="BI65"/>
  <c i="1" r="BJ64"/>
  <c i="1" r="BI81"/>
  <c i="1" r="BG75"/>
  <c i="1" r="BJ75"/>
  <c i="1" r="BB72"/>
  <c i="1" r="BD68"/>
  <c i="1" r="BL64"/>
  <c i="1" r="BP70"/>
  <c i="1" r="BH63"/>
  <c i="1" r="BN77"/>
  <c i="1" r="BI68"/>
  <c i="1" r="BB70"/>
  <c i="1" r="BC68"/>
  <c i="1" r="BD66"/>
  <c i="1" r="BS65"/>
  <c i="1" r="BM63"/>
  <c i="1" r="BC66"/>
  <c i="1" r="BO73"/>
  <c i="1" r="BG61"/>
  <c i="1" r="BD75"/>
  <c i="1" r="BP81"/>
  <c i="1" r="AX80"/>
  <c i="1" r="BL70"/>
  <c i="1" r="BG81"/>
  <c i="1" r="BE65"/>
  <c i="1" r="BR79"/>
  <c i="1" r="BL81"/>
  <c i="1" r="BO70"/>
  <c i="1" r="BH61"/>
  <c i="1" r="BR75"/>
  <c i="1" r="BM66"/>
  <c i="1" r="BF68"/>
  <c i="1" r="BG66"/>
  <c i="1" r="BH64"/>
  <c i="1" r="BA64"/>
  <c i="1" r="BN75"/>
  <c i="1" r="BS71"/>
  <c i="1" r="BR78"/>
  <c i="1" r="BR77"/>
  <c i="1" r="BH82"/>
  <c i="1" r="BP68"/>
  <c i="1" r="BI63"/>
  <c i="1" r="BK61"/>
  <c i="1" r="BM81"/>
  <c i="1" r="BJ68"/>
  <c i="1" r="AY69"/>
  <c i="1" r="BK81"/>
  <c i="1" r="AZ74"/>
  <c i="1" r="BQ64"/>
  <c i="1" r="BJ66"/>
  <c i="1" r="BK64"/>
  <c i="1" r="BL62"/>
  <c i="1" r="BE62"/>
  <c i="1" r="CR12"/>
  <c i="17" r="X64"/>
  <c i="17" r="J62"/>
  <c i="17" r="I76"/>
  <c i="17" r="H77"/>
  <c i="17" r="U72"/>
  <c i="17" r="F79"/>
  <c i="17" r="K73"/>
  <c i="17" r="F67"/>
  <c i="17" r="U71"/>
  <c i="17" r="H61"/>
  <c i="17" r="I66"/>
  <c i="17" r="I74"/>
  <c i="17" r="O61"/>
  <c i="17" r="L66"/>
  <c i="17" r="O63"/>
  <c i="17" r="X70"/>
  <c i="17" r="W59"/>
  <c i="17" r="E59"/>
  <c i="17" r="I72"/>
  <c i="17" r="Q67"/>
  <c i="17" r="Q60"/>
  <c i="17" r="L77"/>
  <c i="17" r="O70"/>
  <c i="17" r="T64"/>
  <c i="17" r="Q75"/>
  <c i="17" r="E78"/>
  <c i="17" r="I60"/>
  <c i="17" r="F68"/>
  <c i="17" r="N61"/>
  <c i="17" r="J75"/>
  <c i="17" r="T78"/>
  <c i="17" r="S79"/>
  <c i="17" r="N69"/>
  <c i="17" r="O74"/>
  <c i="17" r="Q73"/>
  <c i="17" r="I75"/>
  <c i="17" r="C77"/>
  <c i="17" r="R66"/>
  <c i="17" r="N79"/>
  <c i="17" r="W71"/>
  <c i="17" r="C62"/>
  <c i="17" r="L73"/>
  <c i="17" r="N72"/>
  <c i="17" r="G79"/>
  <c i="17" r="E76"/>
  <c i="17" r="P66"/>
  <c i="17" r="O71"/>
  <c i="17" r="R76"/>
  <c i="17" r="R65"/>
  <c i="17" r="I65"/>
  <c i="17" r="W68"/>
  <c i="17" r="X79"/>
  <c i="17" r="K64"/>
  <c i="17" r="K70"/>
  <c i="17" r="K71"/>
  <c i="17" r="G60"/>
  <c i="17" r="P72"/>
  <c i="17" r="W75"/>
  <c i="17" r="C72"/>
  <c i="17" r="S74"/>
  <c i="17" r="I59"/>
  <c i="17" r="D77"/>
  <c i="17" r="R77"/>
  <c i="17" r="W58"/>
  <c i="17" r="V65"/>
  <c i="17" r="L69"/>
  <c i="17" r="M72"/>
  <c i="17" r="E79"/>
  <c i="17" r="O64"/>
  <c i="17" r="N75"/>
  <c i="17" r="O66"/>
  <c i="17" r="U68"/>
  <c i="17" r="F74"/>
  <c i="17" r="W69"/>
  <c i="17" r="V64"/>
  <c i="17" r="F71"/>
  <c i="17" r="L62"/>
  <c i="17" r="R72"/>
  <c i="17" r="S76"/>
  <c i="17" r="W66"/>
  <c i="17" r="O75"/>
  <c i="17" r="S75"/>
  <c i="17" r="D73"/>
  <c i="17" r="D58"/>
  <c i="17" r="T62"/>
  <c i="17" r="L79"/>
  <c i="17" r="K78"/>
  <c i="17" r="C70"/>
  <c i="17" r="W63"/>
  <c i="17" r="K79"/>
  <c i="17" r="K58"/>
  <c i="17" r="X77"/>
  <c i="17" r="K77"/>
  <c i="17" r="T79"/>
  <c i="17" r="P64"/>
  <c i="17" r="F65"/>
  <c i="17" r="G58"/>
  <c i="17" r="S60"/>
  <c i="17" r="F62"/>
  <c i="17" r="C74"/>
  <c i="17" r="I58"/>
  <c i="17" r="S77"/>
  <c i="17" r="S68"/>
  <c i="17" r="V66"/>
  <c i="17" r="X65"/>
  <c i="17" r="V60"/>
  <c i="17" r="M76"/>
  <c i="17" r="I63"/>
  <c i="17" r="L76"/>
  <c i="17" r="J61"/>
  <c i="17" r="T68"/>
  <c i="17" r="T67"/>
  <c i="17" r="Q65"/>
  <c i="17" r="K68"/>
  <c i="17" r="H63"/>
  <c i="17" r="H66"/>
  <c i="17" r="N78"/>
  <c i="17" r="D79"/>
  <c i="17" r="L74"/>
  <c i="17" r="W79"/>
  <c i="17" r="Q71"/>
  <c i="17" r="F63"/>
  <c i="17" r="F76"/>
  <c i="17" r="M64"/>
  <c i="17" r="W64"/>
  <c i="17" r="V74"/>
  <c i="17" r="N58"/>
  <c i="17" r="X73"/>
  <c i="17" r="V79"/>
  <c i="17" r="J71"/>
  <c i="17" r="O79"/>
  <c i="17" r="W72"/>
  <c i="17" r="E77"/>
  <c i="17" r="P69"/>
  <c i="17" r="X59"/>
  <c i="17" r="N64"/>
  <c i="17" r="O67"/>
  <c i="17" r="F64"/>
  <c i="17" r="R59"/>
  <c i="17" r="R70"/>
  <c i="17" r="L59"/>
  <c i="17" r="F75"/>
  <c i="17" r="O60"/>
  <c i="17" r="T75"/>
  <c i="17" r="Q70"/>
  <c i="17" r="V67"/>
  <c i="17" r="P78"/>
  <c i="17" r="F72"/>
  <c i="17" r="G73"/>
  <c i="17" r="E60"/>
  <c i="17" r="G62"/>
  <c i="17" r="O78"/>
  <c i="17" r="F60"/>
  <c i="17" r="X63"/>
  <c i="17" r="D62"/>
  <c i="17" r="H70"/>
  <c i="17" r="F77"/>
  <c i="17" r="X69"/>
  <c i="17" r="E58"/>
  <c i="17" r="K67"/>
  <c i="17" r="Q77"/>
  <c i="17" r="H60"/>
  <c i="17" r="E69"/>
  <c i="17" r="X76"/>
  <c i="17" r="P58"/>
  <c i="17" r="P59"/>
  <c i="17" r="P75"/>
  <c i="17" r="H78"/>
  <c i="17" r="T77"/>
  <c i="17" r="C65"/>
  <c i="17" r="C63"/>
  <c i="17" r="M65"/>
  <c i="17" r="C58"/>
  <c i="17" r="P67"/>
  <c i="17" r="L61"/>
  <c i="17" r="J72"/>
  <c i="17" r="C64"/>
  <c i="17" r="I67"/>
  <c i="17" r="F78"/>
  <c i="17" r="V63"/>
  <c i="17" r="E67"/>
  <c i="17" r="E65"/>
  <c i="17" r="P63"/>
  <c i="17" r="H65"/>
  <c i="17" r="J73"/>
  <c i="17" r="N76"/>
  <c i="17" r="S62"/>
  <c i="17" r="G75"/>
  <c i="17" r="C67"/>
  <c i="17" r="J67"/>
  <c i="17" r="D78"/>
  <c i="17" r="C59"/>
  <c i="17" r="W60"/>
  <c i="17" r="M67"/>
  <c i="17" r="C68"/>
  <c i="17" r="U73"/>
  <c i="17" r="R60"/>
  <c i="17" r="U69"/>
  <c i="17" r="D66"/>
  <c i="17" r="V69"/>
  <c i="17" r="J69"/>
  <c i="17" r="D68"/>
  <c i="17" r="F73"/>
  <c i="17" r="H67"/>
  <c i="17" r="Q74"/>
  <c i="17" r="K59"/>
  <c i="17" r="O59"/>
  <c i="17" r="J78"/>
  <c i="17" r="K76"/>
  <c i="17" r="G74"/>
  <c i="17" r="T60"/>
  <c i="17" r="Q62"/>
  <c i="17" r="R62"/>
  <c i="17" r="C78"/>
  <c i="17" r="P71"/>
  <c i="17" r="H59"/>
  <c i="17" r="D69"/>
  <c i="17" r="U77"/>
  <c i="17" r="M58"/>
  <c i="17" r="E64"/>
  <c i="17" r="V78"/>
  <c i="17" r="R74"/>
  <c i="17" r="M60"/>
  <c i="17" r="R63"/>
  <c i="17" r="W74"/>
  <c i="17" r="G63"/>
  <c i="17" r="Q58"/>
  <c i="17" r="U66"/>
  <c i="17" r="Q63"/>
  <c i="17" r="R79"/>
  <c i="17" r="H71"/>
  <c i="17" r="V62"/>
  <c i="17" r="U76"/>
  <c i="17" r="C75"/>
  <c i="17" r="P79"/>
  <c i="17" r="P60"/>
  <c i="17" r="J59"/>
  <c i="17" r="L60"/>
  <c i="17" r="K65"/>
  <c i="17" r="L65"/>
  <c i="17" r="Q79"/>
  <c i="17" r="I71"/>
  <c i="17" r="L75"/>
  <c i="17" r="E75"/>
  <c i="17" r="H74"/>
  <c i="17" r="E71"/>
  <c i="17" r="D64"/>
  <c i="17" r="V70"/>
  <c i="17" r="D60"/>
  <c i="17" r="X68"/>
  <c i="17" r="G66"/>
  <c i="17" r="E61"/>
  <c i="17" r="D67"/>
  <c i="17" r="H68"/>
  <c i="17" r="W67"/>
  <c i="17" r="N66"/>
  <c i="17" r="S69"/>
  <c i="17" r="S61"/>
  <c i="17" r="W73"/>
  <c i="17" r="X60"/>
  <c i="17" r="H73"/>
  <c i="17" r="O69"/>
  <c i="17" r="L71"/>
  <c i="17" r="N65"/>
  <c i="17" r="G65"/>
  <c i="17" r="E73"/>
  <c i="17" r="H79"/>
  <c i="17" r="S78"/>
  <c i="17" r="C73"/>
  <c i="17" r="X72"/>
  <c i="17" r="X74"/>
  <c i="17" r="J58"/>
  <c i="17" r="J64"/>
  <c i="17" r="G61"/>
  <c i="17" r="Q78"/>
  <c i="17" r="W76"/>
  <c i="17" r="I77"/>
  <c i="17" r="E72"/>
  <c i="17" r="J68"/>
  <c i="17" r="K63"/>
  <c i="17" r="G68"/>
  <c i="17" r="I70"/>
  <c i="17" r="U65"/>
  <c i="17" r="N63"/>
  <c i="17" r="S72"/>
  <c i="17" r="N73"/>
  <c i="17" r="D71"/>
  <c i="17" r="I78"/>
  <c i="17" r="R58"/>
  <c i="17" r="P76"/>
  <c i="17" r="Q64"/>
  <c i="17" r="T69"/>
  <c i="17" r="M73"/>
  <c i="17" r="N62"/>
  <c i="17" r="C61"/>
  <c i="17" r="O73"/>
  <c i="17" r="V58"/>
  <c i="17" r="U78"/>
  <c i="17" r="F61"/>
  <c i="17" r="J70"/>
  <c i="17" r="H69"/>
  <c i="17" r="R68"/>
  <c i="17" r="D59"/>
  <c i="17" r="G64"/>
  <c i="17" r="G72"/>
  <c i="17" r="T72"/>
  <c i="17" r="Q69"/>
  <c i="17" r="O65"/>
  <c i="17" r="P73"/>
  <c i="17" r="C69"/>
  <c i="17" r="Q68"/>
  <c i="17" r="J65"/>
  <c i="17" r="G70"/>
  <c i="17" r="W62"/>
  <c i="17" r="W61"/>
  <c i="17" r="N77"/>
  <c i="17" r="M69"/>
  <c i="17" r="D70"/>
  <c i="17" r="V59"/>
  <c i="17" r="N70"/>
  <c i="17" r="D61"/>
  <c i="17" r="Q76"/>
  <c i="17" r="T59"/>
  <c i="17" r="T65"/>
  <c i="17" r="O77"/>
  <c i="17" r="K66"/>
  <c i="17" r="E68"/>
  <c i="17" r="U62"/>
  <c i="17" r="X58"/>
  <c i="17" r="P74"/>
  <c i="17" r="R64"/>
  <c i="17" r="C76"/>
  <c i="17" r="P77"/>
  <c i="17" r="F66"/>
  <c i="17" r="J77"/>
  <c i="17" r="E74"/>
  <c i="17" r="H62"/>
  <c i="17" r="E70"/>
  <c i="17" r="S67"/>
  <c i="17" r="S71"/>
  <c i="17" r="D74"/>
  <c i="17" r="G67"/>
  <c i="17" r="H64"/>
  <c i="17" r="G69"/>
  <c i="17" r="U61"/>
  <c i="17" r="O58"/>
  <c i="17" r="M79"/>
  <c i="17" r="S64"/>
  <c i="17" r="U64"/>
  <c i="17" r="D65"/>
  <c i="17" r="U59"/>
  <c i="17" r="V71"/>
  <c i="17" r="U79"/>
  <c i="17" r="M66"/>
  <c i="17" r="W65"/>
  <c i="17" r="R69"/>
  <c i="17" r="M71"/>
  <c i="17" r="M70"/>
  <c i="17" r="U60"/>
  <c i="17" r="G77"/>
  <c i="17" r="R71"/>
  <c i="17" r="N71"/>
  <c i="17" r="D76"/>
  <c i="17" r="Q66"/>
  <c i="17" r="X67"/>
  <c i="17" r="T73"/>
  <c i="17" r="L68"/>
  <c i="17" r="U70"/>
  <c i="17" r="F69"/>
  <c i="17" r="F59"/>
  <c i="17" r="K72"/>
  <c i="17" r="O76"/>
  <c i="17" r="R61"/>
  <c i="17" r="T58"/>
  <c i="17" r="L58"/>
  <c i="17" r="N68"/>
  <c i="17" r="U67"/>
  <c i="17" r="V77"/>
  <c i="17" r="X62"/>
  <c i="17" r="L78"/>
  <c i="17" r="M61"/>
  <c i="17" r="P61"/>
  <c i="17" r="S59"/>
  <c i="17" r="X78"/>
  <c i="17" r="V73"/>
  <c i="17" r="K75"/>
  <c i="17" r="M77"/>
  <c i="17" r="M68"/>
  <c i="17" r="C71"/>
  <c i="17" r="S73"/>
  <c i="17" r="E62"/>
  <c i="17" r="X66"/>
  <c i="17" r="T70"/>
  <c i="17" r="V76"/>
  <c i="17" r="H72"/>
  <c i="17" r="X75"/>
  <c i="17" r="Q72"/>
  <c i="17" r="R73"/>
  <c i="17" r="I73"/>
  <c i="17" r="N59"/>
  <c i="17" r="G76"/>
  <c i="17" r="F70"/>
  <c i="17" r="G78"/>
  <c i="17" r="H76"/>
  <c i="17" r="P70"/>
  <c i="17" r="D75"/>
  <c i="17" r="L63"/>
  <c i="17" r="T66"/>
  <c i="17" r="C79"/>
  <c i="17" r="Q59"/>
  <c i="17" r="R78"/>
  <c i="17" r="T76"/>
  <c i="17" r="V68"/>
  <c i="17" r="K61"/>
  <c i="17" r="X71"/>
  <c i="17" r="U63"/>
  <c i="17" r="V61"/>
  <c i="17" r="W70"/>
  <c i="17" r="M59"/>
  <c i="17" r="T61"/>
  <c i="17" r="S58"/>
  <c i="17" r="I79"/>
  <c i="17" r="I61"/>
  <c i="17" r="T71"/>
  <c i="17" r="H58"/>
  <c i="17" r="V72"/>
  <c i="17" r="L72"/>
  <c i="17" r="U58"/>
  <c i="17" r="I69"/>
  <c i="17" r="H75"/>
  <c i="17" r="R75"/>
  <c i="17" r="Q61"/>
  <c i="17" r="M74"/>
  <c i="17" r="G59"/>
  <c i="17" r="E63"/>
  <c i="17" r="R67"/>
  <c i="17" r="E66"/>
  <c i="17" r="D63"/>
  <c i="17" r="W78"/>
  <c i="17" r="N67"/>
  <c i="17" r="J66"/>
  <c i="17" r="C66"/>
  <c i="17" r="S66"/>
  <c i="17" r="O68"/>
  <c i="17" r="L64"/>
  <c i="17" r="M75"/>
  <c i="17" r="D72"/>
  <c i="17" r="M63"/>
  <c i="17" r="V75"/>
  <c i="17" r="W77"/>
  <c i="17" r="J74"/>
  <c i="17" r="J79"/>
  <c i="17" r="P62"/>
  <c i="17" r="N60"/>
  <c i="17" r="P68"/>
  <c i="17" r="K62"/>
  <c i="17" r="I62"/>
  <c i="17" r="S63"/>
  <c i="17" r="I68"/>
  <c i="17" r="M78"/>
  <c i="17" r="S65"/>
  <c i="17" r="L70"/>
  <c i="17" r="K60"/>
  <c i="17" r="T74"/>
  <c i="17" r="U75"/>
  <c i="1" r="CC42"/>
  <c i="17" r="X61"/>
  <c i="17" r="J76"/>
  <c i="17" r="K74"/>
  <c i="17" r="P65"/>
  <c i="1" r="BP74"/>
  <c i="17" r="T63"/>
  <c i="1" r="AX73"/>
  <c i="17" r="J63"/>
  <c i="1" r="BP78"/>
  <c i="1" r="BB71"/>
  <c i="17" r="O62"/>
  <c i="1" r="BN69"/>
  <c i="1" r="BF69"/>
  <c i="17" r="L67"/>
  <c i="1" r="BD64"/>
  <c i="1" r="BA71"/>
  <c i="17" r="S70"/>
  <c i="1" r="BK80"/>
  <c i="1" r="BE69"/>
  <c i="17" r="C60"/>
  <c i="1" r="BG62"/>
  <c i="1" r="BI67"/>
  <c i="17" r="M62"/>
  <c i="1" r="BE82"/>
  <c i="1" r="BM65"/>
  <c i="17" r="F58"/>
  <c i="1" r="BI80"/>
  <c i="1" r="BQ63"/>
  <c i="17" r="J60"/>
  <c i="1" r="BM78"/>
  <c i="1" r="AY62"/>
  <c i="1" r="CI36"/>
  <c i="18" r="O18" s="1"/>
  <c i="17" r="N74"/>
  <c i="17" r="I64"/>
  <c i="1" r="BQ76"/>
  <c i="1" r="BJ71"/>
  <c i="17" r="U74"/>
  <c i="17" r="K69"/>
  <c i="1" r="BE63"/>
  <c i="1" r="CI33"/>
  <c i="18" r="O15" s="1"/>
  <c i="1" r="BL80"/>
  <c i="1" r="BJ78"/>
  <c i="1" r="BF73"/>
  <c i="1" r="BN76"/>
  <c i="1" r="BR67"/>
  <c i="1" r="BK71"/>
  <c i="1" r="BR74"/>
  <c i="1" r="AZ66"/>
  <c i="1" r="BO69"/>
  <c i="1" r="AZ73"/>
  <c i="1" r="BH62"/>
  <c i="1" r="BS67"/>
  <c i="1" r="BD71"/>
  <c i="1" r="BP61"/>
  <c i="1" r="BA66"/>
  <c i="1" r="BH69"/>
  <c i="1" r="BS81"/>
  <c i="1" r="BE64"/>
  <c i="1" r="BL67"/>
  <c i="1" r="BA80"/>
  <c i="1" r="BI62"/>
  <c i="1" r="BP65"/>
  <c i="1" r="BE78"/>
  <c i="1" r="CI35"/>
  <c i="18" r="O17" s="1"/>
  <c i="1" r="AY76"/>
  <c i="1" r="AX64"/>
  <c i="1" r="BI76"/>
  <c i="1" r="CI28"/>
  <c i="18" r="O10" s="1"/>
  <c i="1" r="BS76"/>
  <c i="1" r="BB62"/>
  <c i="1" r="BM74"/>
  <c i="1" r="CI23"/>
  <c i="18" r="O5" s="1"/>
  <c i="1" r="BC69"/>
  <c i="1" r="BA75"/>
  <c i="1" r="BK78"/>
  <c i="1" r="BJ67"/>
  <c i="1" r="BK65"/>
  <c i="1" r="BE73"/>
  <c i="1" r="BO76"/>
  <c i="1" r="BN65"/>
  <c i="1" r="BO63"/>
  <c i="1" r="BI71"/>
  <c i="1" r="BS74"/>
  <c i="1" r="BR63"/>
  <c i="1" r="BS66"/>
  <c i="1" r="BM69"/>
  <c i="1" r="BA73"/>
  <c i="1" r="AZ62"/>
  <c i="1" r="BO61"/>
  <c i="1" r="BQ67"/>
  <c i="1" r="BE71"/>
  <c i="1" r="BL79"/>
  <c i="1" r="BR81"/>
  <c i="1" r="AY66"/>
  <c i="1" r="BI69"/>
  <c i="1" r="BR61"/>
  <c i="1" r="AZ80"/>
  <c i="1" r="CI32"/>
  <c i="18" r="O14" s="1"/>
  <c i="1" r="BR76"/>
  <c i="1" r="BM67"/>
  <c i="1" r="AY82"/>
  <c i="1" r="BD78"/>
  <c i="1" r="BM71"/>
  <c i="1" r="AZ75"/>
  <c i="1" r="BQ65"/>
  <c i="1" r="BC80"/>
  <c i="1" r="BH76"/>
  <c i="1" r="CI37"/>
  <c i="18" r="O19" s="1"/>
  <c i="1" r="BQ69"/>
  <c i="1" r="BD73"/>
  <c i="1" r="AY64"/>
  <c i="1" r="BG78"/>
  <c i="1" r="BL74"/>
  <c i="1" r="AY68"/>
  <c i="1" r="BH71"/>
  <c i="1" r="BC62"/>
  <c i="1" r="BK76"/>
  <c i="1" r="BP72"/>
  <c i="1" r="CI31"/>
  <c i="18" r="O13" s="1"/>
  <c i="1" r="BL69"/>
  <c i="1" r="BF61"/>
  <c i="1" r="BO74"/>
  <c i="1" r="BB69"/>
  <c i="1" r="BP67"/>
  <c i="1" r="BN68"/>
  <c i="1" r="BS72"/>
  <c i="1" r="BF67"/>
  <c i="1" r="CI41"/>
  <c i="18" r="O23" s="1"/>
  <c i="1" r="BQ61"/>
  <c i="1" r="AX71"/>
  <c i="1" r="CB42"/>
  <c i="1" r="CF30" s="1"/>
  <c i="18" r="L12" s="1"/>
  <c i="1" r="BC64"/>
  <c i="1" r="BB73"/>
  <c i="1" r="AY73"/>
  <c i="1" r="BF78"/>
  <c i="1" r="BJ65"/>
  <c i="1" r="BQ77"/>
  <c i="1" r="BF71"/>
  <c i="1" r="BC71"/>
  <c i="1" r="BJ76"/>
  <c i="1" r="BN63"/>
  <c i="1" r="BJ70"/>
  <c i="1" r="BJ69"/>
  <c i="1" r="BG69"/>
  <c i="1" r="BN74"/>
  <c i="1" r="BK70"/>
  <c i="1" r="AX77"/>
  <c i="1" r="BN67"/>
  <c i="1" r="BK67"/>
  <c i="1" r="BR72"/>
  <c i="1" r="BB75"/>
  <c i="1" r="BO78"/>
  <c i="1" r="BR65"/>
  <c i="1" r="BO65"/>
  <c i="1" r="AZ71"/>
  <c i="1" r="BG82"/>
  <c i="1" r="CI39"/>
  <c i="18" r="O21" s="1"/>
  <c i="1" r="CI22"/>
  <c i="18" r="O4" s="1"/>
  <c i="1" r="BF82"/>
  <c i="1" r="AZ64"/>
  <c i="1" r="BS63"/>
  <c i="1" r="BD69"/>
  <c i="1" r="BN61"/>
  <c i="1" r="AU55"/>
  <c i="1" r="CR13" s="1"/>
  <c i="1" r="BJ80"/>
  <c i="1" r="BD62"/>
  <c i="1" r="BA62"/>
  <c i="1" r="BH67"/>
  <c i="1" r="BQ81"/>
  <c i="1" r="CI38"/>
  <c i="18" r="O20" s="1"/>
  <c i="1" r="BN78"/>
  <c i="1" r="BG72"/>
  <c i="1" r="BM79"/>
  <c i="1" r="BL65"/>
  <c i="1" r="AY80"/>
  <c i="1" r="CI29"/>
  <c i="18" r="O11" s="1"/>
  <c i="1" r="CI34"/>
  <c i="18" r="O16" s="1"/>
  <c i="1" r="CD42"/>
  <c i="1" r="AC81"/>
  <c i="1" r="AG79"/>
  <c i="1" r="AK77"/>
  <c i="1" r="AO75"/>
  <c i="1" r="AS73"/>
  <c i="1" r="AA72"/>
  <c i="1" r="AE70"/>
  <c i="1" r="AI68"/>
  <c i="1" r="AM66"/>
  <c i="1" r="AQ64"/>
  <c i="1" r="AU62"/>
  <c i="1" r="AC61"/>
  <c i="1" r="AU61"/>
  <c i="1" r="AP70"/>
  <c i="1" r="AJ72"/>
  <c i="1" r="AE81"/>
  <c i="1" r="AT82"/>
  <c i="1" r="AB81"/>
  <c i="1" r="AF79"/>
  <c i="1" r="AJ77"/>
  <c i="1" r="AN75"/>
  <c i="1" r="AR73"/>
  <c i="1" r="Z72"/>
  <c i="1" r="AD70"/>
  <c i="1" r="AH68"/>
  <c i="1" r="AL66"/>
  <c i="1" r="AP64"/>
  <c i="1" r="AT62"/>
  <c i="1" r="AB61"/>
  <c i="1" r="AR72"/>
  <c i="1" r="AR70"/>
  <c i="1" r="AR79"/>
  <c i="1" r="BP106" s="1"/>
  <c i="1" r="AL81"/>
  <c i="1" r="AH61"/>
  <c i="1" r="AS82"/>
  <c i="1" r="AA81"/>
  <c i="1" r="AE79"/>
  <c i="1" r="AI77"/>
  <c i="1" r="AM75"/>
  <c i="1" r="AQ73"/>
  <c i="1" r="AU71"/>
  <c i="1" r="AC70"/>
  <c i="1" r="AG68"/>
  <c i="1" r="AK66"/>
  <c i="1" r="AO64"/>
  <c i="1" r="AS62"/>
  <c i="1" r="AA61"/>
  <c i="1" r="AJ65"/>
  <c i="1" r="AP61"/>
  <c i="1" r="AO61"/>
  <c i="1" r="AJ63"/>
  <c i="1" r="AE65"/>
  <c i="1" r="AR82"/>
  <c i="1" r="Z81"/>
  <c i="1" r="AD79"/>
  <c i="1" r="AH77"/>
  <c i="1" r="AL75"/>
  <c i="1" r="AP73"/>
  <c i="1" r="BN100" s="1"/>
  <c i="1" r="AT71"/>
  <c i="1" r="AB70"/>
  <c i="1" r="AF68"/>
  <c i="1" r="AJ66"/>
  <c i="1" r="AN64"/>
  <c i="1" r="AR62"/>
  <c i="1" r="Z61"/>
  <c i="1" r="AR65"/>
  <c i="1" r="AR63"/>
  <c i="1" r="AJ76"/>
  <c i="1" r="AL74"/>
  <c i="1" r="AC67"/>
  <c i="1" r="AU66"/>
  <c i="1" r="AR66"/>
  <c i="1" r="AQ82"/>
  <c i="1" r="AU80"/>
  <c i="1" r="AC79"/>
  <c i="1" r="AG77"/>
  <c i="1" r="AK75"/>
  <c i="1" r="AO73"/>
  <c i="1" r="AS71"/>
  <c i="1" r="AA70"/>
  <c i="1" r="AE68"/>
  <c i="1" r="AI66"/>
  <c i="1" r="AM64"/>
  <c i="1" r="AQ62"/>
  <c i="1" r="AS63"/>
  <c i="1" r="AH67"/>
  <c i="1" r="AD78"/>
  <c i="1" r="AN72"/>
  <c i="1" r="AD76"/>
  <c i="1" r="AB76"/>
  <c i="1" r="AL79"/>
  <c i="1" r="AP82"/>
  <c i="1" r="BN109" s="1"/>
  <c i="1" r="AT80"/>
  <c i="1" r="AB79"/>
  <c i="1" r="AF77"/>
  <c i="1" r="AJ75"/>
  <c i="1" r="AN73"/>
  <c i="1" r="AR71"/>
  <c i="1" r="BP98" s="1"/>
  <c i="1" r="Z70"/>
  <c i="1" r="AD68"/>
  <c i="1" r="AH66"/>
  <c i="1" r="AL64"/>
  <c i="1" r="AP62"/>
  <c i="1" r="AM67"/>
  <c i="1" r="Z71"/>
  <c i="1" r="AP72"/>
  <c i="1" r="AA78"/>
  <c i="1" r="AC76"/>
  <c i="1" r="AQ68"/>
  <c i="1" r="AF72"/>
  <c i="1" r="AO82"/>
  <c i="1" r="AS80"/>
  <c i="1" r="AA79"/>
  <c i="1" r="AE77"/>
  <c i="1" r="BC104" s="1"/>
  <c i="1" r="AI75"/>
  <c i="1" r="AM73"/>
  <c i="1" r="AQ71"/>
  <c i="1" r="AU69"/>
  <c i="1" r="AC68"/>
  <c i="1" r="AG66"/>
  <c i="1" r="AK64"/>
  <c i="1" r="AO62"/>
  <c i="1" r="AN74"/>
  <c i="1" r="AB78"/>
  <c i="1" r="AP79"/>
  <c i="1" r="Z65"/>
  <c i="1" r="AN82"/>
  <c i="1" r="AR80"/>
  <c i="1" r="Z79"/>
  <c i="1" r="AD77"/>
  <c i="1" r="AH75"/>
  <c i="1" r="AL73"/>
  <c i="1" r="AP71"/>
  <c i="1" r="AT69"/>
  <c i="1" r="AB68"/>
  <c i="1" r="AF66"/>
  <c i="1" r="AJ64"/>
  <c i="1" r="AN62"/>
  <c i="1" r="Z62"/>
  <c i="1" r="AD69"/>
  <c i="1" r="AH76"/>
  <c i="1" r="AE76"/>
  <c i="1" r="AG74"/>
  <c i="1" r="AE74"/>
  <c i="1" r="AM82"/>
  <c i="1" r="AQ80"/>
  <c i="1" r="AU78"/>
  <c i="1" r="AC77"/>
  <c i="1" r="AG75"/>
  <c i="1" r="AK73"/>
  <c i="1" r="AO71"/>
  <c i="1" r="AS69"/>
  <c i="1" r="AA68"/>
  <c i="1" r="AE66"/>
  <c i="1" r="AI64"/>
  <c i="1" r="AM62"/>
  <c i="1" r="AU63"/>
  <c i="1" r="AR81"/>
  <c i="1" r="AM72"/>
  <c i="1" r="AM81"/>
  <c i="1" r="AA76"/>
  <c i="1" r="AL82"/>
  <c i="1" r="AP80"/>
  <c i="1" r="AT78"/>
  <c i="1" r="AB77"/>
  <c i="1" r="AF75"/>
  <c i="1" r="AJ73"/>
  <c i="1" r="AN71"/>
  <c i="1" r="AR69"/>
  <c i="1" r="Z68"/>
  <c i="1" r="AX95" s="1"/>
  <c i="1" r="AD66"/>
  <c i="1" r="AH64"/>
  <c i="1" r="AL62"/>
  <c i="1" r="AC62"/>
  <c i="1" r="AP81"/>
  <c i="1" r="AH74"/>
  <c i="1" r="AD63"/>
  <c i="1" r="AK82"/>
  <c i="1" r="AO80"/>
  <c i="1" r="AS78"/>
  <c i="1" r="AA77"/>
  <c i="1" r="AE75"/>
  <c i="1" r="AI73"/>
  <c i="1" r="AM71"/>
  <c i="1" r="AQ69"/>
  <c i="1" r="AU67"/>
  <c i="1" r="AC66"/>
  <c i="1" r="AG64"/>
  <c i="1" r="AK62"/>
  <c i="1" r="AS61"/>
  <c i="1" r="AI74"/>
  <c i="1" r="AU77"/>
  <c i="1" r="AS77"/>
  <c i="1" r="AC72"/>
  <c i="1" r="AJ82"/>
  <c i="1" r="AN80"/>
  <c i="1" r="AR78"/>
  <c i="1" r="Z77"/>
  <c i="1" r="AD75"/>
  <c i="1" r="AH73"/>
  <c i="1" r="AL71"/>
  <c i="1" r="AP69"/>
  <c i="1" r="AT67"/>
  <c i="1" r="AB66"/>
  <c i="1" r="AF64"/>
  <c i="1" r="AJ62"/>
  <c i="1" r="AP63"/>
  <c i="1" r="AR61"/>
  <c i="1" r="AD67"/>
  <c i="1" r="BB94" s="1"/>
  <c i="1" r="AT68"/>
  <c i="1" r="AL61"/>
  <c i="1" r="AG63"/>
  <c i="1" r="AJ70"/>
  <c i="1" r="BH97" s="1"/>
  <c i="1" r="AI82"/>
  <c i="1" r="AM80"/>
  <c i="1" r="AQ78"/>
  <c i="1" r="AU76"/>
  <c i="1" r="AC75"/>
  <c i="1" r="AG73"/>
  <c i="1" r="AK71"/>
  <c i="1" r="AO69"/>
  <c i="1" r="AS67"/>
  <c i="1" r="AA66"/>
  <c i="1" r="AE64"/>
  <c i="1" r="AI62"/>
  <c i="1" r="AQ63"/>
  <c i="1" r="AF67"/>
  <c i="1" r="AU68"/>
  <c i="1" r="AA67"/>
  <c i="1" r="AA63"/>
  <c i="1" r="AH82"/>
  <c i="1" r="AL80"/>
  <c i="1" r="AP78"/>
  <c i="1" r="AT76"/>
  <c i="1" r="AB75"/>
  <c i="1" r="AF73"/>
  <c i="1" r="AJ71"/>
  <c i="1" r="AN69"/>
  <c i="1" r="AR67"/>
  <c i="1" r="Z66"/>
  <c i="1" r="AD64"/>
  <c i="1" r="AH62"/>
  <c i="1" r="Z64"/>
  <c i="1" r="AN65"/>
  <c i="1" r="AF78"/>
  <c i="1" r="AT70"/>
  <c i="1" r="AG65"/>
  <c i="1" r="AM61"/>
  <c i="1" r="AC65"/>
  <c i="1" r="BA92" s="1"/>
  <c i="1" r="AM77"/>
  <c i="1" r="AG82"/>
  <c i="1" r="AK80"/>
  <c i="1" r="AO78"/>
  <c i="1" r="AS76"/>
  <c i="1" r="AA75"/>
  <c i="1" r="AE73"/>
  <c i="1" r="AI71"/>
  <c i="1" r="AM69"/>
  <c i="1" r="AQ67"/>
  <c i="1" r="AU65"/>
  <c i="1" r="AC64"/>
  <c i="1" r="AG62"/>
  <c i="1" r="AF71"/>
  <c i="1" r="AA62"/>
  <c i="1" r="AT61"/>
  <c i="1" r="Z80"/>
  <c i="1" r="AJ74"/>
  <c i="1" r="AN81"/>
  <c i="1" r="AT77"/>
  <c i="1" r="AH81"/>
  <c i="1" r="AF82"/>
  <c i="1" r="AJ80"/>
  <c i="1" r="BH107" s="1"/>
  <c i="1" r="AN78"/>
  <c i="1" r="BL105" s="1"/>
  <c i="1" r="AR76"/>
  <c i="1" r="Z75"/>
  <c i="1" r="AD73"/>
  <c i="1" r="AH71"/>
  <c i="1" r="AL69"/>
  <c i="1" r="AP67"/>
  <c i="1" r="AT65"/>
  <c i="1" r="AB64"/>
  <c i="1" r="AF62"/>
  <c i="1" r="AD62"/>
  <c i="1" r="AB80"/>
  <c i="1" r="AT79"/>
  <c i="1" r="AB67"/>
  <c i="1" r="AD65"/>
  <c i="1" r="AN68"/>
  <c i="1" r="AE82"/>
  <c i="1" r="AI80"/>
  <c i="1" r="AM78"/>
  <c i="1" r="AQ76"/>
  <c i="1" r="AU74"/>
  <c i="1" r="AC73"/>
  <c i="1" r="AG71"/>
  <c i="1" r="AK69"/>
  <c i="1" r="AO67"/>
  <c i="1" r="AS65"/>
  <c i="1" r="AA64"/>
  <c i="1" r="AE62"/>
  <c i="1" r="AN67"/>
  <c i="1" r="AK72"/>
  <c i="1" r="AO79"/>
  <c i="1" r="AG70"/>
  <c i="1" r="AD82"/>
  <c i="1" r="AH80"/>
  <c i="1" r="AL78"/>
  <c i="1" r="AP76"/>
  <c i="1" r="AT74"/>
  <c i="1" r="AB73"/>
  <c i="1" r="AJ69"/>
  <c i="1" r="AB69"/>
  <c i="1" r="AK63"/>
  <c i="1" r="AN61"/>
  <c i="1" r="AS68"/>
  <c i="1" r="Z67"/>
  <c i="1" r="AO66"/>
  <c i="1" r="AC82"/>
  <c i="1" r="AG80"/>
  <c i="1" r="AK78"/>
  <c i="1" r="AO76"/>
  <c i="1" r="AS74"/>
  <c i="1" r="AA73"/>
  <c i="1" r="AE71"/>
  <c i="1" r="AI69"/>
  <c i="1" r="AQ65"/>
  <c i="1" r="AH65"/>
  <c i="1" r="AF65"/>
  <c i="1" r="AN70"/>
  <c i="1" r="AP77"/>
  <c i="1" r="AB82"/>
  <c i="1" r="AF80"/>
  <c i="1" r="AJ78"/>
  <c i="1" r="AN76"/>
  <c i="1" r="AR74"/>
  <c i="1" r="Z73"/>
  <c i="1" r="AD71"/>
  <c i="1" r="AH69"/>
  <c i="1" r="AL67"/>
  <c i="1" r="AP65"/>
  <c i="1" r="AT63"/>
  <c i="1" r="AB62"/>
  <c i="1" r="AT81"/>
  <c i="1" r="AQ70"/>
  <c i="1" r="AQ79"/>
  <c i="1" r="AI72"/>
  <c i="1" r="AE61"/>
  <c i="1" r="AA82"/>
  <c i="1" r="AE80"/>
  <c i="1" r="AI78"/>
  <c i="1" r="AM76"/>
  <c i="1" r="AQ74"/>
  <c i="1" r="AU72"/>
  <c i="1" r="AC71"/>
  <c i="1" r="AG69"/>
  <c i="1" r="AK67"/>
  <c i="1" r="AO65"/>
  <c i="1" r="AF76"/>
  <c i="1" r="Z78"/>
  <c i="1" r="AF74"/>
  <c i="1" r="AT75"/>
  <c i="1" r="Z82"/>
  <c i="1" r="AD80"/>
  <c i="1" r="AH78"/>
  <c i="1" r="AL76"/>
  <c i="1" r="AP74"/>
  <c i="1" r="AT72"/>
  <c i="1" r="AB71"/>
  <c i="1" r="AF69"/>
  <c i="1" r="AJ67"/>
  <c i="1" r="AL65"/>
  <c i="1" r="AN63"/>
  <c i="1" r="Z69"/>
  <c i="1" r="AX96" s="1"/>
  <c i="1" r="AH63"/>
  <c i="1" r="AK61"/>
  <c i="1" r="AQ75"/>
  <c i="1" r="AU81"/>
  <c i="1" r="AC80"/>
  <c i="1" r="AG78"/>
  <c i="1" r="AK76"/>
  <c i="1" r="AO74"/>
  <c i="1" r="AS72"/>
  <c i="1" r="AA71"/>
  <c i="1" r="AE69"/>
  <c i="1" r="AI67"/>
  <c i="1" r="BG94" s="1"/>
  <c i="1" r="AM65"/>
  <c i="1" r="AS79"/>
  <c i="1" r="AO70"/>
  <c i="1" r="AM70"/>
  <c i="1" r="AB74"/>
  <c i="1" r="AS81"/>
  <c i="1" r="AA80"/>
  <c i="1" r="AE78"/>
  <c i="1" r="AI76"/>
  <c i="1" r="AM74"/>
  <c i="1" r="AQ72"/>
  <c i="1" r="AU70"/>
  <c i="1" r="AC69"/>
  <c i="1" r="AG67"/>
  <c i="1" r="AK65"/>
  <c i="1" r="AO63"/>
  <c i="1" r="AL63"/>
  <c i="1" r="AL72"/>
  <c i="1" r="AR68"/>
  <c i="1" r="AQ81"/>
  <c i="1" r="AU79"/>
  <c i="1" r="AC78"/>
  <c i="1" r="AG76"/>
  <c i="1" r="AK74"/>
  <c i="1" r="BI101" s="1"/>
  <c i="1" r="AO72"/>
  <c i="1" r="AS70"/>
  <c i="1" r="AA69"/>
  <c i="1" r="AE67"/>
  <c i="1" r="AI65"/>
  <c i="1" r="AM63"/>
  <c i="1" r="AQ61"/>
  <c i="1" r="AO81"/>
  <c i="1" r="AI63"/>
  <c i="1" r="AK81"/>
  <c i="1" r="AK68"/>
  <c i="1" r="AJ81"/>
  <c i="1" r="AN79"/>
  <c i="1" r="AR77"/>
  <c i="1" r="Z76"/>
  <c i="1" r="AD74"/>
  <c i="1" r="AH72"/>
  <c i="1" r="AL70"/>
  <c i="1" r="AP68"/>
  <c i="1" r="AT66"/>
  <c i="1" r="AB65"/>
  <c i="1" r="AF63"/>
  <c i="1" r="AJ61"/>
  <c i="1" r="AU73"/>
  <c i="1" r="AI81"/>
  <c i="1" r="AM79"/>
  <c i="1" r="BK106" s="1"/>
  <c i="1" r="AQ77"/>
  <c i="1" r="AU75"/>
  <c i="1" r="AC74"/>
  <c i="1" r="AG72"/>
  <c i="1" r="AK70"/>
  <c i="1" r="AO68"/>
  <c i="1" r="AS66"/>
  <c i="1" r="AA65"/>
  <c i="1" r="AE63"/>
  <c i="1" r="AI61"/>
  <c i="1" r="AS64"/>
  <c i="1" r="AG81"/>
  <c i="1" r="AK79"/>
  <c i="1" r="BI106" s="1"/>
  <c i="1" r="AO77"/>
  <c i="1" r="AS75"/>
  <c i="1" r="AA74"/>
  <c i="1" r="AE72"/>
  <c i="1" r="AI70"/>
  <c i="1" r="AM68"/>
  <c i="1" r="AQ66"/>
  <c i="1" r="AU64"/>
  <c i="1" r="AC63"/>
  <c i="1" r="AG61"/>
  <c i="1" r="AI79"/>
  <c i="1" r="AF81"/>
  <c i="1" r="AJ79"/>
  <c i="1" r="AN77"/>
  <c i="1" r="AR75"/>
  <c i="1" r="Z74"/>
  <c i="1" r="AD72"/>
  <c i="1" r="AH70"/>
  <c i="1" r="AL68"/>
  <c i="1" r="AP66"/>
  <c i="1" r="AT64"/>
  <c i="1" r="AB63"/>
  <c i="1" r="AF61"/>
  <c i="1" r="AD81"/>
  <c i="1" r="AH79"/>
  <c i="1" r="AL77"/>
  <c i="1" r="AP75"/>
  <c i="1" r="AT73"/>
  <c i="1" r="AB72"/>
  <c i="1" r="AF70"/>
  <c i="1" r="BD97" s="1"/>
  <c i="1" r="AJ68"/>
  <c i="1" r="AN66"/>
  <c i="1" r="AR64"/>
  <c i="1" r="Z63"/>
  <c i="1" r="AD61"/>
  <c i="1" r="M63"/>
  <c i="1" r="I65"/>
  <c i="1" r="E67"/>
  <c i="1" r="W68"/>
  <c i="1" r="S70"/>
  <c i="1" r="O72"/>
  <c i="1" r="K74"/>
  <c i="1" r="G76"/>
  <c i="1" r="C78"/>
  <c i="1" r="U79"/>
  <c i="1" r="Q81"/>
  <c i="1" r="N61"/>
  <c i="1" r="K80"/>
  <c i="1" r="B75"/>
  <c i="1" r="I81"/>
  <c i="1" r="N63"/>
  <c i="1" r="J65"/>
  <c i="1" r="F67"/>
  <c i="1" r="B69"/>
  <c i="1" r="T70"/>
  <c i="1" r="P72"/>
  <c i="1" r="L74"/>
  <c i="1" r="H76"/>
  <c i="1" r="D78"/>
  <c i="1" r="V79"/>
  <c i="1" r="R81"/>
  <c i="1" r="O61"/>
  <c i="1" r="M69"/>
  <c i="1" r="F61"/>
  <c i="1" r="O63"/>
  <c i="1" r="K65"/>
  <c i="1" r="G67"/>
  <c i="1" r="C69"/>
  <c i="1" r="U70"/>
  <c i="1" r="Q72"/>
  <c i="1" r="M74"/>
  <c i="1" r="I76"/>
  <c i="1" r="E78"/>
  <c i="1" r="W79"/>
  <c i="1" r="S81"/>
  <c i="1" r="P61"/>
  <c i="1" r="C64"/>
  <c i="1" r="H62"/>
  <c i="1" r="V65"/>
  <c i="1" r="N69"/>
  <c i="1" r="T76"/>
  <c i="1" r="P63"/>
  <c i="1" r="L65"/>
  <c i="1" r="H67"/>
  <c i="1" r="D69"/>
  <c i="1" r="V70"/>
  <c i="1" r="R72"/>
  <c i="1" r="N74"/>
  <c i="1" r="J76"/>
  <c i="1" r="F78"/>
  <c i="1" r="B80"/>
  <c i="1" r="T81"/>
  <c i="1" r="Q61"/>
  <c i="1" r="U65"/>
  <c i="1" r="R67"/>
  <c i="1" r="H82"/>
  <c i="1" r="V64"/>
  <c i="1" r="H81"/>
  <c i="1" r="Q63"/>
  <c i="1" r="M65"/>
  <c i="1" r="I67"/>
  <c i="1" r="E69"/>
  <c i="1" r="W70"/>
  <c i="1" r="S72"/>
  <c i="1" r="O74"/>
  <c i="1" r="K76"/>
  <c i="1" r="G78"/>
  <c i="1" r="C80"/>
  <c i="1" r="U81"/>
  <c i="1" r="R61"/>
  <c i="1" r="I71"/>
  <c i="1" r="Q77"/>
  <c i="1" r="R63"/>
  <c i="1" r="N65"/>
  <c i="1" r="J67"/>
  <c i="1" r="F69"/>
  <c i="1" r="B71"/>
  <c i="1" r="T72"/>
  <c i="1" r="P74"/>
  <c i="1" r="L76"/>
  <c i="1" r="H78"/>
  <c i="1" r="D80"/>
  <c i="1" r="V81"/>
  <c i="1" r="S61"/>
  <c i="1" r="Q67"/>
  <c i="1" r="S63"/>
  <c i="1" r="O65"/>
  <c i="1" r="K67"/>
  <c i="1" r="G69"/>
  <c i="1" r="C71"/>
  <c i="1" r="U72"/>
  <c i="1" r="Q74"/>
  <c i="1" r="M76"/>
  <c i="1" r="I78"/>
  <c i="1" r="E80"/>
  <c i="1" r="W81"/>
  <c i="1" r="T61"/>
  <c i="1" r="N68"/>
  <c i="1" r="B62"/>
  <c i="1" r="T63"/>
  <c i="1" r="P65"/>
  <c i="1" r="L67"/>
  <c i="1" r="H69"/>
  <c i="1" r="D71"/>
  <c i="1" r="V72"/>
  <c i="1" r="R74"/>
  <c i="1" r="N76"/>
  <c i="1" r="J78"/>
  <c i="1" r="F80"/>
  <c i="1" r="B82"/>
  <c i="1" r="U61"/>
  <c i="1" r="G82"/>
  <c i="1" r="C62"/>
  <c i="1" r="U63"/>
  <c i="1" r="Q65"/>
  <c i="1" r="M67"/>
  <c i="1" r="I69"/>
  <c i="1" r="E71"/>
  <c i="1" r="W72"/>
  <c i="1" r="S74"/>
  <c i="1" r="O76"/>
  <c i="1" r="K78"/>
  <c i="1" r="G80"/>
  <c i="1" r="C82"/>
  <c i="1" r="V61"/>
  <c i="1" r="W74"/>
  <c i="1" r="M79"/>
  <c i="1" r="D62"/>
  <c i="1" r="V63"/>
  <c i="1" r="R65"/>
  <c i="1" r="N67"/>
  <c i="1" r="J69"/>
  <c i="1" r="F71"/>
  <c i="1" r="B73"/>
  <c i="1" r="T74"/>
  <c i="1" r="P76"/>
  <c i="1" r="L78"/>
  <c i="1" r="H80"/>
  <c i="1" r="D82"/>
  <c i="1" r="W61"/>
  <c i="1" r="R66"/>
  <c i="1" r="E62"/>
  <c i="1" r="W63"/>
  <c i="1" r="S65"/>
  <c i="1" r="O67"/>
  <c i="1" r="K69"/>
  <c i="1" r="G71"/>
  <c i="1" r="C73"/>
  <c i="1" r="U74"/>
  <c i="1" r="Q76"/>
  <c i="1" r="M78"/>
  <c i="1" r="I80"/>
  <c i="1" r="E82"/>
  <c i="1" r="B61"/>
  <c i="1" r="S76"/>
  <c i="1" r="D64"/>
  <c i="1" r="J71"/>
  <c i="1" r="P78"/>
  <c i="1" r="F62"/>
  <c i="1" r="B64"/>
  <c i="1" r="T65"/>
  <c i="1" r="P67"/>
  <c i="1" r="L69"/>
  <c i="1" r="H71"/>
  <c i="1" r="D73"/>
  <c i="1" r="V74"/>
  <c i="1" r="R76"/>
  <c i="1" r="N78"/>
  <c i="1" r="J80"/>
  <c i="1" r="F82"/>
  <c i="1" r="E73"/>
  <c i="1" r="F73"/>
  <c i="1" r="G62"/>
  <c i="1" r="O78"/>
  <c i="1" r="L80"/>
  <c i="1" r="I62"/>
  <c i="1" r="E64"/>
  <c i="1" r="W65"/>
  <c i="1" r="S67"/>
  <c i="1" r="O69"/>
  <c i="1" r="K71"/>
  <c i="1" r="G73"/>
  <c i="1" r="C75"/>
  <c i="1" r="U76"/>
  <c i="1" r="Q78"/>
  <c i="1" r="M80"/>
  <c i="1" r="I82"/>
  <c i="1" r="J62"/>
  <c i="1" r="F64"/>
  <c i="1" r="B66"/>
  <c i="1" r="T67"/>
  <c i="1" r="P69"/>
  <c i="1" r="L71"/>
  <c i="1" r="H73"/>
  <c i="1" r="D75"/>
  <c i="1" r="V76"/>
  <c i="1" r="R78"/>
  <c i="1" r="N80"/>
  <c i="1" r="J82"/>
  <c i="1" r="D63"/>
  <c i="1" r="K62"/>
  <c i="1" r="G64"/>
  <c i="1" r="C66"/>
  <c i="1" r="U67"/>
  <c i="1" r="Q69"/>
  <c i="1" r="M71"/>
  <c i="1" r="I73"/>
  <c i="1" r="E75"/>
  <c i="1" r="W76"/>
  <c i="1" r="S78"/>
  <c i="1" r="O80"/>
  <c i="1" r="K82"/>
  <c i="1" r="S66"/>
  <c i="1" r="L62"/>
  <c i="1" r="H64"/>
  <c i="1" r="D66"/>
  <c i="1" r="V67"/>
  <c i="1" r="R69"/>
  <c i="1" r="N71"/>
  <c i="1" r="J73"/>
  <c i="1" r="F75"/>
  <c i="1" r="B77"/>
  <c i="1" r="T78"/>
  <c i="1" r="P80"/>
  <c i="1" r="L82"/>
  <c i="1" r="P77"/>
  <c i="1" r="C74"/>
  <c i="1" r="M62"/>
  <c i="1" r="I64"/>
  <c i="1" r="E66"/>
  <c i="1" r="W67"/>
  <c i="1" r="S69"/>
  <c i="1" r="O71"/>
  <c i="1" r="K73"/>
  <c i="1" r="G75"/>
  <c i="1" r="C77"/>
  <c i="1" r="U78"/>
  <c i="1" r="Q80"/>
  <c i="1" r="M82"/>
  <c i="1" r="N62"/>
  <c i="1" r="J64"/>
  <c i="1" r="F66"/>
  <c i="1" r="B68"/>
  <c i="1" r="T69"/>
  <c i="1" r="P71"/>
  <c i="1" r="L73"/>
  <c i="1" r="H75"/>
  <c i="1" r="D77"/>
  <c i="1" r="V78"/>
  <c i="1" r="R80"/>
  <c i="1" r="N82"/>
  <c i="1" r="T75"/>
  <c i="1" r="O62"/>
  <c i="1" r="K64"/>
  <c i="1" r="G66"/>
  <c i="1" r="C68"/>
  <c i="1" r="U69"/>
  <c i="1" r="Q71"/>
  <c i="1" r="M73"/>
  <c i="1" r="I75"/>
  <c i="1" r="E77"/>
  <c i="1" r="W78"/>
  <c i="1" r="S80"/>
  <c i="1" r="O82"/>
  <c i="1" r="O68"/>
  <c i="1" r="P62"/>
  <c i="1" r="L64"/>
  <c i="1" r="H66"/>
  <c i="1" r="D68"/>
  <c i="1" r="V69"/>
  <c i="1" r="R71"/>
  <c i="1" r="N73"/>
  <c i="1" r="J75"/>
  <c i="1" r="F77"/>
  <c i="1" r="B79"/>
  <c i="1" r="T80"/>
  <c i="1" r="P82"/>
  <c i="1" r="Q62"/>
  <c i="1" r="M64"/>
  <c i="1" r="I66"/>
  <c i="1" r="E68"/>
  <c i="1" r="W69"/>
  <c i="1" r="S71"/>
  <c i="1" r="O73"/>
  <c i="1" r="K75"/>
  <c i="1" r="G77"/>
  <c i="1" r="C79"/>
  <c i="1" r="U80"/>
  <c i="1" r="Q82"/>
  <c i="1" r="R62"/>
  <c i="1" r="N64"/>
  <c i="1" r="J66"/>
  <c i="1" r="F68"/>
  <c i="1" r="B70"/>
  <c i="1" r="T71"/>
  <c i="1" r="P73"/>
  <c i="1" r="L75"/>
  <c i="1" r="H77"/>
  <c i="1" r="D79"/>
  <c i="1" r="V80"/>
  <c i="1" r="R82"/>
  <c i="1" r="G72"/>
  <c i="1" r="S62"/>
  <c i="1" r="O64"/>
  <c i="1" r="K66"/>
  <c i="1" r="G68"/>
  <c i="1" r="C70"/>
  <c i="1" r="U71"/>
  <c i="1" r="Q73"/>
  <c i="1" r="M75"/>
  <c i="1" r="I77"/>
  <c i="1" r="E79"/>
  <c i="1" r="W80"/>
  <c i="1" r="S82"/>
  <c i="1" r="B74"/>
  <c i="1" r="E63"/>
  <c i="1" r="T62"/>
  <c i="1" r="P64"/>
  <c i="1" r="L66"/>
  <c i="1" r="H68"/>
  <c i="1" r="D70"/>
  <c i="1" r="V71"/>
  <c i="1" r="R73"/>
  <c i="1" r="N75"/>
  <c i="1" r="J77"/>
  <c i="1" r="F79"/>
  <c i="1" r="B81"/>
  <c i="1" r="T82"/>
  <c i="1" r="Q75"/>
  <c i="1" r="E61"/>
  <c i="1" r="U62"/>
  <c i="1" r="Q64"/>
  <c i="1" r="M66"/>
  <c i="1" r="I68"/>
  <c i="1" r="E70"/>
  <c i="1" r="W71"/>
  <c i="1" r="S73"/>
  <c i="1" r="O75"/>
  <c i="1" r="K77"/>
  <c i="1" r="G79"/>
  <c i="1" r="C81"/>
  <c i="1" r="U82"/>
  <c i="1" r="S64"/>
  <c i="1" r="W82"/>
  <c i="1" r="F72"/>
  <c i="1" r="V62"/>
  <c i="1" r="R64"/>
  <c i="1" r="N66"/>
  <c i="1" r="J68"/>
  <c i="1" r="F70"/>
  <c i="1" r="B72"/>
  <c i="1" r="T73"/>
  <c i="1" r="P75"/>
  <c i="1" r="L77"/>
  <c i="1" r="H79"/>
  <c i="1" r="D81"/>
  <c i="1" r="V82"/>
  <c i="1" r="W62"/>
  <c i="1" r="O66"/>
  <c i="1" r="K68"/>
  <c i="1" r="G70"/>
  <c i="1" r="C72"/>
  <c i="1" r="U73"/>
  <c i="1" r="M77"/>
  <c i="1" r="I79"/>
  <c i="1" r="E81"/>
  <c i="1" r="L79"/>
  <c i="1" r="U75"/>
  <c i="1" r="B63"/>
  <c i="1" r="T64"/>
  <c i="1" r="P66"/>
  <c i="1" r="L68"/>
  <c i="1" r="H70"/>
  <c i="1" r="D72"/>
  <c i="1" r="V73"/>
  <c i="1" r="R75"/>
  <c i="1" r="N77"/>
  <c i="1" r="J79"/>
  <c i="1" r="F81"/>
  <c i="1" r="C61"/>
  <c i="1" r="W64"/>
  <c i="1" r="C63"/>
  <c i="1" r="U64"/>
  <c i="1" r="Q66"/>
  <c i="1" r="M68"/>
  <c i="1" r="I70"/>
  <c i="1" r="E72"/>
  <c i="1" r="W73"/>
  <c i="1" r="S75"/>
  <c i="1" r="O77"/>
  <c i="1" r="K79"/>
  <c i="1" r="G81"/>
  <c i="1" r="D61"/>
  <c i="1" r="J70"/>
  <c i="1" r="F63"/>
  <c i="1" r="B65"/>
  <c i="1" r="T66"/>
  <c i="1" r="P68"/>
  <c i="1" r="L70"/>
  <c i="1" r="H72"/>
  <c i="1" r="D74"/>
  <c i="1" r="V75"/>
  <c i="1" r="R77"/>
  <c i="1" r="N79"/>
  <c i="1" r="J81"/>
  <c i="1" r="G61"/>
  <c i="1" r="G63"/>
  <c i="1" r="C65"/>
  <c i="1" r="U66"/>
  <c i="1" r="Q68"/>
  <c i="1" r="M70"/>
  <c i="1" r="I72"/>
  <c i="1" r="E74"/>
  <c i="1" r="W75"/>
  <c i="1" r="S77"/>
  <c i="1" r="O79"/>
  <c i="1" r="K81"/>
  <c i="1" r="H61"/>
  <c i="1" r="H63"/>
  <c i="1" r="D65"/>
  <c i="1" r="V66"/>
  <c i="1" r="R68"/>
  <c i="1" r="N70"/>
  <c i="1" r="J72"/>
  <c i="1" r="F74"/>
  <c i="1" r="B76"/>
  <c i="1" r="T77"/>
  <c i="1" r="P79"/>
  <c i="1" r="L81"/>
  <c i="1" r="I61"/>
  <c i="1" r="L63"/>
  <c i="1" r="H65"/>
  <c i="1" r="D67"/>
  <c i="1" r="V68"/>
  <c i="1" r="R70"/>
  <c i="1" r="N72"/>
  <c i="1" r="J74"/>
  <c i="1" r="F76"/>
  <c i="1" r="B78"/>
  <c i="1" r="T79"/>
  <c i="1" r="P81"/>
  <c i="1" r="M61"/>
  <c i="1" r="K70"/>
  <c i="1" r="C67"/>
  <c i="1" r="V77"/>
  <c i="1" r="Q79"/>
  <c i="1" r="S68"/>
  <c i="1" r="E65"/>
  <c i="1" r="T68"/>
  <c i="1" r="U68"/>
  <c i="1" r="O70"/>
  <c i="1" r="P70"/>
  <c i="1" r="Q70"/>
  <c i="1" r="G65"/>
  <c i="1" r="K72"/>
  <c i="1" r="U77"/>
  <c i="1" r="F65"/>
  <c i="1" r="L72"/>
  <c i="1" r="R79"/>
  <c i="1" r="M72"/>
  <c i="1" r="G74"/>
  <c i="1" r="H74"/>
  <c i="1" r="L61"/>
  <c i="1" r="I74"/>
  <c i="1" r="C76"/>
  <c i="1" r="D76"/>
  <c i="1" r="W77"/>
  <c i="1" r="E76"/>
  <c i="1" r="S79"/>
  <c i="1" r="M81"/>
  <c i="1" r="N81"/>
  <c i="1" r="O81"/>
  <c i="1" r="K61"/>
  <c i="1" r="J61"/>
  <c i="1" r="I63"/>
  <c i="1" r="J63"/>
  <c i="1" r="K63"/>
  <c i="1" r="B67"/>
  <c i="1" r="W66"/>
  <c i="1" l="1" r="AY101"/>
  <c i="1" r="BA103"/>
  <c i="1" r="BQ108"/>
  <c i="1" r="BR89"/>
  <c i="1" r="BF99"/>
  <c i="1" r="BE106"/>
  <c i="1" r="BC101"/>
  <c i="1" r="BI99"/>
  <c i="18" r="BN30"/>
  <c i="18" r="BE30"/>
  <c i="18" r="CY7" s="1"/>
  <c i="18" r="CZ7" s="1"/>
  <c i="18" r="DA7" s="1"/>
  <c i="1" r="BA91"/>
  <c i="1" r="BC109"/>
  <c i="1" r="BN95"/>
  <c i="18" r="AV110"/>
  <c i="18" r="AV136" s="1"/>
  <c i="1" r="AZ106"/>
  <c i="1" r="BB100"/>
  <c i="1" r="BA106"/>
  <c i="1" r="BA98"/>
  <c i="1" r="BL88"/>
  <c i="1" r="BC93"/>
  <c i="1" r="BH96"/>
  <c i="1" r="BD109"/>
  <c i="1" r="BF108"/>
  <c i="1" r="AZ88"/>
  <c i="18" r="X51"/>
  <c i="18" r="V61" s="1"/>
  <c i="1" r="BC103"/>
  <c i="18" r="BC57"/>
  <c i="1" r="BQ98"/>
  <c i="1" r="BI102"/>
  <c i="1" r="BK101"/>
  <c i="1" r="BP103"/>
  <c i="1" r="AY94"/>
  <c i="1" r="BE97"/>
  <c i="1" r="AX99"/>
  <c i="1" r="BP89"/>
  <c i="18" r="CV17"/>
  <c i="18" r="CY16"/>
  <c i="18" r="CX16"/>
  <c i="18" r="BQ30"/>
  <c i="18" r="BQ51" s="1"/>
  <c i="18" r="BB30"/>
  <c i="18" r="CY4" s="1"/>
  <c i="18" r="CZ4" s="1"/>
  <c i="18" r="DA4" s="1"/>
  <c i="18" r="BS30"/>
  <c i="18" r="BS51" s="1"/>
  <c i="18" r="AW30"/>
  <c a="1" i="18" r="AK9" s="1"/>
  <c i="18" r="AK9" s="1"/>
  <c i="18" r="BL30"/>
  <c i="18" r="CY14" s="1"/>
  <c i="18" r="CZ14" s="1"/>
  <c i="18" r="DA14" s="1"/>
  <c i="18" r="BJ30"/>
  <c i="18" r="CY12" s="1"/>
  <c i="18" r="CZ12" s="1"/>
  <c i="18" r="DA12" s="1"/>
  <c i="18" r="BO30"/>
  <c i="18" r="CM30" s="1"/>
  <c i="1" r="BL90"/>
  <c i="1" r="BD107"/>
  <c i="18" r="BG30"/>
  <c i="18" r="CY9" s="1"/>
  <c i="18" r="CZ9" s="1"/>
  <c i="18" r="DA9" s="1"/>
  <c i="18" r="BF30"/>
  <c i="18" r="CY8" s="1"/>
  <c i="18" r="CZ8" s="1"/>
  <c i="18" r="DA8" s="1"/>
  <c i="18" r="BM30"/>
  <c i="18" r="CY15" s="1"/>
  <c i="18" r="CZ15" s="1"/>
  <c i="18" r="DA15" s="1"/>
  <c i="18" r="BR30"/>
  <c i="18" r="BR51" s="1"/>
  <c i="18" r="BT30"/>
  <c i="18" r="BT51" s="1"/>
  <c i="18" r="AZ30"/>
  <c i="18" r="CY2" s="1"/>
  <c i="18" r="CZ2" s="1"/>
  <c i="18" r="DA2" s="1"/>
  <c i="18" r="BC30"/>
  <c i="18" r="CY5" s="1"/>
  <c i="18" r="CZ5" s="1"/>
  <c i="18" r="DA5" s="1"/>
  <c i="18" r="BD30"/>
  <c i="18" r="CY6" s="1"/>
  <c i="18" r="CZ6" s="1"/>
  <c i="18" r="DA6" s="1"/>
  <c i="1" r="BC90"/>
  <c i="18" r="BK30"/>
  <c i="18" r="CY13" s="1"/>
  <c i="18" r="CZ13" s="1"/>
  <c i="18" r="DA13" s="1"/>
  <c i="18" r="BP30"/>
  <c i="18" r="BP51" s="1"/>
  <c i="18" r="BA30"/>
  <c i="18" r="CY3" s="1"/>
  <c i="18" r="CZ3" s="1"/>
  <c i="18" r="DA3" s="1"/>
  <c i="1" r="BM90"/>
  <c i="18" r="BI30"/>
  <c i="18" r="CY11" s="1"/>
  <c i="18" r="CZ11" s="1"/>
  <c i="18" r="DA11" s="1"/>
  <c i="18" r="AV112"/>
  <c i="18" r="AV138" s="1"/>
  <c i="1" r="BI97"/>
  <c i="18" r="BH30"/>
  <c i="18" r="CY10" s="1"/>
  <c i="18" r="CZ10" s="1"/>
  <c i="18" r="DA10" s="1"/>
  <c i="1" r="BE96"/>
  <c i="1" r="BH91"/>
  <c i="1" r="BB91"/>
  <c i="1" r="BP108"/>
  <c i="1" r="BR103"/>
  <c i="1" r="BN93"/>
  <c i="1" r="BR88"/>
  <c i="1" r="BD106"/>
  <c i="1" r="BO90"/>
  <c i="1" r="BO107"/>
  <c i="1" r="BK109"/>
  <c i="1" r="AX88"/>
  <c i="1" r="BO89"/>
  <c i="1" r="AZ92"/>
  <c i="1" r="AY90"/>
  <c i="1" r="BD99"/>
  <c i="1" r="BM97"/>
  <c i="1" r="AY105"/>
  <c i="1" r="BR106"/>
  <c i="1" r="BM91"/>
  <c i="1" r="AX91"/>
  <c i="1" r="BN107"/>
  <c i="1" r="BQ101"/>
  <c i="1" r="BA108"/>
  <c i="1" r="BM92"/>
  <c i="1" r="AZ90"/>
  <c i="1" r="BO95"/>
  <c i="1" r="BJ101"/>
  <c i="1" r="BC88"/>
  <c i="1" r="BR104"/>
  <c i="1" r="BE102"/>
  <c i="1" r="BN103"/>
  <c i="1" r="BJ105"/>
  <c i="1" r="BS105"/>
  <c i="1" r="BJ95"/>
  <c i="1" r="AZ95"/>
  <c i="1" r="BJ89"/>
  <c i="1" r="BL95"/>
  <c i="1" r="AY88"/>
  <c i="1" r="BR109"/>
  <c i="1" r="BB109"/>
  <c i="1" r="BJ91"/>
  <c i="1" r="BB90"/>
  <c i="1" r="AX103"/>
  <c i="1" r="BL102"/>
  <c i="1" r="BN92"/>
  <c i="1" r="BN108"/>
  <c i="1" r="BO94"/>
  <c i="1" r="AY102"/>
  <c i="1" r="BN91"/>
  <c i="1" r="BC108"/>
  <c i="1" r="BN99"/>
  <c i="1" r="BD104"/>
  <c i="1" r="BQ103"/>
  <c i="1" r="BB99"/>
  <c i="1" r="BC106"/>
  <c i="1" r="BR101"/>
  <c i="1" r="BL91"/>
  <c i="1" r="BG109"/>
  <c i="1" r="BC94"/>
  <c i="1" r="BQ109"/>
  <c i="1" r="AX101"/>
  <c i="1" r="BG90"/>
  <c i="1" r="BL103"/>
  <c i="1" r="BF106"/>
  <c i="1" r="BE101"/>
  <c i="1" r="BH102"/>
  <c i="1" r="BP93"/>
  <c i="1" r="BF109"/>
  <c i="1" r="BG101"/>
  <c i="1" r="BM109"/>
  <c i="1" r="BS93"/>
  <c i="1" r="BP97"/>
  <c i="1" r="BA104"/>
  <c i="1" r="AZ100"/>
  <c i="1" r="BJ93"/>
  <c i="1" r="BD88"/>
  <c i="1" r="AX98"/>
  <c i="1" r="BJ88"/>
  <c i="1" r="BF102"/>
  <c i="1" r="BJ106"/>
  <c i="1" r="BS89"/>
  <c i="1" r="BG91"/>
  <c i="1" r="BP90"/>
  <c i="1" r="BO106"/>
  <c i="1" r="BO96"/>
  <c i="1" r="AZ101"/>
  <c i="1" r="BI100"/>
  <c i="1" r="BQ88"/>
  <c i="1" r="BK104"/>
  <c i="1" r="BR95"/>
  <c i="1" r="BM88"/>
  <c i="1" r="BM104"/>
  <c i="1" r="AX106"/>
  <c i="1" r="BB103"/>
  <c i="1" r="BE103"/>
  <c i="1" r="BD92"/>
  <c i="1" r="BG95"/>
  <c i="1" r="BL109"/>
  <c i="1" r="BS106"/>
  <c i="1" r="BR97"/>
  <c i="1" r="AX92"/>
  <c i="1" r="BO108"/>
  <c i="1" r="BP95"/>
  <c i="1" r="BR105"/>
  <c i="1" r="AZ105"/>
  <c i="1" r="AY92"/>
  <c i="1" r="BJ99"/>
  <c i="1" r="BB107"/>
  <c i="1" r="BE95"/>
  <c i="1" r="AX90"/>
  <c i="1" r="BJ90"/>
  <c i="1" r="AX109"/>
  <c i="1" r="BF89"/>
  <c i="1" r="BM95"/>
  <c i="1" r="BM103"/>
  <c i="1" r="BI92"/>
  <c i="1" r="BD101"/>
  <c i="1" r="BI105"/>
  <c i="1" r="AX93"/>
  <c i="1" r="BK108"/>
  <c i="1" r="BE93"/>
  <c i="1" r="BS91"/>
  <c i="1" r="BH95"/>
  <c i="1" r="BE99"/>
  <c i="1" r="BA95"/>
  <c i="1" r="BK102"/>
  <c i="1" r="BA96"/>
  <c i="1" r="BA109"/>
  <c i="1" r="BS96"/>
  <c i="1" r="BM100"/>
  <c i="1" r="AZ99"/>
  <c i="1" r="BR100"/>
  <c i="1" r="BO99"/>
  <c i="1" r="AX94"/>
  <c i="1" r="BL107"/>
  <c i="1" r="BK89"/>
  <c i="1" r="BE104"/>
  <c i="1" r="AY108"/>
  <c i="1" r="BN102"/>
  <c i="1" r="BQ95"/>
  <c i="1" r="AX102"/>
  <c i="1" r="BH109"/>
  <c i="1" r="BG102"/>
  <c i="18" r="AV115"/>
  <c i="18" r="AV141" s="1"/>
  <c i="1" r="BJ104"/>
  <c i="1" r="BG103"/>
  <c i="1" r="BS107"/>
  <c i="1" r="BF88"/>
  <c i="1" r="BS100"/>
  <c i="1" r="BS99"/>
  <c i="1" r="BI90"/>
  <c i="1" r="AY106"/>
  <c i="1" r="BB108"/>
  <c i="1" r="BO101"/>
  <c i="1" r="AZ96"/>
  <c i="1" r="BS104"/>
  <c i="1" r="BQ107"/>
  <c i="1" r="BD90"/>
  <c i="1" r="BR91"/>
  <c i="1" r="BS95"/>
  <c i="1" r="BH101"/>
  <c i="1" r="BA93"/>
  <c i="1" r="BG99"/>
  <c i="1" r="BS94"/>
  <c i="1" r="BB97"/>
  <c i="1" r="BC99"/>
  <c i="1" r="BO103"/>
  <c i="1" r="BE90"/>
  <c i="1" r="AZ109"/>
  <c i="1" r="BK93"/>
  <c i="1" r="AZ98"/>
  <c i="1" r="BO92"/>
  <c i="1" r="AZ93"/>
  <c i="1" r="BR94"/>
  <c i="1" r="BL101"/>
  <c i="1" r="BK91"/>
  <c i="1" r="BI104"/>
  <c i="1" r="BQ93"/>
  <c i="1" r="BN96"/>
  <c i="1" r="BG93"/>
  <c i="1" r="AZ91"/>
  <c i="1" r="BJ98"/>
  <c i="1" r="BI91"/>
  <c i="1" r="BC95"/>
  <c i="1" r="BS98"/>
  <c i="1" r="BF100"/>
  <c i="1" r="AY97"/>
  <c i="1" r="AX105"/>
  <c i="1" r="BP94"/>
  <c i="1" r="BK99"/>
  <c i="1" r="BD103"/>
  <c i="1" r="BL96"/>
  <c i="1" r="BG104"/>
  <c i="1" r="BS102"/>
  <c i="1" r="BP105"/>
  <c i="18" r="CQ42"/>
  <c i="18" r="AT122"/>
  <c i="18" r="AT148" s="1"/>
  <c i="18" r="BY49"/>
  <c i="18" r="AB129"/>
  <c i="18" r="AB155" s="1"/>
  <c i="18" r="CF45"/>
  <c i="18" r="AI125"/>
  <c i="18" r="AI151" s="1"/>
  <c i="18" r="CB31"/>
  <c i="18" r="AE111"/>
  <c i="18" r="AE137" s="1"/>
  <c i="18" r="CI35"/>
  <c i="18" r="AL115"/>
  <c i="18" r="AL141" s="1"/>
  <c i="18" r="CQ36"/>
  <c i="18" r="AT116"/>
  <c i="18" r="AT142" s="1"/>
  <c i="18" r="CK34"/>
  <c i="18" r="AN114"/>
  <c i="18" r="AN140" s="1"/>
  <c i="18" r="CD33"/>
  <c i="18" r="AG113"/>
  <c i="18" r="AG139" s="1"/>
  <c i="18" r="CB47"/>
  <c i="18" r="AE127"/>
  <c i="18" r="AE153" s="1"/>
  <c i="18" r="CJ42"/>
  <c i="18" r="AM122"/>
  <c i="18" r="AM148" s="1"/>
  <c i="18" r="CF49"/>
  <c i="18" r="AI129"/>
  <c i="18" r="AI155" s="1"/>
  <c i="18" r="CP45"/>
  <c i="18" r="AS125"/>
  <c i="18" r="AS151" s="1"/>
  <c i="18" r="AN111"/>
  <c i="18" r="AN137" s="1"/>
  <c i="18" r="CK31"/>
  <c i="18" r="AA110"/>
  <c i="18" r="AA136" s="1"/>
  <c i="18" r="BX30"/>
  <c i="18" r="AZ51"/>
  <c i="18" r="CM35"/>
  <c i="18" r="AP115"/>
  <c i="18" r="AP141" s="1"/>
  <c i="18" r="CA36"/>
  <c i="18" r="AD116"/>
  <c i="18" r="AD142" s="1"/>
  <c i="18" r="CF34"/>
  <c i="18" r="AI114"/>
  <c i="18" r="AI140" s="1"/>
  <c i="18" r="CK33"/>
  <c i="18" r="AN113"/>
  <c i="18" r="AN139" s="1"/>
  <c i="18" r="CK47"/>
  <c i="18" r="AN127"/>
  <c i="18" r="AN153" s="1"/>
  <c i="18" r="CO42"/>
  <c i="18" r="AR122"/>
  <c i="18" r="AR148" s="1"/>
  <c i="18" r="CC49"/>
  <c i="18" r="AF129"/>
  <c i="18" r="AF155" s="1"/>
  <c i="18" r="BY45"/>
  <c i="18" r="AB125"/>
  <c i="18" r="AB151" s="1"/>
  <c i="18" r="CE31"/>
  <c i="18" r="AH111"/>
  <c i="18" r="AH137" s="1"/>
  <c i="18" r="CC35"/>
  <c i="18" r="AF115"/>
  <c i="18" r="AF141" s="1"/>
  <c i="18" r="CL36"/>
  <c i="18" r="AO116"/>
  <c i="18" r="AO142" s="1"/>
  <c i="18" r="CC34"/>
  <c i="18" r="AF114"/>
  <c i="18" r="AF140" s="1"/>
  <c i="18" r="CO33"/>
  <c i="18" r="AR113"/>
  <c i="18" r="AR139" s="1"/>
  <c i="18" r="CI47"/>
  <c i="18" r="AL127"/>
  <c i="18" r="AL153" s="1"/>
  <c i="18" r="CM42"/>
  <c i="18" r="AP122"/>
  <c i="18" r="AP148" s="1"/>
  <c i="18" r="CB35"/>
  <c i="18" r="AE115"/>
  <c i="18" r="AE141" s="1"/>
  <c i="1" r="CH28"/>
  <c i="18" r="N10" s="1"/>
  <c i="18" r="R10" s="1"/>
  <c i="18" r="AE10" s="1"/>
  <c i="18" r="J24"/>
  <c i="18" r="CJ49"/>
  <c i="18" r="AM129"/>
  <c i="18" r="AM155" s="1"/>
  <c i="18" r="CC45"/>
  <c i="18" r="AF125"/>
  <c i="18" r="AF151" s="1"/>
  <c i="18" r="CP31"/>
  <c i="18" r="AS111"/>
  <c i="18" r="AS137" s="1"/>
  <c i="18" r="AE110"/>
  <c i="18" r="AE136" s="1"/>
  <c i="18" r="CB30"/>
  <c i="18" r="BD51"/>
  <c i="18" r="CQ35"/>
  <c i="18" r="AT115"/>
  <c i="18" r="AT141" s="1"/>
  <c i="18" r="AV116"/>
  <c i="18" r="AV142" s="1"/>
  <c i="18" r="CE38"/>
  <c i="18" r="AH118"/>
  <c i="18" r="AH144" s="1"/>
  <c i="18" r="CN34"/>
  <c i="18" r="AQ114"/>
  <c i="18" r="AQ140" s="1"/>
  <c i="18" r="CE33"/>
  <c i="18" r="AH113"/>
  <c i="18" r="AH139" s="1"/>
  <c i="18" r="CO47"/>
  <c i="18" r="AR127"/>
  <c i="18" r="AR153" s="1"/>
  <c i="18" r="CE42"/>
  <c i="18" r="AH122"/>
  <c i="18" r="AH148" s="1"/>
  <c i="18" r="CQ49"/>
  <c i="18" r="AT129"/>
  <c i="18" r="AT155" s="1"/>
  <c i="18" r="CO49"/>
  <c i="18" r="AR129"/>
  <c i="18" r="AR155" s="1"/>
  <c i="18" r="CL45"/>
  <c i="18" r="AO125"/>
  <c i="18" r="AO151" s="1"/>
  <c i="18" r="CJ35"/>
  <c i="18" r="AM115"/>
  <c i="18" r="AM141" s="1"/>
  <c i="18" r="CM38"/>
  <c i="18" r="AP118"/>
  <c i="18" r="AP144" s="1"/>
  <c i="18" r="AV114"/>
  <c i="18" r="AV140" s="1"/>
  <c i="18" r="BY33"/>
  <c i="18" r="AB113"/>
  <c i="18" r="AB139" s="1"/>
  <c i="18" r="CC47"/>
  <c i="18" r="AF127"/>
  <c i="18" r="AF153" s="1"/>
  <c i="18" r="BZ42"/>
  <c i="18" r="AC122"/>
  <c i="18" r="AC148" s="1"/>
  <c i="18" r="BZ49"/>
  <c i="18" r="AC129"/>
  <c i="18" r="AC155" s="1"/>
  <c i="18" r="CJ45"/>
  <c i="18" r="AM125"/>
  <c i="18" r="AM151" s="1"/>
  <c i="18" r="CN30"/>
  <c i="18" r="AQ110"/>
  <c i="18" r="AQ136" s="1"/>
  <c i="18" r="BZ35"/>
  <c i="18" r="AC115"/>
  <c i="18" r="AC141" s="1"/>
  <c i="18" r="CP38"/>
  <c i="18" r="AS118"/>
  <c i="18" r="AS144" s="1"/>
  <c i="18" r="CF33"/>
  <c i="18" r="AI113"/>
  <c i="18" r="AI139" s="1"/>
  <c i="18" r="CF47"/>
  <c i="18" r="AI127"/>
  <c i="18" r="AI153" s="1"/>
  <c i="18" r="CH42"/>
  <c i="18" r="AK122"/>
  <c i="18" r="AK148" s="1"/>
  <c i="18" r="CP34"/>
  <c i="18" r="AS114"/>
  <c i="18" r="AS140" s="1"/>
  <c i="18" r="CI49"/>
  <c i="18" r="AL129"/>
  <c i="18" r="AL155" s="1"/>
  <c i="18" r="CG45"/>
  <c i="18" r="AJ125"/>
  <c i="18" r="AJ151" s="1"/>
  <c i="18" r="CG46"/>
  <c i="18" r="AJ126"/>
  <c i="18" r="AJ152" s="1"/>
  <c i="18" r="CE35"/>
  <c i="18" r="AH115"/>
  <c i="18" r="AH141" s="1"/>
  <c i="18" r="CC38"/>
  <c i="18" r="AF118"/>
  <c i="18" r="AF144" s="1"/>
  <c i="18" r="CL33"/>
  <c i="18" r="AO113"/>
  <c i="18" r="AO139" s="1"/>
  <c i="18" r="CC42"/>
  <c i="18" r="AF122"/>
  <c i="18" r="AF148" s="1"/>
  <c i="18" r="CG49"/>
  <c i="18" r="AJ129"/>
  <c i="18" r="AJ155" s="1"/>
  <c i="18" r="CN45"/>
  <c i="18" r="AQ125"/>
  <c i="18" r="AQ151" s="1"/>
  <c i="18" r="CB46"/>
  <c i="18" r="AE126"/>
  <c i="18" r="AE152" s="1"/>
  <c i="18" r="CN35"/>
  <c i="18" r="AQ115"/>
  <c i="18" r="AQ141" s="1"/>
  <c i="18" r="CH38"/>
  <c i="18" r="AK118"/>
  <c i="18" r="AK144" s="1"/>
  <c i="18" r="CB33"/>
  <c i="18" r="AE113"/>
  <c i="18" r="AE139" s="1"/>
  <c i="18" r="CE48"/>
  <c i="18" r="AH128"/>
  <c i="18" r="AH154" s="1"/>
  <c i="18" r="BX42"/>
  <c i="18" r="AA122"/>
  <c i="18" r="AA148" s="1"/>
  <c i="18" r="CM49"/>
  <c i="18" r="AP129"/>
  <c i="18" r="AP155" s="1"/>
  <c i="18" r="BZ45"/>
  <c i="18" r="AC125"/>
  <c i="18" r="AC151" s="1"/>
  <c i="18" r="CJ46"/>
  <c i="18" r="AM126"/>
  <c i="18" r="AM152" s="1"/>
  <c i="18" r="CD35"/>
  <c i="18" r="AG115"/>
  <c i="18" r="AG141" s="1"/>
  <c i="18" r="CD44"/>
  <c i="18" r="AG124"/>
  <c i="18" r="AG150" s="1"/>
  <c i="18" r="CK38"/>
  <c i="18" r="AN118"/>
  <c i="18" r="AN144" s="1"/>
  <c i="18" r="CG33"/>
  <c i="18" r="AJ113"/>
  <c i="18" r="AJ139" s="1"/>
  <c i="18" r="BZ48"/>
  <c i="18" r="AC128"/>
  <c i="18" r="AC154" s="1"/>
  <c i="18" r="CK42"/>
  <c i="18" r="AN122"/>
  <c i="18" r="AN148" s="1"/>
  <c i="18" r="BX47"/>
  <c i="18" r="AA127"/>
  <c i="18" r="AA153" s="1"/>
  <c i="18" r="CD49"/>
  <c i="18" r="AG129"/>
  <c i="18" r="AG155" s="1"/>
  <c i="18" r="BX45"/>
  <c i="18" r="AA125"/>
  <c i="18" r="AA151" s="1"/>
  <c i="18" r="CL46"/>
  <c i="18" r="AO126"/>
  <c i="18" r="AO152" s="1"/>
  <c i="18" r="BN51"/>
  <c i="18" r="CL30"/>
  <c i="18" r="AO110"/>
  <c i="18" r="AO136" s="1"/>
  <c i="18" r="CF35"/>
  <c i="18" r="AI115"/>
  <c i="18" r="AI141" s="1"/>
  <c i="18" r="CL44"/>
  <c i="18" r="AO124"/>
  <c i="18" r="AO150" s="1"/>
  <c i="18" r="BZ38"/>
  <c i="18" r="AC118"/>
  <c i="18" r="AC144" s="1"/>
  <c i="18" r="CP33"/>
  <c i="18" r="AS113"/>
  <c i="18" r="AS139" s="1"/>
  <c i="18" r="CL48"/>
  <c i="18" r="AO128"/>
  <c i="18" r="AO154" s="1"/>
  <c i="18" r="CP30"/>
  <c i="18" r="AS110"/>
  <c i="18" r="AS136" s="1"/>
  <c i="18" r="CD45"/>
  <c i="18" r="AG125"/>
  <c i="18" r="AG151" s="1"/>
  <c i="18" r="CQ46"/>
  <c i="18" r="AT126"/>
  <c i="18" r="AT152" s="1"/>
  <c i="18" r="AF110"/>
  <c i="18" r="AF136" s="1"/>
  <c i="18" r="CC30"/>
  <c i="18" r="BE51"/>
  <c i="18" r="CK35"/>
  <c i="18" r="AN115"/>
  <c i="18" r="AN141" s="1"/>
  <c i="18" r="CI44"/>
  <c i="18" r="AL124"/>
  <c i="18" r="AL150" s="1"/>
  <c i="18" r="CA38"/>
  <c i="18" r="AD118"/>
  <c i="18" r="AD144" s="1"/>
  <c i="18" r="CH33"/>
  <c i="18" r="AK113"/>
  <c i="18" r="AK139" s="1"/>
  <c i="18" r="CH48"/>
  <c i="18" r="AK128"/>
  <c i="18" r="AK154" s="1"/>
  <c i="18" r="CK32"/>
  <c i="18" r="AN112"/>
  <c i="18" r="AN138" s="1"/>
  <c i="1" r="CF42"/>
  <c i="18" r="L24" s="1"/>
  <c i="18" r="H24"/>
  <c i="18" r="CK45"/>
  <c i="18" r="AN125"/>
  <c i="18" r="AN151" s="1"/>
  <c i="18" r="CE46"/>
  <c i="18" r="AH126"/>
  <c i="18" r="AH152" s="1"/>
  <c i="18" r="BX35"/>
  <c i="18" r="AA115"/>
  <c i="18" r="AA141" s="1"/>
  <c i="18" r="BY44"/>
  <c i="18" r="AB124"/>
  <c i="18" r="AB150" s="1"/>
  <c i="18" r="CF38"/>
  <c i="18" r="AI118"/>
  <c i="18" r="AI144" s="1"/>
  <c i="18" r="CM33"/>
  <c i="18" r="AP113"/>
  <c i="18" r="AP139" s="1"/>
  <c i="18" r="CI48"/>
  <c i="18" r="AL128"/>
  <c i="18" r="AL154" s="1"/>
  <c i="18" r="CB32"/>
  <c i="18" r="AE112"/>
  <c i="18" r="AE138" s="1"/>
  <c i="18" r="CQ45"/>
  <c i="18" r="AT125"/>
  <c i="18" r="AT151" s="1"/>
  <c i="18" r="CM46"/>
  <c i="18" r="AP126"/>
  <c i="18" r="AP152" s="1"/>
  <c i="18" r="CA39"/>
  <c i="18" r="AD119"/>
  <c i="18" r="AD145" s="1"/>
  <c i="18" r="CO35"/>
  <c i="18" r="AR115"/>
  <c i="18" r="AR141" s="1"/>
  <c i="18" r="CG44"/>
  <c i="18" r="AJ124"/>
  <c i="18" r="AJ150" s="1"/>
  <c i="18" r="CN38"/>
  <c i="18" r="AQ118"/>
  <c i="18" r="AQ144" s="1"/>
  <c i="18" r="BZ33"/>
  <c i="18" r="AC113"/>
  <c i="18" r="AC139" s="1"/>
  <c i="18" r="CC48"/>
  <c i="18" r="AF128"/>
  <c i="18" r="AF154" s="1"/>
  <c i="18" r="BY32"/>
  <c i="18" r="AB112"/>
  <c i="18" r="AB138" s="1"/>
  <c i="18" r="CA33"/>
  <c i="18" r="AD113"/>
  <c i="18" r="AD139" s="1"/>
  <c i="18" r="CA45"/>
  <c i="18" r="AD125"/>
  <c i="18" r="AD151" s="1"/>
  <c i="18" r="CP46"/>
  <c i="18" r="AS126"/>
  <c i="18" r="AS152" s="1"/>
  <c i="18" r="CF41"/>
  <c i="18" r="AI121"/>
  <c i="18" r="AI147" s="1"/>
  <c i="18" r="CD39"/>
  <c i="18" r="AG119"/>
  <c i="18" r="AG145" s="1"/>
  <c i="18" r="CG35"/>
  <c i="18" r="AJ115"/>
  <c i="18" r="AJ141" s="1"/>
  <c i="18" r="CJ44"/>
  <c i="18" r="AM124"/>
  <c i="18" r="AM150" s="1"/>
  <c i="18" r="CQ38"/>
  <c i="18" r="AT118"/>
  <c i="18" r="AT144" s="1"/>
  <c i="18" r="CQ33"/>
  <c i="18" r="AT113"/>
  <c i="18" r="AT139" s="1"/>
  <c i="18" r="CJ48"/>
  <c i="18" r="AM128"/>
  <c i="18" r="AM154" s="1"/>
  <c i="18" r="CI32"/>
  <c i="18" r="AL112"/>
  <c i="18" r="AL138" s="1"/>
  <c i="18" r="CI45"/>
  <c i="18" r="AL125"/>
  <c i="18" r="AL151" s="1"/>
  <c i="18" r="CH45"/>
  <c i="18" r="AK125"/>
  <c i="18" r="AK151" s="1"/>
  <c i="18" r="CH46"/>
  <c i="18" r="AK126"/>
  <c i="18" r="AK152" s="1"/>
  <c i="18" r="CB41"/>
  <c i="18" r="AE121"/>
  <c i="18" r="AE147" s="1"/>
  <c i="18" r="CO39"/>
  <c i="18" r="AR119"/>
  <c i="18" r="AR145" s="1"/>
  <c i="18" r="CA35"/>
  <c i="18" r="AD115"/>
  <c i="18" r="AD141" s="1"/>
  <c i="18" r="CB44"/>
  <c i="18" r="AE124"/>
  <c i="18" r="AE150" s="1"/>
  <c i="18" r="CI38"/>
  <c i="18" r="AL118"/>
  <c i="18" r="AL144" s="1"/>
  <c i="18" r="CI33"/>
  <c i="18" r="AL113"/>
  <c i="18" r="AL139" s="1"/>
  <c i="18" r="CF48"/>
  <c i="18" r="AI128"/>
  <c i="18" r="AI154" s="1"/>
  <c i="18" r="CN32"/>
  <c i="18" r="AQ112"/>
  <c i="18" r="AQ138" s="1"/>
  <c i="18" r="CF37"/>
  <c i="18" r="AI117"/>
  <c i="18" r="AI143" s="1"/>
  <c i="18" r="CE45"/>
  <c i="18" r="AH125"/>
  <c i="18" r="AH151" s="1"/>
  <c i="18" r="BZ46"/>
  <c i="18" r="AC126"/>
  <c i="18" r="AC152" s="1"/>
  <c i="18" r="CM41"/>
  <c i="18" r="AP121"/>
  <c i="18" r="AP147" s="1"/>
  <c i="18" r="CL39"/>
  <c i="18" r="AO119"/>
  <c i="18" r="AO145" s="1"/>
  <c i="18" r="CL35"/>
  <c i="18" r="AO115"/>
  <c i="18" r="AO141" s="1"/>
  <c i="18" r="CP44"/>
  <c i="18" r="AS124"/>
  <c i="18" r="AS150" s="1"/>
  <c i="18" r="BX38"/>
  <c i="18" r="AA118"/>
  <c i="18" r="AA144" s="1"/>
  <c i="18" r="CC33"/>
  <c i="18" r="AF113"/>
  <c i="18" r="AF139" s="1"/>
  <c i="18" r="BX48"/>
  <c i="18" r="AA128"/>
  <c i="18" r="AA154" s="1"/>
  <c i="18" r="CQ32"/>
  <c i="18" r="AT112"/>
  <c i="18" r="AT138" s="1"/>
  <c i="18" r="CD36"/>
  <c i="18" r="AG116"/>
  <c i="18" r="AG142" s="1"/>
  <c i="18" r="CQ37"/>
  <c i="18" r="AT117"/>
  <c i="18" r="AT143" s="1"/>
  <c i="18" r="S64"/>
  <c i="18" r="X75"/>
  <c i="18" r="E76"/>
  <c i="18" r="W57"/>
  <c i="18" r="D60"/>
  <c i="18" r="M67"/>
  <c i="18" r="V74"/>
  <c i="18" r="N60"/>
  <c i="18" r="G62"/>
  <c i="18" r="P69"/>
  <c i="18" r="G57"/>
  <c i="18" r="M63"/>
  <c i="18" r="O75"/>
  <c i="18" r="D66"/>
  <c i="18" r="R69"/>
  <c i="18" r="Q66"/>
  <c i="18" r="P59"/>
  <c i="18" r="R61"/>
  <c i="18" r="M78"/>
  <c i="18" r="BJ59" s="1"/>
  <c i="18" r="N58"/>
  <c i="18" r="R74"/>
  <c i="18" r="N76"/>
  <c i="18" r="K71"/>
  <c i="18" r="K58"/>
  <c i="18" r="U78"/>
  <c i="18" r="BR59" s="1"/>
  <c i="18" r="Q62"/>
  <c i="18" r="X60"/>
  <c i="18" r="O66"/>
  <c i="18" r="Q57"/>
  <c i="18" r="R77"/>
  <c i="18" r="W77"/>
  <c i="18" r="E58"/>
  <c i="18" r="I58"/>
  <c i="18" r="R59"/>
  <c i="18" r="BU57"/>
  <c i="18" r="E72"/>
  <c i="18" r="D78"/>
  <c i="18" r="BA59" s="1"/>
  <c i="18" r="V58"/>
  <c i="18" r="T62"/>
  <c i="18" r="K68"/>
  <c i="18" r="R57"/>
  <c i="18" r="O57"/>
  <c i="18" r="T57"/>
  <c i="18" r="W59"/>
  <c i="18" r="R63"/>
  <c i="18" r="E71"/>
  <c i="18" r="N78"/>
  <c i="18" r="BK59" s="1"/>
  <c i="18" r="F64"/>
  <c i="18" r="K60"/>
  <c i="18" r="H60"/>
  <c i="18" r="E74"/>
  <c i="18" r="C76"/>
  <c i="18" r="P60"/>
  <c i="18" r="T71"/>
  <c i="18" r="N61"/>
  <c i="18" r="E57"/>
  <c i="18" r="W78"/>
  <c i="18" r="BT59" s="1"/>
  <c i="18" r="R60"/>
  <c i="18" r="I66"/>
  <c i="18" r="P64"/>
  <c i="18" r="G70"/>
  <c i="18" r="L59"/>
  <c i="18" r="O59"/>
  <c i="18" r="X65"/>
  <c i="18" r="Q67"/>
  <c i="18" r="X73"/>
  <c i="18" r="I60"/>
  <c i="18" r="M76"/>
  <c i="18" r="N62"/>
  <c i="18" r="E68"/>
  <c i="18" r="L66"/>
  <c i="18" r="C72"/>
  <c i="18" r="H61"/>
  <c i="18" r="K61"/>
  <c i="18" r="P61"/>
  <c i="18" r="O63"/>
  <c i="18" r="J67"/>
  <c i="18" r="S74"/>
  <c i="18" r="F61"/>
  <c i="18" r="L78"/>
  <c i="18" r="BI59" s="1"/>
  <c i="18" r="W64"/>
  <c i="18" r="R67"/>
  <c i="18" r="U69"/>
  <c i="18" r="K70"/>
  <c i="18" r="N74"/>
  <c i="18" r="C63"/>
  <c i="18" r="T76"/>
  <c i="18" r="C78"/>
  <c i="18" r="AZ59" s="1"/>
  <c i="18" r="I70"/>
  <c i="18" r="O61"/>
  <c i="18" r="J64"/>
  <c i="18" r="W69"/>
  <c i="18" r="H68"/>
  <c i="18" r="U73"/>
  <c i="18" r="D63"/>
  <c i="18" r="G63"/>
  <c i="18" r="L63"/>
  <c i="18" r="K65"/>
  <c i="18" r="F69"/>
  <c i="18" r="O76"/>
  <c i="18" r="E70"/>
  <c i="18" r="I65"/>
  <c i="18" r="J63"/>
  <c i="18" r="Q71"/>
  <c i="18" r="I78"/>
  <c i="18" r="BF59" s="1"/>
  <c i="18" r="F73"/>
  <c i="18" r="H59"/>
  <c i="18" r="K69"/>
  <c i="18" r="Q77"/>
  <c i="18" r="C73"/>
  <c i="18" r="D58"/>
  <c i="18" r="I62"/>
  <c i="18" r="D71"/>
  <c i="18" r="J65"/>
  <c i="18" r="G73"/>
  <c i="18" r="U76"/>
  <c i="18" r="S58"/>
  <c i="18" r="F66"/>
  <c i="18" r="S71"/>
  <c i="18" r="D70"/>
  <c i="18" r="Q75"/>
  <c i="18" r="V64"/>
  <c i="18" r="C65"/>
  <c i="18" r="H65"/>
  <c i="18" r="G67"/>
  <c i="18" r="X70"/>
  <c i="18" r="K78"/>
  <c i="18" r="BH59" s="1"/>
  <c i="18" r="C64"/>
  <c i="18" r="L71"/>
  <c i="18" r="U70"/>
  <c i="18" r="R65"/>
  <c i="18" r="V73"/>
  <c i="18" r="X69"/>
  <c i="18" r="V65"/>
  <c i="18" r="N77"/>
  <c i="18" r="N69"/>
  <c i="18" r="R72"/>
  <c i="18" r="G72"/>
  <c i="18" r="U64"/>
  <c i="18" r="V57"/>
  <c i="18" r="M60"/>
  <c i="18" r="F74"/>
  <c i="18" r="N63"/>
  <c i="18" r="Q78"/>
  <c i="18" r="BN59" s="1"/>
  <c i="18" r="O60"/>
  <c i="18" r="X67"/>
  <c i="18" r="O73"/>
  <c i="18" r="V71"/>
  <c i="18" r="M77"/>
  <c i="18" r="R66"/>
  <c i="18" r="U66"/>
  <c i="18" r="D67"/>
  <c i="18" r="C69"/>
  <c i="18" r="T72"/>
  <c i="18" r="L58"/>
  <c i="18" r="U65"/>
  <c i="18" r="H73"/>
  <c i="18" r="V68"/>
  <c i="18" r="E73"/>
  <c i="18" r="H67"/>
  <c i="18" r="Q74"/>
  <c i="18" r="H64"/>
  <c i="18" r="K77"/>
  <c i="18" r="J71"/>
  <c i="18" r="X66"/>
  <c i="18" r="O67"/>
  <c i="18" r="D61"/>
  <c i="18" r="P65"/>
  <c i="18" r="L67"/>
  <c i="18" r="V59"/>
  <c i="18" r="Q76"/>
  <c i="18" r="N59"/>
  <c i="18" r="G75"/>
  <c i="18" r="K62"/>
  <c i="18" r="T69"/>
  <c i="18" r="K75"/>
  <c i="18" r="R73"/>
  <c i="18" r="J57"/>
  <c i="18" r="N68"/>
  <c i="18" r="Q68"/>
  <c i="18" r="D75"/>
  <c i="18" r="K64"/>
  <c i="18" r="S65"/>
  <c i="18" r="T68"/>
  <c i="18" r="G76"/>
  <c i="18" r="G71"/>
  <c i="18" r="R64"/>
  <c i="18" r="G64"/>
  <c i="18" r="P71"/>
  <c i="18" r="G77"/>
  <c i="18" r="N75"/>
  <c i="18" r="U77"/>
  <c i="18" r="J70"/>
  <c i="18" r="M70"/>
  <c i="18" r="R70"/>
  <c i="18" r="Q72"/>
  <c i="18" r="L76"/>
  <c i="18" r="D62"/>
  <c i="18" r="M69"/>
  <c i="18" r="X25" s="1"/>
  <c i="18" r="V76"/>
  <c i="18" r="H75"/>
  <c i="18" r="J74"/>
  <c i="18" r="C71"/>
  <c i="18" r="W71"/>
  <c i="18" r="E67"/>
  <c i="18" r="P73"/>
  <c i="18" r="E62"/>
  <c i="18" r="K59"/>
  <c i="18" r="S70"/>
  <c i="18" r="H57"/>
  <c i="18" r="F60"/>
  <c i="18" r="P70"/>
  <c i="18" r="P78"/>
  <c i="18" r="BM59" s="1"/>
  <c i="18" r="H74"/>
  <c i="18" r="H69"/>
  <c i="18" r="S57"/>
  <c i="18" r="M65"/>
  <c i="18" r="X68"/>
  <c i="18" r="C66"/>
  <c i="18" r="L73"/>
  <c i="18" r="D57"/>
  <c i="18" r="J77"/>
  <c i="18" r="J59"/>
  <c i="18" r="F72"/>
  <c i="18" r="I72"/>
  <c i="18" r="N72"/>
  <c i="18" r="M74"/>
  <c i="18" r="H78"/>
  <c i="18" r="BE59" s="1"/>
  <c i="18" r="V63"/>
  <c i="18" r="I71"/>
  <c i="18" r="R78"/>
  <c i="18" r="BO59" s="1"/>
  <c i="18" r="U67"/>
  <c i="18" r="I76"/>
  <c i="18" r="T58"/>
  <c i="18" r="F68"/>
  <c i="18" r="E63"/>
  <c i="18" r="D64"/>
  <c i="18" r="K57"/>
  <c i="18" r="V70"/>
  <c i="18" r="I75"/>
  <c i="18" r="X74"/>
  <c i="18" r="L72"/>
  <c i="18" r="N66"/>
  <c i="18" r="D74"/>
  <c i="18" r="T77"/>
  <c i="18" r="M58"/>
  <c i="18" r="L75"/>
  <c i="18" r="J58"/>
  <c i="18" r="C74"/>
  <c i="18" r="U75"/>
  <c i="18" r="M68"/>
  <c i="18" r="X24" s="1"/>
  <c i="18" r="W65"/>
  <c i="18" r="J60"/>
  <c i="18" r="E69"/>
  <c i="18" r="O69"/>
  <c i="18" r="S72"/>
  <c i="18" r="Q69"/>
  <c i="18" r="D77"/>
  <c i="18" r="S68"/>
  <c i="18" r="G59"/>
  <c i="18" r="X62"/>
  <c i="18" r="T75"/>
  <c i="18" r="W75"/>
  <c i="18" r="F76"/>
  <c i="18" r="E78"/>
  <c i="18" r="BB59" s="1"/>
  <c i="18" r="E60"/>
  <c i="18" r="N67"/>
  <c i="18" r="W74"/>
  <c i="18" r="P76"/>
  <c i="18" r="O72"/>
  <c i="18" r="K74"/>
  <c i="18" r="F78"/>
  <c i="18" r="BC59" s="1"/>
  <c i="18" r="T63"/>
  <c i="18" r="G58"/>
  <c i="18" r="C60"/>
  <c i="18" r="V77"/>
  <c i="18" r="Q63"/>
  <c i="18" r="I67"/>
  <c i="18" r="S67"/>
  <c i="18" r="F62"/>
  <c i="18" r="W70"/>
  <c i="18" r="M71"/>
  <c i="18" r="V78"/>
  <c i="18" r="BS59" s="1"/>
  <c i="18" r="D59"/>
  <c i="18" r="C61"/>
  <c i="18" r="T64"/>
  <c i="18" r="P77"/>
  <c i="18" r="S77"/>
  <c i="18" r="X77"/>
  <c i="18" r="X57"/>
  <c i="18" r="W61"/>
  <c i="18" r="J69"/>
  <c i="18" r="S76"/>
  <c i="18" r="Q61"/>
  <c i="18" r="R75"/>
  <c i="18" r="I73"/>
  <c i="18" r="E65"/>
  <c i="18" r="V60"/>
  <c i="18" r="U62"/>
  <c i="18" r="P66"/>
  <c i="18" r="M57"/>
  <c i="18" r="P57"/>
  <c i="18" r="U57"/>
  <c i="18" r="F58"/>
  <c i="18" r="S63"/>
  <c i="18" r="F71"/>
  <c i="18" r="O78"/>
  <c i="18" r="BL59" s="1"/>
  <c i="18" r="L60"/>
  <c i="18" r="G69"/>
  <c i="18" r="U72"/>
  <c i="18" r="H77"/>
  <c i="18" r="N71"/>
  <c i="18" r="E75"/>
  <c i="18" r="W58"/>
  <c i="18" r="R62"/>
  <c i="18" r="Q64"/>
  <c i="18" r="L68"/>
  <c i="18" r="I63"/>
  <c i="18" r="O70"/>
  <c i="18" r="C58"/>
  <c i="18" r="X59"/>
  <c i="18" r="O65"/>
  <c i="18" r="X72"/>
  <c i="18" r="P58"/>
  <c i="18" r="H62"/>
  <c i="18" r="S73"/>
  <c i="18" r="W63"/>
  <c i="18" r="V67"/>
  <c i="18" r="X61"/>
  <c i="18" r="C57"/>
  <c i="18" r="Q58"/>
  <c i="18" r="D76"/>
  <c i="18" r="Q59"/>
  <c i="18" r="X63"/>
  <c i="18" r="P67"/>
  <c i="18" r="W76"/>
  <c i="18" r="S60"/>
  <c i="18" r="N64"/>
  <c i="18" r="M66"/>
  <c i="18" r="H70"/>
  <c i="18" r="M59"/>
  <c i="18" r="H63"/>
  <c i="18" r="U59"/>
  <c i="18" r="T61"/>
  <c i="18" r="K67"/>
  <c i="18" r="T74"/>
  <c i="18" r="L62"/>
  <c i="18" r="S66"/>
  <c i="18" r="M73"/>
  <c i="18" r="M61"/>
  <c i="18" r="N57"/>
  <c i="18" r="U61"/>
  <c i="18" r="E64"/>
  <c i="18" r="V72"/>
  <c i="18" r="K63"/>
  <c i="18" r="S78"/>
  <c i="18" r="BP59" s="1"/>
  <c i="18" r="O62"/>
  <c i="18" r="J66"/>
  <c i="18" r="I68"/>
  <c i="18" r="D72"/>
  <c i="18" r="I61"/>
  <c i="18" r="W66"/>
  <c i="18" r="P63"/>
  <c i="18" r="W68"/>
  <c i="18" r="W62"/>
  <c i="18" r="R58"/>
  <c i="18" r="H58"/>
  <c i="18" r="O68"/>
  <c i="18" r="F65"/>
  <c i="18" r="Q65"/>
  <c i="18" r="G61"/>
  <c i="18" r="J76"/>
  <c i="18" r="E77"/>
  <c i="18" r="D73"/>
  <c i="18" r="J73"/>
  <c i="18" r="V62"/>
  <c i="18" r="I74"/>
  <c i="18" r="F75"/>
  <c i="18" r="X58"/>
  <c i="18" r="E59"/>
  <c i="18" r="X76"/>
  <c i="18" r="T60"/>
  <c i="18" r="W60"/>
  <c i="18" r="U74"/>
  <c i="18" r="J72"/>
  <c i="18" r="T78"/>
  <c i="18" r="BQ59" s="1"/>
  <c i="18" r="P62"/>
  <c i="18" r="S62"/>
  <c i="18" r="J68"/>
  <c i="18" r="C59"/>
  <c i="18" r="U58"/>
  <c i="18" r="L64"/>
  <c i="18" r="O64"/>
  <c i="18" r="F70"/>
  <c i="18" r="W73"/>
  <c i="18" r="K72"/>
  <c i="18" r="Q60"/>
  <c i="18" r="H66"/>
  <c i="18" r="K66"/>
  <c i="18" r="X71"/>
  <c i="18" r="S75"/>
  <c i="18" r="S59"/>
  <c i="18" r="M62"/>
  <c i="18" r="D68"/>
  <c i="18" r="G68"/>
  <c i="18" r="T73"/>
  <c i="18" r="O77"/>
  <c i="18" r="J61"/>
  <c i="18" r="I64"/>
  <c i="18" r="V69"/>
  <c i="18" r="C70"/>
  <c i="18" r="P75"/>
  <c i="18" r="L57"/>
  <c i="18" r="F63"/>
  <c i="18" r="F67"/>
  <c i="18" r="E66"/>
  <c i="18" r="R71"/>
  <c i="18" r="U71"/>
  <c i="18" r="L77"/>
  <c i="18" r="L61"/>
  <c i="18" r="X64"/>
  <c i="18" r="G65"/>
  <c i="18" r="J78"/>
  <c i="18" r="BG59" s="1"/>
  <c i="18" r="W67"/>
  <c i="18" r="N73"/>
  <c i="18" r="Q73"/>
  <c i="18" r="I57"/>
  <c i="18" r="D65"/>
  <c i="18" r="T66"/>
  <c i="18" r="C67"/>
  <c i="18" r="T70"/>
  <c i="18" r="T65"/>
  <c i="18" r="S69"/>
  <c i="18" r="J75"/>
  <c i="18" r="M75"/>
  <c i="18" r="G74"/>
  <c i="18" r="V66"/>
  <c i="18" r="P68"/>
  <c i="18" r="U68"/>
  <c i="18" r="P72"/>
  <c i="18" r="O74"/>
  <c i="18" r="G60"/>
  <c i="18" r="C75"/>
  <c i="18" r="O71"/>
  <c i="18" r="F77"/>
  <c i="18" r="I77"/>
  <c i="18" r="I59"/>
  <c i="18" r="R68"/>
  <c i="18" r="L70"/>
  <c i="18" r="Q70"/>
  <c i="18" r="L74"/>
  <c i="18" r="K76"/>
  <c i="18" r="C62"/>
  <c i="18" r="L69"/>
  <c i="18" r="K73"/>
  <c i="18" r="X78"/>
  <c i="18" r="BU59" s="1"/>
  <c i="18" r="F57"/>
  <c i="18" r="E61"/>
  <c i="18" r="N70"/>
  <c i="18" r="H72"/>
  <c i="18" r="M72"/>
  <c i="18" r="H76"/>
  <c i="18" r="G78"/>
  <c i="18" r="BD59" s="1"/>
  <c i="18" r="U63"/>
  <c i="18" r="H71"/>
  <c i="18" r="CC46"/>
  <c i="18" r="AF126"/>
  <c i="18" r="AF152" s="1"/>
  <c i="18" r="CQ41"/>
  <c i="18" r="AT121"/>
  <c i="18" r="AT147" s="1"/>
  <c i="18" r="CH39"/>
  <c i="18" r="AK119"/>
  <c i="18" r="AK145" s="1"/>
  <c i="18" r="CE44"/>
  <c i="18" r="AH124"/>
  <c i="18" r="AH150" s="1"/>
  <c i="18" r="CD38"/>
  <c i="18" r="AG118"/>
  <c i="18" r="AG144" s="1"/>
  <c i="18" r="CQ43"/>
  <c i="18" r="AT123"/>
  <c i="18" r="AT149" s="1"/>
  <c i="18" r="CN33"/>
  <c i="18" r="AQ113"/>
  <c i="18" r="AQ139" s="1"/>
  <c i="18" r="CP48"/>
  <c i="18" r="AS128"/>
  <c i="18" r="AS154" s="1"/>
  <c i="18" r="CF32"/>
  <c i="18" r="AI112"/>
  <c i="18" r="AI138" s="1"/>
  <c i="18" r="BZ37"/>
  <c i="18" r="AC117"/>
  <c i="18" r="AC143" s="1"/>
  <c i="18" r="CK46"/>
  <c i="18" r="AN126"/>
  <c i="18" r="AN152" s="1"/>
  <c i="18" r="CJ41"/>
  <c i="18" r="AM121"/>
  <c i="18" r="AM147" s="1"/>
  <c i="18" r="CE39"/>
  <c i="18" r="AH119"/>
  <c i="18" r="AH145" s="1"/>
  <c i="18" r="CM44"/>
  <c i="18" r="AP124"/>
  <c i="18" r="AP150" s="1"/>
  <c i="18" r="CL38"/>
  <c i="18" r="AO118"/>
  <c i="18" r="AO144" s="1"/>
  <c i="18" r="CD43"/>
  <c i="18" r="AG123"/>
  <c i="18" r="AG149" s="1"/>
  <c i="18" r="AV113"/>
  <c i="18" r="AV139" s="1"/>
  <c i="18" r="CA48"/>
  <c i="18" r="AD128"/>
  <c i="18" r="AD154" s="1"/>
  <c i="18" r="CC32"/>
  <c i="18" r="AF112"/>
  <c i="18" r="AF138" s="1"/>
  <c i="18" r="CN37"/>
  <c i="18" r="AQ117"/>
  <c i="18" r="AQ143" s="1"/>
  <c i="18" r="CC40"/>
  <c i="18" r="AF120"/>
  <c i="18" r="AF146" s="1"/>
  <c i="18" r="BX46"/>
  <c i="18" r="AA126"/>
  <c i="18" r="AA152" s="1"/>
  <c i="18" r="CC41"/>
  <c i="18" r="AF121"/>
  <c i="18" r="AF147" s="1"/>
  <c i="18" r="CI39"/>
  <c i="18" r="AL119"/>
  <c i="18" r="AL145" s="1"/>
  <c i="18" r="BZ44"/>
  <c i="18" r="AC124"/>
  <c i="18" r="AC150" s="1"/>
  <c i="18" r="CG38"/>
  <c i="18" r="AJ118"/>
  <c i="18" r="AJ144" s="1"/>
  <c i="18" r="BY43"/>
  <c i="18" r="AB123"/>
  <c i="18" r="AB149" s="1"/>
  <c i="18" r="CM48"/>
  <c i="18" r="AP128"/>
  <c i="18" r="AP154" s="1"/>
  <c i="18" r="BZ32"/>
  <c i="18" r="AC112"/>
  <c i="18" r="AC138" s="1"/>
  <c i="18" r="BY31"/>
  <c i="18" r="AB111"/>
  <c i="18" r="AB137" s="1"/>
  <c i="18" r="CB37"/>
  <c i="18" r="AE117"/>
  <c i="18" r="AE143" s="1"/>
  <c i="18" r="CK40"/>
  <c i="18" r="AN120"/>
  <c i="18" r="AN146" s="1"/>
  <c i="18" r="CN46"/>
  <c i="18" r="AQ126"/>
  <c i="18" r="AQ152" s="1"/>
  <c i="18" r="CG41"/>
  <c i="18" r="AJ121"/>
  <c i="18" r="AJ147" s="1"/>
  <c i="18" r="BY39"/>
  <c i="18" r="AB119"/>
  <c i="18" r="AB145" s="1"/>
  <c i="18" r="CH44"/>
  <c i="18" r="AK124"/>
  <c i="18" r="AK150" s="1"/>
  <c i="18" r="CB38"/>
  <c i="18" r="AE118"/>
  <c i="18" r="AE144" s="1"/>
  <c i="18" r="CK43"/>
  <c i="18" r="AN123"/>
  <c i="18" r="AN149" s="1"/>
  <c i="18" r="CD48"/>
  <c i="18" r="AG128"/>
  <c i="18" r="AG154" s="1"/>
  <c i="18" r="CG32"/>
  <c i="18" r="AJ112"/>
  <c i="18" r="AJ138" s="1"/>
  <c i="18" r="CG37"/>
  <c i="18" r="AJ117"/>
  <c i="18" r="AJ143" s="1"/>
  <c i="18" r="CN40"/>
  <c i="18" r="AQ120"/>
  <c i="18" r="AQ146" s="1"/>
  <c i="18" r="CF46"/>
  <c i="18" r="AI126"/>
  <c i="18" r="AI152" s="1"/>
  <c i="18" r="BY41"/>
  <c i="18" r="AB121"/>
  <c i="18" r="AB147" s="1"/>
  <c i="18" r="CP39"/>
  <c i="18" r="AS119"/>
  <c i="18" r="AS145" s="1"/>
  <c i="18" r="CK44"/>
  <c i="18" r="AN124"/>
  <c i="18" r="AN150" s="1"/>
  <c i="18" r="CO38"/>
  <c i="18" r="AR118"/>
  <c i="18" r="AR144" s="1"/>
  <c i="18" r="CH43"/>
  <c i="18" r="AK123"/>
  <c i="18" r="AK149" s="1"/>
  <c i="18" r="CK48"/>
  <c i="18" r="AN128"/>
  <c i="18" r="AN154" s="1"/>
  <c i="18" r="CL32"/>
  <c i="18" r="AO112"/>
  <c i="18" r="AO138" s="1"/>
  <c i="1" r="BE89"/>
  <c i="1" r="BH93"/>
  <c i="18" r="CK37"/>
  <c i="18" r="AN117"/>
  <c i="18" r="AN143" s="1"/>
  <c i="18" r="CA40"/>
  <c i="18" r="AD120"/>
  <c i="18" r="AD146" s="1"/>
  <c i="18" r="CI46"/>
  <c i="18" r="AL126"/>
  <c i="18" r="AL152" s="1"/>
  <c i="18" r="CN41"/>
  <c i="18" r="AQ121"/>
  <c i="18" r="AQ147" s="1"/>
  <c i="18" r="CM39"/>
  <c i="18" r="AP119"/>
  <c i="18" r="AP145" s="1"/>
  <c i="18" r="CN44"/>
  <c i="18" r="AQ124"/>
  <c i="18" r="AQ150" s="1"/>
  <c i="18" r="BY38"/>
  <c i="18" r="AB118"/>
  <c i="18" r="AB144" s="1"/>
  <c i="18" r="CA43"/>
  <c i="18" r="AD123"/>
  <c i="18" r="AD149" s="1"/>
  <c i="18" r="CN48"/>
  <c i="18" r="AQ128"/>
  <c i="18" r="AQ154" s="1"/>
  <c i="18" r="CO32"/>
  <c i="18" r="AR112"/>
  <c i="18" r="AR138" s="1"/>
  <c i="1" r="AY104"/>
  <c i="1" r="BF103"/>
  <c i="1" r="BF93"/>
  <c i="1" r="BD95"/>
  <c i="1" r="CG22"/>
  <c i="18" r="M4" s="1"/>
  <c i="18" r="I24"/>
  <c i="18" r="CA37"/>
  <c i="18" r="AD117"/>
  <c i="18" r="AD143" s="1"/>
  <c i="18" r="CF40"/>
  <c i="18" r="AI120"/>
  <c i="18" r="AI146" s="1"/>
  <c i="18" r="CA46"/>
  <c i="18" r="AD126"/>
  <c i="18" r="AD152" s="1"/>
  <c i="18" r="CK41"/>
  <c i="18" r="AN121"/>
  <c i="18" r="AN147" s="1"/>
  <c i="18" r="CF39"/>
  <c i="18" r="AI119"/>
  <c i="18" r="AI145" s="1"/>
  <c i="18" r="CO44"/>
  <c i="18" r="AR124"/>
  <c i="18" r="AR150" s="1"/>
  <c i="18" r="CJ38"/>
  <c i="18" r="AM118"/>
  <c i="18" r="AM144" s="1"/>
  <c i="18" r="CE43"/>
  <c i="18" r="AH123"/>
  <c i="18" r="AH149" s="1"/>
  <c i="18" r="CQ48"/>
  <c i="18" r="AT128"/>
  <c i="18" r="AT154" s="1"/>
  <c i="18" r="CD32"/>
  <c i="18" r="AG112"/>
  <c i="18" r="AG138" s="1"/>
  <c i="1" r="BD108"/>
  <c i="1" r="BI95"/>
  <c i="1" r="BS92"/>
  <c i="1" r="BI98"/>
  <c i="1" r="BQ105"/>
  <c i="1" r="BB96"/>
  <c i="1" r="AZ97"/>
  <c i="18" r="CO37"/>
  <c i="18" r="AR117"/>
  <c i="18" r="AR143" s="1"/>
  <c i="18" r="CI40"/>
  <c i="18" r="AL120"/>
  <c i="18" r="AL146" s="1"/>
  <c i="18" r="CO46"/>
  <c i="18" r="AR126"/>
  <c i="18" r="AR152" s="1"/>
  <c i="18" r="BZ41"/>
  <c i="18" r="AC121"/>
  <c i="18" r="AC147" s="1"/>
  <c i="18" r="BX39"/>
  <c i="18" r="AA119"/>
  <c i="18" r="AA145" s="1"/>
  <c i="18" r="CG36"/>
  <c i="18" r="AJ116"/>
  <c i="18" r="AJ142" s="1"/>
  <c i="18" r="CC44"/>
  <c i="18" r="AF124"/>
  <c i="18" r="AF150" s="1"/>
  <c i="18" r="AV118"/>
  <c i="18" r="AV144" s="1"/>
  <c i="18" r="CO43"/>
  <c i="18" r="AR123"/>
  <c i="18" r="AR149" s="1"/>
  <c i="18" r="CG48"/>
  <c i="18" r="AJ128"/>
  <c i="18" r="AJ154" s="1"/>
  <c i="18" r="CJ32"/>
  <c i="18" r="AM112"/>
  <c i="18" r="AM138" s="1"/>
  <c i="1" r="BG106"/>
  <c i="1" r="BI108"/>
  <c i="1" r="BM107"/>
  <c i="1" r="AX89"/>
  <c i="1" r="AX97"/>
  <c i="18" r="CH37"/>
  <c i="18" r="AK117"/>
  <c i="18" r="AK143" s="1"/>
  <c i="18" r="BY40"/>
  <c i="18" r="AB120"/>
  <c i="18" r="AB146" s="1"/>
  <c i="18" r="AO111"/>
  <c i="18" r="AO137" s="1"/>
  <c i="18" r="CL31"/>
  <c i="18" r="CD46"/>
  <c i="18" r="AG126"/>
  <c i="18" r="AG152" s="1"/>
  <c i="18" r="CD41"/>
  <c i="18" r="AG121"/>
  <c i="18" r="AG147" s="1"/>
  <c i="18" r="CJ39"/>
  <c i="18" r="AM119"/>
  <c i="18" r="AM145" s="1"/>
  <c i="18" r="BX36"/>
  <c i="18" r="AA116"/>
  <c i="18" r="AA142" s="1"/>
  <c i="18" r="CQ44"/>
  <c i="18" r="AT124"/>
  <c i="18" r="AT150" s="1"/>
  <c i="18" r="CI34"/>
  <c i="18" r="AL114"/>
  <c i="18" r="AL140" s="1"/>
  <c i="18" r="BZ43"/>
  <c i="18" r="AC123"/>
  <c i="18" r="AC149" s="1"/>
  <c i="18" r="CO48"/>
  <c i="18" r="AR128"/>
  <c i="18" r="AR154" s="1"/>
  <c i="18" r="CA32"/>
  <c i="18" r="AD112"/>
  <c i="18" r="AD138" s="1"/>
  <c i="1" r="BI109"/>
  <c i="1" r="BL89"/>
  <c i="1" r="AZ108"/>
  <c i="18" r="BX37"/>
  <c i="18" r="AA117"/>
  <c i="18" r="AA143" s="1"/>
  <c i="18" r="CD40"/>
  <c i="18" r="AG120"/>
  <c i="18" r="AG146" s="1"/>
  <c i="18" r="BZ31"/>
  <c i="18" r="AC111"/>
  <c i="18" r="AC137" s="1"/>
  <c i="18" r="BY46"/>
  <c i="18" r="AB126"/>
  <c i="18" r="AB152" s="1"/>
  <c i="18" r="CH41"/>
  <c i="18" r="AK121"/>
  <c i="18" r="AK147" s="1"/>
  <c i="18" r="CB39"/>
  <c i="18" r="AE119"/>
  <c i="18" r="AE145" s="1"/>
  <c i="18" r="CO36"/>
  <c i="18" r="AR116"/>
  <c i="18" r="AR142" s="1"/>
  <c i="18" r="BX44"/>
  <c i="18" r="AA124"/>
  <c i="18" r="AA150" s="1"/>
  <c i="18" r="BZ34"/>
  <c i="18" r="AC114"/>
  <c i="18" r="AC140" s="1"/>
  <c i="18" r="CN43"/>
  <c i="18" r="AQ123"/>
  <c i="18" r="AQ149" s="1"/>
  <c i="18" r="BY48"/>
  <c i="18" r="AB128"/>
  <c i="18" r="AB154" s="1"/>
  <c i="18" r="BX32"/>
  <c i="18" r="AA112"/>
  <c i="18" r="AA138" s="1"/>
  <c i="1" r="BM108"/>
  <c i="1" r="BG98"/>
  <c i="1" r="BL100"/>
  <c i="1" r="BJ102"/>
  <c i="18" r="CC37"/>
  <c i="18" r="AF117"/>
  <c i="18" r="AF143" s="1"/>
  <c i="18" r="CP40"/>
  <c i="18" r="AS120"/>
  <c i="18" r="AS146" s="1"/>
  <c i="18" r="CC31"/>
  <c i="18" r="AF111"/>
  <c i="18" r="AF137" s="1"/>
  <c i="18" r="CO41"/>
  <c i="18" r="AR121"/>
  <c i="18" r="AR147" s="1"/>
  <c i="18" r="CQ39"/>
  <c i="18" r="AT119"/>
  <c i="18" r="AT145" s="1"/>
  <c i="18" r="CE36"/>
  <c i="18" r="AH116"/>
  <c i="18" r="AH142" s="1"/>
  <c i="18" r="CF44"/>
  <c i="18" r="AI124"/>
  <c i="18" r="AI150" s="1"/>
  <c i="18" r="CQ34"/>
  <c i="18" r="AT114"/>
  <c i="18" r="AT140" s="1"/>
  <c i="18" r="CL43"/>
  <c i="18" r="AO123"/>
  <c i="18" r="AO149" s="1"/>
  <c i="18" r="CM47"/>
  <c i="18" r="AP127"/>
  <c i="18" r="AP153" s="1"/>
  <c i="18" r="CB48"/>
  <c i="18" r="AE128"/>
  <c i="18" r="AE154" s="1"/>
  <c i="18" r="CM32"/>
  <c i="18" r="AP112"/>
  <c i="18" r="AP138" s="1"/>
  <c i="1" r="AX100"/>
  <c i="1" r="BF101"/>
  <c i="1" r="BD93"/>
  <c i="18" r="CL37"/>
  <c i="18" r="AO117"/>
  <c i="18" r="AO143" s="1"/>
  <c i="18" r="CL40"/>
  <c i="18" r="AO120"/>
  <c i="18" r="AO146" s="1"/>
  <c i="18" r="CF31"/>
  <c i="18" r="AI111"/>
  <c i="18" r="AI137" s="1"/>
  <c i="18" r="BX41"/>
  <c i="18" r="AA121"/>
  <c i="18" r="AA147" s="1"/>
  <c i="18" r="CG39"/>
  <c i="18" r="AJ119"/>
  <c i="18" r="AJ145" s="1"/>
  <c i="18" r="CJ36"/>
  <c i="18" r="AM116"/>
  <c i="18" r="AM142" s="1"/>
  <c i="18" r="CA44"/>
  <c i="18" r="AD124"/>
  <c i="18" r="AD150" s="1"/>
  <c i="18" r="CG34"/>
  <c i="18" r="AJ114"/>
  <c i="18" r="AJ140" s="1"/>
  <c i="18" r="CI43"/>
  <c i="18" r="AL123"/>
  <c i="18" r="AL149" s="1"/>
  <c i="18" r="BZ47"/>
  <c i="18" r="AC127"/>
  <c i="18" r="AC153" s="1"/>
  <c i="18" r="AV128"/>
  <c i="18" r="AV154" s="1"/>
  <c i="18" r="CH32"/>
  <c i="18" r="AK112"/>
  <c i="18" r="AK138" s="1"/>
  <c i="1" r="BK90"/>
  <c i="1" r="BI88"/>
  <c i="1" r="BP101"/>
  <c i="1" r="BB106"/>
  <c i="18" r="CD37"/>
  <c i="18" r="AG117"/>
  <c i="18" r="AG143" s="1"/>
  <c i="18" r="CQ40"/>
  <c i="18" r="AT120"/>
  <c i="18" r="AT146" s="1"/>
  <c i="18" r="AP111"/>
  <c i="18" r="AP137" s="1"/>
  <c i="18" r="CM31"/>
  <c i="18" r="CE41"/>
  <c i="18" r="AH121"/>
  <c i="18" r="AH147" s="1"/>
  <c i="18" r="CN39"/>
  <c i="18" r="AQ119"/>
  <c i="18" r="AQ145" s="1"/>
  <c i="18" r="CM36"/>
  <c i="18" r="AP116"/>
  <c i="18" r="AP142" s="1"/>
  <c i="18" r="AV124"/>
  <c i="18" r="AV150" s="1"/>
  <c i="18" r="CL34"/>
  <c i="18" r="AO114"/>
  <c i="18" r="AO140" s="1"/>
  <c i="18" r="CP43"/>
  <c i="18" r="AS123"/>
  <c i="18" r="AS149" s="1"/>
  <c i="18" r="CP47"/>
  <c i="18" r="AS127"/>
  <c i="18" r="AS153" s="1"/>
  <c i="18" r="CE32"/>
  <c i="18" r="AH112"/>
  <c i="18" r="AH138" s="1"/>
  <c i="1" r="BG92"/>
  <c i="1" r="BR96"/>
  <c i="1" r="AX108"/>
  <c i="1" r="BN97"/>
  <c i="18" r="CI37"/>
  <c i="18" r="AL117"/>
  <c i="18" r="AL143" s="1"/>
  <c i="18" r="CO40"/>
  <c i="18" r="AR120"/>
  <c i="18" r="AR146" s="1"/>
  <c i="18" r="CQ31"/>
  <c i="18" r="AT111"/>
  <c i="18" r="AT137" s="1"/>
  <c i="18" r="CL41"/>
  <c i="18" r="AO121"/>
  <c i="18" r="AO147" s="1"/>
  <c i="18" r="BZ39"/>
  <c i="18" r="AC119"/>
  <c i="18" r="AC145" s="1"/>
  <c i="18" r="BY36"/>
  <c i="18" r="AB116"/>
  <c i="18" r="AB142" s="1"/>
  <c i="18" r="CO34"/>
  <c i="18" r="AR114"/>
  <c i="18" r="AR140" s="1"/>
  <c i="18" r="CB43"/>
  <c i="18" r="AE123"/>
  <c i="18" r="AE149" s="1"/>
  <c i="18" r="CG47"/>
  <c i="18" r="AJ127"/>
  <c i="18" r="AJ153" s="1"/>
  <c i="18" r="CF42"/>
  <c i="18" r="AI122"/>
  <c i="18" r="AI148" s="1"/>
  <c i="18" r="CP32"/>
  <c i="18" r="AS112"/>
  <c i="18" r="AS138" s="1"/>
  <c i="1" r="BS101"/>
  <c i="1" r="BN98"/>
  <c i="1" r="BR107"/>
  <c i="1" r="BP109"/>
  <c i="1" r="BS88"/>
  <c i="18" r="CP49"/>
  <c i="18" r="AS129"/>
  <c i="18" r="AS155" s="1"/>
  <c i="18" r="CP37"/>
  <c i="18" r="AS117"/>
  <c i="18" r="AS143" s="1"/>
  <c i="18" r="CG40"/>
  <c i="18" r="AJ120"/>
  <c i="18" r="AJ146" s="1"/>
  <c i="18" r="BX31"/>
  <c i="18" r="AA111"/>
  <c i="18" r="AA137" s="1"/>
  <c i="18" r="CI41"/>
  <c i="18" r="AL121"/>
  <c i="18" r="AL147" s="1"/>
  <c i="18" r="CK39"/>
  <c i="18" r="AN119"/>
  <c i="18" r="AN145" s="1"/>
  <c i="18" r="CC36"/>
  <c i="18" r="AF116"/>
  <c i="18" r="AF142" s="1"/>
  <c i="18" r="CA34"/>
  <c i="18" r="AD114"/>
  <c i="18" r="AD140" s="1"/>
  <c i="18" r="CF43"/>
  <c i="18" r="AI123"/>
  <c i="18" r="AI149" s="1"/>
  <c i="18" r="CD47"/>
  <c i="18" r="AG127"/>
  <c i="18" r="AG153" s="1"/>
  <c i="18" r="CN42"/>
  <c i="18" r="AQ122"/>
  <c i="18" r="AQ148" s="1"/>
  <c i="1" r="AY96"/>
  <c i="1" r="BJ100"/>
  <c i="1" r="BC92"/>
  <c i="1" r="BA88"/>
  <c i="18" r="CA49"/>
  <c i="18" r="AD129"/>
  <c i="18" r="AD155" s="1"/>
  <c i="18" r="CM37"/>
  <c i="18" r="AP117"/>
  <c i="18" r="AP143" s="1"/>
  <c i="18" r="CH40"/>
  <c i="18" r="AK120"/>
  <c i="18" r="AK146" s="1"/>
  <c i="18" r="CG31"/>
  <c i="18" r="AJ111"/>
  <c i="18" r="AJ137" s="1"/>
  <c i="18" r="AC110"/>
  <c i="18" r="AC136" s="1"/>
  <c i="18" r="BZ30"/>
  <c i="18" r="BB51"/>
  <c i="18" r="CA41"/>
  <c i="18" r="AD121"/>
  <c i="18" r="AD147" s="1"/>
  <c i="18" r="CC39"/>
  <c i="18" r="AF119"/>
  <c i="18" r="AF145" s="1"/>
  <c i="18" r="CH36"/>
  <c i="18" r="AK116"/>
  <c i="18" r="AK142" s="1"/>
  <c i="18" r="BX34"/>
  <c i="18" r="AA114"/>
  <c i="18" r="AA140" s="1"/>
  <c i="18" r="BX43"/>
  <c i="18" r="AA123"/>
  <c i="18" r="AA149" s="1"/>
  <c i="18" r="BY47"/>
  <c i="18" r="AB127"/>
  <c i="18" r="AB153" s="1"/>
  <c i="18" r="CP42"/>
  <c i="18" r="AS122"/>
  <c i="18" r="AS148" s="1"/>
  <c i="1" r="BB93"/>
  <c i="1" r="BH90"/>
  <c i="18" r="CK49"/>
  <c i="18" r="AN129"/>
  <c i="18" r="AN155" s="1"/>
  <c i="18" r="CE37"/>
  <c i="18" r="AH117"/>
  <c i="18" r="AH143" s="1"/>
  <c i="18" r="CB40"/>
  <c i="18" r="AE120"/>
  <c i="18" r="AE146" s="1"/>
  <c i="18" r="CA31"/>
  <c i="18" r="AD111"/>
  <c i="18" r="AD137" s="1"/>
  <c i="18" r="CP41"/>
  <c i="18" r="AS121"/>
  <c i="18" r="AS147" s="1"/>
  <c i="18" r="AV119"/>
  <c i="18" r="AV145" s="1"/>
  <c i="18" r="CP36"/>
  <c i="18" r="AS116"/>
  <c i="18" r="AS142" s="1"/>
  <c i="18" r="CE34"/>
  <c i="18" r="AH114"/>
  <c i="18" r="AH140" s="1"/>
  <c i="18" r="CM43"/>
  <c i="18" r="AP123"/>
  <c i="18" r="AP149" s="1"/>
  <c i="18" r="CN47"/>
  <c i="18" r="AQ127"/>
  <c i="18" r="AQ153" s="1"/>
  <c i="18" r="CA42"/>
  <c i="18" r="AD122"/>
  <c i="18" r="AD148" s="1"/>
  <c i="1" r="BN104"/>
  <c i="1" r="BB104"/>
  <c i="18" r="BX49"/>
  <c i="18" r="AA129"/>
  <c i="18" r="AA155" s="1"/>
  <c i="18" r="BY37"/>
  <c i="18" r="AB117"/>
  <c i="18" r="AB143" s="1"/>
  <c i="18" r="BX40"/>
  <c i="18" r="AA120"/>
  <c i="18" r="AA146" s="1"/>
  <c i="18" r="CH31"/>
  <c i="18" r="AK111"/>
  <c i="18" r="AK137" s="1"/>
  <c i="18" r="CK36"/>
  <c i="18" r="AN116"/>
  <c i="18" r="AN142" s="1"/>
  <c i="18" r="CJ34"/>
  <c i="18" r="AM114"/>
  <c i="18" r="AM140" s="1"/>
  <c i="18" r="CC43"/>
  <c i="18" r="AF123"/>
  <c i="18" r="AF149" s="1"/>
  <c i="18" r="CJ47"/>
  <c i="18" r="AM127"/>
  <c i="18" r="AM153" s="1"/>
  <c i="18" r="CI42"/>
  <c i="18" r="AL122"/>
  <c i="18" r="AL148" s="1"/>
  <c i="1" r="BD96"/>
  <c i="1" r="BL97"/>
  <c i="1" r="BP96"/>
  <c i="18" r="CH49"/>
  <c i="18" r="AK129"/>
  <c i="18" r="AK155" s="1"/>
  <c i="18" r="CJ37"/>
  <c i="18" r="AM117"/>
  <c i="18" r="AM143" s="1"/>
  <c i="18" r="CJ40"/>
  <c i="18" r="AM120"/>
  <c i="18" r="AM146" s="1"/>
  <c i="18" r="CN31"/>
  <c i="18" r="AQ111"/>
  <c i="18" r="AQ137" s="1"/>
  <c i="18" r="BZ36"/>
  <c i="18" r="AC116"/>
  <c i="18" r="AC142" s="1"/>
  <c i="18" r="CM34"/>
  <c i="18" r="AP114"/>
  <c i="18" r="AP140" s="1"/>
  <c i="18" r="CJ43"/>
  <c i="18" r="AM123"/>
  <c i="18" r="AM149" s="1"/>
  <c i="18" r="CA47"/>
  <c i="18" r="AD127"/>
  <c i="18" r="AD153" s="1"/>
  <c i="18" r="CL42"/>
  <c i="18" r="AO122"/>
  <c i="18" r="AO148" s="1"/>
  <c i="1" r="BK88"/>
  <c i="1" r="BL98"/>
  <c i="1" r="BP107"/>
  <c i="1" r="BL99"/>
  <c i="1" r="BH92"/>
  <c i="18" r="CN49"/>
  <c i="18" r="AQ129"/>
  <c i="18" r="AQ155" s="1"/>
  <c i="18" r="CE40"/>
  <c i="18" r="AH120"/>
  <c i="18" r="AH146" s="1"/>
  <c i="18" r="CD31"/>
  <c i="18" r="AG111"/>
  <c i="18" r="AG137" s="1"/>
  <c i="18" r="CF36"/>
  <c i="18" r="AI116"/>
  <c i="18" r="AI142" s="1"/>
  <c i="18" r="CB34"/>
  <c i="18" r="AE114"/>
  <c i="18" r="AE140" s="1"/>
  <c i="18" r="CG43"/>
  <c i="18" r="AJ123"/>
  <c i="18" r="AJ149" s="1"/>
  <c i="18" r="CH47"/>
  <c i="18" r="AK127"/>
  <c i="18" r="AK153" s="1"/>
  <c i="18" r="BY42"/>
  <c i="18" r="AB122"/>
  <c i="18" r="AB148" s="1"/>
  <c i="18" r="BU51"/>
  <c i="1" r="BE108"/>
  <c i="1" r="BF92"/>
  <c i="1" r="BH100"/>
  <c i="1" r="BC97"/>
  <c i="18" r="CE49"/>
  <c i="18" r="AH129"/>
  <c i="18" r="AH155" s="1"/>
  <c i="18" r="CO45"/>
  <c i="18" r="AR125"/>
  <c i="18" r="AR151" s="1"/>
  <c i="18" r="BZ40"/>
  <c i="18" r="AC120"/>
  <c i="18" r="AC146" s="1"/>
  <c i="18" r="CI31"/>
  <c i="18" r="AL111"/>
  <c i="18" r="AL137" s="1"/>
  <c i="18" r="CH35"/>
  <c i="18" r="AK115"/>
  <c i="18" r="AK141" s="1"/>
  <c i="18" r="CB36"/>
  <c i="18" r="AE116"/>
  <c i="18" r="AE142" s="1"/>
  <c i="18" r="CH34"/>
  <c i="18" r="AK114"/>
  <c i="18" r="AK140" s="1"/>
  <c i="18" r="AV123"/>
  <c i="18" r="AV149" s="1"/>
  <c i="18" r="CE47"/>
  <c i="18" r="AH127"/>
  <c i="18" r="AH153" s="1"/>
  <c i="18" r="CD42"/>
  <c i="18" r="AG122"/>
  <c i="18" r="AG148" s="1"/>
  <c i="1" r="BQ91"/>
  <c i="1" r="AZ94"/>
  <c i="1" r="BD102"/>
  <c i="1" r="BQ89"/>
  <c i="18" r="CB49"/>
  <c i="18" r="AE129"/>
  <c i="18" r="AE155" s="1"/>
  <c i="18" r="CB45"/>
  <c i="18" r="AE125"/>
  <c i="18" r="AE151" s="1"/>
  <c i="18" r="CM40"/>
  <c i="18" r="AP120"/>
  <c i="18" r="AP146" s="1"/>
  <c i="18" r="CJ31"/>
  <c i="18" r="AM111"/>
  <c i="18" r="AM137" s="1"/>
  <c i="18" r="CP35"/>
  <c i="18" r="AS115"/>
  <c i="18" r="AS141" s="1"/>
  <c i="18" r="CN36"/>
  <c i="18" r="AQ116"/>
  <c i="18" r="AQ142" s="1"/>
  <c i="18" r="BY34"/>
  <c i="18" r="AB114"/>
  <c i="18" r="AB140" s="1"/>
  <c i="18" r="CJ33"/>
  <c i="18" r="AM113"/>
  <c i="18" r="AM139" s="1"/>
  <c i="18" r="CL47"/>
  <c i="18" r="AO127"/>
  <c i="18" r="AO153" s="1"/>
  <c i="18" r="CG42"/>
  <c i="18" r="AJ122"/>
  <c i="18" r="AJ148" s="1"/>
  <c i="1" r="BG88"/>
  <c i="1" r="BD91"/>
  <c i="1" r="BN106"/>
  <c i="1" r="BQ100"/>
  <c i="18" r="CL49"/>
  <c i="18" r="AO129"/>
  <c i="18" r="AO155" s="1"/>
  <c i="18" r="CM45"/>
  <c i="18" r="AP125"/>
  <c i="18" r="AP151" s="1"/>
  <c i="18" r="CO31"/>
  <c i="18" r="AR111"/>
  <c i="18" r="AR137" s="1"/>
  <c i="18" r="BY35"/>
  <c i="18" r="AB115"/>
  <c i="18" r="AB141" s="1"/>
  <c i="18" r="CI36"/>
  <c i="18" r="AL116"/>
  <c i="18" r="AL142" s="1"/>
  <c i="18" r="CD34"/>
  <c i="18" r="AG114"/>
  <c i="18" r="AG140" s="1"/>
  <c i="18" r="BX33"/>
  <c i="18" r="AA113"/>
  <c i="18" r="AA139" s="1"/>
  <c i="18" r="CQ47"/>
  <c i="18" r="AT127"/>
  <c i="18" r="AT153" s="1"/>
  <c i="18" r="CB42"/>
  <c i="18" r="AE122"/>
  <c i="18" r="AE148" s="1"/>
  <c i="1" r="BQ97"/>
  <c i="1" r="BQ102"/>
  <c i="1" r="BM99"/>
  <c i="1" r="BG107"/>
  <c i="1" r="AZ103"/>
  <c i="1" r="BO91"/>
  <c i="1" r="BA105"/>
  <c i="1" r="BB92"/>
  <c i="1" r="BE92"/>
  <c i="1" r="BB105"/>
  <c i="1" r="AY99"/>
  <c i="1" r="BP91"/>
  <c i="1" r="BR102"/>
  <c i="1" r="AY103"/>
  <c i="1" r="BL93"/>
  <c i="1" r="BO100"/>
  <c i="1" r="BS97"/>
  <c i="1" r="BM93"/>
  <c i="1" r="BO98"/>
  <c i="1" r="BO104"/>
  <c i="1" r="BI94"/>
  <c i="1" r="BK100"/>
  <c i="1" r="BA97"/>
  <c i="1" r="BG108"/>
  <c i="1" r="BA99"/>
  <c i="1" r="BC105"/>
  <c i="1" r="BO109"/>
  <c i="1" r="BJ108"/>
  <c i="1" r="BM102"/>
  <c i="1" r="BH88"/>
  <c i="1" r="BB88"/>
  <c i="1" r="BM98"/>
  <c i="1" r="BA94"/>
  <c i="1" r="AZ104"/>
  <c i="1" r="BE94"/>
  <c i="1" r="BA101"/>
  <c i="1" r="BI89"/>
  <c i="1" r="AY109"/>
  <c i="1" r="BL108"/>
  <c i="1" r="BE91"/>
  <c i="1" r="BD94"/>
  <c i="1" r="BF107"/>
  <c i="1" r="AX107"/>
  <c i="1" r="BP92"/>
  <c i="1" r="BG89"/>
  <c i="1" r="BF95"/>
  <c i="1" r="BB89"/>
  <c i="1" r="BO97"/>
  <c i="1" r="AY89"/>
  <c i="1" r="BK98"/>
  <c i="1" r="BP102"/>
  <c i="1" r="BP104"/>
  <c i="1" r="AY98"/>
  <c i="1" r="BG100"/>
  <c i="1" r="BN89"/>
  <c i="1" r="BL104"/>
  <c i="1" r="BQ99"/>
  <c i="1" r="BC102"/>
  <c i="1" r="BP100"/>
  <c i="1" r="BQ90"/>
  <c i="1" r="BI93"/>
  <c i="1" r="BB101"/>
  <c i="1" r="BH106"/>
  <c i="1" r="BH108"/>
  <c i="1" r="BR90"/>
  <c i="1" r="BM96"/>
  <c i="1" r="BB95"/>
  <c i="1" r="BH104"/>
  <c i="1" r="BR98"/>
  <c i="1" r="BE88"/>
  <c i="1" r="BK96"/>
  <c i="1" r="BA90"/>
  <c i="1" r="BQ106"/>
  <c i="1" r="BO102"/>
  <c i="1" r="BC100"/>
  <c i="1" r="BF104"/>
  <c i="1" r="BF91"/>
  <c i="1" r="BJ109"/>
  <c i="1" r="BO93"/>
  <c i="1" r="BH99"/>
  <c i="1" r="BK95"/>
  <c i="1" r="BF90"/>
  <c i="1" r="BA100"/>
  <c i="1" r="BM89"/>
  <c i="1" r="BE107"/>
  <c i="1" r="BR93"/>
  <c i="1" r="BF97"/>
  <c i="1" r="BG97"/>
  <c i="1" r="BH105"/>
  <c i="1" r="BM105"/>
  <c i="1" r="CG37"/>
  <c i="1" r="CG42"/>
  <c i="18" r="M24" s="1"/>
  <c i="1" r="CG29"/>
  <c i="1" r="CG35"/>
  <c i="1" r="CG23"/>
  <c i="18" r="M5" s="1"/>
  <c i="1" r="CG31"/>
  <c i="1" r="CG28"/>
  <c i="1" r="CG25"/>
  <c i="1" r="CG30"/>
  <c i="1" r="CF31"/>
  <c i="18" r="L13" s="1"/>
  <c i="1" r="CG34"/>
  <c i="1" r="CF23"/>
  <c i="18" r="L5" s="1"/>
  <c i="1" r="CF32"/>
  <c i="18" r="L14" s="1"/>
  <c i="1" r="BC91"/>
  <c i="1" r="BR108"/>
  <c i="1" r="BD98"/>
  <c i="1" r="AY93"/>
  <c i="1" r="BL106"/>
  <c i="1" r="AZ89"/>
  <c i="1" r="BQ94"/>
  <c i="1" r="BL94"/>
  <c i="1" r="BE105"/>
  <c i="1" r="BA107"/>
  <c i="1" r="BF96"/>
  <c i="1" r="BS108"/>
  <c i="1" r="BB98"/>
  <c i="1" r="CG36"/>
  <c i="1" r="BO88"/>
  <c i="1" r="BI96"/>
  <c i="1" r="CG27"/>
  <c i="1" r="BE98"/>
  <c i="1" r="BK107"/>
  <c i="1" r="CG41"/>
  <c i="18" r="M23" s="1"/>
  <c i="1" r="CG38"/>
  <c i="18" r="M20" s="1"/>
  <c i="1" r="CG39"/>
  <c i="1" r="BI107"/>
  <c i="1" r="CG40"/>
  <c i="1" r="BE109"/>
  <c i="1" r="CG24"/>
  <c i="1" r="CG32"/>
  <c i="1" r="BP88"/>
  <c i="1" r="CG33"/>
  <c i="1" r="BH89"/>
  <c i="1" r="CF25"/>
  <c i="18" r="L7" s="1"/>
  <c i="1" r="CG26"/>
  <c i="1" r="CH34"/>
  <c i="1" r="CH33"/>
  <c i="1" r="CH32"/>
  <c i="1" r="AZ102"/>
  <c i="1" r="AY95"/>
  <c i="1" r="BQ96"/>
  <c i="1" r="BK103"/>
  <c i="1" r="BP99"/>
  <c i="1" r="BC107"/>
  <c i="1" r="BC96"/>
  <c i="1" r="BK94"/>
  <c i="1" r="CF36"/>
  <c i="18" r="L18" s="1"/>
  <c i="1" r="BM106"/>
  <c i="1" r="BM101"/>
  <c i="1" r="CF33"/>
  <c i="18" r="L15" s="1"/>
  <c i="1" r="BI103"/>
  <c i="1" r="BC89"/>
  <c i="1" r="BJ94"/>
  <c i="1" r="BE100"/>
  <c i="1" r="BH98"/>
  <c i="1" r="BQ92"/>
  <c i="1" r="BA102"/>
  <c i="1" r="BM94"/>
  <c i="1" r="BS103"/>
  <c i="1" r="BK92"/>
  <c i="1" r="BJ97"/>
  <c i="1" r="BK105"/>
  <c i="1" r="CH29"/>
  <c i="1" r="CH26"/>
  <c i="1" r="BG105"/>
  <c i="1" r="BK97"/>
  <c i="1" r="BH103"/>
  <c i="1" r="AY91"/>
  <c i="1" r="CF38"/>
  <c i="18" r="L20" s="1"/>
  <c i="1" r="CF27"/>
  <c i="18" r="L9" s="1"/>
  <c i="1" r="BJ92"/>
  <c i="1" r="BH94"/>
  <c i="1" r="BN88"/>
  <c i="1" r="BF94"/>
  <c i="1" r="BJ103"/>
  <c i="1" r="BD105"/>
  <c i="1" r="BF105"/>
  <c i="1" r="AZ107"/>
  <c i="1" r="BL92"/>
  <c i="1" r="BD100"/>
  <c i="1" r="BD89"/>
  <c i="1" r="CH36"/>
  <c i="1" r="CH35"/>
  <c i="1" r="CH31"/>
  <c i="1" r="CH23"/>
  <c i="1" r="BO105"/>
  <c i="1" r="BA89"/>
  <c i="1" r="BR99"/>
  <c i="1" r="BN90"/>
  <c i="1" r="BC98"/>
  <c i="1" r="CF40"/>
  <c i="18" r="L22" s="1"/>
  <c i="1" r="BG96"/>
  <c i="1" r="AY100"/>
  <c i="1" r="CF26"/>
  <c i="18" r="L8" s="1"/>
  <c i="1" r="CF22"/>
  <c i="18" r="L4" s="1"/>
  <c i="1" r="AU82"/>
  <c i="1" r="BS109" s="1"/>
  <c i="1" r="BR92"/>
  <c i="1" r="BN94"/>
  <c i="1" r="BB102"/>
  <c i="1" r="CH30"/>
  <c i="1" r="BN101"/>
  <c i="1" r="BJ96"/>
  <c i="1" r="AX104"/>
  <c i="1" r="CH41"/>
  <c i="1" r="CF24"/>
  <c i="18" r="L6" s="1"/>
  <c i="1" r="CF28"/>
  <c i="18" r="L10" s="1"/>
  <c i="1" r="BF98"/>
  <c i="1" r="BS90"/>
  <c i="1" r="CH40"/>
  <c i="1" r="CF35"/>
  <c i="18" r="L17" s="1"/>
  <c i="1" r="CF39"/>
  <c i="18" r="L21" s="1"/>
  <c i="1" r="CH39"/>
  <c i="1" r="CF29"/>
  <c i="18" r="L11" s="1"/>
  <c i="1" r="CH38"/>
  <c i="1" r="CH27"/>
  <c i="1" r="CF34"/>
  <c i="18" r="L16" s="1"/>
  <c i="1" r="BN105"/>
  <c i="1" r="BQ104"/>
  <c i="1" r="CH25"/>
  <c i="1" r="CF37"/>
  <c i="18" r="L19" s="1"/>
  <c i="1" r="AY107"/>
  <c i="1" r="BJ107"/>
  <c i="1" r="CH37"/>
  <c i="1" r="CF41"/>
  <c i="18" r="L23" s="1"/>
  <c i="1" r="CH24"/>
  <c i="1" r="CH42"/>
  <c i="1" r="CK42"/>
  <c i="1" r="CH22"/>
  <c i="12" r="O39"/>
  <c i="12" r="O38"/>
  <c i="12" r="F38"/>
  <c i="12" r="F39"/>
  <c i="12" r="F40"/>
  <c i="12" r="F41"/>
  <c i="12" r="F42"/>
  <c i="12" r="F43"/>
  <c i="12" r="F44"/>
  <c i="12" r="F45"/>
  <c i="12" r="F46"/>
  <c i="12" r="F47"/>
  <c i="12" r="F48"/>
  <c i="12" r="F49"/>
  <c i="12" r="F50"/>
  <c i="12" r="F51"/>
  <c i="12" r="F52"/>
  <c i="12" r="F53"/>
  <c i="12" r="F54"/>
  <c i="12" r="F55"/>
  <c i="12" r="F56"/>
  <c i="12" r="F57"/>
  <c i="12" r="F58"/>
  <c i="12" r="F59"/>
  <c i="12" r="F60"/>
  <c i="12" r="F61"/>
  <c i="12" r="F62"/>
  <c i="12" r="F63"/>
  <c i="12" r="F64"/>
  <c i="12" r="F65"/>
  <c i="12" r="F66"/>
  <c i="12" r="F67"/>
  <c i="12" r="F68"/>
  <c i="12" r="F69"/>
  <c i="12" r="F70"/>
  <c i="12" r="F71"/>
  <c i="12" r="F72"/>
  <c i="12" r="F73"/>
  <c i="12" r="F74"/>
  <c i="12" r="F75"/>
  <c i="12" r="F76"/>
  <c i="12" r="F77"/>
  <c i="12" r="F78"/>
  <c i="12" r="F79"/>
  <c i="12" r="F80"/>
  <c i="12" r="F81"/>
  <c i="12" r="F82"/>
  <c i="12" r="F83"/>
  <c i="12" r="F84"/>
  <c i="12" r="F85"/>
  <c i="12" r="F86"/>
  <c i="12" r="F87"/>
  <c i="12" r="F88"/>
  <c i="12" r="F89"/>
  <c i="12" r="F90"/>
  <c i="12" r="F91"/>
  <c i="12" r="F92"/>
  <c i="12" r="F93"/>
  <c i="12" r="F94"/>
  <c i="12" r="F95"/>
  <c i="12" r="F96"/>
  <c i="12" r="F97"/>
  <c i="12" r="F98"/>
  <c i="12" r="F99"/>
  <c i="12" r="F100"/>
  <c i="12" r="F101"/>
  <c i="12" r="F102"/>
  <c i="12" r="F103"/>
  <c i="12" r="F104"/>
  <c i="12" r="F105"/>
  <c i="12" r="F106"/>
  <c i="12" r="F107"/>
  <c i="12" r="F108"/>
  <c i="12" r="F109"/>
  <c i="12" r="F110"/>
  <c i="12" r="F111"/>
  <c i="12" r="F112"/>
  <c i="12" r="F113"/>
  <c i="12" r="F114"/>
  <c i="12" r="F115"/>
  <c i="12" r="F116"/>
  <c i="12" r="F117"/>
  <c i="12" r="F118"/>
  <c i="12" r="F119"/>
  <c i="12" r="F120"/>
  <c i="12" r="F121"/>
  <c i="12" r="F122"/>
  <c i="12" r="F123"/>
  <c i="12" r="F124"/>
  <c i="12" r="F125"/>
  <c i="12" r="F126"/>
  <c i="12" r="F37"/>
  <c i="12" r="E37"/>
  <c i="12" r="A37"/>
  <c i="12" r="B37" s="1"/>
  <c i="12" r="E38"/>
  <c i="12" r="E39"/>
  <c i="12" r="E40"/>
  <c i="12" r="E41"/>
  <c i="12" r="E42"/>
  <c i="12" r="E43"/>
  <c i="12" r="E44"/>
  <c i="12" r="E45"/>
  <c i="12" r="E46"/>
  <c i="12" r="E47"/>
  <c i="12" r="E48"/>
  <c i="12" r="E49"/>
  <c i="12" r="E50"/>
  <c i="12" r="E51"/>
  <c i="12" r="E52"/>
  <c i="12" r="E53"/>
  <c i="12" r="E54"/>
  <c i="12" r="E55"/>
  <c i="12" r="E56"/>
  <c i="12" r="E57"/>
  <c i="12" r="E58"/>
  <c i="12" r="E59"/>
  <c i="12" r="E60"/>
  <c i="12" r="E61"/>
  <c i="12" r="E62"/>
  <c i="12" r="E63"/>
  <c i="12" r="E64"/>
  <c i="12" r="E65"/>
  <c i="12" r="E66"/>
  <c i="12" r="E67"/>
  <c i="12" r="E68"/>
  <c i="12" r="E69"/>
  <c i="12" r="E70"/>
  <c i="12" r="E71"/>
  <c i="12" r="E72"/>
  <c i="12" r="E73"/>
  <c i="12" r="E74"/>
  <c i="12" r="E75"/>
  <c i="12" r="E76"/>
  <c i="12" r="E77"/>
  <c i="12" r="E78"/>
  <c i="12" r="E79"/>
  <c i="12" r="E80"/>
  <c i="12" r="E81"/>
  <c i="12" r="E82"/>
  <c i="12" r="E83"/>
  <c i="12" r="E84"/>
  <c i="12" r="E85"/>
  <c i="12" r="E86"/>
  <c i="12" r="E87"/>
  <c i="12" r="E88"/>
  <c i="12" r="E89"/>
  <c i="12" r="E90"/>
  <c i="12" r="E91"/>
  <c i="12" r="E92"/>
  <c i="12" r="E93"/>
  <c i="12" r="E94"/>
  <c i="12" r="E95"/>
  <c i="12" r="E96"/>
  <c i="12" r="E97"/>
  <c i="12" r="E98"/>
  <c i="12" r="E99"/>
  <c i="12" r="E100"/>
  <c i="12" r="E101"/>
  <c i="12" r="E102"/>
  <c i="12" r="E103"/>
  <c i="12" r="E104"/>
  <c i="12" r="E105"/>
  <c i="12" r="E106"/>
  <c i="12" r="E107"/>
  <c i="12" r="E108"/>
  <c i="12" r="E109"/>
  <c i="12" r="E110"/>
  <c i="12" r="E111"/>
  <c i="12" r="E112"/>
  <c i="12" r="E113"/>
  <c i="12" r="E114"/>
  <c i="12" r="E115"/>
  <c i="12" r="E116"/>
  <c i="12" r="E117"/>
  <c i="12" r="E118"/>
  <c i="12" r="E119"/>
  <c i="12" r="E120"/>
  <c i="12" r="E121"/>
  <c i="12" r="E122"/>
  <c i="12" r="E123"/>
  <c i="12" r="E124"/>
  <c i="12" r="E125"/>
  <c i="12" r="E126"/>
  <c i="12" r="D38"/>
  <c i="12" r="D39"/>
  <c i="12" r="D40"/>
  <c i="12" r="D41"/>
  <c i="12" r="D42"/>
  <c i="12" r="D43"/>
  <c i="12" r="D44"/>
  <c i="12" r="D45"/>
  <c i="12" r="D46"/>
  <c i="12" r="D47"/>
  <c i="12" r="D48"/>
  <c i="12" r="D49"/>
  <c i="12" r="D50"/>
  <c i="12" r="D51"/>
  <c i="12" r="D52"/>
  <c i="12" r="D53"/>
  <c i="12" r="D54"/>
  <c i="12" r="D55"/>
  <c i="12" r="D56"/>
  <c i="12" r="D57"/>
  <c i="12" r="D58"/>
  <c i="12" r="D59"/>
  <c i="12" r="D60"/>
  <c i="12" r="D61"/>
  <c i="12" r="D62"/>
  <c i="12" r="D63"/>
  <c i="12" r="D64"/>
  <c i="12" r="D65"/>
  <c i="12" r="D66"/>
  <c i="12" r="D67"/>
  <c i="12" r="D68"/>
  <c i="12" r="D69"/>
  <c i="12" r="D70"/>
  <c i="12" r="D71"/>
  <c i="12" r="D72"/>
  <c i="12" r="D73"/>
  <c i="12" r="D74"/>
  <c i="12" r="D75"/>
  <c i="12" r="D76"/>
  <c i="12" r="D77"/>
  <c i="12" r="D78"/>
  <c i="12" r="D79"/>
  <c i="12" r="D80"/>
  <c i="12" r="D81"/>
  <c i="12" r="D82"/>
  <c i="12" r="D83"/>
  <c i="12" r="D84"/>
  <c i="12" r="D85"/>
  <c i="12" r="D86"/>
  <c i="12" r="D87"/>
  <c i="12" r="D88"/>
  <c i="12" r="D89"/>
  <c i="12" r="D90"/>
  <c i="12" r="D91"/>
  <c i="12" r="D92"/>
  <c i="12" r="D93"/>
  <c i="12" r="D94"/>
  <c i="12" r="D95"/>
  <c i="12" r="D96"/>
  <c i="12" r="D97"/>
  <c i="12" r="D98"/>
  <c i="12" r="D99"/>
  <c i="12" r="D100"/>
  <c i="12" r="D101"/>
  <c i="12" r="D102"/>
  <c i="12" r="D103"/>
  <c i="12" r="D104"/>
  <c i="12" r="D105"/>
  <c i="12" r="D106"/>
  <c i="12" r="D107"/>
  <c i="12" r="D108"/>
  <c i="12" r="D109"/>
  <c i="12" r="D110"/>
  <c i="12" r="D111"/>
  <c i="12" r="D112"/>
  <c i="12" r="D113"/>
  <c i="12" r="D114"/>
  <c i="12" r="D115"/>
  <c i="12" r="D116"/>
  <c i="12" r="D117"/>
  <c i="12" r="D118"/>
  <c i="12" r="D119"/>
  <c i="12" r="D120"/>
  <c i="12" r="D121"/>
  <c i="12" r="D122"/>
  <c i="12" r="D123"/>
  <c i="12" r="D124"/>
  <c i="12" r="D125"/>
  <c i="12" r="D126"/>
  <c i="12" r="D37"/>
  <c i="12" r="C38"/>
  <c i="12" r="C39"/>
  <c i="12" r="C40"/>
  <c i="12" r="C41"/>
  <c i="12" r="C42"/>
  <c i="12" r="C43"/>
  <c i="12" r="C44"/>
  <c i="12" r="C45"/>
  <c i="12" r="C46"/>
  <c i="12" r="C47"/>
  <c i="12" r="C48"/>
  <c i="12" r="C49"/>
  <c i="12" r="C50"/>
  <c i="12" r="C51"/>
  <c i="12" r="C52"/>
  <c i="12" r="C53"/>
  <c i="12" r="C54"/>
  <c i="12" r="C55"/>
  <c i="12" r="C56"/>
  <c i="12" r="C57"/>
  <c i="12" r="C58"/>
  <c i="12" r="C59"/>
  <c i="12" r="C60"/>
  <c i="12" r="C61"/>
  <c i="12" r="C62"/>
  <c i="12" r="C63"/>
  <c i="12" r="C64"/>
  <c i="12" r="C65"/>
  <c i="12" r="C66"/>
  <c i="12" r="C67"/>
  <c i="12" r="C68"/>
  <c i="12" r="C69"/>
  <c i="12" r="C70"/>
  <c i="12" r="C71"/>
  <c i="12" r="C72"/>
  <c i="12" r="C73"/>
  <c i="12" r="C74"/>
  <c i="12" r="C75"/>
  <c i="12" r="C76"/>
  <c i="12" r="C77"/>
  <c i="12" r="C78"/>
  <c i="12" r="C79"/>
  <c i="12" r="C80"/>
  <c i="12" r="C81"/>
  <c i="12" r="C82"/>
  <c i="12" r="C83"/>
  <c i="12" r="C84"/>
  <c i="12" r="C85"/>
  <c i="12" r="C86"/>
  <c i="12" r="C87"/>
  <c i="12" r="C88"/>
  <c i="12" r="C89"/>
  <c i="12" r="C90"/>
  <c i="12" r="C91"/>
  <c i="12" r="C92"/>
  <c i="12" r="C93"/>
  <c i="12" r="C94"/>
  <c i="12" r="C95"/>
  <c i="12" r="C96"/>
  <c i="12" r="C97"/>
  <c i="12" r="C98"/>
  <c i="12" r="C99"/>
  <c i="12" r="C100"/>
  <c i="12" r="C101"/>
  <c i="12" r="C102"/>
  <c i="12" r="C103"/>
  <c i="12" r="C104"/>
  <c i="12" r="C105"/>
  <c i="12" r="C106"/>
  <c i="12" r="C107"/>
  <c i="12" r="C108"/>
  <c i="12" r="C109"/>
  <c i="12" r="C110"/>
  <c i="12" r="C111"/>
  <c i="12" r="C112"/>
  <c i="12" r="C113"/>
  <c i="12" r="C114"/>
  <c i="12" r="C115"/>
  <c i="12" r="C116"/>
  <c i="12" r="C117"/>
  <c i="12" r="C118"/>
  <c i="12" r="C119"/>
  <c i="12" r="C120"/>
  <c i="12" r="C121"/>
  <c i="12" r="C122"/>
  <c i="12" r="C123"/>
  <c i="12" r="C124"/>
  <c i="12" r="C125"/>
  <c i="12" r="C126"/>
  <c i="12" r="C37"/>
  <c i="12" r="A38"/>
  <c i="12" r="B38" s="1"/>
  <c i="12" r="A39"/>
  <c i="12" r="B39" s="1"/>
  <c i="12" r="A40"/>
  <c i="12" r="B40" s="1"/>
  <c i="12" r="A41"/>
  <c i="12" r="B41" s="1"/>
  <c i="12" r="A42"/>
  <c i="12" r="B42" s="1"/>
  <c i="12" r="A43"/>
  <c i="12" r="B43" s="1"/>
  <c i="12" r="A44"/>
  <c i="12" r="B44" s="1"/>
  <c i="12" r="A45"/>
  <c i="12" r="B45" s="1"/>
  <c i="12" r="A46"/>
  <c i="12" r="B46" s="1"/>
  <c i="12" r="A47"/>
  <c i="12" r="B47" s="1"/>
  <c i="12" r="A48"/>
  <c i="12" r="B48" s="1"/>
  <c i="12" r="A49"/>
  <c i="12" r="B49" s="1"/>
  <c i="12" r="A50"/>
  <c i="12" r="B50" s="1"/>
  <c i="12" r="A51"/>
  <c i="12" r="B51" s="1"/>
  <c i="12" r="A52"/>
  <c i="12" r="B52" s="1"/>
  <c i="12" r="A53"/>
  <c i="12" r="B53" s="1"/>
  <c i="12" r="A54"/>
  <c i="12" r="B54" s="1"/>
  <c i="12" r="A55"/>
  <c i="12" r="B55" s="1"/>
  <c i="12" r="A56"/>
  <c i="12" r="B56" s="1"/>
  <c i="12" r="A57"/>
  <c i="12" r="B57" s="1"/>
  <c i="12" r="A58"/>
  <c i="12" r="B58" s="1"/>
  <c i="12" r="A59"/>
  <c i="12" r="B59" s="1"/>
  <c i="12" r="A60"/>
  <c i="12" r="B60" s="1"/>
  <c i="12" r="A61"/>
  <c i="12" r="B61" s="1"/>
  <c i="12" r="A62"/>
  <c i="12" r="B62" s="1"/>
  <c i="12" r="A63"/>
  <c i="12" r="B63" s="1"/>
  <c i="12" r="A64"/>
  <c i="12" r="B64" s="1"/>
  <c i="12" r="A65"/>
  <c i="12" r="B65" s="1"/>
  <c i="12" r="A66"/>
  <c i="12" r="B66" s="1"/>
  <c i="12" r="A67"/>
  <c i="12" r="B67" s="1"/>
  <c i="12" r="A68"/>
  <c i="12" r="B68" s="1"/>
  <c i="12" r="A69"/>
  <c i="12" r="B69" s="1"/>
  <c i="12" r="A70"/>
  <c i="12" r="B70" s="1"/>
  <c i="12" r="A71"/>
  <c i="12" r="B71" s="1"/>
  <c i="12" r="A72"/>
  <c i="12" r="B72" s="1"/>
  <c i="12" r="A73"/>
  <c i="12" r="B73" s="1"/>
  <c i="12" r="A74"/>
  <c i="12" r="B74" s="1"/>
  <c i="12" r="A75"/>
  <c i="12" r="B75" s="1"/>
  <c i="12" r="A76"/>
  <c i="12" r="B76" s="1"/>
  <c i="12" r="A77"/>
  <c i="12" r="B77" s="1"/>
  <c i="12" r="A78"/>
  <c i="12" r="B78" s="1"/>
  <c i="12" r="A79"/>
  <c i="12" r="B79" s="1"/>
  <c i="12" r="A80"/>
  <c i="12" r="B80" s="1"/>
  <c i="12" r="A81"/>
  <c i="12" r="B81" s="1"/>
  <c i="12" r="A82"/>
  <c i="12" r="B82" s="1"/>
  <c i="12" r="A83"/>
  <c i="12" r="B83" s="1"/>
  <c i="12" r="A84"/>
  <c i="12" r="B84" s="1"/>
  <c i="12" r="A85"/>
  <c i="12" r="B85" s="1"/>
  <c i="12" r="A86"/>
  <c i="12" r="B86" s="1"/>
  <c i="12" r="A87"/>
  <c i="12" r="B87" s="1"/>
  <c i="12" r="A88"/>
  <c i="12" r="B88" s="1"/>
  <c i="12" r="A89"/>
  <c i="12" r="B89" s="1"/>
  <c i="12" r="A90"/>
  <c i="12" r="B90" s="1"/>
  <c i="12" r="A91"/>
  <c i="12" r="B91" s="1"/>
  <c i="12" r="A92"/>
  <c i="12" r="B92" s="1"/>
  <c i="12" r="A93"/>
  <c i="12" r="B93" s="1"/>
  <c i="12" r="A94"/>
  <c i="12" r="B94" s="1"/>
  <c i="12" r="A95"/>
  <c i="12" r="B95" s="1"/>
  <c i="12" r="A96"/>
  <c i="12" r="B96" s="1"/>
  <c i="12" r="A97"/>
  <c i="12" r="B97" s="1"/>
  <c i="12" r="A98"/>
  <c i="12" r="B98" s="1"/>
  <c i="12" r="A99"/>
  <c i="12" r="B99" s="1"/>
  <c i="12" r="A100"/>
  <c i="12" r="B100" s="1"/>
  <c i="12" r="A101"/>
  <c i="12" r="B101" s="1"/>
  <c i="12" r="A102"/>
  <c i="12" r="B102" s="1"/>
  <c i="12" r="A103"/>
  <c i="12" r="B103" s="1"/>
  <c i="12" r="A104"/>
  <c i="12" r="B104" s="1"/>
  <c i="12" r="A105"/>
  <c i="12" r="B105" s="1"/>
  <c i="12" r="A106"/>
  <c i="12" r="B106" s="1"/>
  <c i="12" r="A107"/>
  <c i="12" r="B107" s="1"/>
  <c i="12" r="A108"/>
  <c i="12" r="B108" s="1"/>
  <c i="12" r="A109"/>
  <c i="12" r="B109" s="1"/>
  <c i="12" r="A110"/>
  <c i="12" r="B110" s="1"/>
  <c i="12" r="A111"/>
  <c i="12" r="B111" s="1"/>
  <c i="12" r="A112"/>
  <c i="12" r="B112" s="1"/>
  <c i="12" r="A113"/>
  <c i="12" r="B113" s="1"/>
  <c i="12" r="A114"/>
  <c i="12" r="B114" s="1"/>
  <c i="12" r="A115"/>
  <c i="12" r="B115" s="1"/>
  <c i="12" r="A116"/>
  <c i="12" r="B116" s="1"/>
  <c i="12" r="A117"/>
  <c i="12" r="B117" s="1"/>
  <c i="12" r="A118"/>
  <c i="12" r="B118" s="1"/>
  <c i="12" r="A119"/>
  <c i="12" r="B119" s="1"/>
  <c i="12" r="A120"/>
  <c i="12" r="B120" s="1"/>
  <c i="12" r="A121"/>
  <c i="12" r="B121" s="1"/>
  <c i="12" r="A122"/>
  <c i="12" r="B122" s="1"/>
  <c i="12" r="A123"/>
  <c i="12" r="B123" s="1"/>
  <c i="12" r="A124"/>
  <c i="12" r="B124" s="1"/>
  <c i="12" r="A125"/>
  <c i="12" r="B125" s="1"/>
  <c i="12" r="A126"/>
  <c i="12" r="B126" s="1"/>
  <c i="12" r="T34"/>
  <c i="12" r="T35"/>
  <c i="12" r="T36"/>
  <c i="12" r="T37"/>
  <c i="12" r="T38"/>
  <c i="12" r="T39"/>
  <c i="12" r="T40"/>
  <c i="12" r="T41"/>
  <c i="12" r="T42"/>
  <c i="12" r="T43"/>
  <c i="12" r="T44"/>
  <c i="12" r="T45"/>
  <c i="12" r="T46"/>
  <c i="12" r="T47"/>
  <c i="12" r="T48"/>
  <c i="12" r="T49"/>
  <c i="12" r="T50"/>
  <c i="12" r="T51"/>
  <c i="12" r="T52"/>
  <c i="12" r="T53"/>
  <c i="12" r="T54"/>
  <c i="12" r="T55"/>
  <c i="12" r="T56"/>
  <c i="12" r="T57"/>
  <c i="12" r="T58"/>
  <c i="12" r="T59"/>
  <c i="12" r="T60"/>
  <c i="12" r="T61"/>
  <c i="12" r="T62"/>
  <c i="12" r="T63"/>
  <c i="12" r="T64"/>
  <c i="12" r="T65"/>
  <c i="12" r="T66"/>
  <c i="12" r="T67"/>
  <c i="12" r="T68"/>
  <c i="12" r="T69"/>
  <c i="12" r="T70"/>
  <c i="12" r="T71"/>
  <c i="12" r="T72"/>
  <c i="12" r="T73"/>
  <c i="12" r="T74"/>
  <c i="12" r="T75"/>
  <c i="12" r="T76"/>
  <c i="18" l="1" r="AR110"/>
  <c i="18" r="AR136" s="1"/>
  <c i="18" r="CO30"/>
  <c i="18" r="M64"/>
  <c i="18" r="C68"/>
  <c i="18" r="AT110"/>
  <c i="18" r="AT136" s="1"/>
  <c i="18" r="CQ30"/>
  <c i="1" r="CL22"/>
  <c i="18" r="BL51"/>
  <c i="18" r="CE30"/>
  <c i="18" r="BG51"/>
  <c i="18" r="AH110"/>
  <c i="18" r="AH136" s="1"/>
  <c i="18" r="AK110"/>
  <c i="18" r="AK136" s="1"/>
  <c i="18" r="BJ51"/>
  <c i="18" r="CH30"/>
  <c i="18" r="BF51"/>
  <c i="18" r="BF58" s="1"/>
  <c i="18" r="CD30"/>
  <c i="18" r="CD51" s="1"/>
  <c i="18" r="AG110"/>
  <c i="18" r="AG136" s="1"/>
  <c i="18" r="AP110"/>
  <c i="18" r="AP136" s="1"/>
  <c i="18" r="BO51"/>
  <c i="18" r="G66"/>
  <c i="18" r="D69"/>
  <c i="18" r="V75"/>
  <c i="18" r="AN110"/>
  <c i="18" r="AN136" s="1"/>
  <c i="18" r="CK30"/>
  <c i="18" r="CK51" s="1"/>
  <c i="18" r="T67"/>
  <c i="18" r="L65"/>
  <c i="18" r="F59"/>
  <c i="18" r="U60"/>
  <c i="18" r="O58"/>
  <c i="18" r="P74"/>
  <c i="18" r="C77"/>
  <c i="18" r="BM51"/>
  <c i="18" r="AN78" s="1"/>
  <c i="18" r="W72"/>
  <c i="18" r="J62"/>
  <c i="18" r="AM110"/>
  <c i="18" r="AM136" s="1"/>
  <c i="18" r="N65"/>
  <c i="18" r="R76"/>
  <c i="18" r="CJ30"/>
  <c i="18" r="CJ51" s="1"/>
  <c i="18" r="S61"/>
  <c i="18" r="I69"/>
  <c i="18" r="T59"/>
  <c i="18" r="BH51"/>
  <c i="18" r="AI78" s="1"/>
  <c i="18" r="CF30"/>
  <c i="18" r="CF51" s="1"/>
  <c i="18" r="AI110"/>
  <c i="18" r="AI136" s="1"/>
  <c i="18" r="BC51"/>
  <c i="18" r="BC58" s="1"/>
  <c i="18" r="CA30"/>
  <c i="18" r="CA51" s="1"/>
  <c i="18" r="AD110"/>
  <c i="18" r="AD136" s="1"/>
  <c i="18" r="CR30"/>
  <c i="18" r="BI51"/>
  <c i="18" r="AJ78" s="1"/>
  <c i="18" r="CG30"/>
  <c i="18" r="CG51" s="1"/>
  <c i="18" r="AJ110"/>
  <c i="18" r="AJ136" s="1"/>
  <c i="18" r="BK51"/>
  <c i="18" r="AL78" s="1"/>
  <c i="18" r="BA51"/>
  <c i="18" r="CI30"/>
  <c i="18" r="BY30"/>
  <c i="18" r="AL110"/>
  <c i="18" r="AL136" s="1"/>
  <c i="18" r="CZ16"/>
  <c i="18" r="DA16" s="1"/>
  <c i="18" r="AB110"/>
  <c i="18" r="AB136" s="1"/>
  <c i="18" r="CV18"/>
  <c i="18" r="CY17"/>
  <c i="18" r="CX17"/>
  <c i="1" r="CL23"/>
  <c i="1" r="CJ28"/>
  <c i="18" r="P10" s="1"/>
  <c i="18" r="CH51"/>
  <c i="12" r="G72"/>
  <c i="12" r="H91"/>
  <c i="1" r="CJ30"/>
  <c i="18" r="P12" s="1"/>
  <c i="18" r="N12"/>
  <c i="18" r="R12" s="1"/>
  <c i="18" r="AE12" s="1"/>
  <c i="18" r="BD58"/>
  <c i="18" r="AE131"/>
  <c i="18" r="AE157" s="1"/>
  <c i="18" r="CL51"/>
  <c i="18" r="CN51"/>
  <c i="18" r="CB51"/>
  <c i="1" r="CL27"/>
  <c i="18" r="M9"/>
  <c i="18" r="BN58"/>
  <c i="18" r="AO131"/>
  <c i="18" r="AO157" s="1"/>
  <c i="18" r="BP58"/>
  <c i="18" r="AQ131"/>
  <c i="18" r="AQ157" s="1"/>
  <c i="18" r="AJ73"/>
  <c i="18" r="AJ100" s="1"/>
  <c i="18" r="AU67"/>
  <c i="18" r="AU94" s="1"/>
  <c i="18" r="AF71"/>
  <c i="18" r="AF98" s="1"/>
  <c i="18" r="AE76"/>
  <c i="18" r="AE103" s="1"/>
  <c i="18" r="AH73"/>
  <c i="18" r="AH100" s="1"/>
  <c i="18" r="AM70"/>
  <c i="18" r="AM97" s="1"/>
  <c i="18" r="AO65"/>
  <c i="18" r="AO92" s="1"/>
  <c i="18" r="AN64"/>
  <c i="18" r="AN91" s="1"/>
  <c i="18" r="AI63"/>
  <c i="18" r="AI90" s="1"/>
  <c i="18" r="AC77"/>
  <c i="18" r="AC104" s="1"/>
  <c i="18" r="AF78"/>
  <c i="18" r="AP66"/>
  <c i="18" r="AP93" s="1"/>
  <c i="18" r="AA73"/>
  <c i="18" r="AA100" s="1"/>
  <c i="18" r="AB57"/>
  <c i="18" r="AB84" s="1"/>
  <c i="18" r="AH57"/>
  <c i="18" r="AH84" s="1"/>
  <c i="18" r="AS71"/>
  <c i="18" r="AS98" s="1"/>
  <c i="18" r="AB66"/>
  <c i="18" r="AB93" s="1"/>
  <c i="18" r="AH71"/>
  <c i="18" r="AH98" s="1"/>
  <c i="18" r="AR72"/>
  <c i="18" r="AR99" s="1"/>
  <c i="18" r="AB71"/>
  <c i="18" r="AB98" s="1"/>
  <c i="18" r="AV73"/>
  <c i="18" r="AV100" s="1"/>
  <c i="18" r="AH75"/>
  <c i="18" r="AH102" s="1"/>
  <c i="18" r="AQ59"/>
  <c i="18" r="AQ86" s="1"/>
  <c i="18" r="AQ64"/>
  <c i="18" r="AQ91" s="1"/>
  <c i="18" r="AH67"/>
  <c i="18" r="AH94" s="1"/>
  <c i="18" r="AA57"/>
  <c i="18" r="AA84" s="1"/>
  <c i="18" r="AO68"/>
  <c i="18" r="AO95" s="1"/>
  <c i="18" r="AM57"/>
  <c i="18" r="AM84" s="1"/>
  <c i="18" r="AA63"/>
  <c i="18" r="AA90" s="1"/>
  <c i="18" r="AP64"/>
  <c i="18" r="AP91" s="1"/>
  <c i="18" r="AT74"/>
  <c i="18" r="AT101" s="1"/>
  <c i="18" r="AC66"/>
  <c i="18" r="AC93" s="1"/>
  <c i="18" r="AN77"/>
  <c i="18" r="AN104" s="1"/>
  <c i="18" r="AF59"/>
  <c i="18" r="AF86" s="1"/>
  <c i="18" r="AN68"/>
  <c i="18" r="AN95" s="1"/>
  <c i="18" r="AI59"/>
  <c i="18" r="AI86" s="1"/>
  <c i="18" r="AT67"/>
  <c i="18" r="AT94" s="1"/>
  <c i="18" r="AF66"/>
  <c i="18" r="AF93" s="1"/>
  <c i="18" r="AS75"/>
  <c i="18" r="AS102" s="1"/>
  <c i="18" r="AN58"/>
  <c i="18" r="AN85" s="1"/>
  <c i="18" r="AS73"/>
  <c i="18" r="AS100" s="1"/>
  <c i="18" r="AT72"/>
  <c i="18" r="AT99" s="1"/>
  <c i="18" r="AK66"/>
  <c i="18" r="AK93" s="1"/>
  <c i="18" r="AJ59"/>
  <c i="18" r="AJ86" s="1"/>
  <c i="18" r="AD75"/>
  <c i="18" r="AD102" s="1"/>
  <c i="18" r="AB72"/>
  <c i="18" r="AB99" s="1"/>
  <c i="18" r="AH69"/>
  <c i="18" r="AH96" s="1"/>
  <c i="18" r="AD67"/>
  <c i="18" r="AD94" s="1"/>
  <c i="18" r="AQ68"/>
  <c i="18" r="AQ95" s="1"/>
  <c i="18" r="AC61"/>
  <c i="18" r="AC88" s="1"/>
  <c i="18" r="AE70"/>
  <c i="18" r="AE97" s="1"/>
  <c i="18" r="AA66"/>
  <c i="18" r="AA93" s="1"/>
  <c i="18" r="AJ68"/>
  <c i="18" r="AJ95" s="1"/>
  <c i="18" r="AL70"/>
  <c i="18" r="AL97" s="1"/>
  <c i="18" r="AP58"/>
  <c i="18" r="AP85" s="1"/>
  <c i="18" r="AM78"/>
  <c i="18" r="AB58"/>
  <c i="18" r="AB85" s="1"/>
  <c i="18" r="AC59"/>
  <c i="18" r="AC86" s="1"/>
  <c i="18" r="AG64"/>
  <c i="18" r="AG91" s="1"/>
  <c i="18" r="AJ69"/>
  <c i="18" r="AJ96" s="1"/>
  <c i="18" r="AM58"/>
  <c i="18" r="AR58"/>
  <c i="18" r="AR85" s="1"/>
  <c i="18" r="AH66"/>
  <c i="18" r="AH93" s="1"/>
  <c i="18" r="AQ77"/>
  <c i="18" r="AQ104" s="1"/>
  <c i="18" r="AK60"/>
  <c i="18" r="AK87" s="1"/>
  <c i="18" r="AR64"/>
  <c i="18" r="AR91" s="1"/>
  <c i="18" r="AD71"/>
  <c i="18" r="AD98" s="1"/>
  <c i="18" r="AC78"/>
  <c i="18" r="AH77"/>
  <c i="18" r="AH104" s="1"/>
  <c i="18" r="AU70"/>
  <c i="18" r="AU97" s="1"/>
  <c i="18" r="AH78"/>
  <c i="18" r="AC60"/>
  <c i="18" r="AC87" s="1"/>
  <c i="18" r="AA68"/>
  <c i="18" r="AA95" s="1"/>
  <c i="18" r="AA74"/>
  <c i="18" r="AA101" s="1"/>
  <c i="18" r="AI67"/>
  <c i="18" r="AI94" s="1"/>
  <c i="18" r="AS68"/>
  <c i="18" r="AS95" s="1"/>
  <c i="18" r="AG74"/>
  <c i="18" r="AG101" s="1"/>
  <c i="18" r="AA70"/>
  <c i="18" r="AA97" s="1"/>
  <c i="18" r="AE58"/>
  <c i="18" r="AE85" s="1"/>
  <c i="18" r="AF68"/>
  <c i="18" r="AF95" s="1"/>
  <c i="18" r="AV71"/>
  <c i="18" r="AV98" s="1"/>
  <c i="18" r="AS66"/>
  <c i="18" r="AS93" s="1"/>
  <c i="18" r="AR61"/>
  <c i="18" r="AR88" s="1"/>
  <c i="18" r="AS59"/>
  <c i="18" r="AS86" s="1"/>
  <c i="18" r="AN71"/>
  <c i="18" r="AN98" s="1"/>
  <c i="18" r="AJ63"/>
  <c i="18" r="AJ90" s="1"/>
  <c i="18" r="AV59"/>
  <c i="18" r="AV86" s="1"/>
  <c i="18" r="AQ60"/>
  <c i="18" r="AQ87" s="1"/>
  <c i="18" r="AQ78"/>
  <c i="18" r="AE78"/>
  <c i="18" r="AI71"/>
  <c i="18" r="AI98" s="1"/>
  <c i="18" r="AT78"/>
  <c i="18" r="AO73"/>
  <c i="18" r="AO100" s="1"/>
  <c i="18" r="AK62"/>
  <c i="18" r="AK89" s="1"/>
  <c i="18" r="AR75"/>
  <c i="18" r="AR102" s="1"/>
  <c i="18" r="AI74"/>
  <c i="18" r="AI101" s="1"/>
  <c i="18" r="AO67"/>
  <c i="18" r="AO94" s="1"/>
  <c i="18" r="AM69"/>
  <c i="18" r="AM96" s="1"/>
  <c i="18" r="AJ77"/>
  <c i="18" r="AJ104" s="1"/>
  <c i="18" r="AU63"/>
  <c i="18" r="AU90" s="1"/>
  <c i="18" r="AR77"/>
  <c i="18" r="AR104" s="1"/>
  <c i="18" r="AN74"/>
  <c i="18" r="AB78"/>
  <c i="18" r="AA69"/>
  <c i="18" r="AA96" s="1"/>
  <c i="18" r="AJ65"/>
  <c i="18" r="AR73"/>
  <c i="18" r="AR100" s="1"/>
  <c i="18" r="AL76"/>
  <c i="18" r="AL103" s="1"/>
  <c i="18" r="AE66"/>
  <c i="18" r="AE93" s="1"/>
  <c i="18" r="AT60"/>
  <c i="18" r="AT87" s="1"/>
  <c i="18" r="AG72"/>
  <c i="18" r="AG99" s="1"/>
  <c i="18" r="AM59"/>
  <c i="18" r="AM86" s="1"/>
  <c i="18" r="AL61"/>
  <c i="18" r="AL88" s="1"/>
  <c i="18" r="AI69"/>
  <c i="18" r="AI96" s="1"/>
  <c i="18" r="AO61"/>
  <c i="18" r="AO88" s="1"/>
  <c i="18" r="AB59"/>
  <c i="18" r="AB86" s="1"/>
  <c i="18" r="AR60"/>
  <c i="18" r="AR87" s="1"/>
  <c i="18" r="AU78"/>
  <c i="18" r="AT61"/>
  <c i="18" r="AT88" s="1"/>
  <c i="18" r="AU60"/>
  <c i="18" r="AU87" s="1"/>
  <c i="18" r="AI66"/>
  <c i="18" r="AI93" s="1"/>
  <c i="18" r="AU76"/>
  <c i="18" r="AU103" s="1"/>
  <c i="18" r="AO60"/>
  <c i="18" r="AO87" s="1"/>
  <c i="18" r="AN67"/>
  <c i="18" r="AN94" s="1"/>
  <c i="18" r="AN60"/>
  <c i="18" r="AN87" s="1"/>
  <c i="18" r="AT76"/>
  <c i="18" r="AT103" s="1"/>
  <c i="18" r="AM76"/>
  <c i="18" r="AM103" s="1"/>
  <c i="18" r="AV78"/>
  <c i="18" r="AE69"/>
  <c i="18" r="AE96" s="1"/>
  <c i="18" r="AO69"/>
  <c i="18" r="AO96" s="1"/>
  <c i="18" r="AU59"/>
  <c i="18" r="AU86" s="1"/>
  <c i="18" r="AD68"/>
  <c i="18" r="AD95" s="1"/>
  <c i="18" r="AU58"/>
  <c i="18" r="AU85" s="1"/>
  <c i="18" r="AC76"/>
  <c i="18" r="AC103" s="1"/>
  <c i="18" r="AI76"/>
  <c i="18" r="AI103" s="1"/>
  <c i="18" r="AL64"/>
  <c i="18" r="AL91" s="1"/>
  <c i="18" r="AU75"/>
  <c i="18" r="AU102" s="1"/>
  <c i="18" r="AV62"/>
  <c i="18" r="AV89" s="1"/>
  <c i="18" r="AN72"/>
  <c i="18" r="AN99" s="1"/>
  <c i="18" r="AU64"/>
  <c i="18" r="AU91" s="1"/>
  <c i="18" r="AF64"/>
  <c i="18" r="AF91" s="1"/>
  <c i="18" r="AI57"/>
  <c i="18" r="AI84" s="1"/>
  <c i="18" r="AG77"/>
  <c i="18" r="AG104" s="1"/>
  <c i="18" r="AS77"/>
  <c i="18" r="AS104" s="1"/>
  <c i="18" r="AF62"/>
  <c i="18" r="AF89" s="1"/>
  <c i="18" r="AR74"/>
  <c i="18" r="AR101" s="1"/>
  <c i="18" r="AB75"/>
  <c i="18" r="AB102" s="1"/>
  <c i="18" r="AJ74"/>
  <c i="18" r="AJ101" s="1"/>
  <c i="18" r="AD70"/>
  <c i="18" r="AD97" s="1"/>
  <c i="18" r="AI70"/>
  <c i="18" r="AI97" s="1"/>
  <c i="18" r="AP65"/>
  <c i="18" r="AP92" s="1"/>
  <c i="18" r="AJ60"/>
  <c i="18" r="AJ87" s="1"/>
  <c i="18" r="AA77"/>
  <c i="18" r="AV69"/>
  <c i="18" r="AV96" s="1"/>
  <c i="18" r="AN61"/>
  <c i="18" r="AN88" s="1"/>
  <c i="18" r="AS58"/>
  <c i="18" r="AS85" s="1"/>
  <c i="18" r="AD72"/>
  <c i="18" r="AD99" s="1"/>
  <c i="18" r="AV76"/>
  <c i="18" r="AV103" s="1"/>
  <c i="18" r="AR66"/>
  <c i="18" r="AR93" s="1"/>
  <c i="18" r="AF67"/>
  <c i="18" r="AF94" s="1"/>
  <c i="18" r="AQ76"/>
  <c i="18" r="AQ103" s="1"/>
  <c i="18" r="AV57"/>
  <c i="18" r="AV84" s="1"/>
  <c i="18" r="AT65"/>
  <c i="18" r="AT92" s="1"/>
  <c i="18" r="AJ72"/>
  <c i="18" r="AJ99" s="1"/>
  <c i="18" r="AO71"/>
  <c i="18" r="AO98" s="1"/>
  <c i="18" r="AF73"/>
  <c i="18" r="AF100" s="1"/>
  <c i="18" r="AG66"/>
  <c i="18" r="AG93" s="1"/>
  <c i="18" r="AU74"/>
  <c i="18" r="AU101" s="1"/>
  <c i="18" r="AK70"/>
  <c i="18" r="AK97" s="1"/>
  <c i="18" r="AN76"/>
  <c i="18" r="AN103" s="1"/>
  <c i="18" r="AE67"/>
  <c i="18" r="AE94" s="1"/>
  <c i="18" r="AG68"/>
  <c i="18" r="AG95" s="1"/>
  <c i="18" r="AO62"/>
  <c i="18" r="AO89" s="1"/>
  <c i="18" r="AG65"/>
  <c i="18" r="AG92" s="1"/>
  <c i="18" r="AD59"/>
  <c i="18" r="AJ62"/>
  <c i="18" r="AJ89" s="1"/>
  <c i="18" r="AP70"/>
  <c i="18" r="AP97" s="1"/>
  <c i="18" r="AB68"/>
  <c i="18" r="AB95" s="1"/>
  <c i="18" r="AE63"/>
  <c i="18" r="AE90" s="1"/>
  <c i="18" r="AK78"/>
  <c i="18" r="AR65"/>
  <c i="18" r="AR92" s="1"/>
  <c i="18" r="AM72"/>
  <c i="18" r="AM99" s="1"/>
  <c i="18" r="AT66"/>
  <c i="18" r="AT93" s="1"/>
  <c i="18" r="AC65"/>
  <c i="18" r="AC92" s="1"/>
  <c i="18" r="AS63"/>
  <c i="18" r="AS90" s="1"/>
  <c i="18" r="AO70"/>
  <c i="18" r="AO97" s="1"/>
  <c i="18" r="AQ66"/>
  <c i="18" r="AQ93" s="1"/>
  <c i="18" r="AS69"/>
  <c i="18" r="AS96" s="1"/>
  <c i="18" r="AB70"/>
  <c i="18" r="AB97" s="1"/>
  <c i="18" r="AQ71"/>
  <c i="18" r="AQ98" s="1"/>
  <c i="18" r="AT64"/>
  <c i="18" r="AT91" s="1"/>
  <c i="18" r="AI65"/>
  <c i="18" r="AI92" s="1"/>
  <c i="18" r="AE71"/>
  <c i="18" r="AE98" s="1"/>
  <c i="18" r="AQ57"/>
  <c i="18" r="AQ84" s="1"/>
  <c i="18" r="AF76"/>
  <c i="18" r="AF103" s="1"/>
  <c i="18" r="AG58"/>
  <c i="18" r="AG85" s="1"/>
  <c i="18" r="AJ75"/>
  <c i="18" r="AJ102" s="1"/>
  <c i="18" r="AK71"/>
  <c i="18" r="AK98" s="1"/>
  <c i="18" r="AK74"/>
  <c i="18" r="AK101" s="1"/>
  <c i="18" r="AA67"/>
  <c i="18" r="AA94" s="1"/>
  <c i="18" r="AK77"/>
  <c i="18" r="AK104" s="1"/>
  <c i="18" r="AF69"/>
  <c i="18" r="AF96" s="1"/>
  <c i="18" r="AA75"/>
  <c i="18" r="AA102" s="1"/>
  <c i="18" r="AT59"/>
  <c i="18" r="AT86" s="1"/>
  <c i="18" r="AB76"/>
  <c i="18" r="AB103" s="1"/>
  <c i="18" r="AH64"/>
  <c i="18" r="AH91" s="1"/>
  <c i="18" r="AO78"/>
  <c i="18" r="AC58"/>
  <c i="18" r="AC85" s="1"/>
  <c i="18" r="AM67"/>
  <c i="18" r="AM94" s="1"/>
  <c i="18" r="AP57"/>
  <c i="18" r="AP84" s="1"/>
  <c i="18" r="AH72"/>
  <c i="18" r="AH99" s="1"/>
  <c i="18" r="AS65"/>
  <c i="18" r="AS92" s="1"/>
  <c i="18" r="AR78"/>
  <c i="18" r="AR67"/>
  <c i="18" r="AL59"/>
  <c i="18" r="AL86" s="1"/>
  <c i="18" r="AM66"/>
  <c i="18" r="AM93" s="1"/>
  <c i="18" r="AA64"/>
  <c i="18" r="AA91" s="1"/>
  <c i="18" r="AM60"/>
  <c i="18" r="AM87" s="1"/>
  <c i="18" r="AU72"/>
  <c i="18" r="AK73"/>
  <c i="18" r="AK100" s="1"/>
  <c i="18" r="AV65"/>
  <c i="18" r="AV92" s="1"/>
  <c i="18" r="AF60"/>
  <c i="18" r="AF87" s="1"/>
  <c i="18" r="AP61"/>
  <c i="18" r="AP88" s="1"/>
  <c i="18" r="AL66"/>
  <c i="18" r="AL93" s="1"/>
  <c i="18" r="AN66"/>
  <c i="18" r="AN93" s="1"/>
  <c i="18" r="AG61"/>
  <c i="18" r="AG88" s="1"/>
  <c i="18" r="AI73"/>
  <c i="18" r="AI100" s="1"/>
  <c i="18" r="AI60"/>
  <c i="18" r="AI87" s="1"/>
  <c i="18" r="AQ65"/>
  <c i="18" r="AQ92" s="1"/>
  <c i="18" r="AV63"/>
  <c i="18" r="AV90" s="1"/>
  <c i="18" r="AJ71"/>
  <c i="18" r="AJ98" s="1"/>
  <c i="18" r="AK65"/>
  <c i="18" r="AK92" s="1"/>
  <c i="18" r="AR59"/>
  <c i="18" r="AO74"/>
  <c i="18" r="AO101" s="1"/>
  <c i="18" r="AL74"/>
  <c i="18" r="AL101" s="1"/>
  <c i="18" r="AH68"/>
  <c i="18" r="AH95" s="1"/>
  <c i="18" r="AU62"/>
  <c i="18" r="AU89" s="1"/>
  <c i="18" r="AE73"/>
  <c i="18" r="AE100" s="1"/>
  <c i="18" r="AP69"/>
  <c i="18" r="AP96" s="1"/>
  <c i="18" r="AD65"/>
  <c i="18" r="AD92" s="1"/>
  <c i="18" r="AB67"/>
  <c i="18" r="AB94" s="1"/>
  <c i="18" r="AI62"/>
  <c i="18" r="AI89" s="1"/>
  <c i="18" r="AT63"/>
  <c i="18" r="AT90" s="1"/>
  <c i="18" r="AD74"/>
  <c i="18" r="AD101" s="1"/>
  <c i="18" r="AQ70"/>
  <c i="18" r="AQ97" s="1"/>
  <c i="18" r="AD63"/>
  <c i="18" r="AD90" s="1"/>
  <c i="18" r="AQ67"/>
  <c i="18" r="AQ94" s="1"/>
  <c i="18" r="AN75"/>
  <c i="18" r="AN102" s="1"/>
  <c i="18" r="AR62"/>
  <c i="18" r="AR89" s="1"/>
  <c i="18" r="AM61"/>
  <c i="18" r="AM88" s="1"/>
  <c i="18" r="AG75"/>
  <c i="18" r="AG102" s="1"/>
  <c i="18" r="AA62"/>
  <c i="18" r="AA89" s="1"/>
  <c i="18" r="AI61"/>
  <c i="18" r="AI88" s="1"/>
  <c i="18" r="AB77"/>
  <c i="18" r="AB104" s="1"/>
  <c i="18" r="AA72"/>
  <c i="18" r="AA99" s="1"/>
  <c i="18" r="AT68"/>
  <c i="18" r="AT95" s="1"/>
  <c i="18" r="AE77"/>
  <c i="18" r="AE104" s="1"/>
  <c i="18" r="AC69"/>
  <c i="18" r="AC96" s="1"/>
  <c i="18" r="AS61"/>
  <c i="18" r="AS88" s="1"/>
  <c i="18" r="AH65"/>
  <c i="18" r="AH92" s="1"/>
  <c i="18" r="AR57"/>
  <c i="18" r="AR84" s="1"/>
  <c i="18" r="AC67"/>
  <c i="18" r="AC94" s="1"/>
  <c i="18" r="AR68"/>
  <c i="18" r="AR95" s="1"/>
  <c i="18" r="AO59"/>
  <c i="18" r="AO86" s="1"/>
  <c i="18" r="AG59"/>
  <c i="18" r="AG86" s="1"/>
  <c i="18" r="AM63"/>
  <c i="18" r="AM90" s="1"/>
  <c i="18" r="AP63"/>
  <c i="18" r="AP90" s="1"/>
  <c i="18" r="AH59"/>
  <c i="18" r="AH86" s="1"/>
  <c i="18" r="AU57"/>
  <c i="18" r="AU84" s="1"/>
  <c i="18" r="AV72"/>
  <c i="18" r="AV99" s="1"/>
  <c i="18" r="AJ76"/>
  <c i="18" r="AJ103" s="1"/>
  <c i="18" r="AD64"/>
  <c i="18" r="AD91" s="1"/>
  <c i="18" r="AK57"/>
  <c i="18" r="AK84" s="1"/>
  <c i="18" r="AB62"/>
  <c i="18" r="AB89" s="1"/>
  <c i="18" r="AD62"/>
  <c i="18" r="AD89" s="1"/>
  <c i="18" r="AF57"/>
  <c i="18" r="AF84" s="1"/>
  <c i="18" r="AC57"/>
  <c i="18" r="AC84" s="1"/>
  <c i="18" r="AQ74"/>
  <c i="18" r="AQ101" s="1"/>
  <c i="18" r="AD77"/>
  <c i="18" r="AD104" s="1"/>
  <c i="18" r="AJ64"/>
  <c i="18" r="AJ91" s="1"/>
  <c i="18" r="AB60"/>
  <c i="18" r="AB87" s="1"/>
  <c i="18" r="AD57"/>
  <c i="18" r="AD84" s="1"/>
  <c i="18" r="AB64"/>
  <c i="18" r="AB91" s="1"/>
  <c i="18" r="AA61"/>
  <c i="18" r="AA88" s="1"/>
  <c i="18" r="AJ61"/>
  <c i="18" r="AJ88" s="1"/>
  <c i="18" r="AN62"/>
  <c i="18" r="AN89" s="1"/>
  <c i="18" r="AN69"/>
  <c i="18" r="AN96" s="1"/>
  <c i="18" r="AD61"/>
  <c i="18" r="AD88" s="1"/>
  <c i="18" r="AU69"/>
  <c i="18" r="AU96" s="1"/>
  <c i="18" r="AO64"/>
  <c i="18" r="AO91" s="1"/>
  <c i="18" r="AH70"/>
  <c i="18" r="AH97" s="1"/>
  <c i="18" r="AL57"/>
  <c i="18" r="AL84" s="1"/>
  <c i="18" r="AL63"/>
  <c i="18" r="AL90" s="1"/>
  <c i="18" r="AI75"/>
  <c i="18" r="AI102" s="1"/>
  <c i="18" r="AE68"/>
  <c i="18" r="AE95" s="1"/>
  <c i="18" r="AE64"/>
  <c i="18" r="AE91" s="1"/>
  <c i="18" r="AP74"/>
  <c i="18" r="AP101" s="1"/>
  <c i="18" r="AO72"/>
  <c i="18" r="AO99" s="1"/>
  <c i="18" r="AO77"/>
  <c i="18" r="AO104" s="1"/>
  <c i="18" r="AF63"/>
  <c i="18" r="AF90" s="1"/>
  <c i="18" r="AE61"/>
  <c i="18" r="AE88" s="1"/>
  <c i="18" r="CS51"/>
  <c i="18" r="AM71"/>
  <c i="18" r="AM98" s="1"/>
  <c i="18" r="AJ67"/>
  <c i="18" r="AJ94" s="1"/>
  <c i="18" r="AJ57"/>
  <c i="18" r="AJ84" s="1"/>
  <c i="18" r="AP76"/>
  <c i="18" r="AC62"/>
  <c i="18" r="AC89" s="1"/>
  <c i="18" r="AS72"/>
  <c i="18" r="AS99" s="1"/>
  <c i="18" r="AM65"/>
  <c i="18" r="AM92" s="1"/>
  <c i="18" r="AL73"/>
  <c i="18" r="AL100" s="1"/>
  <c i="18" r="AK58"/>
  <c i="18" r="AK85" s="1"/>
  <c i="18" r="AI72"/>
  <c i="18" r="AI99" s="1"/>
  <c i="18" r="AV68"/>
  <c i="18" r="AV95" s="1"/>
  <c i="18" r="AV66"/>
  <c i="18" r="AV93" s="1"/>
  <c i="18" r="AT57"/>
  <c i="18" r="AT84" s="1"/>
  <c i="18" r="AN65"/>
  <c i="18" r="AN92" s="1"/>
  <c i="18" r="AH60"/>
  <c i="18" r="AH87" s="1"/>
  <c i="18" r="AU68"/>
  <c i="18" r="AU95" s="1"/>
  <c i="18" r="AO63"/>
  <c i="18" r="AO90" s="1"/>
  <c i="18" r="AG63"/>
  <c i="18" r="AG90" s="1"/>
  <c i="18" r="AE60"/>
  <c i="18" r="AE87" s="1"/>
  <c i="18" r="AL75"/>
  <c i="18" r="AL102" s="1"/>
  <c i="18" r="AE74"/>
  <c i="18" r="AE101" s="1"/>
  <c i="18" r="AC73"/>
  <c i="18" r="AC100" s="1"/>
  <c i="18" r="AQ58"/>
  <c i="18" r="AQ85" s="1"/>
  <c i="18" r="AS76"/>
  <c i="18" r="AS103" s="1"/>
  <c i="18" r="AP77"/>
  <c i="18" r="AP104" s="1"/>
  <c i="18" r="AS64"/>
  <c i="18" r="AS91" s="1"/>
  <c i="18" r="AO66"/>
  <c i="18" r="AO93" s="1"/>
  <c i="18" r="AV74"/>
  <c i="18" r="AV101" s="1"/>
  <c i="18" r="AP59"/>
  <c i="18" r="AP86" s="1"/>
  <c i="18" r="AQ72"/>
  <c i="18" r="AQ99" s="1"/>
  <c i="18" r="AS67"/>
  <c i="18" r="AS94" s="1"/>
  <c i="18" r="AP75"/>
  <c i="18" r="AP102" s="1"/>
  <c i="18" r="AU61"/>
  <c i="18" r="AU88" s="1"/>
  <c i="18" r="AD73"/>
  <c i="18" r="AD100" s="1"/>
  <c i="18" r="AR63"/>
  <c i="18" r="AR90" s="1"/>
  <c i="18" r="AM77"/>
  <c i="18" r="AM104" s="1"/>
  <c i="18" r="AM75"/>
  <c i="18" r="AM102" s="1"/>
  <c i="18" r="AK59"/>
  <c i="18" r="AK86" s="1"/>
  <c i="18" r="AN59"/>
  <c i="18" r="AN86" s="1"/>
  <c i="18" r="AG76"/>
  <c i="18" r="AG103" s="1"/>
  <c i="18" r="AR76"/>
  <c i="18" r="AR103" s="1"/>
  <c i="18" r="AN63"/>
  <c i="18" r="AN90" s="1"/>
  <c i="18" r="AC72"/>
  <c i="18" r="AC99" s="1"/>
  <c i="18" r="AC64"/>
  <c i="18" r="AC91" s="1"/>
  <c i="18" r="AF75"/>
  <c i="18" r="AF102" s="1"/>
  <c i="18" r="AK63"/>
  <c i="18" r="AK90" s="1"/>
  <c i="18" r="AM64"/>
  <c i="18" r="AM91" s="1"/>
  <c i="18" r="AV77"/>
  <c i="18" r="AV104" s="1"/>
  <c i="18" r="AO58"/>
  <c i="18" r="AO85" s="1"/>
  <c i="18" r="AV61"/>
  <c i="18" r="AV88" s="1"/>
  <c i="18" r="AL58"/>
  <c i="18" r="AL85" s="1"/>
  <c i="18" r="AI77"/>
  <c i="18" r="AI104" s="1"/>
  <c i="18" r="AF77"/>
  <c i="18" r="AF104" s="1"/>
  <c i="18" r="AK64"/>
  <c i="18" r="AK91" s="1"/>
  <c i="18" r="AC74"/>
  <c i="18" r="AC101" s="1"/>
  <c i="18" r="AN70"/>
  <c i="18" r="AN97" s="1"/>
  <c i="18" r="AO76"/>
  <c i="18" r="AO103" s="1"/>
  <c i="18" r="AP62"/>
  <c i="18" r="AP89" s="1"/>
  <c i="18" r="AK61"/>
  <c i="18" r="AK88" s="1"/>
  <c i="18" r="AA71"/>
  <c i="18" r="AA98" s="1"/>
  <c i="18" r="AR70"/>
  <c i="18" r="AR97" s="1"/>
  <c i="18" r="AG71"/>
  <c i="18" r="AG98" s="1"/>
  <c i="18" r="AC63"/>
  <c i="18" r="AC90" s="1"/>
  <c i="18" r="AP73"/>
  <c i="18" r="AP100" s="1"/>
  <c i="18" r="AT77"/>
  <c i="18" r="AT104" s="1"/>
  <c i="18" r="AG67"/>
  <c i="18" r="AG94" s="1"/>
  <c i="18" r="AG62"/>
  <c i="18" r="AG89" s="1"/>
  <c i="18" r="AK72"/>
  <c i="18" r="AK99" s="1"/>
  <c i="18" r="AQ63"/>
  <c i="18" r="AQ90" s="1"/>
  <c i="18" r="AO57"/>
  <c i="18" r="AO84" s="1"/>
  <c i="18" r="AD60"/>
  <c i="18" r="AD87" s="1"/>
  <c i="18" r="AQ75"/>
  <c i="18" r="AQ102" s="1"/>
  <c i="18" r="AQ73"/>
  <c i="18" r="AQ100" s="1"/>
  <c i="18" r="AE62"/>
  <c i="18" r="AE89" s="1"/>
  <c i="18" r="AU65"/>
  <c i="18" r="AU92" s="1"/>
  <c i="18" r="AM74"/>
  <c i="18" r="AM101" s="1"/>
  <c i="18" r="AI64"/>
  <c i="18" r="AI91" s="1"/>
  <c i="18" r="AV70"/>
  <c i="18" r="AV97" s="1"/>
  <c i="18" r="AB63"/>
  <c i="18" r="AB90" s="1"/>
  <c i="18" r="AL60"/>
  <c i="18" r="AL87" s="1"/>
  <c i="18" r="AJ58"/>
  <c i="18" r="AJ85" s="1"/>
  <c i="18" r="AS74"/>
  <c i="18" r="AS101" s="1"/>
  <c i="18" r="AO75"/>
  <c i="18" r="AO102" s="1"/>
  <c i="18" r="AS62"/>
  <c i="18" r="AS89" s="1"/>
  <c i="18" r="AA76"/>
  <c i="18" r="AA103" s="1"/>
  <c i="18" r="AB65"/>
  <c i="18" r="AB92" s="1"/>
  <c i="18" r="AT73"/>
  <c i="18" r="AT100" s="1"/>
  <c i="18" r="AH58"/>
  <c i="18" r="AH85" s="1"/>
  <c i="18" r="AA60"/>
  <c i="18" r="AA87" s="1"/>
  <c i="18" r="AU71"/>
  <c i="18" r="AU98" s="1"/>
  <c i="18" r="AF70"/>
  <c i="18" r="AF97" s="1"/>
  <c i="18" r="AN73"/>
  <c i="18" r="AN100" s="1"/>
  <c i="18" r="AU66"/>
  <c i="18" r="AU93" s="1"/>
  <c i="18" r="AM62"/>
  <c i="18" r="AM89" s="1"/>
  <c i="18" r="AG69"/>
  <c i="18" r="AA65"/>
  <c i="18" r="AA92" s="1"/>
  <c i="18" r="AK75"/>
  <c i="18" r="AK102" s="1"/>
  <c i="18" r="BU58"/>
  <c i="18" r="AQ61"/>
  <c i="18" r="AF74"/>
  <c i="18" r="AF101" s="1"/>
  <c i="18" r="AR69"/>
  <c i="18" r="AR96" s="1"/>
  <c i="18" r="AH61"/>
  <c i="18" r="AH88" s="1"/>
  <c i="18" r="AK76"/>
  <c i="18" r="AK103" s="1"/>
  <c i="18" r="AU73"/>
  <c i="18" r="AU100" s="1"/>
  <c i="18" r="AC70"/>
  <c i="18" r="AC97" s="1"/>
  <c i="18" r="AV60"/>
  <c i="18" r="AV87" s="1"/>
  <c i="18" r="AE72"/>
  <c i="18" r="AE99" s="1"/>
  <c i="18" r="AG60"/>
  <c i="18" r="AG87" s="1"/>
  <c i="18" r="AF65"/>
  <c i="18" r="AF92" s="1"/>
  <c i="18" r="AC71"/>
  <c i="18" r="AC98" s="1"/>
  <c i="18" r="AH76"/>
  <c i="18" r="AH103" s="1"/>
  <c i="18" r="AA58"/>
  <c i="18" r="AA85" s="1"/>
  <c i="18" r="AR71"/>
  <c i="18" r="AR98" s="1"/>
  <c i="18" r="AP78"/>
  <c i="18" r="AI68"/>
  <c i="18" r="AI95" s="1"/>
  <c i="18" r="AP67"/>
  <c i="18" r="AP94" s="1"/>
  <c i="18" r="AB61"/>
  <c i="18" r="AB88" s="1"/>
  <c i="18" r="AI58"/>
  <c i="18" r="AI85" s="1"/>
  <c i="18" r="AP68"/>
  <c i="18" r="AP95" s="1"/>
  <c i="18" r="AH63"/>
  <c i="18" r="AH90" s="1"/>
  <c i="18" r="AH62"/>
  <c i="18" r="AV64"/>
  <c i="18" r="AV91" s="1"/>
  <c i="18" r="AC68"/>
  <c i="18" r="AC95" s="1"/>
  <c i="18" r="AK67"/>
  <c i="18" r="AK94" s="1"/>
  <c i="18" r="AV67"/>
  <c i="18" r="AV94" s="1"/>
  <c i="18" r="AL67"/>
  <c i="18" r="AL94" s="1"/>
  <c i="18" r="AV75"/>
  <c i="18" r="AV102" s="1"/>
  <c i="18" r="AS78"/>
  <c i="18" r="AG70"/>
  <c i="18" r="AG97" s="1"/>
  <c i="18" r="AA59"/>
  <c i="18" r="AA86" s="1"/>
  <c i="18" r="AM68"/>
  <c i="18" r="AM95" s="1"/>
  <c i="18" r="AL69"/>
  <c i="18" r="AL96" s="1"/>
  <c i="18" r="AQ62"/>
  <c i="18" r="AQ89" s="1"/>
  <c i="18" r="AF61"/>
  <c i="18" r="AF88" s="1"/>
  <c i="18" r="AT62"/>
  <c i="18" r="AT89" s="1"/>
  <c i="18" r="AJ70"/>
  <c i="18" r="AJ97" s="1"/>
  <c i="18" r="AK69"/>
  <c i="18" r="AK68"/>
  <c i="18" r="AL68"/>
  <c i="18" r="AL95" s="1"/>
  <c i="18" r="AG73"/>
  <c i="18" r="AG100" s="1"/>
  <c i="18" r="AL65"/>
  <c i="18" r="AD69"/>
  <c i="18" r="AD96" s="1"/>
  <c i="18" r="AT69"/>
  <c i="18" r="AT96" s="1"/>
  <c i="18" r="AN57"/>
  <c i="18" r="AN84" s="1"/>
  <c i="18" r="AT75"/>
  <c i="18" r="AH74"/>
  <c i="18" r="AH101" s="1"/>
  <c i="18" r="AV58"/>
  <c i="18" r="AV85" s="1"/>
  <c i="18" r="AG57"/>
  <c i="18" r="AG84" s="1"/>
  <c i="18" r="AS70"/>
  <c i="18" r="AS97" s="1"/>
  <c i="18" r="AS60"/>
  <c i="18" r="AJ66"/>
  <c i="18" r="AJ93" s="1"/>
  <c i="18" r="AD58"/>
  <c i="18" r="AD85" s="1"/>
  <c i="18" r="AQ69"/>
  <c i="18" r="AQ96" s="1"/>
  <c i="18" r="AL62"/>
  <c i="18" r="AL89" s="1"/>
  <c i="18" r="AC75"/>
  <c i="18" r="AC102" s="1"/>
  <c i="18" r="AP72"/>
  <c i="18" r="AP99" s="1"/>
  <c i="18" r="AF72"/>
  <c i="18" r="AF99" s="1"/>
  <c i="18" r="AL71"/>
  <c i="18" r="AL98" s="1"/>
  <c i="18" r="AB73"/>
  <c i="18" r="AB100" s="1"/>
  <c i="18" r="AD66"/>
  <c i="18" r="AD93" s="1"/>
  <c i="18" r="AS57"/>
  <c i="18" r="AS84" s="1"/>
  <c i="18" r="AP71"/>
  <c i="18" r="AP98" s="1"/>
  <c i="18" r="AL77"/>
  <c i="18" r="AL104" s="1"/>
  <c i="18" r="AE57"/>
  <c i="18" r="AE84" s="1"/>
  <c i="18" r="AE75"/>
  <c i="18" r="AE102" s="1"/>
  <c i="18" r="AT58"/>
  <c i="18" r="AT85" s="1"/>
  <c i="18" r="AB74"/>
  <c i="18" r="AB101" s="1"/>
  <c i="18" r="AU77"/>
  <c i="18" r="AU104" s="1"/>
  <c i="18" r="AP60"/>
  <c i="18" r="AP87" s="1"/>
  <c i="18" r="AD76"/>
  <c i="18" r="AD103" s="1"/>
  <c i="18" r="AT71"/>
  <c i="18" r="AT98" s="1"/>
  <c i="18" r="AA78"/>
  <c i="18" r="AE65"/>
  <c i="18" r="AE92" s="1"/>
  <c i="18" r="AE59"/>
  <c i="18" r="AE86" s="1"/>
  <c i="18" r="AB69"/>
  <c i="18" r="AL72"/>
  <c i="18" r="AL99" s="1"/>
  <c i="18" r="AF58"/>
  <c i="18" r="AF85" s="1"/>
  <c i="18" r="AM73"/>
  <c i="18" r="AM100" s="1"/>
  <c i="18" r="AT70"/>
  <c i="18" r="AT97" s="1"/>
  <c i="18" r="AG78"/>
  <c i="1" r="CL36"/>
  <c i="18" r="M18"/>
  <c i="18" r="AZ58"/>
  <c a="1" i="18" r="AK8" s="1"/>
  <c i="18" r="AK8" s="1"/>
  <c i="18" r="AA131"/>
  <c i="18" r="AA157" s="1"/>
  <c i="18" r="BX51"/>
  <c i="18" r="BS58"/>
  <c i="18" r="AT131"/>
  <c i="18" r="AT157" s="1"/>
  <c i="18" r="CQ51"/>
  <c i="1" r="CJ22"/>
  <c i="18" r="P4" s="1"/>
  <c i="18" r="N4"/>
  <c i="18" r="R4" s="1"/>
  <c i="18" r="AE4" s="1"/>
  <c i="18" r="AF4" s="1"/>
  <c i="1" r="CJ42"/>
  <c i="18" r="N24"/>
  <c i="1" r="CJ24"/>
  <c i="18" r="P6" s="1"/>
  <c i="18" r="N6"/>
  <c i="18" r="R6" s="1"/>
  <c i="18" r="AE6" s="1"/>
  <c i="18" r="BO58"/>
  <c i="18" r="AP131"/>
  <c i="18" r="AP157" s="1"/>
  <c i="18" r="CM51"/>
  <c i="18" r="AV131"/>
  <c i="18" r="AV157" s="1"/>
  <c i="18" r="BA58"/>
  <c i="18" r="AB131"/>
  <c i="18" r="AB157" s="1"/>
  <c i="18" r="CI51"/>
  <c i="1" r="CL39"/>
  <c i="18" r="M21"/>
  <c i="1" r="CJ23"/>
  <c i="18" r="P5" s="1"/>
  <c i="18" r="N5"/>
  <c i="18" r="R5" s="1"/>
  <c i="18" r="AE5" s="1"/>
  <c i="1" r="CL41"/>
  <c i="18" r="BE58"/>
  <c i="18" r="AF131"/>
  <c i="18" r="AF157" s="1"/>
  <c i="18" r="BY51"/>
  <c i="18" r="BJ58"/>
  <c i="18" r="AK131"/>
  <c i="18" r="AK157" s="1"/>
  <c i="1" r="CJ36"/>
  <c i="18" r="P18" s="1"/>
  <c i="18" r="N18"/>
  <c i="18" r="R18" s="1"/>
  <c i="18" r="AE18" s="1"/>
  <c i="1" r="CJ25"/>
  <c i="18" r="P7" s="1"/>
  <c i="18" r="N7"/>
  <c i="18" r="R7" s="1"/>
  <c i="18" r="AE7" s="1"/>
  <c i="1" r="CL38"/>
  <c i="18" r="CC51"/>
  <c i="1" r="CJ32"/>
  <c i="18" r="P14" s="1"/>
  <c i="18" r="N14"/>
  <c i="18" r="R14" s="1"/>
  <c i="18" r="AE14" s="1"/>
  <c i="1" r="CJ33"/>
  <c i="18" r="P15" s="1"/>
  <c i="18" r="N15"/>
  <c i="18" r="R15" s="1"/>
  <c i="18" r="AE15" s="1"/>
  <c i="1" r="CL34"/>
  <c i="18" r="M16"/>
  <c i="18" r="BL58"/>
  <c i="18" r="AM131"/>
  <c i="18" r="AM157" s="1"/>
  <c i="1" r="CJ37"/>
  <c i="18" r="P19" s="1"/>
  <c i="18" r="N19"/>
  <c i="18" r="R19" s="1"/>
  <c i="18" r="AE19" s="1"/>
  <c i="12" r="H90"/>
  <c i="1" r="CJ27"/>
  <c i="18" r="P9" s="1"/>
  <c i="18" r="N9"/>
  <c i="18" r="R9" s="1"/>
  <c i="18" r="AE9" s="1"/>
  <c i="1" r="CJ34"/>
  <c i="18" r="P16" s="1"/>
  <c i="18" r="N16"/>
  <c i="18" r="R16" s="1"/>
  <c i="18" r="AE16" s="1"/>
  <c i="18" r="CO51"/>
  <c i="1" r="CJ31"/>
  <c i="18" r="P13" s="1"/>
  <c i="18" r="N13"/>
  <c i="18" r="R13" s="1"/>
  <c i="18" r="AE13" s="1"/>
  <c i="1" r="CJ38"/>
  <c i="18" r="P20" s="1"/>
  <c i="18" r="N20"/>
  <c i="18" r="R20" s="1"/>
  <c i="18" r="AE20" s="1"/>
  <c i="1" r="CL26"/>
  <c i="18" r="M8"/>
  <c i="1" r="CL30"/>
  <c i="18" r="M12"/>
  <c i="18" r="BQ58"/>
  <c i="18" r="AR131"/>
  <c i="18" r="AR157" s="1"/>
  <c i="1" r="CJ29"/>
  <c i="18" r="P11" s="1"/>
  <c i="18" r="N11"/>
  <c i="18" r="R11" s="1"/>
  <c i="18" r="AE11" s="1"/>
  <c i="1" r="CL25"/>
  <c i="18" r="M7"/>
  <c i="1" r="CJ35"/>
  <c i="18" r="P17" s="1"/>
  <c i="18" r="N17"/>
  <c i="18" r="R17" s="1"/>
  <c i="18" r="AE17" s="1"/>
  <c i="1" r="CJ39"/>
  <c i="18" r="P21" s="1"/>
  <c i="18" r="N21"/>
  <c i="18" r="R21" s="1"/>
  <c i="18" r="AE21" s="1"/>
  <c i="1" r="CL28"/>
  <c i="18" r="M10"/>
  <c i="18" r="CE51"/>
  <c i="18" r="CP51"/>
  <c i="18" r="CR51"/>
  <c i="18" r="BT58"/>
  <c i="1" r="CL33"/>
  <c i="18" r="M15"/>
  <c i="1" r="CL31"/>
  <c i="18" r="M13"/>
  <c i="18" r="BG58"/>
  <c i="18" r="AH131"/>
  <c i="18" r="AH157" s="1"/>
  <c i="18" r="BR58"/>
  <c i="18" r="AS131"/>
  <c i="18" r="AS157" s="1"/>
  <c i="1" r="CJ40"/>
  <c i="18" r="P22" s="1"/>
  <c i="18" r="N22"/>
  <c i="18" r="R22" s="1"/>
  <c i="18" r="AE22" s="1"/>
  <c i="1" r="CL32"/>
  <c i="18" r="M14"/>
  <c i="1" r="CL35"/>
  <c i="18" r="M17"/>
  <c i="1" r="CL29"/>
  <c i="18" r="M11"/>
  <c i="1" r="CL24"/>
  <c i="18" r="M6"/>
  <c i="1" r="CL37"/>
  <c i="18" r="M19"/>
  <c i="1" r="CL40"/>
  <c i="18" r="M22"/>
  <c i="18" r="BB58"/>
  <c i="18" r="AC131"/>
  <c i="18" r="AC157" s="1"/>
  <c i="1" r="CJ41"/>
  <c i="18" r="P23" s="1"/>
  <c i="18" r="N23"/>
  <c i="18" r="R23" s="1"/>
  <c i="18" r="AE23" s="1"/>
  <c i="1" r="CJ26"/>
  <c i="18" r="P8" s="1"/>
  <c i="18" r="N8"/>
  <c i="18" r="R8" s="1"/>
  <c i="18" r="AE8" s="1"/>
  <c i="18" r="BZ51"/>
  <c i="12" r="G58"/>
  <c i="12" r="H117"/>
  <c i="12" r="G96"/>
  <c i="12" r="G56"/>
  <c i="12" r="G55"/>
  <c i="12" r="H97"/>
  <c i="12" r="H96"/>
  <c i="12" r="H56"/>
  <c i="12" r="H95"/>
  <c i="12" r="G75"/>
  <c i="12" r="G108"/>
  <c i="12" r="H87"/>
  <c i="12" r="H47"/>
  <c i="12" r="H86"/>
  <c i="12" r="H46"/>
  <c i="12" r="G106"/>
  <c i="12" r="H85"/>
  <c i="12" r="H45"/>
  <c i="12" r="G104"/>
  <c i="12" r="H123"/>
  <c i="12" r="H83"/>
  <c i="12" r="H43"/>
  <c i="12" r="G103"/>
  <c i="12" r="H42"/>
  <c i="12" r="G62"/>
  <c i="12" r="H121"/>
  <c i="12" r="G61"/>
  <c i="12" r="H120"/>
  <c i="12" r="H80"/>
  <c i="12" r="H40"/>
  <c i="12" r="G60"/>
  <c i="12" r="H119"/>
  <c i="12" r="H39"/>
  <c i="12" r="G99"/>
  <c i="12" r="G59"/>
  <c i="12" r="H118"/>
  <c i="12" r="G109"/>
  <c i="12" r="H88"/>
  <c i="12" r="H48"/>
  <c i="12" r="G107"/>
  <c i="12" r="G123"/>
  <c i="12" r="G83"/>
  <c i="12" r="H99"/>
  <c i="12" r="H59"/>
  <c i="12" r="G110"/>
  <c i="12" r="H49"/>
  <c i="12" r="G84"/>
  <c i="12" r="H63"/>
  <c i="12" r="H61"/>
  <c i="12" r="H62"/>
  <c i="12" r="G82"/>
  <c i="12" r="G80"/>
  <c i="12" r="G120"/>
  <c i="12" r="G79"/>
  <c i="12" r="G38"/>
  <c i="12" r="H94"/>
  <c i="12" r="H93"/>
  <c i="12" r="H51"/>
  <c i="12" r="H115"/>
  <c i="12" r="H75"/>
  <c i="12" r="H114"/>
  <c i="12" r="H73"/>
  <c i="12" r="H112"/>
  <c i="12" r="H72"/>
  <c i="12" r="H111"/>
  <c i="12" r="H71"/>
  <c i="12" r="G51"/>
  <c i="12" r="H110"/>
  <c i="12" r="H70"/>
  <c i="12" r="H109"/>
  <c i="12" r="H69"/>
  <c i="12" r="G48"/>
  <c i="12" r="H107"/>
  <c i="12" r="H67"/>
  <c i="12" r="H66"/>
  <c i="12" r="G86"/>
  <c i="12" r="G85"/>
  <c i="12" r="H104"/>
  <c i="12" r="H64"/>
  <c i="12" r="G53"/>
  <c i="12" r="G77"/>
  <c i="12" r="G101"/>
  <c i="12" r="G125"/>
  <c i="12" r="G52"/>
  <c i="12" r="H38"/>
  <c i="12" r="G122"/>
  <c i="12" r="G74"/>
  <c i="12" r="G100"/>
  <c i="12" r="G98"/>
  <c i="12" r="G121"/>
  <c i="12" r="G97"/>
  <c i="12" r="G73"/>
  <c i="12" r="G49"/>
  <c i="12" r="H108"/>
  <c i="12" r="H84"/>
  <c i="12" r="H60"/>
  <c i="12" r="G76"/>
  <c i="12" r="G124"/>
  <c i="12" r="H122"/>
  <c i="12" r="H98"/>
  <c i="12" r="H74"/>
  <c i="12" r="H50"/>
  <c i="12" r="G105"/>
  <c i="12" r="G81"/>
  <c i="12" r="G57"/>
  <c i="12" r="H116"/>
  <c i="12" r="H92"/>
  <c i="12" r="H68"/>
  <c i="12" r="H44"/>
  <c i="12" r="G126"/>
  <c i="12" r="G102"/>
  <c i="12" r="G78"/>
  <c i="12" r="G54"/>
  <c i="12" r="H113"/>
  <c i="12" r="H89"/>
  <c i="12" r="H65"/>
  <c i="12" r="H41"/>
  <c i="12" r="G118"/>
  <c i="12" r="G94"/>
  <c i="12" r="G70"/>
  <c i="12" r="G46"/>
  <c i="12" r="H106"/>
  <c i="12" r="H82"/>
  <c i="12" r="H58"/>
  <c i="12" r="H105"/>
  <c i="12" r="H81"/>
  <c i="12" r="H57"/>
  <c i="12" r="G93"/>
  <c i="12" r="G69"/>
  <c i="12" r="G45"/>
  <c i="12" r="G50"/>
  <c i="12" r="H103"/>
  <c i="12" r="H79"/>
  <c i="12" r="H55"/>
  <c i="12" r="H126"/>
  <c i="12" r="H102"/>
  <c i="12" r="H78"/>
  <c i="12" r="H54"/>
  <c i="12" r="H125"/>
  <c i="12" r="H101"/>
  <c i="12" r="H77"/>
  <c i="12" r="H53"/>
  <c i="12" r="H37"/>
  <c i="12" r="G47"/>
  <c i="12" r="H124"/>
  <c i="12" r="H100"/>
  <c i="12" r="H76"/>
  <c i="12" r="H52"/>
  <c i="12" r="G116"/>
  <c i="12" r="G92"/>
  <c i="12" r="G68"/>
  <c i="12" r="G44"/>
  <c i="12" r="G71"/>
  <c i="12" r="G115"/>
  <c i="12" r="G91"/>
  <c i="12" r="G67"/>
  <c i="12" r="G43"/>
  <c i="12" r="G114"/>
  <c i="12" r="G90"/>
  <c i="12" r="G66"/>
  <c i="12" r="G42"/>
  <c i="12" r="G113"/>
  <c i="12" r="G89"/>
  <c i="12" r="G65"/>
  <c i="12" r="G41"/>
  <c i="12" r="G119"/>
  <c i="12" r="G112"/>
  <c i="12" r="G88"/>
  <c i="12" r="G64"/>
  <c i="12" r="G40"/>
  <c i="12" r="G111"/>
  <c i="12" r="G87"/>
  <c i="12" r="G63"/>
  <c i="12" r="G39"/>
  <c i="12" r="G117"/>
  <c i="12" r="G95"/>
  <c i="12" r="G37"/>
  <c i="18" l="1" r="AF16"/>
  <c i="18" r="AF9"/>
  <c i="18" r="AB161"/>
  <c i="18" r="AB96"/>
  <c i="18" r="AG131"/>
  <c i="18" r="AG157" s="1"/>
  <c i="18" r="AF22"/>
  <c i="18" r="AF19"/>
  <c i="18" r="AF15"/>
  <c i="18" r="AQ88"/>
  <c i="18" r="AG96"/>
  <c i="18" r="AP103"/>
  <c i="18" r="BH58"/>
  <c i="18" r="AL92"/>
  <c i="18" r="AD78"/>
  <c i="18" r="BC60" s="1"/>
  <c i="18" r="AH89"/>
  <c i="18" r="AM85"/>
  <c i="18" r="AU99"/>
  <c i="18" r="AD131"/>
  <c i="18" r="AD157" s="1"/>
  <c i="18" r="AC160"/>
  <c i="18" r="AK7" s="1"/>
  <c i="18" r="AI131"/>
  <c i="18" r="AI157" s="1"/>
  <c i="18" r="AJ131"/>
  <c i="18" r="AJ157" s="1"/>
  <c i="18" r="BI58"/>
  <c i="18" r="AR86"/>
  <c i="18" r="AA104"/>
  <c i="18" r="AN131"/>
  <c i="18" r="AN157" s="1"/>
  <c i="18" r="BM58"/>
  <c i="18" r="AL131"/>
  <c i="18" r="AL157" s="1"/>
  <c i="18" r="AJ92"/>
  <c i="18" r="AA160"/>
  <c i="18" r="AB160"/>
  <c i="18" r="AR94"/>
  <c i="18" r="AN101"/>
  <c i="18" r="AS87"/>
  <c i="18" r="AD86"/>
  <c i="18" r="AA161"/>
  <c i="18" r="AC161"/>
  <c i="18" r="BK58"/>
  <c i="18" r="AT102"/>
  <c i="18" r="AF13"/>
  <c i="18" r="AF5"/>
  <c i="18" r="AF14"/>
  <c i="18" r="AF17"/>
  <c i="18" r="AF11"/>
  <c i="18" r="AF23"/>
  <c i="18" r="AF21"/>
  <c i="18" r="AF8"/>
  <c i="18" r="AF20"/>
  <c i="18" r="CZ17"/>
  <c i="18" r="DA17" s="1"/>
  <c i="18" r="AF7"/>
  <c i="18" r="AF18"/>
  <c i="18" r="CV19"/>
  <c i="18" r="CX18"/>
  <c i="18" r="CY18"/>
  <c i="18" r="AK96"/>
  <c i="18" r="Y25"/>
  <c i="18" r="AE25" s="1"/>
  <c i="18" r="AK95"/>
  <c i="18" r="Y24"/>
  <c i="18" r="AE24" s="1"/>
  <c i="18" r="AF6"/>
  <c i="18" r="AF12"/>
  <c i="18" r="AF10"/>
  <c i="18" r="AN105"/>
  <c i="18" r="BM60"/>
  <c i="18" r="AK105"/>
  <c i="18" r="BJ60"/>
  <c i="18" r="AP105"/>
  <c i="18" r="BO60"/>
  <c i="18" r="AM105"/>
  <c i="18" r="BL60"/>
  <c i="18" r="BQ60"/>
  <c i="18" r="AR105"/>
  <c i="18" r="BS60"/>
  <c i="18" r="AT105"/>
  <c i="18" r="AK5"/>
  <c i="18" r="AE105"/>
  <c i="18" r="BD60"/>
  <c i="18" r="BE60"/>
  <c i="18" r="AF105"/>
  <c i="18" r="AI105"/>
  <c i="18" r="BH60"/>
  <c i="18" r="BP60"/>
  <c i="18" r="AQ105"/>
  <c i="18" r="BN60"/>
  <c i="18" r="AO105"/>
  <c i="18" r="BU60"/>
  <c i="18" r="AV105"/>
  <c i="18" r="AL105"/>
  <c i="18" r="BK60"/>
  <c i="18" r="BT60"/>
  <c i="18" r="AU105"/>
  <c i="18" r="AZ60"/>
  <c i="18" r="AA105"/>
  <c i="18" r="BR60"/>
  <c i="18" r="AS105"/>
  <c i="18" r="BG60"/>
  <c i="18" r="AH105"/>
  <c i="18" r="BB60"/>
  <c i="18" r="AC105"/>
  <c i="18" r="AJ105"/>
  <c i="18" r="BI60"/>
  <c i="18" r="BF60"/>
  <c i="18" r="AG105"/>
  <c i="18" r="BA60"/>
  <c i="18" r="AB105"/>
  <c i="12" r="B7"/>
  <c i="18" l="1" r="AD105"/>
  <c i="18" r="AF24"/>
  <c i="18" r="AF25"/>
  <c i="18" r="CZ18"/>
  <c i="18" r="DA18" s="1"/>
  <c i="18" r="CV20"/>
  <c i="18" r="CY19"/>
  <c i="18" r="CX19"/>
  <c i="8" r="P19"/>
  <c i="8" r="Q19"/>
  <c i="8" r="R19"/>
  <c i="8" r="P20"/>
  <c i="8" r="Q20"/>
  <c i="8" r="R20"/>
  <c i="8" r="P21"/>
  <c i="8" r="Q21"/>
  <c i="8" r="R21"/>
  <c i="8" r="P22"/>
  <c i="8" r="Q22"/>
  <c i="8" r="R22"/>
  <c i="8" r="P23"/>
  <c i="8" r="Q23"/>
  <c i="8" r="R23"/>
  <c i="8" r="L19"/>
  <c i="8" r="L20"/>
  <c i="8" r="L21"/>
  <c i="8" r="L22"/>
  <c i="8" r="L23"/>
  <c i="8" r="E25"/>
  <c i="18" l="1" r="CZ19"/>
  <c i="18" r="DA19" s="1"/>
  <c i="18" r="CV21"/>
  <c i="18" r="CY20"/>
  <c i="18" r="CX20"/>
  <c i="8" r="P33"/>
  <c i="8" r="R30"/>
  <c i="8" r="R34"/>
  <c i="8" r="Q34"/>
  <c i="8" r="P34"/>
  <c i="8" r="R33"/>
  <c i="8" r="Q33"/>
  <c i="8" r="R32"/>
  <c i="8" r="Q32"/>
  <c i="8" r="P32"/>
  <c i="8" r="S22"/>
  <c i="8" r="S21"/>
  <c i="8" r="Q30"/>
  <c i="8" r="P30"/>
  <c i="8" r="R29"/>
  <c i="8" r="Q29"/>
  <c i="8" r="R31"/>
  <c i="8" r="Q31"/>
  <c i="8" r="P31"/>
  <c i="8" r="S19"/>
  <c i="8" r="S20"/>
  <c i="8" r="S23"/>
  <c i="18" l="1" r="CZ20"/>
  <c i="18" r="DA20" s="1"/>
  <c i="18" r="CV22"/>
  <c i="18" r="CY21"/>
  <c i="18" r="CX21"/>
  <c i="8" r="A19"/>
  <c i="8" r="A30" s="1"/>
  <c i="8" r="A20"/>
  <c i="8" r="A31" s="1"/>
  <c i="8" r="A21"/>
  <c i="8" r="A32" s="1"/>
  <c i="8" r="A22"/>
  <c i="8" r="A33" s="1"/>
  <c i="8" r="A23"/>
  <c i="8" r="A34" s="1"/>
  <c i="8" r="A18"/>
  <c i="8" r="A29" s="1"/>
  <c i="8" r="H8"/>
  <c i="8" r="H9"/>
  <c i="8" r="H10"/>
  <c i="8" r="H11"/>
  <c i="8" r="H12"/>
  <c i="8" r="H7"/>
  <c i="18" l="1" r="CV23"/>
  <c i="18" r="CY22"/>
  <c i="18" r="CX22"/>
  <c i="18" r="CZ21"/>
  <c i="18" r="DA21" s="1"/>
  <c i="8" r="O7"/>
  <c i="8" r="O18" s="1"/>
  <c i="8" r="O29" s="1"/>
  <c i="8" r="H18"/>
  <c i="8" r="H29" s="1"/>
  <c i="8" r="O12"/>
  <c i="8" r="O23" s="1"/>
  <c i="8" r="O34" s="1"/>
  <c i="8" r="H23"/>
  <c i="8" r="H34" s="1"/>
  <c i="8" r="O9"/>
  <c i="8" r="O20" s="1"/>
  <c i="8" r="O31" s="1"/>
  <c i="8" r="H20"/>
  <c i="8" r="H31" s="1"/>
  <c i="8" r="O10"/>
  <c i="8" r="O21" s="1"/>
  <c i="8" r="O32" s="1"/>
  <c i="8" r="H21"/>
  <c i="8" r="H32" s="1"/>
  <c i="8" r="O11"/>
  <c i="8" r="O22" s="1"/>
  <c i="8" r="O33" s="1"/>
  <c i="8" r="H22"/>
  <c i="8" r="H33" s="1"/>
  <c i="8" r="O8"/>
  <c i="8" r="O19" s="1"/>
  <c i="8" r="O30" s="1"/>
  <c i="8" r="H19"/>
  <c i="8" r="H30" s="1"/>
  <c i="12" r="D9"/>
  <c i="12" r="C9"/>
  <c i="12" r="B9"/>
  <c i="3" r="E101"/>
  <c i="18" l="1" r="CZ22"/>
  <c i="18" r="DA22" s="1"/>
  <c i="18" r="CV24"/>
  <c i="18" r="CY23"/>
  <c i="18" r="CX23"/>
  <c i="12" r="U76"/>
  <c i="12" r="V76"/>
  <c i="12" r="U75"/>
  <c i="12" r="V75"/>
  <c i="12" r="T4"/>
  <c i="12" r="W4" s="1"/>
  <c i="12" r="U4"/>
  <c i="12" r="V4"/>
  <c i="12" r="T5"/>
  <c i="12" r="U5"/>
  <c i="12" r="V5"/>
  <c i="12" r="T6"/>
  <c i="12" r="U6"/>
  <c i="12" r="V6"/>
  <c i="12" r="T7"/>
  <c i="12" r="U7"/>
  <c i="12" r="V7"/>
  <c i="12" r="T8"/>
  <c i="12" r="U8"/>
  <c i="12" r="V8"/>
  <c i="12" r="N14" s="1"/>
  <c i="12" r="T9"/>
  <c i="12" r="U9"/>
  <c i="12" r="V9"/>
  <c i="12" r="T10"/>
  <c i="12" r="U10"/>
  <c i="12" r="V10"/>
  <c i="12" r="T11"/>
  <c i="12" r="U11"/>
  <c i="12" r="V11"/>
  <c i="12" r="T12"/>
  <c i="12" r="U12"/>
  <c i="12" r="V12"/>
  <c i="12" r="T13"/>
  <c i="12" r="U13"/>
  <c i="12" r="V13"/>
  <c i="12" r="T14"/>
  <c i="12" r="U14"/>
  <c i="12" r="V14"/>
  <c i="12" r="T15"/>
  <c i="12" r="U15"/>
  <c i="12" r="V15"/>
  <c i="12" r="T16"/>
  <c i="12" r="U16"/>
  <c i="12" r="V16"/>
  <c i="12" r="T17"/>
  <c i="12" r="U17"/>
  <c i="12" r="V17"/>
  <c i="12" r="T18"/>
  <c i="12" r="U18"/>
  <c i="12" r="V18"/>
  <c i="12" r="T19"/>
  <c i="12" r="U19"/>
  <c i="12" r="V19"/>
  <c i="12" r="T20"/>
  <c i="12" r="U20"/>
  <c i="12" r="V20"/>
  <c i="12" r="T21"/>
  <c i="12" r="U21"/>
  <c i="12" r="V21"/>
  <c i="12" r="T22"/>
  <c i="12" r="U22"/>
  <c i="12" r="V22"/>
  <c i="12" r="T23"/>
  <c i="12" r="U23"/>
  <c i="12" r="V23"/>
  <c i="12" r="T24"/>
  <c i="12" r="U24"/>
  <c i="12" r="V24"/>
  <c i="12" r="T25"/>
  <c i="12" r="U25"/>
  <c i="12" r="V25"/>
  <c i="12" r="T26"/>
  <c i="12" r="U26"/>
  <c i="12" r="V26"/>
  <c i="12" r="T27"/>
  <c i="12" r="U27"/>
  <c i="12" r="V27"/>
  <c i="12" r="T28"/>
  <c i="12" r="U28"/>
  <c i="12" r="V28"/>
  <c i="12" r="T29"/>
  <c i="12" r="W29" s="1"/>
  <c i="12" r="U29"/>
  <c i="12" r="V29"/>
  <c i="12" r="T30"/>
  <c i="12" r="U30"/>
  <c i="12" r="V30"/>
  <c i="12" r="T31"/>
  <c i="12" r="U31"/>
  <c i="12" r="V31"/>
  <c i="12" r="T32"/>
  <c i="12" r="U32"/>
  <c i="12" r="V32"/>
  <c i="12" r="T33"/>
  <c i="12" r="U33"/>
  <c i="12" r="V33"/>
  <c i="12" r="U34"/>
  <c i="12" r="V34"/>
  <c i="12" r="W34" s="1"/>
  <c i="12" r="U35"/>
  <c i="12" r="V35"/>
  <c i="12" r="W35" s="1"/>
  <c i="12" r="U36"/>
  <c i="12" r="V36"/>
  <c i="12" r="W36" s="1"/>
  <c i="12" r="U37"/>
  <c i="12" r="V37"/>
  <c i="12" r="W37" s="1"/>
  <c i="12" r="U38"/>
  <c i="12" r="V38"/>
  <c i="12" r="W38" s="1"/>
  <c i="12" r="U39"/>
  <c i="12" r="V39"/>
  <c i="12" r="U40"/>
  <c i="12" r="V40"/>
  <c i="12" r="W40" s="1"/>
  <c i="12" r="U41"/>
  <c i="12" r="V41"/>
  <c i="12" r="W41" s="1"/>
  <c i="12" r="U42"/>
  <c i="12" r="V42"/>
  <c i="12" r="W42" s="1"/>
  <c i="12" r="U43"/>
  <c i="12" r="V43"/>
  <c i="12" r="W43" s="1"/>
  <c i="12" r="U44"/>
  <c i="12" r="V44"/>
  <c i="12" r="W44" s="1"/>
  <c i="12" r="U45"/>
  <c i="12" r="V45"/>
  <c i="12" r="W45" s="1"/>
  <c i="12" r="U46"/>
  <c i="12" r="V46"/>
  <c i="12" r="W46" s="1"/>
  <c i="12" r="U47"/>
  <c i="12" r="V47"/>
  <c i="12" r="W47" s="1"/>
  <c i="12" r="U48"/>
  <c i="12" r="V48"/>
  <c i="12" r="W48" s="1"/>
  <c i="12" r="U49"/>
  <c i="12" r="V49"/>
  <c i="12" r="W49" s="1"/>
  <c i="12" r="U50"/>
  <c i="12" r="V50"/>
  <c i="12" r="W50" s="1"/>
  <c i="12" r="U51"/>
  <c i="12" r="V51"/>
  <c i="12" r="W51" s="1"/>
  <c i="12" r="U52"/>
  <c i="12" r="V52"/>
  <c i="12" r="W52" s="1"/>
  <c i="12" r="U53"/>
  <c i="12" r="V53"/>
  <c i="12" r="W53" s="1"/>
  <c i="12" r="U54"/>
  <c i="12" r="V54"/>
  <c i="12" r="W54" s="1"/>
  <c i="12" r="U55"/>
  <c i="12" r="V55"/>
  <c i="12" r="W55" s="1"/>
  <c i="12" r="U56"/>
  <c i="12" r="V56"/>
  <c i="12" r="W56" s="1"/>
  <c i="12" r="U57"/>
  <c i="12" r="V57"/>
  <c i="12" r="W57" s="1"/>
  <c i="12" r="U58"/>
  <c i="12" r="V58"/>
  <c i="12" r="W58" s="1"/>
  <c i="12" r="U59"/>
  <c i="12" r="V59"/>
  <c i="12" r="W59" s="1"/>
  <c i="12" r="U60"/>
  <c i="12" r="V60"/>
  <c i="12" r="W60" s="1"/>
  <c i="12" r="U61"/>
  <c i="12" r="V61"/>
  <c i="12" r="W61" s="1"/>
  <c i="12" r="U62"/>
  <c i="12" r="V62"/>
  <c i="12" r="W62" s="1"/>
  <c i="12" r="U63"/>
  <c i="12" r="V63"/>
  <c i="12" r="W63" s="1"/>
  <c i="12" r="U64"/>
  <c i="12" r="V64"/>
  <c i="12" r="W64" s="1"/>
  <c i="12" r="U65"/>
  <c i="12" r="V65"/>
  <c i="12" r="W65" s="1"/>
  <c i="12" r="U66"/>
  <c i="12" r="V66"/>
  <c i="12" r="W66" s="1"/>
  <c i="12" r="U67"/>
  <c i="12" r="V67"/>
  <c i="12" r="W67" s="1"/>
  <c i="12" r="U68"/>
  <c i="12" r="V68"/>
  <c i="12" r="W68" s="1"/>
  <c i="12" r="U69"/>
  <c i="12" r="V69"/>
  <c i="12" r="W69" s="1"/>
  <c i="12" r="U70"/>
  <c i="12" r="V70"/>
  <c i="12" r="W70" s="1"/>
  <c i="12" r="U71"/>
  <c i="12" r="V71"/>
  <c i="12" r="W71" s="1"/>
  <c i="12" r="U72"/>
  <c i="12" r="V72"/>
  <c i="12" r="W72" s="1"/>
  <c i="12" r="U73"/>
  <c i="12" r="V73"/>
  <c i="12" r="W73" s="1"/>
  <c i="12" r="U74"/>
  <c i="12" r="V74"/>
  <c i="12" r="V3"/>
  <c i="12" r="U3"/>
  <c i="12" r="T3"/>
  <c i="12" r="W3" s="1"/>
  <c i="12" l="1" r="W16"/>
  <c i="12" r="W32"/>
  <c i="12" r="W5"/>
  <c i="12" r="W17"/>
  <c i="18" r="CZ23"/>
  <c i="18" r="DA23" s="1"/>
  <c i="18" r="CV25"/>
  <c i="18" r="CY24"/>
  <c i="18" r="CX24"/>
  <c i="12" r="W23"/>
  <c i="12" r="W15"/>
  <c i="12" r="X15" s="1"/>
  <c i="12" r="W26"/>
  <c i="12" r="X26" s="1"/>
  <c i="12" r="W20"/>
  <c i="12" r="X20" s="1"/>
  <c i="12" r="W27"/>
  <c i="12" r="X27" s="1"/>
  <c i="12" r="W14"/>
  <c i="12" r="X14" s="1"/>
  <c i="12" r="W19"/>
  <c i="12" r="X19" s="1"/>
  <c i="12" r="W13"/>
  <c i="12" r="X13" s="1"/>
  <c i="12" r="W25"/>
  <c i="12" r="X25" s="1"/>
  <c i="12" r="W7"/>
  <c i="12" r="X7" s="1"/>
  <c i="12" r="W28"/>
  <c i="12" r="X28" s="1"/>
  <c i="12" r="W24"/>
  <c i="12" r="X24" s="1"/>
  <c i="12" r="W22"/>
  <c i="12" r="X22" s="1"/>
  <c i="12" r="W21"/>
  <c i="12" r="X21" s="1"/>
  <c i="12" r="W33"/>
  <c i="12" r="X33" s="1"/>
  <c i="12" r="W6"/>
  <c i="12" r="X6" s="1"/>
  <c i="12" r="W18"/>
  <c i="12" r="X18" s="1"/>
  <c i="12" r="W31"/>
  <c i="12" r="X31" s="1"/>
  <c i="12" r="W30"/>
  <c i="12" r="X30" s="1"/>
  <c i="18" r="AG25"/>
  <c i="18" r="AH25" s="1"/>
  <c i="18" r="AG24"/>
  <c i="18" r="AH24" s="1"/>
  <c i="12" r="X46"/>
  <c i="12" r="X61"/>
  <c i="12" r="X42"/>
  <c i="12" r="X66"/>
  <c i="12" r="X65"/>
  <c i="12" r="X35"/>
  <c i="12" r="X41"/>
  <c i="12" r="X60"/>
  <c i="12" r="X40"/>
  <c i="12" r="X59"/>
  <c i="12" r="X58"/>
  <c i="12" r="X55"/>
  <c i="12" r="X36"/>
  <c i="12" r="X54"/>
  <c i="12" r="X37"/>
  <c i="12" r="X56"/>
  <c i="12" r="X34"/>
  <c i="12" r="X45"/>
  <c i="12" r="X32"/>
  <c i="12" r="X63"/>
  <c i="12" r="X73"/>
  <c i="12" r="X52"/>
  <c i="12" r="X57"/>
  <c i="12" r="X71"/>
  <c i="12" r="X44"/>
  <c i="12" r="X51"/>
  <c i="12" r="X64"/>
  <c i="12" r="X38"/>
  <c i="12" r="X53"/>
  <c i="12" r="X72"/>
  <c i="12" r="X50"/>
  <c i="12" r="X43"/>
  <c i="12" r="X62"/>
  <c i="12" r="X70"/>
  <c i="12" r="X49"/>
  <c i="12" r="X68"/>
  <c i="12" r="X48"/>
  <c i="12" r="X67"/>
  <c i="12" r="X47"/>
  <c i="18" r="AG10"/>
  <c i="18" r="AH10" s="1"/>
  <c i="18" r="AG23"/>
  <c i="18" r="AH23" s="1"/>
  <c i="18" r="AG7"/>
  <c i="18" r="AH7" s="1"/>
  <c i="18" r="AG17"/>
  <c i="18" r="AH17" s="1"/>
  <c i="18" r="AG5"/>
  <c i="18" r="AH5" s="1"/>
  <c i="18" r="AG9"/>
  <c i="18" r="AH9" s="1"/>
  <c i="18" r="AG11"/>
  <c i="18" r="AH11" s="1"/>
  <c i="18" r="AG4"/>
  <c i="18" r="AH4" s="1"/>
  <c i="18" r="AG6"/>
  <c i="18" r="AH6" s="1"/>
  <c i="18" r="AG14"/>
  <c i="18" r="AH14" s="1"/>
  <c i="18" r="AG13"/>
  <c i="18" r="AH13" s="1"/>
  <c i="18" r="AG8"/>
  <c i="18" r="AH8" s="1"/>
  <c i="18" r="AG18"/>
  <c i="18" r="AH18" s="1"/>
  <c i="18" r="AG15"/>
  <c i="18" r="AH15" s="1"/>
  <c i="18" r="AG19"/>
  <c i="18" r="AH19" s="1"/>
  <c i="18" r="AG12"/>
  <c i="18" r="AH12" s="1"/>
  <c i="18" r="AG22"/>
  <c i="18" r="AH22" s="1"/>
  <c i="12" r="X3"/>
  <c i="18" r="AG21"/>
  <c i="18" r="AH21" s="1"/>
  <c i="18" r="AG16"/>
  <c i="18" r="AH16" s="1"/>
  <c i="18" r="AG20"/>
  <c i="18" r="AH20" s="1"/>
  <c i="12" r="X69"/>
  <c i="12" r="X16"/>
  <c i="12" r="X23"/>
  <c i="12" r="X17"/>
  <c i="12" r="X29"/>
  <c i="12" r="X4"/>
  <c i="12" r="X5"/>
  <c i="12" r="P39"/>
  <c i="12" r="P38"/>
  <c i="12" l="1" r="W94"/>
  <c i="12" r="X94" s="1"/>
  <c i="12" r="W95"/>
  <c i="12" r="X95" s="1"/>
  <c i="18" r="CZ24"/>
  <c i="18" r="DA24" s="1"/>
  <c i="18" r="CV26"/>
  <c i="18" r="CY25"/>
  <c i="18" r="CX25"/>
  <c i="12" r="W91"/>
  <c i="12" r="X91" s="1"/>
  <c i="12" r="W92"/>
  <c i="12" r="X92" s="1"/>
  <c i="12" r="W86"/>
  <c i="12" r="X86" s="1"/>
  <c i="12" r="W76"/>
  <c i="12" r="X76" s="1"/>
  <c i="12" r="W88"/>
  <c i="12" r="X88" s="1"/>
  <c i="12" r="W79"/>
  <c i="12" r="X79" s="1"/>
  <c i="12" r="W81"/>
  <c i="12" r="X81" s="1"/>
  <c i="12" r="W85"/>
  <c i="12" r="X85" s="1"/>
  <c i="12" r="W74"/>
  <c i="12" r="X74" s="1"/>
  <c i="12" r="W84"/>
  <c i="12" r="X84" s="1"/>
  <c i="12" r="W82"/>
  <c i="12" r="X82" s="1"/>
  <c i="12" r="W77"/>
  <c i="12" r="X77" s="1"/>
  <c i="12" r="W93"/>
  <c i="12" r="X93" s="1"/>
  <c i="12" r="W75"/>
  <c i="12" r="X75" s="1"/>
  <c i="12" r="W89"/>
  <c i="12" r="X89" s="1"/>
  <c i="12" r="W80"/>
  <c i="12" r="X80" s="1"/>
  <c i="12" r="W87"/>
  <c i="12" r="X87" s="1"/>
  <c i="12" r="W90"/>
  <c i="12" r="X90" s="1"/>
  <c i="12" r="W78"/>
  <c i="12" r="X78" s="1"/>
  <c i="12" r="W83"/>
  <c i="12" r="X83" s="1"/>
  <c i="12" r="Q39"/>
  <c i="12" r="W12" s="1"/>
  <c i="12" r="Q38"/>
  <c i="12" r="W11" s="1"/>
  <c i="12" r="N15"/>
  <c i="12" r="N16"/>
  <c i="12" r="N31"/>
  <c i="12" r="I7"/>
  <c i="12" r="J7"/>
  <c i="12" r="I8"/>
  <c i="12" r="J8"/>
  <c i="12" r="I9"/>
  <c i="12" r="J9"/>
  <c i="12" r="H9"/>
  <c i="12" r="H8"/>
  <c i="12" r="H7"/>
  <c i="12" r="C8"/>
  <c i="12" r="D8"/>
  <c i="12" r="B8"/>
  <c i="12" r="D7"/>
  <c i="12" r="C7"/>
  <c i="18" l="1" r="CZ25"/>
  <c i="18" r="DA25" s="1"/>
  <c i="18" r="CV27"/>
  <c i="18" r="CY26"/>
  <c i="18" r="CX26"/>
  <c i="12" r="X11"/>
  <c i="12" r="X12"/>
  <c i="12" r="J10"/>
  <c i="12" r="J14" s="1"/>
  <c i="12" r="I10"/>
  <c i="12" r="I14" s="1"/>
  <c i="12" r="C10"/>
  <c i="12" r="C14" s="1"/>
  <c i="12" r="B10"/>
  <c i="12" r="B15" s="1"/>
  <c i="12" r="H10"/>
  <c i="12" r="H16" s="1"/>
  <c i="12" r="D10"/>
  <c i="12" r="D15" s="1"/>
  <c i="12" r="E8"/>
  <c i="12" r="E7"/>
  <c i="12" r="K7"/>
  <c i="12" r="K8"/>
  <c i="12" r="K9"/>
  <c i="12" r="E9"/>
  <c i="18" l="1" r="CV28"/>
  <c i="18" r="CY27"/>
  <c i="18" r="CX27"/>
  <c i="18" r="CZ26"/>
  <c i="18" r="DA26" s="1"/>
  <c i="12" r="J16"/>
  <c i="12" r="J15"/>
  <c i="12" r="J17" s="1"/>
  <c i="12" r="D14"/>
  <c i="12" r="E10"/>
  <c i="12" r="E14" s="1"/>
  <c i="12" r="I16"/>
  <c i="12" r="H15"/>
  <c i="12" r="O15" s="1"/>
  <c i="12" r="D16"/>
  <c i="12" r="C15"/>
  <c i="12" r="B16"/>
  <c i="12" r="O16" s="1"/>
  <c i="12" r="H14"/>
  <c i="12" r="K10"/>
  <c i="12" r="K15" s="1"/>
  <c i="12" r="C16"/>
  <c i="12" r="B14"/>
  <c i="12" r="B17" s="1"/>
  <c i="12" r="I15"/>
  <c i="18" l="1" r="CZ27"/>
  <c i="18" r="DA27" s="1"/>
  <c i="18" r="CV29"/>
  <c i="18" r="CY28"/>
  <c i="18" r="CX28"/>
  <c i="12" r="K16"/>
  <c i="12" r="I17"/>
  <c i="12" r="H17"/>
  <c i="12" r="O14"/>
  <c i="12" r="P14" s="1"/>
  <c i="12" r="E16"/>
  <c i="12" r="C17"/>
  <c i="12" r="K14"/>
  <c i="12" r="E15"/>
  <c i="12" r="D17"/>
  <c i="18" l="1" r="CV30"/>
  <c i="18" r="CY29"/>
  <c i="18" r="CX29"/>
  <c i="18" r="CZ28"/>
  <c i="18" r="DA28" s="1"/>
  <c i="12" r="E17"/>
  <c i="12" r="K17"/>
  <c i="12" r="P16"/>
  <c i="12" r="Q16" s="1"/>
  <c i="12" r="W10" s="1"/>
  <c i="12" r="P15"/>
  <c i="12" r="Q15" s="1"/>
  <c i="12" r="W9" s="1"/>
  <c i="12" r="Q14"/>
  <c i="12" r="W8" s="1"/>
  <c i="18" l="1" r="CZ29"/>
  <c i="18" r="DA29" s="1"/>
  <c i="18" r="CV31"/>
  <c i="18" r="CY30"/>
  <c i="18" r="CX30"/>
  <c i="12" r="X8"/>
  <c i="12" r="X9"/>
  <c i="12" r="X10"/>
  <c i="8" r="Q36"/>
  <c i="8" r="R25"/>
  <c i="8" r="P25"/>
  <c i="8" r="Q25"/>
  <c i="8" r="P14"/>
  <c i="8" r="R14"/>
  <c i="8" r="Q14"/>
  <c i="18" l="1" r="CZ30"/>
  <c i="18" r="DA30" s="1"/>
  <c i="18" r="CV32"/>
  <c i="18" r="CY31"/>
  <c i="18" r="CX31"/>
  <c i="8" r="P36"/>
  <c i="8" r="R36"/>
  <c i="8" r="L31"/>
  <c i="8" r="L32"/>
  <c i="8" r="L33"/>
  <c i="8" r="E8"/>
  <c i="8" r="E9"/>
  <c i="8" r="E10"/>
  <c i="8" r="E11"/>
  <c i="18" l="1" r="CV33"/>
  <c i="18" r="CY32"/>
  <c i="18" r="CX32"/>
  <c i="18" r="CZ31"/>
  <c i="18" r="DA31" s="1"/>
  <c i="8" r="E32"/>
  <c i="8" r="S10"/>
  <c i="8" r="E31"/>
  <c i="8" r="S9"/>
  <c i="8" r="E33"/>
  <c i="8" r="S33" s="1"/>
  <c i="8" r="S11"/>
  <c i="8" r="E30"/>
  <c i="8" r="S8"/>
  <c i="8" r="S32"/>
  <c i="8" r="S31"/>
  <c i="18" l="1" r="CZ32"/>
  <c i="18" r="DA32" s="1"/>
  <c i="18" r="CV34"/>
  <c i="18" r="CY33"/>
  <c i="18" r="CX33"/>
  <c i="4" r="E101"/>
  <c i="4" r="E100"/>
  <c i="4" r="E99"/>
  <c i="4" r="E98"/>
  <c i="4" r="E97"/>
  <c i="4" r="E96"/>
  <c i="4" r="E95"/>
  <c i="4" r="E94"/>
  <c i="4" r="E93"/>
  <c i="4" r="E92"/>
  <c i="4" r="E91"/>
  <c i="4" r="E90"/>
  <c i="4" r="E89"/>
  <c i="4" r="E88"/>
  <c i="4" r="E87"/>
  <c i="4" r="E86"/>
  <c i="4" r="E85"/>
  <c i="4" r="E84"/>
  <c i="4" r="E83"/>
  <c i="4" r="E82"/>
  <c i="4" r="E81"/>
  <c i="4" r="E80"/>
  <c i="4" r="E79"/>
  <c i="4" r="E78"/>
  <c i="4" r="E77"/>
  <c i="4" r="E76"/>
  <c i="4" r="E75"/>
  <c i="4" r="E74"/>
  <c i="4" r="E73"/>
  <c i="4" r="E72"/>
  <c i="4" r="E71"/>
  <c i="4" r="E70"/>
  <c i="4" r="E69"/>
  <c i="4" r="E68"/>
  <c i="4" r="E67"/>
  <c i="4" r="E66"/>
  <c i="4" r="E65"/>
  <c i="4" r="E64"/>
  <c i="4" r="E63"/>
  <c i="4" r="E62"/>
  <c i="4" r="E61"/>
  <c i="4" r="E60"/>
  <c i="4" r="E59"/>
  <c i="4" r="E58"/>
  <c i="4" r="E57"/>
  <c i="4" r="E56"/>
  <c i="4" r="E55"/>
  <c i="4" r="E54"/>
  <c i="4" r="E53"/>
  <c i="4" r="E52"/>
  <c i="4" r="E51"/>
  <c i="4" r="E50"/>
  <c i="4" r="E49"/>
  <c i="4" r="E48"/>
  <c i="4" r="E47"/>
  <c i="4" r="E46"/>
  <c i="4" r="E45"/>
  <c i="4" r="E44"/>
  <c i="4" r="E43"/>
  <c i="4" r="E42"/>
  <c i="4" r="E41"/>
  <c i="4" r="E40"/>
  <c i="4" r="E39"/>
  <c i="4" r="E38"/>
  <c i="4" r="E37"/>
  <c i="4" r="E36"/>
  <c i="4" r="E35"/>
  <c i="4" r="E34"/>
  <c i="4" r="E33"/>
  <c i="4" r="E32"/>
  <c i="4" r="E31"/>
  <c i="4" r="E30"/>
  <c i="4" r="E29"/>
  <c i="4" r="E28"/>
  <c i="4" r="E27"/>
  <c i="4" r="E26"/>
  <c i="4" r="E25"/>
  <c i="4" r="E24"/>
  <c i="4" r="E23"/>
  <c i="4" r="E22"/>
  <c i="4" r="E21"/>
  <c i="4" r="E20"/>
  <c i="4" r="E19"/>
  <c i="4" r="E18"/>
  <c i="4" r="E17"/>
  <c i="4" r="E16"/>
  <c i="4" r="E15"/>
  <c i="4" r="E14"/>
  <c i="4" r="E13"/>
  <c i="4" r="E12"/>
  <c i="4" r="E11"/>
  <c i="3" r="E100"/>
  <c i="3" r="E99"/>
  <c i="3" r="E98"/>
  <c i="3" r="E97"/>
  <c i="3" r="E96"/>
  <c i="3" r="E95"/>
  <c i="3" r="E94"/>
  <c i="3" r="E93"/>
  <c i="3" r="E92"/>
  <c i="3" r="E91"/>
  <c i="3" r="E90"/>
  <c i="3" r="E89"/>
  <c i="3" r="E88"/>
  <c i="3" r="E87"/>
  <c i="3" r="E86"/>
  <c i="3" r="E85"/>
  <c i="3" r="E84"/>
  <c i="3" r="E83"/>
  <c i="3" r="E82"/>
  <c i="3" r="E81"/>
  <c i="3" r="E80"/>
  <c i="3" r="E79"/>
  <c i="3" r="E78"/>
  <c i="3" r="E77"/>
  <c i="3" r="E76"/>
  <c i="3" r="E75"/>
  <c i="3" r="E74"/>
  <c i="3" r="E73"/>
  <c i="3" r="E72"/>
  <c i="3" r="E71"/>
  <c i="3" r="E70"/>
  <c i="3" r="E69"/>
  <c i="3" r="E68"/>
  <c i="3" r="E67"/>
  <c i="3" r="E66"/>
  <c i="3" r="E65"/>
  <c i="3" r="E64"/>
  <c i="3" r="E63"/>
  <c i="3" r="E62"/>
  <c i="3" r="E61"/>
  <c i="3" r="E60"/>
  <c i="3" r="E59"/>
  <c i="3" r="E58"/>
  <c i="3" r="E57"/>
  <c i="3" r="E56"/>
  <c i="3" r="E55"/>
  <c i="3" r="E54"/>
  <c i="3" r="E53"/>
  <c i="3" r="E52"/>
  <c i="3" r="E51"/>
  <c i="3" r="E50"/>
  <c i="3" r="E49"/>
  <c i="3" r="E48"/>
  <c i="3" r="E47"/>
  <c i="3" r="E46"/>
  <c i="3" r="E45"/>
  <c i="3" r="E44"/>
  <c i="3" r="E43"/>
  <c i="3" r="E42"/>
  <c i="3" r="E41"/>
  <c i="3" r="E40"/>
  <c i="3" r="E39"/>
  <c i="3" r="E38"/>
  <c i="3" r="E37"/>
  <c i="3" r="E36"/>
  <c i="3" r="E35"/>
  <c i="3" r="E34"/>
  <c i="3" r="E33"/>
  <c i="3" r="E32"/>
  <c i="3" r="E31"/>
  <c i="3" r="E30"/>
  <c i="3" r="E29"/>
  <c i="3" r="E28"/>
  <c i="3" r="E27"/>
  <c i="3" r="E26"/>
  <c i="3" r="E25"/>
  <c i="3" r="E24"/>
  <c i="3" r="E23"/>
  <c i="3" r="E22"/>
  <c i="3" r="E21"/>
  <c i="3" r="E20"/>
  <c i="3" r="E19"/>
  <c i="3" r="E18"/>
  <c i="3" r="E17"/>
  <c i="3" r="E16"/>
  <c i="3" r="E15"/>
  <c i="3" r="E14"/>
  <c i="3" r="E13"/>
  <c i="3" r="E12"/>
  <c i="3" r="E11"/>
  <c i="8" r="E12"/>
  <c i="12" r="B27"/>
  <c i="12" r="B32" s="1"/>
  <c i="8" r="P18"/>
  <c i="8" r="Q18"/>
  <c i="8" r="R18"/>
  <c i="3" l="1" r="F32"/>
  <c i="18" r="CZ33"/>
  <c i="18" r="DA33" s="1"/>
  <c i="18" r="CV35"/>
  <c i="18" r="CY34"/>
  <c i="18" r="CX34"/>
  <c i="3" r="F72"/>
  <c i="4" r="F23"/>
  <c i="4" r="F62"/>
  <c i="3" r="F73"/>
  <c i="3" r="F36"/>
  <c i="3" r="F41"/>
  <c i="3" r="F76"/>
  <c i="4" r="F64"/>
  <c i="3" r="F38"/>
  <c i="3" r="F83"/>
  <c i="3" r="F47"/>
  <c i="3" r="F74"/>
  <c i="3" r="F78"/>
  <c i="3" r="F48"/>
  <c i="3" r="F75"/>
  <c i="3" r="F39"/>
  <c i="3" r="F84"/>
  <c i="3" r="F13"/>
  <c i="3" r="F86"/>
  <c i="3" r="F55"/>
  <c i="3" r="F80"/>
  <c i="3" r="F45"/>
  <c i="3" r="F11"/>
  <c i="3" r="F101"/>
  <c i="3" r="F54"/>
  <c i="3" r="F16"/>
  <c i="3" r="F77"/>
  <c i="3" r="F81"/>
  <c i="3" r="F49"/>
  <c i="3" r="F15"/>
  <c i="3" r="F18"/>
  <c i="3" r="F87"/>
  <c i="3" r="F61"/>
  <c i="3" r="F37"/>
  <c i="3" r="F82"/>
  <c i="3" r="F88"/>
  <c i="3" r="F92"/>
  <c i="3" r="F57"/>
  <c i="3" r="F93"/>
  <c i="3" r="F97"/>
  <c i="3" r="F63"/>
  <c i="3" r="F44"/>
  <c i="3" r="F89"/>
  <c i="3" r="F52"/>
  <c i="3" r="F95"/>
  <c i="3" r="F98"/>
  <c i="3" r="F24"/>
  <c i="3" r="F20"/>
  <c i="3" r="F65"/>
  <c i="3" r="F33"/>
  <c i="3" r="F35"/>
  <c i="3" r="F79"/>
  <c i="3" r="F58"/>
  <c i="3" r="F66"/>
  <c i="4" r="F25"/>
  <c i="3" r="F50"/>
  <c i="3" r="F12"/>
  <c i="3" r="F19"/>
  <c i="3" r="F60"/>
  <c i="3" r="F62"/>
  <c i="3" r="F67"/>
  <c i="3" r="F34"/>
  <c i="3" r="F40"/>
  <c i="3" r="F85"/>
  <c i="3" r="F51"/>
  <c i="3" r="F17"/>
  <c i="3" r="F100"/>
  <c i="3" r="F28"/>
  <c i="3" r="F68"/>
  <c i="3" r="F43"/>
  <c i="3" r="F46"/>
  <c i="3" r="F91"/>
  <c i="3" r="F94"/>
  <c i="3" r="F56"/>
  <c i="3" r="F22"/>
  <c i="3" r="F64"/>
  <c i="3" r="F29"/>
  <c i="3" r="F69"/>
  <c i="3" r="F42"/>
  <c i="3" r="F90"/>
  <c i="3" r="F53"/>
  <c i="3" r="F96"/>
  <c i="3" r="F99"/>
  <c i="3" r="F26"/>
  <c i="3" r="F70"/>
  <c i="3" r="F14"/>
  <c i="3" r="F59"/>
  <c i="3" r="F21"/>
  <c i="3" r="F23"/>
  <c i="3" r="F25"/>
  <c i="3" r="F27"/>
  <c i="3" r="F30"/>
  <c i="3" r="F31"/>
  <c i="3" r="F71"/>
  <c i="4" r="F85"/>
  <c i="4" r="F65"/>
  <c i="4" r="F70"/>
  <c i="4" r="F86"/>
  <c i="4" r="F26"/>
  <c i="4" r="F61"/>
  <c i="4" r="F31"/>
  <c i="4" r="F67"/>
  <c i="4" r="F29"/>
  <c i="4" r="F33"/>
  <c i="4" r="F46"/>
  <c i="4" r="F28"/>
  <c i="4" r="F30"/>
  <c i="4" r="F71"/>
  <c i="8" r="E34"/>
  <c i="8" r="S12"/>
  <c i="8" r="E14"/>
  <c i="8" r="E36" s="1"/>
  <c i="4" r="F72"/>
  <c i="4" r="F41"/>
  <c i="4" r="F63"/>
  <c i="4" r="F73"/>
  <c i="4" r="F38"/>
  <c i="4" r="F24"/>
  <c i="4" r="F27"/>
  <c i="4" r="F40"/>
  <c i="4" r="F66"/>
  <c i="4" r="F74"/>
  <c i="4" r="F39"/>
  <c i="4" r="F21"/>
  <c i="4" r="F32"/>
  <c i="4" r="F91"/>
  <c i="4" r="F53"/>
  <c i="4" r="F93"/>
  <c i="4" r="F36"/>
  <c i="4" r="F98"/>
  <c i="4" r="F69"/>
  <c i="4" r="F77"/>
  <c i="4" r="F75"/>
  <c i="4" r="F45"/>
  <c i="4" r="F54"/>
  <c i="4" r="F59"/>
  <c i="4" r="F90"/>
  <c i="4" r="F37"/>
  <c i="4" r="F35"/>
  <c i="4" r="F55"/>
  <c i="4" r="F43"/>
  <c i="4" r="F49"/>
  <c i="4" r="F11"/>
  <c i="4" r="F16"/>
  <c i="4" r="F100"/>
  <c i="4" r="F57"/>
  <c i="4" r="F83"/>
  <c i="4" r="F99"/>
  <c i="4" r="F51"/>
  <c i="4" r="F48"/>
  <c i="4" r="F87"/>
  <c i="4" r="F76"/>
  <c i="4" r="F52"/>
  <c i="4" r="F13"/>
  <c i="4" r="F79"/>
  <c i="4" r="F56"/>
  <c i="4" r="F42"/>
  <c i="4" r="F95"/>
  <c i="4" r="F15"/>
  <c i="4" r="F20"/>
  <c i="4" r="F88"/>
  <c i="4" r="F58"/>
  <c i="4" r="F92"/>
  <c i="4" r="F78"/>
  <c i="4" r="F47"/>
  <c i="4" r="F68"/>
  <c i="4" r="F18"/>
  <c i="4" r="F89"/>
  <c i="4" r="F82"/>
  <c i="4" r="F97"/>
  <c i="4" r="F19"/>
  <c i="4" r="F44"/>
  <c i="4" r="F17"/>
  <c i="4" r="F94"/>
  <c i="4" r="F14"/>
  <c i="4" r="F84"/>
  <c i="4" r="F101"/>
  <c i="4" r="F12"/>
  <c i="4" r="F50"/>
  <c i="4" r="F96"/>
  <c i="4" r="F81"/>
  <c i="4" r="F34"/>
  <c i="4" r="F60"/>
  <c i="4" r="F80"/>
  <c i="4" r="F22"/>
  <c i="18" l="1" r="CZ34"/>
  <c i="18" r="DA34" s="1"/>
  <c i="18" r="CV36"/>
  <c i="18" r="CX35"/>
  <c i="18" r="CY35"/>
  <c i="12" r="B26"/>
  <c i="12" r="B31" s="1"/>
  <c i="8" r="L18"/>
  <c i="8" r="L30"/>
  <c i="8" r="S30" s="1"/>
  <c i="8" r="L34"/>
  <c i="8" r="L7"/>
  <c i="8" r="L14" s="1"/>
  <c i="8" r="S18"/>
  <c i="18" l="1" r="CZ35"/>
  <c i="18" r="DA35" s="1"/>
  <c i="18" r="CV37"/>
  <c i="18" r="CY36"/>
  <c i="18" r="CX36"/>
  <c i="8" r="S7"/>
  <c i="8" r="S34"/>
  <c i="8" r="L25"/>
  <c i="8" r="L29"/>
  <c i="8" r="S29" s="1"/>
  <c i="12" r="C26"/>
  <c i="12" r="D31" s="1"/>
  <c i="12" r="C27"/>
  <c i="12" r="C32" s="1"/>
  <c i="8" r="S14"/>
  <c i="18" l="1" r="CZ36"/>
  <c i="18" r="DA36" s="1"/>
  <c i="18" r="CV38"/>
  <c i="18" r="CX37"/>
  <c i="18" r="CY37"/>
  <c i="18" r="CZ37" s="1"/>
  <c i="18" r="DA37" s="1"/>
  <c i="8" r="L36"/>
  <c i="8" r="S36" s="1"/>
  <c i="8" r="S25"/>
  <c i="12" r="C31"/>
  <c i="12" r="O31" s="1"/>
  <c i="10" r="B11"/>
  <c i="10" r="I22"/>
  <c i="10" r="J22"/>
  <c i="10" r="H22"/>
  <c i="10" r="C22"/>
  <c i="10" r="D22"/>
  <c i="10" r="B22"/>
  <c i="10" r="I21"/>
  <c i="10" r="J21"/>
  <c i="10" r="H21"/>
  <c i="10" r="C21"/>
  <c i="10" r="D21"/>
  <c i="10" r="B21"/>
  <c i="10" r="I20"/>
  <c i="10" r="J20"/>
  <c i="10" r="H20"/>
  <c i="10" r="C20"/>
  <c i="10" r="D20"/>
  <c i="10" r="B20"/>
  <c i="10" r="I19"/>
  <c i="10" r="J19"/>
  <c i="10" r="H19"/>
  <c i="10" r="C19"/>
  <c i="10" r="D19"/>
  <c i="10" r="B19"/>
  <c i="10" r="I18"/>
  <c i="10" r="J18"/>
  <c i="10" r="H18"/>
  <c i="10" r="C18"/>
  <c i="10" r="D18"/>
  <c i="10" r="B18"/>
  <c i="10" r="I17"/>
  <c i="10" r="J17"/>
  <c i="10" r="H17"/>
  <c i="10" r="C17"/>
  <c i="10" r="D17"/>
  <c i="10" r="B17"/>
  <c i="10" r="I16"/>
  <c i="10" r="J16"/>
  <c i="10" r="H16"/>
  <c i="10" r="C16"/>
  <c i="10" r="D16"/>
  <c i="10" r="B16"/>
  <c i="10" r="I15"/>
  <c i="10" r="J15"/>
  <c i="10" r="H15"/>
  <c i="10" r="C15"/>
  <c i="10" r="D15"/>
  <c i="10" r="B15"/>
  <c i="10" r="I14"/>
  <c i="10" r="J14"/>
  <c i="10" r="H14"/>
  <c i="10" r="C14"/>
  <c i="10" r="D14"/>
  <c i="10" r="B14"/>
  <c i="10" r="I13"/>
  <c i="10" r="J13"/>
  <c i="10" r="H13"/>
  <c i="10" r="C13"/>
  <c i="10" r="D13"/>
  <c i="10" r="B13"/>
  <c i="10" r="I12"/>
  <c i="10" r="J12"/>
  <c i="10" r="H12"/>
  <c i="10" r="C12"/>
  <c i="10" r="D12"/>
  <c i="10" r="B12"/>
  <c i="10" r="I11"/>
  <c i="10" r="J11"/>
  <c i="10" r="D11"/>
  <c i="10" r="C11"/>
  <c i="8" r="P29"/>
  <c i="4" r="K101"/>
  <c i="4" r="K95"/>
  <c i="4" r="K96"/>
  <c i="4" r="K97"/>
  <c i="4" r="K98"/>
  <c i="4" r="K99"/>
  <c i="4" r="K100"/>
  <c i="4" r="K12"/>
  <c i="4" r="K13"/>
  <c i="4" r="K14"/>
  <c i="4" r="K15"/>
  <c i="4" r="K16"/>
  <c i="4" r="K17"/>
  <c i="4" r="K18"/>
  <c i="4" r="K19"/>
  <c i="4" r="K20"/>
  <c i="4" r="K21"/>
  <c i="4" r="K22"/>
  <c i="4" r="K23"/>
  <c i="4" r="K24"/>
  <c i="4" r="K25"/>
  <c i="4" r="K26"/>
  <c i="4" r="K27"/>
  <c i="4" r="K28"/>
  <c i="4" r="K29"/>
  <c i="4" r="K30"/>
  <c i="4" r="K31"/>
  <c i="4" r="K32"/>
  <c i="4" r="K33"/>
  <c i="4" r="K34"/>
  <c i="4" r="K35"/>
  <c i="4" r="K36"/>
  <c i="4" r="K37"/>
  <c i="4" r="K38"/>
  <c i="4" r="K39"/>
  <c i="4" r="K40"/>
  <c i="4" r="K41"/>
  <c i="4" r="K42"/>
  <c i="4" r="K43"/>
  <c i="4" r="K44"/>
  <c i="4" r="K45"/>
  <c i="4" r="K46"/>
  <c i="4" r="K47"/>
  <c i="4" r="K48"/>
  <c i="4" r="K49"/>
  <c i="4" r="K50"/>
  <c i="4" r="K51"/>
  <c i="4" r="K52"/>
  <c i="4" r="K53"/>
  <c i="4" r="K54"/>
  <c i="4" r="K55"/>
  <c i="4" r="K56"/>
  <c i="4" r="K57"/>
  <c i="4" r="K58"/>
  <c i="4" r="K59"/>
  <c i="4" r="K60"/>
  <c i="4" r="K61"/>
  <c i="4" r="K62"/>
  <c i="4" r="K63"/>
  <c i="4" r="K64"/>
  <c i="4" r="K65"/>
  <c i="4" r="K66"/>
  <c i="4" r="K67"/>
  <c i="4" r="K68"/>
  <c i="4" r="K69"/>
  <c i="4" r="K70"/>
  <c i="4" r="K71"/>
  <c i="4" r="K72"/>
  <c i="4" r="K73"/>
  <c i="4" r="K74"/>
  <c i="4" r="K75"/>
  <c i="4" r="K76"/>
  <c i="4" r="K77"/>
  <c i="4" r="K78"/>
  <c i="4" r="K79"/>
  <c i="4" r="K80"/>
  <c i="4" r="K81"/>
  <c i="4" r="K82"/>
  <c i="4" r="K83"/>
  <c i="4" r="K84"/>
  <c i="4" r="K85"/>
  <c i="4" r="K86"/>
  <c i="4" r="K87"/>
  <c i="4" r="K88"/>
  <c i="4" r="K89"/>
  <c i="4" r="K90"/>
  <c i="4" r="K91"/>
  <c i="4" r="K92"/>
  <c i="4" r="K93"/>
  <c i="4" r="K94"/>
  <c i="4" r="K11"/>
  <c i="3" r="K12"/>
  <c i="3" r="K13"/>
  <c i="3" r="K14"/>
  <c i="3" r="K15"/>
  <c i="3" r="K16"/>
  <c i="3" r="K17"/>
  <c i="3" r="K18"/>
  <c i="3" r="K19"/>
  <c i="3" r="K20"/>
  <c i="3" r="K21"/>
  <c i="3" r="K22"/>
  <c i="3" r="K23"/>
  <c i="3" r="K24"/>
  <c i="3" r="K25"/>
  <c i="3" r="K26"/>
  <c i="3" r="K27"/>
  <c i="3" r="K28"/>
  <c i="3" r="K29"/>
  <c i="3" r="K30"/>
  <c i="3" r="K31"/>
  <c i="3" r="K32"/>
  <c i="3" r="K33"/>
  <c i="3" r="K34"/>
  <c i="3" r="K35"/>
  <c i="3" r="K36"/>
  <c i="3" r="K37"/>
  <c i="3" r="K38"/>
  <c i="3" r="K39"/>
  <c i="3" r="K40"/>
  <c i="3" r="K41"/>
  <c i="3" r="K42"/>
  <c i="3" r="K43"/>
  <c i="3" r="K44"/>
  <c i="3" r="K45"/>
  <c i="3" r="K46"/>
  <c i="3" r="K47"/>
  <c i="3" r="K48"/>
  <c i="3" r="K49"/>
  <c i="3" r="K50"/>
  <c i="3" r="K51"/>
  <c i="3" r="K52"/>
  <c i="3" r="K53"/>
  <c i="3" r="K54"/>
  <c i="3" r="K55"/>
  <c i="3" r="K56"/>
  <c i="3" r="K57"/>
  <c i="3" r="K58"/>
  <c i="3" r="K59"/>
  <c i="3" r="K60"/>
  <c i="3" r="K61"/>
  <c i="3" r="K62"/>
  <c i="3" r="K63"/>
  <c i="3" r="K64"/>
  <c i="3" r="K65"/>
  <c i="3" r="K66"/>
  <c i="3" r="K67"/>
  <c i="3" r="K68"/>
  <c i="3" r="K69"/>
  <c i="3" r="K70"/>
  <c i="3" r="K71"/>
  <c i="3" r="K72"/>
  <c i="3" r="K73"/>
  <c i="3" r="K74"/>
  <c i="3" r="K75"/>
  <c i="3" r="K76"/>
  <c i="3" r="K77"/>
  <c i="3" r="K78"/>
  <c i="3" r="K79"/>
  <c i="3" r="K80"/>
  <c i="3" r="K81"/>
  <c i="3" r="K82"/>
  <c i="3" r="K83"/>
  <c i="3" r="K84"/>
  <c i="3" r="K85"/>
  <c i="3" r="K86"/>
  <c i="3" r="K87"/>
  <c i="3" r="K88"/>
  <c i="3" r="K89"/>
  <c i="3" r="K90"/>
  <c i="3" r="K91"/>
  <c i="3" r="K92"/>
  <c i="3" r="K93"/>
  <c i="3" r="K94"/>
  <c i="3" r="K95"/>
  <c i="3" r="K96"/>
  <c i="3" r="K97"/>
  <c i="3" r="K98"/>
  <c i="3" r="K99"/>
  <c i="3" r="K100"/>
  <c i="3" r="K101"/>
  <c i="3" r="K11"/>
  <c i="18" l="1" r="CV39"/>
  <c i="18" r="CX38"/>
  <c i="18" r="CY38"/>
  <c i="10" r="D23"/>
  <c i="10" r="D39" s="1"/>
  <c i="10" r="H23"/>
  <c i="10" r="H30" s="1"/>
  <c i="10" r="J23"/>
  <c i="10" r="J39" s="1"/>
  <c i="10" r="I23"/>
  <c i="10" r="I39" s="1"/>
  <c i="10" r="B23"/>
  <c i="10" r="B39" s="1"/>
  <c i="10" r="I29"/>
  <c i="10" r="C23"/>
  <c i="10" r="C39" s="1"/>
  <c i="10" r="J30"/>
  <c i="10" r="J32"/>
  <c i="10" r="J28"/>
  <c i="3" r="L84"/>
  <c i="3" r="L42"/>
  <c i="3" r="L44"/>
  <c i="3" r="L80"/>
  <c i="3" r="L81"/>
  <c i="3" r="L40"/>
  <c i="3" r="L82"/>
  <c i="3" r="L67"/>
  <c i="3" r="L11"/>
  <c i="3" r="L65"/>
  <c i="3" r="L43"/>
  <c i="3" r="L77"/>
  <c i="3" r="L26"/>
  <c i="3" r="L99"/>
  <c i="3" r="L32"/>
  <c i="3" r="L30"/>
  <c i="3" r="L24"/>
  <c i="3" r="L62"/>
  <c i="3" r="L18"/>
  <c i="3" r="L73"/>
  <c i="3" r="L31"/>
  <c i="3" r="L69"/>
  <c i="3" r="L59"/>
  <c i="3" r="L23"/>
  <c i="3" r="L41"/>
  <c i="3" r="L22"/>
  <c i="3" r="L95"/>
  <c i="3" r="L36"/>
  <c i="3" r="L66"/>
  <c i="3" r="L64"/>
  <c i="3" r="L100"/>
  <c i="3" r="L54"/>
  <c i="3" r="L76"/>
  <c i="3" r="L56"/>
  <c i="3" r="L13"/>
  <c i="3" r="L78"/>
  <c i="3" r="L20"/>
  <c i="3" r="L58"/>
  <c i="3" r="L16"/>
  <c i="3" r="L12"/>
  <c i="3" r="L72"/>
  <c i="3" r="L28"/>
  <c i="3" r="L101"/>
  <c i="3" r="L60"/>
  <c i="3" r="L98"/>
  <c i="3" r="L97"/>
  <c i="3" r="L14"/>
  <c i="3" r="L51"/>
  <c i="3" r="L38"/>
  <c i="3" r="L37"/>
  <c i="3" r="L50"/>
  <c i="3" r="L83"/>
  <c i="3" r="L39"/>
  <c i="3" r="L75"/>
  <c i="3" r="L34"/>
  <c i="3" r="L71"/>
  <c i="3" r="L96"/>
  <c i="3" r="L55"/>
  <c i="3" r="L53"/>
  <c i="3" r="L89"/>
  <c i="3" r="L49"/>
  <c i="3" r="L70"/>
  <c i="3" r="L27"/>
  <c i="3" r="L61"/>
  <c i="3" r="L19"/>
  <c i="3" r="L57"/>
  <c i="3" r="L15"/>
  <c i="3" r="L92"/>
  <c i="3" r="L48"/>
  <c i="3" r="L79"/>
  <c i="3" r="L63"/>
  <c i="3" r="L94"/>
  <c i="3" r="L93"/>
  <c i="3" r="L90"/>
  <c i="3" r="L87"/>
  <c i="3" r="L47"/>
  <c i="3" r="L35"/>
  <c i="3" r="L74"/>
  <c i="3" r="L33"/>
  <c i="3" r="L29"/>
  <c i="3" r="L21"/>
  <c i="3" r="L91"/>
  <c i="3" r="L86"/>
  <c i="3" r="L46"/>
  <c i="3" r="L68"/>
  <c i="3" r="L25"/>
  <c i="3" r="L17"/>
  <c i="3" r="L52"/>
  <c i="3" r="L88"/>
  <c i="3" r="L85"/>
  <c i="3" r="L45"/>
  <c i="4" r="L42"/>
  <c i="4" r="L66"/>
  <c i="4" r="L90"/>
  <c i="4" r="L18"/>
  <c i="4" r="L40"/>
  <c i="4" r="L61"/>
  <c i="4" r="L37"/>
  <c i="4" r="L13"/>
  <c i="4" r="L16"/>
  <c i="4" r="L60"/>
  <c i="4" r="L36"/>
  <c i="4" r="L12"/>
  <c i="4" r="L89"/>
  <c i="4" r="L88"/>
  <c i="4" r="L38"/>
  <c i="4" r="L59"/>
  <c i="4" r="L35"/>
  <c i="4" r="L100"/>
  <c i="4" r="L82"/>
  <c i="4" r="L58"/>
  <c i="4" r="L34"/>
  <c i="4" r="L99"/>
  <c i="4" r="L81"/>
  <c i="4" r="L57"/>
  <c i="4" r="L33"/>
  <c i="4" r="L98"/>
  <c i="4" r="L80"/>
  <c i="4" r="L56"/>
  <c i="4" r="L32"/>
  <c i="4" r="L97"/>
  <c i="4" r="L65"/>
  <c i="4" r="L15"/>
  <c i="4" r="L83"/>
  <c i="4" r="L79"/>
  <c i="4" r="L55"/>
  <c i="4" r="L31"/>
  <c i="4" r="L96"/>
  <c i="4" r="L62"/>
  <c i="4" r="L78"/>
  <c i="4" r="L54"/>
  <c i="4" r="L30"/>
  <c i="4" r="L95"/>
  <c i="4" r="L17"/>
  <c i="4" r="L14"/>
  <c i="4" r="L77"/>
  <c i="4" r="L53"/>
  <c i="4" r="L29"/>
  <c i="10" r="K22"/>
  <c i="4" r="L101"/>
  <c i="4" r="L76"/>
  <c i="4" r="L52"/>
  <c i="4" r="L28"/>
  <c i="4" r="L39"/>
  <c i="4" r="L75"/>
  <c i="4" r="L51"/>
  <c i="4" r="L27"/>
  <c i="4" r="L74"/>
  <c i="4" r="L50"/>
  <c i="4" r="L26"/>
  <c i="4" r="L73"/>
  <c i="4" r="L49"/>
  <c i="4" r="L25"/>
  <c i="4" r="L85"/>
  <c i="4" r="L72"/>
  <c i="4" r="L48"/>
  <c i="4" r="L24"/>
  <c i="4" r="L87"/>
  <c i="4" r="L84"/>
  <c i="4" r="L11"/>
  <c i="4" r="L71"/>
  <c i="4" r="L47"/>
  <c i="4" r="L23"/>
  <c i="4" r="L63"/>
  <c i="4" r="L94"/>
  <c i="4" r="L70"/>
  <c i="4" r="L46"/>
  <c i="4" r="L22"/>
  <c i="4" r="L64"/>
  <c i="4" r="L86"/>
  <c i="4" r="L93"/>
  <c i="4" r="L69"/>
  <c i="4" r="L45"/>
  <c i="4" r="L21"/>
  <c i="4" r="L92"/>
  <c i="4" r="L68"/>
  <c i="4" r="L44"/>
  <c i="4" r="L20"/>
  <c i="4" r="L41"/>
  <c i="4" r="L91"/>
  <c i="4" r="L67"/>
  <c i="4" r="L43"/>
  <c i="4" r="L19"/>
  <c i="12" r="P31"/>
  <c i="12" r="Q31" s="1"/>
  <c i="12" r="W39" s="1"/>
  <c i="10" r="K11"/>
  <c i="10" r="K15"/>
  <c i="10" r="K21"/>
  <c i="10" r="K19"/>
  <c i="10" r="K20"/>
  <c i="10" r="K17"/>
  <c i="10" r="K16"/>
  <c i="10" r="K13"/>
  <c i="10" r="K12"/>
  <c i="10" r="K18"/>
  <c i="10" r="K14"/>
  <c i="10" r="E22"/>
  <c i="18" l="1" r="CZ38"/>
  <c i="18" r="DA38" s="1"/>
  <c i="10" r="B29"/>
  <c i="10" r="D32"/>
  <c i="10" r="J38"/>
  <c i="10" r="J35"/>
  <c i="10" r="D31"/>
  <c i="10" r="D33"/>
  <c i="10" r="D30"/>
  <c i="18" r="CV40"/>
  <c i="18" r="CX39"/>
  <c i="18" r="CY39"/>
  <c i="10" r="I28"/>
  <c i="10" r="D29"/>
  <c i="10" r="D35"/>
  <c i="10" r="D37"/>
  <c i="10" r="D36"/>
  <c i="10" r="J31"/>
  <c i="10" r="C27"/>
  <c i="10" r="D28"/>
  <c i="10" r="B27"/>
  <c i="10" r="B38"/>
  <c i="10" r="C31"/>
  <c i="10" r="B31"/>
  <c i="10" r="C29"/>
  <c i="10" r="I34"/>
  <c i="10" r="I33"/>
  <c i="10" r="I37"/>
  <c i="10" r="I35"/>
  <c i="10" r="J37"/>
  <c i="10" r="J29"/>
  <c i="10" r="J34"/>
  <c i="10" r="J36"/>
  <c i="10" r="D27"/>
  <c i="10" r="I32"/>
  <c i="10" r="H39"/>
  <c i="10" r="H27"/>
  <c i="10" r="H37"/>
  <c i="10" r="H31"/>
  <c i="10" r="H36"/>
  <c i="10" r="H34"/>
  <c i="10" r="C37"/>
  <c i="10" r="B28"/>
  <c i="10" r="I38"/>
  <c i="10" r="B35"/>
  <c i="10" r="B32"/>
  <c i="10" r="H35"/>
  <c i="10" r="B37"/>
  <c i="10" r="C34"/>
  <c i="10" r="H38"/>
  <c i="10" r="I31"/>
  <c i="10" r="I36"/>
  <c i="10" r="C30"/>
  <c i="10" r="H33"/>
  <c i="10" r="C36"/>
  <c i="10" r="H28"/>
  <c i="10" r="C28"/>
  <c i="10" r="C35"/>
  <c i="10" r="H29"/>
  <c i="10" r="I27"/>
  <c i="10" r="C38"/>
  <c i="10" r="H32"/>
  <c i="10" r="C32"/>
  <c i="10" r="B30"/>
  <c i="10" r="I30"/>
  <c i="10" r="B33"/>
  <c i="10" r="B36"/>
  <c i="10" r="C33"/>
  <c i="10" r="K23"/>
  <c i="10" r="K39" s="1"/>
  <c i="10" r="B34"/>
  <c i="10" r="J27"/>
  <c i="10" r="J33"/>
  <c i="10" r="D38"/>
  <c i="10" r="D34"/>
  <c i="12" r="X39"/>
  <c i="10" r="E21"/>
  <c i="10" r="E19"/>
  <c i="10" r="E15"/>
  <c i="10" r="E20"/>
  <c i="10" r="E16"/>
  <c i="10" r="E12"/>
  <c i="10" r="E11"/>
  <c i="10" r="E17"/>
  <c i="10" r="E13"/>
  <c i="10" r="E18"/>
  <c i="10" r="E14"/>
  <c i="10" l="1" r="K30"/>
  <c i="18" r="CZ39"/>
  <c i="18" r="DA39" s="1"/>
  <c i="10" r="K28"/>
  <c i="10" r="K29"/>
  <c i="18" r="CV41"/>
  <c i="18" r="CX40"/>
  <c i="18" r="CY40"/>
  <c i="10" r="K31"/>
  <c i="10" r="K35"/>
  <c i="10" r="K38"/>
  <c i="10" r="K34"/>
  <c i="10" r="K36"/>
  <c i="10" r="K27"/>
  <c i="10" r="K33"/>
  <c i="10" r="K32"/>
  <c i="10" r="E23"/>
  <c i="10" r="K37"/>
  <c i="18" l="1" r="CZ40"/>
  <c i="18" r="DA40" s="1"/>
  <c i="18" r="CV42"/>
  <c i="18" r="CY41"/>
  <c i="18" r="CX41"/>
  <c i="10" r="E39"/>
  <c i="10" r="E38"/>
  <c i="10" r="E27"/>
  <c i="10" r="E32"/>
  <c i="10" r="E37"/>
  <c i="10" r="E34"/>
  <c i="10" r="E28"/>
  <c i="10" r="E29"/>
  <c i="10" r="E31"/>
  <c i="10" r="E30"/>
  <c i="10" r="E35"/>
  <c i="10" r="E33"/>
  <c i="10" r="E36"/>
  <c i="18" l="1" r="CZ41"/>
  <c i="18" r="DA41" s="1"/>
  <c i="18" r="CV43"/>
  <c i="18" r="CY42"/>
  <c i="18" r="CX42"/>
  <c i="18" l="1" r="CZ42"/>
  <c i="18" r="DA42" s="1"/>
  <c i="18" r="CV44"/>
  <c i="18" r="CY43"/>
  <c i="18" r="CX43"/>
  <c i="18" l="1" r="CZ43"/>
  <c i="18" r="DA43" s="1"/>
  <c i="18" r="CV45"/>
  <c i="18" r="CY44"/>
  <c i="18" r="CX44"/>
  <c i="18" l="1" r="CV46"/>
  <c i="18" r="CY45"/>
  <c i="18" r="CX45"/>
  <c i="18" r="CZ44"/>
  <c i="18" r="DA44" s="1"/>
  <c i="18" l="1" r="CZ45"/>
  <c i="18" r="DA45" s="1"/>
  <c i="18" r="CV47"/>
  <c i="18" r="CY46"/>
  <c i="18" r="CX46"/>
  <c i="18" l="1" r="CV48"/>
  <c i="18" r="CY47"/>
  <c i="18" r="CX47"/>
  <c i="18" r="CZ46"/>
  <c i="18" r="DA46" s="1"/>
  <c i="18" l="1" r="CZ47"/>
  <c i="18" r="DA47" s="1"/>
  <c i="18" r="CV49"/>
  <c i="18" r="CY48"/>
  <c i="18" r="CX48"/>
  <c i="18" l="1" r="CZ48"/>
  <c i="18" r="DA48" s="1"/>
  <c i="18" r="CV50"/>
  <c i="18" r="CY49"/>
  <c i="18" r="CX49"/>
  <c i="18" l="1" r="CZ49"/>
  <c i="18" r="DA49" s="1"/>
  <c i="18" r="CV51"/>
  <c i="18" r="CY50"/>
  <c i="18" r="CX50"/>
  <c i="18" l="1" r="CZ50"/>
  <c i="18" r="DA50" s="1"/>
  <c i="18" r="CV52"/>
  <c i="18" r="CY51"/>
  <c i="18" r="CX51"/>
  <c i="18" l="1" r="CZ51"/>
  <c i="18" r="DA51" s="1"/>
  <c i="18" r="CV53"/>
  <c i="18" r="CY52"/>
  <c i="18" r="CX52"/>
  <c i="18" l="1" r="CZ52"/>
  <c i="18" r="DA52" s="1"/>
  <c i="18" r="CV54"/>
  <c i="18" r="CY53"/>
  <c i="18" r="CX53"/>
  <c i="18" l="1" r="CZ53"/>
  <c i="18" r="DA53" s="1"/>
  <c i="18" r="CV55"/>
  <c i="18" r="CY54"/>
  <c i="18" r="CX54"/>
  <c i="18" l="1" r="CZ54"/>
  <c i="18" r="DA54" s="1"/>
  <c i="18" r="CV56"/>
  <c i="18" r="CX55"/>
  <c i="18" r="CY55"/>
  <c i="18" r="CZ55" s="1"/>
  <c i="18" r="DA55" s="1"/>
  <c i="18" l="1" r="CV57"/>
  <c i="18" r="CY56"/>
  <c i="18" r="CX56"/>
  <c i="18" l="1" r="CZ56"/>
  <c i="18" r="DA56" s="1"/>
  <c i="18" r="CV58"/>
  <c i="18" r="CY57"/>
  <c i="18" r="CX57"/>
  <c i="18" l="1" r="CZ57"/>
  <c i="18" r="DA57" s="1"/>
  <c i="18" r="CV59"/>
  <c i="18" r="CX58"/>
  <c i="18" r="CY58"/>
  <c i="18" l="1" r="CZ58"/>
  <c i="18" r="DA58" s="1"/>
  <c i="18" r="CV60"/>
  <c i="18" r="CY59"/>
  <c i="18" r="CX59"/>
  <c i="18" l="1" r="CZ59"/>
  <c i="18" r="DA59" s="1"/>
  <c i="18" r="CV61"/>
  <c i="18" r="CY60"/>
  <c i="18" r="CX60"/>
  <c i="18" l="1" r="CZ60"/>
  <c i="18" r="DA60" s="1"/>
  <c i="18" r="CV62"/>
  <c i="18" r="CY61"/>
  <c i="18" r="CX61"/>
  <c i="18" l="1" r="CZ61"/>
  <c i="18" r="DA61" s="1"/>
  <c i="18" r="CV63"/>
  <c i="18" r="CY62"/>
  <c i="18" r="CX62"/>
  <c i="18" l="1" r="CZ62"/>
  <c i="18" r="DA62" s="1"/>
  <c i="18" r="CV64"/>
  <c i="18" r="CY63"/>
  <c i="18" r="CX63"/>
  <c i="18" l="1" r="CZ63"/>
  <c i="18" r="DA63" s="1"/>
  <c i="18" r="CV65"/>
  <c i="18" r="CY64"/>
  <c i="18" r="CX64"/>
  <c i="18" l="1" r="CZ64"/>
  <c i="18" r="DA64" s="1"/>
  <c i="18" r="CV66"/>
  <c i="18" r="CY65"/>
  <c i="18" r="CX65"/>
  <c i="18" l="1" r="CZ65"/>
  <c i="18" r="DA65" s="1"/>
  <c i="18" r="CV67"/>
  <c i="18" r="CY66"/>
  <c i="18" r="CX66"/>
  <c i="18" l="1" r="CZ66"/>
  <c i="18" r="DA66" s="1"/>
  <c i="18" r="CV68"/>
  <c i="18" r="CY67"/>
  <c i="18" r="CX67"/>
  <c i="18" l="1" r="CV69"/>
  <c i="18" r="CY68"/>
  <c i="18" r="CX68"/>
  <c i="18" r="CZ67"/>
  <c i="18" r="DA67" s="1"/>
  <c i="18" l="1" r="CZ68"/>
  <c i="18" r="DA68" s="1"/>
  <c i="18" r="CV70"/>
  <c i="18" r="CY69"/>
  <c i="18" r="CX69"/>
  <c i="18" l="1" r="CV71"/>
  <c i="18" r="CY70"/>
  <c i="18" r="CX70"/>
  <c i="18" r="CZ69"/>
  <c i="18" r="DA69" s="1"/>
  <c i="18" l="1" r="CZ70"/>
  <c i="18" r="DA70" s="1"/>
  <c i="18" r="CV72"/>
  <c i="18" r="CY71"/>
  <c i="18" r="CX71"/>
  <c i="18" l="1" r="CV73"/>
  <c i="18" r="CY72"/>
  <c i="18" r="CX72"/>
  <c i="18" r="CZ71"/>
  <c i="18" r="DA71" s="1"/>
  <c i="18" l="1" r="CZ72"/>
  <c i="18" r="DA72" s="1"/>
  <c i="18" r="CV74"/>
  <c i="18" r="CY73"/>
  <c i="18" r="CX73"/>
  <c i="18" l="1" r="CZ73"/>
  <c i="18" r="DA73" s="1"/>
  <c i="18" r="CV75"/>
  <c i="18" r="CY74"/>
  <c i="18" r="CX74"/>
  <c i="18" l="1" r="CV76"/>
  <c i="18" r="CX75"/>
  <c i="18" r="CY75"/>
  <c i="18" r="CZ74"/>
  <c i="18" r="DA74" s="1"/>
  <c i="18" l="1" r="CZ75"/>
  <c i="18" r="DA75" s="1"/>
  <c i="18" r="CV77"/>
  <c i="18" r="CY76"/>
  <c i="18" r="CX76"/>
  <c i="18" l="1" r="CZ76"/>
  <c i="18" r="DA76" s="1"/>
  <c i="18" r="CV78"/>
  <c i="18" r="CY77"/>
  <c i="18" r="CX77"/>
  <c i="18" l="1" r="CZ77"/>
  <c i="18" r="DA77" s="1"/>
  <c i="18" r="CV79"/>
  <c i="18" r="CY78"/>
  <c i="18" r="CX78"/>
  <c i="18" l="1" r="CZ78"/>
  <c i="18" r="DA78" s="1"/>
  <c i="18" r="CV80"/>
  <c i="18" r="CX79"/>
  <c i="18" r="CY79"/>
  <c i="18" r="CZ79" s="1"/>
  <c i="18" r="DA79" s="1"/>
  <c i="18" l="1" r="CV81"/>
  <c i="18" r="CX80"/>
  <c i="18" r="CY80"/>
  <c i="18" l="1" r="CZ80"/>
  <c i="18" r="DA80" s="1"/>
  <c i="18" r="CV82"/>
  <c i="18" r="CY81"/>
  <c i="18" r="CX81"/>
  <c i="18" l="1" r="CZ81"/>
  <c i="18" r="DA81" s="1"/>
  <c i="18" r="CV83"/>
  <c i="18" r="CY82"/>
  <c i="18" r="CX82"/>
  <c i="18" l="1" r="CZ82"/>
  <c i="18" r="DA82" s="1"/>
  <c i="18" r="CV84"/>
  <c i="18" r="CY83"/>
  <c i="18" r="CX83"/>
  <c i="18" l="1" r="CZ83"/>
  <c i="18" r="DA83" s="1"/>
  <c i="18" r="CV85"/>
  <c i="18" r="CY84"/>
  <c i="18" r="CX84"/>
  <c i="18" l="1" r="CV86"/>
  <c i="18" r="CY85"/>
  <c i="18" r="CX85"/>
  <c i="18" r="CZ84"/>
  <c i="18" r="DA84" s="1"/>
  <c i="18" l="1" r="CZ85"/>
  <c i="18" r="DA85" s="1"/>
  <c i="18" r="CV87"/>
  <c i="18" r="CY86"/>
  <c i="18" r="CX86"/>
  <c i="18" l="1" r="CZ86"/>
  <c i="18" r="DA86" s="1"/>
  <c i="18" r="CV88"/>
  <c i="18" r="CY87"/>
  <c i="18" r="CX87"/>
  <c i="18" l="1" r="CV89"/>
  <c i="18" r="CY88"/>
  <c i="18" r="CX88"/>
  <c i="18" r="CZ87"/>
  <c i="18" r="DA87" s="1"/>
  <c i="18" l="1" r="CZ88"/>
  <c i="18" r="DA88" s="1"/>
  <c i="18" r="CV90"/>
  <c i="18" r="CY89"/>
  <c i="18" r="CX89"/>
  <c i="18" l="1" r="CZ89"/>
  <c i="18" r="DA89" s="1"/>
  <c i="18" r="CV91"/>
  <c i="18" r="CY90"/>
  <c i="18" r="CX90"/>
  <c i="18" l="1" r="CZ90"/>
  <c i="18" r="DA90" s="1"/>
  <c i="18" r="CV92"/>
  <c i="18" r="CY91"/>
  <c i="18" r="CX91"/>
  <c i="18" l="1" r="CZ91"/>
  <c i="18" r="DA91" s="1"/>
  <c i="18" r="CV93"/>
  <c i="18" r="CY92"/>
  <c i="18" r="CX92"/>
  <c i="18" l="1" r="CZ92"/>
  <c i="18" r="DA92" s="1"/>
  <c i="18" r="CV94"/>
  <c i="18" r="CY93"/>
  <c i="18" r="CX93"/>
  <c i="18" l="1" r="CZ93"/>
  <c i="18" r="DA93" s="1"/>
  <c i="18" r="CV95"/>
  <c i="18" r="CY94"/>
  <c i="18" r="CX94"/>
  <c i="18" l="1" r="CZ94"/>
  <c i="18" r="DA94" s="1"/>
  <c i="18" r="CV96"/>
  <c i="18" r="CX95"/>
  <c i="18" r="CY95"/>
  <c i="18" r="CZ95" s="1"/>
  <c i="18" r="DA95" s="1"/>
  <c i="18" l="1" r="CV97"/>
  <c i="18" r="CY96"/>
  <c i="18" r="CX96"/>
  <c i="18" l="1" r="CZ96"/>
  <c i="18" r="DA96" s="1"/>
  <c i="18" r="CV98"/>
  <c i="18" r="CY97"/>
  <c i="18" r="CX97"/>
  <c i="18" l="1" r="CZ97"/>
  <c i="18" r="DA97" s="1"/>
  <c i="18" r="CV99"/>
  <c i="18" r="CX98"/>
  <c i="18" r="CY98"/>
  <c i="18" l="1" r="CZ98"/>
  <c i="18" r="DA98" s="1"/>
  <c i="18" r="CV100"/>
  <c i="18" r="CY99"/>
  <c i="18" r="CX99"/>
  <c i="18" l="1" r="CZ99"/>
  <c i="18" r="DA99" s="1"/>
  <c i="18" r="CV101"/>
  <c i="18" r="CY100"/>
  <c i="18" r="CX100"/>
  <c i="18" l="1" r="CV102"/>
  <c i="18" r="CY101"/>
  <c i="18" r="CX101"/>
  <c i="18" r="CZ100"/>
  <c i="18" r="DA100" s="1"/>
  <c i="18" l="1" r="CZ101"/>
  <c i="18" r="DA101" s="1"/>
  <c i="18" r="CV103"/>
  <c i="18" r="CY102"/>
  <c i="18" r="CX102"/>
  <c i="18" l="1" r="CZ102"/>
  <c i="18" r="DA102" s="1"/>
  <c i="18" r="CV104"/>
  <c i="18" r="CY103"/>
  <c i="18" r="CX103"/>
  <c i="18" l="1" r="CZ103"/>
  <c i="18" r="DA103" s="1"/>
  <c i="18" r="CV105"/>
  <c i="18" r="CY104"/>
  <c i="18" r="CX104"/>
  <c i="18" l="1" r="CZ104"/>
  <c i="18" r="DA104" s="1"/>
  <c i="18" r="CV106"/>
  <c i="18" r="CY105"/>
  <c i="18" r="CX105"/>
  <c i="18" l="1" r="CZ105"/>
  <c i="18" r="DA105" s="1"/>
  <c i="18" r="CV107"/>
  <c i="18" r="CY106"/>
  <c i="18" r="CX106"/>
  <c i="18" l="1" r="CZ106"/>
  <c i="18" r="DA106" s="1"/>
  <c i="18" r="CV108"/>
  <c i="18" r="CY107"/>
  <c i="18" r="CX107"/>
  <c i="18" l="1" r="CZ107"/>
  <c i="18" r="DA107" s="1"/>
  <c i="18" r="CV109"/>
  <c i="18" r="CY108"/>
  <c i="18" r="CX108"/>
  <c i="18" l="1" r="CZ108"/>
  <c i="18" r="DA108" s="1"/>
  <c i="18" r="CV110"/>
  <c i="18" r="CY109"/>
  <c i="18" r="CX109"/>
  <c i="18" l="1" r="CZ109"/>
  <c i="18" r="DA109" s="1"/>
  <c i="18" r="CV111"/>
  <c i="18" r="CY110"/>
  <c i="18" r="CX110"/>
  <c i="18" l="1" r="CZ110"/>
  <c i="18" r="DA110" s="1"/>
  <c i="18" r="CV112"/>
  <c i="18" r="CY111"/>
  <c i="18" r="CX111"/>
  <c i="18" l="1" r="CZ111"/>
  <c i="18" r="DA111" s="1"/>
  <c i="18" r="CV113"/>
  <c i="18" r="CY112"/>
  <c i="18" r="CX112"/>
  <c i="18" l="1" r="CZ112"/>
  <c i="18" r="DA112" s="1"/>
  <c i="18" r="CV114"/>
  <c i="18" r="CX113"/>
  <c i="18" r="CY113"/>
  <c i="18" l="1" r="CZ113"/>
  <c i="18" r="DA113" s="1"/>
  <c i="18" r="CV115"/>
  <c i="18" r="CY114"/>
  <c i="18" r="CX114"/>
  <c i="18" l="1" r="CZ114"/>
  <c i="18" r="DA114" s="1"/>
  <c i="18" r="CV116"/>
  <c i="18" r="CX115"/>
  <c i="18" r="CY115"/>
  <c i="18" l="1" r="CZ115"/>
  <c i="18" r="DA115" s="1"/>
  <c i="18" r="CV117"/>
  <c i="18" r="CX116"/>
  <c i="18" r="CY116"/>
  <c i="18" l="1" r="CZ116"/>
  <c i="18" r="DA116" s="1"/>
  <c i="18" r="CV118"/>
  <c i="18" r="CX117"/>
  <c i="18" r="CY117"/>
  <c i="18" l="1" r="CZ117"/>
  <c i="18" r="DA117" s="1"/>
  <c i="18" r="CV119"/>
  <c i="18" r="CX118"/>
  <c i="18" r="CY118"/>
  <c i="18" l="1" r="CZ118"/>
  <c i="18" r="DA118" s="1"/>
  <c i="18" r="CV120"/>
  <c i="18" r="CY119"/>
  <c i="18" r="CX119"/>
  <c i="18" l="1" r="CZ119"/>
  <c i="18" r="DA119" s="1"/>
  <c i="18" r="CV121"/>
  <c i="18" r="CY120"/>
  <c i="18" r="CX120"/>
  <c i="18" l="1" r="CV122"/>
  <c i="18" r="CY121"/>
  <c i="18" r="CX121"/>
  <c i="18" r="CZ120"/>
  <c i="18" r="DA120" s="1"/>
  <c i="18" l="1" r="CZ121"/>
  <c i="18" r="DA121" s="1"/>
  <c i="18" r="CV123"/>
  <c i="18" r="CY122"/>
  <c i="18" r="CX122"/>
  <c i="18" l="1" r="CZ122"/>
  <c i="18" r="DA122" s="1"/>
  <c i="18" r="CV124"/>
  <c i="18" r="CY123"/>
  <c i="18" r="CX123"/>
  <c i="18" l="1" r="CZ123"/>
  <c i="18" r="DA123" s="1"/>
  <c i="18" r="CV125"/>
  <c i="18" r="CY124"/>
  <c i="18" r="CX124"/>
  <c i="18" l="1" r="CZ124"/>
  <c i="18" r="DA124" s="1"/>
  <c i="18" r="CV126"/>
  <c i="18" r="CY125"/>
  <c i="18" r="CX125"/>
  <c i="18" l="1" r="CZ125"/>
  <c i="18" r="DA125" s="1"/>
  <c i="18" r="CV127"/>
  <c i="18" r="CY126"/>
  <c i="18" r="CX126"/>
  <c i="18" l="1" r="CZ126"/>
  <c i="18" r="DA126" s="1"/>
  <c i="18" r="CV128"/>
  <c i="18" r="CY127"/>
  <c i="18" r="CX127"/>
  <c i="18" l="1" r="CZ127"/>
  <c i="18" r="DA127" s="1"/>
  <c i="18" r="CV129"/>
  <c i="18" r="CY128"/>
  <c i="18" r="CX128"/>
  <c i="18" l="1" r="CV130"/>
  <c i="18" r="CY129"/>
  <c i="18" r="CX129"/>
  <c i="18" r="CZ128"/>
  <c i="18" r="DA128" s="1"/>
  <c i="18" l="1" r="CZ129"/>
  <c i="18" r="DA129" s="1"/>
  <c i="18" r="CV131"/>
  <c i="18" r="CY130"/>
  <c i="18" r="CX130"/>
  <c i="18" l="1" r="CZ130"/>
  <c i="18" r="DA130" s="1"/>
  <c i="18" r="CV132"/>
  <c i="18" r="CY131"/>
  <c i="18" r="CX131"/>
  <c i="18" l="1" r="CZ131"/>
  <c i="18" r="DA131" s="1"/>
  <c i="18" r="CV133"/>
  <c i="18" r="CY132"/>
  <c i="18" r="CX132"/>
  <c i="18" l="1" r="CZ132"/>
  <c i="18" r="DA132" s="1"/>
  <c i="18" r="CV134"/>
  <c i="18" r="CY133"/>
  <c i="18" r="CX133"/>
  <c i="18" l="1" r="CV135"/>
  <c i="18" r="CY134"/>
  <c i="18" r="CX134"/>
  <c i="18" r="CZ133"/>
  <c i="18" r="DA133" s="1"/>
  <c i="18" l="1" r="CZ134"/>
  <c i="18" r="DA134" s="1"/>
  <c i="18" r="CV136"/>
  <c i="18" r="CY135"/>
  <c i="18" r="CX135"/>
  <c i="18" l="1" r="CZ135"/>
  <c i="18" r="DA135" s="1"/>
  <c i="18" r="CV137"/>
  <c i="18" r="CY136"/>
  <c i="18" r="CX136"/>
  <c i="18" l="1" r="CZ136"/>
  <c i="18" r="DA136" s="1"/>
  <c i="18" r="CV138"/>
  <c i="18" r="CY137"/>
  <c i="18" r="CX137"/>
  <c i="18" l="1" r="CZ137"/>
  <c i="18" r="DA137" s="1"/>
  <c i="18" r="CV139"/>
  <c i="18" r="CX138"/>
  <c i="18" r="CY138"/>
  <c i="18" l="1" r="CZ138"/>
  <c i="18" r="DA138" s="1"/>
  <c i="18" r="CV140"/>
  <c i="18" r="CY139"/>
  <c i="18" r="CX139"/>
  <c i="18" l="1" r="CZ139"/>
  <c i="18" r="DA139" s="1"/>
  <c i="18" r="CV141"/>
  <c i="18" r="CY140"/>
  <c i="18" r="CX140"/>
  <c i="18" l="1" r="CZ140"/>
  <c i="18" r="DA140" s="1"/>
  <c i="18" r="CV142"/>
  <c i="18" r="CY141"/>
  <c i="18" r="CX141"/>
  <c i="18" l="1" r="CV143"/>
  <c i="18" r="CY142"/>
  <c i="18" r="CX142"/>
  <c i="18" r="CZ141"/>
  <c i="18" r="DA141" s="1"/>
  <c i="18" l="1" r="CZ142"/>
  <c i="18" r="DA142" s="1"/>
  <c i="18" r="CV144"/>
  <c i="18" r="CY143"/>
  <c i="18" r="CX143"/>
  <c i="18" l="1" r="CZ143"/>
  <c i="18" r="DA143" s="1"/>
  <c i="18" r="CV145"/>
  <c i="18" r="CY144"/>
  <c i="18" r="CX144"/>
  <c i="18" l="1" r="CZ144"/>
  <c i="18" r="DA144" s="1"/>
  <c i="18" r="CV146"/>
  <c i="18" r="CY145"/>
  <c i="18" r="CX145"/>
  <c i="18" l="1" r="CZ145"/>
  <c i="18" r="DA145" s="1"/>
  <c i="18" r="CV147"/>
  <c i="18" r="CY146"/>
  <c i="18" r="CX146"/>
  <c i="18" l="1" r="CV148"/>
  <c i="18" r="CY147"/>
  <c i="18" r="CX147"/>
  <c i="18" r="CZ146"/>
  <c i="18" r="DA146" s="1"/>
  <c i="18" l="1" r="CZ147"/>
  <c i="18" r="DA147" s="1"/>
  <c i="18" r="CV149"/>
  <c i="18" r="CX148"/>
  <c i="18" r="CY148"/>
  <c i="18" l="1" r="CZ148"/>
  <c i="18" r="DA148" s="1"/>
  <c i="18" r="CV150"/>
  <c i="18" r="CY149"/>
  <c i="18" r="CX149"/>
  <c i="18" l="1" r="CZ149"/>
  <c i="18" r="DA149" s="1"/>
  <c i="18" r="CV151"/>
  <c i="18" r="CY150"/>
  <c i="18" r="CX150"/>
  <c i="18" l="1" r="CZ150"/>
  <c i="18" r="DA150" s="1"/>
  <c i="18" r="CV152"/>
  <c i="18" r="CY151"/>
  <c i="18" r="CX151"/>
  <c i="18" l="1" r="CZ151"/>
  <c i="18" r="DA151" s="1"/>
  <c i="18" r="CV153"/>
  <c i="18" r="CY152"/>
  <c i="18" r="CX152"/>
  <c i="18" l="1" r="CZ152"/>
  <c i="18" r="DA152" s="1"/>
  <c i="18" r="CV154"/>
  <c i="18" r="CX153"/>
  <c i="18" r="CY153"/>
  <c i="18" l="1" r="CZ153"/>
  <c i="18" r="DA153" s="1"/>
  <c i="18" r="CV155"/>
  <c i="18" r="CX154"/>
  <c i="18" r="CY154"/>
  <c i="18" l="1" r="CZ154"/>
  <c i="18" r="DA154" s="1"/>
  <c i="18" r="CV156"/>
  <c i="18" r="CY155"/>
  <c i="18" r="CX155"/>
  <c i="18" l="1" r="CZ155"/>
  <c i="18" r="DA155" s="1"/>
  <c i="18" r="CV157"/>
  <c i="18" r="CX156"/>
  <c i="18" r="CY156"/>
  <c i="18" r="CZ156" s="1"/>
  <c i="18" r="DA156" s="1"/>
  <c i="18" l="1" r="CV158"/>
  <c i="18" r="CX157"/>
  <c i="18" r="CY157"/>
  <c i="18" l="1" r="CZ157"/>
  <c i="18" r="DA157" s="1"/>
  <c i="18" r="CV159"/>
  <c i="18" r="CY158"/>
  <c i="18" r="CX158"/>
  <c i="18" l="1" r="CZ158"/>
  <c i="18" r="DA158" s="1"/>
  <c i="18" r="CV160"/>
  <c i="18" r="CY159"/>
  <c i="18" r="CX159"/>
  <c i="18" l="1" r="CZ159"/>
  <c i="18" r="DA159" s="1"/>
  <c i="18" r="CV161"/>
  <c i="18" r="CY160"/>
  <c i="18" r="CX160"/>
  <c i="18" l="1" r="CZ160"/>
  <c i="18" r="DA160" s="1"/>
  <c i="18" r="CV162"/>
  <c i="18" r="CY161"/>
  <c i="18" r="CX161"/>
  <c i="18" l="1" r="CZ161"/>
  <c i="18" r="DA161" s="1"/>
  <c i="18" r="CV163"/>
  <c i="18" r="CY162"/>
  <c i="18" r="CX162"/>
  <c i="18" l="1" r="CZ162"/>
  <c i="18" r="DA162" s="1"/>
  <c i="18" r="CV164"/>
  <c i="18" r="CY163"/>
  <c i="18" r="CX163"/>
  <c i="18" l="1" r="CZ163"/>
  <c i="18" r="DA163" s="1"/>
  <c i="18" r="CV165"/>
  <c i="18" r="CY164"/>
  <c i="18" r="CX164"/>
  <c i="18" l="1" r="CZ164"/>
  <c i="18" r="DA164" s="1"/>
  <c i="18" r="CV166"/>
  <c i="18" r="CY165"/>
  <c i="18" r="CX165"/>
  <c i="18" l="1" r="CZ165"/>
  <c i="18" r="DA165" s="1"/>
  <c i="18" r="CV167"/>
  <c i="18" r="CY166"/>
  <c i="18" r="CX166"/>
  <c i="18" l="1" r="CZ166"/>
  <c i="18" r="DA166" s="1"/>
  <c i="18" r="CV168"/>
  <c i="18" r="CY167"/>
  <c i="18" r="CX167"/>
  <c i="18" l="1" r="CZ167"/>
  <c i="18" r="DA167" s="1"/>
  <c i="18" r="CV169"/>
  <c i="18" r="CY168"/>
  <c i="18" r="CX168"/>
  <c i="18" l="1" r="CZ168"/>
  <c i="18" r="DA168" s="1"/>
  <c i="18" r="CV170"/>
  <c i="18" r="CY169"/>
  <c i="18" r="CX169"/>
  <c i="18" l="1" r="CZ169"/>
  <c i="18" r="DA169" s="1"/>
  <c i="18" r="CV171"/>
  <c i="18" r="CY170"/>
  <c i="18" r="CX170"/>
  <c i="18" l="1" r="CZ170"/>
  <c i="18" r="DA170" s="1"/>
  <c i="18" r="CV172"/>
  <c i="18" r="CY171"/>
  <c i="18" r="CX171"/>
  <c i="18" l="1" r="CZ171"/>
  <c i="18" r="DA171" s="1"/>
  <c i="18" r="CV173"/>
  <c i="18" r="CY172"/>
  <c i="18" r="CX172"/>
  <c i="18" l="1" r="CZ172"/>
  <c i="18" r="DA172" s="1"/>
  <c i="18" r="CV174"/>
  <c i="18" r="CY173"/>
  <c i="18" r="CX173"/>
  <c i="18" l="1" r="CZ173"/>
  <c i="18" r="DA173" s="1"/>
  <c i="18" r="CV175"/>
  <c i="18" r="CY174"/>
  <c i="18" r="CX174"/>
  <c i="18" l="1" r="CZ174"/>
  <c i="18" r="DA174" s="1"/>
  <c i="18" r="CV176"/>
  <c i="18" r="CX175"/>
  <c i="18" r="CY175"/>
  <c i="18" l="1" r="CZ175"/>
  <c i="18" r="DA175" s="1"/>
  <c i="18" r="CV177"/>
  <c i="18" r="CY176"/>
  <c i="18" r="CX176"/>
  <c i="18" l="1" r="CZ176"/>
  <c i="18" r="DA176" s="1"/>
  <c i="18" r="CV178"/>
  <c i="18" r="CY177"/>
  <c i="18" r="CX177"/>
  <c i="18" l="1" r="CZ177"/>
  <c i="18" r="DA177" s="1"/>
  <c i="18" r="CV179"/>
  <c i="18" r="CY178"/>
  <c i="18" r="CX178"/>
  <c i="18" l="1" r="CZ178"/>
  <c i="18" r="DA178" s="1"/>
  <c i="18" r="CV180"/>
  <c i="18" r="CY179"/>
  <c i="18" r="CX179"/>
  <c i="18" l="1" r="CZ179"/>
  <c i="18" r="DA179" s="1"/>
  <c i="18" r="CV181"/>
  <c i="18" r="CY180"/>
  <c i="18" r="CX180"/>
  <c i="18" l="1" r="CZ180"/>
  <c i="18" r="DA180" s="1"/>
  <c i="18" r="CV182"/>
  <c i="18" r="CY181"/>
  <c i="18" r="CX181"/>
  <c i="18" l="1" r="CZ181"/>
  <c i="18" r="DA181" s="1"/>
  <c i="18" r="CV183"/>
  <c i="18" r="CY182"/>
  <c i="18" r="CX182"/>
  <c i="18" l="1" r="CZ182"/>
  <c i="18" r="DA182" s="1"/>
  <c i="18" r="CV184"/>
  <c i="18" r="CY183"/>
  <c i="18" r="CX183"/>
  <c i="18" l="1" r="CZ183"/>
  <c i="18" r="DA183" s="1"/>
  <c i="18" r="CV185"/>
  <c i="18" r="CY184"/>
  <c i="18" r="CX184"/>
  <c i="18" l="1" r="CZ184"/>
  <c i="18" r="DA184" s="1"/>
  <c i="18" r="CV186"/>
  <c i="18" r="CY185"/>
  <c i="18" r="CX185"/>
  <c i="18" l="1" r="CZ185"/>
  <c i="18" r="DA185" s="1"/>
  <c i="18" r="CV187"/>
  <c i="18" r="CY186"/>
  <c i="18" r="CX186"/>
  <c i="18" l="1" r="CZ186"/>
  <c i="18" r="DA186" s="1"/>
  <c i="18" r="CV188"/>
  <c i="18" r="CY187"/>
  <c i="18" r="CX187"/>
  <c i="18" l="1" r="CZ187"/>
  <c i="18" r="DA187" s="1"/>
  <c i="18" r="CV189"/>
  <c i="18" r="CX188"/>
  <c i="18" r="CY188"/>
  <c i="18" l="1" r="CZ188"/>
  <c i="18" r="DA188" s="1"/>
  <c i="18" r="CV190"/>
  <c i="18" r="CY189"/>
  <c i="18" r="CX189"/>
  <c i="18" l="1" r="CZ189"/>
  <c i="18" r="DA189" s="1"/>
  <c i="18" r="CV191"/>
  <c i="18" r="CY190"/>
  <c i="18" r="CX190"/>
  <c i="18" l="1" r="CZ190"/>
  <c i="18" r="DA190" s="1"/>
  <c i="18" r="CV192"/>
  <c i="18" r="CY191"/>
  <c i="18" r="CX191"/>
  <c i="18" l="1" r="CZ191"/>
  <c i="18" r="DA191" s="1"/>
  <c i="18" r="CV193"/>
  <c i="18" r="CY192"/>
  <c i="18" r="CX192"/>
  <c i="18" l="1" r="CZ192"/>
  <c i="18" r="DA192" s="1"/>
  <c i="18" r="CV194"/>
  <c i="18" r="CX193"/>
  <c i="18" r="CY193"/>
  <c i="18" l="1" r="CZ193"/>
  <c i="18" r="DA193" s="1"/>
  <c i="18" r="CV195"/>
  <c i="18" r="CX194"/>
  <c i="18" r="CY194"/>
  <c i="18" l="1" r="CZ194"/>
  <c i="18" r="DA194" s="1"/>
  <c i="18" r="CV196"/>
  <c i="18" r="CX195"/>
  <c i="18" r="CY195"/>
  <c i="18" l="1" r="CZ195"/>
  <c i="18" r="DA195" s="1"/>
  <c i="18" r="CV197"/>
  <c i="18" r="CX196"/>
  <c i="18" r="CY196"/>
  <c i="18" l="1" r="CZ196"/>
  <c i="18" r="DA196" s="1"/>
  <c i="18" r="CV198"/>
  <c i="18" r="CX197"/>
  <c i="18" r="CY197"/>
  <c i="18" l="1" r="CZ197"/>
  <c i="18" r="DA197" s="1"/>
  <c i="18" r="CV199"/>
  <c i="18" r="CX198"/>
  <c i="18" r="CY198"/>
  <c i="18" l="1" r="CZ198"/>
  <c i="18" r="DA198" s="1"/>
  <c i="18" r="CV200"/>
  <c i="18" r="CX199"/>
  <c i="18" r="CY199"/>
  <c i="18" l="1" r="CZ199"/>
  <c i="18" r="DA199" s="1"/>
  <c i="18" r="CV201"/>
  <c i="18" r="CX200"/>
  <c i="18" r="CY200"/>
  <c i="18" l="1" r="CZ200"/>
  <c i="18" r="DA200" s="1"/>
  <c i="18" r="CV202"/>
  <c i="18" r="CY201"/>
  <c i="18" r="CX201"/>
  <c i="18" l="1" r="CZ201"/>
  <c i="18" r="DA201" s="1"/>
  <c i="18" r="CV203"/>
  <c i="18" r="CY202"/>
  <c i="18" r="CX202"/>
  <c i="18" l="1" r="CZ202"/>
  <c i="18" r="DA202" s="1"/>
  <c i="18" r="CV204"/>
  <c i="18" r="CY203"/>
  <c i="18" r="CX203"/>
  <c i="18" l="1" r="CZ203"/>
  <c i="18" r="DA203" s="1"/>
  <c i="18" r="CV205"/>
  <c i="18" r="CY204"/>
  <c i="18" r="CX204"/>
  <c i="18" l="1" r="CZ204"/>
  <c i="18" r="DA204" s="1"/>
  <c i="18" r="CV206"/>
  <c i="18" r="CY205"/>
  <c i="18" r="CX205"/>
  <c i="18" l="1" r="CZ205"/>
  <c i="18" r="DA205" s="1"/>
  <c i="18" r="CV207"/>
  <c i="18" r="CY206"/>
  <c i="18" r="CX206"/>
  <c i="18" l="1" r="CZ206"/>
  <c i="18" r="DA206" s="1"/>
  <c i="18" r="CV208"/>
  <c i="18" r="CY207"/>
  <c i="18" r="CX207"/>
  <c i="18" l="1" r="CZ207"/>
  <c i="18" r="DA207" s="1"/>
  <c i="18" r="CV209"/>
  <c i="18" r="CY208"/>
  <c i="18" r="CX208"/>
  <c i="18" l="1" r="CZ208"/>
  <c i="18" r="DA208" s="1"/>
  <c i="18" r="CV210"/>
  <c i="18" r="CY209"/>
  <c i="18" r="CX209"/>
  <c i="18" l="1" r="CZ209"/>
  <c i="18" r="DA209" s="1"/>
  <c i="18" r="CV211"/>
  <c i="18" r="CY210"/>
  <c i="18" r="CX210"/>
  <c i="18" l="1" r="CZ210"/>
  <c i="18" r="DA210" s="1"/>
  <c i="18" r="CV212"/>
  <c i="18" r="CY211"/>
  <c i="18" r="CX211"/>
  <c i="18" l="1" r="CZ211"/>
  <c i="18" r="DA211" s="1"/>
  <c i="18" r="CV213"/>
  <c i="18" r="CX212"/>
  <c i="18" r="CY212"/>
  <c i="18" l="1" r="CZ212"/>
  <c i="18" r="DA212" s="1"/>
  <c i="18" r="CV214"/>
  <c i="18" r="CX213"/>
  <c i="18" r="CY213"/>
  <c i="18" l="1" r="CZ213"/>
  <c i="18" r="DA213" s="1"/>
  <c i="18" r="CV215"/>
  <c i="18" r="CY214"/>
  <c i="18" r="CX214"/>
  <c i="18" l="1" r="CZ214"/>
  <c i="18" r="DA214" s="1"/>
  <c i="18" r="CV216"/>
  <c i="18" r="CX215"/>
  <c i="18" r="CY215"/>
  <c i="18" l="1" r="CZ215"/>
  <c i="18" r="DA215" s="1"/>
  <c i="18" r="CV217"/>
  <c i="18" r="CY216"/>
  <c i="18" r="CX216"/>
  <c i="18" l="1" r="CZ216"/>
  <c i="18" r="DA216" s="1"/>
  <c i="18" r="CV218"/>
  <c i="18" r="CY217"/>
  <c i="18" r="CX217"/>
  <c i="18" l="1" r="CZ217"/>
  <c i="18" r="DA217" s="1"/>
  <c i="18" r="CV219"/>
  <c i="18" r="CX218"/>
  <c i="18" r="CY218"/>
  <c i="18" l="1" r="CZ218"/>
  <c i="18" r="DA218" s="1"/>
  <c i="18" r="CV220"/>
  <c i="18" r="CY219"/>
  <c i="18" r="CX219"/>
  <c i="18" l="1" r="CZ219"/>
  <c i="18" r="DA219" s="1"/>
  <c i="18" r="CV221"/>
  <c i="18" r="CY220"/>
  <c i="18" r="CX220"/>
  <c i="18" l="1" r="CZ220"/>
  <c i="18" r="DA220" s="1"/>
  <c i="18" r="CV222"/>
  <c i="18" r="CY221"/>
  <c i="18" r="CX221"/>
  <c i="18" l="1" r="CZ221"/>
  <c i="18" r="DA221" s="1"/>
  <c i="18" r="CV223"/>
  <c i="18" r="CY222"/>
  <c i="18" r="CX222"/>
  <c i="18" l="1" r="CZ222"/>
  <c i="18" r="DA222" s="1"/>
  <c i="18" r="CV224"/>
  <c i="18" r="CY223"/>
  <c i="18" r="CX223"/>
  <c i="18" l="1" r="CZ223"/>
  <c i="18" r="DA223" s="1"/>
  <c i="18" r="CV225"/>
  <c i="18" r="CY224"/>
  <c i="18" r="CX224"/>
  <c i="18" l="1" r="CZ224"/>
  <c i="18" r="DA224" s="1"/>
  <c i="18" r="CV226"/>
  <c i="18" r="CY225"/>
  <c i="18" r="CX225"/>
  <c i="18" l="1" r="CZ225"/>
  <c i="18" r="DA225" s="1"/>
  <c i="18" r="CV227"/>
  <c i="18" r="CY226"/>
  <c i="18" r="CX226"/>
  <c i="18" l="1" r="CZ226"/>
  <c i="18" r="DA226" s="1"/>
  <c i="18" r="CV228"/>
  <c i="18" r="CY227"/>
  <c i="18" r="CX227"/>
  <c i="18" l="1" r="CZ227"/>
  <c i="18" r="DA227" s="1"/>
  <c i="18" r="CV229"/>
  <c i="18" r="CX228"/>
  <c i="18" r="CY228"/>
  <c i="18" l="1" r="CZ228"/>
  <c i="18" r="DA228" s="1"/>
  <c i="18" r="CV230"/>
  <c i="18" r="CX229"/>
  <c i="18" r="CY229"/>
  <c i="18" l="1" r="CZ229"/>
  <c i="18" r="DA229" s="1"/>
  <c i="18" r="CV231"/>
  <c i="18" r="CY230"/>
  <c i="18" r="CX230"/>
  <c i="18" l="1" r="CZ230"/>
  <c i="18" r="DA230" s="1"/>
  <c i="18" r="CV232"/>
  <c i="18" r="CY231"/>
  <c i="18" r="CX231"/>
  <c i="18" l="1" r="CV233"/>
  <c i="18" r="CY232"/>
  <c i="18" r="CX232"/>
  <c i="18" r="CZ231"/>
  <c i="18" r="DA231" s="1"/>
  <c i="18" l="1" r="CZ232"/>
  <c i="18" r="DA232" s="1"/>
  <c i="18" r="CV234"/>
  <c i="18" r="CX233"/>
  <c i="18" r="CY233"/>
  <c i="18" l="1" r="CZ233"/>
  <c i="18" r="DA233" s="1"/>
  <c i="18" r="CV235"/>
  <c i="18" r="CX234"/>
  <c i="18" r="CY234"/>
  <c i="18" l="1" r="CZ234"/>
  <c i="18" r="DA234" s="1"/>
  <c i="18" r="CV236"/>
  <c i="18" r="CX235"/>
  <c i="18" r="CY235"/>
  <c i="18" l="1" r="CZ235"/>
  <c i="18" r="DA235" s="1"/>
  <c i="18" r="CV237"/>
  <c i="18" r="CX236"/>
  <c i="18" r="CY236"/>
  <c i="18" l="1" r="CZ236"/>
  <c i="18" r="DA236" s="1"/>
  <c i="18" r="CV238"/>
  <c i="18" r="CX237"/>
  <c i="18" r="CY237"/>
  <c i="18" l="1" r="CZ237"/>
  <c i="18" r="DA237" s="1"/>
  <c i="18" r="CV239"/>
  <c i="18" r="CX238"/>
  <c i="18" r="CY238"/>
  <c i="18" l="1" r="CZ238"/>
  <c i="18" r="DA238" s="1"/>
  <c i="18" r="CV240"/>
  <c i="18" r="CY239"/>
  <c i="18" r="CX239"/>
  <c i="18" l="1" r="CZ239"/>
  <c i="18" r="DA239" s="1"/>
  <c i="18" r="CV241"/>
  <c i="18" r="CY240"/>
  <c i="18" r="CX240"/>
  <c i="18" l="1" r="CV242"/>
  <c i="18" r="CY241"/>
  <c i="18" r="CX241"/>
  <c i="18" r="CZ240"/>
  <c i="18" r="DA240" s="1"/>
  <c i="18" l="1" r="CZ241"/>
  <c i="18" r="DA241" s="1"/>
  <c i="18" r="CV243"/>
  <c i="18" r="CY242"/>
  <c i="18" r="CX242"/>
  <c i="18" l="1" r="CZ242"/>
  <c i="18" r="DA242" s="1"/>
  <c i="18" r="CV244"/>
  <c i="18" r="CY243"/>
  <c i="18" r="CX243"/>
  <c i="18" l="1" r="CZ243"/>
  <c i="18" r="DA243" s="1"/>
  <c i="18" r="CV245"/>
  <c i="18" r="CY244"/>
  <c i="18" r="CX244"/>
  <c i="18" l="1" r="CZ244"/>
  <c i="18" r="DA244" s="1"/>
  <c i="18" r="CV246"/>
  <c i="18" r="CY245"/>
  <c i="18" r="CX245"/>
  <c i="18" l="1" r="CZ245"/>
  <c i="18" r="DA245" s="1"/>
  <c i="18" r="CV247"/>
  <c i="18" r="CY246"/>
  <c i="18" r="CX246"/>
  <c i="18" l="1" r="CZ246"/>
  <c i="18" r="DA246" s="1"/>
  <c i="18" r="CV248"/>
  <c i="18" r="CY247"/>
  <c i="18" r="CX247"/>
  <c i="18" l="1" r="CZ247"/>
  <c i="18" r="DA247" s="1"/>
  <c i="18" r="CV249"/>
  <c i="18" r="CY248"/>
  <c i="18" r="CX248"/>
  <c i="18" l="1" r="CZ248"/>
  <c i="18" r="DA248" s="1"/>
  <c i="18" r="CV250"/>
  <c i="18" r="CY249"/>
  <c i="18" r="CX249"/>
  <c i="18" l="1" r="CZ249"/>
  <c i="18" r="DA249" s="1"/>
  <c i="18" r="CV251"/>
  <c i="18" r="CY250"/>
  <c i="18" r="CX250"/>
  <c i="18" l="1" r="CZ250"/>
  <c i="18" r="DA250" s="1"/>
  <c i="18" r="CV252"/>
  <c i="18" r="CY251"/>
  <c i="18" r="CX251"/>
  <c i="18" l="1" r="CZ251"/>
  <c i="18" r="DA251" s="1"/>
  <c i="18" r="CV253"/>
  <c i="18" r="CX252"/>
  <c i="18" r="CY252"/>
  <c i="18" l="1" r="CZ252"/>
  <c i="18" r="DA252" s="1"/>
  <c i="18" r="CV254"/>
  <c i="18" r="CY253"/>
  <c i="18" r="CX253"/>
  <c i="18" l="1" r="CZ253"/>
  <c i="18" r="DA253" s="1"/>
  <c i="18" r="CV255"/>
  <c i="18" r="CX254"/>
  <c i="18" r="CY254"/>
  <c i="18" l="1" r="CZ254"/>
  <c i="18" r="DA254" s="1"/>
  <c i="18" r="CV256"/>
  <c i="18" r="CX255"/>
  <c i="18" r="CY255"/>
  <c i="18" l="1" r="CZ255"/>
  <c i="18" r="DA255" s="1"/>
  <c i="18" r="CV257"/>
  <c i="18" r="CY256"/>
  <c i="18" r="CX256"/>
  <c i="18" l="1" r="CZ256"/>
  <c i="18" r="DA256" s="1"/>
  <c i="18" r="CV258"/>
  <c i="18" r="CY257"/>
  <c i="18" r="CX257"/>
  <c i="18" l="1" r="CZ257"/>
  <c i="18" r="DA257" s="1"/>
  <c i="18" r="CV259"/>
  <c i="18" r="CX258"/>
  <c i="18" r="CY258"/>
  <c i="18" l="1" r="CZ258"/>
  <c i="18" r="DA258" s="1"/>
  <c i="18" r="CV260"/>
  <c i="18" r="CY259"/>
  <c i="18" r="CX259"/>
  <c i="18" l="1" r="CZ259"/>
  <c i="18" r="DA259" s="1"/>
  <c i="18" r="CV261"/>
  <c i="18" r="CY260"/>
  <c i="18" r="CX260"/>
  <c i="18" l="1" r="CZ260"/>
  <c i="18" r="DA260" s="1"/>
  <c i="18" r="CV262"/>
  <c i="18" r="CY261"/>
  <c i="18" r="CX261"/>
  <c i="18" l="1" r="CZ261"/>
  <c i="18" r="DA261" s="1"/>
  <c i="18" r="CV263"/>
  <c i="18" r="CY262"/>
  <c i="18" r="CX262"/>
  <c i="18" l="1" r="CZ262"/>
  <c i="18" r="DA262" s="1"/>
  <c i="18" r="CV264"/>
  <c i="18" r="CY263"/>
  <c i="18" r="CX263"/>
  <c i="18" l="1" r="CZ263"/>
  <c i="18" r="DA263" s="1"/>
  <c i="18" r="CV265"/>
  <c i="18" r="CY264"/>
  <c i="18" r="CX264"/>
  <c i="18" l="1" r="CZ264"/>
  <c i="18" r="DA264" s="1"/>
  <c i="18" r="CV266"/>
  <c i="18" r="CY265"/>
  <c i="18" r="CX265"/>
  <c i="18" l="1" r="CZ265"/>
  <c i="18" r="DA265" s="1"/>
  <c i="18" r="CV267"/>
  <c i="18" r="CY266"/>
  <c i="18" r="CX266"/>
  <c i="18" l="1" r="CZ266"/>
  <c i="18" r="DA266" s="1"/>
  <c i="18" r="CV268"/>
  <c i="18" r="CY267"/>
  <c i="18" r="CX267"/>
  <c i="18" l="1" r="CZ267"/>
  <c i="18" r="DA267" s="1"/>
  <c i="18" r="CV269"/>
  <c i="18" r="CX268"/>
  <c i="18" r="CY268"/>
  <c i="18" l="1" r="CZ268"/>
  <c i="18" r="DA268" s="1"/>
  <c i="18" r="CV270"/>
  <c i="18" r="CX269"/>
  <c i="18" r="CY269"/>
  <c i="18" l="1" r="CZ269"/>
  <c i="18" r="DA269" s="1"/>
  <c i="18" r="CV271"/>
  <c i="18" r="CY270"/>
  <c i="18" r="CX270"/>
  <c i="18" l="1" r="CZ270"/>
  <c i="18" r="DA270" s="1"/>
  <c i="18" r="CV272"/>
  <c i="18" r="CX271"/>
  <c i="18" r="CY271"/>
  <c i="18" r="CZ271" s="1"/>
  <c i="18" r="DA271" s="1"/>
  <c i="18" l="1" r="CV273"/>
  <c i="18" r="CY272"/>
  <c i="18" r="CX272"/>
  <c i="18" l="1" r="CZ272"/>
  <c i="18" r="DA272" s="1"/>
  <c i="18" r="CV274"/>
  <c i="18" r="CX273"/>
  <c i="18" r="CY273"/>
  <c i="18" l="1" r="CZ273"/>
  <c i="18" r="DA273" s="1"/>
  <c i="18" r="CV275"/>
  <c i="18" r="CX274"/>
  <c i="18" r="CY274"/>
  <c i="18" l="1" r="CZ274"/>
  <c i="18" r="DA274" s="1"/>
  <c i="18" r="CV276"/>
  <c i="18" r="CX275"/>
  <c i="18" r="CY275"/>
  <c i="18" l="1" r="CZ275"/>
  <c i="18" r="DA275" s="1"/>
  <c i="18" r="CV277"/>
  <c i="18" r="CX276"/>
  <c i="18" r="CY276"/>
  <c i="18" r="CZ276" s="1"/>
  <c i="18" r="DA276" s="1"/>
  <c i="18" l="1" r="CV278"/>
  <c i="18" r="CX277"/>
  <c i="18" r="CY277"/>
  <c i="18" l="1" r="CZ277"/>
  <c i="18" r="DA277" s="1"/>
  <c i="18" r="CV279"/>
  <c i="18" r="CX278"/>
  <c i="18" r="CY278"/>
  <c i="18" l="1" r="CZ278"/>
  <c i="18" r="DA278" s="1"/>
  <c i="18" r="CV280"/>
  <c i="18" r="CY279"/>
  <c i="18" r="CX279"/>
  <c i="18" l="1" r="CZ279"/>
  <c i="18" r="DA279" s="1"/>
  <c i="18" r="CV281"/>
  <c i="18" r="CX280"/>
  <c i="18" r="CY280"/>
  <c i="18" l="1" r="CZ280"/>
  <c i="18" r="DA280" s="1"/>
  <c i="18" r="CV282"/>
  <c i="18" r="CY281"/>
  <c i="18" r="CX281"/>
  <c i="18" l="1" r="CV283"/>
  <c i="18" r="CY282"/>
  <c i="18" r="CX282"/>
  <c i="18" r="CZ281"/>
  <c i="18" r="DA281" s="1"/>
  <c i="18" l="1" r="CZ282"/>
  <c i="18" r="DA282" s="1"/>
  <c i="18" r="CV284"/>
  <c i="18" r="CY283"/>
  <c i="18" r="CX283"/>
  <c i="18" l="1" r="CZ283"/>
  <c i="18" r="DA283" s="1"/>
  <c i="18" r="CV285"/>
  <c i="18" r="CY284"/>
  <c i="18" r="CX284"/>
  <c i="18" l="1" r="CV286"/>
  <c i="18" r="CY285"/>
  <c i="18" r="CX285"/>
  <c i="18" r="CZ284"/>
  <c i="18" r="DA284" s="1"/>
  <c i="18" l="1" r="CZ285"/>
  <c i="18" r="DA285" s="1"/>
  <c i="18" r="CV287"/>
  <c i="18" r="CY286"/>
  <c i="18" r="CX286"/>
  <c i="18" l="1" r="CZ286"/>
  <c i="18" r="DA286" s="1"/>
  <c i="18" r="CV288"/>
  <c i="18" r="CY287"/>
  <c i="18" r="CX287"/>
  <c i="18" l="1" r="CV289"/>
  <c i="18" r="CY288"/>
  <c i="18" r="CX288"/>
  <c i="18" r="CZ287"/>
  <c i="18" r="DA287" s="1"/>
  <c i="18" l="1" r="CZ288"/>
  <c i="18" r="DA288" s="1"/>
  <c i="18" r="CV290"/>
  <c i="18" r="CY289"/>
  <c i="18" r="CX289"/>
  <c i="18" l="1" r="CZ289"/>
  <c i="18" r="DA289" s="1"/>
  <c i="18" r="CV291"/>
  <c i="18" r="CY290"/>
  <c i="18" r="CX290"/>
  <c i="18" l="1" r="CZ290"/>
  <c i="18" r="DA290" s="1"/>
  <c i="18" r="CV292"/>
  <c i="18" r="CY291"/>
  <c i="18" r="CX291"/>
  <c i="18" l="1" r="CZ291"/>
  <c i="18" r="DA291" s="1"/>
  <c i="18" r="CV293"/>
  <c i="18" r="CX292"/>
  <c i="18" r="CY292"/>
  <c i="18" l="1" r="CZ292"/>
  <c i="18" r="DA292" s="1"/>
  <c i="18" r="CV294"/>
  <c i="18" r="CX293"/>
  <c i="18" r="CY293"/>
  <c i="18" l="1" r="CZ293"/>
  <c i="18" r="DA293" s="1"/>
  <c i="18" r="CV295"/>
  <c i="18" r="CX294"/>
  <c i="18" r="CY294"/>
  <c i="18" l="1" r="CZ294"/>
  <c i="18" r="DA294" s="1"/>
  <c i="18" r="CV296"/>
  <c i="18" r="CX295"/>
  <c i="18" r="CY295"/>
  <c i="18" l="1" r="CZ295"/>
  <c i="18" r="DA295" s="1"/>
  <c i="18" r="CV297"/>
  <c i="18" r="CY296"/>
  <c i="18" r="CX296"/>
  <c i="18" l="1" r="CV298"/>
  <c i="18" r="CY297"/>
  <c i="18" r="CX297"/>
  <c i="18" r="CZ296"/>
  <c i="18" r="DA296" s="1"/>
  <c i="18" l="1" r="CZ297"/>
  <c i="18" r="DA297" s="1"/>
  <c i="18" r="CV299"/>
  <c i="18" r="CX298"/>
  <c i="18" r="CY298"/>
  <c i="18" l="1" r="CZ298"/>
  <c i="18" r="DA298" s="1"/>
  <c i="18" r="CV300"/>
  <c i="18" r="CY299"/>
  <c i="18" r="CX299"/>
  <c i="18" l="1" r="CZ299"/>
  <c i="18" r="DA299" s="1"/>
  <c i="18" r="CV301"/>
  <c i="18" r="CY300"/>
  <c i="18" r="CX300"/>
  <c i="18" l="1" r="CZ300"/>
  <c i="18" r="DA300" s="1"/>
  <c i="18" r="CV302"/>
  <c i="18" r="CY301"/>
  <c i="18" r="CX301"/>
  <c i="18" l="1" r="CZ301"/>
  <c i="18" r="DA301" s="1"/>
  <c i="18" r="CV303"/>
  <c i="18" r="CY302"/>
  <c i="18" r="CX302"/>
  <c i="18" l="1" r="CZ302"/>
  <c i="18" r="DA302" s="1"/>
  <c i="18" r="CV304"/>
  <c i="18" r="CY303"/>
  <c i="18" r="CX303"/>
  <c i="18" l="1" r="CZ303"/>
  <c i="18" r="DA303" s="1"/>
  <c i="18" r="CV305"/>
  <c i="18" r="CY304"/>
  <c i="18" r="CX304"/>
  <c i="18" l="1" r="CZ304"/>
  <c i="18" r="DA304" s="1"/>
  <c i="18" r="CV306"/>
  <c i="18" r="CY305"/>
  <c i="18" r="CX305"/>
  <c i="18" l="1" r="CZ305"/>
  <c i="18" r="DA305" s="1"/>
  <c i="18" r="CV307"/>
  <c i="18" r="CY306"/>
  <c i="18" r="CX306"/>
  <c i="18" l="1" r="CZ306"/>
  <c i="18" r="DA306" s="1"/>
  <c i="18" r="CV308"/>
  <c i="18" r="CY307"/>
  <c i="18" r="CX307"/>
  <c i="18" l="1" r="CZ307"/>
  <c i="18" r="DA307" s="1"/>
  <c i="18" r="CV309"/>
  <c i="18" r="CX308"/>
  <c i="18" r="CY308"/>
  <c i="18" l="1" r="CZ308"/>
  <c i="18" r="DA308" s="1"/>
  <c i="18" r="CV310"/>
  <c i="18" r="CX309"/>
  <c i="18" r="CY309"/>
  <c i="18" l="1" r="CZ309"/>
  <c i="18" r="DA309" s="1"/>
  <c i="18" r="CV311"/>
  <c i="18" r="CX310"/>
  <c i="18" r="CY310"/>
  <c i="18" l="1" r="CZ310"/>
  <c i="18" r="DA310" s="1"/>
  <c i="18" r="CV312"/>
  <c i="18" r="CX311"/>
  <c i="18" r="CY311"/>
  <c i="18" l="1" r="CZ311"/>
  <c i="18" r="DA311" s="1"/>
  <c i="18" r="CV313"/>
  <c i="18" r="CX312"/>
  <c i="18" r="CY312"/>
  <c i="18" r="CZ312" s="1"/>
  <c i="18" r="DA312" s="1"/>
  <c i="18" l="1" r="CV314"/>
  <c i="18" r="CX313"/>
  <c i="18" r="CY313"/>
  <c i="18" l="1" r="CZ313"/>
  <c i="18" r="DA313" s="1"/>
  <c i="18" r="CV315"/>
  <c i="18" r="CX314"/>
  <c i="18" r="CY314"/>
  <c i="18" l="1" r="CZ314"/>
  <c i="18" r="DA314" s="1"/>
  <c i="18" r="CV316"/>
  <c i="18" r="CX315"/>
  <c i="18" r="CY315"/>
  <c i="18" l="1" r="CZ315"/>
  <c i="18" r="DA315" s="1"/>
  <c i="18" r="CV317"/>
  <c i="18" r="CX316"/>
  <c i="18" r="CY316"/>
  <c i="18" l="1" r="CZ316"/>
  <c i="18" r="DA316" s="1"/>
  <c i="18" r="CV318"/>
  <c i="18" r="CY317"/>
  <c i="18" r="CX317"/>
  <c i="18" l="1" r="CZ317"/>
  <c i="18" r="DA317" s="1"/>
  <c i="18" r="CV319"/>
  <c i="18" r="CY318"/>
  <c i="18" r="CX318"/>
  <c i="18" l="1" r="CZ318"/>
  <c i="18" r="DA318" s="1"/>
  <c i="18" r="CV320"/>
  <c i="18" r="CY319"/>
  <c i="18" r="CX319"/>
  <c i="18" l="1" r="CZ319"/>
  <c i="18" r="DA319" s="1"/>
  <c i="18" r="CV321"/>
  <c i="18" r="CY320"/>
  <c i="18" r="CX320"/>
  <c i="18" l="1" r="CZ320"/>
  <c i="18" r="DA320" s="1"/>
  <c i="18" r="CV322"/>
  <c i="18" r="CX321"/>
  <c i="18" r="CY321"/>
  <c i="18" l="1" r="CZ321"/>
  <c i="18" r="DA321" s="1"/>
  <c i="18" r="CV323"/>
  <c i="18" r="CY322"/>
  <c i="18" r="CX322"/>
  <c i="18" l="1" r="CV324"/>
  <c i="18" r="CY323"/>
  <c i="18" r="CX323"/>
  <c i="18" r="CZ322"/>
  <c i="18" r="DA322" s="1"/>
  <c i="18" l="1" r="CZ323"/>
  <c i="18" r="DA323" s="1"/>
  <c i="18" r="CV325"/>
  <c i="18" r="CY324"/>
  <c i="18" r="CX324"/>
  <c i="18" l="1" r="CZ324"/>
  <c i="18" r="DA324" s="1"/>
  <c i="18" r="CV326"/>
  <c i="18" r="CY325"/>
  <c i="18" r="CX325"/>
  <c i="18" l="1" r="CZ325"/>
  <c i="18" r="DA325" s="1"/>
  <c i="18" r="CV327"/>
  <c i="18" r="CY326"/>
  <c i="18" r="CX326"/>
  <c i="18" l="1" r="CZ326"/>
  <c i="18" r="DA326" s="1"/>
  <c i="18" r="CV328"/>
  <c i="18" r="CY327"/>
  <c i="18" r="CX327"/>
  <c i="18" l="1" r="CZ327"/>
  <c i="18" r="DA327" s="1"/>
  <c i="18" r="CV329"/>
  <c i="18" r="CY328"/>
  <c i="18" r="CX328"/>
  <c i="18" l="1" r="CZ328"/>
  <c i="18" r="DA328" s="1"/>
  <c i="18" r="CV330"/>
  <c i="18" r="CY329"/>
  <c i="18" r="CX329"/>
  <c i="18" l="1" r="CZ329"/>
  <c i="18" r="DA329" s="1"/>
  <c i="18" r="CV331"/>
  <c i="18" r="CY330"/>
  <c i="18" r="CX330"/>
  <c i="18" l="1" r="CV332"/>
  <c i="18" r="CY331"/>
  <c i="18" r="CX331"/>
  <c i="18" r="CZ330"/>
  <c i="18" r="DA330" s="1"/>
  <c i="18" l="1" r="CZ331"/>
  <c i="18" r="DA331" s="1"/>
  <c i="18" r="CV333"/>
  <c i="18" r="CY332"/>
  <c i="18" r="CX332"/>
  <c i="18" l="1" r="CZ332"/>
  <c i="18" r="DA332" s="1"/>
  <c i="18" r="CV334"/>
  <c i="18" r="CX333"/>
  <c i="18" r="CY333"/>
  <c i="18" l="1" r="CZ333"/>
  <c i="18" r="DA333" s="1"/>
  <c i="18" r="CV335"/>
  <c i="18" r="CY334"/>
  <c i="18" r="CX334"/>
  <c i="18" l="1" r="CZ334"/>
  <c i="18" r="DA334" s="1"/>
  <c i="18" r="CV336"/>
  <c i="18" r="CX335"/>
  <c i="18" r="CY335"/>
  <c i="18" l="1" r="CZ335"/>
  <c i="18" r="DA335" s="1"/>
  <c i="18" r="CV337"/>
  <c i="18" r="CY336"/>
  <c i="18" r="CX336"/>
  <c i="18" l="1" r="CZ336"/>
  <c i="18" r="DA336" s="1"/>
  <c i="18" r="CV338"/>
  <c i="18" r="CY337"/>
  <c i="18" r="CX337"/>
  <c i="18" l="1" r="CZ337"/>
  <c i="18" r="DA337" s="1"/>
  <c i="18" r="CV339"/>
  <c i="18" r="CY338"/>
  <c i="18" r="CX338"/>
  <c i="18" l="1" r="CZ338"/>
  <c i="18" r="DA338" s="1"/>
  <c i="18" r="CV340"/>
  <c i="18" r="CY339"/>
  <c i="18" r="CX339"/>
  <c i="18" l="1" r="CZ339"/>
  <c i="18" r="DA339" s="1"/>
  <c i="18" r="CV341"/>
  <c i="18" r="CY340"/>
  <c i="18" r="CX340"/>
  <c i="18" l="1" r="CZ340"/>
  <c i="18" r="DA340" s="1"/>
  <c i="18" r="CV342"/>
  <c i="18" r="CY341"/>
  <c i="18" r="CX341"/>
  <c i="18" l="1" r="CZ341"/>
  <c i="18" r="DA341" s="1"/>
  <c i="18" r="CV343"/>
  <c i="18" r="CY342"/>
  <c i="18" r="CX342"/>
  <c i="18" l="1" r="CZ342"/>
  <c i="18" r="DA342" s="1"/>
  <c i="18" r="CV344"/>
  <c i="18" r="CY343"/>
  <c i="18" r="CX343"/>
  <c i="18" l="1" r="CZ343"/>
  <c i="18" r="DA343" s="1"/>
  <c i="18" r="CV345"/>
  <c i="18" r="CY344"/>
  <c i="18" r="CX344"/>
  <c i="18" l="1" r="CZ344"/>
  <c i="18" r="DA344" s="1"/>
  <c i="18" r="CV346"/>
  <c i="18" r="CX345"/>
  <c i="18" r="CY345"/>
  <c i="18" l="1" r="CZ345"/>
  <c i="18" r="DA345" s="1"/>
  <c i="18" r="CV347"/>
  <c i="18" r="CY346"/>
  <c i="18" r="CX346"/>
  <c i="18" l="1" r="CZ346"/>
  <c i="18" r="DA346" s="1"/>
  <c i="18" r="CV348"/>
  <c i="18" r="CX347"/>
  <c i="18" r="CY347"/>
  <c i="18" l="1" r="CZ347"/>
  <c i="18" r="DA347" s="1"/>
  <c i="18" r="CV349"/>
  <c i="18" r="CY348"/>
  <c i="18" r="CX348"/>
  <c i="18" l="1" r="CZ348"/>
  <c i="18" r="DA348" s="1"/>
  <c i="18" r="CV350"/>
  <c i="18" r="CX349"/>
  <c i="18" r="CY349"/>
  <c i="18" l="1" r="CZ349"/>
  <c i="18" r="DA349" s="1"/>
  <c i="18" r="CV351"/>
  <c i="18" r="CX350"/>
  <c i="18" r="CY350"/>
  <c i="18" l="1" r="CZ350"/>
  <c i="18" r="DA350" s="1"/>
  <c i="18" r="CV352"/>
  <c i="18" r="CX351"/>
  <c i="18" r="CY351"/>
  <c i="18" l="1" r="CZ351"/>
  <c i="18" r="DA351" s="1"/>
  <c i="18" r="CV353"/>
  <c i="18" r="CX352"/>
  <c i="18" r="CY352"/>
  <c i="18" l="1" r="CZ352"/>
  <c i="18" r="DA352" s="1"/>
  <c i="18" r="CV354"/>
  <c i="18" r="CX353"/>
  <c i="18" r="CY353"/>
  <c i="18" l="1" r="CZ353"/>
  <c i="18" r="DA353" s="1"/>
  <c i="18" r="CV355"/>
  <c i="18" r="CY354"/>
  <c i="18" r="CX354"/>
  <c i="18" l="1" r="CV356"/>
  <c i="18" r="CX355"/>
  <c i="18" r="CY355"/>
  <c i="18" r="CZ354"/>
  <c i="18" r="DA354" s="1"/>
  <c i="18" l="1" r="CZ355"/>
  <c i="18" r="DA355" s="1"/>
  <c i="18" r="CV357"/>
  <c i="18" r="CY356"/>
  <c i="18" r="CX356"/>
  <c i="18" l="1" r="CV358"/>
  <c i="18" r="CY357"/>
  <c i="18" r="CX357"/>
  <c i="18" r="CZ356"/>
  <c i="18" r="DA356" s="1"/>
  <c i="18" l="1" r="CZ357"/>
  <c i="18" r="DA357" s="1"/>
  <c i="18" r="CV359"/>
  <c i="18" r="CX358"/>
  <c i="18" r="CY358"/>
  <c i="18" l="1" r="CZ358"/>
  <c i="18" r="DA358" s="1"/>
  <c i="18" r="CV360"/>
  <c i="18" r="CX359"/>
  <c i="18" r="CY359"/>
  <c i="18" l="1" r="CZ359"/>
  <c i="18" r="DA359" s="1"/>
  <c i="18" r="CV361"/>
  <c i="18" r="CX360"/>
  <c i="18" r="CY360"/>
  <c i="18" l="1" r="CZ360"/>
  <c i="18" r="DA360" s="1"/>
  <c i="18" r="CV362"/>
  <c i="18" r="CY361"/>
  <c i="18" r="CX361"/>
  <c i="18" l="1" r="CV363"/>
  <c i="18" r="CX362"/>
  <c i="18" r="CY362"/>
  <c i="18" r="CZ361"/>
  <c i="18" r="DA361" s="1"/>
  <c i="18" l="1" r="CZ362"/>
  <c i="18" r="DA362" s="1"/>
  <c i="18" r="CV364"/>
  <c i="18" r="CY363"/>
  <c i="18" r="CX363"/>
  <c i="18" l="1" r="CZ363"/>
  <c i="18" r="DA363" s="1"/>
  <c i="18" r="CV365"/>
  <c i="18" r="CY364"/>
  <c i="18" r="CX364"/>
  <c i="18" l="1" r="CZ364"/>
  <c i="18" r="DA364" s="1"/>
  <c i="18" r="CV366"/>
  <c i="18" r="CY365"/>
  <c i="18" r="CX365"/>
  <c i="18" l="1" r="CZ365"/>
  <c i="18" r="DA365" s="1"/>
  <c i="18" r="CV367"/>
  <c i="18" r="CY366"/>
  <c i="18" r="CX366"/>
  <c i="18" l="1" r="CZ366"/>
  <c i="18" r="DA366" s="1"/>
  <c i="18" r="CV368"/>
  <c i="18" r="CY367"/>
  <c i="18" r="CX367"/>
  <c i="18" l="1" r="CZ367"/>
  <c i="18" r="DA367" s="1"/>
  <c i="18" r="CV369"/>
  <c i="18" r="CY368"/>
  <c i="18" r="CX368"/>
  <c i="18" l="1" r="CZ368"/>
  <c i="18" r="DA368" s="1"/>
  <c i="18" r="CV370"/>
  <c i="18" r="CY369"/>
  <c i="18" r="CX369"/>
  <c i="18" l="1" r="CZ369"/>
  <c i="18" r="DA369" s="1"/>
  <c i="18" r="CV371"/>
  <c i="18" r="CX370"/>
  <c i="18" r="CY370"/>
  <c i="18" l="1" r="CZ370"/>
  <c i="18" r="DA370" s="1"/>
  <c i="18" r="CV372"/>
  <c i="18" r="CY371"/>
  <c i="18" r="CX371"/>
  <c i="18" l="1" r="CZ371"/>
  <c i="18" r="DA371" s="1"/>
  <c i="18" r="CV373"/>
  <c i="18" r="CX372"/>
  <c i="18" r="CY372"/>
  <c i="18" l="1" r="CZ372"/>
  <c i="18" r="DA372" s="1"/>
  <c i="18" r="CV374"/>
  <c i="18" r="CX373"/>
  <c i="18" r="CY373"/>
  <c i="18" l="1" r="CZ373"/>
  <c i="18" r="DA373" s="1"/>
  <c i="18" r="CV375"/>
  <c i="18" r="CX374"/>
  <c i="18" r="CY374"/>
  <c i="18" l="1" r="CZ374"/>
  <c i="18" r="DA374" s="1"/>
  <c i="18" r="CV376"/>
  <c i="18" r="CY375"/>
  <c i="18" r="CX375"/>
  <c i="18" l="1" r="CZ375"/>
  <c i="18" r="DA375" s="1"/>
  <c i="18" r="CV377"/>
  <c i="18" r="CY376"/>
  <c i="18" r="CX376"/>
  <c i="18" l="1" r="CZ376"/>
  <c i="18" r="DA376" s="1"/>
  <c i="18" r="CV378"/>
  <c i="18" r="CY377"/>
  <c i="18" r="CX377"/>
  <c i="18" l="1" r="CZ377"/>
  <c i="18" r="DA377" s="1"/>
  <c i="18" r="CV379"/>
  <c i="18" r="CY378"/>
  <c i="18" r="CX378"/>
  <c i="18" l="1" r="CZ378"/>
  <c i="18" r="DA378" s="1"/>
  <c i="18" r="CV380"/>
  <c i="18" r="CY379"/>
  <c i="18" r="CX379"/>
  <c i="18" l="1" r="CZ379"/>
  <c i="18" r="DA379" s="1"/>
  <c i="18" r="CV381"/>
  <c i="18" r="CY380"/>
  <c i="18" r="CX380"/>
  <c i="18" l="1" r="CZ380"/>
  <c i="18" r="DA380" s="1"/>
  <c i="18" r="CV382"/>
  <c i="18" r="CY381"/>
  <c i="18" r="CX381"/>
  <c i="18" l="1" r="CZ381"/>
  <c i="18" r="DA381" s="1"/>
  <c i="18" r="CV383"/>
  <c i="18" r="CY382"/>
  <c i="18" r="CX382"/>
  <c i="18" l="1" r="CZ382"/>
  <c i="18" r="DA382" s="1"/>
  <c i="18" r="CV384"/>
  <c i="18" r="CY383"/>
  <c i="18" r="CX383"/>
  <c i="18" l="1" r="CZ383"/>
  <c i="18" r="DA383" s="1"/>
  <c i="18" r="CV385"/>
  <c i="18" r="CY384"/>
  <c i="18" r="CX384"/>
  <c i="18" l="1" r="CZ384"/>
  <c i="18" r="DA384" s="1"/>
  <c i="18" r="CV386"/>
  <c i="18" r="CX385"/>
  <c i="18" r="CY385"/>
  <c i="18" r="CZ385" s="1"/>
  <c i="18" r="DA385" s="1"/>
  <c i="18" l="1" r="CV387"/>
  <c i="18" r="CX386"/>
  <c i="18" r="CY386"/>
  <c i="18" l="1" r="CZ386"/>
  <c i="18" r="DA386" s="1"/>
  <c i="18" r="CV388"/>
  <c i="18" r="CY387"/>
  <c i="18" r="CX387"/>
  <c i="18" l="1" r="CZ387"/>
  <c i="18" r="DA387" s="1"/>
  <c i="18" r="CV389"/>
  <c i="18" r="CX388"/>
  <c i="18" r="CY388"/>
  <c i="18" l="1" r="CZ388"/>
  <c i="18" r="DA388" s="1"/>
  <c i="18" r="CV390"/>
  <c i="18" r="CY389"/>
  <c i="18" r="CX389"/>
  <c i="18" l="1" r="CZ389"/>
  <c i="18" r="DA389" s="1"/>
  <c i="18" r="CV391"/>
  <c i="18" r="CX390"/>
  <c i="18" r="CY390"/>
  <c i="18" l="1" r="CZ390"/>
  <c i="18" r="DA390" s="1"/>
  <c i="18" r="CV392"/>
  <c i="18" r="CY391"/>
  <c i="18" r="CX391"/>
  <c i="18" l="1" r="CZ391"/>
  <c i="18" r="DA391" s="1"/>
  <c i="18" r="CV393"/>
  <c i="18" r="CX392"/>
  <c i="18" r="CY392"/>
  <c i="18" l="1" r="CZ392"/>
  <c i="18" r="DA392" s="1"/>
  <c i="18" r="CV394"/>
  <c i="18" r="CY393"/>
  <c i="18" r="CX393"/>
  <c i="18" l="1" r="CZ393"/>
  <c i="18" r="DA393" s="1"/>
  <c i="18" r="CV395"/>
  <c i="18" r="CX394"/>
  <c i="18" r="CY394"/>
  <c i="18" r="CZ394" s="1"/>
  <c i="18" r="DA394" s="1"/>
  <c i="18" l="1" r="CV396"/>
  <c i="18" r="CY395"/>
  <c i="18" r="CX395"/>
  <c i="18" l="1" r="CZ395"/>
  <c i="18" r="DA395" s="1"/>
  <c i="18" r="CV397"/>
  <c i="18" r="CX396"/>
  <c i="18" r="CY396"/>
  <c i="18" l="1" r="CZ396"/>
  <c i="18" r="DA396" s="1"/>
  <c i="18" r="CV398"/>
  <c i="18" r="CY397"/>
  <c i="18" r="CX397"/>
  <c i="18" l="1" r="CZ397"/>
  <c i="18" r="DA397" s="1"/>
  <c i="18" r="CV399"/>
  <c i="18" r="CY398"/>
  <c i="18" r="CX398"/>
  <c i="18" l="1" r="CZ398"/>
  <c i="18" r="DA398" s="1"/>
  <c i="18" r="CV400"/>
  <c i="18" r="CY399"/>
  <c i="18" r="CX399"/>
  <c i="18" l="1" r="CZ399"/>
  <c i="18" r="DA399" s="1"/>
  <c i="18" r="CV401"/>
  <c i="18" r="CY400"/>
  <c i="18" r="CX400"/>
  <c i="18" l="1" r="CZ400"/>
  <c i="18" r="DA400" s="1"/>
  <c i="18" r="CX401"/>
  <c i="18" r="CY401"/>
  <c i="18" l="1" r="CZ401"/>
  <c i="18" r="DA401" s="1"/>
</calcChain>
</file>

<file path=xl/sharedStrings.xml><?xml version="1.0" encoding="utf-8"?>
<sst xmlns="http://schemas.openxmlformats.org/spreadsheetml/2006/main" count="1143" uniqueCount="431">
  <si>
    <t>Trip Duration Frequency Distribution</t>
  </si>
  <si>
    <t>Trip Length Frequency Distribution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</si>
  <si>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</si>
  <si>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</si>
  <si>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</si>
  <si>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</si>
  <si>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</si>
  <si>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</si>
  <si>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</si>
  <si>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</si>
  <si>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</si>
  <si>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</si>
  <si>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</si>
  <si>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</si>
  <si>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</si>
  <si>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</si>
  <si>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</si>
  <si>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Steps for generating distributions of commute time and distance</t>
  </si>
  <si>
    <t>PPTYP = 1</t>
  </si>
  <si>
    <t>PPTYP = 2</t>
  </si>
  <si>
    <t>PPTYP != 1 and PPTYP != 2</t>
  </si>
  <si>
    <t>Time (min)</t>
  </si>
  <si>
    <t>County-level Work at Home Shares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</si>
  <si>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</si>
  <si>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</si>
  <si>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</si>
  <si>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</si>
  <si>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</si>
  <si>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</si>
  <si>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</si>
  <si>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</si>
  <si>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</si>
  <si>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</si>
  <si>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</si>
  <si>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</si>
  <si>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</si>
  <si>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A person is assumed to work from home if the HH coordinates are exactly the same as the usual workplace coordinates</t>
  </si>
  <si>
    <t>Table X. Estimated Work at Home Counts by County</t>
  </si>
  <si>
    <t>Table X. Estimated Counts by County</t>
  </si>
  <si>
    <t>Table X. Estimated Work at Home Shares by County</t>
  </si>
  <si>
    <t>Table X. Average Trip Duration</t>
  </si>
  <si>
    <t>AM Auto skims (time and distance) were merged into person file using origin (HH) and destination (workplace) TAZ ids</t>
  </si>
  <si>
    <t>In case of DaySim, home and workplace parcel IDs were matched to filter out work at home cases</t>
  </si>
  <si>
    <t>Distributions of HH TAZ -to- Work TAZ distance and time were then derived from the population</t>
  </si>
  <si>
    <t>Steps for generating county worker flows</t>
  </si>
  <si>
    <t>Home and work county codes were merged using a correspondence between TAZs and counties</t>
  </si>
  <si>
    <t>A crosstabulation of home and work counties created the worker flow table</t>
  </si>
  <si>
    <t>Steps for generating work at home shares</t>
  </si>
  <si>
    <t>All persons for whom a non-zero usual workplace location was identified were designated as the pool of workers</t>
  </si>
  <si>
    <t>Full-time</t>
  </si>
  <si>
    <t>Part-time</t>
  </si>
  <si>
    <t>Not FT or PT, student workers</t>
  </si>
  <si>
    <t>The shares were calculated as the ratio of the values in steps 2 and 1 and were segmented by county and the three worker types</t>
  </si>
  <si>
    <t>Table X. Difference Work at Home Counts by County</t>
  </si>
  <si>
    <t>Table X. Difference Counts by County</t>
  </si>
  <si>
    <t>Table X. Difference Work at Home Shares by County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</si>
  <si>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</si>
  <si>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</si>
  <si>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</si>
  <si>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</si>
  <si>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</si>
  <si>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</si>
  <si>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</si>
  <si>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</si>
  <si>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</si>
  <si>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</si>
  <si>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</si>
  <si>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</si>
  <si>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</si>
  <si>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</si>
  <si>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</si>
  <si>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</si>
  <si>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</si>
  <si>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</si>
  <si>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</si>
  <si>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</si>
  <si>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</si>
  <si>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</si>
  <si>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</si>
  <si>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</si>
  <si>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</si>
  <si>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</si>
  <si>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</si>
  <si>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</si>
  <si>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</si>
  <si>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</si>
  <si>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</si>
  <si>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</si>
  <si>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</si>
  <si>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</si>
  <si>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</si>
  <si>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</si>
  <si>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</si>
  <si>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Beta00041</t>
  </si>
  <si>
    <t>F</t>
  </si>
  <si>
    <t>Beta00042</t>
  </si>
  <si>
    <t>Beta00043</t>
  </si>
  <si>
    <t>Beta00044</t>
  </si>
  <si>
    <t>LSM_050</t>
  </si>
  <si>
    <t>Gamma51</t>
  </si>
  <si>
    <t>Gamma52</t>
  </si>
  <si>
    <t>Gamma53</t>
  </si>
  <si>
    <t>Gamma54</t>
  </si>
  <si>
    <t>Gamma55</t>
  </si>
  <si>
    <t>Gamma56</t>
  </si>
  <si>
    <t>Gamma57</t>
  </si>
  <si>
    <t>Gamma58</t>
  </si>
  <si>
    <t>Gamma59</t>
  </si>
  <si>
    <t>Gamma60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</si>
  <si>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</si>
  <si>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</si>
  <si>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</si>
  <si>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</si>
  <si>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</si>
  <si>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</si>
  <si>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</si>
  <si>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</si>
  <si>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</si>
  <si>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</si>
  <si>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</si>
  <si>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</si>
  <si>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</si>
  <si>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</si>
  <si>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</si>
  <si>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</si>
  <si>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</si>
  <si>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</si>
  <si>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</si>
  <si>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</si>
  <si>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Gamma90</t>
  </si>
  <si>
    <t>Nest</t>
  </si>
  <si>
    <t>Index</t>
  </si>
  <si>
    <t>Name</t>
  </si>
  <si>
    <t>Descr</t>
  </si>
  <si>
    <t>IsPartTimeWorker* workTourLogsum</t>
  </si>
  <si>
    <t>IsFullTimeWorker*workTourLogsum</t>
  </si>
  <si>
    <t>distanceLog</t>
  </si>
  <si>
    <t>parcelParkingDensity</t>
  </si>
  <si>
    <t>c34Ratio</t>
  </si>
  <si>
    <t>destinationParcel.ShadowPriceForEmployment</t>
  </si>
  <si>
    <t>IsNotFullOrPartTimeWorker * workTourLogsum</t>
  </si>
  <si>
    <t>IsFulltimeWorker * distance1</t>
  </si>
  <si>
    <t>IsFulltimeWorker * distance2</t>
  </si>
  <si>
    <t>IsFulltimeWorker * distance3</t>
  </si>
  <si>
    <t>IsPartTimeWorker * distanceLog</t>
  </si>
  <si>
    <t>IsNotFullOrPartTimeWorker * distanceLog</t>
  </si>
  <si>
    <t>Household.Has0To15KIncome * distanceLog</t>
  </si>
  <si>
    <t>Household.Has50To75KIncome * distanceLog</t>
  </si>
  <si>
    <t>Household.Has75To100KIncome * distanceLog</t>
  </si>
  <si>
    <t>IsFemale * distanceLog</t>
  </si>
  <si>
    <t>IsStudentAge * distanceFromSchool</t>
  </si>
  <si>
    <t>IsFulltimeWorker * aggregateLogsum</t>
  </si>
  <si>
    <t>IsPartTimeWorker * aggregateLogsum</t>
  </si>
  <si>
    <t>IsNotFullOrPartTimeWorker * aggregateLogsum</t>
  </si>
  <si>
    <t>Household.HasValidIncome * studentsUniversityBuffer</t>
  </si>
  <si>
    <t>Household.HasValidIncome * destinationParcel.EmploymentService</t>
  </si>
  <si>
    <t>Household.HasValidIncome * destinationParcel.EmploymentEducation</t>
  </si>
  <si>
    <t>Household.HasValidIncome * destinationParcel.EmploymentFood</t>
  </si>
  <si>
    <t>Household.HasValidIncome * destinationParcel.EmploymentGovernment</t>
  </si>
  <si>
    <t>Household.HasValidIncome * destinationParcel.EmploymentOffice</t>
  </si>
  <si>
    <t>Household.HasValidIncome * destinationParcel.EmploymentRetail</t>
  </si>
  <si>
    <t>Household.HasValidIncome * destinationParcel.EmploymentMedical</t>
  </si>
  <si>
    <t>Household.HasValidIncome * employmentIndustrialAgricultureConstruction</t>
  </si>
  <si>
    <t>Household.HasValidIncome * destinationParcel.StudentsUniversity</t>
  </si>
  <si>
    <t>Household.HasIncomeUnder50K * destinationParcel.EmploymentRetail</t>
  </si>
  <si>
    <t>Household.HasIncomeUnder50K * destinationParcel.EmploymentService</t>
  </si>
  <si>
    <t>Household.Has50To75KIncome * destinationParcel.EmploymentMedical</t>
  </si>
  <si>
    <t>Household.Has50To75KIncome * destinationParcel.EmploymentOffice</t>
  </si>
  <si>
    <t>Household.Has75KPlusIncome * destinationParcel.EmploymentEducation</t>
  </si>
  <si>
    <t>Household.Has75KPlusIncome * destinationParcel.EmploymentGovernment</t>
  </si>
  <si>
    <t>Household.Has75KPlusIncome * destinationParcel.EmploymentMedical</t>
  </si>
  <si>
    <t>Household.Has75KPlusIncome * destinationParcel.EmploymentOffice</t>
  </si>
  <si>
    <t>Household.HasMissingIncome * destinationParcel.EmploymentTotal</t>
  </si>
  <si>
    <t>Household.HasMissingIncome * destinationParcel.StudentsUniversity</t>
  </si>
  <si>
    <t>Household.HasValidIncome *IsFulltimeWorker * studentsK12Buffer</t>
  </si>
  <si>
    <t>Household.HasValidIncome *IsFulltimeWorker * studentsUniversityBuffer</t>
  </si>
  <si>
    <t>Household.HasValidIncome *IsPartTimeWorker * industrialAgricultureConstructionBuffer</t>
  </si>
  <si>
    <t>Household.HasValidIncome *IsNotFullOrPartTimeWorker * foodBuffer</t>
  </si>
  <si>
    <t>Household.HasValidIncome *IsNotFullOrPartTimeWorker * medicalBuffer</t>
  </si>
  <si>
    <t>IsFulltimeWorker *Household.Has75KPlusIncome * employmentTotalBuffer</t>
  </si>
  <si>
    <t>IsNotFullOrPartTimeWorker *Household.HasIncomeUnder50K * governmentBuffer</t>
  </si>
  <si>
    <t>IsNotFullOrPartTimeWorker *Household.HasIncomeUnder50K * employmentTotalBuffer</t>
  </si>
  <si>
    <t>Household.HasValidIncome *IsFulltimeWorker * destinationParcel.EmploymentGovernment</t>
  </si>
  <si>
    <t>Household.HasValidIncome *IsFulltimeWorker * employmentIndustrialAgricultureConstruction</t>
  </si>
  <si>
    <t>Household.HasValidIncome *IsPartTimeWorker * employmentIndustrialAgricultureConstruction</t>
  </si>
  <si>
    <t>Household.HasValidIncome *IsNotFullOrPartTimeWorker * destinationParcel.EmploymentEducation</t>
  </si>
  <si>
    <t>Household.HasValidIncome *IsNotFullOrPartTimeWorker * destinationParcel.EmploymentFood</t>
  </si>
  <si>
    <t>Household.HasValidIncome *IsNotFullOrPartTimeWorker * destinationParcel.EmploymentRetail</t>
  </si>
  <si>
    <t>IsFulltimeWorker *Household.Has75KPlusIncome * destinationParcel.EmploymentGovernment</t>
  </si>
  <si>
    <t>IsFulltimeWorker) *Household.Has75KPlusIncome * destinationParcel.EmploymentOffice</t>
  </si>
  <si>
    <t>Household.HasValidIncome * serviceBuffer</t>
  </si>
  <si>
    <t>Household.HasValidIncome * educationBuffer</t>
  </si>
  <si>
    <t>Household.HasValidIncome * foodBuffer</t>
  </si>
  <si>
    <t>Household.HasValidIncome * governmentBuffer</t>
  </si>
  <si>
    <t>Household.HasValidIncome * officeBuffer</t>
  </si>
  <si>
    <t>Household.HasValidIncome * medicalBuffer</t>
  </si>
  <si>
    <t>IsFulltimeWorker * (Household.Has75KPlusIncome) * employmentIndustrialAgricultureConstruction</t>
  </si>
  <si>
    <t>IsPartTimeWorker * (Household.HasIncomeUnder50K) * destinationParcel.EmploymentMedical</t>
  </si>
  <si>
    <t>IsNotFullOrPartTimeWorker * (Household.HasIncomeUnder50K) * destinationParcel.EmploymentRetail</t>
  </si>
  <si>
    <t>Household.HasValidIncome * householdsBuffer</t>
  </si>
  <si>
    <t>IsPartTimeWorker</t>
  </si>
  <si>
    <t>IsStudentAge</t>
  </si>
  <si>
    <t>IsFemale</t>
  </si>
  <si>
    <t>Survey</t>
  </si>
  <si>
    <t>Table X. Observed Trip Durations: Survey</t>
  </si>
  <si>
    <t>Table X. Weighted Work at Home Counts by County: Survey</t>
  </si>
  <si>
    <t>Table X. Weighted Counts by County: Survey</t>
  </si>
  <si>
    <t>Table X. Weighted Work at Home Shares by County: Survey</t>
  </si>
  <si>
    <t>Table X. Observed Trip Lengths: Survey</t>
  </si>
  <si>
    <t>Survey Preparation</t>
  </si>
  <si>
    <t>In Survey data, persons whose home coordinates matched their usual workplace coordinates were filtered out since this would mean they usually work at home</t>
  </si>
  <si>
    <t>In Survey, PPTYP was used to determine the class of worker whereas in DaySim, PERSTYPE was used</t>
  </si>
  <si>
    <t>Within those, persons with same home and workplace coordinates/parcels (for Survey and DaySim respectively) were assumed to be working at home</t>
  </si>
  <si>
    <t>1 (work from home)</t>
  </si>
  <si>
    <t>0-3.5</t>
  </si>
  <si>
    <t>3.5-10</t>
  </si>
  <si>
    <t>&gt;= 10</t>
  </si>
  <si>
    <t>WFH</t>
  </si>
  <si>
    <t>TOTAL</t>
  </si>
  <si>
    <t>Model</t>
  </si>
  <si>
    <t>Count</t>
  </si>
  <si>
    <t>Ratio (FT)</t>
  </si>
  <si>
    <t>Adj.</t>
  </si>
  <si>
    <t>Old Coeff.</t>
  </si>
  <si>
    <t>New Coeff.</t>
  </si>
  <si>
    <t>CoeffIndex</t>
  </si>
  <si>
    <t>Tour</t>
  </si>
  <si>
    <t>Destination</t>
  </si>
  <si>
    <t>Created</t>
  </si>
  <si>
    <t>by</t>
  </si>
  <si>
    <t>ALOGIT</t>
  </si>
  <si>
    <t>version</t>
  </si>
  <si>
    <t>on</t>
  </si>
  <si>
    <t>END</t>
  </si>
  <si>
    <t>Instructions:</t>
  </si>
  <si>
    <t>Select all(ctrl+A)</t>
  </si>
  <si>
    <t>Go to "Data" --&gt;Text to Columns - Select "Delimited" ---&gt; "Space" ---&gt; Finish</t>
  </si>
  <si>
    <t>Paste in cell A8</t>
  </si>
  <si>
    <t>Old</t>
  </si>
  <si>
    <t>New</t>
  </si>
  <si>
    <t>By: nagendra.dhakar@rsginc.com</t>
  </si>
  <si>
    <t>Observed distance (in miles) based on joining AM peak SOV skim values to HH survey</t>
  </si>
  <si>
    <t>Work From Home</t>
  </si>
  <si>
    <t>Share</t>
  </si>
  <si>
    <t>Calibration:</t>
  </si>
  <si>
    <t>Calibrate work at home shares first</t>
  </si>
  <si>
    <t>Then distance segmented coefficients</t>
  </si>
  <si>
    <t>Observed Sources: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</si>
  <si>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</si>
  <si>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</si>
  <si>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</si>
  <si>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Table X. Average Trip Length (miles)</t>
  </si>
  <si>
    <t>Open "WorkLocationModel.F12" ini Notepad+</t>
  </si>
  <si>
    <t>DaySim</t>
  </si>
  <si>
    <t>UltraEdit Instructions: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</si>
  <si>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</si>
  <si>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</si>
  <si>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</si>
  <si>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</si>
  <si>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</si>
  <si>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</si>
  <si>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Open "WorkLocationModel.F12" in UltraEdit</t>
  </si>
  <si>
    <t>Open "WorkLocationModel.F12"</t>
  </si>
  <si>
    <t>Choose column mode and select 4th columns from line 4 to line 81</t>
  </si>
  <si>
    <t>Hold Alt and using mouse select the 4th column from line line 4 to line 81</t>
  </si>
  <si>
    <t>Make sure that you select Col 21 to Col 35</t>
  </si>
  <si>
    <t>Instructions</t>
  </si>
  <si>
    <t>WorkLocationModel.F12</t>
  </si>
  <si>
    <t>damp</t>
  </si>
  <si>
    <t>Adjust</t>
  </si>
  <si>
    <t>Distance</t>
  </si>
  <si>
    <t>LN(Distance)</t>
  </si>
  <si>
    <t>Coeff. Index</t>
  </si>
  <si>
    <t>Ratio</t>
  </si>
  <si>
    <t>Use Regression under Data Analysis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</si>
  <si>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</si>
  <si>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</si>
  <si>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</si>
  <si>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</si>
  <si>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</si>
  <si>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</si>
  <si>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</si>
  <si>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</si>
  <si>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</si>
  <si>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</si>
  <si>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</si>
  <si>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Significance F</t>
  </si>
  <si>
    <t>Regression</t>
  </si>
  <si>
    <t>Residual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</si>
  <si>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</si>
  <si>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</si>
  <si>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</si>
  <si>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</si>
  <si>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</si>
  <si>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</si>
  <si>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</si>
  <si>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Intercept</t>
  </si>
  <si>
    <t>X Variable 1</t>
  </si>
  <si>
    <t>NHTS (NFTPO) Survey</t>
  </si>
  <si>
    <t>Note: choose J47 as output cell</t>
  </si>
  <si>
    <t>Note: choose J73 as output cell</t>
  </si>
  <si>
    <t>(SACOG2000</t>
  </si>
  <si>
    <t>MNL</t>
  </si>
  <si>
    <t>v2203</t>
  </si>
  <si>
    <t>and</t>
  </si>
  <si>
    <t>NL</t>
  </si>
  <si>
    <t>v2301)</t>
  </si>
  <si>
    <t>Apr</t>
  </si>
  <si>
    <t>016:16:55</t>
  </si>
  <si>
    <t>Copy (Ctrl-c) cells W3:W76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</si>
  <si>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</si>
  <si>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</si>
  <si>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</si>
  <si>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</si>
  <si>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</si>
  <si>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</si>
  <si>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</si>
  <si>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</si>
  <si>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</si>
  <si>
    <t>District-level Commuter Flows</t>
  </si>
  <si>
    <t>Table X. Adjusted Worker Flows by District: LEHD (2017)</t>
  </si>
  <si>
    <t>Table X. Observed Worker Flows by District: LEHD (2017)</t>
  </si>
  <si>
    <t>Table X. Observed Worker Flows by District: Survey</t>
  </si>
  <si>
    <t>Table X. Estimated Worker Flows by District: DaySim</t>
  </si>
  <si>
    <t>WORKER FLOWS BY District: EST-OBS (DaySim - LEHD)</t>
  </si>
  <si>
    <t>CBD</t>
  </si>
  <si>
    <t>Inner Core I-24 E</t>
  </si>
  <si>
    <t>Inner Core I-24/65 N</t>
  </si>
  <si>
    <t>Inner Core I-24W</t>
  </si>
  <si>
    <t>Inner Core I-40 W</t>
  </si>
  <si>
    <t>Inner Core I-65 S</t>
  </si>
  <si>
    <t>Middle Core I-24 E</t>
  </si>
  <si>
    <t>Middle Core I-24 W</t>
  </si>
  <si>
    <t>Middle Core I-40 E</t>
  </si>
  <si>
    <t>Middle Core I-40 W</t>
  </si>
  <si>
    <t>Middle Core I-65 N</t>
  </si>
  <si>
    <t>Middle Core I-65 S</t>
  </si>
  <si>
    <t>Outer Core I-24 E</t>
  </si>
  <si>
    <t>Outer Core I-24 W</t>
  </si>
  <si>
    <t>Outer Core I-40 E</t>
  </si>
  <si>
    <t>Outer Core I-40 W</t>
  </si>
  <si>
    <t>Outer Core I-65 N</t>
  </si>
  <si>
    <t>Outer Core I-65 S</t>
  </si>
  <si>
    <t>Outer Core SR386</t>
  </si>
  <si>
    <t>Far Outer Core I-65 S</t>
  </si>
  <si>
    <t>SURVEY</t>
  </si>
  <si>
    <t>217 LEHD</t>
  </si>
  <si>
    <t>ABM</t>
  </si>
  <si>
    <t>Raw</t>
  </si>
  <si>
    <t>Scaled</t>
  </si>
  <si>
    <t>RAW</t>
  </si>
  <si>
    <t>SCALED</t>
  </si>
  <si>
    <t>District</t>
  </si>
  <si>
    <t>ID</t>
  </si>
  <si>
    <t>ABM-LEHD</t>
  </si>
  <si>
    <t>DIFF</t>
  </si>
  <si>
    <t>ABM-LEHD/LEHD</t>
  </si>
  <si>
    <t>Table X. Observed Worker Flows by District: OD Data</t>
  </si>
  <si>
    <t>Table X. Adjusted Worker Flows by District: OD Data</t>
  </si>
  <si>
    <t>OD Data</t>
  </si>
  <si>
    <t>%</t>
  </si>
  <si>
    <t>ABM-OD Data</t>
  </si>
  <si>
    <t>Data</t>
  </si>
  <si>
    <t>2017 LEHD</t>
  </si>
  <si>
    <t>Description</t>
  </si>
  <si>
    <t>RATIO</t>
  </si>
  <si>
    <t>LN(RATIO)</t>
  </si>
  <si>
    <t>CALIBRATION</t>
  </si>
  <si>
    <t>ADJ</t>
  </si>
  <si>
    <t>OBS</t>
  </si>
  <si>
    <t>% Workers by Work Locatioin District</t>
  </si>
  <si>
    <t>WORKER FLOWS BY District: (DaySim - LEHD)/LEHD</t>
  </si>
  <si>
    <t>District 1-12</t>
  </si>
  <si>
    <t>SUM</t>
  </si>
  <si>
    <t>MIN</t>
  </si>
  <si>
    <t>MAX</t>
  </si>
  <si>
    <t>District 13-20</t>
  </si>
  <si>
    <t>DestD_1</t>
  </si>
  <si>
    <t>DestD_2</t>
  </si>
  <si>
    <t>DestD_3</t>
  </si>
  <si>
    <t>DestD_4</t>
  </si>
  <si>
    <t>DestD_5</t>
  </si>
  <si>
    <t>DestD_6</t>
  </si>
  <si>
    <t>DestD_7</t>
  </si>
  <si>
    <t>DestD_8</t>
  </si>
  <si>
    <t>DestD_9</t>
  </si>
  <si>
    <t>DestD_10</t>
  </si>
  <si>
    <t>DestD_11</t>
  </si>
  <si>
    <t>DestD_12</t>
  </si>
  <si>
    <t>DestD_13</t>
  </si>
  <si>
    <t>DestD_14</t>
  </si>
  <si>
    <t>DestD_15</t>
  </si>
  <si>
    <t>DestD_16</t>
  </si>
  <si>
    <t>DestD_17</t>
  </si>
  <si>
    <t>DestD_18</t>
  </si>
  <si>
    <t>DestD_19</t>
  </si>
  <si>
    <t>DestD_20</t>
  </si>
  <si>
    <t>1. Adjustments (Work from Home)</t>
  </si>
  <si>
    <t>2. Adjustments (Trip Length - FT)</t>
  </si>
  <si>
    <t>3. Adjustments (Trip Length - PT and NotFTPT)</t>
  </si>
  <si>
    <t>Change Flag</t>
  </si>
  <si>
    <t>COEF INDEX</t>
  </si>
  <si>
    <t>OLD COEFF</t>
  </si>
  <si>
    <t>NEW COEFF</t>
  </si>
  <si>
    <t>Solver Load</t>
  </si>
  <si>
    <t>% DIFF</t>
  </si>
  <si>
    <t>Table X. Scaled Estimated Worker Flows by District: DaySim</t>
  </si>
  <si>
    <t>Table X. ABS(DaySim - LEHD)</t>
  </si>
  <si>
    <t>New Ratio</t>
  </si>
  <si>
    <t>usual wsloc</t>
  </si>
  <si>
    <t>Origin</t>
  </si>
  <si>
    <t>Max Dist</t>
  </si>
  <si>
    <t>id</t>
  </si>
  <si>
    <t>Diff</t>
  </si>
  <si>
    <t>% Diff</t>
  </si>
  <si>
    <t>Ref</t>
  </si>
  <si>
    <t>origin_12_dest_12</t>
  </si>
  <si>
    <t>origin_13_dest_13</t>
  </si>
  <si>
    <t>O12_D12</t>
  </si>
  <si>
    <t>O13_D13</t>
  </si>
  <si>
    <t>County-level Work from Home Shares</t>
  </si>
  <si>
    <t>A worker is assumed to telework if not work from home and work hours &gt; 2.5hrs</t>
  </si>
  <si>
    <t>Table X. Weighted Work from Home Counts by County: Survey</t>
  </si>
  <si>
    <t>Table X. Estimated Work from Home Counts by County</t>
  </si>
  <si>
    <t>Table X. Difference Work from Home Counts by County</t>
  </si>
  <si>
    <t>County/District</t>
  </si>
  <si>
    <t>Rest</t>
  </si>
  <si>
    <t>Table X. Weighted Work from Home Shares by County: Survey</t>
  </si>
  <si>
    <t>Table X. Estimated Work from Home Shares by County</t>
  </si>
  <si>
    <t>Table X. Difference Work from Home Shares by County</t>
  </si>
  <si>
    <t>Telecommute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</si>
</sst>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_(* #,##0_);_(* \(#,##0\);_(* &quot;-&quot;??_);_(@_)"/>
    <numFmt numFmtId="168" formatCode="0.0"/>
    <numFmt numFmtId="169" formatCode="0.000"/>
    <numFmt numFmtId="170" formatCode="0.00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u/>
      <sz val="11"/>
      <color indexed="8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5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51">
    <xf borderId="0" fillId="0" fontId="0" numFmtId="0"/>
    <xf borderId="0" fillId="0" fontId="2" numFmtId="0">
      <alignment wrapText="1"/>
    </xf>
    <xf borderId="0" fillId="3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  <xf applyAlignment="0" applyBorder="0" applyFill="0" applyNumberFormat="0" applyProtection="0" borderId="0" fillId="0" fontId="9" numFmtId="0"/>
    <xf applyAlignment="0" applyFill="0" applyNumberFormat="0" applyProtection="0" borderId="8" fillId="0" fontId="10" numFmtId="0"/>
    <xf applyAlignment="0" applyFill="0" applyNumberFormat="0" applyProtection="0" borderId="9" fillId="0" fontId="11" numFmtId="0"/>
    <xf applyAlignment="0" applyFill="0" applyNumberFormat="0" applyProtection="0" borderId="10" fillId="0" fontId="12" numFmtId="0"/>
    <xf applyAlignment="0" applyBorder="0" applyFill="0" applyNumberFormat="0" applyProtection="0" borderId="0" fillId="0" fontId="12" numFmtId="0"/>
    <xf applyAlignment="0" applyBorder="0" applyNumberFormat="0" applyProtection="0" borderId="0" fillId="9" fontId="13" numFmtId="0"/>
    <xf applyAlignment="0" applyBorder="0" applyNumberFormat="0" applyProtection="0" borderId="0" fillId="10" fontId="14" numFmtId="0"/>
    <xf applyAlignment="0" applyNumberFormat="0" applyProtection="0" borderId="11" fillId="12" fontId="15" numFmtId="0"/>
    <xf applyAlignment="0" applyNumberFormat="0" applyProtection="0" borderId="12" fillId="13" fontId="16" numFmtId="0"/>
    <xf applyAlignment="0" applyNumberFormat="0" applyProtection="0" borderId="11" fillId="13" fontId="17" numFmtId="0"/>
    <xf applyAlignment="0" applyFill="0" applyNumberFormat="0" applyProtection="0" borderId="13" fillId="0" fontId="18" numFmtId="0"/>
    <xf applyAlignment="0" applyNumberFormat="0" applyProtection="0" borderId="14" fillId="14" fontId="19" numFmtId="0"/>
    <xf applyAlignment="0" applyBorder="0" applyFill="0" applyNumberFormat="0" applyProtection="0" borderId="0" fillId="0" fontId="20" numFmtId="0"/>
    <xf applyAlignment="0" applyFont="0" applyNumberFormat="0" applyProtection="0" borderId="15" fillId="15" fontId="3" numFmtId="0"/>
    <xf applyAlignment="0" applyBorder="0" applyFill="0" applyNumberFormat="0" applyProtection="0" borderId="0" fillId="0" fontId="21" numFmtId="0"/>
    <xf applyAlignment="0" applyFill="0" applyNumberFormat="0" applyProtection="0" borderId="16" fillId="0" fontId="1" numFmtId="0"/>
    <xf applyAlignment="0" applyBorder="0" applyNumberFormat="0" applyProtection="0" borderId="0" fillId="16" fontId="22" numFmtId="0"/>
    <xf applyAlignment="0" applyBorder="0" applyNumberFormat="0" applyProtection="0" borderId="0" fillId="17" fontId="3" numFmtId="0"/>
    <xf applyAlignment="0" applyBorder="0" applyNumberFormat="0" applyProtection="0" borderId="0" fillId="18" fontId="3" numFmtId="0"/>
    <xf applyAlignment="0" applyBorder="0" applyNumberFormat="0" applyProtection="0" borderId="0" fillId="20" fontId="22" numFmtId="0"/>
    <xf applyAlignment="0" applyBorder="0" applyNumberFormat="0" applyProtection="0" borderId="0" fillId="21" fontId="3" numFmtId="0"/>
    <xf applyAlignment="0" applyBorder="0" applyNumberFormat="0" applyProtection="0" borderId="0" fillId="22" fontId="3" numFmtId="0"/>
    <xf applyAlignment="0" applyBorder="0" applyNumberFormat="0" applyProtection="0" borderId="0" fillId="24" fontId="22" numFmtId="0"/>
    <xf applyAlignment="0" applyBorder="0" applyNumberFormat="0" applyProtection="0" borderId="0" fillId="25" fontId="3" numFmtId="0"/>
    <xf applyAlignment="0" applyBorder="0" applyNumberFormat="0" applyProtection="0" borderId="0" fillId="26" fontId="3" numFmtId="0"/>
    <xf applyAlignment="0" applyBorder="0" applyNumberFormat="0" applyProtection="0" borderId="0" fillId="28" fontId="22" numFmtId="0"/>
    <xf applyAlignment="0" applyBorder="0" applyNumberFormat="0" applyProtection="0" borderId="0" fillId="29" fontId="3" numFmtId="0"/>
    <xf applyAlignment="0" applyBorder="0" applyNumberFormat="0" applyProtection="0" borderId="0" fillId="30" fontId="3" numFmtId="0"/>
    <xf applyAlignment="0" applyBorder="0" applyNumberFormat="0" applyProtection="0" borderId="0" fillId="32" fontId="22" numFmtId="0"/>
    <xf applyAlignment="0" applyBorder="0" applyNumberFormat="0" applyProtection="0" borderId="0" fillId="33" fontId="3" numFmtId="0"/>
    <xf applyAlignment="0" applyBorder="0" applyNumberFormat="0" applyProtection="0" borderId="0" fillId="34" fontId="3" numFmtId="0"/>
    <xf applyAlignment="0" applyBorder="0" applyNumberFormat="0" applyProtection="0" borderId="0" fillId="36" fontId="22" numFmtId="0"/>
    <xf applyAlignment="0" applyBorder="0" applyNumberFormat="0" applyProtection="0" borderId="0" fillId="37" fontId="3" numFmtId="0"/>
    <xf applyAlignment="0" applyBorder="0" applyNumberFormat="0" applyProtection="0" borderId="0" fillId="38" fontId="3" numFmtId="0"/>
    <xf applyAlignment="0" applyBorder="0" applyNumberFormat="0" applyProtection="0" borderId="0" fillId="11" fontId="23" numFmtId="0"/>
    <xf applyAlignment="0" applyBorder="0" applyNumberFormat="0" applyProtection="0" borderId="0" fillId="19" fontId="22" numFmtId="0"/>
    <xf applyAlignment="0" applyBorder="0" applyNumberFormat="0" applyProtection="0" borderId="0" fillId="23" fontId="22" numFmtId="0"/>
    <xf applyAlignment="0" applyBorder="0" applyNumberFormat="0" applyProtection="0" borderId="0" fillId="27" fontId="22" numFmtId="0"/>
    <xf applyAlignment="0" applyBorder="0" applyNumberFormat="0" applyProtection="0" borderId="0" fillId="31" fontId="22" numFmtId="0"/>
    <xf applyAlignment="0" applyBorder="0" applyNumberFormat="0" applyProtection="0" borderId="0" fillId="35" fontId="22" numFmtId="0"/>
    <xf applyAlignment="0" applyBorder="0" applyNumberFormat="0" applyProtection="0" borderId="0" fillId="39" fontId="22" numFmtId="0"/>
  </cellStyleXfs>
  <cellXfs count="240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" xfId="0"/>
    <xf applyBorder="1" applyNumberFormat="1" borderId="1" fillId="0" fontId="0" numFmtId="1" xfId="0"/>
    <xf applyBorder="1" applyNumberFormat="1" borderId="3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Border="1" applyFont="1" applyNumberFormat="1" borderId="1" fillId="0" fontId="1" numFmtId="3" xfId="0"/>
    <xf applyAlignment="1" applyBorder="1" applyNumberFormat="1" borderId="2" fillId="0" fontId="0" numFmtId="3" xfId="0">
      <alignment horizontal="center"/>
    </xf>
    <xf applyBorder="1" applyNumberFormat="1" borderId="2" fillId="0" fontId="0" numFmtId="3" xfId="0"/>
    <xf applyNumberFormat="1" borderId="0" fillId="0" fontId="0" numFmtId="164" xfId="0"/>
    <xf applyBorder="1" applyNumberFormat="1" borderId="1" fillId="0" fontId="0" numFmtId="164" xfId="0"/>
    <xf applyBorder="1" applyFill="1" applyFont="1" borderId="1" fillId="2" fontId="1" numFmtId="0" xfId="0"/>
    <xf applyBorder="1" applyFill="1" borderId="1" fillId="2" fontId="0" numFmtId="0" xfId="0"/>
    <xf applyBorder="1" applyFill="1" borderId="2" fillId="2" fontId="0" numFmtId="0" xfId="0"/>
    <xf applyFill="1" borderId="0" fillId="2" fontId="0" numFmtId="0" xfId="0"/>
    <xf applyBorder="1" applyFill="1" borderId="3" fillId="2" fontId="0" numFmtId="0" xfId="0"/>
    <xf applyFill="1" applyFont="1" borderId="0" fillId="2" fontId="1" numFmtId="0" xfId="0"/>
    <xf applyAlignment="1" applyBorder="1" applyFill="1" borderId="2" fillId="2" fontId="0" numFmtId="0" xfId="0">
      <alignment horizontal="center" vertical="top"/>
    </xf>
    <xf applyBorder="1" applyNumberFormat="1" borderId="0" fillId="0" fontId="0" numFmtId="164" xfId="0"/>
    <xf applyFont="1" borderId="0" fillId="0" fontId="4" numFmtId="0" xfId="0"/>
    <xf applyBorder="1" applyFill="1" borderId="0" fillId="0" fontId="0" numFmtId="0" xfId="0"/>
    <xf applyNumberFormat="1" borderId="0" fillId="0" fontId="0" numFmtId="11" xfId="0"/>
    <xf applyAlignment="1" borderId="0" fillId="0" fontId="0" numFmtId="0" xfId="0">
      <alignment horizontal="left"/>
    </xf>
    <xf applyFont="1" applyNumberFormat="1" borderId="0" fillId="0" fontId="0" numFmtId="3" xfId="0"/>
    <xf applyFont="1" borderId="0" fillId="0" fontId="5" numFmtId="0" xfId="0"/>
    <xf applyAlignment="1" applyFont="1" borderId="0" fillId="0" fontId="1" numFmtId="0" xfId="0">
      <alignment horizontal="center" vertical="center"/>
    </xf>
    <xf applyAlignment="1" applyFont="1" borderId="0" fillId="0" fontId="1" numFmtId="0" xfId="0">
      <alignment horizontal="center"/>
    </xf>
    <xf applyNumberFormat="1" borderId="0" fillId="0" fontId="0" numFmtId="21" xfId="0"/>
    <xf applyNumberFormat="1" borderId="0" fillId="0" fontId="0" numFmtId="166" xfId="0"/>
    <xf applyAlignment="1" applyFont="1" borderId="0" fillId="0" fontId="1" numFmtId="0" xfId="0">
      <alignment horizontal="right"/>
    </xf>
    <xf applyBorder="1" applyFill="1" applyFont="1" applyNumberFormat="1" borderId="0" fillId="0" fontId="5" numFmtId="3" xfId="0"/>
    <xf applyBorder="1" applyFill="1" applyFont="1" applyNumberFormat="1" borderId="0" fillId="0" fontId="0" numFmtId="3" xfId="0"/>
    <xf applyBorder="1" applyFill="1" applyNumberFormat="1" borderId="0" fillId="0" fontId="0" numFmtId="9" xfId="0"/>
    <xf applyBorder="1" applyFill="1" applyNumberFormat="1" borderId="0" fillId="0" fontId="0" numFmtId="166" xfId="0"/>
    <xf applyBorder="1" applyFill="1" applyNumberFormat="1" borderId="0" fillId="0" fontId="0" numFmtId="2" xfId="0"/>
    <xf applyBorder="1" applyFont="1" applyNumberFormat="1" borderId="3" fillId="0" fontId="0" numFmtId="3" xfId="0"/>
    <xf applyBorder="1" applyFont="1" applyNumberFormat="1" borderId="5" fillId="0" fontId="0" numFmtId="3" xfId="0"/>
    <xf applyBorder="1" applyFill="1" applyFont="1" applyNumberFormat="1" borderId="4" fillId="0" fontId="0" numFmtId="3" xfId="0"/>
    <xf applyNumberFormat="1" borderId="0" fillId="0" fontId="0" numFmtId="9" xfId="0"/>
    <xf applyBorder="1" applyNumberFormat="1" borderId="4" fillId="0" fontId="0" numFmtId="9" xfId="0"/>
    <xf applyAlignment="1" applyBorder="1" borderId="0" fillId="0" fontId="0" numFmtId="0" xfId="0">
      <alignment horizontal="center" vertical="top"/>
    </xf>
    <xf applyBorder="1" applyFill="1" applyFont="1" borderId="0" fillId="0" fontId="1" numFmtId="0" xfId="0"/>
    <xf applyAlignment="1" applyBorder="1" applyFill="1" borderId="0" fillId="0" fontId="0" numFmtId="0" xfId="0">
      <alignment horizontal="center" vertical="top"/>
    </xf>
    <xf applyBorder="1" applyNumberFormat="1" borderId="0" fillId="0" fontId="0" numFmtId="1" xfId="0"/>
    <xf applyBorder="1" applyFill="1" applyNumberFormat="1" borderId="4" fillId="0" fontId="0" numFmtId="9" xfId="0"/>
    <xf applyBorder="1" applyNumberFormat="1" borderId="5" fillId="0" fontId="0" numFmtId="10" xfId="0"/>
    <xf applyFont="1" applyNumberFormat="1" borderId="0" fillId="0" fontId="0" numFmtId="167" xfId="8"/>
    <xf applyBorder="1" applyFont="1" applyNumberFormat="1" borderId="1" fillId="0" fontId="0" numFmtId="167" xfId="8"/>
    <xf applyBorder="1" applyFont="1" applyNumberFormat="1" borderId="3" fillId="0" fontId="0" numFmtId="167" xfId="8"/>
    <xf applyBorder="1" applyFill="1" applyFont="1" applyNumberFormat="1" borderId="4" fillId="0" fontId="0" numFmtId="167" xfId="8"/>
    <xf applyNumberFormat="1" borderId="0" fillId="0" fontId="0" numFmtId="168" xfId="0"/>
    <xf applyBorder="1" applyNumberFormat="1" borderId="3" fillId="0" fontId="0" numFmtId="168" xfId="0"/>
    <xf applyBorder="1" applyNumberFormat="1" borderId="4" fillId="0" fontId="0" numFmtId="168" xfId="0"/>
    <xf applyFill="1" applyNumberFormat="1" borderId="0" fillId="2" fontId="0" numFmtId="168" xfId="0"/>
    <xf applyBorder="1" applyFill="1" applyNumberFormat="1" borderId="3" fillId="2" fontId="0" numFmtId="168" xfId="0"/>
    <xf applyBorder="1" applyFill="1" applyNumberFormat="1" borderId="1" fillId="2" fontId="0" numFmtId="168" xfId="0"/>
    <xf applyAlignment="1" applyFont="1" applyNumberFormat="1" borderId="0" fillId="0" fontId="2" numFmtId="167" xfId="8"/>
    <xf applyAlignment="1" applyBorder="1" applyFont="1" applyNumberFormat="1" borderId="1" fillId="0" fontId="2" numFmtId="167" xfId="8"/>
    <xf applyBorder="1" applyFont="1" applyNumberFormat="1" borderId="5" fillId="0" fontId="0" numFmtId="167" xfId="8"/>
    <xf applyFill="1" applyFont="1" borderId="0" fillId="7" fontId="5" numFmtId="0" xfId="0"/>
    <xf applyFill="1" borderId="0" fillId="7" fontId="0" numFmtId="0" xfId="0"/>
    <xf applyFill="1" applyNumberFormat="1" borderId="0" fillId="7" fontId="0" numFmtId="166" xfId="0"/>
    <xf applyBorder="1" applyFill="1" applyFont="1" borderId="0" fillId="0" fontId="5" numFmtId="0" xfId="0"/>
    <xf applyFont="1" borderId="0" fillId="0" fontId="6" numFmtId="0" xfId="0"/>
    <xf applyFont="1" borderId="0" fillId="0" fontId="7" numFmtId="0" xfId="0"/>
    <xf applyBorder="1" applyFont="1" applyNumberFormat="1" borderId="0" fillId="0" fontId="0" numFmtId="167" xfId="8"/>
    <xf applyFont="1" borderId="0" fillId="0" fontId="0" numFmtId="9" xfId="9"/>
    <xf applyAlignment="1" applyBorder="1" borderId="0" fillId="0" fontId="0" numFmtId="0" xfId="0">
      <alignment horizontal="center"/>
    </xf>
    <xf applyAlignment="1" applyBorder="1" borderId="3" fillId="0" fontId="0" numFmtId="0" xfId="0">
      <alignment horizontal="center" vertical="top"/>
    </xf>
    <xf applyNumberFormat="1" borderId="0" fillId="0" fontId="0" numFmtId="169" xfId="0"/>
    <xf applyAlignment="1" applyBorder="1" borderId="7" fillId="0" fontId="0" numFmtId="0" xfId="0">
      <alignment horizontal="center" vertical="top"/>
    </xf>
    <xf applyBorder="1" applyNumberFormat="1" borderId="6" fillId="0" fontId="0" numFmtId="2" xfId="0"/>
    <xf applyAlignment="1" applyBorder="1" applyFill="1" borderId="0" fillId="0" fontId="0" numFmtId="0" xfId="0"/>
    <xf applyBorder="1" applyFont="1" borderId="0" fillId="0" fontId="5" numFmtId="0" xfId="0"/>
    <xf applyAlignment="1" applyBorder="1" applyFill="1" applyFont="1" borderId="2" fillId="0" fontId="8" numFmtId="0" xfId="0">
      <alignment horizontal="centerContinuous"/>
    </xf>
    <xf applyAlignment="1" applyBorder="1" applyFill="1" applyFont="1" borderId="0" fillId="0" fontId="8" numFmtId="0" xfId="0">
      <alignment horizontal="center"/>
    </xf>
    <xf applyAlignment="1" applyBorder="1" applyFill="1" borderId="1" fillId="0" fontId="0" numFmtId="0" xfId="0"/>
    <xf applyAlignment="1" applyBorder="1" applyFill="1" applyFont="1" borderId="2" fillId="0" fontId="8" numFmtId="0" xfId="0">
      <alignment horizontal="center"/>
    </xf>
    <xf applyAlignment="1" applyBorder="1" applyFill="1" applyFont="1" borderId="0" fillId="0" fontId="5" numFmtId="0" xfId="0">
      <alignment horizontal="left"/>
    </xf>
    <xf applyFill="1" borderId="0" fillId="8" fontId="0" numFmtId="0" xfId="0"/>
    <xf applyBorder="1" applyFill="1" borderId="6" fillId="8" fontId="0" numFmtId="0" xfId="0"/>
    <xf applyBorder="1" applyFill="1" borderId="3" fillId="8" fontId="0" numFmtId="0" xfId="0"/>
    <xf applyBorder="1" applyNumberFormat="1" borderId="3" fillId="0" fontId="0" numFmtId="164" xfId="0"/>
    <xf borderId="0" fillId="0" fontId="0" numFmtId="0" xfId="0"/>
    <xf applyBorder="1" applyNumberFormat="1" borderId="4" fillId="0" fontId="0" numFmtId="3" xfId="0"/>
    <xf applyBorder="1" applyNumberFormat="1" borderId="6" fillId="0" fontId="0" numFmtId="3" xfId="0"/>
    <xf applyAlignment="1" applyBorder="1" applyFill="1" applyFont="1" applyNumberFormat="1" applyProtection="1" borderId="0" fillId="0" fontId="24" numFmtId="0" xfId="0"/>
    <xf applyAlignment="1" applyBorder="1" applyFill="1" applyFont="1" applyNumberFormat="1" applyProtection="1" borderId="0" fillId="0" fontId="4" numFmtId="0" xfId="0"/>
    <xf applyBorder="1" applyFont="1" borderId="0" fillId="0" fontId="0" numFmtId="9" xfId="9"/>
    <xf applyAlignment="1" applyBorder="1" borderId="3" fillId="0" fontId="0" numFmtId="0" xfId="0">
      <alignment horizontal="right"/>
    </xf>
    <xf applyFont="1" applyNumberFormat="1" borderId="0" fillId="0" fontId="0" numFmtId="164" xfId="9"/>
    <xf applyBorder="1" applyFont="1" applyNumberFormat="1" borderId="6" fillId="0" fontId="0" numFmtId="164" xfId="9"/>
    <xf applyBorder="1" applyFont="1" applyNumberFormat="1" borderId="0" fillId="0" fontId="0" numFmtId="164" xfId="9"/>
    <xf applyBorder="1" applyFont="1" applyNumberFormat="1" borderId="3" fillId="0" fontId="0" numFmtId="164" xfId="9"/>
    <xf applyBorder="1" applyFont="1" applyNumberFormat="1" borderId="1" fillId="0" fontId="0" numFmtId="164" xfId="9"/>
    <xf applyBorder="1" applyFont="1" applyNumberFormat="1" borderId="4" fillId="0" fontId="0" numFmtId="167" xfId="8"/>
    <xf applyNumberFormat="1" borderId="0" fillId="0" fontId="0" numFmtId="167" xfId="0"/>
    <xf applyBorder="1" applyFont="1" borderId="4" fillId="0" fontId="1" numFmtId="0" xfId="0"/>
    <xf applyAlignment="1" applyBorder="1" applyFont="1" borderId="4" fillId="0" fontId="1" numFmtId="0" xfId="0">
      <alignment horizontal="left"/>
    </xf>
    <xf applyBorder="1" applyFont="1" applyNumberFormat="1" borderId="4" fillId="0" fontId="1" numFmtId="167" xfId="0"/>
    <xf applyBorder="1" borderId="5" fillId="0" fontId="0" numFmtId="0" xfId="0"/>
    <xf applyAlignment="1" applyBorder="1" borderId="5" fillId="0" fontId="0" numFmtId="0" xfId="0">
      <alignment horizontal="right"/>
    </xf>
    <xf applyAlignment="1" applyBorder="1" borderId="17" fillId="0" fontId="0" numFmtId="0" xfId="0">
      <alignment horizontal="right"/>
    </xf>
    <xf applyBorder="1" applyNumberFormat="1" borderId="18" fillId="0" fontId="0" numFmtId="167" xfId="0"/>
    <xf applyBorder="1" applyNumberFormat="1" borderId="0" fillId="0" fontId="0" numFmtId="167" xfId="0"/>
    <xf applyBorder="1" applyFont="1" applyNumberFormat="1" borderId="19" fillId="0" fontId="1" numFmtId="167" xfId="0"/>
    <xf applyAlignment="1" applyBorder="1" applyFill="1" borderId="17" fillId="0" fontId="0" numFmtId="0" xfId="0">
      <alignment horizontal="right"/>
    </xf>
    <xf applyBorder="1" applyNumberFormat="1" borderId="20" fillId="0" fontId="0" numFmtId="9" xfId="0"/>
    <xf applyAlignment="1" applyBorder="1" borderId="23" fillId="0" fontId="0" numFmtId="0" xfId="0">
      <alignment horizontal="right"/>
    </xf>
    <xf applyBorder="1" applyFont="1" borderId="22" fillId="0" fontId="0" numFmtId="9" xfId="9"/>
    <xf applyBorder="1" applyFont="1" borderId="26" fillId="0" fontId="0" numFmtId="9" xfId="9"/>
    <xf applyBorder="1" applyNumberFormat="1" borderId="22" fillId="0" fontId="0" numFmtId="167" xfId="0"/>
    <xf applyBorder="1" applyFont="1" applyNumberFormat="1" borderId="28" fillId="0" fontId="1" numFmtId="167" xfId="0"/>
    <xf applyBorder="1" applyNumberFormat="1" borderId="18" fillId="0" fontId="0" numFmtId="164" xfId="0"/>
    <xf applyBorder="1" applyNumberFormat="1" borderId="21" fillId="0" fontId="0" numFmtId="164" xfId="0"/>
    <xf applyAlignment="1" borderId="0" fillId="0" fontId="0" numFmtId="0" xfId="0">
      <alignment horizontal="right"/>
    </xf>
    <xf applyAlignment="1" applyBorder="1" borderId="24" fillId="0" fontId="0" numFmtId="0" xfId="0">
      <alignment horizontal="right"/>
    </xf>
    <xf applyAlignment="1" applyBorder="1" borderId="6" fillId="0" fontId="0" numFmtId="0" xfId="0">
      <alignment horizontal="right"/>
    </xf>
    <xf applyBorder="1" applyFont="1" borderId="4" fillId="0" fontId="1" numFmtId="9" xfId="9"/>
    <xf applyBorder="1" applyFont="1" borderId="28" fillId="0" fontId="1" numFmtId="9" xfId="9"/>
    <xf applyBorder="1" applyNumberFormat="1" borderId="24" fillId="0" fontId="0" numFmtId="167" xfId="0"/>
    <xf applyBorder="1" applyNumberFormat="1" borderId="6" fillId="0" fontId="0" numFmtId="167" xfId="0"/>
    <xf applyBorder="1" applyNumberFormat="1" borderId="25" fillId="0" fontId="0" numFmtId="167" xfId="0"/>
    <xf applyBorder="1" applyNumberFormat="1" borderId="3" fillId="0" fontId="0" numFmtId="167" xfId="0"/>
    <xf applyAlignment="1" applyBorder="1" applyFill="1" borderId="26" fillId="0" fontId="0" numFmtId="0" xfId="0">
      <alignment horizontal="right"/>
    </xf>
    <xf applyBorder="1" applyNumberFormat="1" borderId="27" fillId="0" fontId="0" numFmtId="9" xfId="0"/>
    <xf applyAlignment="1" applyBorder="1" applyFill="1" borderId="0" fillId="0" fontId="0" numFmtId="0" xfId="0">
      <alignment horizontal="right"/>
    </xf>
    <xf applyFont="1" applyNumberFormat="1" borderId="0" fillId="0" fontId="0" numFmtId="169" xfId="8"/>
    <xf applyFont="1" applyNumberFormat="1" borderId="0" fillId="0" fontId="0" numFmtId="170" xfId="8"/>
    <xf applyNumberFormat="1" borderId="0" fillId="0" fontId="0" numFmtId="170" xfId="0"/>
    <xf applyBorder="1" applyFont="1" borderId="0" fillId="0" fontId="1" numFmtId="0" xfId="0"/>
    <xf applyFont="1" applyNumberFormat="1" borderId="0" fillId="0" fontId="1" numFmtId="167" xfId="8"/>
    <xf applyBorder="1" borderId="31" fillId="0" fontId="0" numFmtId="0" xfId="0"/>
    <xf applyBorder="1" applyFont="1" applyNumberFormat="1" borderId="32" fillId="0" fontId="0" numFmtId="164" xfId="9"/>
    <xf applyBorder="1" borderId="33" fillId="0" fontId="0" numFmtId="0" xfId="0"/>
    <xf applyBorder="1" applyFont="1" applyNumberFormat="1" borderId="34" fillId="0" fontId="0" numFmtId="164" xfId="9"/>
    <xf applyBorder="1" borderId="35" fillId="0" fontId="0" numFmtId="0" xfId="0"/>
    <xf applyAlignment="1" applyBorder="1" borderId="36" fillId="0" fontId="0" numFmtId="0" xfId="0">
      <alignment horizontal="center"/>
    </xf>
    <xf applyBorder="1" applyFont="1" applyNumberFormat="1" borderId="22" fillId="0" fontId="0" numFmtId="164" xfId="9"/>
    <xf applyBorder="1" borderId="37" fillId="0" fontId="0" numFmtId="0" xfId="0"/>
    <xf applyBorder="1" applyNumberFormat="1" borderId="32" fillId="0" fontId="0" numFmtId="167" xfId="0"/>
    <xf applyBorder="1" applyFont="1" applyNumberFormat="1" borderId="38" fillId="0" fontId="0" numFmtId="167" xfId="8"/>
    <xf applyAlignment="1" borderId="0" fillId="0" fontId="0" numFmtId="0" xfId="0"/>
    <xf applyFill="1" applyNumberFormat="1" borderId="0" fillId="5" fontId="0" numFmtId="170" xfId="0"/>
    <xf applyBorder="1" applyFill="1" applyNumberFormat="1" borderId="3" fillId="5" fontId="0" numFmtId="170" xfId="0"/>
    <xf applyFill="1" applyNumberFormat="1" borderId="0" fillId="4" fontId="0" numFmtId="170" xfId="0"/>
    <xf applyBorder="1" applyFill="1" applyNumberFormat="1" borderId="3" fillId="4" fontId="0" numFmtId="170" xfId="0"/>
    <xf applyBorder="1" applyNumberFormat="1" borderId="3" fillId="0" fontId="0" numFmtId="170" xfId="0"/>
    <xf applyBorder="1" applyFill="1" applyNumberFormat="1" borderId="3" fillId="5" fontId="0" numFmtId="169" xfId="0"/>
    <xf applyBorder="1" applyNumberFormat="1" borderId="6" fillId="0" fontId="0" numFmtId="170" xfId="0"/>
    <xf applyFill="1" applyFont="1" applyNumberFormat="1" borderId="0" fillId="6" fontId="22" numFmtId="166" xfId="0"/>
    <xf applyBorder="1" applyFont="1" applyNumberFormat="1" borderId="0" fillId="0" fontId="0" numFmtId="170" xfId="8"/>
    <xf applyBorder="1" applyNumberFormat="1" borderId="0" fillId="0" fontId="0" numFmtId="170" xfId="0"/>
    <xf applyBorder="1" applyNumberFormat="1" borderId="0" fillId="0" fontId="0" numFmtId="169" xfId="0"/>
    <xf applyBorder="1" applyNumberFormat="1" borderId="0" fillId="0" fontId="0" numFmtId="9" xfId="0"/>
    <xf applyBorder="1" applyFill="1" applyNumberFormat="1" borderId="0" fillId="5" fontId="0" numFmtId="170" xfId="0"/>
    <xf applyAlignment="1" applyBorder="1" borderId="39" fillId="0" fontId="0" numFmtId="0" xfId="0"/>
    <xf applyBorder="1" applyFont="1" borderId="31" fillId="0" fontId="4" numFmtId="0" xfId="0"/>
    <xf applyAlignment="1" applyBorder="1" borderId="0" fillId="0" fontId="0" numFmtId="0" xfId="0">
      <alignment horizontal="left"/>
    </xf>
    <xf applyBorder="1" applyFont="1" borderId="41" fillId="0" fontId="0" numFmtId="43" xfId="8"/>
    <xf applyBorder="1" applyFont="1" borderId="42" fillId="0" fontId="0" numFmtId="43" xfId="8"/>
    <xf applyBorder="1" applyFont="1" borderId="43" fillId="0" fontId="1" numFmtId="0" xfId="0"/>
    <xf applyBorder="1" applyFill="1" borderId="32" fillId="8" fontId="0" numFmtId="0" xfId="0"/>
    <xf applyBorder="1" applyFont="1" applyNumberFormat="1" borderId="1" fillId="0" fontId="0" numFmtId="170" xfId="8"/>
    <xf applyBorder="1" applyNumberFormat="1" borderId="1" fillId="0" fontId="0" numFmtId="170" xfId="0"/>
    <xf applyBorder="1" applyFill="1" applyNumberFormat="1" borderId="1" fillId="5" fontId="0" numFmtId="170" xfId="0"/>
    <xf applyBorder="1" applyFill="1" borderId="34" fillId="8" fontId="0" numFmtId="0" xfId="0"/>
    <xf applyAlignment="1" applyBorder="1" applyFont="1" borderId="40" fillId="0" fontId="8" numFmtId="0" xfId="0">
      <alignment horizontal="right"/>
    </xf>
    <xf applyBorder="1" applyFont="1" borderId="5" fillId="0" fontId="8" numFmtId="0" xfId="0"/>
    <xf applyAlignment="1" applyBorder="1" applyFont="1" borderId="24" fillId="0" fontId="8" numFmtId="0" xfId="0">
      <alignment horizontal="right"/>
    </xf>
    <xf applyAlignment="1" applyBorder="1" applyFont="1" borderId="6" fillId="0" fontId="8" numFmtId="0" xfId="0">
      <alignment horizontal="right"/>
    </xf>
    <xf applyAlignment="1" applyBorder="1" applyFont="1" borderId="17" fillId="0" fontId="8" numFmtId="0" xfId="0">
      <alignment horizontal="right"/>
    </xf>
    <xf applyAlignment="1" applyBorder="1" applyFont="1" borderId="5" fillId="0" fontId="8" numFmtId="0" xfId="0">
      <alignment horizontal="right"/>
    </xf>
    <xf applyAlignment="1" applyBorder="1" applyFont="1" borderId="23" fillId="0" fontId="8" numFmtId="0" xfId="0">
      <alignment horizontal="right"/>
    </xf>
    <xf applyAlignment="1" applyBorder="1" applyFill="1" applyFont="1" borderId="17" fillId="0" fontId="8" numFmtId="0" xfId="0">
      <alignment horizontal="right"/>
    </xf>
    <xf applyAlignment="1" applyBorder="1" applyFill="1" applyFont="1" borderId="26" fillId="0" fontId="8" numFmtId="0" xfId="0">
      <alignment horizontal="right"/>
    </xf>
    <xf applyBorder="1" applyFont="1" borderId="45" fillId="0" fontId="8" numFmtId="0" xfId="0"/>
    <xf applyAlignment="1" applyBorder="1" applyFill="1" applyFont="1" borderId="5" fillId="0" fontId="8" numFmtId="0" xfId="0">
      <alignment horizontal="right"/>
    </xf>
    <xf applyAlignment="1" applyBorder="1" applyFill="1" applyFont="1" borderId="44" fillId="0" fontId="8" numFmtId="0" xfId="0">
      <alignment horizontal="right"/>
    </xf>
    <xf applyBorder="1" applyFill="1" applyNumberFormat="1" borderId="1" fillId="4" fontId="0" numFmtId="43" xfId="0"/>
    <xf applyBorder="1" applyFont="1" applyNumberFormat="1" borderId="6" fillId="0" fontId="0" numFmtId="170" xfId="8"/>
    <xf applyAlignment="1" applyBorder="1" applyFill="1" applyFont="1" borderId="40" fillId="0" fontId="8" numFmtId="0" xfId="0">
      <alignment horizontal="right"/>
    </xf>
    <xf applyBorder="1" applyFill="1" borderId="31" fillId="4" fontId="0" numFmtId="0" xfId="0"/>
    <xf applyBorder="1" applyFill="1" borderId="33" fillId="4" fontId="0" numFmtId="0" xfId="0"/>
    <xf applyAlignment="1" applyBorder="1" borderId="2" fillId="0" fontId="0" numFmtId="0" xfId="0">
      <alignment horizontal="center"/>
    </xf>
    <xf applyBorder="1" applyFont="1" borderId="3" fillId="0" fontId="0" numFmtId="9" xfId="9"/>
    <xf applyFont="1" borderId="0" fillId="0" fontId="1" numFmtId="9" xfId="9"/>
    <xf applyAlignment="1" applyBorder="1" applyFill="1" applyFont="1" borderId="0" fillId="0" fontId="8" numFmtId="0" xfId="0">
      <alignment horizontal="right"/>
    </xf>
    <xf applyAlignment="1" applyBorder="1" applyFont="1" borderId="0" fillId="0" fontId="8" numFmtId="0" xfId="0">
      <alignment horizontal="right"/>
    </xf>
    <xf applyFill="1" applyNumberFormat="1" borderId="0" fillId="0" fontId="0" numFmtId="170" xfId="0"/>
    <xf applyBorder="1" applyFill="1" applyNumberFormat="1" borderId="0" fillId="0" fontId="0" numFmtId="43" xfId="0"/>
    <xf applyBorder="1" applyFill="1" applyFont="1" applyNumberFormat="1" borderId="0" fillId="0" fontId="0" numFmtId="167" xfId="8"/>
    <xf applyBorder="1" applyFill="1" applyNumberFormat="1" borderId="0" fillId="0" fontId="0" numFmtId="164" xfId="0"/>
    <xf applyAlignment="1" applyBorder="1" applyFill="1" applyFont="1" applyNumberFormat="1" applyProtection="1" borderId="46" fillId="0" fontId="25" numFmtId="0" xfId="0"/>
    <xf applyAlignment="1" applyBorder="1" applyFill="1" applyFont="1" applyNumberFormat="1" applyProtection="1" borderId="46" fillId="0" fontId="24" numFmtId="0" xfId="0"/>
    <xf applyAlignment="1" applyBorder="1" applyFill="1" applyFont="1" applyNumberFormat="1" applyProtection="1" borderId="47" fillId="0" fontId="24" numFmtId="0" xfId="0"/>
    <xf applyAlignment="1" applyBorder="1" applyFill="1" applyFont="1" applyNumberFormat="1" applyProtection="1" borderId="47" fillId="0" fontId="24" numFmtId="0" xfId="0">
      <alignment horizontal="center"/>
    </xf>
    <xf applyAlignment="1" applyBorder="1" applyFill="1" applyFont="1" applyNumberFormat="1" applyProtection="1" borderId="0" fillId="0" fontId="24" numFmtId="3" xfId="0"/>
    <xf applyAlignment="1" applyBorder="1" applyFill="1" applyFont="1" applyNumberFormat="1" applyProtection="1" borderId="48" fillId="0" fontId="24" numFmtId="0" xfId="0"/>
    <xf applyAlignment="1" applyBorder="1" applyFill="1" applyFont="1" applyNumberFormat="1" applyProtection="1" borderId="48" fillId="0" fontId="24" numFmtId="3" xfId="0"/>
    <xf applyAlignment="1" applyBorder="1" applyFill="1" applyFont="1" applyNumberFormat="1" applyProtection="1" borderId="46" fillId="0" fontId="24" numFmtId="3" xfId="0"/>
    <xf applyAlignment="1" applyBorder="1" applyFill="1" applyFont="1" applyNumberFormat="1" applyProtection="1" borderId="46" fillId="0" fontId="25" numFmtId="3" xfId="0"/>
    <xf applyAlignment="1" applyBorder="1" applyFill="1" applyFont="1" applyNumberFormat="1" applyProtection="1" borderId="47" fillId="0" fontId="24" numFmtId="3" xfId="0"/>
    <xf applyAlignment="1" applyBorder="1" applyFill="1" applyFont="1" applyNumberFormat="1" applyProtection="1" borderId="47" fillId="0" fontId="24" numFmtId="3" xfId="0">
      <alignment horizontal="center"/>
    </xf>
    <xf applyAlignment="1" applyBorder="1" applyFill="1" applyFont="1" applyNumberFormat="1" applyProtection="1" borderId="49" fillId="0" fontId="24" numFmtId="164" xfId="0"/>
    <xf applyAlignment="1" applyBorder="1" applyFill="1" applyFont="1" applyNumberFormat="1" applyProtection="1" borderId="0" fillId="0" fontId="24" numFmtId="164" xfId="0"/>
    <xf applyAlignment="1" applyBorder="1" applyFill="1" applyFont="1" applyNumberFormat="1" applyProtection="1" borderId="48" fillId="0" fontId="24" numFmtId="164" xfId="0"/>
    <xf applyAlignment="1" applyBorder="1" applyFill="1" applyFont="1" applyNumberFormat="1" applyProtection="1" borderId="46" fillId="0" fontId="24" numFmtId="164" xfId="0"/>
    <xf applyAlignment="1" applyBorder="1" applyFill="1" applyFont="1" applyNumberFormat="1" applyProtection="1" borderId="0" fillId="0" fontId="26" numFmtId="0" xfId="0"/>
    <xf applyAlignment="1" applyBorder="1" applyFill="1" applyFont="1" applyNumberFormat="1" applyProtection="1" borderId="47" fillId="0" fontId="24" numFmtId="0" xfId="0">
      <alignment horizontal="center" vertical="top"/>
    </xf>
    <xf applyAlignment="1" applyBorder="1" applyFill="1" applyFont="1" applyNumberFormat="1" applyProtection="1" borderId="50" fillId="0" fontId="24" numFmtId="3" xfId="0"/>
    <xf applyAlignment="1" applyBorder="1" applyFill="1" applyFont="1" applyNumberFormat="1" applyProtection="1" borderId="50" fillId="0" fontId="24" numFmtId="167" xfId="0"/>
    <xf applyAlignment="1" applyBorder="1" applyFill="1" applyFont="1" applyNumberFormat="1" applyProtection="1" borderId="51" fillId="0" fontId="24" numFmtId="3" xfId="0"/>
    <xf applyAlignment="1" applyBorder="1" applyFill="1" applyFont="1" applyNumberFormat="1" applyProtection="1" borderId="51" fillId="0" fontId="24" numFmtId="167" xfId="0"/>
    <xf applyAlignment="1" applyBorder="1" applyFill="1" applyFont="1" applyNumberFormat="1" applyProtection="1" borderId="50" fillId="0" fontId="24" numFmtId="10" xfId="0"/>
    <xf applyAlignment="1" applyBorder="1" applyFill="1" applyFont="1" applyNumberFormat="1" applyProtection="1" borderId="51" fillId="0" fontId="24" numFmtId="9" xfId="0"/>
    <xf applyAlignment="1" applyBorder="1" borderId="2" fillId="0" fontId="0" numFmtId="0" xfId="0">
      <alignment horizontal="center"/>
    </xf>
    <xf applyAlignment="1" applyBorder="1" borderId="30" fillId="0" fontId="0" numFmtId="0" xfId="0">
      <alignment horizontal="center"/>
    </xf>
    <xf applyAlignment="1" applyBorder="1" borderId="29" fillId="0" fontId="0" numFmtId="0" xfId="0">
      <alignment horizontal="center"/>
    </xf>
    <xf applyAlignment="1" applyBorder="1" borderId="21" fillId="0" fontId="0" numFmtId="0" xfId="0">
      <alignment horizontal="center"/>
    </xf>
    <xf applyAlignment="1" applyBorder="1" borderId="3" fillId="0" fontId="0" numFmtId="0" xfId="0">
      <alignment horizontal="center"/>
    </xf>
    <xf applyAlignment="1" applyBorder="1" borderId="26" fillId="0" fontId="0" numFmtId="0" xfId="0">
      <alignment horizontal="center"/>
    </xf>
    <xf applyAlignment="1" applyBorder="1" applyFont="1" borderId="35" fillId="0" fontId="1" numFmtId="0" xfId="0">
      <alignment horizontal="center"/>
    </xf>
    <xf applyAlignment="1" applyBorder="1" applyFont="1" borderId="2" fillId="0" fontId="1" numFmtId="0" xfId="0">
      <alignment horizontal="center"/>
    </xf>
    <xf applyAlignment="1" applyBorder="1" applyFont="1" borderId="36" fillId="0" fontId="1" numFmtId="0" xfId="0">
      <alignment horizontal="center"/>
    </xf>
    <xf applyAlignment="1" applyBorder="1" applyFont="1" borderId="0" fillId="0" fontId="1" numFmtId="0" xfId="0">
      <alignment horizontal="center"/>
    </xf>
    <xf applyAlignment="1" applyBorder="1" applyFont="1" borderId="30" fillId="0" fontId="1" numFmtId="0" xfId="0">
      <alignment horizontal="center"/>
    </xf>
    <xf applyAlignment="1" applyBorder="1" applyFont="1" borderId="29" fillId="0" fontId="1" numFmtId="0" xfId="0">
      <alignment horizontal="center"/>
    </xf>
  </cellXfs>
  <cellStyles count="51">
    <cellStyle builtinId="30" customBuiltin="1" name="20% - Accent1" xfId="27"/>
    <cellStyle builtinId="34" customBuiltin="1" name="20% - Accent2" xfId="30"/>
    <cellStyle builtinId="38" customBuiltin="1" name="20% - Accent3" xfId="33"/>
    <cellStyle builtinId="42" customBuiltin="1" name="20% - Accent4" xfId="36"/>
    <cellStyle builtinId="46" customBuiltin="1" name="20% - Accent5" xfId="39"/>
    <cellStyle builtinId="50" customBuiltin="1" name="20% - Accent6" xfId="42"/>
    <cellStyle builtinId="31" customBuiltin="1" name="40% - Accent1" xfId="28"/>
    <cellStyle builtinId="35" customBuiltin="1" name="40% - Accent2" xfId="31"/>
    <cellStyle builtinId="39" customBuiltin="1" name="40% - Accent3" xfId="34"/>
    <cellStyle builtinId="43" customBuiltin="1" name="40% - Accent4" xfId="37"/>
    <cellStyle builtinId="47" customBuiltin="1" name="40% - Accent5" xfId="40"/>
    <cellStyle builtinId="51" customBuiltin="1" name="40% - Accent6" xfId="43"/>
    <cellStyle name="60% - Accent1 2" xfId="45"/>
    <cellStyle name="60% - Accent2 2" xfId="46"/>
    <cellStyle name="60% - Accent3 2" xfId="47"/>
    <cellStyle name="60% - Accent4 2" xfId="48"/>
    <cellStyle name="60% - Accent5 2" xfId="49"/>
    <cellStyle name="60% - Accent6 2" xfId="50"/>
    <cellStyle builtinId="29" customBuiltin="1" name="Accent1" xfId="26"/>
    <cellStyle builtinId="33" customBuiltin="1" name="Accent2" xfId="29"/>
    <cellStyle builtinId="37" customBuiltin="1" name="Accent3" xfId="32"/>
    <cellStyle builtinId="41" customBuiltin="1" name="Accent4" xfId="35"/>
    <cellStyle builtinId="45" customBuiltin="1" name="Accent5" xfId="38"/>
    <cellStyle builtinId="49" customBuiltin="1" name="Accent6" xfId="41"/>
    <cellStyle builtinId="27" customBuiltin="1" name="Bad" xfId="16"/>
    <cellStyle builtinId="22" customBuiltin="1" name="Calculation" xfId="19"/>
    <cellStyle builtinId="23" customBuiltin="1" name="Check Cell" xfId="21"/>
    <cellStyle builtinId="3" name="Comma" xfId="8"/>
    <cellStyle builtinId="53" customBuiltin="1" name="Explanatory Text" xfId="24"/>
    <cellStyle builtinId="26" customBuiltin="1" name="Good" xfId="15"/>
    <cellStyle builtinId="16" customBuiltin="1" name="Heading 1" xfId="11"/>
    <cellStyle builtinId="17" customBuiltin="1" name="Heading 2" xfId="12"/>
    <cellStyle builtinId="18" customBuiltin="1" name="Heading 3" xfId="13"/>
    <cellStyle builtinId="19" customBuiltin="1" name="Heading 4" xfId="14"/>
    <cellStyle builtinId="20" customBuiltin="1" name="Input" xfId="17"/>
    <cellStyle builtinId="24" customBuiltin="1" name="Linked Cell" xfId="20"/>
    <cellStyle name="Neutral 2" xfId="44"/>
    <cellStyle builtinId="0" name="Normal" xfId="0"/>
    <cellStyle builtinId="10" customBuiltin="1" name="Note" xfId="23"/>
    <cellStyle builtinId="21" customBuiltin="1" name="Output" xfId="18"/>
    <cellStyle builtinId="5" name="Percent" xfId="9"/>
    <cellStyle builtinId="15" customBuiltin="1" name="Title" xfId="10"/>
    <cellStyle builtinId="25" customBuiltin="1" name="Total" xfId="25"/>
    <cellStyle builtinId="11" customBuiltin="1" name="Warning Text" xfId="22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PivotStyle="PivotStyleLight16" defaultTableStyle="TableStyleMedium9">
    <tableStyle count="2" name="MySqlDefault" pivot="0" table="0">
      <tableStyleElement dxfId="1" type="wholeTable"/>
      <tableStyleElement dxfId="0" type="headerRow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worksheets/sheet10.xml" Type="http://schemas.openxmlformats.org/officeDocument/2006/relationships/worksheet"/>
    <Relationship Id="rId11" Target="worksheets/sheet11.xml" Type="http://schemas.openxmlformats.org/officeDocument/2006/relationships/worksheet"/>
    <Relationship Id="rId12" Target="worksheets/sheet12.xml" Type="http://schemas.openxmlformats.org/officeDocument/2006/relationships/worksheet"/>
    <Relationship Id="rId13" Target="worksheets/sheet13.xml" Type="http://schemas.openxmlformats.org/officeDocument/2006/relationships/worksheet"/>
    <Relationship Id="rId14" Target="theme/theme1.xml" Type="http://schemas.openxmlformats.org/officeDocument/2006/relationships/theme"/>
    <Relationship Id="rId15" Target="styles.xml" Type="http://schemas.openxmlformats.org/officeDocument/2006/relationships/styles"/>
    <Relationship Id="rId16" Target="sharedStrings.xml" Type="http://schemas.openxmlformats.org/officeDocument/2006/relationships/sharedStrings"/>
    <Relationship Id="rId17" Target="calcChain.xml" Type="http://schemas.openxmlformats.org/officeDocument/2006/relationships/calcChain"/>
    <Relationship Id="rId18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worksheets/sheet9.xml" Type="http://schemas.openxmlformats.org/officeDocument/2006/relationships/worksheet"/>
</Relationships>

</file>

<file path=xl/charts/_rels/chart3.xml.rels><?xml version="1.0" encoding="UTF-8" standalone="no"?>
<Relationships xmlns="http://schemas.openxmlformats.org/package/2006/relationships">
    <Relationship Id="rId1" Target="style1.xml" Type="http://schemas.microsoft.com/office/2011/relationships/chartStyle"/>
    <Relationship Id="rId2" Target="colors1.xml" Type="http://schemas.microsoft.com/office/2011/relationships/chartColorStyle"/>
</Relationships>

</file>

<file path=xl/charts/_rels/chart4.xml.rels><?xml version="1.0" encoding="UTF-8" standalone="no"?>
<Relationships xmlns="http://schemas.openxmlformats.org/package/2006/relationships">
    <Relationship Id="rId1" Target="style2.xml" Type="http://schemas.microsoft.com/office/2011/relationships/chartStyle"/>
    <Relationship Id="rId2" Target="colors2.xml" Type="http://schemas.microsoft.com/office/2011/relationships/chartColorStyle"/>
</Relationships>

</file>

<file path=xl/charts/_rels/chart5.xml.rels><?xml version="1.0" encoding="UTF-8" standalone="no"?>
<Relationships xmlns="http://schemas.openxmlformats.org/package/2006/relationships">
    <Relationship Id="rId1" Target="style3.xml" Type="http://schemas.microsoft.com/office/2011/relationships/chartStyle"/>
    <Relationship Id="rId2" Target="colors3.xml" Type="http://schemas.microsoft.com/office/2011/relationships/chartColorStyle"/>
</Relationships>

</file>

<file path=xl/charts/_rels/chart6.xml.rels><?xml version="1.0" encoding="UTF-8" standalone="no"?>
<Relationships xmlns="http://schemas.openxmlformats.org/package/2006/relationships">
    <Relationship Id="rId1" Target="style4.xml" Type="http://schemas.microsoft.com/office/2011/relationships/chartStyle"/>
    <Relationship Id="rId2" Target="colors4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TLFD!$F$11:$F$100</c:f>
              <c:numCache>
                <c:formatCode>0%</c:formatCode>
                <c:ptCount val="90"/>
                <c:pt idx="0">
                  <c:v>2.0878220543415045E-2</c:v>
                </c:pt>
                <c:pt idx="1">
                  <c:v>4.941978230744197E-2</c:v>
                </c:pt>
                <c:pt idx="2">
                  <c:v>5.4935785548355105E-2</c:v>
                </c:pt>
                <c:pt idx="3">
                  <c:v>6.3691742782428173E-2</c:v>
                </c:pt>
                <c:pt idx="4">
                  <c:v>5.6649475752135518E-2</c:v>
                </c:pt>
                <c:pt idx="5">
                  <c:v>4.3973544393252288E-2</c:v>
                </c:pt>
                <c:pt idx="6">
                  <c:v>5.3020203701975674E-2</c:v>
                </c:pt>
                <c:pt idx="7">
                  <c:v>4.9800466792234432E-2</c:v>
                </c:pt>
                <c:pt idx="8">
                  <c:v>4.8656228314382231E-2</c:v>
                </c:pt>
                <c:pt idx="9">
                  <c:v>4.285837468317661E-2</c:v>
                </c:pt>
                <c:pt idx="10">
                  <c:v>4.5896679744768062E-2</c:v>
                </c:pt>
                <c:pt idx="11">
                  <c:v>5.3268419073379897E-2</c:v>
                </c:pt>
                <c:pt idx="12">
                  <c:v>3.7360349747165851E-2</c:v>
                </c:pt>
                <c:pt idx="13">
                  <c:v>3.2513536056807783E-2</c:v>
                </c:pt>
                <c:pt idx="14">
                  <c:v>3.459120161476166E-2</c:v>
                </c:pt>
                <c:pt idx="15">
                  <c:v>3.3330587950370735E-2</c:v>
                </c:pt>
                <c:pt idx="16">
                  <c:v>2.3343900061409149E-2</c:v>
                </c:pt>
                <c:pt idx="17">
                  <c:v>2.0589867250675332E-2</c:v>
                </c:pt>
                <c:pt idx="18">
                  <c:v>3.0038090363171645E-2</c:v>
                </c:pt>
                <c:pt idx="19">
                  <c:v>1.8614127558143841E-2</c:v>
                </c:pt>
                <c:pt idx="20">
                  <c:v>1.6922321419059437E-2</c:v>
                </c:pt>
                <c:pt idx="21">
                  <c:v>1.6686254936782365E-2</c:v>
                </c:pt>
                <c:pt idx="22">
                  <c:v>1.2251061520938947E-2</c:v>
                </c:pt>
                <c:pt idx="23">
                  <c:v>1.5154365259501272E-2</c:v>
                </c:pt>
                <c:pt idx="24">
                  <c:v>1.4188706213611691E-2</c:v>
                </c:pt>
                <c:pt idx="25">
                  <c:v>1.0413743399891533E-2</c:v>
                </c:pt>
                <c:pt idx="26">
                  <c:v>1.1464787897689963E-2</c:v>
                </c:pt>
                <c:pt idx="27">
                  <c:v>8.3742517850225549E-3</c:v>
                </c:pt>
                <c:pt idx="28">
                  <c:v>1.0210599188281617E-2</c:v>
                </c:pt>
                <c:pt idx="29">
                  <c:v>9.0662252989619739E-3</c:v>
                </c:pt>
                <c:pt idx="30">
                  <c:v>7.6810646785541326E-3</c:v>
                </c:pt>
                <c:pt idx="31">
                  <c:v>8.9518807985966946E-3</c:v>
                </c:pt>
                <c:pt idx="32">
                  <c:v>4.3040270122152759E-3</c:v>
                </c:pt>
                <c:pt idx="33">
                  <c:v>5.0880374213865855E-3</c:v>
                </c:pt>
                <c:pt idx="34">
                  <c:v>3.9476382154692664E-3</c:v>
                </c:pt>
                <c:pt idx="35">
                  <c:v>2.726229350584987E-3</c:v>
                </c:pt>
                <c:pt idx="36">
                  <c:v>5.2802297759639025E-3</c:v>
                </c:pt>
                <c:pt idx="37">
                  <c:v>1.6099555379131959E-3</c:v>
                </c:pt>
                <c:pt idx="38">
                  <c:v>1.8904166359374262E-3</c:v>
                </c:pt>
                <c:pt idx="39">
                  <c:v>1.9171509982409268E-3</c:v>
                </c:pt>
                <c:pt idx="40">
                  <c:v>2.4163527759883115E-3</c:v>
                </c:pt>
                <c:pt idx="41">
                  <c:v>1.7779911185325506E-3</c:v>
                </c:pt>
                <c:pt idx="42">
                  <c:v>5.606246089190234E-4</c:v>
                </c:pt>
                <c:pt idx="43">
                  <c:v>2.9746091726670504E-3</c:v>
                </c:pt>
                <c:pt idx="44">
                  <c:v>9.2926262484298078E-4</c:v>
                </c:pt>
                <c:pt idx="45">
                  <c:v>1.4913953383388298E-3</c:v>
                </c:pt>
                <c:pt idx="46">
                  <c:v>1.728632659437688E-3</c:v>
                </c:pt>
                <c:pt idx="47">
                  <c:v>3.4711679264121499E-4</c:v>
                </c:pt>
                <c:pt idx="48">
                  <c:v>8.4184268160577658E-4</c:v>
                </c:pt>
                <c:pt idx="49">
                  <c:v>4.267388196964751E-4</c:v>
                </c:pt>
                <c:pt idx="50">
                  <c:v>5.8656749231854972E-4</c:v>
                </c:pt>
                <c:pt idx="51">
                  <c:v>1.4109147083476406E-3</c:v>
                </c:pt>
                <c:pt idx="52">
                  <c:v>1.407500243043681E-3</c:v>
                </c:pt>
                <c:pt idx="53">
                  <c:v>2.3012886165078587E-4</c:v>
                </c:pt>
                <c:pt idx="54">
                  <c:v>0</c:v>
                </c:pt>
                <c:pt idx="55">
                  <c:v>5.9661683242391659E-4</c:v>
                </c:pt>
                <c:pt idx="56">
                  <c:v>3.7597719683058519E-4</c:v>
                </c:pt>
                <c:pt idx="57">
                  <c:v>0</c:v>
                </c:pt>
                <c:pt idx="58">
                  <c:v>0</c:v>
                </c:pt>
                <c:pt idx="59">
                  <c:v>6.1324539289903747E-5</c:v>
                </c:pt>
                <c:pt idx="60">
                  <c:v>1.4405335361456067E-4</c:v>
                </c:pt>
                <c:pt idx="61">
                  <c:v>0</c:v>
                </c:pt>
                <c:pt idx="62">
                  <c:v>0</c:v>
                </c:pt>
                <c:pt idx="63">
                  <c:v>1.3281859575554615E-4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8-4FCD-AB4D-9E8925E7D495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TLFD!$L$11:$L$100</c:f>
              <c:numCache>
                <c:formatCode>0%</c:formatCode>
                <c:ptCount val="90"/>
                <c:pt idx="0">
                  <c:v>1.9712584201426544E-2</c:v>
                </c:pt>
                <c:pt idx="1">
                  <c:v>4.2106910249180451E-2</c:v>
                </c:pt>
                <c:pt idx="2">
                  <c:v>4.3439260328811603E-2</c:v>
                </c:pt>
                <c:pt idx="3">
                  <c:v>3.8638152309303522E-2</c:v>
                </c:pt>
                <c:pt idx="4">
                  <c:v>3.9683892197386113E-2</c:v>
                </c:pt>
                <c:pt idx="5">
                  <c:v>4.1157223506373589E-2</c:v>
                </c:pt>
                <c:pt idx="6">
                  <c:v>3.9482490441162803E-2</c:v>
                </c:pt>
                <c:pt idx="7">
                  <c:v>3.8917016279458878E-2</c:v>
                </c:pt>
                <c:pt idx="8">
                  <c:v>3.8339148163525835E-2</c:v>
                </c:pt>
                <c:pt idx="9">
                  <c:v>3.9979797854606522E-2</c:v>
                </c:pt>
                <c:pt idx="10">
                  <c:v>4.2254088455651331E-2</c:v>
                </c:pt>
                <c:pt idx="11">
                  <c:v>4.1758330286486255E-2</c:v>
                </c:pt>
                <c:pt idx="12">
                  <c:v>4.1643686209866825E-2</c:v>
                </c:pt>
                <c:pt idx="13">
                  <c:v>3.8731106966021972E-2</c:v>
                </c:pt>
                <c:pt idx="14">
                  <c:v>3.5353754438584857E-2</c:v>
                </c:pt>
                <c:pt idx="15">
                  <c:v>3.2687505035043904E-2</c:v>
                </c:pt>
                <c:pt idx="16">
                  <c:v>3.0022804875781593E-2</c:v>
                </c:pt>
                <c:pt idx="17">
                  <c:v>2.8120332901610593E-2</c:v>
                </c:pt>
                <c:pt idx="18">
                  <c:v>2.6839107883174586E-2</c:v>
                </c:pt>
                <c:pt idx="19">
                  <c:v>2.4468764136854042E-2</c:v>
                </c:pt>
                <c:pt idx="20">
                  <c:v>2.3921880906493814E-2</c:v>
                </c:pt>
                <c:pt idx="21">
                  <c:v>2.1729700252216967E-2</c:v>
                </c:pt>
                <c:pt idx="22">
                  <c:v>2.0584808730301361E-2</c:v>
                </c:pt>
                <c:pt idx="23">
                  <c:v>1.8264040800897323E-2</c:v>
                </c:pt>
                <c:pt idx="24">
                  <c:v>1.6310443765531174E-2</c:v>
                </c:pt>
                <c:pt idx="25">
                  <c:v>1.4437407432654351E-2</c:v>
                </c:pt>
                <c:pt idx="26">
                  <c:v>1.30787202002863E-2</c:v>
                </c:pt>
                <c:pt idx="27">
                  <c:v>1.2669719710725108E-2</c:v>
                </c:pt>
                <c:pt idx="28">
                  <c:v>1.2017487869417299E-2</c:v>
                </c:pt>
                <c:pt idx="29">
                  <c:v>1.1275399859948318E-2</c:v>
                </c:pt>
                <c:pt idx="30">
                  <c:v>1.0771895469390032E-2</c:v>
                </c:pt>
                <c:pt idx="31">
                  <c:v>1.0672743835557016E-2</c:v>
                </c:pt>
                <c:pt idx="32">
                  <c:v>1.032881160569874E-2</c:v>
                </c:pt>
                <c:pt idx="33">
                  <c:v>9.8748830320569622E-3</c:v>
                </c:pt>
                <c:pt idx="34">
                  <c:v>8.9763213504452533E-3</c:v>
                </c:pt>
                <c:pt idx="35">
                  <c:v>8.2109946767966579E-3</c:v>
                </c:pt>
                <c:pt idx="36">
                  <c:v>7.2473647354820321E-3</c:v>
                </c:pt>
                <c:pt idx="37">
                  <c:v>6.1319088548605991E-3</c:v>
                </c:pt>
                <c:pt idx="38">
                  <c:v>5.2209532190197619E-3</c:v>
                </c:pt>
                <c:pt idx="39">
                  <c:v>4.5454827135323391E-3</c:v>
                </c:pt>
                <c:pt idx="40">
                  <c:v>3.9970502388934678E-3</c:v>
                </c:pt>
                <c:pt idx="41">
                  <c:v>3.1279241985759346E-3</c:v>
                </c:pt>
                <c:pt idx="42">
                  <c:v>2.8831436025506759E-3</c:v>
                </c:pt>
                <c:pt idx="43">
                  <c:v>2.7623025488166873E-3</c:v>
                </c:pt>
                <c:pt idx="44">
                  <c:v>2.2975292652244236E-3</c:v>
                </c:pt>
                <c:pt idx="45">
                  <c:v>1.7878278975515744E-3</c:v>
                </c:pt>
                <c:pt idx="46">
                  <c:v>1.6112140497865142E-3</c:v>
                </c:pt>
                <c:pt idx="47">
                  <c:v>1.4841760189379621E-3</c:v>
                </c:pt>
                <c:pt idx="48">
                  <c:v>1.3091114154515427E-3</c:v>
                </c:pt>
                <c:pt idx="49">
                  <c:v>1.1324975676864826E-3</c:v>
                </c:pt>
                <c:pt idx="50">
                  <c:v>1.0317966895748254E-3</c:v>
                </c:pt>
                <c:pt idx="51">
                  <c:v>9.9616407116608508E-4</c:v>
                </c:pt>
                <c:pt idx="52">
                  <c:v>8.4588737613791988E-4</c:v>
                </c:pt>
                <c:pt idx="53">
                  <c:v>7.0025841394567726E-4</c:v>
                </c:pt>
                <c:pt idx="54">
                  <c:v>6.1814846717771069E-4</c:v>
                </c:pt>
                <c:pt idx="55">
                  <c:v>5.7167113881848432E-4</c:v>
                </c:pt>
                <c:pt idx="56">
                  <c:v>4.9885665772236301E-4</c:v>
                </c:pt>
                <c:pt idx="57">
                  <c:v>3.96606535332065E-4</c:v>
                </c:pt>
                <c:pt idx="58">
                  <c:v>4.0745124528255119E-4</c:v>
                </c:pt>
                <c:pt idx="59">
                  <c:v>3.3153827562914812E-4</c:v>
                </c:pt>
                <c:pt idx="60">
                  <c:v>2.7886397015535819E-4</c:v>
                </c:pt>
                <c:pt idx="61">
                  <c:v>2.2618966468156834E-4</c:v>
                </c:pt>
                <c:pt idx="62">
                  <c:v>2.1534495473108219E-4</c:v>
                </c:pt>
                <c:pt idx="63">
                  <c:v>1.5957216070001053E-4</c:v>
                </c:pt>
                <c:pt idx="64">
                  <c:v>1.5027669502816525E-4</c:v>
                </c:pt>
                <c:pt idx="65">
                  <c:v>1.7196611492913756E-4</c:v>
                </c:pt>
                <c:pt idx="66">
                  <c:v>8.3659191046607468E-5</c:v>
                </c:pt>
                <c:pt idx="67">
                  <c:v>6.8166748260198672E-5</c:v>
                </c:pt>
                <c:pt idx="68">
                  <c:v>4.9575816916508125E-5</c:v>
                </c:pt>
                <c:pt idx="69">
                  <c:v>3.5632618408740219E-5</c:v>
                </c:pt>
                <c:pt idx="70">
                  <c:v>2.6337152736894942E-5</c:v>
                </c:pt>
                <c:pt idx="71">
                  <c:v>2.1689419900972305E-5</c:v>
                </c:pt>
                <c:pt idx="72">
                  <c:v>2.0140175622331426E-5</c:v>
                </c:pt>
                <c:pt idx="73">
                  <c:v>1.0844709950486152E-5</c:v>
                </c:pt>
                <c:pt idx="74">
                  <c:v>1.0844709950486152E-5</c:v>
                </c:pt>
                <c:pt idx="75">
                  <c:v>9.2954656718452735E-6</c:v>
                </c:pt>
                <c:pt idx="76">
                  <c:v>9.2954656718452735E-6</c:v>
                </c:pt>
                <c:pt idx="77">
                  <c:v>6.1969771145635157E-6</c:v>
                </c:pt>
                <c:pt idx="78">
                  <c:v>4.6477328359226368E-6</c:v>
                </c:pt>
                <c:pt idx="79">
                  <c:v>3.0984885572817578E-6</c:v>
                </c:pt>
                <c:pt idx="80">
                  <c:v>7.7462213932043946E-6</c:v>
                </c:pt>
                <c:pt idx="81">
                  <c:v>1.5492442786408789E-6</c:v>
                </c:pt>
                <c:pt idx="82">
                  <c:v>1.5492442786408789E-6</c:v>
                </c:pt>
                <c:pt idx="83">
                  <c:v>1.5492442786408789E-6</c:v>
                </c:pt>
                <c:pt idx="84">
                  <c:v>3.0984885572817578E-6</c:v>
                </c:pt>
                <c:pt idx="85">
                  <c:v>4.6477328359226368E-6</c:v>
                </c:pt>
                <c:pt idx="86">
                  <c:v>4.6477328359226368E-6</c:v>
                </c:pt>
                <c:pt idx="87">
                  <c:v>1.5492442786408789E-6</c:v>
                </c:pt>
                <c:pt idx="88">
                  <c:v>4.6477328359226368E-6</c:v>
                </c:pt>
                <c:pt idx="89">
                  <c:v>9.2954656718452735E-6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B8-4FCD-AB4D-9E8925E7D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679872"/>
        <c:axId val="143800512"/>
      </c:lineChart>
      <c:catAx>
        <c:axId val="177679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</a:t>
                </a:r>
                <a:r>
                  <a:rPr baseline="0" lang="en-US"/>
                  <a:t> Length (miles)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143800512"/>
        <c:crosses val="autoZero"/>
        <c:auto val="1"/>
        <c:lblAlgn val="ctr"/>
        <c:lblOffset val="100"/>
        <c:tickLblSkip val="10"/>
        <c:noMultiLvlLbl val="0"/>
      </c:catAx>
      <c:valAx>
        <c:axId val="1438005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7767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488" footer="0.30000000000000032" header="0.30000000000000032" l="0.70000000000000062" r="0.70000000000000062" t="0.7500000000000048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TDFD!$F$11:$F$100</c:f>
              <c:numCache>
                <c:formatCode>0%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7.3615735819985311E-4</c:v>
                </c:pt>
                <c:pt idx="3">
                  <c:v>8.2698045096672793E-3</c:v>
                </c:pt>
                <c:pt idx="4">
                  <c:v>1.4476015851099219E-2</c:v>
                </c:pt>
                <c:pt idx="5">
                  <c:v>2.1778917777800395E-2</c:v>
                </c:pt>
                <c:pt idx="6">
                  <c:v>2.4866620625521568E-2</c:v>
                </c:pt>
                <c:pt idx="7">
                  <c:v>2.6359353593088764E-2</c:v>
                </c:pt>
                <c:pt idx="8">
                  <c:v>3.0517686069094389E-2</c:v>
                </c:pt>
                <c:pt idx="9">
                  <c:v>2.4984940446450762E-2</c:v>
                </c:pt>
                <c:pt idx="10">
                  <c:v>3.1131632042369555E-2</c:v>
                </c:pt>
                <c:pt idx="11">
                  <c:v>3.2651740766866021E-2</c:v>
                </c:pt>
                <c:pt idx="12">
                  <c:v>3.2038614795724632E-2</c:v>
                </c:pt>
                <c:pt idx="13">
                  <c:v>2.7361521367913335E-2</c:v>
                </c:pt>
                <c:pt idx="14">
                  <c:v>2.2757822374257896E-2</c:v>
                </c:pt>
                <c:pt idx="15">
                  <c:v>2.7123603796106895E-2</c:v>
                </c:pt>
                <c:pt idx="16">
                  <c:v>3.2956178503502527E-2</c:v>
                </c:pt>
                <c:pt idx="17">
                  <c:v>3.1864796902825003E-2</c:v>
                </c:pt>
                <c:pt idx="18">
                  <c:v>2.9082511969416264E-2</c:v>
                </c:pt>
                <c:pt idx="19">
                  <c:v>2.6560091002692524E-2</c:v>
                </c:pt>
                <c:pt idx="20">
                  <c:v>2.9183291242183194E-2</c:v>
                </c:pt>
                <c:pt idx="21">
                  <c:v>2.1327105139141146E-2</c:v>
                </c:pt>
                <c:pt idx="22">
                  <c:v>2.4829288618930693E-2</c:v>
                </c:pt>
                <c:pt idx="23">
                  <c:v>1.8929945505383239E-2</c:v>
                </c:pt>
                <c:pt idx="24">
                  <c:v>2.2447953871934514E-2</c:v>
                </c:pt>
                <c:pt idx="25">
                  <c:v>2.4239172337914974E-2</c:v>
                </c:pt>
                <c:pt idx="26">
                  <c:v>2.1628543628837506E-2</c:v>
                </c:pt>
                <c:pt idx="27">
                  <c:v>1.8956449072245592E-2</c:v>
                </c:pt>
                <c:pt idx="28">
                  <c:v>1.5378896724716361E-2</c:v>
                </c:pt>
                <c:pt idx="29">
                  <c:v>2.0966999992676077E-2</c:v>
                </c:pt>
                <c:pt idx="30">
                  <c:v>2.0501279176510318E-2</c:v>
                </c:pt>
                <c:pt idx="31">
                  <c:v>1.9080277050546157E-2</c:v>
                </c:pt>
                <c:pt idx="32">
                  <c:v>1.0570968473916061E-2</c:v>
                </c:pt>
                <c:pt idx="33">
                  <c:v>2.0611139497738708E-2</c:v>
                </c:pt>
                <c:pt idx="34">
                  <c:v>1.3389071492095686E-2</c:v>
                </c:pt>
                <c:pt idx="35">
                  <c:v>8.7712637744499621E-3</c:v>
                </c:pt>
                <c:pt idx="36">
                  <c:v>1.1625724236426794E-2</c:v>
                </c:pt>
                <c:pt idx="37">
                  <c:v>1.2476667457388103E-2</c:v>
                </c:pt>
                <c:pt idx="38">
                  <c:v>1.1666234496867893E-2</c:v>
                </c:pt>
                <c:pt idx="39">
                  <c:v>1.5866151629591235E-2</c:v>
                </c:pt>
                <c:pt idx="40">
                  <c:v>1.1222083977241972E-2</c:v>
                </c:pt>
                <c:pt idx="41">
                  <c:v>1.3821702713486867E-2</c:v>
                </c:pt>
                <c:pt idx="42">
                  <c:v>1.1906749364082109E-2</c:v>
                </c:pt>
                <c:pt idx="43">
                  <c:v>1.1852193865839427E-2</c:v>
                </c:pt>
                <c:pt idx="44">
                  <c:v>9.6796800272878729E-3</c:v>
                </c:pt>
                <c:pt idx="45">
                  <c:v>1.0210622393541738E-2</c:v>
                </c:pt>
                <c:pt idx="46">
                  <c:v>9.259877339776644E-3</c:v>
                </c:pt>
                <c:pt idx="47">
                  <c:v>7.9622175970315897E-3</c:v>
                </c:pt>
                <c:pt idx="48">
                  <c:v>5.4491327707233512E-3</c:v>
                </c:pt>
                <c:pt idx="49">
                  <c:v>6.291263668541428E-3</c:v>
                </c:pt>
                <c:pt idx="50">
                  <c:v>8.5185601340344343E-3</c:v>
                </c:pt>
                <c:pt idx="51">
                  <c:v>5.169135361445731E-3</c:v>
                </c:pt>
                <c:pt idx="52">
                  <c:v>4.3251259034660259E-3</c:v>
                </c:pt>
                <c:pt idx="53">
                  <c:v>3.3285380671875214E-3</c:v>
                </c:pt>
                <c:pt idx="54">
                  <c:v>3.6572043378055499E-3</c:v>
                </c:pt>
                <c:pt idx="55">
                  <c:v>4.2228543627662613E-3</c:v>
                </c:pt>
                <c:pt idx="56">
                  <c:v>4.177608478998473E-3</c:v>
                </c:pt>
                <c:pt idx="57">
                  <c:v>3.9838554217354319E-3</c:v>
                </c:pt>
                <c:pt idx="58">
                  <c:v>2.981969031192782E-3</c:v>
                </c:pt>
                <c:pt idx="59">
                  <c:v>3.4255840560628204E-3</c:v>
                </c:pt>
                <c:pt idx="60">
                  <c:v>1.7524306956120087E-3</c:v>
                </c:pt>
                <c:pt idx="61">
                  <c:v>3.3005946330305408E-3</c:v>
                </c:pt>
                <c:pt idx="62">
                  <c:v>4.9078810121212088E-3</c:v>
                </c:pt>
                <c:pt idx="63">
                  <c:v>2.6265850104877247E-3</c:v>
                </c:pt>
                <c:pt idx="64">
                  <c:v>2.2021303542200553E-3</c:v>
                </c:pt>
                <c:pt idx="65">
                  <c:v>2.2654945463739772E-3</c:v>
                </c:pt>
                <c:pt idx="66">
                  <c:v>1.6730232842300831E-3</c:v>
                </c:pt>
                <c:pt idx="67">
                  <c:v>1.3401677906364139E-3</c:v>
                </c:pt>
                <c:pt idx="68">
                  <c:v>1.962617239603255E-3</c:v>
                </c:pt>
                <c:pt idx="69">
                  <c:v>1.5921709367536126E-3</c:v>
                </c:pt>
                <c:pt idx="70">
                  <c:v>2.2422761754413425E-3</c:v>
                </c:pt>
                <c:pt idx="71">
                  <c:v>1.6278404847318659E-3</c:v>
                </c:pt>
                <c:pt idx="72">
                  <c:v>2.1151137566880287E-3</c:v>
                </c:pt>
                <c:pt idx="73">
                  <c:v>1.2315566918760406E-3</c:v>
                </c:pt>
                <c:pt idx="74">
                  <c:v>5.8603668252180487E-4</c:v>
                </c:pt>
                <c:pt idx="75">
                  <c:v>2.8335613914726499E-3</c:v>
                </c:pt>
                <c:pt idx="76">
                  <c:v>2.713088873646366E-3</c:v>
                </c:pt>
                <c:pt idx="77">
                  <c:v>1.3496664250349671E-3</c:v>
                </c:pt>
                <c:pt idx="78">
                  <c:v>1.8212638011097422E-3</c:v>
                </c:pt>
                <c:pt idx="79">
                  <c:v>1.1919229135315893E-3</c:v>
                </c:pt>
                <c:pt idx="80">
                  <c:v>8.0594980210019185E-4</c:v>
                </c:pt>
                <c:pt idx="81">
                  <c:v>7.2423899128093991E-4</c:v>
                </c:pt>
                <c:pt idx="82">
                  <c:v>7.6658374114111499E-4</c:v>
                </c:pt>
                <c:pt idx="83">
                  <c:v>1.6634163180893999E-3</c:v>
                </c:pt>
                <c:pt idx="84">
                  <c:v>1.5390646540551405E-4</c:v>
                </c:pt>
                <c:pt idx="85">
                  <c:v>2.8455645480303382E-4</c:v>
                </c:pt>
                <c:pt idx="86">
                  <c:v>1.4987732338669034E-3</c:v>
                </c:pt>
                <c:pt idx="87">
                  <c:v>8.927552145591458E-4</c:v>
                </c:pt>
                <c:pt idx="88">
                  <c:v>5.0193704571762905E-4</c:v>
                </c:pt>
                <c:pt idx="89">
                  <c:v>1.9620679895728781E-3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4F-4399-8968-4B25EFE6F2E1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TDFD!$L$11:$L$100</c:f>
              <c:numCache>
                <c:formatCode>0%</c:formatCode>
                <c:ptCount val="90"/>
                <c:pt idx="0">
                  <c:v>6.3209166568547863E-4</c:v>
                </c:pt>
                <c:pt idx="1">
                  <c:v>1.549244278640879E-3</c:v>
                </c:pt>
                <c:pt idx="2">
                  <c:v>2.4369612503021025E-3</c:v>
                </c:pt>
                <c:pt idx="3">
                  <c:v>5.0753242568275193E-3</c:v>
                </c:pt>
                <c:pt idx="4">
                  <c:v>9.4813749852821795E-3</c:v>
                </c:pt>
                <c:pt idx="5">
                  <c:v>1.4521066623700958E-2</c:v>
                </c:pt>
                <c:pt idx="6">
                  <c:v>1.8115313350147797E-2</c:v>
                </c:pt>
                <c:pt idx="7">
                  <c:v>2.0691706585527578E-2</c:v>
                </c:pt>
                <c:pt idx="8">
                  <c:v>2.2324610055215067E-2</c:v>
                </c:pt>
                <c:pt idx="9">
                  <c:v>2.4177506212469557E-2</c:v>
                </c:pt>
                <c:pt idx="10">
                  <c:v>2.6236451858783285E-2</c:v>
                </c:pt>
                <c:pt idx="11">
                  <c:v>2.7145858250345482E-2</c:v>
                </c:pt>
                <c:pt idx="12">
                  <c:v>2.7957662252353303E-2</c:v>
                </c:pt>
                <c:pt idx="13">
                  <c:v>2.9373671523031067E-2</c:v>
                </c:pt>
                <c:pt idx="14">
                  <c:v>3.0146744418072864E-2</c:v>
                </c:pt>
                <c:pt idx="15">
                  <c:v>3.224132268279533E-2</c:v>
                </c:pt>
                <c:pt idx="16">
                  <c:v>3.3507055258444933E-2</c:v>
                </c:pt>
                <c:pt idx="17">
                  <c:v>3.3691415327603197E-2</c:v>
                </c:pt>
                <c:pt idx="18">
                  <c:v>3.3779722251485726E-2</c:v>
                </c:pt>
                <c:pt idx="19">
                  <c:v>3.4024502847510983E-2</c:v>
                </c:pt>
                <c:pt idx="20">
                  <c:v>3.4177878031096433E-2</c:v>
                </c:pt>
                <c:pt idx="21">
                  <c:v>3.4769689345537244E-2</c:v>
                </c:pt>
                <c:pt idx="22">
                  <c:v>3.4878136445042111E-2</c:v>
                </c:pt>
                <c:pt idx="23">
                  <c:v>3.3432691533070172E-2</c:v>
                </c:pt>
                <c:pt idx="24">
                  <c:v>3.1634018925568108E-2</c:v>
                </c:pt>
                <c:pt idx="25">
                  <c:v>3.0168433837973838E-2</c:v>
                </c:pt>
                <c:pt idx="26">
                  <c:v>2.7640067175231924E-2</c:v>
                </c:pt>
                <c:pt idx="27">
                  <c:v>2.6574187111526999E-2</c:v>
                </c:pt>
                <c:pt idx="28">
                  <c:v>2.5156628596570592E-2</c:v>
                </c:pt>
                <c:pt idx="29">
                  <c:v>2.2972194163686954E-2</c:v>
                </c:pt>
                <c:pt idx="30">
                  <c:v>2.1649139549727643E-2</c:v>
                </c:pt>
                <c:pt idx="31">
                  <c:v>2.0662270944233403E-2</c:v>
                </c:pt>
                <c:pt idx="32">
                  <c:v>1.8992185611858534E-2</c:v>
                </c:pt>
                <c:pt idx="33">
                  <c:v>1.745068755461086E-2</c:v>
                </c:pt>
                <c:pt idx="34">
                  <c:v>1.6840285308826353E-2</c:v>
                </c:pt>
                <c:pt idx="35">
                  <c:v>1.5690746054074823E-2</c:v>
                </c:pt>
                <c:pt idx="36">
                  <c:v>1.4671343318729125E-2</c:v>
                </c:pt>
                <c:pt idx="37">
                  <c:v>1.3404061498800884E-2</c:v>
                </c:pt>
                <c:pt idx="38">
                  <c:v>1.2665071977889186E-2</c:v>
                </c:pt>
                <c:pt idx="39">
                  <c:v>1.1812987624636702E-2</c:v>
                </c:pt>
                <c:pt idx="40">
                  <c:v>1.1153009561935687E-2</c:v>
                </c:pt>
                <c:pt idx="41">
                  <c:v>1.0697531744015269E-2</c:v>
                </c:pt>
                <c:pt idx="42">
                  <c:v>1.0190928864899702E-2</c:v>
                </c:pt>
                <c:pt idx="43">
                  <c:v>9.0646282743277826E-3</c:v>
                </c:pt>
                <c:pt idx="44">
                  <c:v>7.7136872633529361E-3</c:v>
                </c:pt>
                <c:pt idx="45">
                  <c:v>6.9685007653266734E-3</c:v>
                </c:pt>
                <c:pt idx="46">
                  <c:v>6.3565492752635268E-3</c:v>
                </c:pt>
                <c:pt idx="47">
                  <c:v>5.7275560981353297E-3</c:v>
                </c:pt>
                <c:pt idx="48">
                  <c:v>5.007157508567321E-3</c:v>
                </c:pt>
                <c:pt idx="49">
                  <c:v>4.4308386369129142E-3</c:v>
                </c:pt>
                <c:pt idx="50">
                  <c:v>3.7863530169983083E-3</c:v>
                </c:pt>
                <c:pt idx="51">
                  <c:v>3.3215797334060445E-3</c:v>
                </c:pt>
                <c:pt idx="52">
                  <c:v>2.7793442358817369E-3</c:v>
                </c:pt>
                <c:pt idx="53">
                  <c:v>2.3610482806486997E-3</c:v>
                </c:pt>
                <c:pt idx="54">
                  <c:v>2.0511994249205238E-3</c:v>
                </c:pt>
                <c:pt idx="55">
                  <c:v>1.7940248746661379E-3</c:v>
                </c:pt>
                <c:pt idx="56">
                  <c:v>1.5105131716748571E-3</c:v>
                </c:pt>
                <c:pt idx="57">
                  <c:v>1.4733313089874758E-3</c:v>
                </c:pt>
                <c:pt idx="58">
                  <c:v>1.3137591482874653E-3</c:v>
                </c:pt>
                <c:pt idx="59">
                  <c:v>1.177425651767068E-3</c:v>
                </c:pt>
                <c:pt idx="60">
                  <c:v>9.8996709405152158E-4</c:v>
                </c:pt>
                <c:pt idx="61">
                  <c:v>9.3419430002045006E-4</c:v>
                </c:pt>
                <c:pt idx="62">
                  <c:v>9.2025110151268213E-4</c:v>
                </c:pt>
                <c:pt idx="63">
                  <c:v>7.9011458210684826E-4</c:v>
                </c:pt>
                <c:pt idx="64">
                  <c:v>6.5687957414373264E-4</c:v>
                </c:pt>
                <c:pt idx="65">
                  <c:v>6.4913335275052831E-4</c:v>
                </c:pt>
                <c:pt idx="66">
                  <c:v>4.8801194777187688E-4</c:v>
                </c:pt>
                <c:pt idx="67">
                  <c:v>5.1899683334469444E-4</c:v>
                </c:pt>
                <c:pt idx="68">
                  <c:v>4.4928084080585488E-4</c:v>
                </c:pt>
                <c:pt idx="69">
                  <c:v>3.3773525274371162E-4</c:v>
                </c:pt>
                <c:pt idx="70">
                  <c:v>3.0829961144953494E-4</c:v>
                </c:pt>
                <c:pt idx="71">
                  <c:v>2.94356412941767E-4</c:v>
                </c:pt>
                <c:pt idx="72">
                  <c:v>2.1999268756700481E-4</c:v>
                </c:pt>
                <c:pt idx="73">
                  <c:v>1.8436006915826459E-4</c:v>
                </c:pt>
                <c:pt idx="74">
                  <c:v>2.0140175622331428E-4</c:v>
                </c:pt>
                <c:pt idx="75">
                  <c:v>1.4872745074952438E-4</c:v>
                </c:pt>
                <c:pt idx="76">
                  <c:v>1.3323500796311559E-4</c:v>
                </c:pt>
                <c:pt idx="77">
                  <c:v>1.0379936666893889E-4</c:v>
                </c:pt>
                <c:pt idx="78">
                  <c:v>8.8306923882530095E-5</c:v>
                </c:pt>
                <c:pt idx="79">
                  <c:v>7.7462213932043953E-5</c:v>
                </c:pt>
                <c:pt idx="80">
                  <c:v>6.3519015424276032E-5</c:v>
                </c:pt>
                <c:pt idx="81">
                  <c:v>4.802657263786725E-5</c:v>
                </c:pt>
                <c:pt idx="82">
                  <c:v>3.7181862687381094E-5</c:v>
                </c:pt>
                <c:pt idx="83">
                  <c:v>1.8590931343690547E-5</c:v>
                </c:pt>
                <c:pt idx="84">
                  <c:v>2.1689419900972305E-5</c:v>
                </c:pt>
                <c:pt idx="85">
                  <c:v>7.7462213932043946E-6</c:v>
                </c:pt>
                <c:pt idx="86">
                  <c:v>1.7041687065049668E-5</c:v>
                </c:pt>
                <c:pt idx="87">
                  <c:v>1.394319850776791E-5</c:v>
                </c:pt>
                <c:pt idx="88">
                  <c:v>6.1969771145635157E-6</c:v>
                </c:pt>
                <c:pt idx="89">
                  <c:v>4.0280351244662852E-5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4F-4399-8968-4B25EFE6F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627968"/>
        <c:axId val="192520192"/>
      </c:lineChart>
      <c:catAx>
        <c:axId val="156627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(mins)</a:t>
                </a:r>
              </a:p>
            </c:rich>
          </c:tx>
          <c:overlay val="0"/>
        </c:title>
        <c:majorTickMark val="out"/>
        <c:minorTickMark val="none"/>
        <c:tickLblPos val="nextTo"/>
        <c:crossAx val="192520192"/>
        <c:crosses val="autoZero"/>
        <c:auto val="1"/>
        <c:lblAlgn val="ctr"/>
        <c:lblOffset val="100"/>
        <c:tickLblSkip val="10"/>
        <c:noMultiLvlLbl val="0"/>
      </c:catAx>
      <c:valAx>
        <c:axId val="1925201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baseline="0" lang="en-US"/>
                  <a:t> of Persons</a:t>
                </a:r>
                <a:endParaRPr lang="en-US"/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66279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511" footer="0.30000000000000032" header="0.30000000000000032" l="0.70000000000000062" r="0.70000000000000062" t="0.750000000000005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Workers</a:t>
            </a:r>
            <a:r>
              <a:rPr baseline="0" lang="en-US"/>
              <a:t> by District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County_Flow!$CH$21</c:f>
              <c:strCache>
                <c:ptCount val="1"/>
                <c:pt idx="0">
                  <c:v>2017 LEHD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County_Flow!$CH$22:$CH$41</c:f>
              <c:numCache>
                <c:formatCode>0%</c:formatCode>
                <c:ptCount val="20"/>
                <c:pt idx="0">
                  <c:v>7.4305365446679913E-2</c:v>
                </c:pt>
                <c:pt idx="1">
                  <c:v>5.0297279821438813E-2</c:v>
                </c:pt>
                <c:pt idx="2">
                  <c:v>2.7606757912193483E-2</c:v>
                </c:pt>
                <c:pt idx="3">
                  <c:v>2.4152865840642513E-2</c:v>
                </c:pt>
                <c:pt idx="4">
                  <c:v>2.2418362973926985E-2</c:v>
                </c:pt>
                <c:pt idx="5">
                  <c:v>0.14533183380757866</c:v>
                </c:pt>
                <c:pt idx="6">
                  <c:v>9.5539785875765365E-2</c:v>
                </c:pt>
                <c:pt idx="7">
                  <c:v>5.2513277510644364E-3</c:v>
                </c:pt>
                <c:pt idx="8">
                  <c:v>5.8742447080578672E-2</c:v>
                </c:pt>
                <c:pt idx="9">
                  <c:v>1.9077473507594842E-2</c:v>
                </c:pt>
                <c:pt idx="10">
                  <c:v>5.372844787240872E-2</c:v>
                </c:pt>
                <c:pt idx="11">
                  <c:v>0.21234032767729266</c:v>
                </c:pt>
                <c:pt idx="12">
                  <c:v>7.753077938829997E-2</c:v>
                </c:pt>
                <c:pt idx="13">
                  <c:v>1.5821312333546333E-2</c:v>
                </c:pt>
                <c:pt idx="14">
                  <c:v>3.2528009774269027E-2</c:v>
                </c:pt>
                <c:pt idx="15">
                  <c:v>4.7355318940061272E-3</c:v>
                </c:pt>
                <c:pt idx="16">
                  <c:v>1.2678655399894398E-2</c:v>
                </c:pt>
                <c:pt idx="17">
                  <c:v>1.8068427497197073E-2</c:v>
                </c:pt>
                <c:pt idx="18">
                  <c:v>3.0476621114399454E-2</c:v>
                </c:pt>
                <c:pt idx="19">
                  <c:v>1.9368387031222487E-2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2B-4BAE-807C-AE39524602D7}"/>
            </c:ext>
          </c:extLst>
        </c:ser>
        <c:ser>
          <c:idx val="3"/>
          <c:order val="3"/>
          <c:tx>
            <c:strRef>
              <c:f>County_Flow!$CI$21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County_Flow!$CI$22:$CI$41</c:f>
              <c:numCache>
                <c:formatCode>0%</c:formatCode>
                <c:ptCount val="20"/>
                <c:pt idx="0">
                  <c:v>0.16223221312643693</c:v>
                </c:pt>
                <c:pt idx="1">
                  <c:v>5.7165564637569791E-2</c:v>
                </c:pt>
                <c:pt idx="2">
                  <c:v>3.1573598398701115E-2</c:v>
                </c:pt>
                <c:pt idx="3">
                  <c:v>1.9216826032261464E-2</c:v>
                </c:pt>
                <c:pt idx="4">
                  <c:v>4.471583761441169E-2</c:v>
                </c:pt>
                <c:pt idx="5">
                  <c:v>0.1509180821595226</c:v>
                </c:pt>
                <c:pt idx="6">
                  <c:v>6.6803413294994701E-2</c:v>
                </c:pt>
                <c:pt idx="7">
                  <c:v>2.0945782647224685E-3</c:v>
                </c:pt>
                <c:pt idx="8">
                  <c:v>3.9121516524239473E-2</c:v>
                </c:pt>
                <c:pt idx="9">
                  <c:v>1.0474440567890982E-2</c:v>
                </c:pt>
                <c:pt idx="10">
                  <c:v>3.4312662283338187E-2</c:v>
                </c:pt>
                <c:pt idx="11">
                  <c:v>0.14131741536478507</c:v>
                </c:pt>
                <c:pt idx="12">
                  <c:v>0.13675644020846631</c:v>
                </c:pt>
                <c:pt idx="13">
                  <c:v>1.0994986645514317E-2</c:v>
                </c:pt>
                <c:pt idx="14">
                  <c:v>3.1781197132038988E-2</c:v>
                </c:pt>
                <c:pt idx="15">
                  <c:v>1.9690894781525573E-3</c:v>
                </c:pt>
                <c:pt idx="16">
                  <c:v>7.1931411857296011E-3</c:v>
                </c:pt>
                <c:pt idx="17">
                  <c:v>1.5444416213770922E-2</c:v>
                </c:pt>
                <c:pt idx="18">
                  <c:v>1.979469414819451E-2</c:v>
                </c:pt>
                <c:pt idx="19">
                  <c:v>1.6119886719258347E-2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2B-4BAE-807C-AE3952460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9070480"/>
        <c:axId val="80905966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County_Flow!$CF$21</c15:sqref>
                        </c15:formulaRef>
                      </c:ext>
                    </c:extLst>
                    <c:strCache>
                      <c:ptCount val="1"/>
                      <c:pt idx="0">
                        <c:v>SURVEY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County_Flow!$CF$22:$CF$41</c15:sqref>
                        </c15:formulaRef>
                      </c:ext>
                    </c:extLst>
                    <c:numCache>
                      <c:formatCode>0%</c:formatCode>
                      <c:ptCount val="20"/>
                      <c:pt idx="0">
                        <c:v>0.10651245735504583</c:v>
                      </c:pt>
                      <c:pt idx="1">
                        <c:v>4.2285817005106571E-2</c:v>
                      </c:pt>
                      <c:pt idx="2">
                        <c:v>2.6640917784008903E-2</c:v>
                      </c:pt>
                      <c:pt idx="3">
                        <c:v>3.1308789236908323E-2</c:v>
                      </c:pt>
                      <c:pt idx="4">
                        <c:v>2.9331887139106377E-2</c:v>
                      </c:pt>
                      <c:pt idx="5">
                        <c:v>0.15173320426810522</c:v>
                      </c:pt>
                      <c:pt idx="6">
                        <c:v>9.440467482041727E-2</c:v>
                      </c:pt>
                      <c:pt idx="7">
                        <c:v>8.9019437806581812E-3</c:v>
                      </c:pt>
                      <c:pt idx="8">
                        <c:v>6.6017345410951403E-2</c:v>
                      </c:pt>
                      <c:pt idx="9">
                        <c:v>1.5750826481073541E-2</c:v>
                      </c:pt>
                      <c:pt idx="10">
                        <c:v>5.3505044828395507E-2</c:v>
                      </c:pt>
                      <c:pt idx="11">
                        <c:v>0.18805167502915487</c:v>
                      </c:pt>
                      <c:pt idx="12">
                        <c:v>7.0604009306704268E-2</c:v>
                      </c:pt>
                      <c:pt idx="13">
                        <c:v>1.9060380465616648E-2</c:v>
                      </c:pt>
                      <c:pt idx="14">
                        <c:v>2.2637142858275918E-2</c:v>
                      </c:pt>
                      <c:pt idx="15">
                        <c:v>2.6253408078030578E-3</c:v>
                      </c:pt>
                      <c:pt idx="16">
                        <c:v>1.2095953452224969E-2</c:v>
                      </c:pt>
                      <c:pt idx="17">
                        <c:v>1.5111169761343295E-2</c:v>
                      </c:pt>
                      <c:pt idx="18">
                        <c:v>2.2163555712296622E-2</c:v>
                      </c:pt>
                      <c:pt idx="19">
                        <c:v>2.1257864496803322E-2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022B-4BAE-807C-AE39524602D7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County_Flow!$CG$21</c15:sqref>
                        </c15:formulaRef>
                      </c:ext>
                    </c:extLst>
                    <c:strCache>
                      <c:ptCount val="1"/>
                      <c:pt idx="0">
                        <c:v>OD Data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County_Flow!$CG$22:$CG$41</c15:sqref>
                        </c15:formulaRef>
                      </c:ext>
                    </c:extLst>
                    <c:numCache>
                      <c:formatCode>0%</c:formatCode>
                      <c:ptCount val="20"/>
                      <c:pt idx="0">
                        <c:v>3.6870972841643181E-2</c:v>
                      </c:pt>
                      <c:pt idx="1">
                        <c:v>3.8386374915725142E-2</c:v>
                      </c:pt>
                      <c:pt idx="2">
                        <c:v>4.0552938181218023E-2</c:v>
                      </c:pt>
                      <c:pt idx="3">
                        <c:v>2.2819326010383358E-2</c:v>
                      </c:pt>
                      <c:pt idx="4">
                        <c:v>2.1269754795316141E-2</c:v>
                      </c:pt>
                      <c:pt idx="5">
                        <c:v>6.5743158003646912E-2</c:v>
                      </c:pt>
                      <c:pt idx="6">
                        <c:v>0.11522841229312972</c:v>
                      </c:pt>
                      <c:pt idx="7">
                        <c:v>5.6816245654839129E-3</c:v>
                      </c:pt>
                      <c:pt idx="8">
                        <c:v>7.1266277202357273E-2</c:v>
                      </c:pt>
                      <c:pt idx="9">
                        <c:v>2.7238347156259373E-2</c:v>
                      </c:pt>
                      <c:pt idx="10">
                        <c:v>6.7035881328104327E-2</c:v>
                      </c:pt>
                      <c:pt idx="11">
                        <c:v>0.17010652772954057</c:v>
                      </c:pt>
                      <c:pt idx="12">
                        <c:v>0.11115382452101036</c:v>
                      </c:pt>
                      <c:pt idx="13">
                        <c:v>2.5188476256575575E-2</c:v>
                      </c:pt>
                      <c:pt idx="14">
                        <c:v>4.0609765314979347E-2</c:v>
                      </c:pt>
                      <c:pt idx="15">
                        <c:v>1.1347500853951755E-2</c:v>
                      </c:pt>
                      <c:pt idx="16">
                        <c:v>1.8731275766974836E-2</c:v>
                      </c:pt>
                      <c:pt idx="17">
                        <c:v>3.1253531427716745E-2</c:v>
                      </c:pt>
                      <c:pt idx="18">
                        <c:v>4.1891443406352091E-2</c:v>
                      </c:pt>
                      <c:pt idx="19">
                        <c:v>3.7624587429631297E-2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022B-4BAE-807C-AE39524602D7}"/>
                  </c:ext>
                </c:extLst>
              </c15:ser>
            </c15:filteredBarSeries>
          </c:ext>
        </c:extLst>
      </c:barChart>
      <c:catAx>
        <c:axId val="8090704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59664"/>
        <c:crosses val="autoZero"/>
        <c:auto val="1"/>
        <c:lblAlgn val="ctr"/>
        <c:lblOffset val="100"/>
        <c:noMultiLvlLbl val="0"/>
      </c:catAx>
      <c:valAx>
        <c:axId val="8090596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7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 Location by District</a:t>
            </a:r>
          </a:p>
        </c:rich>
      </c:tx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calibration_flow!$N$3</c:f>
              <c:strCache>
                <c:ptCount val="1"/>
                <c:pt idx="0">
                  <c:v>2017 LEHD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calibration_flow!$C$4:$C$23</c:f>
              <c:strCache>
                <c:ptCount val="20"/>
                <c:pt idx="0">
                  <c:v>CBD</c:v>
                </c:pt>
                <c:pt idx="1">
                  <c:v>Inner Core I-24 E</c:v>
                </c:pt>
                <c:pt idx="2">
                  <c:v>Inner Core I-24/65 N</c:v>
                </c:pt>
                <c:pt idx="3">
                  <c:v>Inner Core I-24W</c:v>
                </c:pt>
                <c:pt idx="4">
                  <c:v>Inner Core I-40 W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calibration_flow!$N$4:$N$23</c:f>
              <c:numCache>
                <c:formatCode>0.0%</c:formatCode>
                <c:ptCount val="20"/>
                <c:pt idx="0">
                  <c:v>7.4305365446679913E-2</c:v>
                </c:pt>
                <c:pt idx="1">
                  <c:v>5.0297279821438813E-2</c:v>
                </c:pt>
                <c:pt idx="2">
                  <c:v>2.7606757912193483E-2</c:v>
                </c:pt>
                <c:pt idx="3">
                  <c:v>2.4152865840642513E-2</c:v>
                </c:pt>
                <c:pt idx="4">
                  <c:v>2.2418362973926985E-2</c:v>
                </c:pt>
                <c:pt idx="5">
                  <c:v>0.14533183380757866</c:v>
                </c:pt>
                <c:pt idx="6">
                  <c:v>9.5539785875765365E-2</c:v>
                </c:pt>
                <c:pt idx="7">
                  <c:v>5.2513277510644364E-3</c:v>
                </c:pt>
                <c:pt idx="8">
                  <c:v>5.8742447080578672E-2</c:v>
                </c:pt>
                <c:pt idx="9">
                  <c:v>1.9077473507594842E-2</c:v>
                </c:pt>
                <c:pt idx="10">
                  <c:v>5.372844787240872E-2</c:v>
                </c:pt>
                <c:pt idx="11">
                  <c:v>0.21234032767729266</c:v>
                </c:pt>
                <c:pt idx="12">
                  <c:v>7.753077938829997E-2</c:v>
                </c:pt>
                <c:pt idx="13">
                  <c:v>1.5821312333546333E-2</c:v>
                </c:pt>
                <c:pt idx="14">
                  <c:v>3.2528009774269027E-2</c:v>
                </c:pt>
                <c:pt idx="15">
                  <c:v>4.7355318940061272E-3</c:v>
                </c:pt>
                <c:pt idx="16">
                  <c:v>1.2678655399894398E-2</c:v>
                </c:pt>
                <c:pt idx="17">
                  <c:v>1.8068427497197073E-2</c:v>
                </c:pt>
                <c:pt idx="18">
                  <c:v>3.0476621114399454E-2</c:v>
                </c:pt>
                <c:pt idx="19">
                  <c:v>1.9368387031222487E-2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BE-4DDD-A9D1-E7124230E860}"/>
            </c:ext>
          </c:extLst>
        </c:ser>
        <c:ser>
          <c:idx val="1"/>
          <c:order val="1"/>
          <c:tx>
            <c:strRef>
              <c:f>calibration_flow!$O$3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calibration_flow!$C$4:$C$23</c:f>
              <c:strCache>
                <c:ptCount val="20"/>
                <c:pt idx="0">
                  <c:v>CBD</c:v>
                </c:pt>
                <c:pt idx="1">
                  <c:v>Inner Core I-24 E</c:v>
                </c:pt>
                <c:pt idx="2">
                  <c:v>Inner Core I-24/65 N</c:v>
                </c:pt>
                <c:pt idx="3">
                  <c:v>Inner Core I-24W</c:v>
                </c:pt>
                <c:pt idx="4">
                  <c:v>Inner Core I-40 W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calibration_flow!$O$4:$O$23</c:f>
              <c:numCache>
                <c:formatCode>0.0%</c:formatCode>
                <c:ptCount val="20"/>
                <c:pt idx="0">
                  <c:v>0.16223221312643693</c:v>
                </c:pt>
                <c:pt idx="1">
                  <c:v>5.7165564637569791E-2</c:v>
                </c:pt>
                <c:pt idx="2">
                  <c:v>3.1573598398701115E-2</c:v>
                </c:pt>
                <c:pt idx="3">
                  <c:v>1.9216826032261464E-2</c:v>
                </c:pt>
                <c:pt idx="4">
                  <c:v>4.471583761441169E-2</c:v>
                </c:pt>
                <c:pt idx="5">
                  <c:v>0.1509180821595226</c:v>
                </c:pt>
                <c:pt idx="6">
                  <c:v>6.6803413294994701E-2</c:v>
                </c:pt>
                <c:pt idx="7">
                  <c:v>2.0945782647224685E-3</c:v>
                </c:pt>
                <c:pt idx="8">
                  <c:v>3.9121516524239473E-2</c:v>
                </c:pt>
                <c:pt idx="9">
                  <c:v>1.0474440567890982E-2</c:v>
                </c:pt>
                <c:pt idx="10">
                  <c:v>3.4312662283338187E-2</c:v>
                </c:pt>
                <c:pt idx="11">
                  <c:v>0.14131741536478507</c:v>
                </c:pt>
                <c:pt idx="12">
                  <c:v>0.13675644020846631</c:v>
                </c:pt>
                <c:pt idx="13">
                  <c:v>1.0994986645514317E-2</c:v>
                </c:pt>
                <c:pt idx="14">
                  <c:v>3.1781197132038988E-2</c:v>
                </c:pt>
                <c:pt idx="15">
                  <c:v>1.9690894781525573E-3</c:v>
                </c:pt>
                <c:pt idx="16">
                  <c:v>7.1931411857296011E-3</c:v>
                </c:pt>
                <c:pt idx="17">
                  <c:v>1.5444416213770922E-2</c:v>
                </c:pt>
                <c:pt idx="18">
                  <c:v>1.979469414819451E-2</c:v>
                </c:pt>
                <c:pt idx="19">
                  <c:v>1.6119886719258347E-2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BE-4DDD-A9D1-E7124230E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240928"/>
        <c:axId val="146238016"/>
      </c:barChart>
      <c:catAx>
        <c:axId val="146240928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District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38016"/>
        <c:crosses val="autoZero"/>
        <c:auto val="1"/>
        <c:lblAlgn val="ctr"/>
        <c:lblOffset val="100"/>
        <c:noMultiLvlLbl val="0"/>
      </c:catAx>
      <c:valAx>
        <c:axId val="146238016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Share</a:t>
                </a:r>
                <a:r>
                  <a:rPr baseline="0" lang="en-US"/>
                  <a:t> (%)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4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Worker</a:t>
            </a:r>
            <a:r>
              <a:rPr baseline="0" lang="en-US"/>
              <a:t> Locations </a:t>
            </a:r>
            <a:r>
              <a:rPr lang="en-US"/>
              <a:t>by District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Work Location by District</c:v>
          </c:tx>
          <c:spPr>
            <a:ln cap="rnd" w="25400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cap="rnd" w="19050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1"/>
            <c:dispEq val="0"/>
            <c:trendlineLbl>
              <c:layout>
                <c:manualLayout>
                  <c:x val="-4.8343200955488635E-2"/>
                  <c:y val="-2.5423723158565071E-4"/>
                </c:manualLayout>
              </c:layout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rot="0" spcFirstLastPara="1" vert="horz" vertOverflow="ellipsis" wrap="square"/>
                <a:lstStyle/>
                <a:p>
                  <a:pPr>
                    <a:defRPr b="0" baseline="0" i="0" kern="1200" strike="noStrike" sz="900" u="none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calibration_flow!$CX$2:$CX$401</c:f>
              <c:numCache>
                <c:formatCode>_(* #,##0_);_(* \(#,##0\);_(* "-"??_);_(@_)</c:formatCode>
                <c:ptCount val="400"/>
                <c:pt idx="0">
                  <c:v>1171.4341911162105</c:v>
                </c:pt>
                <c:pt idx="1">
                  <c:v>300.77364366497295</c:v>
                </c:pt>
                <c:pt idx="2">
                  <c:v>162.25946566136699</c:v>
                </c:pt>
                <c:pt idx="3">
                  <c:v>146.42927388952631</c:v>
                </c:pt>
                <c:pt idx="4">
                  <c:v>170.17456154728734</c:v>
                </c:pt>
                <c:pt idx="5">
                  <c:v>1249.7936403868218</c:v>
                </c:pt>
                <c:pt idx="6">
                  <c:v>206.5840026225209</c:v>
                </c:pt>
                <c:pt idx="7">
                  <c:v>20.579249303392885</c:v>
                </c:pt>
                <c:pt idx="8">
                  <c:v>208.16702179970497</c:v>
                </c:pt>
                <c:pt idx="9">
                  <c:v>103.68775610555646</c:v>
                </c:pt>
                <c:pt idx="10">
                  <c:v>142.47172594656615</c:v>
                </c:pt>
                <c:pt idx="11">
                  <c:v>800.21619406654645</c:v>
                </c:pt>
                <c:pt idx="12">
                  <c:v>49.865104081298149</c:v>
                </c:pt>
                <c:pt idx="13">
                  <c:v>9.4981150631044091</c:v>
                </c:pt>
                <c:pt idx="14">
                  <c:v>22.95377806916899</c:v>
                </c:pt>
                <c:pt idx="15">
                  <c:v>13.455663006064579</c:v>
                </c:pt>
                <c:pt idx="16">
                  <c:v>5.5405671201442388</c:v>
                </c:pt>
                <c:pt idx="17">
                  <c:v>8.7066054745123758</c:v>
                </c:pt>
                <c:pt idx="18">
                  <c:v>26.119816423537124</c:v>
                </c:pt>
                <c:pt idx="19">
                  <c:v>10.289624651696442</c:v>
                </c:pt>
                <c:pt idx="20">
                  <c:v>1663.2047384890479</c:v>
                </c:pt>
                <c:pt idx="21">
                  <c:v>1690.1697958575473</c:v>
                </c:pt>
                <c:pt idx="22">
                  <c:v>660.10460438086727</c:v>
                </c:pt>
                <c:pt idx="23">
                  <c:v>396.92564446431231</c:v>
                </c:pt>
                <c:pt idx="24">
                  <c:v>426.04790642229176</c:v>
                </c:pt>
                <c:pt idx="25">
                  <c:v>2751.5144538816871</c:v>
                </c:pt>
                <c:pt idx="26">
                  <c:v>1203.7201609298165</c:v>
                </c:pt>
                <c:pt idx="27">
                  <c:v>91.681195052898218</c:v>
                </c:pt>
                <c:pt idx="28">
                  <c:v>1173.5192966770974</c:v>
                </c:pt>
                <c:pt idx="29">
                  <c:v>290.14401728505442</c:v>
                </c:pt>
                <c:pt idx="30">
                  <c:v>704.32729846520635</c:v>
                </c:pt>
                <c:pt idx="31">
                  <c:v>2661.9904634182685</c:v>
                </c:pt>
                <c:pt idx="32">
                  <c:v>241.60691402175533</c:v>
                </c:pt>
                <c:pt idx="33">
                  <c:v>50.694307852779019</c:v>
                </c:pt>
                <c:pt idx="34">
                  <c:v>172.57636715839666</c:v>
                </c:pt>
                <c:pt idx="35">
                  <c:v>49.615705558039039</c:v>
                </c:pt>
                <c:pt idx="36">
                  <c:v>48.537103263299066</c:v>
                </c:pt>
                <c:pt idx="37">
                  <c:v>66.873342273878706</c:v>
                </c:pt>
                <c:pt idx="38">
                  <c:v>94.917001937118158</c:v>
                </c:pt>
                <c:pt idx="39">
                  <c:v>38.829682610639253</c:v>
                </c:pt>
                <c:pt idx="40">
                  <c:v>3947.2079004745415</c:v>
                </c:pt>
                <c:pt idx="41">
                  <c:v>1638.6558932922919</c:v>
                </c:pt>
                <c:pt idx="42">
                  <c:v>2563.265358471207</c:v>
                </c:pt>
                <c:pt idx="43">
                  <c:v>1146.2100808003079</c:v>
                </c:pt>
                <c:pt idx="44">
                  <c:v>1054.5132743362831</c:v>
                </c:pt>
                <c:pt idx="45">
                  <c:v>5735.2956265230214</c:v>
                </c:pt>
                <c:pt idx="46">
                  <c:v>1500.2616390919584</c:v>
                </c:pt>
                <c:pt idx="47">
                  <c:v>217.35539309991023</c:v>
                </c:pt>
                <c:pt idx="48">
                  <c:v>1397.5272540720789</c:v>
                </c:pt>
                <c:pt idx="49">
                  <c:v>597.7273310247532</c:v>
                </c:pt>
                <c:pt idx="50">
                  <c:v>1426.3947672181607</c:v>
                </c:pt>
                <c:pt idx="51">
                  <c:v>3841.9263819417724</c:v>
                </c:pt>
                <c:pt idx="52">
                  <c:v>382.07002693343594</c:v>
                </c:pt>
                <c:pt idx="53">
                  <c:v>150.2808772604848</c:v>
                </c:pt>
                <c:pt idx="54">
                  <c:v>259.80761831473643</c:v>
                </c:pt>
                <c:pt idx="55">
                  <c:v>100.18725150698987</c:v>
                </c:pt>
                <c:pt idx="56">
                  <c:v>105.28151853276901</c:v>
                </c:pt>
                <c:pt idx="57">
                  <c:v>84.904450429652428</c:v>
                </c:pt>
                <c:pt idx="58">
                  <c:v>268.29806335770166</c:v>
                </c:pt>
                <c:pt idx="59">
                  <c:v>62.829293317942799</c:v>
                </c:pt>
                <c:pt idx="60">
                  <c:v>1032.3490891959798</c:v>
                </c:pt>
                <c:pt idx="61">
                  <c:v>613.9428391959799</c:v>
                </c:pt>
                <c:pt idx="62">
                  <c:v>499.0037688442211</c:v>
                </c:pt>
                <c:pt idx="63">
                  <c:v>693.83951005025119</c:v>
                </c:pt>
                <c:pt idx="64">
                  <c:v>557.875</c:v>
                </c:pt>
                <c:pt idx="65">
                  <c:v>1870.5632851758794</c:v>
                </c:pt>
                <c:pt idx="66">
                  <c:v>560.678391959799</c:v>
                </c:pt>
                <c:pt idx="67">
                  <c:v>100.92211055276383</c:v>
                </c:pt>
                <c:pt idx="68">
                  <c:v>534.04616834170849</c:v>
                </c:pt>
                <c:pt idx="69">
                  <c:v>264.2196922110553</c:v>
                </c:pt>
                <c:pt idx="70">
                  <c:v>455.5511934673367</c:v>
                </c:pt>
                <c:pt idx="71">
                  <c:v>1282.5518216080402</c:v>
                </c:pt>
                <c:pt idx="72">
                  <c:v>138.0670540201005</c:v>
                </c:pt>
                <c:pt idx="73">
                  <c:v>51.862751256281406</c:v>
                </c:pt>
                <c:pt idx="74">
                  <c:v>79.195822864321613</c:v>
                </c:pt>
                <c:pt idx="75">
                  <c:v>33.640703517587937</c:v>
                </c:pt>
                <c:pt idx="76">
                  <c:v>25.931375628140703</c:v>
                </c:pt>
                <c:pt idx="77">
                  <c:v>47.657663316582912</c:v>
                </c:pt>
                <c:pt idx="78">
                  <c:v>67.281407035175874</c:v>
                </c:pt>
                <c:pt idx="79">
                  <c:v>16.820351758793969</c:v>
                </c:pt>
                <c:pt idx="80">
                  <c:v>1171.006419939577</c:v>
                </c:pt>
                <c:pt idx="81">
                  <c:v>448.21280211480359</c:v>
                </c:pt>
                <c:pt idx="82">
                  <c:v>317.38311933534743</c:v>
                </c:pt>
                <c:pt idx="83">
                  <c:v>373.10687311178248</c:v>
                </c:pt>
                <c:pt idx="84">
                  <c:v>637.18901057401808</c:v>
                </c:pt>
                <c:pt idx="85">
                  <c:v>2086.8141993957702</c:v>
                </c:pt>
                <c:pt idx="86">
                  <c:v>415.90917673716012</c:v>
                </c:pt>
                <c:pt idx="87">
                  <c:v>70.260385196374614</c:v>
                </c:pt>
                <c:pt idx="88">
                  <c:v>360.18542296072508</c:v>
                </c:pt>
                <c:pt idx="89">
                  <c:v>304.46166918429003</c:v>
                </c:pt>
                <c:pt idx="90">
                  <c:v>306.0768504531722</c:v>
                </c:pt>
                <c:pt idx="91">
                  <c:v>1632.9482628398794</c:v>
                </c:pt>
                <c:pt idx="92">
                  <c:v>142.94354229607251</c:v>
                </c:pt>
                <c:pt idx="93">
                  <c:v>46.840256797583088</c:v>
                </c:pt>
                <c:pt idx="94">
                  <c:v>60.569297583081571</c:v>
                </c:pt>
                <c:pt idx="95">
                  <c:v>47.647847432024165</c:v>
                </c:pt>
                <c:pt idx="96">
                  <c:v>28.265672205438065</c:v>
                </c:pt>
                <c:pt idx="97">
                  <c:v>40.379531722054381</c:v>
                </c:pt>
                <c:pt idx="98">
                  <c:v>47.647847432024165</c:v>
                </c:pt>
                <c:pt idx="99">
                  <c:v>16.151812688821753</c:v>
                </c:pt>
                <c:pt idx="100">
                  <c:v>3451.8631993621912</c:v>
                </c:pt>
                <c:pt idx="101">
                  <c:v>1003.268489424565</c:v>
                </c:pt>
                <c:pt idx="102">
                  <c:v>656.53318013412752</c:v>
                </c:pt>
                <c:pt idx="103">
                  <c:v>660.1077709515547</c:v>
                </c:pt>
                <c:pt idx="104">
                  <c:v>918.66984007878818</c:v>
                </c:pt>
                <c:pt idx="105">
                  <c:v>8548.0381747408901</c:v>
                </c:pt>
                <c:pt idx="106">
                  <c:v>1135.5283496693712</c:v>
                </c:pt>
                <c:pt idx="107">
                  <c:v>73.874876893495284</c:v>
                </c:pt>
                <c:pt idx="108">
                  <c:v>927.01055198611834</c:v>
                </c:pt>
                <c:pt idx="109">
                  <c:v>619.59574168737981</c:v>
                </c:pt>
                <c:pt idx="110">
                  <c:v>574.31759133330206</c:v>
                </c:pt>
                <c:pt idx="111">
                  <c:v>5537.0411761947189</c:v>
                </c:pt>
                <c:pt idx="112">
                  <c:v>461.12221544810768</c:v>
                </c:pt>
                <c:pt idx="113">
                  <c:v>91.74783098063125</c:v>
                </c:pt>
                <c:pt idx="114">
                  <c:v>194.21943441354406</c:v>
                </c:pt>
                <c:pt idx="115">
                  <c:v>135.83445106223328</c:v>
                </c:pt>
                <c:pt idx="116">
                  <c:v>52.427331988932139</c:v>
                </c:pt>
                <c:pt idx="117">
                  <c:v>133.45139051728182</c:v>
                </c:pt>
                <c:pt idx="118">
                  <c:v>175.15495005393237</c:v>
                </c:pt>
                <c:pt idx="119">
                  <c:v>57.193453078835063</c:v>
                </c:pt>
                <c:pt idx="120">
                  <c:v>5069.2693150176356</c:v>
                </c:pt>
                <c:pt idx="121">
                  <c:v>5147.7439391126782</c:v>
                </c:pt>
                <c:pt idx="122">
                  <c:v>2271.9360683126047</c:v>
                </c:pt>
                <c:pt idx="123">
                  <c:v>1790.5612400222758</c:v>
                </c:pt>
                <c:pt idx="124">
                  <c:v>1642.2250603304251</c:v>
                </c:pt>
                <c:pt idx="125">
                  <c:v>9986.3744198997574</c:v>
                </c:pt>
                <c:pt idx="126">
                  <c:v>17574.487766846112</c:v>
                </c:pt>
                <c:pt idx="127">
                  <c:v>319.64054204566548</c:v>
                </c:pt>
                <c:pt idx="128">
                  <c:v>5097.97954334509</c:v>
                </c:pt>
                <c:pt idx="129">
                  <c:v>1246.0239094115464</c:v>
                </c:pt>
                <c:pt idx="130">
                  <c:v>2577.2214961945424</c:v>
                </c:pt>
                <c:pt idx="131">
                  <c:v>15574.341860033413</c:v>
                </c:pt>
                <c:pt idx="132">
                  <c:v>5368.8126972340824</c:v>
                </c:pt>
                <c:pt idx="133">
                  <c:v>247.86497122702801</c:v>
                </c:pt>
                <c:pt idx="134">
                  <c:v>1561.836421013551</c:v>
                </c:pt>
                <c:pt idx="135">
                  <c:v>200.01459068126971</c:v>
                </c:pt>
                <c:pt idx="136">
                  <c:v>189.48750696120288</c:v>
                </c:pt>
                <c:pt idx="137">
                  <c:v>726.36877668461113</c:v>
                </c:pt>
                <c:pt idx="138">
                  <c:v>454.57861518470395</c:v>
                </c:pt>
                <c:pt idx="139">
                  <c:v>284.23126044180435</c:v>
                </c:pt>
                <c:pt idx="140">
                  <c:v>429.15668031261629</c:v>
                </c:pt>
                <c:pt idx="141">
                  <c:v>305.65835504279863</c:v>
                </c:pt>
                <c:pt idx="142">
                  <c:v>215.35020468924449</c:v>
                </c:pt>
                <c:pt idx="143">
                  <c:v>229.24376628209899</c:v>
                </c:pt>
                <c:pt idx="144">
                  <c:v>191.42240416821735</c:v>
                </c:pt>
                <c:pt idx="145">
                  <c:v>858.31336062523258</c:v>
                </c:pt>
                <c:pt idx="146">
                  <c:v>250.0841086713807</c:v>
                </c:pt>
                <c:pt idx="147">
                  <c:v>98.026795682917751</c:v>
                </c:pt>
                <c:pt idx="148">
                  <c:v>260.89021213248975</c:v>
                </c:pt>
                <c:pt idx="149">
                  <c:v>118.09527353926312</c:v>
                </c:pt>
                <c:pt idx="150">
                  <c:v>348.11090435429844</c:v>
                </c:pt>
                <c:pt idx="151">
                  <c:v>542.62076665426127</c:v>
                </c:pt>
                <c:pt idx="152">
                  <c:v>69.467807964272424</c:v>
                </c:pt>
                <c:pt idx="153">
                  <c:v>77.958317826572397</c:v>
                </c:pt>
                <c:pt idx="154">
                  <c:v>41.680684778563453</c:v>
                </c:pt>
                <c:pt idx="155">
                  <c:v>11.577967994045403</c:v>
                </c:pt>
                <c:pt idx="156">
                  <c:v>27.015258652772609</c:v>
                </c:pt>
                <c:pt idx="157">
                  <c:v>24.699665053963528</c:v>
                </c:pt>
                <c:pt idx="158">
                  <c:v>37.821362113881655</c:v>
                </c:pt>
                <c:pt idx="159">
                  <c:v>10.806103461109043</c:v>
                </c:pt>
                <c:pt idx="160">
                  <c:v>5189.2833573392691</c:v>
                </c:pt>
                <c:pt idx="161">
                  <c:v>4372.9388175985332</c:v>
                </c:pt>
                <c:pt idx="162">
                  <c:v>2071.3920714940423</c:v>
                </c:pt>
                <c:pt idx="163">
                  <c:v>1557.5365326698966</c:v>
                </c:pt>
                <c:pt idx="164">
                  <c:v>1167.68269608485</c:v>
                </c:pt>
                <c:pt idx="165">
                  <c:v>9101.912825716905</c:v>
                </c:pt>
                <c:pt idx="166">
                  <c:v>5174.2528479769544</c:v>
                </c:pt>
                <c:pt idx="167">
                  <c:v>297.79196674086683</c:v>
                </c:pt>
                <c:pt idx="168">
                  <c:v>9016.4268037187376</c:v>
                </c:pt>
                <c:pt idx="169">
                  <c:v>848.2843721356553</c:v>
                </c:pt>
                <c:pt idx="170">
                  <c:v>2975.1014469032343</c:v>
                </c:pt>
                <c:pt idx="171">
                  <c:v>8566.4509296844317</c:v>
                </c:pt>
                <c:pt idx="172">
                  <c:v>1911.6929095194448</c:v>
                </c:pt>
                <c:pt idx="173">
                  <c:v>265.85213434594738</c:v>
                </c:pt>
                <c:pt idx="174">
                  <c:v>3231.5595128977347</c:v>
                </c:pt>
                <c:pt idx="175">
                  <c:v>124.00170223909912</c:v>
                </c:pt>
                <c:pt idx="176">
                  <c:v>271.48857535681549</c:v>
                </c:pt>
                <c:pt idx="177">
                  <c:v>253.6398454890664</c:v>
                </c:pt>
                <c:pt idx="178">
                  <c:v>809.76869189472302</c:v>
                </c:pt>
                <c:pt idx="179">
                  <c:v>186.94196019379339</c:v>
                </c:pt>
                <c:pt idx="180">
                  <c:v>2660.7859905993928</c:v>
                </c:pt>
                <c:pt idx="181">
                  <c:v>952.47535460255392</c:v>
                </c:pt>
                <c:pt idx="182">
                  <c:v>493.64851711659253</c:v>
                </c:pt>
                <c:pt idx="183">
                  <c:v>739.44860862692906</c:v>
                </c:pt>
                <c:pt idx="184">
                  <c:v>1223.8796223118838</c:v>
                </c:pt>
                <c:pt idx="185">
                  <c:v>6417.4307225157027</c:v>
                </c:pt>
                <c:pt idx="186">
                  <c:v>994.4662035689031</c:v>
                </c:pt>
                <c:pt idx="187">
                  <c:v>212.00257892766527</c:v>
                </c:pt>
                <c:pt idx="188">
                  <c:v>926.87117840356052</c:v>
                </c:pt>
                <c:pt idx="189">
                  <c:v>1942.8448899796181</c:v>
                </c:pt>
                <c:pt idx="190">
                  <c:v>695.40942556466041</c:v>
                </c:pt>
                <c:pt idx="191">
                  <c:v>5794.7371573561832</c:v>
                </c:pt>
                <c:pt idx="192">
                  <c:v>426.05349195125001</c:v>
                </c:pt>
                <c:pt idx="193">
                  <c:v>137.23838442660454</c:v>
                </c:pt>
                <c:pt idx="194">
                  <c:v>149.52838900212137</c:v>
                </c:pt>
                <c:pt idx="195">
                  <c:v>409.66681918389418</c:v>
                </c:pt>
                <c:pt idx="196">
                  <c:v>57.353354685745181</c:v>
                </c:pt>
                <c:pt idx="197">
                  <c:v>136.2142173786448</c:v>
                </c:pt>
                <c:pt idx="198">
                  <c:v>175.13256520111477</c:v>
                </c:pt>
                <c:pt idx="199">
                  <c:v>76.812528596980158</c:v>
                </c:pt>
                <c:pt idx="200">
                  <c:v>4354.4727272727278</c:v>
                </c:pt>
                <c:pt idx="201">
                  <c:v>3094.3090909090911</c:v>
                </c:pt>
                <c:pt idx="202">
                  <c:v>2418.3272727272724</c:v>
                </c:pt>
                <c:pt idx="203">
                  <c:v>1838.7818181818184</c:v>
                </c:pt>
                <c:pt idx="204">
                  <c:v>1356.6</c:v>
                </c:pt>
                <c:pt idx="205">
                  <c:v>7688.0181818181818</c:v>
                </c:pt>
                <c:pt idx="206">
                  <c:v>2604.7090909090907</c:v>
                </c:pt>
                <c:pt idx="207">
                  <c:v>473.83636363636361</c:v>
                </c:pt>
                <c:pt idx="208">
                  <c:v>3596.8909090909087</c:v>
                </c:pt>
                <c:pt idx="209">
                  <c:v>794.67272727272723</c:v>
                </c:pt>
                <c:pt idx="210">
                  <c:v>9631.5818181818177</c:v>
                </c:pt>
                <c:pt idx="211">
                  <c:v>5555.2909090909088</c:v>
                </c:pt>
                <c:pt idx="212">
                  <c:v>991.25454545454545</c:v>
                </c:pt>
                <c:pt idx="213">
                  <c:v>572.12727272727273</c:v>
                </c:pt>
                <c:pt idx="214">
                  <c:v>906.87272727272727</c:v>
                </c:pt>
                <c:pt idx="215">
                  <c:v>115.90909090909092</c:v>
                </c:pt>
                <c:pt idx="216">
                  <c:v>707.5090909090909</c:v>
                </c:pt>
                <c:pt idx="217">
                  <c:v>205.85454545454544</c:v>
                </c:pt>
                <c:pt idx="218">
                  <c:v>3110.0727272727272</c:v>
                </c:pt>
                <c:pt idx="219">
                  <c:v>166.90909090909091</c:v>
                </c:pt>
                <c:pt idx="220">
                  <c:v>8033.326988064774</c:v>
                </c:pt>
                <c:pt idx="221">
                  <c:v>4246.0858320473508</c:v>
                </c:pt>
                <c:pt idx="222">
                  <c:v>1749.2820209794309</c:v>
                </c:pt>
                <c:pt idx="223">
                  <c:v>1909.3205614048793</c:v>
                </c:pt>
                <c:pt idx="224">
                  <c:v>2172.675121598656</c:v>
                </c:pt>
                <c:pt idx="225">
                  <c:v>18387.212812298556</c:v>
                </c:pt>
                <c:pt idx="226">
                  <c:v>7205.7859277635616</c:v>
                </c:pt>
                <c:pt idx="227">
                  <c:v>302.857744222843</c:v>
                </c:pt>
                <c:pt idx="228">
                  <c:v>4025.2731623464147</c:v>
                </c:pt>
                <c:pt idx="229">
                  <c:v>1901.217344168148</c:v>
                </c:pt>
                <c:pt idx="230">
                  <c:v>2060.2429824390051</c:v>
                </c:pt>
                <c:pt idx="231">
                  <c:v>44691.268864883874</c:v>
                </c:pt>
                <c:pt idx="232">
                  <c:v>2681.1520032035628</c:v>
                </c:pt>
                <c:pt idx="233">
                  <c:v>220.81266970093566</c:v>
                </c:pt>
                <c:pt idx="234">
                  <c:v>744.48308362471425</c:v>
                </c:pt>
                <c:pt idx="235">
                  <c:v>423.39310061922532</c:v>
                </c:pt>
                <c:pt idx="236">
                  <c:v>150.92242103412576</c:v>
                </c:pt>
                <c:pt idx="237">
                  <c:v>1608.4886214912196</c:v>
                </c:pt>
                <c:pt idx="238">
                  <c:v>436.56082862891412</c:v>
                </c:pt>
                <c:pt idx="239">
                  <c:v>756.6379094798117</c:v>
                </c:pt>
                <c:pt idx="240">
                  <c:v>2358.4639685679017</c:v>
                </c:pt>
                <c:pt idx="241">
                  <c:v>2184.4321515324477</c:v>
                </c:pt>
                <c:pt idx="242">
                  <c:v>865.40411749870589</c:v>
                </c:pt>
                <c:pt idx="243">
                  <c:v>960.5034710699922</c:v>
                </c:pt>
                <c:pt idx="244">
                  <c:v>578.20406971342106</c:v>
                </c:pt>
                <c:pt idx="245">
                  <c:v>4479.1795532075867</c:v>
                </c:pt>
                <c:pt idx="246">
                  <c:v>12762.333249266629</c:v>
                </c:pt>
                <c:pt idx="247">
                  <c:v>150.25697864263242</c:v>
                </c:pt>
                <c:pt idx="248">
                  <c:v>2676.0958094959983</c:v>
                </c:pt>
                <c:pt idx="249">
                  <c:v>700.8822358203804</c:v>
                </c:pt>
                <c:pt idx="250">
                  <c:v>1219.173712783891</c:v>
                </c:pt>
                <c:pt idx="251">
                  <c:v>9939.7844352708507</c:v>
                </c:pt>
                <c:pt idx="252">
                  <c:v>28375.745118600422</c:v>
                </c:pt>
                <c:pt idx="253">
                  <c:v>169.27684935688973</c:v>
                </c:pt>
                <c:pt idx="254">
                  <c:v>1976.1645672113304</c:v>
                </c:pt>
                <c:pt idx="255">
                  <c:v>151.2079721783453</c:v>
                </c:pt>
                <c:pt idx="256">
                  <c:v>178.78678471401835</c:v>
                </c:pt>
                <c:pt idx="257">
                  <c:v>1278.1353119980886</c:v>
                </c:pt>
                <c:pt idx="258">
                  <c:v>338.55369871377945</c:v>
                </c:pt>
                <c:pt idx="259">
                  <c:v>302.4159443566906</c:v>
                </c:pt>
                <c:pt idx="260">
                  <c:v>1107.7513499614297</c:v>
                </c:pt>
                <c:pt idx="261">
                  <c:v>1015.6461815376704</c:v>
                </c:pt>
                <c:pt idx="262">
                  <c:v>579.18385188994603</c:v>
                </c:pt>
                <c:pt idx="263">
                  <c:v>584.16250964258165</c:v>
                </c:pt>
                <c:pt idx="264">
                  <c:v>403.27127796348674</c:v>
                </c:pt>
                <c:pt idx="265">
                  <c:v>1940.8467472357931</c:v>
                </c:pt>
                <c:pt idx="266">
                  <c:v>758.41553098482893</c:v>
                </c:pt>
                <c:pt idx="267">
                  <c:v>269.67729493443045</c:v>
                </c:pt>
                <c:pt idx="268">
                  <c:v>664.65080997685777</c:v>
                </c:pt>
                <c:pt idx="269">
                  <c:v>282.95371560812549</c:v>
                </c:pt>
                <c:pt idx="270">
                  <c:v>1866.1668809462587</c:v>
                </c:pt>
                <c:pt idx="271">
                  <c:v>1661.2121367960915</c:v>
                </c:pt>
                <c:pt idx="272">
                  <c:v>370.91000257135511</c:v>
                </c:pt>
                <c:pt idx="273">
                  <c:v>5846.6037541784526</c:v>
                </c:pt>
                <c:pt idx="274">
                  <c:v>198.31653381331961</c:v>
                </c:pt>
                <c:pt idx="275">
                  <c:v>61.403445615839544</c:v>
                </c:pt>
                <c:pt idx="276">
                  <c:v>1009.0079712008229</c:v>
                </c:pt>
                <c:pt idx="277">
                  <c:v>112.01979943430187</c:v>
                </c:pt>
                <c:pt idx="278">
                  <c:v>494.54667009514014</c:v>
                </c:pt>
                <c:pt idx="279">
                  <c:v>135.25353561326818</c:v>
                </c:pt>
                <c:pt idx="280">
                  <c:v>1124.5274894159948</c:v>
                </c:pt>
                <c:pt idx="281">
                  <c:v>1313.4747433741229</c:v>
                </c:pt>
                <c:pt idx="282">
                  <c:v>412.02154497477233</c:v>
                </c:pt>
                <c:pt idx="283">
                  <c:v>407.85971118714838</c:v>
                </c:pt>
                <c:pt idx="284">
                  <c:v>289.66363161862785</c:v>
                </c:pt>
                <c:pt idx="285">
                  <c:v>2035.136722148118</c:v>
                </c:pt>
                <c:pt idx="286">
                  <c:v>2946.5783216377658</c:v>
                </c:pt>
                <c:pt idx="287">
                  <c:v>99.051644145450325</c:v>
                </c:pt>
                <c:pt idx="288">
                  <c:v>2894.139215913704</c:v>
                </c:pt>
                <c:pt idx="289">
                  <c:v>292.99309864872703</c:v>
                </c:pt>
                <c:pt idx="290">
                  <c:v>943.90390303311494</c:v>
                </c:pt>
                <c:pt idx="291">
                  <c:v>2751.8045003769644</c:v>
                </c:pt>
                <c:pt idx="292">
                  <c:v>2583.6664153569563</c:v>
                </c:pt>
                <c:pt idx="293">
                  <c:v>148.99364959693787</c:v>
                </c:pt>
                <c:pt idx="294">
                  <c:v>9287.5482804616368</c:v>
                </c:pt>
                <c:pt idx="295">
                  <c:v>57.433306269210696</c:v>
                </c:pt>
                <c:pt idx="296">
                  <c:v>139.00524850664038</c:v>
                </c:pt>
                <c:pt idx="297">
                  <c:v>152.32311662703705</c:v>
                </c:pt>
                <c:pt idx="298">
                  <c:v>709.17647741112341</c:v>
                </c:pt>
                <c:pt idx="299">
                  <c:v>115.69897929594617</c:v>
                </c:pt>
                <c:pt idx="300">
                  <c:v>1007.8878061289909</c:v>
                </c:pt>
                <c:pt idx="301">
                  <c:v>576.05853314527508</c:v>
                </c:pt>
                <c:pt idx="302">
                  <c:v>238.66508526734196</c:v>
                </c:pt>
                <c:pt idx="303">
                  <c:v>336.53494037697141</c:v>
                </c:pt>
                <c:pt idx="304">
                  <c:v>464.452558020259</c:v>
                </c:pt>
                <c:pt idx="305">
                  <c:v>2749.7995255802025</c:v>
                </c:pt>
                <c:pt idx="306">
                  <c:v>512.52897807411205</c:v>
                </c:pt>
                <c:pt idx="307">
                  <c:v>77.265675086549564</c:v>
                </c:pt>
                <c:pt idx="308">
                  <c:v>408.649570457751</c:v>
                </c:pt>
                <c:pt idx="309">
                  <c:v>800.98749839723041</c:v>
                </c:pt>
                <c:pt idx="310">
                  <c:v>260.12777279138351</c:v>
                </c:pt>
                <c:pt idx="311">
                  <c:v>4245.3195922554169</c:v>
                </c:pt>
                <c:pt idx="312">
                  <c:v>333.9594178740864</c:v>
                </c:pt>
                <c:pt idx="313">
                  <c:v>48.93492755481472</c:v>
                </c:pt>
                <c:pt idx="314">
                  <c:v>91.860302602897804</c:v>
                </c:pt>
                <c:pt idx="315">
                  <c:v>764.07167585587899</c:v>
                </c:pt>
                <c:pt idx="316">
                  <c:v>25.755225028849853</c:v>
                </c:pt>
                <c:pt idx="317">
                  <c:v>258.41075778946015</c:v>
                </c:pt>
                <c:pt idx="318">
                  <c:v>73.831645082702906</c:v>
                </c:pt>
                <c:pt idx="319">
                  <c:v>115.89851262982432</c:v>
                </c:pt>
                <c:pt idx="320">
                  <c:v>949.23243436876305</c:v>
                </c:pt>
                <c:pt idx="321">
                  <c:v>882.88347576889612</c:v>
                </c:pt>
                <c:pt idx="322">
                  <c:v>478.59715470037355</c:v>
                </c:pt>
                <c:pt idx="323">
                  <c:v>507.79069648431499</c:v>
                </c:pt>
                <c:pt idx="324">
                  <c:v>301.66659843406171</c:v>
                </c:pt>
                <c:pt idx="325">
                  <c:v>1686.148201217952</c:v>
                </c:pt>
                <c:pt idx="326">
                  <c:v>697.10639168926866</c:v>
                </c:pt>
                <c:pt idx="327">
                  <c:v>180.46916739163808</c:v>
                </c:pt>
                <c:pt idx="328">
                  <c:v>702.41430837725818</c:v>
                </c:pt>
                <c:pt idx="329">
                  <c:v>220.27854255155825</c:v>
                </c:pt>
                <c:pt idx="330">
                  <c:v>2873.3522337649047</c:v>
                </c:pt>
                <c:pt idx="331">
                  <c:v>1349.9801443119595</c:v>
                </c:pt>
                <c:pt idx="332">
                  <c:v>298.12798730873544</c:v>
                </c:pt>
                <c:pt idx="333">
                  <c:v>1335.8256998106547</c:v>
                </c:pt>
                <c:pt idx="334">
                  <c:v>268.934445524794</c:v>
                </c:pt>
                <c:pt idx="335">
                  <c:v>61.925694693209145</c:v>
                </c:pt>
                <c:pt idx="336">
                  <c:v>2515.0678573256232</c:v>
                </c:pt>
                <c:pt idx="337">
                  <c:v>76.964791975845657</c:v>
                </c:pt>
                <c:pt idx="338">
                  <c:v>1826.8079934496698</c:v>
                </c:pt>
                <c:pt idx="339">
                  <c:v>73.426180850519415</c:v>
                </c:pt>
                <c:pt idx="340">
                  <c:v>1284.8129790069977</c:v>
                </c:pt>
                <c:pt idx="341">
                  <c:v>917.463762079307</c:v>
                </c:pt>
                <c:pt idx="342">
                  <c:v>315.52024325224926</c:v>
                </c:pt>
                <c:pt idx="343">
                  <c:v>408.26682772409197</c:v>
                </c:pt>
                <c:pt idx="344">
                  <c:v>328.2501666111296</c:v>
                </c:pt>
                <c:pt idx="345">
                  <c:v>2766.0304898367212</c:v>
                </c:pt>
                <c:pt idx="346">
                  <c:v>2827.8615461512827</c:v>
                </c:pt>
                <c:pt idx="347">
                  <c:v>80.925941352882376</c:v>
                </c:pt>
                <c:pt idx="348">
                  <c:v>956.56281239586804</c:v>
                </c:pt>
                <c:pt idx="349">
                  <c:v>445.5473175608131</c:v>
                </c:pt>
                <c:pt idx="350">
                  <c:v>418.26891036321223</c:v>
                </c:pt>
                <c:pt idx="351">
                  <c:v>13032.713678773744</c:v>
                </c:pt>
                <c:pt idx="352">
                  <c:v>3727.139703432189</c:v>
                </c:pt>
                <c:pt idx="353">
                  <c:v>58.193935354881702</c:v>
                </c:pt>
                <c:pt idx="354">
                  <c:v>330.06872709096967</c:v>
                </c:pt>
                <c:pt idx="355">
                  <c:v>152.75908030656447</c:v>
                </c:pt>
                <c:pt idx="356">
                  <c:v>50.919693435521495</c:v>
                </c:pt>
                <c:pt idx="357">
                  <c:v>3158.839553482173</c:v>
                </c:pt>
                <c:pt idx="358">
                  <c:v>120.02499166944352</c:v>
                </c:pt>
                <c:pt idx="359">
                  <c:v>1364.82964011996</c:v>
                </c:pt>
                <c:pt idx="360">
                  <c:v>1377.7707341518415</c:v>
                </c:pt>
                <c:pt idx="361">
                  <c:v>1254.8907541969431</c:v>
                </c:pt>
                <c:pt idx="362">
                  <c:v>668.26509646705097</c:v>
                </c:pt>
                <c:pt idx="363">
                  <c:v>701.9308443998998</c:v>
                </c:pt>
                <c:pt idx="364">
                  <c:v>421.66349285893256</c:v>
                </c:pt>
                <c:pt idx="365">
                  <c:v>2531.664244550238</c:v>
                </c:pt>
                <c:pt idx="366">
                  <c:v>1275.9318466549737</c:v>
                </c:pt>
                <c:pt idx="367">
                  <c:v>185.161613630669</c:v>
                </c:pt>
                <c:pt idx="368">
                  <c:v>1541.0496116261588</c:v>
                </c:pt>
                <c:pt idx="369">
                  <c:v>318.14131796542216</c:v>
                </c:pt>
                <c:pt idx="370">
                  <c:v>4975.7975444750691</c:v>
                </c:pt>
                <c:pt idx="371">
                  <c:v>2685.685041343022</c:v>
                </c:pt>
                <c:pt idx="372">
                  <c:v>622.81633675770479</c:v>
                </c:pt>
                <c:pt idx="373">
                  <c:v>589.99223252317722</c:v>
                </c:pt>
                <c:pt idx="374">
                  <c:v>1244.7910298170887</c:v>
                </c:pt>
                <c:pt idx="375">
                  <c:v>75.74793284891004</c:v>
                </c:pt>
                <c:pt idx="376">
                  <c:v>2567.0132798797295</c:v>
                </c:pt>
                <c:pt idx="377">
                  <c:v>146.44600350789275</c:v>
                </c:pt>
                <c:pt idx="378">
                  <c:v>10294.985717865196</c:v>
                </c:pt>
                <c:pt idx="379">
                  <c:v>110.25532448008019</c:v>
                </c:pt>
                <c:pt idx="380">
                  <c:v>578.52270827528559</c:v>
                </c:pt>
                <c:pt idx="381">
                  <c:v>506.6025355252159</c:v>
                </c:pt>
                <c:pt idx="382">
                  <c:v>183.35692393424353</c:v>
                </c:pt>
                <c:pt idx="383">
                  <c:v>201.53455001393144</c:v>
                </c:pt>
                <c:pt idx="384">
                  <c:v>164.38896628587352</c:v>
                </c:pt>
                <c:pt idx="385">
                  <c:v>938.12357202563385</c:v>
                </c:pt>
                <c:pt idx="386">
                  <c:v>1061.4152967400391</c:v>
                </c:pt>
                <c:pt idx="387">
                  <c:v>67.968514906659237</c:v>
                </c:pt>
                <c:pt idx="388">
                  <c:v>548.49010866536639</c:v>
                </c:pt>
                <c:pt idx="389">
                  <c:v>221.29283923098359</c:v>
                </c:pt>
                <c:pt idx="390">
                  <c:v>226.82516021175817</c:v>
                </c:pt>
                <c:pt idx="391">
                  <c:v>4912.7010309278348</c:v>
                </c:pt>
                <c:pt idx="392">
                  <c:v>867.78406241292839</c:v>
                </c:pt>
                <c:pt idx="393">
                  <c:v>91.678461967121763</c:v>
                </c:pt>
                <c:pt idx="394">
                  <c:v>173.08261354137642</c:v>
                </c:pt>
                <c:pt idx="395">
                  <c:v>67.17818333797716</c:v>
                </c:pt>
                <c:pt idx="396">
                  <c:v>28.45193647255503</c:v>
                </c:pt>
                <c:pt idx="397">
                  <c:v>3142.3583170799661</c:v>
                </c:pt>
                <c:pt idx="398">
                  <c:v>110.64641961549179</c:v>
                </c:pt>
                <c:pt idx="399">
                  <c:v>8599.5977988297582</c:v>
                </c:pt>
              </c:numCache>
            </c:numRef>
          </c:xVal>
          <c:yVal>
            <c:numRef>
              <c:f>calibration_flow!$CY$2:$CY$401</c:f>
              <c:numCache>
                <c:formatCode>_(* #,##0_);_(* \(#,##0\);_(* "-"??_);_(@_)</c:formatCode>
                <c:ptCount val="400"/>
                <c:pt idx="0">
                  <c:v>2093.0000000000005</c:v>
                </c:pt>
                <c:pt idx="1">
                  <c:v>269.00000000000006</c:v>
                </c:pt>
                <c:pt idx="2">
                  <c:v>153.00000000000003</c:v>
                </c:pt>
                <c:pt idx="3">
                  <c:v>139.00000000000003</c:v>
                </c:pt>
                <c:pt idx="4">
                  <c:v>358.00000000000006</c:v>
                </c:pt>
                <c:pt idx="5">
                  <c:v>1013.0000000000002</c:v>
                </c:pt>
                <c:pt idx="6">
                  <c:v>122.00000000000003</c:v>
                </c:pt>
                <c:pt idx="7">
                  <c:v>19.000000000000004</c:v>
                </c:pt>
                <c:pt idx="8">
                  <c:v>100.00000000000003</c:v>
                </c:pt>
                <c:pt idx="9">
                  <c:v>40.000000000000007</c:v>
                </c:pt>
                <c:pt idx="10">
                  <c:v>75.000000000000014</c:v>
                </c:pt>
                <c:pt idx="11">
                  <c:v>346.00000000000006</c:v>
                </c:pt>
                <c:pt idx="12">
                  <c:v>68.000000000000014</c:v>
                </c:pt>
                <c:pt idx="13">
                  <c:v>5.0000000000000009</c:v>
                </c:pt>
                <c:pt idx="14">
                  <c:v>12.000000000000004</c:v>
                </c:pt>
                <c:pt idx="15">
                  <c:v>2.0000000000000004</c:v>
                </c:pt>
                <c:pt idx="16">
                  <c:v>3.0000000000000009</c:v>
                </c:pt>
                <c:pt idx="17">
                  <c:v>8.0000000000000018</c:v>
                </c:pt>
                <c:pt idx="18">
                  <c:v>4.0000000000000009</c:v>
                </c:pt>
                <c:pt idx="19">
                  <c:v>0</c:v>
                </c:pt>
                <c:pt idx="20">
                  <c:v>3207.0000000000005</c:v>
                </c:pt>
                <c:pt idx="21">
                  <c:v>2008.0000000000002</c:v>
                </c:pt>
                <c:pt idx="22">
                  <c:v>595.00000000000011</c:v>
                </c:pt>
                <c:pt idx="23">
                  <c:v>367.00000000000006</c:v>
                </c:pt>
                <c:pt idx="24">
                  <c:v>781.00000000000011</c:v>
                </c:pt>
                <c:pt idx="25">
                  <c:v>2796.0000000000005</c:v>
                </c:pt>
                <c:pt idx="26">
                  <c:v>1018.0000000000001</c:v>
                </c:pt>
                <c:pt idx="27">
                  <c:v>33.000000000000007</c:v>
                </c:pt>
                <c:pt idx="28">
                  <c:v>785.00000000000011</c:v>
                </c:pt>
                <c:pt idx="29">
                  <c:v>141.00000000000003</c:v>
                </c:pt>
                <c:pt idx="30">
                  <c:v>235.00000000000003</c:v>
                </c:pt>
                <c:pt idx="31">
                  <c:v>1833.0000000000002</c:v>
                </c:pt>
                <c:pt idx="32">
                  <c:v>468.00000000000006</c:v>
                </c:pt>
                <c:pt idx="33">
                  <c:v>21.000000000000004</c:v>
                </c:pt>
                <c:pt idx="34">
                  <c:v>110.00000000000001</c:v>
                </c:pt>
                <c:pt idx="35">
                  <c:v>4.0000000000000009</c:v>
                </c:pt>
                <c:pt idx="36">
                  <c:v>12.000000000000002</c:v>
                </c:pt>
                <c:pt idx="37">
                  <c:v>36.000000000000007</c:v>
                </c:pt>
                <c:pt idx="38">
                  <c:v>23.000000000000004</c:v>
                </c:pt>
                <c:pt idx="39">
                  <c:v>4.0000000000000009</c:v>
                </c:pt>
                <c:pt idx="40">
                  <c:v>7403.9999999999991</c:v>
                </c:pt>
                <c:pt idx="41">
                  <c:v>2047.9999999999998</c:v>
                </c:pt>
                <c:pt idx="42">
                  <c:v>2668.9999999999995</c:v>
                </c:pt>
                <c:pt idx="43">
                  <c:v>891.99999999999989</c:v>
                </c:pt>
                <c:pt idx="44">
                  <c:v>1733.9999999999998</c:v>
                </c:pt>
                <c:pt idx="45">
                  <c:v>5170.9999999999991</c:v>
                </c:pt>
                <c:pt idx="46">
                  <c:v>1002.9999999999999</c:v>
                </c:pt>
                <c:pt idx="47">
                  <c:v>73.999999999999986</c:v>
                </c:pt>
                <c:pt idx="48">
                  <c:v>889.99999999999989</c:v>
                </c:pt>
                <c:pt idx="49">
                  <c:v>294.99999999999994</c:v>
                </c:pt>
                <c:pt idx="50">
                  <c:v>914.99999999999989</c:v>
                </c:pt>
                <c:pt idx="51">
                  <c:v>2477.9999999999995</c:v>
                </c:pt>
                <c:pt idx="52">
                  <c:v>485.99999999999994</c:v>
                </c:pt>
                <c:pt idx="53">
                  <c:v>72.999999999999986</c:v>
                </c:pt>
                <c:pt idx="54">
                  <c:v>141.99999999999997</c:v>
                </c:pt>
                <c:pt idx="55">
                  <c:v>24.999999999999996</c:v>
                </c:pt>
                <c:pt idx="56">
                  <c:v>57.999999999999993</c:v>
                </c:pt>
                <c:pt idx="57">
                  <c:v>32.999999999999993</c:v>
                </c:pt>
                <c:pt idx="58">
                  <c:v>85.999999999999986</c:v>
                </c:pt>
                <c:pt idx="59">
                  <c:v>3.9999999999999996</c:v>
                </c:pt>
                <c:pt idx="60">
                  <c:v>2283</c:v>
                </c:pt>
                <c:pt idx="61">
                  <c:v>609</c:v>
                </c:pt>
                <c:pt idx="62">
                  <c:v>533</c:v>
                </c:pt>
                <c:pt idx="63">
                  <c:v>636</c:v>
                </c:pt>
                <c:pt idx="64">
                  <c:v>875</c:v>
                </c:pt>
                <c:pt idx="65">
                  <c:v>1997</c:v>
                </c:pt>
                <c:pt idx="66">
                  <c:v>268</c:v>
                </c:pt>
                <c:pt idx="67">
                  <c:v>60</c:v>
                </c:pt>
                <c:pt idx="68">
                  <c:v>223</c:v>
                </c:pt>
                <c:pt idx="69">
                  <c:v>170</c:v>
                </c:pt>
                <c:pt idx="70">
                  <c:v>276</c:v>
                </c:pt>
                <c:pt idx="71">
                  <c:v>750</c:v>
                </c:pt>
                <c:pt idx="72">
                  <c:v>123</c:v>
                </c:pt>
                <c:pt idx="73">
                  <c:v>36</c:v>
                </c:pt>
                <c:pt idx="74">
                  <c:v>28</c:v>
                </c:pt>
                <c:pt idx="75">
                  <c:v>13</c:v>
                </c:pt>
                <c:pt idx="76">
                  <c:v>14</c:v>
                </c:pt>
                <c:pt idx="77">
                  <c:v>9</c:v>
                </c:pt>
                <c:pt idx="78">
                  <c:v>21</c:v>
                </c:pt>
                <c:pt idx="79">
                  <c:v>2</c:v>
                </c:pt>
                <c:pt idx="80">
                  <c:v>2031</c:v>
                </c:pt>
                <c:pt idx="81">
                  <c:v>492</c:v>
                </c:pt>
                <c:pt idx="82">
                  <c:v>286</c:v>
                </c:pt>
                <c:pt idx="83">
                  <c:v>315</c:v>
                </c:pt>
                <c:pt idx="84">
                  <c:v>1301</c:v>
                </c:pt>
                <c:pt idx="85">
                  <c:v>2368</c:v>
                </c:pt>
                <c:pt idx="86">
                  <c:v>201</c:v>
                </c:pt>
                <c:pt idx="87">
                  <c:v>31</c:v>
                </c:pt>
                <c:pt idx="88">
                  <c:v>161</c:v>
                </c:pt>
                <c:pt idx="89">
                  <c:v>212</c:v>
                </c:pt>
                <c:pt idx="90">
                  <c:v>142</c:v>
                </c:pt>
                <c:pt idx="91">
                  <c:v>827</c:v>
                </c:pt>
                <c:pt idx="92">
                  <c:v>96</c:v>
                </c:pt>
                <c:pt idx="93">
                  <c:v>17</c:v>
                </c:pt>
                <c:pt idx="94">
                  <c:v>22</c:v>
                </c:pt>
                <c:pt idx="95">
                  <c:v>17</c:v>
                </c:pt>
                <c:pt idx="96">
                  <c:v>8</c:v>
                </c:pt>
                <c:pt idx="97">
                  <c:v>7</c:v>
                </c:pt>
                <c:pt idx="98">
                  <c:v>16</c:v>
                </c:pt>
                <c:pt idx="99">
                  <c:v>4</c:v>
                </c:pt>
                <c:pt idx="100">
                  <c:v>5957</c:v>
                </c:pt>
                <c:pt idx="101">
                  <c:v>1560</c:v>
                </c:pt>
                <c:pt idx="102">
                  <c:v>712</c:v>
                </c:pt>
                <c:pt idx="103">
                  <c:v>552</c:v>
                </c:pt>
                <c:pt idx="104">
                  <c:v>1834</c:v>
                </c:pt>
                <c:pt idx="105">
                  <c:v>9282</c:v>
                </c:pt>
                <c:pt idx="106">
                  <c:v>765</c:v>
                </c:pt>
                <c:pt idx="107">
                  <c:v>62</c:v>
                </c:pt>
                <c:pt idx="108">
                  <c:v>531</c:v>
                </c:pt>
                <c:pt idx="109">
                  <c:v>379</c:v>
                </c:pt>
                <c:pt idx="110">
                  <c:v>297</c:v>
                </c:pt>
                <c:pt idx="111">
                  <c:v>2835</c:v>
                </c:pt>
                <c:pt idx="112">
                  <c:v>425</c:v>
                </c:pt>
                <c:pt idx="113">
                  <c:v>31</c:v>
                </c:pt>
                <c:pt idx="114">
                  <c:v>84</c:v>
                </c:pt>
                <c:pt idx="115">
                  <c:v>20</c:v>
                </c:pt>
                <c:pt idx="116">
                  <c:v>12</c:v>
                </c:pt>
                <c:pt idx="117">
                  <c:v>40</c:v>
                </c:pt>
                <c:pt idx="118">
                  <c:v>25</c:v>
                </c:pt>
                <c:pt idx="119">
                  <c:v>4</c:v>
                </c:pt>
                <c:pt idx="120">
                  <c:v>10750</c:v>
                </c:pt>
                <c:pt idx="121">
                  <c:v>5557</c:v>
                </c:pt>
                <c:pt idx="122">
                  <c:v>1907</c:v>
                </c:pt>
                <c:pt idx="123">
                  <c:v>1005</c:v>
                </c:pt>
                <c:pt idx="124">
                  <c:v>2579</c:v>
                </c:pt>
                <c:pt idx="125">
                  <c:v>9737</c:v>
                </c:pt>
                <c:pt idx="126">
                  <c:v>13358</c:v>
                </c:pt>
                <c:pt idx="127">
                  <c:v>86</c:v>
                </c:pt>
                <c:pt idx="128">
                  <c:v>3513</c:v>
                </c:pt>
                <c:pt idx="129">
                  <c:v>482</c:v>
                </c:pt>
                <c:pt idx="130">
                  <c:v>672</c:v>
                </c:pt>
                <c:pt idx="131">
                  <c:v>11773</c:v>
                </c:pt>
                <c:pt idx="132">
                  <c:v>14128</c:v>
                </c:pt>
                <c:pt idx="133">
                  <c:v>71</c:v>
                </c:pt>
                <c:pt idx="134">
                  <c:v>1121</c:v>
                </c:pt>
                <c:pt idx="135">
                  <c:v>29</c:v>
                </c:pt>
                <c:pt idx="136">
                  <c:v>44</c:v>
                </c:pt>
                <c:pt idx="137">
                  <c:v>388</c:v>
                </c:pt>
                <c:pt idx="138">
                  <c:v>111</c:v>
                </c:pt>
                <c:pt idx="139">
                  <c:v>20</c:v>
                </c:pt>
                <c:pt idx="140">
                  <c:v>1129</c:v>
                </c:pt>
                <c:pt idx="141">
                  <c:v>297</c:v>
                </c:pt>
                <c:pt idx="142">
                  <c:v>273</c:v>
                </c:pt>
                <c:pt idx="143">
                  <c:v>206</c:v>
                </c:pt>
                <c:pt idx="144">
                  <c:v>325</c:v>
                </c:pt>
                <c:pt idx="145">
                  <c:v>833</c:v>
                </c:pt>
                <c:pt idx="146">
                  <c:v>132</c:v>
                </c:pt>
                <c:pt idx="147">
                  <c:v>27</c:v>
                </c:pt>
                <c:pt idx="148">
                  <c:v>129</c:v>
                </c:pt>
                <c:pt idx="149">
                  <c:v>61</c:v>
                </c:pt>
                <c:pt idx="150">
                  <c:v>308</c:v>
                </c:pt>
                <c:pt idx="151">
                  <c:v>271</c:v>
                </c:pt>
                <c:pt idx="152">
                  <c:v>50</c:v>
                </c:pt>
                <c:pt idx="153">
                  <c:v>40</c:v>
                </c:pt>
                <c:pt idx="154">
                  <c:v>24</c:v>
                </c:pt>
                <c:pt idx="155">
                  <c:v>0</c:v>
                </c:pt>
                <c:pt idx="156">
                  <c:v>14</c:v>
                </c:pt>
                <c:pt idx="157">
                  <c:v>3</c:v>
                </c:pt>
                <c:pt idx="158">
                  <c:v>24</c:v>
                </c:pt>
                <c:pt idx="159">
                  <c:v>2</c:v>
                </c:pt>
                <c:pt idx="160">
                  <c:v>11029.999999999998</c:v>
                </c:pt>
                <c:pt idx="161">
                  <c:v>5240.9999999999991</c:v>
                </c:pt>
                <c:pt idx="162">
                  <c:v>2006.9999999999998</c:v>
                </c:pt>
                <c:pt idx="163">
                  <c:v>958.99999999999989</c:v>
                </c:pt>
                <c:pt idx="164">
                  <c:v>2424.9999999999995</c:v>
                </c:pt>
                <c:pt idx="165">
                  <c:v>9224.9999999999982</c:v>
                </c:pt>
                <c:pt idx="166">
                  <c:v>4741.9999999999991</c:v>
                </c:pt>
                <c:pt idx="167">
                  <c:v>77.999999999999986</c:v>
                </c:pt>
                <c:pt idx="168">
                  <c:v>7544.9999999999991</c:v>
                </c:pt>
                <c:pt idx="169">
                  <c:v>364.99999999999994</c:v>
                </c:pt>
                <c:pt idx="170">
                  <c:v>1919.9999999999998</c:v>
                </c:pt>
                <c:pt idx="171">
                  <c:v>5226.9999999999991</c:v>
                </c:pt>
                <c:pt idx="172">
                  <c:v>3087.9999999999995</c:v>
                </c:pt>
                <c:pt idx="173">
                  <c:v>126.99999999999999</c:v>
                </c:pt>
                <c:pt idx="174">
                  <c:v>2753.9999999999995</c:v>
                </c:pt>
                <c:pt idx="175">
                  <c:v>34.999999999999993</c:v>
                </c:pt>
                <c:pt idx="176">
                  <c:v>118.99999999999999</c:v>
                </c:pt>
                <c:pt idx="177">
                  <c:v>78.999999999999986</c:v>
                </c:pt>
                <c:pt idx="178">
                  <c:v>422.99999999999994</c:v>
                </c:pt>
                <c:pt idx="179">
                  <c:v>4.9999999999999991</c:v>
                </c:pt>
                <c:pt idx="180">
                  <c:v>5260.9999999999991</c:v>
                </c:pt>
                <c:pt idx="181">
                  <c:v>1378.9999999999998</c:v>
                </c:pt>
                <c:pt idx="182">
                  <c:v>696.99999999999989</c:v>
                </c:pt>
                <c:pt idx="183">
                  <c:v>808.99999999999989</c:v>
                </c:pt>
                <c:pt idx="184">
                  <c:v>2358.9999999999995</c:v>
                </c:pt>
                <c:pt idx="185">
                  <c:v>6037.9999999999991</c:v>
                </c:pt>
                <c:pt idx="186">
                  <c:v>658.99999999999989</c:v>
                </c:pt>
                <c:pt idx="187">
                  <c:v>98.999999999999986</c:v>
                </c:pt>
                <c:pt idx="188">
                  <c:v>412.99999999999994</c:v>
                </c:pt>
                <c:pt idx="189">
                  <c:v>1253.9999999999998</c:v>
                </c:pt>
                <c:pt idx="190">
                  <c:v>301.99999999999994</c:v>
                </c:pt>
                <c:pt idx="191">
                  <c:v>4565.9999999999991</c:v>
                </c:pt>
                <c:pt idx="192">
                  <c:v>376.99999999999994</c:v>
                </c:pt>
                <c:pt idx="193">
                  <c:v>49.999999999999993</c:v>
                </c:pt>
                <c:pt idx="194">
                  <c:v>83.999999999999986</c:v>
                </c:pt>
                <c:pt idx="195">
                  <c:v>152.99999999999997</c:v>
                </c:pt>
                <c:pt idx="196">
                  <c:v>23.999999999999996</c:v>
                </c:pt>
                <c:pt idx="197">
                  <c:v>70.999999999999986</c:v>
                </c:pt>
                <c:pt idx="198">
                  <c:v>17.999999999999996</c:v>
                </c:pt>
                <c:pt idx="199">
                  <c:v>8.9999999999999982</c:v>
                </c:pt>
                <c:pt idx="200">
                  <c:v>10943</c:v>
                </c:pt>
                <c:pt idx="201">
                  <c:v>3117</c:v>
                </c:pt>
                <c:pt idx="202">
                  <c:v>3328</c:v>
                </c:pt>
                <c:pt idx="203">
                  <c:v>1727</c:v>
                </c:pt>
                <c:pt idx="204">
                  <c:v>2920</c:v>
                </c:pt>
                <c:pt idx="205">
                  <c:v>8202</c:v>
                </c:pt>
                <c:pt idx="206">
                  <c:v>1472</c:v>
                </c:pt>
                <c:pt idx="207">
                  <c:v>205</c:v>
                </c:pt>
                <c:pt idx="208">
                  <c:v>2737</c:v>
                </c:pt>
                <c:pt idx="209">
                  <c:v>470</c:v>
                </c:pt>
                <c:pt idx="210">
                  <c:v>8102</c:v>
                </c:pt>
                <c:pt idx="211">
                  <c:v>3236</c:v>
                </c:pt>
                <c:pt idx="212">
                  <c:v>738</c:v>
                </c:pt>
                <c:pt idx="213">
                  <c:v>470</c:v>
                </c:pt>
                <c:pt idx="214">
                  <c:v>766</c:v>
                </c:pt>
                <c:pt idx="215">
                  <c:v>31</c:v>
                </c:pt>
                <c:pt idx="216">
                  <c:v>400</c:v>
                </c:pt>
                <c:pt idx="217">
                  <c:v>53</c:v>
                </c:pt>
                <c:pt idx="218">
                  <c:v>1262</c:v>
                </c:pt>
                <c:pt idx="219">
                  <c:v>5</c:v>
                </c:pt>
                <c:pt idx="220">
                  <c:v>18849</c:v>
                </c:pt>
                <c:pt idx="221">
                  <c:v>6809</c:v>
                </c:pt>
                <c:pt idx="222">
                  <c:v>2451</c:v>
                </c:pt>
                <c:pt idx="223">
                  <c:v>1718</c:v>
                </c:pt>
                <c:pt idx="224">
                  <c:v>4896</c:v>
                </c:pt>
                <c:pt idx="225">
                  <c:v>20075</c:v>
                </c:pt>
                <c:pt idx="226">
                  <c:v>7195</c:v>
                </c:pt>
                <c:pt idx="227">
                  <c:v>172</c:v>
                </c:pt>
                <c:pt idx="228">
                  <c:v>2605</c:v>
                </c:pt>
                <c:pt idx="229">
                  <c:v>1326</c:v>
                </c:pt>
                <c:pt idx="230">
                  <c:v>882</c:v>
                </c:pt>
                <c:pt idx="231">
                  <c:v>27487</c:v>
                </c:pt>
                <c:pt idx="232">
                  <c:v>6691</c:v>
                </c:pt>
                <c:pt idx="233">
                  <c:v>117</c:v>
                </c:pt>
                <c:pt idx="234">
                  <c:v>503</c:v>
                </c:pt>
                <c:pt idx="235">
                  <c:v>261</c:v>
                </c:pt>
                <c:pt idx="236">
                  <c:v>47</c:v>
                </c:pt>
                <c:pt idx="237">
                  <c:v>1351</c:v>
                </c:pt>
                <c:pt idx="238">
                  <c:v>102</c:v>
                </c:pt>
                <c:pt idx="239">
                  <c:v>170</c:v>
                </c:pt>
                <c:pt idx="240">
                  <c:v>3996</c:v>
                </c:pt>
                <c:pt idx="241">
                  <c:v>1626</c:v>
                </c:pt>
                <c:pt idx="242">
                  <c:v>631</c:v>
                </c:pt>
                <c:pt idx="243">
                  <c:v>364</c:v>
                </c:pt>
                <c:pt idx="244">
                  <c:v>881</c:v>
                </c:pt>
                <c:pt idx="245">
                  <c:v>3515</c:v>
                </c:pt>
                <c:pt idx="246">
                  <c:v>7137</c:v>
                </c:pt>
                <c:pt idx="247">
                  <c:v>30</c:v>
                </c:pt>
                <c:pt idx="248">
                  <c:v>936</c:v>
                </c:pt>
                <c:pt idx="249">
                  <c:v>160</c:v>
                </c:pt>
                <c:pt idx="250">
                  <c:v>208</c:v>
                </c:pt>
                <c:pt idx="251">
                  <c:v>5606</c:v>
                </c:pt>
                <c:pt idx="252">
                  <c:v>43339</c:v>
                </c:pt>
                <c:pt idx="253">
                  <c:v>34</c:v>
                </c:pt>
                <c:pt idx="254">
                  <c:v>1854</c:v>
                </c:pt>
                <c:pt idx="255">
                  <c:v>19</c:v>
                </c:pt>
                <c:pt idx="256">
                  <c:v>19</c:v>
                </c:pt>
                <c:pt idx="257">
                  <c:v>1118</c:v>
                </c:pt>
                <c:pt idx="258">
                  <c:v>117</c:v>
                </c:pt>
                <c:pt idx="259">
                  <c:v>55</c:v>
                </c:pt>
                <c:pt idx="260">
                  <c:v>3584.0000000000009</c:v>
                </c:pt>
                <c:pt idx="261">
                  <c:v>958.00000000000023</c:v>
                </c:pt>
                <c:pt idx="262">
                  <c:v>860.00000000000023</c:v>
                </c:pt>
                <c:pt idx="263">
                  <c:v>618.00000000000011</c:v>
                </c:pt>
                <c:pt idx="264">
                  <c:v>1032.0000000000002</c:v>
                </c:pt>
                <c:pt idx="265">
                  <c:v>2787.0000000000005</c:v>
                </c:pt>
                <c:pt idx="266">
                  <c:v>419.00000000000011</c:v>
                </c:pt>
                <c:pt idx="267">
                  <c:v>131.00000000000003</c:v>
                </c:pt>
                <c:pt idx="268">
                  <c:v>501.00000000000011</c:v>
                </c:pt>
                <c:pt idx="269">
                  <c:v>200.00000000000006</c:v>
                </c:pt>
                <c:pt idx="270">
                  <c:v>1571.0000000000005</c:v>
                </c:pt>
                <c:pt idx="271">
                  <c:v>1030.0000000000002</c:v>
                </c:pt>
                <c:pt idx="272">
                  <c:v>232.00000000000006</c:v>
                </c:pt>
                <c:pt idx="273">
                  <c:v>4343.0000000000009</c:v>
                </c:pt>
                <c:pt idx="274">
                  <c:v>103.00000000000003</c:v>
                </c:pt>
                <c:pt idx="275">
                  <c:v>17.000000000000004</c:v>
                </c:pt>
                <c:pt idx="276">
                  <c:v>607.00000000000011</c:v>
                </c:pt>
                <c:pt idx="277">
                  <c:v>24.000000000000007</c:v>
                </c:pt>
                <c:pt idx="278">
                  <c:v>344.00000000000006</c:v>
                </c:pt>
                <c:pt idx="279">
                  <c:v>1.0000000000000002</c:v>
                </c:pt>
                <c:pt idx="280">
                  <c:v>2436.0000000000005</c:v>
                </c:pt>
                <c:pt idx="281">
                  <c:v>1070.0000000000002</c:v>
                </c:pt>
                <c:pt idx="282">
                  <c:v>365.00000000000006</c:v>
                </c:pt>
                <c:pt idx="283">
                  <c:v>222.00000000000003</c:v>
                </c:pt>
                <c:pt idx="284">
                  <c:v>536.00000000000011</c:v>
                </c:pt>
                <c:pt idx="285">
                  <c:v>1938.0000000000002</c:v>
                </c:pt>
                <c:pt idx="286">
                  <c:v>1556.0000000000002</c:v>
                </c:pt>
                <c:pt idx="287">
                  <c:v>20.000000000000004</c:v>
                </c:pt>
                <c:pt idx="288">
                  <c:v>1698.0000000000002</c:v>
                </c:pt>
                <c:pt idx="289">
                  <c:v>83.000000000000014</c:v>
                </c:pt>
                <c:pt idx="290">
                  <c:v>436.00000000000006</c:v>
                </c:pt>
                <c:pt idx="291">
                  <c:v>1211.0000000000002</c:v>
                </c:pt>
                <c:pt idx="292">
                  <c:v>6668.0000000000009</c:v>
                </c:pt>
                <c:pt idx="293">
                  <c:v>30.000000000000004</c:v>
                </c:pt>
                <c:pt idx="294">
                  <c:v>9575.0000000000018</c:v>
                </c:pt>
                <c:pt idx="295">
                  <c:v>4.0000000000000009</c:v>
                </c:pt>
                <c:pt idx="296">
                  <c:v>54.000000000000007</c:v>
                </c:pt>
                <c:pt idx="297">
                  <c:v>80.000000000000014</c:v>
                </c:pt>
                <c:pt idx="298">
                  <c:v>719.00000000000011</c:v>
                </c:pt>
                <c:pt idx="299">
                  <c:v>4.0000000000000009</c:v>
                </c:pt>
                <c:pt idx="300">
                  <c:v>2229.9999999999995</c:v>
                </c:pt>
                <c:pt idx="301">
                  <c:v>579.99999999999989</c:v>
                </c:pt>
                <c:pt idx="302">
                  <c:v>293.99999999999994</c:v>
                </c:pt>
                <c:pt idx="303">
                  <c:v>366.99999999999994</c:v>
                </c:pt>
                <c:pt idx="304">
                  <c:v>1049.9999999999998</c:v>
                </c:pt>
                <c:pt idx="305">
                  <c:v>2716.9999999999995</c:v>
                </c:pt>
                <c:pt idx="306">
                  <c:v>287.99999999999994</c:v>
                </c:pt>
                <c:pt idx="307">
                  <c:v>55.999999999999993</c:v>
                </c:pt>
                <c:pt idx="308">
                  <c:v>188.99999999999997</c:v>
                </c:pt>
                <c:pt idx="309">
                  <c:v>543.99999999999989</c:v>
                </c:pt>
                <c:pt idx="310">
                  <c:v>132.99999999999997</c:v>
                </c:pt>
                <c:pt idx="311">
                  <c:v>3869.9999999999995</c:v>
                </c:pt>
                <c:pt idx="312">
                  <c:v>273.99999999999994</c:v>
                </c:pt>
                <c:pt idx="313">
                  <c:v>18.999999999999996</c:v>
                </c:pt>
                <c:pt idx="314">
                  <c:v>33.999999999999993</c:v>
                </c:pt>
                <c:pt idx="315">
                  <c:v>457.99999999999994</c:v>
                </c:pt>
                <c:pt idx="316">
                  <c:v>14.999999999999998</c:v>
                </c:pt>
                <c:pt idx="317">
                  <c:v>195.99999999999997</c:v>
                </c:pt>
                <c:pt idx="318">
                  <c:v>9.9999999999999982</c:v>
                </c:pt>
                <c:pt idx="319">
                  <c:v>66.999999999999986</c:v>
                </c:pt>
                <c:pt idx="320">
                  <c:v>3188</c:v>
                </c:pt>
                <c:pt idx="321">
                  <c:v>788</c:v>
                </c:pt>
                <c:pt idx="322">
                  <c:v>906</c:v>
                </c:pt>
                <c:pt idx="323">
                  <c:v>492</c:v>
                </c:pt>
                <c:pt idx="324">
                  <c:v>852</c:v>
                </c:pt>
                <c:pt idx="325">
                  <c:v>2350</c:v>
                </c:pt>
                <c:pt idx="326">
                  <c:v>367</c:v>
                </c:pt>
                <c:pt idx="327">
                  <c:v>59</c:v>
                </c:pt>
                <c:pt idx="328">
                  <c:v>549</c:v>
                </c:pt>
                <c:pt idx="329">
                  <c:v>129</c:v>
                </c:pt>
                <c:pt idx="330">
                  <c:v>1939</c:v>
                </c:pt>
                <c:pt idx="331">
                  <c:v>935</c:v>
                </c:pt>
                <c:pt idx="332">
                  <c:v>214</c:v>
                </c:pt>
                <c:pt idx="333">
                  <c:v>1043</c:v>
                </c:pt>
                <c:pt idx="334">
                  <c:v>315</c:v>
                </c:pt>
                <c:pt idx="335">
                  <c:v>9</c:v>
                </c:pt>
                <c:pt idx="336">
                  <c:v>1729</c:v>
                </c:pt>
                <c:pt idx="337">
                  <c:v>14</c:v>
                </c:pt>
                <c:pt idx="338">
                  <c:v>1405</c:v>
                </c:pt>
                <c:pt idx="339">
                  <c:v>4</c:v>
                </c:pt>
                <c:pt idx="340">
                  <c:v>2596</c:v>
                </c:pt>
                <c:pt idx="341">
                  <c:v>887</c:v>
                </c:pt>
                <c:pt idx="342">
                  <c:v>345</c:v>
                </c:pt>
                <c:pt idx="343">
                  <c:v>228</c:v>
                </c:pt>
                <c:pt idx="344">
                  <c:v>648</c:v>
                </c:pt>
                <c:pt idx="345">
                  <c:v>2546</c:v>
                </c:pt>
                <c:pt idx="346">
                  <c:v>1308</c:v>
                </c:pt>
                <c:pt idx="347">
                  <c:v>23</c:v>
                </c:pt>
                <c:pt idx="348">
                  <c:v>334</c:v>
                </c:pt>
                <c:pt idx="349">
                  <c:v>189</c:v>
                </c:pt>
                <c:pt idx="350">
                  <c:v>128</c:v>
                </c:pt>
                <c:pt idx="351">
                  <c:v>10453</c:v>
                </c:pt>
                <c:pt idx="352">
                  <c:v>8285</c:v>
                </c:pt>
                <c:pt idx="353">
                  <c:v>18</c:v>
                </c:pt>
                <c:pt idx="354">
                  <c:v>148</c:v>
                </c:pt>
                <c:pt idx="355">
                  <c:v>73</c:v>
                </c:pt>
                <c:pt idx="356">
                  <c:v>11</c:v>
                </c:pt>
                <c:pt idx="357">
                  <c:v>3734</c:v>
                </c:pt>
                <c:pt idx="358">
                  <c:v>17</c:v>
                </c:pt>
                <c:pt idx="359">
                  <c:v>774</c:v>
                </c:pt>
                <c:pt idx="360">
                  <c:v>4599</c:v>
                </c:pt>
                <c:pt idx="361">
                  <c:v>1187</c:v>
                </c:pt>
                <c:pt idx="362">
                  <c:v>1210</c:v>
                </c:pt>
                <c:pt idx="363">
                  <c:v>688</c:v>
                </c:pt>
                <c:pt idx="364">
                  <c:v>1196</c:v>
                </c:pt>
                <c:pt idx="365">
                  <c:v>3553</c:v>
                </c:pt>
                <c:pt idx="366">
                  <c:v>722</c:v>
                </c:pt>
                <c:pt idx="367">
                  <c:v>76</c:v>
                </c:pt>
                <c:pt idx="368">
                  <c:v>1269</c:v>
                </c:pt>
                <c:pt idx="369">
                  <c:v>170</c:v>
                </c:pt>
                <c:pt idx="370">
                  <c:v>3546</c:v>
                </c:pt>
                <c:pt idx="371">
                  <c:v>1326</c:v>
                </c:pt>
                <c:pt idx="372">
                  <c:v>1172</c:v>
                </c:pt>
                <c:pt idx="373">
                  <c:v>543</c:v>
                </c:pt>
                <c:pt idx="374">
                  <c:v>2789</c:v>
                </c:pt>
                <c:pt idx="375">
                  <c:v>12</c:v>
                </c:pt>
                <c:pt idx="376">
                  <c:v>1449</c:v>
                </c:pt>
                <c:pt idx="377">
                  <c:v>41</c:v>
                </c:pt>
                <c:pt idx="378">
                  <c:v>8039</c:v>
                </c:pt>
                <c:pt idx="379">
                  <c:v>3</c:v>
                </c:pt>
                <c:pt idx="380">
                  <c:v>1151</c:v>
                </c:pt>
                <c:pt idx="381">
                  <c:v>417</c:v>
                </c:pt>
                <c:pt idx="382">
                  <c:v>158</c:v>
                </c:pt>
                <c:pt idx="383">
                  <c:v>100</c:v>
                </c:pt>
                <c:pt idx="384">
                  <c:v>281</c:v>
                </c:pt>
                <c:pt idx="385">
                  <c:v>1271</c:v>
                </c:pt>
                <c:pt idx="386">
                  <c:v>388</c:v>
                </c:pt>
                <c:pt idx="387">
                  <c:v>11</c:v>
                </c:pt>
                <c:pt idx="388">
                  <c:v>144</c:v>
                </c:pt>
                <c:pt idx="389">
                  <c:v>91</c:v>
                </c:pt>
                <c:pt idx="390">
                  <c:v>61</c:v>
                </c:pt>
                <c:pt idx="391">
                  <c:v>5157</c:v>
                </c:pt>
                <c:pt idx="392">
                  <c:v>1351</c:v>
                </c:pt>
                <c:pt idx="393">
                  <c:v>9</c:v>
                </c:pt>
                <c:pt idx="394">
                  <c:v>46</c:v>
                </c:pt>
                <c:pt idx="395">
                  <c:v>89</c:v>
                </c:pt>
                <c:pt idx="396">
                  <c:v>4</c:v>
                </c:pt>
                <c:pt idx="397">
                  <c:v>2684</c:v>
                </c:pt>
                <c:pt idx="398">
                  <c:v>11</c:v>
                </c:pt>
                <c:pt idx="399">
                  <c:v>9268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52-4175-847D-2995C0970A1A}"/>
            </c:ext>
          </c:extLst>
        </c:ser>
        <c:ser>
          <c:idx val="1"/>
          <c:order val="1"/>
          <c:tx>
            <c:strRef>
              <c:f>calibration_flow!$DB$1</c:f>
              <c:strCache>
                <c:ptCount val="1"/>
                <c:pt idx="0">
                  <c:v>Ref</c:v>
                </c:pt>
              </c:strCache>
            </c:strRef>
          </c:tx>
          <c:spPr>
            <a:ln cap="rnd" w="25400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calibration_flow!$DB$2:$DB$61</c:f>
              <c:numCache>
                <c:formatCode>General</c:formatCode>
                <c:ptCount val="6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22000</c:v>
                </c:pt>
                <c:pt idx="22">
                  <c:v>23000</c:v>
                </c:pt>
                <c:pt idx="23">
                  <c:v>24000</c:v>
                </c:pt>
                <c:pt idx="24">
                  <c:v>25000</c:v>
                </c:pt>
                <c:pt idx="25">
                  <c:v>26000</c:v>
                </c:pt>
                <c:pt idx="26">
                  <c:v>27000</c:v>
                </c:pt>
                <c:pt idx="27">
                  <c:v>28000</c:v>
                </c:pt>
                <c:pt idx="28">
                  <c:v>29000</c:v>
                </c:pt>
                <c:pt idx="29">
                  <c:v>30000</c:v>
                </c:pt>
                <c:pt idx="30">
                  <c:v>31000</c:v>
                </c:pt>
                <c:pt idx="31">
                  <c:v>32000</c:v>
                </c:pt>
                <c:pt idx="32">
                  <c:v>33000</c:v>
                </c:pt>
                <c:pt idx="33">
                  <c:v>34000</c:v>
                </c:pt>
                <c:pt idx="34">
                  <c:v>35000</c:v>
                </c:pt>
                <c:pt idx="35">
                  <c:v>36000</c:v>
                </c:pt>
                <c:pt idx="36">
                  <c:v>37000</c:v>
                </c:pt>
                <c:pt idx="37">
                  <c:v>38000</c:v>
                </c:pt>
                <c:pt idx="38">
                  <c:v>39000</c:v>
                </c:pt>
                <c:pt idx="39">
                  <c:v>40000</c:v>
                </c:pt>
                <c:pt idx="40">
                  <c:v>41000</c:v>
                </c:pt>
                <c:pt idx="41">
                  <c:v>42000</c:v>
                </c:pt>
                <c:pt idx="42">
                  <c:v>43000</c:v>
                </c:pt>
                <c:pt idx="43">
                  <c:v>44000</c:v>
                </c:pt>
                <c:pt idx="44">
                  <c:v>45000</c:v>
                </c:pt>
                <c:pt idx="45">
                  <c:v>46000</c:v>
                </c:pt>
                <c:pt idx="46">
                  <c:v>47000</c:v>
                </c:pt>
                <c:pt idx="47">
                  <c:v>48000</c:v>
                </c:pt>
                <c:pt idx="48">
                  <c:v>49000</c:v>
                </c:pt>
                <c:pt idx="49">
                  <c:v>50000</c:v>
                </c:pt>
                <c:pt idx="50">
                  <c:v>51000</c:v>
                </c:pt>
                <c:pt idx="51">
                  <c:v>52000</c:v>
                </c:pt>
                <c:pt idx="52">
                  <c:v>53000</c:v>
                </c:pt>
                <c:pt idx="53">
                  <c:v>54000</c:v>
                </c:pt>
                <c:pt idx="54">
                  <c:v>55000</c:v>
                </c:pt>
                <c:pt idx="55">
                  <c:v>56000</c:v>
                </c:pt>
                <c:pt idx="56">
                  <c:v>57000</c:v>
                </c:pt>
                <c:pt idx="57">
                  <c:v>58000</c:v>
                </c:pt>
                <c:pt idx="58">
                  <c:v>59000</c:v>
                </c:pt>
                <c:pt idx="59">
                  <c:v>60000</c:v>
                </c:pt>
              </c:numCache>
            </c:numRef>
          </c:xVal>
          <c:yVal>
            <c:numRef>
              <c:f>calibration_flow!$DB$2:$DB$61</c:f>
              <c:numCache>
                <c:formatCode>General</c:formatCode>
                <c:ptCount val="6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22000</c:v>
                </c:pt>
                <c:pt idx="22">
                  <c:v>23000</c:v>
                </c:pt>
                <c:pt idx="23">
                  <c:v>24000</c:v>
                </c:pt>
                <c:pt idx="24">
                  <c:v>25000</c:v>
                </c:pt>
                <c:pt idx="25">
                  <c:v>26000</c:v>
                </c:pt>
                <c:pt idx="26">
                  <c:v>27000</c:v>
                </c:pt>
                <c:pt idx="27">
                  <c:v>28000</c:v>
                </c:pt>
                <c:pt idx="28">
                  <c:v>29000</c:v>
                </c:pt>
                <c:pt idx="29">
                  <c:v>30000</c:v>
                </c:pt>
                <c:pt idx="30">
                  <c:v>31000</c:v>
                </c:pt>
                <c:pt idx="31">
                  <c:v>32000</c:v>
                </c:pt>
                <c:pt idx="32">
                  <c:v>33000</c:v>
                </c:pt>
                <c:pt idx="33">
                  <c:v>34000</c:v>
                </c:pt>
                <c:pt idx="34">
                  <c:v>35000</c:v>
                </c:pt>
                <c:pt idx="35">
                  <c:v>36000</c:v>
                </c:pt>
                <c:pt idx="36">
                  <c:v>37000</c:v>
                </c:pt>
                <c:pt idx="37">
                  <c:v>38000</c:v>
                </c:pt>
                <c:pt idx="38">
                  <c:v>39000</c:v>
                </c:pt>
                <c:pt idx="39">
                  <c:v>40000</c:v>
                </c:pt>
                <c:pt idx="40">
                  <c:v>41000</c:v>
                </c:pt>
                <c:pt idx="41">
                  <c:v>42000</c:v>
                </c:pt>
                <c:pt idx="42">
                  <c:v>43000</c:v>
                </c:pt>
                <c:pt idx="43">
                  <c:v>44000</c:v>
                </c:pt>
                <c:pt idx="44">
                  <c:v>45000</c:v>
                </c:pt>
                <c:pt idx="45">
                  <c:v>46000</c:v>
                </c:pt>
                <c:pt idx="46">
                  <c:v>47000</c:v>
                </c:pt>
                <c:pt idx="47">
                  <c:v>48000</c:v>
                </c:pt>
                <c:pt idx="48">
                  <c:v>49000</c:v>
                </c:pt>
                <c:pt idx="49">
                  <c:v>50000</c:v>
                </c:pt>
                <c:pt idx="50">
                  <c:v>51000</c:v>
                </c:pt>
                <c:pt idx="51">
                  <c:v>52000</c:v>
                </c:pt>
                <c:pt idx="52">
                  <c:v>53000</c:v>
                </c:pt>
                <c:pt idx="53">
                  <c:v>54000</c:v>
                </c:pt>
                <c:pt idx="54">
                  <c:v>55000</c:v>
                </c:pt>
                <c:pt idx="55">
                  <c:v>56000</c:v>
                </c:pt>
                <c:pt idx="56">
                  <c:v>57000</c:v>
                </c:pt>
                <c:pt idx="57">
                  <c:v>58000</c:v>
                </c:pt>
                <c:pt idx="58">
                  <c:v>59000</c:v>
                </c:pt>
                <c:pt idx="59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52-4175-847D-2995C0970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863423"/>
        <c:axId val="540863839"/>
      </c:scatterChart>
      <c:valAx>
        <c:axId val="540863423"/>
        <c:scaling>
          <c:logBase val="10"/>
          <c:orientation val="minMax"/>
          <c:max val="60000"/>
        </c:scaling>
        <c:delete val="0"/>
        <c:axPos val="b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839"/>
        <c:crosses val="autoZero"/>
        <c:crossBetween val="midCat"/>
      </c:valAx>
      <c:valAx>
        <c:axId val="540863839"/>
        <c:scaling>
          <c:logBase val="10"/>
          <c:orientation val="minMax"/>
          <c:max val="60000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EST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Worker</a:t>
            </a:r>
            <a:r>
              <a:rPr baseline="0" lang="en-US"/>
              <a:t> Locations </a:t>
            </a:r>
            <a:r>
              <a:rPr lang="en-US"/>
              <a:t>by District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Work Location by District</c:v>
          </c:tx>
          <c:spPr>
            <a:ln cap="rnd" w="25400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calibration_flow!$CX$2:$CX$401</c:f>
              <c:numCache>
                <c:formatCode>_(* #,##0_);_(* \(#,##0\);_(* "-"??_);_(@_)</c:formatCode>
                <c:ptCount val="400"/>
                <c:pt idx="0">
                  <c:v>1171.4341911162105</c:v>
                </c:pt>
                <c:pt idx="1">
                  <c:v>300.77364366497295</c:v>
                </c:pt>
                <c:pt idx="2">
                  <c:v>162.25946566136699</c:v>
                </c:pt>
                <c:pt idx="3">
                  <c:v>146.42927388952631</c:v>
                </c:pt>
                <c:pt idx="4">
                  <c:v>170.17456154728734</c:v>
                </c:pt>
                <c:pt idx="5">
                  <c:v>1249.7936403868218</c:v>
                </c:pt>
                <c:pt idx="6">
                  <c:v>206.5840026225209</c:v>
                </c:pt>
                <c:pt idx="7">
                  <c:v>20.579249303392885</c:v>
                </c:pt>
                <c:pt idx="8">
                  <c:v>208.16702179970497</c:v>
                </c:pt>
                <c:pt idx="9">
                  <c:v>103.68775610555646</c:v>
                </c:pt>
                <c:pt idx="10">
                  <c:v>142.47172594656615</c:v>
                </c:pt>
                <c:pt idx="11">
                  <c:v>800.21619406654645</c:v>
                </c:pt>
                <c:pt idx="12">
                  <c:v>49.865104081298149</c:v>
                </c:pt>
                <c:pt idx="13">
                  <c:v>9.4981150631044091</c:v>
                </c:pt>
                <c:pt idx="14">
                  <c:v>22.95377806916899</c:v>
                </c:pt>
                <c:pt idx="15">
                  <c:v>13.455663006064579</c:v>
                </c:pt>
                <c:pt idx="16">
                  <c:v>5.5405671201442388</c:v>
                </c:pt>
                <c:pt idx="17">
                  <c:v>8.7066054745123758</c:v>
                </c:pt>
                <c:pt idx="18">
                  <c:v>26.119816423537124</c:v>
                </c:pt>
                <c:pt idx="19">
                  <c:v>10.289624651696442</c:v>
                </c:pt>
                <c:pt idx="20">
                  <c:v>1663.2047384890479</c:v>
                </c:pt>
                <c:pt idx="21">
                  <c:v>1690.1697958575473</c:v>
                </c:pt>
                <c:pt idx="22">
                  <c:v>660.10460438086727</c:v>
                </c:pt>
                <c:pt idx="23">
                  <c:v>396.92564446431231</c:v>
                </c:pt>
                <c:pt idx="24">
                  <c:v>426.04790642229176</c:v>
                </c:pt>
                <c:pt idx="25">
                  <c:v>2751.5144538816871</c:v>
                </c:pt>
                <c:pt idx="26">
                  <c:v>1203.7201609298165</c:v>
                </c:pt>
                <c:pt idx="27">
                  <c:v>91.681195052898218</c:v>
                </c:pt>
                <c:pt idx="28">
                  <c:v>1173.5192966770974</c:v>
                </c:pt>
                <c:pt idx="29">
                  <c:v>290.14401728505442</c:v>
                </c:pt>
                <c:pt idx="30">
                  <c:v>704.32729846520635</c:v>
                </c:pt>
                <c:pt idx="31">
                  <c:v>2661.9904634182685</c:v>
                </c:pt>
                <c:pt idx="32">
                  <c:v>241.60691402175533</c:v>
                </c:pt>
                <c:pt idx="33">
                  <c:v>50.694307852779019</c:v>
                </c:pt>
                <c:pt idx="34">
                  <c:v>172.57636715839666</c:v>
                </c:pt>
                <c:pt idx="35">
                  <c:v>49.615705558039039</c:v>
                </c:pt>
                <c:pt idx="36">
                  <c:v>48.537103263299066</c:v>
                </c:pt>
                <c:pt idx="37">
                  <c:v>66.873342273878706</c:v>
                </c:pt>
                <c:pt idx="38">
                  <c:v>94.917001937118158</c:v>
                </c:pt>
                <c:pt idx="39">
                  <c:v>38.829682610639253</c:v>
                </c:pt>
                <c:pt idx="40">
                  <c:v>3947.2079004745415</c:v>
                </c:pt>
                <c:pt idx="41">
                  <c:v>1638.6558932922919</c:v>
                </c:pt>
                <c:pt idx="42">
                  <c:v>2563.265358471207</c:v>
                </c:pt>
                <c:pt idx="43">
                  <c:v>1146.2100808003079</c:v>
                </c:pt>
                <c:pt idx="44">
                  <c:v>1054.5132743362831</c:v>
                </c:pt>
                <c:pt idx="45">
                  <c:v>5735.2956265230214</c:v>
                </c:pt>
                <c:pt idx="46">
                  <c:v>1500.2616390919584</c:v>
                </c:pt>
                <c:pt idx="47">
                  <c:v>217.35539309991023</c:v>
                </c:pt>
                <c:pt idx="48">
                  <c:v>1397.5272540720789</c:v>
                </c:pt>
                <c:pt idx="49">
                  <c:v>597.7273310247532</c:v>
                </c:pt>
                <c:pt idx="50">
                  <c:v>1426.3947672181607</c:v>
                </c:pt>
                <c:pt idx="51">
                  <c:v>3841.9263819417724</c:v>
                </c:pt>
                <c:pt idx="52">
                  <c:v>382.07002693343594</c:v>
                </c:pt>
                <c:pt idx="53">
                  <c:v>150.2808772604848</c:v>
                </c:pt>
                <c:pt idx="54">
                  <c:v>259.80761831473643</c:v>
                </c:pt>
                <c:pt idx="55">
                  <c:v>100.18725150698987</c:v>
                </c:pt>
                <c:pt idx="56">
                  <c:v>105.28151853276901</c:v>
                </c:pt>
                <c:pt idx="57">
                  <c:v>84.904450429652428</c:v>
                </c:pt>
                <c:pt idx="58">
                  <c:v>268.29806335770166</c:v>
                </c:pt>
                <c:pt idx="59">
                  <c:v>62.829293317942799</c:v>
                </c:pt>
                <c:pt idx="60">
                  <c:v>1032.3490891959798</c:v>
                </c:pt>
                <c:pt idx="61">
                  <c:v>613.9428391959799</c:v>
                </c:pt>
                <c:pt idx="62">
                  <c:v>499.0037688442211</c:v>
                </c:pt>
                <c:pt idx="63">
                  <c:v>693.83951005025119</c:v>
                </c:pt>
                <c:pt idx="64">
                  <c:v>557.875</c:v>
                </c:pt>
                <c:pt idx="65">
                  <c:v>1870.5632851758794</c:v>
                </c:pt>
                <c:pt idx="66">
                  <c:v>560.678391959799</c:v>
                </c:pt>
                <c:pt idx="67">
                  <c:v>100.92211055276383</c:v>
                </c:pt>
                <c:pt idx="68">
                  <c:v>534.04616834170849</c:v>
                </c:pt>
                <c:pt idx="69">
                  <c:v>264.2196922110553</c:v>
                </c:pt>
                <c:pt idx="70">
                  <c:v>455.5511934673367</c:v>
                </c:pt>
                <c:pt idx="71">
                  <c:v>1282.5518216080402</c:v>
                </c:pt>
                <c:pt idx="72">
                  <c:v>138.0670540201005</c:v>
                </c:pt>
                <c:pt idx="73">
                  <c:v>51.862751256281406</c:v>
                </c:pt>
                <c:pt idx="74">
                  <c:v>79.195822864321613</c:v>
                </c:pt>
                <c:pt idx="75">
                  <c:v>33.640703517587937</c:v>
                </c:pt>
                <c:pt idx="76">
                  <c:v>25.931375628140703</c:v>
                </c:pt>
                <c:pt idx="77">
                  <c:v>47.657663316582912</c:v>
                </c:pt>
                <c:pt idx="78">
                  <c:v>67.281407035175874</c:v>
                </c:pt>
                <c:pt idx="79">
                  <c:v>16.820351758793969</c:v>
                </c:pt>
                <c:pt idx="80">
                  <c:v>1171.006419939577</c:v>
                </c:pt>
                <c:pt idx="81">
                  <c:v>448.21280211480359</c:v>
                </c:pt>
                <c:pt idx="82">
                  <c:v>317.38311933534743</c:v>
                </c:pt>
                <c:pt idx="83">
                  <c:v>373.10687311178248</c:v>
                </c:pt>
                <c:pt idx="84">
                  <c:v>637.18901057401808</c:v>
                </c:pt>
                <c:pt idx="85">
                  <c:v>2086.8141993957702</c:v>
                </c:pt>
                <c:pt idx="86">
                  <c:v>415.90917673716012</c:v>
                </c:pt>
                <c:pt idx="87">
                  <c:v>70.260385196374614</c:v>
                </c:pt>
                <c:pt idx="88">
                  <c:v>360.18542296072508</c:v>
                </c:pt>
                <c:pt idx="89">
                  <c:v>304.46166918429003</c:v>
                </c:pt>
                <c:pt idx="90">
                  <c:v>306.0768504531722</c:v>
                </c:pt>
                <c:pt idx="91">
                  <c:v>1632.9482628398794</c:v>
                </c:pt>
                <c:pt idx="92">
                  <c:v>142.94354229607251</c:v>
                </c:pt>
                <c:pt idx="93">
                  <c:v>46.840256797583088</c:v>
                </c:pt>
                <c:pt idx="94">
                  <c:v>60.569297583081571</c:v>
                </c:pt>
                <c:pt idx="95">
                  <c:v>47.647847432024165</c:v>
                </c:pt>
                <c:pt idx="96">
                  <c:v>28.265672205438065</c:v>
                </c:pt>
                <c:pt idx="97">
                  <c:v>40.379531722054381</c:v>
                </c:pt>
                <c:pt idx="98">
                  <c:v>47.647847432024165</c:v>
                </c:pt>
                <c:pt idx="99">
                  <c:v>16.151812688821753</c:v>
                </c:pt>
                <c:pt idx="100">
                  <c:v>3451.8631993621912</c:v>
                </c:pt>
                <c:pt idx="101">
                  <c:v>1003.268489424565</c:v>
                </c:pt>
                <c:pt idx="102">
                  <c:v>656.53318013412752</c:v>
                </c:pt>
                <c:pt idx="103">
                  <c:v>660.1077709515547</c:v>
                </c:pt>
                <c:pt idx="104">
                  <c:v>918.66984007878818</c:v>
                </c:pt>
                <c:pt idx="105">
                  <c:v>8548.0381747408901</c:v>
                </c:pt>
                <c:pt idx="106">
                  <c:v>1135.5283496693712</c:v>
                </c:pt>
                <c:pt idx="107">
                  <c:v>73.874876893495284</c:v>
                </c:pt>
                <c:pt idx="108">
                  <c:v>927.01055198611834</c:v>
                </c:pt>
                <c:pt idx="109">
                  <c:v>619.59574168737981</c:v>
                </c:pt>
                <c:pt idx="110">
                  <c:v>574.31759133330206</c:v>
                </c:pt>
                <c:pt idx="111">
                  <c:v>5537.0411761947189</c:v>
                </c:pt>
                <c:pt idx="112">
                  <c:v>461.12221544810768</c:v>
                </c:pt>
                <c:pt idx="113">
                  <c:v>91.74783098063125</c:v>
                </c:pt>
                <c:pt idx="114">
                  <c:v>194.21943441354406</c:v>
                </c:pt>
                <c:pt idx="115">
                  <c:v>135.83445106223328</c:v>
                </c:pt>
                <c:pt idx="116">
                  <c:v>52.427331988932139</c:v>
                </c:pt>
                <c:pt idx="117">
                  <c:v>133.45139051728182</c:v>
                </c:pt>
                <c:pt idx="118">
                  <c:v>175.15495005393237</c:v>
                </c:pt>
                <c:pt idx="119">
                  <c:v>57.193453078835063</c:v>
                </c:pt>
                <c:pt idx="120">
                  <c:v>5069.2693150176356</c:v>
                </c:pt>
                <c:pt idx="121">
                  <c:v>5147.7439391126782</c:v>
                </c:pt>
                <c:pt idx="122">
                  <c:v>2271.9360683126047</c:v>
                </c:pt>
                <c:pt idx="123">
                  <c:v>1790.5612400222758</c:v>
                </c:pt>
                <c:pt idx="124">
                  <c:v>1642.2250603304251</c:v>
                </c:pt>
                <c:pt idx="125">
                  <c:v>9986.3744198997574</c:v>
                </c:pt>
                <c:pt idx="126">
                  <c:v>17574.487766846112</c:v>
                </c:pt>
                <c:pt idx="127">
                  <c:v>319.64054204566548</c:v>
                </c:pt>
                <c:pt idx="128">
                  <c:v>5097.97954334509</c:v>
                </c:pt>
                <c:pt idx="129">
                  <c:v>1246.0239094115464</c:v>
                </c:pt>
                <c:pt idx="130">
                  <c:v>2577.2214961945424</c:v>
                </c:pt>
                <c:pt idx="131">
                  <c:v>15574.341860033413</c:v>
                </c:pt>
                <c:pt idx="132">
                  <c:v>5368.8126972340824</c:v>
                </c:pt>
                <c:pt idx="133">
                  <c:v>247.86497122702801</c:v>
                </c:pt>
                <c:pt idx="134">
                  <c:v>1561.836421013551</c:v>
                </c:pt>
                <c:pt idx="135">
                  <c:v>200.01459068126971</c:v>
                </c:pt>
                <c:pt idx="136">
                  <c:v>189.48750696120288</c:v>
                </c:pt>
                <c:pt idx="137">
                  <c:v>726.36877668461113</c:v>
                </c:pt>
                <c:pt idx="138">
                  <c:v>454.57861518470395</c:v>
                </c:pt>
                <c:pt idx="139">
                  <c:v>284.23126044180435</c:v>
                </c:pt>
                <c:pt idx="140">
                  <c:v>429.15668031261629</c:v>
                </c:pt>
                <c:pt idx="141">
                  <c:v>305.65835504279863</c:v>
                </c:pt>
                <c:pt idx="142">
                  <c:v>215.35020468924449</c:v>
                </c:pt>
                <c:pt idx="143">
                  <c:v>229.24376628209899</c:v>
                </c:pt>
                <c:pt idx="144">
                  <c:v>191.42240416821735</c:v>
                </c:pt>
                <c:pt idx="145">
                  <c:v>858.31336062523258</c:v>
                </c:pt>
                <c:pt idx="146">
                  <c:v>250.0841086713807</c:v>
                </c:pt>
                <c:pt idx="147">
                  <c:v>98.026795682917751</c:v>
                </c:pt>
                <c:pt idx="148">
                  <c:v>260.89021213248975</c:v>
                </c:pt>
                <c:pt idx="149">
                  <c:v>118.09527353926312</c:v>
                </c:pt>
                <c:pt idx="150">
                  <c:v>348.11090435429844</c:v>
                </c:pt>
                <c:pt idx="151">
                  <c:v>542.62076665426127</c:v>
                </c:pt>
                <c:pt idx="152">
                  <c:v>69.467807964272424</c:v>
                </c:pt>
                <c:pt idx="153">
                  <c:v>77.958317826572397</c:v>
                </c:pt>
                <c:pt idx="154">
                  <c:v>41.680684778563453</c:v>
                </c:pt>
                <c:pt idx="155">
                  <c:v>11.577967994045403</c:v>
                </c:pt>
                <c:pt idx="156">
                  <c:v>27.015258652772609</c:v>
                </c:pt>
                <c:pt idx="157">
                  <c:v>24.699665053963528</c:v>
                </c:pt>
                <c:pt idx="158">
                  <c:v>37.821362113881655</c:v>
                </c:pt>
                <c:pt idx="159">
                  <c:v>10.806103461109043</c:v>
                </c:pt>
                <c:pt idx="160">
                  <c:v>5189.2833573392691</c:v>
                </c:pt>
                <c:pt idx="161">
                  <c:v>4372.9388175985332</c:v>
                </c:pt>
                <c:pt idx="162">
                  <c:v>2071.3920714940423</c:v>
                </c:pt>
                <c:pt idx="163">
                  <c:v>1557.5365326698966</c:v>
                </c:pt>
                <c:pt idx="164">
                  <c:v>1167.68269608485</c:v>
                </c:pt>
                <c:pt idx="165">
                  <c:v>9101.912825716905</c:v>
                </c:pt>
                <c:pt idx="166">
                  <c:v>5174.2528479769544</c:v>
                </c:pt>
                <c:pt idx="167">
                  <c:v>297.79196674086683</c:v>
                </c:pt>
                <c:pt idx="168">
                  <c:v>9016.4268037187376</c:v>
                </c:pt>
                <c:pt idx="169">
                  <c:v>848.2843721356553</c:v>
                </c:pt>
                <c:pt idx="170">
                  <c:v>2975.1014469032343</c:v>
                </c:pt>
                <c:pt idx="171">
                  <c:v>8566.4509296844317</c:v>
                </c:pt>
                <c:pt idx="172">
                  <c:v>1911.6929095194448</c:v>
                </c:pt>
                <c:pt idx="173">
                  <c:v>265.85213434594738</c:v>
                </c:pt>
                <c:pt idx="174">
                  <c:v>3231.5595128977347</c:v>
                </c:pt>
                <c:pt idx="175">
                  <c:v>124.00170223909912</c:v>
                </c:pt>
                <c:pt idx="176">
                  <c:v>271.48857535681549</c:v>
                </c:pt>
                <c:pt idx="177">
                  <c:v>253.6398454890664</c:v>
                </c:pt>
                <c:pt idx="178">
                  <c:v>809.76869189472302</c:v>
                </c:pt>
                <c:pt idx="179">
                  <c:v>186.94196019379339</c:v>
                </c:pt>
                <c:pt idx="180">
                  <c:v>2660.7859905993928</c:v>
                </c:pt>
                <c:pt idx="181">
                  <c:v>952.47535460255392</c:v>
                </c:pt>
                <c:pt idx="182">
                  <c:v>493.64851711659253</c:v>
                </c:pt>
                <c:pt idx="183">
                  <c:v>739.44860862692906</c:v>
                </c:pt>
                <c:pt idx="184">
                  <c:v>1223.8796223118838</c:v>
                </c:pt>
                <c:pt idx="185">
                  <c:v>6417.4307225157027</c:v>
                </c:pt>
                <c:pt idx="186">
                  <c:v>994.4662035689031</c:v>
                </c:pt>
                <c:pt idx="187">
                  <c:v>212.00257892766527</c:v>
                </c:pt>
                <c:pt idx="188">
                  <c:v>926.87117840356052</c:v>
                </c:pt>
                <c:pt idx="189">
                  <c:v>1942.8448899796181</c:v>
                </c:pt>
                <c:pt idx="190">
                  <c:v>695.40942556466041</c:v>
                </c:pt>
                <c:pt idx="191">
                  <c:v>5794.7371573561832</c:v>
                </c:pt>
                <c:pt idx="192">
                  <c:v>426.05349195125001</c:v>
                </c:pt>
                <c:pt idx="193">
                  <c:v>137.23838442660454</c:v>
                </c:pt>
                <c:pt idx="194">
                  <c:v>149.52838900212137</c:v>
                </c:pt>
                <c:pt idx="195">
                  <c:v>409.66681918389418</c:v>
                </c:pt>
                <c:pt idx="196">
                  <c:v>57.353354685745181</c:v>
                </c:pt>
                <c:pt idx="197">
                  <c:v>136.2142173786448</c:v>
                </c:pt>
                <c:pt idx="198">
                  <c:v>175.13256520111477</c:v>
                </c:pt>
                <c:pt idx="199">
                  <c:v>76.812528596980158</c:v>
                </c:pt>
                <c:pt idx="200">
                  <c:v>4354.4727272727278</c:v>
                </c:pt>
                <c:pt idx="201">
                  <c:v>3094.3090909090911</c:v>
                </c:pt>
                <c:pt idx="202">
                  <c:v>2418.3272727272724</c:v>
                </c:pt>
                <c:pt idx="203">
                  <c:v>1838.7818181818184</c:v>
                </c:pt>
                <c:pt idx="204">
                  <c:v>1356.6</c:v>
                </c:pt>
                <c:pt idx="205">
                  <c:v>7688.0181818181818</c:v>
                </c:pt>
                <c:pt idx="206">
                  <c:v>2604.7090909090907</c:v>
                </c:pt>
                <c:pt idx="207">
                  <c:v>473.83636363636361</c:v>
                </c:pt>
                <c:pt idx="208">
                  <c:v>3596.8909090909087</c:v>
                </c:pt>
                <c:pt idx="209">
                  <c:v>794.67272727272723</c:v>
                </c:pt>
                <c:pt idx="210">
                  <c:v>9631.5818181818177</c:v>
                </c:pt>
                <c:pt idx="211">
                  <c:v>5555.2909090909088</c:v>
                </c:pt>
                <c:pt idx="212">
                  <c:v>991.25454545454545</c:v>
                </c:pt>
                <c:pt idx="213">
                  <c:v>572.12727272727273</c:v>
                </c:pt>
                <c:pt idx="214">
                  <c:v>906.87272727272727</c:v>
                </c:pt>
                <c:pt idx="215">
                  <c:v>115.90909090909092</c:v>
                </c:pt>
                <c:pt idx="216">
                  <c:v>707.5090909090909</c:v>
                </c:pt>
                <c:pt idx="217">
                  <c:v>205.85454545454544</c:v>
                </c:pt>
                <c:pt idx="218">
                  <c:v>3110.0727272727272</c:v>
                </c:pt>
                <c:pt idx="219">
                  <c:v>166.90909090909091</c:v>
                </c:pt>
                <c:pt idx="220">
                  <c:v>8033.326988064774</c:v>
                </c:pt>
                <c:pt idx="221">
                  <c:v>4246.0858320473508</c:v>
                </c:pt>
                <c:pt idx="222">
                  <c:v>1749.2820209794309</c:v>
                </c:pt>
                <c:pt idx="223">
                  <c:v>1909.3205614048793</c:v>
                </c:pt>
                <c:pt idx="224">
                  <c:v>2172.675121598656</c:v>
                </c:pt>
                <c:pt idx="225">
                  <c:v>18387.212812298556</c:v>
                </c:pt>
                <c:pt idx="226">
                  <c:v>7205.7859277635616</c:v>
                </c:pt>
                <c:pt idx="227">
                  <c:v>302.857744222843</c:v>
                </c:pt>
                <c:pt idx="228">
                  <c:v>4025.2731623464147</c:v>
                </c:pt>
                <c:pt idx="229">
                  <c:v>1901.217344168148</c:v>
                </c:pt>
                <c:pt idx="230">
                  <c:v>2060.2429824390051</c:v>
                </c:pt>
                <c:pt idx="231">
                  <c:v>44691.268864883874</c:v>
                </c:pt>
                <c:pt idx="232">
                  <c:v>2681.1520032035628</c:v>
                </c:pt>
                <c:pt idx="233">
                  <c:v>220.81266970093566</c:v>
                </c:pt>
                <c:pt idx="234">
                  <c:v>744.48308362471425</c:v>
                </c:pt>
                <c:pt idx="235">
                  <c:v>423.39310061922532</c:v>
                </c:pt>
                <c:pt idx="236">
                  <c:v>150.92242103412576</c:v>
                </c:pt>
                <c:pt idx="237">
                  <c:v>1608.4886214912196</c:v>
                </c:pt>
                <c:pt idx="238">
                  <c:v>436.56082862891412</c:v>
                </c:pt>
                <c:pt idx="239">
                  <c:v>756.6379094798117</c:v>
                </c:pt>
                <c:pt idx="240">
                  <c:v>2358.4639685679017</c:v>
                </c:pt>
                <c:pt idx="241">
                  <c:v>2184.4321515324477</c:v>
                </c:pt>
                <c:pt idx="242">
                  <c:v>865.40411749870589</c:v>
                </c:pt>
                <c:pt idx="243">
                  <c:v>960.5034710699922</c:v>
                </c:pt>
                <c:pt idx="244">
                  <c:v>578.20406971342106</c:v>
                </c:pt>
                <c:pt idx="245">
                  <c:v>4479.1795532075867</c:v>
                </c:pt>
                <c:pt idx="246">
                  <c:v>12762.333249266629</c:v>
                </c:pt>
                <c:pt idx="247">
                  <c:v>150.25697864263242</c:v>
                </c:pt>
                <c:pt idx="248">
                  <c:v>2676.0958094959983</c:v>
                </c:pt>
                <c:pt idx="249">
                  <c:v>700.8822358203804</c:v>
                </c:pt>
                <c:pt idx="250">
                  <c:v>1219.173712783891</c:v>
                </c:pt>
                <c:pt idx="251">
                  <c:v>9939.7844352708507</c:v>
                </c:pt>
                <c:pt idx="252">
                  <c:v>28375.745118600422</c:v>
                </c:pt>
                <c:pt idx="253">
                  <c:v>169.27684935688973</c:v>
                </c:pt>
                <c:pt idx="254">
                  <c:v>1976.1645672113304</c:v>
                </c:pt>
                <c:pt idx="255">
                  <c:v>151.2079721783453</c:v>
                </c:pt>
                <c:pt idx="256">
                  <c:v>178.78678471401835</c:v>
                </c:pt>
                <c:pt idx="257">
                  <c:v>1278.1353119980886</c:v>
                </c:pt>
                <c:pt idx="258">
                  <c:v>338.55369871377945</c:v>
                </c:pt>
                <c:pt idx="259">
                  <c:v>302.4159443566906</c:v>
                </c:pt>
                <c:pt idx="260">
                  <c:v>1107.7513499614297</c:v>
                </c:pt>
                <c:pt idx="261">
                  <c:v>1015.6461815376704</c:v>
                </c:pt>
                <c:pt idx="262">
                  <c:v>579.18385188994603</c:v>
                </c:pt>
                <c:pt idx="263">
                  <c:v>584.16250964258165</c:v>
                </c:pt>
                <c:pt idx="264">
                  <c:v>403.27127796348674</c:v>
                </c:pt>
                <c:pt idx="265">
                  <c:v>1940.8467472357931</c:v>
                </c:pt>
                <c:pt idx="266">
                  <c:v>758.41553098482893</c:v>
                </c:pt>
                <c:pt idx="267">
                  <c:v>269.67729493443045</c:v>
                </c:pt>
                <c:pt idx="268">
                  <c:v>664.65080997685777</c:v>
                </c:pt>
                <c:pt idx="269">
                  <c:v>282.95371560812549</c:v>
                </c:pt>
                <c:pt idx="270">
                  <c:v>1866.1668809462587</c:v>
                </c:pt>
                <c:pt idx="271">
                  <c:v>1661.2121367960915</c:v>
                </c:pt>
                <c:pt idx="272">
                  <c:v>370.91000257135511</c:v>
                </c:pt>
                <c:pt idx="273">
                  <c:v>5846.6037541784526</c:v>
                </c:pt>
                <c:pt idx="274">
                  <c:v>198.31653381331961</c:v>
                </c:pt>
                <c:pt idx="275">
                  <c:v>61.403445615839544</c:v>
                </c:pt>
                <c:pt idx="276">
                  <c:v>1009.0079712008229</c:v>
                </c:pt>
                <c:pt idx="277">
                  <c:v>112.01979943430187</c:v>
                </c:pt>
                <c:pt idx="278">
                  <c:v>494.54667009514014</c:v>
                </c:pt>
                <c:pt idx="279">
                  <c:v>135.25353561326818</c:v>
                </c:pt>
                <c:pt idx="280">
                  <c:v>1124.5274894159948</c:v>
                </c:pt>
                <c:pt idx="281">
                  <c:v>1313.4747433741229</c:v>
                </c:pt>
                <c:pt idx="282">
                  <c:v>412.02154497477233</c:v>
                </c:pt>
                <c:pt idx="283">
                  <c:v>407.85971118714838</c:v>
                </c:pt>
                <c:pt idx="284">
                  <c:v>289.66363161862785</c:v>
                </c:pt>
                <c:pt idx="285">
                  <c:v>2035.136722148118</c:v>
                </c:pt>
                <c:pt idx="286">
                  <c:v>2946.5783216377658</c:v>
                </c:pt>
                <c:pt idx="287">
                  <c:v>99.051644145450325</c:v>
                </c:pt>
                <c:pt idx="288">
                  <c:v>2894.139215913704</c:v>
                </c:pt>
                <c:pt idx="289">
                  <c:v>292.99309864872703</c:v>
                </c:pt>
                <c:pt idx="290">
                  <c:v>943.90390303311494</c:v>
                </c:pt>
                <c:pt idx="291">
                  <c:v>2751.8045003769644</c:v>
                </c:pt>
                <c:pt idx="292">
                  <c:v>2583.6664153569563</c:v>
                </c:pt>
                <c:pt idx="293">
                  <c:v>148.99364959693787</c:v>
                </c:pt>
                <c:pt idx="294">
                  <c:v>9287.5482804616368</c:v>
                </c:pt>
                <c:pt idx="295">
                  <c:v>57.433306269210696</c:v>
                </c:pt>
                <c:pt idx="296">
                  <c:v>139.00524850664038</c:v>
                </c:pt>
                <c:pt idx="297">
                  <c:v>152.32311662703705</c:v>
                </c:pt>
                <c:pt idx="298">
                  <c:v>709.17647741112341</c:v>
                </c:pt>
                <c:pt idx="299">
                  <c:v>115.69897929594617</c:v>
                </c:pt>
                <c:pt idx="300">
                  <c:v>1007.8878061289909</c:v>
                </c:pt>
                <c:pt idx="301">
                  <c:v>576.05853314527508</c:v>
                </c:pt>
                <c:pt idx="302">
                  <c:v>238.66508526734196</c:v>
                </c:pt>
                <c:pt idx="303">
                  <c:v>336.53494037697141</c:v>
                </c:pt>
                <c:pt idx="304">
                  <c:v>464.452558020259</c:v>
                </c:pt>
                <c:pt idx="305">
                  <c:v>2749.7995255802025</c:v>
                </c:pt>
                <c:pt idx="306">
                  <c:v>512.52897807411205</c:v>
                </c:pt>
                <c:pt idx="307">
                  <c:v>77.265675086549564</c:v>
                </c:pt>
                <c:pt idx="308">
                  <c:v>408.649570457751</c:v>
                </c:pt>
                <c:pt idx="309">
                  <c:v>800.98749839723041</c:v>
                </c:pt>
                <c:pt idx="310">
                  <c:v>260.12777279138351</c:v>
                </c:pt>
                <c:pt idx="311">
                  <c:v>4245.3195922554169</c:v>
                </c:pt>
                <c:pt idx="312">
                  <c:v>333.9594178740864</c:v>
                </c:pt>
                <c:pt idx="313">
                  <c:v>48.93492755481472</c:v>
                </c:pt>
                <c:pt idx="314">
                  <c:v>91.860302602897804</c:v>
                </c:pt>
                <c:pt idx="315">
                  <c:v>764.07167585587899</c:v>
                </c:pt>
                <c:pt idx="316">
                  <c:v>25.755225028849853</c:v>
                </c:pt>
                <c:pt idx="317">
                  <c:v>258.41075778946015</c:v>
                </c:pt>
                <c:pt idx="318">
                  <c:v>73.831645082702906</c:v>
                </c:pt>
                <c:pt idx="319">
                  <c:v>115.89851262982432</c:v>
                </c:pt>
                <c:pt idx="320">
                  <c:v>949.23243436876305</c:v>
                </c:pt>
                <c:pt idx="321">
                  <c:v>882.88347576889612</c:v>
                </c:pt>
                <c:pt idx="322">
                  <c:v>478.59715470037355</c:v>
                </c:pt>
                <c:pt idx="323">
                  <c:v>507.79069648431499</c:v>
                </c:pt>
                <c:pt idx="324">
                  <c:v>301.66659843406171</c:v>
                </c:pt>
                <c:pt idx="325">
                  <c:v>1686.148201217952</c:v>
                </c:pt>
                <c:pt idx="326">
                  <c:v>697.10639168926866</c:v>
                </c:pt>
                <c:pt idx="327">
                  <c:v>180.46916739163808</c:v>
                </c:pt>
                <c:pt idx="328">
                  <c:v>702.41430837725818</c:v>
                </c:pt>
                <c:pt idx="329">
                  <c:v>220.27854255155825</c:v>
                </c:pt>
                <c:pt idx="330">
                  <c:v>2873.3522337649047</c:v>
                </c:pt>
                <c:pt idx="331">
                  <c:v>1349.9801443119595</c:v>
                </c:pt>
                <c:pt idx="332">
                  <c:v>298.12798730873544</c:v>
                </c:pt>
                <c:pt idx="333">
                  <c:v>1335.8256998106547</c:v>
                </c:pt>
                <c:pt idx="334">
                  <c:v>268.934445524794</c:v>
                </c:pt>
                <c:pt idx="335">
                  <c:v>61.925694693209145</c:v>
                </c:pt>
                <c:pt idx="336">
                  <c:v>2515.0678573256232</c:v>
                </c:pt>
                <c:pt idx="337">
                  <c:v>76.964791975845657</c:v>
                </c:pt>
                <c:pt idx="338">
                  <c:v>1826.8079934496698</c:v>
                </c:pt>
                <c:pt idx="339">
                  <c:v>73.426180850519415</c:v>
                </c:pt>
                <c:pt idx="340">
                  <c:v>1284.8129790069977</c:v>
                </c:pt>
                <c:pt idx="341">
                  <c:v>917.463762079307</c:v>
                </c:pt>
                <c:pt idx="342">
                  <c:v>315.52024325224926</c:v>
                </c:pt>
                <c:pt idx="343">
                  <c:v>408.26682772409197</c:v>
                </c:pt>
                <c:pt idx="344">
                  <c:v>328.2501666111296</c:v>
                </c:pt>
                <c:pt idx="345">
                  <c:v>2766.0304898367212</c:v>
                </c:pt>
                <c:pt idx="346">
                  <c:v>2827.8615461512827</c:v>
                </c:pt>
                <c:pt idx="347">
                  <c:v>80.925941352882376</c:v>
                </c:pt>
                <c:pt idx="348">
                  <c:v>956.56281239586804</c:v>
                </c:pt>
                <c:pt idx="349">
                  <c:v>445.5473175608131</c:v>
                </c:pt>
                <c:pt idx="350">
                  <c:v>418.26891036321223</c:v>
                </c:pt>
                <c:pt idx="351">
                  <c:v>13032.713678773744</c:v>
                </c:pt>
                <c:pt idx="352">
                  <c:v>3727.139703432189</c:v>
                </c:pt>
                <c:pt idx="353">
                  <c:v>58.193935354881702</c:v>
                </c:pt>
                <c:pt idx="354">
                  <c:v>330.06872709096967</c:v>
                </c:pt>
                <c:pt idx="355">
                  <c:v>152.75908030656447</c:v>
                </c:pt>
                <c:pt idx="356">
                  <c:v>50.919693435521495</c:v>
                </c:pt>
                <c:pt idx="357">
                  <c:v>3158.839553482173</c:v>
                </c:pt>
                <c:pt idx="358">
                  <c:v>120.02499166944352</c:v>
                </c:pt>
                <c:pt idx="359">
                  <c:v>1364.82964011996</c:v>
                </c:pt>
                <c:pt idx="360">
                  <c:v>1377.7707341518415</c:v>
                </c:pt>
                <c:pt idx="361">
                  <c:v>1254.8907541969431</c:v>
                </c:pt>
                <c:pt idx="362">
                  <c:v>668.26509646705097</c:v>
                </c:pt>
                <c:pt idx="363">
                  <c:v>701.9308443998998</c:v>
                </c:pt>
                <c:pt idx="364">
                  <c:v>421.66349285893256</c:v>
                </c:pt>
                <c:pt idx="365">
                  <c:v>2531.664244550238</c:v>
                </c:pt>
                <c:pt idx="366">
                  <c:v>1275.9318466549737</c:v>
                </c:pt>
                <c:pt idx="367">
                  <c:v>185.161613630669</c:v>
                </c:pt>
                <c:pt idx="368">
                  <c:v>1541.0496116261588</c:v>
                </c:pt>
                <c:pt idx="369">
                  <c:v>318.14131796542216</c:v>
                </c:pt>
                <c:pt idx="370">
                  <c:v>4975.7975444750691</c:v>
                </c:pt>
                <c:pt idx="371">
                  <c:v>2685.685041343022</c:v>
                </c:pt>
                <c:pt idx="372">
                  <c:v>622.81633675770479</c:v>
                </c:pt>
                <c:pt idx="373">
                  <c:v>589.99223252317722</c:v>
                </c:pt>
                <c:pt idx="374">
                  <c:v>1244.7910298170887</c:v>
                </c:pt>
                <c:pt idx="375">
                  <c:v>75.74793284891004</c:v>
                </c:pt>
                <c:pt idx="376">
                  <c:v>2567.0132798797295</c:v>
                </c:pt>
                <c:pt idx="377">
                  <c:v>146.44600350789275</c:v>
                </c:pt>
                <c:pt idx="378">
                  <c:v>10294.985717865196</c:v>
                </c:pt>
                <c:pt idx="379">
                  <c:v>110.25532448008019</c:v>
                </c:pt>
                <c:pt idx="380">
                  <c:v>578.52270827528559</c:v>
                </c:pt>
                <c:pt idx="381">
                  <c:v>506.6025355252159</c:v>
                </c:pt>
                <c:pt idx="382">
                  <c:v>183.35692393424353</c:v>
                </c:pt>
                <c:pt idx="383">
                  <c:v>201.53455001393144</c:v>
                </c:pt>
                <c:pt idx="384">
                  <c:v>164.38896628587352</c:v>
                </c:pt>
                <c:pt idx="385">
                  <c:v>938.12357202563385</c:v>
                </c:pt>
                <c:pt idx="386">
                  <c:v>1061.4152967400391</c:v>
                </c:pt>
                <c:pt idx="387">
                  <c:v>67.968514906659237</c:v>
                </c:pt>
                <c:pt idx="388">
                  <c:v>548.49010866536639</c:v>
                </c:pt>
                <c:pt idx="389">
                  <c:v>221.29283923098359</c:v>
                </c:pt>
                <c:pt idx="390">
                  <c:v>226.82516021175817</c:v>
                </c:pt>
                <c:pt idx="391">
                  <c:v>4912.7010309278348</c:v>
                </c:pt>
                <c:pt idx="392">
                  <c:v>867.78406241292839</c:v>
                </c:pt>
                <c:pt idx="393">
                  <c:v>91.678461967121763</c:v>
                </c:pt>
                <c:pt idx="394">
                  <c:v>173.08261354137642</c:v>
                </c:pt>
                <c:pt idx="395">
                  <c:v>67.17818333797716</c:v>
                </c:pt>
                <c:pt idx="396">
                  <c:v>28.45193647255503</c:v>
                </c:pt>
                <c:pt idx="397">
                  <c:v>3142.3583170799661</c:v>
                </c:pt>
                <c:pt idx="398">
                  <c:v>110.64641961549179</c:v>
                </c:pt>
                <c:pt idx="399">
                  <c:v>8599.5977988297582</c:v>
                </c:pt>
              </c:numCache>
            </c:numRef>
          </c:xVal>
          <c:yVal>
            <c:numRef>
              <c:f>calibration_flow!$CY$2:$CY$401</c:f>
              <c:numCache>
                <c:formatCode>_(* #,##0_);_(* \(#,##0\);_(* "-"??_);_(@_)</c:formatCode>
                <c:ptCount val="400"/>
                <c:pt idx="0">
                  <c:v>2093.0000000000005</c:v>
                </c:pt>
                <c:pt idx="1">
                  <c:v>269.00000000000006</c:v>
                </c:pt>
                <c:pt idx="2">
                  <c:v>153.00000000000003</c:v>
                </c:pt>
                <c:pt idx="3">
                  <c:v>139.00000000000003</c:v>
                </c:pt>
                <c:pt idx="4">
                  <c:v>358.00000000000006</c:v>
                </c:pt>
                <c:pt idx="5">
                  <c:v>1013.0000000000002</c:v>
                </c:pt>
                <c:pt idx="6">
                  <c:v>122.00000000000003</c:v>
                </c:pt>
                <c:pt idx="7">
                  <c:v>19.000000000000004</c:v>
                </c:pt>
                <c:pt idx="8">
                  <c:v>100.00000000000003</c:v>
                </c:pt>
                <c:pt idx="9">
                  <c:v>40.000000000000007</c:v>
                </c:pt>
                <c:pt idx="10">
                  <c:v>75.000000000000014</c:v>
                </c:pt>
                <c:pt idx="11">
                  <c:v>346.00000000000006</c:v>
                </c:pt>
                <c:pt idx="12">
                  <c:v>68.000000000000014</c:v>
                </c:pt>
                <c:pt idx="13">
                  <c:v>5.0000000000000009</c:v>
                </c:pt>
                <c:pt idx="14">
                  <c:v>12.000000000000004</c:v>
                </c:pt>
                <c:pt idx="15">
                  <c:v>2.0000000000000004</c:v>
                </c:pt>
                <c:pt idx="16">
                  <c:v>3.0000000000000009</c:v>
                </c:pt>
                <c:pt idx="17">
                  <c:v>8.0000000000000018</c:v>
                </c:pt>
                <c:pt idx="18">
                  <c:v>4.0000000000000009</c:v>
                </c:pt>
                <c:pt idx="19">
                  <c:v>0</c:v>
                </c:pt>
                <c:pt idx="20">
                  <c:v>3207.0000000000005</c:v>
                </c:pt>
                <c:pt idx="21">
                  <c:v>2008.0000000000002</c:v>
                </c:pt>
                <c:pt idx="22">
                  <c:v>595.00000000000011</c:v>
                </c:pt>
                <c:pt idx="23">
                  <c:v>367.00000000000006</c:v>
                </c:pt>
                <c:pt idx="24">
                  <c:v>781.00000000000011</c:v>
                </c:pt>
                <c:pt idx="25">
                  <c:v>2796.0000000000005</c:v>
                </c:pt>
                <c:pt idx="26">
                  <c:v>1018.0000000000001</c:v>
                </c:pt>
                <c:pt idx="27">
                  <c:v>33.000000000000007</c:v>
                </c:pt>
                <c:pt idx="28">
                  <c:v>785.00000000000011</c:v>
                </c:pt>
                <c:pt idx="29">
                  <c:v>141.00000000000003</c:v>
                </c:pt>
                <c:pt idx="30">
                  <c:v>235.00000000000003</c:v>
                </c:pt>
                <c:pt idx="31">
                  <c:v>1833.0000000000002</c:v>
                </c:pt>
                <c:pt idx="32">
                  <c:v>468.00000000000006</c:v>
                </c:pt>
                <c:pt idx="33">
                  <c:v>21.000000000000004</c:v>
                </c:pt>
                <c:pt idx="34">
                  <c:v>110.00000000000001</c:v>
                </c:pt>
                <c:pt idx="35">
                  <c:v>4.0000000000000009</c:v>
                </c:pt>
                <c:pt idx="36">
                  <c:v>12.000000000000002</c:v>
                </c:pt>
                <c:pt idx="37">
                  <c:v>36.000000000000007</c:v>
                </c:pt>
                <c:pt idx="38">
                  <c:v>23.000000000000004</c:v>
                </c:pt>
                <c:pt idx="39">
                  <c:v>4.0000000000000009</c:v>
                </c:pt>
                <c:pt idx="40">
                  <c:v>7403.9999999999991</c:v>
                </c:pt>
                <c:pt idx="41">
                  <c:v>2047.9999999999998</c:v>
                </c:pt>
                <c:pt idx="42">
                  <c:v>2668.9999999999995</c:v>
                </c:pt>
                <c:pt idx="43">
                  <c:v>891.99999999999989</c:v>
                </c:pt>
                <c:pt idx="44">
                  <c:v>1733.9999999999998</c:v>
                </c:pt>
                <c:pt idx="45">
                  <c:v>5170.9999999999991</c:v>
                </c:pt>
                <c:pt idx="46">
                  <c:v>1002.9999999999999</c:v>
                </c:pt>
                <c:pt idx="47">
                  <c:v>73.999999999999986</c:v>
                </c:pt>
                <c:pt idx="48">
                  <c:v>889.99999999999989</c:v>
                </c:pt>
                <c:pt idx="49">
                  <c:v>294.99999999999994</c:v>
                </c:pt>
                <c:pt idx="50">
                  <c:v>914.99999999999989</c:v>
                </c:pt>
                <c:pt idx="51">
                  <c:v>2477.9999999999995</c:v>
                </c:pt>
                <c:pt idx="52">
                  <c:v>485.99999999999994</c:v>
                </c:pt>
                <c:pt idx="53">
                  <c:v>72.999999999999986</c:v>
                </c:pt>
                <c:pt idx="54">
                  <c:v>141.99999999999997</c:v>
                </c:pt>
                <c:pt idx="55">
                  <c:v>24.999999999999996</c:v>
                </c:pt>
                <c:pt idx="56">
                  <c:v>57.999999999999993</c:v>
                </c:pt>
                <c:pt idx="57">
                  <c:v>32.999999999999993</c:v>
                </c:pt>
                <c:pt idx="58">
                  <c:v>85.999999999999986</c:v>
                </c:pt>
                <c:pt idx="59">
                  <c:v>3.9999999999999996</c:v>
                </c:pt>
                <c:pt idx="60">
                  <c:v>2283</c:v>
                </c:pt>
                <c:pt idx="61">
                  <c:v>609</c:v>
                </c:pt>
                <c:pt idx="62">
                  <c:v>533</c:v>
                </c:pt>
                <c:pt idx="63">
                  <c:v>636</c:v>
                </c:pt>
                <c:pt idx="64">
                  <c:v>875</c:v>
                </c:pt>
                <c:pt idx="65">
                  <c:v>1997</c:v>
                </c:pt>
                <c:pt idx="66">
                  <c:v>268</c:v>
                </c:pt>
                <c:pt idx="67">
                  <c:v>60</c:v>
                </c:pt>
                <c:pt idx="68">
                  <c:v>223</c:v>
                </c:pt>
                <c:pt idx="69">
                  <c:v>170</c:v>
                </c:pt>
                <c:pt idx="70">
                  <c:v>276</c:v>
                </c:pt>
                <c:pt idx="71">
                  <c:v>750</c:v>
                </c:pt>
                <c:pt idx="72">
                  <c:v>123</c:v>
                </c:pt>
                <c:pt idx="73">
                  <c:v>36</c:v>
                </c:pt>
                <c:pt idx="74">
                  <c:v>28</c:v>
                </c:pt>
                <c:pt idx="75">
                  <c:v>13</c:v>
                </c:pt>
                <c:pt idx="76">
                  <c:v>14</c:v>
                </c:pt>
                <c:pt idx="77">
                  <c:v>9</c:v>
                </c:pt>
                <c:pt idx="78">
                  <c:v>21</c:v>
                </c:pt>
                <c:pt idx="79">
                  <c:v>2</c:v>
                </c:pt>
                <c:pt idx="80">
                  <c:v>2031</c:v>
                </c:pt>
                <c:pt idx="81">
                  <c:v>492</c:v>
                </c:pt>
                <c:pt idx="82">
                  <c:v>286</c:v>
                </c:pt>
                <c:pt idx="83">
                  <c:v>315</c:v>
                </c:pt>
                <c:pt idx="84">
                  <c:v>1301</c:v>
                </c:pt>
                <c:pt idx="85">
                  <c:v>2368</c:v>
                </c:pt>
                <c:pt idx="86">
                  <c:v>201</c:v>
                </c:pt>
                <c:pt idx="87">
                  <c:v>31</c:v>
                </c:pt>
                <c:pt idx="88">
                  <c:v>161</c:v>
                </c:pt>
                <c:pt idx="89">
                  <c:v>212</c:v>
                </c:pt>
                <c:pt idx="90">
                  <c:v>142</c:v>
                </c:pt>
                <c:pt idx="91">
                  <c:v>827</c:v>
                </c:pt>
                <c:pt idx="92">
                  <c:v>96</c:v>
                </c:pt>
                <c:pt idx="93">
                  <c:v>17</c:v>
                </c:pt>
                <c:pt idx="94">
                  <c:v>22</c:v>
                </c:pt>
                <c:pt idx="95">
                  <c:v>17</c:v>
                </c:pt>
                <c:pt idx="96">
                  <c:v>8</c:v>
                </c:pt>
                <c:pt idx="97">
                  <c:v>7</c:v>
                </c:pt>
                <c:pt idx="98">
                  <c:v>16</c:v>
                </c:pt>
                <c:pt idx="99">
                  <c:v>4</c:v>
                </c:pt>
                <c:pt idx="100">
                  <c:v>5957</c:v>
                </c:pt>
                <c:pt idx="101">
                  <c:v>1560</c:v>
                </c:pt>
                <c:pt idx="102">
                  <c:v>712</c:v>
                </c:pt>
                <c:pt idx="103">
                  <c:v>552</c:v>
                </c:pt>
                <c:pt idx="104">
                  <c:v>1834</c:v>
                </c:pt>
                <c:pt idx="105">
                  <c:v>9282</c:v>
                </c:pt>
                <c:pt idx="106">
                  <c:v>765</c:v>
                </c:pt>
                <c:pt idx="107">
                  <c:v>62</c:v>
                </c:pt>
                <c:pt idx="108">
                  <c:v>531</c:v>
                </c:pt>
                <c:pt idx="109">
                  <c:v>379</c:v>
                </c:pt>
                <c:pt idx="110">
                  <c:v>297</c:v>
                </c:pt>
                <c:pt idx="111">
                  <c:v>2835</c:v>
                </c:pt>
                <c:pt idx="112">
                  <c:v>425</c:v>
                </c:pt>
                <c:pt idx="113">
                  <c:v>31</c:v>
                </c:pt>
                <c:pt idx="114">
                  <c:v>84</c:v>
                </c:pt>
                <c:pt idx="115">
                  <c:v>20</c:v>
                </c:pt>
                <c:pt idx="116">
                  <c:v>12</c:v>
                </c:pt>
                <c:pt idx="117">
                  <c:v>40</c:v>
                </c:pt>
                <c:pt idx="118">
                  <c:v>25</c:v>
                </c:pt>
                <c:pt idx="119">
                  <c:v>4</c:v>
                </c:pt>
                <c:pt idx="120">
                  <c:v>10750</c:v>
                </c:pt>
                <c:pt idx="121">
                  <c:v>5557</c:v>
                </c:pt>
                <c:pt idx="122">
                  <c:v>1907</c:v>
                </c:pt>
                <c:pt idx="123">
                  <c:v>1005</c:v>
                </c:pt>
                <c:pt idx="124">
                  <c:v>2579</c:v>
                </c:pt>
                <c:pt idx="125">
                  <c:v>9737</c:v>
                </c:pt>
                <c:pt idx="126">
                  <c:v>13358</c:v>
                </c:pt>
                <c:pt idx="127">
                  <c:v>86</c:v>
                </c:pt>
                <c:pt idx="128">
                  <c:v>3513</c:v>
                </c:pt>
                <c:pt idx="129">
                  <c:v>482</c:v>
                </c:pt>
                <c:pt idx="130">
                  <c:v>672</c:v>
                </c:pt>
                <c:pt idx="131">
                  <c:v>11773</c:v>
                </c:pt>
                <c:pt idx="132">
                  <c:v>14128</c:v>
                </c:pt>
                <c:pt idx="133">
                  <c:v>71</c:v>
                </c:pt>
                <c:pt idx="134">
                  <c:v>1121</c:v>
                </c:pt>
                <c:pt idx="135">
                  <c:v>29</c:v>
                </c:pt>
                <c:pt idx="136">
                  <c:v>44</c:v>
                </c:pt>
                <c:pt idx="137">
                  <c:v>388</c:v>
                </c:pt>
                <c:pt idx="138">
                  <c:v>111</c:v>
                </c:pt>
                <c:pt idx="139">
                  <c:v>20</c:v>
                </c:pt>
                <c:pt idx="140">
                  <c:v>1129</c:v>
                </c:pt>
                <c:pt idx="141">
                  <c:v>297</c:v>
                </c:pt>
                <c:pt idx="142">
                  <c:v>273</c:v>
                </c:pt>
                <c:pt idx="143">
                  <c:v>206</c:v>
                </c:pt>
                <c:pt idx="144">
                  <c:v>325</c:v>
                </c:pt>
                <c:pt idx="145">
                  <c:v>833</c:v>
                </c:pt>
                <c:pt idx="146">
                  <c:v>132</c:v>
                </c:pt>
                <c:pt idx="147">
                  <c:v>27</c:v>
                </c:pt>
                <c:pt idx="148">
                  <c:v>129</c:v>
                </c:pt>
                <c:pt idx="149">
                  <c:v>61</c:v>
                </c:pt>
                <c:pt idx="150">
                  <c:v>308</c:v>
                </c:pt>
                <c:pt idx="151">
                  <c:v>271</c:v>
                </c:pt>
                <c:pt idx="152">
                  <c:v>50</c:v>
                </c:pt>
                <c:pt idx="153">
                  <c:v>40</c:v>
                </c:pt>
                <c:pt idx="154">
                  <c:v>24</c:v>
                </c:pt>
                <c:pt idx="155">
                  <c:v>0</c:v>
                </c:pt>
                <c:pt idx="156">
                  <c:v>14</c:v>
                </c:pt>
                <c:pt idx="157">
                  <c:v>3</c:v>
                </c:pt>
                <c:pt idx="158">
                  <c:v>24</c:v>
                </c:pt>
                <c:pt idx="159">
                  <c:v>2</c:v>
                </c:pt>
                <c:pt idx="160">
                  <c:v>11029.999999999998</c:v>
                </c:pt>
                <c:pt idx="161">
                  <c:v>5240.9999999999991</c:v>
                </c:pt>
                <c:pt idx="162">
                  <c:v>2006.9999999999998</c:v>
                </c:pt>
                <c:pt idx="163">
                  <c:v>958.99999999999989</c:v>
                </c:pt>
                <c:pt idx="164">
                  <c:v>2424.9999999999995</c:v>
                </c:pt>
                <c:pt idx="165">
                  <c:v>9224.9999999999982</c:v>
                </c:pt>
                <c:pt idx="166">
                  <c:v>4741.9999999999991</c:v>
                </c:pt>
                <c:pt idx="167">
                  <c:v>77.999999999999986</c:v>
                </c:pt>
                <c:pt idx="168">
                  <c:v>7544.9999999999991</c:v>
                </c:pt>
                <c:pt idx="169">
                  <c:v>364.99999999999994</c:v>
                </c:pt>
                <c:pt idx="170">
                  <c:v>1919.9999999999998</c:v>
                </c:pt>
                <c:pt idx="171">
                  <c:v>5226.9999999999991</c:v>
                </c:pt>
                <c:pt idx="172">
                  <c:v>3087.9999999999995</c:v>
                </c:pt>
                <c:pt idx="173">
                  <c:v>126.99999999999999</c:v>
                </c:pt>
                <c:pt idx="174">
                  <c:v>2753.9999999999995</c:v>
                </c:pt>
                <c:pt idx="175">
                  <c:v>34.999999999999993</c:v>
                </c:pt>
                <c:pt idx="176">
                  <c:v>118.99999999999999</c:v>
                </c:pt>
                <c:pt idx="177">
                  <c:v>78.999999999999986</c:v>
                </c:pt>
                <c:pt idx="178">
                  <c:v>422.99999999999994</c:v>
                </c:pt>
                <c:pt idx="179">
                  <c:v>4.9999999999999991</c:v>
                </c:pt>
                <c:pt idx="180">
                  <c:v>5260.9999999999991</c:v>
                </c:pt>
                <c:pt idx="181">
                  <c:v>1378.9999999999998</c:v>
                </c:pt>
                <c:pt idx="182">
                  <c:v>696.99999999999989</c:v>
                </c:pt>
                <c:pt idx="183">
                  <c:v>808.99999999999989</c:v>
                </c:pt>
                <c:pt idx="184">
                  <c:v>2358.9999999999995</c:v>
                </c:pt>
                <c:pt idx="185">
                  <c:v>6037.9999999999991</c:v>
                </c:pt>
                <c:pt idx="186">
                  <c:v>658.99999999999989</c:v>
                </c:pt>
                <c:pt idx="187">
                  <c:v>98.999999999999986</c:v>
                </c:pt>
                <c:pt idx="188">
                  <c:v>412.99999999999994</c:v>
                </c:pt>
                <c:pt idx="189">
                  <c:v>1253.9999999999998</c:v>
                </c:pt>
                <c:pt idx="190">
                  <c:v>301.99999999999994</c:v>
                </c:pt>
                <c:pt idx="191">
                  <c:v>4565.9999999999991</c:v>
                </c:pt>
                <c:pt idx="192">
                  <c:v>376.99999999999994</c:v>
                </c:pt>
                <c:pt idx="193">
                  <c:v>49.999999999999993</c:v>
                </c:pt>
                <c:pt idx="194">
                  <c:v>83.999999999999986</c:v>
                </c:pt>
                <c:pt idx="195">
                  <c:v>152.99999999999997</c:v>
                </c:pt>
                <c:pt idx="196">
                  <c:v>23.999999999999996</c:v>
                </c:pt>
                <c:pt idx="197">
                  <c:v>70.999999999999986</c:v>
                </c:pt>
                <c:pt idx="198">
                  <c:v>17.999999999999996</c:v>
                </c:pt>
                <c:pt idx="199">
                  <c:v>8.9999999999999982</c:v>
                </c:pt>
                <c:pt idx="200">
                  <c:v>10943</c:v>
                </c:pt>
                <c:pt idx="201">
                  <c:v>3117</c:v>
                </c:pt>
                <c:pt idx="202">
                  <c:v>3328</c:v>
                </c:pt>
                <c:pt idx="203">
                  <c:v>1727</c:v>
                </c:pt>
                <c:pt idx="204">
                  <c:v>2920</c:v>
                </c:pt>
                <c:pt idx="205">
                  <c:v>8202</c:v>
                </c:pt>
                <c:pt idx="206">
                  <c:v>1472</c:v>
                </c:pt>
                <c:pt idx="207">
                  <c:v>205</c:v>
                </c:pt>
                <c:pt idx="208">
                  <c:v>2737</c:v>
                </c:pt>
                <c:pt idx="209">
                  <c:v>470</c:v>
                </c:pt>
                <c:pt idx="210">
                  <c:v>8102</c:v>
                </c:pt>
                <c:pt idx="211">
                  <c:v>3236</c:v>
                </c:pt>
                <c:pt idx="212">
                  <c:v>738</c:v>
                </c:pt>
                <c:pt idx="213">
                  <c:v>470</c:v>
                </c:pt>
                <c:pt idx="214">
                  <c:v>766</c:v>
                </c:pt>
                <c:pt idx="215">
                  <c:v>31</c:v>
                </c:pt>
                <c:pt idx="216">
                  <c:v>400</c:v>
                </c:pt>
                <c:pt idx="217">
                  <c:v>53</c:v>
                </c:pt>
                <c:pt idx="218">
                  <c:v>1262</c:v>
                </c:pt>
                <c:pt idx="219">
                  <c:v>5</c:v>
                </c:pt>
                <c:pt idx="220">
                  <c:v>18849</c:v>
                </c:pt>
                <c:pt idx="221">
                  <c:v>6809</c:v>
                </c:pt>
                <c:pt idx="222">
                  <c:v>2451</c:v>
                </c:pt>
                <c:pt idx="223">
                  <c:v>1718</c:v>
                </c:pt>
                <c:pt idx="224">
                  <c:v>4896</c:v>
                </c:pt>
                <c:pt idx="225">
                  <c:v>20075</c:v>
                </c:pt>
                <c:pt idx="226">
                  <c:v>7195</c:v>
                </c:pt>
                <c:pt idx="227">
                  <c:v>172</c:v>
                </c:pt>
                <c:pt idx="228">
                  <c:v>2605</c:v>
                </c:pt>
                <c:pt idx="229">
                  <c:v>1326</c:v>
                </c:pt>
                <c:pt idx="230">
                  <c:v>882</c:v>
                </c:pt>
                <c:pt idx="231">
                  <c:v>27487</c:v>
                </c:pt>
                <c:pt idx="232">
                  <c:v>6691</c:v>
                </c:pt>
                <c:pt idx="233">
                  <c:v>117</c:v>
                </c:pt>
                <c:pt idx="234">
                  <c:v>503</c:v>
                </c:pt>
                <c:pt idx="235">
                  <c:v>261</c:v>
                </c:pt>
                <c:pt idx="236">
                  <c:v>47</c:v>
                </c:pt>
                <c:pt idx="237">
                  <c:v>1351</c:v>
                </c:pt>
                <c:pt idx="238">
                  <c:v>102</c:v>
                </c:pt>
                <c:pt idx="239">
                  <c:v>170</c:v>
                </c:pt>
                <c:pt idx="240">
                  <c:v>3996</c:v>
                </c:pt>
                <c:pt idx="241">
                  <c:v>1626</c:v>
                </c:pt>
                <c:pt idx="242">
                  <c:v>631</c:v>
                </c:pt>
                <c:pt idx="243">
                  <c:v>364</c:v>
                </c:pt>
                <c:pt idx="244">
                  <c:v>881</c:v>
                </c:pt>
                <c:pt idx="245">
                  <c:v>3515</c:v>
                </c:pt>
                <c:pt idx="246">
                  <c:v>7137</c:v>
                </c:pt>
                <c:pt idx="247">
                  <c:v>30</c:v>
                </c:pt>
                <c:pt idx="248">
                  <c:v>936</c:v>
                </c:pt>
                <c:pt idx="249">
                  <c:v>160</c:v>
                </c:pt>
                <c:pt idx="250">
                  <c:v>208</c:v>
                </c:pt>
                <c:pt idx="251">
                  <c:v>5606</c:v>
                </c:pt>
                <c:pt idx="252">
                  <c:v>43339</c:v>
                </c:pt>
                <c:pt idx="253">
                  <c:v>34</c:v>
                </c:pt>
                <c:pt idx="254">
                  <c:v>1854</c:v>
                </c:pt>
                <c:pt idx="255">
                  <c:v>19</c:v>
                </c:pt>
                <c:pt idx="256">
                  <c:v>19</c:v>
                </c:pt>
                <c:pt idx="257">
                  <c:v>1118</c:v>
                </c:pt>
                <c:pt idx="258">
                  <c:v>117</c:v>
                </c:pt>
                <c:pt idx="259">
                  <c:v>55</c:v>
                </c:pt>
                <c:pt idx="260">
                  <c:v>3584.0000000000009</c:v>
                </c:pt>
                <c:pt idx="261">
                  <c:v>958.00000000000023</c:v>
                </c:pt>
                <c:pt idx="262">
                  <c:v>860.00000000000023</c:v>
                </c:pt>
                <c:pt idx="263">
                  <c:v>618.00000000000011</c:v>
                </c:pt>
                <c:pt idx="264">
                  <c:v>1032.0000000000002</c:v>
                </c:pt>
                <c:pt idx="265">
                  <c:v>2787.0000000000005</c:v>
                </c:pt>
                <c:pt idx="266">
                  <c:v>419.00000000000011</c:v>
                </c:pt>
                <c:pt idx="267">
                  <c:v>131.00000000000003</c:v>
                </c:pt>
                <c:pt idx="268">
                  <c:v>501.00000000000011</c:v>
                </c:pt>
                <c:pt idx="269">
                  <c:v>200.00000000000006</c:v>
                </c:pt>
                <c:pt idx="270">
                  <c:v>1571.0000000000005</c:v>
                </c:pt>
                <c:pt idx="271">
                  <c:v>1030.0000000000002</c:v>
                </c:pt>
                <c:pt idx="272">
                  <c:v>232.00000000000006</c:v>
                </c:pt>
                <c:pt idx="273">
                  <c:v>4343.0000000000009</c:v>
                </c:pt>
                <c:pt idx="274">
                  <c:v>103.00000000000003</c:v>
                </c:pt>
                <c:pt idx="275">
                  <c:v>17.000000000000004</c:v>
                </c:pt>
                <c:pt idx="276">
                  <c:v>607.00000000000011</c:v>
                </c:pt>
                <c:pt idx="277">
                  <c:v>24.000000000000007</c:v>
                </c:pt>
                <c:pt idx="278">
                  <c:v>344.00000000000006</c:v>
                </c:pt>
                <c:pt idx="279">
                  <c:v>1.0000000000000002</c:v>
                </c:pt>
                <c:pt idx="280">
                  <c:v>2436.0000000000005</c:v>
                </c:pt>
                <c:pt idx="281">
                  <c:v>1070.0000000000002</c:v>
                </c:pt>
                <c:pt idx="282">
                  <c:v>365.00000000000006</c:v>
                </c:pt>
                <c:pt idx="283">
                  <c:v>222.00000000000003</c:v>
                </c:pt>
                <c:pt idx="284">
                  <c:v>536.00000000000011</c:v>
                </c:pt>
                <c:pt idx="285">
                  <c:v>1938.0000000000002</c:v>
                </c:pt>
                <c:pt idx="286">
                  <c:v>1556.0000000000002</c:v>
                </c:pt>
                <c:pt idx="287">
                  <c:v>20.000000000000004</c:v>
                </c:pt>
                <c:pt idx="288">
                  <c:v>1698.0000000000002</c:v>
                </c:pt>
                <c:pt idx="289">
                  <c:v>83.000000000000014</c:v>
                </c:pt>
                <c:pt idx="290">
                  <c:v>436.00000000000006</c:v>
                </c:pt>
                <c:pt idx="291">
                  <c:v>1211.0000000000002</c:v>
                </c:pt>
                <c:pt idx="292">
                  <c:v>6668.0000000000009</c:v>
                </c:pt>
                <c:pt idx="293">
                  <c:v>30.000000000000004</c:v>
                </c:pt>
                <c:pt idx="294">
                  <c:v>9575.0000000000018</c:v>
                </c:pt>
                <c:pt idx="295">
                  <c:v>4.0000000000000009</c:v>
                </c:pt>
                <c:pt idx="296">
                  <c:v>54.000000000000007</c:v>
                </c:pt>
                <c:pt idx="297">
                  <c:v>80.000000000000014</c:v>
                </c:pt>
                <c:pt idx="298">
                  <c:v>719.00000000000011</c:v>
                </c:pt>
                <c:pt idx="299">
                  <c:v>4.0000000000000009</c:v>
                </c:pt>
                <c:pt idx="300">
                  <c:v>2229.9999999999995</c:v>
                </c:pt>
                <c:pt idx="301">
                  <c:v>579.99999999999989</c:v>
                </c:pt>
                <c:pt idx="302">
                  <c:v>293.99999999999994</c:v>
                </c:pt>
                <c:pt idx="303">
                  <c:v>366.99999999999994</c:v>
                </c:pt>
                <c:pt idx="304">
                  <c:v>1049.9999999999998</c:v>
                </c:pt>
                <c:pt idx="305">
                  <c:v>2716.9999999999995</c:v>
                </c:pt>
                <c:pt idx="306">
                  <c:v>287.99999999999994</c:v>
                </c:pt>
                <c:pt idx="307">
                  <c:v>55.999999999999993</c:v>
                </c:pt>
                <c:pt idx="308">
                  <c:v>188.99999999999997</c:v>
                </c:pt>
                <c:pt idx="309">
                  <c:v>543.99999999999989</c:v>
                </c:pt>
                <c:pt idx="310">
                  <c:v>132.99999999999997</c:v>
                </c:pt>
                <c:pt idx="311">
                  <c:v>3869.9999999999995</c:v>
                </c:pt>
                <c:pt idx="312">
                  <c:v>273.99999999999994</c:v>
                </c:pt>
                <c:pt idx="313">
                  <c:v>18.999999999999996</c:v>
                </c:pt>
                <c:pt idx="314">
                  <c:v>33.999999999999993</c:v>
                </c:pt>
                <c:pt idx="315">
                  <c:v>457.99999999999994</c:v>
                </c:pt>
                <c:pt idx="316">
                  <c:v>14.999999999999998</c:v>
                </c:pt>
                <c:pt idx="317">
                  <c:v>195.99999999999997</c:v>
                </c:pt>
                <c:pt idx="318">
                  <c:v>9.9999999999999982</c:v>
                </c:pt>
                <c:pt idx="319">
                  <c:v>66.999999999999986</c:v>
                </c:pt>
                <c:pt idx="320">
                  <c:v>3188</c:v>
                </c:pt>
                <c:pt idx="321">
                  <c:v>788</c:v>
                </c:pt>
                <c:pt idx="322">
                  <c:v>906</c:v>
                </c:pt>
                <c:pt idx="323">
                  <c:v>492</c:v>
                </c:pt>
                <c:pt idx="324">
                  <c:v>852</c:v>
                </c:pt>
                <c:pt idx="325">
                  <c:v>2350</c:v>
                </c:pt>
                <c:pt idx="326">
                  <c:v>367</c:v>
                </c:pt>
                <c:pt idx="327">
                  <c:v>59</c:v>
                </c:pt>
                <c:pt idx="328">
                  <c:v>549</c:v>
                </c:pt>
                <c:pt idx="329">
                  <c:v>129</c:v>
                </c:pt>
                <c:pt idx="330">
                  <c:v>1939</c:v>
                </c:pt>
                <c:pt idx="331">
                  <c:v>935</c:v>
                </c:pt>
                <c:pt idx="332">
                  <c:v>214</c:v>
                </c:pt>
                <c:pt idx="333">
                  <c:v>1043</c:v>
                </c:pt>
                <c:pt idx="334">
                  <c:v>315</c:v>
                </c:pt>
                <c:pt idx="335">
                  <c:v>9</c:v>
                </c:pt>
                <c:pt idx="336">
                  <c:v>1729</c:v>
                </c:pt>
                <c:pt idx="337">
                  <c:v>14</c:v>
                </c:pt>
                <c:pt idx="338">
                  <c:v>1405</c:v>
                </c:pt>
                <c:pt idx="339">
                  <c:v>4</c:v>
                </c:pt>
                <c:pt idx="340">
                  <c:v>2596</c:v>
                </c:pt>
                <c:pt idx="341">
                  <c:v>887</c:v>
                </c:pt>
                <c:pt idx="342">
                  <c:v>345</c:v>
                </c:pt>
                <c:pt idx="343">
                  <c:v>228</c:v>
                </c:pt>
                <c:pt idx="344">
                  <c:v>648</c:v>
                </c:pt>
                <c:pt idx="345">
                  <c:v>2546</c:v>
                </c:pt>
                <c:pt idx="346">
                  <c:v>1308</c:v>
                </c:pt>
                <c:pt idx="347">
                  <c:v>23</c:v>
                </c:pt>
                <c:pt idx="348">
                  <c:v>334</c:v>
                </c:pt>
                <c:pt idx="349">
                  <c:v>189</c:v>
                </c:pt>
                <c:pt idx="350">
                  <c:v>128</c:v>
                </c:pt>
                <c:pt idx="351">
                  <c:v>10453</c:v>
                </c:pt>
                <c:pt idx="352">
                  <c:v>8285</c:v>
                </c:pt>
                <c:pt idx="353">
                  <c:v>18</c:v>
                </c:pt>
                <c:pt idx="354">
                  <c:v>148</c:v>
                </c:pt>
                <c:pt idx="355">
                  <c:v>73</c:v>
                </c:pt>
                <c:pt idx="356">
                  <c:v>11</c:v>
                </c:pt>
                <c:pt idx="357">
                  <c:v>3734</c:v>
                </c:pt>
                <c:pt idx="358">
                  <c:v>17</c:v>
                </c:pt>
                <c:pt idx="359">
                  <c:v>774</c:v>
                </c:pt>
                <c:pt idx="360">
                  <c:v>4599</c:v>
                </c:pt>
                <c:pt idx="361">
                  <c:v>1187</c:v>
                </c:pt>
                <c:pt idx="362">
                  <c:v>1210</c:v>
                </c:pt>
                <c:pt idx="363">
                  <c:v>688</c:v>
                </c:pt>
                <c:pt idx="364">
                  <c:v>1196</c:v>
                </c:pt>
                <c:pt idx="365">
                  <c:v>3553</c:v>
                </c:pt>
                <c:pt idx="366">
                  <c:v>722</c:v>
                </c:pt>
                <c:pt idx="367">
                  <c:v>76</c:v>
                </c:pt>
                <c:pt idx="368">
                  <c:v>1269</c:v>
                </c:pt>
                <c:pt idx="369">
                  <c:v>170</c:v>
                </c:pt>
                <c:pt idx="370">
                  <c:v>3546</c:v>
                </c:pt>
                <c:pt idx="371">
                  <c:v>1326</c:v>
                </c:pt>
                <c:pt idx="372">
                  <c:v>1172</c:v>
                </c:pt>
                <c:pt idx="373">
                  <c:v>543</c:v>
                </c:pt>
                <c:pt idx="374">
                  <c:v>2789</c:v>
                </c:pt>
                <c:pt idx="375">
                  <c:v>12</c:v>
                </c:pt>
                <c:pt idx="376">
                  <c:v>1449</c:v>
                </c:pt>
                <c:pt idx="377">
                  <c:v>41</c:v>
                </c:pt>
                <c:pt idx="378">
                  <c:v>8039</c:v>
                </c:pt>
                <c:pt idx="379">
                  <c:v>3</c:v>
                </c:pt>
                <c:pt idx="380">
                  <c:v>1151</c:v>
                </c:pt>
                <c:pt idx="381">
                  <c:v>417</c:v>
                </c:pt>
                <c:pt idx="382">
                  <c:v>158</c:v>
                </c:pt>
                <c:pt idx="383">
                  <c:v>100</c:v>
                </c:pt>
                <c:pt idx="384">
                  <c:v>281</c:v>
                </c:pt>
                <c:pt idx="385">
                  <c:v>1271</c:v>
                </c:pt>
                <c:pt idx="386">
                  <c:v>388</c:v>
                </c:pt>
                <c:pt idx="387">
                  <c:v>11</c:v>
                </c:pt>
                <c:pt idx="388">
                  <c:v>144</c:v>
                </c:pt>
                <c:pt idx="389">
                  <c:v>91</c:v>
                </c:pt>
                <c:pt idx="390">
                  <c:v>61</c:v>
                </c:pt>
                <c:pt idx="391">
                  <c:v>5157</c:v>
                </c:pt>
                <c:pt idx="392">
                  <c:v>1351</c:v>
                </c:pt>
                <c:pt idx="393">
                  <c:v>9</c:v>
                </c:pt>
                <c:pt idx="394">
                  <c:v>46</c:v>
                </c:pt>
                <c:pt idx="395">
                  <c:v>89</c:v>
                </c:pt>
                <c:pt idx="396">
                  <c:v>4</c:v>
                </c:pt>
                <c:pt idx="397">
                  <c:v>2684</c:v>
                </c:pt>
                <c:pt idx="398">
                  <c:v>11</c:v>
                </c:pt>
                <c:pt idx="399">
                  <c:v>9268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B-4359-91B0-C706C339E30E}"/>
            </c:ext>
          </c:extLst>
        </c:ser>
        <c:ser>
          <c:idx val="1"/>
          <c:order val="1"/>
          <c:tx>
            <c:strRef>
              <c:f>calibration_flow!$DB$1</c:f>
              <c:strCache>
                <c:ptCount val="1"/>
                <c:pt idx="0">
                  <c:v>Ref</c:v>
                </c:pt>
              </c:strCache>
            </c:strRef>
          </c:tx>
          <c:spPr>
            <a:ln cap="rnd" w="25400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calibration_flow!$DB$2:$DB$61</c:f>
              <c:numCache>
                <c:formatCode>General</c:formatCode>
                <c:ptCount val="6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22000</c:v>
                </c:pt>
                <c:pt idx="22">
                  <c:v>23000</c:v>
                </c:pt>
                <c:pt idx="23">
                  <c:v>24000</c:v>
                </c:pt>
                <c:pt idx="24">
                  <c:v>25000</c:v>
                </c:pt>
                <c:pt idx="25">
                  <c:v>26000</c:v>
                </c:pt>
                <c:pt idx="26">
                  <c:v>27000</c:v>
                </c:pt>
                <c:pt idx="27">
                  <c:v>28000</c:v>
                </c:pt>
                <c:pt idx="28">
                  <c:v>29000</c:v>
                </c:pt>
                <c:pt idx="29">
                  <c:v>30000</c:v>
                </c:pt>
                <c:pt idx="30">
                  <c:v>31000</c:v>
                </c:pt>
                <c:pt idx="31">
                  <c:v>32000</c:v>
                </c:pt>
                <c:pt idx="32">
                  <c:v>33000</c:v>
                </c:pt>
                <c:pt idx="33">
                  <c:v>34000</c:v>
                </c:pt>
                <c:pt idx="34">
                  <c:v>35000</c:v>
                </c:pt>
                <c:pt idx="35">
                  <c:v>36000</c:v>
                </c:pt>
                <c:pt idx="36">
                  <c:v>37000</c:v>
                </c:pt>
                <c:pt idx="37">
                  <c:v>38000</c:v>
                </c:pt>
                <c:pt idx="38">
                  <c:v>39000</c:v>
                </c:pt>
                <c:pt idx="39">
                  <c:v>40000</c:v>
                </c:pt>
                <c:pt idx="40">
                  <c:v>41000</c:v>
                </c:pt>
                <c:pt idx="41">
                  <c:v>42000</c:v>
                </c:pt>
                <c:pt idx="42">
                  <c:v>43000</c:v>
                </c:pt>
                <c:pt idx="43">
                  <c:v>44000</c:v>
                </c:pt>
                <c:pt idx="44">
                  <c:v>45000</c:v>
                </c:pt>
                <c:pt idx="45">
                  <c:v>46000</c:v>
                </c:pt>
                <c:pt idx="46">
                  <c:v>47000</c:v>
                </c:pt>
                <c:pt idx="47">
                  <c:v>48000</c:v>
                </c:pt>
                <c:pt idx="48">
                  <c:v>49000</c:v>
                </c:pt>
                <c:pt idx="49">
                  <c:v>50000</c:v>
                </c:pt>
                <c:pt idx="50">
                  <c:v>51000</c:v>
                </c:pt>
                <c:pt idx="51">
                  <c:v>52000</c:v>
                </c:pt>
                <c:pt idx="52">
                  <c:v>53000</c:v>
                </c:pt>
                <c:pt idx="53">
                  <c:v>54000</c:v>
                </c:pt>
                <c:pt idx="54">
                  <c:v>55000</c:v>
                </c:pt>
                <c:pt idx="55">
                  <c:v>56000</c:v>
                </c:pt>
                <c:pt idx="56">
                  <c:v>57000</c:v>
                </c:pt>
                <c:pt idx="57">
                  <c:v>58000</c:v>
                </c:pt>
                <c:pt idx="58">
                  <c:v>59000</c:v>
                </c:pt>
                <c:pt idx="59">
                  <c:v>60000</c:v>
                </c:pt>
              </c:numCache>
            </c:numRef>
          </c:xVal>
          <c:yVal>
            <c:numRef>
              <c:f>calibration_flow!$DB$2:$DB$61</c:f>
              <c:numCache>
                <c:formatCode>General</c:formatCode>
                <c:ptCount val="6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22000</c:v>
                </c:pt>
                <c:pt idx="22">
                  <c:v>23000</c:v>
                </c:pt>
                <c:pt idx="23">
                  <c:v>24000</c:v>
                </c:pt>
                <c:pt idx="24">
                  <c:v>25000</c:v>
                </c:pt>
                <c:pt idx="25">
                  <c:v>26000</c:v>
                </c:pt>
                <c:pt idx="26">
                  <c:v>27000</c:v>
                </c:pt>
                <c:pt idx="27">
                  <c:v>28000</c:v>
                </c:pt>
                <c:pt idx="28">
                  <c:v>29000</c:v>
                </c:pt>
                <c:pt idx="29">
                  <c:v>30000</c:v>
                </c:pt>
                <c:pt idx="30">
                  <c:v>31000</c:v>
                </c:pt>
                <c:pt idx="31">
                  <c:v>32000</c:v>
                </c:pt>
                <c:pt idx="32">
                  <c:v>33000</c:v>
                </c:pt>
                <c:pt idx="33">
                  <c:v>34000</c:v>
                </c:pt>
                <c:pt idx="34">
                  <c:v>35000</c:v>
                </c:pt>
                <c:pt idx="35">
                  <c:v>36000</c:v>
                </c:pt>
                <c:pt idx="36">
                  <c:v>37000</c:v>
                </c:pt>
                <c:pt idx="37">
                  <c:v>38000</c:v>
                </c:pt>
                <c:pt idx="38">
                  <c:v>39000</c:v>
                </c:pt>
                <c:pt idx="39">
                  <c:v>40000</c:v>
                </c:pt>
                <c:pt idx="40">
                  <c:v>41000</c:v>
                </c:pt>
                <c:pt idx="41">
                  <c:v>42000</c:v>
                </c:pt>
                <c:pt idx="42">
                  <c:v>43000</c:v>
                </c:pt>
                <c:pt idx="43">
                  <c:v>44000</c:v>
                </c:pt>
                <c:pt idx="44">
                  <c:v>45000</c:v>
                </c:pt>
                <c:pt idx="45">
                  <c:v>46000</c:v>
                </c:pt>
                <c:pt idx="46">
                  <c:v>47000</c:v>
                </c:pt>
                <c:pt idx="47">
                  <c:v>48000</c:v>
                </c:pt>
                <c:pt idx="48">
                  <c:v>49000</c:v>
                </c:pt>
                <c:pt idx="49">
                  <c:v>50000</c:v>
                </c:pt>
                <c:pt idx="50">
                  <c:v>51000</c:v>
                </c:pt>
                <c:pt idx="51">
                  <c:v>52000</c:v>
                </c:pt>
                <c:pt idx="52">
                  <c:v>53000</c:v>
                </c:pt>
                <c:pt idx="53">
                  <c:v>54000</c:v>
                </c:pt>
                <c:pt idx="54">
                  <c:v>55000</c:v>
                </c:pt>
                <c:pt idx="55">
                  <c:v>56000</c:v>
                </c:pt>
                <c:pt idx="56">
                  <c:v>57000</c:v>
                </c:pt>
                <c:pt idx="57">
                  <c:v>58000</c:v>
                </c:pt>
                <c:pt idx="58">
                  <c:v>59000</c:v>
                </c:pt>
                <c:pt idx="59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CB-4359-91B0-C706C339E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863423"/>
        <c:axId val="540863839"/>
      </c:scatterChart>
      <c:valAx>
        <c:axId val="540863423"/>
        <c:scaling>
          <c:orientation val="minMax"/>
          <c:max val="20000"/>
        </c:scaling>
        <c:delete val="0"/>
        <c:axPos val="b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839"/>
        <c:crosses val="autoZero"/>
        <c:crossBetween val="midCat"/>
      </c:valAx>
      <c:valAx>
        <c:axId val="540863839"/>
        <c:scaling>
          <c:orientation val="minMax"/>
          <c:max val="20000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EST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    <Relationship Id="rId1" Target="../charts/chart3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    <Relationship Id="rId1" Target="../charts/chart4.xml" Type="http://schemas.openxmlformats.org/officeDocument/2006/relationships/chart"/>
    <Relationship Id="rId2" Target="../charts/chart5.xml" Type="http://schemas.openxmlformats.org/officeDocument/2006/relationships/chart"/>
    <Relationship Id="rId3" Target="../charts/chart6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    <Relationship Id="rId1" Target="../media/image1.png" Type="http://schemas.openxmlformats.org/officeDocument/2006/relationships/image"/>
    <Relationship Id="rId2" Target="../media/image2.png" Type="http://schemas.openxmlformats.org/officeDocument/2006/relationships/image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9524</xdr:colOff>
      <xdr:row>16</xdr:row>
      <xdr:rowOff>123825</xdr:rowOff>
    </xdr:from>
    <xdr:to>
      <xdr:col>22</xdr:col>
      <xdr:colOff>114299</xdr:colOff>
      <xdr:row>33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266700</xdr:colOff>
      <xdr:row>15</xdr:row>
      <xdr:rowOff>19050</xdr:rowOff>
    </xdr:from>
    <xdr:to>
      <xdr:col>21</xdr:col>
      <xdr:colOff>571500</xdr:colOff>
      <xdr:row>31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90</xdr:col>
      <xdr:colOff>523874</xdr:colOff>
      <xdr:row>17</xdr:row>
      <xdr:rowOff>9524</xdr:rowOff>
    </xdr:from>
    <xdr:to>
      <xdr:col>101</xdr:col>
      <xdr:colOff>457200</xdr:colOff>
      <xdr:row>38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19</xdr:col>
      <xdr:colOff>380999</xdr:colOff>
      <xdr:row>2</xdr:row>
      <xdr:rowOff>9525</xdr:rowOff>
    </xdr:from>
    <xdr:to>
      <xdr:col>27</xdr:col>
      <xdr:colOff>942974</xdr:colOff>
      <xdr:row>21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40</xdr:col>
      <xdr:colOff>276224</xdr:colOff>
      <xdr:row>0</xdr:row>
      <xdr:rowOff>161924</xdr:rowOff>
    </xdr:from>
    <xdr:to>
      <xdr:col>49</xdr:col>
      <xdr:colOff>333375</xdr:colOff>
      <xdr:row>24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51</xdr:col>
      <xdr:colOff>0</xdr:colOff>
      <xdr:row>1</xdr:row>
      <xdr:rowOff>0</xdr:rowOff>
    </xdr:from>
    <xdr:to>
      <xdr:col>58</xdr:col>
      <xdr:colOff>542926</xdr:colOff>
      <xdr:row>24</xdr:row>
      <xdr:rowOff>104776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 editAs="oneCell">
    <xdr:from>
      <xdr:col>13</xdr:col>
      <xdr:colOff>190501</xdr:colOff>
      <xdr:row>68</xdr:row>
      <xdr:rowOff>19050</xdr:rowOff>
    </xdr:from>
    <xdr:to>
      <xdr:col>16</xdr:col>
      <xdr:colOff>504826</xdr:colOff>
      <xdr:row>81</xdr:row>
      <xdr:rowOff>82275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9B5916FA-C09F-4467-9B5C-00FA9F24F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53601" y="10420350"/>
          <a:ext cx="2933700" cy="2539725"/>
        </a:xfrm>
        <a:prstGeom prst="rect">
          <a:avLst/>
        </a:prstGeom>
      </xdr:spPr>
    </xdr:pic>
    <xdr:clientData/>
  </xdr:twoCellAnchor>
  <xdr:twoCellAnchor editAs="oneCell">
    <xdr:from>
      <xdr:col>13</xdr:col>
      <xdr:colOff>419100</xdr:colOff>
      <xdr:row>42</xdr:row>
      <xdr:rowOff>171451</xdr:rowOff>
    </xdr:from>
    <xdr:to>
      <xdr:col>16</xdr:col>
      <xdr:colOff>542925</xdr:colOff>
      <xdr:row>55</xdr:row>
      <xdr:rowOff>97753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2477873-7CA4-4069-8097-68C3A67E9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82200" y="5562601"/>
          <a:ext cx="2743200" cy="24028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    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    <Relationship Id="rId2" Target="../drawings/drawing3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    <Relationship Id="rId1" Target="../printerSettings/printerSettings6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    <Relationship Id="rId1" Target="../printerSettings/printerSettings7.bin" Type="http://schemas.openxmlformats.org/officeDocument/2006/relationships/printerSettings"/>
</Relationships>

</file>

<file path=xl/worksheets/_rels/sheet11.xml.rels><?xml version="1.0" encoding="UTF-8" standalone="no"?>
<Relationships xmlns="http://schemas.openxmlformats.org/package/2006/relationships">
    <Relationship Id="rId1" Target="../printerSettings/printerSettings8.bin" Type="http://schemas.openxmlformats.org/officeDocument/2006/relationships/printerSettings"/>
</Relationships>

</file>

<file path=xl/worksheets/_rels/sheet12.xml.rels><?xml version="1.0" encoding="UTF-8" standalone="no"?>
<Relationships xmlns="http://schemas.openxmlformats.org/package/2006/relationships">
    <Relationship Id="rId1" Target="../printerSettings/printerSettings9.bin" Type="http://schemas.openxmlformats.org/officeDocument/2006/relationships/printerSettings"/>
    <Relationship Id="rId2" Target="../drawings/drawing4.xml" Type="http://schemas.openxmlformats.org/officeDocument/2006/relationships/drawing"/>
</Relationships>

</file>

<file path=xl/worksheets/_rels/sheet13.xml.rels><?xml version="1.0" encoding="UTF-8" standalone="no"?>
<Relationships xmlns="http://schemas.openxmlformats.org/package/2006/relationships">
    <Relationship Id="rId1" Target="../printerSettings/printerSettings10.bin" Type="http://schemas.openxmlformats.org/officeDocument/2006/relationships/printerSettings"/>
    <Relationship Id="rId2" Target="../drawings/drawing5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X101"/>
  <sheetViews>
    <sheetView workbookViewId="0">
      <selection activeCell="M9" sqref="M9:O14"/>
    </sheetView>
  </sheetViews>
  <sheetFormatPr defaultRowHeight="15" x14ac:dyDescent="0.25"/>
  <cols>
    <col min="1" max="1" customWidth="true" width="13.5703125" collapsed="true"/>
    <col min="2" max="3" bestFit="true" customWidth="true" width="10.5703125" collapsed="true"/>
    <col min="4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1.5703125" collapsed="true"/>
    <col min="12" max="12" bestFit="true" customWidth="true" width="10.5703125" collapsed="true"/>
    <col min="15" max="15" bestFit="true" customWidth="true" width="15.7109375" collapsed="true"/>
  </cols>
  <sheetData>
    <row r="1" spans="1:23" x14ac:dyDescent="0.25">
      <c r="A1" t="s">
        <v>1</v>
      </c>
    </row>
    <row r="2" spans="1:23" x14ac:dyDescent="0.25">
      <c r="A2" t="s">
        <v>247</v>
      </c>
    </row>
    <row r="3" spans="1:23" x14ac:dyDescent="0.25">
      <c r="A3" t="s">
        <v>241</v>
      </c>
    </row>
    <row r="4" spans="1:23" x14ac:dyDescent="0.25">
      <c r="A4" t="s">
        <v>4</v>
      </c>
    </row>
    <row r="5" spans="1:23" x14ac:dyDescent="0.25">
      <c r="A5" t="s">
        <v>5</v>
      </c>
    </row>
    <row r="7" spans="1:23" x14ac:dyDescent="0.25">
      <c r="A7" t="s">
        <v>11</v>
      </c>
    </row>
    <row ht="15.75" r="9" spans="1:23" thickBot="1" x14ac:dyDescent="0.3">
      <c r="A9" s="4" t="s">
        <v>208</v>
      </c>
      <c r="B9" s="1"/>
      <c r="C9" s="1"/>
      <c r="D9" s="1"/>
      <c r="E9" s="1"/>
      <c r="G9" s="4" t="s">
        <v>12</v>
      </c>
      <c r="H9" s="1"/>
      <c r="I9" s="1"/>
      <c r="J9" s="1"/>
      <c r="K9" s="1"/>
      <c r="M9" s="28" t="s">
        <v>251</v>
      </c>
      <c r="N9" s="26"/>
      <c r="O9" s="26"/>
    </row>
    <row r="10" spans="1:23" x14ac:dyDescent="0.25">
      <c r="A10" s="2" t="s">
        <v>2</v>
      </c>
      <c r="B10" s="5" t="s">
        <v>8</v>
      </c>
      <c r="C10" s="5" t="s">
        <v>9</v>
      </c>
      <c r="D10" s="5" t="s">
        <v>10</v>
      </c>
      <c r="E10" s="5" t="s">
        <v>203</v>
      </c>
      <c r="G10" s="2" t="s">
        <v>2</v>
      </c>
      <c r="H10" s="5" t="s">
        <v>8</v>
      </c>
      <c r="I10" s="5" t="s">
        <v>9</v>
      </c>
      <c r="J10" s="5" t="s">
        <v>10</v>
      </c>
      <c r="K10" s="29" t="s">
        <v>253</v>
      </c>
      <c r="M10" s="25"/>
      <c r="N10" s="29" t="s">
        <v>203</v>
      </c>
      <c r="O10" s="29" t="s">
        <v>253</v>
      </c>
    </row>
    <row r="11" spans="1:23" x14ac:dyDescent="0.25">
      <c r="A11">
        <v>0</v>
      </c>
      <c r="B11" s="58" t="n">
        <v>8737.207289633941</v>
      </c>
      <c r="C11" s="58" t="n">
        <v>2147.039370614851</v>
      </c>
      <c r="D11" s="58" t="n">
        <v>808.8443448625151</v>
      </c>
      <c r="E11" s="58">
        <f>SUM(B11:D11)</f>
        <v>11693.091005111308</v>
      </c>
      <c r="F11" s="78">
        <f>IFERROR(E11/SUM($E$11:$E$100),0)</f>
        <v>2.0878220543415045E-2</v>
      </c>
      <c r="G11">
        <v>0</v>
      </c>
      <c r="H11" s="68" t="n">
        <v>10642.0</v>
      </c>
      <c r="I11" s="68" t="n">
        <v>1523.0</v>
      </c>
      <c r="J11" s="68" t="n">
        <v>937.0</v>
      </c>
      <c r="K11" s="58">
        <f>SUM(H11:J11)</f>
        <v>12724</v>
      </c>
      <c r="L11" s="78">
        <f>IFERROR(K11/SUM($K$11:$K$100),0)</f>
        <v>1.9712584201426544E-2</v>
      </c>
      <c r="M11" s="26" t="s">
        <v>8</v>
      </c>
      <c r="N11" s="65" t="n">
        <v>13.114507307926457</v>
      </c>
      <c r="O11" s="65" t="n">
        <v>14.623395924549548</v>
      </c>
    </row>
    <row r="12" spans="1:23" x14ac:dyDescent="0.25">
      <c r="A12">
        <v>1</v>
      </c>
      <c r="B12" s="58" t="n">
        <v>18095.65905062826</v>
      </c>
      <c r="C12" s="58" t="n">
        <v>5296.21714403512</v>
      </c>
      <c r="D12" s="58" t="n">
        <v>4286.249475676271</v>
      </c>
      <c r="E12" s="58">
        <f ref="E12:E75" si="0" t="shared">SUM(B12:D12)</f>
        <v>27678.12567033965</v>
      </c>
      <c r="F12" s="78">
        <f ref="F12:F75" si="1" t="shared">IFERROR(E12/SUM($E$11:$E$100),0)</f>
        <v>4.941978230744197E-2</v>
      </c>
      <c r="G12">
        <v>1</v>
      </c>
      <c r="H12" s="68" t="n">
        <v>26666.0</v>
      </c>
      <c r="I12" s="68" t="n">
        <v>4035.0</v>
      </c>
      <c r="J12" s="68" t="n">
        <v>2339.0</v>
      </c>
      <c r="K12" s="58">
        <f ref="K12:K75" si="2" t="shared">SUM(H12:J12)</f>
        <v>27179</v>
      </c>
      <c r="L12" s="78">
        <f ref="L12:L75" si="3" t="shared">IFERROR(K12/SUM($K$11:$K$100),0)</f>
        <v>4.2106910249180451E-2</v>
      </c>
      <c r="M12" s="26" t="s">
        <v>9</v>
      </c>
      <c r="N12" s="65" t="n">
        <v>9.568572803115085</v>
      </c>
      <c r="O12" s="65" t="n">
        <v>12.837457690646602</v>
      </c>
    </row>
    <row r="13" spans="1:23" x14ac:dyDescent="0.25">
      <c r="A13">
        <v>2</v>
      </c>
      <c r="B13" s="58" t="n">
        <v>25650.078974800963</v>
      </c>
      <c r="C13" s="58" t="n">
        <v>4088.2901857419333</v>
      </c>
      <c r="D13" s="58" t="n">
        <v>1029.0584810238493</v>
      </c>
      <c r="E13" s="58">
        <f si="0" t="shared"/>
        <v>30767.427641566748</v>
      </c>
      <c r="F13" s="78">
        <f si="1" t="shared"/>
        <v>5.4935785548355105E-2</v>
      </c>
      <c r="G13">
        <v>2</v>
      </c>
      <c r="H13" s="68" t="n">
        <v>30821.0</v>
      </c>
      <c r="I13" s="68" t="n">
        <v>5213.0</v>
      </c>
      <c r="J13" s="68" t="n">
        <v>2773.0</v>
      </c>
      <c r="K13" s="58">
        <f si="2" t="shared"/>
        <v>28039</v>
      </c>
      <c r="L13" s="78">
        <f si="3" t="shared"/>
        <v>4.3439260328811603E-2</v>
      </c>
      <c r="M13" s="27" t="s">
        <v>10</v>
      </c>
      <c r="N13" s="66" t="n">
        <v>8.317876539535664</v>
      </c>
      <c r="O13" s="66" t="n">
        <v>11.478620413008386</v>
      </c>
    </row>
    <row ht="15.75" r="14" spans="1:23" thickBot="1" x14ac:dyDescent="0.3">
      <c r="A14">
        <v>3</v>
      </c>
      <c r="B14" s="58" t="n">
        <v>27494.030148611833</v>
      </c>
      <c r="C14" s="58" t="n">
        <v>4482.611096810263</v>
      </c>
      <c r="D14" s="58" t="n">
        <v>3694.6624023386194</v>
      </c>
      <c r="E14" s="58">
        <f si="0" t="shared"/>
        <v>35671.303647760717</v>
      </c>
      <c r="F14" s="78">
        <f si="1" t="shared"/>
        <v>6.3691742782428173E-2</v>
      </c>
      <c r="G14">
        <v>3</v>
      </c>
      <c r="H14" s="68" t="n">
        <v>29382.0</v>
      </c>
      <c r="I14" s="68" t="n">
        <v>5284.0</v>
      </c>
      <c r="J14" s="68" t="n">
        <v>2707.0</v>
      </c>
      <c r="K14" s="58">
        <f si="2" t="shared"/>
        <v>24940</v>
      </c>
      <c r="L14" s="78">
        <f si="3" t="shared"/>
        <v>3.8638152309303522E-2</v>
      </c>
      <c r="M14" s="24" t="s">
        <v>3</v>
      </c>
      <c r="N14" s="67" t="n">
        <v>12.516625030524951</v>
      </c>
      <c r="O14" s="67" t="n">
        <v>14.300966295472357</v>
      </c>
      <c r="S14" s="8"/>
    </row>
    <row r="15" spans="1:23" x14ac:dyDescent="0.25">
      <c r="A15">
        <v>4</v>
      </c>
      <c r="B15" s="58" t="n">
        <v>26165.74637600961</v>
      </c>
      <c r="C15" s="58" t="n">
        <v>3182.808438635842</v>
      </c>
      <c r="D15" s="58" t="n">
        <v>2378.6450194653644</v>
      </c>
      <c r="E15" s="58">
        <f si="0" t="shared"/>
        <v>31727.199834110819</v>
      </c>
      <c r="F15" s="78">
        <f si="1" t="shared"/>
        <v>5.6649475752135518E-2</v>
      </c>
      <c r="G15">
        <v>4</v>
      </c>
      <c r="H15" s="68" t="n">
        <v>31275.0</v>
      </c>
      <c r="I15" s="68" t="n">
        <v>5329.0</v>
      </c>
      <c r="J15" s="68" t="n">
        <v>2538.0</v>
      </c>
      <c r="K15" s="58">
        <f si="2" t="shared"/>
        <v>25615</v>
      </c>
      <c r="L15" s="78">
        <f si="3" t="shared"/>
        <v>3.9683892197386113E-2</v>
      </c>
      <c r="W15" s="8"/>
    </row>
    <row r="16" spans="1:23" x14ac:dyDescent="0.25">
      <c r="A16">
        <v>5</v>
      </c>
      <c r="B16" s="58" t="n">
        <v>18502.235511889925</v>
      </c>
      <c r="C16" s="58" t="n">
        <v>2866.1465730390983</v>
      </c>
      <c r="D16" s="58" t="n">
        <v>3259.514499379007</v>
      </c>
      <c r="E16" s="58">
        <f si="0" t="shared"/>
        <v>24627.89658430803</v>
      </c>
      <c r="F16" s="78">
        <f si="1" t="shared"/>
        <v>4.3973544393252288E-2</v>
      </c>
      <c r="G16">
        <v>5</v>
      </c>
      <c r="H16" s="68" t="n">
        <v>32983.0</v>
      </c>
      <c r="I16" s="68" t="n">
        <v>5341.0</v>
      </c>
      <c r="J16" s="68" t="n">
        <v>2040.0</v>
      </c>
      <c r="K16" s="58">
        <f si="2" t="shared"/>
        <v>26566</v>
      </c>
      <c r="L16" s="78">
        <f si="3" t="shared"/>
        <v>4.1157223506373589E-2</v>
      </c>
      <c r="W16" s="8"/>
    </row>
    <row r="17" spans="1:23" x14ac:dyDescent="0.25">
      <c r="A17">
        <v>6</v>
      </c>
      <c r="B17" s="58" t="n">
        <v>24967.358851677127</v>
      </c>
      <c r="C17" s="58" t="n">
        <v>3444.977009842527</v>
      </c>
      <c r="D17" s="58" t="n">
        <v>1282.247817561105</v>
      </c>
      <c r="E17" s="58">
        <f si="0" t="shared"/>
        <v>29694.583679080759</v>
      </c>
      <c r="F17" s="78">
        <f si="1" t="shared"/>
        <v>5.3020203701975674E-2</v>
      </c>
      <c r="G17">
        <v>6</v>
      </c>
      <c r="H17" s="68" t="n">
        <v>31182.0</v>
      </c>
      <c r="I17" s="68" t="n">
        <v>4645.0</v>
      </c>
      <c r="J17" s="68" t="n">
        <v>1862.0</v>
      </c>
      <c r="K17" s="58">
        <f si="2" t="shared"/>
        <v>25485</v>
      </c>
      <c r="L17" s="78">
        <f si="3" t="shared"/>
        <v>3.9482490441162803E-2</v>
      </c>
      <c r="W17" s="8"/>
    </row>
    <row r="18" spans="1:23" x14ac:dyDescent="0.25">
      <c r="A18">
        <v>7</v>
      </c>
      <c r="B18" s="58" t="n">
        <v>22549.142569730568</v>
      </c>
      <c r="C18" s="58" t="n">
        <v>4520.67754023103</v>
      </c>
      <c r="D18" s="58" t="n">
        <v>821.5123475970968</v>
      </c>
      <c r="E18" s="58">
        <f si="0" t="shared"/>
        <v>27891.332457558696</v>
      </c>
      <c r="F18" s="78">
        <f si="1" t="shared"/>
        <v>4.9800466792234432E-2</v>
      </c>
      <c r="G18">
        <v>7</v>
      </c>
      <c r="H18" s="68" t="n">
        <v>29078.0</v>
      </c>
      <c r="I18" s="68" t="n">
        <v>3934.0</v>
      </c>
      <c r="J18" s="68" t="n">
        <v>1675.0</v>
      </c>
      <c r="K18" s="58">
        <f si="2" t="shared"/>
        <v>25120</v>
      </c>
      <c r="L18" s="78">
        <f si="3" t="shared"/>
        <v>3.8917016279458878E-2</v>
      </c>
      <c r="W18" s="8"/>
    </row>
    <row r="19" spans="1:23" x14ac:dyDescent="0.25">
      <c r="A19">
        <v>8</v>
      </c>
      <c r="B19" s="58" t="n">
        <v>22842.32979260915</v>
      </c>
      <c r="C19" s="58" t="n">
        <v>2830.0720106185563</v>
      </c>
      <c r="D19" s="58" t="n">
        <v>1578.0865447837407</v>
      </c>
      <c r="E19" s="58">
        <f si="0" t="shared"/>
        <v>27250.488348011451</v>
      </c>
      <c r="F19" s="78">
        <f si="1" t="shared"/>
        <v>4.8656228314382231E-2</v>
      </c>
      <c r="G19">
        <v>8</v>
      </c>
      <c r="H19" s="68" t="n">
        <v>28967.0</v>
      </c>
      <c r="I19" s="68" t="n">
        <v>3817.0</v>
      </c>
      <c r="J19" s="68" t="n">
        <v>1352.0</v>
      </c>
      <c r="K19" s="58">
        <f si="2" t="shared"/>
        <v>24747</v>
      </c>
      <c r="L19" s="78">
        <f si="3" t="shared"/>
        <v>3.8339148163525835E-2</v>
      </c>
      <c r="W19" s="8"/>
    </row>
    <row r="20" spans="1:23" x14ac:dyDescent="0.25">
      <c r="A20">
        <v>9</v>
      </c>
      <c r="B20" s="58" t="n">
        <v>21106.403616510448</v>
      </c>
      <c r="C20" s="58" t="n">
        <v>1778.7210779583083</v>
      </c>
      <c r="D20" s="58" t="n">
        <v>1118.2080828355563</v>
      </c>
      <c r="E20" s="58">
        <f si="0" t="shared"/>
        <v>24003.332777304313</v>
      </c>
      <c r="F20" s="78">
        <f si="1" t="shared"/>
        <v>4.285837468317661E-2</v>
      </c>
      <c r="G20">
        <v>9</v>
      </c>
      <c r="H20" s="68" t="n">
        <v>29463.0</v>
      </c>
      <c r="I20" s="68" t="n">
        <v>3530.0</v>
      </c>
      <c r="J20" s="68" t="n">
        <v>1431.0</v>
      </c>
      <c r="K20" s="58">
        <f si="2" t="shared"/>
        <v>25806</v>
      </c>
      <c r="L20" s="78">
        <f si="3" t="shared"/>
        <v>3.9979797854606522E-2</v>
      </c>
      <c r="W20" s="8"/>
    </row>
    <row r="21" spans="1:23" x14ac:dyDescent="0.25">
      <c r="A21">
        <v>10</v>
      </c>
      <c r="B21" s="58" t="n">
        <v>22169.910484700078</v>
      </c>
      <c r="C21" s="58" t="n">
        <v>1848.1302861685465</v>
      </c>
      <c r="D21" s="58" t="n">
        <v>1686.9302046050393</v>
      </c>
      <c r="E21" s="58">
        <f si="0" t="shared"/>
        <v>25704.970975473665</v>
      </c>
      <c r="F21" s="78">
        <f si="1" t="shared"/>
        <v>4.5896679744768062E-2</v>
      </c>
      <c r="G21">
        <v>10</v>
      </c>
      <c r="H21" s="68" t="n">
        <v>31275.0</v>
      </c>
      <c r="I21" s="68" t="n">
        <v>3632.0</v>
      </c>
      <c r="J21" s="68" t="n">
        <v>1326.0</v>
      </c>
      <c r="K21" s="58">
        <f si="2" t="shared"/>
        <v>27274</v>
      </c>
      <c r="L21" s="78">
        <f si="3" t="shared"/>
        <v>4.2254088455651331E-2</v>
      </c>
      <c r="W21" s="8"/>
    </row>
    <row r="22" spans="1:23" x14ac:dyDescent="0.25">
      <c r="A22">
        <v>11</v>
      </c>
      <c r="B22" s="58" t="n">
        <v>25217.922703558685</v>
      </c>
      <c r="C22" s="58" t="n">
        <v>3595.056099463819</v>
      </c>
      <c r="D22" s="58" t="n">
        <v>1020.6207907844034</v>
      </c>
      <c r="E22" s="58">
        <f si="0" t="shared"/>
        <v>29833.599593806906</v>
      </c>
      <c r="F22" s="78">
        <f si="1" t="shared"/>
        <v>5.3268419073379897E-2</v>
      </c>
      <c r="G22">
        <v>11</v>
      </c>
      <c r="H22" s="68" t="n">
        <v>29785.0</v>
      </c>
      <c r="I22" s="68" t="n">
        <v>3542.0</v>
      </c>
      <c r="J22" s="68" t="n">
        <v>1228.0</v>
      </c>
      <c r="K22" s="58">
        <f si="2" t="shared"/>
        <v>26954</v>
      </c>
      <c r="L22" s="78">
        <f si="3" t="shared"/>
        <v>4.1758330286486255E-2</v>
      </c>
      <c r="W22" s="8"/>
    </row>
    <row r="23" spans="1:23" x14ac:dyDescent="0.25">
      <c r="A23">
        <v>12</v>
      </c>
      <c r="B23" s="58" t="n">
        <v>17397.097441744663</v>
      </c>
      <c r="C23" s="58" t="n">
        <v>1802.6640072608052</v>
      </c>
      <c r="D23" s="58" t="n">
        <v>1724.338316488279</v>
      </c>
      <c r="E23" s="58">
        <f si="0" t="shared"/>
        <v>20924.099765493749</v>
      </c>
      <c r="F23" s="78">
        <f si="1" t="shared"/>
        <v>3.7360349747165851E-2</v>
      </c>
      <c r="G23">
        <v>12</v>
      </c>
      <c r="H23" s="68" t="n">
        <v>30987.0</v>
      </c>
      <c r="I23" s="68" t="n">
        <v>3559.0</v>
      </c>
      <c r="J23" s="68" t="n">
        <v>1318.0</v>
      </c>
      <c r="K23" s="58">
        <f si="2" t="shared"/>
        <v>26880</v>
      </c>
      <c r="L23" s="78">
        <f si="3" t="shared"/>
        <v>4.1643686209866825E-2</v>
      </c>
      <c r="W23" s="8"/>
    </row>
    <row r="24" spans="1:23" x14ac:dyDescent="0.25">
      <c r="A24">
        <v>13</v>
      </c>
      <c r="B24" s="58" t="n">
        <v>16480.246261020453</v>
      </c>
      <c r="C24" s="58" t="n">
        <v>1536.1769238199277</v>
      </c>
      <c r="D24" s="58" t="n">
        <v>193.1620247636327</v>
      </c>
      <c r="E24" s="58">
        <f si="0" t="shared"/>
        <v>18209.585209604011</v>
      </c>
      <c r="F24" s="78">
        <f si="1" t="shared"/>
        <v>3.2513536056807783E-2</v>
      </c>
      <c r="G24">
        <v>13</v>
      </c>
      <c r="H24" s="68" t="n">
        <v>26555.0</v>
      </c>
      <c r="I24" s="68" t="n">
        <v>2897.0</v>
      </c>
      <c r="J24" s="68" t="n">
        <v>1110.0</v>
      </c>
      <c r="K24" s="58">
        <f si="2" t="shared"/>
        <v>25000</v>
      </c>
      <c r="L24" s="78">
        <f si="3" t="shared"/>
        <v>3.8731106966021972E-2</v>
      </c>
      <c r="W24" s="8"/>
    </row>
    <row r="25" spans="1:23" x14ac:dyDescent="0.25">
      <c r="A25">
        <v>14</v>
      </c>
      <c r="B25" s="58" t="n">
        <v>18340.261262708063</v>
      </c>
      <c r="C25" s="58" t="n">
        <v>760.4786827799744</v>
      </c>
      <c r="D25" s="58" t="n">
        <v>272.466100327634</v>
      </c>
      <c r="E25" s="58">
        <f si="0" t="shared"/>
        <v>19373.20604581567</v>
      </c>
      <c r="F25" s="78">
        <f si="1" t="shared"/>
        <v>3.459120161476166E-2</v>
      </c>
      <c r="G25">
        <v>14</v>
      </c>
      <c r="H25" s="68" t="n">
        <v>25033.0</v>
      </c>
      <c r="I25" s="68" t="n">
        <v>2823.0</v>
      </c>
      <c r="J25" s="68" t="n">
        <v>978.0</v>
      </c>
      <c r="K25" s="58">
        <f si="2" t="shared"/>
        <v>22820</v>
      </c>
      <c r="L25" s="78">
        <f si="3" t="shared"/>
        <v>3.5353754438584857E-2</v>
      </c>
      <c r="W25" s="8"/>
    </row>
    <row r="26" spans="1:23" x14ac:dyDescent="0.25">
      <c r="A26">
        <v>15</v>
      </c>
      <c r="B26" s="58" t="n">
        <v>17107.167459173997</v>
      </c>
      <c r="C26" s="58" t="n">
        <v>1072.3818298411823</v>
      </c>
      <c r="D26" s="58" t="n">
        <v>487.6353662630176</v>
      </c>
      <c r="E26" s="58">
        <f si="0" t="shared"/>
        <v>18667.184655278197</v>
      </c>
      <c r="F26" s="78">
        <f si="1" t="shared"/>
        <v>3.3330587950370735E-2</v>
      </c>
      <c r="G26">
        <v>15</v>
      </c>
      <c r="H26" s="68" t="n">
        <v>23124.0</v>
      </c>
      <c r="I26" s="68" t="n">
        <v>2537.0</v>
      </c>
      <c r="J26" s="68" t="n">
        <v>951.0</v>
      </c>
      <c r="K26" s="58">
        <f si="2" t="shared"/>
        <v>21099</v>
      </c>
      <c r="L26" s="78">
        <f si="3" t="shared"/>
        <v>3.2687505035043904E-2</v>
      </c>
      <c r="W26" s="8"/>
    </row>
    <row r="27" spans="1:23" x14ac:dyDescent="0.25">
      <c r="A27">
        <v>16</v>
      </c>
      <c r="B27" s="58" t="n">
        <v>11906.741639938895</v>
      </c>
      <c r="C27" s="58" t="n">
        <v>998.8890339860081</v>
      </c>
      <c r="D27" s="58" t="n">
        <v>168.3929127438599</v>
      </c>
      <c r="E27" s="58">
        <f si="0" t="shared"/>
        <v>13074.023586668764</v>
      </c>
      <c r="F27" s="78">
        <f si="1" t="shared"/>
        <v>2.3343900061409149E-2</v>
      </c>
      <c r="G27">
        <v>16</v>
      </c>
      <c r="H27" s="68" t="n">
        <v>23654.0</v>
      </c>
      <c r="I27" s="68" t="n">
        <v>2465.0</v>
      </c>
      <c r="J27" s="68" t="n">
        <v>906.0</v>
      </c>
      <c r="K27" s="58">
        <f si="2" t="shared"/>
        <v>19379</v>
      </c>
      <c r="L27" s="78">
        <f si="3" t="shared"/>
        <v>3.0022804875781593E-2</v>
      </c>
      <c r="W27" s="8"/>
    </row>
    <row r="28" spans="1:23" x14ac:dyDescent="0.25">
      <c r="A28">
        <v>17</v>
      </c>
      <c r="B28" s="58" t="n">
        <v>10716.020435446395</v>
      </c>
      <c r="C28" s="58" t="n">
        <v>746.6745135669327</v>
      </c>
      <c r="D28" s="58" t="n">
        <v>68.9004302318935</v>
      </c>
      <c r="E28" s="58">
        <f si="0" t="shared"/>
        <v>11531.595379245222</v>
      </c>
      <c r="F28" s="78">
        <f si="1" t="shared"/>
        <v>2.0589867250675332E-2</v>
      </c>
      <c r="G28">
        <v>17</v>
      </c>
      <c r="H28" s="68" t="n">
        <v>21277.0</v>
      </c>
      <c r="I28" s="68" t="n">
        <v>2308.0</v>
      </c>
      <c r="J28" s="68" t="n">
        <v>867.0</v>
      </c>
      <c r="K28" s="58">
        <f si="2" t="shared"/>
        <v>18151</v>
      </c>
      <c r="L28" s="78">
        <f si="3" t="shared"/>
        <v>2.8120332901610593E-2</v>
      </c>
      <c r="W28" s="8"/>
    </row>
    <row r="29" spans="1:23" x14ac:dyDescent="0.25">
      <c r="A29">
        <v>18</v>
      </c>
      <c r="B29" s="58" t="n">
        <v>15626.266514441782</v>
      </c>
      <c r="C29" s="58" t="n">
        <v>720.9998226127148</v>
      </c>
      <c r="D29" s="58" t="n">
        <v>475.916630380096</v>
      </c>
      <c r="E29" s="58">
        <f si="0" t="shared"/>
        <v>16823.182967434594</v>
      </c>
      <c r="F29" s="78">
        <f si="1" t="shared"/>
        <v>3.0038090363171645E-2</v>
      </c>
      <c r="G29">
        <v>18</v>
      </c>
      <c r="H29" s="68" t="n">
        <v>19231.0</v>
      </c>
      <c r="I29" s="68" t="n">
        <v>2001.0</v>
      </c>
      <c r="J29" s="68" t="n">
        <v>843.0</v>
      </c>
      <c r="K29" s="58">
        <f si="2" t="shared"/>
        <v>17324</v>
      </c>
      <c r="L29" s="78">
        <f si="3" t="shared"/>
        <v>2.6839107883174586E-2</v>
      </c>
      <c r="W29" s="8"/>
    </row>
    <row r="30" spans="1:23" x14ac:dyDescent="0.25">
      <c r="A30">
        <v>19</v>
      </c>
      <c r="B30" s="58" t="n">
        <v>8987.082908165834</v>
      </c>
      <c r="C30" s="58" t="n">
        <v>884.6227227282526</v>
      </c>
      <c r="D30" s="58" t="n">
        <v>553.3536822557982</v>
      </c>
      <c r="E30" s="58">
        <f si="0" t="shared"/>
        <v>10425.059313149884</v>
      </c>
      <c r="F30" s="78">
        <f si="1" t="shared"/>
        <v>1.8614127558143841E-2</v>
      </c>
      <c r="G30">
        <v>19</v>
      </c>
      <c r="H30" s="68" t="n">
        <v>17025.0</v>
      </c>
      <c r="I30" s="68" t="n">
        <v>1670.0</v>
      </c>
      <c r="J30" s="68" t="n">
        <v>526.0</v>
      </c>
      <c r="K30" s="58">
        <f si="2" t="shared"/>
        <v>15794</v>
      </c>
      <c r="L30" s="78">
        <f si="3" t="shared"/>
        <v>2.4468764136854042E-2</v>
      </c>
      <c r="W30" s="8"/>
    </row>
    <row r="31" spans="1:23" x14ac:dyDescent="0.25">
      <c r="A31">
        <v>20</v>
      </c>
      <c r="B31" s="58" t="n">
        <v>8244.368840223999</v>
      </c>
      <c r="C31" s="58" t="n">
        <v>1233.1747061399428</v>
      </c>
      <c r="D31" s="58" t="n">
        <v>0.0</v>
      </c>
      <c r="E31" s="58">
        <f si="0" t="shared"/>
        <v>9477.5435463639405</v>
      </c>
      <c r="F31" s="78">
        <f si="1" t="shared"/>
        <v>1.6922321419059437E-2</v>
      </c>
      <c r="G31">
        <v>20</v>
      </c>
      <c r="H31" s="68" t="n">
        <v>16261.0</v>
      </c>
      <c r="I31" s="68" t="n">
        <v>1777.0</v>
      </c>
      <c r="J31" s="68" t="n">
        <v>478.0</v>
      </c>
      <c r="K31" s="58">
        <f si="2" t="shared"/>
        <v>15441</v>
      </c>
      <c r="L31" s="78">
        <f si="3" t="shared"/>
        <v>2.3921880906493814E-2</v>
      </c>
      <c r="W31" s="8"/>
    </row>
    <row r="32" spans="1:23" x14ac:dyDescent="0.25">
      <c r="A32">
        <v>21</v>
      </c>
      <c r="B32" s="58" t="n">
        <v>8428.361606756509</v>
      </c>
      <c r="C32" s="58" t="n">
        <v>609.1842496160423</v>
      </c>
      <c r="D32" s="58" t="n">
        <v>307.7859023640729</v>
      </c>
      <c r="E32" s="58">
        <f si="0" t="shared"/>
        <v>9345.3317587366237</v>
      </c>
      <c r="F32" s="78">
        <f si="1" t="shared"/>
        <v>1.6686254936782365E-2</v>
      </c>
      <c r="G32">
        <v>21</v>
      </c>
      <c r="H32" s="68" t="n">
        <v>14215.0</v>
      </c>
      <c r="I32" s="68" t="n">
        <v>1494.0</v>
      </c>
      <c r="J32" s="68" t="n">
        <v>457.0</v>
      </c>
      <c r="K32" s="58">
        <f si="2" t="shared"/>
        <v>14026</v>
      </c>
      <c r="L32" s="78">
        <f si="3" t="shared"/>
        <v>2.1729700252216967E-2</v>
      </c>
      <c r="W32" s="8"/>
    </row>
    <row r="33" spans="1:23" x14ac:dyDescent="0.25">
      <c r="A33">
        <v>22</v>
      </c>
      <c r="B33" s="58" t="n">
        <v>6288.22872105192</v>
      </c>
      <c r="C33" s="58" t="n">
        <v>573.1212189810753</v>
      </c>
      <c r="D33" s="58" t="n">
        <v>0.0</v>
      </c>
      <c r="E33" s="58">
        <f si="0" t="shared"/>
        <v>6861.3499400329947</v>
      </c>
      <c r="F33" s="78">
        <f si="1" t="shared"/>
        <v>1.2251061520938947E-2</v>
      </c>
      <c r="G33">
        <v>22</v>
      </c>
      <c r="H33" s="68" t="n">
        <v>12341.0</v>
      </c>
      <c r="I33" s="68" t="n">
        <v>1235.0</v>
      </c>
      <c r="J33" s="68" t="n">
        <v>389.0</v>
      </c>
      <c r="K33" s="58">
        <f si="2" t="shared"/>
        <v>13287</v>
      </c>
      <c r="L33" s="78">
        <f si="3" t="shared"/>
        <v>2.0584808730301361E-2</v>
      </c>
      <c r="W33" s="8"/>
    </row>
    <row r="34" spans="1:23" x14ac:dyDescent="0.25">
      <c r="A34">
        <v>23</v>
      </c>
      <c r="B34" s="58" t="n">
        <v>7852.061122220556</v>
      </c>
      <c r="C34" s="58" t="n">
        <v>557.563032379368</v>
      </c>
      <c r="D34" s="58" t="n">
        <v>77.7549175564256</v>
      </c>
      <c r="E34" s="58">
        <f si="0" t="shared"/>
        <v>8487.3790721563491</v>
      </c>
      <c r="F34" s="78">
        <f si="1" t="shared"/>
        <v>1.5154365259501272E-2</v>
      </c>
      <c r="G34">
        <v>23</v>
      </c>
      <c r="H34" s="68" t="n">
        <v>12446.0</v>
      </c>
      <c r="I34" s="68" t="n">
        <v>1305.0</v>
      </c>
      <c r="J34" s="68" t="n">
        <v>364.0</v>
      </c>
      <c r="K34" s="58">
        <f si="2" t="shared"/>
        <v>11789</v>
      </c>
      <c r="L34" s="78">
        <f si="3" t="shared"/>
        <v>1.8264040800897323E-2</v>
      </c>
      <c r="W34" s="8"/>
    </row>
    <row r="35" spans="1:23" x14ac:dyDescent="0.25">
      <c r="A35">
        <v>24</v>
      </c>
      <c r="B35" s="58" t="n">
        <v>7316.103579623699</v>
      </c>
      <c r="C35" s="58" t="n">
        <v>320.7126175784082</v>
      </c>
      <c r="D35" s="58" t="n">
        <v>309.734259794453</v>
      </c>
      <c r="E35" s="58">
        <f si="0" t="shared"/>
        <v>7946.5504569965597</v>
      </c>
      <c r="F35" s="78">
        <f si="1" t="shared"/>
        <v>1.4188706213611691E-2</v>
      </c>
      <c r="G35">
        <v>24</v>
      </c>
      <c r="H35" s="68" t="n">
        <v>11139.0</v>
      </c>
      <c r="I35" s="68" t="n">
        <v>1189.0</v>
      </c>
      <c r="J35" s="68" t="n">
        <v>421.0</v>
      </c>
      <c r="K35" s="58">
        <f si="2" t="shared"/>
        <v>10528</v>
      </c>
      <c r="L35" s="78">
        <f si="3" t="shared"/>
        <v>1.6310443765531174E-2</v>
      </c>
      <c r="W35" s="8"/>
    </row>
    <row r="36" spans="1:23" x14ac:dyDescent="0.25">
      <c r="A36">
        <v>25</v>
      </c>
      <c r="B36" s="58" t="n">
        <v>5738.3481104997845</v>
      </c>
      <c r="C36" s="58" t="n">
        <v>93.9903795356894</v>
      </c>
      <c r="D36" s="58" t="n">
        <v>0.0</v>
      </c>
      <c r="E36" s="58">
        <f si="0" t="shared"/>
        <v>5832.338490035474</v>
      </c>
      <c r="F36" s="78">
        <f si="1" t="shared"/>
        <v>1.0413743399891533E-2</v>
      </c>
      <c r="G36">
        <v>25</v>
      </c>
      <c r="H36" s="68" t="n">
        <v>11141.0</v>
      </c>
      <c r="I36" s="68" t="n">
        <v>1182.0</v>
      </c>
      <c r="J36" s="68" t="n">
        <v>344.0</v>
      </c>
      <c r="K36" s="58">
        <f si="2" t="shared"/>
        <v>9319</v>
      </c>
      <c r="L36" s="78">
        <f si="3" t="shared"/>
        <v>1.4437407432654351E-2</v>
      </c>
      <c r="W36" s="8"/>
    </row>
    <row r="37" spans="1:23" x14ac:dyDescent="0.25">
      <c r="A37">
        <v>26</v>
      </c>
      <c r="B37" s="58" t="n">
        <v>5636.748978904976</v>
      </c>
      <c r="C37" s="58" t="n">
        <v>784.239244838517</v>
      </c>
      <c r="D37" s="58" t="n">
        <v>0.0</v>
      </c>
      <c r="E37" s="58">
        <f si="0" t="shared"/>
        <v>6420.9882237434931</v>
      </c>
      <c r="F37" s="78">
        <f si="1" t="shared"/>
        <v>1.1464787897689963E-2</v>
      </c>
      <c r="G37">
        <v>26</v>
      </c>
      <c r="H37" s="68" t="n">
        <v>10677.0</v>
      </c>
      <c r="I37" s="68" t="n">
        <v>1054.0</v>
      </c>
      <c r="J37" s="68" t="n">
        <v>369.0</v>
      </c>
      <c r="K37" s="58">
        <f si="2" t="shared"/>
        <v>8442</v>
      </c>
      <c r="L37" s="78">
        <f si="3" t="shared"/>
        <v>1.30787202002863E-2</v>
      </c>
      <c r="W37" s="8"/>
    </row>
    <row r="38" spans="1:23" x14ac:dyDescent="0.25">
      <c r="A38">
        <v>27</v>
      </c>
      <c r="B38" s="58" t="n">
        <v>4284.688756630673</v>
      </c>
      <c r="C38" s="58" t="n">
        <v>405.4086593997664</v>
      </c>
      <c r="D38" s="58" t="n">
        <v>0.0</v>
      </c>
      <c r="E38" s="58">
        <f si="0" t="shared"/>
        <v>4690.0974160304395</v>
      </c>
      <c r="F38" s="78">
        <f si="1" t="shared"/>
        <v>8.3742517850225549E-3</v>
      </c>
      <c r="G38">
        <v>27</v>
      </c>
      <c r="H38" s="68" t="n">
        <v>10015.0</v>
      </c>
      <c r="I38" s="68" t="n">
        <v>898.0</v>
      </c>
      <c r="J38" s="68" t="n">
        <v>290.0</v>
      </c>
      <c r="K38" s="58">
        <f si="2" t="shared"/>
        <v>8178</v>
      </c>
      <c r="L38" s="78">
        <f si="3" t="shared"/>
        <v>1.2669719710725108E-2</v>
      </c>
      <c r="W38" s="8"/>
    </row>
    <row r="39" spans="1:23" x14ac:dyDescent="0.25">
      <c r="A39">
        <v>28</v>
      </c>
      <c r="B39" s="58" t="n">
        <v>5427.936211585571</v>
      </c>
      <c r="C39" s="58" t="n">
        <v>80.8335331016083</v>
      </c>
      <c r="D39" s="58" t="n">
        <v>209.79545951788302</v>
      </c>
      <c r="E39" s="58">
        <f si="0" t="shared"/>
        <v>5718.5652042050624</v>
      </c>
      <c r="F39" s="78">
        <f si="1" t="shared"/>
        <v>1.0210599188281617E-2</v>
      </c>
      <c r="G39">
        <v>28</v>
      </c>
      <c r="H39" s="68" t="n">
        <v>9165.0</v>
      </c>
      <c r="I39" s="68" t="n">
        <v>860.0</v>
      </c>
      <c r="J39" s="68" t="n">
        <v>325.0</v>
      </c>
      <c r="K39" s="58">
        <f si="2" t="shared"/>
        <v>7757</v>
      </c>
      <c r="L39" s="78">
        <f si="3" t="shared"/>
        <v>1.2017487869417299E-2</v>
      </c>
      <c r="W39" s="8"/>
    </row>
    <row r="40" spans="1:23" x14ac:dyDescent="0.25">
      <c r="A40">
        <v>29</v>
      </c>
      <c r="B40" s="58" t="n">
        <v>4923.390171504369</v>
      </c>
      <c r="C40" s="58" t="n">
        <v>154.2550843812376</v>
      </c>
      <c r="D40" s="58" t="n">
        <v>0.0</v>
      </c>
      <c r="E40" s="58">
        <f si="0" t="shared"/>
        <v>5077.6452558856072</v>
      </c>
      <c r="F40" s="78">
        <f si="1" t="shared"/>
        <v>9.0662252989619739E-3</v>
      </c>
      <c r="G40">
        <v>29</v>
      </c>
      <c r="H40" s="68" t="n">
        <v>9076.0</v>
      </c>
      <c r="I40" s="68" t="n">
        <v>823.0</v>
      </c>
      <c r="J40" s="68" t="n">
        <v>305.0</v>
      </c>
      <c r="K40" s="58">
        <f si="2" t="shared"/>
        <v>7278</v>
      </c>
      <c r="L40" s="78">
        <f si="3" t="shared"/>
        <v>1.1275399859948318E-2</v>
      </c>
      <c r="W40" s="8"/>
    </row>
    <row r="41" spans="1:23" x14ac:dyDescent="0.25">
      <c r="A41">
        <v>30</v>
      </c>
      <c r="B41" s="58" t="n">
        <v>3942.9172178941353</v>
      </c>
      <c r="C41" s="58" t="n">
        <v>322.663604509022</v>
      </c>
      <c r="D41" s="58" t="n">
        <v>36.2890671170556</v>
      </c>
      <c r="E41" s="58">
        <f si="0" t="shared"/>
        <v>4301.8698895202124</v>
      </c>
      <c r="F41" s="78">
        <f si="1" t="shared"/>
        <v>7.6810646785541326E-3</v>
      </c>
      <c r="G41">
        <v>30</v>
      </c>
      <c r="H41" s="68" t="n">
        <v>8652.0</v>
      </c>
      <c r="I41" s="68" t="n">
        <v>777.0</v>
      </c>
      <c r="J41" s="68" t="n">
        <v>263.0</v>
      </c>
      <c r="K41" s="58">
        <f si="2" t="shared"/>
        <v>6953</v>
      </c>
      <c r="L41" s="78">
        <f si="3" t="shared"/>
        <v>1.0771895469390032E-2</v>
      </c>
      <c r="W41" s="8"/>
    </row>
    <row r="42" spans="1:23" x14ac:dyDescent="0.25">
      <c r="A42">
        <v>31</v>
      </c>
      <c r="B42" s="58" t="n">
        <v>4862.776152334174</v>
      </c>
      <c r="C42" s="58" t="n">
        <v>150.8291320450065</v>
      </c>
      <c r="D42" s="58" t="n">
        <v>0.0</v>
      </c>
      <c r="E42" s="58">
        <f si="0" t="shared"/>
        <v>5013.6052843791804</v>
      </c>
      <c r="F42" s="78">
        <f si="1" t="shared"/>
        <v>8.9518807985966946E-3</v>
      </c>
      <c r="G42">
        <v>31</v>
      </c>
      <c r="H42" s="68" t="n">
        <v>8299.0</v>
      </c>
      <c r="I42" s="68" t="n">
        <v>745.0</v>
      </c>
      <c r="J42" s="68" t="n">
        <v>327.0</v>
      </c>
      <c r="K42" s="58">
        <f si="2" t="shared"/>
        <v>6889</v>
      </c>
      <c r="L42" s="78">
        <f si="3" t="shared"/>
        <v>1.0672743835557016E-2</v>
      </c>
      <c r="W42" s="8"/>
    </row>
    <row r="43" spans="1:23" x14ac:dyDescent="0.25">
      <c r="A43">
        <v>32</v>
      </c>
      <c r="B43" s="58" t="n">
        <v>2250.0307167413057</v>
      </c>
      <c r="C43" s="58" t="n">
        <v>160.4898272695059</v>
      </c>
      <c r="D43" s="58" t="n">
        <v>0.0</v>
      </c>
      <c r="E43" s="58">
        <f si="0" t="shared"/>
        <v>2410.5205440108116</v>
      </c>
      <c r="F43" s="78">
        <f si="1" t="shared"/>
        <v>4.3040270122152759E-3</v>
      </c>
      <c r="G43">
        <v>32</v>
      </c>
      <c r="H43" s="68" t="n">
        <v>6972.0</v>
      </c>
      <c r="I43" s="68" t="n">
        <v>605.0</v>
      </c>
      <c r="J43" s="68" t="n">
        <v>229.0</v>
      </c>
      <c r="K43" s="58">
        <f si="2" t="shared"/>
        <v>6667</v>
      </c>
      <c r="L43" s="78">
        <f si="3" t="shared"/>
        <v>1.032881160569874E-2</v>
      </c>
      <c r="W43" s="8"/>
    </row>
    <row r="44" spans="1:23" x14ac:dyDescent="0.25">
      <c r="A44">
        <v>33</v>
      </c>
      <c r="B44" s="58" t="n">
        <v>1652.9916496047501</v>
      </c>
      <c r="C44" s="58" t="n">
        <v>47.0050391499463</v>
      </c>
      <c r="D44" s="58" t="n">
        <v>1149.6180320961091</v>
      </c>
      <c r="E44" s="58">
        <f si="0" t="shared"/>
        <v>2849.6147208508055</v>
      </c>
      <c r="F44" s="78">
        <f si="1" t="shared"/>
        <v>5.0880374213865855E-3</v>
      </c>
      <c r="G44">
        <v>33</v>
      </c>
      <c r="H44" s="68" t="n">
        <v>6256.0</v>
      </c>
      <c r="I44" s="68" t="n">
        <v>544.0</v>
      </c>
      <c r="J44" s="68" t="n">
        <v>176.0</v>
      </c>
      <c r="K44" s="58">
        <f si="2" t="shared"/>
        <v>6374</v>
      </c>
      <c r="L44" s="78">
        <f si="3" t="shared"/>
        <v>9.8748830320569622E-3</v>
      </c>
      <c r="W44" s="8"/>
    </row>
    <row r="45" spans="1:23" x14ac:dyDescent="0.25">
      <c r="A45">
        <v>34</v>
      </c>
      <c r="B45" s="58" t="n">
        <v>1960.3028998173813</v>
      </c>
      <c r="C45" s="58" t="n">
        <v>216.6189215104462</v>
      </c>
      <c r="D45" s="58" t="n">
        <v>33.9990190163052</v>
      </c>
      <c r="E45" s="58">
        <f si="0" t="shared"/>
        <v>2210.920840344133</v>
      </c>
      <c r="F45" s="78">
        <f si="1" t="shared"/>
        <v>3.9476382154692664E-3</v>
      </c>
      <c r="G45">
        <v>34</v>
      </c>
      <c r="H45" s="68" t="n">
        <v>4978.0</v>
      </c>
      <c r="I45" s="68" t="n">
        <v>440.0</v>
      </c>
      <c r="J45" s="68" t="n">
        <v>138.0</v>
      </c>
      <c r="K45" s="58">
        <f si="2" t="shared"/>
        <v>5794</v>
      </c>
      <c r="L45" s="78">
        <f si="3" t="shared"/>
        <v>8.9763213504452533E-3</v>
      </c>
      <c r="W45" s="8"/>
    </row>
    <row r="46" spans="1:23" x14ac:dyDescent="0.25">
      <c r="A46">
        <v>35</v>
      </c>
      <c r="B46" s="58" t="n">
        <v>1376.2254234753561</v>
      </c>
      <c r="C46" s="58" t="n">
        <v>150.631131704105</v>
      </c>
      <c r="D46" s="58" t="n">
        <v>0.0</v>
      </c>
      <c r="E46" s="58">
        <f si="0" t="shared"/>
        <v>1526.8565551794611</v>
      </c>
      <c r="F46" s="78">
        <f si="1" t="shared"/>
        <v>2.726229350584987E-3</v>
      </c>
      <c r="G46">
        <v>35</v>
      </c>
      <c r="H46" s="68" t="n">
        <v>4154.0</v>
      </c>
      <c r="I46" s="68" t="n">
        <v>403.0</v>
      </c>
      <c r="J46" s="68" t="n">
        <v>141.0</v>
      </c>
      <c r="K46" s="58">
        <f si="2" t="shared"/>
        <v>5300</v>
      </c>
      <c r="L46" s="78">
        <f si="3" t="shared"/>
        <v>8.2109946767966579E-3</v>
      </c>
      <c r="W46" s="8"/>
    </row>
    <row r="47" spans="1:23" x14ac:dyDescent="0.25">
      <c r="A47">
        <v>36</v>
      </c>
      <c r="B47" s="58" t="n">
        <v>2647.719371070352</v>
      </c>
      <c r="C47" s="58" t="n">
        <v>309.5349203025685</v>
      </c>
      <c r="D47" s="58" t="n">
        <v>0.0</v>
      </c>
      <c r="E47" s="58">
        <f si="0" t="shared"/>
        <v>2957.2542913729203</v>
      </c>
      <c r="F47" s="78">
        <f si="1" t="shared"/>
        <v>5.2802297759639025E-3</v>
      </c>
      <c r="G47">
        <v>36</v>
      </c>
      <c r="H47" s="68" t="n">
        <v>3393.0</v>
      </c>
      <c r="I47" s="68" t="n">
        <v>331.0</v>
      </c>
      <c r="J47" s="68" t="n">
        <v>128.0</v>
      </c>
      <c r="K47" s="58">
        <f si="2" t="shared"/>
        <v>4678</v>
      </c>
      <c r="L47" s="78">
        <f si="3" t="shared"/>
        <v>7.2473647354820321E-3</v>
      </c>
      <c r="W47" s="8"/>
    </row>
    <row r="48" spans="1:23" x14ac:dyDescent="0.25">
      <c r="A48">
        <v>37</v>
      </c>
      <c r="B48" s="58" t="n">
        <v>767.9490876907399</v>
      </c>
      <c r="C48" s="58" t="n">
        <v>133.725294944298</v>
      </c>
      <c r="D48" s="58" t="n">
        <v>0.0</v>
      </c>
      <c r="E48" s="58">
        <f si="0" t="shared"/>
        <v>901.674382635038</v>
      </c>
      <c r="F48" s="78">
        <f si="1" t="shared"/>
        <v>1.6099555379131959E-3</v>
      </c>
      <c r="G48">
        <v>37</v>
      </c>
      <c r="H48" s="68" t="n">
        <v>2938.0</v>
      </c>
      <c r="I48" s="68" t="n">
        <v>319.0</v>
      </c>
      <c r="J48" s="68" t="n">
        <v>102.0</v>
      </c>
      <c r="K48" s="58">
        <f si="2" t="shared"/>
        <v>3958</v>
      </c>
      <c r="L48" s="78">
        <f si="3" t="shared"/>
        <v>6.1319088548605991E-3</v>
      </c>
      <c r="W48" s="8"/>
    </row>
    <row r="49" spans="1:23" x14ac:dyDescent="0.25">
      <c r="A49">
        <v>38</v>
      </c>
      <c r="B49" s="58" t="n">
        <v>1005.0093507975955</v>
      </c>
      <c r="C49" s="58" t="n">
        <v>0.0</v>
      </c>
      <c r="D49" s="58" t="n">
        <v>53.7405419735351</v>
      </c>
      <c r="E49" s="58">
        <f si="0" t="shared"/>
        <v>1058.7498927711306</v>
      </c>
      <c r="F49" s="78">
        <f si="1" t="shared"/>
        <v>1.8904166359374262E-3</v>
      </c>
      <c r="G49">
        <v>38</v>
      </c>
      <c r="H49" s="68" t="n">
        <v>2588.0</v>
      </c>
      <c r="I49" s="68" t="n">
        <v>248.0</v>
      </c>
      <c r="J49" s="68" t="n">
        <v>85.0</v>
      </c>
      <c r="K49" s="58">
        <f si="2" t="shared"/>
        <v>3370</v>
      </c>
      <c r="L49" s="78">
        <f si="3" t="shared"/>
        <v>5.2209532190197619E-3</v>
      </c>
      <c r="W49" s="8"/>
    </row>
    <row r="50" spans="1:23" x14ac:dyDescent="0.25">
      <c r="A50">
        <v>39</v>
      </c>
      <c r="B50" s="58" t="n">
        <v>1073.7227842935858</v>
      </c>
      <c r="C50" s="58" t="n">
        <v>0.0</v>
      </c>
      <c r="D50" s="58" t="n">
        <v>0.0</v>
      </c>
      <c r="E50" s="58">
        <f si="0" t="shared"/>
        <v>1073.7227842935858</v>
      </c>
      <c r="F50" s="78">
        <f si="1" t="shared"/>
        <v>1.9171509982409268E-3</v>
      </c>
      <c r="G50">
        <v>39</v>
      </c>
      <c r="H50" s="68" t="n">
        <v>2546.0</v>
      </c>
      <c r="I50" s="68" t="n">
        <v>245.0</v>
      </c>
      <c r="J50" s="68" t="n">
        <v>87.0</v>
      </c>
      <c r="K50" s="58">
        <f si="2" t="shared"/>
        <v>2934</v>
      </c>
      <c r="L50" s="78">
        <f si="3" t="shared"/>
        <v>4.5454827135323391E-3</v>
      </c>
      <c r="W50" s="8"/>
    </row>
    <row r="51" spans="1:23" x14ac:dyDescent="0.25">
      <c r="A51">
        <v>40</v>
      </c>
      <c r="B51" s="58" t="n">
        <v>1353.3065641935718</v>
      </c>
      <c r="C51" s="58" t="n">
        <v>0.0</v>
      </c>
      <c r="D51" s="58" t="n">
        <v>0.0</v>
      </c>
      <c r="E51" s="58">
        <f si="0" t="shared"/>
        <v>1353.3065641935718</v>
      </c>
      <c r="F51" s="78">
        <f si="1" t="shared"/>
        <v>2.4163527759883115E-3</v>
      </c>
      <c r="G51">
        <v>40</v>
      </c>
      <c r="H51" s="68" t="n">
        <v>2123.0</v>
      </c>
      <c r="I51" s="68" t="n">
        <v>229.0</v>
      </c>
      <c r="J51" s="68" t="n">
        <v>66.0</v>
      </c>
      <c r="K51" s="58">
        <f si="2" t="shared"/>
        <v>2580</v>
      </c>
      <c r="L51" s="78">
        <f si="3" t="shared"/>
        <v>3.9970502388934678E-3</v>
      </c>
      <c r="W51" s="8"/>
    </row>
    <row r="52" spans="1:23" x14ac:dyDescent="0.25">
      <c r="A52">
        <v>41</v>
      </c>
      <c r="B52" s="58" t="n">
        <v>995.7846700607805</v>
      </c>
      <c r="C52" s="58" t="n">
        <v>0.0</v>
      </c>
      <c r="D52" s="58" t="n">
        <v>0.0</v>
      </c>
      <c r="E52" s="58">
        <f si="0" t="shared"/>
        <v>995.78467006078051</v>
      </c>
      <c r="F52" s="78">
        <f si="1" t="shared"/>
        <v>1.7779911185325506E-3</v>
      </c>
      <c r="G52">
        <v>41</v>
      </c>
      <c r="H52" s="68" t="n">
        <v>1958.0</v>
      </c>
      <c r="I52" s="68" t="n">
        <v>182.0</v>
      </c>
      <c r="J52" s="68" t="n">
        <v>64.0</v>
      </c>
      <c r="K52" s="58">
        <f si="2" t="shared"/>
        <v>2019</v>
      </c>
      <c r="L52" s="78">
        <f si="3" t="shared"/>
        <v>3.1279241985759346E-3</v>
      </c>
      <c r="W52" s="8"/>
    </row>
    <row r="53" spans="1:23" x14ac:dyDescent="0.25">
      <c r="A53">
        <v>42</v>
      </c>
      <c r="B53" s="58" t="n">
        <v>286.7097271878012</v>
      </c>
      <c r="C53" s="58" t="n">
        <v>27.2746259405429</v>
      </c>
      <c r="D53" s="58" t="n">
        <v>0.0</v>
      </c>
      <c r="E53" s="58">
        <f si="0" t="shared"/>
        <v>313.98435312834408</v>
      </c>
      <c r="F53" s="78">
        <f si="1" t="shared"/>
        <v>5.606246089190234E-4</v>
      </c>
      <c r="G53">
        <v>42</v>
      </c>
      <c r="H53" s="68" t="n">
        <v>1816.0</v>
      </c>
      <c r="I53" s="68" t="n">
        <v>180.0</v>
      </c>
      <c r="J53" s="68" t="n">
        <v>63.0</v>
      </c>
      <c r="K53" s="58">
        <f si="2" t="shared"/>
        <v>1861</v>
      </c>
      <c r="L53" s="78">
        <f si="3" t="shared"/>
        <v>2.8831436025506759E-3</v>
      </c>
      <c r="W53" s="8"/>
    </row>
    <row r="54" spans="1:23" x14ac:dyDescent="0.25">
      <c r="A54">
        <v>43</v>
      </c>
      <c r="B54" s="58" t="n">
        <v>1591.6720679937785</v>
      </c>
      <c r="C54" s="58" t="n">
        <v>74.2925044326287</v>
      </c>
      <c r="D54" s="58" t="n">
        <v>0.0</v>
      </c>
      <c r="E54" s="58">
        <f si="0" t="shared"/>
        <v>1665.9645724264071</v>
      </c>
      <c r="F54" s="78">
        <f si="1" t="shared"/>
        <v>2.9746091726670504E-3</v>
      </c>
      <c r="G54">
        <v>43</v>
      </c>
      <c r="H54" s="68" t="n">
        <v>1568.0</v>
      </c>
      <c r="I54" s="68" t="n">
        <v>153.0</v>
      </c>
      <c r="J54" s="68" t="n">
        <v>43.0</v>
      </c>
      <c r="K54" s="58">
        <f si="2" t="shared"/>
        <v>1783</v>
      </c>
      <c r="L54" s="78">
        <f si="3" t="shared"/>
        <v>2.7623025488166873E-3</v>
      </c>
      <c r="W54" s="8"/>
    </row>
    <row r="55" spans="1:23" x14ac:dyDescent="0.25">
      <c r="A55">
        <v>44</v>
      </c>
      <c r="B55" s="58" t="n">
        <v>520.4443749093687</v>
      </c>
      <c r="C55" s="58" t="n">
        <v>0.0</v>
      </c>
      <c r="D55" s="58" t="n">
        <v>0.0</v>
      </c>
      <c r="E55" s="58">
        <f si="0" t="shared"/>
        <v>520.44437490936866</v>
      </c>
      <c r="F55" s="78">
        <f si="1" t="shared"/>
        <v>9.2926262484298078E-4</v>
      </c>
      <c r="G55">
        <v>44</v>
      </c>
      <c r="H55" s="68" t="n">
        <v>1386.0</v>
      </c>
      <c r="I55" s="68" t="n">
        <v>117.0</v>
      </c>
      <c r="J55" s="68" t="n">
        <v>39.0</v>
      </c>
      <c r="K55" s="58">
        <f si="2" t="shared"/>
        <v>1483</v>
      </c>
      <c r="L55" s="78">
        <f si="3" t="shared"/>
        <v>2.2975292652244236E-3</v>
      </c>
      <c r="W55" s="8"/>
    </row>
    <row r="56" spans="1:23" x14ac:dyDescent="0.25">
      <c r="A56">
        <v>45</v>
      </c>
      <c r="B56" s="58" t="n">
        <v>835.273359601278</v>
      </c>
      <c r="C56" s="58" t="n">
        <v>0.0</v>
      </c>
      <c r="D56" s="58" t="n">
        <v>0.0</v>
      </c>
      <c r="E56" s="58">
        <f si="0" t="shared"/>
        <v>835.273359601278</v>
      </c>
      <c r="F56" s="78">
        <f si="1" t="shared"/>
        <v>1.4913953383388298E-3</v>
      </c>
      <c r="G56">
        <v>45</v>
      </c>
      <c r="H56" s="68" t="n">
        <v>1107.0</v>
      </c>
      <c r="I56" s="68" t="n">
        <v>97.0</v>
      </c>
      <c r="J56" s="68" t="n">
        <v>27.0</v>
      </c>
      <c r="K56" s="58">
        <f si="2" t="shared"/>
        <v>1154</v>
      </c>
      <c r="L56" s="78">
        <f si="3" t="shared"/>
        <v>1.7878278975515744E-3</v>
      </c>
      <c r="W56" s="8"/>
    </row>
    <row r="57" spans="1:23" x14ac:dyDescent="0.25">
      <c r="A57">
        <v>46</v>
      </c>
      <c r="B57" s="58" t="n">
        <v>968.1408891711143</v>
      </c>
      <c r="C57" s="58" t="n">
        <v>0.0</v>
      </c>
      <c r="D57" s="58" t="n">
        <v>0.0</v>
      </c>
      <c r="E57" s="58">
        <f si="0" t="shared"/>
        <v>968.14088917111428</v>
      </c>
      <c r="F57" s="78">
        <f si="1" t="shared"/>
        <v>1.728632659437688E-3</v>
      </c>
      <c r="G57">
        <v>46</v>
      </c>
      <c r="H57" s="68" t="n">
        <v>1022.0</v>
      </c>
      <c r="I57" s="68" t="n">
        <v>111.0</v>
      </c>
      <c r="J57" s="68" t="n">
        <v>38.0</v>
      </c>
      <c r="K57" s="58">
        <f si="2" t="shared"/>
        <v>1040</v>
      </c>
      <c r="L57" s="78">
        <f si="3" t="shared"/>
        <v>1.6112140497865142E-3</v>
      </c>
      <c r="W57" s="8"/>
    </row>
    <row r="58" spans="1:23" x14ac:dyDescent="0.25">
      <c r="A58">
        <v>47</v>
      </c>
      <c r="B58" s="58" t="n">
        <v>194.40680958973</v>
      </c>
      <c r="C58" s="58" t="n">
        <v>0.0</v>
      </c>
      <c r="D58" s="58" t="n">
        <v>0.0</v>
      </c>
      <c r="E58" s="58">
        <f si="0" t="shared"/>
        <v>194.40680958972999</v>
      </c>
      <c r="F58" s="78">
        <f si="1" t="shared"/>
        <v>3.4711679264121499E-4</v>
      </c>
      <c r="G58">
        <v>47</v>
      </c>
      <c r="H58" s="68" t="n">
        <v>852.0</v>
      </c>
      <c r="I58" s="68" t="n">
        <v>77.0</v>
      </c>
      <c r="J58" s="68" t="n">
        <v>24.0</v>
      </c>
      <c r="K58" s="58">
        <f si="2" t="shared"/>
        <v>958</v>
      </c>
      <c r="L58" s="78">
        <f si="3" t="shared"/>
        <v>1.4841760189379621E-3</v>
      </c>
      <c r="W58" s="8"/>
    </row>
    <row r="59" spans="1:23" x14ac:dyDescent="0.25">
      <c r="A59">
        <v>48</v>
      </c>
      <c r="B59" s="58" t="n">
        <v>471.4838157559356</v>
      </c>
      <c r="C59" s="58" t="n">
        <v>0.0</v>
      </c>
      <c r="D59" s="58" t="n">
        <v>0.0</v>
      </c>
      <c r="E59" s="58">
        <f si="0" t="shared"/>
        <v>471.48381575593561</v>
      </c>
      <c r="F59" s="78">
        <f si="1" t="shared"/>
        <v>8.4184268160577658E-4</v>
      </c>
      <c r="G59">
        <v>48</v>
      </c>
      <c r="H59" s="68" t="n">
        <v>731.0</v>
      </c>
      <c r="I59" s="68" t="n">
        <v>71.0</v>
      </c>
      <c r="J59" s="68" t="n">
        <v>26.0</v>
      </c>
      <c r="K59" s="58">
        <f si="2" t="shared"/>
        <v>845</v>
      </c>
      <c r="L59" s="78">
        <f si="3" t="shared"/>
        <v>1.3091114154515427E-3</v>
      </c>
      <c r="W59" s="8"/>
    </row>
    <row r="60" spans="1:23" x14ac:dyDescent="0.25">
      <c r="A60">
        <v>49</v>
      </c>
      <c r="B60" s="58" t="n">
        <v>239.0000548058428</v>
      </c>
      <c r="C60" s="58" t="n">
        <v>0.0</v>
      </c>
      <c r="D60" s="58" t="n">
        <v>0.0</v>
      </c>
      <c r="E60" s="58">
        <f si="0" t="shared"/>
        <v>239.00005480584281</v>
      </c>
      <c r="F60" s="78">
        <f si="1" t="shared"/>
        <v>4.267388196964751E-4</v>
      </c>
      <c r="G60">
        <v>49</v>
      </c>
      <c r="H60" s="68" t="n">
        <v>618.0</v>
      </c>
      <c r="I60" s="68" t="n">
        <v>79.0</v>
      </c>
      <c r="J60" s="68" t="n">
        <v>22.0</v>
      </c>
      <c r="K60" s="58">
        <f si="2" t="shared"/>
        <v>731</v>
      </c>
      <c r="L60" s="78">
        <f si="3" t="shared"/>
        <v>1.1324975676864826E-3</v>
      </c>
      <c r="W60" s="8"/>
    </row>
    <row r="61" spans="1:23" x14ac:dyDescent="0.25">
      <c r="A61">
        <v>50</v>
      </c>
      <c r="B61" s="58" t="n">
        <v>328.5139676563087</v>
      </c>
      <c r="C61" s="58" t="n">
        <v>0.0</v>
      </c>
      <c r="D61" s="58" t="n">
        <v>0.0</v>
      </c>
      <c r="E61" s="58">
        <f si="0" t="shared"/>
        <v>328.51396765630869</v>
      </c>
      <c r="F61" s="78">
        <f si="1" t="shared"/>
        <v>5.8656749231854972E-4</v>
      </c>
      <c r="G61">
        <v>50</v>
      </c>
      <c r="H61" s="68" t="n">
        <v>590.0</v>
      </c>
      <c r="I61" s="68" t="n">
        <v>56.0</v>
      </c>
      <c r="J61" s="68" t="n">
        <v>16.0</v>
      </c>
      <c r="K61" s="58">
        <f si="2" t="shared"/>
        <v>666</v>
      </c>
      <c r="L61" s="78">
        <f si="3" t="shared"/>
        <v>1.0317966895748254E-3</v>
      </c>
      <c r="W61" s="8"/>
    </row>
    <row r="62" spans="1:23" x14ac:dyDescent="0.25">
      <c r="A62">
        <v>51</v>
      </c>
      <c r="B62" s="58" t="n">
        <v>748.353361101959</v>
      </c>
      <c r="C62" s="58" t="n">
        <v>41.8458826914718</v>
      </c>
      <c r="D62" s="58" t="n">
        <v>0.0</v>
      </c>
      <c r="E62" s="58">
        <f si="0" t="shared"/>
        <v>790.19924379343081</v>
      </c>
      <c r="F62" s="78">
        <f si="1" t="shared"/>
        <v>1.4109147083476406E-3</v>
      </c>
      <c r="G62">
        <v>51</v>
      </c>
      <c r="H62" s="68" t="n">
        <v>514.0</v>
      </c>
      <c r="I62" s="68" t="n">
        <v>53.0</v>
      </c>
      <c r="J62" s="68" t="n">
        <v>17.0</v>
      </c>
      <c r="K62" s="58">
        <f si="2" t="shared"/>
        <v>643</v>
      </c>
      <c r="L62" s="78">
        <f si="3" t="shared"/>
        <v>9.9616407116608508E-4</v>
      </c>
      <c r="W62" s="8"/>
    </row>
    <row r="63" spans="1:23" x14ac:dyDescent="0.25">
      <c r="A63">
        <v>52</v>
      </c>
      <c r="B63" s="58" t="n">
        <v>788.2869326627972</v>
      </c>
      <c r="C63" s="58" t="n">
        <v>0.0</v>
      </c>
      <c r="D63" s="58" t="n">
        <v>0.0</v>
      </c>
      <c r="E63" s="58">
        <f si="0" t="shared"/>
        <v>788.2869326627972</v>
      </c>
      <c r="F63" s="78">
        <f si="1" t="shared"/>
        <v>1.407500243043681E-3</v>
      </c>
      <c r="G63">
        <v>52</v>
      </c>
      <c r="H63" s="68" t="n">
        <v>367.0</v>
      </c>
      <c r="I63" s="68" t="n">
        <v>37.0</v>
      </c>
      <c r="J63" s="68" t="n">
        <v>9.0</v>
      </c>
      <c r="K63" s="58">
        <f si="2" t="shared"/>
        <v>546</v>
      </c>
      <c r="L63" s="78">
        <f si="3" t="shared"/>
        <v>8.4588737613791988E-4</v>
      </c>
      <c r="W63" s="8"/>
    </row>
    <row r="64" spans="1:23" x14ac:dyDescent="0.25">
      <c r="A64">
        <v>53</v>
      </c>
      <c r="B64" s="58" t="n">
        <v>128.8863539203306</v>
      </c>
      <c r="C64" s="58" t="n">
        <v>0.0</v>
      </c>
      <c r="D64" s="58" t="n">
        <v>0.0</v>
      </c>
      <c r="E64" s="58">
        <f si="0" t="shared"/>
        <v>128.88635392033061</v>
      </c>
      <c r="F64" s="78">
        <f si="1" t="shared"/>
        <v>2.3012886165078587E-4</v>
      </c>
      <c r="G64">
        <v>53</v>
      </c>
      <c r="H64" s="68" t="n">
        <v>369.0</v>
      </c>
      <c r="I64" s="68" t="n">
        <v>36.0</v>
      </c>
      <c r="J64" s="68" t="n">
        <v>14.0</v>
      </c>
      <c r="K64" s="58">
        <f si="2" t="shared"/>
        <v>452</v>
      </c>
      <c r="L64" s="78">
        <f si="3" t="shared"/>
        <v>7.0025841394567726E-4</v>
      </c>
      <c r="W64" s="8"/>
    </row>
    <row r="65" spans="1:23" x14ac:dyDescent="0.25">
      <c r="A65">
        <v>54</v>
      </c>
      <c r="B65" s="58" t="n">
        <v>0.0</v>
      </c>
      <c r="C65" s="58" t="n">
        <v>0.0</v>
      </c>
      <c r="D65" s="58" t="n">
        <v>0.0</v>
      </c>
      <c r="E65" s="58">
        <f si="0" t="shared"/>
        <v>0</v>
      </c>
      <c r="F65" s="78">
        <f si="1" t="shared"/>
        <v>0</v>
      </c>
      <c r="G65">
        <v>54</v>
      </c>
      <c r="H65" s="68" t="n">
        <v>254.0</v>
      </c>
      <c r="I65" s="68" t="n">
        <v>21.0</v>
      </c>
      <c r="J65" s="68" t="n">
        <v>3.0</v>
      </c>
      <c r="K65" s="58">
        <f si="2" t="shared"/>
        <v>399</v>
      </c>
      <c r="L65" s="78">
        <f si="3" t="shared"/>
        <v>6.1814846717771069E-4</v>
      </c>
      <c r="W65" s="8"/>
    </row>
    <row r="66" spans="1:23" x14ac:dyDescent="0.25">
      <c r="A66">
        <v>55</v>
      </c>
      <c r="B66" s="58" t="n">
        <v>334.14221782969</v>
      </c>
      <c r="C66" s="58" t="n">
        <v>0.0</v>
      </c>
      <c r="D66" s="58" t="n">
        <v>0.0</v>
      </c>
      <c r="E66" s="58">
        <f si="0" t="shared"/>
        <v>334.14221782969003</v>
      </c>
      <c r="F66" s="78">
        <f si="1" t="shared"/>
        <v>5.9661683242391659E-4</v>
      </c>
      <c r="G66">
        <v>55</v>
      </c>
      <c r="H66" s="68" t="n">
        <v>228.0</v>
      </c>
      <c r="I66" s="68" t="n">
        <v>25.0</v>
      </c>
      <c r="J66" s="68" t="n">
        <v>8.0</v>
      </c>
      <c r="K66" s="58">
        <f si="2" t="shared"/>
        <v>369</v>
      </c>
      <c r="L66" s="78">
        <f si="3" t="shared"/>
        <v>5.7167113881848432E-4</v>
      </c>
      <c r="W66" s="8"/>
    </row>
    <row r="67" spans="1:23" x14ac:dyDescent="0.25">
      <c r="A67">
        <v>56</v>
      </c>
      <c r="B67" s="58" t="n">
        <v>210.570415675261</v>
      </c>
      <c r="C67" s="58" t="n">
        <v>0.0</v>
      </c>
      <c r="D67" s="58" t="n">
        <v>0.0</v>
      </c>
      <c r="E67" s="58">
        <f si="0" t="shared"/>
        <v>210.57041567526099</v>
      </c>
      <c r="F67" s="78">
        <f si="1" t="shared"/>
        <v>3.7597719683058519E-4</v>
      </c>
      <c r="G67">
        <v>56</v>
      </c>
      <c r="H67" s="68" t="n">
        <v>231.0</v>
      </c>
      <c r="I67" s="68" t="n">
        <v>23.0</v>
      </c>
      <c r="J67" s="68" t="n">
        <v>2.0</v>
      </c>
      <c r="K67" s="58">
        <f si="2" t="shared"/>
        <v>322</v>
      </c>
      <c r="L67" s="78">
        <f si="3" t="shared"/>
        <v>4.9885665772236301E-4</v>
      </c>
      <c r="W67" s="8"/>
    </row>
    <row r="68" spans="1:23" x14ac:dyDescent="0.25">
      <c r="A68">
        <v>57</v>
      </c>
      <c r="B68" s="58" t="n">
        <v>0.0</v>
      </c>
      <c r="C68" s="58" t="n">
        <v>0.0</v>
      </c>
      <c r="D68" s="58" t="n">
        <v>0.0</v>
      </c>
      <c r="E68" s="58">
        <f si="0" t="shared"/>
        <v>0</v>
      </c>
      <c r="F68" s="78">
        <f si="1" t="shared"/>
        <v>0</v>
      </c>
      <c r="G68">
        <v>57</v>
      </c>
      <c r="H68" s="68" t="n">
        <v>157.0</v>
      </c>
      <c r="I68" s="68" t="n">
        <v>18.0</v>
      </c>
      <c r="J68" s="68" t="n">
        <v>1.0</v>
      </c>
      <c r="K68" s="58">
        <f si="2" t="shared"/>
        <v>256</v>
      </c>
      <c r="L68" s="78">
        <f si="3" t="shared"/>
        <v>3.96606535332065E-4</v>
      </c>
      <c r="W68" s="8"/>
    </row>
    <row r="69" spans="1:23" x14ac:dyDescent="0.25">
      <c r="A69">
        <v>58</v>
      </c>
      <c r="B69" s="58" t="n">
        <v>0.0</v>
      </c>
      <c r="C69" s="58" t="n">
        <v>0.0</v>
      </c>
      <c r="D69" s="58" t="n">
        <v>0.0</v>
      </c>
      <c r="E69" s="58">
        <f si="0" t="shared"/>
        <v>0</v>
      </c>
      <c r="F69" s="78">
        <f si="1" t="shared"/>
        <v>0</v>
      </c>
      <c r="G69">
        <v>58</v>
      </c>
      <c r="H69" s="68" t="n">
        <v>165.0</v>
      </c>
      <c r="I69" s="68" t="n">
        <v>20.0</v>
      </c>
      <c r="J69" s="68" t="n">
        <v>5.0</v>
      </c>
      <c r="K69" s="58">
        <f si="2" t="shared"/>
        <v>263</v>
      </c>
      <c r="L69" s="78">
        <f si="3" t="shared"/>
        <v>4.0745124528255119E-4</v>
      </c>
      <c r="W69" s="8"/>
    </row>
    <row r="70" spans="1:23" x14ac:dyDescent="0.25">
      <c r="A70">
        <v>59</v>
      </c>
      <c r="B70" s="58" t="n">
        <v>0.0</v>
      </c>
      <c r="C70" s="58" t="n">
        <v>34.3455237132042</v>
      </c>
      <c r="D70" s="58" t="n">
        <v>0.0</v>
      </c>
      <c r="E70" s="58">
        <f si="0" t="shared"/>
        <v>34.345523713204201</v>
      </c>
      <c r="F70" s="78">
        <f si="1" t="shared"/>
        <v>6.1324539289903747E-5</v>
      </c>
      <c r="G70">
        <v>59</v>
      </c>
      <c r="H70" s="68" t="n">
        <v>117.0</v>
      </c>
      <c r="I70" s="68" t="n">
        <v>19.0</v>
      </c>
      <c r="J70" s="68" t="n">
        <v>1.0</v>
      </c>
      <c r="K70" s="58">
        <f si="2" t="shared"/>
        <v>214</v>
      </c>
      <c r="L70" s="78">
        <f si="3" t="shared"/>
        <v>3.3153827562914812E-4</v>
      </c>
      <c r="W70" s="8"/>
    </row>
    <row r="71" spans="1:23" x14ac:dyDescent="0.25">
      <c r="A71">
        <v>60</v>
      </c>
      <c r="B71" s="58" t="n">
        <v>80.6787613869614</v>
      </c>
      <c r="C71" s="58" t="n">
        <v>0.0</v>
      </c>
      <c r="D71" s="58" t="n">
        <v>0.0</v>
      </c>
      <c r="E71" s="58">
        <f si="0" t="shared"/>
        <v>80.678761386961398</v>
      </c>
      <c r="F71" s="78">
        <f si="1" t="shared"/>
        <v>1.4405335361456067E-4</v>
      </c>
      <c r="G71">
        <v>60</v>
      </c>
      <c r="H71" s="68" t="n">
        <v>97.0</v>
      </c>
      <c r="I71" s="68" t="n">
        <v>16.0</v>
      </c>
      <c r="J71" s="68" t="n">
        <v>6.0</v>
      </c>
      <c r="K71" s="58">
        <f si="2" t="shared"/>
        <v>180</v>
      </c>
      <c r="L71" s="78">
        <f si="3" t="shared"/>
        <v>2.7886397015535819E-4</v>
      </c>
      <c r="W71" s="8"/>
    </row>
    <row r="72" spans="1:23" x14ac:dyDescent="0.25">
      <c r="A72">
        <v>61</v>
      </c>
      <c r="B72" s="58" t="n">
        <v>0.0</v>
      </c>
      <c r="C72" s="58" t="n">
        <v>0.0</v>
      </c>
      <c r="D72" s="58" t="n">
        <v>0.0</v>
      </c>
      <c r="E72" s="58">
        <f si="0" t="shared"/>
        <v>0</v>
      </c>
      <c r="F72" s="78">
        <f si="1" t="shared"/>
        <v>0</v>
      </c>
      <c r="G72">
        <v>61</v>
      </c>
      <c r="H72" s="68" t="n">
        <v>50.0</v>
      </c>
      <c r="I72" s="68" t="n">
        <v>5.0</v>
      </c>
      <c r="J72" s="68" t="n">
        <v>2.0</v>
      </c>
      <c r="K72" s="58">
        <f si="2" t="shared"/>
        <v>146</v>
      </c>
      <c r="L72" s="78">
        <f si="3" t="shared"/>
        <v>2.2618966468156834E-4</v>
      </c>
      <c r="W72" s="8"/>
    </row>
    <row r="73" spans="1:23" x14ac:dyDescent="0.25">
      <c r="A73">
        <v>62</v>
      </c>
      <c r="B73" s="58" t="n">
        <v>0.0</v>
      </c>
      <c r="C73" s="58" t="n">
        <v>0.0</v>
      </c>
      <c r="D73" s="58" t="n">
        <v>0.0</v>
      </c>
      <c r="E73" s="58">
        <f si="0" t="shared"/>
        <v>0</v>
      </c>
      <c r="F73" s="78">
        <f si="1" t="shared"/>
        <v>0</v>
      </c>
      <c r="G73">
        <v>62</v>
      </c>
      <c r="H73" s="68" t="n">
        <v>41.0</v>
      </c>
      <c r="I73" s="68" t="n">
        <v>1.0</v>
      </c>
      <c r="J73" s="68" t="n">
        <v>1.0</v>
      </c>
      <c r="K73" s="58">
        <f si="2" t="shared"/>
        <v>139</v>
      </c>
      <c r="L73" s="78">
        <f si="3" t="shared"/>
        <v>2.1534495473108219E-4</v>
      </c>
      <c r="W73" s="8"/>
    </row>
    <row r="74" spans="1:23" x14ac:dyDescent="0.25">
      <c r="A74">
        <v>63</v>
      </c>
      <c r="B74" s="58" t="n">
        <v>74.3866041701779</v>
      </c>
      <c r="C74" s="58" t="n">
        <v>0.0</v>
      </c>
      <c r="D74" s="58" t="n">
        <v>0.0</v>
      </c>
      <c r="E74" s="58">
        <f si="0" t="shared"/>
        <v>74.386604170177904</v>
      </c>
      <c r="F74" s="78">
        <f si="1" t="shared"/>
        <v>1.3281859575554615E-4</v>
      </c>
      <c r="G74">
        <v>63</v>
      </c>
      <c r="H74" s="68" t="n">
        <v>46.0</v>
      </c>
      <c r="I74" s="68" t="n">
        <v>4.0</v>
      </c>
      <c r="J74" s="68" t="n">
        <v>1.0</v>
      </c>
      <c r="K74" s="58">
        <f si="2" t="shared"/>
        <v>103</v>
      </c>
      <c r="L74" s="78">
        <f si="3" t="shared"/>
        <v>1.5957216070001053E-4</v>
      </c>
      <c r="W74" s="8"/>
    </row>
    <row r="75" spans="1:23" x14ac:dyDescent="0.25">
      <c r="A75">
        <v>64</v>
      </c>
      <c r="B75" s="58" t="n">
        <v>0.0</v>
      </c>
      <c r="C75" s="58" t="n">
        <v>0.0</v>
      </c>
      <c r="D75" s="58" t="n">
        <v>0.0</v>
      </c>
      <c r="E75" s="58">
        <f si="0" t="shared"/>
        <v>0</v>
      </c>
      <c r="F75" s="78">
        <f si="1" t="shared"/>
        <v>0</v>
      </c>
      <c r="G75">
        <v>64</v>
      </c>
      <c r="H75" s="68" t="n">
        <v>24.0</v>
      </c>
      <c r="I75" s="68" t="n">
        <v>3.0</v>
      </c>
      <c r="J75" s="68" t="n">
        <v>0.0</v>
      </c>
      <c r="K75" s="58">
        <f si="2" t="shared"/>
        <v>97</v>
      </c>
      <c r="L75" s="78">
        <f si="3" t="shared"/>
        <v>1.5027669502816525E-4</v>
      </c>
      <c r="W75" s="8"/>
    </row>
    <row r="76" spans="1:23" x14ac:dyDescent="0.25">
      <c r="A76">
        <v>65</v>
      </c>
      <c r="B76" s="58" t="n">
        <v>0.0</v>
      </c>
      <c r="C76" s="58" t="n">
        <v>0.0</v>
      </c>
      <c r="D76" s="58" t="n">
        <v>0.0</v>
      </c>
      <c r="E76" s="58">
        <f ref="E76:E101" si="4" t="shared">SUM(B76:D76)</f>
        <v>0</v>
      </c>
      <c r="F76" s="78">
        <f ref="F76:F101" si="5" t="shared">IFERROR(E76/SUM($E$11:$E$100),0)</f>
        <v>0</v>
      </c>
      <c r="G76">
        <v>65</v>
      </c>
      <c r="H76" s="68" t="n">
        <v>23.0</v>
      </c>
      <c r="I76" s="68" t="n">
        <v>2.0</v>
      </c>
      <c r="J76" s="68" t="n">
        <v>1.0</v>
      </c>
      <c r="K76" s="58">
        <f ref="K76:K101" si="6" t="shared">SUM(H76:J76)</f>
        <v>111</v>
      </c>
      <c r="L76" s="78">
        <f ref="L76:L101" si="7" t="shared">IFERROR(K76/SUM($K$11:$K$100),0)</f>
        <v>1.7196611492913756E-4</v>
      </c>
      <c r="W76" s="8"/>
    </row>
    <row r="77" spans="1:23" x14ac:dyDescent="0.25">
      <c r="A77">
        <v>66</v>
      </c>
      <c r="B77" s="58" t="n">
        <v>0.0</v>
      </c>
      <c r="C77" s="58" t="n">
        <v>0.0</v>
      </c>
      <c r="D77" s="58" t="n">
        <v>0.0</v>
      </c>
      <c r="E77" s="58">
        <f si="4" t="shared"/>
        <v>0</v>
      </c>
      <c r="F77" s="78">
        <f si="5" t="shared"/>
        <v>0</v>
      </c>
      <c r="G77">
        <v>66</v>
      </c>
      <c r="H77" s="68" t="n">
        <v>24.0</v>
      </c>
      <c r="I77" s="68" t="n">
        <v>2.0</v>
      </c>
      <c r="J77" s="68" t="n">
        <v>2.0</v>
      </c>
      <c r="K77" s="58">
        <f si="6" t="shared"/>
        <v>54</v>
      </c>
      <c r="L77" s="78">
        <f si="7" t="shared"/>
        <v>8.3659191046607468E-5</v>
      </c>
      <c r="W77" s="8"/>
    </row>
    <row r="78" spans="1:23" x14ac:dyDescent="0.25">
      <c r="A78">
        <v>67</v>
      </c>
      <c r="B78" s="58" t="n">
        <v>0.0</v>
      </c>
      <c r="C78" s="58" t="n">
        <v>0.0</v>
      </c>
      <c r="D78" s="58" t="n">
        <v>0.0</v>
      </c>
      <c r="E78" s="58">
        <f si="4" t="shared"/>
        <v>0</v>
      </c>
      <c r="F78" s="78">
        <f si="5" t="shared"/>
        <v>0</v>
      </c>
      <c r="G78">
        <v>67</v>
      </c>
      <c r="H78" s="68" t="n">
        <v>16.0</v>
      </c>
      <c r="I78" s="68" t="n">
        <v>4.0</v>
      </c>
      <c r="J78" s="68" t="n">
        <v>2.0</v>
      </c>
      <c r="K78" s="58">
        <f si="6" t="shared"/>
        <v>44</v>
      </c>
      <c r="L78" s="78">
        <f si="7" t="shared"/>
        <v>6.8166748260198672E-5</v>
      </c>
      <c r="W78" s="8"/>
    </row>
    <row r="79" spans="1:23" x14ac:dyDescent="0.25">
      <c r="A79">
        <v>68</v>
      </c>
      <c r="B79" s="58" t="n">
        <v>0.0</v>
      </c>
      <c r="C79" s="58" t="n">
        <v>0.0</v>
      </c>
      <c r="D79" s="58" t="n">
        <v>0.0</v>
      </c>
      <c r="E79" s="58">
        <f si="4" t="shared"/>
        <v>0</v>
      </c>
      <c r="F79" s="78">
        <f si="5" t="shared"/>
        <v>0</v>
      </c>
      <c r="G79">
        <v>68</v>
      </c>
      <c r="H79" s="68" t="n">
        <v>17.0</v>
      </c>
      <c r="I79" s="68" t="n">
        <v>2.0</v>
      </c>
      <c r="J79" s="68" t="n">
        <v>1.0</v>
      </c>
      <c r="K79" s="58">
        <f si="6" t="shared"/>
        <v>32</v>
      </c>
      <c r="L79" s="78">
        <f si="7" t="shared"/>
        <v>4.9575816916508125E-5</v>
      </c>
      <c r="W79" s="8"/>
    </row>
    <row r="80" spans="1:23" x14ac:dyDescent="0.25">
      <c r="A80">
        <v>69</v>
      </c>
      <c r="B80" s="58" t="n">
        <v>0.0</v>
      </c>
      <c r="C80" s="58" t="n">
        <v>0.0</v>
      </c>
      <c r="D80" s="58" t="n">
        <v>0.0</v>
      </c>
      <c r="E80" s="58">
        <f si="4" t="shared"/>
        <v>0</v>
      </c>
      <c r="F80" s="78">
        <f si="5" t="shared"/>
        <v>0</v>
      </c>
      <c r="G80">
        <v>69</v>
      </c>
      <c r="H80" s="68" t="n">
        <v>13.0</v>
      </c>
      <c r="I80" s="68" t="n">
        <v>0.0</v>
      </c>
      <c r="J80" s="68" t="n">
        <v>0.0</v>
      </c>
      <c r="K80" s="58">
        <f si="6" t="shared"/>
        <v>23</v>
      </c>
      <c r="L80" s="78">
        <f si="7" t="shared"/>
        <v>3.5632618408740219E-5</v>
      </c>
      <c r="W80" s="8"/>
    </row>
    <row r="81" spans="1:23" x14ac:dyDescent="0.25">
      <c r="A81">
        <v>70</v>
      </c>
      <c r="B81" s="58" t="n">
        <v>0.0</v>
      </c>
      <c r="C81" s="58" t="n">
        <v>0.0</v>
      </c>
      <c r="D81" s="58" t="n">
        <v>0.0</v>
      </c>
      <c r="E81" s="58">
        <f si="4" t="shared"/>
        <v>0</v>
      </c>
      <c r="F81" s="78">
        <f si="5" t="shared"/>
        <v>0</v>
      </c>
      <c r="G81">
        <v>70</v>
      </c>
      <c r="H81" s="68" t="n">
        <v>15.0</v>
      </c>
      <c r="I81" s="68" t="n">
        <v>0.0</v>
      </c>
      <c r="J81" s="68" t="n">
        <v>0.0</v>
      </c>
      <c r="K81" s="58">
        <f si="6" t="shared"/>
        <v>17</v>
      </c>
      <c r="L81" s="78">
        <f si="7" t="shared"/>
        <v>2.6337152736894942E-5</v>
      </c>
      <c r="W81" s="8"/>
    </row>
    <row r="82" spans="1:23" x14ac:dyDescent="0.25">
      <c r="A82">
        <v>71</v>
      </c>
      <c r="B82" s="58" t="n">
        <v>0.0</v>
      </c>
      <c r="C82" s="58" t="n">
        <v>0.0</v>
      </c>
      <c r="D82" s="58" t="n">
        <v>0.0</v>
      </c>
      <c r="E82" s="58">
        <f si="4" t="shared"/>
        <v>0</v>
      </c>
      <c r="F82" s="78">
        <f si="5" t="shared"/>
        <v>0</v>
      </c>
      <c r="G82">
        <v>71</v>
      </c>
      <c r="H82" s="68" t="n">
        <v>13.0</v>
      </c>
      <c r="I82" s="68" t="n">
        <v>1.0</v>
      </c>
      <c r="J82" s="68" t="n">
        <v>0.0</v>
      </c>
      <c r="K82" s="58">
        <f si="6" t="shared"/>
        <v>14</v>
      </c>
      <c r="L82" s="78">
        <f si="7" t="shared"/>
        <v>2.1689419900972305E-5</v>
      </c>
      <c r="W82" s="8"/>
    </row>
    <row r="83" spans="1:23" x14ac:dyDescent="0.25">
      <c r="A83">
        <v>72</v>
      </c>
      <c r="B83" s="58" t="n">
        <v>0.0</v>
      </c>
      <c r="C83" s="58" t="n">
        <v>0.0</v>
      </c>
      <c r="D83" s="58" t="n">
        <v>0.0</v>
      </c>
      <c r="E83" s="58">
        <f si="4" t="shared"/>
        <v>0</v>
      </c>
      <c r="F83" s="78">
        <f si="5" t="shared"/>
        <v>0</v>
      </c>
      <c r="G83">
        <v>72</v>
      </c>
      <c r="H83" s="68" t="n">
        <v>2.0</v>
      </c>
      <c r="I83" s="68" t="n">
        <v>1.0</v>
      </c>
      <c r="J83" s="68" t="n">
        <v>0.0</v>
      </c>
      <c r="K83" s="58">
        <f si="6" t="shared"/>
        <v>13</v>
      </c>
      <c r="L83" s="78">
        <f si="7" t="shared"/>
        <v>2.0140175622331426E-5</v>
      </c>
      <c r="W83" s="8"/>
    </row>
    <row r="84" spans="1:23" x14ac:dyDescent="0.25">
      <c r="A84">
        <v>73</v>
      </c>
      <c r="B84" s="58" t="n">
        <v>0.0</v>
      </c>
      <c r="C84" s="58" t="n">
        <v>0.0</v>
      </c>
      <c r="D84" s="58" t="n">
        <v>0.0</v>
      </c>
      <c r="E84" s="58">
        <f si="4" t="shared"/>
        <v>0</v>
      </c>
      <c r="F84" s="78">
        <f si="5" t="shared"/>
        <v>0</v>
      </c>
      <c r="G84">
        <v>73</v>
      </c>
      <c r="H84" s="68" t="n">
        <v>3.0</v>
      </c>
      <c r="I84" s="58" t="n">
        <v>0.0</v>
      </c>
      <c r="J84" s="68" t="n">
        <v>0.0</v>
      </c>
      <c r="K84" s="58">
        <f si="6" t="shared"/>
        <v>7</v>
      </c>
      <c r="L84" s="78">
        <f si="7" t="shared"/>
        <v>1.0844709950486152E-5</v>
      </c>
      <c r="W84" s="8"/>
    </row>
    <row r="85" spans="1:23" x14ac:dyDescent="0.25">
      <c r="A85">
        <v>74</v>
      </c>
      <c r="B85" s="58" t="n">
        <v>0.0</v>
      </c>
      <c r="C85" s="58" t="n">
        <v>0.0</v>
      </c>
      <c r="D85" s="58" t="n">
        <v>0.0</v>
      </c>
      <c r="E85" s="58">
        <f si="4" t="shared"/>
        <v>0</v>
      </c>
      <c r="F85" s="78">
        <f si="5" t="shared"/>
        <v>0</v>
      </c>
      <c r="G85">
        <v>74</v>
      </c>
      <c r="H85" s="68" t="n">
        <v>4.0</v>
      </c>
      <c r="I85" s="68" t="n">
        <v>1.0</v>
      </c>
      <c r="J85" s="68" t="n">
        <v>0.0</v>
      </c>
      <c r="K85" s="58">
        <f si="6" t="shared"/>
        <v>7</v>
      </c>
      <c r="L85" s="78">
        <f si="7" t="shared"/>
        <v>1.0844709950486152E-5</v>
      </c>
      <c r="W85" s="8"/>
    </row>
    <row r="86" spans="1:23" x14ac:dyDescent="0.25">
      <c r="A86">
        <v>75</v>
      </c>
      <c r="B86" s="58" t="n">
        <v>0.0</v>
      </c>
      <c r="C86" s="58" t="n">
        <v>0.0</v>
      </c>
      <c r="D86" s="58" t="n">
        <v>0.0</v>
      </c>
      <c r="E86" s="58">
        <f si="4" t="shared"/>
        <v>0</v>
      </c>
      <c r="F86" s="78">
        <f si="5" t="shared"/>
        <v>0</v>
      </c>
      <c r="G86">
        <v>75</v>
      </c>
      <c r="H86" s="68" t="n">
        <v>6.0</v>
      </c>
      <c r="I86" s="58" t="n">
        <v>0.0</v>
      </c>
      <c r="J86" s="68" t="n">
        <v>0.0</v>
      </c>
      <c r="K86" s="58">
        <f si="6" t="shared"/>
        <v>6</v>
      </c>
      <c r="L86" s="78">
        <f si="7" t="shared"/>
        <v>9.2954656718452735E-6</v>
      </c>
      <c r="W86" s="8"/>
    </row>
    <row r="87" spans="1:23" x14ac:dyDescent="0.25">
      <c r="A87">
        <v>76</v>
      </c>
      <c r="B87" s="58" t="n">
        <v>0.0</v>
      </c>
      <c r="C87" s="58" t="n">
        <v>0.0</v>
      </c>
      <c r="D87" s="58" t="n">
        <v>0.0</v>
      </c>
      <c r="E87" s="58">
        <f si="4" t="shared"/>
        <v>0</v>
      </c>
      <c r="F87" s="78">
        <f si="5" t="shared"/>
        <v>0</v>
      </c>
      <c r="G87">
        <v>76</v>
      </c>
      <c r="H87" s="68" t="n">
        <v>1.0</v>
      </c>
      <c r="I87" s="58" t="n">
        <v>0.0</v>
      </c>
      <c r="J87" s="68" t="n">
        <v>0.0</v>
      </c>
      <c r="K87" s="58">
        <f si="6" t="shared"/>
        <v>6</v>
      </c>
      <c r="L87" s="78">
        <f si="7" t="shared"/>
        <v>9.2954656718452735E-6</v>
      </c>
      <c r="W87" s="8"/>
    </row>
    <row r="88" spans="1:23" x14ac:dyDescent="0.25">
      <c r="A88">
        <v>77</v>
      </c>
      <c r="B88" s="58" t="n">
        <v>0.0</v>
      </c>
      <c r="C88" s="58" t="n">
        <v>0.0</v>
      </c>
      <c r="D88" s="58" t="n">
        <v>0.0</v>
      </c>
      <c r="E88" s="58">
        <f si="4" t="shared"/>
        <v>0</v>
      </c>
      <c r="F88" s="78">
        <f si="5" t="shared"/>
        <v>0</v>
      </c>
      <c r="G88">
        <v>77</v>
      </c>
      <c r="H88" s="68" t="n">
        <v>2.0</v>
      </c>
      <c r="I88" s="58" t="n">
        <v>1.0</v>
      </c>
      <c r="J88" s="58" t="n">
        <v>0.0</v>
      </c>
      <c r="K88" s="58">
        <f si="6" t="shared"/>
        <v>4</v>
      </c>
      <c r="L88" s="78">
        <f si="7" t="shared"/>
        <v>6.1969771145635157E-6</v>
      </c>
      <c r="W88" s="8"/>
    </row>
    <row r="89" spans="1:23" x14ac:dyDescent="0.25">
      <c r="A89">
        <v>78</v>
      </c>
      <c r="B89" s="58" t="n">
        <v>0.0</v>
      </c>
      <c r="C89" s="58" t="n">
        <v>0.0</v>
      </c>
      <c r="D89" s="58" t="n">
        <v>0.0</v>
      </c>
      <c r="E89" s="58">
        <f si="4" t="shared"/>
        <v>0</v>
      </c>
      <c r="F89" s="78">
        <f si="5" t="shared"/>
        <v>0</v>
      </c>
      <c r="G89">
        <v>78</v>
      </c>
      <c r="H89" s="68" t="n">
        <v>2.0</v>
      </c>
      <c r="I89" s="58" t="n">
        <v>0.0</v>
      </c>
      <c r="J89" s="58" t="n">
        <v>0.0</v>
      </c>
      <c r="K89" s="58">
        <f si="6" t="shared"/>
        <v>3</v>
      </c>
      <c r="L89" s="78">
        <f si="7" t="shared"/>
        <v>4.6477328359226368E-6</v>
      </c>
      <c r="W89" s="8"/>
    </row>
    <row r="90" spans="1:23" x14ac:dyDescent="0.25">
      <c r="A90">
        <v>79</v>
      </c>
      <c r="B90" s="58" t="n">
        <v>0.0</v>
      </c>
      <c r="C90" s="58" t="n">
        <v>0.0</v>
      </c>
      <c r="D90" s="58" t="n">
        <v>0.0</v>
      </c>
      <c r="E90" s="58">
        <f si="4" t="shared"/>
        <v>0</v>
      </c>
      <c r="F90" s="78">
        <f si="5" t="shared"/>
        <v>0</v>
      </c>
      <c r="G90">
        <v>79</v>
      </c>
      <c r="H90" s="68" t="n">
        <v>4.0</v>
      </c>
      <c r="I90" s="58" t="n">
        <v>0.0</v>
      </c>
      <c r="J90" s="58" t="n">
        <v>0.0</v>
      </c>
      <c r="K90" s="58">
        <f si="6" t="shared"/>
        <v>2</v>
      </c>
      <c r="L90" s="78">
        <f si="7" t="shared"/>
        <v>3.0984885572817578E-6</v>
      </c>
      <c r="W90" s="8"/>
    </row>
    <row r="91" spans="1:23" x14ac:dyDescent="0.25">
      <c r="A91">
        <v>80</v>
      </c>
      <c r="B91" s="58" t="n">
        <v>0.0</v>
      </c>
      <c r="C91" s="58" t="n">
        <v>0.0</v>
      </c>
      <c r="D91" s="58" t="n">
        <v>0.0</v>
      </c>
      <c r="E91" s="58">
        <f si="4" t="shared"/>
        <v>0</v>
      </c>
      <c r="F91" s="78">
        <f si="5" t="shared"/>
        <v>0</v>
      </c>
      <c r="G91">
        <v>80</v>
      </c>
      <c r="H91" s="68" t="n">
        <v>1.0</v>
      </c>
      <c r="I91" s="58" t="n">
        <v>0.0</v>
      </c>
      <c r="J91" s="58" t="n">
        <v>0.0</v>
      </c>
      <c r="K91" s="58">
        <f si="6" t="shared"/>
        <v>5</v>
      </c>
      <c r="L91" s="78">
        <f si="7" t="shared"/>
        <v>7.7462213932043946E-6</v>
      </c>
      <c r="W91" s="8"/>
    </row>
    <row r="92" spans="1:23" x14ac:dyDescent="0.25">
      <c r="A92">
        <v>81</v>
      </c>
      <c r="B92" s="58" t="n">
        <v>0.0</v>
      </c>
      <c r="C92" s="58" t="n">
        <v>0.0</v>
      </c>
      <c r="D92" s="58" t="n">
        <v>0.0</v>
      </c>
      <c r="E92" s="58">
        <f si="4" t="shared"/>
        <v>0</v>
      </c>
      <c r="F92" s="78">
        <f si="5" t="shared"/>
        <v>0</v>
      </c>
      <c r="G92">
        <v>81</v>
      </c>
      <c r="H92" s="68" t="n">
        <v>1.0</v>
      </c>
      <c r="I92" s="58" t="n">
        <v>0.0</v>
      </c>
      <c r="J92" s="58" t="n">
        <v>0.0</v>
      </c>
      <c r="K92" s="58">
        <f si="6" t="shared"/>
        <v>1</v>
      </c>
      <c r="L92" s="78">
        <f si="7" t="shared"/>
        <v>1.5492442786408789E-6</v>
      </c>
      <c r="W92" s="8"/>
    </row>
    <row r="93" spans="1:23" x14ac:dyDescent="0.25">
      <c r="A93">
        <v>82</v>
      </c>
      <c r="B93" s="58" t="n">
        <v>0.0</v>
      </c>
      <c r="C93" s="58" t="n">
        <v>0.0</v>
      </c>
      <c r="D93" s="58" t="n">
        <v>0.0</v>
      </c>
      <c r="E93" s="58">
        <f si="4" t="shared"/>
        <v>0</v>
      </c>
      <c r="F93" s="78">
        <f si="5" t="shared"/>
        <v>0</v>
      </c>
      <c r="G93">
        <v>82</v>
      </c>
      <c r="H93" s="68" t="n">
        <v>1.0</v>
      </c>
      <c r="I93" s="58" t="n">
        <v>0.0</v>
      </c>
      <c r="J93" s="58" t="n">
        <v>0.0</v>
      </c>
      <c r="K93" s="58">
        <f si="6" t="shared"/>
        <v>1</v>
      </c>
      <c r="L93" s="78">
        <f si="7" t="shared"/>
        <v>1.5492442786408789E-6</v>
      </c>
      <c r="W93" s="8"/>
    </row>
    <row r="94" spans="1:23" x14ac:dyDescent="0.25">
      <c r="A94">
        <v>83</v>
      </c>
      <c r="B94" s="58" t="n">
        <v>0.0</v>
      </c>
      <c r="C94" s="58" t="n">
        <v>0.0</v>
      </c>
      <c r="D94" s="58" t="n">
        <v>0.0</v>
      </c>
      <c r="E94" s="58">
        <f si="4" t="shared"/>
        <v>0</v>
      </c>
      <c r="F94" s="78">
        <f si="5" t="shared"/>
        <v>0</v>
      </c>
      <c r="G94">
        <v>83</v>
      </c>
      <c r="H94" s="68" t="n">
        <v>0.0</v>
      </c>
      <c r="I94" s="58" t="n">
        <v>0.0</v>
      </c>
      <c r="J94" s="58" t="n">
        <v>0.0</v>
      </c>
      <c r="K94" s="58">
        <f si="6" t="shared"/>
        <v>1</v>
      </c>
      <c r="L94" s="78">
        <f si="7" t="shared"/>
        <v>1.5492442786408789E-6</v>
      </c>
      <c r="W94" s="8"/>
    </row>
    <row r="95" spans="1:23" x14ac:dyDescent="0.25">
      <c r="A95">
        <v>84</v>
      </c>
      <c r="B95" s="58" t="n">
        <v>0.0</v>
      </c>
      <c r="C95" s="58" t="n">
        <v>0.0</v>
      </c>
      <c r="D95" s="58" t="n">
        <v>0.0</v>
      </c>
      <c r="E95" s="58">
        <f si="4" t="shared"/>
        <v>0</v>
      </c>
      <c r="F95" s="78">
        <f si="5" t="shared"/>
        <v>0</v>
      </c>
      <c r="G95">
        <v>84</v>
      </c>
      <c r="H95" s="68" t="n">
        <v>0.0</v>
      </c>
      <c r="I95" s="58" t="n">
        <v>0.0</v>
      </c>
      <c r="J95" s="58" t="n">
        <v>0.0</v>
      </c>
      <c r="K95" s="58">
        <f si="6" t="shared"/>
        <v>2</v>
      </c>
      <c r="L95" s="78">
        <f si="7" t="shared"/>
        <v>3.0984885572817578E-6</v>
      </c>
      <c r="W95" s="8"/>
    </row>
    <row r="96" spans="1:23" x14ac:dyDescent="0.25">
      <c r="A96">
        <v>85</v>
      </c>
      <c r="B96" s="58" t="n">
        <v>0.0</v>
      </c>
      <c r="C96" s="58" t="n">
        <v>0.0</v>
      </c>
      <c r="D96" s="58" t="n">
        <v>0.0</v>
      </c>
      <c r="E96" s="58">
        <f si="4" t="shared"/>
        <v>0</v>
      </c>
      <c r="F96" s="78">
        <f si="5" t="shared"/>
        <v>0</v>
      </c>
      <c r="G96">
        <v>85</v>
      </c>
      <c r="H96" s="68" t="n">
        <v>0.0</v>
      </c>
      <c r="I96" s="58" t="n">
        <v>0.0</v>
      </c>
      <c r="J96" s="58" t="n">
        <v>0.0</v>
      </c>
      <c r="K96" s="58">
        <f si="6" t="shared"/>
        <v>3</v>
      </c>
      <c r="L96" s="78">
        <f si="7" t="shared"/>
        <v>4.6477328359226368E-6</v>
      </c>
      <c r="W96" s="8"/>
    </row>
    <row r="97" spans="1:23" x14ac:dyDescent="0.25">
      <c r="A97">
        <v>86</v>
      </c>
      <c r="B97" s="58" t="n">
        <v>0.0</v>
      </c>
      <c r="C97" s="58" t="n">
        <v>0.0</v>
      </c>
      <c r="D97" s="58" t="n">
        <v>0.0</v>
      </c>
      <c r="E97" s="58">
        <f si="4" t="shared"/>
        <v>0</v>
      </c>
      <c r="F97" s="78">
        <f si="5" t="shared"/>
        <v>0</v>
      </c>
      <c r="G97">
        <v>86</v>
      </c>
      <c r="H97" s="68" t="n">
        <v>2.0</v>
      </c>
      <c r="I97" s="58" t="n">
        <v>0.0</v>
      </c>
      <c r="J97" s="58" t="n">
        <v>0.0</v>
      </c>
      <c r="K97" s="58">
        <f si="6" t="shared"/>
        <v>3</v>
      </c>
      <c r="L97" s="78">
        <f si="7" t="shared"/>
        <v>4.6477328359226368E-6</v>
      </c>
      <c r="W97" s="8"/>
    </row>
    <row r="98" spans="1:23" x14ac:dyDescent="0.25">
      <c r="A98">
        <v>87</v>
      </c>
      <c r="B98" s="58" t="n">
        <v>0.0</v>
      </c>
      <c r="C98" s="58" t="n">
        <v>0.0</v>
      </c>
      <c r="D98" s="58" t="n">
        <v>0.0</v>
      </c>
      <c r="E98" s="58">
        <f si="4" t="shared"/>
        <v>0</v>
      </c>
      <c r="F98" s="78">
        <f si="5" t="shared"/>
        <v>0</v>
      </c>
      <c r="G98">
        <v>87</v>
      </c>
      <c r="H98" s="68" t="n">
        <v>3.0</v>
      </c>
      <c r="I98" s="58" t="n">
        <v>0.0</v>
      </c>
      <c r="J98" s="58" t="n">
        <v>0.0</v>
      </c>
      <c r="K98" s="58">
        <f si="6" t="shared"/>
        <v>1</v>
      </c>
      <c r="L98" s="78">
        <f si="7" t="shared"/>
        <v>1.5492442786408789E-6</v>
      </c>
      <c r="W98" s="8"/>
    </row>
    <row r="99" spans="1:23" x14ac:dyDescent="0.25">
      <c r="A99">
        <v>88</v>
      </c>
      <c r="B99" s="58" t="n">
        <v>0.0</v>
      </c>
      <c r="C99" s="58" t="n">
        <v>0.0</v>
      </c>
      <c r="D99" s="58" t="n">
        <v>0.0</v>
      </c>
      <c r="E99" s="58">
        <f si="4" t="shared"/>
        <v>0</v>
      </c>
      <c r="F99" s="78">
        <f si="5" t="shared"/>
        <v>0</v>
      </c>
      <c r="G99">
        <v>88</v>
      </c>
      <c r="H99" s="68" t="n">
        <v>0.0</v>
      </c>
      <c r="I99" s="58" t="n">
        <v>0.0</v>
      </c>
      <c r="J99" s="58" t="n">
        <v>0.0</v>
      </c>
      <c r="K99" s="58">
        <f si="6" t="shared"/>
        <v>3</v>
      </c>
      <c r="L99" s="78">
        <f si="7" t="shared"/>
        <v>4.6477328359226368E-6</v>
      </c>
      <c r="W99" s="8"/>
    </row>
    <row r="100" spans="1:23" x14ac:dyDescent="0.25">
      <c r="A100">
        <v>89</v>
      </c>
      <c r="B100" s="58" t="n">
        <v>0.0</v>
      </c>
      <c r="C100" s="58" t="n">
        <v>0.0</v>
      </c>
      <c r="D100" s="58" t="n">
        <v>0.0</v>
      </c>
      <c r="E100" s="58">
        <f si="4" t="shared"/>
        <v>0</v>
      </c>
      <c r="F100" s="78">
        <f si="5" t="shared"/>
        <v>0</v>
      </c>
      <c r="G100">
        <v>89</v>
      </c>
      <c r="H100" s="68" t="n">
        <v>0.0</v>
      </c>
      <c r="I100" s="58" t="n">
        <v>0.0</v>
      </c>
      <c r="J100" s="58" t="n">
        <v>0.0</v>
      </c>
      <c r="K100" s="58">
        <f si="6" t="shared"/>
        <v>6</v>
      </c>
      <c r="L100" s="78">
        <f si="7" t="shared"/>
        <v>9.2954656718452735E-6</v>
      </c>
      <c r="W100" s="8"/>
    </row>
    <row ht="15.75" r="101" spans="1:23" thickBot="1" x14ac:dyDescent="0.3">
      <c r="A101" s="1">
        <v>90</v>
      </c>
      <c r="B101" s="59">
        <v>0</v>
      </c>
      <c r="C101" s="59">
        <v>0</v>
      </c>
      <c r="D101" s="59">
        <v>0</v>
      </c>
      <c r="E101" s="58">
        <f si="4" t="shared"/>
        <v>0</v>
      </c>
      <c r="F101" s="78">
        <f si="5" t="shared"/>
        <v>0</v>
      </c>
      <c r="G101" s="1">
        <v>90</v>
      </c>
      <c r="H101" s="69">
        <v>0</v>
      </c>
      <c r="I101" s="59">
        <v>0</v>
      </c>
      <c r="J101" s="59">
        <v>0</v>
      </c>
      <c r="K101" s="59">
        <f si="6" t="shared"/>
        <v>0</v>
      </c>
      <c r="L101" s="78">
        <f si="7" t="shared"/>
        <v>0</v>
      </c>
      <c r="W101" s="9"/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X101"/>
  <sheetViews>
    <sheetView workbookViewId="0">
      <selection activeCell="I100" sqref="I100"/>
    </sheetView>
  </sheetViews>
  <sheetFormatPr defaultRowHeight="15" x14ac:dyDescent="0.25"/>
  <cols>
    <col min="2" max="3" bestFit="true" customWidth="true" width="10.5703125" collapsed="true"/>
    <col min="4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0.5703125" collapsed="true"/>
    <col min="15" max="15" bestFit="true" customWidth="true" width="15.7109375" collapsed="true"/>
  </cols>
  <sheetData>
    <row r="1" spans="1:23" x14ac:dyDescent="0.25">
      <c r="A1" t="s">
        <v>0</v>
      </c>
    </row>
    <row r="2" spans="1:23" x14ac:dyDescent="0.25">
      <c r="A2" t="s">
        <v>247</v>
      </c>
    </row>
    <row r="3" spans="1:23" x14ac:dyDescent="0.25">
      <c r="A3" t="s">
        <v>248</v>
      </c>
    </row>
    <row r="4" spans="1:23" x14ac:dyDescent="0.25">
      <c r="A4" t="s">
        <v>6</v>
      </c>
    </row>
    <row r="5" spans="1:23" x14ac:dyDescent="0.25">
      <c r="A5" t="s">
        <v>7</v>
      </c>
    </row>
    <row r="7" spans="1:23" x14ac:dyDescent="0.25">
      <c r="A7" t="s">
        <v>11</v>
      </c>
    </row>
    <row ht="15.75" r="9" spans="1:23" thickBot="1" x14ac:dyDescent="0.3">
      <c r="A9" s="4" t="s">
        <v>204</v>
      </c>
      <c r="B9" s="1"/>
      <c r="C9" s="1"/>
      <c r="D9" s="1"/>
      <c r="E9" s="1"/>
      <c r="G9" s="4" t="s">
        <v>13</v>
      </c>
      <c r="H9" s="1"/>
      <c r="I9" s="1"/>
      <c r="J9" s="1"/>
      <c r="K9" s="1"/>
      <c r="M9" s="10" t="s">
        <v>40</v>
      </c>
      <c r="W9" s="8"/>
    </row>
    <row r="10" spans="1:23" x14ac:dyDescent="0.25">
      <c r="A10" s="2" t="s">
        <v>21</v>
      </c>
      <c r="B10" s="5" t="s">
        <v>8</v>
      </c>
      <c r="C10" s="5" t="s">
        <v>9</v>
      </c>
      <c r="D10" s="5" t="s">
        <v>10</v>
      </c>
      <c r="E10" s="5" t="s">
        <v>203</v>
      </c>
      <c r="G10" s="2" t="s">
        <v>21</v>
      </c>
      <c r="H10" s="5" t="s">
        <v>8</v>
      </c>
      <c r="I10" s="5" t="s">
        <v>9</v>
      </c>
      <c r="J10" s="5" t="s">
        <v>10</v>
      </c>
      <c r="K10" s="29" t="s">
        <v>253</v>
      </c>
      <c r="M10" s="2"/>
      <c r="N10" s="5" t="s">
        <v>203</v>
      </c>
      <c r="O10" s="29" t="s">
        <v>253</v>
      </c>
      <c r="W10" s="8"/>
    </row>
    <row r="11" spans="1:23" x14ac:dyDescent="0.25">
      <c r="A11">
        <v>0</v>
      </c>
      <c r="B11" s="58" t="n">
        <v>0.0</v>
      </c>
      <c r="C11" s="58" t="n">
        <v>0.0</v>
      </c>
      <c r="D11" s="58" t="n">
        <v>0.0</v>
      </c>
      <c r="E11" s="58">
        <f>SUM(B11:D11)</f>
        <v>0</v>
      </c>
      <c r="F11" s="78">
        <f>E11/SUM($E$11:$E$101)</f>
        <v>0</v>
      </c>
      <c r="G11">
        <v>0</v>
      </c>
      <c r="H11" s="68" t="n">
        <v>273.0</v>
      </c>
      <c r="I11" s="68" t="n">
        <v>52.0</v>
      </c>
      <c r="J11" s="68" t="n">
        <v>20.0</v>
      </c>
      <c r="K11" s="58">
        <f>SUM(H11:J11)</f>
        <v>408</v>
      </c>
      <c r="L11" s="78">
        <f>K11/SUM($K$11:$K$101)</f>
        <v>6.3209166568547863E-4</v>
      </c>
      <c r="M11" t="s">
        <v>8</v>
      </c>
      <c r="N11" s="62" t="n">
        <v>27.29311636338472</v>
      </c>
      <c r="O11" s="62" t="n">
        <v>41.21297499195709</v>
      </c>
      <c r="W11" s="8"/>
    </row>
    <row r="12" spans="1:23" x14ac:dyDescent="0.25">
      <c r="A12">
        <v>1</v>
      </c>
      <c r="B12" s="58" t="n">
        <v>0.0</v>
      </c>
      <c r="C12" s="58" t="n">
        <v>0.0</v>
      </c>
      <c r="D12" s="58" t="n">
        <v>0.0</v>
      </c>
      <c r="E12" s="58">
        <f ref="E12:E75" si="0" t="shared">SUM(B12:D12)</f>
        <v>0</v>
      </c>
      <c r="F12" s="78">
        <f ref="F12:F75" si="1" t="shared">E12/SUM($E$11:$E$101)</f>
        <v>0</v>
      </c>
      <c r="G12">
        <v>1</v>
      </c>
      <c r="H12" s="68" t="n">
        <v>679.0</v>
      </c>
      <c r="I12" s="68" t="n">
        <v>124.0</v>
      </c>
      <c r="J12" s="68" t="n">
        <v>52.0</v>
      </c>
      <c r="K12" s="58">
        <f ref="K12:K75" si="2" t="shared">SUM(H12:J12)</f>
        <v>1000</v>
      </c>
      <c r="L12" s="78">
        <f ref="L12:L75" si="3" t="shared">K12/SUM($K$11:$K$101)</f>
        <v>1.549244278640879E-3</v>
      </c>
      <c r="M12" t="s">
        <v>9</v>
      </c>
      <c r="N12" s="62" t="n">
        <v>20.765979817665883</v>
      </c>
      <c r="O12" s="62" t="n">
        <v>36.93517344989604</v>
      </c>
      <c r="W12" s="8"/>
    </row>
    <row r="13" spans="1:23" x14ac:dyDescent="0.25">
      <c r="A13">
        <v>2</v>
      </c>
      <c r="B13" s="58" t="n">
        <v>252.5508735653372</v>
      </c>
      <c r="C13" s="58" t="n">
        <v>159.7426437683584</v>
      </c>
      <c r="D13" s="58" t="n">
        <v>0.0</v>
      </c>
      <c r="E13" s="58">
        <f si="0" t="shared"/>
        <v>412.2935173336956</v>
      </c>
      <c r="F13" s="78">
        <f si="1" t="shared"/>
        <v>7.3615735819985311E-4</v>
      </c>
      <c r="G13">
        <v>2</v>
      </c>
      <c r="H13" s="68" t="n">
        <v>1157.0</v>
      </c>
      <c r="I13" s="68" t="n">
        <v>224.0</v>
      </c>
      <c r="J13" s="68" t="n">
        <v>83.0</v>
      </c>
      <c r="K13" s="58">
        <f si="2" t="shared"/>
        <v>1573</v>
      </c>
      <c r="L13" s="78">
        <f si="3" t="shared"/>
        <v>2.4369612503021025E-3</v>
      </c>
      <c r="M13" s="6" t="s">
        <v>10</v>
      </c>
      <c r="N13" s="63" t="n">
        <v>18.32432234376076</v>
      </c>
      <c r="O13" s="63" t="n">
        <v>33.92576554999194</v>
      </c>
      <c r="W13" s="8"/>
    </row>
    <row ht="15.75" r="14" spans="1:23" thickBot="1" x14ac:dyDescent="0.3">
      <c r="A14">
        <v>3</v>
      </c>
      <c r="B14" s="58" t="n">
        <v>2866.1686431965168</v>
      </c>
      <c r="C14" s="58" t="n">
        <v>1452.750558321685</v>
      </c>
      <c r="D14" s="58" t="n">
        <v>312.6812993452849</v>
      </c>
      <c r="E14" s="58">
        <f si="0" t="shared"/>
        <v>4631.6005008634866</v>
      </c>
      <c r="F14" s="78">
        <f si="1" t="shared"/>
        <v>8.2698045096672793E-3</v>
      </c>
      <c r="G14">
        <v>3</v>
      </c>
      <c r="H14" s="68" t="n">
        <v>2272.0</v>
      </c>
      <c r="I14" s="68" t="n">
        <v>395.0</v>
      </c>
      <c r="J14" s="68" t="n">
        <v>185.0</v>
      </c>
      <c r="K14" s="58">
        <f si="2" t="shared"/>
        <v>3276</v>
      </c>
      <c r="L14" s="78">
        <f si="3" t="shared"/>
        <v>5.0753242568275193E-3</v>
      </c>
      <c r="M14" s="1" t="s">
        <v>3</v>
      </c>
      <c r="N14" s="64" t="n">
        <v>26.18532903892696</v>
      </c>
      <c r="O14" s="64" t="n">
        <v>40.45112589208242</v>
      </c>
      <c r="W14" s="8"/>
    </row>
    <row r="15" spans="1:23" x14ac:dyDescent="0.25">
      <c r="A15">
        <v>4</v>
      </c>
      <c r="B15" s="58" t="n">
        <v>6678.603972694752</v>
      </c>
      <c r="C15" s="58" t="n">
        <v>1136.6184717172878</v>
      </c>
      <c r="D15" s="58" t="n">
        <v>292.2391271501182</v>
      </c>
      <c r="E15" s="58">
        <f si="0" t="shared"/>
        <v>8107.4615715621585</v>
      </c>
      <c r="F15" s="78">
        <f si="1" t="shared"/>
        <v>1.4476015851099219E-2</v>
      </c>
      <c r="G15">
        <v>4</v>
      </c>
      <c r="H15" s="68" t="n">
        <v>4313.0</v>
      </c>
      <c r="I15" s="68" t="n">
        <v>733.0</v>
      </c>
      <c r="J15" s="68" t="n">
        <v>454.0</v>
      </c>
      <c r="K15" s="58">
        <f si="2" t="shared"/>
        <v>6120</v>
      </c>
      <c r="L15" s="78">
        <f si="3" t="shared"/>
        <v>9.4813749852821795E-3</v>
      </c>
      <c r="W15" s="8"/>
    </row>
    <row r="16" spans="1:23" x14ac:dyDescent="0.25">
      <c r="A16">
        <v>5</v>
      </c>
      <c r="B16" s="58" t="n">
        <v>6200.979088518484</v>
      </c>
      <c r="C16" s="58" t="n">
        <v>2606.337753250227</v>
      </c>
      <c r="D16" s="58" t="n">
        <v>3390.220158048879</v>
      </c>
      <c r="E16" s="58">
        <f si="0" t="shared"/>
        <v>12197.536999817588</v>
      </c>
      <c r="F16" s="78">
        <f si="1" t="shared"/>
        <v>2.1778917777800395E-2</v>
      </c>
      <c r="G16">
        <v>5</v>
      </c>
      <c r="H16" s="68" t="n">
        <v>6078.0</v>
      </c>
      <c r="I16" s="68" t="n">
        <v>1064.0</v>
      </c>
      <c r="J16" s="68" t="n">
        <v>510.0</v>
      </c>
      <c r="K16" s="58">
        <f si="2" t="shared"/>
        <v>9373</v>
      </c>
      <c r="L16" s="78">
        <f si="3" t="shared"/>
        <v>1.4521066623700958E-2</v>
      </c>
      <c r="W16" s="8"/>
    </row>
    <row r="17" spans="1:23" x14ac:dyDescent="0.25">
      <c r="A17">
        <v>6</v>
      </c>
      <c r="B17" s="58" t="n">
        <v>10401.39459016964</v>
      </c>
      <c r="C17" s="58" t="n">
        <v>2703.222176728498</v>
      </c>
      <c r="D17" s="58" t="n">
        <v>822.2242375431788</v>
      </c>
      <c r="E17" s="58">
        <f si="0" t="shared"/>
        <v>13926.841004441318</v>
      </c>
      <c r="F17" s="78">
        <f si="1" t="shared"/>
        <v>2.4866620625521568E-2</v>
      </c>
      <c r="G17">
        <v>6</v>
      </c>
      <c r="H17" s="68" t="n">
        <v>6810.0</v>
      </c>
      <c r="I17" s="68" t="n">
        <v>1198.0</v>
      </c>
      <c r="J17" s="68" t="n">
        <v>698.0</v>
      </c>
      <c r="K17" s="58">
        <f si="2" t="shared"/>
        <v>11693</v>
      </c>
      <c r="L17" s="78">
        <f si="3" t="shared"/>
        <v>1.8115313350147797E-2</v>
      </c>
      <c r="W17" s="8"/>
    </row>
    <row r="18" spans="1:23" x14ac:dyDescent="0.25">
      <c r="A18">
        <v>7</v>
      </c>
      <c r="B18" s="58" t="n">
        <v>11621.797330063524</v>
      </c>
      <c r="C18" s="58" t="n">
        <v>2215.229728038951</v>
      </c>
      <c r="D18" s="58" t="n">
        <v>925.8364607958166</v>
      </c>
      <c r="E18" s="58">
        <f si="0" t="shared"/>
        <v>14762.863518898292</v>
      </c>
      <c r="F18" s="78">
        <f si="1" t="shared"/>
        <v>2.6359353593088764E-2</v>
      </c>
      <c r="G18">
        <v>7</v>
      </c>
      <c r="H18" s="68" t="n">
        <v>7631.0</v>
      </c>
      <c r="I18" s="68" t="n">
        <v>1421.0</v>
      </c>
      <c r="J18" s="68" t="n">
        <v>698.0</v>
      </c>
      <c r="K18" s="58">
        <f si="2" t="shared"/>
        <v>13356</v>
      </c>
      <c r="L18" s="78">
        <f si="3" t="shared"/>
        <v>2.0691706585527578E-2</v>
      </c>
      <c r="W18" s="8"/>
    </row>
    <row r="19" spans="1:23" x14ac:dyDescent="0.25">
      <c r="A19">
        <v>8</v>
      </c>
      <c r="B19" s="58" t="n">
        <v>13872.031254129628</v>
      </c>
      <c r="C19" s="58" t="n">
        <v>2323.0037031406328</v>
      </c>
      <c r="D19" s="58" t="n">
        <v>896.7511807915429</v>
      </c>
      <c r="E19" s="58">
        <f si="0" t="shared"/>
        <v>17091.786138061805</v>
      </c>
      <c r="F19" s="78">
        <f si="1" t="shared"/>
        <v>3.0517686069094389E-2</v>
      </c>
      <c r="G19">
        <v>8</v>
      </c>
      <c r="H19" s="68" t="n">
        <v>8459.0</v>
      </c>
      <c r="I19" s="68" t="n">
        <v>1412.0</v>
      </c>
      <c r="J19" s="68" t="n">
        <v>692.0</v>
      </c>
      <c r="K19" s="58">
        <f si="2" t="shared"/>
        <v>14410</v>
      </c>
      <c r="L19" s="78">
        <f si="3" t="shared"/>
        <v>2.2324610055215067E-2</v>
      </c>
      <c r="W19" s="8"/>
    </row>
    <row r="20" spans="1:23" x14ac:dyDescent="0.25">
      <c r="A20">
        <v>9</v>
      </c>
      <c r="B20" s="58" t="n">
        <v>11810.54106931962</v>
      </c>
      <c r="C20" s="58" t="n">
        <v>1597.3899109057388</v>
      </c>
      <c r="D20" s="58" t="n">
        <v>585.1764203849502</v>
      </c>
      <c r="E20" s="58">
        <f si="0" t="shared"/>
        <v>13993.10740061031</v>
      </c>
      <c r="F20" s="78">
        <f si="1" t="shared"/>
        <v>2.4984940446450762E-2</v>
      </c>
      <c r="G20">
        <v>9</v>
      </c>
      <c r="H20" s="68" t="n">
        <v>10046.0</v>
      </c>
      <c r="I20" s="68" t="n">
        <v>1765.0</v>
      </c>
      <c r="J20" s="68" t="n">
        <v>903.0</v>
      </c>
      <c r="K20" s="58">
        <f si="2" t="shared"/>
        <v>15606</v>
      </c>
      <c r="L20" s="78">
        <f si="3" t="shared"/>
        <v>2.4177506212469557E-2</v>
      </c>
      <c r="W20" s="8"/>
    </row>
    <row r="21" spans="1:23" x14ac:dyDescent="0.25">
      <c r="A21">
        <v>10</v>
      </c>
      <c r="B21" s="58" t="n">
        <v>13040.728802960582</v>
      </c>
      <c r="C21" s="58" t="n">
        <v>2740.1886268993594</v>
      </c>
      <c r="D21" s="58" t="n">
        <v>1654.7163135473454</v>
      </c>
      <c r="E21" s="58">
        <f si="0" t="shared"/>
        <v>17435.633743407288</v>
      </c>
      <c r="F21" s="78">
        <f si="1" t="shared"/>
        <v>3.1131632042369555E-2</v>
      </c>
      <c r="G21">
        <v>10</v>
      </c>
      <c r="H21" s="68" t="n">
        <v>8045.0</v>
      </c>
      <c r="I21" s="68" t="n">
        <v>1597.0</v>
      </c>
      <c r="J21" s="68" t="n">
        <v>709.0</v>
      </c>
      <c r="K21" s="58">
        <f si="2" t="shared"/>
        <v>16935</v>
      </c>
      <c r="L21" s="78">
        <f si="3" t="shared"/>
        <v>2.6236451858783285E-2</v>
      </c>
      <c r="W21" s="8"/>
    </row>
    <row r="22" spans="1:23" x14ac:dyDescent="0.25">
      <c r="A22">
        <v>11</v>
      </c>
      <c r="B22" s="58" t="n">
        <v>14648.823472388562</v>
      </c>
      <c r="C22" s="58" t="n">
        <v>1257.59936892277</v>
      </c>
      <c r="D22" s="58" t="n">
        <v>2380.565528618811</v>
      </c>
      <c r="E22" s="58">
        <f si="0" t="shared"/>
        <v>18286.988369930143</v>
      </c>
      <c r="F22" s="78">
        <f si="1" t="shared"/>
        <v>3.2651740766866021E-2</v>
      </c>
      <c r="G22">
        <v>11</v>
      </c>
      <c r="H22" s="68" t="n">
        <v>8801.0</v>
      </c>
      <c r="I22" s="68" t="n">
        <v>1594.0</v>
      </c>
      <c r="J22" s="68" t="n">
        <v>845.0</v>
      </c>
      <c r="K22" s="58">
        <f si="2" t="shared"/>
        <v>17522</v>
      </c>
      <c r="L22" s="78">
        <f si="3" t="shared"/>
        <v>2.7145858250345482E-2</v>
      </c>
      <c r="W22" s="8"/>
    </row>
    <row r="23" spans="1:23" x14ac:dyDescent="0.25">
      <c r="A23">
        <v>12</v>
      </c>
      <c r="B23" s="58" t="n">
        <v>13188.049082548108</v>
      </c>
      <c r="C23" s="58" t="n">
        <v>1725.7316792869772</v>
      </c>
      <c r="D23" s="58" t="n">
        <v>3029.8192545117</v>
      </c>
      <c r="E23" s="58">
        <f si="0" t="shared"/>
        <v>17943.600016346783</v>
      </c>
      <c r="F23" s="78">
        <f si="1" t="shared"/>
        <v>3.2038614795724632E-2</v>
      </c>
      <c r="G23">
        <v>12</v>
      </c>
      <c r="H23" s="68" t="n">
        <v>8312.0</v>
      </c>
      <c r="I23" s="68" t="n">
        <v>1447.0</v>
      </c>
      <c r="J23" s="68" t="n">
        <v>861.0</v>
      </c>
      <c r="K23" s="58">
        <f si="2" t="shared"/>
        <v>18046</v>
      </c>
      <c r="L23" s="78">
        <f si="3" t="shared"/>
        <v>2.7957662252353303E-2</v>
      </c>
      <c r="W23" s="8"/>
    </row>
    <row r="24" spans="1:23" x14ac:dyDescent="0.25">
      <c r="A24">
        <v>13</v>
      </c>
      <c r="B24" s="58" t="n">
        <v>12227.171035080264</v>
      </c>
      <c r="C24" s="58" t="n">
        <v>2085.5721571805416</v>
      </c>
      <c r="D24" s="58" t="n">
        <v>1011.3960813909059</v>
      </c>
      <c r="E24" s="58">
        <f si="0" t="shared"/>
        <v>15324.13927365171</v>
      </c>
      <c r="F24" s="78">
        <f si="1" t="shared"/>
        <v>2.7361521367913335E-2</v>
      </c>
      <c r="G24">
        <v>13</v>
      </c>
      <c r="H24" s="68" t="n">
        <v>9528.0</v>
      </c>
      <c r="I24" s="68" t="n">
        <v>1641.0</v>
      </c>
      <c r="J24" s="68" t="n">
        <v>876.0</v>
      </c>
      <c r="K24" s="58">
        <f si="2" t="shared"/>
        <v>18960</v>
      </c>
      <c r="L24" s="78">
        <f si="3" t="shared"/>
        <v>2.9373671523031067E-2</v>
      </c>
      <c r="W24" s="8"/>
    </row>
    <row r="25" spans="1:23" x14ac:dyDescent="0.25">
      <c r="A25">
        <v>14</v>
      </c>
      <c r="B25" s="58" t="n">
        <v>10086.454729528712</v>
      </c>
      <c r="C25" s="58" t="n">
        <v>1972.0606708048606</v>
      </c>
      <c r="D25" s="58" t="n">
        <v>687.2685397774744</v>
      </c>
      <c r="E25" s="58">
        <f si="0" t="shared"/>
        <v>12745.783940111047</v>
      </c>
      <c r="F25" s="78">
        <f si="1" t="shared"/>
        <v>2.2757822374257896E-2</v>
      </c>
      <c r="G25">
        <v>14</v>
      </c>
      <c r="H25" s="68" t="n">
        <v>9385.0</v>
      </c>
      <c r="I25" s="68" t="n">
        <v>1584.0</v>
      </c>
      <c r="J25" s="68" t="n">
        <v>704.0</v>
      </c>
      <c r="K25" s="58">
        <f si="2" t="shared"/>
        <v>19459</v>
      </c>
      <c r="L25" s="78">
        <f si="3" t="shared"/>
        <v>3.0146744418072864E-2</v>
      </c>
      <c r="W25" s="8"/>
    </row>
    <row r="26" spans="1:23" x14ac:dyDescent="0.25">
      <c r="A26">
        <v>15</v>
      </c>
      <c r="B26" s="58" t="n">
        <v>12695.03648344059</v>
      </c>
      <c r="C26" s="58" t="n">
        <v>1247.2211981740427</v>
      </c>
      <c r="D26" s="58" t="n">
        <v>1248.6330801218598</v>
      </c>
      <c r="E26" s="58">
        <f si="0" t="shared"/>
        <v>15190.890761736491</v>
      </c>
      <c r="F26" s="78">
        <f si="1" t="shared"/>
        <v>2.7123603796106895E-2</v>
      </c>
      <c r="G26">
        <v>15</v>
      </c>
      <c r="H26" s="68" t="n">
        <v>9957.0</v>
      </c>
      <c r="I26" s="68" t="n">
        <v>1604.0</v>
      </c>
      <c r="J26" s="68" t="n">
        <v>965.0</v>
      </c>
      <c r="K26" s="58">
        <f si="2" t="shared"/>
        <v>20811</v>
      </c>
      <c r="L26" s="78">
        <f si="3" t="shared"/>
        <v>3.224132268279533E-2</v>
      </c>
      <c r="W26" s="8"/>
    </row>
    <row r="27" spans="1:23" x14ac:dyDescent="0.25">
      <c r="A27">
        <v>16</v>
      </c>
      <c r="B27" s="58" t="n">
        <v>15428.627877144772</v>
      </c>
      <c r="C27" s="58" t="n">
        <v>2694.92283925472</v>
      </c>
      <c r="D27" s="58" t="n">
        <v>333.94155986109547</v>
      </c>
      <c r="E27" s="58">
        <f si="0" t="shared"/>
        <v>18457.492276260586</v>
      </c>
      <c r="F27" s="78">
        <f si="1" t="shared"/>
        <v>3.2956178503502527E-2</v>
      </c>
      <c r="G27">
        <v>16</v>
      </c>
      <c r="H27" s="68" t="n">
        <v>10185.0</v>
      </c>
      <c r="I27" s="68" t="n">
        <v>1657.0</v>
      </c>
      <c r="J27" s="68" t="n">
        <v>801.0</v>
      </c>
      <c r="K27" s="58">
        <f si="2" t="shared"/>
        <v>21628</v>
      </c>
      <c r="L27" s="78">
        <f si="3" t="shared"/>
        <v>3.3507055258444933E-2</v>
      </c>
      <c r="W27" s="8"/>
    </row>
    <row r="28" spans="1:23" x14ac:dyDescent="0.25">
      <c r="A28">
        <v>17</v>
      </c>
      <c r="B28" s="58" t="n">
        <v>16030.823601011585</v>
      </c>
      <c r="C28" s="58" t="n">
        <v>1230.887068070851</v>
      </c>
      <c r="D28" s="58" t="n">
        <v>584.5406083828107</v>
      </c>
      <c r="E28" s="58">
        <f si="0" t="shared"/>
        <v>17846.251277465246</v>
      </c>
      <c r="F28" s="78">
        <f si="1" t="shared"/>
        <v>3.1864796902825003E-2</v>
      </c>
      <c r="G28">
        <v>17</v>
      </c>
      <c r="H28" s="68" t="n">
        <v>10377.0</v>
      </c>
      <c r="I28" s="68" t="n">
        <v>1566.0</v>
      </c>
      <c r="J28" s="68" t="n">
        <v>732.0</v>
      </c>
      <c r="K28" s="58">
        <f si="2" t="shared"/>
        <v>21747</v>
      </c>
      <c r="L28" s="78">
        <f si="3" t="shared"/>
        <v>3.3691415327603197E-2</v>
      </c>
      <c r="W28" s="8"/>
    </row>
    <row r="29" spans="1:23" x14ac:dyDescent="0.25">
      <c r="A29">
        <v>18</v>
      </c>
      <c r="B29" s="58" t="n">
        <v>12457.325482336732</v>
      </c>
      <c r="C29" s="58" t="n">
        <v>2059.0836902979536</v>
      </c>
      <c r="D29" s="58" t="n">
        <v>1771.5909664805797</v>
      </c>
      <c r="E29" s="58">
        <f si="0" t="shared"/>
        <v>16288.000139115265</v>
      </c>
      <c r="F29" s="78">
        <f si="1" t="shared"/>
        <v>2.9082511969416264E-2</v>
      </c>
      <c r="G29">
        <v>18</v>
      </c>
      <c r="H29" s="68" t="n">
        <v>10891.0</v>
      </c>
      <c r="I29" s="68" t="n">
        <v>1674.0</v>
      </c>
      <c r="J29" s="68" t="n">
        <v>709.0</v>
      </c>
      <c r="K29" s="58">
        <f si="2" t="shared"/>
        <v>21804</v>
      </c>
      <c r="L29" s="78">
        <f si="3" t="shared"/>
        <v>3.3779722251485726E-2</v>
      </c>
      <c r="W29" s="8"/>
    </row>
    <row r="30" spans="1:23" x14ac:dyDescent="0.25">
      <c r="A30">
        <v>19</v>
      </c>
      <c r="B30" s="58" t="n">
        <v>13228.529859367287</v>
      </c>
      <c r="C30" s="58" t="n">
        <v>1580.3494170770034</v>
      </c>
      <c r="D30" s="58" t="n">
        <v>66.4095707402952</v>
      </c>
      <c r="E30" s="58">
        <f si="0" t="shared"/>
        <v>14875.288847184585</v>
      </c>
      <c r="F30" s="78">
        <f si="1" t="shared"/>
        <v>2.6560091002692524E-2</v>
      </c>
      <c r="G30">
        <v>19</v>
      </c>
      <c r="H30" s="68" t="n">
        <v>10491.0</v>
      </c>
      <c r="I30" s="68" t="n">
        <v>1518.0</v>
      </c>
      <c r="J30" s="68" t="n">
        <v>678.0</v>
      </c>
      <c r="K30" s="58">
        <f si="2" t="shared"/>
        <v>21962</v>
      </c>
      <c r="L30" s="78">
        <f si="3" t="shared"/>
        <v>3.4024502847510983E-2</v>
      </c>
      <c r="W30" s="8"/>
    </row>
    <row r="31" spans="1:23" x14ac:dyDescent="0.25">
      <c r="A31">
        <v>20</v>
      </c>
      <c r="B31" s="58" t="n">
        <v>14763.846577160133</v>
      </c>
      <c r="C31" s="58" t="n">
        <v>546.5784075113197</v>
      </c>
      <c r="D31" s="58" t="n">
        <v>1034.0177619659535</v>
      </c>
      <c r="E31" s="58">
        <f si="0" t="shared"/>
        <v>16344.442746637405</v>
      </c>
      <c r="F31" s="78">
        <f si="1" t="shared"/>
        <v>2.9183291242183194E-2</v>
      </c>
      <c r="G31">
        <v>20</v>
      </c>
      <c r="H31" s="68" t="n">
        <v>11203.0</v>
      </c>
      <c r="I31" s="68" t="n">
        <v>1516.0</v>
      </c>
      <c r="J31" s="68" t="n">
        <v>686.0</v>
      </c>
      <c r="K31" s="58">
        <f si="2" t="shared"/>
        <v>22061</v>
      </c>
      <c r="L31" s="78">
        <f si="3" t="shared"/>
        <v>3.4177878031096433E-2</v>
      </c>
      <c r="W31" s="8"/>
    </row>
    <row r="32" spans="1:23" x14ac:dyDescent="0.25">
      <c r="A32">
        <v>21</v>
      </c>
      <c r="B32" s="58" t="n">
        <v>10450.901688560865</v>
      </c>
      <c r="C32" s="58" t="n">
        <v>1223.8446941922145</v>
      </c>
      <c r="D32" s="58" t="n">
        <v>269.7476774080282</v>
      </c>
      <c r="E32" s="58">
        <f si="0" t="shared"/>
        <v>11944.494060161107</v>
      </c>
      <c r="F32" s="78">
        <f si="1" t="shared"/>
        <v>2.1327105139141146E-2</v>
      </c>
      <c r="G32">
        <v>21</v>
      </c>
      <c r="H32" s="68" t="n">
        <v>12002.0</v>
      </c>
      <c r="I32" s="68" t="n">
        <v>1619.0</v>
      </c>
      <c r="J32" s="68" t="n">
        <v>629.0</v>
      </c>
      <c r="K32" s="58">
        <f si="2" t="shared"/>
        <v>22443</v>
      </c>
      <c r="L32" s="78">
        <f si="3" t="shared"/>
        <v>3.4769689345537244E-2</v>
      </c>
      <c r="W32" s="8"/>
    </row>
    <row r="33" spans="1:23" x14ac:dyDescent="0.25">
      <c r="A33">
        <v>22</v>
      </c>
      <c r="B33" s="58" t="n">
        <v>10519.820671302425</v>
      </c>
      <c r="C33" s="58" t="n">
        <v>2644.223211042807</v>
      </c>
      <c r="D33" s="58" t="n">
        <v>741.8888962459562</v>
      </c>
      <c r="E33" s="58">
        <f si="0" t="shared"/>
        <v>13905.932778591188</v>
      </c>
      <c r="F33" s="78">
        <f si="1" t="shared"/>
        <v>2.4829288618930693E-2</v>
      </c>
      <c r="G33">
        <v>22</v>
      </c>
      <c r="H33" s="68" t="n">
        <v>12509.0</v>
      </c>
      <c r="I33" s="68" t="n">
        <v>1815.0</v>
      </c>
      <c r="J33" s="68" t="n">
        <v>765.0</v>
      </c>
      <c r="K33" s="58">
        <f si="2" t="shared"/>
        <v>22513</v>
      </c>
      <c r="L33" s="78">
        <f si="3" t="shared"/>
        <v>3.4878136445042111E-2</v>
      </c>
      <c r="W33" s="8"/>
    </row>
    <row r="34" spans="1:23" x14ac:dyDescent="0.25">
      <c r="A34">
        <v>23</v>
      </c>
      <c r="B34" s="58" t="n">
        <v>9853.587869299845</v>
      </c>
      <c r="C34" s="58" t="n">
        <v>670.5940523470779</v>
      </c>
      <c r="D34" s="58" t="n">
        <v>77.7549175564256</v>
      </c>
      <c r="E34" s="58">
        <f si="0" t="shared"/>
        <v>10601.936839203348</v>
      </c>
      <c r="F34" s="78">
        <f si="1" t="shared"/>
        <v>1.8929945505383239E-2</v>
      </c>
      <c r="G34">
        <v>23</v>
      </c>
      <c r="H34" s="68" t="n">
        <v>10940.0</v>
      </c>
      <c r="I34" s="68" t="n">
        <v>1434.0</v>
      </c>
      <c r="J34" s="68" t="n">
        <v>615.0</v>
      </c>
      <c r="K34" s="58">
        <f si="2" t="shared"/>
        <v>21580</v>
      </c>
      <c r="L34" s="78">
        <f si="3" t="shared"/>
        <v>3.3432691533070172E-2</v>
      </c>
      <c r="W34" s="8"/>
    </row>
    <row r="35" spans="1:23" x14ac:dyDescent="0.25">
      <c r="A35">
        <v>24</v>
      </c>
      <c r="B35" s="58" t="n">
        <v>11223.529431422065</v>
      </c>
      <c r="C35" s="58" t="n">
        <v>535.7430132380684</v>
      </c>
      <c r="D35" s="58" t="n">
        <v>812.9660254358633</v>
      </c>
      <c r="E35" s="58">
        <f si="0" t="shared"/>
        <v>12572.238470095997</v>
      </c>
      <c r="F35" s="78">
        <f si="1" t="shared"/>
        <v>2.2447953871934514E-2</v>
      </c>
      <c r="G35">
        <v>24</v>
      </c>
      <c r="H35" s="68" t="n">
        <v>11053.0</v>
      </c>
      <c r="I35" s="68" t="n">
        <v>1536.0</v>
      </c>
      <c r="J35" s="68" t="n">
        <v>693.0</v>
      </c>
      <c r="K35" s="58">
        <f si="2" t="shared"/>
        <v>20419</v>
      </c>
      <c r="L35" s="78">
        <f si="3" t="shared"/>
        <v>3.1634018925568108E-2</v>
      </c>
      <c r="W35" s="8"/>
    </row>
    <row r="36" spans="1:23" x14ac:dyDescent="0.25">
      <c r="A36">
        <v>25</v>
      </c>
      <c r="B36" s="58" t="n">
        <v>12016.64882906279</v>
      </c>
      <c r="C36" s="58" t="n">
        <v>1558.7824413579172</v>
      </c>
      <c r="D36" s="58" t="n">
        <v>0.0</v>
      </c>
      <c r="E36" s="58">
        <f si="0" t="shared"/>
        <v>13575.431270420706</v>
      </c>
      <c r="F36" s="78">
        <f si="1" t="shared"/>
        <v>2.4239172337914974E-2</v>
      </c>
      <c r="G36">
        <v>25</v>
      </c>
      <c r="H36" s="68" t="n">
        <v>11703.0</v>
      </c>
      <c r="I36" s="68" t="n">
        <v>1510.0</v>
      </c>
      <c r="J36" s="68" t="n">
        <v>555.0</v>
      </c>
      <c r="K36" s="58">
        <f si="2" t="shared"/>
        <v>19473</v>
      </c>
      <c r="L36" s="78">
        <f si="3" t="shared"/>
        <v>3.0168433837973838E-2</v>
      </c>
      <c r="W36" s="8"/>
    </row>
    <row r="37" spans="1:23" x14ac:dyDescent="0.25">
      <c r="A37">
        <v>26</v>
      </c>
      <c r="B37" s="58" t="n">
        <v>11613.934864800762</v>
      </c>
      <c r="C37" s="58" t="n">
        <v>499.383338449233</v>
      </c>
      <c r="D37" s="58" t="n">
        <v>0.0</v>
      </c>
      <c r="E37" s="58">
        <f si="0" t="shared"/>
        <v>12113.318203249995</v>
      </c>
      <c r="F37" s="78">
        <f si="1" t="shared"/>
        <v>2.1628543628837506E-2</v>
      </c>
      <c r="G37">
        <v>26</v>
      </c>
      <c r="H37" s="68" t="n">
        <v>12155.0</v>
      </c>
      <c r="I37" s="68" t="n">
        <v>1564.0</v>
      </c>
      <c r="J37" s="68" t="n">
        <v>549.0</v>
      </c>
      <c r="K37" s="58">
        <f si="2" t="shared"/>
        <v>17841</v>
      </c>
      <c r="L37" s="78">
        <f si="3" t="shared"/>
        <v>2.7640067175231924E-2</v>
      </c>
      <c r="W37" s="8"/>
    </row>
    <row r="38" spans="1:23" x14ac:dyDescent="0.25">
      <c r="A38">
        <v>27</v>
      </c>
      <c r="B38" s="58" t="n">
        <v>9395.677285243526</v>
      </c>
      <c r="C38" s="58" t="n">
        <v>1111.9066425927313</v>
      </c>
      <c r="D38" s="58" t="n">
        <v>109.1965432100002</v>
      </c>
      <c r="E38" s="58">
        <f si="0" t="shared"/>
        <v>10616.780471046259</v>
      </c>
      <c r="F38" s="78">
        <f si="1" t="shared"/>
        <v>1.8956449072245592E-2</v>
      </c>
      <c r="G38">
        <v>27</v>
      </c>
      <c r="H38" s="68" t="n">
        <v>11130.0</v>
      </c>
      <c r="I38" s="68" t="n">
        <v>1279.0</v>
      </c>
      <c r="J38" s="68" t="n">
        <v>521.0</v>
      </c>
      <c r="K38" s="58">
        <f si="2" t="shared"/>
        <v>17153</v>
      </c>
      <c r="L38" s="78">
        <f si="3" t="shared"/>
        <v>2.6574187111526999E-2</v>
      </c>
      <c r="W38" s="8"/>
    </row>
    <row r="39" spans="1:23" x14ac:dyDescent="0.25">
      <c r="A39">
        <v>28</v>
      </c>
      <c r="B39" s="58" t="n">
        <v>7925.53935927549</v>
      </c>
      <c r="C39" s="58" t="n">
        <v>296.0703312732481</v>
      </c>
      <c r="D39" s="58" t="n">
        <v>391.5208483483534</v>
      </c>
      <c r="E39" s="58">
        <f si="0" t="shared"/>
        <v>8613.1305388970904</v>
      </c>
      <c r="F39" s="78">
        <f si="1" t="shared"/>
        <v>1.5378896724716361E-2</v>
      </c>
      <c r="G39">
        <v>28</v>
      </c>
      <c r="H39" s="68" t="n">
        <v>12493.0</v>
      </c>
      <c r="I39" s="68" t="n">
        <v>1529.0</v>
      </c>
      <c r="J39" s="68" t="n">
        <v>645.0</v>
      </c>
      <c r="K39" s="58">
        <f si="2" t="shared"/>
        <v>16238</v>
      </c>
      <c r="L39" s="78">
        <f si="3" t="shared"/>
        <v>2.5156628596570592E-2</v>
      </c>
      <c r="W39" s="8"/>
    </row>
    <row r="40" spans="1:23" x14ac:dyDescent="0.25">
      <c r="A40">
        <v>29</v>
      </c>
      <c r="B40" s="58" t="n">
        <v>9450.372492464907</v>
      </c>
      <c r="C40" s="58" t="n">
        <v>99.45285573871709</v>
      </c>
      <c r="D40" s="58" t="n">
        <v>2192.9876232713573</v>
      </c>
      <c r="E40" s="58">
        <f si="0" t="shared"/>
        <v>11742.812971474981</v>
      </c>
      <c r="F40" s="78">
        <f si="1" t="shared"/>
        <v>2.0966999992676077E-2</v>
      </c>
      <c r="G40">
        <v>29</v>
      </c>
      <c r="H40" s="68" t="n">
        <v>12695.0</v>
      </c>
      <c r="I40" s="68" t="n">
        <v>1560.0</v>
      </c>
      <c r="J40" s="68" t="n">
        <v>634.0</v>
      </c>
      <c r="K40" s="58">
        <f si="2" t="shared"/>
        <v>14828</v>
      </c>
      <c r="L40" s="78">
        <f si="3" t="shared"/>
        <v>2.2972194163686954E-2</v>
      </c>
      <c r="W40" s="8"/>
    </row>
    <row r="41" spans="1:23" x14ac:dyDescent="0.25">
      <c r="A41">
        <v>30</v>
      </c>
      <c r="B41" s="58" t="n">
        <v>9276.476940380951</v>
      </c>
      <c r="C41" s="58" t="n">
        <v>2114.7621324092806</v>
      </c>
      <c r="D41" s="58" t="n">
        <v>90.7415219466624</v>
      </c>
      <c r="E41" s="58">
        <f si="0" t="shared"/>
        <v>11481.980594736893</v>
      </c>
      <c r="F41" s="78">
        <f si="1" t="shared"/>
        <v>2.0501279176510318E-2</v>
      </c>
      <c r="G41">
        <v>30</v>
      </c>
      <c r="H41" s="68" t="n">
        <v>12268.0</v>
      </c>
      <c r="I41" s="68" t="n">
        <v>1482.0</v>
      </c>
      <c r="J41" s="68" t="n">
        <v>532.0</v>
      </c>
      <c r="K41" s="58">
        <f si="2" t="shared"/>
        <v>13974</v>
      </c>
      <c r="L41" s="78">
        <f si="3" t="shared"/>
        <v>2.1649139549727643E-2</v>
      </c>
      <c r="W41" s="8"/>
    </row>
    <row r="42" spans="1:23" x14ac:dyDescent="0.25">
      <c r="A42">
        <v>31</v>
      </c>
      <c r="B42" s="58" t="n">
        <v>9914.727982279444</v>
      </c>
      <c r="C42" s="58" t="n">
        <v>702.503362504366</v>
      </c>
      <c r="D42" s="58" t="n">
        <v>68.9004302318935</v>
      </c>
      <c r="E42" s="58">
        <f si="0" t="shared"/>
        <v>10686.131775015703</v>
      </c>
      <c r="F42" s="78">
        <f si="1" t="shared"/>
        <v>1.9080277050546157E-2</v>
      </c>
      <c r="G42">
        <v>31</v>
      </c>
      <c r="H42" s="68" t="n">
        <v>12298.0</v>
      </c>
      <c r="I42" s="68" t="n">
        <v>1506.0</v>
      </c>
      <c r="J42" s="68" t="n">
        <v>528.0</v>
      </c>
      <c r="K42" s="58">
        <f si="2" t="shared"/>
        <v>13337</v>
      </c>
      <c r="L42" s="78">
        <f si="3" t="shared"/>
        <v>2.0662270944233403E-2</v>
      </c>
      <c r="W42" s="8"/>
    </row>
    <row r="43" spans="1:23" x14ac:dyDescent="0.25">
      <c r="A43">
        <v>32</v>
      </c>
      <c r="B43" s="58" t="n">
        <v>4976.5455856229555</v>
      </c>
      <c r="C43" s="58" t="n">
        <v>519.3513274381611</v>
      </c>
      <c r="D43" s="58" t="n">
        <v>424.497314053641</v>
      </c>
      <c r="E43" s="58">
        <f si="0" t="shared"/>
        <v>5920.394227114758</v>
      </c>
      <c r="F43" s="78">
        <f si="1" t="shared"/>
        <v>1.0570968473916061E-2</v>
      </c>
      <c r="G43">
        <v>32</v>
      </c>
      <c r="H43" s="68" t="n">
        <v>12715.0</v>
      </c>
      <c r="I43" s="68" t="n">
        <v>1502.0</v>
      </c>
      <c r="J43" s="68" t="n">
        <v>569.0</v>
      </c>
      <c r="K43" s="58">
        <f si="2" t="shared"/>
        <v>12259</v>
      </c>
      <c r="L43" s="78">
        <f si="3" t="shared"/>
        <v>1.8992185611858534E-2</v>
      </c>
      <c r="W43" s="8"/>
    </row>
    <row r="44" spans="1:23" x14ac:dyDescent="0.25">
      <c r="A44">
        <v>33</v>
      </c>
      <c r="B44" s="58" t="n">
        <v>10906.816183028539</v>
      </c>
      <c r="C44" s="58" t="n">
        <v>332.6811183904161</v>
      </c>
      <c r="D44" s="58" t="n">
        <v>304.0118479810663</v>
      </c>
      <c r="E44" s="58">
        <f si="0" t="shared"/>
        <v>11543.509149400021</v>
      </c>
      <c r="F44" s="78">
        <f si="1" t="shared"/>
        <v>2.0611139497738708E-2</v>
      </c>
      <c r="G44">
        <v>33</v>
      </c>
      <c r="H44" s="68" t="n">
        <v>12695.0</v>
      </c>
      <c r="I44" s="68" t="n">
        <v>1542.0</v>
      </c>
      <c r="J44" s="68" t="n">
        <v>578.0</v>
      </c>
      <c r="K44" s="58">
        <f si="2" t="shared"/>
        <v>11264</v>
      </c>
      <c r="L44" s="78">
        <f si="3" t="shared"/>
        <v>1.745068755461086E-2</v>
      </c>
      <c r="W44" s="8"/>
    </row>
    <row r="45" spans="1:23" x14ac:dyDescent="0.25">
      <c r="A45">
        <v>34</v>
      </c>
      <c r="B45" s="58" t="n">
        <v>6833.409911951239</v>
      </c>
      <c r="C45" s="58" t="n">
        <v>665.295789785158</v>
      </c>
      <c r="D45" s="58" t="n">
        <v>0.0</v>
      </c>
      <c r="E45" s="58">
        <f si="0" t="shared"/>
        <v>7498.7057017363977</v>
      </c>
      <c r="F45" s="78">
        <f si="1" t="shared"/>
        <v>1.3389071492095686E-2</v>
      </c>
      <c r="G45">
        <v>34</v>
      </c>
      <c r="H45" s="68" t="n">
        <v>12242.0</v>
      </c>
      <c r="I45" s="68" t="n">
        <v>1490.0</v>
      </c>
      <c r="J45" s="68" t="n">
        <v>507.0</v>
      </c>
      <c r="K45" s="58">
        <f si="2" t="shared"/>
        <v>10870</v>
      </c>
      <c r="L45" s="78">
        <f si="3" t="shared"/>
        <v>1.6840285308826353E-2</v>
      </c>
      <c r="W45" s="8"/>
    </row>
    <row r="46" spans="1:23" x14ac:dyDescent="0.25">
      <c r="A46">
        <v>35</v>
      </c>
      <c r="B46" s="58" t="n">
        <v>4828.893466360076</v>
      </c>
      <c r="C46" s="58" t="n">
        <v>83.55514635600329</v>
      </c>
      <c r="D46" s="58" t="n">
        <v>0.0</v>
      </c>
      <c r="E46" s="58">
        <f si="0" t="shared"/>
        <v>4912.448612716079</v>
      </c>
      <c r="F46" s="78">
        <f si="1" t="shared"/>
        <v>8.7712637744499621E-3</v>
      </c>
      <c r="G46">
        <v>35</v>
      </c>
      <c r="H46" s="68" t="n">
        <v>13334.0</v>
      </c>
      <c r="I46" s="68" t="n">
        <v>1623.0</v>
      </c>
      <c r="J46" s="68" t="n">
        <v>600.0</v>
      </c>
      <c r="K46" s="58">
        <f si="2" t="shared"/>
        <v>10128</v>
      </c>
      <c r="L46" s="78">
        <f si="3" t="shared"/>
        <v>1.5690746054074823E-2</v>
      </c>
      <c r="W46" s="8"/>
    </row>
    <row r="47" spans="1:23" x14ac:dyDescent="0.25">
      <c r="A47">
        <v>36</v>
      </c>
      <c r="B47" s="58" t="n">
        <v>6043.055320076955</v>
      </c>
      <c r="C47" s="58" t="n">
        <v>468.0671778479081</v>
      </c>
      <c r="D47" s="58" t="n">
        <v>0.0</v>
      </c>
      <c r="E47" s="58">
        <f si="0" t="shared"/>
        <v>6511.1224979248627</v>
      </c>
      <c r="F47" s="78">
        <f si="1" t="shared"/>
        <v>1.1625724236426794E-2</v>
      </c>
      <c r="G47">
        <v>36</v>
      </c>
      <c r="H47" s="68" t="n">
        <v>11714.0</v>
      </c>
      <c r="I47" s="68" t="n">
        <v>1370.0</v>
      </c>
      <c r="J47" s="68" t="n">
        <v>449.0</v>
      </c>
      <c r="K47" s="58">
        <f si="2" t="shared"/>
        <v>9470</v>
      </c>
      <c r="L47" s="78">
        <f si="3" t="shared"/>
        <v>1.4671343318729125E-2</v>
      </c>
      <c r="W47" s="8"/>
    </row>
    <row r="48" spans="1:23" x14ac:dyDescent="0.25">
      <c r="A48">
        <v>37</v>
      </c>
      <c r="B48" s="58" t="n">
        <v>6204.314640488034</v>
      </c>
      <c r="C48" s="58" t="n">
        <v>710.6765502022143</v>
      </c>
      <c r="D48" s="58" t="n">
        <v>72.7119862341665</v>
      </c>
      <c r="E48" s="58">
        <f si="0" t="shared"/>
        <v>6987.7031769244149</v>
      </c>
      <c r="F48" s="78">
        <f si="1" t="shared"/>
        <v>1.2476667457388103E-2</v>
      </c>
      <c r="G48">
        <v>37</v>
      </c>
      <c r="H48" s="68" t="n">
        <v>11217.0</v>
      </c>
      <c r="I48" s="68" t="n">
        <v>1275.0</v>
      </c>
      <c r="J48" s="68" t="n">
        <v>412.0</v>
      </c>
      <c r="K48" s="58">
        <f si="2" t="shared"/>
        <v>8652</v>
      </c>
      <c r="L48" s="78">
        <f si="3" t="shared"/>
        <v>1.3404061498800884E-2</v>
      </c>
      <c r="W48" s="8"/>
    </row>
    <row r="49" spans="1:23" x14ac:dyDescent="0.25">
      <c r="A49">
        <v>38</v>
      </c>
      <c r="B49" s="58" t="n">
        <v>5460.086128784952</v>
      </c>
      <c r="C49" s="58" t="n">
        <v>704.3754898907956</v>
      </c>
      <c r="D49" s="58" t="n">
        <v>369.3491232492935</v>
      </c>
      <c r="E49" s="58">
        <f si="0" t="shared"/>
        <v>6533.8107419250409</v>
      </c>
      <c r="F49" s="78">
        <f si="1" t="shared"/>
        <v>1.1666234496867893E-2</v>
      </c>
      <c r="G49">
        <v>38</v>
      </c>
      <c r="H49" s="68" t="n">
        <v>10981.0</v>
      </c>
      <c r="I49" s="68" t="n">
        <v>1243.0</v>
      </c>
      <c r="J49" s="68" t="n">
        <v>407.0</v>
      </c>
      <c r="K49" s="58">
        <f si="2" t="shared"/>
        <v>8175</v>
      </c>
      <c r="L49" s="78">
        <f si="3" t="shared"/>
        <v>1.2665071977889186E-2</v>
      </c>
      <c r="W49" s="8"/>
    </row>
    <row r="50" spans="1:23" x14ac:dyDescent="0.25">
      <c r="A50">
        <v>39</v>
      </c>
      <c r="B50" s="58" t="n">
        <v>8159.230200076769</v>
      </c>
      <c r="C50" s="58" t="n">
        <v>726.7931331818486</v>
      </c>
      <c r="D50" s="58" t="n">
        <v>0.0</v>
      </c>
      <c r="E50" s="58">
        <f si="0" t="shared"/>
        <v>8886.0233332586176</v>
      </c>
      <c r="F50" s="78">
        <f si="1" t="shared"/>
        <v>1.5866151629591235E-2</v>
      </c>
      <c r="G50">
        <v>39</v>
      </c>
      <c r="H50" s="68" t="n">
        <v>10940.0</v>
      </c>
      <c r="I50" s="68" t="n">
        <v>1225.0</v>
      </c>
      <c r="J50" s="68" t="n">
        <v>402.0</v>
      </c>
      <c r="K50" s="58">
        <f si="2" t="shared"/>
        <v>7625</v>
      </c>
      <c r="L50" s="78">
        <f si="3" t="shared"/>
        <v>1.1812987624636702E-2</v>
      </c>
      <c r="W50" s="8"/>
    </row>
    <row r="51" spans="1:23" x14ac:dyDescent="0.25">
      <c r="A51">
        <v>40</v>
      </c>
      <c r="B51" s="58" t="n">
        <v>5788.80365933905</v>
      </c>
      <c r="C51" s="58" t="n">
        <v>328.95772646429214</v>
      </c>
      <c r="D51" s="58" t="n">
        <v>167.297675625087</v>
      </c>
      <c r="E51" s="58">
        <f si="0" t="shared"/>
        <v>6285.0590614284292</v>
      </c>
      <c r="F51" s="78">
        <f si="1" t="shared"/>
        <v>1.1222083977241972E-2</v>
      </c>
      <c r="G51">
        <v>40</v>
      </c>
      <c r="H51" s="68" t="n">
        <v>10725.0</v>
      </c>
      <c r="I51" s="68" t="n">
        <v>1217.0</v>
      </c>
      <c r="J51" s="68" t="n">
        <v>413.0</v>
      </c>
      <c r="K51" s="58">
        <f si="2" t="shared"/>
        <v>7199</v>
      </c>
      <c r="L51" s="78">
        <f si="3" t="shared"/>
        <v>1.1153009561935687E-2</v>
      </c>
      <c r="W51" s="8"/>
    </row>
    <row r="52" spans="1:23" x14ac:dyDescent="0.25">
      <c r="A52">
        <v>41</v>
      </c>
      <c r="B52" s="58" t="n">
        <v>7477.005497133496</v>
      </c>
      <c r="C52" s="58" t="n">
        <v>196.47285162202633</v>
      </c>
      <c r="D52" s="58" t="n">
        <v>67.5275161034971</v>
      </c>
      <c r="E52" s="58">
        <f si="0" t="shared"/>
        <v>7741.0058648590193</v>
      </c>
      <c r="F52" s="78">
        <f si="1" t="shared"/>
        <v>1.3821702713486867E-2</v>
      </c>
      <c r="G52">
        <v>41</v>
      </c>
      <c r="H52" s="68" t="n">
        <v>9032.0</v>
      </c>
      <c r="I52" s="68" t="n">
        <v>1049.0</v>
      </c>
      <c r="J52" s="68" t="n">
        <v>340.0</v>
      </c>
      <c r="K52" s="58">
        <f si="2" t="shared"/>
        <v>6905</v>
      </c>
      <c r="L52" s="78">
        <f si="3" t="shared"/>
        <v>1.0697531744015269E-2</v>
      </c>
      <c r="W52" s="8"/>
    </row>
    <row r="53" spans="1:23" x14ac:dyDescent="0.25">
      <c r="A53">
        <v>42</v>
      </c>
      <c r="B53" s="58" t="n">
        <v>5928.587479990552</v>
      </c>
      <c r="C53" s="58" t="n">
        <v>451.7638319477431</v>
      </c>
      <c r="D53" s="58" t="n">
        <v>288.16258749818</v>
      </c>
      <c r="E53" s="58">
        <f si="0" t="shared"/>
        <v>6668.5138994364752</v>
      </c>
      <c r="F53" s="78">
        <f si="1" t="shared"/>
        <v>1.1906749364082109E-2</v>
      </c>
      <c r="G53">
        <v>42</v>
      </c>
      <c r="H53" s="68" t="n">
        <v>10766.0</v>
      </c>
      <c r="I53" s="68" t="n">
        <v>1204.0</v>
      </c>
      <c r="J53" s="68" t="n">
        <v>413.0</v>
      </c>
      <c r="K53" s="58">
        <f si="2" t="shared"/>
        <v>6578</v>
      </c>
      <c r="L53" s="78">
        <f si="3" t="shared"/>
        <v>1.0190928864899702E-2</v>
      </c>
      <c r="W53" s="8"/>
    </row>
    <row r="54" spans="1:23" x14ac:dyDescent="0.25">
      <c r="A54">
        <v>43</v>
      </c>
      <c r="B54" s="58" t="n">
        <v>5908.881824160367</v>
      </c>
      <c r="C54" s="58" t="n">
        <v>729.07763197696</v>
      </c>
      <c r="D54" s="58" t="n">
        <v>0.0</v>
      </c>
      <c r="E54" s="58">
        <f si="0" t="shared"/>
        <v>6637.9594561373269</v>
      </c>
      <c r="F54" s="78">
        <f si="1" t="shared"/>
        <v>1.1852193865839427E-2</v>
      </c>
      <c r="G54">
        <v>43</v>
      </c>
      <c r="H54" s="68" t="n">
        <v>10361.0</v>
      </c>
      <c r="I54" s="68" t="n">
        <v>1167.0</v>
      </c>
      <c r="J54" s="68" t="n">
        <v>365.0</v>
      </c>
      <c r="K54" s="58">
        <f si="2" t="shared"/>
        <v>5851</v>
      </c>
      <c r="L54" s="78">
        <f si="3" t="shared"/>
        <v>9.0646282743277826E-3</v>
      </c>
      <c r="W54" s="8"/>
    </row>
    <row r="55" spans="1:23" x14ac:dyDescent="0.25">
      <c r="A55">
        <v>44</v>
      </c>
      <c r="B55" s="58" t="n">
        <v>4884.425004669977</v>
      </c>
      <c r="C55" s="58" t="n">
        <v>403.9284840272306</v>
      </c>
      <c r="D55" s="58" t="n">
        <v>132.8642450686111</v>
      </c>
      <c r="E55" s="58">
        <f si="0" t="shared"/>
        <v>5421.2177337658186</v>
      </c>
      <c r="F55" s="78">
        <f si="1" t="shared"/>
        <v>9.6796800272878729E-3</v>
      </c>
      <c r="G55">
        <v>44</v>
      </c>
      <c r="H55" s="68" t="n">
        <v>9809.0</v>
      </c>
      <c r="I55" s="68" t="n">
        <v>1096.0</v>
      </c>
      <c r="J55" s="68" t="n">
        <v>391.0</v>
      </c>
      <c r="K55" s="58">
        <f si="2" t="shared"/>
        <v>4979</v>
      </c>
      <c r="L55" s="78">
        <f si="3" t="shared"/>
        <v>7.7136872633529361E-3</v>
      </c>
      <c r="W55" s="8"/>
    </row>
    <row r="56" spans="1:23" x14ac:dyDescent="0.25">
      <c r="A56">
        <v>45</v>
      </c>
      <c r="B56" s="58" t="n">
        <v>5454.020317867219</v>
      </c>
      <c r="C56" s="58" t="n">
        <v>181.14949949081029</v>
      </c>
      <c r="D56" s="58" t="n">
        <v>83.4083832237069</v>
      </c>
      <c r="E56" s="58">
        <f si="0" t="shared"/>
        <v>5718.5782005817364</v>
      </c>
      <c r="F56" s="78">
        <f si="1" t="shared"/>
        <v>1.0210622393541738E-2</v>
      </c>
      <c r="G56">
        <v>45</v>
      </c>
      <c r="H56" s="68" t="n">
        <v>10192.0</v>
      </c>
      <c r="I56" s="68" t="n">
        <v>1042.0</v>
      </c>
      <c r="J56" s="68" t="n">
        <v>454.0</v>
      </c>
      <c r="K56" s="58">
        <f si="2" t="shared"/>
        <v>4498</v>
      </c>
      <c r="L56" s="78">
        <f si="3" t="shared"/>
        <v>6.9685007653266734E-3</v>
      </c>
      <c r="W56" s="8"/>
    </row>
    <row r="57" spans="1:23" x14ac:dyDescent="0.25">
      <c r="A57">
        <v>46</v>
      </c>
      <c r="B57" s="58" t="n">
        <v>5039.935880220469</v>
      </c>
      <c r="C57" s="58" t="n">
        <v>146.1664604948955</v>
      </c>
      <c r="D57" s="58" t="n">
        <v>0.0</v>
      </c>
      <c r="E57" s="58">
        <f si="0" t="shared"/>
        <v>5186.1023407153643</v>
      </c>
      <c r="F57" s="78">
        <f si="1" t="shared"/>
        <v>9.259877339776644E-3</v>
      </c>
      <c r="G57">
        <v>46</v>
      </c>
      <c r="H57" s="68" t="n">
        <v>9294.0</v>
      </c>
      <c r="I57" s="68" t="n">
        <v>1025.0</v>
      </c>
      <c r="J57" s="68" t="n">
        <v>346.0</v>
      </c>
      <c r="K57" s="58">
        <f si="2" t="shared"/>
        <v>4103</v>
      </c>
      <c r="L57" s="78">
        <f si="3" t="shared"/>
        <v>6.3565492752635268E-3</v>
      </c>
      <c r="W57" s="8"/>
    </row>
    <row r="58" spans="1:23" x14ac:dyDescent="0.25">
      <c r="A58">
        <v>47</v>
      </c>
      <c r="B58" s="58" t="n">
        <v>4308.083885096979</v>
      </c>
      <c r="C58" s="58" t="n">
        <v>151.2489766757456</v>
      </c>
      <c r="D58" s="58" t="n">
        <v>0.0</v>
      </c>
      <c r="E58" s="58">
        <f si="0" t="shared"/>
        <v>4459.3328617727248</v>
      </c>
      <c r="F58" s="78">
        <f si="1" t="shared"/>
        <v>7.9622175970315897E-3</v>
      </c>
      <c r="G58">
        <v>47</v>
      </c>
      <c r="H58" s="68" t="n">
        <v>8962.0</v>
      </c>
      <c r="I58" s="68" t="n">
        <v>988.0</v>
      </c>
      <c r="J58" s="68" t="n">
        <v>374.0</v>
      </c>
      <c r="K58" s="58">
        <f si="2" t="shared"/>
        <v>3697</v>
      </c>
      <c r="L58" s="78">
        <f si="3" t="shared"/>
        <v>5.7275560981353297E-3</v>
      </c>
      <c r="W58" s="8"/>
    </row>
    <row r="59" spans="1:23" x14ac:dyDescent="0.25">
      <c r="A59">
        <v>48</v>
      </c>
      <c r="B59" s="58" t="n">
        <v>2125.197731077647</v>
      </c>
      <c r="C59" s="58" t="n">
        <v>431.5497604053774</v>
      </c>
      <c r="D59" s="58" t="n">
        <v>495.102892725069</v>
      </c>
      <c r="E59" s="58">
        <f si="0" t="shared"/>
        <v>3051.8503842080936</v>
      </c>
      <c r="F59" s="78">
        <f si="1" t="shared"/>
        <v>5.4491327707233512E-3</v>
      </c>
      <c r="G59">
        <v>48</v>
      </c>
      <c r="H59" s="68" t="n">
        <v>9817.0</v>
      </c>
      <c r="I59" s="68" t="n">
        <v>1074.0</v>
      </c>
      <c r="J59" s="68" t="n">
        <v>359.0</v>
      </c>
      <c r="K59" s="58">
        <f si="2" t="shared"/>
        <v>3232</v>
      </c>
      <c r="L59" s="78">
        <f si="3" t="shared"/>
        <v>5.007157508567321E-3</v>
      </c>
      <c r="W59" s="8"/>
    </row>
    <row r="60" spans="1:23" x14ac:dyDescent="0.25">
      <c r="A60">
        <v>49</v>
      </c>
      <c r="B60" s="58" t="n">
        <v>3204.5644941691044</v>
      </c>
      <c r="C60" s="58" t="n">
        <v>318.9311246472916</v>
      </c>
      <c r="D60" s="58" t="n">
        <v>0.0</v>
      </c>
      <c r="E60" s="58">
        <f si="0" t="shared"/>
        <v>3523.495618816396</v>
      </c>
      <c r="F60" s="78">
        <f si="1" t="shared"/>
        <v>6.291263668541428E-3</v>
      </c>
      <c r="G60">
        <v>49</v>
      </c>
      <c r="H60" s="68" t="n">
        <v>8798.0</v>
      </c>
      <c r="I60" s="68" t="n">
        <v>983.0</v>
      </c>
      <c r="J60" s="68" t="n">
        <v>360.0</v>
      </c>
      <c r="K60" s="58">
        <f si="2" t="shared"/>
        <v>2860</v>
      </c>
      <c r="L60" s="78">
        <f si="3" t="shared"/>
        <v>4.4308386369129142E-3</v>
      </c>
      <c r="W60" s="8"/>
    </row>
    <row r="61" spans="1:23" x14ac:dyDescent="0.25">
      <c r="A61">
        <v>50</v>
      </c>
      <c r="B61" s="58" t="n">
        <v>4332.753134626355</v>
      </c>
      <c r="C61" s="58" t="n">
        <v>401.8767888213374</v>
      </c>
      <c r="D61" s="58" t="n">
        <v>36.2890671170556</v>
      </c>
      <c r="E61" s="58">
        <f si="0" t="shared"/>
        <v>4770.9189905647472</v>
      </c>
      <c r="F61" s="78">
        <f si="1" t="shared"/>
        <v>8.5185601340344343E-3</v>
      </c>
      <c r="G61">
        <v>50</v>
      </c>
      <c r="H61" s="68" t="n">
        <v>9694.0</v>
      </c>
      <c r="I61" s="68" t="n">
        <v>1112.0</v>
      </c>
      <c r="J61" s="68" t="n">
        <v>362.0</v>
      </c>
      <c r="K61" s="58">
        <f si="2" t="shared"/>
        <v>2444</v>
      </c>
      <c r="L61" s="78">
        <f si="3" t="shared"/>
        <v>3.7863530169983083E-3</v>
      </c>
      <c r="W61" s="8"/>
    </row>
    <row r="62" spans="1:23" x14ac:dyDescent="0.25">
      <c r="A62">
        <v>51</v>
      </c>
      <c r="B62" s="58" t="n">
        <v>2667.7209520053643</v>
      </c>
      <c r="C62" s="58" t="n">
        <v>227.3136163591114</v>
      </c>
      <c r="D62" s="58" t="n">
        <v>0.0</v>
      </c>
      <c r="E62" s="58">
        <f si="0" t="shared"/>
        <v>2895.0345683644755</v>
      </c>
      <c r="F62" s="78">
        <f si="1" t="shared"/>
        <v>5.169135361445731E-3</v>
      </c>
      <c r="G62">
        <v>51</v>
      </c>
      <c r="H62" s="68" t="n">
        <v>8792.0</v>
      </c>
      <c r="I62" s="68" t="n">
        <v>996.0</v>
      </c>
      <c r="J62" s="68" t="n">
        <v>384.0</v>
      </c>
      <c r="K62" s="58">
        <f si="2" t="shared"/>
        <v>2144</v>
      </c>
      <c r="L62" s="78">
        <f si="3" t="shared"/>
        <v>3.3215797334060445E-3</v>
      </c>
      <c r="W62" s="8"/>
    </row>
    <row r="63" spans="1:23" x14ac:dyDescent="0.25">
      <c r="A63">
        <v>52</v>
      </c>
      <c r="B63" s="58" t="n">
        <v>2008.056562394309</v>
      </c>
      <c r="C63" s="58" t="n">
        <v>414.2806618258614</v>
      </c>
      <c r="D63" s="58" t="n">
        <v>0.0</v>
      </c>
      <c r="E63" s="58">
        <f si="0" t="shared"/>
        <v>2422.3372242201704</v>
      </c>
      <c r="F63" s="78">
        <f si="1" t="shared"/>
        <v>4.3251259034660259E-3</v>
      </c>
      <c r="G63">
        <v>52</v>
      </c>
      <c r="H63" s="68" t="n">
        <v>9926.0</v>
      </c>
      <c r="I63" s="68" t="n">
        <v>1085.0</v>
      </c>
      <c r="J63" s="68" t="n">
        <v>386.0</v>
      </c>
      <c r="K63" s="58">
        <f si="2" t="shared"/>
        <v>1794</v>
      </c>
      <c r="L63" s="78">
        <f si="3" t="shared"/>
        <v>2.7793442358817369E-3</v>
      </c>
      <c r="W63" s="8"/>
    </row>
    <row r="64" spans="1:23" x14ac:dyDescent="0.25">
      <c r="A64">
        <v>53</v>
      </c>
      <c r="B64" s="58" t="n">
        <v>1786.4316615951482</v>
      </c>
      <c r="C64" s="58" t="n">
        <v>0.0</v>
      </c>
      <c r="D64" s="58" t="n">
        <v>77.7549175564256</v>
      </c>
      <c r="E64" s="58">
        <f si="0" t="shared"/>
        <v>1864.1865791515738</v>
      </c>
      <c r="F64" s="78">
        <f si="1" t="shared"/>
        <v>3.3285380671875214E-3</v>
      </c>
      <c r="G64">
        <v>53</v>
      </c>
      <c r="H64" s="68" t="n">
        <v>9859.0</v>
      </c>
      <c r="I64" s="68" t="n">
        <v>1086.0</v>
      </c>
      <c r="J64" s="68" t="n">
        <v>400.0</v>
      </c>
      <c r="K64" s="58">
        <f si="2" t="shared"/>
        <v>1524</v>
      </c>
      <c r="L64" s="78">
        <f si="3" t="shared"/>
        <v>2.3610482806486997E-3</v>
      </c>
      <c r="W64" s="8"/>
    </row>
    <row r="65" spans="1:23" x14ac:dyDescent="0.25">
      <c r="A65">
        <v>54</v>
      </c>
      <c r="B65" s="58" t="n">
        <v>2025.8417050204662</v>
      </c>
      <c r="C65" s="58" t="n">
        <v>22.4182535963548</v>
      </c>
      <c r="D65" s="58" t="n">
        <v>0.0</v>
      </c>
      <c r="E65" s="58">
        <f si="0" t="shared"/>
        <v>2048.2599586168208</v>
      </c>
      <c r="F65" s="78">
        <f si="1" t="shared"/>
        <v>3.6572043378055499E-3</v>
      </c>
      <c r="G65">
        <v>54</v>
      </c>
      <c r="H65" s="68" t="n">
        <v>8317.0</v>
      </c>
      <c r="I65" s="68" t="n">
        <v>846.0</v>
      </c>
      <c r="J65" s="68" t="n">
        <v>330.0</v>
      </c>
      <c r="K65" s="58">
        <f si="2" t="shared"/>
        <v>1324</v>
      </c>
      <c r="L65" s="78">
        <f si="3" t="shared"/>
        <v>2.0511994249205238E-3</v>
      </c>
      <c r="W65" s="8"/>
    </row>
    <row r="66" spans="1:23" x14ac:dyDescent="0.25">
      <c r="A66">
        <v>55</v>
      </c>
      <c r="B66" s="58" t="n">
        <v>2265.3423875957833</v>
      </c>
      <c r="C66" s="58" t="n">
        <v>65.7174480196126</v>
      </c>
      <c r="D66" s="58" t="n">
        <v>33.9990190163052</v>
      </c>
      <c r="E66" s="58">
        <f si="0" t="shared"/>
        <v>2365.0588546317013</v>
      </c>
      <c r="F66" s="78">
        <f si="1" t="shared"/>
        <v>4.2228543627662613E-3</v>
      </c>
      <c r="G66">
        <v>55</v>
      </c>
      <c r="H66" s="68" t="n">
        <v>8083.0</v>
      </c>
      <c r="I66" s="68" t="n">
        <v>870.0</v>
      </c>
      <c r="J66" s="68" t="n">
        <v>338.0</v>
      </c>
      <c r="K66" s="58">
        <f si="2" t="shared"/>
        <v>1158</v>
      </c>
      <c r="L66" s="78">
        <f si="3" t="shared"/>
        <v>1.7940248746661379E-3</v>
      </c>
      <c r="W66" s="8"/>
    </row>
    <row r="67" spans="1:23" x14ac:dyDescent="0.25">
      <c r="A67">
        <v>56</v>
      </c>
      <c r="B67" s="58" t="n">
        <v>2257.2229117955235</v>
      </c>
      <c r="C67" s="58" t="n">
        <v>82.4954577405599</v>
      </c>
      <c r="D67" s="58" t="n">
        <v>0.0</v>
      </c>
      <c r="E67" s="58">
        <f si="0" t="shared"/>
        <v>2339.7183695360832</v>
      </c>
      <c r="F67" s="78">
        <f si="1" t="shared"/>
        <v>4.177608478998473E-3</v>
      </c>
      <c r="G67">
        <v>56</v>
      </c>
      <c r="H67" s="68" t="n">
        <v>8387.0</v>
      </c>
      <c r="I67" s="68" t="n">
        <v>833.0</v>
      </c>
      <c r="J67" s="68" t="n">
        <v>287.0</v>
      </c>
      <c r="K67" s="58">
        <f si="2" t="shared"/>
        <v>975</v>
      </c>
      <c r="L67" s="78">
        <f si="3" t="shared"/>
        <v>1.5105131716748571E-3</v>
      </c>
      <c r="W67" s="8"/>
    </row>
    <row r="68" spans="1:23" x14ac:dyDescent="0.25">
      <c r="A68">
        <v>57</v>
      </c>
      <c r="B68" s="58" t="n">
        <v>2006.797105131202</v>
      </c>
      <c r="C68" s="58" t="n">
        <v>224.407604134641</v>
      </c>
      <c r="D68" s="58" t="n">
        <v>0.0</v>
      </c>
      <c r="E68" s="58">
        <f si="0" t="shared"/>
        <v>2231.2047092658431</v>
      </c>
      <c r="F68" s="78">
        <f si="1" t="shared"/>
        <v>3.9838554217354319E-3</v>
      </c>
      <c r="G68">
        <v>57</v>
      </c>
      <c r="H68" s="68" t="n">
        <v>7519.0</v>
      </c>
      <c r="I68" s="68" t="n">
        <v>776.0</v>
      </c>
      <c r="J68" s="68" t="n">
        <v>287.0</v>
      </c>
      <c r="K68" s="58">
        <f si="2" t="shared"/>
        <v>951</v>
      </c>
      <c r="L68" s="78">
        <f si="3" t="shared"/>
        <v>1.4733313089874758E-3</v>
      </c>
      <c r="W68" s="8"/>
    </row>
    <row r="69" spans="1:23" x14ac:dyDescent="0.25">
      <c r="A69">
        <v>58</v>
      </c>
      <c r="B69" s="58" t="n">
        <v>1567.1235323711849</v>
      </c>
      <c r="C69" s="58" t="n">
        <v>102.963014691288</v>
      </c>
      <c r="D69" s="58" t="n">
        <v>0.0</v>
      </c>
      <c r="E69" s="58">
        <f si="0" t="shared"/>
        <v>1670.0865470624728</v>
      </c>
      <c r="F69" s="78">
        <f si="1" t="shared"/>
        <v>2.981969031192782E-3</v>
      </c>
      <c r="G69">
        <v>58</v>
      </c>
      <c r="H69" s="68" t="n">
        <v>7374.0</v>
      </c>
      <c r="I69" s="68" t="n">
        <v>809.0</v>
      </c>
      <c r="J69" s="68" t="n">
        <v>268.0</v>
      </c>
      <c r="K69" s="58">
        <f si="2" t="shared"/>
        <v>848</v>
      </c>
      <c r="L69" s="78">
        <f si="3" t="shared"/>
        <v>1.3137591482874653E-3</v>
      </c>
      <c r="W69" s="8"/>
    </row>
    <row r="70" spans="1:23" x14ac:dyDescent="0.25">
      <c r="A70">
        <v>59</v>
      </c>
      <c r="B70" s="58" t="n">
        <v>1823.086824719201</v>
      </c>
      <c r="C70" s="58" t="n">
        <v>95.4514927541425</v>
      </c>
      <c r="D70" s="58" t="n">
        <v>0.0</v>
      </c>
      <c r="E70" s="58">
        <f si="0" t="shared"/>
        <v>1918.5383174733436</v>
      </c>
      <c r="F70" s="78">
        <f si="1" t="shared"/>
        <v>3.4255840560628204E-3</v>
      </c>
      <c r="G70">
        <v>59</v>
      </c>
      <c r="H70" s="68" t="n">
        <v>6886.0</v>
      </c>
      <c r="I70" s="68" t="n">
        <v>742.0</v>
      </c>
      <c r="J70" s="68" t="n">
        <v>229.0</v>
      </c>
      <c r="K70" s="58">
        <f si="2" t="shared"/>
        <v>760</v>
      </c>
      <c r="L70" s="78">
        <f si="3" t="shared"/>
        <v>1.177425651767068E-3</v>
      </c>
      <c r="W70" s="8"/>
    </row>
    <row r="71" spans="1:23" x14ac:dyDescent="0.25">
      <c r="A71">
        <v>60</v>
      </c>
      <c r="B71" s="58" t="n">
        <v>981.4692569863035</v>
      </c>
      <c r="C71" s="58" t="n">
        <v>0.0</v>
      </c>
      <c r="D71" s="58" t="n">
        <v>0.0</v>
      </c>
      <c r="E71" s="58">
        <f si="0" t="shared"/>
        <v>981.46925698630355</v>
      </c>
      <c r="F71" s="78">
        <f si="1" t="shared"/>
        <v>1.7524306956120087E-3</v>
      </c>
      <c r="G71">
        <v>60</v>
      </c>
      <c r="H71" s="68" t="n">
        <v>7326.0</v>
      </c>
      <c r="I71" s="68" t="n">
        <v>758.0</v>
      </c>
      <c r="J71" s="68" t="n">
        <v>281.0</v>
      </c>
      <c r="K71" s="58">
        <f si="2" t="shared"/>
        <v>639</v>
      </c>
      <c r="L71" s="78">
        <f si="3" t="shared"/>
        <v>9.8996709405152158E-4</v>
      </c>
      <c r="W71" s="8"/>
    </row>
    <row r="72" spans="1:23" x14ac:dyDescent="0.25">
      <c r="A72">
        <v>61</v>
      </c>
      <c r="B72" s="58" t="n">
        <v>1806.0387489383331</v>
      </c>
      <c r="C72" s="58" t="n">
        <v>0.0</v>
      </c>
      <c r="D72" s="58" t="n">
        <v>42.497783892796</v>
      </c>
      <c r="E72" s="58">
        <f si="0" t="shared"/>
        <v>1848.5365328311291</v>
      </c>
      <c r="F72" s="78">
        <f si="1" t="shared"/>
        <v>3.3005946330305408E-3</v>
      </c>
      <c r="G72">
        <v>61</v>
      </c>
      <c r="H72" s="68" t="n">
        <v>6207.0</v>
      </c>
      <c r="I72" s="68" t="n">
        <v>695.0</v>
      </c>
      <c r="J72" s="68" t="n">
        <v>217.0</v>
      </c>
      <c r="K72" s="58">
        <f si="2" t="shared"/>
        <v>603</v>
      </c>
      <c r="L72" s="78">
        <f si="3" t="shared"/>
        <v>9.3419430002045006E-4</v>
      </c>
      <c r="W72" s="8"/>
    </row>
    <row r="73" spans="1:23" x14ac:dyDescent="0.25">
      <c r="A73">
        <v>62</v>
      </c>
      <c r="B73" s="58" t="n">
        <v>2610.9122975460114</v>
      </c>
      <c r="C73" s="58" t="n">
        <v>137.8037243800669</v>
      </c>
      <c r="D73" s="58" t="n">
        <v>0.0</v>
      </c>
      <c r="E73" s="58">
        <f si="0" t="shared"/>
        <v>2748.7160219260782</v>
      </c>
      <c r="F73" s="78">
        <f si="1" t="shared"/>
        <v>4.9078810121212088E-3</v>
      </c>
      <c r="G73">
        <v>62</v>
      </c>
      <c r="H73" s="68" t="n">
        <v>6892.0</v>
      </c>
      <c r="I73" s="68" t="n">
        <v>722.0</v>
      </c>
      <c r="J73" s="68" t="n">
        <v>417.0</v>
      </c>
      <c r="K73" s="58">
        <f si="2" t="shared"/>
        <v>594</v>
      </c>
      <c r="L73" s="78">
        <f si="3" t="shared"/>
        <v>9.2025110151268213E-4</v>
      </c>
      <c r="W73" s="8"/>
    </row>
    <row r="74" spans="1:23" x14ac:dyDescent="0.25">
      <c r="A74">
        <v>63</v>
      </c>
      <c r="B74" s="58" t="n">
        <v>1471.0495799404234</v>
      </c>
      <c r="C74" s="58" t="n">
        <v>0.0</v>
      </c>
      <c r="D74" s="58" t="n">
        <v>0.0</v>
      </c>
      <c r="E74" s="58">
        <f si="0" t="shared"/>
        <v>1471.0495799404234</v>
      </c>
      <c r="F74" s="78">
        <f si="1" t="shared"/>
        <v>2.6265850104877247E-3</v>
      </c>
      <c r="G74">
        <v>63</v>
      </c>
      <c r="H74" s="68" t="n">
        <v>6109.0</v>
      </c>
      <c r="I74" s="68" t="n">
        <v>605.0</v>
      </c>
      <c r="J74" s="68" t="n">
        <v>236.0</v>
      </c>
      <c r="K74" s="58">
        <f si="2" t="shared"/>
        <v>510</v>
      </c>
      <c r="L74" s="78">
        <f si="3" t="shared"/>
        <v>7.9011458210684826E-4</v>
      </c>
      <c r="W74" s="8"/>
    </row>
    <row r="75" spans="1:23" x14ac:dyDescent="0.25">
      <c r="A75">
        <v>64</v>
      </c>
      <c r="B75" s="58" t="n">
        <v>812.7658901966225</v>
      </c>
      <c r="C75" s="58" t="n">
        <v>420.56290731598597</v>
      </c>
      <c r="D75" s="58" t="n">
        <v>0.0</v>
      </c>
      <c r="E75" s="58">
        <f si="0" t="shared"/>
        <v>1233.3287975126086</v>
      </c>
      <c r="F75" s="78">
        <f si="1" t="shared"/>
        <v>2.2021303542200553E-3</v>
      </c>
      <c r="G75">
        <v>64</v>
      </c>
      <c r="H75" s="68" t="n">
        <v>6117.0</v>
      </c>
      <c r="I75" s="68" t="n">
        <v>649.0</v>
      </c>
      <c r="J75" s="68" t="n">
        <v>238.0</v>
      </c>
      <c r="K75" s="58">
        <f si="2" t="shared"/>
        <v>424</v>
      </c>
      <c r="L75" s="78">
        <f si="3" t="shared"/>
        <v>6.5687957414373264E-4</v>
      </c>
      <c r="W75" s="8"/>
    </row>
    <row r="76" spans="1:23" x14ac:dyDescent="0.25">
      <c r="A76">
        <v>65</v>
      </c>
      <c r="B76" s="58" t="n">
        <v>1268.8166526092853</v>
      </c>
      <c r="C76" s="58" t="n">
        <v>0.0</v>
      </c>
      <c r="D76" s="58" t="n">
        <v>0.0</v>
      </c>
      <c r="E76" s="58">
        <f ref="E76:E101" si="4" t="shared">SUM(B76:D76)</f>
        <v>1268.8166526092853</v>
      </c>
      <c r="F76" s="78">
        <f ref="F76:F101" si="5" t="shared">E76/SUM($E$11:$E$101)</f>
        <v>2.2654945463739772E-3</v>
      </c>
      <c r="G76">
        <v>65</v>
      </c>
      <c r="H76" s="68" t="n">
        <v>6634.0</v>
      </c>
      <c r="I76" s="68" t="n">
        <v>719.0</v>
      </c>
      <c r="J76" s="68" t="n">
        <v>259.0</v>
      </c>
      <c r="K76" s="58">
        <f ref="K76:K101" si="6" t="shared">SUM(H76:J76)</f>
        <v>419</v>
      </c>
      <c r="L76" s="78">
        <f ref="L76:L101" si="7" t="shared">K76/SUM($K$11:$K$101)</f>
        <v>6.4913335275052831E-4</v>
      </c>
      <c r="W76" s="8"/>
    </row>
    <row r="77" spans="1:23" x14ac:dyDescent="0.25">
      <c r="A77">
        <v>66</v>
      </c>
      <c r="B77" s="58" t="n">
        <v>936.9962097819995</v>
      </c>
      <c r="C77" s="58" t="n">
        <v>0.0</v>
      </c>
      <c r="D77" s="58" t="n">
        <v>0.0</v>
      </c>
      <c r="E77" s="58">
        <f si="4" t="shared"/>
        <v>936.99620978199948</v>
      </c>
      <c r="F77" s="78">
        <f si="5" t="shared"/>
        <v>1.6730232842300831E-3</v>
      </c>
      <c r="G77">
        <v>66</v>
      </c>
      <c r="H77" s="68" t="n">
        <v>5409.0</v>
      </c>
      <c r="I77" s="68" t="n">
        <v>555.0</v>
      </c>
      <c r="J77" s="68" t="n">
        <v>182.0</v>
      </c>
      <c r="K77" s="58">
        <f si="6" t="shared"/>
        <v>315</v>
      </c>
      <c r="L77" s="78">
        <f si="7" t="shared"/>
        <v>4.8801194777187688E-4</v>
      </c>
      <c r="W77" s="8"/>
    </row>
    <row r="78" spans="1:23" x14ac:dyDescent="0.25">
      <c r="A78">
        <v>67</v>
      </c>
      <c r="B78" s="58" t="n">
        <v>750.5766071128637</v>
      </c>
      <c r="C78" s="58" t="n">
        <v>0.0</v>
      </c>
      <c r="D78" s="58" t="n">
        <v>0.0</v>
      </c>
      <c r="E78" s="58">
        <f si="4" t="shared"/>
        <v>750.57660711286371</v>
      </c>
      <c r="F78" s="78">
        <f si="5" t="shared"/>
        <v>1.3401677906364139E-3</v>
      </c>
      <c r="G78">
        <v>67</v>
      </c>
      <c r="H78" s="68" t="n">
        <v>5304.0</v>
      </c>
      <c r="I78" s="68" t="n">
        <v>543.0</v>
      </c>
      <c r="J78" s="68" t="n">
        <v>202.0</v>
      </c>
      <c r="K78" s="58">
        <f si="6" t="shared"/>
        <v>335</v>
      </c>
      <c r="L78" s="78">
        <f si="7" t="shared"/>
        <v>5.1899683334469444E-4</v>
      </c>
      <c r="W78" s="8"/>
    </row>
    <row r="79" spans="1:23" x14ac:dyDescent="0.25">
      <c r="A79">
        <v>68</v>
      </c>
      <c r="B79" s="58" t="n">
        <v>1099.1866832309765</v>
      </c>
      <c r="C79" s="58" t="n">
        <v>0.0</v>
      </c>
      <c r="D79" s="58" t="n">
        <v>0.0</v>
      </c>
      <c r="E79" s="58">
        <f si="4" t="shared"/>
        <v>1099.1866832309765</v>
      </c>
      <c r="F79" s="78">
        <f si="5" t="shared"/>
        <v>1.962617239603255E-3</v>
      </c>
      <c r="G79">
        <v>68</v>
      </c>
      <c r="H79" s="68" t="n">
        <v>4737.0</v>
      </c>
      <c r="I79" s="68" t="n">
        <v>460.0</v>
      </c>
      <c r="J79" s="68" t="n">
        <v>151.0</v>
      </c>
      <c r="K79" s="58">
        <f si="6" t="shared"/>
        <v>290</v>
      </c>
      <c r="L79" s="78">
        <f si="7" t="shared"/>
        <v>4.4928084080585488E-4</v>
      </c>
      <c r="W79" s="8"/>
    </row>
    <row r="80" spans="1:23" x14ac:dyDescent="0.25">
      <c r="A80">
        <v>69</v>
      </c>
      <c r="B80" s="58" t="n">
        <v>891.7139092596288</v>
      </c>
      <c r="C80" s="58" t="n">
        <v>0.0</v>
      </c>
      <c r="D80" s="58" t="n">
        <v>0.0</v>
      </c>
      <c r="E80" s="58">
        <f si="4" t="shared"/>
        <v>891.71390925962885</v>
      </c>
      <c r="F80" s="78">
        <f si="5" t="shared"/>
        <v>1.5921709367536126E-3</v>
      </c>
      <c r="G80">
        <v>69</v>
      </c>
      <c r="H80" s="68" t="n">
        <v>5473.0</v>
      </c>
      <c r="I80" s="68" t="n">
        <v>538.0</v>
      </c>
      <c r="J80" s="68" t="n">
        <v>222.0</v>
      </c>
      <c r="K80" s="58">
        <f si="6" t="shared"/>
        <v>218</v>
      </c>
      <c r="L80" s="78">
        <f si="7" t="shared"/>
        <v>3.3773525274371162E-4</v>
      </c>
      <c r="W80" s="8"/>
    </row>
    <row r="81" spans="1:23" x14ac:dyDescent="0.25">
      <c r="A81">
        <v>70</v>
      </c>
      <c r="B81" s="58" t="n">
        <v>1181.5204286431278</v>
      </c>
      <c r="C81" s="58" t="n">
        <v>74.2925044326287</v>
      </c>
      <c r="D81" s="58" t="n">
        <v>0.0</v>
      </c>
      <c r="E81" s="58">
        <f si="4" t="shared"/>
        <v>1255.8129330757565</v>
      </c>
      <c r="F81" s="78">
        <f si="5" t="shared"/>
        <v>2.2422761754413425E-3</v>
      </c>
      <c r="G81">
        <v>70</v>
      </c>
      <c r="H81" s="68" t="n">
        <v>4755.0</v>
      </c>
      <c r="I81" s="68" t="n">
        <v>402.0</v>
      </c>
      <c r="J81" s="68" t="n">
        <v>174.0</v>
      </c>
      <c r="K81" s="58">
        <f si="6" t="shared"/>
        <v>199</v>
      </c>
      <c r="L81" s="78">
        <f si="7" t="shared"/>
        <v>3.0829961144953494E-4</v>
      </c>
      <c r="W81" s="8"/>
    </row>
    <row r="82" spans="1:23" x14ac:dyDescent="0.25">
      <c r="A82">
        <v>71</v>
      </c>
      <c r="B82" s="58" t="n">
        <v>911.6910557675697</v>
      </c>
      <c r="C82" s="58" t="n">
        <v>0.0</v>
      </c>
      <c r="D82" s="58" t="n">
        <v>0.0</v>
      </c>
      <c r="E82" s="58">
        <f si="4" t="shared"/>
        <v>911.69105576756965</v>
      </c>
      <c r="F82" s="78">
        <f si="5" t="shared"/>
        <v>1.6278404847318659E-3</v>
      </c>
      <c r="G82">
        <v>71</v>
      </c>
      <c r="H82" s="68" t="n">
        <v>4676.0</v>
      </c>
      <c r="I82" s="68" t="n">
        <v>400.0</v>
      </c>
      <c r="J82" s="68" t="n">
        <v>152.0</v>
      </c>
      <c r="K82" s="58">
        <f si="6" t="shared"/>
        <v>190</v>
      </c>
      <c r="L82" s="78">
        <f si="7" t="shared"/>
        <v>2.94356412941767E-4</v>
      </c>
      <c r="W82" s="8"/>
    </row>
    <row r="83" spans="1:23" x14ac:dyDescent="0.25">
      <c r="A83">
        <v>72</v>
      </c>
      <c r="B83" s="58" t="n">
        <v>1033.9630051231588</v>
      </c>
      <c r="C83" s="58" t="n">
        <v>150.631131704105</v>
      </c>
      <c r="D83" s="58" t="n">
        <v>0.0</v>
      </c>
      <c r="E83" s="58">
        <f si="4" t="shared"/>
        <v>1184.5941368272638</v>
      </c>
      <c r="F83" s="78">
        <f si="5" t="shared"/>
        <v>2.1151137566880287E-3</v>
      </c>
      <c r="G83">
        <v>72</v>
      </c>
      <c r="H83" s="68" t="n">
        <v>4328.0</v>
      </c>
      <c r="I83" s="68" t="n">
        <v>416.0</v>
      </c>
      <c r="J83" s="68" t="n">
        <v>148.0</v>
      </c>
      <c r="K83" s="58">
        <f si="6" t="shared"/>
        <v>142</v>
      </c>
      <c r="L83" s="78">
        <f si="7" t="shared"/>
        <v>2.1999268756700481E-4</v>
      </c>
      <c r="W83" s="8"/>
    </row>
    <row r="84" spans="1:23" x14ac:dyDescent="0.25">
      <c r="A84">
        <v>73</v>
      </c>
      <c r="B84" s="58" t="n">
        <v>518.8090441432912</v>
      </c>
      <c r="C84" s="58" t="n">
        <v>170.93864992455082</v>
      </c>
      <c r="D84" s="58" t="n">
        <v>0.0</v>
      </c>
      <c r="E84" s="58">
        <f si="4" t="shared"/>
        <v>689.74769406784208</v>
      </c>
      <c r="F84" s="78">
        <f si="5" t="shared"/>
        <v>1.2315566918760406E-3</v>
      </c>
      <c r="G84">
        <v>73</v>
      </c>
      <c r="H84" s="68" t="n">
        <v>3642.0</v>
      </c>
      <c r="I84" s="68" t="n">
        <v>348.0</v>
      </c>
      <c r="J84" s="68" t="n">
        <v>117.0</v>
      </c>
      <c r="K84" s="58">
        <f si="6" t="shared"/>
        <v>119</v>
      </c>
      <c r="L84" s="78">
        <f si="7" t="shared"/>
        <v>1.8436006915826459E-4</v>
      </c>
      <c r="W84" s="8"/>
    </row>
    <row r="85" spans="1:23" x14ac:dyDescent="0.25">
      <c r="A85">
        <v>74</v>
      </c>
      <c r="B85" s="58" t="n">
        <v>328.2166814365932</v>
      </c>
      <c r="C85" s="58" t="n">
        <v>0.0</v>
      </c>
      <c r="D85" s="58" t="n">
        <v>0.0</v>
      </c>
      <c r="E85" s="58">
        <f si="4" t="shared"/>
        <v>328.21668143659321</v>
      </c>
      <c r="F85" s="78">
        <f si="5" t="shared"/>
        <v>5.8603668252180487E-4</v>
      </c>
      <c r="G85">
        <v>74</v>
      </c>
      <c r="H85" s="68" t="n">
        <v>3758.0</v>
      </c>
      <c r="I85" s="68" t="n">
        <v>348.0</v>
      </c>
      <c r="J85" s="68" t="n">
        <v>136.0</v>
      </c>
      <c r="K85" s="58">
        <f si="6" t="shared"/>
        <v>130</v>
      </c>
      <c r="L85" s="78">
        <f si="7" t="shared"/>
        <v>2.0140175622331428E-4</v>
      </c>
      <c r="W85" s="8"/>
    </row>
    <row r="86" spans="1:23" x14ac:dyDescent="0.25">
      <c r="A86">
        <v>75</v>
      </c>
      <c r="B86" s="58" t="n">
        <v>903.8665234974779</v>
      </c>
      <c r="C86" s="58" t="n">
        <v>28.5874540713672</v>
      </c>
      <c r="D86" s="58" t="n">
        <v>654.51513937104</v>
      </c>
      <c r="E86" s="58">
        <f si="4" t="shared"/>
        <v>1586.9691169398852</v>
      </c>
      <c r="F86" s="78">
        <f si="5" t="shared"/>
        <v>2.8335613914726499E-3</v>
      </c>
      <c r="G86">
        <v>75</v>
      </c>
      <c r="H86" s="68" t="n">
        <v>3743.0</v>
      </c>
      <c r="I86" s="68" t="n">
        <v>347.0</v>
      </c>
      <c r="J86" s="68" t="n">
        <v>126.0</v>
      </c>
      <c r="K86" s="58">
        <f si="6" t="shared"/>
        <v>96</v>
      </c>
      <c r="L86" s="78">
        <f si="7" t="shared"/>
        <v>1.4872745074952438E-4</v>
      </c>
      <c r="W86" s="8"/>
    </row>
    <row r="87" spans="1:23" x14ac:dyDescent="0.25">
      <c r="A87">
        <v>76</v>
      </c>
      <c r="B87" s="58" t="n">
        <v>1492.2224518172516</v>
      </c>
      <c r="C87" s="58" t="n">
        <v>27.2746259405429</v>
      </c>
      <c r="D87" s="58" t="n">
        <v>0.0</v>
      </c>
      <c r="E87" s="58">
        <f si="4" t="shared"/>
        <v>1519.4970777577944</v>
      </c>
      <c r="F87" s="78">
        <f si="5" t="shared"/>
        <v>2.713088873646366E-3</v>
      </c>
      <c r="G87">
        <v>76</v>
      </c>
      <c r="H87" s="68" t="n">
        <v>3453.0</v>
      </c>
      <c r="I87" s="68" t="n">
        <v>313.0</v>
      </c>
      <c r="J87" s="68" t="n">
        <v>99.0</v>
      </c>
      <c r="K87" s="58">
        <f si="6" t="shared"/>
        <v>86</v>
      </c>
      <c r="L87" s="78">
        <f si="7" t="shared"/>
        <v>1.3323500796311559E-4</v>
      </c>
      <c r="W87" s="8"/>
    </row>
    <row r="88" spans="1:23" x14ac:dyDescent="0.25">
      <c r="A88">
        <v>77</v>
      </c>
      <c r="B88" s="58" t="n">
        <v>721.5509044167621</v>
      </c>
      <c r="C88" s="58" t="n">
        <v>34.3455237132042</v>
      </c>
      <c r="D88" s="58" t="n">
        <v>0.0</v>
      </c>
      <c r="E88" s="58">
        <f si="4" t="shared"/>
        <v>755.89642812996635</v>
      </c>
      <c r="F88" s="78">
        <f si="5" t="shared"/>
        <v>1.3496664250349671E-3</v>
      </c>
      <c r="G88">
        <v>77</v>
      </c>
      <c r="H88" s="68" t="n">
        <v>3341.0</v>
      </c>
      <c r="I88" s="68" t="n">
        <v>283.0</v>
      </c>
      <c r="J88" s="68" t="n">
        <v>119.0</v>
      </c>
      <c r="K88" s="58">
        <f si="6" t="shared"/>
        <v>67</v>
      </c>
      <c r="L88" s="78">
        <f si="7" t="shared"/>
        <v>1.0379936666893889E-4</v>
      </c>
      <c r="W88" s="8"/>
    </row>
    <row r="89" spans="1:23" x14ac:dyDescent="0.25">
      <c r="A89">
        <v>78</v>
      </c>
      <c r="B89" s="58" t="n">
        <v>1020.0200408079296</v>
      </c>
      <c r="C89" s="58" t="n">
        <v>0.0</v>
      </c>
      <c r="D89" s="58" t="n">
        <v>0.0</v>
      </c>
      <c r="E89" s="58">
        <f si="4" t="shared"/>
        <v>1020.0200408079296</v>
      </c>
      <c r="F89" s="78">
        <f si="5" t="shared"/>
        <v>1.8212638011097422E-3</v>
      </c>
      <c r="G89">
        <v>78</v>
      </c>
      <c r="H89" s="68" t="n">
        <v>3364.0</v>
      </c>
      <c r="I89" s="68" t="n">
        <v>332.0</v>
      </c>
      <c r="J89" s="68" t="n">
        <v>104.0</v>
      </c>
      <c r="K89" s="58">
        <f si="6" t="shared"/>
        <v>57</v>
      </c>
      <c r="L89" s="78">
        <f si="7" t="shared"/>
        <v>8.8306923882530095E-5</v>
      </c>
      <c r="W89" s="8"/>
    </row>
    <row r="90" spans="1:23" x14ac:dyDescent="0.25">
      <c r="A90">
        <v>79</v>
      </c>
      <c r="B90" s="58" t="n">
        <v>647.1817976310136</v>
      </c>
      <c r="C90" s="58" t="n">
        <v>20.3685364609446</v>
      </c>
      <c r="D90" s="58" t="n">
        <v>0.0</v>
      </c>
      <c r="E90" s="58">
        <f si="4" t="shared"/>
        <v>667.55033409195823</v>
      </c>
      <c r="F90" s="78">
        <f si="5" t="shared"/>
        <v>1.1919229135315893E-3</v>
      </c>
      <c r="G90">
        <v>79</v>
      </c>
      <c r="H90" s="68" t="n">
        <v>2793.0</v>
      </c>
      <c r="I90" s="68" t="n">
        <v>252.0</v>
      </c>
      <c r="J90" s="68" t="n">
        <v>79.0</v>
      </c>
      <c r="K90" s="58">
        <f si="6" t="shared"/>
        <v>50</v>
      </c>
      <c r="L90" s="78">
        <f si="7" t="shared"/>
        <v>7.7462213932043953E-5</v>
      </c>
      <c r="W90" s="8"/>
    </row>
    <row r="91" spans="1:23" x14ac:dyDescent="0.25">
      <c r="A91">
        <v>80</v>
      </c>
      <c r="B91" s="58" t="n">
        <v>397.641047846931</v>
      </c>
      <c r="C91" s="58" t="n">
        <v>0.0</v>
      </c>
      <c r="D91" s="58" t="n">
        <v>53.7405419735351</v>
      </c>
      <c r="E91" s="58">
        <f si="4" t="shared"/>
        <v>451.38158982046605</v>
      </c>
      <c r="F91" s="78">
        <f si="5" t="shared"/>
        <v>8.0594980210019185E-4</v>
      </c>
      <c r="G91">
        <v>80</v>
      </c>
      <c r="H91" s="68" t="n">
        <v>3329.0</v>
      </c>
      <c r="I91" s="68" t="n">
        <v>332.0</v>
      </c>
      <c r="J91" s="68" t="n">
        <v>90.0</v>
      </c>
      <c r="K91" s="58">
        <f si="6" t="shared"/>
        <v>41</v>
      </c>
      <c r="L91" s="78">
        <f si="7" t="shared"/>
        <v>6.3519015424276032E-5</v>
      </c>
      <c r="W91" s="8"/>
    </row>
    <row r="92" spans="1:23" x14ac:dyDescent="0.25">
      <c r="A92">
        <v>81</v>
      </c>
      <c r="B92" s="58" t="n">
        <v>405.618496887132</v>
      </c>
      <c r="C92" s="58" t="n">
        <v>0.0</v>
      </c>
      <c r="D92" s="58" t="n">
        <v>0.0</v>
      </c>
      <c r="E92" s="58">
        <f si="4" t="shared"/>
        <v>405.61849688713198</v>
      </c>
      <c r="F92" s="78">
        <f si="5" t="shared"/>
        <v>7.2423899128093991E-4</v>
      </c>
      <c r="G92">
        <v>81</v>
      </c>
      <c r="H92" s="68" t="n">
        <v>2595.0</v>
      </c>
      <c r="I92" s="68" t="n">
        <v>264.0</v>
      </c>
      <c r="J92" s="68" t="n">
        <v>70.0</v>
      </c>
      <c r="K92" s="58">
        <f si="6" t="shared"/>
        <v>31</v>
      </c>
      <c r="L92" s="78">
        <f si="7" t="shared"/>
        <v>4.802657263786725E-5</v>
      </c>
      <c r="W92" s="8"/>
    </row>
    <row r="93" spans="1:23" x14ac:dyDescent="0.25">
      <c r="A93">
        <v>82</v>
      </c>
      <c r="B93" s="58" t="n">
        <v>429.3341680897656</v>
      </c>
      <c r="C93" s="58" t="n">
        <v>0.0</v>
      </c>
      <c r="D93" s="58" t="n">
        <v>0.0</v>
      </c>
      <c r="E93" s="58">
        <f si="4" t="shared"/>
        <v>429.33416808976563</v>
      </c>
      <c r="F93" s="78">
        <f si="5" t="shared"/>
        <v>7.6658374114111499E-4</v>
      </c>
      <c r="G93">
        <v>82</v>
      </c>
      <c r="H93" s="68" t="n">
        <v>2734.0</v>
      </c>
      <c r="I93" s="68" t="n">
        <v>219.0</v>
      </c>
      <c r="J93" s="68" t="n">
        <v>82.0</v>
      </c>
      <c r="K93" s="58">
        <f si="6" t="shared"/>
        <v>24</v>
      </c>
      <c r="L93" s="78">
        <f si="7" t="shared"/>
        <v>3.7181862687381094E-5</v>
      </c>
      <c r="W93" s="8"/>
    </row>
    <row r="94" spans="1:23" x14ac:dyDescent="0.25">
      <c r="A94">
        <v>83</v>
      </c>
      <c r="B94" s="58" t="n">
        <v>931.615716308792</v>
      </c>
      <c r="C94" s="58" t="n">
        <v>0.0</v>
      </c>
      <c r="D94" s="58" t="n">
        <v>0.0</v>
      </c>
      <c r="E94" s="58">
        <f si="4" t="shared"/>
        <v>931.615716308792</v>
      </c>
      <c r="F94" s="78">
        <f si="5" t="shared"/>
        <v>1.6634163180893999E-3</v>
      </c>
      <c r="G94">
        <v>83</v>
      </c>
      <c r="H94" s="68" t="n">
        <v>2377.0</v>
      </c>
      <c r="I94" s="68" t="n">
        <v>245.0</v>
      </c>
      <c r="J94" s="58" t="n">
        <v>59.0</v>
      </c>
      <c r="K94" s="58">
        <f si="6" t="shared"/>
        <v>12</v>
      </c>
      <c r="L94" s="78">
        <f si="7" t="shared"/>
        <v>1.8590931343690547E-5</v>
      </c>
      <c r="W94" s="8"/>
    </row>
    <row ht="15.75" r="95" spans="1:23" thickBot="1" x14ac:dyDescent="0.3">
      <c r="A95">
        <v>84</v>
      </c>
      <c r="B95" s="58" t="n">
        <v>86.1971116034262</v>
      </c>
      <c r="C95" s="58" t="n">
        <v>0.0</v>
      </c>
      <c r="D95" s="58" t="n">
        <v>0.0</v>
      </c>
      <c r="E95" s="58">
        <f si="4" t="shared"/>
        <v>86.197111603426194</v>
      </c>
      <c r="F95" s="78">
        <f si="5" t="shared"/>
        <v>1.5390646540551405E-4</v>
      </c>
      <c r="G95">
        <v>84</v>
      </c>
      <c r="H95" s="68" t="n">
        <v>2409.0</v>
      </c>
      <c r="I95" s="68" t="n">
        <v>216.0</v>
      </c>
      <c r="J95" s="68" t="n">
        <v>70.0</v>
      </c>
      <c r="K95" s="58">
        <f si="6" t="shared"/>
        <v>14</v>
      </c>
      <c r="L95" s="78">
        <f si="7" t="shared"/>
        <v>2.1689419900972305E-5</v>
      </c>
      <c r="W95" s="9"/>
    </row>
    <row r="96" spans="1:23" x14ac:dyDescent="0.25">
      <c r="A96">
        <v>85</v>
      </c>
      <c r="B96" s="58" t="n">
        <v>159.36916248129</v>
      </c>
      <c r="C96" s="58" t="n">
        <v>0.0</v>
      </c>
      <c r="D96" s="58" t="n">
        <v>0.0</v>
      </c>
      <c r="E96" s="58">
        <f si="4" t="shared"/>
        <v>159.36916248129</v>
      </c>
      <c r="F96" s="78">
        <f si="5" t="shared"/>
        <v>2.8455645480303382E-4</v>
      </c>
      <c r="G96">
        <v>85</v>
      </c>
      <c r="H96" s="68" t="n">
        <v>2395.0</v>
      </c>
      <c r="I96" s="68" t="n">
        <v>218.0</v>
      </c>
      <c r="J96" s="58" t="n">
        <v>68.0</v>
      </c>
      <c r="K96" s="58">
        <f si="6" t="shared"/>
        <v>5</v>
      </c>
      <c r="L96" s="78">
        <f si="7" t="shared"/>
        <v>7.7462213932043946E-6</v>
      </c>
    </row>
    <row r="97" spans="1:12" x14ac:dyDescent="0.25">
      <c r="A97">
        <v>86</v>
      </c>
      <c r="B97" s="58" t="n">
        <v>797.559553379474</v>
      </c>
      <c r="C97" s="58" t="n">
        <v>41.8458826914718</v>
      </c>
      <c r="D97" s="58" t="n">
        <v>0.0</v>
      </c>
      <c r="E97" s="58">
        <f si="4" t="shared"/>
        <v>839.40543607094583</v>
      </c>
      <c r="F97" s="78">
        <f si="5" t="shared"/>
        <v>1.4987732338669034E-3</v>
      </c>
      <c r="G97">
        <v>86</v>
      </c>
      <c r="H97" s="68" t="n">
        <v>2297.0</v>
      </c>
      <c r="I97" s="68" t="n">
        <v>202.0</v>
      </c>
      <c r="J97" s="68" t="n">
        <v>71.0</v>
      </c>
      <c r="K97" s="58">
        <f si="6" t="shared"/>
        <v>11</v>
      </c>
      <c r="L97" s="78">
        <f si="7" t="shared"/>
        <v>1.7041687065049668E-5</v>
      </c>
    </row>
    <row r="98" spans="1:12" x14ac:dyDescent="0.25">
      <c r="A98">
        <v>87</v>
      </c>
      <c r="B98" s="58" t="n">
        <v>499.9979738417043</v>
      </c>
      <c r="C98" s="58" t="n">
        <v>0.0</v>
      </c>
      <c r="D98" s="58" t="n">
        <v>0.0</v>
      </c>
      <c r="E98" s="58">
        <f si="4" t="shared"/>
        <v>499.99797384170432</v>
      </c>
      <c r="F98" s="78">
        <f si="5" t="shared"/>
        <v>8.927552145591458E-4</v>
      </c>
      <c r="G98">
        <v>87</v>
      </c>
      <c r="H98" s="68" t="n">
        <v>2185.0</v>
      </c>
      <c r="I98" s="68" t="n">
        <v>218.0</v>
      </c>
      <c r="J98" s="68" t="n">
        <v>74.0</v>
      </c>
      <c r="K98" s="58">
        <f si="6" t="shared"/>
        <v>9</v>
      </c>
      <c r="L98" s="78">
        <f si="7" t="shared"/>
        <v>1.394319850776791E-5</v>
      </c>
    </row>
    <row r="99" spans="1:12" x14ac:dyDescent="0.25">
      <c r="A99">
        <v>88</v>
      </c>
      <c r="B99" s="58" t="n">
        <v>281.115698639561</v>
      </c>
      <c r="C99" s="58" t="n">
        <v>0.0</v>
      </c>
      <c r="D99" s="58" t="n">
        <v>0.0</v>
      </c>
      <c r="E99" s="58">
        <f si="4" t="shared"/>
        <v>281.115698639561</v>
      </c>
      <c r="F99" s="78">
        <f si="5" t="shared"/>
        <v>5.0193704571762905E-4</v>
      </c>
      <c r="G99">
        <v>88</v>
      </c>
      <c r="H99" s="68" t="n">
        <v>1781.0</v>
      </c>
      <c r="I99" s="68" t="n">
        <v>169.0</v>
      </c>
      <c r="J99" s="68" t="n">
        <v>71.0</v>
      </c>
      <c r="K99" s="58">
        <f si="6" t="shared"/>
        <v>4</v>
      </c>
      <c r="L99" s="78">
        <f si="7" t="shared"/>
        <v>6.1969771145635157E-6</v>
      </c>
    </row>
    <row r="100" spans="1:12" x14ac:dyDescent="0.25">
      <c r="A100">
        <v>89</v>
      </c>
      <c r="B100" s="58" t="n">
        <v>1098.8790693432697</v>
      </c>
      <c r="C100" s="58" t="n">
        <v>0.0</v>
      </c>
      <c r="D100" s="58" t="n">
        <v>0.0</v>
      </c>
      <c r="E100" s="58">
        <f si="4" t="shared"/>
        <v>1098.8790693432697</v>
      </c>
      <c r="F100" s="78">
        <f si="5" t="shared"/>
        <v>1.9620679895728781E-3</v>
      </c>
      <c r="G100">
        <v>89</v>
      </c>
      <c r="H100" s="68" t="n">
        <v>27508.0</v>
      </c>
      <c r="I100" s="68" t="n">
        <v>2548.0</v>
      </c>
      <c r="J100" s="58" t="n">
        <v>778.0</v>
      </c>
      <c r="K100" s="58">
        <f si="6" t="shared"/>
        <v>26</v>
      </c>
      <c r="L100" s="78">
        <f si="7" t="shared"/>
        <v>4.0280351244662852E-5</v>
      </c>
    </row>
    <row ht="15.75" r="101" spans="1:12" thickBot="1" x14ac:dyDescent="0.3">
      <c r="A101" s="1">
        <v>90</v>
      </c>
      <c r="B101" s="59">
        <v>0</v>
      </c>
      <c r="C101" s="59">
        <v>0</v>
      </c>
      <c r="D101" s="59">
        <v>0</v>
      </c>
      <c r="E101" s="59">
        <f si="4" t="shared"/>
        <v>0</v>
      </c>
      <c r="F101" s="78">
        <f si="5" t="shared"/>
        <v>0</v>
      </c>
      <c r="G101" s="1">
        <v>90</v>
      </c>
      <c r="H101" s="59">
        <v>0</v>
      </c>
      <c r="I101" s="59">
        <v>0</v>
      </c>
      <c r="J101" s="59">
        <v>0</v>
      </c>
      <c r="K101" s="59">
        <f si="6" t="shared"/>
        <v>0</v>
      </c>
      <c r="L101" s="78">
        <f si="7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L39"/>
  <sheetViews>
    <sheetView topLeftCell="A8" workbookViewId="0">
      <selection activeCell="H21" sqref="H21"/>
    </sheetView>
  </sheetViews>
  <sheetFormatPr defaultRowHeight="15" x14ac:dyDescent="0.25"/>
  <cols>
    <col min="1" max="1" customWidth="true" width="12.140625" collapsed="true"/>
    <col min="2" max="2" bestFit="true" customWidth="true" width="11.5703125" collapsed="true"/>
    <col min="3" max="4" bestFit="true" customWidth="true" width="10.5703125" collapsed="true"/>
    <col min="5" max="5" bestFit="true" customWidth="true" width="11.5703125" collapsed="true"/>
    <col min="7" max="7" customWidth="true" width="10.85546875" collapsed="true"/>
    <col min="13" max="13" customWidth="true" width="10.85546875" collapsed="true"/>
    <col min="17" max="17" bestFit="true" customWidth="true" width="9.5703125" collapsed="true"/>
  </cols>
  <sheetData>
    <row r="1" spans="1:11" x14ac:dyDescent="0.25">
      <c r="A1" t="s">
        <v>23</v>
      </c>
    </row>
    <row r="2" spans="1:11" x14ac:dyDescent="0.25">
      <c r="A2" t="s">
        <v>249</v>
      </c>
    </row>
    <row r="3" spans="1:11" x14ac:dyDescent="0.25">
      <c r="A3" t="s">
        <v>250</v>
      </c>
    </row>
    <row r="4" spans="1:11" x14ac:dyDescent="0.25">
      <c r="A4" t="s">
        <v>6</v>
      </c>
    </row>
    <row r="5" spans="1:11" x14ac:dyDescent="0.25">
      <c r="A5" t="s">
        <v>7</v>
      </c>
    </row>
    <row r="7" spans="1:11" x14ac:dyDescent="0.25">
      <c r="A7" t="s">
        <v>11</v>
      </c>
    </row>
    <row ht="15.75" r="9" spans="1:11" thickBot="1" x14ac:dyDescent="0.3">
      <c r="A9" s="4" t="s">
        <v>204</v>
      </c>
      <c r="B9" s="1"/>
      <c r="C9" s="1"/>
      <c r="D9" s="1"/>
      <c r="E9" s="1"/>
      <c r="G9" s="4" t="s">
        <v>13</v>
      </c>
      <c r="H9" s="1"/>
      <c r="I9" s="1"/>
      <c r="J9" s="1"/>
      <c r="K9" s="1"/>
    </row>
    <row r="10" spans="1:11" x14ac:dyDescent="0.25">
      <c r="A10" s="2" t="s">
        <v>21</v>
      </c>
      <c r="B10" s="5" t="s">
        <v>8</v>
      </c>
      <c r="C10" s="5" t="s">
        <v>9</v>
      </c>
      <c r="D10" s="5" t="s">
        <v>10</v>
      </c>
      <c r="E10" s="5" t="s">
        <v>3</v>
      </c>
      <c r="G10" s="2" t="s">
        <v>21</v>
      </c>
      <c r="H10" s="5" t="s">
        <v>8</v>
      </c>
      <c r="I10" s="5" t="s">
        <v>9</v>
      </c>
      <c r="J10" s="5" t="s">
        <v>10</v>
      </c>
      <c r="K10" s="5" t="s">
        <v>3</v>
      </c>
    </row>
    <row r="11" spans="1:11" x14ac:dyDescent="0.25">
      <c r="A11" t="s">
        <v>24</v>
      </c>
      <c r="B11" s="58">
        <f>SUM(TDFD!B11:B15)</f>
        <v>9797.3234894566049</v>
      </c>
      <c r="C11" s="58">
        <f>SUM(TDFD!C11:C15)</f>
        <v>2749.1116738073315</v>
      </c>
      <c r="D11" s="58">
        <f>SUM(TDFD!D11:D15)</f>
        <v>604.92042649540304</v>
      </c>
      <c r="E11" s="58">
        <f>SUM(TDFD!E11:E15)</f>
        <v>13151.35558975934</v>
      </c>
      <c r="G11" t="s">
        <v>24</v>
      </c>
      <c r="H11" s="11">
        <f>SUM(TDFD!H11:H15)</f>
        <v>9649</v>
      </c>
      <c r="I11" s="11">
        <f>SUM(TDFD!I11:I15)</f>
        <v>1799</v>
      </c>
      <c r="J11" s="11">
        <f>SUM(TDFD!J11:J15)</f>
        <v>929</v>
      </c>
      <c r="K11" s="11">
        <f>SUM(TDFD!K11:K15)</f>
        <v>12377</v>
      </c>
    </row>
    <row r="12" spans="1:11" x14ac:dyDescent="0.25">
      <c r="A12" t="s">
        <v>25</v>
      </c>
      <c r="B12" s="58">
        <f>SUM(TDFD!B16:B20)</f>
        <v>53906.743332200902</v>
      </c>
      <c r="C12" s="58">
        <f>SUM(TDFD!C16:C20)</f>
        <v>11445.183272064047</v>
      </c>
      <c r="D12" s="58">
        <f>SUM(TDFD!D16:D20)</f>
        <v>6620.2084575643676</v>
      </c>
      <c r="E12" s="58">
        <f>SUM(TDFD!E16:E20)</f>
        <v>71972.135061829307</v>
      </c>
      <c r="G12" t="s">
        <v>25</v>
      </c>
      <c r="H12" s="11">
        <f>SUM(TDFD!H16:H20)</f>
        <v>48278</v>
      </c>
      <c r="I12" s="11">
        <f>SUM(TDFD!I16:I20)</f>
        <v>10187</v>
      </c>
      <c r="J12" s="11">
        <f>SUM(TDFD!J16:J20)</f>
        <v>5973</v>
      </c>
      <c r="K12" s="11">
        <f>SUM(TDFD!K16:K20)</f>
        <v>64438</v>
      </c>
    </row>
    <row r="13" spans="1:11" x14ac:dyDescent="0.25">
      <c r="A13" t="s">
        <v>26</v>
      </c>
      <c r="B13" s="58">
        <f>SUM(TDFD!B21:B25)</f>
        <v>63191.227122506236</v>
      </c>
      <c r="C13" s="58">
        <f>SUM(TDFD!C21:C25)</f>
        <v>9781.1525030945086</v>
      </c>
      <c r="D13" s="58">
        <f>SUM(TDFD!D21:D25)</f>
        <v>8763.7657178462377</v>
      </c>
      <c r="E13" s="58">
        <f>SUM(TDFD!E21:E25)</f>
        <v>81736.145343446988</v>
      </c>
      <c r="G13" t="s">
        <v>26</v>
      </c>
      <c r="H13" s="11">
        <f>SUM(TDFD!H21:H25)</f>
        <v>72312</v>
      </c>
      <c r="I13" s="11">
        <f>SUM(TDFD!I21:I25)</f>
        <v>12330</v>
      </c>
      <c r="J13" s="11">
        <f>SUM(TDFD!J21:J25)</f>
        <v>6280</v>
      </c>
      <c r="K13" s="11">
        <f>SUM(TDFD!K21:K25)</f>
        <v>90922</v>
      </c>
    </row>
    <row r="14" spans="1:11" x14ac:dyDescent="0.25">
      <c r="A14" t="s">
        <v>27</v>
      </c>
      <c r="B14" s="58">
        <f>SUM(TDFD!B26:B30)</f>
        <v>69840.343303300964</v>
      </c>
      <c r="C14" s="58">
        <f>SUM(TDFD!C26:C30)</f>
        <v>8812.4642128745709</v>
      </c>
      <c r="D14" s="58">
        <f>SUM(TDFD!D26:D30)</f>
        <v>4005.1157855866409</v>
      </c>
      <c r="E14" s="58">
        <f>SUM(TDFD!E26:E30)</f>
        <v>82657.923301762159</v>
      </c>
      <c r="G14" t="s">
        <v>27</v>
      </c>
      <c r="H14" s="11">
        <f>SUM(TDFD!H26:H30)</f>
        <v>93704</v>
      </c>
      <c r="I14" s="11">
        <f>SUM(TDFD!I26:I30)</f>
        <v>10341</v>
      </c>
      <c r="J14" s="11">
        <f>SUM(TDFD!J26:J30)</f>
        <v>3907</v>
      </c>
      <c r="K14" s="11">
        <f>SUM(TDFD!K26:K30)</f>
        <v>107952</v>
      </c>
    </row>
    <row r="15" spans="1:11" x14ac:dyDescent="0.25">
      <c r="A15" t="s">
        <v>28</v>
      </c>
      <c r="B15" s="58">
        <f>SUM(TDFD!B31:B35)</f>
        <v>56811.686237745336</v>
      </c>
      <c r="C15" s="58">
        <f>SUM(TDFD!C31:C35)</f>
        <v>5620.983378331488</v>
      </c>
      <c r="D15" s="58">
        <f>SUM(TDFD!D31:D35)</f>
        <v>2936.3752786122268</v>
      </c>
      <c r="E15" s="58">
        <f>SUM(TDFD!E31:E35)</f>
        <v>65369.044894689046</v>
      </c>
      <c r="G15" t="s">
        <v>28</v>
      </c>
      <c r="H15" s="11">
        <f>SUM(TDFD!H31:H35)</f>
        <v>97718</v>
      </c>
      <c r="I15" s="11">
        <f>SUM(TDFD!I31:I35)</f>
        <v>8530</v>
      </c>
      <c r="J15" s="11">
        <f>SUM(TDFD!J31:J35)</f>
        <v>2768</v>
      </c>
      <c r="K15" s="11">
        <f>SUM(TDFD!K31:K35)</f>
        <v>109016</v>
      </c>
    </row>
    <row r="16" spans="1:11" x14ac:dyDescent="0.25">
      <c r="A16" t="s">
        <v>29</v>
      </c>
      <c r="B16" s="58">
        <f>SUM(TDFD!B36:B40)</f>
        <v>50402.172830847478</v>
      </c>
      <c r="C16" s="58">
        <f>SUM(TDFD!C36:C40)</f>
        <v>3565.5956094118465</v>
      </c>
      <c r="D16" s="58">
        <f>SUM(TDFD!D36:D40)</f>
        <v>2693.7050148297108</v>
      </c>
      <c r="E16" s="58">
        <f>SUM(TDFD!E36:E40)</f>
        <v>56661.473455089028</v>
      </c>
      <c r="G16" t="s">
        <v>29</v>
      </c>
      <c r="H16" s="11">
        <f>SUM(TDFD!H36:H40)</f>
        <v>77937</v>
      </c>
      <c r="I16" s="11">
        <f>SUM(TDFD!I36:I40)</f>
        <v>5705</v>
      </c>
      <c r="J16" s="11">
        <f>SUM(TDFD!J36:J40)</f>
        <v>1891</v>
      </c>
      <c r="K16" s="11">
        <f>SUM(TDFD!K36:K40)</f>
        <v>85533</v>
      </c>
    </row>
    <row r="17" spans="1:11" x14ac:dyDescent="0.25">
      <c r="A17" t="s">
        <v>30</v>
      </c>
      <c r="B17" s="58">
        <f>SUM(TDFD!B41:B45)</f>
        <v>41907.976603263131</v>
      </c>
      <c r="C17" s="58">
        <f>SUM(TDFD!C41:C45)</f>
        <v>4334.5937305273819</v>
      </c>
      <c r="D17" s="58">
        <f>SUM(TDFD!D41:D45)</f>
        <v>888.1511142132631</v>
      </c>
      <c r="E17" s="58">
        <f>SUM(TDFD!E41:E45)</f>
        <v>47130.721448003773</v>
      </c>
      <c r="G17" t="s">
        <v>30</v>
      </c>
      <c r="H17" s="11">
        <f>SUM(TDFD!H41:H45)</f>
        <v>56657</v>
      </c>
      <c r="I17" s="11">
        <f>SUM(TDFD!I41:I45)</f>
        <v>3770</v>
      </c>
      <c r="J17" s="11">
        <f>SUM(TDFD!J41:J45)</f>
        <v>1277</v>
      </c>
      <c r="K17" s="11">
        <f>SUM(TDFD!K41:K45)</f>
        <v>61704</v>
      </c>
    </row>
    <row r="18" spans="1:11" x14ac:dyDescent="0.25">
      <c r="A18" t="s">
        <v>31</v>
      </c>
      <c r="B18" s="58">
        <f>SUM(TDFD!B46:B50)</f>
        <v>30695.579755786785</v>
      </c>
      <c r="C18" s="58">
        <f>SUM(TDFD!C46:C50)</f>
        <v>2693.4674974787699</v>
      </c>
      <c r="D18" s="58">
        <f>SUM(TDFD!D46:D50)</f>
        <v>442.06110948345997</v>
      </c>
      <c r="E18" s="58">
        <f>SUM(TDFD!E46:E50)</f>
        <v>33831.108362749015</v>
      </c>
      <c r="G18" t="s">
        <v>31</v>
      </c>
      <c r="H18" s="11">
        <f>SUM(TDFD!H46:H50)</f>
        <v>40811</v>
      </c>
      <c r="I18" s="11">
        <f>SUM(TDFD!I46:I50)</f>
        <v>2366</v>
      </c>
      <c r="J18" s="11">
        <f>SUM(TDFD!J46:J50)</f>
        <v>873</v>
      </c>
      <c r="K18" s="11">
        <f>SUM(TDFD!K46:K50)</f>
        <v>44050</v>
      </c>
    </row>
    <row r="19" spans="1:11" x14ac:dyDescent="0.25">
      <c r="A19" t="s">
        <v>32</v>
      </c>
      <c r="B19" s="58">
        <f>SUM(TDFD!B51:B55)</f>
        <v>29987.703465293442</v>
      </c>
      <c r="C19" s="58">
        <f>SUM(TDFD!C51:C55)</f>
        <v>2110.2005260382521</v>
      </c>
      <c r="D19" s="58">
        <f>SUM(TDFD!D51:D55)</f>
        <v>655.85202429537526</v>
      </c>
      <c r="E19" s="58">
        <f>SUM(TDFD!E51:E55)</f>
        <v>32753.75601562707</v>
      </c>
      <c r="G19" t="s">
        <v>32</v>
      </c>
      <c r="H19" s="11">
        <f>SUM(TDFD!H51:H55)</f>
        <v>29320</v>
      </c>
      <c r="I19" s="11">
        <f>SUM(TDFD!I51:I55)</f>
        <v>1654</v>
      </c>
      <c r="J19" s="11">
        <f>SUM(TDFD!J51:J55)</f>
        <v>538</v>
      </c>
      <c r="K19" s="11">
        <f>SUM(TDFD!K51:K55)</f>
        <v>31512</v>
      </c>
    </row>
    <row r="20" spans="1:11" x14ac:dyDescent="0.25">
      <c r="A20" t="s">
        <v>33</v>
      </c>
      <c r="B20" s="58">
        <f>SUM(TDFD!B56:B70)</f>
        <v>42872.179085685959</v>
      </c>
      <c r="C20" s="58">
        <f>SUM(TDFD!C56:C70)</f>
        <v>2865.9701596570294</v>
      </c>
      <c r="D20" s="58">
        <f>SUM(TDFD!D56:D70)</f>
        <v>726.55427963856243</v>
      </c>
      <c r="E20" s="58">
        <f>SUM(TDFD!E56:E70)</f>
        <v>46464.703524981538</v>
      </c>
      <c r="G20" t="s">
        <v>33</v>
      </c>
      <c r="H20" s="11">
        <f>SUM(TDFD!H56:H70)</f>
        <v>29574</v>
      </c>
      <c r="I20" s="11">
        <f>SUM(TDFD!I56:I70)</f>
        <v>2080</v>
      </c>
      <c r="J20" s="11">
        <f>SUM(TDFD!J56:J70)</f>
        <v>658</v>
      </c>
      <c r="K20" s="11">
        <f>SUM(TDFD!K56:K70)</f>
        <v>32312</v>
      </c>
    </row>
    <row r="21" spans="1:11" x14ac:dyDescent="0.25">
      <c r="A21" t="s">
        <v>34</v>
      </c>
      <c r="B21" s="58">
        <f>SUM(TDFD!B71:B100)</f>
        <v>26475.895767307964</v>
      </c>
      <c r="C21" s="58">
        <f>SUM(TDFD!C71:C100)</f>
        <v>1106.650940634868</v>
      </c>
      <c r="D21" s="58">
        <f>SUM(TDFD!D71:D100)</f>
        <v>750.75346523737107</v>
      </c>
      <c r="E21" s="58">
        <f>SUM(TDFD!E71:E100)</f>
        <v>28333.300173180207</v>
      </c>
      <c r="G21" t="s">
        <v>34</v>
      </c>
      <c r="H21" s="11">
        <f>SUM(TDFD!H71:H100)</f>
        <v>5077</v>
      </c>
      <c r="I21" s="11">
        <f>SUM(TDFD!I71:I100)</f>
        <v>471</v>
      </c>
      <c r="J21" s="11">
        <f>SUM(TDFD!J71:J100)</f>
        <v>112</v>
      </c>
      <c r="K21" s="11">
        <f>SUM(TDFD!K71:K100)</f>
        <v>5660</v>
      </c>
    </row>
    <row ht="15.75" r="22" spans="1:11" thickBot="1" x14ac:dyDescent="0.3">
      <c r="A22" s="6" t="s">
        <v>35</v>
      </c>
      <c r="B22" s="60">
        <f>TDFD!B101</f>
        <v>0</v>
      </c>
      <c r="C22" s="60">
        <f>TDFD!C101</f>
        <v>0</v>
      </c>
      <c r="D22" s="60">
        <f>TDFD!D101</f>
        <v>0</v>
      </c>
      <c r="E22" s="60">
        <f>TDFD!E101</f>
        <v>0</v>
      </c>
      <c r="G22" s="1" t="s">
        <v>35</v>
      </c>
      <c r="H22" s="12">
        <f>TDFD!H101</f>
        <v>0</v>
      </c>
      <c r="I22" s="12">
        <f>TDFD!I101</f>
        <v>0</v>
      </c>
      <c r="J22" s="12">
        <f>TDFD!J101</f>
        <v>0</v>
      </c>
      <c r="K22" s="12">
        <f>TDFD!K101</f>
        <v>0</v>
      </c>
    </row>
    <row r="23" spans="1:11" x14ac:dyDescent="0.25">
      <c r="A23" s="53" t="s">
        <v>218</v>
      </c>
      <c r="B23" s="143">
        <f>SUM(B11:B22)</f>
        <v>475888.83099339483</v>
      </c>
      <c r="C23" s="143">
        <f>SUM(C11:C22)</f>
        <v>55085.373503920098</v>
      </c>
      <c r="D23" s="143">
        <f>SUM(D11:D22)</f>
        <v>29087.46267380262</v>
      </c>
      <c r="E23" s="143">
        <f>SUM(E11:E22)</f>
        <v>560061.66717111738</v>
      </c>
      <c r="G23" s="53" t="s">
        <v>218</v>
      </c>
      <c r="H23" s="143">
        <f>SUM(H11:H22)</f>
        <v>561037</v>
      </c>
      <c r="I23" s="143">
        <f>SUM(I11:I22)</f>
        <v>59233</v>
      </c>
      <c r="J23" s="143">
        <f>SUM(J11:J22)</f>
        <v>25206</v>
      </c>
      <c r="K23" s="143">
        <f>SUM(K11:K22)</f>
        <v>645476</v>
      </c>
    </row>
    <row ht="15.75" r="25" spans="1:11" thickBot="1" x14ac:dyDescent="0.3">
      <c r="A25" s="4" t="s">
        <v>204</v>
      </c>
      <c r="B25" s="1"/>
      <c r="C25" s="1"/>
      <c r="D25" s="1"/>
      <c r="E25" s="1"/>
      <c r="F25" s="95"/>
      <c r="G25" s="4" t="s">
        <v>13</v>
      </c>
      <c r="H25" s="1"/>
      <c r="I25" s="1"/>
      <c r="J25" s="1"/>
      <c r="K25" s="1"/>
    </row>
    <row r="26" spans="1:11" x14ac:dyDescent="0.25">
      <c r="A26" s="2" t="s">
        <v>21</v>
      </c>
      <c r="B26" s="5" t="s">
        <v>8</v>
      </c>
      <c r="C26" s="5" t="s">
        <v>9</v>
      </c>
      <c r="D26" s="5" t="s">
        <v>10</v>
      </c>
      <c r="E26" s="5" t="s">
        <v>3</v>
      </c>
      <c r="F26" s="95"/>
      <c r="G26" s="2" t="s">
        <v>21</v>
      </c>
      <c r="H26" s="5" t="s">
        <v>8</v>
      </c>
      <c r="I26" s="5" t="s">
        <v>9</v>
      </c>
      <c r="J26" s="5" t="s">
        <v>10</v>
      </c>
      <c r="K26" s="5" t="s">
        <v>3</v>
      </c>
    </row>
    <row r="27" spans="1:11" x14ac:dyDescent="0.25">
      <c r="A27" s="95" t="s">
        <v>24</v>
      </c>
      <c r="B27" s="78">
        <f>B11/B$23</f>
        <v>2.0587420530557878E-2</v>
      </c>
      <c r="C27" s="78">
        <f>C11/C$23</f>
        <v>4.9906381657041747E-2</v>
      </c>
      <c r="D27" s="78">
        <f>D11/D$23</f>
        <v>2.079660344661893E-2</v>
      </c>
      <c r="E27" s="78">
        <f>E11/E$23</f>
        <v>2.3481977718966374E-2</v>
      </c>
      <c r="F27" s="95"/>
      <c r="G27" s="95" t="s">
        <v>24</v>
      </c>
      <c r="H27" s="78">
        <f ref="H27:K39" si="0" t="shared">H11/H$23</f>
        <v>1.7198509189233508E-2</v>
      </c>
      <c r="I27" s="78">
        <f si="0" t="shared"/>
        <v>3.0371583407897626E-2</v>
      </c>
      <c r="J27" s="78">
        <f si="0" t="shared"/>
        <v>3.6856304054590179E-2</v>
      </c>
      <c r="K27" s="78">
        <f si="0" t="shared"/>
        <v>1.9174996436738159E-2</v>
      </c>
    </row>
    <row r="28" spans="1:11" x14ac:dyDescent="0.25">
      <c r="A28" s="95" t="s">
        <v>25</v>
      </c>
      <c r="B28" s="78">
        <f ref="B28:E38" si="1" t="shared">B12/B$23</f>
        <v>0.11327591618335146</v>
      </c>
      <c r="C28" s="78">
        <f si="1" t="shared"/>
        <v>0.20777172857418424</v>
      </c>
      <c r="D28" s="78">
        <f si="1" t="shared"/>
        <v>0.22759662923527541</v>
      </c>
      <c r="E28" s="78">
        <f si="1" t="shared"/>
        <v>0.12850751851195599</v>
      </c>
      <c r="F28" s="95"/>
      <c r="G28" s="95" t="s">
        <v>25</v>
      </c>
      <c r="H28" s="78">
        <f si="0" t="shared"/>
        <v>8.6051365596208448E-2</v>
      </c>
      <c r="I28" s="78">
        <f si="0" t="shared"/>
        <v>0.17198183445039084</v>
      </c>
      <c r="J28" s="78">
        <f si="0" t="shared"/>
        <v>0.23696738871697215</v>
      </c>
      <c r="K28" s="78">
        <f si="0" t="shared"/>
        <v>9.9830202827060954E-2</v>
      </c>
    </row>
    <row r="29" spans="1:11" x14ac:dyDescent="0.25">
      <c r="A29" s="95" t="s">
        <v>26</v>
      </c>
      <c r="B29" s="78">
        <f si="1" t="shared"/>
        <v>0.13278569070553226</v>
      </c>
      <c r="C29" s="78">
        <f si="1" t="shared"/>
        <v>0.17756351424935771</v>
      </c>
      <c r="D29" s="78">
        <f si="1" t="shared"/>
        <v>0.301290140571087</v>
      </c>
      <c r="E29" s="78">
        <f si="1" t="shared"/>
        <v>0.14594133134713161</v>
      </c>
      <c r="F29" s="95"/>
      <c r="G29" s="95" t="s">
        <v>26</v>
      </c>
      <c r="H29" s="78">
        <f si="0" t="shared"/>
        <v>0.12888989496236433</v>
      </c>
      <c r="I29" s="78">
        <f si="0" t="shared"/>
        <v>0.20816099133928723</v>
      </c>
      <c r="J29" s="78">
        <f si="0" t="shared"/>
        <v>0.24914702848528128</v>
      </c>
      <c r="K29" s="78">
        <f si="0" t="shared"/>
        <v>0.14086038830258599</v>
      </c>
    </row>
    <row r="30" spans="1:11" x14ac:dyDescent="0.25">
      <c r="A30" s="95" t="s">
        <v>27</v>
      </c>
      <c r="B30" s="78">
        <f si="1" t="shared"/>
        <v>0.1467576853138424</v>
      </c>
      <c r="C30" s="78">
        <f si="1" t="shared"/>
        <v>0.1599782964573607</v>
      </c>
      <c r="D30" s="78">
        <f si="1" t="shared"/>
        <v>0.13769216760160435</v>
      </c>
      <c r="E30" s="78">
        <f si="1" t="shared"/>
        <v>0.14758718217454334</v>
      </c>
      <c r="F30" s="95"/>
      <c r="G30" s="95" t="s">
        <v>27</v>
      </c>
      <c r="H30" s="78">
        <f si="0" t="shared"/>
        <v>0.16701928749797251</v>
      </c>
      <c r="I30" s="78">
        <f si="0" t="shared"/>
        <v>0.17458173653200074</v>
      </c>
      <c r="J30" s="78">
        <f si="0" t="shared"/>
        <v>0.15500277711655955</v>
      </c>
      <c r="K30" s="78">
        <f si="0" t="shared"/>
        <v>0.16724401836784017</v>
      </c>
    </row>
    <row r="31" spans="1:11" x14ac:dyDescent="0.25">
      <c r="A31" s="95" t="s">
        <v>28</v>
      </c>
      <c r="B31" s="78">
        <f si="1" t="shared"/>
        <v>0.11938016305016803</v>
      </c>
      <c r="C31" s="78">
        <f si="1" t="shared"/>
        <v>0.1020413046292856</v>
      </c>
      <c r="D31" s="78">
        <f si="1" t="shared"/>
        <v>0.10094985979154684</v>
      </c>
      <c r="E31" s="78">
        <f si="1" t="shared"/>
        <v>0.1167175843775729</v>
      </c>
      <c r="F31" s="95"/>
      <c r="G31" s="95" t="s">
        <v>28</v>
      </c>
      <c r="H31" s="78">
        <f si="0" t="shared"/>
        <v>0.17417389583931184</v>
      </c>
      <c r="I31" s="78">
        <f si="0" t="shared"/>
        <v>0.14400756335151013</v>
      </c>
      <c r="J31" s="78">
        <f si="0" t="shared"/>
        <v>0.10981512338332143</v>
      </c>
      <c r="K31" s="78">
        <f si="0" t="shared"/>
        <v>0.16889241428031407</v>
      </c>
    </row>
    <row r="32" spans="1:11" x14ac:dyDescent="0.25">
      <c r="A32" s="95" t="s">
        <v>29</v>
      </c>
      <c r="B32" s="78">
        <f si="1" t="shared"/>
        <v>0.10591165320193666</v>
      </c>
      <c r="C32" s="78">
        <f si="1" t="shared"/>
        <v>6.472853649904188E-2</v>
      </c>
      <c r="D32" s="78">
        <f si="1" t="shared"/>
        <v>9.2607081100125443E-2</v>
      </c>
      <c r="E32" s="78">
        <f si="1" t="shared"/>
        <v>0.10117006175639061</v>
      </c>
      <c r="F32" s="95"/>
      <c r="G32" s="95" t="s">
        <v>29</v>
      </c>
      <c r="H32" s="78">
        <f si="0" t="shared"/>
        <v>0.13891597167388248</v>
      </c>
      <c r="I32" s="78">
        <f si="0" t="shared"/>
        <v>9.6314554386912707E-2</v>
      </c>
      <c r="J32" s="78">
        <f si="0" t="shared"/>
        <v>7.5021820201539316E-2</v>
      </c>
      <c r="K32" s="78">
        <f si="0" t="shared"/>
        <v>0.1325115108849903</v>
      </c>
    </row>
    <row r="33" spans="1:11" x14ac:dyDescent="0.25">
      <c r="A33" s="95" t="s">
        <v>30</v>
      </c>
      <c r="B33" s="78">
        <f si="1" t="shared"/>
        <v>8.8062534512067164E-2</v>
      </c>
      <c r="C33" s="78">
        <f si="1" t="shared"/>
        <v>7.8688650994059514E-2</v>
      </c>
      <c r="D33" s="78">
        <f si="1" t="shared"/>
        <v>3.0533811909732814E-2</v>
      </c>
      <c r="E33" s="78">
        <f si="1" t="shared"/>
        <v>8.4152735690807015E-2</v>
      </c>
      <c r="F33" s="95"/>
      <c r="G33" s="95" t="s">
        <v>30</v>
      </c>
      <c r="H33" s="78">
        <f si="0" t="shared"/>
        <v>0.10098620946568586</v>
      </c>
      <c r="I33" s="78">
        <f si="0" t="shared"/>
        <v>6.3646953556294628E-2</v>
      </c>
      <c r="J33" s="78">
        <f si="0" t="shared"/>
        <v>5.0662540664921048E-2</v>
      </c>
      <c r="K33" s="78">
        <f si="0" t="shared"/>
        <v>9.5594568969256791E-2</v>
      </c>
    </row>
    <row r="34" spans="1:11" x14ac:dyDescent="0.25">
      <c r="A34" s="95" t="s">
        <v>31</v>
      </c>
      <c r="B34" s="78">
        <f si="1" t="shared"/>
        <v>6.4501576327629401E-2</v>
      </c>
      <c r="C34" s="78">
        <f si="1" t="shared"/>
        <v>4.889623735213653E-2</v>
      </c>
      <c r="D34" s="78">
        <f si="1" t="shared"/>
        <v>1.5197651113158062E-2</v>
      </c>
      <c r="E34" s="78">
        <f si="1" t="shared"/>
        <v>6.0406041594724055E-2</v>
      </c>
      <c r="F34" s="95"/>
      <c r="G34" s="95" t="s">
        <v>31</v>
      </c>
      <c r="H34" s="78">
        <f si="0" t="shared"/>
        <v>7.2742082964225172E-2</v>
      </c>
      <c r="I34" s="78">
        <f si="0" t="shared"/>
        <v>3.9943950162915944E-2</v>
      </c>
      <c r="J34" s="78">
        <f si="0" t="shared"/>
        <v>3.4634610806950725E-2</v>
      </c>
      <c r="K34" s="78">
        <f si="0" t="shared"/>
        <v>6.824421047413072E-2</v>
      </c>
    </row>
    <row r="35" spans="1:11" x14ac:dyDescent="0.25">
      <c r="A35" s="95" t="s">
        <v>32</v>
      </c>
      <c r="B35" s="78">
        <f si="1" t="shared"/>
        <v>6.3014093864517826E-2</v>
      </c>
      <c r="C35" s="78">
        <f si="1" t="shared"/>
        <v>3.8307819150723954E-2</v>
      </c>
      <c r="D35" s="78">
        <f si="1" t="shared"/>
        <v>2.2547584560755205E-2</v>
      </c>
      <c r="E35" s="78">
        <f si="1" t="shared"/>
        <v>5.848240994793831E-2</v>
      </c>
      <c r="F35" s="95"/>
      <c r="G35" s="95" t="s">
        <v>32</v>
      </c>
      <c r="H35" s="78">
        <f si="0" t="shared"/>
        <v>5.2260367854526528E-2</v>
      </c>
      <c r="I35" s="78">
        <f si="0" t="shared"/>
        <v>2.7923623655732446E-2</v>
      </c>
      <c r="J35" s="78">
        <f si="0" t="shared"/>
        <v>2.1344124414821867E-2</v>
      </c>
      <c r="K35" s="78">
        <f si="0" t="shared"/>
        <v>4.8819785708531377E-2</v>
      </c>
    </row>
    <row r="36" spans="1:11" x14ac:dyDescent="0.25">
      <c r="A36" s="95" t="s">
        <v>33</v>
      </c>
      <c r="B36" s="78">
        <f si="1" t="shared"/>
        <v>9.0088643173642818E-2</v>
      </c>
      <c r="C36" s="78">
        <f si="1" t="shared"/>
        <v>5.2027788455552094E-2</v>
      </c>
      <c r="D36" s="78">
        <f si="1" t="shared"/>
        <v>2.4978262552028212E-2</v>
      </c>
      <c r="E36" s="78">
        <f si="1" t="shared"/>
        <v>8.2963548924309849E-2</v>
      </c>
      <c r="F36" s="95"/>
      <c r="G36" s="95" t="s">
        <v>33</v>
      </c>
      <c r="H36" s="78">
        <f si="0" t="shared"/>
        <v>5.2713100918477744E-2</v>
      </c>
      <c r="I36" s="78">
        <f si="0" t="shared"/>
        <v>3.5115560582783249E-2</v>
      </c>
      <c r="J36" s="78">
        <f si="0" t="shared"/>
        <v>2.6104895659763549E-2</v>
      </c>
      <c r="K36" s="78">
        <f si="0" t="shared"/>
        <v>5.0059181131444079E-2</v>
      </c>
    </row>
    <row r="37" spans="1:11" x14ac:dyDescent="0.25">
      <c r="A37" s="95" t="s">
        <v>34</v>
      </c>
      <c r="B37" s="78">
        <f si="1" t="shared"/>
        <v>5.5634623136754054E-2</v>
      </c>
      <c r="C37" s="78">
        <f si="1" t="shared"/>
        <v>2.0089741981255953E-2</v>
      </c>
      <c r="D37" s="78">
        <f si="1" t="shared"/>
        <v>2.5810208118067682E-2</v>
      </c>
      <c r="E37" s="78">
        <f si="1" t="shared"/>
        <v>5.0589607955660081E-2</v>
      </c>
      <c r="F37" s="95"/>
      <c r="G37" s="95" t="s">
        <v>34</v>
      </c>
      <c r="H37" s="78">
        <f si="0" t="shared"/>
        <v>9.0493140381115687E-3</v>
      </c>
      <c r="I37" s="78">
        <f si="0" t="shared"/>
        <v>7.9516485742744756E-3</v>
      </c>
      <c r="J37" s="78">
        <f si="0" t="shared"/>
        <v>4.4433864952789018E-3</v>
      </c>
      <c r="K37" s="78">
        <f si="0" t="shared"/>
        <v>8.7687226171073752E-3</v>
      </c>
    </row>
    <row r="38" spans="1:11" x14ac:dyDescent="0.25">
      <c r="A38" s="6" t="s">
        <v>35</v>
      </c>
      <c r="B38" s="197">
        <f si="1" t="shared"/>
        <v>0</v>
      </c>
      <c r="C38" s="197">
        <f si="1" t="shared"/>
        <v>0</v>
      </c>
      <c r="D38" s="197">
        <f si="1" t="shared"/>
        <v>0</v>
      </c>
      <c r="E38" s="197">
        <f si="1" t="shared"/>
        <v>0</v>
      </c>
      <c r="F38" s="95"/>
      <c r="G38" s="6" t="s">
        <v>35</v>
      </c>
      <c r="H38" s="197">
        <f si="0" t="shared"/>
        <v>0</v>
      </c>
      <c r="I38" s="197">
        <f si="0" t="shared"/>
        <v>0</v>
      </c>
      <c r="J38" s="197">
        <f si="0" t="shared"/>
        <v>0</v>
      </c>
      <c r="K38" s="197">
        <f si="0" t="shared"/>
        <v>0</v>
      </c>
    </row>
    <row r="39" spans="1:11" x14ac:dyDescent="0.25">
      <c r="A39" s="53" t="s">
        <v>218</v>
      </c>
      <c r="B39" s="198">
        <f>B23/B$23</f>
        <v>1</v>
      </c>
      <c r="C39" s="198">
        <f>C23/C$23</f>
        <v>1</v>
      </c>
      <c r="D39" s="198">
        <f>D23/D$23</f>
        <v>1</v>
      </c>
      <c r="E39" s="198">
        <f>E23/E$23</f>
        <v>1</v>
      </c>
      <c r="G39" s="53" t="s">
        <v>218</v>
      </c>
      <c r="H39" s="198">
        <f si="0" t="shared"/>
        <v>1</v>
      </c>
      <c r="I39" s="198">
        <f si="0" t="shared"/>
        <v>1</v>
      </c>
      <c r="J39" s="198">
        <f si="0" t="shared"/>
        <v>1</v>
      </c>
      <c r="K39" s="198">
        <f si="0" t="shared"/>
        <v>1</v>
      </c>
    </row>
  </sheetData>
  <pageMargins bottom="0.75" footer="0.3" header="0.3" left="0.7" right="0.7" top="0.75"/>
  <pageSetup orientation="portrait" r:id="rId1"/>
  <ignoredErrors>
    <ignoredError formulaRange="1" sqref="B11:D22 H12:K22 I11:K11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CS109"/>
  <sheetViews>
    <sheetView topLeftCell="CC1" workbookViewId="0" zoomScaleNormal="100">
      <selection activeCell="CO42" sqref="CO42"/>
    </sheetView>
  </sheetViews>
  <sheetFormatPr defaultRowHeight="15" x14ac:dyDescent="0.25"/>
  <cols>
    <col min="1" max="1" customWidth="true" width="10.85546875" collapsed="true"/>
    <col min="2" max="2" bestFit="true" customWidth="true" width="10.7109375" collapsed="true"/>
    <col min="3" max="3" customWidth="true" width="8.0" collapsed="true"/>
    <col min="4" max="6" bestFit="true" customWidth="true" width="10.7109375" collapsed="true"/>
    <col min="7" max="7" bestFit="true" customWidth="true" width="11.5703125" collapsed="true"/>
    <col min="8" max="8" customWidth="true" style="95" width="8.0" collapsed="true"/>
    <col min="9" max="9" bestFit="true" customWidth="true" width="9.7109375" collapsed="true"/>
    <col min="10" max="10" bestFit="true" customWidth="true" width="10.7109375" collapsed="true"/>
    <col min="11" max="11" customWidth="true" style="95" width="9.7109375" collapsed="true"/>
    <col min="12" max="12" customWidth="true" style="95" width="9.0" collapsed="true"/>
    <col min="13" max="13" customWidth="true" style="95" width="8.7109375" collapsed="true"/>
    <col min="14" max="14" customWidth="true" style="95" width="8.140625" collapsed="true"/>
    <col min="15" max="15" customWidth="true" style="95" width="9.7109375" collapsed="true"/>
    <col min="16" max="16" customWidth="true" style="95" width="9.140625" collapsed="true"/>
    <col min="17" max="18" customWidth="true" style="95" width="7.5703125" collapsed="true"/>
    <col min="19" max="19" customWidth="true" style="95" width="10.85546875" collapsed="true"/>
    <col min="20" max="20" customWidth="true" style="95" width="8.85546875" collapsed="true"/>
    <col min="21" max="21" customWidth="true" style="95" width="8.5703125" collapsed="true"/>
    <col min="22" max="22" customWidth="true" style="95" width="7.5703125" collapsed="true"/>
    <col min="23" max="23" customWidth="true" style="95" width="9.42578125" collapsed="true"/>
    <col min="24" max="26" customWidth="true" width="9.140625" collapsed="true"/>
    <col min="27" max="27" customWidth="true" width="8.0" collapsed="true"/>
    <col min="28" max="28" customWidth="true" width="9.0" collapsed="true"/>
    <col min="29" max="29" customWidth="true" width="8.85546875" collapsed="true"/>
    <col min="30" max="30" customWidth="true" width="9.0" collapsed="true"/>
    <col min="31" max="31" customWidth="true" width="9.7109375" collapsed="true"/>
    <col min="32" max="36" customWidth="true" style="95" width="8.0" collapsed="true"/>
    <col min="37" max="37" customWidth="true" width="8.7109375" collapsed="true"/>
    <col min="38" max="38" customWidth="true" width="9.28515625" collapsed="true"/>
    <col min="39" max="39" customWidth="true" style="95" width="9.140625" collapsed="true"/>
    <col min="40" max="40" customWidth="true" style="95" width="8.28515625" collapsed="true"/>
    <col min="41" max="41" customWidth="true" style="95" width="7.5703125" collapsed="true"/>
    <col min="42" max="42" bestFit="true" customWidth="true" style="95" width="8.0" collapsed="true"/>
    <col min="43" max="43" customWidth="true" style="95" width="8.42578125" collapsed="true"/>
    <col min="44" max="45" customWidth="true" style="95" width="8.85546875" collapsed="true"/>
    <col min="46" max="46" customWidth="true" style="95" width="7.5703125" collapsed="true"/>
    <col min="47" max="47" customWidth="true" style="95" width="9.0" collapsed="true"/>
    <col min="48" max="48" customWidth="true" width="9.140625" collapsed="true"/>
    <col min="49" max="49" customWidth="true" width="11.5703125" collapsed="true"/>
    <col min="50" max="51" bestFit="true" customWidth="true" width="10.5703125" collapsed="true"/>
    <col min="52" max="52" customWidth="true" width="9.140625" collapsed="true"/>
    <col min="53" max="55" bestFit="true" customWidth="true" width="10.5703125" collapsed="true"/>
    <col min="56" max="56" customWidth="true" style="95" width="9.5703125" collapsed="true"/>
    <col min="57" max="57" bestFit="true" customWidth="true" width="9.5703125" collapsed="true"/>
    <col min="58" max="59" bestFit="true" customWidth="true" width="10.5703125" collapsed="true"/>
    <col min="60" max="61" bestFit="true" customWidth="true" width="11.5703125" collapsed="true"/>
    <col min="62" max="64" bestFit="true" customWidth="true" width="10.5703125" collapsed="true"/>
    <col min="65" max="65" bestFit="true" customWidth="true" width="9.5703125" collapsed="true"/>
    <col min="66" max="69" bestFit="true" customWidth="true" width="10.5703125" collapsed="true"/>
    <col min="70" max="70" bestFit="true" customWidth="true" width="9.28515625" collapsed="true"/>
    <col min="71" max="71" bestFit="true" customWidth="true" width="11.5703125" collapsed="true"/>
    <col min="75" max="75" bestFit="true" customWidth="true" width="19.28515625" collapsed="true"/>
    <col min="76" max="76" bestFit="true" customWidth="true" width="10.5703125" collapsed="true"/>
    <col min="77" max="77" customWidth="true" width="11.42578125" collapsed="true"/>
    <col min="82" max="82" bestFit="true" customWidth="true" width="11.5703125" collapsed="true"/>
    <col min="84" max="84" bestFit="true" customWidth="true" width="8.0" collapsed="true"/>
    <col min="88" max="88" customWidth="true" width="11.85546875" collapsed="true"/>
    <col min="89" max="89" bestFit="true" customWidth="true" width="15.7109375" collapsed="true"/>
    <col min="90" max="90" customWidth="true" width="13.5703125" collapsed="true"/>
    <col min="92" max="92" customWidth="true" width="11.140625" collapsed="true"/>
    <col min="93" max="93" customWidth="true" width="14.140625" collapsed="true"/>
    <col min="94" max="94" bestFit="true" customWidth="true" width="10.28515625" collapsed="true"/>
    <col min="96" max="96" bestFit="true" customWidth="true" width="10.5703125" collapsed="true"/>
  </cols>
  <sheetData>
    <row r="1" spans="1:96" x14ac:dyDescent="0.25">
      <c r="A1" t="s">
        <v>319</v>
      </c>
    </row>
    <row r="2" spans="1:96" x14ac:dyDescent="0.25">
      <c r="A2" t="s">
        <v>247</v>
      </c>
    </row>
    <row r="3" spans="1:96" x14ac:dyDescent="0.25">
      <c r="A3" t="s">
        <v>16</v>
      </c>
    </row>
    <row ht="15.75" r="5" spans="1:96" thickBot="1" x14ac:dyDescent="0.3">
      <c r="A5" s="4" t="s">
        <v>322</v>
      </c>
      <c r="B5" s="1"/>
      <c r="C5" s="1"/>
      <c r="D5" s="1"/>
      <c r="E5" s="1"/>
      <c r="F5" s="1"/>
      <c r="G5" s="1"/>
      <c r="H5" s="1"/>
      <c r="I5" s="1"/>
      <c r="J5" s="1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1"/>
      <c r="W5" s="1"/>
      <c r="X5" s="7"/>
      <c r="Y5" s="4" t="s">
        <v>321</v>
      </c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7"/>
      <c r="AN5" s="7"/>
      <c r="AO5" s="7"/>
      <c r="AP5" s="7"/>
      <c r="AQ5" s="7"/>
      <c r="AR5" s="7"/>
      <c r="AS5" s="7"/>
      <c r="AT5" s="7"/>
      <c r="AU5" s="7"/>
      <c r="AW5" s="4" t="s">
        <v>323</v>
      </c>
      <c r="AX5" s="1"/>
      <c r="AY5" s="1"/>
      <c r="AZ5" s="1"/>
      <c r="BA5" s="1"/>
      <c r="BB5" s="1"/>
      <c r="BC5" s="1"/>
      <c r="BD5" s="1"/>
      <c r="BE5" s="1"/>
      <c r="BF5" s="1"/>
    </row>
    <row r="6" spans="1:96" x14ac:dyDescent="0.25">
      <c r="A6" s="2" t="s">
        <v>14</v>
      </c>
      <c r="B6" s="2">
        <v>1</v>
      </c>
      <c r="C6" s="2">
        <v>2</v>
      </c>
      <c r="D6" s="2">
        <v>3</v>
      </c>
      <c r="E6" s="2">
        <v>4</v>
      </c>
      <c r="F6" s="2">
        <v>5</v>
      </c>
      <c r="G6" s="2">
        <v>6</v>
      </c>
      <c r="H6" s="2">
        <v>7</v>
      </c>
      <c r="I6" s="2">
        <v>8</v>
      </c>
      <c r="J6" s="2">
        <v>9</v>
      </c>
      <c r="K6" s="2">
        <v>10</v>
      </c>
      <c r="L6" s="2">
        <v>11</v>
      </c>
      <c r="M6" s="2">
        <v>12</v>
      </c>
      <c r="N6" s="2">
        <v>13</v>
      </c>
      <c r="O6" s="2">
        <v>14</v>
      </c>
      <c r="P6" s="2">
        <v>15</v>
      </c>
      <c r="Q6" s="2">
        <v>16</v>
      </c>
      <c r="R6" s="2">
        <v>17</v>
      </c>
      <c r="S6" s="2">
        <v>18</v>
      </c>
      <c r="T6" s="2">
        <v>19</v>
      </c>
      <c r="U6" s="2">
        <v>20</v>
      </c>
      <c r="V6" s="3" t="s">
        <v>15</v>
      </c>
      <c r="W6" s="3" t="s">
        <v>3</v>
      </c>
      <c r="X6" s="79"/>
      <c r="Y6" s="2" t="s">
        <v>14</v>
      </c>
      <c r="Z6" s="2">
        <v>1</v>
      </c>
      <c r="AA6" s="2">
        <v>2</v>
      </c>
      <c r="AB6" s="2">
        <v>3</v>
      </c>
      <c r="AC6" s="2">
        <v>4</v>
      </c>
      <c r="AD6" s="2">
        <v>5</v>
      </c>
      <c r="AE6" s="2">
        <v>6</v>
      </c>
      <c r="AF6" s="2">
        <v>7</v>
      </c>
      <c r="AG6" s="2">
        <v>8</v>
      </c>
      <c r="AH6" s="2">
        <v>9</v>
      </c>
      <c r="AI6" s="2">
        <v>10</v>
      </c>
      <c r="AJ6" s="2">
        <v>11</v>
      </c>
      <c r="AK6" s="2">
        <v>12</v>
      </c>
      <c r="AL6" s="2">
        <v>13</v>
      </c>
      <c r="AM6" s="2">
        <v>14</v>
      </c>
      <c r="AN6" s="2">
        <v>15</v>
      </c>
      <c r="AO6" s="2">
        <v>16</v>
      </c>
      <c r="AP6" s="2">
        <v>17</v>
      </c>
      <c r="AQ6" s="2">
        <v>18</v>
      </c>
      <c r="AR6" s="2">
        <v>19</v>
      </c>
      <c r="AS6" s="2">
        <v>20</v>
      </c>
      <c r="AT6" s="3" t="s">
        <v>15</v>
      </c>
      <c r="AU6" s="3" t="s">
        <v>3</v>
      </c>
      <c r="AW6" s="2" t="s">
        <v>14</v>
      </c>
      <c r="AX6" s="2">
        <v>1</v>
      </c>
      <c r="AY6" s="2">
        <v>2</v>
      </c>
      <c r="AZ6" s="2">
        <v>3</v>
      </c>
      <c r="BA6" s="2">
        <v>4</v>
      </c>
      <c r="BB6" s="2">
        <v>5</v>
      </c>
      <c r="BC6" s="2">
        <v>6</v>
      </c>
      <c r="BD6" s="2">
        <v>7</v>
      </c>
      <c r="BE6" s="2">
        <v>8</v>
      </c>
      <c r="BF6" s="2">
        <v>9</v>
      </c>
      <c r="BG6" s="2">
        <v>10</v>
      </c>
      <c r="BH6" s="2">
        <v>11</v>
      </c>
      <c r="BI6" s="2">
        <v>12</v>
      </c>
      <c r="BJ6" s="2">
        <v>13</v>
      </c>
      <c r="BK6" s="2">
        <v>14</v>
      </c>
      <c r="BL6" s="2">
        <v>15</v>
      </c>
      <c r="BM6" s="2">
        <v>16</v>
      </c>
      <c r="BN6" s="2">
        <v>17</v>
      </c>
      <c r="BO6" s="2">
        <v>18</v>
      </c>
      <c r="BP6" s="2">
        <v>19</v>
      </c>
      <c r="BQ6" s="2">
        <v>20</v>
      </c>
      <c r="BR6" s="3" t="s">
        <v>15</v>
      </c>
      <c r="BS6" s="3" t="s">
        <v>3</v>
      </c>
      <c r="BV6" s="2" t="s">
        <v>362</v>
      </c>
      <c r="BW6" s="2">
        <v>1</v>
      </c>
      <c r="BX6" s="2">
        <v>2</v>
      </c>
      <c r="BY6" s="2">
        <v>3</v>
      </c>
      <c r="BZ6" s="2">
        <v>4</v>
      </c>
      <c r="CA6" s="2">
        <v>5</v>
      </c>
      <c r="CB6" s="2">
        <v>6</v>
      </c>
      <c r="CC6" s="2">
        <v>7</v>
      </c>
      <c r="CD6" s="2">
        <v>8</v>
      </c>
      <c r="CE6" s="2">
        <v>9</v>
      </c>
      <c r="CF6" s="2">
        <v>10</v>
      </c>
      <c r="CG6" s="2">
        <v>11</v>
      </c>
      <c r="CH6" s="2">
        <v>12</v>
      </c>
      <c r="CI6" s="2">
        <v>13</v>
      </c>
      <c r="CJ6" s="2">
        <v>14</v>
      </c>
      <c r="CK6" s="2">
        <v>15</v>
      </c>
      <c r="CL6" s="2">
        <v>16</v>
      </c>
      <c r="CM6" s="2">
        <v>17</v>
      </c>
      <c r="CN6" s="2">
        <v>18</v>
      </c>
      <c r="CO6" s="2">
        <v>19</v>
      </c>
      <c r="CP6" s="2">
        <v>20</v>
      </c>
      <c r="CQ6" s="3" t="s">
        <v>15</v>
      </c>
      <c r="CR6" s="3" t="s">
        <v>3</v>
      </c>
    </row>
    <row r="7" spans="1:96" x14ac:dyDescent="0.25">
      <c r="A7" s="31">
        <v>1</v>
      </c>
      <c r="B7" s="77" t="n">
        <v>1245.7619306465901</v>
      </c>
      <c r="C7" s="77" t="n">
        <v>172.7314439031681</v>
      </c>
      <c r="D7" s="77" t="n">
        <v>138.494379652866</v>
      </c>
      <c r="E7" s="77" t="n">
        <v>0.0</v>
      </c>
      <c r="F7" s="77" t="n">
        <v>131.8037602819868</v>
      </c>
      <c r="G7" s="77" t="n">
        <v>1714.8636421594836</v>
      </c>
      <c r="H7" s="77" t="n">
        <v>0.0</v>
      </c>
      <c r="I7" s="77" t="n">
        <v>0.0</v>
      </c>
      <c r="J7" s="77" t="n">
        <v>522.8792491131654</v>
      </c>
      <c r="K7" s="77" t="n">
        <v>72.1794813576292</v>
      </c>
      <c r="L7" s="77" t="n">
        <v>342.832140949562</v>
      </c>
      <c r="M7" s="77" t="n">
        <v>310.1919464932784</v>
      </c>
      <c r="N7" s="77" t="n">
        <v>0.0</v>
      </c>
      <c r="O7" s="77" t="n">
        <v>0.0</v>
      </c>
      <c r="P7" s="77" t="n">
        <v>0.0</v>
      </c>
      <c r="Q7" s="77" t="n">
        <v>0.0</v>
      </c>
      <c r="R7" s="77" t="n">
        <v>0.0</v>
      </c>
      <c r="S7" s="77" t="n">
        <v>0.0</v>
      </c>
      <c r="T7" s="77" t="n">
        <v>0.0</v>
      </c>
      <c r="U7" s="77" t="n">
        <v>0.0</v>
      </c>
      <c r="V7" s="77"/>
      <c r="W7" s="77">
        <f>SUM(B7:V7)</f>
        <v>4651.7379745577291</v>
      </c>
      <c r="X7" s="15"/>
      <c r="Y7" s="31">
        <v>1</v>
      </c>
      <c r="Z7" s="77">
        <v>1480</v>
      </c>
      <c r="AA7" s="77">
        <v>380</v>
      </c>
      <c r="AB7" s="77">
        <v>205</v>
      </c>
      <c r="AC7" s="77">
        <v>185</v>
      </c>
      <c r="AD7" s="77">
        <v>215</v>
      </c>
      <c r="AE7" s="77">
        <v>1579</v>
      </c>
      <c r="AF7" s="77">
        <v>261</v>
      </c>
      <c r="AG7" s="77">
        <v>26</v>
      </c>
      <c r="AH7" s="77">
        <v>263</v>
      </c>
      <c r="AI7" s="77">
        <v>131</v>
      </c>
      <c r="AJ7" s="77">
        <v>180</v>
      </c>
      <c r="AK7" s="77">
        <v>1011</v>
      </c>
      <c r="AL7" s="77">
        <v>63</v>
      </c>
      <c r="AM7" s="77">
        <v>12</v>
      </c>
      <c r="AN7" s="77">
        <v>29</v>
      </c>
      <c r="AO7" s="77">
        <v>17</v>
      </c>
      <c r="AP7" s="77">
        <v>7</v>
      </c>
      <c r="AQ7" s="77">
        <v>11</v>
      </c>
      <c r="AR7" s="77">
        <v>33</v>
      </c>
      <c r="AS7" s="77">
        <v>13</v>
      </c>
      <c r="AT7" s="77"/>
      <c r="AU7" s="77">
        <f>SUM(Z7:AT7)</f>
        <v>6101</v>
      </c>
      <c r="AV7" s="14"/>
      <c r="AW7" s="31">
        <v>1</v>
      </c>
      <c r="AX7" s="77" t="n">
        <v>925.0</v>
      </c>
      <c r="AY7" s="77" t="n">
        <v>459.0</v>
      </c>
      <c r="AZ7" s="77" t="n">
        <v>1907.0</v>
      </c>
      <c r="BA7" s="77" t="n">
        <v>2657.0</v>
      </c>
      <c r="BB7" s="77" t="n">
        <v>2297.0</v>
      </c>
      <c r="BC7" s="77" t="n">
        <v>1118.0</v>
      </c>
      <c r="BD7" s="77" t="n">
        <v>890.0</v>
      </c>
      <c r="BE7" s="77" t="n">
        <v>182.0</v>
      </c>
      <c r="BF7" s="77" t="n">
        <v>761.0</v>
      </c>
      <c r="BG7" s="77" t="n">
        <v>844.0</v>
      </c>
      <c r="BH7" s="77" t="n">
        <v>1860.0</v>
      </c>
      <c r="BI7" s="77" t="n">
        <v>2949.0</v>
      </c>
      <c r="BJ7" s="77" t="n">
        <v>1551.0</v>
      </c>
      <c r="BK7" s="77" t="n">
        <v>1668.0</v>
      </c>
      <c r="BL7" s="77" t="n">
        <v>451.0</v>
      </c>
      <c r="BM7" s="77" t="n">
        <v>578.0</v>
      </c>
      <c r="BN7" s="77" t="n">
        <v>805.0</v>
      </c>
      <c r="BO7" s="77" t="n">
        <v>290.0</v>
      </c>
      <c r="BP7" s="77" t="n">
        <v>962.0</v>
      </c>
      <c r="BQ7" s="77" t="n">
        <v>3847.0</v>
      </c>
      <c r="BR7" s="77"/>
      <c r="BS7" s="77">
        <f>SUM(AX7:BR7)</f>
        <v>4829</v>
      </c>
      <c r="BT7" s="102"/>
      <c r="BU7" t="s">
        <v>348</v>
      </c>
      <c r="BV7" s="95" t="s">
        <v>345</v>
      </c>
      <c r="BW7" s="108">
        <f>B28</f>
        <v>59653.544440759513</v>
      </c>
      <c r="BX7" s="108">
        <f ref="BX7:CR7" si="0" t="shared">C28</f>
        <v>23682.665169572778</v>
      </c>
      <c r="BY7" s="108">
        <f si="0" t="shared"/>
        <v>14920.556829080699</v>
      </c>
      <c r="BZ7" s="108">
        <f si="0" t="shared"/>
        <v>17534.852697132013</v>
      </c>
      <c r="CA7" s="108">
        <f si="0" t="shared"/>
        <v>16427.66561240298</v>
      </c>
      <c r="CB7" s="108">
        <f si="0" t="shared"/>
        <v>84979.951347610724</v>
      </c>
      <c r="CC7" s="108">
        <f si="0" t="shared"/>
        <v>52872.439568670117</v>
      </c>
      <c r="CD7" s="108">
        <f si="0" t="shared"/>
        <v>4985.6374748589815</v>
      </c>
      <c r="CE7" s="108">
        <f si="0" t="shared"/>
        <v>36973.784533068967</v>
      </c>
      <c r="CF7" s="108">
        <f si="0" t="shared"/>
        <v>8821.4341383130341</v>
      </c>
      <c r="CG7" s="108">
        <f si="0" t="shared"/>
        <v>29966.124608656566</v>
      </c>
      <c r="CH7" s="108">
        <f si="0" t="shared"/>
        <v>105320.53463114968</v>
      </c>
      <c r="CI7" s="108">
        <f si="0" t="shared"/>
        <v>39542.599161277889</v>
      </c>
      <c r="CJ7" s="108">
        <f si="0" t="shared"/>
        <v>10674.988460489061</v>
      </c>
      <c r="CK7" s="108">
        <f si="0" t="shared"/>
        <v>12678.195969196768</v>
      </c>
      <c r="CL7" s="108">
        <f si="0" t="shared"/>
        <v>1470.352749710549</v>
      </c>
      <c r="CM7" s="108">
        <f si="0" t="shared"/>
        <v>6774.47985647735</v>
      </c>
      <c r="CN7" s="108">
        <f si="0" t="shared"/>
        <v>8463.186929443702</v>
      </c>
      <c r="CO7" s="108">
        <f si="0" t="shared"/>
        <v>12412.957962668792</v>
      </c>
      <c r="CP7" s="108">
        <f si="0" t="shared"/>
        <v>11905.715030577378</v>
      </c>
      <c r="CQ7" s="108">
        <f si="0" t="shared"/>
        <v>0</v>
      </c>
      <c r="CR7" s="108">
        <f si="0" t="shared"/>
        <v>560061.6671711175</v>
      </c>
    </row>
    <row r="8" spans="1:96" x14ac:dyDescent="0.25">
      <c r="A8">
        <v>2</v>
      </c>
      <c r="B8" s="77" t="n">
        <v>632.7430466156676</v>
      </c>
      <c r="C8" s="77" t="n">
        <v>741.5142334257965</v>
      </c>
      <c r="D8" s="77" t="n">
        <v>219.4705078241258</v>
      </c>
      <c r="E8" s="77" t="n">
        <v>1572.761314504123</v>
      </c>
      <c r="F8" s="77" t="n">
        <v>36.0897406788146</v>
      </c>
      <c r="G8" s="77" t="n">
        <v>1080.0741984018553</v>
      </c>
      <c r="H8" s="77" t="n">
        <v>645.6097921094778</v>
      </c>
      <c r="I8" s="77" t="n">
        <v>0.0</v>
      </c>
      <c r="J8" s="77" t="n">
        <v>855.0011775624522</v>
      </c>
      <c r="K8" s="77" t="n">
        <v>66.4470996284488</v>
      </c>
      <c r="L8" s="77" t="n">
        <v>96.5011790627246</v>
      </c>
      <c r="M8" s="77" t="n">
        <v>733.9809607294176</v>
      </c>
      <c r="N8" s="77" t="n">
        <v>0.0</v>
      </c>
      <c r="O8" s="77" t="n">
        <v>0.0</v>
      </c>
      <c r="P8" s="77" t="n">
        <v>0.0</v>
      </c>
      <c r="Q8" s="77" t="n">
        <v>0.0</v>
      </c>
      <c r="R8" s="77" t="n">
        <v>0.0</v>
      </c>
      <c r="S8" s="77" t="n">
        <v>0.0</v>
      </c>
      <c r="T8" s="77" t="n">
        <v>140.4521815946746</v>
      </c>
      <c r="U8" s="77" t="n">
        <v>0.0</v>
      </c>
      <c r="V8" s="77"/>
      <c r="W8" s="77">
        <f ref="W8:W27" si="1" t="shared">SUM(B8:V8)</f>
        <v>6820.6454321375786</v>
      </c>
      <c r="X8" s="15"/>
      <c r="Y8" s="95">
        <v>2</v>
      </c>
      <c r="Z8" s="77">
        <v>1542</v>
      </c>
      <c r="AA8" s="77">
        <v>1567</v>
      </c>
      <c r="AB8" s="77">
        <v>612</v>
      </c>
      <c r="AC8" s="77">
        <v>368</v>
      </c>
      <c r="AD8" s="77">
        <v>395</v>
      </c>
      <c r="AE8" s="77">
        <v>2551</v>
      </c>
      <c r="AF8" s="77">
        <v>1116</v>
      </c>
      <c r="AG8" s="77">
        <v>85</v>
      </c>
      <c r="AH8" s="77">
        <v>1088</v>
      </c>
      <c r="AI8" s="77">
        <v>269</v>
      </c>
      <c r="AJ8" s="77">
        <v>653</v>
      </c>
      <c r="AK8" s="77">
        <v>2468</v>
      </c>
      <c r="AL8" s="77">
        <v>224</v>
      </c>
      <c r="AM8" s="77">
        <v>47</v>
      </c>
      <c r="AN8" s="77">
        <v>160</v>
      </c>
      <c r="AO8" s="77">
        <v>46</v>
      </c>
      <c r="AP8" s="77">
        <v>45</v>
      </c>
      <c r="AQ8" s="77">
        <v>62</v>
      </c>
      <c r="AR8" s="77">
        <v>88</v>
      </c>
      <c r="AS8" s="77">
        <v>36</v>
      </c>
      <c r="AT8" s="77"/>
      <c r="AU8" s="77">
        <f ref="AU8:AU27" si="2" t="shared">SUM(Z8:AT8)</f>
        <v>13422</v>
      </c>
      <c r="AV8" s="14"/>
      <c r="AW8" s="95">
        <v>2</v>
      </c>
      <c r="AX8" s="77" t="n">
        <v>479.0</v>
      </c>
      <c r="AY8" s="77" t="n">
        <v>497.0</v>
      </c>
      <c r="AZ8" s="77" t="n">
        <v>1410.0</v>
      </c>
      <c r="BA8" s="77" t="n">
        <v>1917.0</v>
      </c>
      <c r="BB8" s="77" t="n">
        <v>2819.0</v>
      </c>
      <c r="BC8" s="77" t="n">
        <v>796.0</v>
      </c>
      <c r="BD8" s="77" t="n">
        <v>480.0</v>
      </c>
      <c r="BE8" s="77" t="n">
        <v>161.0</v>
      </c>
      <c r="BF8" s="77" t="n">
        <v>560.0</v>
      </c>
      <c r="BG8" s="77" t="n">
        <v>581.0</v>
      </c>
      <c r="BH8" s="77" t="n">
        <v>1092.0</v>
      </c>
      <c r="BI8" s="77" t="n">
        <v>1128.0</v>
      </c>
      <c r="BJ8" s="77" t="n">
        <v>1275.0</v>
      </c>
      <c r="BK8" s="77" t="n">
        <v>1330.0</v>
      </c>
      <c r="BL8" s="77" t="n">
        <v>186.0</v>
      </c>
      <c r="BM8" s="77" t="n">
        <v>376.0</v>
      </c>
      <c r="BN8" s="77" t="n">
        <v>495.0</v>
      </c>
      <c r="BO8" s="77" t="n">
        <v>140.0</v>
      </c>
      <c r="BP8" s="77" t="n">
        <v>565.0</v>
      </c>
      <c r="BQ8" s="77" t="n">
        <v>1887.0</v>
      </c>
      <c r="BR8" s="77"/>
      <c r="BS8" s="77">
        <f ref="BS8:BS27" si="3" t="shared">SUM(AX8:BR8)</f>
        <v>14477</v>
      </c>
      <c r="BT8" s="102"/>
      <c r="BV8" t="s">
        <v>359</v>
      </c>
      <c r="BW8" s="58">
        <f>Flow_ODData!C25</f>
        <v>40646.598554106436</v>
      </c>
      <c r="BX8" s="58">
        <f>Flow_ODData!D25</f>
        <v>42317.179366221637</v>
      </c>
      <c r="BY8" s="58">
        <f>Flow_ODData!E25</f>
        <v>44705.600948499537</v>
      </c>
      <c r="BZ8" s="58">
        <f>Flow_ODData!F25</f>
        <v>25156.048569777733</v>
      </c>
      <c r="CA8" s="58">
        <f>Flow_ODData!G25</f>
        <v>23447.799661338322</v>
      </c>
      <c r="CB8" s="58">
        <f>Flow_ODData!H25</f>
        <v>72475.32530618021</v>
      </c>
      <c r="CC8" s="58">
        <f>Flow_ODData!I25</f>
        <v>127027.92076090976</v>
      </c>
      <c r="CD8" s="58">
        <f>Flow_ODData!J25</f>
        <v>6263.4287909958512</v>
      </c>
      <c r="CE8" s="58">
        <f>Flow_ODData!K25</f>
        <v>78564.017617084086</v>
      </c>
      <c r="CF8" s="58">
        <f>Flow_ODData!L25</f>
        <v>30027.582046531123</v>
      </c>
      <c r="CG8" s="58">
        <f>Flow_ODData!M25</f>
        <v>73900.424834647361</v>
      </c>
      <c r="CH8" s="58">
        <f>Flow_ODData!N25</f>
        <v>187525.61191568145</v>
      </c>
      <c r="CI8" s="58">
        <f>Flow_ODData!O25</f>
        <v>122536.09099123925</v>
      </c>
      <c r="CJ8" s="58">
        <f>Flow_ODData!P25</f>
        <v>27767.802248882606</v>
      </c>
      <c r="CK8" s="58">
        <f>Flow_ODData!Q25</f>
        <v>44768.247239469332</v>
      </c>
      <c r="CL8" s="58">
        <f>Flow_ODData!R25</f>
        <v>12509.496665138753</v>
      </c>
      <c r="CM8" s="58">
        <f>Flow_ODData!S25</f>
        <v>20649.37775784919</v>
      </c>
      <c r="CN8" s="58">
        <f>Flow_ODData!T25</f>
        <v>34453.925335698776</v>
      </c>
      <c r="CO8" s="58">
        <f>Flow_ODData!U25</f>
        <v>46181.170491572484</v>
      </c>
      <c r="CP8" s="58">
        <f>Flow_ODData!V25</f>
        <v>41477.384054506212</v>
      </c>
      <c r="CQ8" s="58">
        <f>Flow_ODData!W25</f>
        <v>0</v>
      </c>
      <c r="CR8" s="58">
        <f>Flow_ODData!X25</f>
        <v>1102401.03315633</v>
      </c>
    </row>
    <row r="9" spans="1:96" x14ac:dyDescent="0.25">
      <c r="A9">
        <v>3</v>
      </c>
      <c r="B9" s="77" t="n">
        <v>4313.792662515342</v>
      </c>
      <c r="C9" s="77" t="n">
        <v>2592.341307766233</v>
      </c>
      <c r="D9" s="77" t="n">
        <v>2662.4285850476854</v>
      </c>
      <c r="E9" s="77" t="n">
        <v>557.7572779550641</v>
      </c>
      <c r="F9" s="77" t="n">
        <v>1199.254660685193</v>
      </c>
      <c r="G9" s="77" t="n">
        <v>4685.773069642714</v>
      </c>
      <c r="H9" s="77" t="n">
        <v>622.396971454253</v>
      </c>
      <c r="I9" s="77" t="n">
        <v>1137.0326004756428</v>
      </c>
      <c r="J9" s="77" t="n">
        <v>1237.9635673199634</v>
      </c>
      <c r="K9" s="77" t="n">
        <v>348.728990894012</v>
      </c>
      <c r="L9" s="77" t="n">
        <v>1071.017243950004</v>
      </c>
      <c r="M9" s="77" t="n">
        <v>3359.485003022972</v>
      </c>
      <c r="N9" s="77" t="n">
        <v>50.7232006661763</v>
      </c>
      <c r="O9" s="77" t="n">
        <v>0.0</v>
      </c>
      <c r="P9" s="77" t="n">
        <v>0.0</v>
      </c>
      <c r="Q9" s="77" t="n">
        <v>0.0</v>
      </c>
      <c r="R9" s="77" t="n">
        <v>0.0</v>
      </c>
      <c r="S9" s="77" t="n">
        <v>0.0</v>
      </c>
      <c r="T9" s="77" t="n">
        <v>145.1010361959188</v>
      </c>
      <c r="U9" s="77" t="n">
        <v>0.0</v>
      </c>
      <c r="V9" s="77"/>
      <c r="W9" s="77">
        <f si="1" t="shared"/>
        <v>23983.796177591175</v>
      </c>
      <c r="X9" s="15"/>
      <c r="Y9" s="95">
        <v>3</v>
      </c>
      <c r="Z9" s="77">
        <v>4649</v>
      </c>
      <c r="AA9" s="77">
        <v>1930</v>
      </c>
      <c r="AB9" s="77">
        <v>3019</v>
      </c>
      <c r="AC9" s="77">
        <v>1350</v>
      </c>
      <c r="AD9" s="77">
        <v>1242</v>
      </c>
      <c r="AE9" s="77">
        <v>6755</v>
      </c>
      <c r="AF9" s="77">
        <v>1767</v>
      </c>
      <c r="AG9" s="77">
        <v>256</v>
      </c>
      <c r="AH9" s="77">
        <v>1646</v>
      </c>
      <c r="AI9" s="77">
        <v>704</v>
      </c>
      <c r="AJ9" s="77">
        <v>1680</v>
      </c>
      <c r="AK9" s="77">
        <v>4525</v>
      </c>
      <c r="AL9" s="77">
        <v>450</v>
      </c>
      <c r="AM9" s="77">
        <v>177</v>
      </c>
      <c r="AN9" s="77">
        <v>306</v>
      </c>
      <c r="AO9" s="77">
        <v>118</v>
      </c>
      <c r="AP9" s="77">
        <v>124</v>
      </c>
      <c r="AQ9" s="77">
        <v>100</v>
      </c>
      <c r="AR9" s="77">
        <v>316</v>
      </c>
      <c r="AS9" s="77">
        <v>74</v>
      </c>
      <c r="AT9" s="77"/>
      <c r="AU9" s="77">
        <f si="2" t="shared"/>
        <v>31188</v>
      </c>
      <c r="AV9" s="14"/>
      <c r="AW9" s="95">
        <v>3</v>
      </c>
      <c r="AX9" s="77" t="n">
        <v>695.0</v>
      </c>
      <c r="AY9" s="77" t="n">
        <v>503.0</v>
      </c>
      <c r="AZ9" s="77" t="n">
        <v>2416.0</v>
      </c>
      <c r="BA9" s="77" t="n">
        <v>2952.0</v>
      </c>
      <c r="BB9" s="77" t="n">
        <v>2690.0</v>
      </c>
      <c r="BC9" s="77" t="n">
        <v>1084.0</v>
      </c>
      <c r="BD9" s="77" t="n">
        <v>887.0</v>
      </c>
      <c r="BE9" s="77" t="n">
        <v>223.0</v>
      </c>
      <c r="BF9" s="77" t="n">
        <v>723.0</v>
      </c>
      <c r="BG9" s="77" t="n">
        <v>738.0</v>
      </c>
      <c r="BH9" s="77" t="n">
        <v>2127.0</v>
      </c>
      <c r="BI9" s="77" t="n">
        <v>1403.0</v>
      </c>
      <c r="BJ9" s="77" t="n">
        <v>1590.0</v>
      </c>
      <c r="BK9" s="77" t="n">
        <v>1815.0</v>
      </c>
      <c r="BL9" s="77" t="n">
        <v>273.0</v>
      </c>
      <c r="BM9" s="77" t="n">
        <v>550.0</v>
      </c>
      <c r="BN9" s="77" t="n">
        <v>589.0</v>
      </c>
      <c r="BO9" s="77" t="n">
        <v>198.0</v>
      </c>
      <c r="BP9" s="77" t="n">
        <v>666.0</v>
      </c>
      <c r="BQ9" s="77" t="n">
        <v>2934.0</v>
      </c>
      <c r="BR9" s="77"/>
      <c r="BS9" s="77">
        <f si="3" t="shared"/>
        <v>26480</v>
      </c>
      <c r="BT9" s="102"/>
      <c r="BV9" s="95" t="s">
        <v>346</v>
      </c>
      <c r="BW9" s="108">
        <f ref="BW9:CR9" si="4" t="shared">Z28</f>
        <v>51288</v>
      </c>
      <c r="BX9" s="108">
        <f si="4" t="shared"/>
        <v>34948</v>
      </c>
      <c r="BY9" s="108">
        <f si="4" t="shared"/>
        <v>19462</v>
      </c>
      <c r="BZ9" s="108">
        <f si="4" t="shared"/>
        <v>17033</v>
      </c>
      <c r="CA9" s="108">
        <f si="4" t="shared"/>
        <v>15612</v>
      </c>
      <c r="CB9" s="108">
        <f si="4" t="shared"/>
        <v>99098</v>
      </c>
      <c r="CC9" s="108">
        <f si="4" t="shared"/>
        <v>65730</v>
      </c>
      <c r="CD9" s="108">
        <f si="4" t="shared"/>
        <v>3746</v>
      </c>
      <c r="CE9" s="108">
        <f si="4" t="shared"/>
        <v>40943</v>
      </c>
      <c r="CF9" s="108">
        <f si="4" t="shared"/>
        <v>13127</v>
      </c>
      <c r="CG9" s="108">
        <f si="4" t="shared"/>
        <v>38310</v>
      </c>
      <c r="CH9" s="108">
        <f si="4" t="shared"/>
        <v>144341</v>
      </c>
      <c r="CI9" s="108">
        <f si="4" t="shared"/>
        <v>53417</v>
      </c>
      <c r="CJ9" s="108">
        <f si="4" t="shared"/>
        <v>11908</v>
      </c>
      <c r="CK9" s="108">
        <f si="4" t="shared"/>
        <v>23778</v>
      </c>
      <c r="CL9" s="108">
        <f si="4" t="shared"/>
        <v>3306</v>
      </c>
      <c r="CM9" s="108">
        <f si="4" t="shared"/>
        <v>9368</v>
      </c>
      <c r="CN9" s="108">
        <f si="4" t="shared"/>
        <v>13081</v>
      </c>
      <c r="CO9" s="108">
        <f si="4" t="shared"/>
        <v>22540</v>
      </c>
      <c r="CP9" s="108">
        <f si="4" t="shared"/>
        <v>15078</v>
      </c>
      <c r="CQ9" s="108">
        <f si="4" t="shared"/>
        <v>0</v>
      </c>
      <c r="CR9" s="108">
        <f si="4" t="shared"/>
        <v>696114</v>
      </c>
    </row>
    <row r="10" spans="1:96" x14ac:dyDescent="0.25">
      <c r="A10">
        <v>4</v>
      </c>
      <c r="B10" s="77" t="n">
        <v>1276.2508865729076</v>
      </c>
      <c r="C10" s="77" t="n">
        <v>43.9227785280953</v>
      </c>
      <c r="D10" s="77" t="n">
        <v>543.1872496767112</v>
      </c>
      <c r="E10" s="77" t="n">
        <v>488.1079016532053</v>
      </c>
      <c r="F10" s="77" t="n">
        <v>343.11775703119633</v>
      </c>
      <c r="G10" s="77" t="n">
        <v>902.3052556234509</v>
      </c>
      <c r="H10" s="77" t="n">
        <v>710.8447085814855</v>
      </c>
      <c r="I10" s="77" t="n">
        <v>96.1718850138419</v>
      </c>
      <c r="J10" s="77" t="n">
        <v>195.1969767796336</v>
      </c>
      <c r="K10" s="77" t="n">
        <v>157.8643475752716</v>
      </c>
      <c r="L10" s="77" t="n">
        <v>482.345369818051</v>
      </c>
      <c r="M10" s="77" t="n">
        <v>544.5677072658405</v>
      </c>
      <c r="N10" s="77" t="n">
        <v>20.3685364609446</v>
      </c>
      <c r="O10" s="77" t="n">
        <v>0.0</v>
      </c>
      <c r="P10" s="77" t="n">
        <v>0.0</v>
      </c>
      <c r="Q10" s="77" t="n">
        <v>0.0</v>
      </c>
      <c r="R10" s="77" t="n">
        <v>0.0</v>
      </c>
      <c r="S10" s="77" t="n">
        <v>0.0</v>
      </c>
      <c r="T10" s="77" t="n">
        <v>36.0897406788146</v>
      </c>
      <c r="U10" s="77" t="n">
        <v>0.0</v>
      </c>
      <c r="V10" s="77"/>
      <c r="W10" s="77">
        <f si="1" t="shared"/>
        <v>5840.3411012594488</v>
      </c>
      <c r="X10" s="15"/>
      <c r="Y10" s="95">
        <v>4</v>
      </c>
      <c r="Z10" s="77">
        <v>1473</v>
      </c>
      <c r="AA10" s="77">
        <v>876</v>
      </c>
      <c r="AB10" s="77">
        <v>712</v>
      </c>
      <c r="AC10" s="77">
        <v>990</v>
      </c>
      <c r="AD10" s="77">
        <v>796</v>
      </c>
      <c r="AE10" s="77">
        <v>2669</v>
      </c>
      <c r="AF10" s="77">
        <v>800</v>
      </c>
      <c r="AG10" s="77">
        <v>144</v>
      </c>
      <c r="AH10" s="77">
        <v>762</v>
      </c>
      <c r="AI10" s="77">
        <v>377</v>
      </c>
      <c r="AJ10" s="77">
        <v>650</v>
      </c>
      <c r="AK10" s="77">
        <v>1830</v>
      </c>
      <c r="AL10" s="77">
        <v>197</v>
      </c>
      <c r="AM10" s="77">
        <v>74</v>
      </c>
      <c r="AN10" s="77">
        <v>113</v>
      </c>
      <c r="AO10" s="77">
        <v>48</v>
      </c>
      <c r="AP10" s="77">
        <v>37</v>
      </c>
      <c r="AQ10" s="77">
        <v>68</v>
      </c>
      <c r="AR10" s="77">
        <v>96</v>
      </c>
      <c r="AS10" s="77">
        <v>24</v>
      </c>
      <c r="AT10" s="77"/>
      <c r="AU10" s="77">
        <f si="2" t="shared"/>
        <v>12736</v>
      </c>
      <c r="AV10" s="14"/>
      <c r="AW10" s="95">
        <v>4</v>
      </c>
      <c r="AX10" s="77" t="n">
        <v>524.0</v>
      </c>
      <c r="AY10" s="77" t="n">
        <v>517.0</v>
      </c>
      <c r="AZ10" s="77" t="n">
        <v>1079.0</v>
      </c>
      <c r="BA10" s="77" t="n">
        <v>1758.0</v>
      </c>
      <c r="BB10" s="77" t="n">
        <v>4087.0</v>
      </c>
      <c r="BC10" s="77" t="n">
        <v>899.0</v>
      </c>
      <c r="BD10" s="77" t="n">
        <v>618.0</v>
      </c>
      <c r="BE10" s="77" t="n">
        <v>143.0</v>
      </c>
      <c r="BF10" s="77" t="n">
        <v>750.0</v>
      </c>
      <c r="BG10" s="77" t="n">
        <v>388.0</v>
      </c>
      <c r="BH10" s="77" t="n">
        <v>1207.0</v>
      </c>
      <c r="BI10" s="77" t="n">
        <v>951.0</v>
      </c>
      <c r="BJ10" s="77" t="n">
        <v>1344.0</v>
      </c>
      <c r="BK10" s="77" t="n">
        <v>1231.0</v>
      </c>
      <c r="BL10" s="77" t="n">
        <v>167.0</v>
      </c>
      <c r="BM10" s="77" t="n">
        <v>285.0</v>
      </c>
      <c r="BN10" s="77" t="n">
        <v>417.0</v>
      </c>
      <c r="BO10" s="77" t="n">
        <v>139.0</v>
      </c>
      <c r="BP10" s="77" t="n">
        <v>1128.0</v>
      </c>
      <c r="BQ10" s="77" t="n">
        <v>1918.0</v>
      </c>
      <c r="BR10" s="77"/>
      <c r="BS10" s="77">
        <f si="3" t="shared"/>
        <v>8926</v>
      </c>
      <c r="BT10" s="102"/>
      <c r="BV10" s="6" t="s">
        <v>347</v>
      </c>
      <c r="BW10" s="135">
        <f ref="BW10:CR10" si="5" t="shared">AX28</f>
        <v>104717</v>
      </c>
      <c r="BX10" s="135">
        <f si="5" t="shared"/>
        <v>36899</v>
      </c>
      <c r="BY10" s="135">
        <f si="5" t="shared"/>
        <v>20380</v>
      </c>
      <c r="BZ10" s="135">
        <f si="5" t="shared"/>
        <v>12404</v>
      </c>
      <c r="CA10" s="135">
        <f si="5" t="shared"/>
        <v>28863</v>
      </c>
      <c r="CB10" s="135">
        <f si="5" t="shared"/>
        <v>97414</v>
      </c>
      <c r="CC10" s="135">
        <f si="5" t="shared"/>
        <v>43120</v>
      </c>
      <c r="CD10" s="135">
        <f si="5" t="shared"/>
        <v>1352</v>
      </c>
      <c r="CE10" s="135">
        <f si="5" t="shared"/>
        <v>25252</v>
      </c>
      <c r="CF10" s="135">
        <f si="5" t="shared"/>
        <v>6761</v>
      </c>
      <c r="CG10" s="135">
        <f si="5" t="shared"/>
        <v>22148</v>
      </c>
      <c r="CH10" s="135">
        <f si="5" t="shared"/>
        <v>91217</v>
      </c>
      <c r="CI10" s="135">
        <f si="5" t="shared"/>
        <v>88273</v>
      </c>
      <c r="CJ10" s="135">
        <f si="5" t="shared"/>
        <v>7097</v>
      </c>
      <c r="CK10" s="135">
        <f si="5" t="shared"/>
        <v>20514</v>
      </c>
      <c r="CL10" s="135">
        <f si="5" t="shared"/>
        <v>1271</v>
      </c>
      <c r="CM10" s="135">
        <f si="5" t="shared"/>
        <v>4643</v>
      </c>
      <c r="CN10" s="135">
        <f si="5" t="shared"/>
        <v>9969</v>
      </c>
      <c r="CO10" s="135">
        <f si="5" t="shared"/>
        <v>12777</v>
      </c>
      <c r="CP10" s="135">
        <f si="5" t="shared"/>
        <v>10405</v>
      </c>
      <c r="CQ10" s="135">
        <f si="5" t="shared"/>
        <v>0</v>
      </c>
      <c r="CR10" s="135">
        <f si="5" t="shared"/>
        <v>645476</v>
      </c>
    </row>
    <row r="11" spans="1:96" x14ac:dyDescent="0.25">
      <c r="A11">
        <v>5</v>
      </c>
      <c r="B11" s="77" t="n">
        <v>574.3659956061215</v>
      </c>
      <c r="C11" s="77" t="n">
        <v>361.76700185158</v>
      </c>
      <c r="D11" s="77" t="n">
        <v>35.9575393456026</v>
      </c>
      <c r="E11" s="77" t="n">
        <v>183.94827326038052</v>
      </c>
      <c r="F11" s="77" t="n">
        <v>798.9519433969274</v>
      </c>
      <c r="G11" s="77" t="n">
        <v>2061.708884603784</v>
      </c>
      <c r="H11" s="77" t="n">
        <v>370.5933517595393</v>
      </c>
      <c r="I11" s="77" t="n">
        <v>36.0897406788146</v>
      </c>
      <c r="J11" s="77" t="n">
        <v>353.64172964642864</v>
      </c>
      <c r="K11" s="77" t="n">
        <v>758.1691309088683</v>
      </c>
      <c r="L11" s="77" t="n">
        <v>35.9575393456026</v>
      </c>
      <c r="M11" s="77" t="n">
        <v>2435.917178213014</v>
      </c>
      <c r="N11" s="77" t="n">
        <v>0.0</v>
      </c>
      <c r="O11" s="77" t="n">
        <v>0.0</v>
      </c>
      <c r="P11" s="77" t="n">
        <v>0.0</v>
      </c>
      <c r="Q11" s="77" t="n">
        <v>0.0</v>
      </c>
      <c r="R11" s="77" t="n">
        <v>52.0254430765903</v>
      </c>
      <c r="S11" s="77" t="n">
        <v>0.0</v>
      </c>
      <c r="T11" s="77" t="n">
        <v>0.0</v>
      </c>
      <c r="U11" s="77" t="n">
        <v>30.3573589496342</v>
      </c>
      <c r="V11" s="77"/>
      <c r="W11" s="77">
        <f si="1" t="shared"/>
        <v>8089.4511106428872</v>
      </c>
      <c r="X11" s="15"/>
      <c r="Y11" s="95">
        <v>5</v>
      </c>
      <c r="Z11" s="77">
        <v>1450</v>
      </c>
      <c r="AA11" s="77">
        <v>555</v>
      </c>
      <c r="AB11" s="77">
        <v>393</v>
      </c>
      <c r="AC11" s="77">
        <v>462</v>
      </c>
      <c r="AD11" s="77">
        <v>789</v>
      </c>
      <c r="AE11" s="77">
        <v>2584</v>
      </c>
      <c r="AF11" s="77">
        <v>515</v>
      </c>
      <c r="AG11" s="77">
        <v>87</v>
      </c>
      <c r="AH11" s="77">
        <v>446</v>
      </c>
      <c r="AI11" s="77">
        <v>377</v>
      </c>
      <c r="AJ11" s="77">
        <v>379</v>
      </c>
      <c r="AK11" s="77">
        <v>2022</v>
      </c>
      <c r="AL11" s="77">
        <v>177</v>
      </c>
      <c r="AM11" s="77">
        <v>58</v>
      </c>
      <c r="AN11" s="77">
        <v>75</v>
      </c>
      <c r="AO11" s="77">
        <v>59</v>
      </c>
      <c r="AP11" s="77">
        <v>35</v>
      </c>
      <c r="AQ11" s="77">
        <v>50</v>
      </c>
      <c r="AR11" s="77">
        <v>59</v>
      </c>
      <c r="AS11" s="77">
        <v>20</v>
      </c>
      <c r="AT11" s="77"/>
      <c r="AU11" s="77">
        <f si="2" t="shared"/>
        <v>10592</v>
      </c>
      <c r="AV11" s="14"/>
      <c r="AW11" s="95">
        <v>5</v>
      </c>
      <c r="AX11" s="77" t="n">
        <v>564.0</v>
      </c>
      <c r="AY11" s="77" t="n">
        <v>555.0</v>
      </c>
      <c r="AZ11" s="77" t="n">
        <v>1422.0</v>
      </c>
      <c r="BA11" s="77" t="n">
        <v>2532.0</v>
      </c>
      <c r="BB11" s="77" t="n">
        <v>3499.0</v>
      </c>
      <c r="BC11" s="77" t="n">
        <v>1016.0</v>
      </c>
      <c r="BD11" s="77" t="n">
        <v>830.0</v>
      </c>
      <c r="BE11" s="77" t="n">
        <v>176.0</v>
      </c>
      <c r="BF11" s="77" t="n">
        <v>806.0</v>
      </c>
      <c r="BG11" s="77" t="n">
        <v>701.0</v>
      </c>
      <c r="BH11" s="77" t="n">
        <v>1789.0</v>
      </c>
      <c r="BI11" s="77" t="n">
        <v>1380.0</v>
      </c>
      <c r="BJ11" s="77" t="n">
        <v>1590.0</v>
      </c>
      <c r="BK11" s="77" t="n">
        <v>1757.0</v>
      </c>
      <c r="BL11" s="77" t="n">
        <v>210.0</v>
      </c>
      <c r="BM11" s="77" t="n">
        <v>589.0</v>
      </c>
      <c r="BN11" s="77" t="n">
        <v>516.0</v>
      </c>
      <c r="BO11" s="77" t="n">
        <v>162.0</v>
      </c>
      <c r="BP11" s="77" t="n">
        <v>785.0</v>
      </c>
      <c r="BQ11" s="77" t="n">
        <v>2369.0</v>
      </c>
      <c r="BR11" s="77"/>
      <c r="BS11" s="77">
        <f si="3" t="shared"/>
        <v>8554</v>
      </c>
      <c r="BT11" s="102"/>
      <c r="BU11" t="s">
        <v>349</v>
      </c>
      <c r="BV11" s="95" t="s">
        <v>345</v>
      </c>
      <c r="BW11" s="108">
        <f ref="BW11:CR11" si="6" t="shared">B55</f>
        <v>68751.234923705561</v>
      </c>
      <c r="BX11" s="108">
        <f si="6" t="shared"/>
        <v>27294.480017188169</v>
      </c>
      <c r="BY11" s="108">
        <f si="6" t="shared"/>
        <v>17196.07304755093</v>
      </c>
      <c r="BZ11" s="108">
        <f si="6" t="shared"/>
        <v>20209.072041482636</v>
      </c>
      <c r="CA11" s="108">
        <f si="6" t="shared"/>
        <v>18933.029183001829</v>
      </c>
      <c r="CB11" s="108">
        <f si="6" t="shared"/>
        <v>97940.141758159487</v>
      </c>
      <c r="CC11" s="108">
        <f si="6" t="shared"/>
        <v>60935.951884383656</v>
      </c>
      <c r="CD11" s="108">
        <f si="6" t="shared"/>
        <v>5745.9910637641206</v>
      </c>
      <c r="CE11" s="108">
        <f si="6" t="shared"/>
        <v>42612.612046479269</v>
      </c>
      <c r="CF11" s="108">
        <f si="6" t="shared"/>
        <v>10166.780473697425</v>
      </c>
      <c r="CG11" s="108">
        <f si="6" t="shared"/>
        <v>34536.222315653416</v>
      </c>
      <c r="CH11" s="108">
        <f si="6" t="shared"/>
        <v>121382.84299111877</v>
      </c>
      <c r="CI11" s="108">
        <f si="6" t="shared"/>
        <v>45573.193511254241</v>
      </c>
      <c r="CJ11" s="108">
        <f si="6" t="shared"/>
        <v>12303.018141424371</v>
      </c>
      <c r="CK11" s="108">
        <f si="6" t="shared"/>
        <v>14611.732423588506</v>
      </c>
      <c r="CL11" s="108">
        <f si="6" t="shared"/>
        <v>1694.5944832574864</v>
      </c>
      <c r="CM11" s="108">
        <f si="6" t="shared"/>
        <v>7807.6476505283636</v>
      </c>
      <c r="CN11" s="108">
        <f si="6" t="shared"/>
        <v>9753.8974128728241</v>
      </c>
      <c r="CO11" s="108">
        <f si="6" t="shared"/>
        <v>14306.043286950375</v>
      </c>
      <c r="CP11" s="108">
        <f si="6" t="shared"/>
        <v>13721.441343938621</v>
      </c>
      <c r="CQ11" s="108">
        <f si="6" t="shared"/>
        <v>0</v>
      </c>
      <c r="CR11" s="108">
        <f si="6" t="shared"/>
        <v>645476</v>
      </c>
    </row>
    <row r="12" spans="1:96" x14ac:dyDescent="0.25">
      <c r="A12">
        <v>6</v>
      </c>
      <c r="B12" s="77" t="n">
        <v>5356.049767482254</v>
      </c>
      <c r="C12" s="77" t="n">
        <v>1874.9705649983448</v>
      </c>
      <c r="D12" s="77" t="n">
        <v>435.6571206072363</v>
      </c>
      <c r="E12" s="77" t="n">
        <v>197.499113292929</v>
      </c>
      <c r="F12" s="77" t="n">
        <v>627.154824575576</v>
      </c>
      <c r="G12" s="77" t="n">
        <v>18328.944303956596</v>
      </c>
      <c r="H12" s="77" t="n">
        <v>1845.459837689025</v>
      </c>
      <c r="I12" s="77" t="n">
        <v>0.0</v>
      </c>
      <c r="J12" s="77" t="n">
        <v>226.92794271719129</v>
      </c>
      <c r="K12" s="77" t="n">
        <v>679.3632902461387</v>
      </c>
      <c r="L12" s="77" t="n">
        <v>647.587688612143</v>
      </c>
      <c r="M12" s="77" t="n">
        <v>7213.228418490538</v>
      </c>
      <c r="N12" s="77" t="n">
        <v>141.346262897218</v>
      </c>
      <c r="O12" s="77" t="n">
        <v>0.0</v>
      </c>
      <c r="P12" s="77" t="n">
        <v>460.7619495573452</v>
      </c>
      <c r="Q12" s="77" t="n">
        <v>0.0</v>
      </c>
      <c r="R12" s="77" t="n">
        <v>0.0</v>
      </c>
      <c r="S12" s="77" t="n">
        <v>36.0897406788146</v>
      </c>
      <c r="T12" s="77" t="n">
        <v>0.0</v>
      </c>
      <c r="U12" s="77" t="n">
        <v>0.0</v>
      </c>
      <c r="V12" s="77"/>
      <c r="W12" s="77">
        <f si="1" t="shared"/>
        <v>38071.040825801349</v>
      </c>
      <c r="X12" s="15"/>
      <c r="Y12" s="95">
        <v>6</v>
      </c>
      <c r="Z12" s="77">
        <v>2897</v>
      </c>
      <c r="AA12" s="77">
        <v>842</v>
      </c>
      <c r="AB12" s="77">
        <v>551</v>
      </c>
      <c r="AC12" s="77">
        <v>554</v>
      </c>
      <c r="AD12" s="77">
        <v>771</v>
      </c>
      <c r="AE12" s="77">
        <v>7174</v>
      </c>
      <c r="AF12" s="77">
        <v>953</v>
      </c>
      <c r="AG12" s="77">
        <v>62</v>
      </c>
      <c r="AH12" s="77">
        <v>778</v>
      </c>
      <c r="AI12" s="77">
        <v>520</v>
      </c>
      <c r="AJ12" s="77">
        <v>482</v>
      </c>
      <c r="AK12" s="77">
        <v>4647</v>
      </c>
      <c r="AL12" s="77">
        <v>387</v>
      </c>
      <c r="AM12" s="77">
        <v>77</v>
      </c>
      <c r="AN12" s="77">
        <v>163</v>
      </c>
      <c r="AO12" s="77">
        <v>114</v>
      </c>
      <c r="AP12" s="77">
        <v>44</v>
      </c>
      <c r="AQ12" s="77">
        <v>112</v>
      </c>
      <c r="AR12" s="77">
        <v>147</v>
      </c>
      <c r="AS12" s="77">
        <v>48</v>
      </c>
      <c r="AT12" s="77"/>
      <c r="AU12" s="77">
        <f si="2" t="shared"/>
        <v>21323</v>
      </c>
      <c r="AV12" s="15"/>
      <c r="AW12" s="95">
        <v>6</v>
      </c>
      <c r="AX12" s="77" t="n">
        <v>774.0</v>
      </c>
      <c r="AY12" s="77" t="n">
        <v>610.0</v>
      </c>
      <c r="AZ12" s="77" t="n">
        <v>1803.0</v>
      </c>
      <c r="BA12" s="77" t="n">
        <v>2994.0</v>
      </c>
      <c r="BB12" s="77" t="n">
        <v>2950.0</v>
      </c>
      <c r="BC12" s="77" t="n">
        <v>5333.0</v>
      </c>
      <c r="BD12" s="77" t="n">
        <v>5097.0</v>
      </c>
      <c r="BE12" s="77" t="n">
        <v>202.0</v>
      </c>
      <c r="BF12" s="77" t="n">
        <v>953.0</v>
      </c>
      <c r="BG12" s="77" t="n">
        <v>996.0</v>
      </c>
      <c r="BH12" s="77" t="n">
        <v>2085.0</v>
      </c>
      <c r="BI12" s="77" t="n">
        <v>4656.0</v>
      </c>
      <c r="BJ12" s="77" t="n">
        <v>1855.0</v>
      </c>
      <c r="BK12" s="77" t="n">
        <v>4133.0</v>
      </c>
      <c r="BL12" s="77" t="n">
        <v>754.0</v>
      </c>
      <c r="BM12" s="77" t="n">
        <v>655.0</v>
      </c>
      <c r="BN12" s="77" t="n">
        <v>810.0</v>
      </c>
      <c r="BO12" s="77" t="n">
        <v>661.0</v>
      </c>
      <c r="BP12" s="77" t="n">
        <v>2591.0</v>
      </c>
      <c r="BQ12" s="77" t="n">
        <v>6224.0</v>
      </c>
      <c r="BR12" s="77"/>
      <c r="BS12" s="77">
        <f si="3" t="shared"/>
        <v>25407</v>
      </c>
      <c r="BT12" s="102"/>
      <c r="BV12" s="95" t="s">
        <v>359</v>
      </c>
      <c r="BW12" s="58">
        <f>Flow_ODData!C52</f>
        <v>23799.328065932477</v>
      </c>
      <c r="BX12" s="58">
        <f>Flow_ODData!D52</f>
        <v>24777.483735102607</v>
      </c>
      <c r="BY12" s="58">
        <f>Flow_ODData!E52</f>
        <v>26175.948325459889</v>
      </c>
      <c r="BZ12" s="58">
        <f>Flow_ODData!F52</f>
        <v>14729.327275878211</v>
      </c>
      <c r="CA12" s="58">
        <f>Flow_ODData!G52</f>
        <v>13729.116246261483</v>
      </c>
      <c r="CB12" s="58">
        <f>Flow_ODData!H52</f>
        <v>42435.630655562003</v>
      </c>
      <c r="CC12" s="58">
        <f>Flow_ODData!I52</f>
        <v>74377.174653320209</v>
      </c>
      <c r="CD12" s="58">
        <f>Flow_ODData!J52</f>
        <v>3667.3522980302946</v>
      </c>
      <c r="CE12" s="58">
        <f>Flow_ODData!K52</f>
        <v>46000.671543468772</v>
      </c>
      <c r="CF12" s="58">
        <f>Flow_ODData!L52</f>
        <v>17581.699369033679</v>
      </c>
      <c r="CG12" s="58">
        <f>Flow_ODData!M52</f>
        <v>43270.052536139476</v>
      </c>
      <c r="CH12" s="58">
        <f>Flow_ODData!N52</f>
        <v>109799.68109275294</v>
      </c>
      <c r="CI12" s="58">
        <f>Flow_ODData!O52</f>
        <v>71747.126036523696</v>
      </c>
      <c r="CJ12" s="58">
        <f>Flow_ODData!P52</f>
        <v>16258.556900189378</v>
      </c>
      <c r="CK12" s="58">
        <f>Flow_ODData!Q52</f>
        <v>26212.628876451614</v>
      </c>
      <c r="CL12" s="58">
        <f>Flow_ODData!R52</f>
        <v>7324.5394612053642</v>
      </c>
      <c r="CM12" s="58">
        <f>Flow_ODData!S52</f>
        <v>12090.588956963851</v>
      </c>
      <c r="CN12" s="58">
        <f>Flow_ODData!T52</f>
        <v>20173.404451836897</v>
      </c>
      <c r="CO12" s="58">
        <f>Flow_ODData!U52</f>
        <v>27039.921324158528</v>
      </c>
      <c r="CP12" s="58">
        <f>Flow_ODData!V52</f>
        <v>24285.768195728695</v>
      </c>
      <c r="CQ12" s="58">
        <f>Flow_ODData!W52</f>
        <v>0</v>
      </c>
      <c r="CR12" s="58">
        <f>Flow_ODData!X52</f>
        <v>645476</v>
      </c>
    </row>
    <row customFormat="1" r="13" s="95" spans="1:96" x14ac:dyDescent="0.25">
      <c r="A13" s="95">
        <v>7</v>
      </c>
      <c r="B13" s="77" t="n">
        <v>3066.9388675119544</v>
      </c>
      <c r="C13" s="77" t="n">
        <v>3932.8170870622607</v>
      </c>
      <c r="D13" s="77" t="n">
        <v>286.6705529732876</v>
      </c>
      <c r="E13" s="77" t="n">
        <v>1215.5555178368609</v>
      </c>
      <c r="F13" s="77" t="n">
        <v>1561.2957579716963</v>
      </c>
      <c r="G13" s="77" t="n">
        <v>6537.972285482105</v>
      </c>
      <c r="H13" s="77" t="n">
        <v>12758.73882534685</v>
      </c>
      <c r="I13" s="77" t="n">
        <v>44.5133036030317</v>
      </c>
      <c r="J13" s="77" t="n">
        <v>3341.5320117996257</v>
      </c>
      <c r="K13" s="77" t="n">
        <v>149.810085763903</v>
      </c>
      <c r="L13" s="77" t="n">
        <v>0.0</v>
      </c>
      <c r="M13" s="77" t="n">
        <v>7343.7507529330605</v>
      </c>
      <c r="N13" s="77" t="n">
        <v>2600.1234704329495</v>
      </c>
      <c r="O13" s="77" t="n">
        <v>0.0</v>
      </c>
      <c r="P13" s="77" t="n">
        <v>235.0883154381624</v>
      </c>
      <c r="Q13" s="77" t="n">
        <v>35.1282771891267</v>
      </c>
      <c r="R13" s="77" t="n">
        <v>0.0</v>
      </c>
      <c r="S13" s="77" t="n">
        <v>207.5308448795327</v>
      </c>
      <c r="T13" s="77" t="n">
        <v>56.3220904195861</v>
      </c>
      <c r="U13" s="77" t="n">
        <v>0.0</v>
      </c>
      <c r="V13" s="77"/>
      <c r="W13" s="77">
        <f si="1" t="shared"/>
        <v>43373.788046643989</v>
      </c>
      <c r="X13" s="15"/>
      <c r="Y13" s="95">
        <v>7</v>
      </c>
      <c r="Z13" s="77">
        <v>5297</v>
      </c>
      <c r="AA13" s="77">
        <v>5379</v>
      </c>
      <c r="AB13" s="77">
        <v>2374</v>
      </c>
      <c r="AC13" s="77">
        <v>1871</v>
      </c>
      <c r="AD13" s="77">
        <v>1716</v>
      </c>
      <c r="AE13" s="77">
        <v>10435</v>
      </c>
      <c r="AF13" s="77">
        <v>18364</v>
      </c>
      <c r="AG13" s="77">
        <v>334</v>
      </c>
      <c r="AH13" s="77">
        <v>5327</v>
      </c>
      <c r="AI13" s="77">
        <v>1302</v>
      </c>
      <c r="AJ13" s="77">
        <v>2693</v>
      </c>
      <c r="AK13" s="77">
        <v>16274</v>
      </c>
      <c r="AL13" s="77">
        <v>5610</v>
      </c>
      <c r="AM13" s="77">
        <v>259</v>
      </c>
      <c r="AN13" s="77">
        <v>1632</v>
      </c>
      <c r="AO13" s="77">
        <v>209</v>
      </c>
      <c r="AP13" s="77">
        <v>198</v>
      </c>
      <c r="AQ13" s="77">
        <v>759</v>
      </c>
      <c r="AR13" s="77">
        <v>475</v>
      </c>
      <c r="AS13" s="77">
        <v>297</v>
      </c>
      <c r="AT13" s="77"/>
      <c r="AU13" s="77">
        <f si="2" t="shared"/>
        <v>80805</v>
      </c>
      <c r="AV13" s="15"/>
      <c r="AW13" s="95">
        <v>7</v>
      </c>
      <c r="AX13" s="77" t="n">
        <v>867.0</v>
      </c>
      <c r="AY13" s="77" t="n">
        <v>939.0</v>
      </c>
      <c r="AZ13" s="77" t="n">
        <v>2395.0</v>
      </c>
      <c r="BA13" s="77" t="n">
        <v>3814.0</v>
      </c>
      <c r="BB13" s="77" t="n">
        <v>4927.0</v>
      </c>
      <c r="BC13" s="77" t="n">
        <v>6324.0</v>
      </c>
      <c r="BD13" s="77" t="n">
        <v>7458.0</v>
      </c>
      <c r="BE13" s="77" t="n">
        <v>261.0</v>
      </c>
      <c r="BF13" s="77" t="n">
        <v>1537.0</v>
      </c>
      <c r="BG13" s="77" t="n">
        <v>1480.0</v>
      </c>
      <c r="BH13" s="77" t="n">
        <v>3235.0</v>
      </c>
      <c r="BI13" s="77" t="n">
        <v>5859.0</v>
      </c>
      <c r="BJ13" s="77" t="n">
        <v>2872.0</v>
      </c>
      <c r="BK13" s="77" t="n">
        <v>5802.0</v>
      </c>
      <c r="BL13" s="77" t="n">
        <v>998.0</v>
      </c>
      <c r="BM13" s="77" t="n">
        <v>1020.0</v>
      </c>
      <c r="BN13" s="77" t="n">
        <v>1297.0</v>
      </c>
      <c r="BO13" s="77" t="n">
        <v>478.0</v>
      </c>
      <c r="BP13" s="77" t="n">
        <v>4211.0</v>
      </c>
      <c r="BQ13" s="77" t="n">
        <v>8014.0</v>
      </c>
      <c r="BR13" s="77"/>
      <c r="BS13" s="77">
        <f si="3" t="shared"/>
        <v>77331</v>
      </c>
      <c r="BT13" s="102"/>
      <c r="BU13"/>
      <c r="BV13" s="95" t="s">
        <v>346</v>
      </c>
      <c r="BW13" s="108">
        <f ref="BW13:CR13" si="7" t="shared">Z55</f>
        <v>47962.330067061164</v>
      </c>
      <c r="BX13" s="108">
        <f si="7" t="shared"/>
        <v>32465.686990023041</v>
      </c>
      <c r="BY13" s="108">
        <f si="7" t="shared"/>
        <v>17819.499670131001</v>
      </c>
      <c r="BZ13" s="108">
        <f si="7" t="shared"/>
        <v>15590.095231354566</v>
      </c>
      <c r="CA13" s="108">
        <f si="7" t="shared"/>
        <v>14470.515258958494</v>
      </c>
      <c r="CB13" s="108">
        <f si="7" t="shared"/>
        <v>93808.210758780653</v>
      </c>
      <c r="CC13" s="108">
        <f si="7" t="shared"/>
        <v>61668.638827945528</v>
      </c>
      <c r="CD13" s="108">
        <f si="7" t="shared"/>
        <v>3389.6060314460683</v>
      </c>
      <c r="CE13" s="108">
        <f si="7" t="shared"/>
        <v>37916.839771783598</v>
      </c>
      <c r="CF13" s="108">
        <f si="7" t="shared"/>
        <v>12314.051289788287</v>
      </c>
      <c r="CG13" s="108">
        <f si="7" t="shared"/>
        <v>34680.423618890891</v>
      </c>
      <c r="CH13" s="108">
        <f si="7" t="shared"/>
        <v>137060.58534782816</v>
      </c>
      <c r="CI13" s="108">
        <f si="7" t="shared"/>
        <v>50044.257356442307</v>
      </c>
      <c r="CJ13" s="108">
        <f si="7" t="shared"/>
        <v>10212.277399808154</v>
      </c>
      <c r="CK13" s="108">
        <f si="7" t="shared"/>
        <v>20996.049637056076</v>
      </c>
      <c r="CL13" s="108">
        <f si="7" t="shared"/>
        <v>3056.6721848154989</v>
      </c>
      <c r="CM13" s="108">
        <f si="7" t="shared"/>
        <v>8183.7677729022362</v>
      </c>
      <c r="CN13" s="108">
        <f si="7" t="shared"/>
        <v>11662.736307180778</v>
      </c>
      <c r="CO13" s="108">
        <f si="7" t="shared"/>
        <v>19671.927490438102</v>
      </c>
      <c r="CP13" s="108">
        <f si="7" t="shared"/>
        <v>12501.828987365367</v>
      </c>
      <c r="CQ13" s="108">
        <f si="7" t="shared"/>
        <v>0</v>
      </c>
      <c r="CR13" s="108">
        <f si="7" t="shared"/>
        <v>645476</v>
      </c>
    </row>
    <row r="14" spans="1:96" x14ac:dyDescent="0.25">
      <c r="A14" s="95">
        <v>8</v>
      </c>
      <c r="B14" s="77" t="n">
        <v>680.2712843449588</v>
      </c>
      <c r="C14" s="77" t="n">
        <v>245.85127237785832</v>
      </c>
      <c r="D14" s="77" t="n">
        <v>66.4470996284488</v>
      </c>
      <c r="E14" s="77" t="n">
        <v>244.913599207164</v>
      </c>
      <c r="F14" s="77" t="n">
        <v>184.78074020819162</v>
      </c>
      <c r="G14" s="77" t="n">
        <v>551.6392985390955</v>
      </c>
      <c r="H14" s="77" t="n">
        <v>104.99017091070809</v>
      </c>
      <c r="I14" s="77" t="n">
        <v>336.182940926762</v>
      </c>
      <c r="J14" s="77" t="n">
        <v>321.6757372004288</v>
      </c>
      <c r="K14" s="77" t="n">
        <v>60.2998270903987</v>
      </c>
      <c r="L14" s="77" t="n">
        <v>1614.9525643312595</v>
      </c>
      <c r="M14" s="77" t="n">
        <v>866.9692251962532</v>
      </c>
      <c r="N14" s="77" t="n">
        <v>0.0</v>
      </c>
      <c r="O14" s="77" t="n">
        <v>57.9987694417255</v>
      </c>
      <c r="P14" s="77" t="n">
        <v>52.0254430765903</v>
      </c>
      <c r="Q14" s="77" t="n">
        <v>0.0</v>
      </c>
      <c r="R14" s="77" t="n">
        <v>92.4801859489961</v>
      </c>
      <c r="S14" s="77" t="n">
        <v>57.9987694417255</v>
      </c>
      <c r="T14" s="77" t="n">
        <v>315.859019729177</v>
      </c>
      <c r="U14" s="77" t="n">
        <v>0.0</v>
      </c>
      <c r="V14" s="77"/>
      <c r="W14" s="77">
        <f si="1" t="shared"/>
        <v>5855.3359475997422</v>
      </c>
      <c r="X14" s="15"/>
      <c r="Y14" s="95">
        <v>8</v>
      </c>
      <c r="Z14" s="77">
        <v>556</v>
      </c>
      <c r="AA14" s="77">
        <v>396</v>
      </c>
      <c r="AB14" s="77">
        <v>279</v>
      </c>
      <c r="AC14" s="77">
        <v>297</v>
      </c>
      <c r="AD14" s="77">
        <v>248</v>
      </c>
      <c r="AE14" s="77">
        <v>1112</v>
      </c>
      <c r="AF14" s="77">
        <v>324</v>
      </c>
      <c r="AG14" s="77">
        <v>127</v>
      </c>
      <c r="AH14" s="77">
        <v>338</v>
      </c>
      <c r="AI14" s="77">
        <v>153</v>
      </c>
      <c r="AJ14" s="77">
        <v>451</v>
      </c>
      <c r="AK14" s="77">
        <v>703</v>
      </c>
      <c r="AL14" s="77">
        <v>90</v>
      </c>
      <c r="AM14" s="77">
        <v>101</v>
      </c>
      <c r="AN14" s="77">
        <v>54</v>
      </c>
      <c r="AO14" s="77">
        <v>15</v>
      </c>
      <c r="AP14" s="77">
        <v>35</v>
      </c>
      <c r="AQ14" s="77">
        <v>32</v>
      </c>
      <c r="AR14" s="77">
        <v>49</v>
      </c>
      <c r="AS14" s="77">
        <v>14</v>
      </c>
      <c r="AT14" s="77"/>
      <c r="AU14" s="77">
        <f si="2" t="shared"/>
        <v>5374</v>
      </c>
      <c r="AV14" s="14"/>
      <c r="AW14" s="95">
        <v>8</v>
      </c>
      <c r="AX14" s="77" t="n">
        <v>209.0</v>
      </c>
      <c r="AY14" s="77" t="n">
        <v>202.0</v>
      </c>
      <c r="AZ14" s="77" t="n">
        <v>607.0</v>
      </c>
      <c r="BA14" s="77" t="n">
        <v>1043.0</v>
      </c>
      <c r="BB14" s="77" t="n">
        <v>1055.0</v>
      </c>
      <c r="BC14" s="77" t="n">
        <v>470.0</v>
      </c>
      <c r="BD14" s="77" t="n">
        <v>416.0</v>
      </c>
      <c r="BE14" s="77" t="n">
        <v>82.0</v>
      </c>
      <c r="BF14" s="77" t="n">
        <v>252.0</v>
      </c>
      <c r="BG14" s="77" t="n">
        <v>350.0</v>
      </c>
      <c r="BH14" s="77" t="n">
        <v>789.0</v>
      </c>
      <c r="BI14" s="77" t="n">
        <v>722.0</v>
      </c>
      <c r="BJ14" s="77" t="n">
        <v>590.0</v>
      </c>
      <c r="BK14" s="77" t="n">
        <v>747.0</v>
      </c>
      <c r="BL14" s="77" t="n">
        <v>132.0</v>
      </c>
      <c r="BM14" s="77" t="n">
        <v>281.0</v>
      </c>
      <c r="BN14" s="77" t="n">
        <v>213.0</v>
      </c>
      <c r="BO14" s="77" t="n">
        <v>50.0</v>
      </c>
      <c r="BP14" s="77" t="n">
        <v>267.0</v>
      </c>
      <c r="BQ14" s="77" t="n">
        <v>808.0</v>
      </c>
      <c r="BR14" s="77"/>
      <c r="BS14" s="77">
        <f si="3" t="shared"/>
        <v>4148</v>
      </c>
      <c r="BT14" s="102"/>
      <c r="BV14" s="6" t="s">
        <v>347</v>
      </c>
      <c r="BW14" s="135">
        <f ref="BW14:CR14" si="8" t="shared">AX55</f>
        <v>104717</v>
      </c>
      <c r="BX14" s="135">
        <f si="8" t="shared"/>
        <v>36899</v>
      </c>
      <c r="BY14" s="135">
        <f si="8" t="shared"/>
        <v>20380</v>
      </c>
      <c r="BZ14" s="135">
        <f si="8" t="shared"/>
        <v>12404</v>
      </c>
      <c r="CA14" s="135">
        <f si="8" t="shared"/>
        <v>28863</v>
      </c>
      <c r="CB14" s="135">
        <f si="8" t="shared"/>
        <v>97414</v>
      </c>
      <c r="CC14" s="135">
        <f si="8" t="shared"/>
        <v>43120</v>
      </c>
      <c r="CD14" s="135">
        <f si="8" t="shared"/>
        <v>1352</v>
      </c>
      <c r="CE14" s="135">
        <f si="8" t="shared"/>
        <v>25252</v>
      </c>
      <c r="CF14" s="135">
        <f si="8" t="shared"/>
        <v>6761</v>
      </c>
      <c r="CG14" s="135">
        <f si="8" t="shared"/>
        <v>22148</v>
      </c>
      <c r="CH14" s="135">
        <f si="8" t="shared"/>
        <v>91217</v>
      </c>
      <c r="CI14" s="135">
        <f si="8" t="shared"/>
        <v>88273</v>
      </c>
      <c r="CJ14" s="135">
        <f si="8" t="shared"/>
        <v>7097</v>
      </c>
      <c r="CK14" s="135">
        <f si="8" t="shared"/>
        <v>20514</v>
      </c>
      <c r="CL14" s="135">
        <f si="8" t="shared"/>
        <v>1271</v>
      </c>
      <c r="CM14" s="135">
        <f si="8" t="shared"/>
        <v>4643</v>
      </c>
      <c r="CN14" s="135">
        <f si="8" t="shared"/>
        <v>9969</v>
      </c>
      <c r="CO14" s="135">
        <f si="8" t="shared"/>
        <v>12777</v>
      </c>
      <c r="CP14" s="135">
        <f si="8" t="shared"/>
        <v>10405</v>
      </c>
      <c r="CQ14" s="135">
        <f si="8" t="shared"/>
        <v>0</v>
      </c>
      <c r="CR14" s="135">
        <f si="8" t="shared"/>
        <v>645476</v>
      </c>
    </row>
    <row r="15" spans="1:96" x14ac:dyDescent="0.25">
      <c r="A15" s="95">
        <v>9</v>
      </c>
      <c r="B15" s="77" t="n">
        <v>7572.909586329161</v>
      </c>
      <c r="C15" s="77" t="n">
        <v>4269.759153089524</v>
      </c>
      <c r="D15" s="77" t="n">
        <v>1224.2709910585247</v>
      </c>
      <c r="E15" s="77" t="n">
        <v>1889.7531282851944</v>
      </c>
      <c r="F15" s="77" t="n">
        <v>1040.83262937931</v>
      </c>
      <c r="G15" s="77" t="n">
        <v>4049.5959947581605</v>
      </c>
      <c r="H15" s="77" t="n">
        <v>4940.191242060208</v>
      </c>
      <c r="I15" s="77" t="n">
        <v>0.0</v>
      </c>
      <c r="J15" s="77" t="n">
        <v>17090.051707385723</v>
      </c>
      <c r="K15" s="77" t="n">
        <v>106.9702092219435</v>
      </c>
      <c r="L15" s="77" t="n">
        <v>811.3048720333094</v>
      </c>
      <c r="M15" s="77" t="n">
        <v>6125.626425327019</v>
      </c>
      <c r="N15" s="77" t="n">
        <v>45.8219463216982</v>
      </c>
      <c r="O15" s="77" t="n">
        <v>0.0</v>
      </c>
      <c r="P15" s="77" t="n">
        <v>1989.4496489029978</v>
      </c>
      <c r="Q15" s="77" t="n">
        <v>0.0</v>
      </c>
      <c r="R15" s="77" t="n">
        <v>163.858503084936</v>
      </c>
      <c r="S15" s="77" t="n">
        <v>331.1828528871716</v>
      </c>
      <c r="T15" s="77" t="n">
        <v>153.546374011163</v>
      </c>
      <c r="U15" s="77" t="n">
        <v>0.0</v>
      </c>
      <c r="V15" s="77"/>
      <c r="W15" s="77">
        <f si="1" t="shared"/>
        <v>51805.125264136048</v>
      </c>
      <c r="X15" s="15"/>
      <c r="Y15" s="95">
        <v>9</v>
      </c>
      <c r="Z15" s="77">
        <v>5524</v>
      </c>
      <c r="AA15" s="77">
        <v>4655</v>
      </c>
      <c r="AB15" s="77">
        <v>2205</v>
      </c>
      <c r="AC15" s="77">
        <v>1658</v>
      </c>
      <c r="AD15" s="77">
        <v>1243</v>
      </c>
      <c r="AE15" s="77">
        <v>9689</v>
      </c>
      <c r="AF15" s="77">
        <v>5508</v>
      </c>
      <c r="AG15" s="77">
        <v>317</v>
      </c>
      <c r="AH15" s="77">
        <v>9598</v>
      </c>
      <c r="AI15" s="77">
        <v>903</v>
      </c>
      <c r="AJ15" s="77">
        <v>3167</v>
      </c>
      <c r="AK15" s="77">
        <v>9119</v>
      </c>
      <c r="AL15" s="77">
        <v>2035</v>
      </c>
      <c r="AM15" s="77">
        <v>283</v>
      </c>
      <c r="AN15" s="77">
        <v>3440</v>
      </c>
      <c r="AO15" s="77">
        <v>132</v>
      </c>
      <c r="AP15" s="77">
        <v>289</v>
      </c>
      <c r="AQ15" s="77">
        <v>270</v>
      </c>
      <c r="AR15" s="77">
        <v>862</v>
      </c>
      <c r="AS15" s="77">
        <v>199</v>
      </c>
      <c r="AT15" s="77"/>
      <c r="AU15" s="77">
        <f si="2" t="shared"/>
        <v>61096</v>
      </c>
      <c r="AV15" s="14"/>
      <c r="AW15" s="95">
        <v>9</v>
      </c>
      <c r="AX15" s="77" t="n">
        <v>1087.0</v>
      </c>
      <c r="AY15" s="77" t="n">
        <v>969.0</v>
      </c>
      <c r="AZ15" s="77" t="n">
        <v>3054.0</v>
      </c>
      <c r="BA15" s="77" t="n">
        <v>4140.0</v>
      </c>
      <c r="BB15" s="77" t="n">
        <v>7647.0</v>
      </c>
      <c r="BC15" s="77" t="n">
        <v>2159.0</v>
      </c>
      <c r="BD15" s="77" t="n">
        <v>2270.0</v>
      </c>
      <c r="BE15" s="77" t="n">
        <v>286.0</v>
      </c>
      <c r="BF15" s="77" t="n">
        <v>2088.0</v>
      </c>
      <c r="BG15" s="77" t="n">
        <v>961.0</v>
      </c>
      <c r="BH15" s="77" t="n">
        <v>2711.0</v>
      </c>
      <c r="BI15" s="77" t="n">
        <v>3774.0</v>
      </c>
      <c r="BJ15" s="77" t="n">
        <v>2796.0</v>
      </c>
      <c r="BK15" s="77" t="n">
        <v>2951.0</v>
      </c>
      <c r="BL15" s="77" t="n">
        <v>701.0</v>
      </c>
      <c r="BM15" s="77" t="n">
        <v>845.0</v>
      </c>
      <c r="BN15" s="77" t="n">
        <v>831.0</v>
      </c>
      <c r="BO15" s="77" t="n">
        <v>1123.0</v>
      </c>
      <c r="BP15" s="77" t="n">
        <v>1440.0</v>
      </c>
      <c r="BQ15" s="77" t="n">
        <v>6187.0</v>
      </c>
      <c r="BR15" s="77"/>
      <c r="BS15" s="77">
        <f si="3" t="shared"/>
        <v>57394</v>
      </c>
      <c r="BT15" s="102"/>
      <c r="CP15" s="7"/>
      <c r="CQ15" s="7"/>
    </row>
    <row r="16" spans="1:96" x14ac:dyDescent="0.25">
      <c r="A16" s="95">
        <v>10</v>
      </c>
      <c r="B16" s="77" t="n">
        <v>4522.457057073777</v>
      </c>
      <c r="C16" s="77" t="n">
        <v>382.63372723007967</v>
      </c>
      <c r="D16" s="77" t="n">
        <v>629.5979477823143</v>
      </c>
      <c r="E16" s="77" t="n">
        <v>939.8876548681869</v>
      </c>
      <c r="F16" s="77" t="n">
        <v>2770.691152096432</v>
      </c>
      <c r="G16" s="77" t="n">
        <v>8378.335109274129</v>
      </c>
      <c r="H16" s="77" t="n">
        <v>1121.6587339136686</v>
      </c>
      <c r="I16" s="77" t="n">
        <v>701.4359796297533</v>
      </c>
      <c r="J16" s="77" t="n">
        <v>324.6321711567344</v>
      </c>
      <c r="K16" s="77" t="n">
        <v>2963.516299342945</v>
      </c>
      <c r="L16" s="77" t="n">
        <v>506.8665125945405</v>
      </c>
      <c r="M16" s="77" t="n">
        <v>4813.283059824848</v>
      </c>
      <c r="N16" s="77" t="n">
        <v>208.1303191076858</v>
      </c>
      <c r="O16" s="77" t="n">
        <v>102.467534302609</v>
      </c>
      <c r="P16" s="77" t="n">
        <v>0.0</v>
      </c>
      <c r="Q16" s="77" t="n">
        <v>279.550910359326</v>
      </c>
      <c r="R16" s="77" t="n">
        <v>0.0</v>
      </c>
      <c r="S16" s="77" t="n">
        <v>30.3573589496342</v>
      </c>
      <c r="T16" s="77" t="n">
        <v>0.0</v>
      </c>
      <c r="U16" s="77" t="n">
        <v>0.0</v>
      </c>
      <c r="V16" s="77"/>
      <c r="W16" s="77">
        <f si="1" t="shared"/>
        <v>28675.501527506662</v>
      </c>
      <c r="X16" s="7"/>
      <c r="Y16" s="95">
        <v>10</v>
      </c>
      <c r="Z16" s="77">
        <v>2598</v>
      </c>
      <c r="AA16" s="77">
        <v>930</v>
      </c>
      <c r="AB16" s="77">
        <v>482</v>
      </c>
      <c r="AC16" s="77">
        <v>722</v>
      </c>
      <c r="AD16" s="77">
        <v>1195</v>
      </c>
      <c r="AE16" s="77">
        <v>6266</v>
      </c>
      <c r="AF16" s="77">
        <v>971</v>
      </c>
      <c r="AG16" s="77">
        <v>207</v>
      </c>
      <c r="AH16" s="77">
        <v>905</v>
      </c>
      <c r="AI16" s="77">
        <v>1897</v>
      </c>
      <c r="AJ16" s="77">
        <v>679</v>
      </c>
      <c r="AK16" s="77">
        <v>5658</v>
      </c>
      <c r="AL16" s="77">
        <v>416</v>
      </c>
      <c r="AM16" s="77">
        <v>134</v>
      </c>
      <c r="AN16" s="77">
        <v>146</v>
      </c>
      <c r="AO16" s="77">
        <v>400</v>
      </c>
      <c r="AP16" s="77">
        <v>56</v>
      </c>
      <c r="AQ16" s="77">
        <v>133</v>
      </c>
      <c r="AR16" s="77">
        <v>171</v>
      </c>
      <c r="AS16" s="77">
        <v>75</v>
      </c>
      <c r="AT16" s="77"/>
      <c r="AU16" s="77">
        <f si="2" t="shared"/>
        <v>24041</v>
      </c>
      <c r="AW16" s="95">
        <v>10</v>
      </c>
      <c r="AX16" s="77" t="n">
        <v>757.0</v>
      </c>
      <c r="AY16" s="77" t="n">
        <v>828.0</v>
      </c>
      <c r="AZ16" s="77" t="n">
        <v>2105.0</v>
      </c>
      <c r="BA16" s="77" t="n">
        <v>3523.0</v>
      </c>
      <c r="BB16" s="77" t="n">
        <v>3983.0</v>
      </c>
      <c r="BC16" s="77" t="n">
        <v>1562.0</v>
      </c>
      <c r="BD16" s="77" t="n">
        <v>1055.0</v>
      </c>
      <c r="BE16" s="77" t="n">
        <v>234.0</v>
      </c>
      <c r="BF16" s="77" t="n">
        <v>921.0</v>
      </c>
      <c r="BG16" s="77" t="n">
        <v>1251.0</v>
      </c>
      <c r="BH16" s="77" t="n">
        <v>2242.0</v>
      </c>
      <c r="BI16" s="77" t="n">
        <v>1974.0</v>
      </c>
      <c r="BJ16" s="77" t="n">
        <v>2379.0</v>
      </c>
      <c r="BK16" s="77" t="n">
        <v>2620.0</v>
      </c>
      <c r="BL16" s="77" t="n">
        <v>311.0</v>
      </c>
      <c r="BM16" s="77" t="n">
        <v>860.0</v>
      </c>
      <c r="BN16" s="77" t="n">
        <v>855.0</v>
      </c>
      <c r="BO16" s="77" t="n">
        <v>242.0</v>
      </c>
      <c r="BP16" s="77" t="n">
        <v>1065.0</v>
      </c>
      <c r="BQ16" s="77" t="n">
        <v>2834.0</v>
      </c>
      <c r="BR16" s="77"/>
      <c r="BS16" s="77">
        <f si="3" t="shared"/>
        <v>24622</v>
      </c>
      <c r="BT16" s="102"/>
      <c r="CP16" s="7"/>
      <c r="CQ16" s="7"/>
    </row>
    <row r="17" spans="1:93" x14ac:dyDescent="0.25">
      <c r="A17" s="95">
        <v>11</v>
      </c>
      <c r="B17" s="77" t="n">
        <v>5151.389055808141</v>
      </c>
      <c r="C17" s="77" t="n">
        <v>1434.3250662318862</v>
      </c>
      <c r="D17" s="77" t="n">
        <v>4051.314688151663</v>
      </c>
      <c r="E17" s="77" t="n">
        <v>1847.3348811222697</v>
      </c>
      <c r="F17" s="77" t="n">
        <v>2073.4710451702545</v>
      </c>
      <c r="G17" s="77" t="n">
        <v>4085.8114613381895</v>
      </c>
      <c r="H17" s="77" t="n">
        <v>2180.1827269012174</v>
      </c>
      <c r="I17" s="77" t="n">
        <v>481.88106816210467</v>
      </c>
      <c r="J17" s="77" t="n">
        <v>2342.3121127862887</v>
      </c>
      <c r="K17" s="77" t="n">
        <v>155.4595419304008</v>
      </c>
      <c r="L17" s="77" t="n">
        <v>10727.976084477446</v>
      </c>
      <c r="M17" s="77" t="n">
        <v>2611.3386549212496</v>
      </c>
      <c r="N17" s="77" t="n">
        <v>37.9962146322847</v>
      </c>
      <c r="O17" s="77" t="n">
        <v>170.11245052160263</v>
      </c>
      <c r="P17" s="77" t="n">
        <v>0.0</v>
      </c>
      <c r="Q17" s="77" t="n">
        <v>634.790119942082</v>
      </c>
      <c r="R17" s="77" t="n">
        <v>841.8472632340536</v>
      </c>
      <c r="S17" s="77" t="n">
        <v>982.4697218401022</v>
      </c>
      <c r="T17" s="77" t="n">
        <v>1591.681353155886</v>
      </c>
      <c r="U17" s="77" t="n">
        <v>0.0</v>
      </c>
      <c r="V17" s="77"/>
      <c r="W17" s="77">
        <f si="1" t="shared"/>
        <v>41401.693510327124</v>
      </c>
      <c r="X17" s="7"/>
      <c r="Y17" s="95">
        <v>11</v>
      </c>
      <c r="Z17" s="77">
        <v>4696</v>
      </c>
      <c r="AA17" s="77">
        <v>3337</v>
      </c>
      <c r="AB17" s="77">
        <v>2608</v>
      </c>
      <c r="AC17" s="77">
        <v>1983</v>
      </c>
      <c r="AD17" s="77">
        <v>1463</v>
      </c>
      <c r="AE17" s="77">
        <v>8291</v>
      </c>
      <c r="AF17" s="77">
        <v>2809</v>
      </c>
      <c r="AG17" s="77">
        <v>511</v>
      </c>
      <c r="AH17" s="77">
        <v>3879</v>
      </c>
      <c r="AI17" s="77">
        <v>857</v>
      </c>
      <c r="AJ17" s="77">
        <v>10387</v>
      </c>
      <c r="AK17" s="77">
        <v>5991</v>
      </c>
      <c r="AL17" s="77">
        <v>1069</v>
      </c>
      <c r="AM17" s="77">
        <v>617</v>
      </c>
      <c r="AN17" s="77">
        <v>978</v>
      </c>
      <c r="AO17" s="77">
        <v>125</v>
      </c>
      <c r="AP17" s="77">
        <v>763</v>
      </c>
      <c r="AQ17" s="77">
        <v>222</v>
      </c>
      <c r="AR17" s="77">
        <v>3354</v>
      </c>
      <c r="AS17" s="77">
        <v>180</v>
      </c>
      <c r="AT17" s="77"/>
      <c r="AU17" s="77">
        <f si="2" t="shared"/>
        <v>54120</v>
      </c>
      <c r="AW17" s="95">
        <v>11</v>
      </c>
      <c r="AX17" s="77" t="n">
        <v>1726.0</v>
      </c>
      <c r="AY17" s="77" t="n">
        <v>1553.0</v>
      </c>
      <c r="AZ17" s="77" t="n">
        <v>4871.0</v>
      </c>
      <c r="BA17" s="77" t="n">
        <v>6951.0</v>
      </c>
      <c r="BB17" s="77" t="n">
        <v>10765.0</v>
      </c>
      <c r="BC17" s="77" t="n">
        <v>3137.0</v>
      </c>
      <c r="BD17" s="77" t="n">
        <v>2371.0</v>
      </c>
      <c r="BE17" s="77" t="n">
        <v>545.0</v>
      </c>
      <c r="BF17" s="77" t="n">
        <v>2332.0</v>
      </c>
      <c r="BG17" s="77" t="n">
        <v>2007.0</v>
      </c>
      <c r="BH17" s="77" t="n">
        <v>5401.0</v>
      </c>
      <c r="BI17" s="77" t="n">
        <v>4046.0</v>
      </c>
      <c r="BJ17" s="77" t="n">
        <v>3995.0</v>
      </c>
      <c r="BK17" s="77" t="n">
        <v>5184.0</v>
      </c>
      <c r="BL17" s="77" t="n">
        <v>671.0</v>
      </c>
      <c r="BM17" s="77" t="n">
        <v>1381.0</v>
      </c>
      <c r="BN17" s="77" t="n">
        <v>1427.0</v>
      </c>
      <c r="BO17" s="77" t="n">
        <v>399.0</v>
      </c>
      <c r="BP17" s="77" t="n">
        <v>1980.0</v>
      </c>
      <c r="BQ17" s="77" t="n">
        <v>6939.0</v>
      </c>
      <c r="BR17" s="77"/>
      <c r="BS17" s="77">
        <f si="3" t="shared"/>
        <v>50184</v>
      </c>
      <c r="BT17" s="102"/>
    </row>
    <row customFormat="1" r="18" s="95" spans="1:93" x14ac:dyDescent="0.25">
      <c r="A18" s="95">
        <v>12</v>
      </c>
      <c r="B18" s="77" t="n">
        <v>12077.217603658959</v>
      </c>
      <c r="C18" s="77" t="n">
        <v>1733.2597027648576</v>
      </c>
      <c r="D18" s="77" t="n">
        <v>1492.9084679287905</v>
      </c>
      <c r="E18" s="77" t="n">
        <v>3968.6409481254227</v>
      </c>
      <c r="F18" s="77" t="n">
        <v>2021.6496776000834</v>
      </c>
      <c r="G18" s="77" t="n">
        <v>19362.269485248373</v>
      </c>
      <c r="H18" s="77" t="n">
        <v>6672.776804093529</v>
      </c>
      <c r="I18" s="77" t="n">
        <v>86.1919087148637</v>
      </c>
      <c r="J18" s="77" t="n">
        <v>3363.9171966580225</v>
      </c>
      <c r="K18" s="77" t="n">
        <v>2032.664529713249</v>
      </c>
      <c r="L18" s="77" t="n">
        <v>549.0528488808802</v>
      </c>
      <c r="M18" s="77" t="n">
        <v>41561.98260841465</v>
      </c>
      <c r="N18" s="77" t="n">
        <v>1028.8597175417801</v>
      </c>
      <c r="O18" s="77" t="n">
        <v>34.6364895549135</v>
      </c>
      <c r="P18" s="77" t="n">
        <v>0.0</v>
      </c>
      <c r="Q18" s="77" t="n">
        <v>347.3608192065632</v>
      </c>
      <c r="R18" s="77" t="n">
        <v>0.0</v>
      </c>
      <c r="S18" s="77" t="n">
        <v>898.2572876872008</v>
      </c>
      <c r="T18" s="77" t="n">
        <v>0.0</v>
      </c>
      <c r="U18" s="77" t="n">
        <v>653.6763756107167</v>
      </c>
      <c r="V18" s="77"/>
      <c r="W18" s="77">
        <f si="1" t="shared"/>
        <v>97885.322471402833</v>
      </c>
      <c r="X18" s="7"/>
      <c r="Y18" s="95">
        <v>12</v>
      </c>
      <c r="Z18" s="77">
        <v>7931</v>
      </c>
      <c r="AA18" s="77">
        <v>4192</v>
      </c>
      <c r="AB18" s="77">
        <v>1727</v>
      </c>
      <c r="AC18" s="77">
        <v>1885</v>
      </c>
      <c r="AD18" s="77">
        <v>2145</v>
      </c>
      <c r="AE18" s="77">
        <v>18153</v>
      </c>
      <c r="AF18" s="77">
        <v>7114</v>
      </c>
      <c r="AG18" s="77">
        <v>299</v>
      </c>
      <c r="AH18" s="77">
        <v>3974</v>
      </c>
      <c r="AI18" s="77">
        <v>1877</v>
      </c>
      <c r="AJ18" s="77">
        <v>2034</v>
      </c>
      <c r="AK18" s="77">
        <v>44122</v>
      </c>
      <c r="AL18" s="77">
        <v>2647</v>
      </c>
      <c r="AM18" s="77">
        <v>218</v>
      </c>
      <c r="AN18" s="77">
        <v>735</v>
      </c>
      <c r="AO18" s="77">
        <v>418</v>
      </c>
      <c r="AP18" s="77">
        <v>149</v>
      </c>
      <c r="AQ18" s="77">
        <v>1588</v>
      </c>
      <c r="AR18" s="77">
        <v>431</v>
      </c>
      <c r="AS18" s="77">
        <v>747</v>
      </c>
      <c r="AT18" s="77"/>
      <c r="AU18" s="77">
        <f si="2" t="shared"/>
        <v>102386</v>
      </c>
      <c r="AW18" s="95">
        <v>12</v>
      </c>
      <c r="AX18" s="77" t="n">
        <v>2424.0</v>
      </c>
      <c r="AY18" s="77" t="n">
        <v>1495.0</v>
      </c>
      <c r="AZ18" s="77" t="n">
        <v>5220.0</v>
      </c>
      <c r="BA18" s="77" t="n">
        <v>7428.0</v>
      </c>
      <c r="BB18" s="77" t="n">
        <v>10543.0</v>
      </c>
      <c r="BC18" s="77" t="n">
        <v>4037.0</v>
      </c>
      <c r="BD18" s="77" t="n">
        <v>3415.0</v>
      </c>
      <c r="BE18" s="77" t="n">
        <v>574.0</v>
      </c>
      <c r="BF18" s="77" t="n">
        <v>2652.0</v>
      </c>
      <c r="BG18" s="77" t="n">
        <v>1915.0</v>
      </c>
      <c r="BH18" s="77" t="n">
        <v>4842.0</v>
      </c>
      <c r="BI18" s="77" t="n">
        <v>12524.0</v>
      </c>
      <c r="BJ18" s="77" t="n">
        <v>6367.0</v>
      </c>
      <c r="BK18" s="77" t="n">
        <v>5198.0</v>
      </c>
      <c r="BL18" s="77" t="n">
        <v>1978.0</v>
      </c>
      <c r="BM18" s="77" t="n">
        <v>1733.0</v>
      </c>
      <c r="BN18" s="77" t="n">
        <v>2196.0</v>
      </c>
      <c r="BO18" s="77" t="n">
        <v>2698.0</v>
      </c>
      <c r="BP18" s="77" t="n">
        <v>3387.0</v>
      </c>
      <c r="BQ18" s="77" t="n">
        <v>12962.0</v>
      </c>
      <c r="BR18" s="77"/>
      <c r="BS18" s="77">
        <f si="3" t="shared"/>
        <v>103707</v>
      </c>
      <c r="BT18" s="102"/>
    </row>
    <row customFormat="1" ht="15.75" r="19" s="95" spans="1:93" thickBot="1" x14ac:dyDescent="0.3">
      <c r="A19" s="95">
        <v>13</v>
      </c>
      <c r="B19" s="77" t="n">
        <v>3072.0522459311132</v>
      </c>
      <c r="C19" s="77" t="n">
        <v>476.36497468014636</v>
      </c>
      <c r="D19" s="77" t="n">
        <v>206.86718192089592</v>
      </c>
      <c r="E19" s="77" t="n">
        <v>771.8503531005329</v>
      </c>
      <c r="F19" s="77" t="n">
        <v>643.0382534284843</v>
      </c>
      <c r="G19" s="77" t="n">
        <v>1722.8159570454402</v>
      </c>
      <c r="H19" s="77" t="n">
        <v>12607.748861881773</v>
      </c>
      <c r="I19" s="77" t="n">
        <v>506.60135251437396</v>
      </c>
      <c r="J19" s="77" t="n">
        <v>748.9257523236182</v>
      </c>
      <c r="K19" s="77" t="n">
        <v>228.403033692189</v>
      </c>
      <c r="L19" s="77" t="n">
        <v>706.9503934588678</v>
      </c>
      <c r="M19" s="77" t="n">
        <v>3448.347531993958</v>
      </c>
      <c r="N19" s="77" t="n">
        <v>27325.866727592434</v>
      </c>
      <c r="O19" s="77" t="n">
        <v>80.6787613869614</v>
      </c>
      <c r="P19" s="77" t="n">
        <v>1158.8111292312935</v>
      </c>
      <c r="Q19" s="77" t="n">
        <v>0.0</v>
      </c>
      <c r="R19" s="77" t="n">
        <v>0.0</v>
      </c>
      <c r="S19" s="77" t="n">
        <v>1296.943320296311</v>
      </c>
      <c r="T19" s="77" t="n">
        <v>0.0</v>
      </c>
      <c r="U19" s="77" t="n">
        <v>0.0</v>
      </c>
      <c r="V19" s="77"/>
      <c r="W19" s="77">
        <f si="1" t="shared"/>
        <v>55002.265830478398</v>
      </c>
      <c r="X19" s="7"/>
      <c r="Y19" s="95">
        <v>13</v>
      </c>
      <c r="Z19" s="77">
        <v>2480</v>
      </c>
      <c r="AA19" s="77">
        <v>2297</v>
      </c>
      <c r="AB19" s="77">
        <v>910</v>
      </c>
      <c r="AC19" s="77">
        <v>1010</v>
      </c>
      <c r="AD19" s="77">
        <v>608</v>
      </c>
      <c r="AE19" s="77">
        <v>4710</v>
      </c>
      <c r="AF19" s="77">
        <v>13420</v>
      </c>
      <c r="AG19" s="77">
        <v>158</v>
      </c>
      <c r="AH19" s="77">
        <v>2814</v>
      </c>
      <c r="AI19" s="77">
        <v>737</v>
      </c>
      <c r="AJ19" s="77">
        <v>1282</v>
      </c>
      <c r="AK19" s="77">
        <v>10452</v>
      </c>
      <c r="AL19" s="77">
        <v>29838</v>
      </c>
      <c r="AM19" s="77">
        <v>178</v>
      </c>
      <c r="AN19" s="77">
        <v>2078</v>
      </c>
      <c r="AO19" s="77">
        <v>159</v>
      </c>
      <c r="AP19" s="77">
        <v>188</v>
      </c>
      <c r="AQ19" s="77">
        <v>1344</v>
      </c>
      <c r="AR19" s="77">
        <v>356</v>
      </c>
      <c r="AS19" s="77">
        <v>318</v>
      </c>
      <c r="AT19" s="77"/>
      <c r="AU19" s="77">
        <f si="2" t="shared"/>
        <v>75337</v>
      </c>
      <c r="AW19" s="95">
        <v>13</v>
      </c>
      <c r="AX19" s="77" t="n">
        <v>1459.0</v>
      </c>
      <c r="AY19" s="77" t="n">
        <v>969.0</v>
      </c>
      <c r="AZ19" s="77" t="n">
        <v>3275.0</v>
      </c>
      <c r="BA19" s="77" t="n">
        <v>4683.0</v>
      </c>
      <c r="BB19" s="77" t="n">
        <v>5794.0</v>
      </c>
      <c r="BC19" s="77" t="n">
        <v>3579.0</v>
      </c>
      <c r="BD19" s="77" t="n">
        <v>3917.0</v>
      </c>
      <c r="BE19" s="77" t="n">
        <v>365.0</v>
      </c>
      <c r="BF19" s="77" t="n">
        <v>1489.0</v>
      </c>
      <c r="BG19" s="77" t="n">
        <v>1447.0</v>
      </c>
      <c r="BH19" s="77" t="n">
        <v>3353.0</v>
      </c>
      <c r="BI19" s="77" t="n">
        <v>6470.0</v>
      </c>
      <c r="BJ19" s="77" t="n">
        <v>6604.0</v>
      </c>
      <c r="BK19" s="77" t="n">
        <v>4994.0</v>
      </c>
      <c r="BL19" s="77" t="n">
        <v>888.0</v>
      </c>
      <c r="BM19" s="77" t="n">
        <v>1149.0</v>
      </c>
      <c r="BN19" s="77" t="n">
        <v>1821.0</v>
      </c>
      <c r="BO19" s="77" t="n">
        <v>863.0</v>
      </c>
      <c r="BP19" s="77" t="n">
        <v>3207.0</v>
      </c>
      <c r="BQ19" s="77" t="n">
        <v>6914.0</v>
      </c>
      <c r="BR19" s="77"/>
      <c r="BS19" s="77">
        <f si="3" t="shared"/>
        <v>71645</v>
      </c>
      <c r="BT19" s="102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/>
      <c r="CM19"/>
      <c r="CN19"/>
      <c r="CO19"/>
    </row>
    <row customFormat="1" r="20" s="95" spans="1:93" x14ac:dyDescent="0.25">
      <c r="A20" s="95">
        <v>14</v>
      </c>
      <c r="B20" s="77" t="n">
        <v>3048.595640302091</v>
      </c>
      <c r="C20" s="77" t="n">
        <v>904.163091744203</v>
      </c>
      <c r="D20" s="77" t="n">
        <v>71.68207543170439</v>
      </c>
      <c r="E20" s="77" t="n">
        <v>87.5020802053473</v>
      </c>
      <c r="F20" s="77" t="n">
        <v>342.7063484694134</v>
      </c>
      <c r="G20" s="77" t="n">
        <v>1392.275462337361</v>
      </c>
      <c r="H20" s="77" t="n">
        <v>491.711805614784</v>
      </c>
      <c r="I20" s="77" t="n">
        <v>48.171877819248</v>
      </c>
      <c r="J20" s="77" t="n">
        <v>596.5662061569101</v>
      </c>
      <c r="K20" s="77" t="n">
        <v>265.61972778222747</v>
      </c>
      <c r="L20" s="77" t="n">
        <v>1546.6582841828733</v>
      </c>
      <c r="M20" s="77" t="n">
        <v>1014.5560803078602</v>
      </c>
      <c r="N20" s="77" t="n">
        <v>0.0</v>
      </c>
      <c r="O20" s="77" t="n">
        <v>8811.85591432678</v>
      </c>
      <c r="P20" s="77" t="n">
        <v>0.0</v>
      </c>
      <c r="Q20" s="77" t="n">
        <v>0.0</v>
      </c>
      <c r="R20" s="77" t="n">
        <v>768.6984622152534</v>
      </c>
      <c r="S20" s="77" t="n">
        <v>0.0</v>
      </c>
      <c r="T20" s="77" t="n">
        <v>42.8185890857851</v>
      </c>
      <c r="U20" s="77" t="n">
        <v>0.0</v>
      </c>
      <c r="V20" s="77"/>
      <c r="W20" s="77">
        <f si="1" t="shared"/>
        <v>19433.581645981842</v>
      </c>
      <c r="X20" s="7"/>
      <c r="Y20" s="95">
        <v>14</v>
      </c>
      <c r="Z20" s="77">
        <v>1335</v>
      </c>
      <c r="AA20" s="77">
        <v>1224</v>
      </c>
      <c r="AB20" s="77">
        <v>698</v>
      </c>
      <c r="AC20" s="77">
        <v>704</v>
      </c>
      <c r="AD20" s="77">
        <v>486</v>
      </c>
      <c r="AE20" s="77">
        <v>2339</v>
      </c>
      <c r="AF20" s="77">
        <v>914</v>
      </c>
      <c r="AG20" s="77">
        <v>325</v>
      </c>
      <c r="AH20" s="77">
        <v>801</v>
      </c>
      <c r="AI20" s="77">
        <v>341</v>
      </c>
      <c r="AJ20" s="77">
        <v>2249</v>
      </c>
      <c r="AK20" s="77">
        <v>2002</v>
      </c>
      <c r="AL20" s="77">
        <v>447</v>
      </c>
      <c r="AM20" s="77">
        <v>7046</v>
      </c>
      <c r="AN20" s="77">
        <v>239</v>
      </c>
      <c r="AO20" s="77">
        <v>74</v>
      </c>
      <c r="AP20" s="77">
        <v>1216</v>
      </c>
      <c r="AQ20" s="77">
        <v>135</v>
      </c>
      <c r="AR20" s="77">
        <v>596</v>
      </c>
      <c r="AS20" s="77">
        <v>163</v>
      </c>
      <c r="AT20" s="77"/>
      <c r="AU20" s="77">
        <f si="2" t="shared"/>
        <v>23334</v>
      </c>
      <c r="AW20" s="95">
        <v>14</v>
      </c>
      <c r="AX20" s="77" t="n">
        <v>535.0</v>
      </c>
      <c r="AY20" s="77" t="n">
        <v>658.0</v>
      </c>
      <c r="AZ20" s="77" t="n">
        <v>1574.0</v>
      </c>
      <c r="BA20" s="77" t="n">
        <v>2732.0</v>
      </c>
      <c r="BB20" s="77" t="n">
        <v>3259.0</v>
      </c>
      <c r="BC20" s="77" t="n">
        <v>6001.0</v>
      </c>
      <c r="BD20" s="77" t="n">
        <v>7090.0</v>
      </c>
      <c r="BE20" s="77" t="n">
        <v>199.0</v>
      </c>
      <c r="BF20" s="77" t="n">
        <v>1118.0</v>
      </c>
      <c r="BG20" s="77" t="n">
        <v>1370.0</v>
      </c>
      <c r="BH20" s="77" t="n">
        <v>2695.0</v>
      </c>
      <c r="BI20" s="77" t="n">
        <v>4151.0</v>
      </c>
      <c r="BJ20" s="77" t="n">
        <v>2147.0</v>
      </c>
      <c r="BK20" s="77" t="n">
        <v>5967.0</v>
      </c>
      <c r="BL20" s="77" t="n">
        <v>526.0</v>
      </c>
      <c r="BM20" s="77" t="n">
        <v>688.0</v>
      </c>
      <c r="BN20" s="77" t="n">
        <v>855.0</v>
      </c>
      <c r="BO20" s="77" t="n">
        <v>194.0</v>
      </c>
      <c r="BP20" s="77" t="n">
        <v>3860.0</v>
      </c>
      <c r="BQ20" s="77" t="n">
        <v>5388.0</v>
      </c>
      <c r="BR20" s="77"/>
      <c r="BS20" s="77">
        <f si="3" t="shared"/>
        <v>19362</v>
      </c>
      <c r="BT20" s="102"/>
      <c r="BV20" s="228" t="s">
        <v>352</v>
      </c>
      <c r="BW20" s="229"/>
      <c r="BX20" s="230" t="s">
        <v>350</v>
      </c>
      <c r="BY20" s="228"/>
      <c r="BZ20" s="228"/>
      <c r="CA20" s="229"/>
      <c r="CB20" s="230" t="s">
        <v>351</v>
      </c>
      <c r="CC20" s="228"/>
      <c r="CD20" s="228"/>
      <c r="CE20" s="229"/>
      <c r="CF20" s="231" t="s">
        <v>360</v>
      </c>
      <c r="CG20" s="232"/>
      <c r="CH20" s="232"/>
      <c r="CI20" s="233"/>
      <c r="CJ20" s="230" t="s">
        <v>355</v>
      </c>
      <c r="CK20" s="229"/>
    </row>
    <row customFormat="1" r="21" s="95" spans="1:93" x14ac:dyDescent="0.25">
      <c r="A21" s="95">
        <v>15</v>
      </c>
      <c r="B21" s="77" t="n">
        <v>1126.3442405851702</v>
      </c>
      <c r="C21" s="77" t="n">
        <v>1479.9403924072585</v>
      </c>
      <c r="D21" s="77" t="n">
        <v>543.017251019509</v>
      </c>
      <c r="E21" s="77" t="n">
        <v>331.1558950579253</v>
      </c>
      <c r="F21" s="77" t="n">
        <v>199.2036813856394</v>
      </c>
      <c r="G21" s="77" t="n">
        <v>796.7012718556889</v>
      </c>
      <c r="H21" s="77" t="n">
        <v>1445.1626077927606</v>
      </c>
      <c r="I21" s="77" t="n">
        <v>0.0</v>
      </c>
      <c r="J21" s="77" t="n">
        <v>2653.926857088762</v>
      </c>
      <c r="K21" s="77" t="n">
        <v>236.473519385404</v>
      </c>
      <c r="L21" s="77" t="n">
        <v>406.3666062814772</v>
      </c>
      <c r="M21" s="77" t="n">
        <v>614.6932415173305</v>
      </c>
      <c r="N21" s="77" t="n">
        <v>2601.31518691686</v>
      </c>
      <c r="O21" s="77" t="n">
        <v>0.0</v>
      </c>
      <c r="P21" s="77" t="n">
        <v>8040.479464446761</v>
      </c>
      <c r="Q21" s="77" t="n">
        <v>0.0</v>
      </c>
      <c r="R21" s="77" t="n">
        <v>0.0</v>
      </c>
      <c r="S21" s="77" t="n">
        <v>0.0</v>
      </c>
      <c r="T21" s="77" t="n">
        <v>50.8191340422856</v>
      </c>
      <c r="U21" s="77" t="n">
        <v>0.0</v>
      </c>
      <c r="V21" s="77"/>
      <c r="W21" s="77">
        <f si="1" t="shared"/>
        <v>20525.599349782831</v>
      </c>
      <c r="X21" s="7"/>
      <c r="Y21" s="95">
        <v>15</v>
      </c>
      <c r="Z21" s="77">
        <v>1351</v>
      </c>
      <c r="AA21" s="77">
        <v>1578</v>
      </c>
      <c r="AB21" s="77">
        <v>495</v>
      </c>
      <c r="AC21" s="77">
        <v>490</v>
      </c>
      <c r="AD21" s="77">
        <v>348</v>
      </c>
      <c r="AE21" s="77">
        <v>2445</v>
      </c>
      <c r="AF21" s="77">
        <v>3540</v>
      </c>
      <c r="AG21" s="77">
        <v>119</v>
      </c>
      <c r="AH21" s="77">
        <v>3477</v>
      </c>
      <c r="AI21" s="77">
        <v>352</v>
      </c>
      <c r="AJ21" s="77">
        <v>1134</v>
      </c>
      <c r="AK21" s="77">
        <v>3306</v>
      </c>
      <c r="AL21" s="77">
        <v>3104</v>
      </c>
      <c r="AM21" s="77">
        <v>179</v>
      </c>
      <c r="AN21" s="77">
        <v>11158</v>
      </c>
      <c r="AO21" s="77">
        <v>69</v>
      </c>
      <c r="AP21" s="77">
        <v>167</v>
      </c>
      <c r="AQ21" s="77">
        <v>183</v>
      </c>
      <c r="AR21" s="77">
        <v>852</v>
      </c>
      <c r="AS21" s="77">
        <v>139</v>
      </c>
      <c r="AT21" s="77"/>
      <c r="AU21" s="77">
        <f si="2" t="shared"/>
        <v>34486</v>
      </c>
      <c r="AW21" s="95">
        <v>15</v>
      </c>
      <c r="AX21" s="77" t="n">
        <v>1175.0</v>
      </c>
      <c r="AY21" s="77" t="n">
        <v>765.0</v>
      </c>
      <c r="AZ21" s="77" t="n">
        <v>3120.0</v>
      </c>
      <c r="BA21" s="77" t="n">
        <v>4345.0</v>
      </c>
      <c r="BB21" s="77" t="n">
        <v>4384.0</v>
      </c>
      <c r="BC21" s="77" t="n">
        <v>3822.0</v>
      </c>
      <c r="BD21" s="77" t="n">
        <v>4078.0</v>
      </c>
      <c r="BE21" s="77" t="n">
        <v>280.0</v>
      </c>
      <c r="BF21" s="77" t="n">
        <v>1530.0</v>
      </c>
      <c r="BG21" s="77" t="n">
        <v>1141.0</v>
      </c>
      <c r="BH21" s="77" t="n">
        <v>2792.0</v>
      </c>
      <c r="BI21" s="77" t="n">
        <v>5713.0</v>
      </c>
      <c r="BJ21" s="77" t="n">
        <v>3411.0</v>
      </c>
      <c r="BK21" s="77" t="n">
        <v>3352.0</v>
      </c>
      <c r="BL21" s="77" t="n">
        <v>1306.0</v>
      </c>
      <c r="BM21" s="77" t="n">
        <v>928.0</v>
      </c>
      <c r="BN21" s="77" t="n">
        <v>986.0</v>
      </c>
      <c r="BO21" s="77" t="n">
        <v>828.0</v>
      </c>
      <c r="BP21" s="77" t="n">
        <v>2059.0</v>
      </c>
      <c r="BQ21" s="77" t="n">
        <v>7709.0</v>
      </c>
      <c r="BR21" s="77"/>
      <c r="BS21" s="77">
        <f si="3" t="shared"/>
        <v>28705</v>
      </c>
      <c r="BT21" s="102"/>
      <c r="BV21" s="113" t="s">
        <v>353</v>
      </c>
      <c r="BW21" s="112" t="s">
        <v>364</v>
      </c>
      <c r="BX21" s="128" t="s">
        <v>345</v>
      </c>
      <c r="BY21" s="129" t="s">
        <v>359</v>
      </c>
      <c r="BZ21" s="129" t="s">
        <v>346</v>
      </c>
      <c r="CA21" s="129" t="s">
        <v>347</v>
      </c>
      <c r="CB21" s="128" t="s">
        <v>345</v>
      </c>
      <c r="CC21" s="129" t="s">
        <v>359</v>
      </c>
      <c r="CD21" s="129" t="s">
        <v>346</v>
      </c>
      <c r="CE21" s="129" t="s">
        <v>347</v>
      </c>
      <c r="CF21" s="114" t="s">
        <v>345</v>
      </c>
      <c r="CG21" s="113" t="s">
        <v>359</v>
      </c>
      <c r="CH21" s="113" t="s">
        <v>363</v>
      </c>
      <c r="CI21" s="120" t="s">
        <v>347</v>
      </c>
      <c r="CJ21" s="118" t="s">
        <v>354</v>
      </c>
      <c r="CK21" s="136" t="s">
        <v>356</v>
      </c>
      <c r="CL21" s="138" t="s">
        <v>361</v>
      </c>
    </row>
    <row customFormat="1" r="22" s="95" spans="1:93" x14ac:dyDescent="0.25">
      <c r="A22" s="95">
        <v>16</v>
      </c>
      <c r="B22" s="77" t="n">
        <v>482.3258380893527</v>
      </c>
      <c r="C22" s="77" t="n">
        <v>437.93294618831</v>
      </c>
      <c r="D22" s="77" t="n">
        <v>889.367325906245</v>
      </c>
      <c r="E22" s="77" t="n">
        <v>513.754212258585</v>
      </c>
      <c r="F22" s="77" t="n">
        <v>937.311640082252</v>
      </c>
      <c r="G22" s="77" t="n">
        <v>4965.735165617634</v>
      </c>
      <c r="H22" s="77" t="n">
        <v>633.626659831296</v>
      </c>
      <c r="I22" s="77" t="n">
        <v>1300.794401645284</v>
      </c>
      <c r="J22" s="77" t="n">
        <v>803.169287571568</v>
      </c>
      <c r="K22" s="77" t="n">
        <v>437.93294618831</v>
      </c>
      <c r="L22" s="77" t="n">
        <v>0.0</v>
      </c>
      <c r="M22" s="77" t="n">
        <v>4890.744763429346</v>
      </c>
      <c r="N22" s="77" t="n">
        <v>0.0</v>
      </c>
      <c r="O22" s="77" t="n">
        <v>0.0</v>
      </c>
      <c r="P22" s="77" t="n">
        <v>0.0</v>
      </c>
      <c r="Q22" s="77" t="n">
        <v>173.522623013451</v>
      </c>
      <c r="R22" s="77" t="n">
        <v>0.0</v>
      </c>
      <c r="S22" s="77" t="n">
        <v>0.0</v>
      </c>
      <c r="T22" s="77" t="n">
        <v>0.0</v>
      </c>
      <c r="U22" s="77" t="n">
        <v>0.0</v>
      </c>
      <c r="V22" s="77"/>
      <c r="W22" s="77">
        <f si="1" t="shared"/>
        <v>16466.217809821632</v>
      </c>
      <c r="X22" s="7"/>
      <c r="Y22" s="95">
        <v>16</v>
      </c>
      <c r="Z22" s="77">
        <v>1174</v>
      </c>
      <c r="AA22" s="77">
        <v>671</v>
      </c>
      <c r="AB22" s="77">
        <v>278</v>
      </c>
      <c r="AC22" s="77">
        <v>392</v>
      </c>
      <c r="AD22" s="77">
        <v>541</v>
      </c>
      <c r="AE22" s="77">
        <v>3203</v>
      </c>
      <c r="AF22" s="77">
        <v>597</v>
      </c>
      <c r="AG22" s="77">
        <v>90</v>
      </c>
      <c r="AH22" s="77">
        <v>476</v>
      </c>
      <c r="AI22" s="77">
        <v>933</v>
      </c>
      <c r="AJ22" s="77">
        <v>303</v>
      </c>
      <c r="AK22" s="77">
        <v>4945</v>
      </c>
      <c r="AL22" s="77">
        <v>389</v>
      </c>
      <c r="AM22" s="77">
        <v>57</v>
      </c>
      <c r="AN22" s="77">
        <v>107</v>
      </c>
      <c r="AO22" s="77">
        <v>890</v>
      </c>
      <c r="AP22" s="77">
        <v>30</v>
      </c>
      <c r="AQ22" s="77">
        <v>301</v>
      </c>
      <c r="AR22" s="77">
        <v>86</v>
      </c>
      <c r="AS22" s="77">
        <v>135</v>
      </c>
      <c r="AT22" s="77"/>
      <c r="AU22" s="77">
        <f si="2" t="shared"/>
        <v>15598</v>
      </c>
      <c r="AW22" s="95">
        <v>16</v>
      </c>
      <c r="AX22" s="77" t="n">
        <v>263.0</v>
      </c>
      <c r="AY22" s="77" t="n">
        <v>282.0</v>
      </c>
      <c r="AZ22" s="77" t="n">
        <v>811.0</v>
      </c>
      <c r="BA22" s="77" t="n">
        <v>1266.0</v>
      </c>
      <c r="BB22" s="77" t="n">
        <v>1362.0</v>
      </c>
      <c r="BC22" s="77" t="n">
        <v>559.0</v>
      </c>
      <c r="BD22" s="77" t="n">
        <v>458.0</v>
      </c>
      <c r="BE22" s="77" t="n">
        <v>84.0</v>
      </c>
      <c r="BF22" s="77" t="n">
        <v>330.0</v>
      </c>
      <c r="BG22" s="77" t="n">
        <v>378.0</v>
      </c>
      <c r="BH22" s="77" t="n">
        <v>988.0</v>
      </c>
      <c r="BI22" s="77" t="n">
        <v>841.0</v>
      </c>
      <c r="BJ22" s="77" t="n">
        <v>729.0</v>
      </c>
      <c r="BK22" s="77" t="n">
        <v>1057.0</v>
      </c>
      <c r="BL22" s="77" t="n">
        <v>145.0</v>
      </c>
      <c r="BM22" s="77" t="n">
        <v>374.0</v>
      </c>
      <c r="BN22" s="77" t="n">
        <v>312.0</v>
      </c>
      <c r="BO22" s="77" t="n">
        <v>82.0</v>
      </c>
      <c r="BP22" s="77" t="n">
        <v>431.0</v>
      </c>
      <c r="BQ22" s="77" t="n">
        <v>1164.0</v>
      </c>
      <c r="BR22" s="77"/>
      <c r="BS22" s="77">
        <f si="3" t="shared"/>
        <v>13391</v>
      </c>
      <c r="BT22" s="102"/>
      <c r="BV22" s="31">
        <v>1</v>
      </c>
      <c r="BW22" s="34" t="s">
        <v>325</v>
      </c>
      <c r="BX22" s="132">
        <f>$BW$7</f>
        <v>59653.544440759513</v>
      </c>
      <c r="BY22" s="133">
        <f>$BW$8</f>
        <v>40646.598554106436</v>
      </c>
      <c r="BZ22" s="133">
        <f>$BW$9</f>
        <v>51288</v>
      </c>
      <c r="CA22" s="134">
        <f>$BW$10</f>
        <v>104717</v>
      </c>
      <c r="CB22" s="132">
        <f>$BW$11</f>
        <v>68751.234923705561</v>
      </c>
      <c r="CC22" s="133">
        <f>$BW$12</f>
        <v>23799.328065932477</v>
      </c>
      <c r="CD22" s="133">
        <f>$BW$13</f>
        <v>47962.330067061164</v>
      </c>
      <c r="CE22" s="134">
        <f>$BW$14</f>
        <v>104717</v>
      </c>
      <c r="CF22" s="100">
        <f ref="CF22:CF42" si="9" t="shared">CB22/CB$42</f>
        <v>0.10651245735504583</v>
      </c>
      <c r="CG22" s="100">
        <f ref="CG22:CG42" si="10" t="shared">CC22/CC$42</f>
        <v>3.6870972841643181E-2</v>
      </c>
      <c r="CH22" s="100">
        <f ref="CH22:CH42" si="11" t="shared">CD22/CD$42</f>
        <v>7.4305365446679913E-2</v>
      </c>
      <c r="CI22" s="121">
        <f ref="CI22:CI42" si="12" t="shared">CE22/CE$42</f>
        <v>0.16223221312643693</v>
      </c>
      <c r="CJ22" s="125">
        <f ref="CJ22:CJ42" si="13" t="shared">CI22-CH22</f>
        <v>8.7926847679757017E-2</v>
      </c>
      <c r="CK22" s="121">
        <f ref="CK22:CK42" si="14" t="shared">(CE22-CD22)/CD22</f>
        <v>1.1833176130847725</v>
      </c>
      <c r="CL22" s="21">
        <f>CI22-CG22</f>
        <v>0.12536124028479376</v>
      </c>
    </row>
    <row customFormat="1" r="23" s="95" spans="1:93" x14ac:dyDescent="0.25">
      <c r="A23" s="95">
        <v>17</v>
      </c>
      <c r="B23" s="77" t="n">
        <v>997.1994453700618</v>
      </c>
      <c r="C23" s="77" t="n">
        <v>1009.9862790552248</v>
      </c>
      <c r="D23" s="77" t="n">
        <v>363.0532682719917</v>
      </c>
      <c r="E23" s="77" t="n">
        <v>783.1224904358384</v>
      </c>
      <c r="F23" s="77" t="n">
        <v>327.1632154711596</v>
      </c>
      <c r="G23" s="77" t="n">
        <v>431.6904911787849</v>
      </c>
      <c r="H23" s="77" t="n">
        <v>836.659653377565</v>
      </c>
      <c r="I23" s="77" t="n">
        <v>0.0</v>
      </c>
      <c r="J23" s="77" t="n">
        <v>255.66629231895521</v>
      </c>
      <c r="K23" s="77" t="n">
        <v>0.0</v>
      </c>
      <c r="L23" s="77" t="n">
        <v>3597.6834242552895</v>
      </c>
      <c r="M23" s="77" t="n">
        <v>686.982083446857</v>
      </c>
      <c r="N23" s="77" t="n">
        <v>0.0</v>
      </c>
      <c r="O23" s="77" t="n">
        <v>626.5027878139031</v>
      </c>
      <c r="P23" s="77" t="n">
        <v>60.8174390287902</v>
      </c>
      <c r="Q23" s="77" t="n">
        <v>0.0</v>
      </c>
      <c r="R23" s="77" t="n">
        <v>2982.7547534287887</v>
      </c>
      <c r="S23" s="77" t="n">
        <v>0.0</v>
      </c>
      <c r="T23" s="77" t="n">
        <v>615.1469215148392</v>
      </c>
      <c r="U23" s="77" t="n">
        <v>0.0</v>
      </c>
      <c r="V23" s="77"/>
      <c r="W23" s="77">
        <f si="1" t="shared"/>
        <v>13574.428544968046</v>
      </c>
      <c r="X23" s="7"/>
      <c r="Y23" s="95">
        <v>17</v>
      </c>
      <c r="Z23" s="77">
        <v>1073</v>
      </c>
      <c r="AA23" s="77">
        <v>998</v>
      </c>
      <c r="AB23" s="77">
        <v>541</v>
      </c>
      <c r="AC23" s="77">
        <v>574</v>
      </c>
      <c r="AD23" s="77">
        <v>341</v>
      </c>
      <c r="AE23" s="77">
        <v>1906</v>
      </c>
      <c r="AF23" s="77">
        <v>788</v>
      </c>
      <c r="AG23" s="77">
        <v>204</v>
      </c>
      <c r="AH23" s="77">
        <v>794</v>
      </c>
      <c r="AI23" s="77">
        <v>249</v>
      </c>
      <c r="AJ23" s="77">
        <v>3248</v>
      </c>
      <c r="AK23" s="77">
        <v>1526</v>
      </c>
      <c r="AL23" s="77">
        <v>337</v>
      </c>
      <c r="AM23" s="77">
        <v>1510</v>
      </c>
      <c r="AN23" s="77">
        <v>304</v>
      </c>
      <c r="AO23" s="77">
        <v>70</v>
      </c>
      <c r="AP23" s="77">
        <v>2843</v>
      </c>
      <c r="AQ23" s="77">
        <v>87</v>
      </c>
      <c r="AR23" s="77">
        <v>2065</v>
      </c>
      <c r="AS23" s="77">
        <v>83</v>
      </c>
      <c r="AT23" s="77"/>
      <c r="AU23" s="77">
        <f si="2" t="shared"/>
        <v>19541</v>
      </c>
      <c r="AW23" s="95">
        <v>17</v>
      </c>
      <c r="AX23" s="77" t="n">
        <v>733.0</v>
      </c>
      <c r="AY23" s="77" t="n">
        <v>488.0</v>
      </c>
      <c r="AZ23" s="77" t="n">
        <v>1333.0</v>
      </c>
      <c r="BA23" s="77" t="n">
        <v>1755.0</v>
      </c>
      <c r="BB23" s="77" t="n">
        <v>3837.0</v>
      </c>
      <c r="BC23" s="77" t="n">
        <v>1418.0</v>
      </c>
      <c r="BD23" s="77" t="n">
        <v>1456.0</v>
      </c>
      <c r="BE23" s="77" t="n">
        <v>246.0</v>
      </c>
      <c r="BF23" s="77" t="n">
        <v>750.0</v>
      </c>
      <c r="BG23" s="77" t="n">
        <v>625.0</v>
      </c>
      <c r="BH23" s="77" t="n">
        <v>1204.0</v>
      </c>
      <c r="BI23" s="77" t="n">
        <v>1856.0</v>
      </c>
      <c r="BJ23" s="77" t="n">
        <v>2442.0</v>
      </c>
      <c r="BK23" s="77" t="n">
        <v>1817.0</v>
      </c>
      <c r="BL23" s="77" t="n">
        <v>255.0</v>
      </c>
      <c r="BM23" s="77" t="n">
        <v>444.0</v>
      </c>
      <c r="BN23" s="77" t="n">
        <v>908.0</v>
      </c>
      <c r="BO23" s="77" t="n">
        <v>314.0</v>
      </c>
      <c r="BP23" s="77" t="n">
        <v>1579.0</v>
      </c>
      <c r="BQ23" s="77" t="n">
        <v>2849.0</v>
      </c>
      <c r="BR23" s="77"/>
      <c r="BS23" s="77">
        <f si="3" t="shared"/>
        <v>17287</v>
      </c>
      <c r="BT23" s="102"/>
      <c r="BV23" s="95">
        <v>2</v>
      </c>
      <c r="BW23" s="34" t="s">
        <v>326</v>
      </c>
      <c r="BX23" s="115">
        <f>$BX$7</f>
        <v>23682.665169572778</v>
      </c>
      <c r="BY23" s="116">
        <f>$BX$8</f>
        <v>42317.179366221637</v>
      </c>
      <c r="BZ23" s="116">
        <f>$BX$9</f>
        <v>34948</v>
      </c>
      <c r="CA23" s="123">
        <f>$BX$10</f>
        <v>36899</v>
      </c>
      <c r="CB23" s="115">
        <f>$BX$11</f>
        <v>27294.480017188169</v>
      </c>
      <c r="CC23" s="116">
        <f>$BX$12</f>
        <v>24777.483735102607</v>
      </c>
      <c r="CD23" s="116">
        <f>$BX$13</f>
        <v>32465.686990023041</v>
      </c>
      <c r="CE23" s="123">
        <f>$BX$14</f>
        <v>36899</v>
      </c>
      <c r="CF23" s="100">
        <f si="9" t="shared"/>
        <v>4.2285817005106571E-2</v>
      </c>
      <c r="CG23" s="100">
        <f si="10" t="shared"/>
        <v>3.8386374915725142E-2</v>
      </c>
      <c r="CH23" s="100">
        <f si="11" t="shared"/>
        <v>5.0297279821438813E-2</v>
      </c>
      <c r="CI23" s="121">
        <f si="12" t="shared"/>
        <v>5.7165564637569791E-2</v>
      </c>
      <c r="CJ23" s="125">
        <f si="13" t="shared"/>
        <v>6.8682848161309776E-3</v>
      </c>
      <c r="CK23" s="121">
        <f si="14" t="shared"/>
        <v>0.13655380252200885</v>
      </c>
      <c r="CL23" s="21">
        <f ref="CL23:CL41" si="15" t="shared">CI23-CG23</f>
        <v>1.8779189721844648E-2</v>
      </c>
    </row>
    <row customFormat="1" r="24" s="95" spans="1:93" x14ac:dyDescent="0.25">
      <c r="A24" s="95">
        <v>18</v>
      </c>
      <c r="B24" s="77" t="n">
        <v>2053.2657064752507</v>
      </c>
      <c r="C24" s="77" t="n">
        <v>724.3285763176</v>
      </c>
      <c r="D24" s="77" t="n">
        <v>194.40680958973</v>
      </c>
      <c r="E24" s="77" t="n">
        <v>774.567833077747</v>
      </c>
      <c r="F24" s="77" t="n">
        <v>442.683564346507</v>
      </c>
      <c r="G24" s="77" t="n">
        <v>1701.6263444689466</v>
      </c>
      <c r="H24" s="77" t="n">
        <v>2208.293614930484</v>
      </c>
      <c r="I24" s="77" t="n">
        <v>0.0</v>
      </c>
      <c r="J24" s="77" t="n">
        <v>0.0</v>
      </c>
      <c r="K24" s="77" t="n">
        <v>0.0</v>
      </c>
      <c r="L24" s="77" t="n">
        <v>0.0</v>
      </c>
      <c r="M24" s="77" t="n">
        <v>12151.014441589774</v>
      </c>
      <c r="N24" s="77" t="n">
        <v>5447.702054994651</v>
      </c>
      <c r="O24" s="77" t="n">
        <v>0.0</v>
      </c>
      <c r="P24" s="77" t="n">
        <v>0.0</v>
      </c>
      <c r="Q24" s="77" t="n">
        <v>0.0</v>
      </c>
      <c r="R24" s="77" t="n">
        <v>0.0</v>
      </c>
      <c r="S24" s="77" t="n">
        <v>2165.378402693672</v>
      </c>
      <c r="T24" s="77" t="n">
        <v>0.0</v>
      </c>
      <c r="U24" s="77" t="n">
        <v>241.02852663785</v>
      </c>
      <c r="V24" s="77"/>
      <c r="W24" s="77">
        <f si="1" t="shared"/>
        <v>28104.29587512221</v>
      </c>
      <c r="X24" s="7"/>
      <c r="Y24" s="95">
        <v>18</v>
      </c>
      <c r="Z24" s="77">
        <v>1413</v>
      </c>
      <c r="AA24" s="77">
        <v>1009</v>
      </c>
      <c r="AB24" s="77">
        <v>347</v>
      </c>
      <c r="AC24" s="77">
        <v>449</v>
      </c>
      <c r="AD24" s="77">
        <v>361</v>
      </c>
      <c r="AE24" s="77">
        <v>3042</v>
      </c>
      <c r="AF24" s="77">
        <v>3110</v>
      </c>
      <c r="AG24" s="77">
        <v>89</v>
      </c>
      <c r="AH24" s="77">
        <v>1052</v>
      </c>
      <c r="AI24" s="77">
        <v>490</v>
      </c>
      <c r="AJ24" s="77">
        <v>460</v>
      </c>
      <c r="AK24" s="77">
        <v>14333</v>
      </c>
      <c r="AL24" s="77">
        <v>4099</v>
      </c>
      <c r="AM24" s="77">
        <v>64</v>
      </c>
      <c r="AN24" s="77">
        <v>363</v>
      </c>
      <c r="AO24" s="77">
        <v>168</v>
      </c>
      <c r="AP24" s="77">
        <v>56</v>
      </c>
      <c r="AQ24" s="77">
        <v>3474</v>
      </c>
      <c r="AR24" s="77">
        <v>132</v>
      </c>
      <c r="AS24" s="77">
        <v>1501</v>
      </c>
      <c r="AT24" s="77"/>
      <c r="AU24" s="77">
        <f si="2" t="shared"/>
        <v>36012</v>
      </c>
      <c r="AW24" s="95">
        <v>18</v>
      </c>
      <c r="AX24" s="77" t="n">
        <v>694.0</v>
      </c>
      <c r="AY24" s="77" t="n">
        <v>552.0</v>
      </c>
      <c r="AZ24" s="77" t="n">
        <v>1777.0</v>
      </c>
      <c r="BA24" s="77" t="n">
        <v>2465.0</v>
      </c>
      <c r="BB24" s="77" t="n">
        <v>3464.0</v>
      </c>
      <c r="BC24" s="77" t="n">
        <v>1225.0</v>
      </c>
      <c r="BD24" s="77" t="n">
        <v>1101.0</v>
      </c>
      <c r="BE24" s="77" t="n">
        <v>187.0</v>
      </c>
      <c r="BF24" s="77" t="n">
        <v>964.0</v>
      </c>
      <c r="BG24" s="77" t="n">
        <v>796.0</v>
      </c>
      <c r="BH24" s="77" t="n">
        <v>1711.0</v>
      </c>
      <c r="BI24" s="77" t="n">
        <v>2533.0</v>
      </c>
      <c r="BJ24" s="77" t="n">
        <v>2538.0</v>
      </c>
      <c r="BK24" s="77" t="n">
        <v>1733.0</v>
      </c>
      <c r="BL24" s="77" t="n">
        <v>590.0</v>
      </c>
      <c r="BM24" s="77" t="n">
        <v>592.0</v>
      </c>
      <c r="BN24" s="77" t="n">
        <v>813.0</v>
      </c>
      <c r="BO24" s="77" t="n">
        <v>880.0</v>
      </c>
      <c r="BP24" s="77" t="n">
        <v>1042.0</v>
      </c>
      <c r="BQ24" s="77" t="n">
        <v>4833.0</v>
      </c>
      <c r="BR24" s="77"/>
      <c r="BS24" s="77">
        <f si="3" t="shared"/>
        <v>32745</v>
      </c>
      <c r="BT24" s="102"/>
      <c r="BV24" s="95">
        <v>3</v>
      </c>
      <c r="BW24" s="34" t="s">
        <v>327</v>
      </c>
      <c r="BX24" s="115">
        <f>$BY$7</f>
        <v>14920.556829080699</v>
      </c>
      <c r="BY24" s="116">
        <f>$BY$8</f>
        <v>44705.600948499537</v>
      </c>
      <c r="BZ24" s="116">
        <f>$BY$9</f>
        <v>19462</v>
      </c>
      <c r="CA24" s="123">
        <f>$BY$10</f>
        <v>20380</v>
      </c>
      <c r="CB24" s="115">
        <f>$BY$11</f>
        <v>17196.07304755093</v>
      </c>
      <c r="CC24" s="116">
        <f>$BY$12</f>
        <v>26175.948325459889</v>
      </c>
      <c r="CD24" s="116">
        <f>$BY$13</f>
        <v>17819.499670131001</v>
      </c>
      <c r="CE24" s="123">
        <f>$BY$14</f>
        <v>20380</v>
      </c>
      <c r="CF24" s="100">
        <f si="9" t="shared"/>
        <v>2.6640917784008903E-2</v>
      </c>
      <c r="CG24" s="100">
        <f si="10" t="shared"/>
        <v>4.0552938181218023E-2</v>
      </c>
      <c r="CH24" s="100">
        <f si="11" t="shared"/>
        <v>2.7606757912193483E-2</v>
      </c>
      <c r="CI24" s="121">
        <f si="12" t="shared"/>
        <v>3.1573598398701115E-2</v>
      </c>
      <c r="CJ24" s="125">
        <f si="13" t="shared"/>
        <v>3.966840486507632E-3</v>
      </c>
      <c r="CK24" s="121">
        <f si="14" t="shared"/>
        <v>0.14369092158972921</v>
      </c>
      <c r="CL24" s="21">
        <f si="15" t="shared"/>
        <v>-8.9793397825169083E-3</v>
      </c>
    </row>
    <row customFormat="1" r="25" s="95" spans="1:93" x14ac:dyDescent="0.25">
      <c r="A25" s="95">
        <v>19</v>
      </c>
      <c r="B25" s="77" t="n">
        <v>1915.343565447772</v>
      </c>
      <c r="C25" s="77" t="n">
        <v>607.7032017121844</v>
      </c>
      <c r="D25" s="77" t="n">
        <v>609.4054190252011</v>
      </c>
      <c r="E25" s="77" t="n">
        <v>823.33180256622</v>
      </c>
      <c r="F25" s="77" t="n">
        <v>697.708082161286</v>
      </c>
      <c r="G25" s="77" t="n">
        <v>1720.1113417663234</v>
      </c>
      <c r="H25" s="77" t="n">
        <v>1500.2433321284586</v>
      </c>
      <c r="I25" s="77" t="n">
        <v>210.570415675261</v>
      </c>
      <c r="J25" s="77" t="n">
        <v>1739.7985574834886</v>
      </c>
      <c r="K25" s="77" t="n">
        <v>0.0</v>
      </c>
      <c r="L25" s="77" t="n">
        <v>6747.685252252356</v>
      </c>
      <c r="M25" s="77" t="n">
        <v>390.601353124723</v>
      </c>
      <c r="N25" s="77" t="n">
        <v>0.0</v>
      </c>
      <c r="O25" s="77" t="n">
        <v>790.735753140566</v>
      </c>
      <c r="P25" s="77" t="n">
        <v>680.7625795148263</v>
      </c>
      <c r="Q25" s="77" t="n">
        <v>0.0</v>
      </c>
      <c r="R25" s="77" t="n">
        <v>1872.815245488732</v>
      </c>
      <c r="S25" s="77" t="n">
        <v>0.0</v>
      </c>
      <c r="T25" s="77" t="n">
        <v>9265.121522240663</v>
      </c>
      <c r="U25" s="77" t="n">
        <v>0.0</v>
      </c>
      <c r="V25" s="77"/>
      <c r="W25" s="77">
        <f si="1" t="shared"/>
        <v>29571.937423728057</v>
      </c>
      <c r="X25" s="7"/>
      <c r="Y25" s="95">
        <v>19</v>
      </c>
      <c r="Z25" s="77">
        <v>1637</v>
      </c>
      <c r="AA25" s="77">
        <v>1491</v>
      </c>
      <c r="AB25" s="77">
        <v>794</v>
      </c>
      <c r="AC25" s="77">
        <v>834</v>
      </c>
      <c r="AD25" s="77">
        <v>501</v>
      </c>
      <c r="AE25" s="77">
        <v>3008</v>
      </c>
      <c r="AF25" s="77">
        <v>1516</v>
      </c>
      <c r="AG25" s="77">
        <v>220</v>
      </c>
      <c r="AH25" s="77">
        <v>1831</v>
      </c>
      <c r="AI25" s="77">
        <v>378</v>
      </c>
      <c r="AJ25" s="77">
        <v>5912</v>
      </c>
      <c r="AK25" s="77">
        <v>3191</v>
      </c>
      <c r="AL25" s="77">
        <v>740</v>
      </c>
      <c r="AM25" s="77">
        <v>701</v>
      </c>
      <c r="AN25" s="77">
        <v>1479</v>
      </c>
      <c r="AO25" s="77">
        <v>90</v>
      </c>
      <c r="AP25" s="77">
        <v>3050</v>
      </c>
      <c r="AQ25" s="77">
        <v>174</v>
      </c>
      <c r="AR25" s="77">
        <v>12232</v>
      </c>
      <c r="AS25" s="77">
        <v>131</v>
      </c>
      <c r="AT25" s="77"/>
      <c r="AU25" s="77">
        <f si="2" t="shared"/>
        <v>39910</v>
      </c>
      <c r="AW25" s="95">
        <v>19</v>
      </c>
      <c r="AX25" s="77" t="n">
        <v>1016.0</v>
      </c>
      <c r="AY25" s="77" t="n">
        <v>723.0</v>
      </c>
      <c r="AZ25" s="77" t="n">
        <v>1961.0</v>
      </c>
      <c r="BA25" s="77" t="n">
        <v>2947.0</v>
      </c>
      <c r="BB25" s="77" t="n">
        <v>3817.0</v>
      </c>
      <c r="BC25" s="77" t="n">
        <v>2709.0</v>
      </c>
      <c r="BD25" s="77" t="n">
        <v>2574.0</v>
      </c>
      <c r="BE25" s="77" t="n">
        <v>207.0</v>
      </c>
      <c r="BF25" s="77" t="n">
        <v>968.0</v>
      </c>
      <c r="BG25" s="77" t="n">
        <v>884.0</v>
      </c>
      <c r="BH25" s="77" t="n">
        <v>1998.0</v>
      </c>
      <c r="BI25" s="77" t="n">
        <v>4778.0</v>
      </c>
      <c r="BJ25" s="77" t="n">
        <v>2960.0</v>
      </c>
      <c r="BK25" s="77" t="n">
        <v>3168.0</v>
      </c>
      <c r="BL25" s="77" t="n">
        <v>703.0</v>
      </c>
      <c r="BM25" s="77" t="n">
        <v>949.0</v>
      </c>
      <c r="BN25" s="77" t="n">
        <v>1397.0</v>
      </c>
      <c r="BO25" s="77" t="n">
        <v>757.0</v>
      </c>
      <c r="BP25" s="77" t="n">
        <v>3719.0</v>
      </c>
      <c r="BQ25" s="77" t="n">
        <v>4592.0</v>
      </c>
      <c r="BR25" s="77"/>
      <c r="BS25" s="77">
        <f si="3" t="shared"/>
        <v>33590</v>
      </c>
      <c r="BT25" s="102"/>
      <c r="BV25" s="95">
        <v>4</v>
      </c>
      <c r="BW25" s="34" t="s">
        <v>328</v>
      </c>
      <c r="BX25" s="115">
        <f>$BZ$7</f>
        <v>17534.852697132013</v>
      </c>
      <c r="BY25" s="116">
        <f>$BZ$8</f>
        <v>25156.048569777733</v>
      </c>
      <c r="BZ25" s="116">
        <f>$BZ$9</f>
        <v>17033</v>
      </c>
      <c r="CA25" s="123">
        <f>$BZ$10</f>
        <v>12404</v>
      </c>
      <c r="CB25" s="115">
        <f>$BZ$11</f>
        <v>20209.072041482636</v>
      </c>
      <c r="CC25" s="116">
        <f>$BZ$12</f>
        <v>14729.327275878211</v>
      </c>
      <c r="CD25" s="116">
        <f>$BZ$13</f>
        <v>15590.095231354566</v>
      </c>
      <c r="CE25" s="123">
        <f>$BZ$14</f>
        <v>12404</v>
      </c>
      <c r="CF25" s="100">
        <f si="9" t="shared"/>
        <v>3.1308789236908323E-2</v>
      </c>
      <c r="CG25" s="100">
        <f si="10" t="shared"/>
        <v>2.2819326010383358E-2</v>
      </c>
      <c r="CH25" s="100">
        <f si="11" t="shared"/>
        <v>2.4152865840642513E-2</v>
      </c>
      <c r="CI25" s="121">
        <f si="12" t="shared"/>
        <v>1.9216826032261464E-2</v>
      </c>
      <c r="CJ25" s="125">
        <f si="13" t="shared"/>
        <v>-4.9360398083810493E-3</v>
      </c>
      <c r="CK25" s="121">
        <f si="14" t="shared"/>
        <v>-0.20436663048386894</v>
      </c>
      <c r="CL25" s="21">
        <f si="15" t="shared"/>
        <v>-3.6024999781218946E-3</v>
      </c>
    </row>
    <row customFormat="1" r="26" s="95" spans="1:93" x14ac:dyDescent="0.25">
      <c r="A26" s="95">
        <v>20</v>
      </c>
      <c r="B26" s="58" t="n">
        <v>488.2700143928717</v>
      </c>
      <c r="C26" s="58" t="n">
        <v>256.352368238167</v>
      </c>
      <c r="D26" s="58" t="n">
        <v>256.352368238167</v>
      </c>
      <c r="E26" s="58" t="n">
        <v>343.4084203190148</v>
      </c>
      <c r="F26" s="58" t="n">
        <v>48.7571379825779</v>
      </c>
      <c r="G26" s="58" t="n">
        <v>509.7023243125875</v>
      </c>
      <c r="H26" s="58" t="n">
        <v>1175.549868293041</v>
      </c>
      <c r="I26" s="58" t="n">
        <v>0.0</v>
      </c>
      <c r="J26" s="58" t="n">
        <v>0.0</v>
      </c>
      <c r="K26" s="58" t="n">
        <v>101.532077591695</v>
      </c>
      <c r="L26" s="58" t="n">
        <v>74.3866041701779</v>
      </c>
      <c r="M26" s="58" t="n">
        <v>4203.273194907666</v>
      </c>
      <c r="N26" s="58" t="n">
        <v>34.3455237132042</v>
      </c>
      <c r="O26" s="58" t="n">
        <v>0.0</v>
      </c>
      <c r="P26" s="58" t="n">
        <v>0.0</v>
      </c>
      <c r="Q26" s="58" t="n">
        <v>0.0</v>
      </c>
      <c r="R26" s="58" t="n">
        <v>0.0</v>
      </c>
      <c r="S26" s="58" t="n">
        <v>2456.9786300895375</v>
      </c>
      <c r="T26" s="58" t="n">
        <v>0.0</v>
      </c>
      <c r="U26" s="58" t="n">
        <v>10980.652769379176</v>
      </c>
      <c r="V26" s="58"/>
      <c r="W26" s="77">
        <f si="1" t="shared"/>
        <v>20929.561301627884</v>
      </c>
      <c r="Y26" s="95">
        <v>20</v>
      </c>
      <c r="Z26" s="58">
        <v>732</v>
      </c>
      <c r="AA26" s="58">
        <v>641</v>
      </c>
      <c r="AB26" s="58">
        <v>232</v>
      </c>
      <c r="AC26" s="58">
        <v>255</v>
      </c>
      <c r="AD26" s="58">
        <v>208</v>
      </c>
      <c r="AE26" s="58">
        <v>1187</v>
      </c>
      <c r="AF26" s="58">
        <v>1343</v>
      </c>
      <c r="AG26" s="58">
        <v>86</v>
      </c>
      <c r="AH26" s="58">
        <v>694</v>
      </c>
      <c r="AI26" s="58">
        <v>280</v>
      </c>
      <c r="AJ26" s="58">
        <v>287</v>
      </c>
      <c r="AK26" s="58">
        <v>6216</v>
      </c>
      <c r="AL26" s="58">
        <v>1098</v>
      </c>
      <c r="AM26" s="58">
        <v>116</v>
      </c>
      <c r="AN26" s="58">
        <v>219</v>
      </c>
      <c r="AO26" s="58">
        <v>85</v>
      </c>
      <c r="AP26" s="58">
        <v>36</v>
      </c>
      <c r="AQ26" s="58">
        <v>3976</v>
      </c>
      <c r="AR26" s="58">
        <v>140</v>
      </c>
      <c r="AS26" s="58">
        <v>10881</v>
      </c>
      <c r="AT26" s="58"/>
      <c r="AU26" s="77">
        <f si="2" t="shared"/>
        <v>28712</v>
      </c>
      <c r="AW26" s="95">
        <v>20</v>
      </c>
      <c r="AX26" s="58" t="n">
        <v>1062.0</v>
      </c>
      <c r="AY26" s="58" t="n">
        <v>982.0</v>
      </c>
      <c r="AZ26" s="58" t="n">
        <v>3119.0</v>
      </c>
      <c r="BA26" s="58" t="n">
        <v>4704.0</v>
      </c>
      <c r="BB26" s="58" t="n">
        <v>6376.0</v>
      </c>
      <c r="BC26" s="58" t="n">
        <v>5058.0</v>
      </c>
      <c r="BD26" s="58" t="n">
        <v>4885.0</v>
      </c>
      <c r="BE26" s="58" t="n">
        <v>336.0</v>
      </c>
      <c r="BF26" s="58" t="n">
        <v>1597.0</v>
      </c>
      <c r="BG26" s="58" t="n">
        <v>1321.0</v>
      </c>
      <c r="BH26" s="58" t="n">
        <v>2972.0</v>
      </c>
      <c r="BI26" s="58" t="n">
        <v>3835.0</v>
      </c>
      <c r="BJ26" s="58" t="n">
        <v>3705.0</v>
      </c>
      <c r="BK26" s="58" t="n">
        <v>4684.0</v>
      </c>
      <c r="BL26" s="58" t="n">
        <v>717.0</v>
      </c>
      <c r="BM26" s="58" t="n">
        <v>1034.0</v>
      </c>
      <c r="BN26" s="58" t="n">
        <v>1146.0</v>
      </c>
      <c r="BO26" s="58" t="n">
        <v>354.0</v>
      </c>
      <c r="BP26" s="58" t="n">
        <v>2725.0</v>
      </c>
      <c r="BQ26" s="58" t="n">
        <v>7570.0</v>
      </c>
      <c r="BR26" s="58"/>
      <c r="BS26" s="77">
        <f si="3" t="shared"/>
        <v>22692</v>
      </c>
      <c r="BT26" s="102"/>
      <c r="BV26" s="95">
        <v>5</v>
      </c>
      <c r="BW26" s="34" t="s">
        <v>329</v>
      </c>
      <c r="BX26" s="115">
        <f>$CA$7</f>
        <v>16427.66561240298</v>
      </c>
      <c r="BY26" s="116">
        <f>$CA$8</f>
        <v>23447.799661338322</v>
      </c>
      <c r="BZ26" s="116">
        <f>$CA$9</f>
        <v>15612</v>
      </c>
      <c r="CA26" s="123">
        <f>$CA$10</f>
        <v>28863</v>
      </c>
      <c r="CB26" s="115">
        <f>$CA$11</f>
        <v>18933.029183001829</v>
      </c>
      <c r="CC26" s="116">
        <f>$CA$12</f>
        <v>13729.116246261483</v>
      </c>
      <c r="CD26" s="116">
        <f>$CA$13</f>
        <v>14470.515258958494</v>
      </c>
      <c r="CE26" s="123">
        <f>$CA$14</f>
        <v>28863</v>
      </c>
      <c r="CF26" s="100">
        <f si="9" t="shared"/>
        <v>2.9331887139106377E-2</v>
      </c>
      <c r="CG26" s="100">
        <f si="10" t="shared"/>
        <v>2.1269754795316141E-2</v>
      </c>
      <c r="CH26" s="100">
        <f si="11" t="shared"/>
        <v>2.2418362973926985E-2</v>
      </c>
      <c r="CI26" s="121">
        <f si="12" t="shared"/>
        <v>4.471583761441169E-2</v>
      </c>
      <c r="CJ26" s="125">
        <f si="13" t="shared"/>
        <v>2.2297474640484705E-2</v>
      </c>
      <c r="CK26" s="121">
        <f si="14" t="shared"/>
        <v>0.99460761994161329</v>
      </c>
      <c r="CL26" s="21">
        <f si="15" t="shared"/>
        <v>2.3446082819095548E-2</v>
      </c>
    </row>
    <row customFormat="1" r="27" s="95" spans="1:93" x14ac:dyDescent="0.25">
      <c r="A27" s="101" t="s">
        <v>15</v>
      </c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77">
        <f si="1" t="shared"/>
        <v>0</v>
      </c>
      <c r="Y27" s="101" t="s">
        <v>15</v>
      </c>
      <c r="Z27" s="60"/>
      <c r="AA27" s="60"/>
      <c r="AB27" s="60"/>
      <c r="AC27" s="60"/>
      <c r="AD27" s="60"/>
      <c r="AE27" s="60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0"/>
      <c r="AT27" s="60"/>
      <c r="AU27" s="77">
        <f si="2" t="shared"/>
        <v>0</v>
      </c>
      <c r="AW27" s="101" t="s">
        <v>15</v>
      </c>
      <c r="AX27" s="60"/>
      <c r="AY27" s="60"/>
      <c r="AZ27" s="60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0"/>
      <c r="BO27" s="60"/>
      <c r="BP27" s="60"/>
      <c r="BQ27" s="60"/>
      <c r="BR27" s="60"/>
      <c r="BS27" s="77">
        <f si="3" t="shared"/>
        <v>0</v>
      </c>
      <c r="BT27" s="102"/>
      <c r="BV27" s="95">
        <v>6</v>
      </c>
      <c r="BW27" s="34" t="s">
        <v>330</v>
      </c>
      <c r="BX27" s="115">
        <f>$CB$7</f>
        <v>84979.951347610724</v>
      </c>
      <c r="BY27" s="116">
        <f>$CB$8</f>
        <v>72475.32530618021</v>
      </c>
      <c r="BZ27" s="116">
        <f>$CB$9</f>
        <v>99098</v>
      </c>
      <c r="CA27" s="123">
        <f>$CB$10</f>
        <v>97414</v>
      </c>
      <c r="CB27" s="115">
        <f>$CB$11</f>
        <v>97940.141758159487</v>
      </c>
      <c r="CC27" s="116">
        <f>$CB$12</f>
        <v>42435.630655562003</v>
      </c>
      <c r="CD27" s="116">
        <f>$CB$13</f>
        <v>93808.210758780653</v>
      </c>
      <c r="CE27" s="123">
        <f>$CB$14</f>
        <v>97414</v>
      </c>
      <c r="CF27" s="100">
        <f si="9" t="shared"/>
        <v>0.15173320426810522</v>
      </c>
      <c r="CG27" s="100">
        <f si="10" t="shared"/>
        <v>6.5743158003646912E-2</v>
      </c>
      <c r="CH27" s="100">
        <f si="11" t="shared"/>
        <v>0.14533183380757866</v>
      </c>
      <c r="CI27" s="121">
        <f si="12" t="shared"/>
        <v>0.1509180821595226</v>
      </c>
      <c r="CJ27" s="125">
        <f si="13" t="shared"/>
        <v>5.5862483519439343E-3</v>
      </c>
      <c r="CK27" s="121">
        <f si="14" t="shared"/>
        <v>3.8437885256028474E-2</v>
      </c>
      <c r="CL27" s="21">
        <f si="15" t="shared"/>
        <v>8.5174924155875686E-2</v>
      </c>
    </row>
    <row customFormat="1" ht="15.75" r="28" s="95" spans="1:93" thickBot="1" x14ac:dyDescent="0.3">
      <c r="A28" s="1" t="s">
        <v>3</v>
      </c>
      <c r="B28" s="107">
        <f>SUM(B7:B27)</f>
        <v>59653.544440759513</v>
      </c>
      <c r="C28" s="107">
        <f ref="C28:W28" si="16" t="shared">SUM(C7:C27)</f>
        <v>23682.665169572778</v>
      </c>
      <c r="D28" s="107">
        <f si="16" t="shared"/>
        <v>14920.556829080699</v>
      </c>
      <c r="E28" s="107">
        <f si="16" t="shared"/>
        <v>17534.852697132013</v>
      </c>
      <c r="F28" s="107">
        <f si="16" t="shared"/>
        <v>16427.66561240298</v>
      </c>
      <c r="G28" s="107">
        <f si="16" t="shared"/>
        <v>84979.951347610724</v>
      </c>
      <c r="H28" s="107">
        <f si="16" t="shared"/>
        <v>52872.439568670117</v>
      </c>
      <c r="I28" s="107">
        <f si="16" t="shared"/>
        <v>4985.6374748589815</v>
      </c>
      <c r="J28" s="107">
        <f si="16" t="shared"/>
        <v>36973.784533068967</v>
      </c>
      <c r="K28" s="107">
        <f si="16" t="shared"/>
        <v>8821.4341383130341</v>
      </c>
      <c r="L28" s="107">
        <f si="16" t="shared"/>
        <v>29966.124608656566</v>
      </c>
      <c r="M28" s="107">
        <f si="16" t="shared"/>
        <v>105320.53463114968</v>
      </c>
      <c r="N28" s="107">
        <f si="16" t="shared"/>
        <v>39542.599161277889</v>
      </c>
      <c r="O28" s="107">
        <f si="16" t="shared"/>
        <v>10674.988460489061</v>
      </c>
      <c r="P28" s="107">
        <f si="16" t="shared"/>
        <v>12678.195969196768</v>
      </c>
      <c r="Q28" s="107">
        <f si="16" t="shared"/>
        <v>1470.352749710549</v>
      </c>
      <c r="R28" s="107">
        <f si="16" t="shared"/>
        <v>6774.47985647735</v>
      </c>
      <c r="S28" s="107">
        <f si="16" t="shared"/>
        <v>8463.186929443702</v>
      </c>
      <c r="T28" s="107">
        <f si="16" t="shared"/>
        <v>12412.957962668792</v>
      </c>
      <c r="U28" s="107">
        <f si="16" t="shared"/>
        <v>11905.715030577378</v>
      </c>
      <c r="V28" s="107">
        <f si="16" t="shared"/>
        <v>0</v>
      </c>
      <c r="W28" s="107">
        <f si="16" t="shared"/>
        <v>560061.6671711175</v>
      </c>
      <c r="Y28" s="1" t="s">
        <v>3</v>
      </c>
      <c r="Z28" s="107">
        <f>SUM(Z7:Z27)</f>
        <v>51288</v>
      </c>
      <c r="AA28" s="107">
        <f ref="AA28:AU28" si="17" t="shared">SUM(AA7:AA27)</f>
        <v>34948</v>
      </c>
      <c r="AB28" s="107">
        <f si="17" t="shared"/>
        <v>19462</v>
      </c>
      <c r="AC28" s="107">
        <f si="17" t="shared"/>
        <v>17033</v>
      </c>
      <c r="AD28" s="107">
        <f si="17" t="shared"/>
        <v>15612</v>
      </c>
      <c r="AE28" s="107">
        <f si="17" t="shared"/>
        <v>99098</v>
      </c>
      <c r="AF28" s="107">
        <f si="17" t="shared"/>
        <v>65730</v>
      </c>
      <c r="AG28" s="107">
        <f si="17" t="shared"/>
        <v>3746</v>
      </c>
      <c r="AH28" s="107">
        <f si="17" t="shared"/>
        <v>40943</v>
      </c>
      <c r="AI28" s="107">
        <f si="17" t="shared"/>
        <v>13127</v>
      </c>
      <c r="AJ28" s="107">
        <f si="17" t="shared"/>
        <v>38310</v>
      </c>
      <c r="AK28" s="107">
        <f si="17" t="shared"/>
        <v>144341</v>
      </c>
      <c r="AL28" s="107">
        <f si="17" t="shared"/>
        <v>53417</v>
      </c>
      <c r="AM28" s="107">
        <f si="17" t="shared"/>
        <v>11908</v>
      </c>
      <c r="AN28" s="107">
        <f si="17" t="shared"/>
        <v>23778</v>
      </c>
      <c r="AO28" s="107">
        <f si="17" t="shared"/>
        <v>3306</v>
      </c>
      <c r="AP28" s="107">
        <f si="17" t="shared"/>
        <v>9368</v>
      </c>
      <c r="AQ28" s="107">
        <f si="17" t="shared"/>
        <v>13081</v>
      </c>
      <c r="AR28" s="107">
        <f si="17" t="shared"/>
        <v>22540</v>
      </c>
      <c r="AS28" s="107">
        <f si="17" t="shared"/>
        <v>15078</v>
      </c>
      <c r="AT28" s="107">
        <f si="17" t="shared"/>
        <v>0</v>
      </c>
      <c r="AU28" s="107">
        <f si="17" t="shared"/>
        <v>696114</v>
      </c>
      <c r="AW28" s="1" t="s">
        <v>3</v>
      </c>
      <c r="AX28" s="107">
        <f ref="AX28:BS28" si="18" t="shared">SUM(AX7:AX27)</f>
        <v>104717</v>
      </c>
      <c r="AY28" s="107">
        <f si="18" t="shared"/>
        <v>36899</v>
      </c>
      <c r="AZ28" s="107">
        <f si="18" t="shared"/>
        <v>20380</v>
      </c>
      <c r="BA28" s="107">
        <f si="18" t="shared"/>
        <v>12404</v>
      </c>
      <c r="BB28" s="107">
        <f si="18" t="shared"/>
        <v>28863</v>
      </c>
      <c r="BC28" s="107">
        <f si="18" t="shared"/>
        <v>97414</v>
      </c>
      <c r="BD28" s="107">
        <f si="18" t="shared"/>
        <v>43120</v>
      </c>
      <c r="BE28" s="107">
        <f si="18" t="shared"/>
        <v>1352</v>
      </c>
      <c r="BF28" s="107">
        <f si="18" t="shared"/>
        <v>25252</v>
      </c>
      <c r="BG28" s="107">
        <f si="18" t="shared"/>
        <v>6761</v>
      </c>
      <c r="BH28" s="107">
        <f si="18" t="shared"/>
        <v>22148</v>
      </c>
      <c r="BI28" s="107">
        <f si="18" t="shared"/>
        <v>91217</v>
      </c>
      <c r="BJ28" s="107">
        <f si="18" t="shared"/>
        <v>88273</v>
      </c>
      <c r="BK28" s="107">
        <f si="18" t="shared"/>
        <v>7097</v>
      </c>
      <c r="BL28" s="107">
        <f si="18" t="shared"/>
        <v>20514</v>
      </c>
      <c r="BM28" s="107">
        <f si="18" t="shared"/>
        <v>1271</v>
      </c>
      <c r="BN28" s="107">
        <f si="18" t="shared"/>
        <v>4643</v>
      </c>
      <c r="BO28" s="107">
        <f si="18" t="shared"/>
        <v>9969</v>
      </c>
      <c r="BP28" s="107">
        <f si="18" t="shared"/>
        <v>12777</v>
      </c>
      <c r="BQ28" s="107">
        <f si="18" t="shared"/>
        <v>10405</v>
      </c>
      <c r="BR28" s="107">
        <f si="18" t="shared"/>
        <v>0</v>
      </c>
      <c r="BS28" s="107">
        <f si="18" t="shared"/>
        <v>645476</v>
      </c>
      <c r="BT28" s="102"/>
      <c r="BV28" s="95">
        <v>7</v>
      </c>
      <c r="BW28" s="34" t="s">
        <v>331</v>
      </c>
      <c r="BX28" s="115">
        <f>$CC$7</f>
        <v>52872.439568670117</v>
      </c>
      <c r="BY28" s="116">
        <f>$CC$8</f>
        <v>127027.92076090976</v>
      </c>
      <c r="BZ28" s="116">
        <f>$CC$9</f>
        <v>65730</v>
      </c>
      <c r="CA28" s="123">
        <f>$CC$10</f>
        <v>43120</v>
      </c>
      <c r="CB28" s="115">
        <f>$CC$11</f>
        <v>60935.951884383656</v>
      </c>
      <c r="CC28" s="116">
        <f>$CC$12</f>
        <v>74377.174653320209</v>
      </c>
      <c r="CD28" s="116">
        <f>$CC$13</f>
        <v>61668.638827945528</v>
      </c>
      <c r="CE28" s="123">
        <f>$CC$14</f>
        <v>43120</v>
      </c>
      <c r="CF28" s="100">
        <f si="9" t="shared"/>
        <v>9.440467482041727E-2</v>
      </c>
      <c r="CG28" s="100">
        <f si="10" t="shared"/>
        <v>0.11522841229312972</v>
      </c>
      <c r="CH28" s="100">
        <f si="11" t="shared"/>
        <v>9.5539785875765365E-2</v>
      </c>
      <c r="CI28" s="121">
        <f si="12" t="shared"/>
        <v>6.6803413294994701E-2</v>
      </c>
      <c r="CJ28" s="125">
        <f si="13" t="shared"/>
        <v>-2.8736372580770664E-2</v>
      </c>
      <c r="CK28" s="121">
        <f si="14" t="shared"/>
        <v>-0.30077911853536965</v>
      </c>
      <c r="CL28" s="21">
        <f si="15" t="shared"/>
        <v>-4.8424998998135016E-2</v>
      </c>
    </row>
    <row customFormat="1" r="29" s="95" spans="1:93" x14ac:dyDescent="0.25">
      <c r="AW29" s="7"/>
      <c r="AX29" s="77"/>
      <c r="AY29" s="77"/>
      <c r="AZ29" s="77"/>
      <c r="BA29" s="77"/>
      <c r="BB29" s="77"/>
      <c r="BC29" s="77"/>
      <c r="BD29" s="77"/>
      <c r="BE29" s="77"/>
      <c r="BF29" s="77"/>
      <c r="BV29" s="95">
        <v>8</v>
      </c>
      <c r="BW29" s="34" t="s">
        <v>332</v>
      </c>
      <c r="BX29" s="115">
        <f>$CD$7</f>
        <v>4985.6374748589815</v>
      </c>
      <c r="BY29" s="116">
        <f>$CD$8</f>
        <v>6263.4287909958512</v>
      </c>
      <c r="BZ29" s="116">
        <f>$CD$9</f>
        <v>3746</v>
      </c>
      <c r="CA29" s="123">
        <f>$CD$10</f>
        <v>1352</v>
      </c>
      <c r="CB29" s="115">
        <f>$CD$11</f>
        <v>5745.9910637641206</v>
      </c>
      <c r="CC29" s="116">
        <f>$CD$12</f>
        <v>3667.3522980302946</v>
      </c>
      <c r="CD29" s="116">
        <f>$CD$13</f>
        <v>3389.6060314460683</v>
      </c>
      <c r="CE29" s="123">
        <f>$CD$14</f>
        <v>1352</v>
      </c>
      <c r="CF29" s="100">
        <f si="9" t="shared"/>
        <v>8.9019437806581812E-3</v>
      </c>
      <c r="CG29" s="100">
        <f si="10" t="shared"/>
        <v>5.6816245654839129E-3</v>
      </c>
      <c r="CH29" s="100">
        <f si="11" t="shared"/>
        <v>5.2513277510644364E-3</v>
      </c>
      <c r="CI29" s="121">
        <f si="12" t="shared"/>
        <v>2.0945782647224685E-3</v>
      </c>
      <c r="CJ29" s="125">
        <f si="13" t="shared"/>
        <v>-3.1567494863419679E-3</v>
      </c>
      <c r="CK29" s="121">
        <f si="14" t="shared"/>
        <v>-0.60113358677757256</v>
      </c>
      <c r="CL29" s="21">
        <f si="15" t="shared"/>
        <v>-3.5870463007614444E-3</v>
      </c>
    </row>
    <row customFormat="1" r="30" s="95" spans="1:93" x14ac:dyDescent="0.25">
      <c r="AW30" s="7"/>
      <c r="AX30" s="77"/>
      <c r="AY30" s="77"/>
      <c r="AZ30" s="77"/>
      <c r="BA30" s="77"/>
      <c r="BB30" s="77"/>
      <c r="BC30" s="77"/>
      <c r="BD30" s="77"/>
      <c r="BE30" s="77"/>
      <c r="BF30" s="77"/>
      <c r="BV30" s="95">
        <v>9</v>
      </c>
      <c r="BW30" s="34" t="s">
        <v>333</v>
      </c>
      <c r="BX30" s="115">
        <f>$CE$7</f>
        <v>36973.784533068967</v>
      </c>
      <c r="BY30" s="116">
        <f>$CE$8</f>
        <v>78564.017617084086</v>
      </c>
      <c r="BZ30" s="116">
        <f>$CE$9</f>
        <v>40943</v>
      </c>
      <c r="CA30" s="123">
        <f>$CE$10</f>
        <v>25252</v>
      </c>
      <c r="CB30" s="115">
        <f>$CE$11</f>
        <v>42612.612046479269</v>
      </c>
      <c r="CC30" s="116">
        <f>$CE$12</f>
        <v>46000.671543468772</v>
      </c>
      <c r="CD30" s="116">
        <f>$CE$13</f>
        <v>37916.839771783598</v>
      </c>
      <c r="CE30" s="123">
        <f>$CE$14</f>
        <v>25252</v>
      </c>
      <c r="CF30" s="100">
        <f si="9" t="shared"/>
        <v>6.6017345410951403E-2</v>
      </c>
      <c r="CG30" s="100">
        <f si="10" t="shared"/>
        <v>7.1266277202357273E-2</v>
      </c>
      <c r="CH30" s="100">
        <f si="11" t="shared"/>
        <v>5.8742447080578672E-2</v>
      </c>
      <c r="CI30" s="121">
        <f si="12" t="shared"/>
        <v>3.9121516524239473E-2</v>
      </c>
      <c r="CJ30" s="125">
        <f si="13" t="shared"/>
        <v>-1.9620930556339199E-2</v>
      </c>
      <c r="CK30" s="121">
        <f si="14" t="shared"/>
        <v>-0.33401622730194763</v>
      </c>
      <c r="CL30" s="21">
        <f si="15" t="shared"/>
        <v>-3.2144760678117799E-2</v>
      </c>
    </row>
    <row customFormat="1" r="31" s="95" spans="1:93" x14ac:dyDescent="0.25">
      <c r="AW31" s="7"/>
      <c r="AX31" s="77"/>
      <c r="AY31" s="77"/>
      <c r="AZ31" s="77"/>
      <c r="BA31" s="77"/>
      <c r="BB31" s="77"/>
      <c r="BC31" s="77"/>
      <c r="BD31" s="77"/>
      <c r="BE31" s="77"/>
      <c r="BF31" s="77"/>
      <c r="BV31" s="95">
        <v>10</v>
      </c>
      <c r="BW31" s="34" t="s">
        <v>334</v>
      </c>
      <c r="BX31" s="115">
        <f>$CF$7</f>
        <v>8821.4341383130341</v>
      </c>
      <c r="BY31" s="116">
        <f>$CF$8</f>
        <v>30027.582046531123</v>
      </c>
      <c r="BZ31" s="116">
        <f>$CF$9</f>
        <v>13127</v>
      </c>
      <c r="CA31" s="123">
        <f>$CF$10</f>
        <v>6761</v>
      </c>
      <c r="CB31" s="115">
        <f>$CF$11</f>
        <v>10166.780473697425</v>
      </c>
      <c r="CC31" s="116">
        <f>$CF$12</f>
        <v>17581.699369033679</v>
      </c>
      <c r="CD31" s="116">
        <f>$CF$13</f>
        <v>12314.051289788287</v>
      </c>
      <c r="CE31" s="123">
        <f>$CF$14</f>
        <v>6761</v>
      </c>
      <c r="CF31" s="100">
        <f si="9" t="shared"/>
        <v>1.5750826481073541E-2</v>
      </c>
      <c r="CG31" s="100">
        <f si="10" t="shared"/>
        <v>2.7238347156259373E-2</v>
      </c>
      <c r="CH31" s="100">
        <f si="11" t="shared"/>
        <v>1.9077473507594842E-2</v>
      </c>
      <c r="CI31" s="121">
        <f si="12" t="shared"/>
        <v>1.0474440567890982E-2</v>
      </c>
      <c r="CJ31" s="125">
        <f si="13" t="shared"/>
        <v>-8.6030329397038599E-3</v>
      </c>
      <c r="CK31" s="121">
        <f si="14" t="shared"/>
        <v>-0.45095242492560378</v>
      </c>
      <c r="CL31" s="21">
        <f si="15" t="shared"/>
        <v>-1.6763906588368391E-2</v>
      </c>
    </row>
    <row ht="15.75" r="32" spans="1:93" thickBot="1" x14ac:dyDescent="0.3">
      <c r="A32" s="4" t="s">
        <v>322</v>
      </c>
      <c r="B32" s="1"/>
      <c r="C32" s="1"/>
      <c r="D32" s="1"/>
      <c r="E32" s="1"/>
      <c r="F32" s="1"/>
      <c r="G32" s="1"/>
      <c r="H32" s="1"/>
      <c r="I32" s="1"/>
      <c r="J32" s="1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4" t="s">
        <v>320</v>
      </c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7"/>
      <c r="AN32" s="7"/>
      <c r="AO32" s="7"/>
      <c r="AP32" s="7"/>
      <c r="AQ32" s="7"/>
      <c r="AR32" s="7"/>
      <c r="AS32" s="7"/>
      <c r="AT32" s="7"/>
      <c r="AU32" s="7"/>
      <c r="AW32" s="4" t="s">
        <v>323</v>
      </c>
      <c r="AX32" s="1"/>
      <c r="AY32" s="1"/>
      <c r="AZ32" s="1"/>
      <c r="BA32" s="1"/>
      <c r="BB32" s="1"/>
      <c r="BC32" s="1"/>
      <c r="BD32" s="1"/>
      <c r="BE32" s="1"/>
      <c r="BF32" s="1"/>
      <c r="BV32" s="95">
        <v>11</v>
      </c>
      <c r="BW32" s="34" t="s">
        <v>335</v>
      </c>
      <c r="BX32" s="115">
        <f>$CG$7</f>
        <v>29966.124608656566</v>
      </c>
      <c r="BY32" s="116">
        <f>$CG$8</f>
        <v>73900.424834647361</v>
      </c>
      <c r="BZ32" s="116">
        <f>$CG$9</f>
        <v>38310</v>
      </c>
      <c r="CA32" s="123">
        <f>$CG$10</f>
        <v>22148</v>
      </c>
      <c r="CB32" s="115">
        <f>$CG$11</f>
        <v>34536.222315653416</v>
      </c>
      <c r="CC32" s="116">
        <f>$CG$12</f>
        <v>43270.052536139476</v>
      </c>
      <c r="CD32" s="116">
        <f>$CG$13</f>
        <v>34680.423618890891</v>
      </c>
      <c r="CE32" s="123">
        <f>$CG$14</f>
        <v>22148</v>
      </c>
      <c r="CF32" s="100">
        <f si="9" t="shared"/>
        <v>5.3505044828395507E-2</v>
      </c>
      <c r="CG32" s="100">
        <f si="10" t="shared"/>
        <v>6.7035881328104327E-2</v>
      </c>
      <c r="CH32" s="100">
        <f si="11" t="shared"/>
        <v>5.372844787240872E-2</v>
      </c>
      <c r="CI32" s="121">
        <f si="12" t="shared"/>
        <v>3.4312662283338187E-2</v>
      </c>
      <c r="CJ32" s="125">
        <f si="13" t="shared"/>
        <v>-1.9415785589070533E-2</v>
      </c>
      <c r="CK32" s="121">
        <f si="14" t="shared"/>
        <v>-0.36136881592369913</v>
      </c>
      <c r="CL32" s="21">
        <f si="15" t="shared"/>
        <v>-3.272321904476614E-2</v>
      </c>
    </row>
    <row r="33" spans="1:90" x14ac:dyDescent="0.25">
      <c r="A33" s="2" t="s">
        <v>14</v>
      </c>
      <c r="B33" s="2">
        <v>1</v>
      </c>
      <c r="C33" s="2">
        <v>2</v>
      </c>
      <c r="D33" s="2">
        <v>3</v>
      </c>
      <c r="E33" s="2">
        <v>4</v>
      </c>
      <c r="F33" s="2">
        <v>5</v>
      </c>
      <c r="G33" s="2">
        <v>6</v>
      </c>
      <c r="H33" s="2">
        <v>7</v>
      </c>
      <c r="I33" s="2">
        <v>8</v>
      </c>
      <c r="J33" s="2">
        <v>9</v>
      </c>
      <c r="K33" s="2">
        <v>10</v>
      </c>
      <c r="L33" s="2">
        <v>11</v>
      </c>
      <c r="M33" s="2">
        <v>12</v>
      </c>
      <c r="N33" s="2">
        <v>13</v>
      </c>
      <c r="O33" s="2">
        <v>14</v>
      </c>
      <c r="P33" s="2">
        <v>15</v>
      </c>
      <c r="Q33" s="2">
        <v>16</v>
      </c>
      <c r="R33" s="2">
        <v>17</v>
      </c>
      <c r="S33" s="2">
        <v>18</v>
      </c>
      <c r="T33" s="2">
        <v>19</v>
      </c>
      <c r="U33" s="2">
        <v>20</v>
      </c>
      <c r="V33" s="3" t="s">
        <v>15</v>
      </c>
      <c r="W33" s="3" t="s">
        <v>3</v>
      </c>
      <c r="X33" s="79"/>
      <c r="Y33" s="2" t="s">
        <v>14</v>
      </c>
      <c r="Z33" s="2">
        <v>1</v>
      </c>
      <c r="AA33" s="2">
        <v>2</v>
      </c>
      <c r="AB33" s="2">
        <v>3</v>
      </c>
      <c r="AC33" s="2">
        <v>4</v>
      </c>
      <c r="AD33" s="2">
        <v>5</v>
      </c>
      <c r="AE33" s="2">
        <v>6</v>
      </c>
      <c r="AF33" s="2">
        <v>7</v>
      </c>
      <c r="AG33" s="2">
        <v>8</v>
      </c>
      <c r="AH33" s="2">
        <v>9</v>
      </c>
      <c r="AI33" s="2">
        <v>10</v>
      </c>
      <c r="AJ33" s="2">
        <v>11</v>
      </c>
      <c r="AK33" s="2">
        <v>12</v>
      </c>
      <c r="AL33" s="2">
        <v>13</v>
      </c>
      <c r="AM33" s="2">
        <v>14</v>
      </c>
      <c r="AN33" s="2">
        <v>15</v>
      </c>
      <c r="AO33" s="2">
        <v>16</v>
      </c>
      <c r="AP33" s="2">
        <v>17</v>
      </c>
      <c r="AQ33" s="2">
        <v>18</v>
      </c>
      <c r="AR33" s="2">
        <v>19</v>
      </c>
      <c r="AS33" s="2">
        <v>20</v>
      </c>
      <c r="AT33" s="3" t="s">
        <v>15</v>
      </c>
      <c r="AU33" s="3" t="s">
        <v>3</v>
      </c>
      <c r="AW33" s="2" t="s">
        <v>14</v>
      </c>
      <c r="AX33" s="2">
        <v>1</v>
      </c>
      <c r="AY33" s="2">
        <v>2</v>
      </c>
      <c r="AZ33" s="2">
        <v>3</v>
      </c>
      <c r="BA33" s="2">
        <v>4</v>
      </c>
      <c r="BB33" s="2">
        <v>5</v>
      </c>
      <c r="BC33" s="2">
        <v>6</v>
      </c>
      <c r="BD33" s="2">
        <v>7</v>
      </c>
      <c r="BE33" s="2">
        <v>8</v>
      </c>
      <c r="BF33" s="2">
        <v>9</v>
      </c>
      <c r="BG33" s="2">
        <v>10</v>
      </c>
      <c r="BH33" s="2">
        <v>11</v>
      </c>
      <c r="BI33" s="2">
        <v>12</v>
      </c>
      <c r="BJ33" s="2">
        <v>13</v>
      </c>
      <c r="BK33" s="2">
        <v>14</v>
      </c>
      <c r="BL33" s="2">
        <v>15</v>
      </c>
      <c r="BM33" s="2">
        <v>16</v>
      </c>
      <c r="BN33" s="2">
        <v>17</v>
      </c>
      <c r="BO33" s="2">
        <v>18</v>
      </c>
      <c r="BP33" s="2">
        <v>19</v>
      </c>
      <c r="BQ33" s="2">
        <v>20</v>
      </c>
      <c r="BR33" s="3" t="s">
        <v>15</v>
      </c>
      <c r="BS33" s="3" t="s">
        <v>3</v>
      </c>
      <c r="BV33" s="95">
        <v>12</v>
      </c>
      <c r="BW33" s="34" t="s">
        <v>336</v>
      </c>
      <c r="BX33" s="115">
        <f>$CH$7</f>
        <v>105320.53463114968</v>
      </c>
      <c r="BY33" s="116">
        <f>$CH$8</f>
        <v>187525.61191568145</v>
      </c>
      <c r="BZ33" s="116">
        <f>$CH$9</f>
        <v>144341</v>
      </c>
      <c r="CA33" s="123">
        <f>$CH$10</f>
        <v>91217</v>
      </c>
      <c r="CB33" s="115">
        <f>$CH$11</f>
        <v>121382.84299111877</v>
      </c>
      <c r="CC33" s="116">
        <f>$CH$12</f>
        <v>109799.68109275294</v>
      </c>
      <c r="CD33" s="116">
        <f>$CH$13</f>
        <v>137060.58534782816</v>
      </c>
      <c r="CE33" s="123">
        <f>$CH$14</f>
        <v>91217</v>
      </c>
      <c r="CF33" s="100">
        <f si="9" t="shared"/>
        <v>0.18805167502915487</v>
      </c>
      <c r="CG33" s="100">
        <f si="10" t="shared"/>
        <v>0.17010652772954057</v>
      </c>
      <c r="CH33" s="100">
        <f si="11" t="shared"/>
        <v>0.21234032767729266</v>
      </c>
      <c r="CI33" s="121">
        <f si="12" t="shared"/>
        <v>0.14131741536478507</v>
      </c>
      <c r="CJ33" s="125">
        <f si="13" t="shared"/>
        <v>-7.1022912312507597E-2</v>
      </c>
      <c r="CK33" s="121">
        <f si="14" t="shared"/>
        <v>-0.33447679529083957</v>
      </c>
      <c r="CL33" s="21">
        <f si="15" t="shared"/>
        <v>-2.8789112364755509E-2</v>
      </c>
    </row>
    <row r="34" spans="1:90" x14ac:dyDescent="0.25">
      <c r="A34" s="31">
        <v>1</v>
      </c>
      <c r="B34" s="77">
        <f ref="B34:W34" si="19" t="shared">IF($W7&gt;0,(B7/$W7)*$BS7,0)</f>
        <v>1293.2337109259349</v>
      </c>
      <c r="C34" s="77">
        <f si="19" t="shared"/>
        <v>179.31365592183943</v>
      </c>
      <c r="D34" s="77">
        <f si="19" t="shared"/>
        <v>143.77193277041277</v>
      </c>
      <c r="E34" s="77">
        <f si="19" t="shared"/>
        <v>0</v>
      </c>
      <c r="F34" s="77">
        <f si="19" t="shared"/>
        <v>136.82635648931378</v>
      </c>
      <c r="G34" s="77">
        <f si="19" t="shared"/>
        <v>1780.2113045233341</v>
      </c>
      <c r="H34" s="77">
        <f si="19" t="shared"/>
        <v>0</v>
      </c>
      <c r="I34" s="77">
        <f si="19" t="shared"/>
        <v>0</v>
      </c>
      <c r="J34" s="77">
        <f si="19" t="shared"/>
        <v>542.80441155061885</v>
      </c>
      <c r="K34" s="77">
        <f si="19" t="shared"/>
        <v>74.929997644403159</v>
      </c>
      <c r="L34" s="77">
        <f si="19" t="shared"/>
        <v>355.89631610813967</v>
      </c>
      <c r="M34" s="77">
        <f si="19" t="shared"/>
        <v>322.01231406600419</v>
      </c>
      <c r="N34" s="77">
        <f si="19" t="shared"/>
        <v>0</v>
      </c>
      <c r="O34" s="77">
        <f si="19" t="shared"/>
        <v>0</v>
      </c>
      <c r="P34" s="77">
        <f si="19" t="shared"/>
        <v>0</v>
      </c>
      <c r="Q34" s="77">
        <f si="19" t="shared"/>
        <v>0</v>
      </c>
      <c r="R34" s="77">
        <f si="19" t="shared"/>
        <v>0</v>
      </c>
      <c r="S34" s="77">
        <f si="19" t="shared"/>
        <v>0</v>
      </c>
      <c r="T34" s="77">
        <f si="19" t="shared"/>
        <v>0</v>
      </c>
      <c r="U34" s="77">
        <f si="19" t="shared"/>
        <v>0</v>
      </c>
      <c r="V34" s="77">
        <f si="19" t="shared"/>
        <v>0</v>
      </c>
      <c r="W34" s="77">
        <f si="19" t="shared"/>
        <v>4829</v>
      </c>
      <c r="X34" s="14"/>
      <c r="Y34" s="31">
        <v>1</v>
      </c>
      <c r="Z34" s="77">
        <f>IF($AU7&gt;0,(Z7/$AU7)*$BS7,0)</f>
        <v>1171.4341911162105</v>
      </c>
      <c r="AA34" s="77">
        <f ref="AA34:AT34" si="20" t="shared">IF($AU7&gt;0,(AA7/$AU7)*$BS7,0)</f>
        <v>300.77364366497295</v>
      </c>
      <c r="AB34" s="77">
        <f si="20" t="shared"/>
        <v>162.25946566136699</v>
      </c>
      <c r="AC34" s="77">
        <f si="20" t="shared"/>
        <v>146.42927388952631</v>
      </c>
      <c r="AD34" s="77">
        <f si="20" t="shared"/>
        <v>170.17456154728734</v>
      </c>
      <c r="AE34" s="77">
        <f si="20" t="shared"/>
        <v>1249.7936403868218</v>
      </c>
      <c r="AF34" s="77">
        <f si="20" t="shared"/>
        <v>206.5840026225209</v>
      </c>
      <c r="AG34" s="77">
        <f si="20" t="shared"/>
        <v>20.579249303392885</v>
      </c>
      <c r="AH34" s="77">
        <f si="20" t="shared"/>
        <v>208.16702179970497</v>
      </c>
      <c r="AI34" s="77">
        <f si="20" t="shared"/>
        <v>103.68775610555646</v>
      </c>
      <c r="AJ34" s="77">
        <f si="20" t="shared"/>
        <v>142.47172594656615</v>
      </c>
      <c r="AK34" s="77">
        <f si="20" t="shared"/>
        <v>800.21619406654645</v>
      </c>
      <c r="AL34" s="77">
        <f si="20" t="shared"/>
        <v>49.865104081298149</v>
      </c>
      <c r="AM34" s="77">
        <f si="20" t="shared"/>
        <v>9.4981150631044091</v>
      </c>
      <c r="AN34" s="77">
        <f si="20" t="shared"/>
        <v>22.95377806916899</v>
      </c>
      <c r="AO34" s="77">
        <f si="20" t="shared"/>
        <v>13.455663006064579</v>
      </c>
      <c r="AP34" s="77">
        <f si="20" t="shared"/>
        <v>5.5405671201442388</v>
      </c>
      <c r="AQ34" s="77">
        <f si="20" t="shared"/>
        <v>8.7066054745123758</v>
      </c>
      <c r="AR34" s="77">
        <f si="20" t="shared"/>
        <v>26.119816423537124</v>
      </c>
      <c r="AS34" s="77">
        <f si="20" t="shared"/>
        <v>10.289624651696442</v>
      </c>
      <c r="AT34" s="77">
        <f si="20" t="shared"/>
        <v>0</v>
      </c>
      <c r="AU34" s="77">
        <f>SUM(Z34:AT34)</f>
        <v>4829.0000000000009</v>
      </c>
      <c r="AW34" s="31">
        <v>1</v>
      </c>
      <c r="AX34" s="15">
        <f>AX7</f>
        <v>2093</v>
      </c>
      <c r="AY34" s="15">
        <f ref="AY34:BR34" si="21" t="shared">AY7</f>
        <v>269</v>
      </c>
      <c r="AZ34" s="15">
        <f si="21" t="shared"/>
        <v>153</v>
      </c>
      <c r="BA34" s="15">
        <f si="21" t="shared"/>
        <v>139</v>
      </c>
      <c r="BB34" s="15">
        <f si="21" t="shared"/>
        <v>358</v>
      </c>
      <c r="BC34" s="15">
        <f si="21" t="shared"/>
        <v>1013</v>
      </c>
      <c r="BD34" s="15">
        <f si="21" t="shared"/>
        <v>122</v>
      </c>
      <c r="BE34" s="15">
        <f si="21" t="shared"/>
        <v>19</v>
      </c>
      <c r="BF34" s="15">
        <f si="21" t="shared"/>
        <v>100</v>
      </c>
      <c r="BG34" s="15">
        <f si="21" t="shared"/>
        <v>40</v>
      </c>
      <c r="BH34" s="15">
        <f si="21" t="shared"/>
        <v>75</v>
      </c>
      <c r="BI34" s="15">
        <f si="21" t="shared"/>
        <v>346</v>
      </c>
      <c r="BJ34" s="15">
        <f si="21" t="shared"/>
        <v>68</v>
      </c>
      <c r="BK34" s="15">
        <f si="21" t="shared"/>
        <v>5</v>
      </c>
      <c r="BL34" s="15">
        <f si="21" t="shared"/>
        <v>12</v>
      </c>
      <c r="BM34" s="15">
        <f si="21" t="shared"/>
        <v>2</v>
      </c>
      <c r="BN34" s="15">
        <f si="21" t="shared"/>
        <v>3</v>
      </c>
      <c r="BO34" s="15">
        <f si="21" t="shared"/>
        <v>8</v>
      </c>
      <c r="BP34" s="15">
        <f si="21" t="shared"/>
        <v>4</v>
      </c>
      <c r="BQ34" s="15">
        <f si="21" t="shared"/>
        <v>0</v>
      </c>
      <c r="BR34" s="15">
        <f si="21" t="shared"/>
        <v>0</v>
      </c>
      <c r="BS34" s="97">
        <f>SUM(AX34:BR34)</f>
        <v>4829</v>
      </c>
      <c r="BV34" s="95">
        <v>13</v>
      </c>
      <c r="BW34" s="34" t="s">
        <v>337</v>
      </c>
      <c r="BX34" s="115">
        <f>$CI$7</f>
        <v>39542.599161277889</v>
      </c>
      <c r="BY34" s="116">
        <f>$CI$8</f>
        <v>122536.09099123925</v>
      </c>
      <c r="BZ34" s="116">
        <f>$CI$9</f>
        <v>53417</v>
      </c>
      <c r="CA34" s="123">
        <f>$CI$10</f>
        <v>88273</v>
      </c>
      <c r="CB34" s="115">
        <f>$CI$11</f>
        <v>45573.193511254241</v>
      </c>
      <c r="CC34" s="116">
        <f>$CI$12</f>
        <v>71747.126036523696</v>
      </c>
      <c r="CD34" s="116">
        <f>$CI$13</f>
        <v>50044.257356442307</v>
      </c>
      <c r="CE34" s="123">
        <f>$CI$14</f>
        <v>88273</v>
      </c>
      <c r="CF34" s="100">
        <f si="9" t="shared"/>
        <v>7.0604009306704268E-2</v>
      </c>
      <c r="CG34" s="100">
        <f si="10" t="shared"/>
        <v>0.11115382452101036</v>
      </c>
      <c r="CH34" s="100">
        <f si="11" t="shared"/>
        <v>7.753077938829997E-2</v>
      </c>
      <c r="CI34" s="121">
        <f si="12" t="shared"/>
        <v>0.13675644020846631</v>
      </c>
      <c r="CJ34" s="125">
        <f si="13" t="shared"/>
        <v>5.9225660820166337E-2</v>
      </c>
      <c r="CK34" s="121">
        <f si="14" t="shared"/>
        <v>0.76389869013884815</v>
      </c>
      <c r="CL34" s="21">
        <f si="15" t="shared"/>
        <v>2.5602615687455949E-2</v>
      </c>
    </row>
    <row r="35" spans="1:90" x14ac:dyDescent="0.25">
      <c r="A35" s="95">
        <v>2</v>
      </c>
      <c r="B35" s="77">
        <f ref="B35:W35" si="22" t="shared">IF($W8&gt;0,(B8/$W8)*$BS8,0)</f>
        <v>1343.0138213450896</v>
      </c>
      <c r="C35" s="77">
        <f si="22" t="shared"/>
        <v>1573.8835369926212</v>
      </c>
      <c r="D35" s="77">
        <f si="22" t="shared"/>
        <v>465.83194704699918</v>
      </c>
      <c r="E35" s="77">
        <f si="22" t="shared"/>
        <v>3338.2274121439655</v>
      </c>
      <c r="F35" s="77">
        <f si="22" t="shared"/>
        <v>76.601427387709464</v>
      </c>
      <c r="G35" s="77">
        <f si="22" t="shared"/>
        <v>2292.4860008979076</v>
      </c>
      <c r="H35" s="77">
        <f si="22" t="shared"/>
        <v>1370.323828347684</v>
      </c>
      <c r="I35" s="77">
        <f si="22" t="shared"/>
        <v>0</v>
      </c>
      <c r="J35" s="77">
        <f si="22" t="shared"/>
        <v>1814.7625720653275</v>
      </c>
      <c r="K35" s="77">
        <f si="22" t="shared"/>
        <v>141.03572321594473</v>
      </c>
      <c r="L35" s="77">
        <f si="22" t="shared"/>
        <v>204.82630026601922</v>
      </c>
      <c r="M35" s="77">
        <f si="22" t="shared"/>
        <v>1557.8939668103606</v>
      </c>
      <c r="N35" s="77">
        <f si="22" t="shared"/>
        <v>0</v>
      </c>
      <c r="O35" s="77">
        <f si="22" t="shared"/>
        <v>0</v>
      </c>
      <c r="P35" s="77">
        <f si="22" t="shared"/>
        <v>0</v>
      </c>
      <c r="Q35" s="77">
        <f si="22" t="shared"/>
        <v>0</v>
      </c>
      <c r="R35" s="77">
        <f si="22" t="shared"/>
        <v>0</v>
      </c>
      <c r="S35" s="77">
        <f si="22" t="shared"/>
        <v>0</v>
      </c>
      <c r="T35" s="77">
        <f si="22" t="shared"/>
        <v>298.11346348037085</v>
      </c>
      <c r="U35" s="77">
        <f si="22" t="shared"/>
        <v>0</v>
      </c>
      <c r="V35" s="77">
        <f si="22" t="shared"/>
        <v>0</v>
      </c>
      <c r="W35" s="77">
        <f si="22" t="shared"/>
        <v>14477</v>
      </c>
      <c r="X35" s="14"/>
      <c r="Y35" s="95">
        <v>2</v>
      </c>
      <c r="Z35" s="77">
        <f ref="Z35:AT35" si="23" t="shared">IF($AU8&gt;0,(Z8/$AU8)*$BS8,0)</f>
        <v>1663.2047384890479</v>
      </c>
      <c r="AA35" s="77">
        <f si="23" t="shared"/>
        <v>1690.1697958575473</v>
      </c>
      <c r="AB35" s="77">
        <f si="23" t="shared"/>
        <v>660.10460438086727</v>
      </c>
      <c r="AC35" s="77">
        <f si="23" t="shared"/>
        <v>396.92564446431231</v>
      </c>
      <c r="AD35" s="77">
        <f si="23" t="shared"/>
        <v>426.04790642229176</v>
      </c>
      <c r="AE35" s="77">
        <f si="23" t="shared"/>
        <v>2751.5144538816871</v>
      </c>
      <c r="AF35" s="77">
        <f si="23" t="shared"/>
        <v>1203.7201609298165</v>
      </c>
      <c r="AG35" s="77">
        <f si="23" t="shared"/>
        <v>91.681195052898218</v>
      </c>
      <c r="AH35" s="77">
        <f si="23" t="shared"/>
        <v>1173.5192966770974</v>
      </c>
      <c r="AI35" s="77">
        <f si="23" t="shared"/>
        <v>290.14401728505442</v>
      </c>
      <c r="AJ35" s="77">
        <f si="23" t="shared"/>
        <v>704.32729846520635</v>
      </c>
      <c r="AK35" s="77">
        <f si="23" t="shared"/>
        <v>2661.9904634182685</v>
      </c>
      <c r="AL35" s="77">
        <f si="23" t="shared"/>
        <v>241.60691402175533</v>
      </c>
      <c r="AM35" s="77">
        <f si="23" t="shared"/>
        <v>50.694307852779019</v>
      </c>
      <c r="AN35" s="77">
        <f si="23" t="shared"/>
        <v>172.57636715839666</v>
      </c>
      <c r="AO35" s="77">
        <f si="23" t="shared"/>
        <v>49.615705558039039</v>
      </c>
      <c r="AP35" s="77">
        <f si="23" t="shared"/>
        <v>48.537103263299066</v>
      </c>
      <c r="AQ35" s="77">
        <f si="23" t="shared"/>
        <v>66.873342273878706</v>
      </c>
      <c r="AR35" s="77">
        <f si="23" t="shared"/>
        <v>94.917001937118158</v>
      </c>
      <c r="AS35" s="77">
        <f si="23" t="shared"/>
        <v>38.829682610639253</v>
      </c>
      <c r="AT35" s="77">
        <f si="23" t="shared"/>
        <v>0</v>
      </c>
      <c r="AU35" s="77">
        <f ref="AU35:AU55" si="24" t="shared">SUM(Z35:AT35)</f>
        <v>14477.000000000002</v>
      </c>
      <c r="AW35" s="95">
        <v>2</v>
      </c>
      <c r="AX35" s="15">
        <f ref="AX35:BR35" si="25" t="shared">AX8</f>
        <v>3207</v>
      </c>
      <c r="AY35" s="15">
        <f si="25" t="shared"/>
        <v>2008</v>
      </c>
      <c r="AZ35" s="15">
        <f si="25" t="shared"/>
        <v>595</v>
      </c>
      <c r="BA35" s="15">
        <f si="25" t="shared"/>
        <v>367</v>
      </c>
      <c r="BB35" s="15">
        <f si="25" t="shared"/>
        <v>781</v>
      </c>
      <c r="BC35" s="15">
        <f si="25" t="shared"/>
        <v>2796</v>
      </c>
      <c r="BD35" s="15">
        <f si="25" t="shared"/>
        <v>1018</v>
      </c>
      <c r="BE35" s="15">
        <f si="25" t="shared"/>
        <v>33</v>
      </c>
      <c r="BF35" s="15">
        <f si="25" t="shared"/>
        <v>785</v>
      </c>
      <c r="BG35" s="15">
        <f si="25" t="shared"/>
        <v>141</v>
      </c>
      <c r="BH35" s="15">
        <f si="25" t="shared"/>
        <v>235</v>
      </c>
      <c r="BI35" s="15">
        <f si="25" t="shared"/>
        <v>1833</v>
      </c>
      <c r="BJ35" s="15">
        <f si="25" t="shared"/>
        <v>468</v>
      </c>
      <c r="BK35" s="15">
        <f si="25" t="shared"/>
        <v>21</v>
      </c>
      <c r="BL35" s="15">
        <f si="25" t="shared"/>
        <v>110</v>
      </c>
      <c r="BM35" s="15">
        <f si="25" t="shared"/>
        <v>4</v>
      </c>
      <c r="BN35" s="15">
        <f si="25" t="shared"/>
        <v>12</v>
      </c>
      <c r="BO35" s="15">
        <f si="25" t="shared"/>
        <v>36</v>
      </c>
      <c r="BP35" s="15">
        <f si="25" t="shared"/>
        <v>23</v>
      </c>
      <c r="BQ35" s="15">
        <f si="25" t="shared"/>
        <v>4</v>
      </c>
      <c r="BR35" s="15">
        <f si="25" t="shared"/>
        <v>0</v>
      </c>
      <c r="BS35" s="15">
        <f ref="BS35:BS53" si="26" t="shared">SUM(AX35:BR35)</f>
        <v>14477</v>
      </c>
      <c r="BV35" s="95">
        <v>14</v>
      </c>
      <c r="BW35" s="34" t="s">
        <v>338</v>
      </c>
      <c r="BX35" s="115">
        <f>$CJ$7</f>
        <v>10674.988460489061</v>
      </c>
      <c r="BY35" s="116">
        <f>$CJ$8</f>
        <v>27767.802248882606</v>
      </c>
      <c r="BZ35" s="116">
        <f>$CJ$9</f>
        <v>11908</v>
      </c>
      <c r="CA35" s="123">
        <f>$CJ$10</f>
        <v>7097</v>
      </c>
      <c r="CB35" s="115">
        <f>$CJ$11</f>
        <v>12303.018141424371</v>
      </c>
      <c r="CC35" s="116">
        <f>$CJ$12</f>
        <v>16258.556900189378</v>
      </c>
      <c r="CD35" s="116">
        <f>$CJ$13</f>
        <v>10212.277399808154</v>
      </c>
      <c r="CE35" s="123">
        <f>$CJ$14</f>
        <v>7097</v>
      </c>
      <c r="CF35" s="100">
        <f si="9" t="shared"/>
        <v>1.9060380465616648E-2</v>
      </c>
      <c r="CG35" s="100">
        <f si="10" t="shared"/>
        <v>2.5188476256575575E-2</v>
      </c>
      <c r="CH35" s="100">
        <f si="11" t="shared"/>
        <v>1.5821312333546333E-2</v>
      </c>
      <c r="CI35" s="121">
        <f si="12" t="shared"/>
        <v>1.0994986645514317E-2</v>
      </c>
      <c r="CJ35" s="125">
        <f si="13" t="shared"/>
        <v>-4.8263256880320161E-3</v>
      </c>
      <c r="CK35" s="121">
        <f si="14" t="shared"/>
        <v>-0.30505217179731886</v>
      </c>
      <c r="CL35" s="21">
        <f si="15" t="shared"/>
        <v>-1.4193489611061257E-2</v>
      </c>
    </row>
    <row r="36" spans="1:90" x14ac:dyDescent="0.25">
      <c r="A36" s="95">
        <v>3</v>
      </c>
      <c r="B36" s="77">
        <f ref="B36:W36" si="27" t="shared">IF($W9&gt;0,(B9/$W9)*$BS9,0)</f>
        <v>4762.7668638267642</v>
      </c>
      <c r="C36" s="77">
        <f si="27" t="shared"/>
        <v>2862.1489826446759</v>
      </c>
      <c r="D36" s="77">
        <f si="27" t="shared"/>
        <v>2939.5308570014508</v>
      </c>
      <c r="E36" s="77">
        <f si="27" t="shared"/>
        <v>615.80796513145947</v>
      </c>
      <c r="F36" s="77">
        <f si="27" t="shared"/>
        <v>1324.0716015013002</v>
      </c>
      <c r="G36" s="77">
        <f si="27" t="shared"/>
        <v>5173.4625313431525</v>
      </c>
      <c r="H36" s="77">
        <f si="27" t="shared"/>
        <v>687.17527792816259</v>
      </c>
      <c r="I36" s="77">
        <f si="27" t="shared"/>
        <v>1255.3735462748164</v>
      </c>
      <c r="J36" s="77">
        <f si="27" t="shared"/>
        <v>1366.8092832302011</v>
      </c>
      <c r="K36" s="77">
        <f si="27" t="shared"/>
        <v>385.02427265877861</v>
      </c>
      <c r="L36" s="77">
        <f si="27" t="shared"/>
        <v>1182.487393146472</v>
      </c>
      <c r="M36" s="77">
        <f si="27" t="shared"/>
        <v>3709.1360442416403</v>
      </c>
      <c r="N36" s="77">
        <f si="27" t="shared"/>
        <v>56.002408613499497</v>
      </c>
      <c r="O36" s="77">
        <f si="27" t="shared"/>
        <v>0</v>
      </c>
      <c r="P36" s="77">
        <f si="27" t="shared"/>
        <v>0</v>
      </c>
      <c r="Q36" s="77">
        <f si="27" t="shared"/>
        <v>0</v>
      </c>
      <c r="R36" s="77">
        <f si="27" t="shared"/>
        <v>0</v>
      </c>
      <c r="S36" s="77">
        <f si="27" t="shared"/>
        <v>0</v>
      </c>
      <c r="T36" s="77">
        <f si="27" t="shared"/>
        <v>160.20297245762495</v>
      </c>
      <c r="U36" s="77">
        <f si="27" t="shared"/>
        <v>0</v>
      </c>
      <c r="V36" s="77">
        <f si="27" t="shared"/>
        <v>0</v>
      </c>
      <c r="W36" s="77">
        <f si="27" t="shared"/>
        <v>26480</v>
      </c>
      <c r="X36" s="14"/>
      <c r="Y36" s="95">
        <v>3</v>
      </c>
      <c r="Z36" s="77">
        <f ref="Z36:AT36" si="28" t="shared">IF($AU9&gt;0,(Z9/$AU9)*$BS9,0)</f>
        <v>3947.2079004745415</v>
      </c>
      <c r="AA36" s="77">
        <f si="28" t="shared"/>
        <v>1638.6558932922919</v>
      </c>
      <c r="AB36" s="77">
        <f si="28" t="shared"/>
        <v>2563.265358471207</v>
      </c>
      <c r="AC36" s="77">
        <f si="28" t="shared"/>
        <v>1146.2100808003079</v>
      </c>
      <c r="AD36" s="77">
        <f si="28" t="shared"/>
        <v>1054.5132743362831</v>
      </c>
      <c r="AE36" s="77">
        <f si="28" t="shared"/>
        <v>5735.2956265230214</v>
      </c>
      <c r="AF36" s="77">
        <f si="28" t="shared"/>
        <v>1500.2616390919584</v>
      </c>
      <c r="AG36" s="77">
        <f si="28" t="shared"/>
        <v>217.35539309991023</v>
      </c>
      <c r="AH36" s="77">
        <f si="28" t="shared"/>
        <v>1397.5272540720789</v>
      </c>
      <c r="AI36" s="77">
        <f si="28" t="shared"/>
        <v>597.7273310247532</v>
      </c>
      <c r="AJ36" s="77">
        <f si="28" t="shared"/>
        <v>1426.3947672181607</v>
      </c>
      <c r="AK36" s="77">
        <f si="28" t="shared"/>
        <v>3841.9263819417724</v>
      </c>
      <c r="AL36" s="77">
        <f si="28" t="shared"/>
        <v>382.07002693343594</v>
      </c>
      <c r="AM36" s="77">
        <f si="28" t="shared"/>
        <v>150.2808772604848</v>
      </c>
      <c r="AN36" s="77">
        <f si="28" t="shared"/>
        <v>259.80761831473643</v>
      </c>
      <c r="AO36" s="77">
        <f si="28" t="shared"/>
        <v>100.18725150698987</v>
      </c>
      <c r="AP36" s="77">
        <f si="28" t="shared"/>
        <v>105.28151853276901</v>
      </c>
      <c r="AQ36" s="77">
        <f si="28" t="shared"/>
        <v>84.904450429652428</v>
      </c>
      <c r="AR36" s="77">
        <f si="28" t="shared"/>
        <v>268.29806335770166</v>
      </c>
      <c r="AS36" s="77">
        <f si="28" t="shared"/>
        <v>62.829293317942799</v>
      </c>
      <c r="AT36" s="77">
        <f si="28" t="shared"/>
        <v>0</v>
      </c>
      <c r="AU36" s="77">
        <f si="24" t="shared"/>
        <v>26479.999999999996</v>
      </c>
      <c r="AW36" s="95">
        <v>3</v>
      </c>
      <c r="AX36" s="15">
        <f ref="AX36:BR36" si="29" t="shared">AX9</f>
        <v>7404</v>
      </c>
      <c r="AY36" s="15">
        <f si="29" t="shared"/>
        <v>2048</v>
      </c>
      <c r="AZ36" s="15">
        <f si="29" t="shared"/>
        <v>2669</v>
      </c>
      <c r="BA36" s="15">
        <f si="29" t="shared"/>
        <v>892</v>
      </c>
      <c r="BB36" s="15">
        <f si="29" t="shared"/>
        <v>1734</v>
      </c>
      <c r="BC36" s="15">
        <f si="29" t="shared"/>
        <v>5171</v>
      </c>
      <c r="BD36" s="15">
        <f si="29" t="shared"/>
        <v>1003</v>
      </c>
      <c r="BE36" s="15">
        <f si="29" t="shared"/>
        <v>74</v>
      </c>
      <c r="BF36" s="15">
        <f si="29" t="shared"/>
        <v>890</v>
      </c>
      <c r="BG36" s="15">
        <f si="29" t="shared"/>
        <v>295</v>
      </c>
      <c r="BH36" s="15">
        <f si="29" t="shared"/>
        <v>915</v>
      </c>
      <c r="BI36" s="15">
        <f si="29" t="shared"/>
        <v>2478</v>
      </c>
      <c r="BJ36" s="15">
        <f si="29" t="shared"/>
        <v>486</v>
      </c>
      <c r="BK36" s="15">
        <f si="29" t="shared"/>
        <v>73</v>
      </c>
      <c r="BL36" s="15">
        <f si="29" t="shared"/>
        <v>142</v>
      </c>
      <c r="BM36" s="15">
        <f si="29" t="shared"/>
        <v>25</v>
      </c>
      <c r="BN36" s="15">
        <f si="29" t="shared"/>
        <v>58</v>
      </c>
      <c r="BO36" s="15">
        <f si="29" t="shared"/>
        <v>33</v>
      </c>
      <c r="BP36" s="15">
        <f si="29" t="shared"/>
        <v>86</v>
      </c>
      <c r="BQ36" s="15">
        <f si="29" t="shared"/>
        <v>4</v>
      </c>
      <c r="BR36" s="15">
        <f si="29" t="shared"/>
        <v>0</v>
      </c>
      <c r="BS36" s="15">
        <f si="26" t="shared"/>
        <v>26480</v>
      </c>
      <c r="BV36" s="95">
        <v>15</v>
      </c>
      <c r="BW36" s="34" t="s">
        <v>339</v>
      </c>
      <c r="BX36" s="115">
        <f>$CK$7</f>
        <v>12678.195969196768</v>
      </c>
      <c r="BY36" s="116">
        <f>$CK$8</f>
        <v>44768.247239469332</v>
      </c>
      <c r="BZ36" s="116">
        <f>$CK$9</f>
        <v>23778</v>
      </c>
      <c r="CA36" s="123">
        <f>$CK$10</f>
        <v>20514</v>
      </c>
      <c r="CB36" s="115">
        <f>$CK$11</f>
        <v>14611.732423588506</v>
      </c>
      <c r="CC36" s="116">
        <f>$CK$12</f>
        <v>26212.628876451614</v>
      </c>
      <c r="CD36" s="116">
        <f>$CK$13</f>
        <v>20996.049637056076</v>
      </c>
      <c r="CE36" s="123">
        <f>$CK$14</f>
        <v>20514</v>
      </c>
      <c r="CF36" s="100">
        <f si="9" t="shared"/>
        <v>2.2637142858275918E-2</v>
      </c>
      <c r="CG36" s="100">
        <f si="10" t="shared"/>
        <v>4.0609765314979347E-2</v>
      </c>
      <c r="CH36" s="100">
        <f si="11" t="shared"/>
        <v>3.2528009774269027E-2</v>
      </c>
      <c r="CI36" s="121">
        <f si="12" t="shared"/>
        <v>3.1781197132038988E-2</v>
      </c>
      <c r="CJ36" s="125">
        <f si="13" t="shared"/>
        <v>-7.4681264223003946E-4</v>
      </c>
      <c r="CK36" s="121">
        <f si="14" t="shared"/>
        <v>-2.2959063509037581E-2</v>
      </c>
      <c r="CL36" s="21">
        <f si="15" t="shared"/>
        <v>-8.8285681829403592E-3</v>
      </c>
    </row>
    <row r="37" spans="1:90" x14ac:dyDescent="0.25">
      <c r="A37" s="95">
        <v>4</v>
      </c>
      <c r="B37" s="77">
        <f ref="B37:W37" si="30" t="shared">IF($W10&gt;0,(B10/$W10)*$BS10,0)</f>
        <v>1950.5393976206576</v>
      </c>
      <c r="C37" s="77">
        <f si="30" t="shared"/>
        <v>67.128736891280795</v>
      </c>
      <c r="D37" s="77">
        <f si="30" t="shared"/>
        <v>830.17229756816164</v>
      </c>
      <c r="E37" s="77">
        <f si="30" t="shared"/>
        <v>745.99258067597657</v>
      </c>
      <c r="F37" s="77">
        <f si="30" t="shared"/>
        <v>524.39901131802128</v>
      </c>
      <c r="G37" s="77">
        <f si="30" t="shared"/>
        <v>1379.0250555670646</v>
      </c>
      <c r="H37" s="77">
        <f si="30" t="shared"/>
        <v>1086.4091255611872</v>
      </c>
      <c r="I37" s="77">
        <f si="30" t="shared"/>
        <v>146.98289547650484</v>
      </c>
      <c r="J37" s="77">
        <f si="30" t="shared"/>
        <v>298.32644780957781</v>
      </c>
      <c r="K37" s="77">
        <f si="30" t="shared"/>
        <v>241.26966936109392</v>
      </c>
      <c r="L37" s="77">
        <f si="30" t="shared"/>
        <v>737.18549933110512</v>
      </c>
      <c r="M37" s="77">
        <f si="30" t="shared"/>
        <v>832.2820997572685</v>
      </c>
      <c r="N37" s="77">
        <f si="30" t="shared"/>
        <v>31.129955134159015</v>
      </c>
      <c r="O37" s="77">
        <f si="30" t="shared"/>
        <v>0</v>
      </c>
      <c r="P37" s="77">
        <f si="30" t="shared"/>
        <v>0</v>
      </c>
      <c r="Q37" s="77">
        <f si="30" t="shared"/>
        <v>0</v>
      </c>
      <c r="R37" s="77">
        <f si="30" t="shared"/>
        <v>0</v>
      </c>
      <c r="S37" s="77">
        <f si="30" t="shared"/>
        <v>0</v>
      </c>
      <c r="T37" s="77">
        <f si="30" t="shared"/>
        <v>55.157227927942671</v>
      </c>
      <c r="U37" s="77">
        <f si="30" t="shared"/>
        <v>0</v>
      </c>
      <c r="V37" s="77">
        <f si="30" t="shared"/>
        <v>0</v>
      </c>
      <c r="W37" s="77">
        <f si="30" t="shared"/>
        <v>8926</v>
      </c>
      <c r="X37" s="14"/>
      <c r="Y37" s="95">
        <v>4</v>
      </c>
      <c r="Z37" s="77">
        <f ref="Z37:AT37" si="31" t="shared">IF($AU10&gt;0,(Z10/$AU10)*$BS10,0)</f>
        <v>1032.3490891959798</v>
      </c>
      <c r="AA37" s="77">
        <f si="31" t="shared"/>
        <v>613.9428391959799</v>
      </c>
      <c r="AB37" s="77">
        <f si="31" t="shared"/>
        <v>499.0037688442211</v>
      </c>
      <c r="AC37" s="77">
        <f si="31" t="shared"/>
        <v>693.83951005025119</v>
      </c>
      <c r="AD37" s="77">
        <f si="31" t="shared"/>
        <v>557.875</v>
      </c>
      <c r="AE37" s="77">
        <f si="31" t="shared"/>
        <v>1870.5632851758794</v>
      </c>
      <c r="AF37" s="77">
        <f si="31" t="shared"/>
        <v>560.678391959799</v>
      </c>
      <c r="AG37" s="77">
        <f si="31" t="shared"/>
        <v>100.92211055276383</v>
      </c>
      <c r="AH37" s="77">
        <f si="31" t="shared"/>
        <v>534.04616834170849</v>
      </c>
      <c r="AI37" s="77">
        <f si="31" t="shared"/>
        <v>264.2196922110553</v>
      </c>
      <c r="AJ37" s="77">
        <f si="31" t="shared"/>
        <v>455.5511934673367</v>
      </c>
      <c r="AK37" s="77">
        <f si="31" t="shared"/>
        <v>1282.5518216080402</v>
      </c>
      <c r="AL37" s="77">
        <f si="31" t="shared"/>
        <v>138.0670540201005</v>
      </c>
      <c r="AM37" s="77">
        <f si="31" t="shared"/>
        <v>51.862751256281406</v>
      </c>
      <c r="AN37" s="77">
        <f si="31" t="shared"/>
        <v>79.195822864321613</v>
      </c>
      <c r="AO37" s="77">
        <f si="31" t="shared"/>
        <v>33.640703517587937</v>
      </c>
      <c r="AP37" s="77">
        <f si="31" t="shared"/>
        <v>25.931375628140703</v>
      </c>
      <c r="AQ37" s="77">
        <f si="31" t="shared"/>
        <v>47.657663316582912</v>
      </c>
      <c r="AR37" s="77">
        <f si="31" t="shared"/>
        <v>67.281407035175874</v>
      </c>
      <c r="AS37" s="77">
        <f si="31" t="shared"/>
        <v>16.820351758793969</v>
      </c>
      <c r="AT37" s="77">
        <f si="31" t="shared"/>
        <v>0</v>
      </c>
      <c r="AU37" s="77">
        <f si="24" t="shared"/>
        <v>8926</v>
      </c>
      <c r="AW37" s="95">
        <v>4</v>
      </c>
      <c r="AX37" s="15">
        <f ref="AX37:BR37" si="32" t="shared">AX10</f>
        <v>2283</v>
      </c>
      <c r="AY37" s="15">
        <f si="32" t="shared"/>
        <v>609</v>
      </c>
      <c r="AZ37" s="15">
        <f si="32" t="shared"/>
        <v>533</v>
      </c>
      <c r="BA37" s="15">
        <f si="32" t="shared"/>
        <v>636</v>
      </c>
      <c r="BB37" s="15">
        <f si="32" t="shared"/>
        <v>875</v>
      </c>
      <c r="BC37" s="15">
        <f si="32" t="shared"/>
        <v>1997</v>
      </c>
      <c r="BD37" s="15">
        <f si="32" t="shared"/>
        <v>268</v>
      </c>
      <c r="BE37" s="15">
        <f si="32" t="shared"/>
        <v>60</v>
      </c>
      <c r="BF37" s="15">
        <f si="32" t="shared"/>
        <v>223</v>
      </c>
      <c r="BG37" s="15">
        <f si="32" t="shared"/>
        <v>170</v>
      </c>
      <c r="BH37" s="15">
        <f si="32" t="shared"/>
        <v>276</v>
      </c>
      <c r="BI37" s="15">
        <f si="32" t="shared"/>
        <v>750</v>
      </c>
      <c r="BJ37" s="15">
        <f si="32" t="shared"/>
        <v>123</v>
      </c>
      <c r="BK37" s="15">
        <f si="32" t="shared"/>
        <v>36</v>
      </c>
      <c r="BL37" s="15">
        <f si="32" t="shared"/>
        <v>28</v>
      </c>
      <c r="BM37" s="15">
        <f si="32" t="shared"/>
        <v>13</v>
      </c>
      <c r="BN37" s="15">
        <f si="32" t="shared"/>
        <v>14</v>
      </c>
      <c r="BO37" s="15">
        <f si="32" t="shared"/>
        <v>9</v>
      </c>
      <c r="BP37" s="15">
        <f si="32" t="shared"/>
        <v>21</v>
      </c>
      <c r="BQ37" s="15">
        <f si="32" t="shared"/>
        <v>2</v>
      </c>
      <c r="BR37" s="15">
        <f si="32" t="shared"/>
        <v>0</v>
      </c>
      <c r="BS37" s="15">
        <f si="26" t="shared"/>
        <v>8926</v>
      </c>
      <c r="BV37" s="95">
        <v>16</v>
      </c>
      <c r="BW37" s="34" t="s">
        <v>340</v>
      </c>
      <c r="BX37" s="115">
        <f>$CL$7</f>
        <v>1470.352749710549</v>
      </c>
      <c r="BY37" s="116">
        <f>$CL$8</f>
        <v>12509.496665138753</v>
      </c>
      <c r="BZ37" s="116">
        <f>$CL$9</f>
        <v>3306</v>
      </c>
      <c r="CA37" s="123">
        <f>$CL$10</f>
        <v>1271</v>
      </c>
      <c r="CB37" s="115">
        <f>$CL$11</f>
        <v>1694.5944832574864</v>
      </c>
      <c r="CC37" s="116">
        <f>$CL$12</f>
        <v>7324.5394612053642</v>
      </c>
      <c r="CD37" s="116">
        <f>$CL$13</f>
        <v>3056.6721848154989</v>
      </c>
      <c r="CE37" s="123">
        <f>$CL$14</f>
        <v>1271</v>
      </c>
      <c r="CF37" s="100">
        <f si="9" t="shared"/>
        <v>2.6253408078030578E-3</v>
      </c>
      <c r="CG37" s="100">
        <f si="10" t="shared"/>
        <v>1.1347500853951755E-2</v>
      </c>
      <c r="CH37" s="100">
        <f si="11" t="shared"/>
        <v>4.7355318940061272E-3</v>
      </c>
      <c r="CI37" s="121">
        <f si="12" t="shared"/>
        <v>1.9690894781525573E-3</v>
      </c>
      <c r="CJ37" s="125">
        <f si="13" t="shared"/>
        <v>-2.7664424158535699E-3</v>
      </c>
      <c r="CK37" s="121">
        <f si="14" t="shared"/>
        <v>-0.58418831881485589</v>
      </c>
      <c r="CL37" s="21">
        <f si="15" t="shared"/>
        <v>-9.378411375799197E-3</v>
      </c>
    </row>
    <row r="38" spans="1:90" x14ac:dyDescent="0.25">
      <c r="A38" s="95">
        <v>5</v>
      </c>
      <c r="B38" s="77">
        <f ref="B38:W38" si="33" t="shared">IF($W11&gt;0,(B11/$W11)*$BS11,0)</f>
        <v>607.34982623861936</v>
      </c>
      <c r="C38" s="77">
        <f si="33" t="shared"/>
        <v>382.54201570821834</v>
      </c>
      <c r="D38" s="77">
        <f si="33" t="shared"/>
        <v>38.022455090632285</v>
      </c>
      <c r="E38" s="77">
        <f si="33" t="shared"/>
        <v>194.51177934670105</v>
      </c>
      <c r="F38" s="77">
        <f si="33" t="shared"/>
        <v>844.83295965851812</v>
      </c>
      <c r="G38" s="77">
        <f si="33" t="shared"/>
        <v>2180.1056162757636</v>
      </c>
      <c r="H38" s="77">
        <f si="33" t="shared"/>
        <v>391.87523202660998</v>
      </c>
      <c r="I38" s="77">
        <f si="33" t="shared"/>
        <v>38.162248284117027</v>
      </c>
      <c r="J38" s="77">
        <f si="33" t="shared"/>
        <v>373.95013753351469</v>
      </c>
      <c r="K38" s="77">
        <f si="33" t="shared"/>
        <v>801.70813286231134</v>
      </c>
      <c r="L38" s="77">
        <f si="33" t="shared"/>
        <v>38.022455090632285</v>
      </c>
      <c r="M38" s="77">
        <f si="33" t="shared"/>
        <v>2575.8033836214345</v>
      </c>
      <c r="N38" s="77">
        <f si="33" t="shared"/>
        <v>0</v>
      </c>
      <c r="O38" s="77">
        <f si="33" t="shared"/>
        <v>0</v>
      </c>
      <c r="P38" s="77">
        <f si="33" t="shared"/>
        <v>0</v>
      </c>
      <c r="Q38" s="77">
        <f si="33" t="shared"/>
        <v>0</v>
      </c>
      <c r="R38" s="77">
        <f si="33" t="shared"/>
        <v>55.013082345185985</v>
      </c>
      <c r="S38" s="77">
        <f si="33" t="shared"/>
        <v>0</v>
      </c>
      <c r="T38" s="77">
        <f si="33" t="shared"/>
        <v>0</v>
      </c>
      <c r="U38" s="77">
        <f si="33" t="shared"/>
        <v>32.100675917742684</v>
      </c>
      <c r="V38" s="77">
        <f si="33" t="shared"/>
        <v>0</v>
      </c>
      <c r="W38" s="77">
        <f si="33" t="shared"/>
        <v>8554</v>
      </c>
      <c r="X38" s="14"/>
      <c r="Y38" s="95">
        <v>5</v>
      </c>
      <c r="Z38" s="77">
        <f ref="Z38:AT38" si="34" t="shared">IF($AU11&gt;0,(Z11/$AU11)*$BS11,0)</f>
        <v>1171.006419939577</v>
      </c>
      <c r="AA38" s="77">
        <f si="34" t="shared"/>
        <v>448.21280211480359</v>
      </c>
      <c r="AB38" s="77">
        <f si="34" t="shared"/>
        <v>317.38311933534743</v>
      </c>
      <c r="AC38" s="77">
        <f si="34" t="shared"/>
        <v>373.10687311178248</v>
      </c>
      <c r="AD38" s="77">
        <f si="34" t="shared"/>
        <v>637.18901057401808</v>
      </c>
      <c r="AE38" s="77">
        <f si="34" t="shared"/>
        <v>2086.8141993957702</v>
      </c>
      <c r="AF38" s="77">
        <f si="34" t="shared"/>
        <v>415.90917673716012</v>
      </c>
      <c r="AG38" s="77">
        <f si="34" t="shared"/>
        <v>70.260385196374614</v>
      </c>
      <c r="AH38" s="77">
        <f si="34" t="shared"/>
        <v>360.18542296072508</v>
      </c>
      <c r="AI38" s="77">
        <f si="34" t="shared"/>
        <v>304.46166918429003</v>
      </c>
      <c r="AJ38" s="77">
        <f si="34" t="shared"/>
        <v>306.0768504531722</v>
      </c>
      <c r="AK38" s="77">
        <f si="34" t="shared"/>
        <v>1632.9482628398794</v>
      </c>
      <c r="AL38" s="77">
        <f si="34" t="shared"/>
        <v>142.94354229607251</v>
      </c>
      <c r="AM38" s="77">
        <f si="34" t="shared"/>
        <v>46.840256797583088</v>
      </c>
      <c r="AN38" s="77">
        <f si="34" t="shared"/>
        <v>60.569297583081571</v>
      </c>
      <c r="AO38" s="77">
        <f si="34" t="shared"/>
        <v>47.647847432024165</v>
      </c>
      <c r="AP38" s="77">
        <f si="34" t="shared"/>
        <v>28.265672205438065</v>
      </c>
      <c r="AQ38" s="77">
        <f si="34" t="shared"/>
        <v>40.379531722054381</v>
      </c>
      <c r="AR38" s="77">
        <f si="34" t="shared"/>
        <v>47.647847432024165</v>
      </c>
      <c r="AS38" s="77">
        <f si="34" t="shared"/>
        <v>16.151812688821753</v>
      </c>
      <c r="AT38" s="77">
        <f si="34" t="shared"/>
        <v>0</v>
      </c>
      <c r="AU38" s="77">
        <f si="24" t="shared"/>
        <v>8554</v>
      </c>
      <c r="AW38" s="95">
        <v>5</v>
      </c>
      <c r="AX38" s="15">
        <f ref="AX38:BR38" si="35" t="shared">AX11</f>
        <v>2031</v>
      </c>
      <c r="AY38" s="15">
        <f si="35" t="shared"/>
        <v>492</v>
      </c>
      <c r="AZ38" s="15">
        <f si="35" t="shared"/>
        <v>286</v>
      </c>
      <c r="BA38" s="15">
        <f si="35" t="shared"/>
        <v>315</v>
      </c>
      <c r="BB38" s="15">
        <f si="35" t="shared"/>
        <v>1301</v>
      </c>
      <c r="BC38" s="15">
        <f si="35" t="shared"/>
        <v>2368</v>
      </c>
      <c r="BD38" s="15">
        <f si="35" t="shared"/>
        <v>201</v>
      </c>
      <c r="BE38" s="15">
        <f si="35" t="shared"/>
        <v>31</v>
      </c>
      <c r="BF38" s="15">
        <f si="35" t="shared"/>
        <v>161</v>
      </c>
      <c r="BG38" s="15">
        <f si="35" t="shared"/>
        <v>212</v>
      </c>
      <c r="BH38" s="15">
        <f si="35" t="shared"/>
        <v>142</v>
      </c>
      <c r="BI38" s="15">
        <f si="35" t="shared"/>
        <v>827</v>
      </c>
      <c r="BJ38" s="15">
        <f si="35" t="shared"/>
        <v>96</v>
      </c>
      <c r="BK38" s="15">
        <f si="35" t="shared"/>
        <v>17</v>
      </c>
      <c r="BL38" s="15">
        <f si="35" t="shared"/>
        <v>22</v>
      </c>
      <c r="BM38" s="15">
        <f si="35" t="shared"/>
        <v>17</v>
      </c>
      <c r="BN38" s="15">
        <f si="35" t="shared"/>
        <v>8</v>
      </c>
      <c r="BO38" s="15">
        <f si="35" t="shared"/>
        <v>7</v>
      </c>
      <c r="BP38" s="15">
        <f si="35" t="shared"/>
        <v>16</v>
      </c>
      <c r="BQ38" s="15">
        <f si="35" t="shared"/>
        <v>4</v>
      </c>
      <c r="BR38" s="15">
        <f si="35" t="shared"/>
        <v>0</v>
      </c>
      <c r="BS38" s="15">
        <f si="26" t="shared"/>
        <v>8554</v>
      </c>
      <c r="BV38" s="95">
        <v>17</v>
      </c>
      <c r="BW38" s="34" t="s">
        <v>341</v>
      </c>
      <c r="BX38" s="115">
        <f>$CM$7</f>
        <v>6774.47985647735</v>
      </c>
      <c r="BY38" s="116">
        <f>$CM$8</f>
        <v>20649.37775784919</v>
      </c>
      <c r="BZ38" s="116">
        <f>$CM$9</f>
        <v>9368</v>
      </c>
      <c r="CA38" s="123">
        <f>$CM$10</f>
        <v>4643</v>
      </c>
      <c r="CB38" s="115">
        <f>$CM$11</f>
        <v>7807.6476505283636</v>
      </c>
      <c r="CC38" s="116">
        <f>$CM$12</f>
        <v>12090.588956963851</v>
      </c>
      <c r="CD38" s="116">
        <f>$CM$13</f>
        <v>8183.7677729022362</v>
      </c>
      <c r="CE38" s="123">
        <f>$CM$14</f>
        <v>4643</v>
      </c>
      <c r="CF38" s="100">
        <f si="9" t="shared"/>
        <v>1.2095953452224969E-2</v>
      </c>
      <c r="CG38" s="100">
        <f si="10" t="shared"/>
        <v>1.8731275766974836E-2</v>
      </c>
      <c r="CH38" s="100">
        <f si="11" t="shared"/>
        <v>1.2678655399894398E-2</v>
      </c>
      <c r="CI38" s="121">
        <f si="12" t="shared"/>
        <v>7.1931411857296011E-3</v>
      </c>
      <c r="CJ38" s="125">
        <f si="13" t="shared"/>
        <v>-5.4855142141647965E-3</v>
      </c>
      <c r="CK38" s="121">
        <f si="14" t="shared"/>
        <v>-0.43265741051771833</v>
      </c>
      <c r="CL38" s="21">
        <f si="15" t="shared"/>
        <v>-1.1538134581245234E-2</v>
      </c>
    </row>
    <row r="39" spans="1:90" x14ac:dyDescent="0.25">
      <c r="A39" s="95">
        <v>6</v>
      </c>
      <c r="B39" s="77">
        <f ref="B39:W39" si="36" t="shared">IF($W12&gt;0,(B12/$W12)*$BS12,0)</f>
        <v>3574.4007384793449</v>
      </c>
      <c r="C39" s="77">
        <f si="36" t="shared"/>
        <v>1251.2759334025966</v>
      </c>
      <c r="D39" s="77">
        <f si="36" t="shared"/>
        <v>290.73910833996928</v>
      </c>
      <c r="E39" s="77">
        <f si="36" t="shared"/>
        <v>131.80254236791876</v>
      </c>
      <c r="F39" s="77">
        <f si="36" t="shared"/>
        <v>418.53656433771181</v>
      </c>
      <c r="G39" s="77">
        <f si="36" t="shared"/>
        <v>12231.961034672426</v>
      </c>
      <c r="H39" s="77">
        <f si="36" t="shared"/>
        <v>1231.5817240380934</v>
      </c>
      <c r="I39" s="77">
        <f si="36" t="shared"/>
        <v>0</v>
      </c>
      <c r="J39" s="77">
        <f si="36" t="shared"/>
        <v>151.44209655303851</v>
      </c>
      <c r="K39" s="77">
        <f si="36" t="shared"/>
        <v>453.37828283344106</v>
      </c>
      <c r="L39" s="77">
        <f si="36" t="shared"/>
        <v>432.17259228221786</v>
      </c>
      <c r="M39" s="77">
        <f si="36" t="shared"/>
        <v>4813.8031021307534</v>
      </c>
      <c r="N39" s="77">
        <f si="36" t="shared"/>
        <v>94.328508586395543</v>
      </c>
      <c r="O39" s="77">
        <f si="36" t="shared"/>
        <v>0</v>
      </c>
      <c r="P39" s="77">
        <f si="36" t="shared"/>
        <v>307.49300776851197</v>
      </c>
      <c r="Q39" s="77">
        <f si="36" t="shared"/>
        <v>0</v>
      </c>
      <c r="R39" s="77">
        <f si="36" t="shared"/>
        <v>0</v>
      </c>
      <c r="S39" s="77">
        <f si="36" t="shared"/>
        <v>24.084764207581717</v>
      </c>
      <c r="T39" s="77">
        <f si="36" t="shared"/>
        <v>0</v>
      </c>
      <c r="U39" s="77">
        <f si="36" t="shared"/>
        <v>0</v>
      </c>
      <c r="V39" s="77">
        <f si="36" t="shared"/>
        <v>0</v>
      </c>
      <c r="W39" s="77">
        <f si="36" t="shared"/>
        <v>25407</v>
      </c>
      <c r="X39" s="14"/>
      <c r="Y39" s="95">
        <v>6</v>
      </c>
      <c r="Z39" s="77">
        <f ref="Z39:AT39" si="37" t="shared">IF($AU12&gt;0,(Z12/$AU12)*$BS12,0)</f>
        <v>3451.8631993621912</v>
      </c>
      <c r="AA39" s="77">
        <f si="37" t="shared"/>
        <v>1003.268489424565</v>
      </c>
      <c r="AB39" s="77">
        <f si="37" t="shared"/>
        <v>656.53318013412752</v>
      </c>
      <c r="AC39" s="77">
        <f si="37" t="shared"/>
        <v>660.1077709515547</v>
      </c>
      <c r="AD39" s="77">
        <f si="37" t="shared"/>
        <v>918.66984007878818</v>
      </c>
      <c r="AE39" s="77">
        <f si="37" t="shared"/>
        <v>8548.0381747408901</v>
      </c>
      <c r="AF39" s="77">
        <f si="37" t="shared"/>
        <v>1135.5283496693712</v>
      </c>
      <c r="AG39" s="77">
        <f si="37" t="shared"/>
        <v>73.874876893495284</v>
      </c>
      <c r="AH39" s="77">
        <f si="37" t="shared"/>
        <v>927.01055198611834</v>
      </c>
      <c r="AI39" s="77">
        <f si="37" t="shared"/>
        <v>619.59574168737981</v>
      </c>
      <c r="AJ39" s="77">
        <f si="37" t="shared"/>
        <v>574.31759133330206</v>
      </c>
      <c r="AK39" s="77">
        <f si="37" t="shared"/>
        <v>5537.0411761947189</v>
      </c>
      <c r="AL39" s="77">
        <f si="37" t="shared"/>
        <v>461.12221544810768</v>
      </c>
      <c r="AM39" s="77">
        <f si="37" t="shared"/>
        <v>91.74783098063125</v>
      </c>
      <c r="AN39" s="77">
        <f si="37" t="shared"/>
        <v>194.21943441354406</v>
      </c>
      <c r="AO39" s="77">
        <f si="37" t="shared"/>
        <v>135.83445106223328</v>
      </c>
      <c r="AP39" s="77">
        <f si="37" t="shared"/>
        <v>52.427331988932139</v>
      </c>
      <c r="AQ39" s="77">
        <f si="37" t="shared"/>
        <v>133.45139051728182</v>
      </c>
      <c r="AR39" s="77">
        <f si="37" t="shared"/>
        <v>175.15495005393237</v>
      </c>
      <c r="AS39" s="77">
        <f si="37" t="shared"/>
        <v>57.193453078835063</v>
      </c>
      <c r="AT39" s="77">
        <f si="37" t="shared"/>
        <v>0</v>
      </c>
      <c r="AU39" s="77">
        <f si="24" t="shared"/>
        <v>25407</v>
      </c>
      <c r="AW39" s="95">
        <v>6</v>
      </c>
      <c r="AX39" s="15">
        <f ref="AX39:BR39" si="38" t="shared">AX12</f>
        <v>5957</v>
      </c>
      <c r="AY39" s="15">
        <f si="38" t="shared"/>
        <v>1560</v>
      </c>
      <c r="AZ39" s="15">
        <f si="38" t="shared"/>
        <v>712</v>
      </c>
      <c r="BA39" s="15">
        <f si="38" t="shared"/>
        <v>552</v>
      </c>
      <c r="BB39" s="15">
        <f si="38" t="shared"/>
        <v>1834</v>
      </c>
      <c r="BC39" s="15">
        <f si="38" t="shared"/>
        <v>9282</v>
      </c>
      <c r="BD39" s="15">
        <f si="38" t="shared"/>
        <v>765</v>
      </c>
      <c r="BE39" s="15">
        <f si="38" t="shared"/>
        <v>62</v>
      </c>
      <c r="BF39" s="15">
        <f si="38" t="shared"/>
        <v>531</v>
      </c>
      <c r="BG39" s="15">
        <f si="38" t="shared"/>
        <v>379</v>
      </c>
      <c r="BH39" s="15">
        <f si="38" t="shared"/>
        <v>297</v>
      </c>
      <c r="BI39" s="15">
        <f si="38" t="shared"/>
        <v>2835</v>
      </c>
      <c r="BJ39" s="15">
        <f si="38" t="shared"/>
        <v>425</v>
      </c>
      <c r="BK39" s="15">
        <f si="38" t="shared"/>
        <v>31</v>
      </c>
      <c r="BL39" s="15">
        <f si="38" t="shared"/>
        <v>84</v>
      </c>
      <c r="BM39" s="15">
        <f si="38" t="shared"/>
        <v>20</v>
      </c>
      <c r="BN39" s="15">
        <f si="38" t="shared"/>
        <v>12</v>
      </c>
      <c r="BO39" s="15">
        <f si="38" t="shared"/>
        <v>40</v>
      </c>
      <c r="BP39" s="15">
        <f si="38" t="shared"/>
        <v>25</v>
      </c>
      <c r="BQ39" s="15">
        <f si="38" t="shared"/>
        <v>4</v>
      </c>
      <c r="BR39" s="15">
        <f si="38" t="shared"/>
        <v>0</v>
      </c>
      <c r="BS39" s="15">
        <f si="26" t="shared"/>
        <v>25407</v>
      </c>
      <c r="BV39" s="95">
        <v>18</v>
      </c>
      <c r="BW39" s="34" t="s">
        <v>342</v>
      </c>
      <c r="BX39" s="115">
        <f>$CN$7</f>
        <v>8463.186929443702</v>
      </c>
      <c r="BY39" s="116">
        <f>$CN$8</f>
        <v>34453.925335698776</v>
      </c>
      <c r="BZ39" s="116">
        <f>$CN$9</f>
        <v>13081</v>
      </c>
      <c r="CA39" s="123">
        <f>$CN$10</f>
        <v>9969</v>
      </c>
      <c r="CB39" s="115">
        <f>$CN$11</f>
        <v>9753.8974128728241</v>
      </c>
      <c r="CC39" s="116">
        <f>$CN$12</f>
        <v>20173.404451836897</v>
      </c>
      <c r="CD39" s="116">
        <f>$CN$13</f>
        <v>11662.736307180778</v>
      </c>
      <c r="CE39" s="123">
        <f>$CN$14</f>
        <v>9969</v>
      </c>
      <c r="CF39" s="100">
        <f si="9" t="shared"/>
        <v>1.5111169761343295E-2</v>
      </c>
      <c r="CG39" s="100">
        <f si="10" t="shared"/>
        <v>3.1253531427716745E-2</v>
      </c>
      <c r="CH39" s="100">
        <f si="11" t="shared"/>
        <v>1.8068427497197073E-2</v>
      </c>
      <c r="CI39" s="121">
        <f si="12" t="shared"/>
        <v>1.5444416213770922E-2</v>
      </c>
      <c r="CJ39" s="125">
        <f si="13" t="shared"/>
        <v>-2.6240112834261514E-3</v>
      </c>
      <c r="CK39" s="121">
        <f si="14" t="shared"/>
        <v>-0.14522632275737382</v>
      </c>
      <c r="CL39" s="21">
        <f si="15" t="shared"/>
        <v>-1.5809115213945825E-2</v>
      </c>
    </row>
    <row customFormat="1" r="40" s="95" spans="1:90" x14ac:dyDescent="0.25">
      <c r="A40" s="95">
        <v>7</v>
      </c>
      <c r="B40" s="77">
        <f ref="B40:W40" si="39" t="shared">IF($W13&gt;0,(B13/$W13)*$BS13,0)</f>
        <v>5468.036347402166</v>
      </c>
      <c r="C40" s="77">
        <f si="39" t="shared"/>
        <v>7011.8080955380929</v>
      </c>
      <c r="D40" s="77">
        <f si="39" t="shared"/>
        <v>511.10409144198729</v>
      </c>
      <c r="E40" s="77">
        <f si="39" t="shared"/>
        <v>2167.2103817345846</v>
      </c>
      <c r="F40" s="77">
        <f si="39" t="shared"/>
        <v>2783.6296458559177</v>
      </c>
      <c r="G40" s="77">
        <f si="39" t="shared"/>
        <v>11656.531688330047</v>
      </c>
      <c r="H40" s="77">
        <f si="39" t="shared"/>
        <v>22747.518179455812</v>
      </c>
      <c r="I40" s="77">
        <f si="39" t="shared"/>
        <v>79.362638956603348</v>
      </c>
      <c r="J40" s="77">
        <f si="39" t="shared"/>
        <v>5957.6076621804459</v>
      </c>
      <c r="K40" s="77">
        <f si="39" t="shared"/>
        <v>267.09596426648193</v>
      </c>
      <c r="L40" s="77">
        <f si="39" t="shared"/>
        <v>0</v>
      </c>
      <c r="M40" s="77">
        <f si="39" t="shared"/>
        <v>13093.151764018159</v>
      </c>
      <c r="N40" s="77">
        <f si="39" t="shared"/>
        <v>4635.7525396633655</v>
      </c>
      <c r="O40" s="77">
        <f si="39" t="shared"/>
        <v>0</v>
      </c>
      <c r="P40" s="77">
        <f si="39" t="shared"/>
        <v>419.13827082841499</v>
      </c>
      <c r="Q40" s="77">
        <f si="39" t="shared"/>
        <v>62.630102779841103</v>
      </c>
      <c r="R40" s="77">
        <f si="39" t="shared"/>
        <v>0</v>
      </c>
      <c r="S40" s="77">
        <f si="39" t="shared"/>
        <v>370.00613707339977</v>
      </c>
      <c r="T40" s="77">
        <f si="39" t="shared"/>
        <v>100.41649047468914</v>
      </c>
      <c r="U40" s="77">
        <f si="39" t="shared"/>
        <v>0</v>
      </c>
      <c r="V40" s="77">
        <f si="39" t="shared"/>
        <v>0</v>
      </c>
      <c r="W40" s="77">
        <f si="39" t="shared"/>
        <v>77331</v>
      </c>
      <c r="X40" s="14"/>
      <c r="Y40" s="95">
        <v>7</v>
      </c>
      <c r="Z40" s="77">
        <f ref="Z40:AT40" si="40" t="shared">IF($AU13&gt;0,(Z13/$AU13)*$BS13,0)</f>
        <v>5069.2693150176356</v>
      </c>
      <c r="AA40" s="77">
        <f si="40" t="shared"/>
        <v>5147.7439391126782</v>
      </c>
      <c r="AB40" s="77">
        <f si="40" t="shared"/>
        <v>2271.9360683126047</v>
      </c>
      <c r="AC40" s="77">
        <f si="40" t="shared"/>
        <v>1790.5612400222758</v>
      </c>
      <c r="AD40" s="77">
        <f si="40" t="shared"/>
        <v>1642.2250603304251</v>
      </c>
      <c r="AE40" s="77">
        <f si="40" t="shared"/>
        <v>9986.3744198997574</v>
      </c>
      <c r="AF40" s="77">
        <f si="40" t="shared"/>
        <v>17574.487766846112</v>
      </c>
      <c r="AG40" s="77">
        <f si="40" t="shared"/>
        <v>319.64054204566548</v>
      </c>
      <c r="AH40" s="77">
        <f si="40" t="shared"/>
        <v>5097.97954334509</v>
      </c>
      <c r="AI40" s="77">
        <f si="40" t="shared"/>
        <v>1246.0239094115464</v>
      </c>
      <c r="AJ40" s="77">
        <f si="40" t="shared"/>
        <v>2577.2214961945424</v>
      </c>
      <c r="AK40" s="77">
        <f si="40" t="shared"/>
        <v>15574.341860033413</v>
      </c>
      <c r="AL40" s="77">
        <f si="40" t="shared"/>
        <v>5368.8126972340824</v>
      </c>
      <c r="AM40" s="77">
        <f si="40" t="shared"/>
        <v>247.86497122702801</v>
      </c>
      <c r="AN40" s="77">
        <f si="40" t="shared"/>
        <v>1561.836421013551</v>
      </c>
      <c r="AO40" s="77">
        <f si="40" t="shared"/>
        <v>200.01459068126971</v>
      </c>
      <c r="AP40" s="77">
        <f si="40" t="shared"/>
        <v>189.48750696120288</v>
      </c>
      <c r="AQ40" s="77">
        <f si="40" t="shared"/>
        <v>726.36877668461113</v>
      </c>
      <c r="AR40" s="77">
        <f si="40" t="shared"/>
        <v>454.57861518470395</v>
      </c>
      <c r="AS40" s="77">
        <f si="40" t="shared"/>
        <v>284.23126044180435</v>
      </c>
      <c r="AT40" s="77">
        <f si="40" t="shared"/>
        <v>0</v>
      </c>
      <c r="AU40" s="77">
        <f si="24" t="shared"/>
        <v>77331</v>
      </c>
      <c r="AW40" s="95">
        <v>7</v>
      </c>
      <c r="AX40" s="15">
        <f ref="AX40:BR40" si="41" t="shared">AX13</f>
        <v>10750</v>
      </c>
      <c r="AY40" s="15">
        <f si="41" t="shared"/>
        <v>5557</v>
      </c>
      <c r="AZ40" s="15">
        <f si="41" t="shared"/>
        <v>1907</v>
      </c>
      <c r="BA40" s="15">
        <f si="41" t="shared"/>
        <v>1005</v>
      </c>
      <c r="BB40" s="15">
        <f si="41" t="shared"/>
        <v>2579</v>
      </c>
      <c r="BC40" s="15">
        <f si="41" t="shared"/>
        <v>9737</v>
      </c>
      <c r="BD40" s="15">
        <f si="41" t="shared"/>
        <v>13358</v>
      </c>
      <c r="BE40" s="15">
        <f si="41" t="shared"/>
        <v>86</v>
      </c>
      <c r="BF40" s="15">
        <f si="41" t="shared"/>
        <v>3513</v>
      </c>
      <c r="BG40" s="15">
        <f si="41" t="shared"/>
        <v>482</v>
      </c>
      <c r="BH40" s="15">
        <f si="41" t="shared"/>
        <v>672</v>
      </c>
      <c r="BI40" s="15">
        <f si="41" t="shared"/>
        <v>11773</v>
      </c>
      <c r="BJ40" s="15">
        <f si="41" t="shared"/>
        <v>14128</v>
      </c>
      <c r="BK40" s="15">
        <f si="41" t="shared"/>
        <v>71</v>
      </c>
      <c r="BL40" s="15">
        <f si="41" t="shared"/>
        <v>1121</v>
      </c>
      <c r="BM40" s="15">
        <f si="41" t="shared"/>
        <v>29</v>
      </c>
      <c r="BN40" s="15">
        <f si="41" t="shared"/>
        <v>44</v>
      </c>
      <c r="BO40" s="15">
        <f si="41" t="shared"/>
        <v>388</v>
      </c>
      <c r="BP40" s="15">
        <f si="41" t="shared"/>
        <v>111</v>
      </c>
      <c r="BQ40" s="15">
        <f si="41" t="shared"/>
        <v>20</v>
      </c>
      <c r="BR40" s="15">
        <f si="41" t="shared"/>
        <v>0</v>
      </c>
      <c r="BS40" s="15">
        <f si="26" t="shared"/>
        <v>77331</v>
      </c>
      <c r="BV40" s="95">
        <v>19</v>
      </c>
      <c r="BW40" s="34" t="s">
        <v>343</v>
      </c>
      <c r="BX40" s="115">
        <f>$CO$7</f>
        <v>12412.957962668792</v>
      </c>
      <c r="BY40" s="116">
        <f>$CO$8</f>
        <v>46181.170491572484</v>
      </c>
      <c r="BZ40" s="116">
        <f>$CO$9</f>
        <v>22540</v>
      </c>
      <c r="CA40" s="123">
        <f>$CO$10</f>
        <v>12777</v>
      </c>
      <c r="CB40" s="115">
        <f>$CO$11</f>
        <v>14306.043286950375</v>
      </c>
      <c r="CC40" s="116">
        <f>$CO$12</f>
        <v>27039.921324158528</v>
      </c>
      <c r="CD40" s="116">
        <f>$CO$13</f>
        <v>19671.927490438102</v>
      </c>
      <c r="CE40" s="123">
        <f>$CO$14</f>
        <v>12777</v>
      </c>
      <c r="CF40" s="100">
        <f si="9" t="shared"/>
        <v>2.2163555712296622E-2</v>
      </c>
      <c r="CG40" s="100">
        <f si="10" t="shared"/>
        <v>4.1891443406352091E-2</v>
      </c>
      <c r="CH40" s="100">
        <f si="11" t="shared"/>
        <v>3.0476621114399454E-2</v>
      </c>
      <c r="CI40" s="121">
        <f si="12" t="shared"/>
        <v>1.979469414819451E-2</v>
      </c>
      <c r="CJ40" s="125">
        <f si="13" t="shared"/>
        <v>-1.0681926966204944E-2</v>
      </c>
      <c r="CK40" s="121">
        <f si="14" t="shared"/>
        <v>-0.35049577596244735</v>
      </c>
      <c r="CL40" s="21">
        <f si="15" t="shared"/>
        <v>-2.2096749258157581E-2</v>
      </c>
    </row>
    <row r="41" spans="1:90" x14ac:dyDescent="0.25">
      <c r="A41" s="95">
        <v>8</v>
      </c>
      <c r="B41" s="77">
        <f ref="B41:W41" si="42" t="shared">IF($W14&gt;0,(B14/$W14)*$BS14,0)</f>
        <v>481.91347391768454</v>
      </c>
      <c r="C41" s="77">
        <f si="42" t="shared"/>
        <v>174.16440097538651</v>
      </c>
      <c r="D41" s="77">
        <f si="42" t="shared"/>
        <v>47.072033394051566</v>
      </c>
      <c r="E41" s="77">
        <f si="42" t="shared"/>
        <v>173.50014048771382</v>
      </c>
      <c r="F41" s="77">
        <f si="42" t="shared"/>
        <v>130.90120144135801</v>
      </c>
      <c r="G41" s="77">
        <f si="42" t="shared"/>
        <v>390.78881738257257</v>
      </c>
      <c r="H41" s="77">
        <f si="42" t="shared"/>
        <v>74.376471791706479</v>
      </c>
      <c r="I41" s="77">
        <f si="42" t="shared"/>
        <v>238.15658938166411</v>
      </c>
      <c r="J41" s="77">
        <f si="42" t="shared"/>
        <v>227.87948801713898</v>
      </c>
      <c r="K41" s="77">
        <f si="42" t="shared"/>
        <v>42.717221523985508</v>
      </c>
      <c r="L41" s="77">
        <f si="42" t="shared"/>
        <v>1144.0544653278332</v>
      </c>
      <c r="M41" s="77">
        <f si="42" t="shared"/>
        <v>614.1728464936723</v>
      </c>
      <c r="N41" s="77">
        <f si="42" t="shared"/>
        <v>0</v>
      </c>
      <c r="O41" s="77">
        <f si="42" t="shared"/>
        <v>41.087120841101708</v>
      </c>
      <c r="P41" s="77">
        <f si="42" t="shared"/>
        <v>36.855534816949202</v>
      </c>
      <c r="Q41" s="77">
        <f si="42" t="shared"/>
        <v>0</v>
      </c>
      <c r="R41" s="77">
        <f si="42" t="shared"/>
        <v>65.514227492563748</v>
      </c>
      <c r="S41" s="77">
        <f si="42" t="shared"/>
        <v>41.087120841101708</v>
      </c>
      <c r="T41" s="77">
        <f si="42" t="shared"/>
        <v>223.75884587351561</v>
      </c>
      <c r="U41" s="77">
        <f si="42" t="shared"/>
        <v>0</v>
      </c>
      <c r="V41" s="77">
        <f si="42" t="shared"/>
        <v>0</v>
      </c>
      <c r="W41" s="77">
        <f si="42" t="shared"/>
        <v>4148</v>
      </c>
      <c r="X41" s="15"/>
      <c r="Y41" s="95">
        <v>8</v>
      </c>
      <c r="Z41" s="77">
        <f ref="Z41:AT41" si="43" t="shared">IF($AU14&gt;0,(Z14/$AU14)*$BS14,0)</f>
        <v>429.15668031261629</v>
      </c>
      <c r="AA41" s="77">
        <f si="43" t="shared"/>
        <v>305.65835504279863</v>
      </c>
      <c r="AB41" s="77">
        <f si="43" t="shared"/>
        <v>215.35020468924449</v>
      </c>
      <c r="AC41" s="77">
        <f si="43" t="shared"/>
        <v>229.24376628209899</v>
      </c>
      <c r="AD41" s="77">
        <f si="43" t="shared"/>
        <v>191.42240416821735</v>
      </c>
      <c r="AE41" s="77">
        <f si="43" t="shared"/>
        <v>858.31336062523258</v>
      </c>
      <c r="AF41" s="77">
        <f si="43" t="shared"/>
        <v>250.0841086713807</v>
      </c>
      <c r="AG41" s="77">
        <f si="43" t="shared"/>
        <v>98.026795682917751</v>
      </c>
      <c r="AH41" s="77">
        <f si="43" t="shared"/>
        <v>260.89021213248975</v>
      </c>
      <c r="AI41" s="77">
        <f si="43" t="shared"/>
        <v>118.09527353926312</v>
      </c>
      <c r="AJ41" s="77">
        <f si="43" t="shared"/>
        <v>348.11090435429844</v>
      </c>
      <c r="AK41" s="77">
        <f si="43" t="shared"/>
        <v>542.62076665426127</v>
      </c>
      <c r="AL41" s="77">
        <f si="43" t="shared"/>
        <v>69.467807964272424</v>
      </c>
      <c r="AM41" s="77">
        <f si="43" t="shared"/>
        <v>77.958317826572397</v>
      </c>
      <c r="AN41" s="77">
        <f si="43" t="shared"/>
        <v>41.680684778563453</v>
      </c>
      <c r="AO41" s="77">
        <f si="43" t="shared"/>
        <v>11.577967994045403</v>
      </c>
      <c r="AP41" s="77">
        <f si="43" t="shared"/>
        <v>27.015258652772609</v>
      </c>
      <c r="AQ41" s="77">
        <f si="43" t="shared"/>
        <v>24.699665053963528</v>
      </c>
      <c r="AR41" s="77">
        <f si="43" t="shared"/>
        <v>37.821362113881655</v>
      </c>
      <c r="AS41" s="77">
        <f si="43" t="shared"/>
        <v>10.806103461109043</v>
      </c>
      <c r="AT41" s="77">
        <f si="43" t="shared"/>
        <v>0</v>
      </c>
      <c r="AU41" s="77">
        <f si="24" t="shared"/>
        <v>4148</v>
      </c>
      <c r="AW41" s="95">
        <v>8</v>
      </c>
      <c r="AX41" s="15">
        <f ref="AX41:BR41" si="44" t="shared">AX14</f>
        <v>1129</v>
      </c>
      <c r="AY41" s="15">
        <f si="44" t="shared"/>
        <v>297</v>
      </c>
      <c r="AZ41" s="15">
        <f si="44" t="shared"/>
        <v>273</v>
      </c>
      <c r="BA41" s="15">
        <f si="44" t="shared"/>
        <v>206</v>
      </c>
      <c r="BB41" s="15">
        <f si="44" t="shared"/>
        <v>325</v>
      </c>
      <c r="BC41" s="15">
        <f si="44" t="shared"/>
        <v>833</v>
      </c>
      <c r="BD41" s="15">
        <f si="44" t="shared"/>
        <v>132</v>
      </c>
      <c r="BE41" s="15">
        <f si="44" t="shared"/>
        <v>27</v>
      </c>
      <c r="BF41" s="15">
        <f si="44" t="shared"/>
        <v>129</v>
      </c>
      <c r="BG41" s="15">
        <f si="44" t="shared"/>
        <v>61</v>
      </c>
      <c r="BH41" s="15">
        <f si="44" t="shared"/>
        <v>308</v>
      </c>
      <c r="BI41" s="15">
        <f si="44" t="shared"/>
        <v>271</v>
      </c>
      <c r="BJ41" s="15">
        <f si="44" t="shared"/>
        <v>50</v>
      </c>
      <c r="BK41" s="15">
        <f si="44" t="shared"/>
        <v>40</v>
      </c>
      <c r="BL41" s="15">
        <f si="44" t="shared"/>
        <v>24</v>
      </c>
      <c r="BM41" s="15">
        <f si="44" t="shared"/>
        <v>0</v>
      </c>
      <c r="BN41" s="15">
        <f si="44" t="shared"/>
        <v>14</v>
      </c>
      <c r="BO41" s="15">
        <f si="44" t="shared"/>
        <v>3</v>
      </c>
      <c r="BP41" s="15">
        <f si="44" t="shared"/>
        <v>24</v>
      </c>
      <c r="BQ41" s="15">
        <f si="44" t="shared"/>
        <v>2</v>
      </c>
      <c r="BR41" s="15">
        <f si="44" t="shared"/>
        <v>0</v>
      </c>
      <c r="BS41" s="15">
        <f si="26" t="shared"/>
        <v>4148</v>
      </c>
      <c r="BV41" s="95">
        <v>20</v>
      </c>
      <c r="BW41" s="34" t="s">
        <v>344</v>
      </c>
      <c r="BX41" s="115">
        <f>$CP$7</f>
        <v>11905.715030577378</v>
      </c>
      <c r="BY41" s="116">
        <f>$CP$8</f>
        <v>41477.384054506212</v>
      </c>
      <c r="BZ41" s="116">
        <f>$CP$9</f>
        <v>15078</v>
      </c>
      <c r="CA41" s="123">
        <f>$CP$10</f>
        <v>10405</v>
      </c>
      <c r="CB41" s="115">
        <f>$CP$11</f>
        <v>13721.441343938621</v>
      </c>
      <c r="CC41" s="116">
        <f>$CP$12</f>
        <v>24285.768195728695</v>
      </c>
      <c r="CD41" s="116">
        <f>$CP$13</f>
        <v>12501.828987365367</v>
      </c>
      <c r="CE41" s="123">
        <f>$CP$14</f>
        <v>10405</v>
      </c>
      <c r="CF41" s="100">
        <f si="9" t="shared"/>
        <v>2.1257864496803322E-2</v>
      </c>
      <c r="CG41" s="100">
        <f si="10" t="shared"/>
        <v>3.7624587429631297E-2</v>
      </c>
      <c r="CH41" s="100">
        <f si="11" t="shared"/>
        <v>1.9368387031222487E-2</v>
      </c>
      <c r="CI41" s="121">
        <f si="12" t="shared"/>
        <v>1.6119886719258347E-2</v>
      </c>
      <c r="CJ41" s="126">
        <f si="13" t="shared"/>
        <v>-3.2485003119641399E-3</v>
      </c>
      <c r="CK41" s="122">
        <f si="14" t="shared"/>
        <v>-0.16772177810818478</v>
      </c>
      <c r="CL41" s="21">
        <f si="15" t="shared"/>
        <v>-2.150470071037295E-2</v>
      </c>
    </row>
    <row ht="15.75" r="42" spans="1:90" thickBot="1" x14ac:dyDescent="0.3">
      <c r="A42" s="95">
        <v>9</v>
      </c>
      <c r="B42" s="77">
        <f ref="B42:W42" si="45" t="shared">IF($W15&gt;0,(B15/$W15)*$BS15,0)</f>
        <v>8389.8952194730191</v>
      </c>
      <c r="C42" s="77">
        <f si="45" t="shared"/>
        <v>4730.392129793202</v>
      </c>
      <c r="D42" s="77">
        <f si="45" t="shared"/>
        <v>1356.3486026247867</v>
      </c>
      <c r="E42" s="77">
        <f si="45" t="shared"/>
        <v>2093.6247232643232</v>
      </c>
      <c r="F42" s="77">
        <f si="45" t="shared"/>
        <v>1153.1204224681524</v>
      </c>
      <c r="G42" s="77">
        <f si="45" t="shared"/>
        <v>4486.4771842189266</v>
      </c>
      <c r="H42" s="77">
        <f si="45" t="shared"/>
        <v>5473.1522161397506</v>
      </c>
      <c r="I42" s="77">
        <f si="45" t="shared"/>
        <v>0</v>
      </c>
      <c r="J42" s="77">
        <f si="45" t="shared"/>
        <v>18933.77195195658</v>
      </c>
      <c r="K42" s="77">
        <f si="45" t="shared"/>
        <v>118.51043997637969</v>
      </c>
      <c r="L42" s="77">
        <f si="45" t="shared"/>
        <v>898.83060002395894</v>
      </c>
      <c r="M42" s="77">
        <f si="45" t="shared"/>
        <v>6786.4753007094605</v>
      </c>
      <c r="N42" s="77">
        <f si="45" t="shared"/>
        <v>50.765339795601115</v>
      </c>
      <c r="O42" s="77">
        <f si="45" t="shared"/>
        <v>0</v>
      </c>
      <c r="P42" s="77">
        <f si="45" t="shared"/>
        <v>2204.0767697590254</v>
      </c>
      <c r="Q42" s="77">
        <f si="45" t="shared"/>
        <v>0</v>
      </c>
      <c r="R42" s="77">
        <f si="45" t="shared"/>
        <v>181.53599432694384</v>
      </c>
      <c r="S42" s="77">
        <f si="45" t="shared"/>
        <v>366.91174013558907</v>
      </c>
      <c r="T42" s="77">
        <f si="45" t="shared"/>
        <v>170.11136533430133</v>
      </c>
      <c r="U42" s="77">
        <f si="45" t="shared"/>
        <v>0</v>
      </c>
      <c r="V42" s="77">
        <f si="45" t="shared"/>
        <v>0</v>
      </c>
      <c r="W42" s="77">
        <f si="45" t="shared"/>
        <v>57394</v>
      </c>
      <c r="X42" s="15"/>
      <c r="Y42" s="95">
        <v>9</v>
      </c>
      <c r="Z42" s="77">
        <f ref="Z42:AT42" si="46" t="shared">IF($AU15&gt;0,(Z15/$AU15)*$BS15,0)</f>
        <v>5189.2833573392691</v>
      </c>
      <c r="AA42" s="77">
        <f si="46" t="shared"/>
        <v>4372.9388175985332</v>
      </c>
      <c r="AB42" s="77">
        <f si="46" t="shared"/>
        <v>2071.3920714940423</v>
      </c>
      <c r="AC42" s="77">
        <f si="46" t="shared"/>
        <v>1557.5365326698966</v>
      </c>
      <c r="AD42" s="77">
        <f si="46" t="shared"/>
        <v>1167.68269608485</v>
      </c>
      <c r="AE42" s="77">
        <f si="46" t="shared"/>
        <v>9101.912825716905</v>
      </c>
      <c r="AF42" s="77">
        <f si="46" t="shared"/>
        <v>5174.2528479769544</v>
      </c>
      <c r="AG42" s="77">
        <f si="46" t="shared"/>
        <v>297.79196674086683</v>
      </c>
      <c r="AH42" s="77">
        <f si="46" t="shared"/>
        <v>9016.4268037187376</v>
      </c>
      <c r="AI42" s="77">
        <f si="46" t="shared"/>
        <v>848.2843721356553</v>
      </c>
      <c r="AJ42" s="77">
        <f si="46" t="shared"/>
        <v>2975.1014469032343</v>
      </c>
      <c r="AK42" s="77">
        <f si="46" t="shared"/>
        <v>8566.4509296844317</v>
      </c>
      <c r="AL42" s="77">
        <f si="46" t="shared"/>
        <v>1911.6929095194448</v>
      </c>
      <c r="AM42" s="77">
        <f si="46" t="shared"/>
        <v>265.85213434594738</v>
      </c>
      <c r="AN42" s="77">
        <f si="46" t="shared"/>
        <v>3231.5595128977347</v>
      </c>
      <c r="AO42" s="77">
        <f si="46" t="shared"/>
        <v>124.00170223909912</v>
      </c>
      <c r="AP42" s="77">
        <f si="46" t="shared"/>
        <v>271.48857535681549</v>
      </c>
      <c r="AQ42" s="77">
        <f si="46" t="shared"/>
        <v>253.6398454890664</v>
      </c>
      <c r="AR42" s="77">
        <f si="46" t="shared"/>
        <v>809.76869189472302</v>
      </c>
      <c r="AS42" s="77">
        <f si="46" t="shared"/>
        <v>186.94196019379339</v>
      </c>
      <c r="AT42" s="77">
        <f si="46" t="shared"/>
        <v>0</v>
      </c>
      <c r="AU42" s="77">
        <f si="24" t="shared"/>
        <v>57393.999999999993</v>
      </c>
      <c r="AW42" s="95">
        <v>9</v>
      </c>
      <c r="AX42" s="15">
        <f ref="AX42:BR42" si="47" t="shared">AX15</f>
        <v>11030</v>
      </c>
      <c r="AY42" s="15">
        <f si="47" t="shared"/>
        <v>5241</v>
      </c>
      <c r="AZ42" s="15">
        <f si="47" t="shared"/>
        <v>2007</v>
      </c>
      <c r="BA42" s="15">
        <f si="47" t="shared"/>
        <v>959</v>
      </c>
      <c r="BB42" s="15">
        <f si="47" t="shared"/>
        <v>2425</v>
      </c>
      <c r="BC42" s="15">
        <f si="47" t="shared"/>
        <v>9225</v>
      </c>
      <c r="BD42" s="15">
        <f si="47" t="shared"/>
        <v>4742</v>
      </c>
      <c r="BE42" s="15">
        <f si="47" t="shared"/>
        <v>78</v>
      </c>
      <c r="BF42" s="15">
        <f si="47" t="shared"/>
        <v>7545</v>
      </c>
      <c r="BG42" s="15">
        <f si="47" t="shared"/>
        <v>365</v>
      </c>
      <c r="BH42" s="15">
        <f si="47" t="shared"/>
        <v>1920</v>
      </c>
      <c r="BI42" s="15">
        <f si="47" t="shared"/>
        <v>5227</v>
      </c>
      <c r="BJ42" s="15">
        <f si="47" t="shared"/>
        <v>3088</v>
      </c>
      <c r="BK42" s="15">
        <f si="47" t="shared"/>
        <v>127</v>
      </c>
      <c r="BL42" s="15">
        <f si="47" t="shared"/>
        <v>2754</v>
      </c>
      <c r="BM42" s="15">
        <f si="47" t="shared"/>
        <v>35</v>
      </c>
      <c r="BN42" s="15">
        <f si="47" t="shared"/>
        <v>119</v>
      </c>
      <c r="BO42" s="15">
        <f si="47" t="shared"/>
        <v>79</v>
      </c>
      <c r="BP42" s="15">
        <f si="47" t="shared"/>
        <v>423</v>
      </c>
      <c r="BQ42" s="15">
        <f si="47" t="shared"/>
        <v>5</v>
      </c>
      <c r="BR42" s="15">
        <f si="47" t="shared"/>
        <v>0</v>
      </c>
      <c r="BS42" s="15">
        <f si="26" t="shared"/>
        <v>57394</v>
      </c>
      <c r="BV42" s="109"/>
      <c r="BW42" s="110" t="s">
        <v>218</v>
      </c>
      <c r="BX42" s="117">
        <f ref="BX42:CE42" si="48" t="shared">SUM(BX22:BX41)</f>
        <v>560061.6671711175</v>
      </c>
      <c r="BY42" s="111">
        <f si="48" t="shared"/>
        <v>1102401.03315633</v>
      </c>
      <c r="BZ42" s="111">
        <f si="48" t="shared"/>
        <v>696114</v>
      </c>
      <c r="CA42" s="124">
        <f si="48" t="shared"/>
        <v>645476</v>
      </c>
      <c r="CB42" s="117">
        <f si="48" t="shared"/>
        <v>645476</v>
      </c>
      <c r="CC42" s="111">
        <f si="48" t="shared"/>
        <v>645476.00000000012</v>
      </c>
      <c r="CD42" s="111">
        <f si="48" t="shared"/>
        <v>645476</v>
      </c>
      <c r="CE42" s="124">
        <f si="48" t="shared"/>
        <v>645476</v>
      </c>
      <c r="CF42" s="130">
        <f si="9" t="shared"/>
        <v>1</v>
      </c>
      <c r="CG42" s="130">
        <f si="10" t="shared"/>
        <v>1</v>
      </c>
      <c r="CH42" s="130">
        <f si="11" t="shared"/>
        <v>1</v>
      </c>
      <c r="CI42" s="131">
        <f si="12" t="shared"/>
        <v>1</v>
      </c>
      <c r="CJ42" s="119">
        <f si="13" t="shared"/>
        <v>0</v>
      </c>
      <c r="CK42" s="137">
        <f si="14" t="shared"/>
        <v>0</v>
      </c>
    </row>
    <row r="43" spans="1:90" x14ac:dyDescent="0.25">
      <c r="A43" s="95">
        <v>10</v>
      </c>
      <c r="B43" s="77">
        <f ref="B43:W43" si="49" t="shared">IF($W16&gt;0,(B16/$W16)*$BS16,0)</f>
        <v>3883.1731522623031</v>
      </c>
      <c r="C43" s="77">
        <f si="49" t="shared"/>
        <v>328.54552248447447</v>
      </c>
      <c r="D43" s="77">
        <f si="49" t="shared"/>
        <v>540.59946102166884</v>
      </c>
      <c r="E43" s="77">
        <f si="49" t="shared"/>
        <v>807.02734408902552</v>
      </c>
      <c r="F43" s="77">
        <f si="49" t="shared"/>
        <v>2379.0327601237973</v>
      </c>
      <c r="G43" s="77">
        <f si="49" t="shared"/>
        <v>7193.9933417612538</v>
      </c>
      <c r="H43" s="77">
        <f si="49" t="shared"/>
        <v>963.1036904421909</v>
      </c>
      <c r="I43" s="77">
        <f si="49" t="shared"/>
        <v>602.28263745891252</v>
      </c>
      <c r="J43" s="77">
        <f si="49" t="shared"/>
        <v>278.74293011244555</v>
      </c>
      <c r="K43" s="77">
        <f si="49" t="shared"/>
        <v>2544.6005975668299</v>
      </c>
      <c r="L43" s="77">
        <f si="49" t="shared"/>
        <v>435.2170531745158</v>
      </c>
      <c r="M43" s="77">
        <f si="49" t="shared"/>
        <v>4132.888674512822</v>
      </c>
      <c r="N43" s="77">
        <f si="49" t="shared"/>
        <v>178.70950616691877</v>
      </c>
      <c r="O43" s="77">
        <f si="49" t="shared"/>
        <v>87.982964384379514</v>
      </c>
      <c r="P43" s="77">
        <f si="49" t="shared"/>
        <v>0</v>
      </c>
      <c r="Q43" s="77">
        <f si="49" t="shared"/>
        <v>240.03425043027701</v>
      </c>
      <c r="R43" s="77">
        <f si="49" t="shared"/>
        <v>0</v>
      </c>
      <c r="S43" s="77">
        <f si="49" t="shared"/>
        <v>26.066114008185753</v>
      </c>
      <c r="T43" s="77">
        <f si="49" t="shared"/>
        <v>0</v>
      </c>
      <c r="U43" s="77">
        <f si="49" t="shared"/>
        <v>0</v>
      </c>
      <c r="V43" s="77">
        <f si="49" t="shared"/>
        <v>0</v>
      </c>
      <c r="W43" s="77">
        <f si="49" t="shared"/>
        <v>24622</v>
      </c>
      <c r="Y43" s="95">
        <v>10</v>
      </c>
      <c r="Z43" s="77">
        <f ref="Z43:AT43" si="50" t="shared">IF($AU16&gt;0,(Z16/$AU16)*$BS16,0)</f>
        <v>2660.7859905993928</v>
      </c>
      <c r="AA43" s="77">
        <f si="50" t="shared"/>
        <v>952.47535460255392</v>
      </c>
      <c r="AB43" s="77">
        <f si="50" t="shared"/>
        <v>493.64851711659253</v>
      </c>
      <c r="AC43" s="77">
        <f si="50" t="shared"/>
        <v>739.44860862692906</v>
      </c>
      <c r="AD43" s="77">
        <f si="50" t="shared"/>
        <v>1223.8796223118838</v>
      </c>
      <c r="AE43" s="77">
        <f si="50" t="shared"/>
        <v>6417.4307225157027</v>
      </c>
      <c r="AF43" s="77">
        <f si="50" t="shared"/>
        <v>994.4662035689031</v>
      </c>
      <c r="AG43" s="77">
        <f si="50" t="shared"/>
        <v>212.00257892766527</v>
      </c>
      <c r="AH43" s="77">
        <f si="50" t="shared"/>
        <v>926.87117840356052</v>
      </c>
      <c r="AI43" s="77">
        <f si="50" t="shared"/>
        <v>1942.8448899796181</v>
      </c>
      <c r="AJ43" s="77">
        <f si="50" t="shared"/>
        <v>695.40942556466041</v>
      </c>
      <c r="AK43" s="77">
        <f si="50" t="shared"/>
        <v>5794.7371573561832</v>
      </c>
      <c r="AL43" s="77">
        <f si="50" t="shared"/>
        <v>426.05349195125001</v>
      </c>
      <c r="AM43" s="77">
        <f si="50" t="shared"/>
        <v>137.23838442660454</v>
      </c>
      <c r="AN43" s="77">
        <f si="50" t="shared"/>
        <v>149.52838900212137</v>
      </c>
      <c r="AO43" s="77">
        <f si="50" t="shared"/>
        <v>409.66681918389418</v>
      </c>
      <c r="AP43" s="77">
        <f si="50" t="shared"/>
        <v>57.353354685745181</v>
      </c>
      <c r="AQ43" s="77">
        <f si="50" t="shared"/>
        <v>136.2142173786448</v>
      </c>
      <c r="AR43" s="77">
        <f si="50" t="shared"/>
        <v>175.13256520111477</v>
      </c>
      <c r="AS43" s="77">
        <f si="50" t="shared"/>
        <v>76.812528596980158</v>
      </c>
      <c r="AT43" s="77">
        <f si="50" t="shared"/>
        <v>0</v>
      </c>
      <c r="AU43" s="77">
        <f si="24" t="shared"/>
        <v>24621.999999999996</v>
      </c>
      <c r="AW43" s="95">
        <v>10</v>
      </c>
      <c r="AX43" s="15">
        <f ref="AX43:BR43" si="51" t="shared">AX16</f>
        <v>5261</v>
      </c>
      <c r="AY43" s="15">
        <f si="51" t="shared"/>
        <v>1379</v>
      </c>
      <c r="AZ43" s="15">
        <f si="51" t="shared"/>
        <v>697</v>
      </c>
      <c r="BA43" s="15">
        <f si="51" t="shared"/>
        <v>809</v>
      </c>
      <c r="BB43" s="15">
        <f si="51" t="shared"/>
        <v>2359</v>
      </c>
      <c r="BC43" s="15">
        <f si="51" t="shared"/>
        <v>6038</v>
      </c>
      <c r="BD43" s="15">
        <f si="51" t="shared"/>
        <v>659</v>
      </c>
      <c r="BE43" s="15">
        <f si="51" t="shared"/>
        <v>99</v>
      </c>
      <c r="BF43" s="15">
        <f si="51" t="shared"/>
        <v>413</v>
      </c>
      <c r="BG43" s="15">
        <f si="51" t="shared"/>
        <v>1254</v>
      </c>
      <c r="BH43" s="15">
        <f si="51" t="shared"/>
        <v>302</v>
      </c>
      <c r="BI43" s="15">
        <f si="51" t="shared"/>
        <v>4566</v>
      </c>
      <c r="BJ43" s="15">
        <f si="51" t="shared"/>
        <v>377</v>
      </c>
      <c r="BK43" s="15">
        <f si="51" t="shared"/>
        <v>50</v>
      </c>
      <c r="BL43" s="15">
        <f si="51" t="shared"/>
        <v>84</v>
      </c>
      <c r="BM43" s="15">
        <f si="51" t="shared"/>
        <v>153</v>
      </c>
      <c r="BN43" s="15">
        <f si="51" t="shared"/>
        <v>24</v>
      </c>
      <c r="BO43" s="15">
        <f si="51" t="shared"/>
        <v>71</v>
      </c>
      <c r="BP43" s="15">
        <f si="51" t="shared"/>
        <v>18</v>
      </c>
      <c r="BQ43" s="15">
        <f si="51" t="shared"/>
        <v>9</v>
      </c>
      <c r="BR43" s="15">
        <f si="51" t="shared"/>
        <v>0</v>
      </c>
      <c r="BS43" s="15">
        <f si="26" t="shared"/>
        <v>24622</v>
      </c>
    </row>
    <row customFormat="1" r="44" s="95" spans="1:90" x14ac:dyDescent="0.25">
      <c r="A44" s="95">
        <v>11</v>
      </c>
      <c r="B44" s="77">
        <f ref="B44:W44" si="52" t="shared">IF($W17&gt;0,(B17/$W17)*$BS17,0)</f>
        <v>6244.1240069610176</v>
      </c>
      <c r="C44" s="77">
        <f si="52" t="shared"/>
        <v>1738.5803096635755</v>
      </c>
      <c r="D44" s="77">
        <f si="52" t="shared"/>
        <v>4910.697101303107</v>
      </c>
      <c r="E44" s="77">
        <f si="52" t="shared"/>
        <v>2239.1995547504716</v>
      </c>
      <c r="F44" s="77">
        <f si="52" t="shared"/>
        <v>2513.3047010472856</v>
      </c>
      <c r="G44" s="77">
        <f si="52" t="shared"/>
        <v>4952.5114793830962</v>
      </c>
      <c r="H44" s="77">
        <f si="52" t="shared"/>
        <v>2642.6525267503775</v>
      </c>
      <c r="I44" s="77">
        <f si="52" t="shared"/>
        <v>584.09976680337945</v>
      </c>
      <c r="J44" s="77">
        <f si="52" t="shared"/>
        <v>2839.173499961943</v>
      </c>
      <c r="K44" s="77">
        <f si="52" t="shared"/>
        <v>188.43629307794447</v>
      </c>
      <c r="L44" s="77">
        <f si="52" t="shared"/>
        <v>13003.640821821115</v>
      </c>
      <c r="M44" s="77">
        <f si="52" t="shared"/>
        <v>3165.2671170535546</v>
      </c>
      <c r="N44" s="77">
        <f si="52" t="shared"/>
        <v>46.056136197205262</v>
      </c>
      <c r="O44" s="77">
        <f si="52" t="shared"/>
        <v>206.19744008410379</v>
      </c>
      <c r="P44" s="77">
        <f si="52" t="shared"/>
        <v>0</v>
      </c>
      <c r="Q44" s="77">
        <f si="52" t="shared"/>
        <v>769.44454871700589</v>
      </c>
      <c r="R44" s="77">
        <f si="52" t="shared"/>
        <v>1020.4235497661396</v>
      </c>
      <c r="S44" s="77">
        <f si="52" t="shared"/>
        <v>1190.8754531629334</v>
      </c>
      <c r="T44" s="77">
        <f si="52" t="shared"/>
        <v>1929.3156934957428</v>
      </c>
      <c r="U44" s="77">
        <f si="52" t="shared"/>
        <v>0</v>
      </c>
      <c r="V44" s="77">
        <f si="52" t="shared"/>
        <v>0</v>
      </c>
      <c r="W44" s="77">
        <f si="52" t="shared"/>
        <v>50184</v>
      </c>
      <c r="Y44" s="95">
        <v>11</v>
      </c>
      <c r="Z44" s="77">
        <f ref="Z44:AT44" si="53" t="shared">IF($AU17&gt;0,(Z17/$AU17)*$BS17,0)</f>
        <v>4354.4727272727278</v>
      </c>
      <c r="AA44" s="77">
        <f si="53" t="shared"/>
        <v>3094.3090909090911</v>
      </c>
      <c r="AB44" s="77">
        <f si="53" t="shared"/>
        <v>2418.3272727272724</v>
      </c>
      <c r="AC44" s="77">
        <f si="53" t="shared"/>
        <v>1838.7818181818184</v>
      </c>
      <c r="AD44" s="77">
        <f si="53" t="shared"/>
        <v>1356.6</v>
      </c>
      <c r="AE44" s="77">
        <f si="53" t="shared"/>
        <v>7688.0181818181818</v>
      </c>
      <c r="AF44" s="77">
        <f si="53" t="shared"/>
        <v>2604.7090909090907</v>
      </c>
      <c r="AG44" s="77">
        <f si="53" t="shared"/>
        <v>473.83636363636361</v>
      </c>
      <c r="AH44" s="77">
        <f si="53" t="shared"/>
        <v>3596.8909090909087</v>
      </c>
      <c r="AI44" s="77">
        <f si="53" t="shared"/>
        <v>794.67272727272723</v>
      </c>
      <c r="AJ44" s="77">
        <f si="53" t="shared"/>
        <v>9631.5818181818177</v>
      </c>
      <c r="AK44" s="77">
        <f si="53" t="shared"/>
        <v>5555.2909090909088</v>
      </c>
      <c r="AL44" s="77">
        <f si="53" t="shared"/>
        <v>991.25454545454545</v>
      </c>
      <c r="AM44" s="77">
        <f si="53" t="shared"/>
        <v>572.12727272727273</v>
      </c>
      <c r="AN44" s="77">
        <f si="53" t="shared"/>
        <v>906.87272727272727</v>
      </c>
      <c r="AO44" s="77">
        <f si="53" t="shared"/>
        <v>115.90909090909092</v>
      </c>
      <c r="AP44" s="77">
        <f si="53" t="shared"/>
        <v>707.5090909090909</v>
      </c>
      <c r="AQ44" s="77">
        <f si="53" t="shared"/>
        <v>205.85454545454544</v>
      </c>
      <c r="AR44" s="77">
        <f si="53" t="shared"/>
        <v>3110.0727272727272</v>
      </c>
      <c r="AS44" s="77">
        <f si="53" t="shared"/>
        <v>166.90909090909091</v>
      </c>
      <c r="AT44" s="77">
        <f si="53" t="shared"/>
        <v>0</v>
      </c>
      <c r="AU44" s="77">
        <f si="24" t="shared"/>
        <v>50184</v>
      </c>
      <c r="AW44" s="95">
        <v>11</v>
      </c>
      <c r="AX44" s="15">
        <f ref="AX44:BR44" si="54" t="shared">AX17</f>
        <v>10943</v>
      </c>
      <c r="AY44" s="15">
        <f si="54" t="shared"/>
        <v>3117</v>
      </c>
      <c r="AZ44" s="15">
        <f si="54" t="shared"/>
        <v>3328</v>
      </c>
      <c r="BA44" s="15">
        <f si="54" t="shared"/>
        <v>1727</v>
      </c>
      <c r="BB44" s="15">
        <f si="54" t="shared"/>
        <v>2920</v>
      </c>
      <c r="BC44" s="15">
        <f si="54" t="shared"/>
        <v>8202</v>
      </c>
      <c r="BD44" s="15">
        <f si="54" t="shared"/>
        <v>1472</v>
      </c>
      <c r="BE44" s="15">
        <f si="54" t="shared"/>
        <v>205</v>
      </c>
      <c r="BF44" s="15">
        <f si="54" t="shared"/>
        <v>2737</v>
      </c>
      <c r="BG44" s="15">
        <f si="54" t="shared"/>
        <v>470</v>
      </c>
      <c r="BH44" s="15">
        <f si="54" t="shared"/>
        <v>8102</v>
      </c>
      <c r="BI44" s="15">
        <f si="54" t="shared"/>
        <v>3236</v>
      </c>
      <c r="BJ44" s="15">
        <f si="54" t="shared"/>
        <v>738</v>
      </c>
      <c r="BK44" s="15">
        <f si="54" t="shared"/>
        <v>470</v>
      </c>
      <c r="BL44" s="15">
        <f si="54" t="shared"/>
        <v>766</v>
      </c>
      <c r="BM44" s="15">
        <f si="54" t="shared"/>
        <v>31</v>
      </c>
      <c r="BN44" s="15">
        <f si="54" t="shared"/>
        <v>400</v>
      </c>
      <c r="BO44" s="15">
        <f si="54" t="shared"/>
        <v>53</v>
      </c>
      <c r="BP44" s="15">
        <f si="54" t="shared"/>
        <v>1262</v>
      </c>
      <c r="BQ44" s="15">
        <f si="54" t="shared"/>
        <v>5</v>
      </c>
      <c r="BR44" s="15">
        <f si="54" t="shared"/>
        <v>0</v>
      </c>
      <c r="BS44" s="15">
        <f si="26" t="shared"/>
        <v>50184</v>
      </c>
    </row>
    <row customFormat="1" r="45" s="95" spans="1:90" x14ac:dyDescent="0.25">
      <c r="A45" s="95">
        <v>12</v>
      </c>
      <c r="B45" s="77">
        <f ref="B45:W45" si="55" t="shared">IF($W18&gt;0,(B18/$W18)*$BS18,0)</f>
        <v>12795.503701676775</v>
      </c>
      <c r="C45" s="77">
        <f si="55" t="shared"/>
        <v>1836.344402370941</v>
      </c>
      <c r="D45" s="77">
        <f si="55" t="shared"/>
        <v>1581.6984055880612</v>
      </c>
      <c r="E45" s="77">
        <f si="55" t="shared"/>
        <v>4204.6737592092522</v>
      </c>
      <c r="F45" s="77">
        <f si="55" t="shared"/>
        <v>2141.8862176821631</v>
      </c>
      <c r="G45" s="77">
        <f si="55" t="shared"/>
        <v>20513.830171967715</v>
      </c>
      <c r="H45" s="77">
        <f si="55" t="shared"/>
        <v>7069.6366579810701</v>
      </c>
      <c r="I45" s="77">
        <f si="55" t="shared"/>
        <v>91.31812667526134</v>
      </c>
      <c r="J45" s="77">
        <f si="55" t="shared"/>
        <v>3563.9843840299286</v>
      </c>
      <c r="K45" s="77">
        <f si="55" t="shared"/>
        <v>2153.5561722704397</v>
      </c>
      <c r="L45" s="77">
        <f si="55" t="shared"/>
        <v>581.70747525017987</v>
      </c>
      <c r="M45" s="77">
        <f si="55" t="shared"/>
        <v>44033.85943413632</v>
      </c>
      <c r="N45" s="77">
        <f si="55" t="shared"/>
        <v>1090.0506024105682</v>
      </c>
      <c r="O45" s="77">
        <f si="55" t="shared"/>
        <v>36.696476362131101</v>
      </c>
      <c r="P45" s="77">
        <f si="55" t="shared"/>
        <v>0</v>
      </c>
      <c r="Q45" s="77">
        <f si="55" t="shared"/>
        <v>368.01991930893803</v>
      </c>
      <c r="R45" s="77">
        <f si="55" t="shared"/>
        <v>0</v>
      </c>
      <c r="S45" s="77">
        <f si="55" t="shared"/>
        <v>951.68066245469959</v>
      </c>
      <c r="T45" s="77">
        <f si="55" t="shared"/>
        <v>0</v>
      </c>
      <c r="U45" s="77">
        <f si="55" t="shared"/>
        <v>692.5534306255737</v>
      </c>
      <c r="V45" s="77">
        <f si="55" t="shared"/>
        <v>0</v>
      </c>
      <c r="W45" s="77">
        <f si="55" t="shared"/>
        <v>103707</v>
      </c>
      <c r="Y45" s="95">
        <v>12</v>
      </c>
      <c r="Z45" s="77">
        <f ref="Z45:AT45" si="56" t="shared">IF($AU18&gt;0,(Z18/$AU18)*$BS18,0)</f>
        <v>8033.326988064774</v>
      </c>
      <c r="AA45" s="77">
        <f si="56" t="shared"/>
        <v>4246.0858320473508</v>
      </c>
      <c r="AB45" s="77">
        <f si="56" t="shared"/>
        <v>1749.2820209794309</v>
      </c>
      <c r="AC45" s="77">
        <f si="56" t="shared"/>
        <v>1909.3205614048793</v>
      </c>
      <c r="AD45" s="77">
        <f si="56" t="shared"/>
        <v>2172.675121598656</v>
      </c>
      <c r="AE45" s="77">
        <f si="56" t="shared"/>
        <v>18387.212812298556</v>
      </c>
      <c r="AF45" s="77">
        <f si="56" t="shared"/>
        <v>7205.7859277635616</v>
      </c>
      <c r="AG45" s="77">
        <f si="56" t="shared"/>
        <v>302.857744222843</v>
      </c>
      <c r="AH45" s="77">
        <f si="56" t="shared"/>
        <v>4025.2731623464147</v>
      </c>
      <c r="AI45" s="77">
        <f si="56" t="shared"/>
        <v>1901.217344168148</v>
      </c>
      <c r="AJ45" s="77">
        <f si="56" t="shared"/>
        <v>2060.2429824390051</v>
      </c>
      <c r="AK45" s="77">
        <f si="56" t="shared"/>
        <v>44691.268864883874</v>
      </c>
      <c r="AL45" s="77">
        <f si="56" t="shared"/>
        <v>2681.1520032035628</v>
      </c>
      <c r="AM45" s="77">
        <f si="56" t="shared"/>
        <v>220.81266970093566</v>
      </c>
      <c r="AN45" s="77">
        <f si="56" t="shared"/>
        <v>744.48308362471425</v>
      </c>
      <c r="AO45" s="77">
        <f si="56" t="shared"/>
        <v>423.39310061922532</v>
      </c>
      <c r="AP45" s="77">
        <f si="56" t="shared"/>
        <v>150.92242103412576</v>
      </c>
      <c r="AQ45" s="77">
        <f si="56" t="shared"/>
        <v>1608.4886214912196</v>
      </c>
      <c r="AR45" s="77">
        <f si="56" t="shared"/>
        <v>436.56082862891412</v>
      </c>
      <c r="AS45" s="77">
        <f si="56" t="shared"/>
        <v>756.6379094798117</v>
      </c>
      <c r="AT45" s="77">
        <f si="56" t="shared"/>
        <v>0</v>
      </c>
      <c r="AU45" s="77">
        <f si="24" t="shared"/>
        <v>103707</v>
      </c>
      <c r="AW45" s="95">
        <v>12</v>
      </c>
      <c r="AX45" s="15">
        <f ref="AX45:BR45" si="57" t="shared">AX18</f>
        <v>18849</v>
      </c>
      <c r="AY45" s="15">
        <f si="57" t="shared"/>
        <v>6809</v>
      </c>
      <c r="AZ45" s="15">
        <f si="57" t="shared"/>
        <v>2451</v>
      </c>
      <c r="BA45" s="15">
        <f si="57" t="shared"/>
        <v>1718</v>
      </c>
      <c r="BB45" s="15">
        <f si="57" t="shared"/>
        <v>4896</v>
      </c>
      <c r="BC45" s="15">
        <f si="57" t="shared"/>
        <v>20075</v>
      </c>
      <c r="BD45" s="15">
        <f si="57" t="shared"/>
        <v>7195</v>
      </c>
      <c r="BE45" s="15">
        <f si="57" t="shared"/>
        <v>172</v>
      </c>
      <c r="BF45" s="15">
        <f si="57" t="shared"/>
        <v>2605</v>
      </c>
      <c r="BG45" s="15">
        <f si="57" t="shared"/>
        <v>1326</v>
      </c>
      <c r="BH45" s="15">
        <f si="57" t="shared"/>
        <v>882</v>
      </c>
      <c r="BI45" s="15">
        <f si="57" t="shared"/>
        <v>27487</v>
      </c>
      <c r="BJ45" s="15">
        <f si="57" t="shared"/>
        <v>6691</v>
      </c>
      <c r="BK45" s="15">
        <f si="57" t="shared"/>
        <v>117</v>
      </c>
      <c r="BL45" s="15">
        <f si="57" t="shared"/>
        <v>503</v>
      </c>
      <c r="BM45" s="15">
        <f si="57" t="shared"/>
        <v>261</v>
      </c>
      <c r="BN45" s="15">
        <f si="57" t="shared"/>
        <v>47</v>
      </c>
      <c r="BO45" s="15">
        <f si="57" t="shared"/>
        <v>1351</v>
      </c>
      <c r="BP45" s="15">
        <f si="57" t="shared"/>
        <v>102</v>
      </c>
      <c r="BQ45" s="15">
        <f si="57" t="shared"/>
        <v>170</v>
      </c>
      <c r="BR45" s="15">
        <f si="57" t="shared"/>
        <v>0</v>
      </c>
      <c r="BS45" s="15">
        <f si="26" t="shared"/>
        <v>103707</v>
      </c>
    </row>
    <row customFormat="1" r="46" s="95" spans="1:90" x14ac:dyDescent="0.25">
      <c r="A46" s="95">
        <v>13</v>
      </c>
      <c r="B46" s="77">
        <f ref="B46:W46" si="58" t="shared">IF($W19&gt;0,(B19/$W19)*$BS19,0)</f>
        <v>4001.602112867361</v>
      </c>
      <c r="C46" s="77">
        <f si="58" t="shared"/>
        <v>620.50477549685047</v>
      </c>
      <c r="D46" s="77">
        <f si="58" t="shared"/>
        <v>269.46161262523532</v>
      </c>
      <c r="E46" s="77">
        <f si="58" t="shared"/>
        <v>1005.3989178977555</v>
      </c>
      <c r="F46" s="77">
        <f si="58" t="shared"/>
        <v>837.61050515403906</v>
      </c>
      <c r="G46" s="77">
        <f si="58" t="shared"/>
        <v>2244.1102630743562</v>
      </c>
      <c r="H46" s="77">
        <f si="58" t="shared"/>
        <v>16422.635569114755</v>
      </c>
      <c r="I46" s="77">
        <f si="58" t="shared"/>
        <v>659.89015821199007</v>
      </c>
      <c r="J46" s="77">
        <f si="58" t="shared"/>
        <v>975.53772949282393</v>
      </c>
      <c r="K46" s="77">
        <f si="58" t="shared"/>
        <v>297.51384059907463</v>
      </c>
      <c r="L46" s="77">
        <f si="58" t="shared"/>
        <v>920.86135315709498</v>
      </c>
      <c r="M46" s="77">
        <f si="58" t="shared"/>
        <v>4491.75784305245</v>
      </c>
      <c r="N46" s="77">
        <f si="58" t="shared"/>
        <v>35594.201295858358</v>
      </c>
      <c r="O46" s="77">
        <f si="58" t="shared"/>
        <v>105.09075894044081</v>
      </c>
      <c r="P46" s="77">
        <f si="58" t="shared"/>
        <v>1509.4473309456007</v>
      </c>
      <c r="Q46" s="77">
        <f si="58" t="shared"/>
        <v>0</v>
      </c>
      <c r="R46" s="77">
        <f si="58" t="shared"/>
        <v>0</v>
      </c>
      <c r="S46" s="77">
        <f si="58" t="shared"/>
        <v>1689.3759335118104</v>
      </c>
      <c r="T46" s="77">
        <f si="58" t="shared"/>
        <v>0</v>
      </c>
      <c r="U46" s="77">
        <f si="58" t="shared"/>
        <v>0</v>
      </c>
      <c r="V46" s="77">
        <f si="58" t="shared"/>
        <v>0</v>
      </c>
      <c r="W46" s="77">
        <f si="58" t="shared"/>
        <v>71645</v>
      </c>
      <c r="Y46" s="95">
        <v>13</v>
      </c>
      <c r="Z46" s="77">
        <f ref="Z46:AT46" si="59" t="shared">IF($AU19&gt;0,(Z19/$AU19)*$BS19,0)</f>
        <v>2358.4639685679017</v>
      </c>
      <c r="AA46" s="77">
        <f si="59" t="shared"/>
        <v>2184.4321515324477</v>
      </c>
      <c r="AB46" s="77">
        <f si="59" t="shared"/>
        <v>865.40411749870589</v>
      </c>
      <c r="AC46" s="77">
        <f si="59" t="shared"/>
        <v>960.5034710699922</v>
      </c>
      <c r="AD46" s="77">
        <f si="59" t="shared"/>
        <v>578.20406971342106</v>
      </c>
      <c r="AE46" s="77">
        <f si="59" t="shared"/>
        <v>4479.1795532075867</v>
      </c>
      <c r="AF46" s="77">
        <f si="59" t="shared"/>
        <v>12762.333249266629</v>
      </c>
      <c r="AG46" s="77">
        <f si="59" t="shared"/>
        <v>150.25697864263242</v>
      </c>
      <c r="AH46" s="77">
        <f si="59" t="shared"/>
        <v>2676.0958094959983</v>
      </c>
      <c r="AI46" s="77">
        <f si="59" t="shared"/>
        <v>700.8822358203804</v>
      </c>
      <c r="AJ46" s="77">
        <f si="59" t="shared"/>
        <v>1219.173712783891</v>
      </c>
      <c r="AK46" s="77">
        <f si="59" t="shared"/>
        <v>9939.7844352708507</v>
      </c>
      <c r="AL46" s="77">
        <f si="59" t="shared"/>
        <v>28375.745118600422</v>
      </c>
      <c r="AM46" s="77">
        <f si="59" t="shared"/>
        <v>169.27684935688973</v>
      </c>
      <c r="AN46" s="77">
        <f si="59" t="shared"/>
        <v>1976.1645672113304</v>
      </c>
      <c r="AO46" s="77">
        <f si="59" t="shared"/>
        <v>151.2079721783453</v>
      </c>
      <c r="AP46" s="77">
        <f si="59" t="shared"/>
        <v>178.78678471401835</v>
      </c>
      <c r="AQ46" s="77">
        <f si="59" t="shared"/>
        <v>1278.1353119980886</v>
      </c>
      <c r="AR46" s="77">
        <f si="59" t="shared"/>
        <v>338.55369871377945</v>
      </c>
      <c r="AS46" s="77">
        <f si="59" t="shared"/>
        <v>302.4159443566906</v>
      </c>
      <c r="AT46" s="77">
        <f si="59" t="shared"/>
        <v>0</v>
      </c>
      <c r="AU46" s="77">
        <f si="24" t="shared"/>
        <v>71645</v>
      </c>
      <c r="AW46" s="95">
        <v>13</v>
      </c>
      <c r="AX46" s="15">
        <f ref="AX46:BR46" si="60" t="shared">AX19</f>
        <v>3996</v>
      </c>
      <c r="AY46" s="15">
        <f si="60" t="shared"/>
        <v>1626</v>
      </c>
      <c r="AZ46" s="15">
        <f si="60" t="shared"/>
        <v>631</v>
      </c>
      <c r="BA46" s="15">
        <f si="60" t="shared"/>
        <v>364</v>
      </c>
      <c r="BB46" s="15">
        <f si="60" t="shared"/>
        <v>881</v>
      </c>
      <c r="BC46" s="15">
        <f si="60" t="shared"/>
        <v>3515</v>
      </c>
      <c r="BD46" s="15">
        <f si="60" t="shared"/>
        <v>7137</v>
      </c>
      <c r="BE46" s="15">
        <f si="60" t="shared"/>
        <v>30</v>
      </c>
      <c r="BF46" s="15">
        <f si="60" t="shared"/>
        <v>936</v>
      </c>
      <c r="BG46" s="15">
        <f si="60" t="shared"/>
        <v>160</v>
      </c>
      <c r="BH46" s="15">
        <f si="60" t="shared"/>
        <v>208</v>
      </c>
      <c r="BI46" s="15">
        <f si="60" t="shared"/>
        <v>5606</v>
      </c>
      <c r="BJ46" s="15">
        <f si="60" t="shared"/>
        <v>43339</v>
      </c>
      <c r="BK46" s="15">
        <f si="60" t="shared"/>
        <v>34</v>
      </c>
      <c r="BL46" s="15">
        <f si="60" t="shared"/>
        <v>1854</v>
      </c>
      <c r="BM46" s="15">
        <f si="60" t="shared"/>
        <v>19</v>
      </c>
      <c r="BN46" s="15">
        <f si="60" t="shared"/>
        <v>19</v>
      </c>
      <c r="BO46" s="15">
        <f si="60" t="shared"/>
        <v>1118</v>
      </c>
      <c r="BP46" s="15">
        <f si="60" t="shared"/>
        <v>117</v>
      </c>
      <c r="BQ46" s="15">
        <f si="60" t="shared"/>
        <v>55</v>
      </c>
      <c r="BR46" s="15">
        <f si="60" t="shared"/>
        <v>0</v>
      </c>
      <c r="BS46" s="15">
        <f si="26" t="shared"/>
        <v>71645</v>
      </c>
    </row>
    <row customFormat="1" r="47" s="95" spans="1:90" x14ac:dyDescent="0.25">
      <c r="A47" s="95">
        <v>14</v>
      </c>
      <c r="B47" s="77">
        <f ref="B47:W47" si="61" t="shared">IF($W20&gt;0,(B20/$W20)*$BS20,0)</f>
        <v>3037.3664444780156</v>
      </c>
      <c r="C47" s="77">
        <f si="61" t="shared"/>
        <v>900.83269781465879</v>
      </c>
      <c r="D47" s="77">
        <f si="61" t="shared"/>
        <v>71.418041706976297</v>
      </c>
      <c r="E47" s="77">
        <f si="61" t="shared"/>
        <v>87.179775082079956</v>
      </c>
      <c r="F47" s="77">
        <f si="61" t="shared"/>
        <v>341.44402405805408</v>
      </c>
      <c r="G47" s="77">
        <f si="61" t="shared"/>
        <v>1387.14715551931</v>
      </c>
      <c r="H47" s="77">
        <f si="61" t="shared"/>
        <v>489.90063456892142</v>
      </c>
      <c r="I47" s="77">
        <f si="61" t="shared"/>
        <v>47.994441545937526</v>
      </c>
      <c r="J47" s="77">
        <f si="61" t="shared"/>
        <v>594.36881445877793</v>
      </c>
      <c r="K47" s="77">
        <f si="61" t="shared"/>
        <v>264.64134419518388</v>
      </c>
      <c r="L47" s="77">
        <f si="61" t="shared"/>
        <v>1540.9613237475769</v>
      </c>
      <c r="M47" s="77">
        <f si="61" t="shared"/>
        <v>1010.8190648933939</v>
      </c>
      <c r="N47" s="77">
        <f si="61" t="shared"/>
        <v>0</v>
      </c>
      <c r="O47" s="77">
        <f si="61" t="shared"/>
        <v>8779.3983281755027</v>
      </c>
      <c r="P47" s="77">
        <f si="61" t="shared"/>
        <v>0</v>
      </c>
      <c r="Q47" s="77">
        <f si="61" t="shared"/>
        <v>0</v>
      </c>
      <c r="R47" s="77">
        <f si="61" t="shared"/>
        <v>765.86703864179924</v>
      </c>
      <c r="S47" s="77">
        <f si="61" t="shared"/>
        <v>0</v>
      </c>
      <c r="T47" s="77">
        <f si="61" t="shared"/>
        <v>42.660871113811858</v>
      </c>
      <c r="U47" s="77">
        <f si="61" t="shared"/>
        <v>0</v>
      </c>
      <c r="V47" s="77">
        <f si="61" t="shared"/>
        <v>0</v>
      </c>
      <c r="W47" s="77">
        <f si="61" t="shared"/>
        <v>19362</v>
      </c>
      <c r="Y47" s="95">
        <v>14</v>
      </c>
      <c r="Z47" s="77">
        <f ref="Z47:AT47" si="62" t="shared">IF($AU20&gt;0,(Z20/$AU20)*$BS20,0)</f>
        <v>1107.7513499614297</v>
      </c>
      <c r="AA47" s="77">
        <f si="62" t="shared"/>
        <v>1015.6461815376704</v>
      </c>
      <c r="AB47" s="77">
        <f si="62" t="shared"/>
        <v>579.18385188994603</v>
      </c>
      <c r="AC47" s="77">
        <f si="62" t="shared"/>
        <v>584.16250964258165</v>
      </c>
      <c r="AD47" s="77">
        <f si="62" t="shared"/>
        <v>403.27127796348674</v>
      </c>
      <c r="AE47" s="77">
        <f si="62" t="shared"/>
        <v>1940.8467472357931</v>
      </c>
      <c r="AF47" s="77">
        <f si="62" t="shared"/>
        <v>758.41553098482893</v>
      </c>
      <c r="AG47" s="77">
        <f si="62" t="shared"/>
        <v>269.67729493443045</v>
      </c>
      <c r="AH47" s="77">
        <f si="62" t="shared"/>
        <v>664.65080997685777</v>
      </c>
      <c r="AI47" s="77">
        <f si="62" t="shared"/>
        <v>282.95371560812549</v>
      </c>
      <c r="AJ47" s="77">
        <f si="62" t="shared"/>
        <v>1866.1668809462587</v>
      </c>
      <c r="AK47" s="77">
        <f si="62" t="shared"/>
        <v>1661.2121367960915</v>
      </c>
      <c r="AL47" s="77">
        <f si="62" t="shared"/>
        <v>370.91000257135511</v>
      </c>
      <c r="AM47" s="77">
        <f si="62" t="shared"/>
        <v>5846.6037541784526</v>
      </c>
      <c r="AN47" s="77">
        <f si="62" t="shared"/>
        <v>198.31653381331961</v>
      </c>
      <c r="AO47" s="77">
        <f si="62" t="shared"/>
        <v>61.403445615839544</v>
      </c>
      <c r="AP47" s="77">
        <f si="62" t="shared"/>
        <v>1009.0079712008229</v>
      </c>
      <c r="AQ47" s="77">
        <f si="62" t="shared"/>
        <v>112.01979943430187</v>
      </c>
      <c r="AR47" s="77">
        <f si="62" t="shared"/>
        <v>494.54667009514014</v>
      </c>
      <c r="AS47" s="77">
        <f si="62" t="shared"/>
        <v>135.25353561326818</v>
      </c>
      <c r="AT47" s="77">
        <f si="62" t="shared"/>
        <v>0</v>
      </c>
      <c r="AU47" s="77">
        <f si="24" t="shared"/>
        <v>19362.000000000004</v>
      </c>
      <c r="AW47" s="95">
        <v>14</v>
      </c>
      <c r="AX47" s="15">
        <f ref="AX47:BR47" si="63" t="shared">AX20</f>
        <v>3584</v>
      </c>
      <c r="AY47" s="15">
        <f si="63" t="shared"/>
        <v>958</v>
      </c>
      <c r="AZ47" s="15">
        <f si="63" t="shared"/>
        <v>860</v>
      </c>
      <c r="BA47" s="15">
        <f si="63" t="shared"/>
        <v>618</v>
      </c>
      <c r="BB47" s="15">
        <f si="63" t="shared"/>
        <v>1032</v>
      </c>
      <c r="BC47" s="15">
        <f si="63" t="shared"/>
        <v>2787</v>
      </c>
      <c r="BD47" s="15">
        <f si="63" t="shared"/>
        <v>419</v>
      </c>
      <c r="BE47" s="15">
        <f si="63" t="shared"/>
        <v>131</v>
      </c>
      <c r="BF47" s="15">
        <f si="63" t="shared"/>
        <v>501</v>
      </c>
      <c r="BG47" s="15">
        <f si="63" t="shared"/>
        <v>200</v>
      </c>
      <c r="BH47" s="15">
        <f si="63" t="shared"/>
        <v>1571</v>
      </c>
      <c r="BI47" s="15">
        <f si="63" t="shared"/>
        <v>1030</v>
      </c>
      <c r="BJ47" s="15">
        <f si="63" t="shared"/>
        <v>232</v>
      </c>
      <c r="BK47" s="15">
        <f si="63" t="shared"/>
        <v>4343</v>
      </c>
      <c r="BL47" s="15">
        <f si="63" t="shared"/>
        <v>103</v>
      </c>
      <c r="BM47" s="15">
        <f si="63" t="shared"/>
        <v>17</v>
      </c>
      <c r="BN47" s="15">
        <f si="63" t="shared"/>
        <v>607</v>
      </c>
      <c r="BO47" s="15">
        <f si="63" t="shared"/>
        <v>24</v>
      </c>
      <c r="BP47" s="15">
        <f si="63" t="shared"/>
        <v>344</v>
      </c>
      <c r="BQ47" s="15">
        <f si="63" t="shared"/>
        <v>1</v>
      </c>
      <c r="BR47" s="15">
        <f si="63" t="shared"/>
        <v>0</v>
      </c>
      <c r="BS47" s="15">
        <f si="26" t="shared"/>
        <v>19362</v>
      </c>
    </row>
    <row customFormat="1" r="48" s="95" spans="1:90" x14ac:dyDescent="0.25">
      <c r="A48" s="95">
        <v>15</v>
      </c>
      <c r="B48" s="77">
        <f ref="B48:W48" si="64" t="shared">IF($W21&gt;0,(B21/$W21)*$BS21,0)</f>
        <v>1575.1896388028929</v>
      </c>
      <c r="C48" s="77">
        <f si="64" t="shared"/>
        <v>2069.6929838738097</v>
      </c>
      <c r="D48" s="77">
        <f si="64" t="shared"/>
        <v>759.4082844981541</v>
      </c>
      <c r="E48" s="77">
        <f si="64" t="shared"/>
        <v>463.12070140540482</v>
      </c>
      <c r="F48" s="77">
        <f si="64" t="shared"/>
        <v>278.5858564580858</v>
      </c>
      <c r="G48" s="77">
        <f si="64" t="shared"/>
        <v>1114.1847611314461</v>
      </c>
      <c r="H48" s="77">
        <f si="64" t="shared"/>
        <v>2021.0563379787545</v>
      </c>
      <c r="I48" s="77">
        <f si="64" t="shared"/>
        <v>0</v>
      </c>
      <c r="J48" s="77">
        <f si="64" t="shared"/>
        <v>3711.5101554166768</v>
      </c>
      <c r="K48" s="77">
        <f si="64" t="shared"/>
        <v>330.70763285798233</v>
      </c>
      <c r="L48" s="77">
        <f si="64" t="shared"/>
        <v>568.30269530878377</v>
      </c>
      <c r="M48" s="77">
        <f si="64" t="shared"/>
        <v>859.6469801960576</v>
      </c>
      <c r="N48" s="77">
        <f si="64" t="shared"/>
        <v>3637.9328646127215</v>
      </c>
      <c r="O48" s="77">
        <f si="64" t="shared"/>
        <v>0</v>
      </c>
      <c r="P48" s="77">
        <f si="64" t="shared"/>
        <v>11244.590674005642</v>
      </c>
      <c r="Q48" s="77">
        <f si="64" t="shared"/>
        <v>0</v>
      </c>
      <c r="R48" s="77">
        <f si="64" t="shared"/>
        <v>0</v>
      </c>
      <c r="S48" s="77">
        <f si="64" t="shared"/>
        <v>0</v>
      </c>
      <c r="T48" s="77">
        <f si="64" t="shared"/>
        <v>71.070433453590837</v>
      </c>
      <c r="U48" s="77">
        <f si="64" t="shared"/>
        <v>0</v>
      </c>
      <c r="V48" s="77">
        <f si="64" t="shared"/>
        <v>0</v>
      </c>
      <c r="W48" s="77">
        <f si="64" t="shared"/>
        <v>28705</v>
      </c>
      <c r="Y48" s="95">
        <v>15</v>
      </c>
      <c r="Z48" s="77">
        <f ref="Z48:AT48" si="65" t="shared">IF($AU21&gt;0,(Z21/$AU21)*$BS21,0)</f>
        <v>1124.5274894159948</v>
      </c>
      <c r="AA48" s="77">
        <f si="65" t="shared"/>
        <v>1313.4747433741229</v>
      </c>
      <c r="AB48" s="77">
        <f si="65" t="shared"/>
        <v>412.02154497477233</v>
      </c>
      <c r="AC48" s="77">
        <f si="65" t="shared"/>
        <v>407.85971118714838</v>
      </c>
      <c r="AD48" s="77">
        <f si="65" t="shared"/>
        <v>289.66363161862785</v>
      </c>
      <c r="AE48" s="77">
        <f si="65" t="shared"/>
        <v>2035.136722148118</v>
      </c>
      <c r="AF48" s="77">
        <f si="65" t="shared"/>
        <v>2946.5783216377658</v>
      </c>
      <c r="AG48" s="77">
        <f si="65" t="shared"/>
        <v>99.051644145450325</v>
      </c>
      <c r="AH48" s="77">
        <f si="65" t="shared"/>
        <v>2894.139215913704</v>
      </c>
      <c r="AI48" s="77">
        <f si="65" t="shared"/>
        <v>292.99309864872703</v>
      </c>
      <c r="AJ48" s="77">
        <f si="65" t="shared"/>
        <v>943.90390303311494</v>
      </c>
      <c r="AK48" s="77">
        <f si="65" t="shared"/>
        <v>2751.8045003769644</v>
      </c>
      <c r="AL48" s="77">
        <f si="65" t="shared"/>
        <v>2583.6664153569563</v>
      </c>
      <c r="AM48" s="77">
        <f si="65" t="shared"/>
        <v>148.99364959693787</v>
      </c>
      <c r="AN48" s="77">
        <f si="65" t="shared"/>
        <v>9287.5482804616368</v>
      </c>
      <c r="AO48" s="77">
        <f si="65" t="shared"/>
        <v>57.433306269210696</v>
      </c>
      <c r="AP48" s="77">
        <f si="65" t="shared"/>
        <v>139.00524850664038</v>
      </c>
      <c r="AQ48" s="77">
        <f si="65" t="shared"/>
        <v>152.32311662703705</v>
      </c>
      <c r="AR48" s="77">
        <f si="65" t="shared"/>
        <v>709.17647741112341</v>
      </c>
      <c r="AS48" s="77">
        <f si="65" t="shared"/>
        <v>115.69897929594617</v>
      </c>
      <c r="AT48" s="77">
        <f si="65" t="shared"/>
        <v>0</v>
      </c>
      <c r="AU48" s="77">
        <f si="24" t="shared"/>
        <v>28705.000000000004</v>
      </c>
      <c r="AW48" s="95">
        <v>15</v>
      </c>
      <c r="AX48" s="15">
        <f ref="AX48:BR48" si="66" t="shared">AX21</f>
        <v>2436</v>
      </c>
      <c r="AY48" s="15">
        <f si="66" t="shared"/>
        <v>1070</v>
      </c>
      <c r="AZ48" s="15">
        <f si="66" t="shared"/>
        <v>365</v>
      </c>
      <c r="BA48" s="15">
        <f si="66" t="shared"/>
        <v>222</v>
      </c>
      <c r="BB48" s="15">
        <f si="66" t="shared"/>
        <v>536</v>
      </c>
      <c r="BC48" s="15">
        <f si="66" t="shared"/>
        <v>1938</v>
      </c>
      <c r="BD48" s="15">
        <f si="66" t="shared"/>
        <v>1556</v>
      </c>
      <c r="BE48" s="15">
        <f si="66" t="shared"/>
        <v>20</v>
      </c>
      <c r="BF48" s="15">
        <f si="66" t="shared"/>
        <v>1698</v>
      </c>
      <c r="BG48" s="15">
        <f si="66" t="shared"/>
        <v>83</v>
      </c>
      <c r="BH48" s="15">
        <f si="66" t="shared"/>
        <v>436</v>
      </c>
      <c r="BI48" s="15">
        <f si="66" t="shared"/>
        <v>1211</v>
      </c>
      <c r="BJ48" s="15">
        <f si="66" t="shared"/>
        <v>6668</v>
      </c>
      <c r="BK48" s="15">
        <f si="66" t="shared"/>
        <v>30</v>
      </c>
      <c r="BL48" s="15">
        <f si="66" t="shared"/>
        <v>9575</v>
      </c>
      <c r="BM48" s="15">
        <f si="66" t="shared"/>
        <v>4</v>
      </c>
      <c r="BN48" s="15">
        <f si="66" t="shared"/>
        <v>54</v>
      </c>
      <c r="BO48" s="15">
        <f si="66" t="shared"/>
        <v>80</v>
      </c>
      <c r="BP48" s="15">
        <f si="66" t="shared"/>
        <v>719</v>
      </c>
      <c r="BQ48" s="15">
        <f si="66" t="shared"/>
        <v>4</v>
      </c>
      <c r="BR48" s="15">
        <f si="66" t="shared"/>
        <v>0</v>
      </c>
      <c r="BS48" s="15">
        <f si="26" t="shared"/>
        <v>28705</v>
      </c>
    </row>
    <row customFormat="1" r="49" s="95" spans="1:71" x14ac:dyDescent="0.25">
      <c r="A49" s="95">
        <v>16</v>
      </c>
      <c r="B49" s="77">
        <f ref="B49:W49" si="67" t="shared">IF($W22&gt;0,(B22/$W22)*$BS22,0)</f>
        <v>392.24704619187145</v>
      </c>
      <c r="C49" s="77">
        <f si="67" t="shared"/>
        <v>356.14493565788581</v>
      </c>
      <c r="D49" s="77">
        <f si="67" t="shared"/>
        <v>723.26978780195884</v>
      </c>
      <c r="E49" s="77">
        <f si="67" t="shared"/>
        <v>417.80588206790122</v>
      </c>
      <c r="F49" s="77">
        <f si="67" t="shared"/>
        <v>762.26005979677973</v>
      </c>
      <c r="G49" s="77">
        <f si="67" t="shared"/>
        <v>4038.3383950577081</v>
      </c>
      <c r="H49" s="77">
        <f si="67" t="shared"/>
        <v>515.29104617697249</v>
      </c>
      <c r="I49" s="77">
        <f si="67" t="shared"/>
        <v>1057.8590684038018</v>
      </c>
      <c r="J49" s="77">
        <f si="67" t="shared"/>
        <v>653.17002690536935</v>
      </c>
      <c r="K49" s="77">
        <f si="67" t="shared"/>
        <v>356.14493565788581</v>
      </c>
      <c r="L49" s="77">
        <f si="67" t="shared"/>
        <v>0</v>
      </c>
      <c r="M49" s="77">
        <f si="67" t="shared"/>
        <v>3977.3531410484729</v>
      </c>
      <c r="N49" s="77">
        <f si="67" t="shared"/>
        <v>0</v>
      </c>
      <c r="O49" s="77">
        <f si="67" t="shared"/>
        <v>0</v>
      </c>
      <c r="P49" s="77">
        <f si="67" t="shared"/>
        <v>0</v>
      </c>
      <c r="Q49" s="77">
        <f si="67" t="shared"/>
        <v>141.11567523339431</v>
      </c>
      <c r="R49" s="77">
        <f si="67" t="shared"/>
        <v>0</v>
      </c>
      <c r="S49" s="77">
        <f si="67" t="shared"/>
        <v>0</v>
      </c>
      <c r="T49" s="77">
        <f si="67" t="shared"/>
        <v>0</v>
      </c>
      <c r="U49" s="77">
        <f si="67" t="shared"/>
        <v>0</v>
      </c>
      <c r="V49" s="77">
        <f si="67" t="shared"/>
        <v>0</v>
      </c>
      <c r="W49" s="77">
        <f si="67" t="shared"/>
        <v>13391</v>
      </c>
      <c r="Y49" s="95">
        <v>16</v>
      </c>
      <c r="Z49" s="77">
        <f ref="Z49:AT49" si="68" t="shared">IF($AU22&gt;0,(Z22/$AU22)*$BS22,0)</f>
        <v>1007.8878061289909</v>
      </c>
      <c r="AA49" s="77">
        <f si="68" t="shared"/>
        <v>576.05853314527508</v>
      </c>
      <c r="AB49" s="77">
        <f si="68" t="shared"/>
        <v>238.66508526734196</v>
      </c>
      <c r="AC49" s="77">
        <f si="68" t="shared"/>
        <v>336.53494037697141</v>
      </c>
      <c r="AD49" s="77">
        <f si="68" t="shared"/>
        <v>464.452558020259</v>
      </c>
      <c r="AE49" s="77">
        <f si="68" t="shared"/>
        <v>2749.7995255802025</v>
      </c>
      <c r="AF49" s="77">
        <f si="68" t="shared"/>
        <v>512.52897807411205</v>
      </c>
      <c r="AG49" s="77">
        <f si="68" t="shared"/>
        <v>77.265675086549564</v>
      </c>
      <c r="AH49" s="77">
        <f si="68" t="shared"/>
        <v>408.649570457751</v>
      </c>
      <c r="AI49" s="77">
        <f si="68" t="shared"/>
        <v>800.98749839723041</v>
      </c>
      <c r="AJ49" s="77">
        <f si="68" t="shared"/>
        <v>260.12777279138351</v>
      </c>
      <c r="AK49" s="77">
        <f si="68" t="shared"/>
        <v>4245.3195922554169</v>
      </c>
      <c r="AL49" s="77">
        <f si="68" t="shared"/>
        <v>333.9594178740864</v>
      </c>
      <c r="AM49" s="77">
        <f si="68" t="shared"/>
        <v>48.93492755481472</v>
      </c>
      <c r="AN49" s="77">
        <f si="68" t="shared"/>
        <v>91.860302602897804</v>
      </c>
      <c r="AO49" s="77">
        <f si="68" t="shared"/>
        <v>764.07167585587899</v>
      </c>
      <c r="AP49" s="77">
        <f si="68" t="shared"/>
        <v>25.755225028849853</v>
      </c>
      <c r="AQ49" s="77">
        <f si="68" t="shared"/>
        <v>258.41075778946015</v>
      </c>
      <c r="AR49" s="77">
        <f si="68" t="shared"/>
        <v>73.831645082702906</v>
      </c>
      <c r="AS49" s="77">
        <f si="68" t="shared"/>
        <v>115.89851262982432</v>
      </c>
      <c r="AT49" s="77">
        <f si="68" t="shared"/>
        <v>0</v>
      </c>
      <c r="AU49" s="77">
        <f si="24" t="shared"/>
        <v>13390.999999999998</v>
      </c>
      <c r="AW49" s="95">
        <v>16</v>
      </c>
      <c r="AX49" s="15">
        <f ref="AX49:BR49" si="69" t="shared">AX22</f>
        <v>2230</v>
      </c>
      <c r="AY49" s="15">
        <f si="69" t="shared"/>
        <v>580</v>
      </c>
      <c r="AZ49" s="15">
        <f si="69" t="shared"/>
        <v>294</v>
      </c>
      <c r="BA49" s="15">
        <f si="69" t="shared"/>
        <v>367</v>
      </c>
      <c r="BB49" s="15">
        <f si="69" t="shared"/>
        <v>1050</v>
      </c>
      <c r="BC49" s="15">
        <f si="69" t="shared"/>
        <v>2717</v>
      </c>
      <c r="BD49" s="15">
        <f si="69" t="shared"/>
        <v>288</v>
      </c>
      <c r="BE49" s="15">
        <f si="69" t="shared"/>
        <v>56</v>
      </c>
      <c r="BF49" s="15">
        <f si="69" t="shared"/>
        <v>189</v>
      </c>
      <c r="BG49" s="15">
        <f si="69" t="shared"/>
        <v>544</v>
      </c>
      <c r="BH49" s="15">
        <f si="69" t="shared"/>
        <v>133</v>
      </c>
      <c r="BI49" s="15">
        <f si="69" t="shared"/>
        <v>3870</v>
      </c>
      <c r="BJ49" s="15">
        <f si="69" t="shared"/>
        <v>274</v>
      </c>
      <c r="BK49" s="15">
        <f si="69" t="shared"/>
        <v>19</v>
      </c>
      <c r="BL49" s="15">
        <f si="69" t="shared"/>
        <v>34</v>
      </c>
      <c r="BM49" s="15">
        <f si="69" t="shared"/>
        <v>458</v>
      </c>
      <c r="BN49" s="15">
        <f si="69" t="shared"/>
        <v>15</v>
      </c>
      <c r="BO49" s="15">
        <f si="69" t="shared"/>
        <v>196</v>
      </c>
      <c r="BP49" s="15">
        <f si="69" t="shared"/>
        <v>10</v>
      </c>
      <c r="BQ49" s="15">
        <f si="69" t="shared"/>
        <v>67</v>
      </c>
      <c r="BR49" s="15">
        <f si="69" t="shared"/>
        <v>0</v>
      </c>
      <c r="BS49" s="15">
        <f si="26" t="shared"/>
        <v>13391</v>
      </c>
    </row>
    <row customFormat="1" r="50" s="95" spans="1:71" x14ac:dyDescent="0.25">
      <c r="A50" s="95">
        <v>17</v>
      </c>
      <c r="B50" s="77">
        <f ref="B50:W50" si="70" t="shared">IF($W23&gt;0,(B23/$W23)*$BS23,0)</f>
        <v>1269.9309407394901</v>
      </c>
      <c r="C50" s="77">
        <f si="70" t="shared"/>
        <v>1286.2149407018571</v>
      </c>
      <c r="D50" s="77">
        <f si="70" t="shared"/>
        <v>462.34740768843869</v>
      </c>
      <c r="E50" s="77">
        <f si="70" t="shared"/>
        <v>997.3044866910974</v>
      </c>
      <c r="F50" s="77">
        <f si="70" t="shared"/>
        <v>416.6415173290265</v>
      </c>
      <c r="G50" s="77">
        <f si="70" t="shared"/>
        <v>549.75673534146711</v>
      </c>
      <c r="H50" s="77">
        <f si="70" t="shared"/>
        <v>1065.4839266364131</v>
      </c>
      <c r="I50" s="77">
        <f si="70" t="shared"/>
        <v>0</v>
      </c>
      <c r="J50" s="77">
        <f si="70" t="shared"/>
        <v>325.59036873461127</v>
      </c>
      <c r="K50" s="77">
        <f si="70" t="shared"/>
        <v>0</v>
      </c>
      <c r="L50" s="77">
        <f si="70" t="shared"/>
        <v>4581.6406303273661</v>
      </c>
      <c r="M50" s="77">
        <f si="70" t="shared"/>
        <v>874.86992452055165</v>
      </c>
      <c r="N50" s="77">
        <f si="70" t="shared"/>
        <v>0</v>
      </c>
      <c r="O50" s="77">
        <f si="70" t="shared"/>
        <v>797.84969636557446</v>
      </c>
      <c r="P50" s="77">
        <f si="70" t="shared"/>
        <v>77.450852903890762</v>
      </c>
      <c r="Q50" s="77">
        <f si="70" t="shared"/>
        <v>0</v>
      </c>
      <c r="R50" s="77">
        <f si="70" t="shared"/>
        <v>3798.5305423142472</v>
      </c>
      <c r="S50" s="77">
        <f si="70" t="shared"/>
        <v>0</v>
      </c>
      <c r="T50" s="77">
        <f si="70" t="shared"/>
        <v>783.38802970597214</v>
      </c>
      <c r="U50" s="77">
        <f si="70" t="shared"/>
        <v>0</v>
      </c>
      <c r="V50" s="77">
        <f si="70" t="shared"/>
        <v>0</v>
      </c>
      <c r="W50" s="77">
        <f si="70" t="shared"/>
        <v>17287</v>
      </c>
      <c r="Y50" s="95">
        <v>17</v>
      </c>
      <c r="Z50" s="77">
        <f ref="Z50:AT50" si="71" t="shared">IF($AU23&gt;0,(Z23/$AU23)*$BS23,0)</f>
        <v>949.23243436876305</v>
      </c>
      <c r="AA50" s="77">
        <f si="71" t="shared"/>
        <v>882.88347576889612</v>
      </c>
      <c r="AB50" s="77">
        <f si="71" t="shared"/>
        <v>478.59715470037355</v>
      </c>
      <c r="AC50" s="77">
        <f si="71" t="shared"/>
        <v>507.79069648431499</v>
      </c>
      <c r="AD50" s="77">
        <f si="71" t="shared"/>
        <v>301.66659843406171</v>
      </c>
      <c r="AE50" s="77">
        <f si="71" t="shared"/>
        <v>1686.148201217952</v>
      </c>
      <c r="AF50" s="77">
        <f si="71" t="shared"/>
        <v>697.10639168926866</v>
      </c>
      <c r="AG50" s="77">
        <f si="71" t="shared"/>
        <v>180.46916739163808</v>
      </c>
      <c r="AH50" s="77">
        <f si="71" t="shared"/>
        <v>702.41430837725818</v>
      </c>
      <c r="AI50" s="77">
        <f si="71" t="shared"/>
        <v>220.27854255155825</v>
      </c>
      <c r="AJ50" s="77">
        <f si="71" t="shared"/>
        <v>2873.3522337649047</v>
      </c>
      <c r="AK50" s="77">
        <f si="71" t="shared"/>
        <v>1349.9801443119595</v>
      </c>
      <c r="AL50" s="77">
        <f si="71" t="shared"/>
        <v>298.12798730873544</v>
      </c>
      <c r="AM50" s="77">
        <f si="71" t="shared"/>
        <v>1335.8256998106547</v>
      </c>
      <c r="AN50" s="77">
        <f si="71" t="shared"/>
        <v>268.934445524794</v>
      </c>
      <c r="AO50" s="77">
        <f si="71" t="shared"/>
        <v>61.925694693209145</v>
      </c>
      <c r="AP50" s="77">
        <f si="71" t="shared"/>
        <v>2515.0678573256232</v>
      </c>
      <c r="AQ50" s="77">
        <f si="71" t="shared"/>
        <v>76.964791975845657</v>
      </c>
      <c r="AR50" s="77">
        <f si="71" t="shared"/>
        <v>1826.8079934496698</v>
      </c>
      <c r="AS50" s="77">
        <f si="71" t="shared"/>
        <v>73.426180850519415</v>
      </c>
      <c r="AT50" s="77">
        <f si="71" t="shared"/>
        <v>0</v>
      </c>
      <c r="AU50" s="77">
        <f si="24" t="shared"/>
        <v>17287</v>
      </c>
      <c r="AW50" s="95">
        <v>17</v>
      </c>
      <c r="AX50" s="15">
        <f ref="AX50:BR50" si="72" t="shared">AX23</f>
        <v>3188</v>
      </c>
      <c r="AY50" s="15">
        <f si="72" t="shared"/>
        <v>788</v>
      </c>
      <c r="AZ50" s="15">
        <f si="72" t="shared"/>
        <v>906</v>
      </c>
      <c r="BA50" s="15">
        <f si="72" t="shared"/>
        <v>492</v>
      </c>
      <c r="BB50" s="15">
        <f si="72" t="shared"/>
        <v>852</v>
      </c>
      <c r="BC50" s="15">
        <f si="72" t="shared"/>
        <v>2350</v>
      </c>
      <c r="BD50" s="15">
        <f si="72" t="shared"/>
        <v>367</v>
      </c>
      <c r="BE50" s="15">
        <f si="72" t="shared"/>
        <v>59</v>
      </c>
      <c r="BF50" s="15">
        <f si="72" t="shared"/>
        <v>549</v>
      </c>
      <c r="BG50" s="15">
        <f si="72" t="shared"/>
        <v>129</v>
      </c>
      <c r="BH50" s="15">
        <f si="72" t="shared"/>
        <v>1939</v>
      </c>
      <c r="BI50" s="15">
        <f si="72" t="shared"/>
        <v>935</v>
      </c>
      <c r="BJ50" s="15">
        <f si="72" t="shared"/>
        <v>214</v>
      </c>
      <c r="BK50" s="15">
        <f si="72" t="shared"/>
        <v>1043</v>
      </c>
      <c r="BL50" s="15">
        <f si="72" t="shared"/>
        <v>315</v>
      </c>
      <c r="BM50" s="15">
        <f si="72" t="shared"/>
        <v>9</v>
      </c>
      <c r="BN50" s="15">
        <f si="72" t="shared"/>
        <v>1729</v>
      </c>
      <c r="BO50" s="15">
        <f si="72" t="shared"/>
        <v>14</v>
      </c>
      <c r="BP50" s="15">
        <f si="72" t="shared"/>
        <v>1405</v>
      </c>
      <c r="BQ50" s="15">
        <f si="72" t="shared"/>
        <v>4</v>
      </c>
      <c r="BR50" s="15">
        <f si="72" t="shared"/>
        <v>0</v>
      </c>
      <c r="BS50" s="15">
        <f si="26" t="shared"/>
        <v>17287</v>
      </c>
    </row>
    <row customFormat="1" r="51" s="95" spans="1:71" x14ac:dyDescent="0.25">
      <c r="A51" s="95">
        <v>18</v>
      </c>
      <c r="B51" s="77">
        <f ref="B51:W51" si="73" t="shared">IF($W24&gt;0,(B24/$W24)*$BS24,0)</f>
        <v>2392.3099108150031</v>
      </c>
      <c r="C51" s="77">
        <f si="73" t="shared"/>
        <v>843.93287549021989</v>
      </c>
      <c r="D51" s="77">
        <f si="73" t="shared"/>
        <v>226.50811136850896</v>
      </c>
      <c r="E51" s="77">
        <f si="73" t="shared"/>
        <v>902.46785782604252</v>
      </c>
      <c r="F51" s="77">
        <f si="73" t="shared"/>
        <v>515.78140861226393</v>
      </c>
      <c r="G51" s="77">
        <f si="73" t="shared"/>
        <v>1982.6063210129566</v>
      </c>
      <c r="H51" s="77">
        <f si="73" t="shared"/>
        <v>2572.9367048440336</v>
      </c>
      <c r="I51" s="77">
        <f si="73" t="shared"/>
        <v>0</v>
      </c>
      <c r="J51" s="77">
        <f si="73" t="shared"/>
        <v>0</v>
      </c>
      <c r="K51" s="77">
        <f si="73" t="shared"/>
        <v>0</v>
      </c>
      <c r="L51" s="77">
        <f si="73" t="shared"/>
        <v>0</v>
      </c>
      <c r="M51" s="77">
        <f si="73" t="shared"/>
        <v>14157.44303496545</v>
      </c>
      <c r="N51" s="77">
        <f si="73" t="shared"/>
        <v>6347.2504197732069</v>
      </c>
      <c r="O51" s="77">
        <f si="73" t="shared"/>
        <v>0</v>
      </c>
      <c r="P51" s="77">
        <f si="73" t="shared"/>
        <v>0</v>
      </c>
      <c r="Q51" s="77">
        <f si="73" t="shared"/>
        <v>0</v>
      </c>
      <c r="R51" s="77">
        <f si="73" t="shared"/>
        <v>0</v>
      </c>
      <c r="S51" s="77">
        <f si="73" t="shared"/>
        <v>2522.9351452625906</v>
      </c>
      <c r="T51" s="77">
        <f si="73" t="shared"/>
        <v>0</v>
      </c>
      <c r="U51" s="77">
        <f si="73" t="shared"/>
        <v>280.82821002972656</v>
      </c>
      <c r="V51" s="77">
        <f si="73" t="shared"/>
        <v>0</v>
      </c>
      <c r="W51" s="77">
        <f si="73" t="shared"/>
        <v>32745</v>
      </c>
      <c r="Y51" s="95">
        <v>18</v>
      </c>
      <c r="Z51" s="77">
        <f ref="Z51:AT51" si="74" t="shared">IF($AU24&gt;0,(Z24/$AU24)*$BS24,0)</f>
        <v>1284.8129790069977</v>
      </c>
      <c r="AA51" s="77">
        <f si="74" t="shared"/>
        <v>917.463762079307</v>
      </c>
      <c r="AB51" s="77">
        <f si="74" t="shared"/>
        <v>315.52024325224926</v>
      </c>
      <c r="AC51" s="77">
        <f si="74" t="shared"/>
        <v>408.26682772409197</v>
      </c>
      <c r="AD51" s="77">
        <f si="74" t="shared"/>
        <v>328.2501666111296</v>
      </c>
      <c r="AE51" s="77">
        <f si="74" t="shared"/>
        <v>2766.0304898367212</v>
      </c>
      <c r="AF51" s="77">
        <f si="74" t="shared"/>
        <v>2827.8615461512827</v>
      </c>
      <c r="AG51" s="77">
        <f si="74" t="shared"/>
        <v>80.925941352882376</v>
      </c>
      <c r="AH51" s="77">
        <f si="74" t="shared"/>
        <v>956.56281239586804</v>
      </c>
      <c r="AI51" s="77">
        <f si="74" t="shared"/>
        <v>445.5473175608131</v>
      </c>
      <c r="AJ51" s="77">
        <f si="74" t="shared"/>
        <v>418.26891036321223</v>
      </c>
      <c r="AK51" s="77">
        <f si="74" t="shared"/>
        <v>13032.713678773744</v>
      </c>
      <c r="AL51" s="77">
        <f si="74" t="shared"/>
        <v>3727.139703432189</v>
      </c>
      <c r="AM51" s="77">
        <f si="74" t="shared"/>
        <v>58.193935354881702</v>
      </c>
      <c r="AN51" s="77">
        <f si="74" t="shared"/>
        <v>330.06872709096967</v>
      </c>
      <c r="AO51" s="77">
        <f si="74" t="shared"/>
        <v>152.75908030656447</v>
      </c>
      <c r="AP51" s="77">
        <f si="74" t="shared"/>
        <v>50.919693435521495</v>
      </c>
      <c r="AQ51" s="77">
        <f si="74" t="shared"/>
        <v>3158.839553482173</v>
      </c>
      <c r="AR51" s="77">
        <f si="74" t="shared"/>
        <v>120.02499166944352</v>
      </c>
      <c r="AS51" s="77">
        <f si="74" t="shared"/>
        <v>1364.82964011996</v>
      </c>
      <c r="AT51" s="77">
        <f si="74" t="shared"/>
        <v>0</v>
      </c>
      <c r="AU51" s="77">
        <f si="24" t="shared"/>
        <v>32745</v>
      </c>
      <c r="AW51" s="95">
        <v>18</v>
      </c>
      <c r="AX51" s="15">
        <f ref="AX51:BR51" si="75" t="shared">AX24</f>
        <v>2596</v>
      </c>
      <c r="AY51" s="15">
        <f si="75" t="shared"/>
        <v>887</v>
      </c>
      <c r="AZ51" s="15">
        <f si="75" t="shared"/>
        <v>345</v>
      </c>
      <c r="BA51" s="15">
        <f si="75" t="shared"/>
        <v>228</v>
      </c>
      <c r="BB51" s="15">
        <f si="75" t="shared"/>
        <v>648</v>
      </c>
      <c r="BC51" s="15">
        <f si="75" t="shared"/>
        <v>2546</v>
      </c>
      <c r="BD51" s="15">
        <f si="75" t="shared"/>
        <v>1308</v>
      </c>
      <c r="BE51" s="15">
        <f si="75" t="shared"/>
        <v>23</v>
      </c>
      <c r="BF51" s="15">
        <f si="75" t="shared"/>
        <v>334</v>
      </c>
      <c r="BG51" s="15">
        <f si="75" t="shared"/>
        <v>189</v>
      </c>
      <c r="BH51" s="15">
        <f si="75" t="shared"/>
        <v>128</v>
      </c>
      <c r="BI51" s="15">
        <f si="75" t="shared"/>
        <v>10453</v>
      </c>
      <c r="BJ51" s="15">
        <f si="75" t="shared"/>
        <v>8285</v>
      </c>
      <c r="BK51" s="15">
        <f si="75" t="shared"/>
        <v>18</v>
      </c>
      <c r="BL51" s="15">
        <f si="75" t="shared"/>
        <v>148</v>
      </c>
      <c r="BM51" s="15">
        <f si="75" t="shared"/>
        <v>73</v>
      </c>
      <c r="BN51" s="15">
        <f si="75" t="shared"/>
        <v>11</v>
      </c>
      <c r="BO51" s="15">
        <f si="75" t="shared"/>
        <v>3734</v>
      </c>
      <c r="BP51" s="15">
        <f si="75" t="shared"/>
        <v>17</v>
      </c>
      <c r="BQ51" s="15">
        <f si="75" t="shared"/>
        <v>774</v>
      </c>
      <c r="BR51" s="15">
        <f si="75" t="shared"/>
        <v>0</v>
      </c>
      <c r="BS51" s="15">
        <f si="26" t="shared"/>
        <v>32745</v>
      </c>
    </row>
    <row customFormat="1" r="52" s="95" spans="1:71" x14ac:dyDescent="0.25">
      <c r="A52" s="95">
        <v>19</v>
      </c>
      <c r="B52" s="77">
        <f ref="B52:W52" si="76" t="shared">IF($W25&gt;0,(B25/$W25)*$BS25,0)</f>
        <v>2175.5892906688</v>
      </c>
      <c r="C52" s="77">
        <f si="76" t="shared"/>
        <v>690.27437238973073</v>
      </c>
      <c r="D52" s="77">
        <f si="76" t="shared"/>
        <v>692.20787707442389</v>
      </c>
      <c r="E52" s="77">
        <f si="76" t="shared"/>
        <v>935.20133131381567</v>
      </c>
      <c r="F52" s="77">
        <f si="76" t="shared"/>
        <v>792.50859164178087</v>
      </c>
      <c r="G52" s="77">
        <f si="76" t="shared"/>
        <v>1953.8300498218359</v>
      </c>
      <c r="H52" s="77">
        <f si="76" t="shared"/>
        <v>1704.0876559464189</v>
      </c>
      <c r="I52" s="77">
        <f si="76" t="shared"/>
        <v>239.18149701130858</v>
      </c>
      <c r="J52" s="77">
        <f si="76" t="shared"/>
        <v>1976.1922497164214</v>
      </c>
      <c r="K52" s="77">
        <f si="76" t="shared"/>
        <v>0</v>
      </c>
      <c r="L52" s="77">
        <f si="76" t="shared"/>
        <v>7664.5214135105143</v>
      </c>
      <c r="M52" s="77">
        <f si="76" t="shared"/>
        <v>443.67398941308198</v>
      </c>
      <c r="N52" s="77">
        <f si="76" t="shared"/>
        <v>0</v>
      </c>
      <c r="O52" s="77">
        <f si="76" t="shared"/>
        <v>898.17632059100845</v>
      </c>
      <c r="P52" s="77">
        <f si="76" t="shared"/>
        <v>773.26063281721417</v>
      </c>
      <c r="Q52" s="77">
        <f si="76" t="shared"/>
        <v>0</v>
      </c>
      <c r="R52" s="77">
        <f si="76" t="shared"/>
        <v>2127.2824703561773</v>
      </c>
      <c r="S52" s="77">
        <f si="76" t="shared"/>
        <v>0</v>
      </c>
      <c r="T52" s="77">
        <f si="76" t="shared"/>
        <v>10524.012257727474</v>
      </c>
      <c r="U52" s="77">
        <f si="76" t="shared"/>
        <v>0</v>
      </c>
      <c r="V52" s="77">
        <f si="76" t="shared"/>
        <v>0</v>
      </c>
      <c r="W52" s="77">
        <f si="76" t="shared"/>
        <v>33590</v>
      </c>
      <c r="Y52" s="95">
        <v>19</v>
      </c>
      <c r="Z52" s="77">
        <f ref="Z52:AT52" si="77" t="shared">IF($AU25&gt;0,(Z25/$AU25)*$BS25,0)</f>
        <v>1377.7707341518415</v>
      </c>
      <c r="AA52" s="77">
        <f si="77" t="shared"/>
        <v>1254.8907541969431</v>
      </c>
      <c r="AB52" s="77">
        <f si="77" t="shared"/>
        <v>668.26509646705097</v>
      </c>
      <c r="AC52" s="77">
        <f si="77" t="shared"/>
        <v>701.9308443998998</v>
      </c>
      <c r="AD52" s="77">
        <f si="77" t="shared"/>
        <v>421.66349285893256</v>
      </c>
      <c r="AE52" s="77">
        <f si="77" t="shared"/>
        <v>2531.664244550238</v>
      </c>
      <c r="AF52" s="77">
        <f si="77" t="shared"/>
        <v>1275.9318466549737</v>
      </c>
      <c r="AG52" s="77">
        <f si="77" t="shared"/>
        <v>185.161613630669</v>
      </c>
      <c r="AH52" s="77">
        <f si="77" t="shared"/>
        <v>1541.0496116261588</v>
      </c>
      <c r="AI52" s="77">
        <f si="77" t="shared"/>
        <v>318.14131796542216</v>
      </c>
      <c r="AJ52" s="77">
        <f si="77" t="shared"/>
        <v>4975.7975444750691</v>
      </c>
      <c r="AK52" s="77">
        <f si="77" t="shared"/>
        <v>2685.685041343022</v>
      </c>
      <c r="AL52" s="77">
        <f si="77" t="shared"/>
        <v>622.81633675770479</v>
      </c>
      <c r="AM52" s="77">
        <f si="77" t="shared"/>
        <v>589.99223252317722</v>
      </c>
      <c r="AN52" s="77">
        <f si="77" t="shared"/>
        <v>1244.7910298170887</v>
      </c>
      <c r="AO52" s="77">
        <f si="77" t="shared"/>
        <v>75.74793284891004</v>
      </c>
      <c r="AP52" s="77">
        <f si="77" t="shared"/>
        <v>2567.0132798797295</v>
      </c>
      <c r="AQ52" s="77">
        <f si="77" t="shared"/>
        <v>146.44600350789275</v>
      </c>
      <c r="AR52" s="77">
        <f si="77" t="shared"/>
        <v>10294.985717865196</v>
      </c>
      <c r="AS52" s="77">
        <f si="77" t="shared"/>
        <v>110.25532448008019</v>
      </c>
      <c r="AT52" s="77">
        <f si="77" t="shared"/>
        <v>0</v>
      </c>
      <c r="AU52" s="77">
        <f si="24" t="shared"/>
        <v>33590</v>
      </c>
      <c r="AW52" s="95">
        <v>19</v>
      </c>
      <c r="AX52" s="15">
        <f ref="AX52:BR52" si="78" t="shared">AX25</f>
        <v>4599</v>
      </c>
      <c r="AY52" s="15">
        <f si="78" t="shared"/>
        <v>1187</v>
      </c>
      <c r="AZ52" s="15">
        <f si="78" t="shared"/>
        <v>1210</v>
      </c>
      <c r="BA52" s="15">
        <f si="78" t="shared"/>
        <v>688</v>
      </c>
      <c r="BB52" s="15">
        <f si="78" t="shared"/>
        <v>1196</v>
      </c>
      <c r="BC52" s="15">
        <f si="78" t="shared"/>
        <v>3553</v>
      </c>
      <c r="BD52" s="15">
        <f si="78" t="shared"/>
        <v>722</v>
      </c>
      <c r="BE52" s="15">
        <f si="78" t="shared"/>
        <v>76</v>
      </c>
      <c r="BF52" s="15">
        <f si="78" t="shared"/>
        <v>1269</v>
      </c>
      <c r="BG52" s="15">
        <f si="78" t="shared"/>
        <v>170</v>
      </c>
      <c r="BH52" s="15">
        <f si="78" t="shared"/>
        <v>3546</v>
      </c>
      <c r="BI52" s="15">
        <f si="78" t="shared"/>
        <v>1326</v>
      </c>
      <c r="BJ52" s="15">
        <f si="78" t="shared"/>
        <v>1172</v>
      </c>
      <c r="BK52" s="15">
        <f si="78" t="shared"/>
        <v>543</v>
      </c>
      <c r="BL52" s="15">
        <f si="78" t="shared"/>
        <v>2789</v>
      </c>
      <c r="BM52" s="15">
        <f si="78" t="shared"/>
        <v>12</v>
      </c>
      <c r="BN52" s="15">
        <f si="78" t="shared"/>
        <v>1449</v>
      </c>
      <c r="BO52" s="15">
        <f si="78" t="shared"/>
        <v>41</v>
      </c>
      <c r="BP52" s="15">
        <f si="78" t="shared"/>
        <v>8039</v>
      </c>
      <c r="BQ52" s="15">
        <f si="78" t="shared"/>
        <v>3</v>
      </c>
      <c r="BR52" s="15">
        <f si="78" t="shared"/>
        <v>0</v>
      </c>
      <c r="BS52" s="15">
        <f si="26" t="shared"/>
        <v>33590</v>
      </c>
    </row>
    <row customFormat="1" r="53" s="95" spans="1:71" x14ac:dyDescent="0.25">
      <c r="A53" s="95">
        <v>20</v>
      </c>
      <c r="B53" s="58">
        <f ref="B53:W53" si="79" t="shared">IF($W26&gt;0,(B26/$W26)*$BS26,0)</f>
        <v>529.38630709575671</v>
      </c>
      <c r="C53" s="58">
        <f si="79" t="shared"/>
        <v>277.93931541259934</v>
      </c>
      <c r="D53" s="58">
        <f si="79" t="shared"/>
        <v>277.93931541259934</v>
      </c>
      <c r="E53" s="58">
        <f si="79" t="shared"/>
        <v>372.32619267910695</v>
      </c>
      <c r="F53" s="58">
        <f si="79" t="shared"/>
        <v>52.862884183559217</v>
      </c>
      <c r="G53" s="58">
        <f si="79" t="shared"/>
        <v>552.62339122232959</v>
      </c>
      <c r="H53" s="58">
        <f si="79" t="shared"/>
        <v>1274.5406951855643</v>
      </c>
      <c r="I53" s="58">
        <f si="79" t="shared"/>
        <v>0</v>
      </c>
      <c r="J53" s="58">
        <f si="79" t="shared"/>
        <v>0</v>
      </c>
      <c r="K53" s="58">
        <f si="79" t="shared"/>
        <v>110.08190145540904</v>
      </c>
      <c r="L53" s="58">
        <f si="79" t="shared"/>
        <v>80.650559154261259</v>
      </c>
      <c r="M53" s="58">
        <f si="79" t="shared"/>
        <v>4557.2228659864995</v>
      </c>
      <c r="N53" s="58">
        <f si="79" t="shared"/>
        <v>37.237695184724728</v>
      </c>
      <c r="O53" s="58">
        <f si="79" t="shared"/>
        <v>0</v>
      </c>
      <c r="P53" s="58">
        <f si="79" t="shared"/>
        <v>0</v>
      </c>
      <c r="Q53" s="58">
        <f si="79" t="shared"/>
        <v>0</v>
      </c>
      <c r="R53" s="58">
        <f si="79" t="shared"/>
        <v>0</v>
      </c>
      <c r="S53" s="58">
        <f si="79" t="shared"/>
        <v>2663.8761448695682</v>
      </c>
      <c r="T53" s="58">
        <f si="79" t="shared"/>
        <v>0</v>
      </c>
      <c r="U53" s="58">
        <f si="79" t="shared"/>
        <v>11905.312732158021</v>
      </c>
      <c r="V53" s="58">
        <f si="79" t="shared"/>
        <v>0</v>
      </c>
      <c r="W53" s="77">
        <f si="79" t="shared"/>
        <v>22692</v>
      </c>
      <c r="Y53" s="95">
        <v>20</v>
      </c>
      <c r="Z53" s="58">
        <f ref="Z53:AT53" si="80" t="shared">IF($AU26&gt;0,(Z26/$AU26)*$BS26,0)</f>
        <v>578.52270827528559</v>
      </c>
      <c r="AA53" s="58">
        <f si="80" t="shared"/>
        <v>506.6025355252159</v>
      </c>
      <c r="AB53" s="58">
        <f si="80" t="shared"/>
        <v>183.35692393424353</v>
      </c>
      <c r="AC53" s="58">
        <f si="80" t="shared"/>
        <v>201.53455001393144</v>
      </c>
      <c r="AD53" s="58">
        <f si="80" t="shared"/>
        <v>164.38896628587352</v>
      </c>
      <c r="AE53" s="58">
        <f si="80" t="shared"/>
        <v>938.12357202563385</v>
      </c>
      <c r="AF53" s="58">
        <f si="80" t="shared"/>
        <v>1061.4152967400391</v>
      </c>
      <c r="AG53" s="58">
        <f si="80" t="shared"/>
        <v>67.968514906659237</v>
      </c>
      <c r="AH53" s="58">
        <f si="80" t="shared"/>
        <v>548.49010866536639</v>
      </c>
      <c r="AI53" s="58">
        <f si="80" t="shared"/>
        <v>221.29283923098359</v>
      </c>
      <c r="AJ53" s="58">
        <f si="80" t="shared"/>
        <v>226.82516021175817</v>
      </c>
      <c r="AK53" s="58">
        <f si="80" t="shared"/>
        <v>4912.7010309278348</v>
      </c>
      <c r="AL53" s="58">
        <f si="80" t="shared"/>
        <v>867.78406241292839</v>
      </c>
      <c r="AM53" s="58">
        <f si="80" t="shared"/>
        <v>91.678461967121763</v>
      </c>
      <c r="AN53" s="58">
        <f si="80" t="shared"/>
        <v>173.08261354137642</v>
      </c>
      <c r="AO53" s="58">
        <f si="80" t="shared"/>
        <v>67.17818333797716</v>
      </c>
      <c r="AP53" s="58">
        <f si="80" t="shared"/>
        <v>28.45193647255503</v>
      </c>
      <c r="AQ53" s="58">
        <f si="80" t="shared"/>
        <v>3142.3583170799661</v>
      </c>
      <c r="AR53" s="58">
        <f si="80" t="shared"/>
        <v>110.64641961549179</v>
      </c>
      <c r="AS53" s="58">
        <f si="80" t="shared"/>
        <v>8599.5977988297582</v>
      </c>
      <c r="AT53" s="58">
        <f si="80" t="shared"/>
        <v>0</v>
      </c>
      <c r="AU53" s="77">
        <f si="24" t="shared"/>
        <v>22692</v>
      </c>
      <c r="AW53" s="95">
        <v>20</v>
      </c>
      <c r="AX53" s="15">
        <f ref="AX53:BR53" si="81" t="shared">AX26</f>
        <v>1151</v>
      </c>
      <c r="AY53" s="15">
        <f si="81" t="shared"/>
        <v>417</v>
      </c>
      <c r="AZ53" s="15">
        <f si="81" t="shared"/>
        <v>158</v>
      </c>
      <c r="BA53" s="15">
        <f si="81" t="shared"/>
        <v>100</v>
      </c>
      <c r="BB53" s="15">
        <f si="81" t="shared"/>
        <v>281</v>
      </c>
      <c r="BC53" s="15">
        <f si="81" t="shared"/>
        <v>1271</v>
      </c>
      <c r="BD53" s="15">
        <f si="81" t="shared"/>
        <v>388</v>
      </c>
      <c r="BE53" s="15">
        <f si="81" t="shared"/>
        <v>11</v>
      </c>
      <c r="BF53" s="15">
        <f si="81" t="shared"/>
        <v>144</v>
      </c>
      <c r="BG53" s="15">
        <f si="81" t="shared"/>
        <v>91</v>
      </c>
      <c r="BH53" s="15">
        <f si="81" t="shared"/>
        <v>61</v>
      </c>
      <c r="BI53" s="15">
        <f si="81" t="shared"/>
        <v>5157</v>
      </c>
      <c r="BJ53" s="15">
        <f si="81" t="shared"/>
        <v>1351</v>
      </c>
      <c r="BK53" s="15">
        <f si="81" t="shared"/>
        <v>9</v>
      </c>
      <c r="BL53" s="15">
        <f si="81" t="shared"/>
        <v>46</v>
      </c>
      <c r="BM53" s="15">
        <f si="81" t="shared"/>
        <v>89</v>
      </c>
      <c r="BN53" s="15">
        <f si="81" t="shared"/>
        <v>4</v>
      </c>
      <c r="BO53" s="15">
        <f si="81" t="shared"/>
        <v>2684</v>
      </c>
      <c r="BP53" s="15">
        <f si="81" t="shared"/>
        <v>11</v>
      </c>
      <c r="BQ53" s="15">
        <f si="81" t="shared"/>
        <v>9268</v>
      </c>
      <c r="BR53" s="15">
        <f si="81" t="shared"/>
        <v>0</v>
      </c>
      <c r="BS53" s="15">
        <f si="26" t="shared"/>
        <v>22692</v>
      </c>
    </row>
    <row customFormat="1" r="54" s="95" spans="1:71" x14ac:dyDescent="0.25">
      <c r="A54" s="101" t="s">
        <v>15</v>
      </c>
      <c r="B54" s="60">
        <f ref="B54:W54" si="82" t="shared">IF($W27&gt;0,(B27/$W27)*$BS27,0)</f>
        <v>0</v>
      </c>
      <c r="C54" s="60">
        <f si="82" t="shared"/>
        <v>0</v>
      </c>
      <c r="D54" s="60">
        <f si="82" t="shared"/>
        <v>0</v>
      </c>
      <c r="E54" s="60">
        <f si="82" t="shared"/>
        <v>0</v>
      </c>
      <c r="F54" s="60">
        <f si="82" t="shared"/>
        <v>0</v>
      </c>
      <c r="G54" s="60">
        <f si="82" t="shared"/>
        <v>0</v>
      </c>
      <c r="H54" s="60">
        <f si="82" t="shared"/>
        <v>0</v>
      </c>
      <c r="I54" s="60">
        <f si="82" t="shared"/>
        <v>0</v>
      </c>
      <c r="J54" s="60">
        <f si="82" t="shared"/>
        <v>0</v>
      </c>
      <c r="K54" s="60">
        <f si="82" t="shared"/>
        <v>0</v>
      </c>
      <c r="L54" s="60">
        <f si="82" t="shared"/>
        <v>0</v>
      </c>
      <c r="M54" s="60">
        <f si="82" t="shared"/>
        <v>0</v>
      </c>
      <c r="N54" s="60">
        <f si="82" t="shared"/>
        <v>0</v>
      </c>
      <c r="O54" s="60">
        <f si="82" t="shared"/>
        <v>0</v>
      </c>
      <c r="P54" s="60">
        <f si="82" t="shared"/>
        <v>0</v>
      </c>
      <c r="Q54" s="60">
        <f si="82" t="shared"/>
        <v>0</v>
      </c>
      <c r="R54" s="60">
        <f si="82" t="shared"/>
        <v>0</v>
      </c>
      <c r="S54" s="60">
        <f si="82" t="shared"/>
        <v>0</v>
      </c>
      <c r="T54" s="60">
        <f si="82" t="shared"/>
        <v>0</v>
      </c>
      <c r="U54" s="60">
        <f si="82" t="shared"/>
        <v>0</v>
      </c>
      <c r="V54" s="60">
        <f si="82" t="shared"/>
        <v>0</v>
      </c>
      <c r="W54" s="77">
        <f si="82" t="shared"/>
        <v>0</v>
      </c>
      <c r="Y54" s="101" t="s">
        <v>15</v>
      </c>
      <c r="Z54" s="60">
        <f ref="Z54:AT54" si="83" t="shared">IF($AU27&gt;0,(Z27/$AU27)*$BS27,0)</f>
        <v>0</v>
      </c>
      <c r="AA54" s="60">
        <f si="83" t="shared"/>
        <v>0</v>
      </c>
      <c r="AB54" s="60">
        <f si="83" t="shared"/>
        <v>0</v>
      </c>
      <c r="AC54" s="60">
        <f si="83" t="shared"/>
        <v>0</v>
      </c>
      <c r="AD54" s="60">
        <f si="83" t="shared"/>
        <v>0</v>
      </c>
      <c r="AE54" s="60">
        <f si="83" t="shared"/>
        <v>0</v>
      </c>
      <c r="AF54" s="60">
        <f si="83" t="shared"/>
        <v>0</v>
      </c>
      <c r="AG54" s="60">
        <f si="83" t="shared"/>
        <v>0</v>
      </c>
      <c r="AH54" s="60">
        <f si="83" t="shared"/>
        <v>0</v>
      </c>
      <c r="AI54" s="60">
        <f si="83" t="shared"/>
        <v>0</v>
      </c>
      <c r="AJ54" s="60">
        <f si="83" t="shared"/>
        <v>0</v>
      </c>
      <c r="AK54" s="60">
        <f si="83" t="shared"/>
        <v>0</v>
      </c>
      <c r="AL54" s="60">
        <f si="83" t="shared"/>
        <v>0</v>
      </c>
      <c r="AM54" s="60">
        <f si="83" t="shared"/>
        <v>0</v>
      </c>
      <c r="AN54" s="60">
        <f si="83" t="shared"/>
        <v>0</v>
      </c>
      <c r="AO54" s="60">
        <f si="83" t="shared"/>
        <v>0</v>
      </c>
      <c r="AP54" s="60">
        <f si="83" t="shared"/>
        <v>0</v>
      </c>
      <c r="AQ54" s="60">
        <f si="83" t="shared"/>
        <v>0</v>
      </c>
      <c r="AR54" s="60">
        <f si="83" t="shared"/>
        <v>0</v>
      </c>
      <c r="AS54" s="60">
        <f si="83" t="shared"/>
        <v>0</v>
      </c>
      <c r="AT54" s="60">
        <f si="83" t="shared"/>
        <v>0</v>
      </c>
      <c r="AU54" s="77">
        <f si="24" t="shared"/>
        <v>0</v>
      </c>
      <c r="AW54" s="101" t="s">
        <v>15</v>
      </c>
      <c r="AX54" s="15">
        <f ref="AX54:BR54" si="84" t="shared">AX27</f>
        <v>0</v>
      </c>
      <c r="AY54" s="15">
        <f si="84" t="shared"/>
        <v>0</v>
      </c>
      <c r="AZ54" s="15">
        <f si="84" t="shared"/>
        <v>0</v>
      </c>
      <c r="BA54" s="15">
        <f si="84" t="shared"/>
        <v>0</v>
      </c>
      <c r="BB54" s="15">
        <f si="84" t="shared"/>
        <v>0</v>
      </c>
      <c r="BC54" s="15">
        <f si="84" t="shared"/>
        <v>0</v>
      </c>
      <c r="BD54" s="15">
        <f si="84" t="shared"/>
        <v>0</v>
      </c>
      <c r="BE54" s="15">
        <f si="84" t="shared"/>
        <v>0</v>
      </c>
      <c r="BF54" s="15">
        <f si="84" t="shared"/>
        <v>0</v>
      </c>
      <c r="BG54" s="15">
        <f si="84" t="shared"/>
        <v>0</v>
      </c>
      <c r="BH54" s="15">
        <f si="84" t="shared"/>
        <v>0</v>
      </c>
      <c r="BI54" s="15">
        <f si="84" t="shared"/>
        <v>0</v>
      </c>
      <c r="BJ54" s="15">
        <f si="84" t="shared"/>
        <v>0</v>
      </c>
      <c r="BK54" s="15">
        <f si="84" t="shared"/>
        <v>0</v>
      </c>
      <c r="BL54" s="15">
        <f si="84" t="shared"/>
        <v>0</v>
      </c>
      <c r="BM54" s="15">
        <f si="84" t="shared"/>
        <v>0</v>
      </c>
      <c r="BN54" s="15">
        <f si="84" t="shared"/>
        <v>0</v>
      </c>
      <c r="BO54" s="15">
        <f si="84" t="shared"/>
        <v>0</v>
      </c>
      <c r="BP54" s="15">
        <f si="84" t="shared"/>
        <v>0</v>
      </c>
      <c r="BQ54" s="15">
        <f si="84" t="shared"/>
        <v>0</v>
      </c>
      <c r="BR54" s="15">
        <f si="84" t="shared"/>
        <v>0</v>
      </c>
      <c r="BS54" s="16">
        <f>SUM(AX54:BR54)</f>
        <v>0</v>
      </c>
    </row>
    <row customFormat="1" ht="15.75" r="55" s="95" spans="1:71" thickBot="1" x14ac:dyDescent="0.3">
      <c r="A55" s="1" t="s">
        <v>3</v>
      </c>
      <c r="B55" s="107">
        <f ref="B55:W55" si="85" t="shared">IF($W28&gt;0,(B28/$W28)*$BS28,0)</f>
        <v>68751.234923705561</v>
      </c>
      <c r="C55" s="107">
        <f si="85" t="shared"/>
        <v>27294.480017188169</v>
      </c>
      <c r="D55" s="107">
        <f si="85" t="shared"/>
        <v>17196.07304755093</v>
      </c>
      <c r="E55" s="107">
        <f si="85" t="shared"/>
        <v>20209.072041482636</v>
      </c>
      <c r="F55" s="107">
        <f si="85" t="shared"/>
        <v>18933.029183001829</v>
      </c>
      <c r="G55" s="107">
        <f si="85" t="shared"/>
        <v>97940.141758159487</v>
      </c>
      <c r="H55" s="107">
        <f si="85" t="shared"/>
        <v>60935.951884383656</v>
      </c>
      <c r="I55" s="107">
        <f si="85" t="shared"/>
        <v>5745.9910637641206</v>
      </c>
      <c r="J55" s="107">
        <f si="85" t="shared"/>
        <v>42612.612046479269</v>
      </c>
      <c r="K55" s="107">
        <f si="85" t="shared"/>
        <v>10166.780473697425</v>
      </c>
      <c r="L55" s="107">
        <f si="85" t="shared"/>
        <v>34536.222315653416</v>
      </c>
      <c r="M55" s="107">
        <f si="85" t="shared"/>
        <v>121382.84299111877</v>
      </c>
      <c r="N55" s="107">
        <f si="85" t="shared"/>
        <v>45573.193511254241</v>
      </c>
      <c r="O55" s="107">
        <f si="85" t="shared"/>
        <v>12303.018141424371</v>
      </c>
      <c r="P55" s="107">
        <f si="85" t="shared"/>
        <v>14611.732423588506</v>
      </c>
      <c r="Q55" s="107">
        <f si="85" t="shared"/>
        <v>1694.5944832574864</v>
      </c>
      <c r="R55" s="107">
        <f si="85" t="shared"/>
        <v>7807.6476505283636</v>
      </c>
      <c r="S55" s="107">
        <f si="85" t="shared"/>
        <v>9753.8974128728241</v>
      </c>
      <c r="T55" s="107">
        <f si="85" t="shared"/>
        <v>14306.043286950375</v>
      </c>
      <c r="U55" s="107">
        <f si="85" t="shared"/>
        <v>13721.441343938621</v>
      </c>
      <c r="V55" s="107">
        <f si="85" t="shared"/>
        <v>0</v>
      </c>
      <c r="W55" s="107">
        <f si="85" t="shared"/>
        <v>645476</v>
      </c>
      <c r="Y55" s="1" t="s">
        <v>3</v>
      </c>
      <c r="Z55" s="107">
        <f>SUM(Z34:Z53)</f>
        <v>47962.330067061164</v>
      </c>
      <c r="AA55" s="107">
        <f ref="AA55:AS55" si="86" t="shared">SUM(AA34:AA53)</f>
        <v>32465.686990023041</v>
      </c>
      <c r="AB55" s="107">
        <f si="86" t="shared"/>
        <v>17819.499670131001</v>
      </c>
      <c r="AC55" s="107">
        <f si="86" t="shared"/>
        <v>15590.095231354566</v>
      </c>
      <c r="AD55" s="107">
        <f si="86" t="shared"/>
        <v>14470.515258958494</v>
      </c>
      <c r="AE55" s="107">
        <f si="86" t="shared"/>
        <v>93808.210758780653</v>
      </c>
      <c r="AF55" s="107">
        <f si="86" t="shared"/>
        <v>61668.638827945528</v>
      </c>
      <c r="AG55" s="107">
        <f si="86" t="shared"/>
        <v>3389.6060314460683</v>
      </c>
      <c r="AH55" s="107">
        <f si="86" t="shared"/>
        <v>37916.839771783598</v>
      </c>
      <c r="AI55" s="107">
        <f si="86" t="shared"/>
        <v>12314.051289788287</v>
      </c>
      <c r="AJ55" s="107">
        <f si="86" t="shared"/>
        <v>34680.423618890891</v>
      </c>
      <c r="AK55" s="107">
        <f si="86" t="shared"/>
        <v>137060.58534782816</v>
      </c>
      <c r="AL55" s="107">
        <f si="86" t="shared"/>
        <v>50044.257356442307</v>
      </c>
      <c r="AM55" s="107">
        <f si="86" t="shared"/>
        <v>10212.277399808154</v>
      </c>
      <c r="AN55" s="107">
        <f si="86" t="shared"/>
        <v>20996.049637056076</v>
      </c>
      <c r="AO55" s="107">
        <f si="86" t="shared"/>
        <v>3056.6721848154989</v>
      </c>
      <c r="AP55" s="107">
        <f si="86" t="shared"/>
        <v>8183.7677729022362</v>
      </c>
      <c r="AQ55" s="107">
        <f si="86" t="shared"/>
        <v>11662.736307180778</v>
      </c>
      <c r="AR55" s="107">
        <f si="86" t="shared"/>
        <v>19671.927490438102</v>
      </c>
      <c r="AS55" s="107">
        <f si="86" t="shared"/>
        <v>12501.828987365367</v>
      </c>
      <c r="AT55" s="107">
        <f>IF($AU28&gt;0,(AT28/$AU28)*$BS28,0)</f>
        <v>0</v>
      </c>
      <c r="AU55" s="107">
        <f si="24" t="shared"/>
        <v>645476</v>
      </c>
      <c r="AW55" s="1" t="s">
        <v>3</v>
      </c>
      <c r="AX55" s="96">
        <f>SUM(AX34:AX54)</f>
        <v>104717</v>
      </c>
      <c r="AY55" s="96">
        <f ref="AY55:BS55" si="87" t="shared">SUM(AY34:AY54)</f>
        <v>36899</v>
      </c>
      <c r="AZ55" s="96">
        <f si="87" t="shared"/>
        <v>20380</v>
      </c>
      <c r="BA55" s="96">
        <f si="87" t="shared"/>
        <v>12404</v>
      </c>
      <c r="BB55" s="96">
        <f si="87" t="shared"/>
        <v>28863</v>
      </c>
      <c r="BC55" s="96">
        <f si="87" t="shared"/>
        <v>97414</v>
      </c>
      <c r="BD55" s="96">
        <f si="87" t="shared"/>
        <v>43120</v>
      </c>
      <c r="BE55" s="96">
        <f si="87" t="shared"/>
        <v>1352</v>
      </c>
      <c r="BF55" s="96">
        <f si="87" t="shared"/>
        <v>25252</v>
      </c>
      <c r="BG55" s="96">
        <f si="87" t="shared"/>
        <v>6761</v>
      </c>
      <c r="BH55" s="96">
        <f si="87" t="shared"/>
        <v>22148</v>
      </c>
      <c r="BI55" s="96">
        <f si="87" t="shared"/>
        <v>91217</v>
      </c>
      <c r="BJ55" s="96">
        <f si="87" t="shared"/>
        <v>88273</v>
      </c>
      <c r="BK55" s="96">
        <f si="87" t="shared"/>
        <v>7097</v>
      </c>
      <c r="BL55" s="96">
        <f si="87" t="shared"/>
        <v>20514</v>
      </c>
      <c r="BM55" s="96">
        <f si="87" t="shared"/>
        <v>1271</v>
      </c>
      <c r="BN55" s="96">
        <f si="87" t="shared"/>
        <v>4643</v>
      </c>
      <c r="BO55" s="96">
        <f si="87" t="shared"/>
        <v>9969</v>
      </c>
      <c r="BP55" s="96">
        <f si="87" t="shared"/>
        <v>12777</v>
      </c>
      <c r="BQ55" s="96">
        <f si="87" t="shared"/>
        <v>10405</v>
      </c>
      <c r="BR55" s="96">
        <f si="87" t="shared"/>
        <v>0</v>
      </c>
      <c r="BS55" s="96">
        <f si="87" t="shared"/>
        <v>645476</v>
      </c>
    </row>
    <row customFormat="1" r="56" s="95" spans="1:71" x14ac:dyDescent="0.25"/>
    <row customFormat="1" r="57" s="95" spans="1:71" x14ac:dyDescent="0.25"/>
    <row ht="15.75" r="59" spans="1:71" thickBot="1" x14ac:dyDescent="0.3">
      <c r="A59" s="4" t="s">
        <v>322</v>
      </c>
      <c r="B59" s="1"/>
      <c r="C59" s="1"/>
      <c r="D59" s="1"/>
      <c r="E59" s="1"/>
      <c r="F59" s="1"/>
      <c r="G59" s="1"/>
      <c r="H59" s="1"/>
      <c r="I59" s="1"/>
      <c r="J59" s="1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4" t="s">
        <v>320</v>
      </c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7"/>
      <c r="AN59" s="7"/>
      <c r="AO59" s="7"/>
      <c r="AP59" s="7"/>
      <c r="AQ59" s="7"/>
      <c r="AR59" s="7"/>
      <c r="AS59" s="7"/>
      <c r="AT59" s="7"/>
      <c r="AU59" s="7"/>
      <c r="AW59" s="4" t="s">
        <v>323</v>
      </c>
      <c r="AX59" s="1"/>
      <c r="AY59" s="1"/>
      <c r="AZ59" s="1"/>
      <c r="BA59" s="1"/>
      <c r="BB59" s="1"/>
      <c r="BC59" s="1"/>
      <c r="BD59" s="1"/>
      <c r="BE59" s="1"/>
      <c r="BF59" s="1"/>
    </row>
    <row r="60" spans="1:71" x14ac:dyDescent="0.25">
      <c r="A60" s="2" t="s">
        <v>14</v>
      </c>
      <c r="B60" s="2">
        <v>1</v>
      </c>
      <c r="C60" s="2">
        <v>2</v>
      </c>
      <c r="D60" s="2">
        <v>3</v>
      </c>
      <c r="E60" s="2">
        <v>4</v>
      </c>
      <c r="F60" s="2">
        <v>5</v>
      </c>
      <c r="G60" s="2">
        <v>6</v>
      </c>
      <c r="H60" s="2">
        <v>7</v>
      </c>
      <c r="I60" s="2">
        <v>8</v>
      </c>
      <c r="J60" s="2">
        <v>9</v>
      </c>
      <c r="K60" s="2">
        <v>10</v>
      </c>
      <c r="L60" s="2">
        <v>11</v>
      </c>
      <c r="M60" s="2">
        <v>12</v>
      </c>
      <c r="N60" s="2">
        <v>13</v>
      </c>
      <c r="O60" s="2">
        <v>14</v>
      </c>
      <c r="P60" s="2">
        <v>15</v>
      </c>
      <c r="Q60" s="2">
        <v>16</v>
      </c>
      <c r="R60" s="2">
        <v>17</v>
      </c>
      <c r="S60" s="2">
        <v>18</v>
      </c>
      <c r="T60" s="2">
        <v>19</v>
      </c>
      <c r="U60" s="2">
        <v>20</v>
      </c>
      <c r="V60" s="3" t="s">
        <v>15</v>
      </c>
      <c r="W60" s="3" t="s">
        <v>3</v>
      </c>
      <c r="X60" s="79"/>
      <c r="Y60" s="2" t="s">
        <v>14</v>
      </c>
      <c r="Z60" s="2">
        <v>1</v>
      </c>
      <c r="AA60" s="2">
        <v>2</v>
      </c>
      <c r="AB60" s="2">
        <v>3</v>
      </c>
      <c r="AC60" s="2">
        <v>4</v>
      </c>
      <c r="AD60" s="2">
        <v>5</v>
      </c>
      <c r="AE60" s="2">
        <v>6</v>
      </c>
      <c r="AF60" s="2">
        <v>7</v>
      </c>
      <c r="AG60" s="2">
        <v>8</v>
      </c>
      <c r="AH60" s="2">
        <v>9</v>
      </c>
      <c r="AI60" s="2">
        <v>10</v>
      </c>
      <c r="AJ60" s="2">
        <v>11</v>
      </c>
      <c r="AK60" s="2">
        <v>12</v>
      </c>
      <c r="AL60" s="2">
        <v>13</v>
      </c>
      <c r="AM60" s="2">
        <v>14</v>
      </c>
      <c r="AN60" s="2">
        <v>15</v>
      </c>
      <c r="AO60" s="2">
        <v>16</v>
      </c>
      <c r="AP60" s="2">
        <v>17</v>
      </c>
      <c r="AQ60" s="2">
        <v>18</v>
      </c>
      <c r="AR60" s="2">
        <v>19</v>
      </c>
      <c r="AS60" s="2">
        <v>20</v>
      </c>
      <c r="AT60" s="3" t="s">
        <v>15</v>
      </c>
      <c r="AU60" s="3" t="s">
        <v>3</v>
      </c>
      <c r="AW60" s="2" t="s">
        <v>14</v>
      </c>
      <c r="AX60" s="2">
        <v>1</v>
      </c>
      <c r="AY60" s="2">
        <v>2</v>
      </c>
      <c r="AZ60" s="2">
        <v>3</v>
      </c>
      <c r="BA60" s="2">
        <v>4</v>
      </c>
      <c r="BB60" s="2">
        <v>5</v>
      </c>
      <c r="BC60" s="2">
        <v>6</v>
      </c>
      <c r="BD60" s="2">
        <v>7</v>
      </c>
      <c r="BE60" s="2">
        <v>8</v>
      </c>
      <c r="BF60" s="2">
        <v>9</v>
      </c>
      <c r="BG60" s="2">
        <v>10</v>
      </c>
      <c r="BH60" s="2">
        <v>11</v>
      </c>
      <c r="BI60" s="2">
        <v>12</v>
      </c>
      <c r="BJ60" s="2">
        <v>13</v>
      </c>
      <c r="BK60" s="2">
        <v>14</v>
      </c>
      <c r="BL60" s="2">
        <v>15</v>
      </c>
      <c r="BM60" s="2">
        <v>16</v>
      </c>
      <c r="BN60" s="2">
        <v>17</v>
      </c>
      <c r="BO60" s="2">
        <v>18</v>
      </c>
      <c r="BP60" s="2">
        <v>19</v>
      </c>
      <c r="BQ60" s="2">
        <v>20</v>
      </c>
      <c r="BR60" s="3" t="s">
        <v>15</v>
      </c>
      <c r="BS60" s="3" t="s">
        <v>3</v>
      </c>
    </row>
    <row r="61" spans="1:71" x14ac:dyDescent="0.25">
      <c r="A61" s="31">
        <v>1</v>
      </c>
      <c r="B61" s="103">
        <f>IF($W$55&gt;0,B34/$W$55,0)</f>
        <v>2.003534927597517E-3</v>
      </c>
      <c r="C61" s="103">
        <f ref="C61:W61" si="88" t="shared">IF($W$55&gt;0,C34/$W$55,0)</f>
        <v>2.7780065551908891E-4</v>
      </c>
      <c r="D61" s="103">
        <f si="88" t="shared"/>
        <v>2.2273784427370309E-4</v>
      </c>
      <c r="E61" s="103">
        <f si="88" t="shared"/>
        <v>0</v>
      </c>
      <c r="F61" s="103">
        <f si="88" t="shared"/>
        <v>2.1197744995834667E-4</v>
      </c>
      <c r="G61" s="103">
        <f si="88" t="shared"/>
        <v>2.7579821783045907E-3</v>
      </c>
      <c r="H61" s="103">
        <f si="88" t="shared"/>
        <v>0</v>
      </c>
      <c r="I61" s="103">
        <f si="88" t="shared"/>
        <v>0</v>
      </c>
      <c r="J61" s="103">
        <f si="88" t="shared"/>
        <v>8.4093662901582535E-4</v>
      </c>
      <c r="K61" s="103">
        <f si="88" t="shared"/>
        <v>1.1608487014916614E-4</v>
      </c>
      <c r="L61" s="103">
        <f si="88" t="shared"/>
        <v>5.5137033151990108E-4</v>
      </c>
      <c r="M61" s="103">
        <f si="88" t="shared"/>
        <v>4.9887573521866684E-4</v>
      </c>
      <c r="N61" s="103">
        <f si="88" t="shared"/>
        <v>0</v>
      </c>
      <c r="O61" s="103">
        <f si="88" t="shared"/>
        <v>0</v>
      </c>
      <c r="P61" s="103">
        <f si="88" t="shared"/>
        <v>0</v>
      </c>
      <c r="Q61" s="103">
        <f si="88" t="shared"/>
        <v>0</v>
      </c>
      <c r="R61" s="103">
        <f si="88" t="shared"/>
        <v>0</v>
      </c>
      <c r="S61" s="103">
        <f si="88" t="shared"/>
        <v>0</v>
      </c>
      <c r="T61" s="103">
        <f si="88" t="shared"/>
        <v>0</v>
      </c>
      <c r="U61" s="103">
        <f si="88" t="shared"/>
        <v>0</v>
      </c>
      <c r="V61" s="103">
        <f si="88" t="shared"/>
        <v>0</v>
      </c>
      <c r="W61" s="103">
        <f si="88" t="shared"/>
        <v>7.4813006215568049E-3</v>
      </c>
      <c r="X61" s="78"/>
      <c r="Y61" s="31">
        <v>1</v>
      </c>
      <c r="Z61" s="103">
        <f>IF($W$55&gt;0,Z34/$W$55,0)</f>
        <v>1.8148377183910952E-3</v>
      </c>
      <c r="AA61" s="103">
        <f ref="AA61:AU61" si="89" t="shared">IF($W$55&gt;0,AA34/$W$55,0)</f>
        <v>4.6597184661392981E-4</v>
      </c>
      <c r="AB61" s="103">
        <f si="89" t="shared"/>
        <v>2.5137954883119895E-4</v>
      </c>
      <c r="AC61" s="103">
        <f si="89" t="shared"/>
        <v>2.268547147988869E-4</v>
      </c>
      <c r="AD61" s="103">
        <f si="89" t="shared"/>
        <v>2.6364196584735506E-4</v>
      </c>
      <c r="AE61" s="103">
        <f si="89" t="shared"/>
        <v>1.9362356468510399E-3</v>
      </c>
      <c r="AF61" s="103">
        <f si="89" t="shared"/>
        <v>3.2004908412167283E-4</v>
      </c>
      <c r="AG61" s="103">
        <f si="89" t="shared"/>
        <v>3.1882284242005723E-5</v>
      </c>
      <c r="AH61" s="103">
        <f si="89" t="shared"/>
        <v>3.2250156752490407E-4</v>
      </c>
      <c r="AI61" s="103">
        <f si="89" t="shared"/>
        <v>1.6063766291164421E-4</v>
      </c>
      <c r="AJ61" s="103">
        <f si="89" t="shared"/>
        <v>2.2072350629080887E-4</v>
      </c>
      <c r="AK61" s="103">
        <f si="89" t="shared"/>
        <v>1.2397303603333763E-3</v>
      </c>
      <c r="AL61" s="103">
        <f si="89" t="shared"/>
        <v>7.7253227201783104E-5</v>
      </c>
      <c r="AM61" s="103">
        <f si="89" t="shared"/>
        <v>1.4714900419387258E-5</v>
      </c>
      <c r="AN61" s="103">
        <f si="89" t="shared"/>
        <v>3.5561009346852543E-5</v>
      </c>
      <c r="AO61" s="103">
        <f si="89" t="shared"/>
        <v>2.084610892746528E-5</v>
      </c>
      <c r="AP61" s="103">
        <f si="89" t="shared"/>
        <v>8.5836919113092336E-6</v>
      </c>
      <c r="AQ61" s="103">
        <f si="89" t="shared"/>
        <v>1.3488658717771654E-5</v>
      </c>
      <c r="AR61" s="103">
        <f si="89" t="shared"/>
        <v>4.0465976153314952E-5</v>
      </c>
      <c r="AS61" s="103">
        <f si="89" t="shared"/>
        <v>1.5941142121002862E-5</v>
      </c>
      <c r="AT61" s="103">
        <f si="89" t="shared"/>
        <v>0</v>
      </c>
      <c r="AU61" s="103">
        <f si="89" t="shared"/>
        <v>7.4813006215568058E-3</v>
      </c>
      <c r="AW61" s="31">
        <v>1</v>
      </c>
      <c r="AX61" s="103">
        <f>IF($BS$55&gt;0,AX34/$BS$55,0)</f>
        <v>3.2425682751953599E-3</v>
      </c>
      <c r="AY61" s="103">
        <f ref="AY61:BS61" si="90" t="shared">IF($BS$55&gt;0,AY34/$BS$55,0)</f>
        <v>4.1674671095439644E-4</v>
      </c>
      <c r="AZ61" s="103">
        <f si="90" t="shared"/>
        <v>2.3703437463205447E-4</v>
      </c>
      <c r="BA61" s="103">
        <f si="90" t="shared"/>
        <v>2.1534495473108219E-4</v>
      </c>
      <c r="BB61" s="103">
        <f si="90" t="shared"/>
        <v>5.5462945175343463E-4</v>
      </c>
      <c r="BC61" s="103">
        <f si="90" t="shared"/>
        <v>1.5693844542632104E-3</v>
      </c>
      <c r="BD61" s="103">
        <f si="90" t="shared"/>
        <v>1.8900780199418725E-4</v>
      </c>
      <c r="BE61" s="103">
        <f si="90" t="shared"/>
        <v>2.9435641294176699E-5</v>
      </c>
      <c r="BF61" s="103">
        <f si="90" t="shared"/>
        <v>1.5492442786408791E-4</v>
      </c>
      <c r="BG61" s="103">
        <f si="90" t="shared"/>
        <v>6.1969771145635157E-5</v>
      </c>
      <c r="BH61" s="103">
        <f si="90" t="shared"/>
        <v>1.1619332089806592E-4</v>
      </c>
      <c r="BI61" s="103">
        <f si="90" t="shared"/>
        <v>5.3603852040974413E-4</v>
      </c>
      <c r="BJ61" s="103">
        <f si="90" t="shared"/>
        <v>1.0534861094757977E-4</v>
      </c>
      <c r="BK61" s="103">
        <f si="90" t="shared"/>
        <v>7.7462213932043946E-6</v>
      </c>
      <c r="BL61" s="103">
        <f si="90" t="shared"/>
        <v>1.8590931343690547E-5</v>
      </c>
      <c r="BM61" s="103">
        <f si="90" t="shared"/>
        <v>3.0984885572817578E-6</v>
      </c>
      <c r="BN61" s="103">
        <f si="90" t="shared"/>
        <v>4.6477328359226368E-6</v>
      </c>
      <c r="BO61" s="103">
        <f si="90" t="shared"/>
        <v>1.2393954229127031E-5</v>
      </c>
      <c r="BP61" s="103">
        <f si="90" t="shared"/>
        <v>6.1969771145635157E-6</v>
      </c>
      <c r="BQ61" s="103">
        <f si="90" t="shared"/>
        <v>0</v>
      </c>
      <c r="BR61" s="103">
        <f si="90" t="shared"/>
        <v>0</v>
      </c>
      <c r="BS61" s="103">
        <f si="90" t="shared"/>
        <v>7.4813006215568049E-3</v>
      </c>
    </row>
    <row r="62" spans="1:71" x14ac:dyDescent="0.25">
      <c r="A62" s="95">
        <v>2</v>
      </c>
      <c r="B62" s="104">
        <f ref="B62:W62" si="91" t="shared">IF($W$55&gt;0,B35/$W$55,0)</f>
        <v>2.0806564788545035E-3</v>
      </c>
      <c r="C62" s="104">
        <f si="91" t="shared"/>
        <v>2.4383300649328888E-3</v>
      </c>
      <c r="D62" s="104">
        <f si="91" t="shared"/>
        <v>7.2168747877070433E-4</v>
      </c>
      <c r="E62" s="104">
        <f si="91" t="shared"/>
        <v>5.1717297190661858E-3</v>
      </c>
      <c r="F62" s="104">
        <f si="91" t="shared"/>
        <v>1.1867432311613362E-4</v>
      </c>
      <c r="G62" s="104">
        <f si="91" t="shared"/>
        <v>3.5516208207553922E-3</v>
      </c>
      <c r="H62" s="104">
        <f si="91" t="shared"/>
        <v>2.1229663509529152E-3</v>
      </c>
      <c r="I62" s="104">
        <f si="91" t="shared"/>
        <v>0</v>
      </c>
      <c r="J62" s="104">
        <f si="91" t="shared"/>
        <v>2.8115105318638144E-3</v>
      </c>
      <c r="K62" s="104">
        <f si="91" t="shared"/>
        <v>2.1849878727628094E-4</v>
      </c>
      <c r="L62" s="104">
        <f si="91" t="shared"/>
        <v>3.17325973802309E-4</v>
      </c>
      <c r="M62" s="104">
        <f si="91" t="shared"/>
        <v>2.4135583148100943E-3</v>
      </c>
      <c r="N62" s="104">
        <f si="91" t="shared"/>
        <v>0</v>
      </c>
      <c r="O62" s="104">
        <f si="91" t="shared"/>
        <v>0</v>
      </c>
      <c r="P62" s="104">
        <f si="91" t="shared"/>
        <v>0</v>
      </c>
      <c r="Q62" s="104">
        <f si="91" t="shared"/>
        <v>0</v>
      </c>
      <c r="R62" s="104">
        <f si="91" t="shared"/>
        <v>0</v>
      </c>
      <c r="S62" s="104">
        <f si="91" t="shared"/>
        <v>0</v>
      </c>
      <c r="T62" s="104">
        <f si="91" t="shared"/>
        <v>4.6185057768278115E-4</v>
      </c>
      <c r="U62" s="104">
        <f si="91" t="shared"/>
        <v>0</v>
      </c>
      <c r="V62" s="104">
        <f si="91" t="shared"/>
        <v>0</v>
      </c>
      <c r="W62" s="104">
        <f si="91" t="shared"/>
        <v>2.2428409421884003E-2</v>
      </c>
      <c r="X62" s="21"/>
      <c r="Y62" s="95">
        <v>2</v>
      </c>
      <c r="Z62" s="104">
        <f ref="Z62:AU62" si="92" t="shared">IF($W$55&gt;0,Z35/$W$55,0)</f>
        <v>2.5767104253125567E-3</v>
      </c>
      <c r="AA62" s="104">
        <f si="92" t="shared"/>
        <v>2.6184858861639277E-3</v>
      </c>
      <c r="AB62" s="104">
        <f si="92" t="shared"/>
        <v>1.0226632816415595E-3</v>
      </c>
      <c r="AC62" s="104">
        <f si="92" t="shared"/>
        <v>6.1493478373217956E-4</v>
      </c>
      <c r="AD62" s="104">
        <f si="92" t="shared"/>
        <v>6.600522814516601E-4</v>
      </c>
      <c r="AE62" s="104">
        <f si="92" t="shared"/>
        <v>4.2627680252738864E-3</v>
      </c>
      <c r="AF62" s="104">
        <f si="92" t="shared"/>
        <v>1.8648565724051964E-3</v>
      </c>
      <c r="AG62" s="104">
        <f si="92" t="shared"/>
        <v>1.4203656689466102E-4</v>
      </c>
      <c r="AH62" s="104">
        <f si="92" t="shared"/>
        <v>1.8180680562516615E-3</v>
      </c>
      <c r="AI62" s="104">
        <f si="92" t="shared"/>
        <v>4.4950395876075083E-4</v>
      </c>
      <c r="AJ62" s="104">
        <f si="92" t="shared"/>
        <v>1.0911750374378076E-3</v>
      </c>
      <c r="AK62" s="104">
        <f si="92" t="shared"/>
        <v>4.1240734952473343E-3</v>
      </c>
      <c r="AL62" s="104">
        <f si="92" t="shared"/>
        <v>3.7430812922828319E-4</v>
      </c>
      <c r="AM62" s="104">
        <f si="92" t="shared"/>
        <v>7.8537866400577283E-5</v>
      </c>
      <c r="AN62" s="104">
        <f si="92" t="shared"/>
        <v>2.6736294944877372E-4</v>
      </c>
      <c r="AO62" s="104">
        <f si="92" t="shared"/>
        <v>7.6866847966522444E-5</v>
      </c>
      <c r="AP62" s="104">
        <f si="92" t="shared"/>
        <v>7.519582953246762E-5</v>
      </c>
      <c r="AQ62" s="104">
        <f si="92" t="shared"/>
        <v>1.0360314291139981E-4</v>
      </c>
      <c r="AR62" s="104">
        <f si="92" t="shared"/>
        <v>1.4704962219682554E-4</v>
      </c>
      <c r="AS62" s="104">
        <f si="92" t="shared"/>
        <v>6.015666362597409E-5</v>
      </c>
      <c r="AT62" s="104">
        <f si="92" t="shared"/>
        <v>0</v>
      </c>
      <c r="AU62" s="104">
        <f si="92" t="shared"/>
        <v>2.2428409421884007E-2</v>
      </c>
      <c r="AW62" s="95">
        <v>2</v>
      </c>
      <c r="AX62" s="104">
        <f ref="AX62:BS62" si="93" t="shared">IF($BS$55&gt;0,AX35/$BS$55,0)</f>
        <v>4.9684264016012988E-3</v>
      </c>
      <c r="AY62" s="104">
        <f si="93" t="shared"/>
        <v>3.110882511510885E-3</v>
      </c>
      <c r="AZ62" s="104">
        <f si="93" t="shared"/>
        <v>9.2180034579132295E-4</v>
      </c>
      <c r="BA62" s="104">
        <f si="93" t="shared"/>
        <v>5.6857265026120257E-4</v>
      </c>
      <c r="BB62" s="104">
        <f si="93" t="shared"/>
        <v>1.2099597816185264E-3</v>
      </c>
      <c r="BC62" s="104">
        <f si="93" t="shared"/>
        <v>4.3316870030798973E-3</v>
      </c>
      <c r="BD62" s="104">
        <f si="93" t="shared"/>
        <v>1.5771306756564149E-3</v>
      </c>
      <c r="BE62" s="104">
        <f si="93" t="shared"/>
        <v>5.1125061195149008E-5</v>
      </c>
      <c r="BF62" s="104">
        <f si="93" t="shared"/>
        <v>1.2161567587330899E-3</v>
      </c>
      <c r="BG62" s="104">
        <f si="93" t="shared"/>
        <v>2.1844344328836394E-4</v>
      </c>
      <c r="BH62" s="104">
        <f si="93" t="shared"/>
        <v>3.6407240548060656E-4</v>
      </c>
      <c r="BI62" s="104">
        <f si="93" t="shared"/>
        <v>2.8397647627487312E-3</v>
      </c>
      <c r="BJ62" s="104">
        <f si="93" t="shared"/>
        <v>7.2504632240393138E-4</v>
      </c>
      <c r="BK62" s="104">
        <f si="93" t="shared"/>
        <v>3.2534129851458461E-5</v>
      </c>
      <c r="BL62" s="104">
        <f si="93" t="shared"/>
        <v>1.7041687065049669E-4</v>
      </c>
      <c r="BM62" s="104">
        <f si="93" t="shared"/>
        <v>6.1969771145635157E-6</v>
      </c>
      <c r="BN62" s="104">
        <f si="93" t="shared"/>
        <v>1.8590931343690547E-5</v>
      </c>
      <c r="BO62" s="104">
        <f si="93" t="shared"/>
        <v>5.5772794031071641E-5</v>
      </c>
      <c r="BP62" s="104">
        <f si="93" t="shared"/>
        <v>3.5632618408740219E-5</v>
      </c>
      <c r="BQ62" s="104">
        <f si="93" t="shared"/>
        <v>6.1969771145635157E-6</v>
      </c>
      <c r="BR62" s="104">
        <f si="93" t="shared"/>
        <v>0</v>
      </c>
      <c r="BS62" s="104">
        <f si="93" t="shared"/>
        <v>2.2428409421884003E-2</v>
      </c>
    </row>
    <row r="63" spans="1:71" x14ac:dyDescent="0.25">
      <c r="A63" s="95">
        <v>3</v>
      </c>
      <c r="B63" s="104">
        <f ref="B63:W63" si="94" t="shared">IF($W$55&gt;0,B36/$W$55,0)</f>
        <v>7.3786893142839764E-3</v>
      </c>
      <c r="C63" s="104">
        <f si="94" t="shared"/>
        <v>4.4341679359800766E-3</v>
      </c>
      <c r="D63" s="104">
        <f si="94" t="shared"/>
        <v>4.5540513620978178E-3</v>
      </c>
      <c r="E63" s="104">
        <f si="94" t="shared"/>
        <v>9.5403696672139544E-4</v>
      </c>
      <c r="F63" s="104">
        <f si="94" t="shared"/>
        <v>2.0513103531367553E-3</v>
      </c>
      <c r="G63" s="104">
        <f si="94" t="shared"/>
        <v>8.0149572274463374E-3</v>
      </c>
      <c r="H63" s="104">
        <f si="94" t="shared"/>
        <v>1.0646023677536617E-3</v>
      </c>
      <c r="I63" s="104">
        <f si="94" t="shared"/>
        <v>1.94488028412337E-3</v>
      </c>
      <c r="J63" s="104">
        <f si="94" t="shared"/>
        <v>2.1175214620376298E-3</v>
      </c>
      <c r="K63" s="104">
        <f si="94" t="shared"/>
        <v>5.9649665155447863E-4</v>
      </c>
      <c r="L63" s="104">
        <f si="94" t="shared"/>
        <v>1.8319618283971395E-3</v>
      </c>
      <c r="M63" s="104">
        <f si="94" t="shared"/>
        <v>5.7463577952420238E-3</v>
      </c>
      <c r="N63" s="104">
        <f si="94" t="shared"/>
        <v>8.6761411134572775E-5</v>
      </c>
      <c r="O63" s="104">
        <f si="94" t="shared"/>
        <v>0</v>
      </c>
      <c r="P63" s="104">
        <f si="94" t="shared"/>
        <v>0</v>
      </c>
      <c r="Q63" s="104">
        <f si="94" t="shared"/>
        <v>0</v>
      </c>
      <c r="R63" s="104">
        <f si="94" t="shared"/>
        <v>0</v>
      </c>
      <c r="S63" s="104">
        <f si="94" t="shared"/>
        <v>0</v>
      </c>
      <c r="T63" s="104">
        <f si="94" t="shared"/>
        <v>2.4819353850123776E-4</v>
      </c>
      <c r="U63" s="104">
        <f si="94" t="shared"/>
        <v>0</v>
      </c>
      <c r="V63" s="104">
        <f si="94" t="shared"/>
        <v>0</v>
      </c>
      <c r="W63" s="104">
        <f si="94" t="shared"/>
        <v>4.1023988498410477E-2</v>
      </c>
      <c r="X63" s="21"/>
      <c r="Y63" s="95">
        <v>3</v>
      </c>
      <c r="Z63" s="104">
        <f ref="Z63:AU63" si="95" t="shared">IF($W$55&gt;0,Z36/$W$55,0)</f>
        <v>6.1151892564162598E-3</v>
      </c>
      <c r="AA63" s="104">
        <f si="95" t="shared"/>
        <v>2.5386782673442422E-3</v>
      </c>
      <c r="AB63" s="104">
        <f si="95" t="shared"/>
        <v>3.9711241912498791E-3</v>
      </c>
      <c r="AC63" s="104">
        <f si="95" t="shared"/>
        <v>1.7757594098003766E-3</v>
      </c>
      <c r="AD63" s="104">
        <f si="95" t="shared"/>
        <v>1.6336986570163461E-3</v>
      </c>
      <c r="AE63" s="104">
        <f si="95" t="shared"/>
        <v>8.8853739357048472E-3</v>
      </c>
      <c r="AF63" s="104">
        <f si="95" t="shared"/>
        <v>2.3242717608276038E-3</v>
      </c>
      <c r="AG63" s="104">
        <f si="95" t="shared"/>
        <v>3.367365991917751E-4</v>
      </c>
      <c r="AH63" s="104">
        <f si="95" t="shared"/>
        <v>2.1651111026158663E-3</v>
      </c>
      <c r="AI63" s="104">
        <f si="95" t="shared"/>
        <v>9.2602564777738167E-4</v>
      </c>
      <c r="AJ63" s="104">
        <f si="95" t="shared"/>
        <v>2.209833932196024E-3</v>
      </c>
      <c r="AK63" s="104">
        <f si="95" t="shared"/>
        <v>5.9520824661827435E-3</v>
      </c>
      <c r="AL63" s="104">
        <f si="95" t="shared"/>
        <v>5.9191980326679216E-4</v>
      </c>
      <c r="AM63" s="104">
        <f si="95" t="shared"/>
        <v>2.3282178928493824E-4</v>
      </c>
      <c r="AN63" s="104">
        <f si="95" t="shared"/>
        <v>4.0250546622141867E-4</v>
      </c>
      <c r="AO63" s="104">
        <f si="95" t="shared"/>
        <v>1.5521452618995883E-4</v>
      </c>
      <c r="AP63" s="104">
        <f si="95" t="shared"/>
        <v>1.6310679023351607E-4</v>
      </c>
      <c r="AQ63" s="104">
        <f si="95" t="shared"/>
        <v>1.3153773405928714E-4</v>
      </c>
      <c r="AR63" s="104">
        <f si="95" t="shared"/>
        <v>4.1565923962734734E-4</v>
      </c>
      <c r="AS63" s="104">
        <f si="95" t="shared"/>
        <v>9.7337923203872487E-5</v>
      </c>
      <c r="AT63" s="104">
        <f si="95" t="shared"/>
        <v>0</v>
      </c>
      <c r="AU63" s="104">
        <f si="95" t="shared"/>
        <v>4.102398849841047E-2</v>
      </c>
      <c r="AW63" s="95">
        <v>3</v>
      </c>
      <c r="AX63" s="104">
        <f ref="AX63:BS63" si="96" t="shared">IF($BS$55&gt;0,AX36/$BS$55,0)</f>
        <v>1.1470604639057068E-2</v>
      </c>
      <c r="AY63" s="104">
        <f si="96" t="shared"/>
        <v>3.17285228265652E-3</v>
      </c>
      <c r="AZ63" s="104">
        <f si="96" t="shared"/>
        <v>4.134932979692506E-3</v>
      </c>
      <c r="BA63" s="104">
        <f si="96" t="shared"/>
        <v>1.381925896547664E-3</v>
      </c>
      <c r="BB63" s="104">
        <f si="96" t="shared"/>
        <v>2.6863895791632841E-3</v>
      </c>
      <c r="BC63" s="104">
        <f si="96" t="shared"/>
        <v>8.0111421648519851E-3</v>
      </c>
      <c r="BD63" s="104">
        <f si="96" t="shared"/>
        <v>1.5538920114768016E-3</v>
      </c>
      <c r="BE63" s="104">
        <f si="96" t="shared"/>
        <v>1.1464407661942505E-4</v>
      </c>
      <c r="BF63" s="104">
        <f si="96" t="shared"/>
        <v>1.3788274079903824E-3</v>
      </c>
      <c r="BG63" s="104">
        <f si="96" t="shared"/>
        <v>4.5702706219905931E-4</v>
      </c>
      <c r="BH63" s="104">
        <f si="96" t="shared"/>
        <v>1.4175585149564043E-3</v>
      </c>
      <c r="BI63" s="104">
        <f si="96" t="shared"/>
        <v>3.8390273224720981E-3</v>
      </c>
      <c r="BJ63" s="104">
        <f si="96" t="shared"/>
        <v>7.5293271941946713E-4</v>
      </c>
      <c r="BK63" s="104">
        <f si="96" t="shared"/>
        <v>1.1309483234078417E-4</v>
      </c>
      <c r="BL63" s="104">
        <f si="96" t="shared"/>
        <v>2.1999268756700481E-4</v>
      </c>
      <c r="BM63" s="104">
        <f si="96" t="shared"/>
        <v>3.8731106966021976E-5</v>
      </c>
      <c r="BN63" s="104">
        <f si="96" t="shared"/>
        <v>8.9856168161170984E-5</v>
      </c>
      <c r="BO63" s="104">
        <f si="96" t="shared"/>
        <v>5.1125061195149008E-5</v>
      </c>
      <c r="BP63" s="104">
        <f si="96" t="shared"/>
        <v>1.3323500796311559E-4</v>
      </c>
      <c r="BQ63" s="104">
        <f si="96" t="shared"/>
        <v>6.1969771145635157E-6</v>
      </c>
      <c r="BR63" s="104">
        <f si="96" t="shared"/>
        <v>0</v>
      </c>
      <c r="BS63" s="104">
        <f si="96" t="shared"/>
        <v>4.1023988498410477E-2</v>
      </c>
    </row>
    <row r="64" spans="1:71" x14ac:dyDescent="0.25">
      <c r="A64" s="95">
        <v>4</v>
      </c>
      <c r="B64" s="104">
        <f ref="B64:W64" si="97" t="shared">IF($W$55&gt;0,B37/$W$55,0)</f>
        <v>3.0218620020274305E-3</v>
      </c>
      <c r="C64" s="104">
        <f si="97" t="shared"/>
        <v>1.0399881156120568E-4</v>
      </c>
      <c r="D64" s="104">
        <f si="97" t="shared"/>
        <v>1.2861396822936278E-3</v>
      </c>
      <c r="E64" s="104">
        <f si="97" t="shared"/>
        <v>1.1557247375208011E-3</v>
      </c>
      <c r="F64" s="104">
        <f si="97" t="shared"/>
        <v>8.1242216800937804E-4</v>
      </c>
      <c r="G64" s="104">
        <f si="97" t="shared"/>
        <v>2.1364466774396948E-3</v>
      </c>
      <c r="H64" s="104">
        <f si="97" t="shared"/>
        <v>1.6831131220389095E-3</v>
      </c>
      <c r="I64" s="104">
        <f si="97" t="shared"/>
        <v>2.2771240987504545E-4</v>
      </c>
      <c r="J64" s="104">
        <f si="97" t="shared"/>
        <v>4.621805424362452E-4</v>
      </c>
      <c r="K64" s="104">
        <f si="97" t="shared"/>
        <v>3.7378565486725131E-4</v>
      </c>
      <c r="L64" s="104">
        <f si="97" t="shared"/>
        <v>1.1420804171357341E-3</v>
      </c>
      <c r="M64" s="104">
        <f si="97" t="shared"/>
        <v>1.2894082812641655E-3</v>
      </c>
      <c r="N64" s="104">
        <f si="97" t="shared"/>
        <v>4.822790488594311E-5</v>
      </c>
      <c r="O64" s="104">
        <f si="97" t="shared"/>
        <v>0</v>
      </c>
      <c r="P64" s="104">
        <f si="97" t="shared"/>
        <v>0</v>
      </c>
      <c r="Q64" s="104">
        <f si="97" t="shared"/>
        <v>0</v>
      </c>
      <c r="R64" s="104">
        <f si="97" t="shared"/>
        <v>0</v>
      </c>
      <c r="S64" s="104">
        <f si="97" t="shared"/>
        <v>0</v>
      </c>
      <c r="T64" s="104">
        <f si="97" t="shared"/>
        <v>8.5452019793056091E-5</v>
      </c>
      <c r="U64" s="104">
        <f si="97" t="shared"/>
        <v>0</v>
      </c>
      <c r="V64" s="104">
        <f si="97" t="shared"/>
        <v>0</v>
      </c>
      <c r="W64" s="104">
        <f si="97" t="shared"/>
        <v>1.3828554431148487E-2</v>
      </c>
      <c r="X64" s="21"/>
      <c r="Y64" s="95">
        <v>4</v>
      </c>
      <c r="Z64" s="104">
        <f ref="Z64:AU64" si="98" t="shared">IF($W$55&gt;0,Z37/$W$55,0)</f>
        <v>1.5993609199969941E-3</v>
      </c>
      <c r="AA64" s="104">
        <f si="98" t="shared"/>
        <v>9.5114743103690903E-4</v>
      </c>
      <c r="AB64" s="104">
        <f si="98" t="shared"/>
        <v>7.7307873390214529E-4</v>
      </c>
      <c r="AC64" s="104">
        <f si="98" t="shared"/>
        <v>1.0749268912403423E-3</v>
      </c>
      <c r="AD64" s="104">
        <f si="98" t="shared"/>
        <v>8.6428465194678041E-4</v>
      </c>
      <c r="AE64" s="104">
        <f si="98" t="shared"/>
        <v>2.8979594673944182E-3</v>
      </c>
      <c r="AF64" s="104">
        <f si="98" t="shared"/>
        <v>8.6862779090128681E-4</v>
      </c>
      <c r="AG64" s="104">
        <f si="98" t="shared"/>
        <v>1.5635300236223164E-4</v>
      </c>
      <c r="AH64" s="104">
        <f si="98" t="shared"/>
        <v>8.2736797083347564E-4</v>
      </c>
      <c r="AI64" s="104">
        <f si="98" t="shared"/>
        <v>4.0934084646223142E-4</v>
      </c>
      <c r="AJ64" s="104">
        <f si="98" t="shared"/>
        <v>7.0576008010729552E-4</v>
      </c>
      <c r="AK64" s="104">
        <f si="98" t="shared"/>
        <v>1.9869860716866935E-3</v>
      </c>
      <c r="AL64" s="104">
        <f si="98" t="shared"/>
        <v>2.1389959350944188E-4</v>
      </c>
      <c r="AM64" s="104">
        <f si="98" t="shared"/>
        <v>8.0348070658369032E-5</v>
      </c>
      <c r="AN64" s="104">
        <f si="98" t="shared"/>
        <v>1.2269367546480678E-4</v>
      </c>
      <c r="AO64" s="104">
        <f si="98" t="shared"/>
        <v>5.2117667454077206E-5</v>
      </c>
      <c r="AP64" s="104">
        <f si="98" t="shared"/>
        <v>4.0174035329184516E-5</v>
      </c>
      <c r="AQ64" s="104">
        <f si="98" t="shared"/>
        <v>7.383336222660938E-5</v>
      </c>
      <c r="AR64" s="104">
        <f si="98" t="shared"/>
        <v>1.0423533490815441E-4</v>
      </c>
      <c r="AS64" s="104">
        <f si="98" t="shared"/>
        <v>2.6058833727038603E-5</v>
      </c>
      <c r="AT64" s="104">
        <f si="98" t="shared"/>
        <v>0</v>
      </c>
      <c r="AU64" s="104">
        <f si="98" t="shared"/>
        <v>1.3828554431148487E-2</v>
      </c>
      <c r="AW64" s="95">
        <v>4</v>
      </c>
      <c r="AX64" s="104">
        <f ref="AX64:BS64" si="99" t="shared">IF($BS$55&gt;0,AX37/$BS$55,0)</f>
        <v>3.5369246881371266E-3</v>
      </c>
      <c r="AY64" s="104">
        <f si="99" t="shared"/>
        <v>9.4348976569229531E-4</v>
      </c>
      <c r="AZ64" s="104">
        <f si="99" t="shared"/>
        <v>8.2574720051558845E-4</v>
      </c>
      <c r="BA64" s="104">
        <f si="99" t="shared"/>
        <v>9.8531936121559901E-4</v>
      </c>
      <c r="BB64" s="104">
        <f si="99" t="shared"/>
        <v>1.3555887438107691E-3</v>
      </c>
      <c r="BC64" s="104">
        <f si="99" t="shared"/>
        <v>3.0938408244458354E-3</v>
      </c>
      <c r="BD64" s="104">
        <f si="99" t="shared"/>
        <v>4.1519746667575556E-4</v>
      </c>
      <c r="BE64" s="104">
        <f si="99" t="shared"/>
        <v>9.2954656718452735E-5</v>
      </c>
      <c r="BF64" s="104">
        <f si="99" t="shared"/>
        <v>3.45481474136916E-4</v>
      </c>
      <c r="BG64" s="104">
        <f si="99" t="shared"/>
        <v>2.6337152736894944E-4</v>
      </c>
      <c r="BH64" s="104">
        <f si="99" t="shared"/>
        <v>4.2759142090488262E-4</v>
      </c>
      <c r="BI64" s="104">
        <f si="99" t="shared"/>
        <v>1.1619332089806591E-3</v>
      </c>
      <c r="BJ64" s="104">
        <f si="99" t="shared"/>
        <v>1.9055704627282812E-4</v>
      </c>
      <c r="BK64" s="104">
        <f si="99" t="shared"/>
        <v>5.5772794031071641E-5</v>
      </c>
      <c r="BL64" s="104">
        <f si="99" t="shared"/>
        <v>4.337883980194461E-5</v>
      </c>
      <c r="BM64" s="104">
        <f si="99" t="shared"/>
        <v>2.0140175622331426E-5</v>
      </c>
      <c r="BN64" s="104">
        <f si="99" t="shared"/>
        <v>2.1689419900972305E-5</v>
      </c>
      <c r="BO64" s="104">
        <f si="99" t="shared"/>
        <v>1.394319850776791E-5</v>
      </c>
      <c r="BP64" s="104">
        <f si="99" t="shared"/>
        <v>3.2534129851458461E-5</v>
      </c>
      <c r="BQ64" s="104">
        <f si="99" t="shared"/>
        <v>3.0984885572817578E-6</v>
      </c>
      <c r="BR64" s="104">
        <f si="99" t="shared"/>
        <v>0</v>
      </c>
      <c r="BS64" s="104">
        <f si="99" t="shared"/>
        <v>1.3828554431148487E-2</v>
      </c>
    </row>
    <row r="65" spans="1:71" x14ac:dyDescent="0.25">
      <c r="A65" s="95">
        <v>5</v>
      </c>
      <c r="B65" s="104">
        <f ref="B65:W65" si="100" t="shared">IF($W$55&gt;0,B38/$W$55,0)</f>
        <v>9.4093324343371299E-4</v>
      </c>
      <c r="C65" s="104">
        <f si="100" t="shared"/>
        <v>5.9265102917570648E-4</v>
      </c>
      <c r="D65" s="104">
        <f si="100" t="shared"/>
        <v>5.8906071009041828E-5</v>
      </c>
      <c r="E65" s="104">
        <f si="100" t="shared"/>
        <v>3.0134626128113369E-4</v>
      </c>
      <c r="F65" s="104">
        <f si="100" t="shared"/>
        <v>1.3088526291581998E-3</v>
      </c>
      <c r="G65" s="104">
        <f si="100" t="shared"/>
        <v>3.3775161528480742E-3</v>
      </c>
      <c r="H65" s="104">
        <f si="100" t="shared"/>
        <v>6.0711046115829244E-4</v>
      </c>
      <c r="I65" s="104">
        <f si="100" t="shared"/>
        <v>5.9122644814241004E-5</v>
      </c>
      <c r="J65" s="104">
        <f si="100" t="shared"/>
        <v>5.793401110707674E-4</v>
      </c>
      <c r="K65" s="104">
        <f si="100" t="shared"/>
        <v>1.2420417379767974E-3</v>
      </c>
      <c r="L65" s="104">
        <f si="100" t="shared"/>
        <v>5.8906071009041828E-5</v>
      </c>
      <c r="M65" s="104">
        <f si="100" t="shared"/>
        <v>3.9905486549793243E-3</v>
      </c>
      <c r="N65" s="104">
        <f si="100" t="shared"/>
        <v>0</v>
      </c>
      <c r="O65" s="104">
        <f si="100" t="shared"/>
        <v>0</v>
      </c>
      <c r="P65" s="104">
        <f si="100" t="shared"/>
        <v>0</v>
      </c>
      <c r="Q65" s="104">
        <f si="100" t="shared"/>
        <v>0</v>
      </c>
      <c r="R65" s="104">
        <f si="100" t="shared"/>
        <v>8.5228703073678938E-5</v>
      </c>
      <c r="S65" s="104">
        <f si="100" t="shared"/>
        <v>0</v>
      </c>
      <c r="T65" s="104">
        <f si="100" t="shared"/>
        <v>0</v>
      </c>
      <c r="U65" s="104">
        <f si="100" t="shared"/>
        <v>4.9731788506067902E-5</v>
      </c>
      <c r="V65" s="104">
        <f si="100" t="shared"/>
        <v>0</v>
      </c>
      <c r="W65" s="104">
        <f si="100" t="shared"/>
        <v>1.3252235559494079E-2</v>
      </c>
      <c r="X65" s="21"/>
      <c r="Y65" s="95">
        <v>5</v>
      </c>
      <c r="Z65" s="104">
        <f ref="Z65:AU65" si="101" t="shared">IF($W$55&gt;0,Z38/$W$55,0)</f>
        <v>1.8141749963431282E-3</v>
      </c>
      <c r="AA65" s="104">
        <f si="101" t="shared"/>
        <v>6.9439111928995588E-4</v>
      </c>
      <c r="AB65" s="104">
        <f si="101" t="shared"/>
        <v>4.9170398176748233E-4</v>
      </c>
      <c r="AC65" s="104">
        <f si="101" t="shared"/>
        <v>5.7803368849001743E-4</v>
      </c>
      <c r="AD65" s="104">
        <f si="101" t="shared"/>
        <v>9.8716142904463995E-4</v>
      </c>
      <c r="AE65" s="104">
        <f si="101" t="shared"/>
        <v>3.2329849590004432E-3</v>
      </c>
      <c r="AF65" s="104">
        <f si="101" t="shared"/>
        <v>6.4434491249428351E-4</v>
      </c>
      <c r="AG65" s="104">
        <f si="101" t="shared"/>
        <v>1.0885049978058769E-4</v>
      </c>
      <c r="AH65" s="104">
        <f si="101" t="shared"/>
        <v>5.5801520577174841E-4</v>
      </c>
      <c r="AI65" s="104">
        <f si="101" t="shared"/>
        <v>4.7168549904921337E-4</v>
      </c>
      <c r="AJ65" s="104">
        <f si="101" t="shared"/>
        <v>4.7418780938899695E-4</v>
      </c>
      <c r="AK65" s="104">
        <f si="101" t="shared"/>
        <v>2.5298357535212452E-3</v>
      </c>
      <c r="AL65" s="104">
        <f si="101" t="shared"/>
        <v>2.2145446507085083E-4</v>
      </c>
      <c r="AM65" s="104">
        <f si="101" t="shared"/>
        <v>7.2566999853725133E-5</v>
      </c>
      <c r="AN65" s="104">
        <f si="101" t="shared"/>
        <v>9.383663774188594E-5</v>
      </c>
      <c r="AO65" s="104">
        <f si="101" t="shared"/>
        <v>7.381815502361694E-5</v>
      </c>
      <c r="AP65" s="104">
        <f si="101" t="shared"/>
        <v>4.379043094621344E-5</v>
      </c>
      <c r="AQ65" s="104">
        <f si="101" t="shared"/>
        <v>6.2557758494590626E-5</v>
      </c>
      <c r="AR65" s="104">
        <f si="101" t="shared"/>
        <v>7.381815502361694E-5</v>
      </c>
      <c r="AS65" s="104">
        <f si="101" t="shared"/>
        <v>2.5023103397836253E-5</v>
      </c>
      <c r="AT65" s="104">
        <f si="101" t="shared"/>
        <v>0</v>
      </c>
      <c r="AU65" s="104">
        <f si="101" t="shared"/>
        <v>1.3252235559494079E-2</v>
      </c>
      <c r="AW65" s="95">
        <v>5</v>
      </c>
      <c r="AX65" s="104">
        <f ref="AX65:BS65" si="102" t="shared">IF($BS$55&gt;0,AX38/$BS$55,0)</f>
        <v>3.1465151299196253E-3</v>
      </c>
      <c r="AY65" s="104">
        <f si="102" t="shared"/>
        <v>7.622281850913125E-4</v>
      </c>
      <c r="AZ65" s="104">
        <f si="102" t="shared"/>
        <v>4.4308386369129138E-4</v>
      </c>
      <c r="BA65" s="104">
        <f si="102" t="shared"/>
        <v>4.8801194777187688E-4</v>
      </c>
      <c r="BB65" s="104">
        <f si="102" t="shared"/>
        <v>2.0155668065117835E-3</v>
      </c>
      <c r="BC65" s="104">
        <f si="102" t="shared"/>
        <v>3.6686104518216015E-3</v>
      </c>
      <c r="BD65" s="104">
        <f si="102" t="shared"/>
        <v>3.1139810000681669E-4</v>
      </c>
      <c r="BE65" s="104">
        <f si="102" t="shared"/>
        <v>4.802657263786725E-5</v>
      </c>
      <c r="BF65" s="104">
        <f si="102" t="shared"/>
        <v>2.494283288611815E-4</v>
      </c>
      <c r="BG65" s="104">
        <f si="102" t="shared"/>
        <v>3.2843978707186632E-4</v>
      </c>
      <c r="BH65" s="104">
        <f si="102" t="shared"/>
        <v>2.1999268756700481E-4</v>
      </c>
      <c r="BI65" s="104">
        <f si="102" t="shared"/>
        <v>1.2812250184360068E-3</v>
      </c>
      <c r="BJ65" s="104">
        <f si="102" t="shared"/>
        <v>1.4872745074952438E-4</v>
      </c>
      <c r="BK65" s="104">
        <f si="102" t="shared"/>
        <v>2.6337152736894942E-5</v>
      </c>
      <c r="BL65" s="104">
        <f si="102" t="shared"/>
        <v>3.4083374130099336E-5</v>
      </c>
      <c r="BM65" s="104">
        <f si="102" t="shared"/>
        <v>2.6337152736894942E-5</v>
      </c>
      <c r="BN65" s="104">
        <f si="102" t="shared"/>
        <v>1.2393954229127031E-5</v>
      </c>
      <c r="BO65" s="104">
        <f si="102" t="shared"/>
        <v>1.0844709950486152E-5</v>
      </c>
      <c r="BP65" s="104">
        <f si="102" t="shared"/>
        <v>2.4787908458254063E-5</v>
      </c>
      <c r="BQ65" s="104">
        <f si="102" t="shared"/>
        <v>6.1969771145635157E-6</v>
      </c>
      <c r="BR65" s="104">
        <f si="102" t="shared"/>
        <v>0</v>
      </c>
      <c r="BS65" s="104">
        <f si="102" t="shared"/>
        <v>1.3252235559494079E-2</v>
      </c>
    </row>
    <row r="66" spans="1:71" x14ac:dyDescent="0.25">
      <c r="A66" s="95">
        <v>6</v>
      </c>
      <c r="B66" s="104">
        <f ref="B66:W66" si="103" t="shared">IF($W$55&gt;0,B39/$W$55,0)</f>
        <v>5.5376198936588576E-3</v>
      </c>
      <c r="C66" s="104">
        <f si="103" t="shared"/>
        <v>1.9385320808249984E-3</v>
      </c>
      <c r="D66" s="104">
        <f si="103" t="shared"/>
        <v>4.5042590017284806E-4</v>
      </c>
      <c r="E66" s="104">
        <f si="103" t="shared"/>
        <v>2.041943346738202E-4</v>
      </c>
      <c r="F66" s="104">
        <f si="103" t="shared"/>
        <v>6.4841537770221017E-4</v>
      </c>
      <c r="G66" s="104">
        <f si="103" t="shared"/>
        <v>1.8950295649524423E-2</v>
      </c>
      <c r="H66" s="104">
        <f si="103" t="shared"/>
        <v>1.9080209396446861E-3</v>
      </c>
      <c r="I66" s="104">
        <f si="103" t="shared"/>
        <v>0</v>
      </c>
      <c r="J66" s="104">
        <f si="103" t="shared"/>
        <v>2.3462080163017449E-4</v>
      </c>
      <c r="K66" s="104">
        <f si="103" t="shared"/>
        <v>7.023937107397348E-4</v>
      </c>
      <c r="L66" s="104">
        <f si="103" t="shared"/>
        <v>6.6954091597862329E-4</v>
      </c>
      <c r="M66" s="104">
        <f si="103" t="shared"/>
        <v>7.4577569144797847E-3</v>
      </c>
      <c r="N66" s="104">
        <f si="103" t="shared"/>
        <v>1.4613790224020032E-4</v>
      </c>
      <c r="O66" s="104">
        <f si="103" t="shared"/>
        <v>0</v>
      </c>
      <c r="P66" s="104">
        <f si="103" t="shared"/>
        <v>4.7638178300744253E-4</v>
      </c>
      <c r="Q66" s="104">
        <f si="103" t="shared"/>
        <v>0</v>
      </c>
      <c r="R66" s="104">
        <f si="103" t="shared"/>
        <v>0</v>
      </c>
      <c r="S66" s="104">
        <f si="103" t="shared"/>
        <v>3.73131831510106E-5</v>
      </c>
      <c r="T66" s="104">
        <f si="103" t="shared"/>
        <v>0</v>
      </c>
      <c r="U66" s="104">
        <f si="103" t="shared"/>
        <v>0</v>
      </c>
      <c r="V66" s="104">
        <f si="103" t="shared"/>
        <v>0</v>
      </c>
      <c r="W66" s="104">
        <f si="103" t="shared"/>
        <v>3.936164938742881E-2</v>
      </c>
      <c r="X66" s="21"/>
      <c r="Y66" s="95">
        <v>6</v>
      </c>
      <c r="Z66" s="104">
        <f ref="Z66:AU66" si="104" t="shared">IF($W$55&gt;0,Z39/$W$55,0)</f>
        <v>5.3477793122628748E-3</v>
      </c>
      <c r="AA66" s="104">
        <f si="104" t="shared"/>
        <v>1.5543079671816846E-3</v>
      </c>
      <c r="AB66" s="104">
        <f si="104" t="shared"/>
        <v>1.0171302730606986E-3</v>
      </c>
      <c r="AC66" s="104">
        <f si="104" t="shared"/>
        <v>1.0226681874330799E-3</v>
      </c>
      <c r="AD66" s="104">
        <f si="104" t="shared"/>
        <v>1.4232439937019938E-3</v>
      </c>
      <c r="AE66" s="104">
        <f si="104" t="shared"/>
        <v>1.3242999235821146E-2</v>
      </c>
      <c r="AF66" s="104">
        <f si="104" t="shared"/>
        <v>1.7592107989597928E-3</v>
      </c>
      <c r="AG66" s="104">
        <f si="104" t="shared"/>
        <v>1.1445023036254684E-4</v>
      </c>
      <c r="AH66" s="104">
        <f si="104" t="shared"/>
        <v>1.436165793904217E-3</v>
      </c>
      <c r="AI66" s="104">
        <f si="104" t="shared"/>
        <v>9.5990515787942507E-4</v>
      </c>
      <c r="AJ66" s="104">
        <f si="104" t="shared"/>
        <v>8.8975824249592865E-4</v>
      </c>
      <c r="AK66" s="104">
        <f si="104" t="shared"/>
        <v>8.5782293628186308E-3</v>
      </c>
      <c r="AL66" s="104">
        <f si="104" t="shared"/>
        <v>7.1439095403718754E-4</v>
      </c>
      <c r="AM66" s="104">
        <f si="104" t="shared"/>
        <v>1.4213980222445335E-4</v>
      </c>
      <c r="AN66" s="104">
        <f si="104" t="shared"/>
        <v>3.0089334756605059E-4</v>
      </c>
      <c r="AO66" s="104">
        <f si="104" t="shared"/>
        <v>2.1044074615048937E-4</v>
      </c>
      <c r="AP66" s="104">
        <f si="104" t="shared"/>
        <v>8.1222744128259055E-5</v>
      </c>
      <c r="AQ66" s="104">
        <f si="104" t="shared"/>
        <v>2.0674880323556851E-4</v>
      </c>
      <c r="AR66" s="104">
        <f si="104" t="shared"/>
        <v>2.7135780424668364E-4</v>
      </c>
      <c r="AS66" s="104">
        <f si="104" t="shared"/>
        <v>8.8606629958100792E-5</v>
      </c>
      <c r="AT66" s="104">
        <f si="104" t="shared"/>
        <v>0</v>
      </c>
      <c r="AU66" s="104">
        <f si="104" t="shared"/>
        <v>3.936164938742881E-2</v>
      </c>
      <c r="AW66" s="95">
        <v>6</v>
      </c>
      <c r="AX66" s="104">
        <f ref="AX66:BS66" si="105" t="shared">IF($BS$55&gt;0,AX39/$BS$55,0)</f>
        <v>9.2288481678637155E-3</v>
      </c>
      <c r="AY66" s="104">
        <f si="105" t="shared"/>
        <v>2.416821074679771E-3</v>
      </c>
      <c r="AZ66" s="104">
        <f si="105" t="shared"/>
        <v>1.1030619263923058E-3</v>
      </c>
      <c r="BA66" s="104">
        <f si="105" t="shared"/>
        <v>8.5518284180976525E-4</v>
      </c>
      <c r="BB66" s="104">
        <f si="105" t="shared"/>
        <v>2.8413140070273719E-3</v>
      </c>
      <c r="BC66" s="104">
        <f si="105" t="shared"/>
        <v>1.4380085394344639E-2</v>
      </c>
      <c r="BD66" s="104">
        <f si="105" t="shared"/>
        <v>1.1851718731602724E-3</v>
      </c>
      <c r="BE66" s="104">
        <f si="105" t="shared"/>
        <v>9.60531452757345E-5</v>
      </c>
      <c r="BF66" s="104">
        <f si="105" t="shared"/>
        <v>8.226487119583067E-4</v>
      </c>
      <c r="BG66" s="104">
        <f si="105" t="shared"/>
        <v>5.8716358160489318E-4</v>
      </c>
      <c r="BH66" s="104">
        <f si="105" t="shared"/>
        <v>4.6012555075634106E-4</v>
      </c>
      <c r="BI66" s="104">
        <f si="105" t="shared"/>
        <v>4.3921075299468921E-3</v>
      </c>
      <c r="BJ66" s="104">
        <f si="105" t="shared"/>
        <v>6.5842881842237356E-4</v>
      </c>
      <c r="BK66" s="104">
        <f si="105" t="shared"/>
        <v>4.802657263786725E-5</v>
      </c>
      <c r="BL66" s="104">
        <f si="105" t="shared"/>
        <v>1.3013651940583384E-4</v>
      </c>
      <c r="BM66" s="104">
        <f si="105" t="shared"/>
        <v>3.0984885572817578E-5</v>
      </c>
      <c r="BN66" s="104">
        <f si="105" t="shared"/>
        <v>1.8590931343690547E-5</v>
      </c>
      <c r="BO66" s="104">
        <f si="105" t="shared"/>
        <v>6.1969771145635157E-5</v>
      </c>
      <c r="BP66" s="104">
        <f si="105" t="shared"/>
        <v>3.8731106966021976E-5</v>
      </c>
      <c r="BQ66" s="104">
        <f si="105" t="shared"/>
        <v>6.1969771145635157E-6</v>
      </c>
      <c r="BR66" s="104">
        <f si="105" t="shared"/>
        <v>0</v>
      </c>
      <c r="BS66" s="104">
        <f si="105" t="shared"/>
        <v>3.936164938742881E-2</v>
      </c>
    </row>
    <row customFormat="1" r="67" s="95" spans="1:71" x14ac:dyDescent="0.25">
      <c r="A67" s="95">
        <v>7</v>
      </c>
      <c r="B67" s="104">
        <f ref="B67:W67" si="106" t="shared">IF($W$55&gt;0,B40/$W$55,0)</f>
        <v>8.4713240266131758E-3</v>
      </c>
      <c r="C67" s="104">
        <f si="106" t="shared"/>
        <v>1.0863003574940189E-2</v>
      </c>
      <c r="D67" s="104">
        <f si="106" t="shared"/>
        <v>7.9182508945644346E-4</v>
      </c>
      <c r="E67" s="104">
        <f si="106" t="shared"/>
        <v>3.3575382845134204E-3</v>
      </c>
      <c r="F67" s="104">
        <f si="106" t="shared"/>
        <v>4.3125223026974167E-3</v>
      </c>
      <c r="G67" s="104">
        <f si="106" t="shared"/>
        <v>1.8058815026941431E-2</v>
      </c>
      <c r="H67" s="104">
        <f si="106" t="shared"/>
        <v>3.52414623928013E-2</v>
      </c>
      <c r="I67" s="104">
        <f si="106" t="shared"/>
        <v>1.2295211434135947E-4</v>
      </c>
      <c r="J67" s="104">
        <f si="106" t="shared"/>
        <v>9.2297895850201178E-3</v>
      </c>
      <c r="K67" s="104">
        <f si="106" t="shared"/>
        <v>4.1379689448791578E-4</v>
      </c>
      <c r="L67" s="104">
        <f si="106" t="shared"/>
        <v>0</v>
      </c>
      <c r="M67" s="104">
        <f si="106" t="shared"/>
        <v>2.0284490459781864E-2</v>
      </c>
      <c r="N67" s="104">
        <f si="106" t="shared"/>
        <v>7.1819130992683937E-3</v>
      </c>
      <c r="O67" s="104">
        <f si="106" t="shared"/>
        <v>0</v>
      </c>
      <c r="P67" s="104">
        <f si="106" t="shared"/>
        <v>6.4934756804035313E-4</v>
      </c>
      <c r="Q67" s="104">
        <f si="106" t="shared"/>
        <v>9.702932840235904E-5</v>
      </c>
      <c r="R67" s="104">
        <f si="106" t="shared"/>
        <v>0</v>
      </c>
      <c r="S67" s="104">
        <f si="106" t="shared"/>
        <v>5.732298909229774E-4</v>
      </c>
      <c r="T67" s="104">
        <f si="106" t="shared"/>
        <v>1.5556967334910847E-4</v>
      </c>
      <c r="U67" s="104">
        <f si="106" t="shared"/>
        <v>0</v>
      </c>
      <c r="V67" s="104">
        <f si="106" t="shared"/>
        <v>0</v>
      </c>
      <c r="W67" s="104">
        <f si="106" t="shared"/>
        <v>0.11980460931157781</v>
      </c>
      <c r="X67" s="21"/>
      <c r="Y67" s="95">
        <v>7</v>
      </c>
      <c r="Z67" s="104">
        <f ref="Z67:AU67" si="107" t="shared">IF($W$55&gt;0,Z40/$W$55,0)</f>
        <v>7.8535364831808403E-3</v>
      </c>
      <c r="AA67" s="104">
        <f si="107" t="shared"/>
        <v>7.9751128455785771E-3</v>
      </c>
      <c r="AB67" s="104">
        <f si="107" t="shared"/>
        <v>3.5197839552711559E-3</v>
      </c>
      <c r="AC67" s="104">
        <f si="107" t="shared"/>
        <v>2.7740167566606285E-3</v>
      </c>
      <c r="AD67" s="104">
        <f si="107" t="shared"/>
        <v>2.5442077789575835E-3</v>
      </c>
      <c r="AE67" s="104">
        <f si="107" t="shared"/>
        <v>1.5471333434395326E-2</v>
      </c>
      <c r="AF67" s="104">
        <f si="107" t="shared"/>
        <v>2.7227174622830457E-2</v>
      </c>
      <c r="AG67" s="104">
        <f si="107" t="shared"/>
        <v>4.9520128098591652E-4</v>
      </c>
      <c r="AH67" s="104">
        <f si="107" t="shared"/>
        <v>7.8980156401556208E-3</v>
      </c>
      <c r="AI67" s="104">
        <f si="107" t="shared"/>
        <v>1.930395412705579E-3</v>
      </c>
      <c r="AJ67" s="104">
        <f si="107" t="shared"/>
        <v>3.9927456577696805E-3</v>
      </c>
      <c r="AK67" s="104">
        <f si="107" t="shared"/>
        <v>2.4128460020253911E-2</v>
      </c>
      <c r="AL67" s="104">
        <f si="107" t="shared"/>
        <v>8.3176023542844077E-3</v>
      </c>
      <c r="AM67" s="104">
        <f si="107" t="shared"/>
        <v>3.8400338854895923E-4</v>
      </c>
      <c r="AN67" s="104">
        <f si="107" t="shared"/>
        <v>2.4196661394281908E-3</v>
      </c>
      <c r="AO67" s="104">
        <f si="107" t="shared"/>
        <v>3.0987146025765439E-4</v>
      </c>
      <c r="AP67" s="104">
        <f si="107" t="shared"/>
        <v>2.935624360335673E-4</v>
      </c>
      <c r="AQ67" s="104">
        <f si="107" t="shared"/>
        <v>1.1253226714620082E-3</v>
      </c>
      <c r="AR67" s="104">
        <f si="107" t="shared"/>
        <v>7.0425331876739644E-4</v>
      </c>
      <c r="AS67" s="104">
        <f si="107" t="shared"/>
        <v>4.4034365405035098E-4</v>
      </c>
      <c r="AT67" s="104">
        <f si="107" t="shared"/>
        <v>0</v>
      </c>
      <c r="AU67" s="104">
        <f si="107" t="shared"/>
        <v>0.11980460931157781</v>
      </c>
      <c r="AW67" s="95">
        <v>7</v>
      </c>
      <c r="AX67" s="104">
        <f ref="AX67:BS67" si="108" t="shared">IF($BS$55&gt;0,AX40/$BS$55,0)</f>
        <v>1.665437599538945E-2</v>
      </c>
      <c r="AY67" s="104">
        <f si="108" t="shared"/>
        <v>8.6091504564073645E-3</v>
      </c>
      <c r="AZ67" s="104">
        <f si="108" t="shared"/>
        <v>2.9544088393681561E-3</v>
      </c>
      <c r="BA67" s="104">
        <f si="108" t="shared"/>
        <v>1.5569905000340834E-3</v>
      </c>
      <c r="BB67" s="104">
        <f si="108" t="shared"/>
        <v>3.9955009946148271E-3</v>
      </c>
      <c r="BC67" s="104">
        <f si="108" t="shared"/>
        <v>1.5084991541126238E-2</v>
      </c>
      <c r="BD67" s="104">
        <f si="108" t="shared"/>
        <v>2.069480507408486E-2</v>
      </c>
      <c r="BE67" s="104">
        <f si="108" t="shared"/>
        <v>1.3323500796311559E-4</v>
      </c>
      <c r="BF67" s="104">
        <f si="108" t="shared"/>
        <v>5.4424951508654082E-3</v>
      </c>
      <c r="BG67" s="104">
        <f si="108" t="shared"/>
        <v>7.4673574230490363E-4</v>
      </c>
      <c r="BH67" s="104">
        <f si="108" t="shared"/>
        <v>1.0410921552466707E-3</v>
      </c>
      <c r="BI67" s="104">
        <f si="108" t="shared"/>
        <v>1.8239252892439068E-2</v>
      </c>
      <c r="BJ67" s="104">
        <f si="108" t="shared"/>
        <v>2.1887723168638337E-2</v>
      </c>
      <c r="BK67" s="104">
        <f si="108" t="shared"/>
        <v>1.0999634378350241E-4</v>
      </c>
      <c r="BL67" s="104">
        <f si="108" t="shared"/>
        <v>1.7367028363564254E-3</v>
      </c>
      <c r="BM67" s="104">
        <f si="108" t="shared"/>
        <v>4.4928084080585492E-5</v>
      </c>
      <c r="BN67" s="104">
        <f si="108" t="shared"/>
        <v>6.8166748260198672E-5</v>
      </c>
      <c r="BO67" s="104">
        <f si="108" t="shared"/>
        <v>6.0110678011266101E-4</v>
      </c>
      <c r="BP67" s="104">
        <f si="108" t="shared"/>
        <v>1.7196611492913756E-4</v>
      </c>
      <c r="BQ67" s="104">
        <f si="108" t="shared"/>
        <v>3.0984885572817578E-5</v>
      </c>
      <c r="BR67" s="104">
        <f si="108" t="shared"/>
        <v>0</v>
      </c>
      <c r="BS67" s="104">
        <f si="108" t="shared"/>
        <v>0.11980460931157781</v>
      </c>
    </row>
    <row r="68" spans="1:71" x14ac:dyDescent="0.25">
      <c r="A68" s="95">
        <v>8</v>
      </c>
      <c r="B68" s="104">
        <f ref="B68:W68" si="109" t="shared">IF($W$55&gt;0,B41/$W$55,0)</f>
        <v>7.466016922669232E-4</v>
      </c>
      <c r="C68" s="104">
        <f si="109" t="shared"/>
        <v>2.6982320175403349E-4</v>
      </c>
      <c r="D68" s="104">
        <f si="109" t="shared"/>
        <v>7.292607841972678E-5</v>
      </c>
      <c r="E68" s="104">
        <f si="109" t="shared"/>
        <v>2.6879409999397934E-4</v>
      </c>
      <c r="F68" s="104">
        <f si="109" t="shared"/>
        <v>2.0279793740024109E-4</v>
      </c>
      <c r="G68" s="104">
        <f si="109" t="shared"/>
        <v>6.0542733948678587E-4</v>
      </c>
      <c r="H68" s="104">
        <f si="109" t="shared"/>
        <v>1.1522732338879599E-4</v>
      </c>
      <c r="I68" s="104">
        <f si="109" t="shared"/>
        <v>3.6896273352016824E-4</v>
      </c>
      <c r="J68" s="104">
        <f si="109" t="shared"/>
        <v>3.5304099303016531E-4</v>
      </c>
      <c r="K68" s="104">
        <f si="109" t="shared"/>
        <v>6.6179411045469557E-5</v>
      </c>
      <c r="L68" s="104">
        <f si="109" t="shared"/>
        <v>1.7724198348626954E-3</v>
      </c>
      <c r="M68" s="104">
        <f si="109" t="shared"/>
        <v>9.5150376852690469E-4</v>
      </c>
      <c r="N68" s="104">
        <f si="109" t="shared"/>
        <v>0</v>
      </c>
      <c r="O68" s="104">
        <f si="109" t="shared"/>
        <v>6.3653986888903235E-5</v>
      </c>
      <c r="P68" s="104">
        <f si="109" t="shared"/>
        <v>5.7098226451408265E-5</v>
      </c>
      <c r="Q68" s="104">
        <f si="109" t="shared"/>
        <v>0</v>
      </c>
      <c r="R68" s="104">
        <f si="109" t="shared"/>
        <v>1.0149754211243137E-4</v>
      </c>
      <c r="S68" s="104">
        <f si="109" t="shared"/>
        <v>6.3653986888903235E-5</v>
      </c>
      <c r="T68" s="104">
        <f si="109" t="shared"/>
        <v>3.466571117648303E-4</v>
      </c>
      <c r="U68" s="104">
        <f si="109" t="shared"/>
        <v>0</v>
      </c>
      <c r="V68" s="104">
        <f si="109" t="shared"/>
        <v>0</v>
      </c>
      <c r="W68" s="104">
        <f si="109" t="shared"/>
        <v>6.4262652678023658E-3</v>
      </c>
      <c r="X68" s="21"/>
      <c r="Y68" s="95">
        <v>8</v>
      </c>
      <c r="Z68" s="104">
        <f ref="Z68:AU68" si="110" t="shared">IF($W$55&gt;0,Z41/$W$55,0)</f>
        <v>6.6486853161483353E-4</v>
      </c>
      <c r="AA68" s="104">
        <f si="110" t="shared"/>
        <v>4.7353945776883822E-4</v>
      </c>
      <c r="AB68" s="104">
        <f si="110" t="shared"/>
        <v>3.3363007251895424E-4</v>
      </c>
      <c r="AC68" s="104">
        <f si="110" t="shared"/>
        <v>3.5515459332662871E-4</v>
      </c>
      <c r="AD68" s="104">
        <f si="110" t="shared"/>
        <v>2.9656006446129266E-4</v>
      </c>
      <c r="AE68" s="104">
        <f si="110" t="shared"/>
        <v>1.3297370632296671E-3</v>
      </c>
      <c r="AF68" s="104">
        <f si="110" t="shared"/>
        <v>3.8744137453814039E-4</v>
      </c>
      <c r="AG68" s="104">
        <f si="110" t="shared"/>
        <v>1.5186745236525875E-4</v>
      </c>
      <c r="AH68" s="104">
        <f si="110" t="shared"/>
        <v>4.0418266849966497E-4</v>
      </c>
      <c r="AI68" s="104">
        <f si="110" t="shared"/>
        <v>1.8295842686523299E-4</v>
      </c>
      <c r="AJ68" s="104">
        <f si="110" t="shared"/>
        <v>5.3930882690339911E-4</v>
      </c>
      <c r="AK68" s="104">
        <f si="110" t="shared"/>
        <v>8.4065211821084172E-4</v>
      </c>
      <c r="AL68" s="104">
        <f si="110" t="shared"/>
        <v>1.0762260403837233E-4</v>
      </c>
      <c r="AM68" s="104">
        <f si="110" t="shared"/>
        <v>1.2077647786528453E-4</v>
      </c>
      <c r="AN68" s="104">
        <f si="110" t="shared"/>
        <v>6.4573562423023403E-5</v>
      </c>
      <c r="AO68" s="104">
        <f si="110" t="shared"/>
        <v>1.7937100673062054E-5</v>
      </c>
      <c r="AP68" s="104">
        <f si="110" t="shared"/>
        <v>4.1853234903811464E-5</v>
      </c>
      <c r="AQ68" s="104">
        <f si="110" t="shared"/>
        <v>3.8265814769199056E-5</v>
      </c>
      <c r="AR68" s="104">
        <f si="110" t="shared"/>
        <v>5.8594528865336055E-5</v>
      </c>
      <c r="AS68" s="104">
        <f si="110" t="shared"/>
        <v>1.6741293961524584E-5</v>
      </c>
      <c r="AT68" s="104">
        <f si="110" t="shared"/>
        <v>0</v>
      </c>
      <c r="AU68" s="104">
        <f si="110" t="shared"/>
        <v>6.4262652678023658E-3</v>
      </c>
      <c r="AW68" s="95">
        <v>8</v>
      </c>
      <c r="AX68" s="104">
        <f ref="AX68:BS68" si="111" t="shared">IF($BS$55&gt;0,AX41/$BS$55,0)</f>
        <v>1.7490967905855524E-3</v>
      </c>
      <c r="AY68" s="104">
        <f si="111" t="shared"/>
        <v>4.6012555075634106E-4</v>
      </c>
      <c r="AZ68" s="104">
        <f si="111" t="shared"/>
        <v>4.2294368806895994E-4</v>
      </c>
      <c r="BA68" s="104">
        <f si="111" t="shared"/>
        <v>3.1914432140002106E-4</v>
      </c>
      <c r="BB68" s="104">
        <f si="111" t="shared"/>
        <v>5.0350439055828569E-4</v>
      </c>
      <c r="BC68" s="104">
        <f si="111" t="shared"/>
        <v>1.2905204841078522E-3</v>
      </c>
      <c r="BD68" s="104">
        <f si="111" t="shared"/>
        <v>2.0450024478059603E-4</v>
      </c>
      <c r="BE68" s="104">
        <f si="111" t="shared"/>
        <v>4.1829595523303734E-5</v>
      </c>
      <c r="BF68" s="104">
        <f si="111" t="shared"/>
        <v>1.9985251194467338E-4</v>
      </c>
      <c r="BG68" s="104">
        <f si="111" t="shared"/>
        <v>9.4503900997093624E-5</v>
      </c>
      <c r="BH68" s="104">
        <f si="111" t="shared"/>
        <v>4.7716723782139075E-4</v>
      </c>
      <c r="BI68" s="104">
        <f si="111" t="shared"/>
        <v>4.1984519951167819E-4</v>
      </c>
      <c r="BJ68" s="104">
        <f si="111" t="shared"/>
        <v>7.7462213932043953E-5</v>
      </c>
      <c r="BK68" s="104">
        <f si="111" t="shared"/>
        <v>6.1969771145635157E-5</v>
      </c>
      <c r="BL68" s="104">
        <f si="111" t="shared"/>
        <v>3.7181862687381094E-5</v>
      </c>
      <c r="BM68" s="104">
        <f si="111" t="shared"/>
        <v>0</v>
      </c>
      <c r="BN68" s="104">
        <f si="111" t="shared"/>
        <v>2.1689419900972305E-5</v>
      </c>
      <c r="BO68" s="104">
        <f si="111" t="shared"/>
        <v>4.6477328359226368E-6</v>
      </c>
      <c r="BP68" s="104">
        <f si="111" t="shared"/>
        <v>3.7181862687381094E-5</v>
      </c>
      <c r="BQ68" s="104">
        <f si="111" t="shared"/>
        <v>3.0984885572817578E-6</v>
      </c>
      <c r="BR68" s="104">
        <f si="111" t="shared"/>
        <v>0</v>
      </c>
      <c r="BS68" s="104">
        <f si="111" t="shared"/>
        <v>6.4262652678023658E-3</v>
      </c>
    </row>
    <row r="69" spans="1:71" x14ac:dyDescent="0.25">
      <c r="A69" s="95">
        <v>9</v>
      </c>
      <c r="B69" s="104">
        <f ref="B69:W69" si="112" t="shared">IF($W$55&gt;0,B42/$W$55,0)</f>
        <v>1.2997997167165036E-2</v>
      </c>
      <c r="C69" s="104">
        <f si="112" t="shared"/>
        <v>7.3285329428099608E-3</v>
      </c>
      <c r="D69" s="104">
        <f si="112" t="shared"/>
        <v>2.1013153124590021E-3</v>
      </c>
      <c r="E69" s="104">
        <f si="112" t="shared"/>
        <v>3.2435361241383463E-3</v>
      </c>
      <c r="F69" s="104">
        <f si="112" t="shared"/>
        <v>1.7864652170927384E-3</v>
      </c>
      <c r="G69" s="104">
        <f si="112" t="shared"/>
        <v>6.9506491089040131E-3</v>
      </c>
      <c r="H69" s="104">
        <f si="112" t="shared"/>
        <v>8.4792497569851563E-3</v>
      </c>
      <c r="I69" s="104">
        <f si="112" t="shared"/>
        <v>0</v>
      </c>
      <c r="J69" s="104">
        <f si="112" t="shared"/>
        <v>2.9333037869659878E-2</v>
      </c>
      <c r="K69" s="104">
        <f si="112" t="shared"/>
        <v>1.8360162109261953E-4</v>
      </c>
      <c r="L69" s="104">
        <f si="112" t="shared"/>
        <v>1.3925081645544666E-3</v>
      </c>
      <c r="M69" s="104">
        <f si="112" t="shared"/>
        <v>1.0513908031761771E-2</v>
      </c>
      <c r="N69" s="104">
        <f si="112" t="shared"/>
        <v>7.8647912231595161E-5</v>
      </c>
      <c r="O69" s="104">
        <f si="112" t="shared"/>
        <v>0</v>
      </c>
      <c r="P69" s="104">
        <f si="112" t="shared"/>
        <v>3.4146533252344402E-3</v>
      </c>
      <c r="Q69" s="104">
        <f si="112" t="shared"/>
        <v>0</v>
      </c>
      <c r="R69" s="104">
        <f si="112" t="shared"/>
        <v>2.8124360057840079E-4</v>
      </c>
      <c r="S69" s="104">
        <f si="112" t="shared"/>
        <v>5.6843591417123031E-4</v>
      </c>
      <c r="T69" s="104">
        <f si="112" t="shared"/>
        <v>2.635440594759547E-4</v>
      </c>
      <c r="U69" s="104">
        <f si="112" t="shared"/>
        <v>0</v>
      </c>
      <c r="V69" s="104">
        <f si="112" t="shared"/>
        <v>0</v>
      </c>
      <c r="W69" s="104">
        <f si="112" t="shared"/>
        <v>8.8917326128314614E-2</v>
      </c>
      <c r="X69" s="30"/>
      <c r="Y69" s="95">
        <v>9</v>
      </c>
      <c r="Z69" s="104">
        <f ref="Z69:AU69" si="113" t="shared">IF($W$55&gt;0,Z42/$W$55,0)</f>
        <v>8.0394675516041944E-3</v>
      </c>
      <c r="AA69" s="104">
        <f si="113" t="shared"/>
        <v>6.7747504440111381E-3</v>
      </c>
      <c r="AB69" s="104">
        <f si="113" t="shared"/>
        <v>3.2090923155842234E-3</v>
      </c>
      <c r="AC69" s="104">
        <f si="113" t="shared"/>
        <v>2.4130045620129898E-3</v>
      </c>
      <c r="AD69" s="104">
        <f si="113" t="shared"/>
        <v>1.8090257361774102E-3</v>
      </c>
      <c r="AE69" s="104">
        <f si="113" t="shared"/>
        <v>1.410108636992995E-2</v>
      </c>
      <c r="AF69" s="104">
        <f si="113" t="shared"/>
        <v>8.0161816209695699E-3</v>
      </c>
      <c r="AG69" s="104">
        <f si="113" t="shared"/>
        <v>4.6135250069850284E-4</v>
      </c>
      <c r="AH69" s="104">
        <f si="113" t="shared"/>
        <v>1.3968647639445522E-2</v>
      </c>
      <c r="AI69" s="104">
        <f si="113" t="shared"/>
        <v>1.3141997101916343E-3</v>
      </c>
      <c r="AJ69" s="104">
        <f si="113" t="shared"/>
        <v>4.6091588949910365E-3</v>
      </c>
      <c r="AK69" s="104">
        <f si="113" t="shared"/>
        <v>1.3271525091071445E-2</v>
      </c>
      <c r="AL69" s="104">
        <f si="113" t="shared"/>
        <v>2.9616793025913353E-3</v>
      </c>
      <c r="AM69" s="104">
        <f si="113" t="shared"/>
        <v>4.118698980999253E-4</v>
      </c>
      <c r="AN69" s="104">
        <f si="113" t="shared"/>
        <v>5.0064750864443211E-3</v>
      </c>
      <c r="AO69" s="104">
        <f si="113" t="shared"/>
        <v>1.9210892773565417E-4</v>
      </c>
      <c r="AP69" s="104">
        <f si="113" t="shared"/>
        <v>4.2060212208790951E-4</v>
      </c>
      <c r="AQ69" s="104">
        <f si="113" t="shared"/>
        <v>3.929500794592927E-4</v>
      </c>
      <c r="AR69" s="104">
        <f si="113" t="shared"/>
        <v>1.2545295129404084E-3</v>
      </c>
      <c r="AS69" s="104">
        <f si="113" t="shared"/>
        <v>2.8961876226814536E-4</v>
      </c>
      <c r="AT69" s="104">
        <f si="113" t="shared"/>
        <v>0</v>
      </c>
      <c r="AU69" s="104">
        <f si="113" t="shared"/>
        <v>8.89173261283146E-2</v>
      </c>
      <c r="AW69" s="95">
        <v>9</v>
      </c>
      <c r="AX69" s="104">
        <f ref="AX69:BS69" si="114" t="shared">IF($BS$55&gt;0,AX42/$BS$55,0)</f>
        <v>1.7088164393408895E-2</v>
      </c>
      <c r="AY69" s="104">
        <f si="114" t="shared"/>
        <v>8.1195892643568471E-3</v>
      </c>
      <c r="AZ69" s="104">
        <f si="114" t="shared"/>
        <v>3.1093332672322443E-3</v>
      </c>
      <c r="BA69" s="104">
        <f si="114" t="shared"/>
        <v>1.4857252632166028E-3</v>
      </c>
      <c r="BB69" s="104">
        <f si="114" t="shared"/>
        <v>3.7569173757041317E-3</v>
      </c>
      <c r="BC69" s="104">
        <f si="114" t="shared"/>
        <v>1.4291778470462108E-2</v>
      </c>
      <c r="BD69" s="104">
        <f si="114" t="shared"/>
        <v>7.3465163693150481E-3</v>
      </c>
      <c r="BE69" s="104">
        <f si="114" t="shared"/>
        <v>1.2084105373398856E-4</v>
      </c>
      <c r="BF69" s="104">
        <f si="114" t="shared"/>
        <v>1.1689048082345431E-2</v>
      </c>
      <c r="BG69" s="104">
        <f si="114" t="shared"/>
        <v>5.6547416170392082E-4</v>
      </c>
      <c r="BH69" s="104">
        <f si="114" t="shared"/>
        <v>2.9745490149904875E-3</v>
      </c>
      <c r="BI69" s="104">
        <f si="114" t="shared"/>
        <v>8.0978998444558737E-3</v>
      </c>
      <c r="BJ69" s="104">
        <f si="114" t="shared"/>
        <v>4.7840663324430341E-3</v>
      </c>
      <c r="BK69" s="104">
        <f si="114" t="shared"/>
        <v>1.9675402338739163E-4</v>
      </c>
      <c r="BL69" s="104">
        <f si="114" t="shared"/>
        <v>4.2666187433769804E-3</v>
      </c>
      <c r="BM69" s="104">
        <f si="114" t="shared"/>
        <v>5.4223549752430766E-5</v>
      </c>
      <c r="BN69" s="104">
        <f si="114" t="shared"/>
        <v>1.8436006915826459E-4</v>
      </c>
      <c r="BO69" s="104">
        <f si="114" t="shared"/>
        <v>1.2239029801262944E-4</v>
      </c>
      <c r="BP69" s="104">
        <f si="114" t="shared"/>
        <v>6.5533032986509181E-4</v>
      </c>
      <c r="BQ69" s="104">
        <f si="114" t="shared"/>
        <v>7.7462213932043946E-6</v>
      </c>
      <c r="BR69" s="104">
        <f si="114" t="shared"/>
        <v>0</v>
      </c>
      <c r="BS69" s="104">
        <f si="114" t="shared"/>
        <v>8.8917326128314614E-2</v>
      </c>
    </row>
    <row r="70" spans="1:71" x14ac:dyDescent="0.25">
      <c r="A70" s="95">
        <v>10</v>
      </c>
      <c r="B70" s="104">
        <f ref="B70:W70" si="115" t="shared">IF($W$55&gt;0,B43/$W$55,0)</f>
        <v>6.01598378911424E-3</v>
      </c>
      <c r="C70" s="104">
        <f si="115" t="shared"/>
        <v>5.0899727098215031E-4</v>
      </c>
      <c r="D70" s="104">
        <f si="115" t="shared"/>
        <v>8.3752062202416331E-4</v>
      </c>
      <c r="E70" s="104">
        <f si="115" t="shared"/>
        <v>1.2502824955366667E-3</v>
      </c>
      <c r="F70" s="104">
        <f si="115" t="shared"/>
        <v>3.6857028923210117E-3</v>
      </c>
      <c r="G70" s="104">
        <f si="115" t="shared"/>
        <v>1.1145253025304201E-2</v>
      </c>
      <c r="H70" s="104">
        <f si="115" t="shared"/>
        <v>1.4920828821554804E-3</v>
      </c>
      <c r="I70" s="104">
        <f si="115" t="shared"/>
        <v>9.3308293020795895E-4</v>
      </c>
      <c r="J70" s="104">
        <f si="115" t="shared"/>
        <v>4.3184088968830064E-4</v>
      </c>
      <c r="K70" s="104">
        <f si="115" t="shared"/>
        <v>3.9422079172065734E-3</v>
      </c>
      <c r="L70" s="104">
        <f si="115" t="shared"/>
        <v>6.7425752959756181E-4</v>
      </c>
      <c r="M70" s="104">
        <f si="115" t="shared"/>
        <v>6.4028541332486755E-3</v>
      </c>
      <c r="N70" s="104">
        <f si="115" t="shared"/>
        <v>2.7686467996783576E-4</v>
      </c>
      <c r="O70" s="104">
        <f si="115" t="shared"/>
        <v>1.3630710419036419E-4</v>
      </c>
      <c r="P70" s="104">
        <f si="115" t="shared"/>
        <v>0</v>
      </c>
      <c r="Q70" s="104">
        <f si="115" t="shared"/>
        <v>3.7187168915695862E-4</v>
      </c>
      <c r="R70" s="104">
        <f si="115" t="shared"/>
        <v>0</v>
      </c>
      <c r="S70" s="104">
        <f si="115" t="shared"/>
        <v>4.038277799358265E-5</v>
      </c>
      <c r="T70" s="104">
        <f si="115" t="shared"/>
        <v>0</v>
      </c>
      <c r="U70" s="104">
        <f si="115" t="shared"/>
        <v>0</v>
      </c>
      <c r="V70" s="104">
        <f si="115" t="shared"/>
        <v>0</v>
      </c>
      <c r="W70" s="104">
        <f si="115" t="shared"/>
        <v>3.8145492628695724E-2</v>
      </c>
      <c r="Y70" s="95">
        <v>10</v>
      </c>
      <c r="Z70" s="104">
        <f ref="Z70:AU70" si="116" t="shared">IF($W$55&gt;0,Z43/$W$55,0)</f>
        <v>4.1222074726239132E-3</v>
      </c>
      <c r="AA70" s="104">
        <f si="116" t="shared"/>
        <v>1.475616993664449E-3</v>
      </c>
      <c r="AB70" s="104">
        <f si="116" t="shared"/>
        <v>7.6478214080243502E-4</v>
      </c>
      <c r="AC70" s="104">
        <f si="116" t="shared"/>
        <v>1.1455865262642282E-3</v>
      </c>
      <c r="AD70" s="104">
        <f si="116" t="shared"/>
        <v>1.896088502611846E-3</v>
      </c>
      <c r="AE70" s="104">
        <f si="116" t="shared"/>
        <v>9.942167830431654E-3</v>
      </c>
      <c r="AF70" s="104">
        <f si="116" t="shared"/>
        <v>1.5406710761808387E-3</v>
      </c>
      <c r="AG70" s="104">
        <f si="116" t="shared"/>
        <v>3.2844378246079677E-4</v>
      </c>
      <c r="AH70" s="104">
        <f si="116" t="shared"/>
        <v>1.4359498701788456E-3</v>
      </c>
      <c r="AI70" s="104">
        <f si="116" t="shared"/>
        <v>3.0099413300875913E-3</v>
      </c>
      <c r="AJ70" s="104">
        <f si="116" t="shared"/>
        <v>1.0773590738689903E-3</v>
      </c>
      <c r="AK70" s="104">
        <f si="116" t="shared"/>
        <v>8.977463387261778E-3</v>
      </c>
      <c r="AL70" s="104">
        <f si="116" t="shared"/>
        <v>6.6006093480044188E-4</v>
      </c>
      <c r="AM70" s="104">
        <f si="116" t="shared"/>
        <v>2.1261578188283458E-4</v>
      </c>
      <c r="AN70" s="104">
        <f si="116" t="shared"/>
        <v>2.3165600115592427E-4</v>
      </c>
      <c r="AO70" s="104">
        <f si="116" t="shared"/>
        <v>6.3467397576965549E-4</v>
      </c>
      <c r="AP70" s="104">
        <f si="116" t="shared"/>
        <v>8.8854356607751765E-5</v>
      </c>
      <c r="AQ70" s="104">
        <f si="116" t="shared"/>
        <v>2.1102909694341044E-4</v>
      </c>
      <c r="AR70" s="104">
        <f si="116" t="shared"/>
        <v>2.7132312464152775E-4</v>
      </c>
      <c r="AS70" s="104">
        <f si="116" t="shared"/>
        <v>1.1900137045681042E-4</v>
      </c>
      <c r="AT70" s="104">
        <f si="116" t="shared"/>
        <v>0</v>
      </c>
      <c r="AU70" s="104">
        <f si="116" t="shared"/>
        <v>3.8145492628695717E-2</v>
      </c>
      <c r="AW70" s="95">
        <v>10</v>
      </c>
      <c r="AX70" s="104">
        <f ref="AX70:BS70" si="117" t="shared">IF($BS$55&gt;0,AX43/$BS$55,0)</f>
        <v>8.1505741499296649E-3</v>
      </c>
      <c r="AY70" s="104">
        <f si="117" t="shared"/>
        <v>2.1364078602457721E-3</v>
      </c>
      <c r="AZ70" s="104">
        <f si="117" t="shared"/>
        <v>1.0798232622126927E-3</v>
      </c>
      <c r="BA70" s="104">
        <f si="117" t="shared"/>
        <v>1.2533386214204712E-3</v>
      </c>
      <c r="BB70" s="104">
        <f si="117" t="shared"/>
        <v>3.6546672533138333E-3</v>
      </c>
      <c r="BC70" s="104">
        <f si="117" t="shared"/>
        <v>9.3543369544336272E-3</v>
      </c>
      <c r="BD70" s="104">
        <f si="117" t="shared"/>
        <v>1.0209519796243393E-3</v>
      </c>
      <c r="BE70" s="104">
        <f si="117" t="shared"/>
        <v>1.5337518358544703E-4</v>
      </c>
      <c r="BF70" s="104">
        <f si="117" t="shared"/>
        <v>6.3983788707868306E-4</v>
      </c>
      <c r="BG70" s="104">
        <f si="117" t="shared"/>
        <v>1.9427523254156621E-3</v>
      </c>
      <c r="BH70" s="104">
        <f si="117" t="shared"/>
        <v>4.6787177214954544E-4</v>
      </c>
      <c r="BI70" s="104">
        <f si="117" t="shared"/>
        <v>7.0738493762742532E-3</v>
      </c>
      <c r="BJ70" s="104">
        <f si="117" t="shared"/>
        <v>5.8406509304761132E-4</v>
      </c>
      <c r="BK70" s="104">
        <f si="117" t="shared"/>
        <v>7.7462213932043953E-5</v>
      </c>
      <c r="BL70" s="104">
        <f si="117" t="shared"/>
        <v>1.3013651940583384E-4</v>
      </c>
      <c r="BM70" s="104">
        <f si="117" t="shared"/>
        <v>2.3703437463205447E-4</v>
      </c>
      <c r="BN70" s="104">
        <f si="117" t="shared"/>
        <v>3.7181862687381094E-5</v>
      </c>
      <c r="BO70" s="104">
        <f si="117" t="shared"/>
        <v>1.0999634378350241E-4</v>
      </c>
      <c r="BP70" s="104">
        <f si="117" t="shared"/>
        <v>2.7886397015535821E-5</v>
      </c>
      <c r="BQ70" s="104">
        <f si="117" t="shared"/>
        <v>1.394319850776791E-5</v>
      </c>
      <c r="BR70" s="104">
        <f si="117" t="shared"/>
        <v>0</v>
      </c>
      <c r="BS70" s="104">
        <f si="117" t="shared"/>
        <v>3.8145492628695724E-2</v>
      </c>
    </row>
    <row r="71" spans="1:71" x14ac:dyDescent="0.25">
      <c r="A71" s="95">
        <v>11</v>
      </c>
      <c r="B71" s="104">
        <f ref="B71:W71" si="118" t="shared">IF($W$55&gt;0,B44/$W$55,0)</f>
        <v>9.6736733929085172E-3</v>
      </c>
      <c r="C71" s="104">
        <f si="118" t="shared"/>
        <v>2.693485597703982E-3</v>
      </c>
      <c r="D71" s="104">
        <f si="118" t="shared"/>
        <v>7.6078693883321873E-3</v>
      </c>
      <c r="E71" s="104">
        <f si="118" t="shared"/>
        <v>3.469067098932372E-3</v>
      </c>
      <c r="F71" s="104">
        <f si="118" t="shared"/>
        <v>3.8937229285787318E-3</v>
      </c>
      <c r="G71" s="104">
        <f si="118" t="shared"/>
        <v>7.6726500743375375E-3</v>
      </c>
      <c r="H71" s="104">
        <f si="118" t="shared"/>
        <v>4.0941143075038846E-3</v>
      </c>
      <c r="I71" s="104">
        <f si="118" t="shared"/>
        <v>9.0491322187560722E-4</v>
      </c>
      <c r="J71" s="104">
        <f si="118" t="shared"/>
        <v>4.3985733008848399E-3</v>
      </c>
      <c r="K71" s="104">
        <f si="118" t="shared"/>
        <v>2.9193384893930131E-4</v>
      </c>
      <c r="L71" s="104">
        <f si="118" t="shared"/>
        <v>2.014581614470734E-2</v>
      </c>
      <c r="M71" s="104">
        <f si="118" t="shared"/>
        <v>4.9037719714653287E-3</v>
      </c>
      <c r="N71" s="104">
        <f si="118" t="shared"/>
        <v>7.1352205499825345E-5</v>
      </c>
      <c r="O71" s="104">
        <f si="118" t="shared"/>
        <v>3.1945020432069322E-4</v>
      </c>
      <c r="P71" s="104">
        <f si="118" t="shared"/>
        <v>0</v>
      </c>
      <c r="Q71" s="104">
        <f si="118" t="shared"/>
        <v>1.1920575648312344E-3</v>
      </c>
      <c r="R71" s="104">
        <f si="118" t="shared"/>
        <v>1.580885346265608E-3</v>
      </c>
      <c r="S71" s="104">
        <f si="118" t="shared"/>
        <v>1.8449569823865385E-3</v>
      </c>
      <c r="T71" s="104">
        <f si="118" t="shared"/>
        <v>2.9889812998403391E-3</v>
      </c>
      <c r="U71" s="104">
        <f si="118" t="shared"/>
        <v>0</v>
      </c>
      <c r="V71" s="104">
        <f si="118" t="shared"/>
        <v>0</v>
      </c>
      <c r="W71" s="104">
        <f si="118" t="shared"/>
        <v>7.7747274879313877E-2</v>
      </c>
      <c r="Y71" s="95">
        <v>11</v>
      </c>
      <c r="Z71" s="104">
        <f ref="Z71:AU71" si="119" t="shared">IF($W$55&gt;0,Z44/$W$55,0)</f>
        <v>6.7461419592250178E-3</v>
      </c>
      <c r="AA71" s="104">
        <f si="119" t="shared"/>
        <v>4.793840655437369E-3</v>
      </c>
      <c r="AB71" s="104">
        <f si="119" t="shared"/>
        <v>3.7465796911539274E-3</v>
      </c>
      <c r="AC71" s="104">
        <f si="119" t="shared"/>
        <v>2.848722211487055E-3</v>
      </c>
      <c r="AD71" s="104">
        <f si="119" t="shared"/>
        <v>2.1017047884042163E-3</v>
      </c>
      <c r="AE71" s="104">
        <f si="119" t="shared"/>
        <v>1.1910618182268871E-2</v>
      </c>
      <c r="AF71" s="104">
        <f si="119" t="shared"/>
        <v>4.035330656614794E-3</v>
      </c>
      <c r="AG71" s="104">
        <f si="119" t="shared"/>
        <v>7.3408827537563542E-4</v>
      </c>
      <c r="AH71" s="104">
        <f si="119" t="shared"/>
        <v>5.5724626618044804E-3</v>
      </c>
      <c r="AI71" s="104">
        <f si="119" t="shared"/>
        <v>1.2311421761192162E-3</v>
      </c>
      <c r="AJ71" s="104">
        <f si="119" t="shared"/>
        <v>1.4921673026079696E-2</v>
      </c>
      <c r="AK71" s="104">
        <f si="119" t="shared"/>
        <v>8.6065026570947781E-3</v>
      </c>
      <c r="AL71" s="104">
        <f si="119" t="shared"/>
        <v>1.5356954332222197E-3</v>
      </c>
      <c r="AM71" s="104">
        <f si="119" t="shared"/>
        <v>8.8636490392713708E-4</v>
      </c>
      <c r="AN71" s="104">
        <f si="119" t="shared"/>
        <v>1.404967384182723E-3</v>
      </c>
      <c r="AO71" s="104">
        <f si="119" t="shared"/>
        <v>1.7957149593337461E-4</v>
      </c>
      <c r="AP71" s="104">
        <f si="119" t="shared"/>
        <v>1.0961044111773186E-3</v>
      </c>
      <c r="AQ71" s="104">
        <f si="119" t="shared"/>
        <v>3.189189767776733E-4</v>
      </c>
      <c r="AR71" s="104">
        <f si="119" t="shared"/>
        <v>4.818262378884307E-3</v>
      </c>
      <c r="AS71" s="104">
        <f si="119" t="shared"/>
        <v>2.5858295414405943E-4</v>
      </c>
      <c r="AT71" s="104">
        <f si="119" t="shared"/>
        <v>0</v>
      </c>
      <c r="AU71" s="104">
        <f si="119" t="shared"/>
        <v>7.7747274879313877E-2</v>
      </c>
      <c r="AW71" s="95">
        <v>11</v>
      </c>
      <c r="AX71" s="104">
        <f ref="AX71:BS71" si="120" t="shared">IF($BS$55&gt;0,AX44/$BS$55,0)</f>
        <v>1.6953380141167138E-2</v>
      </c>
      <c r="AY71" s="104">
        <f si="120" t="shared"/>
        <v>4.8289944165236199E-3</v>
      </c>
      <c r="AZ71" s="104">
        <f si="120" t="shared"/>
        <v>5.155884959316845E-3</v>
      </c>
      <c r="BA71" s="104">
        <f si="120" t="shared"/>
        <v>2.6755448692127978E-3</v>
      </c>
      <c r="BB71" s="104">
        <f si="120" t="shared"/>
        <v>4.5237932936313665E-3</v>
      </c>
      <c r="BC71" s="104">
        <f si="120" t="shared"/>
        <v>1.2706901573412489E-2</v>
      </c>
      <c r="BD71" s="104">
        <f si="120" t="shared"/>
        <v>2.280487578159374E-3</v>
      </c>
      <c r="BE71" s="104">
        <f si="120" t="shared"/>
        <v>3.1759507712138019E-4</v>
      </c>
      <c r="BF71" s="104">
        <f si="120" t="shared"/>
        <v>4.2402815906400857E-3</v>
      </c>
      <c r="BG71" s="104">
        <f si="120" t="shared"/>
        <v>7.2814481096121313E-4</v>
      </c>
      <c r="BH71" s="104">
        <f si="120" t="shared"/>
        <v>1.2551977145548402E-2</v>
      </c>
      <c r="BI71" s="104">
        <f si="120" t="shared"/>
        <v>5.0133544856818847E-3</v>
      </c>
      <c r="BJ71" s="104">
        <f si="120" t="shared"/>
        <v>1.1433422776369686E-3</v>
      </c>
      <c r="BK71" s="104">
        <f si="120" t="shared"/>
        <v>7.2814481096121313E-4</v>
      </c>
      <c r="BL71" s="104">
        <f si="120" t="shared"/>
        <v>1.1867211174389134E-3</v>
      </c>
      <c r="BM71" s="104">
        <f si="120" t="shared"/>
        <v>4.802657263786725E-5</v>
      </c>
      <c r="BN71" s="104">
        <f si="120" t="shared"/>
        <v>6.1969771145635162E-4</v>
      </c>
      <c r="BO71" s="104">
        <f si="120" t="shared"/>
        <v>8.2109946767966579E-5</v>
      </c>
      <c r="BP71" s="104">
        <f si="120" t="shared"/>
        <v>1.9551462796447891E-3</v>
      </c>
      <c r="BQ71" s="104">
        <f si="120" t="shared"/>
        <v>7.7462213932043946E-6</v>
      </c>
      <c r="BR71" s="104">
        <f si="120" t="shared"/>
        <v>0</v>
      </c>
      <c r="BS71" s="104">
        <f si="120" t="shared"/>
        <v>7.7747274879313877E-2</v>
      </c>
    </row>
    <row r="72" spans="1:71" x14ac:dyDescent="0.25">
      <c r="A72" s="95">
        <v>12</v>
      </c>
      <c r="B72" s="104">
        <f ref="B72:W72" si="121" t="shared">IF($W$55&gt;0,B45/$W$55,0)</f>
        <v>1.9823360902150932E-2</v>
      </c>
      <c r="C72" s="104">
        <f si="121" t="shared"/>
        <v>2.8449460589873845E-3</v>
      </c>
      <c r="D72" s="104">
        <f si="121" t="shared"/>
        <v>2.4504372053927043E-3</v>
      </c>
      <c r="E72" s="104">
        <f si="121" t="shared"/>
        <v>6.5140667650063705E-3</v>
      </c>
      <c r="F72" s="104">
        <f si="121" t="shared"/>
        <v>3.3183049682438434E-3</v>
      </c>
      <c r="G72" s="104">
        <f si="121" t="shared"/>
        <v>3.178093402693162E-2</v>
      </c>
      <c r="H72" s="104">
        <f si="121" t="shared"/>
        <v>1.0952594144446997E-2</v>
      </c>
      <c r="I72" s="104">
        <f si="121" t="shared"/>
        <v>1.4147408528785167E-4</v>
      </c>
      <c r="J72" s="104">
        <f si="121" t="shared"/>
        <v>5.5214824161238041E-3</v>
      </c>
      <c r="K72" s="104">
        <f si="121" t="shared"/>
        <v>3.3363845786217299E-3</v>
      </c>
      <c r="L72" s="104">
        <f si="121" t="shared"/>
        <v>9.0120697787397189E-4</v>
      </c>
      <c r="M72" s="104">
        <f si="121" t="shared"/>
        <v>6.8219204794812388E-2</v>
      </c>
      <c r="N72" s="104">
        <f si="121" t="shared"/>
        <v>1.6887546592136164E-3</v>
      </c>
      <c r="O72" s="104">
        <f si="121" t="shared"/>
        <v>5.6851806050311866E-5</v>
      </c>
      <c r="P72" s="104">
        <f si="121" t="shared"/>
        <v>0</v>
      </c>
      <c r="Q72" s="104">
        <f si="121" t="shared"/>
        <v>5.701527544152502E-4</v>
      </c>
      <c r="R72" s="104">
        <f si="121" t="shared"/>
        <v>0</v>
      </c>
      <c r="S72" s="104">
        <f si="121" t="shared"/>
        <v>1.4743858214011048E-3</v>
      </c>
      <c r="T72" s="104">
        <f si="121" t="shared"/>
        <v>0</v>
      </c>
      <c r="U72" s="104">
        <f si="121" t="shared"/>
        <v>1.0729344400497829E-3</v>
      </c>
      <c r="V72" s="104">
        <f si="121" t="shared"/>
        <v>0</v>
      </c>
      <c r="W72" s="104">
        <f si="121" t="shared"/>
        <v>0.16066747640500964</v>
      </c>
      <c r="Y72" s="95">
        <v>12</v>
      </c>
      <c r="Z72" s="104">
        <f ref="Z72:AU72" si="122" t="shared">IF($W$55&gt;0,Z45/$W$55,0)</f>
        <v>1.2445585874710716E-2</v>
      </c>
      <c r="AA72" s="104">
        <f si="122" t="shared"/>
        <v>6.5782241819174548E-3</v>
      </c>
      <c r="AB72" s="104">
        <f si="122" t="shared"/>
        <v>2.7100651627317372E-3</v>
      </c>
      <c r="AC72" s="104">
        <f si="122" t="shared"/>
        <v>2.9580039558479002E-3</v>
      </c>
      <c r="AD72" s="104">
        <f si="122" t="shared"/>
        <v>3.3660045014820938E-3</v>
      </c>
      <c r="AE72" s="104">
        <f si="122" t="shared"/>
        <v>2.8486284249605805E-2</v>
      </c>
      <c r="AF72" s="104">
        <f si="122" t="shared"/>
        <v>1.1163522621698656E-2</v>
      </c>
      <c r="AG72" s="104">
        <f si="122" t="shared"/>
        <v>4.6920062747932221E-4</v>
      </c>
      <c r="AH72" s="104">
        <f si="122" t="shared"/>
        <v>6.2361314167318606E-3</v>
      </c>
      <c r="AI72" s="104">
        <f si="122" t="shared"/>
        <v>2.9454500929053102E-3</v>
      </c>
      <c r="AJ72" s="104">
        <f si="122" t="shared"/>
        <v>3.1918196531536495E-3</v>
      </c>
      <c r="AK72" s="104">
        <f si="122" t="shared"/>
        <v>6.9237692594122588E-2</v>
      </c>
      <c r="AL72" s="104">
        <f si="122" t="shared"/>
        <v>4.1537594011296511E-3</v>
      </c>
      <c r="AM72" s="104">
        <f si="122" t="shared"/>
        <v>3.4209276518559273E-4</v>
      </c>
      <c r="AN72" s="104">
        <f si="122" t="shared"/>
        <v>1.1533861578505076E-3</v>
      </c>
      <c r="AO72" s="104">
        <f si="122" t="shared"/>
        <v>6.5593933875035678E-4</v>
      </c>
      <c r="AP72" s="104">
        <f si="122" t="shared"/>
        <v>2.3381569730574918E-4</v>
      </c>
      <c r="AQ72" s="104">
        <f si="122" t="shared"/>
        <v>2.4919417941042265E-3</v>
      </c>
      <c r="AR72" s="104">
        <f si="122" t="shared"/>
        <v>6.763393660320664E-4</v>
      </c>
      <c r="AS72" s="104">
        <f si="122" t="shared"/>
        <v>1.1722169522643937E-3</v>
      </c>
      <c r="AT72" s="104">
        <f si="122" t="shared"/>
        <v>0</v>
      </c>
      <c r="AU72" s="104">
        <f si="122" t="shared"/>
        <v>0.16066747640500964</v>
      </c>
      <c r="AW72" s="95">
        <v>12</v>
      </c>
      <c r="AX72" s="104">
        <f ref="AX72:BS72" si="123" t="shared">IF($BS$55&gt;0,AX45/$BS$55,0)</f>
        <v>2.9201705408101929E-2</v>
      </c>
      <c r="AY72" s="104">
        <f si="123" t="shared"/>
        <v>1.0548804293265745E-2</v>
      </c>
      <c r="AZ72" s="104">
        <f si="123" t="shared"/>
        <v>3.7971977269487945E-3</v>
      </c>
      <c r="BA72" s="104">
        <f si="123" t="shared"/>
        <v>2.6616016707050301E-3</v>
      </c>
      <c r="BB72" s="104">
        <f si="123" t="shared"/>
        <v>7.5850999882257431E-3</v>
      </c>
      <c r="BC72" s="104">
        <f si="123" t="shared"/>
        <v>3.1101078893715644E-2</v>
      </c>
      <c r="BD72" s="104">
        <f si="123" t="shared"/>
        <v>1.1146812584821125E-2</v>
      </c>
      <c r="BE72" s="104">
        <f si="123" t="shared"/>
        <v>2.6647001592623119E-4</v>
      </c>
      <c r="BF72" s="104">
        <f si="123" t="shared"/>
        <v>4.0357813458594899E-3</v>
      </c>
      <c r="BG72" s="104">
        <f si="123" t="shared"/>
        <v>2.0542979134778056E-3</v>
      </c>
      <c r="BH72" s="104">
        <f si="123" t="shared"/>
        <v>1.3664334537612554E-3</v>
      </c>
      <c r="BI72" s="104">
        <f si="123" t="shared"/>
        <v>4.258407748700184E-2</v>
      </c>
      <c r="BJ72" s="104">
        <f si="123" t="shared"/>
        <v>1.0365993468386122E-2</v>
      </c>
      <c r="BK72" s="104">
        <f si="123" t="shared"/>
        <v>1.8126158060098284E-4</v>
      </c>
      <c r="BL72" s="104">
        <f si="123" t="shared"/>
        <v>7.7926987215636207E-4</v>
      </c>
      <c r="BM72" s="104">
        <f si="123" t="shared"/>
        <v>4.0435275672526944E-4</v>
      </c>
      <c r="BN72" s="104">
        <f si="123" t="shared"/>
        <v>7.2814481096121313E-5</v>
      </c>
      <c r="BO72" s="104">
        <f si="123" t="shared"/>
        <v>2.0930290204438273E-3</v>
      </c>
      <c r="BP72" s="104">
        <f si="123" t="shared"/>
        <v>1.5802291642136966E-4</v>
      </c>
      <c r="BQ72" s="104">
        <f si="123" t="shared"/>
        <v>2.6337152736894944E-4</v>
      </c>
      <c r="BR72" s="104">
        <f si="123" t="shared"/>
        <v>0</v>
      </c>
      <c r="BS72" s="104">
        <f si="123" t="shared"/>
        <v>0.16066747640500964</v>
      </c>
    </row>
    <row r="73" spans="1:71" x14ac:dyDescent="0.25">
      <c r="A73" s="95">
        <v>13</v>
      </c>
      <c r="B73" s="104">
        <f ref="B73:W73" si="124" t="shared">IF($W$55&gt;0,B46/$W$55,0)</f>
        <v>6.1994591787570118E-3</v>
      </c>
      <c r="C73" s="104">
        <f si="124" t="shared"/>
        <v>9.6131347330783866E-4</v>
      </c>
      <c r="D73" s="104">
        <f si="124" t="shared"/>
        <v>4.1746186167299066E-4</v>
      </c>
      <c r="E73" s="104">
        <f si="124" t="shared"/>
        <v>1.5576085213048286E-3</v>
      </c>
      <c r="F73" s="104">
        <f si="124" t="shared"/>
        <v>1.2976632828393916E-3</v>
      </c>
      <c r="G73" s="104">
        <f si="124" t="shared"/>
        <v>3.4766749857072241E-3</v>
      </c>
      <c r="H73" s="104">
        <f si="124" t="shared"/>
        <v>2.544267419565523E-2</v>
      </c>
      <c r="I73" s="104">
        <f si="124" t="shared"/>
        <v>1.0223310521413501E-3</v>
      </c>
      <c r="J73" s="104">
        <f si="124" t="shared"/>
        <v>1.5113462460150709E-3</v>
      </c>
      <c r="K73" s="104">
        <f si="124" t="shared"/>
        <v>4.6092161536459081E-4</v>
      </c>
      <c r="L73" s="104">
        <f si="124" t="shared"/>
        <v>1.4266391828001274E-3</v>
      </c>
      <c r="M73" s="104">
        <f si="124" t="shared"/>
        <v>6.9588301393893031E-3</v>
      </c>
      <c r="N73" s="104">
        <f si="124" t="shared"/>
        <v>5.5144112710400324E-2</v>
      </c>
      <c r="O73" s="104">
        <f si="124" t="shared"/>
        <v>1.6281125702650572E-4</v>
      </c>
      <c r="P73" s="104">
        <f si="124" t="shared"/>
        <v>2.3385026413772171E-3</v>
      </c>
      <c r="Q73" s="104">
        <f si="124" t="shared"/>
        <v>0</v>
      </c>
      <c r="R73" s="104">
        <f si="124" t="shared"/>
        <v>0</v>
      </c>
      <c r="S73" s="104">
        <f si="124" t="shared"/>
        <v>2.6172559994667665E-3</v>
      </c>
      <c r="T73" s="104">
        <f si="124" t="shared"/>
        <v>0</v>
      </c>
      <c r="U73" s="104">
        <f si="124" t="shared"/>
        <v>0</v>
      </c>
      <c r="V73" s="104">
        <f si="124" t="shared"/>
        <v>0</v>
      </c>
      <c r="W73" s="104">
        <f si="124" t="shared"/>
        <v>0.11099560634322578</v>
      </c>
      <c r="Y73" s="95">
        <v>13</v>
      </c>
      <c r="Z73" s="104">
        <f ref="Z73:AU73" si="125" t="shared">IF($W$55&gt;0,Z46/$W$55,0)</f>
        <v>3.6538368096844837E-3</v>
      </c>
      <c r="AA73" s="104">
        <f si="125" t="shared"/>
        <v>3.3842190128408303E-3</v>
      </c>
      <c r="AB73" s="104">
        <f si="125" t="shared"/>
        <v>1.3407223777471291E-3</v>
      </c>
      <c r="AC73" s="104">
        <f si="125" t="shared"/>
        <v>1.4880545071698904E-3</v>
      </c>
      <c r="AD73" s="104">
        <f si="125" t="shared"/>
        <v>8.9577934689038954E-4</v>
      </c>
      <c r="AE73" s="104">
        <f si="125" t="shared"/>
        <v>6.9393432958120621E-3</v>
      </c>
      <c r="AF73" s="104">
        <f si="125" t="shared"/>
        <v>1.9771971768534582E-2</v>
      </c>
      <c r="AG73" s="104">
        <f si="125" t="shared"/>
        <v>2.3278476448796302E-4</v>
      </c>
      <c r="AH73" s="104">
        <f si="125" t="shared"/>
        <v>4.1459261219565068E-3</v>
      </c>
      <c r="AI73" s="104">
        <f si="125" t="shared"/>
        <v>1.0858377938457516E-3</v>
      </c>
      <c r="AJ73" s="104">
        <f si="125" t="shared"/>
        <v>1.8887978991998014E-3</v>
      </c>
      <c r="AK73" s="104">
        <f si="125" t="shared"/>
        <v>1.5399154167267027E-2</v>
      </c>
      <c r="AL73" s="104">
        <f si="125" t="shared"/>
        <v>4.3960960777163556E-2</v>
      </c>
      <c r="AM73" s="104">
        <f si="125" t="shared"/>
        <v>2.6225119037251535E-4</v>
      </c>
      <c r="AN73" s="104">
        <f si="125" t="shared"/>
        <v>3.0615616494049824E-3</v>
      </c>
      <c r="AO73" s="104">
        <f si="125" t="shared"/>
        <v>2.3425808578219067E-4</v>
      </c>
      <c r="AP73" s="104">
        <f si="125" t="shared"/>
        <v>2.7698440331479148E-4</v>
      </c>
      <c r="AQ73" s="104">
        <f si="125" t="shared"/>
        <v>1.9801438194419134E-3</v>
      </c>
      <c r="AR73" s="104">
        <f si="125" t="shared"/>
        <v>5.2450238074503071E-4</v>
      </c>
      <c r="AS73" s="104">
        <f si="125" t="shared"/>
        <v>4.6851617156438134E-4</v>
      </c>
      <c r="AT73" s="104">
        <f si="125" t="shared"/>
        <v>0</v>
      </c>
      <c r="AU73" s="104">
        <f si="125" t="shared"/>
        <v>0.11099560634322578</v>
      </c>
      <c r="AW73" s="95">
        <v>13</v>
      </c>
      <c r="AX73" s="104">
        <f ref="AX73:BS73" si="126" t="shared">IF($BS$55&gt;0,AX46/$BS$55,0)</f>
        <v>6.1907801374489523E-3</v>
      </c>
      <c r="AY73" s="104">
        <f si="126" t="shared"/>
        <v>2.5190711970700694E-3</v>
      </c>
      <c r="AZ73" s="104">
        <f si="126" t="shared"/>
        <v>9.7757313982239457E-4</v>
      </c>
      <c r="BA73" s="104">
        <f si="126" t="shared"/>
        <v>5.6392491742527999E-4</v>
      </c>
      <c r="BB73" s="104">
        <f si="126" t="shared"/>
        <v>1.3648842094826144E-3</v>
      </c>
      <c r="BC73" s="104">
        <f si="126" t="shared"/>
        <v>5.4455936394226896E-3</v>
      </c>
      <c r="BD73" s="104">
        <f si="126" t="shared"/>
        <v>1.1056956416659953E-2</v>
      </c>
      <c r="BE73" s="104">
        <f si="126" t="shared"/>
        <v>4.6477328359226368E-5</v>
      </c>
      <c r="BF73" s="104">
        <f si="126" t="shared"/>
        <v>1.4500926448078628E-3</v>
      </c>
      <c r="BG73" s="104">
        <f si="126" t="shared"/>
        <v>2.4787908458254063E-4</v>
      </c>
      <c r="BH73" s="104">
        <f si="126" t="shared"/>
        <v>3.2224280995730282E-4</v>
      </c>
      <c r="BI73" s="104">
        <f si="126" t="shared"/>
        <v>8.6850634260607681E-3</v>
      </c>
      <c r="BJ73" s="104">
        <f si="126" t="shared"/>
        <v>6.714269779201705E-2</v>
      </c>
      <c r="BK73" s="104">
        <f si="126" t="shared"/>
        <v>5.2674305473789883E-5</v>
      </c>
      <c r="BL73" s="104">
        <f si="126" t="shared"/>
        <v>2.8722988926001896E-3</v>
      </c>
      <c r="BM73" s="104">
        <f si="126" t="shared"/>
        <v>2.9435641294176699E-5</v>
      </c>
      <c r="BN73" s="104">
        <f si="126" t="shared"/>
        <v>2.9435641294176699E-5</v>
      </c>
      <c r="BO73" s="104">
        <f si="126" t="shared"/>
        <v>1.7320551035205026E-3</v>
      </c>
      <c r="BP73" s="104">
        <f si="126" t="shared"/>
        <v>1.8126158060098284E-4</v>
      </c>
      <c r="BQ73" s="104">
        <f si="126" t="shared"/>
        <v>8.5208435325248344E-5</v>
      </c>
      <c r="BR73" s="104">
        <f si="126" t="shared"/>
        <v>0</v>
      </c>
      <c r="BS73" s="104">
        <f si="126" t="shared"/>
        <v>0.11099560634322578</v>
      </c>
    </row>
    <row r="74" spans="1:71" x14ac:dyDescent="0.25">
      <c r="A74" s="95">
        <v>14</v>
      </c>
      <c r="B74" s="104">
        <f ref="B74:W74" si="127" t="shared">IF($W$55&gt;0,B47/$W$55,0)</f>
        <v>4.7056225862433547E-3</v>
      </c>
      <c r="C74" s="104">
        <f si="127" t="shared"/>
        <v>1.3956099031019881E-3</v>
      </c>
      <c r="D74" s="104">
        <f si="127" t="shared"/>
        <v>1.106439925062687E-4</v>
      </c>
      <c r="E74" s="104">
        <f si="127" t="shared"/>
        <v>1.3506276775911104E-4</v>
      </c>
      <c r="F74" s="104">
        <f si="127" t="shared"/>
        <v>5.2898020074805888E-4</v>
      </c>
      <c r="G74" s="104">
        <f si="127" t="shared"/>
        <v>2.1490297943212605E-3</v>
      </c>
      <c r="H74" s="104">
        <f si="127" t="shared"/>
        <v>7.5897575520843751E-4</v>
      </c>
      <c r="I74" s="104">
        <f si="127" t="shared"/>
        <v>7.4355113971607815E-5</v>
      </c>
      <c r="J74" s="104">
        <f si="127" t="shared"/>
        <v>9.2082248520282384E-4</v>
      </c>
      <c r="K74" s="104">
        <f si="127" t="shared"/>
        <v>4.0999408838622022E-4</v>
      </c>
      <c r="L74" s="104">
        <f si="127" t="shared"/>
        <v>2.3873255144228086E-3</v>
      </c>
      <c r="M74" s="104">
        <f si="127" t="shared"/>
        <v>1.566005653027214E-3</v>
      </c>
      <c r="N74" s="104">
        <f si="127" t="shared"/>
        <v>0</v>
      </c>
      <c r="O74" s="104">
        <f si="127" t="shared"/>
        <v>1.3601432629835196E-2</v>
      </c>
      <c r="P74" s="104">
        <f si="127" t="shared"/>
        <v>0</v>
      </c>
      <c r="Q74" s="104">
        <f si="127" t="shared"/>
        <v>0</v>
      </c>
      <c r="R74" s="104">
        <f si="127" t="shared"/>
        <v>1.1865151278154405E-3</v>
      </c>
      <c r="S74" s="104">
        <f si="127" t="shared"/>
        <v>0</v>
      </c>
      <c r="T74" s="104">
        <f si="127" t="shared"/>
        <v>6.6092110494908962E-5</v>
      </c>
      <c r="U74" s="104">
        <f si="127" t="shared"/>
        <v>0</v>
      </c>
      <c r="V74" s="104">
        <f si="127" t="shared"/>
        <v>0</v>
      </c>
      <c r="W74" s="104">
        <f si="127" t="shared"/>
        <v>2.9996467723044699E-2</v>
      </c>
      <c r="Y74" s="95">
        <v>14</v>
      </c>
      <c r="Z74" s="104">
        <f ref="Z74:AU74" si="128" t="shared">IF($W$55&gt;0,Z47/$W$55,0)</f>
        <v>1.7161774410844551E-3</v>
      </c>
      <c r="AA74" s="104">
        <f si="128" t="shared"/>
        <v>1.5734840358706914E-3</v>
      </c>
      <c r="AB74" s="104">
        <f si="128" t="shared"/>
        <v>8.972972688216851E-4</v>
      </c>
      <c r="AC74" s="104">
        <f si="128" t="shared"/>
        <v>9.050104258602669E-4</v>
      </c>
      <c r="AD74" s="104">
        <f si="128" t="shared"/>
        <v>6.2476572012512739E-4</v>
      </c>
      <c r="AE74" s="104">
        <f si="128" t="shared"/>
        <v>3.0068457188738127E-3</v>
      </c>
      <c r="AF74" s="104">
        <f si="128" t="shared"/>
        <v>1.1749709222106306E-3</v>
      </c>
      <c r="AG74" s="104">
        <f si="128" t="shared"/>
        <v>4.1779600625651528E-4</v>
      </c>
      <c r="AH74" s="104">
        <f si="128" t="shared"/>
        <v>1.029706464650673E-3</v>
      </c>
      <c r="AI74" s="104">
        <f si="128" t="shared"/>
        <v>4.3836442502606681E-4</v>
      </c>
      <c r="AJ74" s="104">
        <f si="128" t="shared"/>
        <v>2.8911483632950859E-3</v>
      </c>
      <c r="AK74" s="104">
        <f si="128" t="shared"/>
        <v>2.5736233985401338E-3</v>
      </c>
      <c r="AL74" s="104">
        <f si="128" t="shared"/>
        <v>5.7463019937434561E-4</v>
      </c>
      <c r="AM74" s="104">
        <f si="128" t="shared"/>
        <v>9.0578174156412516E-3</v>
      </c>
      <c r="AN74" s="104">
        <f si="128" t="shared"/>
        <v>3.0724075537017583E-4</v>
      </c>
      <c r="AO74" s="104">
        <f si="128" t="shared"/>
        <v>9.512893680917578E-5</v>
      </c>
      <c r="AP74" s="104">
        <f si="128" t="shared"/>
        <v>1.5631998264859157E-3</v>
      </c>
      <c r="AQ74" s="104">
        <f si="128" t="shared"/>
        <v>1.7354603336809096E-4</v>
      </c>
      <c r="AR74" s="104">
        <f si="128" t="shared"/>
        <v>7.6617359916579411E-4</v>
      </c>
      <c r="AS74" s="104">
        <f si="128" t="shared"/>
        <v>2.095407662148061E-4</v>
      </c>
      <c r="AT74" s="104">
        <f si="128" t="shared"/>
        <v>0</v>
      </c>
      <c r="AU74" s="104">
        <f si="128" t="shared"/>
        <v>2.9996467723044703E-2</v>
      </c>
      <c r="AW74" s="95">
        <v>14</v>
      </c>
      <c r="AX74" s="104">
        <f ref="AX74:BS74" si="129" t="shared">IF($BS$55&gt;0,AX47/$BS$55,0)</f>
        <v>5.5524914946489101E-3</v>
      </c>
      <c r="AY74" s="104">
        <f si="129" t="shared"/>
        <v>1.4841760189379621E-3</v>
      </c>
      <c r="AZ74" s="104">
        <f si="129" t="shared"/>
        <v>1.332350079631156E-3</v>
      </c>
      <c r="BA74" s="104">
        <f si="129" t="shared"/>
        <v>9.5743296420006325E-4</v>
      </c>
      <c r="BB74" s="104">
        <f si="129" t="shared"/>
        <v>1.598820095557387E-3</v>
      </c>
      <c r="BC74" s="104">
        <f si="129" t="shared"/>
        <v>4.31774380457213E-3</v>
      </c>
      <c r="BD74" s="104">
        <f si="129" t="shared"/>
        <v>6.4913335275052831E-4</v>
      </c>
      <c r="BE74" s="104">
        <f si="129" t="shared"/>
        <v>2.0295100050195516E-4</v>
      </c>
      <c r="BF74" s="104">
        <f si="129" t="shared"/>
        <v>7.7617138359908032E-4</v>
      </c>
      <c r="BG74" s="104">
        <f si="129" t="shared"/>
        <v>3.0984885572817581E-4</v>
      </c>
      <c r="BH74" s="104">
        <f si="129" t="shared"/>
        <v>2.433862761744821E-3</v>
      </c>
      <c r="BI74" s="104">
        <f si="129" t="shared"/>
        <v>1.5957216070001054E-3</v>
      </c>
      <c r="BJ74" s="104">
        <f si="129" t="shared"/>
        <v>3.5942467264468394E-4</v>
      </c>
      <c r="BK74" s="104">
        <f si="129" t="shared"/>
        <v>6.7283679021373378E-3</v>
      </c>
      <c r="BL74" s="104">
        <f si="129" t="shared"/>
        <v>1.5957216070001053E-4</v>
      </c>
      <c r="BM74" s="104">
        <f si="129" t="shared"/>
        <v>2.6337152736894942E-5</v>
      </c>
      <c r="BN74" s="104">
        <f si="129" t="shared"/>
        <v>9.4039127713501356E-4</v>
      </c>
      <c r="BO74" s="104">
        <f si="129" t="shared"/>
        <v>3.7181862687381094E-5</v>
      </c>
      <c r="BP74" s="104">
        <f si="129" t="shared"/>
        <v>5.3294003185246238E-4</v>
      </c>
      <c r="BQ74" s="104">
        <f si="129" t="shared"/>
        <v>1.5492442786408789E-6</v>
      </c>
      <c r="BR74" s="104">
        <f si="129" t="shared"/>
        <v>0</v>
      </c>
      <c r="BS74" s="104">
        <f si="129" t="shared"/>
        <v>2.9996467723044699E-2</v>
      </c>
    </row>
    <row r="75" spans="1:71" x14ac:dyDescent="0.25">
      <c r="A75" s="95">
        <v>15</v>
      </c>
      <c r="B75" s="104">
        <f ref="B75:W75" si="130" t="shared">IF($W$55&gt;0,B48/$W$55,0)</f>
        <v>2.4403535356897744E-3</v>
      </c>
      <c r="C75" s="104">
        <f si="130" t="shared"/>
        <v>3.2064600138096686E-3</v>
      </c>
      <c r="D75" s="104">
        <f si="130" t="shared"/>
        <v>1.1765089399112501E-3</v>
      </c>
      <c r="E75" s="104">
        <f si="130" t="shared"/>
        <v>7.1748709697247426E-4</v>
      </c>
      <c r="F75" s="104">
        <f si="130" t="shared"/>
        <v>4.3159754422795858E-4</v>
      </c>
      <c r="G75" s="104">
        <f si="130" t="shared"/>
        <v>1.7261443665317472E-3</v>
      </c>
      <c r="H75" s="104">
        <f si="130" t="shared"/>
        <v>3.1311099684244721E-3</v>
      </c>
      <c r="I75" s="104">
        <f si="130" t="shared"/>
        <v>0</v>
      </c>
      <c r="J75" s="104">
        <f si="130" t="shared"/>
        <v>5.750035873396806E-3</v>
      </c>
      <c r="K75" s="104">
        <f si="130" t="shared"/>
        <v>5.1234690810809751E-4</v>
      </c>
      <c r="L75" s="104">
        <f si="130" t="shared"/>
        <v>8.8043969924332395E-4</v>
      </c>
      <c r="M75" s="104">
        <f si="130" t="shared"/>
        <v>1.3318031657196512E-3</v>
      </c>
      <c r="N75" s="104">
        <f si="130" t="shared"/>
        <v>5.6360466765808821E-3</v>
      </c>
      <c r="O75" s="104">
        <f si="130" t="shared"/>
        <v>0</v>
      </c>
      <c r="P75" s="104">
        <f si="130" t="shared"/>
        <v>1.7420617767361826E-2</v>
      </c>
      <c r="Q75" s="104">
        <f si="130" t="shared"/>
        <v>0</v>
      </c>
      <c r="R75" s="104">
        <f si="130" t="shared"/>
        <v>0</v>
      </c>
      <c r="S75" s="104">
        <f si="130" t="shared"/>
        <v>0</v>
      </c>
      <c r="T75" s="104">
        <f si="130" t="shared"/>
        <v>1.1010546240850293E-4</v>
      </c>
      <c r="U75" s="104">
        <f si="130" t="shared"/>
        <v>0</v>
      </c>
      <c r="V75" s="104">
        <f si="130" t="shared"/>
        <v>0</v>
      </c>
      <c r="W75" s="104">
        <f si="130" t="shared"/>
        <v>4.4471057018386433E-2</v>
      </c>
      <c r="Y75" s="95">
        <v>15</v>
      </c>
      <c r="Z75" s="104">
        <f ref="Z75:AU75" si="131" t="shared">IF($W$55&gt;0,Z48/$W$55,0)</f>
        <v>1.7421677791521215E-3</v>
      </c>
      <c r="AA75" s="104">
        <f si="131" t="shared"/>
        <v>2.0348932313116568E-3</v>
      </c>
      <c r="AB75" s="104">
        <f si="131" t="shared"/>
        <v>6.3832202122894165E-4</v>
      </c>
      <c r="AC75" s="104">
        <f si="131" t="shared"/>
        <v>6.3187432404481088E-4</v>
      </c>
      <c r="AD75" s="104">
        <f si="131" t="shared"/>
        <v>4.487597240154984E-4</v>
      </c>
      <c r="AE75" s="104">
        <f si="131" t="shared"/>
        <v>3.1529239230399242E-3</v>
      </c>
      <c r="AF75" s="104">
        <f si="131" t="shared"/>
        <v>4.5649696063645526E-3</v>
      </c>
      <c r="AG75" s="104">
        <f si="131" t="shared"/>
        <v>1.5345519298231124E-4</v>
      </c>
      <c r="AH75" s="104">
        <f si="131" t="shared"/>
        <v>4.4837286218445058E-3</v>
      </c>
      <c r="AI75" s="104">
        <f si="131" t="shared"/>
        <v>4.5391788176280299E-4</v>
      </c>
      <c r="AJ75" s="104">
        <f si="131" t="shared"/>
        <v>1.4623377213608484E-3</v>
      </c>
      <c r="AK75" s="104">
        <f si="131" t="shared"/>
        <v>4.2632173781472346E-3</v>
      </c>
      <c r="AL75" s="104">
        <f si="131" t="shared"/>
        <v>4.0027304119083533E-3</v>
      </c>
      <c r="AM75" s="104">
        <f si="131" t="shared"/>
        <v>2.3082755919187991E-4</v>
      </c>
      <c r="AN75" s="104">
        <f si="131" t="shared"/>
        <v>1.4388681036106124E-2</v>
      </c>
      <c r="AO75" s="104">
        <f si="131" t="shared"/>
        <v>8.8978221141004001E-5</v>
      </c>
      <c r="AP75" s="104">
        <f si="131" t="shared"/>
        <v>2.1535308594996622E-4</v>
      </c>
      <c r="AQ75" s="104">
        <f si="131" t="shared"/>
        <v>2.359857169391845E-4</v>
      </c>
      <c r="AR75" s="104">
        <f si="131" t="shared"/>
        <v>1.0986876001758755E-3</v>
      </c>
      <c r="AS75" s="104">
        <f si="131" t="shared"/>
        <v>1.7924598171883412E-4</v>
      </c>
      <c r="AT75" s="104">
        <f si="131" t="shared"/>
        <v>0</v>
      </c>
      <c r="AU75" s="104">
        <f si="131" t="shared"/>
        <v>4.447105701838644E-2</v>
      </c>
      <c r="AW75" s="95">
        <v>15</v>
      </c>
      <c r="AX75" s="104">
        <f ref="AX75:BS75" si="132" t="shared">IF($BS$55&gt;0,AX48/$BS$55,0)</f>
        <v>3.7739590627691813E-3</v>
      </c>
      <c r="AY75" s="104">
        <f si="132" t="shared"/>
        <v>1.6576913781457406E-3</v>
      </c>
      <c r="AZ75" s="104">
        <f si="132" t="shared"/>
        <v>5.6547416170392082E-4</v>
      </c>
      <c r="BA75" s="104">
        <f si="132" t="shared"/>
        <v>3.4393222985827513E-4</v>
      </c>
      <c r="BB75" s="104">
        <f si="132" t="shared"/>
        <v>8.3039493335151113E-4</v>
      </c>
      <c r="BC75" s="104">
        <f si="132" t="shared"/>
        <v>3.0024354120060234E-3</v>
      </c>
      <c r="BD75" s="104">
        <f si="132" t="shared"/>
        <v>2.4106240975652077E-3</v>
      </c>
      <c r="BE75" s="104">
        <f si="132" t="shared"/>
        <v>3.0984885572817578E-5</v>
      </c>
      <c r="BF75" s="104">
        <f si="132" t="shared"/>
        <v>2.6306167851322124E-3</v>
      </c>
      <c r="BG75" s="104">
        <f si="132" t="shared"/>
        <v>1.2858727512719297E-4</v>
      </c>
      <c r="BH75" s="104">
        <f si="132" t="shared"/>
        <v>6.7547050548742325E-4</v>
      </c>
      <c r="BI75" s="104">
        <f si="132" t="shared"/>
        <v>1.8761348214341046E-3</v>
      </c>
      <c r="BJ75" s="104">
        <f si="132" t="shared"/>
        <v>1.033036084997738E-2</v>
      </c>
      <c r="BK75" s="104">
        <f si="132" t="shared"/>
        <v>4.6477328359226368E-5</v>
      </c>
      <c r="BL75" s="104">
        <f si="132" t="shared"/>
        <v>1.4834013967986417E-2</v>
      </c>
      <c r="BM75" s="104">
        <f si="132" t="shared"/>
        <v>6.1969771145635157E-6</v>
      </c>
      <c r="BN75" s="104">
        <f si="132" t="shared"/>
        <v>8.3659191046607468E-5</v>
      </c>
      <c r="BO75" s="104">
        <f si="132" t="shared"/>
        <v>1.2393954229127031E-4</v>
      </c>
      <c r="BP75" s="104">
        <f si="132" t="shared"/>
        <v>1.1139066363427921E-3</v>
      </c>
      <c r="BQ75" s="104">
        <f si="132" t="shared"/>
        <v>6.1969771145635157E-6</v>
      </c>
      <c r="BR75" s="104">
        <f si="132" t="shared"/>
        <v>0</v>
      </c>
      <c r="BS75" s="104">
        <f si="132" t="shared"/>
        <v>4.4471057018386433E-2</v>
      </c>
    </row>
    <row r="76" spans="1:71" x14ac:dyDescent="0.25">
      <c r="A76" s="95">
        <v>16</v>
      </c>
      <c r="B76" s="104">
        <f ref="B76:W76" si="133" t="shared">IF($W$55&gt;0,B49/$W$55,0)</f>
        <v>6.0768649212654142E-4</v>
      </c>
      <c r="C76" s="104">
        <f si="133" t="shared"/>
        <v>5.5175550393490359E-4</v>
      </c>
      <c r="D76" s="104">
        <f si="133" t="shared"/>
        <v>1.1205215806659873E-3</v>
      </c>
      <c r="E76" s="104">
        <f si="133" t="shared"/>
        <v>6.4728337237620183E-4</v>
      </c>
      <c r="F76" s="104">
        <f si="133" t="shared"/>
        <v>1.1809270364766154E-3</v>
      </c>
      <c r="G76" s="104">
        <f si="133" t="shared"/>
        <v>6.2563726537589442E-3</v>
      </c>
      <c r="H76" s="104">
        <f si="133" t="shared"/>
        <v>7.9831170512454763E-4</v>
      </c>
      <c r="I76" s="104">
        <f si="133" t="shared"/>
        <v>1.6388821093329601E-3</v>
      </c>
      <c r="J76" s="104">
        <f si="133" t="shared"/>
        <v>1.0119199271628524E-3</v>
      </c>
      <c r="K76" s="104">
        <f si="133" t="shared"/>
        <v>5.5175550393490359E-4</v>
      </c>
      <c r="L76" s="104">
        <f si="133" t="shared"/>
        <v>0</v>
      </c>
      <c r="M76" s="104">
        <f si="133" t="shared"/>
        <v>6.1618915979036754E-3</v>
      </c>
      <c r="N76" s="104">
        <f si="133" t="shared"/>
        <v>0</v>
      </c>
      <c r="O76" s="104">
        <f si="133" t="shared"/>
        <v>0</v>
      </c>
      <c r="P76" s="104">
        <f si="133" t="shared"/>
        <v>0</v>
      </c>
      <c r="Q76" s="104">
        <f si="133" t="shared"/>
        <v>2.1862265248188053E-4</v>
      </c>
      <c r="R76" s="104">
        <f si="133" t="shared"/>
        <v>0</v>
      </c>
      <c r="S76" s="104">
        <f si="133" t="shared"/>
        <v>0</v>
      </c>
      <c r="T76" s="104">
        <f si="133" t="shared"/>
        <v>0</v>
      </c>
      <c r="U76" s="104">
        <f si="133" t="shared"/>
        <v>0</v>
      </c>
      <c r="V76" s="104">
        <f si="133" t="shared"/>
        <v>0</v>
      </c>
      <c r="W76" s="104">
        <f si="133" t="shared"/>
        <v>2.0745930135280012E-2</v>
      </c>
      <c r="Y76" s="95">
        <v>16</v>
      </c>
      <c r="Z76" s="104">
        <f ref="Z76:AU76" si="134" t="shared">IF($W$55&gt;0,Z49/$W$55,0)</f>
        <v>1.5614644171572465E-3</v>
      </c>
      <c r="AA76" s="104">
        <f si="134" t="shared"/>
        <v>8.9245538663757461E-4</v>
      </c>
      <c r="AB76" s="104">
        <f si="134" t="shared"/>
        <v>3.697505178617671E-4</v>
      </c>
      <c r="AC76" s="104">
        <f si="134" t="shared"/>
        <v>5.2137483094177233E-4</v>
      </c>
      <c r="AD76" s="104">
        <f si="134" t="shared"/>
        <v>7.1955046821300711E-4</v>
      </c>
      <c r="AE76" s="104">
        <f si="134" t="shared"/>
        <v>4.2601111824145318E-3</v>
      </c>
      <c r="AF76" s="104">
        <f si="134" t="shared"/>
        <v>7.9403258691897465E-4</v>
      </c>
      <c r="AG76" s="104">
        <f si="134" t="shared"/>
        <v>1.1970340506316201E-4</v>
      </c>
      <c r="AH76" s="104">
        <f si="134" t="shared"/>
        <v>6.3309800900072347E-4</v>
      </c>
      <c r="AI76" s="104">
        <f si="134" t="shared"/>
        <v>1.2409252991547794E-3</v>
      </c>
      <c r="AJ76" s="104">
        <f si="134" t="shared"/>
        <v>4.0300146371264543E-4</v>
      </c>
      <c r="AK76" s="104">
        <f si="134" t="shared"/>
        <v>6.5770370893037337E-3</v>
      </c>
      <c r="AL76" s="104">
        <f si="134" t="shared"/>
        <v>5.1738471743966688E-4</v>
      </c>
      <c r="AM76" s="104">
        <f si="134" t="shared"/>
        <v>7.5812156540002598E-5</v>
      </c>
      <c r="AN76" s="104">
        <f si="134" t="shared"/>
        <v>1.4231404824175927E-4</v>
      </c>
      <c r="AO76" s="104">
        <f si="134" t="shared"/>
        <v>1.1837336722912688E-3</v>
      </c>
      <c r="AP76" s="104">
        <f si="134" t="shared"/>
        <v>3.9901135021054006E-5</v>
      </c>
      <c r="AQ76" s="104">
        <f si="134" t="shared"/>
        <v>4.0034138804457506E-4</v>
      </c>
      <c r="AR76" s="104">
        <f si="134" t="shared"/>
        <v>1.1438325372702147E-4</v>
      </c>
      <c r="AS76" s="104">
        <f si="134" t="shared"/>
        <v>1.7955510759474298E-4</v>
      </c>
      <c r="AT76" s="104">
        <f si="134" t="shared"/>
        <v>0</v>
      </c>
      <c r="AU76" s="104">
        <f si="134" t="shared"/>
        <v>2.0745930135280009E-2</v>
      </c>
      <c r="AW76" s="95">
        <v>16</v>
      </c>
      <c r="AX76" s="104">
        <f ref="AX76:BS76" si="135" t="shared">IF($BS$55&gt;0,AX49/$BS$55,0)</f>
        <v>3.4548147413691601E-3</v>
      </c>
      <c r="AY76" s="104">
        <f si="135" t="shared"/>
        <v>8.9856168161170976E-4</v>
      </c>
      <c r="AZ76" s="104">
        <f si="135" t="shared"/>
        <v>4.5547781792041844E-4</v>
      </c>
      <c r="BA76" s="104">
        <f si="135" t="shared"/>
        <v>5.6857265026120257E-4</v>
      </c>
      <c r="BB76" s="104">
        <f si="135" t="shared"/>
        <v>1.6267064925729229E-3</v>
      </c>
      <c r="BC76" s="104">
        <f si="135" t="shared"/>
        <v>4.209296705067268E-3</v>
      </c>
      <c r="BD76" s="104">
        <f si="135" t="shared"/>
        <v>4.4618235224857313E-4</v>
      </c>
      <c r="BE76" s="104">
        <f si="135" t="shared"/>
        <v>8.675767960388922E-5</v>
      </c>
      <c r="BF76" s="104">
        <f si="135" t="shared"/>
        <v>2.9280716866312613E-4</v>
      </c>
      <c r="BG76" s="104">
        <f si="135" t="shared"/>
        <v>8.4278888758063813E-4</v>
      </c>
      <c r="BH76" s="104">
        <f si="135" t="shared"/>
        <v>2.0604948905923691E-4</v>
      </c>
      <c r="BI76" s="104">
        <f si="135" t="shared"/>
        <v>5.9955753583402016E-3</v>
      </c>
      <c r="BJ76" s="104">
        <f si="135" t="shared"/>
        <v>4.2449293234760082E-4</v>
      </c>
      <c r="BK76" s="104">
        <f si="135" t="shared"/>
        <v>2.9435641294176699E-5</v>
      </c>
      <c r="BL76" s="104">
        <f si="135" t="shared"/>
        <v>5.2674305473789883E-5</v>
      </c>
      <c r="BM76" s="104">
        <f si="135" t="shared"/>
        <v>7.0955387961752262E-4</v>
      </c>
      <c r="BN76" s="104">
        <f si="135" t="shared"/>
        <v>2.3238664179613184E-5</v>
      </c>
      <c r="BO76" s="104">
        <f si="135" t="shared"/>
        <v>3.0365187861361225E-4</v>
      </c>
      <c r="BP76" s="104">
        <f si="135" t="shared"/>
        <v>1.5492442786408789E-5</v>
      </c>
      <c r="BQ76" s="104">
        <f si="135" t="shared"/>
        <v>1.0379936666893889E-4</v>
      </c>
      <c r="BR76" s="104">
        <f si="135" t="shared"/>
        <v>0</v>
      </c>
      <c r="BS76" s="104">
        <f si="135" t="shared"/>
        <v>2.0745930135280012E-2</v>
      </c>
    </row>
    <row r="77" spans="1:71" x14ac:dyDescent="0.25">
      <c r="A77" s="95">
        <v>17</v>
      </c>
      <c r="B77" s="104">
        <f ref="B77:W77" si="136" t="shared">IF($W$55&gt;0,B50/$W$55,0)</f>
        <v>1.9674332442096844E-3</v>
      </c>
      <c r="C77" s="104">
        <f si="136" t="shared"/>
        <v>1.9926611379847696E-3</v>
      </c>
      <c r="D77" s="104">
        <f si="136" t="shared"/>
        <v>7.1628907610575554E-4</v>
      </c>
      <c r="E77" s="104">
        <f si="136" t="shared"/>
        <v>1.5450682700690612E-3</v>
      </c>
      <c r="F77" s="104">
        <f si="136" t="shared"/>
        <v>6.4547948696624892E-4</v>
      </c>
      <c r="G77" s="104">
        <f si="136" t="shared"/>
        <v>8.5170747687205578E-4</v>
      </c>
      <c r="H77" s="104">
        <f si="136" t="shared"/>
        <v>1.6506948773252811E-3</v>
      </c>
      <c r="I77" s="104">
        <f si="136" t="shared"/>
        <v>0</v>
      </c>
      <c r="J77" s="104">
        <f si="136" t="shared"/>
        <v>5.0441901594267067E-4</v>
      </c>
      <c r="K77" s="104">
        <f si="136" t="shared"/>
        <v>0</v>
      </c>
      <c r="L77" s="104">
        <f si="136" t="shared"/>
        <v>7.0980805333232628E-3</v>
      </c>
      <c r="M77" s="104">
        <f si="136" t="shared"/>
        <v>1.3553872251184423E-3</v>
      </c>
      <c r="N77" s="104">
        <f si="136" t="shared"/>
        <v>0</v>
      </c>
      <c r="O77" s="104">
        <f si="136" t="shared"/>
        <v>1.2360640773097288E-3</v>
      </c>
      <c r="P77" s="104">
        <f si="136" t="shared"/>
        <v>1.1999029073720907E-4</v>
      </c>
      <c r="Q77" s="104">
        <f si="136" t="shared"/>
        <v>0</v>
      </c>
      <c r="R77" s="104">
        <f si="136" t="shared"/>
        <v>5.8848517099229824E-3</v>
      </c>
      <c r="S77" s="104">
        <f si="136" t="shared"/>
        <v>0</v>
      </c>
      <c r="T77" s="104">
        <f si="136" t="shared"/>
        <v>1.2136594229777283E-3</v>
      </c>
      <c r="U77" s="104">
        <f si="136" t="shared"/>
        <v>0</v>
      </c>
      <c r="V77" s="104">
        <f si="136" t="shared"/>
        <v>0</v>
      </c>
      <c r="W77" s="104">
        <f si="136" t="shared"/>
        <v>2.6781785844864875E-2</v>
      </c>
      <c r="Y77" s="95">
        <v>17</v>
      </c>
      <c r="Z77" s="104">
        <f ref="Z77:AU77" si="137" t="shared">IF($W$55&gt;0,Z50/$W$55,0)</f>
        <v>1.4705929180461599E-3</v>
      </c>
      <c r="AA77" s="104">
        <f si="137" t="shared"/>
        <v>1.3678021735415355E-3</v>
      </c>
      <c r="AB77" s="104">
        <f si="137" t="shared"/>
        <v>7.4146390369335738E-4</v>
      </c>
      <c r="AC77" s="104">
        <f si="137" t="shared"/>
        <v>7.8669183127539212E-4</v>
      </c>
      <c r="AD77" s="104">
        <f si="137" t="shared"/>
        <v>4.6735525168102566E-4</v>
      </c>
      <c r="AE77" s="104">
        <f si="137" t="shared"/>
        <v>2.6122554536775217E-3</v>
      </c>
      <c r="AF77" s="104">
        <f si="137" t="shared"/>
        <v>1.079988088928587E-3</v>
      </c>
      <c r="AG77" s="104">
        <f si="137" t="shared"/>
        <v>2.7959082505257837E-4</v>
      </c>
      <c r="AH77" s="104">
        <f si="137" t="shared"/>
        <v>1.0882113484889573E-3</v>
      </c>
      <c r="AI77" s="104">
        <f si="137" t="shared"/>
        <v>3.4126527175535302E-4</v>
      </c>
      <c r="AJ77" s="104">
        <f si="137" t="shared"/>
        <v>4.4515245086802682E-3</v>
      </c>
      <c r="AK77" s="104">
        <f si="137" t="shared"/>
        <v>2.0914490148540915E-3</v>
      </c>
      <c r="AL77" s="104">
        <f si="137" t="shared"/>
        <v>4.6187307864077896E-4</v>
      </c>
      <c r="AM77" s="104">
        <f si="137" t="shared"/>
        <v>2.0695203226931049E-3</v>
      </c>
      <c r="AN77" s="104">
        <f si="137" t="shared"/>
        <v>4.1664515105874423E-4</v>
      </c>
      <c r="AO77" s="104">
        <f si="137" t="shared"/>
        <v>9.5938028204316109E-5</v>
      </c>
      <c r="AP77" s="104">
        <f si="137" t="shared"/>
        <v>3.8964544883552965E-3</v>
      </c>
      <c r="AQ77" s="104">
        <f si="137" t="shared"/>
        <v>1.1923726362536432E-4</v>
      </c>
      <c r="AR77" s="104">
        <f si="137" t="shared"/>
        <v>2.8301718320273253E-3</v>
      </c>
      <c r="AS77" s="104">
        <f si="137" t="shared"/>
        <v>1.1375509058511768E-4</v>
      </c>
      <c r="AT77" s="104">
        <f si="137" t="shared"/>
        <v>0</v>
      </c>
      <c r="AU77" s="104">
        <f si="137" t="shared"/>
        <v>2.6781785844864875E-2</v>
      </c>
      <c r="AW77" s="95">
        <v>17</v>
      </c>
      <c r="AX77" s="104">
        <f ref="AX77:BS77" si="138" t="shared">IF($BS$55&gt;0,AX50/$BS$55,0)</f>
        <v>4.9389907603071218E-3</v>
      </c>
      <c r="AY77" s="104">
        <f si="138" t="shared"/>
        <v>1.2208044915690127E-3</v>
      </c>
      <c r="AZ77" s="104">
        <f si="138" t="shared"/>
        <v>1.4036153164486364E-3</v>
      </c>
      <c r="BA77" s="104">
        <f si="138" t="shared"/>
        <v>7.622281850913125E-4</v>
      </c>
      <c r="BB77" s="104">
        <f si="138" t="shared"/>
        <v>1.319956125402029E-3</v>
      </c>
      <c r="BC77" s="104">
        <f si="138" t="shared"/>
        <v>3.6407240548060656E-3</v>
      </c>
      <c r="BD77" s="104">
        <f si="138" t="shared"/>
        <v>5.6857265026120257E-4</v>
      </c>
      <c r="BE77" s="104">
        <f si="138" t="shared"/>
        <v>9.140541243981186E-5</v>
      </c>
      <c r="BF77" s="104">
        <f si="138" t="shared"/>
        <v>8.5053510897384256E-4</v>
      </c>
      <c r="BG77" s="104">
        <f si="138" t="shared"/>
        <v>1.9985251194467338E-4</v>
      </c>
      <c r="BH77" s="104">
        <f si="138" t="shared"/>
        <v>3.0039846562846645E-3</v>
      </c>
      <c r="BI77" s="104">
        <f si="138" t="shared"/>
        <v>1.4485434005292218E-3</v>
      </c>
      <c r="BJ77" s="104">
        <f si="138" t="shared"/>
        <v>3.3153827562914812E-4</v>
      </c>
      <c r="BK77" s="104">
        <f si="138" t="shared"/>
        <v>1.6158617826224368E-3</v>
      </c>
      <c r="BL77" s="104">
        <f si="138" t="shared"/>
        <v>4.8801194777187688E-4</v>
      </c>
      <c r="BM77" s="104">
        <f si="138" t="shared"/>
        <v>1.394319850776791E-5</v>
      </c>
      <c r="BN77" s="104">
        <f si="138" t="shared"/>
        <v>2.6786433577700797E-3</v>
      </c>
      <c r="BO77" s="104">
        <f si="138" t="shared"/>
        <v>2.1689419900972305E-5</v>
      </c>
      <c r="BP77" s="104">
        <f si="138" t="shared"/>
        <v>2.1766882114904349E-3</v>
      </c>
      <c r="BQ77" s="104">
        <f si="138" t="shared"/>
        <v>6.1969771145635157E-6</v>
      </c>
      <c r="BR77" s="104">
        <f si="138" t="shared"/>
        <v>0</v>
      </c>
      <c r="BS77" s="104">
        <f si="138" t="shared"/>
        <v>2.6781785844864875E-2</v>
      </c>
    </row>
    <row r="78" spans="1:71" x14ac:dyDescent="0.25">
      <c r="A78" s="95">
        <v>18</v>
      </c>
      <c r="B78" s="104">
        <f ref="B78:W78" si="139" t="shared">IF($W$55&gt;0,B51/$W$55,0)</f>
        <v>3.7062724420660149E-3</v>
      </c>
      <c r="C78" s="104">
        <f si="139" t="shared"/>
        <v>1.3074581789101684E-3</v>
      </c>
      <c r="D78" s="104">
        <f si="139" t="shared"/>
        <v>3.5091639560341353E-4</v>
      </c>
      <c r="E78" s="104">
        <f si="139" t="shared"/>
        <v>1.3981431653942865E-3</v>
      </c>
      <c r="F78" s="104">
        <f si="139" t="shared"/>
        <v>7.9907139632188324E-4</v>
      </c>
      <c r="G78" s="104">
        <f si="139" t="shared"/>
        <v>3.0715414996265651E-3</v>
      </c>
      <c r="H78" s="104">
        <f si="139" t="shared"/>
        <v>3.9861074692847352E-3</v>
      </c>
      <c r="I78" s="104">
        <f si="139" t="shared"/>
        <v>0</v>
      </c>
      <c r="J78" s="104">
        <f si="139" t="shared"/>
        <v>0</v>
      </c>
      <c r="K78" s="104">
        <f si="139" t="shared"/>
        <v>0</v>
      </c>
      <c r="L78" s="104">
        <f si="139" t="shared"/>
        <v>0</v>
      </c>
      <c r="M78" s="104">
        <f si="139" t="shared"/>
        <v>2.1933337622104386E-2</v>
      </c>
      <c r="N78" s="104">
        <f si="139" t="shared"/>
        <v>9.8334413979345586E-3</v>
      </c>
      <c r="O78" s="104">
        <f si="139" t="shared"/>
        <v>0</v>
      </c>
      <c r="P78" s="104">
        <f si="139" t="shared"/>
        <v>0</v>
      </c>
      <c r="Q78" s="104">
        <f si="139" t="shared"/>
        <v>0</v>
      </c>
      <c r="R78" s="104">
        <f si="139" t="shared"/>
        <v>0</v>
      </c>
      <c r="S78" s="104">
        <f si="139" t="shared"/>
        <v>3.9086428391800635E-3</v>
      </c>
      <c r="T78" s="104">
        <f si="139" t="shared"/>
        <v>0</v>
      </c>
      <c r="U78" s="104">
        <f si="139" t="shared"/>
        <v>4.35071497669513E-4</v>
      </c>
      <c r="V78" s="104">
        <f si="139" t="shared"/>
        <v>0</v>
      </c>
      <c r="W78" s="104">
        <f si="139" t="shared"/>
        <v>5.0730003904095579E-2</v>
      </c>
      <c r="Y78" s="95">
        <v>18</v>
      </c>
      <c r="Z78" s="104">
        <f ref="Z78:AU78" si="140" t="shared">IF($W$55&gt;0,Z51/$W$55,0)</f>
        <v>1.9904891568501351E-3</v>
      </c>
      <c r="AA78" s="104">
        <f si="140" t="shared"/>
        <v>1.4213754842617029E-3</v>
      </c>
      <c r="AB78" s="104">
        <f si="140" t="shared"/>
        <v>4.8881793165392556E-4</v>
      </c>
      <c r="AC78" s="104">
        <f si="140" t="shared"/>
        <v>6.3250504701041087E-4</v>
      </c>
      <c r="AD78" s="104">
        <f si="140" t="shared"/>
        <v>5.0853969258520784E-4</v>
      </c>
      <c r="AE78" s="104">
        <f si="140" t="shared"/>
        <v>4.2852569109257683E-3</v>
      </c>
      <c r="AF78" s="104">
        <f si="140" t="shared"/>
        <v>4.3810483211634251E-3</v>
      </c>
      <c r="AG78" s="104">
        <f si="140" t="shared"/>
        <v>1.2537405163458033E-4</v>
      </c>
      <c r="AH78" s="104">
        <f si="140" t="shared"/>
        <v>1.4819494642649271E-3</v>
      </c>
      <c r="AI78" s="104">
        <f si="140" t="shared"/>
        <v>6.9026163259488051E-4</v>
      </c>
      <c r="AJ78" s="104">
        <f si="140" t="shared"/>
        <v>6.4800071631356123E-4</v>
      </c>
      <c r="AK78" s="104">
        <f si="140" t="shared"/>
        <v>2.0190857102004946E-2</v>
      </c>
      <c r="AL78" s="104">
        <f si="140" t="shared"/>
        <v>5.7742498612375816E-3</v>
      </c>
      <c r="AM78" s="104">
        <f si="140" t="shared"/>
        <v>9.0156621400147642E-5</v>
      </c>
      <c r="AN78" s="104">
        <f si="140" t="shared"/>
        <v>5.1135708700396246E-4</v>
      </c>
      <c r="AO78" s="104">
        <f si="140" t="shared"/>
        <v>2.3666113117538757E-4</v>
      </c>
      <c r="AP78" s="104">
        <f si="140" t="shared"/>
        <v>7.8887043725129195E-5</v>
      </c>
      <c r="AQ78" s="104">
        <f si="140" t="shared"/>
        <v>4.8938141053767653E-3</v>
      </c>
      <c r="AR78" s="104">
        <f si="140" t="shared"/>
        <v>1.8594803163780453E-4</v>
      </c>
      <c r="AS78" s="104">
        <f si="140" t="shared"/>
        <v>2.114454511275338E-3</v>
      </c>
      <c r="AT78" s="104">
        <f si="140" t="shared"/>
        <v>0</v>
      </c>
      <c r="AU78" s="104">
        <f si="140" t="shared"/>
        <v>5.0730003904095579E-2</v>
      </c>
      <c r="AW78" s="95">
        <v>18</v>
      </c>
      <c r="AX78" s="104">
        <f ref="AX78:BS78" si="141" t="shared">IF($BS$55&gt;0,AX51/$BS$55,0)</f>
        <v>4.0218381473517218E-3</v>
      </c>
      <c r="AY78" s="104">
        <f si="141" t="shared"/>
        <v>1.3741796751544596E-3</v>
      </c>
      <c r="AZ78" s="104">
        <f si="141" t="shared"/>
        <v>5.344892761311032E-4</v>
      </c>
      <c r="BA78" s="104">
        <f si="141" t="shared"/>
        <v>3.5322769553012038E-4</v>
      </c>
      <c r="BB78" s="104">
        <f si="141" t="shared"/>
        <v>1.0039102925592895E-3</v>
      </c>
      <c r="BC78" s="104">
        <f si="141" t="shared"/>
        <v>3.9443759334196775E-3</v>
      </c>
      <c r="BD78" s="104">
        <f si="141" t="shared"/>
        <v>2.0264115164622697E-3</v>
      </c>
      <c r="BE78" s="104">
        <f si="141" t="shared"/>
        <v>3.5632618408740219E-5</v>
      </c>
      <c r="BF78" s="104">
        <f si="141" t="shared"/>
        <v>5.1744758906605362E-4</v>
      </c>
      <c r="BG78" s="104">
        <f si="141" t="shared"/>
        <v>2.9280716866312613E-4</v>
      </c>
      <c r="BH78" s="104">
        <f si="141" t="shared"/>
        <v>1.983032676660325E-4</v>
      </c>
      <c r="BI78" s="104">
        <f si="141" t="shared"/>
        <v>1.6194250444633108E-2</v>
      </c>
      <c r="BJ78" s="104">
        <f si="141" t="shared"/>
        <v>1.2835488848539682E-2</v>
      </c>
      <c r="BK78" s="104">
        <f si="141" t="shared"/>
        <v>2.7886397015535821E-5</v>
      </c>
      <c r="BL78" s="104">
        <f si="141" t="shared"/>
        <v>2.2928815323885009E-4</v>
      </c>
      <c r="BM78" s="104">
        <f si="141" t="shared"/>
        <v>1.1309483234078417E-4</v>
      </c>
      <c r="BN78" s="104">
        <f si="141" t="shared"/>
        <v>1.7041687065049668E-5</v>
      </c>
      <c r="BO78" s="104">
        <f si="141" t="shared"/>
        <v>5.7848781364450421E-3</v>
      </c>
      <c r="BP78" s="104">
        <f si="141" t="shared"/>
        <v>2.6337152736894942E-5</v>
      </c>
      <c r="BQ78" s="104">
        <f si="141" t="shared"/>
        <v>1.1991150716680404E-3</v>
      </c>
      <c r="BR78" s="104">
        <f si="141" t="shared"/>
        <v>0</v>
      </c>
      <c r="BS78" s="104">
        <f si="141" t="shared"/>
        <v>5.0730003904095579E-2</v>
      </c>
    </row>
    <row r="79" spans="1:71" x14ac:dyDescent="0.25">
      <c r="A79" s="95">
        <v>19</v>
      </c>
      <c r="B79" s="104">
        <f ref="B79:W79" si="142" t="shared">IF($W$55&gt;0,B52/$W$55,0)</f>
        <v>3.3705192612410065E-3</v>
      </c>
      <c r="C79" s="104">
        <f si="142" t="shared"/>
        <v>1.0694036221172139E-3</v>
      </c>
      <c r="D79" s="104">
        <f si="142" t="shared"/>
        <v>1.0723990931877001E-3</v>
      </c>
      <c r="E79" s="104">
        <f si="142" t="shared"/>
        <v>1.448855311915262E-3</v>
      </c>
      <c r="F79" s="104">
        <f si="142" t="shared"/>
        <v>1.2277894013747698E-3</v>
      </c>
      <c r="G79" s="104">
        <f si="142" t="shared"/>
        <v>3.0269600261231028E-3</v>
      </c>
      <c r="H79" s="104">
        <f si="142" t="shared"/>
        <v>2.6400480512775359E-3</v>
      </c>
      <c r="I79" s="104">
        <f si="142" t="shared"/>
        <v>3.7055056580153034E-4</v>
      </c>
      <c r="J79" s="104">
        <f si="142" t="shared"/>
        <v>3.061604536367613E-3</v>
      </c>
      <c r="K79" s="104">
        <f si="142" t="shared"/>
        <v>0</v>
      </c>
      <c r="L79" s="104">
        <f si="142" t="shared"/>
        <v>1.1874215948401667E-2</v>
      </c>
      <c r="M79" s="104">
        <f si="142" t="shared"/>
        <v>6.873593896799912E-4</v>
      </c>
      <c r="N79" s="104">
        <f si="142" t="shared"/>
        <v>0</v>
      </c>
      <c r="O79" s="104">
        <f si="142" t="shared"/>
        <v>1.3914945258863358E-3</v>
      </c>
      <c r="P79" s="104">
        <f si="142" t="shared"/>
        <v>1.1979696112902945E-3</v>
      </c>
      <c r="Q79" s="104">
        <f si="142" t="shared"/>
        <v>0</v>
      </c>
      <c r="R79" s="104">
        <f si="142" t="shared"/>
        <v>3.295680196252343E-3</v>
      </c>
      <c r="S79" s="104">
        <f si="142" t="shared"/>
        <v>0</v>
      </c>
      <c r="T79" s="104">
        <f si="142" t="shared"/>
        <v>1.6304265778630769E-2</v>
      </c>
      <c r="U79" s="104">
        <f si="142" t="shared"/>
        <v>0</v>
      </c>
      <c r="V79" s="104">
        <f si="142" t="shared"/>
        <v>0</v>
      </c>
      <c r="W79" s="104">
        <f si="142" t="shared"/>
        <v>5.2039115319547122E-2</v>
      </c>
      <c r="Y79" s="95">
        <v>19</v>
      </c>
      <c r="Z79" s="104">
        <f ref="Z79:AU79" si="143" t="shared">IF($W$55&gt;0,Z52/$W$55,0)</f>
        <v>2.1345034271635839E-3</v>
      </c>
      <c r="AA79" s="104">
        <f si="143" t="shared"/>
        <v>1.9441323212589518E-3</v>
      </c>
      <c r="AB79" s="104">
        <f si="143" t="shared"/>
        <v>1.0353058773169739E-3</v>
      </c>
      <c r="AC79" s="104">
        <f si="143" t="shared"/>
        <v>1.0874623446881057E-3</v>
      </c>
      <c r="AD79" s="104">
        <f si="143" t="shared"/>
        <v>6.5325975382343044E-4</v>
      </c>
      <c r="AE79" s="104">
        <f si="143" t="shared"/>
        <v>3.9221663463091389E-3</v>
      </c>
      <c r="AF79" s="104">
        <f si="143" t="shared"/>
        <v>1.9767301133659094E-3</v>
      </c>
      <c r="AG79" s="104">
        <f si="143" t="shared"/>
        <v>2.8686057054122695E-4</v>
      </c>
      <c r="AH79" s="104">
        <f si="143" t="shared"/>
        <v>2.3874622939135753E-3</v>
      </c>
      <c r="AI79" s="104">
        <f si="143" t="shared"/>
        <v>4.9287861665719892E-4</v>
      </c>
      <c r="AJ79" s="104">
        <f si="143" t="shared"/>
        <v>7.7087258774533353E-3</v>
      </c>
      <c r="AK79" s="104">
        <f si="143" t="shared"/>
        <v>4.1607821845320693E-3</v>
      </c>
      <c r="AL79" s="104">
        <f si="143" t="shared"/>
        <v>9.6489464636594514E-4</v>
      </c>
      <c r="AM79" s="104">
        <f si="143" t="shared"/>
        <v>9.1404209067909141E-4</v>
      </c>
      <c r="AN79" s="104">
        <f si="143" t="shared"/>
        <v>1.9284853810476125E-3</v>
      </c>
      <c r="AO79" s="104">
        <f si="143" t="shared"/>
        <v>1.1735205158504737E-4</v>
      </c>
      <c r="AP79" s="104">
        <f si="143" t="shared"/>
        <v>3.9769306370488278E-3</v>
      </c>
      <c r="AQ79" s="104">
        <f si="143" t="shared"/>
        <v>2.2688063306442493E-4</v>
      </c>
      <c r="AR79" s="104">
        <f si="143" t="shared"/>
        <v>1.5949447722092218E-2</v>
      </c>
      <c r="AS79" s="104">
        <f si="143" t="shared"/>
        <v>1.7081243064045787E-4</v>
      </c>
      <c r="AT79" s="104">
        <f si="143" t="shared"/>
        <v>0</v>
      </c>
      <c r="AU79" s="104">
        <f si="143" t="shared"/>
        <v>5.2039115319547122E-2</v>
      </c>
      <c r="AW79" s="95">
        <v>19</v>
      </c>
      <c r="AX79" s="104">
        <f ref="AX79:BS79" si="144" t="shared">IF($BS$55&gt;0,AX52/$BS$55,0)</f>
        <v>7.1249744374694028E-3</v>
      </c>
      <c r="AY79" s="104">
        <f si="144" t="shared"/>
        <v>1.8389529587467233E-3</v>
      </c>
      <c r="AZ79" s="104">
        <f si="144" t="shared"/>
        <v>1.8745855771554636E-3</v>
      </c>
      <c r="BA79" s="104">
        <f si="144" t="shared"/>
        <v>1.0658800637049248E-3</v>
      </c>
      <c r="BB79" s="104">
        <f si="144" t="shared"/>
        <v>1.8528961572544913E-3</v>
      </c>
      <c r="BC79" s="104">
        <f si="144" t="shared"/>
        <v>5.5044649220110427E-3</v>
      </c>
      <c r="BD79" s="104">
        <f si="144" t="shared"/>
        <v>1.1185543691787146E-3</v>
      </c>
      <c r="BE79" s="104">
        <f si="144" t="shared"/>
        <v>1.177425651767068E-4</v>
      </c>
      <c r="BF79" s="104">
        <f si="144" t="shared"/>
        <v>1.9659909895952754E-3</v>
      </c>
      <c r="BG79" s="104">
        <f si="144" t="shared"/>
        <v>2.6337152736894944E-4</v>
      </c>
      <c r="BH79" s="104">
        <f si="144" t="shared"/>
        <v>5.4936202120605569E-3</v>
      </c>
      <c r="BI79" s="104">
        <f si="144" t="shared"/>
        <v>2.0542979134778056E-3</v>
      </c>
      <c r="BJ79" s="104">
        <f si="144" t="shared"/>
        <v>1.8157142945671102E-3</v>
      </c>
      <c r="BK79" s="104">
        <f si="144" t="shared"/>
        <v>8.4123964330199731E-4</v>
      </c>
      <c r="BL79" s="104">
        <f si="144" t="shared"/>
        <v>4.3208422931294115E-3</v>
      </c>
      <c r="BM79" s="104">
        <f si="144" t="shared"/>
        <v>1.8590931343690547E-5</v>
      </c>
      <c r="BN79" s="104">
        <f si="144" t="shared"/>
        <v>2.2448549597506337E-3</v>
      </c>
      <c r="BO79" s="104">
        <f si="144" t="shared"/>
        <v>6.3519015424276032E-5</v>
      </c>
      <c r="BP79" s="104">
        <f si="144" t="shared"/>
        <v>1.2454374755994027E-2</v>
      </c>
      <c r="BQ79" s="104">
        <f si="144" t="shared"/>
        <v>4.6477328359226368E-6</v>
      </c>
      <c r="BR79" s="104">
        <f si="144" t="shared"/>
        <v>0</v>
      </c>
      <c r="BS79" s="104">
        <f si="144" t="shared"/>
        <v>5.2039115319547122E-2</v>
      </c>
    </row>
    <row r="80" spans="1:71" x14ac:dyDescent="0.25">
      <c r="A80" s="95">
        <v>20</v>
      </c>
      <c r="B80" s="104">
        <f ref="B80:W80" si="145" t="shared">IF($W$55&gt;0,B53/$W$55,0)</f>
        <v>8.2014870745892438E-4</v>
      </c>
      <c r="C80" s="104">
        <f si="145" t="shared"/>
        <v>4.305958942123322E-4</v>
      </c>
      <c r="D80" s="104">
        <f si="145" t="shared"/>
        <v>4.305958942123322E-4</v>
      </c>
      <c r="E80" s="104">
        <f si="145" t="shared"/>
        <v>5.76824223796248E-4</v>
      </c>
      <c r="F80" s="104">
        <f si="145" t="shared"/>
        <v>8.1897520873834535E-5</v>
      </c>
      <c r="G80" s="104">
        <f si="145" t="shared"/>
        <v>8.5614862709431424E-4</v>
      </c>
      <c r="H80" s="104">
        <f si="145" t="shared"/>
        <v>1.974574879911204E-3</v>
      </c>
      <c r="I80" s="104">
        <f si="145" t="shared"/>
        <v>0</v>
      </c>
      <c r="J80" s="104">
        <f si="145" t="shared"/>
        <v>0</v>
      </c>
      <c r="K80" s="104">
        <f si="145" t="shared"/>
        <v>1.7054375601170151E-4</v>
      </c>
      <c r="L80" s="104">
        <f si="145" t="shared"/>
        <v>1.2494741733892702E-4</v>
      </c>
      <c r="M80" s="104">
        <f si="145" t="shared"/>
        <v>7.0602514516209733E-3</v>
      </c>
      <c r="N80" s="104">
        <f si="145" t="shared"/>
        <v>5.7690286214707796E-5</v>
      </c>
      <c r="O80" s="104">
        <f si="145" t="shared"/>
        <v>0</v>
      </c>
      <c r="P80" s="104">
        <f si="145" t="shared"/>
        <v>0</v>
      </c>
      <c r="Q80" s="104">
        <f si="145" t="shared"/>
        <v>0</v>
      </c>
      <c r="R80" s="104">
        <f si="145" t="shared"/>
        <v>0</v>
      </c>
      <c r="S80" s="104">
        <f si="145" t="shared"/>
        <v>4.1269948764470999E-3</v>
      </c>
      <c r="T80" s="104">
        <f si="145" t="shared"/>
        <v>0</v>
      </c>
      <c r="U80" s="104">
        <f si="145" t="shared"/>
        <v>1.8444237635726227E-2</v>
      </c>
      <c r="V80" s="104">
        <f si="145" t="shared"/>
        <v>0</v>
      </c>
      <c r="W80" s="104">
        <f si="145" t="shared"/>
        <v>3.5155451170918825E-2</v>
      </c>
      <c r="Y80" s="95">
        <v>20</v>
      </c>
      <c r="Z80" s="104">
        <f ref="Z80:AU80" si="146" t="shared">IF($W$55&gt;0,Z53/$W$55,0)</f>
        <v>8.9627299585931248E-4</v>
      </c>
      <c r="AA80" s="104">
        <f si="146" t="shared"/>
        <v>7.8485107970740337E-4</v>
      </c>
      <c r="AB80" s="104">
        <f si="146" t="shared"/>
        <v>2.8406466535431764E-4</v>
      </c>
      <c r="AC80" s="104">
        <f si="146" t="shared"/>
        <v>3.1222624855754735E-4</v>
      </c>
      <c r="AD80" s="104">
        <f si="146" t="shared"/>
        <v>2.5467866549007791E-4</v>
      </c>
      <c r="AE80" s="104">
        <f si="146" t="shared"/>
        <v>1.4533825766188577E-3</v>
      </c>
      <c r="AF80" s="104">
        <f si="146" t="shared"/>
        <v>1.6443915757364165E-3</v>
      </c>
      <c r="AG80" s="104">
        <f si="146" t="shared"/>
        <v>1.0529983284685911E-4</v>
      </c>
      <c r="AH80" s="104">
        <f si="146" t="shared"/>
        <v>8.4974516274093288E-4</v>
      </c>
      <c r="AI80" s="104">
        <f si="146" t="shared"/>
        <v>3.4283666508279717E-4</v>
      </c>
      <c r="AJ80" s="104">
        <f si="146" t="shared"/>
        <v>3.514075817098671E-4</v>
      </c>
      <c r="AK80" s="104">
        <f si="146" t="shared"/>
        <v>7.6109739648380957E-3</v>
      </c>
      <c r="AL80" s="104">
        <f si="146" t="shared"/>
        <v>1.3444094937889687E-3</v>
      </c>
      <c r="AM80" s="104">
        <f si="146" t="shared"/>
        <v>1.4203233267715882E-4</v>
      </c>
      <c r="AN80" s="104">
        <f si="146" t="shared"/>
        <v>2.6814724876118775E-4</v>
      </c>
      <c r="AO80" s="104">
        <f si="146" t="shared"/>
        <v>1.0407541618584914E-4</v>
      </c>
      <c r="AP80" s="104">
        <f si="146" t="shared"/>
        <v>4.4078999796359635E-5</v>
      </c>
      <c r="AQ80" s="104">
        <f si="146" t="shared"/>
        <v>4.8682806441757188E-3</v>
      </c>
      <c r="AR80" s="104">
        <f si="146" t="shared"/>
        <v>1.7141833254139858E-4</v>
      </c>
      <c r="AS80" s="104">
        <f si="146" t="shared"/>
        <v>1.3322877688449699E-2</v>
      </c>
      <c r="AT80" s="104">
        <f si="146" t="shared"/>
        <v>0</v>
      </c>
      <c r="AU80" s="104">
        <f si="146" t="shared"/>
        <v>3.5155451170918825E-2</v>
      </c>
      <c r="AW80" s="95">
        <v>20</v>
      </c>
      <c r="AX80" s="104">
        <f ref="AX80:BS80" si="147" t="shared">IF($BS$55&gt;0,AX53/$BS$55,0)</f>
        <v>1.7831801647156518E-3</v>
      </c>
      <c r="AY80" s="104">
        <f si="147" t="shared"/>
        <v>6.4603486419324656E-4</v>
      </c>
      <c r="AZ80" s="104">
        <f si="147" t="shared"/>
        <v>2.4478059602525888E-4</v>
      </c>
      <c r="BA80" s="104">
        <f si="147" t="shared"/>
        <v>1.5492442786408791E-4</v>
      </c>
      <c r="BB80" s="104">
        <f si="147" t="shared"/>
        <v>4.35337642298087E-4</v>
      </c>
      <c r="BC80" s="104">
        <f si="147" t="shared"/>
        <v>1.9690894781525573E-3</v>
      </c>
      <c r="BD80" s="104">
        <f si="147" t="shared"/>
        <v>6.0110678011266101E-4</v>
      </c>
      <c r="BE80" s="104">
        <f si="147" t="shared"/>
        <v>1.7041687065049668E-5</v>
      </c>
      <c r="BF80" s="104">
        <f si="147" t="shared"/>
        <v>2.2309117612428656E-4</v>
      </c>
      <c r="BG80" s="104">
        <f si="147" t="shared"/>
        <v>1.4098122935632E-4</v>
      </c>
      <c r="BH80" s="104">
        <f si="147" t="shared"/>
        <v>9.4503900997093624E-5</v>
      </c>
      <c r="BI80" s="104">
        <f si="147" t="shared"/>
        <v>7.9894527449510134E-3</v>
      </c>
      <c r="BJ80" s="104">
        <f si="147" t="shared"/>
        <v>2.0930290204438273E-3</v>
      </c>
      <c r="BK80" s="104">
        <f si="147" t="shared"/>
        <v>1.394319850776791E-5</v>
      </c>
      <c r="BL80" s="104">
        <f si="147" t="shared"/>
        <v>7.1265236817480437E-5</v>
      </c>
      <c r="BM80" s="104">
        <f si="147" t="shared"/>
        <v>1.3788274079903822E-4</v>
      </c>
      <c r="BN80" s="104">
        <f si="147" t="shared"/>
        <v>6.1969771145635157E-6</v>
      </c>
      <c r="BO80" s="104">
        <f si="147" t="shared"/>
        <v>4.1581716438721193E-3</v>
      </c>
      <c r="BP80" s="104">
        <f si="147" t="shared"/>
        <v>1.7041687065049668E-5</v>
      </c>
      <c r="BQ80" s="104">
        <f si="147" t="shared"/>
        <v>1.4358395974443666E-2</v>
      </c>
      <c r="BR80" s="104">
        <f si="147" t="shared"/>
        <v>0</v>
      </c>
      <c r="BS80" s="104">
        <f si="147" t="shared"/>
        <v>3.5155451170918825E-2</v>
      </c>
    </row>
    <row customFormat="1" r="81" s="95" spans="1:71" x14ac:dyDescent="0.25">
      <c r="A81" s="101" t="s">
        <v>15</v>
      </c>
      <c r="B81" s="105">
        <f ref="B81:W81" si="148" t="shared">IF($W$55&gt;0,B54/$W$55,0)</f>
        <v>0</v>
      </c>
      <c r="C81" s="105">
        <f si="148" t="shared"/>
        <v>0</v>
      </c>
      <c r="D81" s="105">
        <f si="148" t="shared"/>
        <v>0</v>
      </c>
      <c r="E81" s="105">
        <f si="148" t="shared"/>
        <v>0</v>
      </c>
      <c r="F81" s="105">
        <f si="148" t="shared"/>
        <v>0</v>
      </c>
      <c r="G81" s="105">
        <f si="148" t="shared"/>
        <v>0</v>
      </c>
      <c r="H81" s="105">
        <f si="148" t="shared"/>
        <v>0</v>
      </c>
      <c r="I81" s="105">
        <f si="148" t="shared"/>
        <v>0</v>
      </c>
      <c r="J81" s="105">
        <f si="148" t="shared"/>
        <v>0</v>
      </c>
      <c r="K81" s="105">
        <f si="148" t="shared"/>
        <v>0</v>
      </c>
      <c r="L81" s="105">
        <f si="148" t="shared"/>
        <v>0</v>
      </c>
      <c r="M81" s="105">
        <f si="148" t="shared"/>
        <v>0</v>
      </c>
      <c r="N81" s="105">
        <f si="148" t="shared"/>
        <v>0</v>
      </c>
      <c r="O81" s="105">
        <f si="148" t="shared"/>
        <v>0</v>
      </c>
      <c r="P81" s="105">
        <f si="148" t="shared"/>
        <v>0</v>
      </c>
      <c r="Q81" s="105">
        <f si="148" t="shared"/>
        <v>0</v>
      </c>
      <c r="R81" s="105">
        <f si="148" t="shared"/>
        <v>0</v>
      </c>
      <c r="S81" s="105">
        <f si="148" t="shared"/>
        <v>0</v>
      </c>
      <c r="T81" s="105">
        <f si="148" t="shared"/>
        <v>0</v>
      </c>
      <c r="U81" s="105">
        <f si="148" t="shared"/>
        <v>0</v>
      </c>
      <c r="V81" s="105">
        <f si="148" t="shared"/>
        <v>0</v>
      </c>
      <c r="W81" s="105">
        <f si="148" t="shared"/>
        <v>0</v>
      </c>
      <c r="Y81" s="101" t="s">
        <v>15</v>
      </c>
      <c r="Z81" s="105">
        <f ref="Z81:AU81" si="149" t="shared">IF($W$55&gt;0,Z54/$W$55,0)</f>
        <v>0</v>
      </c>
      <c r="AA81" s="105">
        <f si="149" t="shared"/>
        <v>0</v>
      </c>
      <c r="AB81" s="105">
        <f si="149" t="shared"/>
        <v>0</v>
      </c>
      <c r="AC81" s="105">
        <f si="149" t="shared"/>
        <v>0</v>
      </c>
      <c r="AD81" s="105">
        <f si="149" t="shared"/>
        <v>0</v>
      </c>
      <c r="AE81" s="105">
        <f si="149" t="shared"/>
        <v>0</v>
      </c>
      <c r="AF81" s="105">
        <f si="149" t="shared"/>
        <v>0</v>
      </c>
      <c r="AG81" s="105">
        <f si="149" t="shared"/>
        <v>0</v>
      </c>
      <c r="AH81" s="105">
        <f si="149" t="shared"/>
        <v>0</v>
      </c>
      <c r="AI81" s="105">
        <f si="149" t="shared"/>
        <v>0</v>
      </c>
      <c r="AJ81" s="105">
        <f si="149" t="shared"/>
        <v>0</v>
      </c>
      <c r="AK81" s="105">
        <f si="149" t="shared"/>
        <v>0</v>
      </c>
      <c r="AL81" s="105">
        <f si="149" t="shared"/>
        <v>0</v>
      </c>
      <c r="AM81" s="105">
        <f si="149" t="shared"/>
        <v>0</v>
      </c>
      <c r="AN81" s="105">
        <f si="149" t="shared"/>
        <v>0</v>
      </c>
      <c r="AO81" s="105">
        <f si="149" t="shared"/>
        <v>0</v>
      </c>
      <c r="AP81" s="105">
        <f si="149" t="shared"/>
        <v>0</v>
      </c>
      <c r="AQ81" s="105">
        <f si="149" t="shared"/>
        <v>0</v>
      </c>
      <c r="AR81" s="105">
        <f si="149" t="shared"/>
        <v>0</v>
      </c>
      <c r="AS81" s="105">
        <f si="149" t="shared"/>
        <v>0</v>
      </c>
      <c r="AT81" s="105">
        <f si="149" t="shared"/>
        <v>0</v>
      </c>
      <c r="AU81" s="105">
        <f si="149" t="shared"/>
        <v>0</v>
      </c>
      <c r="AW81" s="101" t="s">
        <v>15</v>
      </c>
      <c r="AX81" s="105">
        <f ref="AX81:BS81" si="150" t="shared">IF($BS$55&gt;0,AX54/$BS$55,0)</f>
        <v>0</v>
      </c>
      <c r="AY81" s="105">
        <f si="150" t="shared"/>
        <v>0</v>
      </c>
      <c r="AZ81" s="105">
        <f si="150" t="shared"/>
        <v>0</v>
      </c>
      <c r="BA81" s="105">
        <f si="150" t="shared"/>
        <v>0</v>
      </c>
      <c r="BB81" s="105">
        <f si="150" t="shared"/>
        <v>0</v>
      </c>
      <c r="BC81" s="105">
        <f si="150" t="shared"/>
        <v>0</v>
      </c>
      <c r="BD81" s="105">
        <f si="150" t="shared"/>
        <v>0</v>
      </c>
      <c r="BE81" s="105">
        <f si="150" t="shared"/>
        <v>0</v>
      </c>
      <c r="BF81" s="105">
        <f si="150" t="shared"/>
        <v>0</v>
      </c>
      <c r="BG81" s="105">
        <f si="150" t="shared"/>
        <v>0</v>
      </c>
      <c r="BH81" s="105">
        <f si="150" t="shared"/>
        <v>0</v>
      </c>
      <c r="BI81" s="105">
        <f si="150" t="shared"/>
        <v>0</v>
      </c>
      <c r="BJ81" s="105">
        <f si="150" t="shared"/>
        <v>0</v>
      </c>
      <c r="BK81" s="105">
        <f si="150" t="shared"/>
        <v>0</v>
      </c>
      <c r="BL81" s="105">
        <f si="150" t="shared"/>
        <v>0</v>
      </c>
      <c r="BM81" s="105">
        <f si="150" t="shared"/>
        <v>0</v>
      </c>
      <c r="BN81" s="105">
        <f si="150" t="shared"/>
        <v>0</v>
      </c>
      <c r="BO81" s="105">
        <f si="150" t="shared"/>
        <v>0</v>
      </c>
      <c r="BP81" s="105">
        <f si="150" t="shared"/>
        <v>0</v>
      </c>
      <c r="BQ81" s="105">
        <f si="150" t="shared"/>
        <v>0</v>
      </c>
      <c r="BR81" s="105">
        <f si="150" t="shared"/>
        <v>0</v>
      </c>
      <c r="BS81" s="105">
        <f si="150" t="shared"/>
        <v>0</v>
      </c>
    </row>
    <row ht="15.75" r="82" spans="1:71" thickBot="1" x14ac:dyDescent="0.3">
      <c r="A82" s="1" t="s">
        <v>3</v>
      </c>
      <c r="B82" s="106">
        <f ref="B82:W82" si="151" t="shared">IF($W$55&gt;0,B55/$W$55,0)</f>
        <v>0.10651245735504583</v>
      </c>
      <c r="C82" s="106">
        <f si="151" t="shared"/>
        <v>4.2285817005106571E-2</v>
      </c>
      <c r="D82" s="106">
        <f si="151" t="shared"/>
        <v>2.6640917784008903E-2</v>
      </c>
      <c r="E82" s="106">
        <f si="151" t="shared"/>
        <v>3.1308789236908323E-2</v>
      </c>
      <c r="F82" s="106">
        <f si="151" t="shared"/>
        <v>2.9331887139106377E-2</v>
      </c>
      <c r="G82" s="106">
        <f si="151" t="shared"/>
        <v>0.15173320426810522</v>
      </c>
      <c r="H82" s="106">
        <f si="151" t="shared"/>
        <v>9.440467482041727E-2</v>
      </c>
      <c r="I82" s="106">
        <f si="151" t="shared"/>
        <v>8.9019437806581812E-3</v>
      </c>
      <c r="J82" s="106">
        <f si="151" t="shared"/>
        <v>6.6017345410951403E-2</v>
      </c>
      <c r="K82" s="106">
        <f si="151" t="shared"/>
        <v>1.5750826481073541E-2</v>
      </c>
      <c r="L82" s="106">
        <f si="151" t="shared"/>
        <v>5.3505044828395507E-2</v>
      </c>
      <c r="M82" s="106">
        <f si="151" t="shared"/>
        <v>0.18805167502915487</v>
      </c>
      <c r="N82" s="106">
        <f si="151" t="shared"/>
        <v>7.0604009306704268E-2</v>
      </c>
      <c r="O82" s="106">
        <f si="151" t="shared"/>
        <v>1.9060380465616648E-2</v>
      </c>
      <c r="P82" s="106">
        <f si="151" t="shared"/>
        <v>2.2637142858275918E-2</v>
      </c>
      <c r="Q82" s="106">
        <f si="151" t="shared"/>
        <v>2.6253408078030578E-3</v>
      </c>
      <c r="R82" s="106">
        <f si="151" t="shared"/>
        <v>1.2095953452224969E-2</v>
      </c>
      <c r="S82" s="106">
        <f si="151" t="shared"/>
        <v>1.5111169761343295E-2</v>
      </c>
      <c r="T82" s="106">
        <f si="151" t="shared"/>
        <v>2.2163555712296622E-2</v>
      </c>
      <c r="U82" s="106">
        <f si="151" t="shared"/>
        <v>2.1257864496803322E-2</v>
      </c>
      <c r="V82" s="106">
        <f si="151" t="shared"/>
        <v>0</v>
      </c>
      <c r="W82" s="106">
        <f si="151" t="shared"/>
        <v>1</v>
      </c>
      <c r="Y82" s="1" t="s">
        <v>3</v>
      </c>
      <c r="Z82" s="106">
        <f ref="Z82:AU82" si="152" t="shared">IF($W$55&gt;0,Z55/$W$55,0)</f>
        <v>7.4305365446679913E-2</v>
      </c>
      <c r="AA82" s="106">
        <f si="152" t="shared"/>
        <v>5.0297279821438813E-2</v>
      </c>
      <c r="AB82" s="106">
        <f si="152" t="shared"/>
        <v>2.7606757912193483E-2</v>
      </c>
      <c r="AC82" s="106">
        <f si="152" t="shared"/>
        <v>2.4152865840642513E-2</v>
      </c>
      <c r="AD82" s="106">
        <f si="152" t="shared"/>
        <v>2.2418362973926985E-2</v>
      </c>
      <c r="AE82" s="106">
        <f si="152" t="shared"/>
        <v>0.14533183380757866</v>
      </c>
      <c r="AF82" s="106">
        <f si="152" t="shared"/>
        <v>9.5539785875765365E-2</v>
      </c>
      <c r="AG82" s="106">
        <f si="152" t="shared"/>
        <v>5.2513277510644364E-3</v>
      </c>
      <c r="AH82" s="106">
        <f si="152" t="shared"/>
        <v>5.8742447080578672E-2</v>
      </c>
      <c r="AI82" s="106">
        <f si="152" t="shared"/>
        <v>1.9077473507594842E-2</v>
      </c>
      <c r="AJ82" s="106">
        <f si="152" t="shared"/>
        <v>5.372844787240872E-2</v>
      </c>
      <c r="AK82" s="106">
        <f si="152" t="shared"/>
        <v>0.21234032767729266</v>
      </c>
      <c r="AL82" s="106">
        <f si="152" t="shared"/>
        <v>7.753077938829997E-2</v>
      </c>
      <c r="AM82" s="106">
        <f si="152" t="shared"/>
        <v>1.5821312333546333E-2</v>
      </c>
      <c r="AN82" s="106">
        <f si="152" t="shared"/>
        <v>3.2528009774269027E-2</v>
      </c>
      <c r="AO82" s="106">
        <f si="152" t="shared"/>
        <v>4.7355318940061272E-3</v>
      </c>
      <c r="AP82" s="106">
        <f si="152" t="shared"/>
        <v>1.2678655399894398E-2</v>
      </c>
      <c r="AQ82" s="106">
        <f si="152" t="shared"/>
        <v>1.8068427497197073E-2</v>
      </c>
      <c r="AR82" s="106">
        <f si="152" t="shared"/>
        <v>3.0476621114399454E-2</v>
      </c>
      <c r="AS82" s="106">
        <f si="152" t="shared"/>
        <v>1.9368387031222487E-2</v>
      </c>
      <c r="AT82" s="106">
        <f si="152" t="shared"/>
        <v>0</v>
      </c>
      <c r="AU82" s="106">
        <f si="152" t="shared"/>
        <v>1</v>
      </c>
      <c r="AW82" s="1" t="s">
        <v>3</v>
      </c>
      <c r="AX82" s="106">
        <f ref="AX82:BS82" si="153" t="shared">IF($BS$55&gt;0,AX55/$BS$55,0)</f>
        <v>0.16223221312643693</v>
      </c>
      <c r="AY82" s="106">
        <f si="153" t="shared"/>
        <v>5.7165564637569791E-2</v>
      </c>
      <c r="AZ82" s="106">
        <f si="153" t="shared"/>
        <v>3.1573598398701115E-2</v>
      </c>
      <c r="BA82" s="106">
        <f si="153" t="shared"/>
        <v>1.9216826032261464E-2</v>
      </c>
      <c r="BB82" s="106">
        <f si="153" t="shared"/>
        <v>4.471583761441169E-2</v>
      </c>
      <c r="BC82" s="106">
        <f si="153" t="shared"/>
        <v>0.1509180821595226</v>
      </c>
      <c r="BD82" s="106">
        <f si="153" t="shared"/>
        <v>6.6803413294994701E-2</v>
      </c>
      <c r="BE82" s="106">
        <f si="153" t="shared"/>
        <v>2.0945782647224685E-3</v>
      </c>
      <c r="BF82" s="106">
        <f si="153" t="shared"/>
        <v>3.9121516524239473E-2</v>
      </c>
      <c r="BG82" s="106">
        <f si="153" t="shared"/>
        <v>1.0474440567890982E-2</v>
      </c>
      <c r="BH82" s="106">
        <f si="153" t="shared"/>
        <v>3.4312662283338187E-2</v>
      </c>
      <c r="BI82" s="106">
        <f si="153" t="shared"/>
        <v>0.14131741536478507</v>
      </c>
      <c r="BJ82" s="106">
        <f si="153" t="shared"/>
        <v>0.13675644020846631</v>
      </c>
      <c r="BK82" s="106">
        <f si="153" t="shared"/>
        <v>1.0994986645514317E-2</v>
      </c>
      <c r="BL82" s="106">
        <f si="153" t="shared"/>
        <v>3.1781197132038988E-2</v>
      </c>
      <c r="BM82" s="106">
        <f si="153" t="shared"/>
        <v>1.9690894781525573E-3</v>
      </c>
      <c r="BN82" s="106">
        <f si="153" t="shared"/>
        <v>7.1931411857296011E-3</v>
      </c>
      <c r="BO82" s="106">
        <f si="153" t="shared"/>
        <v>1.5444416213770922E-2</v>
      </c>
      <c r="BP82" s="106">
        <f si="153" t="shared"/>
        <v>1.979469414819451E-2</v>
      </c>
      <c r="BQ82" s="106">
        <f si="153" t="shared"/>
        <v>1.6119886719258347E-2</v>
      </c>
      <c r="BR82" s="106">
        <f si="153" t="shared"/>
        <v>0</v>
      </c>
      <c r="BS82" s="106">
        <f si="153" t="shared"/>
        <v>1</v>
      </c>
    </row>
    <row ht="15.75" r="86" spans="1:71" thickBot="1" x14ac:dyDescent="0.3">
      <c r="AW86" s="23" t="s">
        <v>324</v>
      </c>
      <c r="AX86" s="24"/>
      <c r="AY86" s="24"/>
      <c r="AZ86" s="24"/>
      <c r="BA86" s="24"/>
      <c r="BB86" s="24"/>
      <c r="BC86" s="24"/>
      <c r="BD86" s="24"/>
      <c r="BE86" s="24"/>
      <c r="BF86" s="24"/>
    </row>
    <row r="87" spans="1:71" x14ac:dyDescent="0.25">
      <c r="AW87" s="2" t="s">
        <v>14</v>
      </c>
      <c r="AX87" s="2">
        <v>1</v>
      </c>
      <c r="AY87" s="2">
        <v>2</v>
      </c>
      <c r="AZ87" s="2">
        <v>3</v>
      </c>
      <c r="BA87" s="2">
        <v>4</v>
      </c>
      <c r="BB87" s="2">
        <v>5</v>
      </c>
      <c r="BC87" s="2">
        <v>6</v>
      </c>
      <c r="BD87" s="2">
        <v>7</v>
      </c>
      <c r="BE87" s="2">
        <v>8</v>
      </c>
      <c r="BF87" s="2">
        <v>9</v>
      </c>
      <c r="BG87" s="2">
        <v>10</v>
      </c>
      <c r="BH87" s="2">
        <v>11</v>
      </c>
      <c r="BI87" s="2">
        <v>12</v>
      </c>
      <c r="BJ87" s="2">
        <v>13</v>
      </c>
      <c r="BK87" s="2">
        <v>14</v>
      </c>
      <c r="BL87" s="2">
        <v>15</v>
      </c>
      <c r="BM87" s="2">
        <v>16</v>
      </c>
      <c r="BN87" s="2">
        <v>17</v>
      </c>
      <c r="BO87" s="2">
        <v>18</v>
      </c>
      <c r="BP87" s="2">
        <v>19</v>
      </c>
      <c r="BQ87" s="2">
        <v>20</v>
      </c>
      <c r="BR87" s="3" t="s">
        <v>15</v>
      </c>
      <c r="BS87" s="3" t="s">
        <v>3</v>
      </c>
    </row>
    <row r="88" spans="1:71" x14ac:dyDescent="0.25">
      <c r="AW88" s="31">
        <v>1</v>
      </c>
      <c r="AX88" s="103">
        <f>AX61-Z61</f>
        <v>1.4277305568042647E-3</v>
      </c>
      <c r="AY88" s="103">
        <f ref="AY88:BS88" si="154" t="shared">AY61-AA61</f>
        <v>-4.9225135659533375E-5</v>
      </c>
      <c r="AZ88" s="103">
        <f si="154" t="shared"/>
        <v>-1.4345174199144475E-5</v>
      </c>
      <c r="BA88" s="103">
        <f si="154" t="shared"/>
        <v>-1.1509760067804716E-5</v>
      </c>
      <c r="BB88" s="103">
        <f si="154" t="shared"/>
        <v>2.9098748590607957E-4</v>
      </c>
      <c r="BC88" s="103">
        <f si="154" t="shared"/>
        <v>-3.6685119258782943E-4</v>
      </c>
      <c r="BD88" s="103">
        <f si="154" t="shared"/>
        <v>-1.3104128212748558E-4</v>
      </c>
      <c r="BE88" s="103">
        <f si="154" t="shared"/>
        <v>-2.4466429478290238E-6</v>
      </c>
      <c r="BF88" s="103">
        <f si="154" t="shared"/>
        <v>-1.6757713966081617E-4</v>
      </c>
      <c r="BG88" s="103">
        <f si="154" t="shared"/>
        <v>-9.8667891766009055E-5</v>
      </c>
      <c r="BH88" s="103">
        <f si="154" t="shared"/>
        <v>-1.0453018539274295E-4</v>
      </c>
      <c r="BI88" s="103">
        <f si="154" t="shared"/>
        <v>-7.0369183992363216E-4</v>
      </c>
      <c r="BJ88" s="103">
        <f si="154" t="shared"/>
        <v>2.8095383745796663E-5</v>
      </c>
      <c r="BK88" s="103">
        <f si="154" t="shared"/>
        <v>-6.9686790261828632E-6</v>
      </c>
      <c r="BL88" s="103">
        <f si="154" t="shared"/>
        <v>-1.6970078003161996E-5</v>
      </c>
      <c r="BM88" s="103">
        <f si="154" t="shared"/>
        <v>-1.7747620370183523E-5</v>
      </c>
      <c r="BN88" s="103">
        <f si="154" t="shared"/>
        <v>-3.9359590753865968E-6</v>
      </c>
      <c r="BO88" s="103">
        <f si="154" t="shared"/>
        <v>-1.0947044886446226E-6</v>
      </c>
      <c r="BP88" s="103">
        <f si="154" t="shared"/>
        <v>-3.4268999038751436E-5</v>
      </c>
      <c r="BQ88" s="103">
        <f si="154" t="shared"/>
        <v>-1.5941142121002862E-5</v>
      </c>
      <c r="BR88" s="103">
        <f si="154" t="shared"/>
        <v>0</v>
      </c>
      <c r="BS88" s="103">
        <f si="154" t="shared"/>
        <v>0</v>
      </c>
    </row>
    <row r="89" spans="1:71" x14ac:dyDescent="0.25">
      <c r="AW89" s="95">
        <v>2</v>
      </c>
      <c r="AX89" s="104">
        <f ref="AX89:AX109" si="155" t="shared">AX62-Z62</f>
        <v>2.3917159762887421E-3</v>
      </c>
      <c r="AY89" s="104">
        <f ref="AY89:AY109" si="156" t="shared">AY62-AA62</f>
        <v>4.9239662534695736E-4</v>
      </c>
      <c r="AZ89" s="104">
        <f ref="AZ89:AZ109" si="157" t="shared">AZ62-AB62</f>
        <v>-1.0086293585023656E-4</v>
      </c>
      <c r="BA89" s="104">
        <f ref="BA89:BA109" si="158" t="shared">BA62-AC62</f>
        <v>-4.6362133470976988E-5</v>
      </c>
      <c r="BB89" s="104">
        <f ref="BB89:BB109" si="159" t="shared">BB62-AD62</f>
        <v>5.4990750016686634E-4</v>
      </c>
      <c r="BC89" s="104">
        <f ref="BC89:BC109" si="160" t="shared">BC62-AE62</f>
        <v>6.8918977806010917E-5</v>
      </c>
      <c r="BD89" s="104">
        <f ref="BD89:BD109" si="161" t="shared">BD62-AF62</f>
        <v>-2.8772589674878153E-4</v>
      </c>
      <c r="BE89" s="104">
        <f ref="BE89:BE109" si="162" t="shared">BE62-AG62</f>
        <v>-9.0911505699512021E-5</v>
      </c>
      <c r="BF89" s="104">
        <f ref="BF89:BF109" si="163" t="shared">BF62-AH62</f>
        <v>-6.0191129751857152E-4</v>
      </c>
      <c r="BG89" s="104">
        <f ref="BG89:BG109" si="164" t="shared">BG62-AI62</f>
        <v>-2.3106051547238689E-4</v>
      </c>
      <c r="BH89" s="104">
        <f ref="BH89:BH109" si="165" t="shared">BH62-AJ62</f>
        <v>-7.2710263195720107E-4</v>
      </c>
      <c r="BI89" s="104">
        <f ref="BI89:BI109" si="166" t="shared">BI62-AK62</f>
        <v>-1.2843087324986031E-3</v>
      </c>
      <c r="BJ89" s="104">
        <f ref="BJ89:BJ109" si="167" t="shared">BJ62-AL62</f>
        <v>3.5073819317564818E-4</v>
      </c>
      <c r="BK89" s="104">
        <f ref="BK89:BK109" si="168" t="shared">BK62-AM62</f>
        <v>-4.6003736549118822E-5</v>
      </c>
      <c r="BL89" s="104">
        <f ref="BL89:BL109" si="169" t="shared">BL62-AN62</f>
        <v>-9.6946078798277029E-5</v>
      </c>
      <c r="BM89" s="104">
        <f ref="BM89:BM109" si="170" t="shared">BM62-AO62</f>
        <v>-7.0669870851958929E-5</v>
      </c>
      <c r="BN89" s="104">
        <f ref="BN89:BN109" si="171" t="shared">BN62-AP62</f>
        <v>-5.6604898188777073E-5</v>
      </c>
      <c r="BO89" s="104">
        <f ref="BO89:BO109" si="172" t="shared">BO62-AQ62</f>
        <v>-4.7830348880328172E-5</v>
      </c>
      <c r="BP89" s="104">
        <f ref="BP89:BP109" si="173" t="shared">BP62-AR62</f>
        <v>-1.1141700378808532E-4</v>
      </c>
      <c r="BQ89" s="104">
        <f ref="BQ89:BQ109" si="174" t="shared">BQ62-AS62</f>
        <v>-5.3959686511410575E-5</v>
      </c>
      <c r="BR89" s="104">
        <f ref="BR89:BR109" si="175" t="shared">BR62-AT62</f>
        <v>0</v>
      </c>
      <c r="BS89" s="104">
        <f ref="BS89:BS109" si="176" t="shared">BS62-AU62</f>
        <v>0</v>
      </c>
    </row>
    <row r="90" spans="1:71" x14ac:dyDescent="0.25">
      <c r="AW90" s="95">
        <v>3</v>
      </c>
      <c r="AX90" s="104">
        <f si="155" t="shared"/>
        <v>5.3554153826408084E-3</v>
      </c>
      <c r="AY90" s="104">
        <f si="156" t="shared"/>
        <v>6.3417401531227786E-4</v>
      </c>
      <c r="AZ90" s="104">
        <f si="157" t="shared"/>
        <v>1.6380878844262682E-4</v>
      </c>
      <c r="BA90" s="104">
        <f si="158" t="shared"/>
        <v>-3.9383351325271258E-4</v>
      </c>
      <c r="BB90" s="104">
        <f si="159" t="shared"/>
        <v>1.052690922146938E-3</v>
      </c>
      <c r="BC90" s="104">
        <f si="160" t="shared"/>
        <v>-8.7423177085286206E-4</v>
      </c>
      <c r="BD90" s="104">
        <f si="161" t="shared"/>
        <v>-7.7037974935080218E-4</v>
      </c>
      <c r="BE90" s="104">
        <f si="162" t="shared"/>
        <v>-2.2209252257235004E-4</v>
      </c>
      <c r="BF90" s="104">
        <f si="163" t="shared"/>
        <v>-7.862836946254839E-4</v>
      </c>
      <c r="BG90" s="104">
        <f si="164" t="shared"/>
        <v>-4.6899858557832236E-4</v>
      </c>
      <c r="BH90" s="104">
        <f si="165" t="shared"/>
        <v>-7.9227541723961964E-4</v>
      </c>
      <c r="BI90" s="104">
        <f si="166" t="shared"/>
        <v>-2.1130551437106453E-3</v>
      </c>
      <c r="BJ90" s="104">
        <f si="167" t="shared"/>
        <v>1.6101291615267497E-4</v>
      </c>
      <c r="BK90" s="104">
        <f si="168" t="shared"/>
        <v>-1.1972695694415407E-4</v>
      </c>
      <c r="BL90" s="104">
        <f si="169" t="shared"/>
        <v>-1.8251277865441386E-4</v>
      </c>
      <c r="BM90" s="104">
        <f si="170" t="shared"/>
        <v>-1.1648341922393686E-4</v>
      </c>
      <c r="BN90" s="104">
        <f si="171" t="shared"/>
        <v>-7.3250622072345084E-5</v>
      </c>
      <c r="BO90" s="104">
        <f si="172" t="shared"/>
        <v>-8.0412672864138134E-5</v>
      </c>
      <c r="BP90" s="104">
        <f si="173" t="shared"/>
        <v>-2.8242423166423172E-4</v>
      </c>
      <c r="BQ90" s="104">
        <f si="174" t="shared"/>
        <v>-9.1140946089308971E-5</v>
      </c>
      <c r="BR90" s="104">
        <f si="175" t="shared"/>
        <v>0</v>
      </c>
      <c r="BS90" s="104">
        <f si="176" t="shared"/>
        <v>0</v>
      </c>
    </row>
    <row r="91" spans="1:71" x14ac:dyDescent="0.25">
      <c r="AW91" s="95">
        <v>4</v>
      </c>
      <c r="AX91" s="104">
        <f si="155" t="shared"/>
        <v>1.9375637681401324E-3</v>
      </c>
      <c r="AY91" s="104">
        <f si="156" t="shared"/>
        <v>-7.6576653446137118E-6</v>
      </c>
      <c r="AZ91" s="104">
        <f si="157" t="shared"/>
        <v>5.2668466613443161E-5</v>
      </c>
      <c r="BA91" s="104">
        <f si="158" t="shared"/>
        <v>-8.960753002474329E-5</v>
      </c>
      <c r="BB91" s="104">
        <f si="159" t="shared"/>
        <v>4.9130409186398866E-4</v>
      </c>
      <c r="BC91" s="104">
        <f si="160" t="shared"/>
        <v>1.9588135705141726E-4</v>
      </c>
      <c r="BD91" s="104">
        <f si="161" t="shared"/>
        <v>-4.5343032422553124E-4</v>
      </c>
      <c r="BE91" s="104">
        <f si="162" t="shared"/>
        <v>-6.3398345643778903E-5</v>
      </c>
      <c r="BF91" s="104">
        <f si="163" t="shared"/>
        <v>-4.8188649669655964E-4</v>
      </c>
      <c r="BG91" s="104">
        <f si="164" t="shared"/>
        <v>-1.4596931909328199E-4</v>
      </c>
      <c r="BH91" s="104">
        <f si="165" t="shared"/>
        <v>-2.781686592024129E-4</v>
      </c>
      <c r="BI91" s="104">
        <f si="166" t="shared"/>
        <v>-8.2505286270603438E-4</v>
      </c>
      <c r="BJ91" s="104">
        <f si="167" t="shared"/>
        <v>-2.3342547236613752E-5</v>
      </c>
      <c r="BK91" s="104">
        <f si="168" t="shared"/>
        <v>-2.4575276627297391E-5</v>
      </c>
      <c r="BL91" s="104">
        <f si="169" t="shared"/>
        <v>-7.9314835662862171E-5</v>
      </c>
      <c r="BM91" s="104">
        <f si="170" t="shared"/>
        <v>-3.1977491831745777E-5</v>
      </c>
      <c r="BN91" s="104">
        <f si="171" t="shared"/>
        <v>-1.8484615428212211E-5</v>
      </c>
      <c r="BO91" s="104">
        <f si="172" t="shared"/>
        <v>-5.9890163718841473E-5</v>
      </c>
      <c r="BP91" s="104">
        <f si="173" t="shared"/>
        <v>-7.1701205056695958E-5</v>
      </c>
      <c r="BQ91" s="104">
        <f si="174" t="shared"/>
        <v>-2.2960345169756845E-5</v>
      </c>
      <c r="BR91" s="104">
        <f si="175" t="shared"/>
        <v>0</v>
      </c>
      <c r="BS91" s="104">
        <f si="176" t="shared"/>
        <v>0</v>
      </c>
    </row>
    <row r="92" spans="1:71" x14ac:dyDescent="0.25">
      <c r="AW92" s="95">
        <v>5</v>
      </c>
      <c r="AX92" s="104">
        <f si="155" t="shared"/>
        <v>1.3323401335764971E-3</v>
      </c>
      <c r="AY92" s="104">
        <f si="156" t="shared"/>
        <v>6.7837065801356613E-5</v>
      </c>
      <c r="AZ92" s="104">
        <f si="157" t="shared"/>
        <v>-4.8620118076190947E-5</v>
      </c>
      <c r="BA92" s="104">
        <f si="158" t="shared"/>
        <v>-9.0021740718140549E-5</v>
      </c>
      <c r="BB92" s="104">
        <f si="159" t="shared"/>
        <v>1.0284053774671435E-3</v>
      </c>
      <c r="BC92" s="104">
        <f si="160" t="shared"/>
        <v>4.3562549282115826E-4</v>
      </c>
      <c r="BD92" s="104">
        <f si="161" t="shared"/>
        <v>-3.3294681248746683E-4</v>
      </c>
      <c r="BE92" s="104">
        <f si="162" t="shared"/>
        <v>-6.0823927142720436E-5</v>
      </c>
      <c r="BF92" s="104">
        <f si="163" t="shared"/>
        <v>-3.0858687691056691E-4</v>
      </c>
      <c r="BG92" s="104">
        <f si="164" t="shared"/>
        <v>-1.4324571197734705E-4</v>
      </c>
      <c r="BH92" s="104">
        <f si="165" t="shared"/>
        <v>-2.5419512182199214E-4</v>
      </c>
      <c r="BI92" s="104">
        <f si="166" t="shared"/>
        <v>-1.2486107350852384E-3</v>
      </c>
      <c r="BJ92" s="104">
        <f si="167" t="shared"/>
        <v>-7.2727014321326457E-5</v>
      </c>
      <c r="BK92" s="104">
        <f si="168" t="shared"/>
        <v>-4.6229847116830195E-5</v>
      </c>
      <c r="BL92" s="104">
        <f si="169" t="shared"/>
        <v>-5.9753263611786603E-5</v>
      </c>
      <c r="BM92" s="104">
        <f si="170" t="shared"/>
        <v>-4.7481002286722002E-5</v>
      </c>
      <c r="BN92" s="104">
        <f si="171" t="shared"/>
        <v>-3.1396476717086409E-5</v>
      </c>
      <c r="BO92" s="104">
        <f si="172" t="shared"/>
        <v>-5.1713048544104471E-5</v>
      </c>
      <c r="BP92" s="104">
        <f si="173" t="shared"/>
        <v>-4.9030246565362877E-5</v>
      </c>
      <c r="BQ92" s="104">
        <f si="174" t="shared"/>
        <v>-1.8826126283272738E-5</v>
      </c>
      <c r="BR92" s="104">
        <f si="175" t="shared"/>
        <v>0</v>
      </c>
      <c r="BS92" s="104">
        <f si="176" t="shared"/>
        <v>0</v>
      </c>
    </row>
    <row r="93" spans="1:71" x14ac:dyDescent="0.25">
      <c r="AW93" s="95">
        <v>6</v>
      </c>
      <c r="AX93" s="104">
        <f si="155" t="shared"/>
        <v>3.8810688556008407E-3</v>
      </c>
      <c r="AY93" s="104">
        <f si="156" t="shared"/>
        <v>8.6251310749808647E-4</v>
      </c>
      <c r="AZ93" s="104">
        <f si="157" t="shared"/>
        <v>8.5931653331607159E-5</v>
      </c>
      <c r="BA93" s="104">
        <f si="158" t="shared"/>
        <v>-1.6748534562331468E-4</v>
      </c>
      <c r="BB93" s="104">
        <f si="159" t="shared"/>
        <v>1.4180700133253781E-3</v>
      </c>
      <c r="BC93" s="104">
        <f si="160" t="shared"/>
        <v>1.1370861585234936E-3</v>
      </c>
      <c r="BD93" s="104">
        <f si="161" t="shared"/>
        <v>-5.740389257995204E-4</v>
      </c>
      <c r="BE93" s="104">
        <f si="162" t="shared"/>
        <v>-1.8397085086812345E-5</v>
      </c>
      <c r="BF93" s="104">
        <f si="163" t="shared"/>
        <v>-6.1351708194591029E-4</v>
      </c>
      <c r="BG93" s="104">
        <f si="164" t="shared"/>
        <v>-3.7274157627453189E-4</v>
      </c>
      <c r="BH93" s="104">
        <f si="165" t="shared"/>
        <v>-4.2963269173958759E-4</v>
      </c>
      <c r="BI93" s="104">
        <f si="166" t="shared"/>
        <v>-4.1861218328717387E-3</v>
      </c>
      <c r="BJ93" s="104">
        <f si="167" t="shared"/>
        <v>-5.5962135614813979E-5</v>
      </c>
      <c r="BK93" s="104">
        <f si="168" t="shared"/>
        <v>-9.4113229586586096E-5</v>
      </c>
      <c r="BL93" s="104">
        <f si="169" t="shared"/>
        <v>-1.7075682816021674E-4</v>
      </c>
      <c r="BM93" s="104">
        <f si="170" t="shared"/>
        <v>-1.7945586057767181E-4</v>
      </c>
      <c r="BN93" s="104">
        <f si="171" t="shared"/>
        <v>-6.2631812784568508E-5</v>
      </c>
      <c r="BO93" s="104">
        <f si="172" t="shared"/>
        <v>-1.4477903208993335E-4</v>
      </c>
      <c r="BP93" s="104">
        <f si="173" t="shared"/>
        <v>-2.3262669728066167E-4</v>
      </c>
      <c r="BQ93" s="104">
        <f si="174" t="shared"/>
        <v>-8.2409652843537276E-5</v>
      </c>
      <c r="BR93" s="104">
        <f si="175" t="shared"/>
        <v>0</v>
      </c>
      <c r="BS93" s="104">
        <f si="176" t="shared"/>
        <v>0</v>
      </c>
    </row>
    <row r="94" spans="1:71" x14ac:dyDescent="0.25">
      <c r="AW94" s="95">
        <v>7</v>
      </c>
      <c r="AX94" s="104">
        <f si="155" t="shared"/>
        <v>8.8008395122086101E-3</v>
      </c>
      <c r="AY94" s="104">
        <f si="156" t="shared"/>
        <v>6.3403761082878735E-4</v>
      </c>
      <c r="AZ94" s="104">
        <f si="157" t="shared"/>
        <v>-5.6537511590299978E-4</v>
      </c>
      <c r="BA94" s="104">
        <f si="158" t="shared"/>
        <v>-1.2170262566265451E-3</v>
      </c>
      <c r="BB94" s="104">
        <f si="159" t="shared"/>
        <v>1.4512932156572436E-3</v>
      </c>
      <c r="BC94" s="104">
        <f si="160" t="shared"/>
        <v>-3.8634189326908729E-4</v>
      </c>
      <c r="BD94" s="104">
        <f si="161" t="shared"/>
        <v>-6.5323695487455972E-3</v>
      </c>
      <c r="BE94" s="104">
        <f si="162" t="shared"/>
        <v>-3.619662730228009E-4</v>
      </c>
      <c r="BF94" s="104">
        <f si="163" t="shared"/>
        <v>-2.4555204892902126E-3</v>
      </c>
      <c r="BG94" s="104">
        <f si="164" t="shared"/>
        <v>-1.1836596704006754E-3</v>
      </c>
      <c r="BH94" s="104">
        <f si="165" t="shared"/>
        <v>-2.9516535025230096E-3</v>
      </c>
      <c r="BI94" s="104">
        <f si="166" t="shared"/>
        <v>-5.8892071278148425E-3</v>
      </c>
      <c r="BJ94" s="104">
        <f si="167" t="shared"/>
        <v>1.357012081435393E-2</v>
      </c>
      <c r="BK94" s="104">
        <f si="168" t="shared"/>
        <v>-2.740070447654568E-4</v>
      </c>
      <c r="BL94" s="104">
        <f si="169" t="shared"/>
        <v>-6.8296330307176536E-4</v>
      </c>
      <c r="BM94" s="104">
        <f si="170" t="shared"/>
        <v>-2.6494337617706889E-4</v>
      </c>
      <c r="BN94" s="104">
        <f si="171" t="shared"/>
        <v>-2.2539568777336862E-4</v>
      </c>
      <c r="BO94" s="104">
        <f si="172" t="shared"/>
        <v>-5.2421589134934716E-4</v>
      </c>
      <c r="BP94" s="104">
        <f si="173" t="shared"/>
        <v>-5.3228720383825888E-4</v>
      </c>
      <c r="BQ94" s="104">
        <f si="174" t="shared"/>
        <v>-4.0935876847753342E-4</v>
      </c>
      <c r="BR94" s="104">
        <f si="175" t="shared"/>
        <v>0</v>
      </c>
      <c r="BS94" s="104">
        <f si="176" t="shared"/>
        <v>0</v>
      </c>
    </row>
    <row r="95" spans="1:71" x14ac:dyDescent="0.25">
      <c r="AW95" s="95">
        <v>8</v>
      </c>
      <c r="AX95" s="104">
        <f si="155" t="shared"/>
        <v>1.084228258970719E-3</v>
      </c>
      <c r="AY95" s="104">
        <f si="156" t="shared"/>
        <v>-1.3413907012497161E-5</v>
      </c>
      <c r="AZ95" s="104">
        <f si="157" t="shared"/>
        <v>8.9313615550005705E-5</v>
      </c>
      <c r="BA95" s="104">
        <f si="158" t="shared"/>
        <v>-3.6010271926607644E-5</v>
      </c>
      <c r="BB95" s="104">
        <f si="159" t="shared"/>
        <v>2.0694432609699303E-4</v>
      </c>
      <c r="BC95" s="104">
        <f si="160" t="shared"/>
        <v>-3.921657912181486E-5</v>
      </c>
      <c r="BD95" s="104">
        <f si="161" t="shared"/>
        <v>-1.8294112975754436E-4</v>
      </c>
      <c r="BE95" s="104">
        <f si="162" t="shared"/>
        <v>-1.1003785684195502E-4</v>
      </c>
      <c r="BF95" s="104">
        <f si="163" t="shared"/>
        <v>-2.0433015655499159E-4</v>
      </c>
      <c r="BG95" s="104">
        <f si="164" t="shared"/>
        <v>-8.8454525868139362E-5</v>
      </c>
      <c r="BH95" s="104">
        <f si="165" t="shared"/>
        <v>-6.2141589082008366E-5</v>
      </c>
      <c r="BI95" s="104">
        <f si="166" t="shared"/>
        <v>-4.2080691869916353E-4</v>
      </c>
      <c r="BJ95" s="104">
        <f si="167" t="shared"/>
        <v>-3.0160390106328381E-5</v>
      </c>
      <c r="BK95" s="104">
        <f si="168" t="shared"/>
        <v>-5.8806706719649374E-5</v>
      </c>
      <c r="BL95" s="104">
        <f si="169" t="shared"/>
        <v>-2.7391699735642309E-5</v>
      </c>
      <c r="BM95" s="104">
        <f si="170" t="shared"/>
        <v>-1.7937100673062054E-5</v>
      </c>
      <c r="BN95" s="104">
        <f si="171" t="shared"/>
        <v>-2.0163815002839159E-5</v>
      </c>
      <c r="BO95" s="104">
        <f si="172" t="shared"/>
        <v>-3.3618081933276423E-5</v>
      </c>
      <c r="BP95" s="104">
        <f si="173" t="shared"/>
        <v>-2.1412666177954961E-5</v>
      </c>
      <c r="BQ95" s="104">
        <f si="174" t="shared"/>
        <v>-1.3642805404242826E-5</v>
      </c>
      <c r="BR95" s="104">
        <f si="175" t="shared"/>
        <v>0</v>
      </c>
      <c r="BS95" s="104">
        <f si="176" t="shared"/>
        <v>0</v>
      </c>
    </row>
    <row r="96" spans="1:71" x14ac:dyDescent="0.25">
      <c r="AW96" s="95">
        <v>9</v>
      </c>
      <c r="AX96" s="104">
        <f si="155" t="shared"/>
        <v>9.0486968418047008E-3</v>
      </c>
      <c r="AY96" s="104">
        <f si="156" t="shared"/>
        <v>1.344838820345709E-3</v>
      </c>
      <c r="AZ96" s="104">
        <f si="157" t="shared"/>
        <v>-9.975904835197915E-5</v>
      </c>
      <c r="BA96" s="104">
        <f si="158" t="shared"/>
        <v>-9.2727929879638698E-4</v>
      </c>
      <c r="BB96" s="104">
        <f si="159" t="shared"/>
        <v>1.9478916395267215E-3</v>
      </c>
      <c r="BC96" s="104">
        <f si="160" t="shared"/>
        <v>1.9069210053215824E-4</v>
      </c>
      <c r="BD96" s="104">
        <f si="161" t="shared"/>
        <v>-6.6966525165452172E-4</v>
      </c>
      <c r="BE96" s="104">
        <f si="162" t="shared"/>
        <v>-3.4051144696451428E-4</v>
      </c>
      <c r="BF96" s="104">
        <f si="163" t="shared"/>
        <v>-2.2795995571000902E-3</v>
      </c>
      <c r="BG96" s="104">
        <f si="164" t="shared"/>
        <v>-7.4872554848771347E-4</v>
      </c>
      <c r="BH96" s="104">
        <f si="165" t="shared"/>
        <v>-1.634609880000549E-3</v>
      </c>
      <c r="BI96" s="104">
        <f si="166" t="shared"/>
        <v>-5.1736252466155711E-3</v>
      </c>
      <c r="BJ96" s="104">
        <f si="167" t="shared"/>
        <v>1.8223870298516988E-3</v>
      </c>
      <c r="BK96" s="104">
        <f si="168" t="shared"/>
        <v>-2.1511587471253368E-4</v>
      </c>
      <c r="BL96" s="104">
        <f si="169" t="shared"/>
        <v>-7.398563430673407E-4</v>
      </c>
      <c r="BM96" s="104">
        <f si="170" t="shared"/>
        <v>-1.3788537798322341E-4</v>
      </c>
      <c r="BN96" s="104">
        <f si="171" t="shared"/>
        <v>-2.3624205292964491E-4</v>
      </c>
      <c r="BO96" s="104">
        <f si="172" t="shared"/>
        <v>-2.7055978144666326E-4</v>
      </c>
      <c r="BP96" s="104">
        <f si="173" t="shared"/>
        <v>-5.9919918307531654E-4</v>
      </c>
      <c r="BQ96" s="104">
        <f si="174" t="shared"/>
        <v>-2.8187254087494099E-4</v>
      </c>
      <c r="BR96" s="104">
        <f si="175" t="shared"/>
        <v>0</v>
      </c>
      <c r="BS96" s="104">
        <f si="176" t="shared"/>
        <v>0</v>
      </c>
    </row>
    <row r="97" spans="49:71" x14ac:dyDescent="0.25">
      <c r="AW97" s="95">
        <v>10</v>
      </c>
      <c r="AX97" s="104">
        <f si="155" t="shared"/>
        <v>4.0283666773057517E-3</v>
      </c>
      <c r="AY97" s="104">
        <f si="156" t="shared"/>
        <v>6.6079086658132305E-4</v>
      </c>
      <c r="AZ97" s="104">
        <f si="157" t="shared"/>
        <v>3.1504112141025767E-4</v>
      </c>
      <c r="BA97" s="104">
        <f si="158" t="shared"/>
        <v>1.0775209515624293E-4</v>
      </c>
      <c r="BB97" s="104">
        <f si="159" t="shared"/>
        <v>1.7585787507019873E-3</v>
      </c>
      <c r="BC97" s="104">
        <f si="160" t="shared"/>
        <v>-5.8783087599802684E-4</v>
      </c>
      <c r="BD97" s="104">
        <f si="161" t="shared"/>
        <v>-5.1971909655649942E-4</v>
      </c>
      <c r="BE97" s="104">
        <f si="162" t="shared"/>
        <v>-1.7506859887534974E-4</v>
      </c>
      <c r="BF97" s="104">
        <f si="163" t="shared"/>
        <v>-7.9611198310016254E-4</v>
      </c>
      <c r="BG97" s="104">
        <f si="164" t="shared"/>
        <v>-1.0671890046719291E-3</v>
      </c>
      <c r="BH97" s="104">
        <f si="165" t="shared"/>
        <v>-6.0948730171944492E-4</v>
      </c>
      <c r="BI97" s="104">
        <f si="166" t="shared"/>
        <v>-1.9036140109875248E-3</v>
      </c>
      <c r="BJ97" s="104">
        <f si="167" t="shared"/>
        <v>-7.5995841752830558E-5</v>
      </c>
      <c r="BK97" s="104">
        <f si="168" t="shared"/>
        <v>-1.3515356795079062E-4</v>
      </c>
      <c r="BL97" s="104">
        <f si="169" t="shared"/>
        <v>-1.0151948175009042E-4</v>
      </c>
      <c r="BM97" s="104">
        <f si="170" t="shared"/>
        <v>-3.9763960113760105E-4</v>
      </c>
      <c r="BN97" s="104">
        <f si="171" t="shared"/>
        <v>-5.167249392037067E-5</v>
      </c>
      <c r="BO97" s="104">
        <f si="172" t="shared"/>
        <v>-1.0103275315990803E-4</v>
      </c>
      <c r="BP97" s="104">
        <f si="173" t="shared"/>
        <v>-2.4343672762599193E-4</v>
      </c>
      <c r="BQ97" s="104">
        <f si="174" t="shared"/>
        <v>-1.0505817194904251E-4</v>
      </c>
      <c r="BR97" s="104">
        <f si="175" t="shared"/>
        <v>0</v>
      </c>
      <c r="BS97" s="104">
        <f si="176" t="shared"/>
        <v>0</v>
      </c>
    </row>
    <row r="98" spans="49:71" x14ac:dyDescent="0.25">
      <c r="AW98" s="95">
        <v>11</v>
      </c>
      <c r="AX98" s="104">
        <f si="155" t="shared"/>
        <v>1.020723818194212E-2</v>
      </c>
      <c r="AY98" s="104">
        <f si="156" t="shared"/>
        <v>3.5153761086250887E-5</v>
      </c>
      <c r="AZ98" s="104">
        <f si="157" t="shared"/>
        <v>1.4093052681629177E-3</v>
      </c>
      <c r="BA98" s="104">
        <f si="158" t="shared"/>
        <v>-1.7317734227425717E-4</v>
      </c>
      <c r="BB98" s="104">
        <f si="159" t="shared"/>
        <v>2.4220885052271502E-3</v>
      </c>
      <c r="BC98" s="104">
        <f si="160" t="shared"/>
        <v>7.9628339114361756E-4</v>
      </c>
      <c r="BD98" s="104">
        <f si="161" t="shared"/>
        <v>-1.75484307845542E-3</v>
      </c>
      <c r="BE98" s="104">
        <f si="162" t="shared"/>
        <v>-4.1649319825425523E-4</v>
      </c>
      <c r="BF98" s="104">
        <f si="163" t="shared"/>
        <v>-1.3321810711643947E-3</v>
      </c>
      <c r="BG98" s="104">
        <f si="164" t="shared"/>
        <v>-5.0299736515800305E-4</v>
      </c>
      <c r="BH98" s="104">
        <f si="165" t="shared"/>
        <v>-2.3696958805312935E-3</v>
      </c>
      <c r="BI98" s="104">
        <f si="166" t="shared"/>
        <v>-3.5931481714128934E-3</v>
      </c>
      <c r="BJ98" s="104">
        <f si="167" t="shared"/>
        <v>-3.9235315558525108E-4</v>
      </c>
      <c r="BK98" s="104">
        <f si="168" t="shared"/>
        <v>-1.5822009296592395E-4</v>
      </c>
      <c r="BL98" s="104">
        <f si="169" t="shared"/>
        <v>-2.1824626674380961E-4</v>
      </c>
      <c r="BM98" s="104">
        <f si="170" t="shared"/>
        <v>-1.3154492329550736E-4</v>
      </c>
      <c r="BN98" s="104">
        <f si="171" t="shared"/>
        <v>-4.7640669972096701E-4</v>
      </c>
      <c r="BO98" s="104">
        <f si="172" t="shared"/>
        <v>-2.3680903000970673E-4</v>
      </c>
      <c r="BP98" s="104">
        <f si="173" t="shared"/>
        <v>-2.8631160992395178E-3</v>
      </c>
      <c r="BQ98" s="104">
        <f si="174" t="shared"/>
        <v>-2.5083673275085505E-4</v>
      </c>
      <c r="BR98" s="104">
        <f si="175" t="shared"/>
        <v>0</v>
      </c>
      <c r="BS98" s="104">
        <f si="176" t="shared"/>
        <v>0</v>
      </c>
    </row>
    <row r="99" spans="49:71" x14ac:dyDescent="0.25">
      <c r="AW99" s="95">
        <v>12</v>
      </c>
      <c r="AX99" s="104">
        <f si="155" t="shared"/>
        <v>1.6756119533391213E-2</v>
      </c>
      <c r="AY99" s="104">
        <f si="156" t="shared"/>
        <v>3.9705801113482904E-3</v>
      </c>
      <c r="AZ99" s="104">
        <f si="157" t="shared"/>
        <v>1.0871325642170574E-3</v>
      </c>
      <c r="BA99" s="104">
        <f si="158" t="shared"/>
        <v>-2.9640228514287012E-4</v>
      </c>
      <c r="BB99" s="104">
        <f si="159" t="shared"/>
        <v>4.2190954867436497E-3</v>
      </c>
      <c r="BC99" s="104">
        <f si="160" t="shared"/>
        <v>2.6147946441098385E-3</v>
      </c>
      <c r="BD99" s="104">
        <f si="161" t="shared"/>
        <v>-1.671003687753192E-5</v>
      </c>
      <c r="BE99" s="104">
        <f si="162" t="shared"/>
        <v>-2.0273061155309102E-4</v>
      </c>
      <c r="BF99" s="104">
        <f si="163" t="shared"/>
        <v>-2.2003500708723707E-3</v>
      </c>
      <c r="BG99" s="104">
        <f si="164" t="shared"/>
        <v>-8.9115217942750463E-4</v>
      </c>
      <c r="BH99" s="104">
        <f si="165" t="shared"/>
        <v>-1.8253861993923941E-3</v>
      </c>
      <c r="BI99" s="104">
        <f si="166" t="shared"/>
        <v>-2.6653615107120748E-2</v>
      </c>
      <c r="BJ99" s="104">
        <f si="167" t="shared"/>
        <v>6.2122340672564709E-3</v>
      </c>
      <c r="BK99" s="104">
        <f si="168" t="shared"/>
        <v>-1.6083118458460989E-4</v>
      </c>
      <c r="BL99" s="104">
        <f si="169" t="shared"/>
        <v>-3.741162856941455E-4</v>
      </c>
      <c r="BM99" s="104">
        <f si="170" t="shared"/>
        <v>-2.5158658202508735E-4</v>
      </c>
      <c r="BN99" s="104">
        <f si="171" t="shared"/>
        <v>-1.6100121620962786E-4</v>
      </c>
      <c r="BO99" s="104">
        <f si="172" t="shared"/>
        <v>-3.9891277366039916E-4</v>
      </c>
      <c r="BP99" s="104">
        <f si="173" t="shared"/>
        <v>-5.1831644961069677E-4</v>
      </c>
      <c r="BQ99" s="104">
        <f si="174" t="shared"/>
        <v>-9.0884542489544427E-4</v>
      </c>
      <c r="BR99" s="104">
        <f si="175" t="shared"/>
        <v>0</v>
      </c>
      <c r="BS99" s="104">
        <f si="176" t="shared"/>
        <v>0</v>
      </c>
    </row>
    <row r="100" spans="49:71" x14ac:dyDescent="0.25">
      <c r="AW100" s="95">
        <v>13</v>
      </c>
      <c r="AX100" s="104">
        <f si="155" t="shared"/>
        <v>2.5369433277644686E-3</v>
      </c>
      <c r="AY100" s="104">
        <f si="156" t="shared"/>
        <v>-8.6514781577076098E-4</v>
      </c>
      <c r="AZ100" s="104">
        <f si="157" t="shared"/>
        <v>-3.631492379247345E-4</v>
      </c>
      <c r="BA100" s="104">
        <f si="158" t="shared"/>
        <v>-9.2412958974461045E-4</v>
      </c>
      <c r="BB100" s="104">
        <f si="159" t="shared"/>
        <v>4.6910486259222489E-4</v>
      </c>
      <c r="BC100" s="104">
        <f si="160" t="shared"/>
        <v>-1.4937496563893725E-3</v>
      </c>
      <c r="BD100" s="104">
        <f si="161" t="shared"/>
        <v>-8.7150153518746297E-3</v>
      </c>
      <c r="BE100" s="104">
        <f si="162" t="shared"/>
        <v>-1.8630743612873664E-4</v>
      </c>
      <c r="BF100" s="104">
        <f si="163" t="shared"/>
        <v>-2.6958334771486443E-3</v>
      </c>
      <c r="BG100" s="104">
        <f si="164" t="shared"/>
        <v>-8.3795870926321096E-4</v>
      </c>
      <c r="BH100" s="104">
        <f si="165" t="shared"/>
        <v>-1.5665550892424987E-3</v>
      </c>
      <c r="BI100" s="104">
        <f si="166" t="shared"/>
        <v>-6.7140907412062585E-3</v>
      </c>
      <c r="BJ100" s="104">
        <f si="167" t="shared"/>
        <v>2.3181737014853494E-2</v>
      </c>
      <c r="BK100" s="104">
        <f si="168" t="shared"/>
        <v>-2.0957688489872548E-4</v>
      </c>
      <c r="BL100" s="104">
        <f si="169" t="shared"/>
        <v>-1.8926275680479282E-4</v>
      </c>
      <c r="BM100" s="104">
        <f si="170" t="shared"/>
        <v>-2.0482244448801398E-4</v>
      </c>
      <c r="BN100" s="104">
        <f si="171" t="shared"/>
        <v>-2.4754876202061479E-4</v>
      </c>
      <c r="BO100" s="104">
        <f si="172" t="shared"/>
        <v>-2.4808871592141074E-4</v>
      </c>
      <c r="BP100" s="104">
        <f si="173" t="shared"/>
        <v>-3.4324080014404789E-4</v>
      </c>
      <c r="BQ100" s="104">
        <f si="174" t="shared"/>
        <v>-3.8330773623913297E-4</v>
      </c>
      <c r="BR100" s="104">
        <f si="175" t="shared"/>
        <v>0</v>
      </c>
      <c r="BS100" s="104">
        <f si="176" t="shared"/>
        <v>0</v>
      </c>
    </row>
    <row r="101" spans="49:71" x14ac:dyDescent="0.25">
      <c r="AW101" s="95">
        <v>14</v>
      </c>
      <c r="AX101" s="104">
        <f si="155" t="shared"/>
        <v>3.8363140535644549E-3</v>
      </c>
      <c r="AY101" s="104">
        <f si="156" t="shared"/>
        <v>-8.9308016932729273E-5</v>
      </c>
      <c r="AZ101" s="104">
        <f si="157" t="shared"/>
        <v>4.350528108094709E-4</v>
      </c>
      <c r="BA101" s="104">
        <f si="158" t="shared"/>
        <v>5.2422538339796346E-5</v>
      </c>
      <c r="BB101" s="104">
        <f si="159" t="shared"/>
        <v>9.7405437543225963E-4</v>
      </c>
      <c r="BC101" s="104">
        <f si="160" t="shared"/>
        <v>1.3108980856983174E-3</v>
      </c>
      <c r="BD101" s="104">
        <f si="161" t="shared"/>
        <v>-5.2583756946010226E-4</v>
      </c>
      <c r="BE101" s="104">
        <f si="162" t="shared"/>
        <v>-2.1484500575456013E-4</v>
      </c>
      <c r="BF101" s="104">
        <f si="163" t="shared"/>
        <v>-2.5353508105159267E-4</v>
      </c>
      <c r="BG101" s="104">
        <f si="164" t="shared"/>
        <v>-1.28515569297891E-4</v>
      </c>
      <c r="BH101" s="104">
        <f si="165" t="shared"/>
        <v>-4.5728560155026488E-4</v>
      </c>
      <c r="BI101" s="104">
        <f si="166" t="shared"/>
        <v>-9.7790179154002839E-4</v>
      </c>
      <c r="BJ101" s="104">
        <f si="167" t="shared"/>
        <v>-2.1520552672966167E-4</v>
      </c>
      <c r="BK101" s="104">
        <f si="168" t="shared"/>
        <v>-2.3294495135039138E-3</v>
      </c>
      <c r="BL101" s="104">
        <f si="169" t="shared"/>
        <v>-1.4766859467016529E-4</v>
      </c>
      <c r="BM101" s="104">
        <f si="170" t="shared"/>
        <v>-6.8791784072280842E-5</v>
      </c>
      <c r="BN101" s="104">
        <f si="171" t="shared"/>
        <v>-6.2280854935090209E-4</v>
      </c>
      <c r="BO101" s="104">
        <f si="172" t="shared"/>
        <v>-1.3636417068070987E-4</v>
      </c>
      <c r="BP101" s="104">
        <f si="173" t="shared"/>
        <v>-2.3323356731333174E-4</v>
      </c>
      <c r="BQ101" s="104">
        <f si="174" t="shared"/>
        <v>-2.0799152193616522E-4</v>
      </c>
      <c r="BR101" s="104">
        <f si="175" t="shared"/>
        <v>0</v>
      </c>
      <c r="BS101" s="104">
        <f si="176" t="shared"/>
        <v>0</v>
      </c>
    </row>
    <row r="102" spans="49:71" x14ac:dyDescent="0.25">
      <c r="AW102" s="95">
        <v>15</v>
      </c>
      <c r="AX102" s="104">
        <f si="155" t="shared"/>
        <v>2.0317912836170598E-3</v>
      </c>
      <c r="AY102" s="104">
        <f si="156" t="shared"/>
        <v>-3.7720185316591614E-4</v>
      </c>
      <c r="AZ102" s="104">
        <f si="157" t="shared"/>
        <v>-7.2847859525020835E-5</v>
      </c>
      <c r="BA102" s="104">
        <f si="158" t="shared"/>
        <v>-2.8794209418653576E-4</v>
      </c>
      <c r="BB102" s="104">
        <f si="159" t="shared"/>
        <v>3.8163520933601273E-4</v>
      </c>
      <c r="BC102" s="104">
        <f si="160" t="shared"/>
        <v>-1.504885110339008E-4</v>
      </c>
      <c r="BD102" s="104">
        <f si="161" t="shared"/>
        <v>-2.1543455087993449E-3</v>
      </c>
      <c r="BE102" s="104">
        <f si="162" t="shared"/>
        <v>-1.2247030740949365E-4</v>
      </c>
      <c r="BF102" s="104">
        <f si="163" t="shared"/>
        <v>-1.8531118367122934E-3</v>
      </c>
      <c r="BG102" s="104">
        <f si="164" t="shared"/>
        <v>-3.2533060663560999E-4</v>
      </c>
      <c r="BH102" s="104">
        <f si="165" t="shared"/>
        <v>-7.8686721587342516E-4</v>
      </c>
      <c r="BI102" s="104">
        <f si="166" t="shared"/>
        <v>-2.38708255671313E-3</v>
      </c>
      <c r="BJ102" s="104">
        <f si="167" t="shared"/>
        <v>6.3276304380690271E-3</v>
      </c>
      <c r="BK102" s="104">
        <f si="168" t="shared"/>
        <v>-1.8435023083265354E-4</v>
      </c>
      <c r="BL102" s="104">
        <f si="169" t="shared"/>
        <v>4.4533293188029309E-4</v>
      </c>
      <c r="BM102" s="104">
        <f si="170" t="shared"/>
        <v>-8.2781244026440486E-5</v>
      </c>
      <c r="BN102" s="104">
        <f si="171" t="shared"/>
        <v>-1.3169389490335875E-4</v>
      </c>
      <c r="BO102" s="104">
        <f si="172" t="shared"/>
        <v>-1.1204617464791419E-4</v>
      </c>
      <c r="BP102" s="104">
        <f si="173" t="shared"/>
        <v>1.5219036166916593E-5</v>
      </c>
      <c r="BQ102" s="104">
        <f si="174" t="shared"/>
        <v>-1.7304900460427062E-4</v>
      </c>
      <c r="BR102" s="104">
        <f si="175" t="shared"/>
        <v>0</v>
      </c>
      <c r="BS102" s="104">
        <f si="176" t="shared"/>
        <v>0</v>
      </c>
    </row>
    <row r="103" spans="49:71" x14ac:dyDescent="0.25">
      <c r="AW103" s="95">
        <v>16</v>
      </c>
      <c r="AX103" s="104">
        <f si="155" t="shared"/>
        <v>1.8933503242119136E-3</v>
      </c>
      <c r="AY103" s="104">
        <f si="156" t="shared"/>
        <v>6.1062949741351501E-6</v>
      </c>
      <c r="AZ103" s="104">
        <f si="157" t="shared"/>
        <v>8.5727300058651334E-5</v>
      </c>
      <c r="BA103" s="104">
        <f si="158" t="shared"/>
        <v>4.7197819319430242E-5</v>
      </c>
      <c r="BB103" s="104">
        <f si="159" t="shared"/>
        <v>9.0715602435991578E-4</v>
      </c>
      <c r="BC103" s="104">
        <f si="160" t="shared"/>
        <v>-5.0814477347263867E-5</v>
      </c>
      <c r="BD103" s="104">
        <f si="161" t="shared"/>
        <v>-3.4785023467040152E-4</v>
      </c>
      <c r="BE103" s="104">
        <f si="162" t="shared"/>
        <v>-3.2945725459272791E-5</v>
      </c>
      <c r="BF103" s="104">
        <f si="163" t="shared"/>
        <v>-3.4029084033759734E-4</v>
      </c>
      <c r="BG103" s="104">
        <f si="164" t="shared"/>
        <v>-3.981364115741413E-4</v>
      </c>
      <c r="BH103" s="104">
        <f si="165" t="shared"/>
        <v>-1.9695197465340852E-4</v>
      </c>
      <c r="BI103" s="104">
        <f si="166" t="shared"/>
        <v>-5.8146173096353202E-4</v>
      </c>
      <c r="BJ103" s="104">
        <f si="167" t="shared"/>
        <v>-9.2891785092066067E-5</v>
      </c>
      <c r="BK103" s="104">
        <f si="168" t="shared"/>
        <v>-4.6376515245825895E-5</v>
      </c>
      <c r="BL103" s="104">
        <f si="169" t="shared"/>
        <v>-8.9639742767969391E-5</v>
      </c>
      <c r="BM103" s="104">
        <f si="170" t="shared"/>
        <v>-4.7417979267374622E-4</v>
      </c>
      <c r="BN103" s="104">
        <f si="171" t="shared"/>
        <v>-1.6662470841440822E-5</v>
      </c>
      <c r="BO103" s="104">
        <f si="172" t="shared"/>
        <v>-9.6689509430962809E-5</v>
      </c>
      <c r="BP103" s="104">
        <f si="173" t="shared"/>
        <v>-9.8890810940612672E-5</v>
      </c>
      <c r="BQ103" s="104">
        <f si="174" t="shared"/>
        <v>-7.5755740925804091E-5</v>
      </c>
      <c r="BR103" s="104">
        <f si="175" t="shared"/>
        <v>0</v>
      </c>
      <c r="BS103" s="104">
        <f si="176" t="shared"/>
        <v>0</v>
      </c>
    </row>
    <row r="104" spans="49:71" x14ac:dyDescent="0.25">
      <c r="AW104" s="95">
        <v>17</v>
      </c>
      <c r="AX104" s="104">
        <f si="155" t="shared"/>
        <v>3.4683978422609622E-3</v>
      </c>
      <c r="AY104" s="104">
        <f si="156" t="shared"/>
        <v>-1.4699768197252278E-4</v>
      </c>
      <c r="AZ104" s="104">
        <f si="157" t="shared"/>
        <v>6.6215141275527899E-4</v>
      </c>
      <c r="BA104" s="104">
        <f si="158" t="shared"/>
        <v>-2.4463646184079619E-5</v>
      </c>
      <c r="BB104" s="104">
        <f si="159" t="shared"/>
        <v>8.5260087372100333E-4</v>
      </c>
      <c r="BC104" s="104">
        <f si="160" t="shared"/>
        <v>1.0284686011285439E-3</v>
      </c>
      <c r="BD104" s="104">
        <f si="161" t="shared"/>
        <v>-5.1141543866738441E-4</v>
      </c>
      <c r="BE104" s="104">
        <f si="162" t="shared"/>
        <v>-1.8818541261276649E-4</v>
      </c>
      <c r="BF104" s="104">
        <f si="163" t="shared"/>
        <v>-2.376762395151147E-4</v>
      </c>
      <c r="BG104" s="104">
        <f si="164" t="shared"/>
        <v>-1.4141275981067965E-4</v>
      </c>
      <c r="BH104" s="104">
        <f si="165" t="shared"/>
        <v>-1.4475398523956036E-3</v>
      </c>
      <c r="BI104" s="104">
        <f si="166" t="shared"/>
        <v>-6.4290561432486966E-4</v>
      </c>
      <c r="BJ104" s="104">
        <f si="167" t="shared"/>
        <v>-1.3033480301163084E-4</v>
      </c>
      <c r="BK104" s="104">
        <f si="168" t="shared"/>
        <v>-4.536585400706681E-4</v>
      </c>
      <c r="BL104" s="104">
        <f si="169" t="shared"/>
        <v>7.1366796713132649E-5</v>
      </c>
      <c r="BM104" s="104">
        <f si="170" t="shared"/>
        <v>-8.1994829696548202E-5</v>
      </c>
      <c r="BN104" s="104">
        <f si="171" t="shared"/>
        <v>-1.2178111305852168E-3</v>
      </c>
      <c r="BO104" s="104">
        <f si="172" t="shared"/>
        <v>-9.7547843724392022E-5</v>
      </c>
      <c r="BP104" s="104">
        <f si="173" t="shared"/>
        <v>-6.5348362053689038E-4</v>
      </c>
      <c r="BQ104" s="104">
        <f si="174" t="shared"/>
        <v>-1.0755811347055416E-4</v>
      </c>
      <c r="BR104" s="104">
        <f si="175" t="shared"/>
        <v>0</v>
      </c>
      <c r="BS104" s="104">
        <f si="176" t="shared"/>
        <v>0</v>
      </c>
    </row>
    <row r="105" spans="49:71" x14ac:dyDescent="0.25">
      <c r="AW105" s="95">
        <v>18</v>
      </c>
      <c r="AX105" s="104">
        <f si="155" t="shared"/>
        <v>2.0313489905015867E-3</v>
      </c>
      <c r="AY105" s="104">
        <f si="156" t="shared"/>
        <v>-4.719580910724332E-5</v>
      </c>
      <c r="AZ105" s="104">
        <f si="157" t="shared"/>
        <v>4.5671344477177635E-5</v>
      </c>
      <c r="BA105" s="104">
        <f si="158" t="shared"/>
        <v>-2.7927735148029049E-4</v>
      </c>
      <c r="BB105" s="104">
        <f si="159" t="shared"/>
        <v>4.9537059997408167E-4</v>
      </c>
      <c r="BC105" s="104">
        <f si="160" t="shared"/>
        <v>-3.4088097750609083E-4</v>
      </c>
      <c r="BD105" s="104">
        <f si="161" t="shared"/>
        <v>-2.3546368047011553E-3</v>
      </c>
      <c r="BE105" s="104">
        <f si="162" t="shared"/>
        <v>-8.974143322584011E-5</v>
      </c>
      <c r="BF105" s="104">
        <f si="163" t="shared"/>
        <v>-9.6450187519887343E-4</v>
      </c>
      <c r="BG105" s="104">
        <f si="164" t="shared"/>
        <v>-3.9745446393175439E-4</v>
      </c>
      <c r="BH105" s="104">
        <f si="165" t="shared"/>
        <v>-4.4969744864752873E-4</v>
      </c>
      <c r="BI105" s="104">
        <f si="166" t="shared"/>
        <v>-3.9966066573718373E-3</v>
      </c>
      <c r="BJ105" s="104">
        <f si="167" t="shared"/>
        <v>7.0612389873021004E-3</v>
      </c>
      <c r="BK105" s="104">
        <f si="168" t="shared"/>
        <v>-6.2270224384611815E-5</v>
      </c>
      <c r="BL105" s="104">
        <f si="169" t="shared"/>
        <v>-2.8206893376511233E-4</v>
      </c>
      <c r="BM105" s="104">
        <f si="170" t="shared"/>
        <v>-1.2356629883460341E-4</v>
      </c>
      <c r="BN105" s="104">
        <f si="171" t="shared"/>
        <v>-6.1845356660079524E-5</v>
      </c>
      <c r="BO105" s="104">
        <f si="172" t="shared"/>
        <v>8.9106403106827686E-4</v>
      </c>
      <c r="BP105" s="104">
        <f si="173" t="shared"/>
        <v>-1.596108789009096E-4</v>
      </c>
      <c r="BQ105" s="104">
        <f si="174" t="shared"/>
        <v>-9.1533943960729765E-4</v>
      </c>
      <c r="BR105" s="104">
        <f si="175" t="shared"/>
        <v>0</v>
      </c>
      <c r="BS105" s="104">
        <f si="176" t="shared"/>
        <v>0</v>
      </c>
    </row>
    <row r="106" spans="49:71" x14ac:dyDescent="0.25">
      <c r="AW106" s="95">
        <v>19</v>
      </c>
      <c r="AX106" s="104">
        <f si="155" t="shared"/>
        <v>4.9904710103058185E-3</v>
      </c>
      <c r="AY106" s="104">
        <f si="156" t="shared"/>
        <v>-1.0517936251222852E-4</v>
      </c>
      <c r="AZ106" s="104">
        <f si="157" t="shared"/>
        <v>8.3927969983848974E-4</v>
      </c>
      <c r="BA106" s="104">
        <f si="158" t="shared"/>
        <v>-2.1582280983180975E-5</v>
      </c>
      <c r="BB106" s="104">
        <f si="159" t="shared"/>
        <v>1.1996364034310607E-3</v>
      </c>
      <c r="BC106" s="104">
        <f si="160" t="shared"/>
        <v>1.5822985757019039E-3</v>
      </c>
      <c r="BD106" s="104">
        <f si="161" t="shared"/>
        <v>-8.5817574418719481E-4</v>
      </c>
      <c r="BE106" s="104">
        <f si="162" t="shared"/>
        <v>-1.6911800536452014E-4</v>
      </c>
      <c r="BF106" s="104">
        <f si="163" t="shared"/>
        <v>-4.2147130431829981E-4</v>
      </c>
      <c r="BG106" s="104">
        <f si="164" t="shared"/>
        <v>-2.2950708928824948E-4</v>
      </c>
      <c r="BH106" s="104">
        <f si="165" t="shared"/>
        <v>-2.2151056653927784E-3</v>
      </c>
      <c r="BI106" s="104">
        <f si="166" t="shared"/>
        <v>-2.1064842710542637E-3</v>
      </c>
      <c r="BJ106" s="104">
        <f si="167" t="shared"/>
        <v>8.5081964820116511E-4</v>
      </c>
      <c r="BK106" s="104">
        <f si="168" t="shared"/>
        <v>-7.2802447377094096E-5</v>
      </c>
      <c r="BL106" s="104">
        <f si="169" t="shared"/>
        <v>2.392356912081799E-3</v>
      </c>
      <c r="BM106" s="104">
        <f si="170" t="shared"/>
        <v>-9.8761120241356828E-5</v>
      </c>
      <c r="BN106" s="104">
        <f si="171" t="shared"/>
        <v>-1.7320756772981941E-3</v>
      </c>
      <c r="BO106" s="104">
        <f si="172" t="shared"/>
        <v>-1.633616176401489E-4</v>
      </c>
      <c r="BP106" s="104">
        <f si="173" t="shared"/>
        <v>-3.4950729660981911E-3</v>
      </c>
      <c r="BQ106" s="104">
        <f si="174" t="shared"/>
        <v>-1.6616469780453524E-4</v>
      </c>
      <c r="BR106" s="104">
        <f si="175" t="shared"/>
        <v>0</v>
      </c>
      <c r="BS106" s="104">
        <f si="176" t="shared"/>
        <v>0</v>
      </c>
    </row>
    <row r="107" spans="49:71" x14ac:dyDescent="0.25">
      <c r="AW107" s="95">
        <v>20</v>
      </c>
      <c r="AX107" s="104">
        <f si="155" t="shared"/>
        <v>8.8690716885633932E-4</v>
      </c>
      <c r="AY107" s="104">
        <f si="156" t="shared"/>
        <v>-1.3881621551415681E-4</v>
      </c>
      <c r="AZ107" s="104">
        <f si="157" t="shared"/>
        <v>-3.9284069329058769E-5</v>
      </c>
      <c r="BA107" s="104">
        <f si="158" t="shared"/>
        <v>-1.5730182069345944E-4</v>
      </c>
      <c r="BB107" s="104">
        <f si="159" t="shared"/>
        <v>1.8065897680800909E-4</v>
      </c>
      <c r="BC107" s="104">
        <f si="160" t="shared"/>
        <v>5.1570690153369958E-4</v>
      </c>
      <c r="BD107" s="104">
        <f si="161" t="shared"/>
        <v>-1.0432847956237555E-3</v>
      </c>
      <c r="BE107" s="104">
        <f si="162" t="shared"/>
        <v>-8.8258145781809443E-5</v>
      </c>
      <c r="BF107" s="104">
        <f si="163" t="shared"/>
        <v>-6.2665398661664626E-4</v>
      </c>
      <c r="BG107" s="104">
        <f si="164" t="shared"/>
        <v>-2.0185543572647717E-4</v>
      </c>
      <c r="BH107" s="104">
        <f si="165" t="shared"/>
        <v>-2.5690368071277348E-4</v>
      </c>
      <c r="BI107" s="104">
        <f si="166" t="shared"/>
        <v>3.7847878011291764E-4</v>
      </c>
      <c r="BJ107" s="104">
        <f si="167" t="shared"/>
        <v>7.4861952665485868E-4</v>
      </c>
      <c r="BK107" s="104">
        <f si="168" t="shared"/>
        <v>-1.2808913416939092E-4</v>
      </c>
      <c r="BL107" s="104">
        <f si="169" t="shared"/>
        <v>-1.9688201194370731E-4</v>
      </c>
      <c r="BM107" s="104">
        <f si="170" t="shared"/>
        <v>3.3807324613189082E-5</v>
      </c>
      <c r="BN107" s="104">
        <f si="171" t="shared"/>
        <v>-3.7882022681796119E-5</v>
      </c>
      <c r="BO107" s="104">
        <f si="172" t="shared"/>
        <v>-7.1010900030359959E-4</v>
      </c>
      <c r="BP107" s="104">
        <f si="173" t="shared"/>
        <v>-1.5437664547634893E-4</v>
      </c>
      <c r="BQ107" s="104">
        <f si="174" t="shared"/>
        <v>1.0355182859939673E-3</v>
      </c>
      <c r="BR107" s="104">
        <f si="175" t="shared"/>
        <v>0</v>
      </c>
      <c r="BS107" s="104">
        <f si="176" t="shared"/>
        <v>0</v>
      </c>
    </row>
    <row r="108" spans="49:71" x14ac:dyDescent="0.25">
      <c r="AW108" s="101" t="s">
        <v>15</v>
      </c>
      <c r="AX108" s="105">
        <f si="155" t="shared"/>
        <v>0</v>
      </c>
      <c r="AY108" s="105">
        <f si="156" t="shared"/>
        <v>0</v>
      </c>
      <c r="AZ108" s="105">
        <f si="157" t="shared"/>
        <v>0</v>
      </c>
      <c r="BA108" s="105">
        <f si="158" t="shared"/>
        <v>0</v>
      </c>
      <c r="BB108" s="105">
        <f si="159" t="shared"/>
        <v>0</v>
      </c>
      <c r="BC108" s="105">
        <f si="160" t="shared"/>
        <v>0</v>
      </c>
      <c r="BD108" s="105">
        <f si="161" t="shared"/>
        <v>0</v>
      </c>
      <c r="BE108" s="105">
        <f si="162" t="shared"/>
        <v>0</v>
      </c>
      <c r="BF108" s="105">
        <f si="163" t="shared"/>
        <v>0</v>
      </c>
      <c r="BG108" s="105">
        <f si="164" t="shared"/>
        <v>0</v>
      </c>
      <c r="BH108" s="105">
        <f si="165" t="shared"/>
        <v>0</v>
      </c>
      <c r="BI108" s="105">
        <f si="166" t="shared"/>
        <v>0</v>
      </c>
      <c r="BJ108" s="105">
        <f si="167" t="shared"/>
        <v>0</v>
      </c>
      <c r="BK108" s="105">
        <f si="168" t="shared"/>
        <v>0</v>
      </c>
      <c r="BL108" s="105">
        <f si="169" t="shared"/>
        <v>0</v>
      </c>
      <c r="BM108" s="105">
        <f si="170" t="shared"/>
        <v>0</v>
      </c>
      <c r="BN108" s="105">
        <f si="171" t="shared"/>
        <v>0</v>
      </c>
      <c r="BO108" s="105">
        <f si="172" t="shared"/>
        <v>0</v>
      </c>
      <c r="BP108" s="105">
        <f si="173" t="shared"/>
        <v>0</v>
      </c>
      <c r="BQ108" s="105">
        <f si="174" t="shared"/>
        <v>0</v>
      </c>
      <c r="BR108" s="105">
        <f si="175" t="shared"/>
        <v>0</v>
      </c>
      <c r="BS108" s="105">
        <f si="176" t="shared"/>
        <v>0</v>
      </c>
    </row>
    <row ht="15.75" r="109" spans="49:71" thickBot="1" x14ac:dyDescent="0.3">
      <c r="AW109" s="1" t="s">
        <v>3</v>
      </c>
      <c r="AX109" s="106">
        <f si="155" t="shared"/>
        <v>8.7926847679757017E-2</v>
      </c>
      <c r="AY109" s="106">
        <f si="156" t="shared"/>
        <v>6.8682848161309776E-3</v>
      </c>
      <c r="AZ109" s="106">
        <f si="157" t="shared"/>
        <v>3.966840486507632E-3</v>
      </c>
      <c r="BA109" s="106">
        <f si="158" t="shared"/>
        <v>-4.9360398083810493E-3</v>
      </c>
      <c r="BB109" s="106">
        <f si="159" t="shared"/>
        <v>2.2297474640484705E-2</v>
      </c>
      <c r="BC109" s="106">
        <f si="160" t="shared"/>
        <v>5.5862483519439343E-3</v>
      </c>
      <c r="BD109" s="106">
        <f si="161" t="shared"/>
        <v>-2.8736372580770664E-2</v>
      </c>
      <c r="BE109" s="106">
        <f si="162" t="shared"/>
        <v>-3.1567494863419679E-3</v>
      </c>
      <c r="BF109" s="106">
        <f si="163" t="shared"/>
        <v>-1.9620930556339199E-2</v>
      </c>
      <c r="BG109" s="106">
        <f si="164" t="shared"/>
        <v>-8.6030329397038599E-3</v>
      </c>
      <c r="BH109" s="106">
        <f si="165" t="shared"/>
        <v>-1.9415785589070533E-2</v>
      </c>
      <c r="BI109" s="106">
        <f si="166" t="shared"/>
        <v>-7.1022912312507597E-2</v>
      </c>
      <c r="BJ109" s="106">
        <f si="167" t="shared"/>
        <v>5.9225660820166337E-2</v>
      </c>
      <c r="BK109" s="106">
        <f si="168" t="shared"/>
        <v>-4.8263256880320161E-3</v>
      </c>
      <c r="BL109" s="106">
        <f si="169" t="shared"/>
        <v>-7.4681264223003946E-4</v>
      </c>
      <c r="BM109" s="106">
        <f si="170" t="shared"/>
        <v>-2.7664424158535699E-3</v>
      </c>
      <c r="BN109" s="106">
        <f si="171" t="shared"/>
        <v>-5.4855142141647965E-3</v>
      </c>
      <c r="BO109" s="106">
        <f si="172" t="shared"/>
        <v>-2.6240112834261514E-3</v>
      </c>
      <c r="BP109" s="106">
        <f si="173" t="shared"/>
        <v>-1.0681926966204944E-2</v>
      </c>
      <c r="BQ109" s="106">
        <f si="174" t="shared"/>
        <v>-3.2485003119641399E-3</v>
      </c>
      <c r="BR109" s="106">
        <f si="175" t="shared"/>
        <v>0</v>
      </c>
      <c r="BS109" s="106">
        <f si="176" t="shared"/>
        <v>0</v>
      </c>
    </row>
  </sheetData>
  <mergeCells count="5">
    <mergeCell ref="BV20:BW20"/>
    <mergeCell ref="CB20:CE20"/>
    <mergeCell ref="CF20:CI20"/>
    <mergeCell ref="CJ20:CK20"/>
    <mergeCell ref="BX20:CA20"/>
  </mergeCells>
  <conditionalFormatting sqref="AX88:BS109">
    <cfRule priority="4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J22:CJ41">
    <cfRule priority="3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22:CK41">
    <cfRule priority="2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22:CL41">
    <cfRule priority="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B2:Y79"/>
  <sheetViews>
    <sheetView workbookViewId="0">
      <selection activeCell="D65" sqref="D65"/>
    </sheetView>
  </sheetViews>
  <sheetFormatPr defaultRowHeight="15" x14ac:dyDescent="0.25"/>
  <cols>
    <col min="24" max="24" bestFit="true" customWidth="true" width="10.5703125" collapsed="true"/>
  </cols>
  <sheetData>
    <row ht="15.75" r="2" spans="2:24" thickBot="1" x14ac:dyDescent="0.3">
      <c r="B2" s="4" t="s">
        <v>357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7"/>
      <c r="Q2" s="7"/>
      <c r="R2" s="7"/>
      <c r="S2" s="7"/>
      <c r="T2" s="7"/>
      <c r="U2" s="7"/>
      <c r="V2" s="7"/>
      <c r="W2" s="7"/>
    </row>
    <row r="3" spans="2:24" x14ac:dyDescent="0.25">
      <c r="B3" s="2" t="s">
        <v>14</v>
      </c>
      <c r="C3" s="2">
        <v>1</v>
      </c>
      <c r="D3" s="2">
        <v>2</v>
      </c>
      <c r="E3" s="2">
        <v>3</v>
      </c>
      <c r="F3" s="2">
        <v>4</v>
      </c>
      <c r="G3" s="2">
        <v>5</v>
      </c>
      <c r="H3" s="2">
        <v>6</v>
      </c>
      <c r="I3" s="2">
        <v>7</v>
      </c>
      <c r="J3" s="2">
        <v>8</v>
      </c>
      <c r="K3" s="2">
        <v>9</v>
      </c>
      <c r="L3" s="2">
        <v>10</v>
      </c>
      <c r="M3" s="2">
        <v>11</v>
      </c>
      <c r="N3" s="2">
        <v>12</v>
      </c>
      <c r="O3" s="2">
        <v>13</v>
      </c>
      <c r="P3" s="2">
        <v>14</v>
      </c>
      <c r="Q3" s="2">
        <v>15</v>
      </c>
      <c r="R3" s="2">
        <v>16</v>
      </c>
      <c r="S3" s="2">
        <v>17</v>
      </c>
      <c r="T3" s="2">
        <v>18</v>
      </c>
      <c r="U3" s="2">
        <v>19</v>
      </c>
      <c r="V3" s="2">
        <v>20</v>
      </c>
      <c r="W3" s="3" t="s">
        <v>15</v>
      </c>
      <c r="X3" s="3" t="s">
        <v>3</v>
      </c>
    </row>
    <row r="4" spans="2:24" x14ac:dyDescent="0.25">
      <c r="B4" s="31">
        <v>1</v>
      </c>
      <c r="C4" s="77">
        <v>10940.26220178045</v>
      </c>
      <c r="D4" s="77">
        <v>1660.2959506530301</v>
      </c>
      <c r="E4" s="77">
        <v>3989.2525967992851</v>
      </c>
      <c r="F4" s="77">
        <v>1831.796278335155</v>
      </c>
      <c r="G4" s="77">
        <v>1710.6672402061499</v>
      </c>
      <c r="H4" s="77">
        <v>4058.1532752439398</v>
      </c>
      <c r="I4" s="77">
        <v>2911.8942383695398</v>
      </c>
      <c r="J4" s="77">
        <v>213.55700133740899</v>
      </c>
      <c r="K4" s="77">
        <v>2164.9227482974552</v>
      </c>
      <c r="L4" s="77">
        <v>1538.29021091759</v>
      </c>
      <c r="M4" s="77">
        <v>2067.341352522375</v>
      </c>
      <c r="N4" s="77">
        <v>3812.5177454445502</v>
      </c>
      <c r="O4" s="77">
        <v>819.96949055046002</v>
      </c>
      <c r="P4" s="77">
        <v>277.7388738170265</v>
      </c>
      <c r="Q4" s="77">
        <v>485.05221866816299</v>
      </c>
      <c r="R4" s="77">
        <v>603.75784368813004</v>
      </c>
      <c r="S4" s="77">
        <v>264.40893332660198</v>
      </c>
      <c r="T4" s="77">
        <v>423.45168364793051</v>
      </c>
      <c r="U4" s="77">
        <v>466.76911579258751</v>
      </c>
      <c r="V4" s="77">
        <v>98.477223664522</v>
      </c>
      <c r="W4" s="77"/>
      <c r="X4" s="77">
        <f>SUM(C4:W4)</f>
        <v>40338.576223062344</v>
      </c>
    </row>
    <row r="5" spans="2:24" x14ac:dyDescent="0.25">
      <c r="B5" s="95">
        <v>2</v>
      </c>
      <c r="C5" s="77">
        <v>1601.6365359891199</v>
      </c>
      <c r="D5" s="77">
        <v>12266.7219414264</v>
      </c>
      <c r="E5" s="77">
        <v>2558.5370216965698</v>
      </c>
      <c r="F5" s="77">
        <v>796.13561119139001</v>
      </c>
      <c r="G5" s="77">
        <v>701.16450272500504</v>
      </c>
      <c r="H5" s="77">
        <v>2894.9007383696749</v>
      </c>
      <c r="I5" s="77">
        <v>4855.1070069782454</v>
      </c>
      <c r="J5" s="77">
        <v>309.69607349485148</v>
      </c>
      <c r="K5" s="77">
        <v>5058.1660965103501</v>
      </c>
      <c r="L5" s="77">
        <v>958.85979920252998</v>
      </c>
      <c r="M5" s="77">
        <v>1920.08077540819</v>
      </c>
      <c r="N5" s="77">
        <v>4397.0984764248151</v>
      </c>
      <c r="O5" s="77">
        <v>994.87688369303999</v>
      </c>
      <c r="P5" s="77">
        <v>256.82142405211948</v>
      </c>
      <c r="Q5" s="77">
        <v>680.76275756954999</v>
      </c>
      <c r="R5" s="77">
        <v>255.04320777952699</v>
      </c>
      <c r="S5" s="77">
        <v>362.543882764876</v>
      </c>
      <c r="T5" s="77">
        <v>466.28423714637751</v>
      </c>
      <c r="U5" s="77">
        <v>399.55271499231452</v>
      </c>
      <c r="V5" s="77">
        <v>77.676168307661996</v>
      </c>
      <c r="W5" s="77"/>
      <c r="X5" s="77">
        <f ref="X5:X24" si="0" t="shared">SUM(C5:W5)</f>
        <v>41811.665855722611</v>
      </c>
    </row>
    <row r="6" spans="2:24" x14ac:dyDescent="0.25">
      <c r="B6" s="95">
        <v>3</v>
      </c>
      <c r="C6" s="77">
        <v>3968.6959729380901</v>
      </c>
      <c r="D6" s="77">
        <v>2518.328712396325</v>
      </c>
      <c r="E6" s="77">
        <v>16609.776744563151</v>
      </c>
      <c r="F6" s="77">
        <v>2746.6629975140099</v>
      </c>
      <c r="G6" s="77">
        <v>1301.09577747807</v>
      </c>
      <c r="H6" s="77">
        <v>2834.4499411731949</v>
      </c>
      <c r="I6" s="77">
        <v>1931.573494241575</v>
      </c>
      <c r="J6" s="77">
        <v>687.65584461390995</v>
      </c>
      <c r="K6" s="77">
        <v>2534.566205346955</v>
      </c>
      <c r="L6" s="77">
        <v>488.83572708815348</v>
      </c>
      <c r="M6" s="77">
        <v>4717.5838556289646</v>
      </c>
      <c r="N6" s="77">
        <v>2316.7837403984749</v>
      </c>
      <c r="O6" s="77">
        <v>335.82021575421101</v>
      </c>
      <c r="P6" s="77">
        <v>284.19365198910248</v>
      </c>
      <c r="Q6" s="77">
        <v>323.24773611128347</v>
      </c>
      <c r="R6" s="77">
        <v>141.940249828622</v>
      </c>
      <c r="S6" s="77">
        <v>270.40558920800697</v>
      </c>
      <c r="T6" s="77">
        <v>79.503889033570999</v>
      </c>
      <c r="U6" s="77">
        <v>333.42165564745648</v>
      </c>
      <c r="V6" s="77">
        <v>31.276608020067201</v>
      </c>
      <c r="W6" s="77"/>
      <c r="X6" s="77">
        <f si="0" t="shared"/>
        <v>44455.818608973197</v>
      </c>
    </row>
    <row r="7" spans="2:24" x14ac:dyDescent="0.25">
      <c r="B7" s="95">
        <v>4</v>
      </c>
      <c r="C7" s="77">
        <v>1903.696295134725</v>
      </c>
      <c r="D7" s="77">
        <v>811.11278299987498</v>
      </c>
      <c r="E7" s="77">
        <v>2813.5432287007552</v>
      </c>
      <c r="F7" s="77">
        <v>5953.7890788167497</v>
      </c>
      <c r="G7" s="77">
        <v>1933.1030366718751</v>
      </c>
      <c r="H7" s="77">
        <v>2129.5768845900898</v>
      </c>
      <c r="I7" s="77">
        <v>1407.38653832674</v>
      </c>
      <c r="J7" s="77">
        <v>669.63735915720497</v>
      </c>
      <c r="K7" s="77">
        <v>1262.21093227342</v>
      </c>
      <c r="L7" s="77">
        <v>971.68278811872005</v>
      </c>
      <c r="M7" s="77">
        <v>1683.09095106274</v>
      </c>
      <c r="N7" s="77">
        <v>2209.0666068547848</v>
      </c>
      <c r="O7" s="77">
        <v>316.84271556878252</v>
      </c>
      <c r="P7" s="77">
        <v>263.41397304832952</v>
      </c>
      <c r="Q7" s="77">
        <v>155.53168840706351</v>
      </c>
      <c r="R7" s="77">
        <v>232.23736053705201</v>
      </c>
      <c r="S7" s="77">
        <v>125.92837816476801</v>
      </c>
      <c r="T7" s="77">
        <v>118.3628339469435</v>
      </c>
      <c r="U7" s="77">
        <v>296.89361302554602</v>
      </c>
      <c r="V7" s="77">
        <v>18.111210554838198</v>
      </c>
      <c r="W7" s="77"/>
      <c r="X7" s="77">
        <f si="0" t="shared"/>
        <v>25275.218255961001</v>
      </c>
    </row>
    <row r="8" spans="2:24" x14ac:dyDescent="0.25">
      <c r="B8" s="95">
        <v>5</v>
      </c>
      <c r="C8" s="77">
        <v>1771.3368467278799</v>
      </c>
      <c r="D8" s="77">
        <v>684.59214429557505</v>
      </c>
      <c r="E8" s="77">
        <v>1297.736651498825</v>
      </c>
      <c r="F8" s="77">
        <v>1892.47690060735</v>
      </c>
      <c r="G8" s="77">
        <v>4814.7963017523298</v>
      </c>
      <c r="H8" s="77">
        <v>3797.0062421709299</v>
      </c>
      <c r="I8" s="77">
        <v>1468.9346555173399</v>
      </c>
      <c r="J8" s="77">
        <v>312.84949558228249</v>
      </c>
      <c r="K8" s="77">
        <v>838.66036509349999</v>
      </c>
      <c r="L8" s="77">
        <v>2657.6045102477101</v>
      </c>
      <c r="M8" s="77">
        <v>797.47975687309997</v>
      </c>
      <c r="N8" s="77">
        <v>2043.825919136405</v>
      </c>
      <c r="O8" s="77">
        <v>289.38759054243548</v>
      </c>
      <c r="P8" s="77">
        <v>78.148549139499494</v>
      </c>
      <c r="Q8" s="77">
        <v>124.4503399282695</v>
      </c>
      <c r="R8" s="77">
        <v>356.35316708683951</v>
      </c>
      <c r="S8" s="77">
        <v>90.795368507504506</v>
      </c>
      <c r="T8" s="77">
        <v>53.187485516071497</v>
      </c>
      <c r="U8" s="77">
        <v>101.080995053053</v>
      </c>
      <c r="V8" s="77">
        <v>23.992759376764301</v>
      </c>
      <c r="W8" s="77"/>
      <c r="X8" s="77">
        <f si="0" t="shared"/>
        <v>23494.696044653665</v>
      </c>
    </row>
    <row r="9" spans="2:24" x14ac:dyDescent="0.25">
      <c r="B9" s="95">
        <v>6</v>
      </c>
      <c r="C9" s="77">
        <v>4026.7275659330198</v>
      </c>
      <c r="D9" s="77">
        <v>2939.1859528496848</v>
      </c>
      <c r="E9" s="77">
        <v>2856.5977777503449</v>
      </c>
      <c r="F9" s="77">
        <v>2131.1698245480652</v>
      </c>
      <c r="G9" s="77">
        <v>3784.3398390710349</v>
      </c>
      <c r="H9" s="77">
        <v>24373.949378636451</v>
      </c>
      <c r="I9" s="77">
        <v>4832.1394518529996</v>
      </c>
      <c r="J9" s="77">
        <v>472.63120371103298</v>
      </c>
      <c r="K9" s="77">
        <v>3139.8777754008752</v>
      </c>
      <c r="L9" s="77">
        <v>4456.8643093258152</v>
      </c>
      <c r="M9" s="77">
        <v>2449.2454201634951</v>
      </c>
      <c r="N9" s="77">
        <v>11132.55629079</v>
      </c>
      <c r="O9" s="77">
        <v>1188.9159507863201</v>
      </c>
      <c r="P9" s="77">
        <v>526.58859939128001</v>
      </c>
      <c r="Q9" s="77">
        <v>647.99585525691498</v>
      </c>
      <c r="R9" s="77">
        <v>1245.40348947607</v>
      </c>
      <c r="S9" s="77">
        <v>486.37571668624901</v>
      </c>
      <c r="T9" s="77">
        <v>581.88242455944498</v>
      </c>
      <c r="U9" s="77">
        <v>606.90456423163505</v>
      </c>
      <c r="V9" s="77">
        <v>165.003762692213</v>
      </c>
      <c r="W9" s="77"/>
      <c r="X9" s="77">
        <f si="0" t="shared"/>
        <v>72044.355153112949</v>
      </c>
    </row>
    <row r="10" spans="2:24" x14ac:dyDescent="0.25">
      <c r="B10" s="95">
        <v>7</v>
      </c>
      <c r="C10" s="77">
        <v>2946.6291679497799</v>
      </c>
      <c r="D10" s="77">
        <v>5031.9294276628498</v>
      </c>
      <c r="E10" s="77">
        <v>1964.18780922983</v>
      </c>
      <c r="F10" s="77">
        <v>1421.18593595177</v>
      </c>
      <c r="G10" s="77">
        <v>1508.8080815523849</v>
      </c>
      <c r="H10" s="77">
        <v>4885.2995698051554</v>
      </c>
      <c r="I10" s="77">
        <v>64184.280151311497</v>
      </c>
      <c r="J10" s="77">
        <v>350.47705352306349</v>
      </c>
      <c r="K10" s="77">
        <v>7607.4465426290499</v>
      </c>
      <c r="L10" s="77">
        <v>936.15671552717504</v>
      </c>
      <c r="M10" s="77">
        <v>1894.36190187838</v>
      </c>
      <c r="N10" s="77">
        <v>15602.895795754601</v>
      </c>
      <c r="O10" s="77">
        <v>13500.033705565151</v>
      </c>
      <c r="P10" s="77">
        <v>300.70734231173998</v>
      </c>
      <c r="Q10" s="77">
        <v>2595.0726676583299</v>
      </c>
      <c r="R10" s="77">
        <v>209.781542688608</v>
      </c>
      <c r="S10" s="77">
        <v>254.234584659338</v>
      </c>
      <c r="T10" s="77">
        <v>1506.49727804959</v>
      </c>
      <c r="U10" s="77">
        <v>394.8590451702475</v>
      </c>
      <c r="V10" s="77">
        <v>180.284216605127</v>
      </c>
      <c r="W10" s="77"/>
      <c r="X10" s="77">
        <f si="0" t="shared"/>
        <v>127275.12853548367</v>
      </c>
    </row>
    <row r="11" spans="2:24" x14ac:dyDescent="0.25">
      <c r="B11" s="95">
        <v>8</v>
      </c>
      <c r="C11" s="77">
        <v>227.3946504443885</v>
      </c>
      <c r="D11" s="77">
        <v>300.46030572801851</v>
      </c>
      <c r="E11" s="77">
        <v>711.03796501457498</v>
      </c>
      <c r="F11" s="77">
        <v>666.89682637154999</v>
      </c>
      <c r="G11" s="77">
        <v>324.33642602711899</v>
      </c>
      <c r="H11" s="77">
        <v>465.1077752262355</v>
      </c>
      <c r="I11" s="77">
        <v>349.79545317590248</v>
      </c>
      <c r="J11" s="77">
        <v>376.75621581077598</v>
      </c>
      <c r="K11" s="77">
        <v>197.51090311259051</v>
      </c>
      <c r="L11" s="77">
        <v>308.62307673692698</v>
      </c>
      <c r="M11" s="77">
        <v>1160.5381504669799</v>
      </c>
      <c r="N11" s="77">
        <v>296.985737716779</v>
      </c>
      <c r="O11" s="77">
        <v>57.993184119463002</v>
      </c>
      <c r="P11" s="77">
        <v>389.48360045254248</v>
      </c>
      <c r="Q11" s="77">
        <v>96.098419368267002</v>
      </c>
      <c r="R11" s="77">
        <v>27.365717038512251</v>
      </c>
      <c r="S11" s="77">
        <v>128.321594566107</v>
      </c>
      <c r="T11" s="77">
        <v>34.217979937791853</v>
      </c>
      <c r="U11" s="77">
        <v>91.332498580217504</v>
      </c>
      <c r="V11" s="77">
        <v>7.2240289784967997</v>
      </c>
      <c r="W11" s="77"/>
      <c r="X11" s="77">
        <f si="0" t="shared"/>
        <v>6217.4805088732392</v>
      </c>
    </row>
    <row r="12" spans="2:24" x14ac:dyDescent="0.25">
      <c r="B12" s="95">
        <v>9</v>
      </c>
      <c r="C12" s="77">
        <v>2240.2160352393998</v>
      </c>
      <c r="D12" s="77">
        <v>5111.7401178013497</v>
      </c>
      <c r="E12" s="77">
        <v>2642.8707141783102</v>
      </c>
      <c r="F12" s="77">
        <v>1256.8555484153351</v>
      </c>
      <c r="G12" s="77">
        <v>843.99228451773502</v>
      </c>
      <c r="H12" s="77">
        <v>3173.1135119721298</v>
      </c>
      <c r="I12" s="77">
        <v>7637.9408521922496</v>
      </c>
      <c r="J12" s="77">
        <v>195.10649573057901</v>
      </c>
      <c r="K12" s="77">
        <v>39281.882116641849</v>
      </c>
      <c r="L12" s="77">
        <v>592.09217424690496</v>
      </c>
      <c r="M12" s="77">
        <v>3801.3858647756301</v>
      </c>
      <c r="N12" s="77">
        <v>4122.8464103229353</v>
      </c>
      <c r="O12" s="77">
        <v>1155.19673634693</v>
      </c>
      <c r="P12" s="77">
        <v>325.63788314163702</v>
      </c>
      <c r="Q12" s="77">
        <v>4666.7397436695201</v>
      </c>
      <c r="R12" s="77">
        <v>125.5297771543265</v>
      </c>
      <c r="S12" s="77">
        <v>255.77097634598601</v>
      </c>
      <c r="T12" s="77">
        <v>221.88560997694751</v>
      </c>
      <c r="U12" s="77">
        <v>918.58640846051503</v>
      </c>
      <c r="V12" s="77">
        <v>68.354513689875503</v>
      </c>
      <c r="W12" s="77"/>
      <c r="X12" s="77">
        <f si="0" t="shared"/>
        <v>78637.743774820148</v>
      </c>
    </row>
    <row r="13" spans="2:24" x14ac:dyDescent="0.25">
      <c r="B13" s="95">
        <v>10</v>
      </c>
      <c r="C13" s="77">
        <v>1509.770724684</v>
      </c>
      <c r="D13" s="77">
        <v>988.64507441967498</v>
      </c>
      <c r="E13" s="77">
        <v>486.68440818041552</v>
      </c>
      <c r="F13" s="77">
        <v>986.85834223031998</v>
      </c>
      <c r="G13" s="77">
        <v>2603.2945229113102</v>
      </c>
      <c r="H13" s="77">
        <v>4509.3995765745649</v>
      </c>
      <c r="I13" s="77">
        <v>916.78894414007505</v>
      </c>
      <c r="J13" s="77">
        <v>330.82604205608351</v>
      </c>
      <c r="K13" s="77">
        <v>582.39152818918001</v>
      </c>
      <c r="L13" s="77">
        <v>9413.3455935641996</v>
      </c>
      <c r="M13" s="77">
        <v>394.84194968640799</v>
      </c>
      <c r="N13" s="77">
        <v>4241.1568513680249</v>
      </c>
      <c r="O13" s="77">
        <v>149.767653003335</v>
      </c>
      <c r="P13" s="77">
        <v>148.15735013783001</v>
      </c>
      <c r="Q13" s="77">
        <v>102.1807005628945</v>
      </c>
      <c r="R13" s="77">
        <v>2286.2612365186201</v>
      </c>
      <c r="S13" s="77">
        <v>43.771478157490499</v>
      </c>
      <c r="T13" s="77">
        <v>110.0797054469585</v>
      </c>
      <c r="U13" s="77">
        <v>62.019075594842498</v>
      </c>
      <c r="V13" s="77">
        <v>26.88823717832565</v>
      </c>
      <c r="W13" s="77"/>
      <c r="X13" s="77">
        <f si="0" t="shared"/>
        <v>29893.128994604558</v>
      </c>
    </row>
    <row r="14" spans="2:24" x14ac:dyDescent="0.25">
      <c r="B14" s="95">
        <v>11</v>
      </c>
      <c r="C14" s="77">
        <v>2089.4337481707348</v>
      </c>
      <c r="D14" s="77">
        <v>1938.84550898522</v>
      </c>
      <c r="E14" s="77">
        <v>4655.1130673810849</v>
      </c>
      <c r="F14" s="77">
        <v>1703.1182486340399</v>
      </c>
      <c r="G14" s="77">
        <v>806.09809896349998</v>
      </c>
      <c r="H14" s="77">
        <v>2448.6358032282451</v>
      </c>
      <c r="I14" s="77">
        <v>1924.3419268308201</v>
      </c>
      <c r="J14" s="77">
        <v>1163.94689143449</v>
      </c>
      <c r="K14" s="77">
        <v>3874.2791393213001</v>
      </c>
      <c r="L14" s="77">
        <v>409.17591491341602</v>
      </c>
      <c r="M14" s="77">
        <v>38323.289422296002</v>
      </c>
      <c r="N14" s="77">
        <v>1805.0359281972051</v>
      </c>
      <c r="O14" s="77">
        <v>259.04330610483902</v>
      </c>
      <c r="P14" s="77">
        <v>1251.4571558758601</v>
      </c>
      <c r="Q14" s="77">
        <v>673.05442814528999</v>
      </c>
      <c r="R14" s="77">
        <v>78.279658570885502</v>
      </c>
      <c r="S14" s="77">
        <v>3252.6496302410951</v>
      </c>
      <c r="T14" s="77">
        <v>100.1350102312865</v>
      </c>
      <c r="U14" s="77">
        <v>6595.2851868998496</v>
      </c>
      <c r="V14" s="77">
        <v>60.238963887095501</v>
      </c>
      <c r="W14" s="77"/>
      <c r="X14" s="77">
        <f si="0" t="shared"/>
        <v>73411.457038312263</v>
      </c>
    </row>
    <row r="15" spans="2:24" x14ac:dyDescent="0.25">
      <c r="B15" s="95">
        <v>12</v>
      </c>
      <c r="C15" s="77">
        <v>3909.9913371484749</v>
      </c>
      <c r="D15" s="77">
        <v>4512.0617000162601</v>
      </c>
      <c r="E15" s="77">
        <v>2316.3826031805952</v>
      </c>
      <c r="F15" s="77">
        <v>2207.7959786707052</v>
      </c>
      <c r="G15" s="77">
        <v>1980.2475764118151</v>
      </c>
      <c r="H15" s="77">
        <v>11384.547311562599</v>
      </c>
      <c r="I15" s="77">
        <v>15333.400082109951</v>
      </c>
      <c r="J15" s="77">
        <v>305.14899960719049</v>
      </c>
      <c r="K15" s="77">
        <v>4097.1117443479598</v>
      </c>
      <c r="L15" s="77">
        <v>4210.5979572646302</v>
      </c>
      <c r="M15" s="77">
        <v>1784.61571892351</v>
      </c>
      <c r="N15" s="77">
        <v>115991.94967481701</v>
      </c>
      <c r="O15" s="77">
        <v>4221.3462047148496</v>
      </c>
      <c r="P15" s="77">
        <v>386.43397994339449</v>
      </c>
      <c r="Q15" s="77">
        <v>611.93832628429004</v>
      </c>
      <c r="R15" s="77">
        <v>2640.1613006293801</v>
      </c>
      <c r="S15" s="77">
        <v>210.689273111522</v>
      </c>
      <c r="T15" s="77">
        <v>8451.6686069471998</v>
      </c>
      <c r="U15" s="77">
        <v>643.74268603325004</v>
      </c>
      <c r="V15" s="77">
        <v>1648.411975979805</v>
      </c>
      <c r="W15" s="77"/>
      <c r="X15" s="77">
        <f si="0" t="shared"/>
        <v>186848.24303770441</v>
      </c>
    </row>
    <row r="16" spans="2:24" x14ac:dyDescent="0.25">
      <c r="B16" s="95">
        <v>13</v>
      </c>
      <c r="C16" s="77">
        <v>812.48013841361001</v>
      </c>
      <c r="D16" s="77">
        <v>1005.918883912265</v>
      </c>
      <c r="E16" s="77">
        <v>338.43640489131201</v>
      </c>
      <c r="F16" s="77">
        <v>326.54682497680199</v>
      </c>
      <c r="G16" s="77">
        <v>292.53742401301849</v>
      </c>
      <c r="H16" s="77">
        <v>1204.1001017261301</v>
      </c>
      <c r="I16" s="77">
        <v>13706.0361524243</v>
      </c>
      <c r="J16" s="77">
        <v>58.596544951200499</v>
      </c>
      <c r="K16" s="77">
        <v>1091.1927266530699</v>
      </c>
      <c r="L16" s="77">
        <v>151.324888601899</v>
      </c>
      <c r="M16" s="77">
        <v>254.69664636254299</v>
      </c>
      <c r="N16" s="77">
        <v>4260.2341042440403</v>
      </c>
      <c r="O16" s="77">
        <v>93103.69931928</v>
      </c>
      <c r="P16" s="77">
        <v>7.9918974116444499</v>
      </c>
      <c r="Q16" s="77">
        <v>2513.2296255296101</v>
      </c>
      <c r="R16" s="77">
        <v>39.728866428136847</v>
      </c>
      <c r="S16" s="77">
        <v>32.112292118370547</v>
      </c>
      <c r="T16" s="77">
        <v>3060.45987178013</v>
      </c>
      <c r="U16" s="77">
        <v>114.0977235138415</v>
      </c>
      <c r="V16" s="77">
        <v>88.7308790646495</v>
      </c>
      <c r="W16" s="77"/>
      <c r="X16" s="77">
        <f si="0" t="shared"/>
        <v>122462.15131629657</v>
      </c>
    </row>
    <row r="17" spans="2:24" x14ac:dyDescent="0.25">
      <c r="B17" s="95">
        <v>14</v>
      </c>
      <c r="C17" s="77">
        <v>280.99537419527752</v>
      </c>
      <c r="D17" s="77">
        <v>260.29483704268949</v>
      </c>
      <c r="E17" s="77">
        <v>292.55275684595102</v>
      </c>
      <c r="F17" s="77">
        <v>257.51982407271851</v>
      </c>
      <c r="G17" s="77">
        <v>86.060109764337497</v>
      </c>
      <c r="H17" s="77">
        <v>523.69150550663505</v>
      </c>
      <c r="I17" s="77">
        <v>323.18757812678803</v>
      </c>
      <c r="J17" s="77">
        <v>413.22082431614399</v>
      </c>
      <c r="K17" s="77">
        <v>326.3647014796735</v>
      </c>
      <c r="L17" s="77">
        <v>145.73459595441801</v>
      </c>
      <c r="M17" s="77">
        <v>1315.193450681865</v>
      </c>
      <c r="N17" s="77">
        <v>391.39555731602002</v>
      </c>
      <c r="O17" s="77">
        <v>8.9063833281397997</v>
      </c>
      <c r="P17" s="77">
        <v>21782.591708727199</v>
      </c>
      <c r="Q17" s="77">
        <v>32.929622069001198</v>
      </c>
      <c r="R17" s="77">
        <v>17.145963206887249</v>
      </c>
      <c r="S17" s="77">
        <v>1234.4854944720851</v>
      </c>
      <c r="T17" s="77">
        <v>4.4765289425849897</v>
      </c>
      <c r="U17" s="77">
        <v>197.99572658026599</v>
      </c>
      <c r="V17" s="77">
        <v>0</v>
      </c>
      <c r="W17" s="77"/>
      <c r="X17" s="77">
        <f si="0" t="shared"/>
        <v>27894.742542628683</v>
      </c>
    </row>
    <row r="18" spans="2:24" x14ac:dyDescent="0.25">
      <c r="B18" s="95">
        <v>15</v>
      </c>
      <c r="C18" s="77">
        <v>499.19151438027598</v>
      </c>
      <c r="D18" s="77">
        <v>691.90696889161995</v>
      </c>
      <c r="E18" s="77">
        <v>316.32434058189398</v>
      </c>
      <c r="F18" s="77">
        <v>161.169796332717</v>
      </c>
      <c r="G18" s="77">
        <v>125.41518633067599</v>
      </c>
      <c r="H18" s="77">
        <v>660.37609925866002</v>
      </c>
      <c r="I18" s="77">
        <v>2661.8091910481448</v>
      </c>
      <c r="J18" s="77">
        <v>102.6478396058085</v>
      </c>
      <c r="K18" s="77">
        <v>4880.2681625904497</v>
      </c>
      <c r="L18" s="77">
        <v>104.38038067519651</v>
      </c>
      <c r="M18" s="77">
        <v>639.35045666992505</v>
      </c>
      <c r="N18" s="77">
        <v>616.78141460567497</v>
      </c>
      <c r="O18" s="77">
        <v>2671.19141378533</v>
      </c>
      <c r="P18" s="77">
        <v>32.9296225756407</v>
      </c>
      <c r="Q18" s="77">
        <v>30215.495729039201</v>
      </c>
      <c r="R18" s="77">
        <v>18.907767385244352</v>
      </c>
      <c r="S18" s="77">
        <v>87.453091107309007</v>
      </c>
      <c r="T18" s="77">
        <v>62.728412039577996</v>
      </c>
      <c r="U18" s="77">
        <v>671.59335018694503</v>
      </c>
      <c r="V18" s="77">
        <v>4.4702654182910901</v>
      </c>
      <c r="W18" s="77"/>
      <c r="X18" s="77">
        <f si="0" t="shared"/>
        <v>45224.391002508579</v>
      </c>
    </row>
    <row r="19" spans="2:24" x14ac:dyDescent="0.25">
      <c r="B19" s="95">
        <v>16</v>
      </c>
      <c r="C19" s="77">
        <v>644.04501865804002</v>
      </c>
      <c r="D19" s="77">
        <v>251.72090895473951</v>
      </c>
      <c r="E19" s="77">
        <v>140.55608209781349</v>
      </c>
      <c r="F19" s="77">
        <v>234.29377126693751</v>
      </c>
      <c r="G19" s="77">
        <v>351.89308944344498</v>
      </c>
      <c r="H19" s="77">
        <v>1259.7201904114349</v>
      </c>
      <c r="I19" s="77">
        <v>199.84993135929099</v>
      </c>
      <c r="J19" s="77">
        <v>28.101356342434901</v>
      </c>
      <c r="K19" s="77">
        <v>128.56886439025399</v>
      </c>
      <c r="L19" s="77">
        <v>2440.76911768317</v>
      </c>
      <c r="M19" s="77">
        <v>81.102607175708002</v>
      </c>
      <c r="N19" s="77">
        <v>2793.333747513595</v>
      </c>
      <c r="O19" s="77">
        <v>40.567191123962402</v>
      </c>
      <c r="P19" s="77">
        <v>16.81893499195575</v>
      </c>
      <c r="Q19" s="77">
        <v>18.7419612109661</v>
      </c>
      <c r="R19" s="77">
        <v>3874.19264406711</v>
      </c>
      <c r="S19" s="77">
        <v>0.85607855021953505</v>
      </c>
      <c r="T19" s="77">
        <v>271.4457857236265</v>
      </c>
      <c r="U19" s="77">
        <v>19.465768963098551</v>
      </c>
      <c r="V19" s="77">
        <v>68.987751007080007</v>
      </c>
      <c r="W19" s="77"/>
      <c r="X19" s="77">
        <f si="0" t="shared"/>
        <v>12865.030800934883</v>
      </c>
    </row>
    <row r="20" spans="2:24" x14ac:dyDescent="0.25">
      <c r="B20" s="95">
        <v>17</v>
      </c>
      <c r="C20" s="77">
        <v>271.67682161927252</v>
      </c>
      <c r="D20" s="77">
        <v>367.97205542773003</v>
      </c>
      <c r="E20" s="77">
        <v>267.81412364542501</v>
      </c>
      <c r="F20" s="77">
        <v>126.4005935788155</v>
      </c>
      <c r="G20" s="77">
        <v>93.953586354851495</v>
      </c>
      <c r="H20" s="77">
        <v>492.60065799951548</v>
      </c>
      <c r="I20" s="77">
        <v>250.40475881099701</v>
      </c>
      <c r="J20" s="77">
        <v>135.63878369331351</v>
      </c>
      <c r="K20" s="77">
        <v>248.37376539036649</v>
      </c>
      <c r="L20" s="77">
        <v>45.2380316182971</v>
      </c>
      <c r="M20" s="77">
        <v>3424.9391277059899</v>
      </c>
      <c r="N20" s="77">
        <v>212.93380639702099</v>
      </c>
      <c r="O20" s="77">
        <v>30.536507017910498</v>
      </c>
      <c r="P20" s="77">
        <v>1234.231240466235</v>
      </c>
      <c r="Q20" s="77">
        <v>86.156941913068493</v>
      </c>
      <c r="R20" s="77">
        <v>1.3654216378927251</v>
      </c>
      <c r="S20" s="77">
        <v>10557.459496339799</v>
      </c>
      <c r="T20" s="77">
        <v>1.68964631855488</v>
      </c>
      <c r="U20" s="77">
        <v>3051.1329985707998</v>
      </c>
      <c r="V20" s="77">
        <v>2.1521259844303149</v>
      </c>
      <c r="W20" s="77"/>
      <c r="X20" s="77">
        <f si="0" t="shared"/>
        <v>20902.670490490287</v>
      </c>
    </row>
    <row r="21" spans="2:24" x14ac:dyDescent="0.25">
      <c r="B21" s="95">
        <v>18</v>
      </c>
      <c r="C21" s="77">
        <v>426.66176690906298</v>
      </c>
      <c r="D21" s="77">
        <v>476.91687294840801</v>
      </c>
      <c r="E21" s="77">
        <v>79.859535880387</v>
      </c>
      <c r="F21" s="77">
        <v>135.25862053036701</v>
      </c>
      <c r="G21" s="77">
        <v>55.598255008458999</v>
      </c>
      <c r="H21" s="77">
        <v>587.45744287595005</v>
      </c>
      <c r="I21" s="77">
        <v>1561.4625899344701</v>
      </c>
      <c r="J21" s="77">
        <v>44.762105137109749</v>
      </c>
      <c r="K21" s="77">
        <v>234.96210818737751</v>
      </c>
      <c r="L21" s="77">
        <v>98.826143682003007</v>
      </c>
      <c r="M21" s="77">
        <v>104.118291128427</v>
      </c>
      <c r="N21" s="77">
        <v>8948.4410416018</v>
      </c>
      <c r="O21" s="77">
        <v>3199.7264965213849</v>
      </c>
      <c r="P21" s="77">
        <v>4.4765288531780252</v>
      </c>
      <c r="Q21" s="77">
        <v>58.171552039683</v>
      </c>
      <c r="R21" s="77">
        <v>272.29186766594648</v>
      </c>
      <c r="S21" s="77">
        <v>2.5866609960794449</v>
      </c>
      <c r="T21" s="77">
        <v>14761.3682938069</v>
      </c>
      <c r="U21" s="77">
        <v>15.8171905577183</v>
      </c>
      <c r="V21" s="77">
        <v>3999.1883474923652</v>
      </c>
      <c r="W21" s="77"/>
      <c r="X21" s="77">
        <f si="0" t="shared"/>
        <v>35067.951711757079</v>
      </c>
    </row>
    <row r="22" spans="2:24" x14ac:dyDescent="0.25">
      <c r="B22" s="95">
        <v>19</v>
      </c>
      <c r="C22" s="77">
        <v>472.40810502134252</v>
      </c>
      <c r="D22" s="77">
        <v>421.19319476559753</v>
      </c>
      <c r="E22" s="77">
        <v>336.31588738411648</v>
      </c>
      <c r="F22" s="77">
        <v>300.31977199018002</v>
      </c>
      <c r="G22" s="77">
        <v>107.181496679783</v>
      </c>
      <c r="H22" s="77">
        <v>627.80817238986504</v>
      </c>
      <c r="I22" s="77">
        <v>395.32145214825852</v>
      </c>
      <c r="J22" s="77">
        <v>85.422608226537506</v>
      </c>
      <c r="K22" s="77">
        <v>945.68103148974501</v>
      </c>
      <c r="L22" s="77">
        <v>69.736796937883</v>
      </c>
      <c r="M22" s="77">
        <v>7026.3436912987499</v>
      </c>
      <c r="N22" s="77">
        <v>652.79530721902995</v>
      </c>
      <c r="O22" s="77">
        <v>102.869549304247</v>
      </c>
      <c r="P22" s="77">
        <v>199.97993255639449</v>
      </c>
      <c r="Q22" s="77">
        <v>676.92666017264003</v>
      </c>
      <c r="R22" s="77">
        <v>19.484602242708199</v>
      </c>
      <c r="S22" s="77">
        <v>2986.37711254135</v>
      </c>
      <c r="T22" s="77">
        <v>16.891285002231601</v>
      </c>
      <c r="U22" s="77">
        <v>31200.6201737183</v>
      </c>
      <c r="V22" s="77">
        <v>0</v>
      </c>
      <c r="W22" s="77"/>
      <c r="X22" s="77">
        <f si="0" t="shared"/>
        <v>46643.67683108896</v>
      </c>
    </row>
    <row r="23" spans="2:24" x14ac:dyDescent="0.25">
      <c r="B23" s="95">
        <v>20</v>
      </c>
      <c r="C23" s="58">
        <v>103.3487327694895</v>
      </c>
      <c r="D23" s="58">
        <v>77.336025044322</v>
      </c>
      <c r="E23" s="58">
        <v>32.021228998899453</v>
      </c>
      <c r="F23" s="58">
        <v>19.79779574275015</v>
      </c>
      <c r="G23" s="58">
        <v>23.216825455427148</v>
      </c>
      <c r="H23" s="58">
        <v>165.43112745881101</v>
      </c>
      <c r="I23" s="58">
        <v>176.26631201058649</v>
      </c>
      <c r="J23" s="58">
        <v>6.7500526644289502</v>
      </c>
      <c r="K23" s="58">
        <v>69.580159738660001</v>
      </c>
      <c r="L23" s="58">
        <v>29.4433142244816</v>
      </c>
      <c r="M23" s="58">
        <v>60.825443938374498</v>
      </c>
      <c r="N23" s="58">
        <v>1676.97775955871</v>
      </c>
      <c r="O23" s="58">
        <v>89.400494128465496</v>
      </c>
      <c r="P23" s="58">
        <v>0</v>
      </c>
      <c r="Q23" s="58">
        <v>4.4702658653259304</v>
      </c>
      <c r="R23" s="58">
        <v>64.264981508255005</v>
      </c>
      <c r="S23" s="58">
        <v>2.1521259844303149</v>
      </c>
      <c r="T23" s="58">
        <v>4127.7087676450601</v>
      </c>
      <c r="U23" s="58">
        <v>0</v>
      </c>
      <c r="V23" s="58">
        <v>34907.915016604602</v>
      </c>
      <c r="W23" s="58"/>
      <c r="X23" s="77">
        <f si="0" t="shared"/>
        <v>41636.906429341077</v>
      </c>
    </row>
    <row r="24" spans="2:24" x14ac:dyDescent="0.25">
      <c r="B24" s="101" t="s">
        <v>15</v>
      </c>
      <c r="C24" s="60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77">
        <f si="0" t="shared"/>
        <v>0</v>
      </c>
    </row>
    <row ht="15.75" r="25" spans="2:24" thickBot="1" x14ac:dyDescent="0.3">
      <c r="B25" s="1" t="s">
        <v>3</v>
      </c>
      <c r="C25" s="107">
        <f>SUM(C4:C24)</f>
        <v>40646.598554106436</v>
      </c>
      <c r="D25" s="107">
        <f ref="D25:X25" si="1" t="shared">SUM(D4:D24)</f>
        <v>42317.179366221637</v>
      </c>
      <c r="E25" s="107">
        <f si="1" t="shared"/>
        <v>44705.600948499537</v>
      </c>
      <c r="F25" s="107">
        <f si="1" t="shared"/>
        <v>25156.048569777733</v>
      </c>
      <c r="G25" s="107">
        <f si="1" t="shared"/>
        <v>23447.799661338322</v>
      </c>
      <c r="H25" s="107">
        <f si="1" t="shared"/>
        <v>72475.32530618021</v>
      </c>
      <c r="I25" s="107">
        <f si="1" t="shared"/>
        <v>127027.92076090976</v>
      </c>
      <c r="J25" s="107">
        <f si="1" t="shared"/>
        <v>6263.4287909958512</v>
      </c>
      <c r="K25" s="107">
        <f si="1" t="shared"/>
        <v>78564.017617084086</v>
      </c>
      <c r="L25" s="107">
        <f si="1" t="shared"/>
        <v>30027.582046531123</v>
      </c>
      <c r="M25" s="107">
        <f si="1" t="shared"/>
        <v>73900.424834647361</v>
      </c>
      <c r="N25" s="107">
        <f si="1" t="shared"/>
        <v>187525.61191568145</v>
      </c>
      <c r="O25" s="107">
        <f si="1" t="shared"/>
        <v>122536.09099123925</v>
      </c>
      <c r="P25" s="107">
        <f si="1" t="shared"/>
        <v>27767.802248882606</v>
      </c>
      <c r="Q25" s="107">
        <f si="1" t="shared"/>
        <v>44768.247239469332</v>
      </c>
      <c r="R25" s="107">
        <f si="1" t="shared"/>
        <v>12509.496665138753</v>
      </c>
      <c r="S25" s="107">
        <f si="1" t="shared"/>
        <v>20649.37775784919</v>
      </c>
      <c r="T25" s="107">
        <f si="1" t="shared"/>
        <v>34453.925335698776</v>
      </c>
      <c r="U25" s="107">
        <f si="1" t="shared"/>
        <v>46181.170491572484</v>
      </c>
      <c r="V25" s="107">
        <f si="1" t="shared"/>
        <v>41477.384054506212</v>
      </c>
      <c r="W25" s="107">
        <f si="1" t="shared"/>
        <v>0</v>
      </c>
      <c r="X25" s="107">
        <f si="1" t="shared"/>
        <v>1102401.03315633</v>
      </c>
    </row>
    <row r="26" spans="2:24" x14ac:dyDescent="0.25">
      <c r="B26" s="95"/>
      <c r="C26" s="95"/>
      <c r="D26" s="95"/>
      <c r="E26" s="95"/>
      <c r="F26" s="95"/>
      <c r="G26" s="95"/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</row>
    <row r="27" spans="2:24" x14ac:dyDescent="0.25">
      <c r="B27" s="95"/>
      <c r="C27" s="95"/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</row>
    <row r="28" spans="2:24" x14ac:dyDescent="0.25">
      <c r="B28" s="95"/>
      <c r="C28" s="95"/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</row>
    <row ht="15.75" r="29" spans="2:24" thickBot="1" x14ac:dyDescent="0.3">
      <c r="B29" s="4" t="s">
        <v>358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7"/>
      <c r="Q29" s="7"/>
      <c r="R29" s="7"/>
      <c r="S29" s="7"/>
      <c r="T29" s="7"/>
      <c r="U29" s="7"/>
      <c r="V29" s="7"/>
      <c r="W29" s="7"/>
      <c r="X29" s="7"/>
    </row>
    <row r="30" spans="2:24" x14ac:dyDescent="0.25">
      <c r="B30" s="2" t="s">
        <v>14</v>
      </c>
      <c r="C30" s="2">
        <v>1</v>
      </c>
      <c r="D30" s="2">
        <v>2</v>
      </c>
      <c r="E30" s="2">
        <v>3</v>
      </c>
      <c r="F30" s="2">
        <v>4</v>
      </c>
      <c r="G30" s="2">
        <v>5</v>
      </c>
      <c r="H30" s="2">
        <v>6</v>
      </c>
      <c r="I30" s="2">
        <v>7</v>
      </c>
      <c r="J30" s="2">
        <v>8</v>
      </c>
      <c r="K30" s="2">
        <v>9</v>
      </c>
      <c r="L30" s="2">
        <v>10</v>
      </c>
      <c r="M30" s="2">
        <v>11</v>
      </c>
      <c r="N30" s="2">
        <v>12</v>
      </c>
      <c r="O30" s="2">
        <v>13</v>
      </c>
      <c r="P30" s="2">
        <v>14</v>
      </c>
      <c r="Q30" s="2">
        <v>15</v>
      </c>
      <c r="R30" s="2">
        <v>16</v>
      </c>
      <c r="S30" s="2">
        <v>17</v>
      </c>
      <c r="T30" s="2">
        <v>18</v>
      </c>
      <c r="U30" s="2">
        <v>19</v>
      </c>
      <c r="V30" s="2">
        <v>20</v>
      </c>
      <c r="W30" s="3" t="s">
        <v>15</v>
      </c>
      <c r="X30" s="3" t="s">
        <v>3</v>
      </c>
    </row>
    <row r="31" spans="2:24" x14ac:dyDescent="0.25">
      <c r="B31" s="31">
        <v>1</v>
      </c>
      <c r="C31" s="77">
        <f>IF($X4&gt;0,(C4/$X4)*County_Flow!$BS7,0)</f>
        <v>1309.6775126682223</v>
      </c>
      <c r="D31" s="77">
        <f>IF($X4&gt;0,(D4/$X4)*County_Flow!$BS7,0)</f>
        <v>198.75686988475519</v>
      </c>
      <c r="E31" s="77">
        <f>IF($X4&gt;0,(E4/$X4)*County_Flow!$BS7,0)</f>
        <v>477.56025605410656</v>
      </c>
      <c r="F31" s="77">
        <f>IF($X4&gt;0,(F4/$X4)*County_Flow!$BS7,0)</f>
        <v>219.28746763806652</v>
      </c>
      <c r="G31" s="77">
        <f>IF($X4&gt;0,(G4/$X4)*County_Flow!$BS7,0)</f>
        <v>204.78690316870015</v>
      </c>
      <c r="H31" s="77">
        <f>IF($X4&gt;0,(H4/$X4)*County_Flow!$BS7,0)</f>
        <v>485.80847419570313</v>
      </c>
      <c r="I31" s="77">
        <f>IF($X4&gt;0,(I4/$X4)*County_Flow!$BS7,0)</f>
        <v>348.58784304457566</v>
      </c>
      <c r="J31" s="77">
        <f>IF($X4&gt;0,(J4/$X4)*County_Flow!$BS7,0)</f>
        <v>25.56527413748314</v>
      </c>
      <c r="K31" s="77">
        <f>IF($X4&gt;0,(K4/$X4)*County_Flow!$BS7,0)</f>
        <v>259.16660751034198</v>
      </c>
      <c r="L31" s="77">
        <f>IF($X4&gt;0,(L4/$X4)*County_Flow!$BS7,0)</f>
        <v>184.15135396558892</v>
      </c>
      <c r="M31" s="77">
        <f>IF($X4&gt;0,(M4/$X4)*County_Flow!$BS7,0)</f>
        <v>247.48497160945817</v>
      </c>
      <c r="N31" s="77">
        <f>IF($X4&gt;0,(N4/$X4)*County_Flow!$BS7,0)</f>
        <v>456.4030245129477</v>
      </c>
      <c r="O31" s="77">
        <f>IF($X4&gt;0,(O4/$X4)*County_Flow!$BS7,0)</f>
        <v>98.159951109141346</v>
      </c>
      <c r="P31" s="77">
        <f>IF($X4&gt;0,(P4/$X4)*County_Flow!$BS7,0)</f>
        <v>33.248595940667592</v>
      </c>
      <c r="Q31" s="77">
        <f>IF($X4&gt;0,(Q4/$X4)*County_Flow!$BS7,0)</f>
        <v>58.066431274027245</v>
      </c>
      <c r="R31" s="77">
        <f>IF($X4&gt;0,(R4/$X4)*County_Flow!$BS7,0)</f>
        <v>72.276884812387237</v>
      </c>
      <c r="S31" s="77">
        <f>IF($X4&gt;0,(S4/$X4)*County_Flow!$BS7,0)</f>
        <v>31.652845950080216</v>
      </c>
      <c r="T31" s="77">
        <f>IF($X4&gt;0,(T4/$X4)*County_Flow!$BS7,0)</f>
        <v>50.692125796120123</v>
      </c>
      <c r="U31" s="77">
        <f>IF($X4&gt;0,(U4/$X4)*County_Flow!$BS7,0)</f>
        <v>55.877729736869931</v>
      </c>
      <c r="V31" s="77">
        <f>IF($X4&gt;0,(V4/$X4)*County_Flow!$BS7,0)</f>
        <v>11.788876990757489</v>
      </c>
      <c r="W31" s="77">
        <f>IF($X4&gt;0,(W4/$X4)*County_Flow!$BS7,0)</f>
        <v>0</v>
      </c>
      <c r="X31" s="77">
        <f>IF($X4&gt;0,(X4/$X4)*County_Flow!$BS7,0)</f>
        <v>4829</v>
      </c>
    </row>
    <row r="32" spans="2:24" x14ac:dyDescent="0.25">
      <c r="B32" s="95">
        <v>2</v>
      </c>
      <c r="C32" s="77">
        <f>IF($X5&gt;0,(C5/$X5)*County_Flow!$BS8,0)</f>
        <v>554.55556857084616</v>
      </c>
      <c r="D32" s="77">
        <f>IF($X5&gt;0,(D5/$X5)*County_Flow!$BS8,0)</f>
        <v>4247.2675965319022</v>
      </c>
      <c r="E32" s="77">
        <f>IF($X5&gt;0,(E5/$X5)*County_Flow!$BS8,0)</f>
        <v>885.87574077801821</v>
      </c>
      <c r="F32" s="77">
        <f>IF($X5&gt;0,(F5/$X5)*County_Flow!$BS8,0)</f>
        <v>275.65644676748218</v>
      </c>
      <c r="G32" s="77">
        <f>IF($X5&gt;0,(G5/$X5)*County_Flow!$BS8,0)</f>
        <v>242.77335758342193</v>
      </c>
      <c r="H32" s="77">
        <f>IF($X5&gt;0,(H5/$X5)*County_Flow!$BS8,0)</f>
        <v>1002.3393503141607</v>
      </c>
      <c r="I32" s="77">
        <f>IF($X5&gt;0,(I5/$X5)*County_Flow!$BS8,0)</f>
        <v>1681.0472077950963</v>
      </c>
      <c r="J32" s="77">
        <f>IF($X5&gt;0,(J5/$X5)*County_Flow!$BS8,0)</f>
        <v>107.2301226039605</v>
      </c>
      <c r="K32" s="77">
        <f>IF($X5&gt;0,(K5/$X5)*County_Flow!$BS8,0)</f>
        <v>1751.3550125427021</v>
      </c>
      <c r="L32" s="77">
        <f>IF($X5&gt;0,(L5/$X5)*County_Flow!$BS8,0)</f>
        <v>331.99857094799609</v>
      </c>
      <c r="M32" s="77">
        <f>IF($X5&gt;0,(M5/$X5)*County_Flow!$BS8,0)</f>
        <v>664.81468309591139</v>
      </c>
      <c r="N32" s="77">
        <f>IF($X5&gt;0,(N5/$X5)*County_Flow!$BS8,0)</f>
        <v>1522.4649231355506</v>
      </c>
      <c r="O32" s="77">
        <f>IF($X5&gt;0,(O5/$X5)*County_Flow!$BS8,0)</f>
        <v>344.46923724405679</v>
      </c>
      <c r="P32" s="77">
        <f>IF($X5&gt;0,(P5/$X5)*County_Flow!$BS8,0)</f>
        <v>88.922641083760226</v>
      </c>
      <c r="Q32" s="77">
        <f>IF($X5&gt;0,(Q5/$X5)*County_Flow!$BS8,0)</f>
        <v>235.7093944867423</v>
      </c>
      <c r="R32" s="77">
        <f>IF($X5&gt;0,(R5/$X5)*County_Flow!$BS8,0)</f>
        <v>88.30694600317787</v>
      </c>
      <c r="S32" s="77">
        <f>IF($X5&gt;0,(S5/$X5)*County_Flow!$BS8,0)</f>
        <v>125.5283109000729</v>
      </c>
      <c r="T32" s="77">
        <f>IF($X5&gt;0,(T5/$X5)*County_Flow!$BS8,0)</f>
        <v>161.44769080622999</v>
      </c>
      <c r="U32" s="77">
        <f>IF($X5&gt;0,(U5/$X5)*County_Flow!$BS8,0)</f>
        <v>138.34236298796159</v>
      </c>
      <c r="V32" s="77">
        <f>IF($X5&gt;0,(V5/$X5)*County_Flow!$BS8,0)</f>
        <v>26.894835820948618</v>
      </c>
      <c r="W32" s="77">
        <f>IF($X5&gt;0,(W5/$X5)*County_Flow!$BS8,0)</f>
        <v>0</v>
      </c>
      <c r="X32" s="77">
        <f>IF($X5&gt;0,(X5/$X5)*County_Flow!$BS8,0)</f>
        <v>14477</v>
      </c>
    </row>
    <row r="33" spans="2:24" x14ac:dyDescent="0.25">
      <c r="B33" s="95">
        <v>3</v>
      </c>
      <c r="C33" s="77">
        <f>IF($X6&gt;0,(C6/$X6)*County_Flow!$BS9,0)</f>
        <v>2363.9440831753909</v>
      </c>
      <c r="D33" s="77">
        <f>IF($X6&gt;0,(D6/$X6)*County_Flow!$BS9,0)</f>
        <v>1500.0363594878122</v>
      </c>
      <c r="E33" s="77">
        <f>IF($X6&gt;0,(E6/$X6)*County_Flow!$BS9,0)</f>
        <v>9893.5730340427308</v>
      </c>
      <c r="F33" s="77">
        <f>IF($X6&gt;0,(F6/$X6)*County_Flow!$BS9,0)</f>
        <v>1636.0431198873582</v>
      </c>
      <c r="G33" s="77">
        <f>IF($X6&gt;0,(G6/$X6)*County_Flow!$BS9,0)</f>
        <v>774.99452862769044</v>
      </c>
      <c r="H33" s="77">
        <f>IF($X6&gt;0,(H6/$X6)*County_Flow!$BS9,0)</f>
        <v>1688.3331989103551</v>
      </c>
      <c r="I33" s="77">
        <f>IF($X6&gt;0,(I6/$X6)*County_Flow!$BS9,0)</f>
        <v>1150.5370439223655</v>
      </c>
      <c r="J33" s="77">
        <f>IF($X6&gt;0,(J6/$X6)*County_Flow!$BS9,0)</f>
        <v>409.60052778560038</v>
      </c>
      <c r="K33" s="77">
        <f>IF($X6&gt;0,(K6/$X6)*County_Flow!$BS9,0)</f>
        <v>1509.7081825873847</v>
      </c>
      <c r="L33" s="77">
        <f>IF($X6&gt;0,(L6/$X6)*County_Flow!$BS9,0)</f>
        <v>291.17380937580003</v>
      </c>
      <c r="M33" s="77">
        <f>IF($X6&gt;0,(M6/$X6)*County_Flow!$BS9,0)</f>
        <v>2810.0173251975643</v>
      </c>
      <c r="N33" s="77">
        <f>IF($X6&gt;0,(N6/$X6)*County_Flow!$BS9,0)</f>
        <v>1379.9865881531359</v>
      </c>
      <c r="O33" s="77">
        <f>IF($X6&gt;0,(O6/$X6)*County_Flow!$BS9,0)</f>
        <v>200.03049300224995</v>
      </c>
      <c r="P33" s="77">
        <f>IF($X6&gt;0,(P6/$X6)*County_Flow!$BS9,0)</f>
        <v>169.27925612762101</v>
      </c>
      <c r="Q33" s="77">
        <f>IF($X6&gt;0,(Q6/$X6)*County_Flow!$BS9,0)</f>
        <v>192.5417261464863</v>
      </c>
      <c r="R33" s="77">
        <f>IF($X6&gt;0,(R6/$X6)*County_Flow!$BS9,0)</f>
        <v>84.546363852205829</v>
      </c>
      <c r="S33" s="77">
        <f>IF($X6&gt;0,(S6/$X6)*County_Flow!$BS9,0)</f>
        <v>161.06643013841037</v>
      </c>
      <c r="T33" s="77">
        <f>IF($X6&gt;0,(T6/$X6)*County_Flow!$BS9,0)</f>
        <v>47.35629772396144</v>
      </c>
      <c r="U33" s="77">
        <f>IF($X6&gt;0,(U6/$X6)*County_Flow!$BS9,0)</f>
        <v>198.60179652079458</v>
      </c>
      <c r="V33" s="77">
        <f>IF($X6&gt;0,(V6/$X6)*County_Flow!$BS9,0)</f>
        <v>18.629835335080529</v>
      </c>
      <c r="W33" s="77">
        <f>IF($X6&gt;0,(W6/$X6)*County_Flow!$BS9,0)</f>
        <v>0</v>
      </c>
      <c r="X33" s="77">
        <f>IF($X6&gt;0,(X6/$X6)*County_Flow!$BS9,0)</f>
        <v>26480</v>
      </c>
    </row>
    <row r="34" spans="2:24" x14ac:dyDescent="0.25">
      <c r="B34" s="95">
        <v>4</v>
      </c>
      <c r="C34" s="77">
        <f>IF($X7&gt;0,(C7/$X7)*County_Flow!$BS10,0)</f>
        <v>672.29461515589503</v>
      </c>
      <c r="D34" s="77">
        <f>IF($X7&gt;0,(D7/$X7)*County_Flow!$BS10,0)</f>
        <v>286.44629801957802</v>
      </c>
      <c r="E34" s="77">
        <f>IF($X7&gt;0,(E7/$X7)*County_Flow!$BS10,0)</f>
        <v>993.60909983279907</v>
      </c>
      <c r="F34" s="77">
        <f>IF($X7&gt;0,(F7/$X7)*County_Flow!$BS10,0)</f>
        <v>2102.5939629615164</v>
      </c>
      <c r="G34" s="77">
        <f>IF($X7&gt;0,(G7/$X7)*County_Flow!$BS10,0)</f>
        <v>682.6796718664815</v>
      </c>
      <c r="H34" s="77">
        <f>IF($X7&gt;0,(H7/$X7)*County_Flow!$BS10,0)</f>
        <v>752.06485179878052</v>
      </c>
      <c r="I34" s="77">
        <f>IF($X7&gt;0,(I7/$X7)*County_Flow!$BS10,0)</f>
        <v>497.02171169745429</v>
      </c>
      <c r="J34" s="77">
        <f>IF($X7&gt;0,(J7/$X7)*County_Flow!$BS10,0)</f>
        <v>236.48393486879309</v>
      </c>
      <c r="K34" s="77">
        <f>IF($X7&gt;0,(K7/$X7)*County_Flow!$BS10,0)</f>
        <v>445.75262090231075</v>
      </c>
      <c r="L34" s="77">
        <f>IF($X7&gt;0,(L7/$X7)*County_Flow!$BS10,0)</f>
        <v>343.1519553625285</v>
      </c>
      <c r="M34" s="77">
        <f>IF($X7&gt;0,(M7/$X7)*County_Flow!$BS10,0)</f>
        <v>594.38734324847519</v>
      </c>
      <c r="N34" s="77">
        <f>IF($X7&gt;0,(N7/$X7)*County_Flow!$BS10,0)</f>
        <v>780.1368254509697</v>
      </c>
      <c r="O34" s="77">
        <f>IF($X7&gt;0,(O7/$X7)*County_Flow!$BS10,0)</f>
        <v>111.89371543804393</v>
      </c>
      <c r="P34" s="77">
        <f>IF($X7&gt;0,(P7/$X7)*County_Flow!$BS10,0)</f>
        <v>93.025235217300875</v>
      </c>
      <c r="Q34" s="77">
        <f>IF($X7&gt;0,(Q7/$X7)*County_Flow!$BS10,0)</f>
        <v>54.926364499109035</v>
      </c>
      <c r="R34" s="77">
        <f>IF($X7&gt;0,(R7/$X7)*County_Flow!$BS10,0)</f>
        <v>82.015144603739827</v>
      </c>
      <c r="S34" s="77">
        <f>IF($X7&gt;0,(S7/$X7)*County_Flow!$BS10,0)</f>
        <v>44.471889109547938</v>
      </c>
      <c r="T34" s="77">
        <f>IF($X7&gt;0,(T7/$X7)*County_Flow!$BS10,0)</f>
        <v>41.80010020531661</v>
      </c>
      <c r="U34" s="77">
        <f>IF($X7&gt;0,(U7/$X7)*County_Flow!$BS10,0)</f>
        <v>104.84864514438054</v>
      </c>
      <c r="V34" s="77">
        <f>IF($X7&gt;0,(V7/$X7)*County_Flow!$BS10,0)</f>
        <v>6.3960146169799783</v>
      </c>
      <c r="W34" s="77">
        <f>IF($X7&gt;0,(W7/$X7)*County_Flow!$BS10,0)</f>
        <v>0</v>
      </c>
      <c r="X34" s="77">
        <f>IF($X7&gt;0,(X7/$X7)*County_Flow!$BS10,0)</f>
        <v>8926</v>
      </c>
    </row>
    <row r="35" spans="2:24" x14ac:dyDescent="0.25">
      <c r="B35" s="95">
        <v>5</v>
      </c>
      <c r="C35" s="77">
        <f>IF($X8&gt;0,(C8/$X8)*County_Flow!$BS11,0)</f>
        <v>644.9121690322188</v>
      </c>
      <c r="D35" s="77">
        <f>IF($X8&gt;0,(D8/$X8)*County_Flow!$BS11,0)</f>
        <v>249.2477958078079</v>
      </c>
      <c r="E35" s="77">
        <f>IF($X8&gt;0,(E8/$X8)*County_Flow!$BS11,0)</f>
        <v>472.48278061664905</v>
      </c>
      <c r="F35" s="77">
        <f>IF($X8&gt;0,(F8/$X8)*County_Flow!$BS11,0)</f>
        <v>689.01710313800743</v>
      </c>
      <c r="G35" s="77">
        <f>IF($X8&gt;0,(G8/$X8)*County_Flow!$BS11,0)</f>
        <v>1752.9815021616955</v>
      </c>
      <c r="H35" s="77">
        <f>IF($X8&gt;0,(H8/$X8)*County_Flow!$BS11,0)</f>
        <v>1382.4222851744885</v>
      </c>
      <c r="I35" s="77">
        <f>IF($X8&gt;0,(I8/$X8)*County_Flow!$BS11,0)</f>
        <v>534.81292200648045</v>
      </c>
      <c r="J35" s="77">
        <f>IF($X8&gt;0,(J8/$X8)*County_Flow!$BS11,0)</f>
        <v>113.90292430788045</v>
      </c>
      <c r="K35" s="77">
        <f>IF($X8&gt;0,(K8/$X8)*County_Flow!$BS11,0)</f>
        <v>305.34128849231297</v>
      </c>
      <c r="L35" s="77">
        <f>IF($X8&gt;0,(L8/$X8)*County_Flow!$BS11,0)</f>
        <v>967.5864262066907</v>
      </c>
      <c r="M35" s="77">
        <f>IF($X8&gt;0,(M8/$X8)*County_Flow!$BS11,0)</f>
        <v>290.34816314828623</v>
      </c>
      <c r="N35" s="77">
        <f>IF($X8&gt;0,(N8/$X8)*County_Flow!$BS11,0)</f>
        <v>744.12058275046832</v>
      </c>
      <c r="O35" s="77">
        <f>IF($X8&gt;0,(O8/$X8)*County_Flow!$BS11,0)</f>
        <v>105.36086292817939</v>
      </c>
      <c r="P35" s="77">
        <f>IF($X8&gt;0,(P8/$X8)*County_Flow!$BS11,0)</f>
        <v>28.452493621061137</v>
      </c>
      <c r="Q35" s="77">
        <f>IF($X8&gt;0,(Q8/$X8)*County_Flow!$BS11,0)</f>
        <v>45.310150245108645</v>
      </c>
      <c r="R35" s="77">
        <f>IF($X8&gt;0,(R8/$X8)*County_Flow!$BS11,0)</f>
        <v>129.74183558141704</v>
      </c>
      <c r="S35" s="77">
        <f>IF($X8&gt;0,(S8/$X8)*County_Flow!$BS11,0)</f>
        <v>33.056975103533091</v>
      </c>
      <c r="T35" s="77">
        <f>IF($X8&gt;0,(T8/$X8)*County_Flow!$BS11,0)</f>
        <v>19.364615325934608</v>
      </c>
      <c r="U35" s="77">
        <f>IF($X8&gt;0,(U8/$X8)*County_Flow!$BS11,0)</f>
        <v>36.80178837131924</v>
      </c>
      <c r="V35" s="77">
        <f>IF($X8&gt;0,(V8/$X8)*County_Flow!$BS11,0)</f>
        <v>8.7353359804603166</v>
      </c>
      <c r="W35" s="77">
        <f>IF($X8&gt;0,(W8/$X8)*County_Flow!$BS11,0)</f>
        <v>0</v>
      </c>
      <c r="X35" s="77">
        <f>IF($X8&gt;0,(X8/$X8)*County_Flow!$BS11,0)</f>
        <v>8554</v>
      </c>
    </row>
    <row r="36" spans="2:24" x14ac:dyDescent="0.25">
      <c r="B36" s="95">
        <v>6</v>
      </c>
      <c r="C36" s="77">
        <f>IF($X9&gt;0,(C9/$X9)*County_Flow!$BS12,0)</f>
        <v>1420.0566727293369</v>
      </c>
      <c r="D36" s="77">
        <f>IF($X9&gt;0,(D9/$X9)*County_Flow!$BS12,0)</f>
        <v>1036.5266972734544</v>
      </c>
      <c r="E36" s="77">
        <f>IF($X9&gt;0,(E9/$X9)*County_Flow!$BS12,0)</f>
        <v>1007.4013374824</v>
      </c>
      <c r="F36" s="77">
        <f>IF($X9&gt;0,(F9/$X9)*County_Flow!$BS12,0)</f>
        <v>751.57354961699707</v>
      </c>
      <c r="G36" s="77">
        <f>IF($X9&gt;0,(G9/$X9)*County_Flow!$BS12,0)</f>
        <v>1334.576762980761</v>
      </c>
      <c r="H36" s="77">
        <f>IF($X9&gt;0,(H9/$X9)*County_Flow!$BS12,0)</f>
        <v>8595.6620827115348</v>
      </c>
      <c r="I36" s="77">
        <f>IF($X9&gt;0,(I9/$X9)*County_Flow!$BS12,0)</f>
        <v>1704.0914141338444</v>
      </c>
      <c r="J36" s="77">
        <f>IF($X9&gt;0,(J9/$X9)*County_Flow!$BS12,0)</f>
        <v>166.67705564392656</v>
      </c>
      <c r="K36" s="77">
        <f>IF($X9&gt;0,(K9/$X9)*County_Flow!$BS12,0)</f>
        <v>1107.302223332664</v>
      </c>
      <c r="L36" s="77">
        <f>IF($X9&gt;0,(L9/$X9)*County_Flow!$BS12,0)</f>
        <v>1571.7477277211526</v>
      </c>
      <c r="M36" s="77">
        <f>IF($X9&gt;0,(M9/$X9)*County_Flow!$BS12,0)</f>
        <v>863.74537266442758</v>
      </c>
      <c r="N36" s="77">
        <f>IF($X9&gt;0,(N9/$X9)*County_Flow!$BS12,0)</f>
        <v>3925.982224130993</v>
      </c>
      <c r="O36" s="77">
        <f>IF($X9&gt;0,(O9/$X9)*County_Flow!$BS12,0)</f>
        <v>419.28042103272037</v>
      </c>
      <c r="P36" s="77">
        <f>IF($X9&gt;0,(P9/$X9)*County_Flow!$BS12,0)</f>
        <v>185.70554925920743</v>
      </c>
      <c r="Q36" s="77">
        <f>IF($X9&gt;0,(Q9/$X9)*County_Flow!$BS12,0)</f>
        <v>228.52075862880517</v>
      </c>
      <c r="R36" s="77">
        <f>IF($X9&gt;0,(R9/$X9)*County_Flow!$BS12,0)</f>
        <v>439.20118918229082</v>
      </c>
      <c r="S36" s="77">
        <f>IF($X9&gt;0,(S9/$X9)*County_Flow!$BS12,0)</f>
        <v>171.52416462865074</v>
      </c>
      <c r="T36" s="77">
        <f>IF($X9&gt;0,(T9/$X9)*County_Flow!$BS12,0)</f>
        <v>205.20534508723441</v>
      </c>
      <c r="U36" s="77">
        <f>IF($X9&gt;0,(U9/$X9)*County_Flow!$BS12,0)</f>
        <v>214.02959649874649</v>
      </c>
      <c r="V36" s="77">
        <f>IF($X9&gt;0,(V9/$X9)*County_Flow!$BS12,0)</f>
        <v>58.189855260851957</v>
      </c>
      <c r="W36" s="77">
        <f>IF($X9&gt;0,(W9/$X9)*County_Flow!$BS12,0)</f>
        <v>0</v>
      </c>
      <c r="X36" s="77">
        <f>IF($X9&gt;0,(X9/$X9)*County_Flow!$BS12,0)</f>
        <v>25407</v>
      </c>
    </row>
    <row r="37" spans="2:24" x14ac:dyDescent="0.25">
      <c r="B37" s="95">
        <v>7</v>
      </c>
      <c r="C37" s="77">
        <f>IF($X10&gt;0,(C10/$X10)*County_Flow!$BS13,0)</f>
        <v>1790.3402087171853</v>
      </c>
      <c r="D37" s="77">
        <f>IF($X10&gt;0,(D10/$X10)*County_Flow!$BS13,0)</f>
        <v>3057.3462313346631</v>
      </c>
      <c r="E37" s="77">
        <f>IF($X10&gt;0,(E10/$X10)*County_Flow!$BS13,0)</f>
        <v>1193.4193995585326</v>
      </c>
      <c r="F37" s="77">
        <f>IF($X10&gt;0,(F10/$X10)*County_Flow!$BS13,0)</f>
        <v>863.4972981578743</v>
      </c>
      <c r="G37" s="77">
        <f>IF($X10&gt;0,(G10/$X10)*County_Flow!$BS13,0)</f>
        <v>916.73557196210822</v>
      </c>
      <c r="H37" s="77">
        <f>IF($X10&gt;0,(H10/$X10)*County_Flow!$BS13,0)</f>
        <v>2968.2555058451808</v>
      </c>
      <c r="I37" s="77">
        <f>IF($X10&gt;0,(I10/$X10)*County_Flow!$BS13,0)</f>
        <v>38997.678694131413</v>
      </c>
      <c r="J37" s="77">
        <f>IF($X10&gt;0,(J10/$X10)*County_Flow!$BS13,0)</f>
        <v>212.94609039374029</v>
      </c>
      <c r="K37" s="77">
        <f>IF($X10&gt;0,(K10/$X10)*County_Flow!$BS13,0)</f>
        <v>4622.2027457943941</v>
      </c>
      <c r="L37" s="77">
        <f>IF($X10&gt;0,(L10/$X10)*County_Flow!$BS13,0)</f>
        <v>568.79875747482674</v>
      </c>
      <c r="M37" s="77">
        <f>IF($X10&gt;0,(M10/$X10)*County_Flow!$BS13,0)</f>
        <v>1150.993928820237</v>
      </c>
      <c r="N37" s="77">
        <f>IF($X10&gt;0,(N10/$X10)*County_Flow!$BS13,0)</f>
        <v>9480.1517677910524</v>
      </c>
      <c r="O37" s="77">
        <f>IF($X10&gt;0,(O10/$X10)*County_Flow!$BS13,0)</f>
        <v>8202.475365750699</v>
      </c>
      <c r="P37" s="77">
        <f>IF($X10&gt;0,(P10/$X10)*County_Flow!$BS13,0)</f>
        <v>182.70654884332774</v>
      </c>
      <c r="Q37" s="77">
        <f>IF($X10&gt;0,(Q10/$X10)*County_Flow!$BS13,0)</f>
        <v>1576.7382580700978</v>
      </c>
      <c r="R37" s="77">
        <f>IF($X10&gt;0,(R10/$X10)*County_Flow!$BS13,0)</f>
        <v>127.4610103664516</v>
      </c>
      <c r="S37" s="77">
        <f>IF($X10&gt;0,(S10/$X10)*County_Flow!$BS13,0)</f>
        <v>154.47020083590093</v>
      </c>
      <c r="T37" s="77">
        <f>IF($X10&gt;0,(T10/$X10)*County_Flow!$BS13,0)</f>
        <v>915.33155259296029</v>
      </c>
      <c r="U37" s="77">
        <f>IF($X10&gt;0,(U10/$X10)*County_Flow!$BS13,0)</f>
        <v>239.91211145033296</v>
      </c>
      <c r="V37" s="77">
        <f>IF($X10&gt;0,(V10/$X10)*County_Flow!$BS13,0)</f>
        <v>109.53875210901271</v>
      </c>
      <c r="W37" s="77">
        <f>IF($X10&gt;0,(W10/$X10)*County_Flow!$BS13,0)</f>
        <v>0</v>
      </c>
      <c r="X37" s="77">
        <f>IF($X10&gt;0,(X10/$X10)*County_Flow!$BS13,0)</f>
        <v>77331</v>
      </c>
    </row>
    <row r="38" spans="2:24" x14ac:dyDescent="0.25">
      <c r="B38" s="95">
        <v>8</v>
      </c>
      <c r="C38" s="77">
        <f>IF($X11&gt;0,(C11/$X11)*County_Flow!$BS14,0)</f>
        <v>151.70662918801182</v>
      </c>
      <c r="D38" s="77">
        <f>IF($X11&gt;0,(D11/$X11)*County_Flow!$BS14,0)</f>
        <v>200.45247369592201</v>
      </c>
      <c r="E38" s="77">
        <f>IF($X11&gt;0,(E11/$X11)*County_Flow!$BS14,0)</f>
        <v>474.36987935406626</v>
      </c>
      <c r="F38" s="77">
        <f>IF($X11&gt;0,(F11/$X11)*County_Flow!$BS14,0)</f>
        <v>444.92106277475227</v>
      </c>
      <c r="G38" s="77">
        <f>IF($X11&gt;0,(G11/$X11)*County_Flow!$BS14,0)</f>
        <v>216.38145760818796</v>
      </c>
      <c r="H38" s="77">
        <f>IF($X11&gt;0,(H11/$X11)*County_Flow!$BS14,0)</f>
        <v>310.297241605355</v>
      </c>
      <c r="I38" s="77">
        <f>IF($X11&gt;0,(I11/$X11)*County_Flow!$BS14,0)</f>
        <v>233.36647983100661</v>
      </c>
      <c r="J38" s="77">
        <f>IF($X11&gt;0,(J11/$X11)*County_Flow!$BS14,0)</f>
        <v>251.35338678630032</v>
      </c>
      <c r="K38" s="77">
        <f>IF($X11&gt;0,(K11/$X11)*County_Flow!$BS14,0)</f>
        <v>131.76964928829318</v>
      </c>
      <c r="L38" s="77">
        <f>IF($X11&gt;0,(L11/$X11)*County_Flow!$BS14,0)</f>
        <v>205.8982767180031</v>
      </c>
      <c r="M38" s="77">
        <f>IF($X11&gt;0,(M11/$X11)*County_Flow!$BS14,0)</f>
        <v>774.25449766459053</v>
      </c>
      <c r="N38" s="77">
        <f>IF($X11&gt;0,(N11/$X11)*County_Flow!$BS14,0)</f>
        <v>198.13441124441087</v>
      </c>
      <c r="O38" s="77">
        <f>IF($X11&gt;0,(O11/$X11)*County_Flow!$BS14,0)</f>
        <v>38.690226271594241</v>
      </c>
      <c r="P38" s="77">
        <f>IF($X11&gt;0,(P11/$X11)*County_Flow!$BS14,0)</f>
        <v>259.84447757761109</v>
      </c>
      <c r="Q38" s="77">
        <f>IF($X11&gt;0,(Q11/$X11)*County_Flow!$BS14,0)</f>
        <v>64.112182253034618</v>
      </c>
      <c r="R38" s="77">
        <f>IF($X11&gt;0,(R11/$X11)*County_Flow!$BS14,0)</f>
        <v>18.257072798820914</v>
      </c>
      <c r="S38" s="77">
        <f>IF($X11&gt;0,(S11/$X11)*County_Flow!$BS14,0)</f>
        <v>85.60991441799851</v>
      </c>
      <c r="T38" s="77">
        <f>IF($X11&gt;0,(T11/$X11)*County_Flow!$BS14,0)</f>
        <v>22.828568674947554</v>
      </c>
      <c r="U38" s="77">
        <f>IF($X11&gt;0,(U11/$X11)*County_Flow!$BS14,0)</f>
        <v>60.932592160131868</v>
      </c>
      <c r="V38" s="77">
        <f>IF($X11&gt;0,(V11/$X11)*County_Flow!$BS14,0)</f>
        <v>4.8195200869612655</v>
      </c>
      <c r="W38" s="77">
        <f>IF($X11&gt;0,(W11/$X11)*County_Flow!$BS14,0)</f>
        <v>0</v>
      </c>
      <c r="X38" s="77">
        <f>IF($X11&gt;0,(X11/$X11)*County_Flow!$BS14,0)</f>
        <v>4148</v>
      </c>
    </row>
    <row r="39" spans="2:24" x14ac:dyDescent="0.25">
      <c r="B39" s="95">
        <v>9</v>
      </c>
      <c r="C39" s="77">
        <f>IF($X12&gt;0,(C12/$X12)*County_Flow!$BS15,0)</f>
        <v>1635.0285874770975</v>
      </c>
      <c r="D39" s="77">
        <f>IF($X12&gt;0,(D12/$X12)*County_Flow!$BS15,0)</f>
        <v>3730.8193017489921</v>
      </c>
      <c r="E39" s="77">
        <f>IF($X12&gt;0,(E12/$X12)*County_Flow!$BS15,0)</f>
        <v>1928.9073476459473</v>
      </c>
      <c r="F39" s="77">
        <f>IF($X12&gt;0,(F12/$X12)*County_Flow!$BS15,0)</f>
        <v>917.31990114456619</v>
      </c>
      <c r="G39" s="77">
        <f>IF($X12&gt;0,(G12/$X12)*County_Flow!$BS15,0)</f>
        <v>615.99037373604597</v>
      </c>
      <c r="H39" s="77">
        <f>IF($X12&gt;0,(H12/$X12)*County_Flow!$BS15,0)</f>
        <v>2315.9066901464512</v>
      </c>
      <c r="I39" s="77">
        <f>IF($X12&gt;0,(I12/$X12)*County_Flow!$BS15,0)</f>
        <v>5574.5747045592243</v>
      </c>
      <c r="J39" s="77">
        <f>IF($X12&gt;0,(J12/$X12)*County_Flow!$BS15,0)</f>
        <v>142.39907808171932</v>
      </c>
      <c r="K39" s="77">
        <f>IF($X12&gt;0,(K12/$X12)*County_Flow!$BS15,0)</f>
        <v>28670.002901640328</v>
      </c>
      <c r="L39" s="77">
        <f>IF($X12&gt;0,(L12/$X12)*County_Flow!$BS15,0)</f>
        <v>432.14030079545711</v>
      </c>
      <c r="M39" s="77">
        <f>IF($X12&gt;0,(M12/$X12)*County_Flow!$BS15,0)</f>
        <v>2774.4532059272133</v>
      </c>
      <c r="N39" s="77">
        <f>IF($X12&gt;0,(N12/$X12)*County_Flow!$BS15,0)</f>
        <v>3009.072177244263</v>
      </c>
      <c r="O39" s="77">
        <f>IF($X12&gt;0,(O12/$X12)*County_Flow!$BS15,0)</f>
        <v>843.12390339873195</v>
      </c>
      <c r="P39" s="77">
        <f>IF($X12&gt;0,(P12/$X12)*County_Flow!$BS15,0)</f>
        <v>237.66781405312335</v>
      </c>
      <c r="Q39" s="77">
        <f>IF($X12&gt;0,(Q12/$X12)*County_Flow!$BS15,0)</f>
        <v>3406.0344052486903</v>
      </c>
      <c r="R39" s="77">
        <f>IF($X12&gt;0,(R12/$X12)*County_Flow!$BS15,0)</f>
        <v>91.618295288659468</v>
      </c>
      <c r="S39" s="77">
        <f>IF($X12&gt;0,(S12/$X12)*County_Flow!$BS15,0)</f>
        <v>186.67523649250444</v>
      </c>
      <c r="T39" s="77">
        <f>IF($X12&gt;0,(T12/$X12)*County_Flow!$BS15,0)</f>
        <v>161.94389726494987</v>
      </c>
      <c r="U39" s="77">
        <f>IF($X12&gt;0,(U12/$X12)*County_Flow!$BS15,0)</f>
        <v>670.43312532148468</v>
      </c>
      <c r="V39" s="77">
        <f>IF($X12&gt;0,(V12/$X12)*County_Flow!$BS15,0)</f>
        <v>49.888752784549069</v>
      </c>
      <c r="W39" s="77">
        <f>IF($X12&gt;0,(W12/$X12)*County_Flow!$BS15,0)</f>
        <v>0</v>
      </c>
      <c r="X39" s="77">
        <f>IF($X12&gt;0,(X12/$X12)*County_Flow!$BS15,0)</f>
        <v>57394</v>
      </c>
    </row>
    <row r="40" spans="2:24" x14ac:dyDescent="0.25">
      <c r="B40" s="95">
        <v>10</v>
      </c>
      <c r="C40" s="77">
        <f>IF($X13&gt;0,(C13/$X13)*County_Flow!$BS16,0)</f>
        <v>1243.54913765899</v>
      </c>
      <c r="D40" s="77">
        <f>IF($X13&gt;0,(D13/$X13)*County_Flow!$BS16,0)</f>
        <v>814.31485565645619</v>
      </c>
      <c r="E40" s="77">
        <f>IF($X13&gt;0,(E13/$X13)*County_Flow!$BS16,0)</f>
        <v>400.86614888595443</v>
      </c>
      <c r="F40" s="77">
        <f>IF($X13&gt;0,(F13/$X13)*County_Flow!$BS16,0)</f>
        <v>812.84318235071964</v>
      </c>
      <c r="G40" s="77">
        <f>IF($X13&gt;0,(G13/$X13)*County_Flow!$BS16,0)</f>
        <v>2144.2491936756255</v>
      </c>
      <c r="H40" s="77">
        <f>IF($X13&gt;0,(H13/$X13)*County_Flow!$BS16,0)</f>
        <v>3714.2460528123015</v>
      </c>
      <c r="I40" s="77">
        <f>IF($X13&gt;0,(I13/$X13)*County_Flow!$BS16,0)</f>
        <v>755.12929364775368</v>
      </c>
      <c r="J40" s="77">
        <f>IF($X13&gt;0,(J13/$X13)*County_Flow!$BS16,0)</f>
        <v>272.49067198603052</v>
      </c>
      <c r="K40" s="77">
        <f>IF($X13&gt;0,(K13/$X13)*County_Flow!$BS16,0)</f>
        <v>479.69699691397875</v>
      </c>
      <c r="L40" s="77">
        <f>IF($X13&gt;0,(L13/$X13)*County_Flow!$BS16,0)</f>
        <v>7753.4672013281415</v>
      </c>
      <c r="M40" s="77">
        <f>IF($X13&gt;0,(M13/$X13)*County_Flow!$BS16,0)</f>
        <v>325.21849709789279</v>
      </c>
      <c r="N40" s="77">
        <f>IF($X13&gt;0,(N13/$X13)*County_Flow!$BS16,0)</f>
        <v>3493.3032274149496</v>
      </c>
      <c r="O40" s="77">
        <f>IF($X13&gt;0,(O13/$X13)*County_Flow!$BS16,0)</f>
        <v>123.35875421116636</v>
      </c>
      <c r="P40" s="77">
        <f>IF($X13&gt;0,(P13/$X13)*County_Flow!$BS16,0)</f>
        <v>122.03240001246002</v>
      </c>
      <c r="Q40" s="77">
        <f>IF($X13&gt;0,(Q13/$X13)*County_Flow!$BS16,0)</f>
        <v>84.162926193296286</v>
      </c>
      <c r="R40" s="77">
        <f>IF($X13&gt;0,(R13/$X13)*County_Flow!$BS16,0)</f>
        <v>1883.1191668065837</v>
      </c>
      <c r="S40" s="77">
        <f>IF($X13&gt;0,(S13/$X13)*County_Flow!$BS16,0)</f>
        <v>36.053145704093197</v>
      </c>
      <c r="T40" s="77">
        <f>IF($X13&gt;0,(T13/$X13)*County_Flow!$BS16,0)</f>
        <v>90.669080108817383</v>
      </c>
      <c r="U40" s="77">
        <f>IF($X13&gt;0,(U13/$X13)*County_Flow!$BS16,0)</f>
        <v>51.083099382865804</v>
      </c>
      <c r="V40" s="77">
        <f>IF($X13&gt;0,(V13/$X13)*County_Flow!$BS16,0)</f>
        <v>22.146968151919687</v>
      </c>
      <c r="W40" s="77">
        <f>IF($X13&gt;0,(W13/$X13)*County_Flow!$BS16,0)</f>
        <v>0</v>
      </c>
      <c r="X40" s="77">
        <f>IF($X13&gt;0,(X13/$X13)*County_Flow!$BS16,0)</f>
        <v>24622</v>
      </c>
    </row>
    <row r="41" spans="2:24" x14ac:dyDescent="0.25">
      <c r="B41" s="95">
        <v>11</v>
      </c>
      <c r="C41" s="77">
        <f>IF($X14&gt;0,(C14/$X14)*County_Flow!$BS17,0)</f>
        <v>1428.3348600951676</v>
      </c>
      <c r="D41" s="77">
        <f>IF($X14&gt;0,(D14/$X14)*County_Flow!$BS17,0)</f>
        <v>1325.3928875452709</v>
      </c>
      <c r="E41" s="77">
        <f>IF($X14&gt;0,(E14/$X14)*County_Flow!$BS17,0)</f>
        <v>3182.2307252604169</v>
      </c>
      <c r="F41" s="77">
        <f>IF($X14&gt;0,(F14/$X14)*County_Flow!$BS17,0)</f>
        <v>1164.2499636650123</v>
      </c>
      <c r="G41" s="77">
        <f>IF($X14&gt;0,(G14/$X14)*County_Flow!$BS17,0)</f>
        <v>551.04786950724042</v>
      </c>
      <c r="H41" s="77">
        <f>IF($X14&gt;0,(H14/$X14)*County_Flow!$BS17,0)</f>
        <v>1673.8850324830894</v>
      </c>
      <c r="I41" s="77">
        <f>IF($X14&gt;0,(I14/$X14)*County_Flow!$BS17,0)</f>
        <v>1315.4782530154512</v>
      </c>
      <c r="J41" s="77">
        <f>IF($X14&gt;0,(J14/$X14)*County_Flow!$BS17,0)</f>
        <v>795.67295291883943</v>
      </c>
      <c r="K41" s="77">
        <f>IF($X14&gt;0,(K14/$X14)*County_Flow!$BS17,0)</f>
        <v>2648.4534181937279</v>
      </c>
      <c r="L41" s="77">
        <f>IF($X14&gt;0,(L14/$X14)*County_Flow!$BS17,0)</f>
        <v>279.71225395102101</v>
      </c>
      <c r="M41" s="77">
        <f>IF($X14&gt;0,(M14/$X14)*County_Flow!$BS17,0)</f>
        <v>26197.763046234144</v>
      </c>
      <c r="N41" s="77">
        <f>IF($X14&gt;0,(N14/$X14)*County_Flow!$BS17,0)</f>
        <v>1233.9207894126696</v>
      </c>
      <c r="O41" s="77">
        <f>IF($X14&gt;0,(O14/$X14)*County_Flow!$BS17,0)</f>
        <v>177.08174987973388</v>
      </c>
      <c r="P41" s="77">
        <f>IF($X14&gt;0,(P14/$X14)*County_Flow!$BS17,0)</f>
        <v>855.49488382580682</v>
      </c>
      <c r="Q41" s="77">
        <f>IF($X14&gt;0,(Q14/$X14)*County_Flow!$BS17,0)</f>
        <v>460.09934667848626</v>
      </c>
      <c r="R41" s="77">
        <f>IF($X14&gt;0,(R14/$X14)*County_Flow!$BS17,0)</f>
        <v>53.51189779098317</v>
      </c>
      <c r="S41" s="77">
        <f>IF($X14&gt;0,(S14/$X14)*County_Flow!$BS17,0)</f>
        <v>2223.5080957299551</v>
      </c>
      <c r="T41" s="77">
        <f>IF($X14&gt;0,(T14/$X14)*County_Flow!$BS17,0)</f>
        <v>68.452194741541817</v>
      </c>
      <c r="U41" s="77">
        <f>IF($X14&gt;0,(U14/$X14)*County_Flow!$BS17,0)</f>
        <v>4508.5304824647474</v>
      </c>
      <c r="V41" s="77">
        <f>IF($X14&gt;0,(V14/$X14)*County_Flow!$BS17,0)</f>
        <v>41.179296606690812</v>
      </c>
      <c r="W41" s="77">
        <f>IF($X14&gt;0,(W14/$X14)*County_Flow!$BS17,0)</f>
        <v>0</v>
      </c>
      <c r="X41" s="77">
        <f>IF($X14&gt;0,(X14/$X14)*County_Flow!$BS17,0)</f>
        <v>50184</v>
      </c>
    </row>
    <row r="42" spans="2:24" x14ac:dyDescent="0.25">
      <c r="B42" s="95">
        <v>12</v>
      </c>
      <c r="C42" s="77">
        <f>IF($X15&gt;0,(C15/$X15)*County_Flow!$BS18,0)</f>
        <v>2170.1754590212108</v>
      </c>
      <c r="D42" s="77">
        <f>IF($X15&gt;0,(D15/$X15)*County_Flow!$BS18,0)</f>
        <v>2504.3445692404048</v>
      </c>
      <c r="E42" s="77">
        <f>IF($X15&gt;0,(E15/$X15)*County_Flow!$BS18,0)</f>
        <v>1285.669518335126</v>
      </c>
      <c r="F42" s="77">
        <f>IF($X15&gt;0,(F15/$X15)*County_Flow!$BS18,0)</f>
        <v>1225.4003240148199</v>
      </c>
      <c r="G42" s="77">
        <f>IF($X15&gt;0,(G15/$X15)*County_Flow!$BS18,0)</f>
        <v>1099.103379663565</v>
      </c>
      <c r="H42" s="77">
        <f>IF($X15&gt;0,(H15/$X15)*County_Flow!$BS18,0)</f>
        <v>6318.8030502485153</v>
      </c>
      <c r="I42" s="77">
        <f>IF($X15&gt;0,(I15/$X15)*County_Flow!$BS18,0)</f>
        <v>8510.5478995298417</v>
      </c>
      <c r="J42" s="77">
        <f>IF($X15&gt;0,(J15/$X15)*County_Flow!$BS18,0)</f>
        <v>169.36786125346114</v>
      </c>
      <c r="K42" s="77">
        <f>IF($X15&gt;0,(K15/$X15)*County_Flow!$BS18,0)</f>
        <v>2274.0335191985337</v>
      </c>
      <c r="L42" s="77">
        <f>IF($X15&gt;0,(L15/$X15)*County_Flow!$BS18,0)</f>
        <v>2337.0221483213359</v>
      </c>
      <c r="M42" s="77">
        <f>IF($X15&gt;0,(M15/$X15)*County_Flow!$BS18,0)</f>
        <v>990.52118100491555</v>
      </c>
      <c r="N42" s="77">
        <f>IF($X15&gt;0,(N15/$X15)*County_Flow!$BS18,0)</f>
        <v>64379.396505745361</v>
      </c>
      <c r="O42" s="77">
        <f>IF($X15&gt;0,(O15/$X15)*County_Flow!$BS18,0)</f>
        <v>2342.9877837493068</v>
      </c>
      <c r="P42" s="77">
        <f>IF($X15&gt;0,(P15/$X15)*County_Flow!$BS18,0)</f>
        <v>214.48373346439564</v>
      </c>
      <c r="Q42" s="77">
        <f>IF($X15&gt;0,(Q15/$X15)*County_Flow!$BS18,0)</f>
        <v>339.64615868054329</v>
      </c>
      <c r="R42" s="77">
        <f>IF($X15&gt;0,(R15/$X15)*County_Flow!$BS18,0)</f>
        <v>1465.3774825654632</v>
      </c>
      <c r="S42" s="77">
        <f>IF($X15&gt;0,(S15/$X15)*County_Flow!$BS18,0)</f>
        <v>116.93956598868033</v>
      </c>
      <c r="T42" s="77">
        <f>IF($X15&gt;0,(T15/$X15)*County_Flow!$BS18,0)</f>
        <v>4690.9576561755703</v>
      </c>
      <c r="U42" s="77">
        <f>IF($X15&gt;0,(U15/$X15)*County_Flow!$BS18,0)</f>
        <v>357.29863794854379</v>
      </c>
      <c r="V42" s="77">
        <f>IF($X15&gt;0,(V15/$X15)*County_Flow!$BS18,0)</f>
        <v>914.92356585039431</v>
      </c>
      <c r="W42" s="77">
        <f>IF($X15&gt;0,(W15/$X15)*County_Flow!$BS18,0)</f>
        <v>0</v>
      </c>
      <c r="X42" s="77">
        <f>IF($X15&gt;0,(X15/$X15)*County_Flow!$BS18,0)</f>
        <v>103707</v>
      </c>
    </row>
    <row r="43" spans="2:24" x14ac:dyDescent="0.25">
      <c r="B43" s="95">
        <v>13</v>
      </c>
      <c r="C43" s="77">
        <f>IF($X16&gt;0,(C16/$X16)*County_Flow!$BS19,0)</f>
        <v>475.33167506013604</v>
      </c>
      <c r="D43" s="77">
        <f>IF($X16&gt;0,(D16/$X16)*County_Flow!$BS19,0)</f>
        <v>588.50067276503637</v>
      </c>
      <c r="E43" s="77">
        <f>IF($X16&gt;0,(E16/$X16)*County_Flow!$BS19,0)</f>
        <v>197.99812405558615</v>
      </c>
      <c r="F43" s="77">
        <f>IF($X16&gt;0,(F16/$X16)*County_Flow!$BS19,0)</f>
        <v>191.04226917455469</v>
      </c>
      <c r="G43" s="77">
        <f>IF($X16&gt;0,(G16/$X16)*County_Flow!$BS19,0)</f>
        <v>171.14548060877996</v>
      </c>
      <c r="H43" s="77">
        <f>IF($X16&gt;0,(H16/$X16)*County_Flow!$BS19,0)</f>
        <v>704.44419652040335</v>
      </c>
      <c r="I43" s="77">
        <f>IF($X16&gt;0,(I16/$X16)*County_Flow!$BS19,0)</f>
        <v>8018.5506263416755</v>
      </c>
      <c r="J43" s="77">
        <f>IF($X16&gt;0,(J16/$X16)*County_Flow!$BS19,0)</f>
        <v>34.28119968418433</v>
      </c>
      <c r="K43" s="77">
        <f>IF($X16&gt;0,(K16/$X16)*County_Flow!$BS19,0)</f>
        <v>638.38910276154559</v>
      </c>
      <c r="L43" s="77">
        <f>IF($X16&gt;0,(L16/$X16)*County_Flow!$BS19,0)</f>
        <v>88.530795248574933</v>
      </c>
      <c r="M43" s="77">
        <f>IF($X16&gt;0,(M16/$X16)*County_Flow!$BS19,0)</f>
        <v>149.00719146696949</v>
      </c>
      <c r="N43" s="77">
        <f>IF($X16&gt;0,(N16/$X16)*County_Flow!$BS19,0)</f>
        <v>2492.3984195755893</v>
      </c>
      <c r="O43" s="77">
        <f>IF($X16&gt;0,(O16/$X16)*County_Flow!$BS19,0)</f>
        <v>54469.192856994618</v>
      </c>
      <c r="P43" s="77">
        <f>IF($X16&gt;0,(P16/$X16)*County_Flow!$BS19,0)</f>
        <v>4.6755628894547359</v>
      </c>
      <c r="Q43" s="77">
        <f>IF($X16&gt;0,(Q16/$X16)*County_Flow!$BS19,0)</f>
        <v>1470.3345857121774</v>
      </c>
      <c r="R43" s="77">
        <f>IF($X16&gt;0,(R16/$X16)*County_Flow!$BS19,0)</f>
        <v>23.242892637842179</v>
      </c>
      <c r="S43" s="77">
        <f>IF($X16&gt;0,(S16/$X16)*County_Flow!$BS19,0)</f>
        <v>18.786907988235672</v>
      </c>
      <c r="T43" s="77">
        <f>IF($X16&gt;0,(T16/$X16)*County_Flow!$BS19,0)</f>
        <v>1790.485020529838</v>
      </c>
      <c r="U43" s="77">
        <f>IF($X16&gt;0,(U16/$X16)*County_Flow!$BS19,0)</f>
        <v>66.751492712519038</v>
      </c>
      <c r="V43" s="77">
        <f>IF($X16&gt;0,(V16/$X16)*County_Flow!$BS19,0)</f>
        <v>51.91092727227668</v>
      </c>
      <c r="W43" s="77">
        <f>IF($X16&gt;0,(W16/$X16)*County_Flow!$BS19,0)</f>
        <v>0</v>
      </c>
      <c r="X43" s="77">
        <f>IF($X16&gt;0,(X16/$X16)*County_Flow!$BS19,0)</f>
        <v>71645</v>
      </c>
    </row>
    <row r="44" spans="2:24" x14ac:dyDescent="0.25">
      <c r="B44" s="95">
        <v>14</v>
      </c>
      <c r="C44" s="77">
        <f>IF($X17&gt;0,(C17/$X17)*County_Flow!$BS20,0)</f>
        <v>195.04150027033236</v>
      </c>
      <c r="D44" s="77">
        <f>IF($X17&gt;0,(D17/$X17)*County_Flow!$BS20,0)</f>
        <v>180.67306508094487</v>
      </c>
      <c r="E44" s="77">
        <f>IF($X17&gt;0,(E17/$X17)*County_Flow!$BS20,0)</f>
        <v>203.06358696069591</v>
      </c>
      <c r="F44" s="77">
        <f>IF($X17&gt;0,(F17/$X17)*County_Flow!$BS20,0)</f>
        <v>178.74690279274779</v>
      </c>
      <c r="G44" s="77">
        <f>IF($X17&gt;0,(G17/$X17)*County_Flow!$BS20,0)</f>
        <v>59.735121867881489</v>
      </c>
      <c r="H44" s="77">
        <f>IF($X17&gt;0,(H17/$X17)*County_Flow!$BS20,0)</f>
        <v>363.49914017395855</v>
      </c>
      <c r="I44" s="77">
        <f>IF($X17&gt;0,(I17/$X17)*County_Flow!$BS20,0)</f>
        <v>224.32750107401364</v>
      </c>
      <c r="J44" s="77">
        <f>IF($X17&gt;0,(J17/$X17)*County_Flow!$BS20,0)</f>
        <v>286.82041385334185</v>
      </c>
      <c r="K44" s="77">
        <f>IF($X17&gt;0,(K17/$X17)*County_Flow!$BS20,0)</f>
        <v>226.53277191544768</v>
      </c>
      <c r="L44" s="77">
        <f>IF($X17&gt;0,(L17/$X17)*County_Flow!$BS20,0)</f>
        <v>101.15573723461709</v>
      </c>
      <c r="M44" s="77">
        <f>IF($X17&gt;0,(M17/$X17)*County_Flow!$BS20,0)</f>
        <v>912.88799504734834</v>
      </c>
      <c r="N44" s="77">
        <f>IF($X17&gt;0,(N17/$X17)*County_Flow!$BS20,0)</f>
        <v>271.67129322566035</v>
      </c>
      <c r="O44" s="77">
        <f>IF($X17&gt;0,(O17/$X17)*County_Flow!$BS20,0)</f>
        <v>6.1820034272018161</v>
      </c>
      <c r="P44" s="77">
        <f>IF($X17&gt;0,(P17/$X17)*County_Flow!$BS20,0)</f>
        <v>15119.499311379257</v>
      </c>
      <c r="Q44" s="77">
        <f>IF($X17&gt;0,(Q17/$X17)*County_Flow!$BS20,0)</f>
        <v>22.856756663935787</v>
      </c>
      <c r="R44" s="77">
        <f>IF($X17&gt;0,(R17/$X17)*County_Flow!$BS20,0)</f>
        <v>11.901172384165926</v>
      </c>
      <c r="S44" s="77">
        <f>IF($X17&gt;0,(S17/$X17)*County_Flow!$BS20,0)</f>
        <v>856.86785269451275</v>
      </c>
      <c r="T44" s="77">
        <f>IF($X17&gt;0,(T17/$X17)*County_Flow!$BS20,0)</f>
        <v>3.1072003354709121</v>
      </c>
      <c r="U44" s="77">
        <f>IF($X17&gt;0,(U17/$X17)*County_Flow!$BS20,0)</f>
        <v>137.43067361846491</v>
      </c>
      <c r="V44" s="77">
        <f>IF($X17&gt;0,(V17/$X17)*County_Flow!$BS20,0)</f>
        <v>0</v>
      </c>
      <c r="W44" s="77">
        <f>IF($X17&gt;0,(W17/$X17)*County_Flow!$BS20,0)</f>
        <v>0</v>
      </c>
      <c r="X44" s="77">
        <f>IF($X17&gt;0,(X17/$X17)*County_Flow!$BS20,0)</f>
        <v>19362</v>
      </c>
    </row>
    <row r="45" spans="2:24" x14ac:dyDescent="0.25">
      <c r="B45" s="95">
        <v>15</v>
      </c>
      <c r="C45" s="77">
        <f>IF($X18&gt;0,(C18/$X18)*County_Flow!$BS21,0)</f>
        <v>316.84876462993122</v>
      </c>
      <c r="D45" s="77">
        <f>IF($X18&gt;0,(D18/$X18)*County_Flow!$BS21,0)</f>
        <v>439.16986169990128</v>
      </c>
      <c r="E45" s="77">
        <f>IF($X18&gt;0,(E18/$X18)*County_Flow!$BS21,0)</f>
        <v>200.77860630339052</v>
      </c>
      <c r="F45" s="77">
        <f>IF($X18&gt;0,(F18/$X18)*County_Flow!$BS21,0)</f>
        <v>102.29831516081704</v>
      </c>
      <c r="G45" s="77">
        <f>IF($X18&gt;0,(G18/$X18)*County_Flow!$BS21,0)</f>
        <v>79.604011105917635</v>
      </c>
      <c r="H45" s="77">
        <f>IF($X18&gt;0,(H18/$X18)*County_Flow!$BS21,0)</f>
        <v>419.15646643353028</v>
      </c>
      <c r="I45" s="77">
        <f>IF($X18&gt;0,(I18/$X18)*County_Flow!$BS21,0)</f>
        <v>1689.5138029564339</v>
      </c>
      <c r="J45" s="77">
        <f>IF($X18&gt;0,(J18/$X18)*County_Flow!$BS21,0)</f>
        <v>65.153032922461946</v>
      </c>
      <c r="K45" s="77">
        <f>IF($X18&gt;0,(K18/$X18)*County_Flow!$BS21,0)</f>
        <v>3097.6226434843143</v>
      </c>
      <c r="L45" s="77">
        <f>IF($X18&gt;0,(L18/$X18)*County_Flow!$BS21,0)</f>
        <v>66.252718076741274</v>
      </c>
      <c r="M45" s="77">
        <f>IF($X18&gt;0,(M18/$X18)*County_Flow!$BS21,0)</f>
        <v>405.81098942144274</v>
      </c>
      <c r="N45" s="77">
        <f>IF($X18&gt;0,(N18/$X18)*County_Flow!$BS21,0)</f>
        <v>391.48587993752813</v>
      </c>
      <c r="O45" s="77">
        <f>IF($X18&gt;0,(O18/$X18)*County_Flow!$BS21,0)</f>
        <v>1695.4689235827339</v>
      </c>
      <c r="P45" s="77">
        <f>IF($X18&gt;0,(P18/$X18)*County_Flow!$BS21,0)</f>
        <v>20.9012171326162</v>
      </c>
      <c r="Q45" s="77">
        <f>IF($X18&gt;0,(Q18/$X18)*County_Flow!$BS21,0)</f>
        <v>19178.4960654077</v>
      </c>
      <c r="R45" s="77">
        <f>IF($X18&gt;0,(R18/$X18)*County_Flow!$BS21,0)</f>
        <v>12.001211089019046</v>
      </c>
      <c r="S45" s="77">
        <f>IF($X18&gt;0,(S18/$X18)*County_Flow!$BS21,0)</f>
        <v>55.508563511580675</v>
      </c>
      <c r="T45" s="77">
        <f>IF($X18&gt;0,(T18/$X18)*County_Flow!$BS21,0)</f>
        <v>39.815219789166576</v>
      </c>
      <c r="U45" s="77">
        <f>IF($X18&gt;0,(U18/$X18)*County_Flow!$BS21,0)</f>
        <v>426.27632323555025</v>
      </c>
      <c r="V45" s="77">
        <f>IF($X18&gt;0,(V18/$X18)*County_Flow!$BS21,0)</f>
        <v>2.8373841192229197</v>
      </c>
      <c r="W45" s="77">
        <f>IF($X18&gt;0,(W18/$X18)*County_Flow!$BS21,0)</f>
        <v>0</v>
      </c>
      <c r="X45" s="77">
        <f>IF($X18&gt;0,(X18/$X18)*County_Flow!$BS21,0)</f>
        <v>28705</v>
      </c>
    </row>
    <row r="46" spans="2:24" x14ac:dyDescent="0.25">
      <c r="B46" s="95">
        <v>16</v>
      </c>
      <c r="C46" s="77">
        <f>IF($X19&gt;0,(C19/$X19)*County_Flow!$BS22,0)</f>
        <v>670.37591889971156</v>
      </c>
      <c r="D46" s="77">
        <f>IF($X19&gt;0,(D19/$X19)*County_Flow!$BS22,0)</f>
        <v>262.01217423964243</v>
      </c>
      <c r="E46" s="77">
        <f>IF($X19&gt;0,(E19/$X19)*County_Flow!$BS22,0)</f>
        <v>146.30252538804996</v>
      </c>
      <c r="F46" s="77">
        <f>IF($X19&gt;0,(F19/$X19)*County_Flow!$BS22,0)</f>
        <v>243.87255184865688</v>
      </c>
      <c r="G46" s="77">
        <f>IF($X19&gt;0,(G19/$X19)*County_Flow!$BS22,0)</f>
        <v>366.27975740211548</v>
      </c>
      <c r="H46" s="77">
        <f>IF($X19&gt;0,(H19/$X19)*County_Flow!$BS22,0)</f>
        <v>1311.2221284828706</v>
      </c>
      <c r="I46" s="77">
        <f>IF($X19&gt;0,(I19/$X19)*County_Flow!$BS22,0)</f>
        <v>208.02052262772591</v>
      </c>
      <c r="J46" s="77">
        <f>IF($X19&gt;0,(J19/$X19)*County_Flow!$BS22,0)</f>
        <v>29.250241884706579</v>
      </c>
      <c r="K46" s="77">
        <f>IF($X19&gt;0,(K19/$X19)*County_Flow!$BS22,0)</f>
        <v>133.82522666986387</v>
      </c>
      <c r="L46" s="77">
        <f>IF($X19&gt;0,(L19/$X19)*County_Flow!$BS22,0)</f>
        <v>2540.5566267684494</v>
      </c>
      <c r="M46" s="77">
        <f>IF($X19&gt;0,(M19/$X19)*County_Flow!$BS22,0)</f>
        <v>84.418376410803816</v>
      </c>
      <c r="N46" s="77">
        <f>IF($X19&gt;0,(N19/$X19)*County_Flow!$BS22,0)</f>
        <v>2907.5353795683368</v>
      </c>
      <c r="O46" s="77">
        <f>IF($X19&gt;0,(O19/$X19)*County_Flow!$BS22,0)</f>
        <v>42.225725281707405</v>
      </c>
      <c r="P46" s="77">
        <f>IF($X19&gt;0,(P19/$X19)*County_Flow!$BS22,0)</f>
        <v>17.506554159272817</v>
      </c>
      <c r="Q46" s="77">
        <f>IF($X19&gt;0,(Q19/$X19)*County_Flow!$BS22,0)</f>
        <v>19.508200676659801</v>
      </c>
      <c r="R46" s="77">
        <f>IF($X19&gt;0,(R19/$X19)*County_Flow!$BS22,0)</f>
        <v>4032.5837146796939</v>
      </c>
      <c r="S46" s="77">
        <f>IF($X19&gt;0,(S19/$X19)*County_Flow!$BS22,0)</f>
        <v>0.89107815157012615</v>
      </c>
      <c r="T46" s="77">
        <f>IF($X19&gt;0,(T19/$X19)*County_Flow!$BS22,0)</f>
        <v>282.54347563325985</v>
      </c>
      <c r="U46" s="77">
        <f>IF($X19&gt;0,(U19/$X19)*County_Flow!$BS22,0)</f>
        <v>20.261600319364213</v>
      </c>
      <c r="V46" s="77">
        <f>IF($X19&gt;0,(V19/$X19)*County_Flow!$BS22,0)</f>
        <v>71.808220907537674</v>
      </c>
      <c r="W46" s="77">
        <f>IF($X19&gt;0,(W19/$X19)*County_Flow!$BS22,0)</f>
        <v>0</v>
      </c>
      <c r="X46" s="77">
        <f>IF($X19&gt;0,(X19/$X19)*County_Flow!$BS22,0)</f>
        <v>13391</v>
      </c>
    </row>
    <row r="47" spans="2:24" x14ac:dyDescent="0.25">
      <c r="B47" s="95">
        <v>17</v>
      </c>
      <c r="C47" s="77">
        <f>IF($X20&gt;0,(C20/$X20)*County_Flow!$BS23,0)</f>
        <v>224.68311967454284</v>
      </c>
      <c r="D47" s="77">
        <f>IF($X20&gt;0,(D20/$X20)*County_Flow!$BS23,0)</f>
        <v>304.32154231552278</v>
      </c>
      <c r="E47" s="77">
        <f>IF($X20&gt;0,(E20/$X20)*County_Flow!$BS23,0)</f>
        <v>221.48857762288102</v>
      </c>
      <c r="F47" s="77">
        <f>IF($X20&gt;0,(F20/$X20)*County_Flow!$BS23,0)</f>
        <v>104.53626306701305</v>
      </c>
      <c r="G47" s="77">
        <f>IF($X20&gt;0,(G20/$X20)*County_Flow!$BS23,0)</f>
        <v>77.701825135464858</v>
      </c>
      <c r="H47" s="77">
        <f>IF($X20&gt;0,(H20/$X20)*County_Flow!$BS23,0)</f>
        <v>407.3923271532127</v>
      </c>
      <c r="I47" s="77">
        <f>IF($X20&gt;0,(I20/$X20)*County_Flow!$BS23,0)</f>
        <v>207.0906235418617</v>
      </c>
      <c r="J47" s="77">
        <f>IF($X20&gt;0,(J20/$X20)*County_Flow!$BS23,0)</f>
        <v>112.17646351805033</v>
      </c>
      <c r="K47" s="77">
        <f>IF($X20&gt;0,(K20/$X20)*County_Flow!$BS23,0)</f>
        <v>205.41094422632096</v>
      </c>
      <c r="L47" s="77">
        <f>IF($X20&gt;0,(L20/$X20)*County_Flow!$BS23,0)</f>
        <v>37.412915873179365</v>
      </c>
      <c r="M47" s="77">
        <f>IF($X20&gt;0,(M20/$X20)*County_Flow!$BS23,0)</f>
        <v>2832.5051924628369</v>
      </c>
      <c r="N47" s="77">
        <f>IF($X20&gt;0,(N20/$X20)*County_Flow!$BS23,0)</f>
        <v>176.10126480537375</v>
      </c>
      <c r="O47" s="77">
        <f>IF($X20&gt;0,(O20/$X20)*County_Flow!$BS23,0)</f>
        <v>25.254409337734188</v>
      </c>
      <c r="P47" s="77">
        <f>IF($X20&gt;0,(P20/$X20)*County_Flow!$BS23,0)</f>
        <v>1020.7382575181833</v>
      </c>
      <c r="Q47" s="77">
        <f>IF($X20&gt;0,(Q20/$X20)*County_Flow!$BS23,0)</f>
        <v>71.253816852196877</v>
      </c>
      <c r="R47" s="77">
        <f>IF($X20&gt;0,(R20/$X20)*County_Flow!$BS23,0)</f>
        <v>1.129235800994435</v>
      </c>
      <c r="S47" s="77">
        <f>IF($X20&gt;0,(S20/$X20)*County_Flow!$BS23,0)</f>
        <v>8731.2672510556949</v>
      </c>
      <c r="T47" s="77">
        <f>IF($X20&gt;0,(T20/$X20)*County_Flow!$BS23,0)</f>
        <v>1.3973772357052114</v>
      </c>
      <c r="U47" s="77">
        <f>IF($X20&gt;0,(U20/$X20)*County_Flow!$BS23,0)</f>
        <v>2523.3587340091226</v>
      </c>
      <c r="V47" s="77">
        <f>IF($X20&gt;0,(V20/$X20)*County_Flow!$BS23,0)</f>
        <v>1.779858794108284</v>
      </c>
      <c r="W47" s="77">
        <f>IF($X20&gt;0,(W20/$X20)*County_Flow!$BS23,0)</f>
        <v>0</v>
      </c>
      <c r="X47" s="77">
        <f>IF($X20&gt;0,(X20/$X20)*County_Flow!$BS23,0)</f>
        <v>17287</v>
      </c>
    </row>
    <row r="48" spans="2:24" x14ac:dyDescent="0.25">
      <c r="B48" s="95">
        <v>18</v>
      </c>
      <c r="C48" s="77">
        <f>IF($X21&gt;0,(C21/$X21)*County_Flow!$BS24,0)</f>
        <v>398.39907595039995</v>
      </c>
      <c r="D48" s="77">
        <f>IF($X21&gt;0,(D21/$X21)*County_Flow!$BS24,0)</f>
        <v>445.32521126575801</v>
      </c>
      <c r="E48" s="77">
        <f>IF($X21&gt;0,(E21/$X21)*County_Flow!$BS24,0)</f>
        <v>74.569525015244977</v>
      </c>
      <c r="F48" s="77">
        <f>IF($X21&gt;0,(F21/$X21)*County_Flow!$BS24,0)</f>
        <v>126.29889437716893</v>
      </c>
      <c r="G48" s="77">
        <f>IF($X21&gt;0,(G21/$X21)*County_Flow!$BS24,0)</f>
        <v>51.915346388526508</v>
      </c>
      <c r="H48" s="77">
        <f>IF($X21&gt;0,(H21/$X21)*County_Flow!$BS24,0)</f>
        <v>548.54341437123969</v>
      </c>
      <c r="I48" s="77">
        <f>IF($X21&gt;0,(I21/$X21)*County_Flow!$BS24,0)</f>
        <v>1458.0290553514724</v>
      </c>
      <c r="J48" s="77">
        <f>IF($X21&gt;0,(J21/$X21)*County_Flow!$BS24,0)</f>
        <v>41.796998717300276</v>
      </c>
      <c r="K48" s="77">
        <f>IF($X21&gt;0,(K21/$X21)*County_Flow!$BS24,0)</f>
        <v>219.39787917570897</v>
      </c>
      <c r="L48" s="77">
        <f>IF($X21&gt;0,(L21/$X21)*County_Flow!$BS24,0)</f>
        <v>92.279757354127071</v>
      </c>
      <c r="M48" s="77">
        <f>IF($X21&gt;0,(M21/$X21)*County_Flow!$BS24,0)</f>
        <v>97.221345319045341</v>
      </c>
      <c r="N48" s="77">
        <f>IF($X21&gt;0,(N21/$X21)*County_Flow!$BS24,0)</f>
        <v>8355.6833976423131</v>
      </c>
      <c r="O48" s="77">
        <f>IF($X21&gt;0,(O21/$X21)*County_Flow!$BS24,0)</f>
        <v>2987.7719973438107</v>
      </c>
      <c r="P48" s="77">
        <f>IF($X21&gt;0,(P21/$X21)*County_Flow!$BS24,0)</f>
        <v>4.1799971239315319</v>
      </c>
      <c r="Q48" s="77">
        <f>IF($X21&gt;0,(Q21/$X21)*County_Flow!$BS24,0)</f>
        <v>54.318184512065379</v>
      </c>
      <c r="R48" s="77">
        <f>IF($X21&gt;0,(R21/$X21)*County_Flow!$BS24,0)</f>
        <v>254.25486153307673</v>
      </c>
      <c r="S48" s="77">
        <f>IF($X21&gt;0,(S21/$X21)*County_Flow!$BS24,0)</f>
        <v>2.4153168400829168</v>
      </c>
      <c r="T48" s="77">
        <f>IF($X21&gt;0,(T21/$X21)*County_Flow!$BS24,0)</f>
        <v>13783.55396270985</v>
      </c>
      <c r="U48" s="77">
        <f>IF($X21&gt;0,(U21/$X21)*County_Flow!$BS24,0)</f>
        <v>14.769437036690121</v>
      </c>
      <c r="V48" s="77">
        <f>IF($X21&gt;0,(V21/$X21)*County_Flow!$BS24,0)</f>
        <v>3734.2763419721864</v>
      </c>
      <c r="W48" s="77">
        <f>IF($X21&gt;0,(W21/$X21)*County_Flow!$BS24,0)</f>
        <v>0</v>
      </c>
      <c r="X48" s="77">
        <f>IF($X21&gt;0,(X21/$X21)*County_Flow!$BS24,0)</f>
        <v>32745</v>
      </c>
    </row>
    <row r="49" spans="2:24" x14ac:dyDescent="0.25">
      <c r="B49" s="95">
        <v>19</v>
      </c>
      <c r="C49" s="77">
        <f>IF($X22&gt;0,(C22/$X22)*County_Flow!$BS25,0)</f>
        <v>340.20020130768131</v>
      </c>
      <c r="D49" s="77">
        <f>IF($X22&gt;0,(D22/$X22)*County_Flow!$BS25,0)</f>
        <v>303.31827105762324</v>
      </c>
      <c r="E49" s="77">
        <f>IF($X22&gt;0,(E22/$X22)*County_Flow!$BS25,0)</f>
        <v>242.19468585510162</v>
      </c>
      <c r="F49" s="77">
        <f>IF($X22&gt;0,(F22/$X22)*County_Flow!$BS25,0)</f>
        <v>216.27242589989092</v>
      </c>
      <c r="G49" s="77">
        <f>IF($X22&gt;0,(G22/$X22)*County_Flow!$BS25,0)</f>
        <v>77.185734874877753</v>
      </c>
      <c r="H49" s="77">
        <f>IF($X22&gt;0,(H22/$X22)*County_Flow!$BS25,0)</f>
        <v>452.1100810071631</v>
      </c>
      <c r="I49" s="77">
        <f>IF($X22&gt;0,(I22/$X22)*County_Flow!$BS25,0)</f>
        <v>284.68698181206378</v>
      </c>
      <c r="J49" s="77">
        <f>IF($X22&gt;0,(J22/$X22)*County_Flow!$BS25,0)</f>
        <v>61.516278416904683</v>
      </c>
      <c r="K49" s="77">
        <f>IF($X22&gt;0,(K22/$X22)*County_Flow!$BS25,0)</f>
        <v>681.02319555066106</v>
      </c>
      <c r="L49" s="77">
        <f>IF($X22&gt;0,(L22/$X22)*County_Flow!$BS25,0)</f>
        <v>50.220290686479352</v>
      </c>
      <c r="M49" s="77">
        <f>IF($X22&gt;0,(M22/$X22)*County_Flow!$BS25,0)</f>
        <v>5059.9545452946859</v>
      </c>
      <c r="N49" s="77">
        <f>IF($X22&gt;0,(N22/$X22)*County_Flow!$BS25,0)</f>
        <v>470.10432837216126</v>
      </c>
      <c r="O49" s="77">
        <f>IF($X22&gt;0,(O22/$X22)*County_Flow!$BS25,0)</f>
        <v>74.080527005679158</v>
      </c>
      <c r="P49" s="77">
        <f>IF($X22&gt;0,(P22/$X22)*County_Flow!$BS25,0)</f>
        <v>144.01364538423474</v>
      </c>
      <c r="Q49" s="77">
        <f>IF($X22&gt;0,(Q22/$X22)*County_Flow!$BS25,0)</f>
        <v>487.48229256325828</v>
      </c>
      <c r="R49" s="77">
        <f>IF($X22&gt;0,(R22/$X22)*County_Flow!$BS25,0)</f>
        <v>14.031650885985451</v>
      </c>
      <c r="S49" s="77">
        <f>IF($X22&gt;0,(S22/$X22)*County_Flow!$BS25,0)</f>
        <v>2150.6110586763111</v>
      </c>
      <c r="T49" s="77">
        <f>IF($X22&gt;0,(T22/$X22)*County_Flow!$BS25,0)</f>
        <v>12.164098153745682</v>
      </c>
      <c r="U49" s="77">
        <f>IF($X22&gt;0,(U22/$X22)*County_Flow!$BS25,0)</f>
        <v>22468.829707195491</v>
      </c>
      <c r="V49" s="77">
        <f>IF($X22&gt;0,(V22/$X22)*County_Flow!$BS25,0)</f>
        <v>0</v>
      </c>
      <c r="W49" s="77">
        <f>IF($X22&gt;0,(W22/$X22)*County_Flow!$BS25,0)</f>
        <v>0</v>
      </c>
      <c r="X49" s="77">
        <f>IF($X22&gt;0,(X22/$X22)*County_Flow!$BS25,0)</f>
        <v>33590</v>
      </c>
    </row>
    <row r="50" spans="2:24" x14ac:dyDescent="0.25">
      <c r="B50" s="95">
        <v>20</v>
      </c>
      <c r="C50" s="58">
        <f>IF($X23&gt;0,(C23/$X23)*County_Flow!$BS26,0)</f>
        <v>56.324776385226983</v>
      </c>
      <c r="D50" s="58">
        <f>IF($X23&gt;0,(D23/$X23)*County_Flow!$BS26,0)</f>
        <v>42.147921899142091</v>
      </c>
      <c r="E50" s="58">
        <f>IF($X23&gt;0,(E23/$X23)*County_Flow!$BS26,0)</f>
        <v>17.451482128628584</v>
      </c>
      <c r="F50" s="58">
        <f>IF($X23&gt;0,(F23/$X23)*County_Flow!$BS26,0)</f>
        <v>10.789744472416032</v>
      </c>
      <c r="G50" s="58">
        <f>IF($X23&gt;0,(G23/$X23)*County_Flow!$BS26,0)</f>
        <v>12.653106304345826</v>
      </c>
      <c r="H50" s="58">
        <f>IF($X23&gt;0,(H23/$X23)*County_Flow!$BS26,0)</f>
        <v>90.159511506118108</v>
      </c>
      <c r="I50" s="58">
        <f>IF($X23&gt;0,(I23/$X23)*County_Flow!$BS26,0)</f>
        <v>96.064657419543252</v>
      </c>
      <c r="J50" s="58">
        <f>IF($X23&gt;0,(J23/$X23)*County_Flow!$BS26,0)</f>
        <v>3.6787602201224767</v>
      </c>
      <c r="K50" s="58">
        <f>IF($X23&gt;0,(K23/$X23)*County_Flow!$BS26,0)</f>
        <v>37.920996543514335</v>
      </c>
      <c r="L50" s="58">
        <f>IF($X23&gt;0,(L23/$X23)*County_Flow!$BS26,0)</f>
        <v>16.046525635034069</v>
      </c>
      <c r="M50" s="58">
        <f>IF($X23&gt;0,(M23/$X23)*County_Flow!$BS26,0)</f>
        <v>33.149700403220791</v>
      </c>
      <c r="N50" s="58">
        <f>IF($X23&gt;0,(N23/$X23)*County_Flow!$BS26,0)</f>
        <v>913.94828730815641</v>
      </c>
      <c r="O50" s="58">
        <f>IF($X23&gt;0,(O23/$X23)*County_Flow!$BS26,0)</f>
        <v>48.723024516863553</v>
      </c>
      <c r="P50" s="58">
        <f>IF($X23&gt;0,(P23/$X23)*County_Flow!$BS26,0)</f>
        <v>0</v>
      </c>
      <c r="Q50" s="58">
        <f>IF($X23&gt;0,(Q23/$X23)*County_Flow!$BS26,0)</f>
        <v>2.4362826567848193</v>
      </c>
      <c r="R50" s="58">
        <f>IF($X23&gt;0,(R23/$X23)*County_Flow!$BS26,0)</f>
        <v>35.02423896117493</v>
      </c>
      <c r="S50" s="58">
        <f>IF($X23&gt;0,(S23/$X23)*County_Flow!$BS26,0)</f>
        <v>1.1729027688829081</v>
      </c>
      <c r="T50" s="58">
        <f>IF($X23&gt;0,(T23/$X23)*County_Flow!$BS26,0)</f>
        <v>2249.589976487694</v>
      </c>
      <c r="U50" s="58">
        <f>IF($X23&gt;0,(U23/$X23)*County_Flow!$BS26,0)</f>
        <v>0</v>
      </c>
      <c r="V50" s="58">
        <f>IF($X23&gt;0,(V23/$X23)*County_Flow!$BS26,0)</f>
        <v>19024.718104383133</v>
      </c>
      <c r="W50" s="58">
        <f>IF($X23&gt;0,(W23/$X23)*County_Flow!$BS26,0)</f>
        <v>0</v>
      </c>
      <c r="X50" s="77">
        <f>IF($X23&gt;0,(X23/$X23)*County_Flow!$BS26,0)</f>
        <v>22692</v>
      </c>
    </row>
    <row r="51" spans="2:24" x14ac:dyDescent="0.25">
      <c r="B51" s="101" t="s">
        <v>15</v>
      </c>
      <c r="C51" s="60">
        <f>IF($X24&gt;0,(C24/$X24)*County_Flow!$BS27,0)</f>
        <v>0</v>
      </c>
      <c r="D51" s="60">
        <f>IF($X24&gt;0,(D24/$X24)*County_Flow!$BS27,0)</f>
        <v>0</v>
      </c>
      <c r="E51" s="60">
        <f>IF($X24&gt;0,(E24/$X24)*County_Flow!$BS27,0)</f>
        <v>0</v>
      </c>
      <c r="F51" s="60">
        <f>IF($X24&gt;0,(F24/$X24)*County_Flow!$BS27,0)</f>
        <v>0</v>
      </c>
      <c r="G51" s="60">
        <f>IF($X24&gt;0,(G24/$X24)*County_Flow!$BS27,0)</f>
        <v>0</v>
      </c>
      <c r="H51" s="60">
        <f>IF($X24&gt;0,(H24/$X24)*County_Flow!$BS27,0)</f>
        <v>0</v>
      </c>
      <c r="I51" s="60">
        <f>IF($X24&gt;0,(I24/$X24)*County_Flow!$BS27,0)</f>
        <v>0</v>
      </c>
      <c r="J51" s="60">
        <f>IF($X24&gt;0,(J24/$X24)*County_Flow!$BS27,0)</f>
        <v>0</v>
      </c>
      <c r="K51" s="60">
        <f>IF($X24&gt;0,(K24/$X24)*County_Flow!$BS27,0)</f>
        <v>0</v>
      </c>
      <c r="L51" s="60">
        <f>IF($X24&gt;0,(L24/$X24)*County_Flow!$BS27,0)</f>
        <v>0</v>
      </c>
      <c r="M51" s="60">
        <f>IF($X24&gt;0,(M24/$X24)*County_Flow!$BS27,0)</f>
        <v>0</v>
      </c>
      <c r="N51" s="60">
        <f>IF($X24&gt;0,(N24/$X24)*County_Flow!$BS27,0)</f>
        <v>0</v>
      </c>
      <c r="O51" s="60">
        <f>IF($X24&gt;0,(O24/$X24)*County_Flow!$BS27,0)</f>
        <v>0</v>
      </c>
      <c r="P51" s="60">
        <f>IF($X24&gt;0,(P24/$X24)*County_Flow!$BS27,0)</f>
        <v>0</v>
      </c>
      <c r="Q51" s="60">
        <f>IF($X24&gt;0,(Q24/$X24)*County_Flow!$BS27,0)</f>
        <v>0</v>
      </c>
      <c r="R51" s="60">
        <f>IF($X24&gt;0,(R24/$X24)*County_Flow!$BS27,0)</f>
        <v>0</v>
      </c>
      <c r="S51" s="60">
        <f>IF($X24&gt;0,(S24/$X24)*County_Flow!$BS27,0)</f>
        <v>0</v>
      </c>
      <c r="T51" s="60">
        <f>IF($X24&gt;0,(T24/$X24)*County_Flow!$BS27,0)</f>
        <v>0</v>
      </c>
      <c r="U51" s="60">
        <f>IF($X24&gt;0,(U24/$X24)*County_Flow!$BS27,0)</f>
        <v>0</v>
      </c>
      <c r="V51" s="60">
        <f>IF($X24&gt;0,(V24/$X24)*County_Flow!$BS27,0)</f>
        <v>0</v>
      </c>
      <c r="W51" s="60">
        <f>IF($X24&gt;0,(W24/$X24)*County_Flow!$BS27,0)</f>
        <v>0</v>
      </c>
      <c r="X51" s="77">
        <f>IF($X24&gt;0,(X24/$X24)*County_Flow!$BS27,0)</f>
        <v>0</v>
      </c>
    </row>
    <row ht="15.75" r="52" spans="2:24" thickBot="1" x14ac:dyDescent="0.3">
      <c r="B52" s="1" t="s">
        <v>3</v>
      </c>
      <c r="C52" s="107">
        <f>IF($X25&gt;0,(C25/$X25)*County_Flow!$BS28,0)</f>
        <v>23799.328065932477</v>
      </c>
      <c r="D52" s="107">
        <f>IF($X25&gt;0,(D25/$X25)*County_Flow!$BS28,0)</f>
        <v>24777.483735102607</v>
      </c>
      <c r="E52" s="107">
        <f>IF($X25&gt;0,(E25/$X25)*County_Flow!$BS28,0)</f>
        <v>26175.948325459889</v>
      </c>
      <c r="F52" s="107">
        <f>IF($X25&gt;0,(F25/$X25)*County_Flow!$BS28,0)</f>
        <v>14729.327275878211</v>
      </c>
      <c r="G52" s="107">
        <f>IF($X25&gt;0,(G25/$X25)*County_Flow!$BS28,0)</f>
        <v>13729.116246261483</v>
      </c>
      <c r="H52" s="107">
        <f>IF($X25&gt;0,(H25/$X25)*County_Flow!$BS28,0)</f>
        <v>42435.630655562003</v>
      </c>
      <c r="I52" s="107">
        <f>IF($X25&gt;0,(I25/$X25)*County_Flow!$BS28,0)</f>
        <v>74377.174653320209</v>
      </c>
      <c r="J52" s="107">
        <f>IF($X25&gt;0,(J25/$X25)*County_Flow!$BS28,0)</f>
        <v>3667.3522980302946</v>
      </c>
      <c r="K52" s="107">
        <f>IF($X25&gt;0,(K25/$X25)*County_Flow!$BS28,0)</f>
        <v>46000.671543468772</v>
      </c>
      <c r="L52" s="107">
        <f>IF($X25&gt;0,(L25/$X25)*County_Flow!$BS28,0)</f>
        <v>17581.699369033679</v>
      </c>
      <c r="M52" s="107">
        <f>IF($X25&gt;0,(M25/$X25)*County_Flow!$BS28,0)</f>
        <v>43270.052536139476</v>
      </c>
      <c r="N52" s="107">
        <f>IF($X25&gt;0,(N25/$X25)*County_Flow!$BS28,0)</f>
        <v>109799.68109275294</v>
      </c>
      <c r="O52" s="107">
        <f>IF($X25&gt;0,(O25/$X25)*County_Flow!$BS28,0)</f>
        <v>71747.126036523696</v>
      </c>
      <c r="P52" s="107">
        <f>IF($X25&gt;0,(P25/$X25)*County_Flow!$BS28,0)</f>
        <v>16258.556900189378</v>
      </c>
      <c r="Q52" s="107">
        <f>IF($X25&gt;0,(Q25/$X25)*County_Flow!$BS28,0)</f>
        <v>26212.628876451614</v>
      </c>
      <c r="R52" s="107">
        <f>IF($X25&gt;0,(R25/$X25)*County_Flow!$BS28,0)</f>
        <v>7324.5394612053642</v>
      </c>
      <c r="S52" s="107">
        <f>IF($X25&gt;0,(S25/$X25)*County_Flow!$BS28,0)</f>
        <v>12090.588956963851</v>
      </c>
      <c r="T52" s="107">
        <f>IF($X25&gt;0,(T25/$X25)*County_Flow!$BS28,0)</f>
        <v>20173.404451836897</v>
      </c>
      <c r="U52" s="107">
        <f>IF($X25&gt;0,(U25/$X25)*County_Flow!$BS28,0)</f>
        <v>27039.921324158528</v>
      </c>
      <c r="V52" s="107">
        <f>IF($X25&gt;0,(V25/$X25)*County_Flow!$BS28,0)</f>
        <v>24285.768195728695</v>
      </c>
      <c r="W52" s="107">
        <f>IF($X25&gt;0,(W25/$X25)*County_Flow!$BS28,0)</f>
        <v>0</v>
      </c>
      <c r="X52" s="107">
        <f>IF($X25&gt;0,(X25/$X25)*County_Flow!$BS28,0)</f>
        <v>645476</v>
      </c>
    </row>
    <row r="53" spans="2:24" x14ac:dyDescent="0.25">
      <c r="B53" s="95"/>
      <c r="C53" s="95"/>
      <c r="D53" s="95"/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</row>
    <row r="54" spans="2:24" x14ac:dyDescent="0.25">
      <c r="B54" s="95"/>
      <c r="C54" s="95"/>
      <c r="D54" s="95"/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</row>
    <row r="55" spans="2:24" x14ac:dyDescent="0.25">
      <c r="B55" s="95"/>
      <c r="C55" s="95"/>
      <c r="D55" s="95"/>
      <c r="E55" s="95"/>
      <c r="F55" s="95"/>
      <c r="G55" s="95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</row>
    <row ht="15.75" r="56" spans="2:24" thickBot="1" x14ac:dyDescent="0.3">
      <c r="B56" s="4" t="s">
        <v>358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7"/>
      <c r="Q56" s="7"/>
      <c r="R56" s="7"/>
      <c r="S56" s="7"/>
      <c r="T56" s="7"/>
      <c r="U56" s="7"/>
      <c r="V56" s="7"/>
      <c r="W56" s="7"/>
      <c r="X56" s="7"/>
    </row>
    <row r="57" spans="2:24" x14ac:dyDescent="0.25">
      <c r="B57" s="2" t="s">
        <v>14</v>
      </c>
      <c r="C57" s="2">
        <v>1</v>
      </c>
      <c r="D57" s="2">
        <v>2</v>
      </c>
      <c r="E57" s="2">
        <v>3</v>
      </c>
      <c r="F57" s="2">
        <v>4</v>
      </c>
      <c r="G57" s="2">
        <v>5</v>
      </c>
      <c r="H57" s="2">
        <v>6</v>
      </c>
      <c r="I57" s="2">
        <v>7</v>
      </c>
      <c r="J57" s="2">
        <v>8</v>
      </c>
      <c r="K57" s="2">
        <v>9</v>
      </c>
      <c r="L57" s="2">
        <v>10</v>
      </c>
      <c r="M57" s="2">
        <v>11</v>
      </c>
      <c r="N57" s="2">
        <v>12</v>
      </c>
      <c r="O57" s="2">
        <v>13</v>
      </c>
      <c r="P57" s="2">
        <v>14</v>
      </c>
      <c r="Q57" s="2">
        <v>15</v>
      </c>
      <c r="R57" s="2">
        <v>16</v>
      </c>
      <c r="S57" s="2">
        <v>17</v>
      </c>
      <c r="T57" s="2">
        <v>18</v>
      </c>
      <c r="U57" s="2">
        <v>19</v>
      </c>
      <c r="V57" s="2">
        <v>20</v>
      </c>
      <c r="W57" s="3" t="s">
        <v>15</v>
      </c>
      <c r="X57" s="3" t="s">
        <v>3</v>
      </c>
    </row>
    <row r="58" spans="2:24" x14ac:dyDescent="0.25">
      <c r="B58" s="31">
        <v>1</v>
      </c>
      <c r="C58" s="103">
        <f>IF($X$52&gt;0,C31/$X$52,0)</f>
        <v>2.0290103933658606E-3</v>
      </c>
      <c r="D58" s="103">
        <f ref="D58:X58" si="2" t="shared">IF($X$52&gt;0,D31/$X$52,0)</f>
        <v>3.0792294350952661E-4</v>
      </c>
      <c r="E58" s="103">
        <f si="2" t="shared"/>
        <v>7.3985749439809778E-4</v>
      </c>
      <c r="F58" s="103">
        <f si="2" t="shared"/>
        <v>3.3972985461592147E-4</v>
      </c>
      <c r="G58" s="103">
        <f si="2" t="shared"/>
        <v>3.172649380746924E-4</v>
      </c>
      <c r="H58" s="103">
        <f si="2" t="shared"/>
        <v>7.5263599916294821E-4</v>
      </c>
      <c r="I58" s="103">
        <f si="2" t="shared"/>
        <v>5.4004772144057361E-4</v>
      </c>
      <c r="J58" s="103">
        <f si="2" t="shared"/>
        <v>3.9606854689381389E-5</v>
      </c>
      <c r="K58" s="103">
        <f si="2" t="shared"/>
        <v>4.0151238390016359E-4</v>
      </c>
      <c r="L58" s="103">
        <f si="2" t="shared"/>
        <v>2.8529543153516001E-4</v>
      </c>
      <c r="M58" s="103">
        <f si="2" t="shared"/>
        <v>3.8341467631555342E-4</v>
      </c>
      <c r="N58" s="103">
        <f si="2" t="shared"/>
        <v>7.0707977448107703E-4</v>
      </c>
      <c r="O58" s="103">
        <f si="2" t="shared"/>
        <v>1.5207374264750563E-4</v>
      </c>
      <c r="P58" s="103">
        <f si="2" t="shared"/>
        <v>5.1510197033921622E-5</v>
      </c>
      <c r="Q58" s="103">
        <f si="2" t="shared"/>
        <v>8.995908643238051E-5</v>
      </c>
      <c r="R58" s="103">
        <f si="2" t="shared"/>
        <v>1.1197455027357677E-4</v>
      </c>
      <c r="S58" s="103">
        <f si="2" t="shared"/>
        <v>4.9037990490862891E-5</v>
      </c>
      <c r="T58" s="103">
        <f si="2" t="shared"/>
        <v>7.8534485861782817E-5</v>
      </c>
      <c r="U58" s="103">
        <f si="2" t="shared"/>
        <v>8.6568253098287054E-5</v>
      </c>
      <c r="V58" s="103">
        <f si="2" t="shared"/>
        <v>1.8263850229532142E-5</v>
      </c>
      <c r="W58" s="103">
        <f si="2" t="shared"/>
        <v>0</v>
      </c>
      <c r="X58" s="103">
        <f si="2" t="shared"/>
        <v>7.4813006215568049E-3</v>
      </c>
    </row>
    <row r="59" spans="2:24" x14ac:dyDescent="0.25">
      <c r="B59" s="95">
        <v>2</v>
      </c>
      <c r="C59" s="104">
        <f ref="C59:X59" si="3" t="shared">IF($X$52&gt;0,C32/$X$52,0)</f>
        <v>8.5914204179682308E-4</v>
      </c>
      <c r="D59" s="104">
        <f si="3" t="shared"/>
        <v>6.5800550237838469E-3</v>
      </c>
      <c r="E59" s="104">
        <f si="3" t="shared"/>
        <v>1.3724379229870952E-3</v>
      </c>
      <c r="F59" s="104">
        <f si="3" t="shared"/>
        <v>4.2705917302499578E-4</v>
      </c>
      <c r="G59" s="104">
        <f si="3" t="shared"/>
        <v>3.7611523524255265E-4</v>
      </c>
      <c r="H59" s="104">
        <f si="3" t="shared"/>
        <v>1.5528685037308292E-3</v>
      </c>
      <c r="I59" s="104">
        <f si="3" t="shared"/>
        <v>2.6043527688017778E-3</v>
      </c>
      <c r="J59" s="104">
        <f si="3" t="shared"/>
        <v>1.6612565394214578E-4</v>
      </c>
      <c r="K59" s="104">
        <f si="3" t="shared"/>
        <v>2.713276733050806E-3</v>
      </c>
      <c r="L59" s="104">
        <f si="3" t="shared"/>
        <v>5.1434688655813089E-4</v>
      </c>
      <c r="M59" s="104">
        <f si="3" t="shared"/>
        <v>1.0299603441427899E-3</v>
      </c>
      <c r="N59" s="104">
        <f si="3" t="shared"/>
        <v>2.3586700715991773E-3</v>
      </c>
      <c r="O59" s="104">
        <f si="3" t="shared"/>
        <v>5.3366699496814251E-4</v>
      </c>
      <c r="P59" s="104">
        <f si="3" t="shared"/>
        <v>1.3776289294065191E-4</v>
      </c>
      <c r="Q59" s="104">
        <f si="3" t="shared"/>
        <v>3.6517143083049147E-4</v>
      </c>
      <c r="R59" s="104">
        <f si="3" t="shared"/>
        <v>1.3680903085967235E-4</v>
      </c>
      <c r="S59" s="104">
        <f si="3" t="shared"/>
        <v>1.9447401746939142E-4</v>
      </c>
      <c r="T59" s="104">
        <f si="3" t="shared"/>
        <v>2.5012191128133345E-4</v>
      </c>
      <c r="U59" s="104">
        <f si="3" t="shared"/>
        <v>2.143261143527592E-4</v>
      </c>
      <c r="V59" s="104">
        <f si="3" t="shared"/>
        <v>4.1666670520590417E-5</v>
      </c>
      <c r="W59" s="104">
        <f si="3" t="shared"/>
        <v>0</v>
      </c>
      <c r="X59" s="104">
        <f si="3" t="shared"/>
        <v>2.2428409421884003E-2</v>
      </c>
    </row>
    <row r="60" spans="2:24" x14ac:dyDescent="0.25">
      <c r="B60" s="95">
        <v>3</v>
      </c>
      <c r="C60" s="104">
        <f ref="C60:X60" si="4" t="shared">IF($X$52&gt;0,C33/$X$52,0)</f>
        <v>3.6623268458864325E-3</v>
      </c>
      <c r="D60" s="104">
        <f si="4" t="shared"/>
        <v>2.3239227476897859E-3</v>
      </c>
      <c r="E60" s="104">
        <f si="4" t="shared"/>
        <v>1.5327561418306383E-2</v>
      </c>
      <c r="F60" s="104">
        <f si="4" t="shared"/>
        <v>2.5346304430952636E-3</v>
      </c>
      <c r="G60" s="104">
        <f si="4" t="shared"/>
        <v>1.2006558394544343E-3</v>
      </c>
      <c r="H60" s="104">
        <f si="4" t="shared"/>
        <v>2.615640548851321E-3</v>
      </c>
      <c r="I60" s="104">
        <f si="4" t="shared"/>
        <v>1.7824629326611144E-3</v>
      </c>
      <c r="J60" s="104">
        <f si="4" t="shared"/>
        <v>6.3457127420012572E-4</v>
      </c>
      <c r="K60" s="104">
        <f si="4" t="shared"/>
        <v>2.3389067642908255E-3</v>
      </c>
      <c r="L60" s="104">
        <f si="4" t="shared"/>
        <v>4.5109935826552814E-4</v>
      </c>
      <c r="M60" s="104">
        <f si="4" t="shared"/>
        <v>4.3534032639440728E-3</v>
      </c>
      <c r="N60" s="104">
        <f si="4" t="shared"/>
        <v>2.1379363262973928E-3</v>
      </c>
      <c r="O60" s="104">
        <f si="4" t="shared"/>
        <v>3.098960968374501E-4</v>
      </c>
      <c r="P60" s="104">
        <f si="4" t="shared"/>
        <v>2.622549190483008E-4</v>
      </c>
      <c r="Q60" s="104">
        <f si="4" t="shared"/>
        <v>2.9829416763208286E-4</v>
      </c>
      <c r="R60" s="104">
        <f si="4" t="shared"/>
        <v>1.309829704779199E-4</v>
      </c>
      <c r="S60" s="104">
        <f si="4" t="shared"/>
        <v>2.4953124537304311E-4</v>
      </c>
      <c r="T60" s="104">
        <f si="4" t="shared"/>
        <v>7.3366473306461341E-5</v>
      </c>
      <c r="U60" s="104">
        <f si="4" t="shared"/>
        <v>3.0768269698764104E-4</v>
      </c>
      <c r="V60" s="104">
        <f si="4" t="shared"/>
        <v>2.886216580489519E-5</v>
      </c>
      <c r="W60" s="104">
        <f si="4" t="shared"/>
        <v>0</v>
      </c>
      <c r="X60" s="104">
        <f si="4" t="shared"/>
        <v>4.1023988498410477E-2</v>
      </c>
    </row>
    <row r="61" spans="2:24" x14ac:dyDescent="0.25">
      <c r="B61" s="95">
        <v>4</v>
      </c>
      <c r="C61" s="104">
        <f ref="C61:X61" si="5" t="shared">IF($X$52&gt;0,C34/$X$52,0)</f>
        <v>1.0415485860913419E-3</v>
      </c>
      <c r="D61" s="104">
        <f si="5" t="shared"/>
        <v>4.4377528834469137E-4</v>
      </c>
      <c r="E61" s="104">
        <f si="5" t="shared"/>
        <v>1.5393432131214778E-3</v>
      </c>
      <c r="F61" s="104">
        <f si="5" t="shared"/>
        <v>3.2574316674229813E-3</v>
      </c>
      <c r="G61" s="104">
        <f si="5" t="shared"/>
        <v>1.0576375757835792E-3</v>
      </c>
      <c r="H61" s="104">
        <f si="5" t="shared"/>
        <v>1.1651321688161613E-3</v>
      </c>
      <c r="I61" s="104">
        <f si="5" t="shared"/>
        <v>7.7000804320757747E-4</v>
      </c>
      <c r="J61" s="104">
        <f si="5" t="shared"/>
        <v>3.6637138308595997E-4</v>
      </c>
      <c r="K61" s="104">
        <f si="5" t="shared"/>
        <v>6.9057969762208161E-4</v>
      </c>
      <c r="L61" s="104">
        <f si="5" t="shared"/>
        <v>5.316262035498276E-4</v>
      </c>
      <c r="M61" s="104">
        <f si="5" t="shared"/>
        <v>9.2085119082425243E-4</v>
      </c>
      <c r="N61" s="104">
        <f si="5" t="shared"/>
        <v>1.2086225133869728E-3</v>
      </c>
      <c r="O61" s="104">
        <f si="5" t="shared"/>
        <v>1.7335069845826015E-4</v>
      </c>
      <c r="P61" s="104">
        <f si="5" t="shared"/>
        <v>1.4411881342962538E-4</v>
      </c>
      <c r="Q61" s="104">
        <f si="5" t="shared"/>
        <v>8.5094355946788166E-5</v>
      </c>
      <c r="R61" s="104">
        <f si="5" t="shared"/>
        <v>1.270614935392483E-4</v>
      </c>
      <c r="S61" s="104">
        <f si="5" t="shared"/>
        <v>6.8897819763318751E-5</v>
      </c>
      <c r="T61" s="104">
        <f si="5" t="shared"/>
        <v>6.4758566089702192E-5</v>
      </c>
      <c r="U61" s="104">
        <f si="5" t="shared"/>
        <v>1.6243616361317933E-4</v>
      </c>
      <c r="V61" s="104">
        <f si="5" t="shared"/>
        <v>9.908989051459665E-6</v>
      </c>
      <c r="W61" s="104">
        <f si="5" t="shared"/>
        <v>0</v>
      </c>
      <c r="X61" s="104">
        <f si="5" t="shared"/>
        <v>1.3828554431148487E-2</v>
      </c>
    </row>
    <row r="62" spans="2:24" x14ac:dyDescent="0.25">
      <c r="B62" s="95">
        <v>5</v>
      </c>
      <c r="C62" s="104">
        <f ref="C62:X62" si="6" t="shared">IF($X$52&gt;0,C35/$X$52,0)</f>
        <v>9.9912648809904439E-4</v>
      </c>
      <c r="D62" s="104">
        <f si="6" t="shared"/>
        <v>3.8614572161909646E-4</v>
      </c>
      <c r="E62" s="104">
        <f si="6" t="shared"/>
        <v>7.3199124462667718E-4</v>
      </c>
      <c r="F62" s="104">
        <f si="6" t="shared"/>
        <v>1.0674558049222705E-3</v>
      </c>
      <c r="G62" s="104">
        <f si="6" t="shared"/>
        <v>2.7157965627873002E-3</v>
      </c>
      <c r="H62" s="104">
        <f si="6" t="shared"/>
        <v>2.1417098159722259E-3</v>
      </c>
      <c r="I62" s="104">
        <f si="6" t="shared"/>
        <v>8.2855585956175047E-4</v>
      </c>
      <c r="J62" s="104">
        <f si="6" t="shared"/>
        <v>1.764634538044489E-4</v>
      </c>
      <c r="K62" s="104">
        <f si="6" t="shared"/>
        <v>4.7304824422954994E-4</v>
      </c>
      <c r="L62" s="104">
        <f si="6" t="shared"/>
        <v>1.4990277348912906E-3</v>
      </c>
      <c r="M62" s="104">
        <f si="6" t="shared"/>
        <v>4.4982023057137094E-4</v>
      </c>
      <c r="N62" s="104">
        <f si="6" t="shared"/>
        <v>1.1528245554450797E-3</v>
      </c>
      <c r="O62" s="104">
        <f si="6" t="shared"/>
        <v>1.632297140841478E-4</v>
      </c>
      <c r="P62" s="104">
        <f si="6" t="shared"/>
        <v>4.407986295549507E-5</v>
      </c>
      <c r="Q62" s="104">
        <f si="6" t="shared"/>
        <v>7.0196491031593184E-5</v>
      </c>
      <c r="R62" s="104">
        <f si="6" t="shared"/>
        <v>2.0100179647487596E-4</v>
      </c>
      <c r="S62" s="104">
        <f si="6" t="shared"/>
        <v>5.1213329548322617E-5</v>
      </c>
      <c r="T62" s="104">
        <f si="6" t="shared"/>
        <v>3.0000519501785673E-5</v>
      </c>
      <c r="U62" s="104">
        <f si="6" t="shared"/>
        <v>5.7014960078018768E-5</v>
      </c>
      <c r="V62" s="104">
        <f si="6" t="shared"/>
        <v>1.3533169289733958E-5</v>
      </c>
      <c r="W62" s="104">
        <f si="6" t="shared"/>
        <v>0</v>
      </c>
      <c r="X62" s="104">
        <f si="6" t="shared"/>
        <v>1.3252235559494079E-2</v>
      </c>
    </row>
    <row r="63" spans="2:24" x14ac:dyDescent="0.25">
      <c r="B63" s="95">
        <v>6</v>
      </c>
      <c r="C63" s="104">
        <f ref="C63:X63" si="7" t="shared">IF($X$52&gt;0,C36/$X$52,0)</f>
        <v>2.2000146755717285E-3</v>
      </c>
      <c r="D63" s="104">
        <f si="7" t="shared"/>
        <v>1.6058330554094256E-3</v>
      </c>
      <c r="E63" s="104">
        <f si="7" t="shared"/>
        <v>1.5607107583897775E-3</v>
      </c>
      <c r="F63" s="104">
        <f si="7" t="shared"/>
        <v>1.1643710217219495E-3</v>
      </c>
      <c r="G63" s="104">
        <f si="7" t="shared"/>
        <v>2.0675854144550083E-3</v>
      </c>
      <c r="H63" s="104">
        <f si="7" t="shared"/>
        <v>1.3316780302771187E-2</v>
      </c>
      <c r="I63" s="104">
        <f si="7" t="shared"/>
        <v>2.6400538736279029E-3</v>
      </c>
      <c r="J63" s="104">
        <f si="7" t="shared"/>
        <v>2.5822347483706065E-4</v>
      </c>
      <c r="K63" s="104">
        <f si="7" t="shared"/>
        <v>1.7154816342244545E-3</v>
      </c>
      <c r="L63" s="104">
        <f si="7" t="shared"/>
        <v>2.4350211746387977E-3</v>
      </c>
      <c r="M63" s="104">
        <f si="7" t="shared"/>
        <v>1.3381525768028982E-3</v>
      </c>
      <c r="N63" s="104">
        <f si="7" t="shared"/>
        <v>6.0823054987807343E-3</v>
      </c>
      <c r="O63" s="104">
        <f si="7" t="shared"/>
        <v>6.4956779343108091E-4</v>
      </c>
      <c r="P63" s="104">
        <f si="7" t="shared"/>
        <v>2.8770325970168902E-4</v>
      </c>
      <c r="Q63" s="104">
        <f si="7" t="shared"/>
        <v>3.5403447785634968E-4</v>
      </c>
      <c r="R63" s="104">
        <f si="7" t="shared"/>
        <v>6.8042992951293437E-4</v>
      </c>
      <c r="S63" s="104">
        <f si="7" t="shared"/>
        <v>2.6573283069959339E-4</v>
      </c>
      <c r="T63" s="104">
        <f si="7" t="shared"/>
        <v>3.1791320682292512E-4</v>
      </c>
      <c r="U63" s="104">
        <f si="7" t="shared"/>
        <v>3.3158412783549892E-4</v>
      </c>
      <c r="V63" s="104">
        <f si="7" t="shared"/>
        <v>9.0150300337815743E-5</v>
      </c>
      <c r="W63" s="104">
        <f si="7" t="shared"/>
        <v>0</v>
      </c>
      <c r="X63" s="104">
        <f si="7" t="shared"/>
        <v>3.936164938742881E-2</v>
      </c>
    </row>
    <row r="64" spans="2:24" x14ac:dyDescent="0.25">
      <c r="B64" s="95">
        <v>7</v>
      </c>
      <c r="C64" s="104">
        <f ref="C64:X64" si="8" t="shared">IF($X$52&gt;0,C37/$X$52,0)</f>
        <v>2.7736743251758167E-3</v>
      </c>
      <c r="D64" s="104">
        <f si="8" t="shared"/>
        <v>4.7365761567194804E-3</v>
      </c>
      <c r="E64" s="104">
        <f si="8" t="shared"/>
        <v>1.8488981767850899E-3</v>
      </c>
      <c r="F64" s="104">
        <f si="8" t="shared"/>
        <v>1.337768248792944E-3</v>
      </c>
      <c r="G64" s="104">
        <f si="8" t="shared"/>
        <v>1.42024733988887E-3</v>
      </c>
      <c r="H64" s="104">
        <f si="8" t="shared"/>
        <v>4.5985528599749347E-3</v>
      </c>
      <c r="I64" s="104">
        <f si="8" t="shared"/>
        <v>6.04169305971584E-2</v>
      </c>
      <c r="J64" s="104">
        <f si="8" t="shared"/>
        <v>3.2990551220144561E-4</v>
      </c>
      <c r="K64" s="104">
        <f si="8" t="shared"/>
        <v>7.160921158640126E-3</v>
      </c>
      <c r="L64" s="104">
        <f si="8" t="shared"/>
        <v>8.8120822071591622E-4</v>
      </c>
      <c r="M64" s="104">
        <f si="8" t="shared"/>
        <v>1.7831707589751392E-3</v>
      </c>
      <c r="N64" s="104">
        <f si="8" t="shared"/>
        <v>1.4687070886897503E-2</v>
      </c>
      <c r="O64" s="104">
        <f si="8" t="shared"/>
        <v>1.2707638031082021E-2</v>
      </c>
      <c r="P64" s="104">
        <f si="8" t="shared"/>
        <v>2.8305707546574582E-4</v>
      </c>
      <c r="Q64" s="104">
        <f si="8" t="shared"/>
        <v>2.4427527252292849E-3</v>
      </c>
      <c r="R64" s="104">
        <f si="8" t="shared"/>
        <v>1.9746824106001092E-4</v>
      </c>
      <c r="S64" s="104">
        <f si="8" t="shared"/>
        <v>2.3931207486552704E-4</v>
      </c>
      <c r="T64" s="104">
        <f si="8" t="shared"/>
        <v>1.4180721709141164E-3</v>
      </c>
      <c r="U64" s="104">
        <f si="8" t="shared"/>
        <v>3.7168246604108124E-4</v>
      </c>
      <c r="V64" s="104">
        <f si="8" t="shared"/>
        <v>1.6970228499434945E-4</v>
      </c>
      <c r="W64" s="104">
        <f si="8" t="shared"/>
        <v>0</v>
      </c>
      <c r="X64" s="104">
        <f si="8" t="shared"/>
        <v>0.11980460931157781</v>
      </c>
    </row>
    <row r="65" spans="2:24" x14ac:dyDescent="0.25">
      <c r="B65" s="95">
        <v>8</v>
      </c>
      <c r="C65" s="104">
        <f ref="C65:X65" si="9" t="shared">IF($X$52&gt;0,C38/$X$52,0)</f>
        <v>2.3503062730142069E-4</v>
      </c>
      <c r="D65" s="104">
        <f si="9" t="shared"/>
        <v>3.1054984801281847E-4</v>
      </c>
      <c r="E65" s="104">
        <f si="9" t="shared"/>
        <v>7.3491482154885112E-4</v>
      </c>
      <c r="F65" s="104">
        <f si="9" t="shared"/>
        <v>6.8929141095060435E-4</v>
      </c>
      <c r="G65" s="104">
        <f si="9" t="shared"/>
        <v>3.352277352034591E-4</v>
      </c>
      <c r="H65" s="104">
        <f si="9" t="shared"/>
        <v>4.8072622623514277E-4</v>
      </c>
      <c r="I65" s="104">
        <f si="9" t="shared"/>
        <v>3.6154168370474907E-4</v>
      </c>
      <c r="J65" s="104">
        <f si="9" t="shared"/>
        <v>3.894077963956837E-4</v>
      </c>
      <c r="K65" s="104">
        <f si="9" t="shared"/>
        <v>2.0414337525840337E-4</v>
      </c>
      <c r="L65" s="104">
        <f si="9" t="shared"/>
        <v>3.1898672718738279E-4</v>
      </c>
      <c r="M65" s="104">
        <f si="9" t="shared"/>
        <v>1.1995093507188347E-3</v>
      </c>
      <c r="N65" s="104">
        <f si="9" t="shared"/>
        <v>3.0695860302228258E-4</v>
      </c>
      <c r="O65" s="104">
        <f si="9" t="shared"/>
        <v>5.9940611690588405E-5</v>
      </c>
      <c r="P65" s="104">
        <f si="9" t="shared"/>
        <v>4.0256257022354213E-4</v>
      </c>
      <c r="Q65" s="104">
        <f si="9" t="shared"/>
        <v>9.9325431546695177E-5</v>
      </c>
      <c r="R65" s="104">
        <f si="9" t="shared"/>
        <v>2.828466557830332E-5</v>
      </c>
      <c r="S65" s="104">
        <f si="9" t="shared"/>
        <v>1.326306701070195E-4</v>
      </c>
      <c r="T65" s="104">
        <f si="9" t="shared"/>
        <v>3.5367029409222889E-5</v>
      </c>
      <c r="U65" s="104">
        <f si="9" t="shared"/>
        <v>9.4399469786842378E-5</v>
      </c>
      <c r="V65" s="104">
        <f si="9" t="shared"/>
        <v>7.4666139205195322E-6</v>
      </c>
      <c r="W65" s="104">
        <f si="9" t="shared"/>
        <v>0</v>
      </c>
      <c r="X65" s="104">
        <f si="9" t="shared"/>
        <v>6.4262652678023658E-3</v>
      </c>
    </row>
    <row r="66" spans="2:24" x14ac:dyDescent="0.25">
      <c r="B66" s="95">
        <v>9</v>
      </c>
      <c r="C66" s="104">
        <f ref="C66:X66" si="10" t="shared">IF($X$52&gt;0,C39/$X$52,0)</f>
        <v>2.5330586845631713E-3</v>
      </c>
      <c r="D66" s="104">
        <f si="10" t="shared"/>
        <v>5.7799504578775847E-3</v>
      </c>
      <c r="E66" s="104">
        <f si="10" t="shared"/>
        <v>2.9883486723688369E-3</v>
      </c>
      <c r="F66" s="104">
        <f si="10" t="shared"/>
        <v>1.4211526085316359E-3</v>
      </c>
      <c r="G66" s="104">
        <f si="10" t="shared"/>
        <v>9.5431956220842599E-4</v>
      </c>
      <c r="H66" s="104">
        <f si="10" t="shared"/>
        <v>3.5879051895755243E-3</v>
      </c>
      <c r="I66" s="104">
        <f si="10" t="shared"/>
        <v>8.636377966894546E-3</v>
      </c>
      <c r="J66" s="104">
        <f si="10" t="shared"/>
        <v>2.2061095700183945E-4</v>
      </c>
      <c r="K66" s="104">
        <f si="10" t="shared"/>
        <v>4.4416837963983678E-2</v>
      </c>
      <c r="L66" s="104">
        <f si="10" t="shared"/>
        <v>6.6949088857751042E-4</v>
      </c>
      <c r="M66" s="104">
        <f si="10" t="shared"/>
        <v>4.2983057556395792E-3</v>
      </c>
      <c r="N66" s="104">
        <f si="10" t="shared"/>
        <v>4.6617878546131274E-3</v>
      </c>
      <c r="O66" s="104">
        <f si="10" t="shared"/>
        <v>1.3062048835258506E-3</v>
      </c>
      <c r="P66" s="104">
        <f si="10" t="shared"/>
        <v>3.6820550113888563E-4</v>
      </c>
      <c r="Q66" s="104">
        <f si="10" t="shared"/>
        <v>5.2767793151855223E-3</v>
      </c>
      <c r="R66" s="104">
        <f si="10" t="shared"/>
        <v>1.4193911979478628E-4</v>
      </c>
      <c r="S66" s="104">
        <f si="10" t="shared"/>
        <v>2.8920554209994551E-4</v>
      </c>
      <c r="T66" s="104">
        <f si="10" t="shared"/>
        <v>2.5089065629852988E-4</v>
      </c>
      <c r="U66" s="104">
        <f si="10" t="shared"/>
        <v>1.0386646836156336E-3</v>
      </c>
      <c r="V66" s="104">
        <f si="10" t="shared"/>
        <v>7.7289864819991863E-5</v>
      </c>
      <c r="W66" s="104">
        <f si="10" t="shared"/>
        <v>0</v>
      </c>
      <c r="X66" s="104">
        <f si="10" t="shared"/>
        <v>8.8917326128314614E-2</v>
      </c>
    </row>
    <row r="67" spans="2:24" x14ac:dyDescent="0.25">
      <c r="B67" s="95">
        <v>10</v>
      </c>
      <c r="C67" s="104">
        <f ref="C67:X67" si="11" t="shared">IF($X$52&gt;0,C40/$X$52,0)</f>
        <v>1.9265613867269892E-3</v>
      </c>
      <c r="D67" s="104">
        <f si="11" t="shared"/>
        <v>1.261572631138038E-3</v>
      </c>
      <c r="E67" s="104">
        <f si="11" t="shared"/>
        <v>6.2103958766236765E-4</v>
      </c>
      <c r="F67" s="104">
        <f si="11" t="shared"/>
        <v>1.2592926496890972E-3</v>
      </c>
      <c r="G67" s="104">
        <f si="11" t="shared"/>
        <v>3.3219657952822811E-3</v>
      </c>
      <c r="H67" s="104">
        <f si="11" t="shared"/>
        <v>5.754274446783926E-3</v>
      </c>
      <c r="I67" s="104">
        <f si="11" t="shared"/>
        <v>1.1698797378179107E-3</v>
      </c>
      <c r="J67" s="104">
        <f si="11" t="shared"/>
        <v>4.221546145573662E-4</v>
      </c>
      <c r="K67" s="104">
        <f si="11" t="shared"/>
        <v>7.4316782795019298E-4</v>
      </c>
      <c r="L67" s="104">
        <f si="11" t="shared"/>
        <v>1.2012014701287332E-2</v>
      </c>
      <c r="M67" s="104">
        <f si="11" t="shared"/>
        <v>5.0384289593709568E-4</v>
      </c>
      <c r="N67" s="104">
        <f si="11" t="shared"/>
        <v>5.4119800386303284E-3</v>
      </c>
      <c r="O67" s="104">
        <f si="11" t="shared"/>
        <v>1.9111284418191592E-4</v>
      </c>
      <c r="P67" s="104">
        <f si="11" t="shared"/>
        <v>1.890579975281188E-4</v>
      </c>
      <c r="Q67" s="104">
        <f si="11" t="shared"/>
        <v>1.3038893187863884E-4</v>
      </c>
      <c r="R67" s="104">
        <f si="11" t="shared"/>
        <v>2.9174115951740788E-3</v>
      </c>
      <c r="S67" s="104">
        <f si="11" t="shared"/>
        <v>5.5855129709072367E-5</v>
      </c>
      <c r="T67" s="104">
        <f si="11" t="shared"/>
        <v>1.4046855360821684E-4</v>
      </c>
      <c r="U67" s="104">
        <f si="11" t="shared"/>
        <v>7.9140199454148257E-5</v>
      </c>
      <c r="V67" s="104">
        <f si="11" t="shared"/>
        <v>3.4311063698603335E-5</v>
      </c>
      <c r="W67" s="104">
        <f si="11" t="shared"/>
        <v>0</v>
      </c>
      <c r="X67" s="104">
        <f si="11" t="shared"/>
        <v>3.8145492628695724E-2</v>
      </c>
    </row>
    <row r="68" spans="2:24" x14ac:dyDescent="0.25">
      <c r="B68" s="95">
        <v>11</v>
      </c>
      <c r="C68" s="104">
        <f ref="C68:X68" si="12" t="shared">IF($X$52&gt;0,C41/$X$52,0)</f>
        <v>2.2128396099857588E-3</v>
      </c>
      <c r="D68" s="104">
        <f si="12" t="shared"/>
        <v>2.0533573479808247E-3</v>
      </c>
      <c r="E68" s="104">
        <f si="12" t="shared"/>
        <v>4.9300527444249157E-3</v>
      </c>
      <c r="F68" s="104">
        <f si="12" t="shared"/>
        <v>1.8037075951158716E-3</v>
      </c>
      <c r="G68" s="104">
        <f si="12" t="shared"/>
        <v>8.5370775909133785E-4</v>
      </c>
      <c r="H68" s="104">
        <f si="12" t="shared"/>
        <v>2.5932568096770281E-3</v>
      </c>
      <c r="I68" s="104">
        <f si="12" t="shared"/>
        <v>2.0379971571606865E-3</v>
      </c>
      <c r="J68" s="104">
        <f si="12" t="shared"/>
        <v>1.2326917699788055E-3</v>
      </c>
      <c r="K68" s="104">
        <f si="12" t="shared"/>
        <v>4.1031013053835124E-3</v>
      </c>
      <c r="L68" s="104">
        <f si="12" t="shared"/>
        <v>4.3334260909936391E-4</v>
      </c>
      <c r="M68" s="104">
        <f si="12" t="shared"/>
        <v>4.0586734512567696E-2</v>
      </c>
      <c r="N68" s="104">
        <f si="12" t="shared"/>
        <v>1.9116447232936152E-3</v>
      </c>
      <c r="O68" s="104">
        <f si="12" t="shared"/>
        <v>2.7434288785289289E-4</v>
      </c>
      <c r="P68" s="104">
        <f si="12" t="shared"/>
        <v>1.3253705541736746E-3</v>
      </c>
      <c r="Q68" s="104">
        <f si="12" t="shared"/>
        <v>7.1280628044805114E-4</v>
      </c>
      <c r="R68" s="104">
        <f si="12" t="shared"/>
        <v>8.2903001491896168E-5</v>
      </c>
      <c r="S68" s="104">
        <f si="12" t="shared"/>
        <v>3.4447571958213089E-3</v>
      </c>
      <c r="T68" s="104">
        <f si="12" t="shared"/>
        <v>1.0604917106374492E-4</v>
      </c>
      <c r="U68" s="104">
        <f si="12" t="shared"/>
        <v>6.9848150550365119E-3</v>
      </c>
      <c r="V68" s="104">
        <f si="12" t="shared"/>
        <v>6.3796789666371501E-5</v>
      </c>
      <c r="W68" s="104">
        <f si="12" t="shared"/>
        <v>0</v>
      </c>
      <c r="X68" s="104">
        <f si="12" t="shared"/>
        <v>7.7747274879313877E-2</v>
      </c>
    </row>
    <row r="69" spans="2:24" x14ac:dyDescent="0.25">
      <c r="B69" s="95">
        <v>12</v>
      </c>
      <c r="C69" s="104">
        <f ref="C69:X69" si="13" t="shared">IF($X$52&gt;0,C42/$X$52,0)</f>
        <v>3.3621319135354543E-3</v>
      </c>
      <c r="D69" s="104">
        <f si="13" t="shared"/>
        <v>3.8798414956410536E-3</v>
      </c>
      <c r="E69" s="104">
        <f si="13" t="shared"/>
        <v>1.9918161455036686E-3</v>
      </c>
      <c r="F69" s="104">
        <f si="13" t="shared"/>
        <v>1.8984444410246391E-3</v>
      </c>
      <c r="G69" s="104">
        <f si="13" t="shared"/>
        <v>1.7027796225786318E-3</v>
      </c>
      <c r="H69" s="104">
        <f si="13" t="shared"/>
        <v>9.7893694734560461E-3</v>
      </c>
      <c r="I69" s="104">
        <f si="13" t="shared"/>
        <v>1.3184917641445757E-2</v>
      </c>
      <c r="J69" s="104">
        <f si="13" t="shared"/>
        <v>2.623921900325669E-4</v>
      </c>
      <c r="K69" s="104">
        <f si="13" t="shared"/>
        <v>3.5230334190559116E-3</v>
      </c>
      <c r="L69" s="104">
        <f si="13" t="shared"/>
        <v>3.6206181923438452E-3</v>
      </c>
      <c r="M69" s="104">
        <f si="13" t="shared"/>
        <v>1.5345592725444718E-3</v>
      </c>
      <c r="N69" s="104">
        <f si="13" t="shared"/>
        <v>9.9739411698878594E-2</v>
      </c>
      <c r="O69" s="104">
        <f si="13" t="shared"/>
        <v>3.6298604188990864E-3</v>
      </c>
      <c r="P69" s="104">
        <f si="13" t="shared"/>
        <v>3.3228769693125019E-4</v>
      </c>
      <c r="Q69" s="104">
        <f si="13" t="shared"/>
        <v>5.2619486809818384E-4</v>
      </c>
      <c r="R69" s="104">
        <f si="13" t="shared"/>
        <v>2.2702276809137183E-3</v>
      </c>
      <c r="S69" s="104">
        <f si="13" t="shared"/>
        <v>1.8116795355471052E-4</v>
      </c>
      <c r="T69" s="104">
        <f si="13" t="shared"/>
        <v>7.2674393101766297E-3</v>
      </c>
      <c r="U69" s="104">
        <f si="13" t="shared"/>
        <v>5.5354287060796026E-4</v>
      </c>
      <c r="V69" s="104">
        <f si="13" t="shared"/>
        <v>1.4174400997874349E-3</v>
      </c>
      <c r="W69" s="104">
        <f si="13" t="shared"/>
        <v>0</v>
      </c>
      <c r="X69" s="104">
        <f si="13" t="shared"/>
        <v>0.16066747640500964</v>
      </c>
    </row>
    <row r="70" spans="2:24" x14ac:dyDescent="0.25">
      <c r="B70" s="95">
        <v>13</v>
      </c>
      <c r="C70" s="104">
        <f ref="C70:X70" si="14" t="shared">IF($X$52&gt;0,C43/$X$52,0)</f>
        <v>7.3640487804370119E-4</v>
      </c>
      <c r="D70" s="104">
        <f si="14" t="shared"/>
        <v>9.1173130025754077E-4</v>
      </c>
      <c r="E70" s="104">
        <f si="14" t="shared"/>
        <v>3.0674746087474381E-4</v>
      </c>
      <c r="F70" s="104">
        <f si="14" t="shared"/>
        <v>2.9597114249724958E-4</v>
      </c>
      <c r="G70" s="104">
        <f si="14" t="shared"/>
        <v>2.6514615664839587E-4</v>
      </c>
      <c r="H70" s="104">
        <f si="14" t="shared"/>
        <v>1.091356141081006E-3</v>
      </c>
      <c r="I70" s="104">
        <f si="14" t="shared"/>
        <v>1.2422693680852078E-2</v>
      </c>
      <c r="J70" s="104">
        <f si="14" t="shared"/>
        <v>5.3109952475668082E-5</v>
      </c>
      <c r="K70" s="104">
        <f si="14" t="shared"/>
        <v>9.8902066500000858E-4</v>
      </c>
      <c r="L70" s="104">
        <f si="14" t="shared"/>
        <v>1.3715582802238183E-4</v>
      </c>
      <c r="M70" s="104">
        <f si="14" t="shared"/>
        <v>2.3084853885654849E-4</v>
      </c>
      <c r="N70" s="104">
        <f si="14" t="shared"/>
        <v>3.8613339916210507E-3</v>
      </c>
      <c r="O70" s="104">
        <f si="14" t="shared"/>
        <v>8.4386085395885546E-2</v>
      </c>
      <c r="P70" s="104">
        <f si="14" t="shared"/>
        <v>7.243589055913366E-6</v>
      </c>
      <c r="Q70" s="104">
        <f si="14" t="shared"/>
        <v>2.2779074446023979E-3</v>
      </c>
      <c r="R70" s="104">
        <f si="14" t="shared"/>
        <v>3.6008918438241202E-5</v>
      </c>
      <c r="S70" s="104">
        <f si="14" t="shared"/>
        <v>2.9105509714126741E-5</v>
      </c>
      <c r="T70" s="104">
        <f si="14" t="shared"/>
        <v>2.7738986740480482E-3</v>
      </c>
      <c r="U70" s="104">
        <f si="14" t="shared"/>
        <v>1.0341436817560845E-4</v>
      </c>
      <c r="V70" s="104">
        <f si="14" t="shared"/>
        <v>8.0422707075517423E-5</v>
      </c>
      <c r="W70" s="104">
        <f si="14" t="shared"/>
        <v>0</v>
      </c>
      <c r="X70" s="104">
        <f si="14" t="shared"/>
        <v>0.11099560634322578</v>
      </c>
    </row>
    <row r="71" spans="2:24" x14ac:dyDescent="0.25">
      <c r="B71" s="95">
        <v>14</v>
      </c>
      <c r="C71" s="104">
        <f ref="C71:X71" si="15" t="shared">IF($X$52&gt;0,C44/$X$52,0)</f>
        <v>3.0216692839134588E-4</v>
      </c>
      <c r="D71" s="104">
        <f si="15" t="shared"/>
        <v>2.7990671238116503E-4</v>
      </c>
      <c r="E71" s="104">
        <f si="15" t="shared"/>
        <v>3.1459510029915275E-4</v>
      </c>
      <c r="F71" s="104">
        <f si="15" t="shared"/>
        <v>2.7692261647644186E-4</v>
      </c>
      <c r="G71" s="104">
        <f si="15" t="shared"/>
        <v>9.2544295787731046E-5</v>
      </c>
      <c r="H71" s="104">
        <f si="15" t="shared"/>
        <v>5.6314896320538413E-4</v>
      </c>
      <c r="I71" s="104">
        <f si="15" t="shared"/>
        <v>3.4753809758072127E-4</v>
      </c>
      <c r="J71" s="104">
        <f si="15" t="shared"/>
        <v>4.4435488515969895E-4</v>
      </c>
      <c r="K71" s="104">
        <f si="15" t="shared"/>
        <v>3.5095460081466652E-4</v>
      </c>
      <c r="L71" s="104">
        <f si="15" t="shared"/>
        <v>1.5671494716243067E-4</v>
      </c>
      <c r="M71" s="104">
        <f si="15" t="shared"/>
        <v>1.4142865033670475E-3</v>
      </c>
      <c r="N71" s="104">
        <f si="15" t="shared"/>
        <v>4.2088519670082286E-4</v>
      </c>
      <c r="O71" s="104">
        <f si="15" t="shared"/>
        <v>9.5774334401307194E-6</v>
      </c>
      <c r="P71" s="104">
        <f si="15" t="shared"/>
        <v>2.3423797804069023E-2</v>
      </c>
      <c r="Q71" s="104">
        <f si="15" t="shared"/>
        <v>3.5410699489889305E-5</v>
      </c>
      <c r="R71" s="104">
        <f si="15" t="shared"/>
        <v>1.8437823225287892E-5</v>
      </c>
      <c r="S71" s="104">
        <f si="15" t="shared"/>
        <v>1.3274976183382694E-3</v>
      </c>
      <c r="T71" s="104">
        <f si="15" t="shared"/>
        <v>4.8138123423193302E-6</v>
      </c>
      <c r="U71" s="104">
        <f si="15" t="shared"/>
        <v>2.1291368481316875E-4</v>
      </c>
      <c r="V71" s="104">
        <f si="15" t="shared"/>
        <v>0</v>
      </c>
      <c r="W71" s="104">
        <f si="15" t="shared"/>
        <v>0</v>
      </c>
      <c r="X71" s="104">
        <f si="15" t="shared"/>
        <v>2.9996467723044699E-2</v>
      </c>
    </row>
    <row r="72" spans="2:24" x14ac:dyDescent="0.25">
      <c r="B72" s="95">
        <v>15</v>
      </c>
      <c r="C72" s="104">
        <f ref="C72:X72" si="16" t="shared">IF($X$52&gt;0,C45/$X$52,0)</f>
        <v>4.9087613579735145E-4</v>
      </c>
      <c r="D72" s="104">
        <f si="16" t="shared"/>
        <v>6.8038139559007814E-4</v>
      </c>
      <c r="E72" s="104">
        <f si="16" t="shared"/>
        <v>3.1105510708901726E-4</v>
      </c>
      <c r="F72" s="104">
        <f si="16" t="shared"/>
        <v>1.5848507947749729E-4</v>
      </c>
      <c r="G72" s="104">
        <f si="16" t="shared"/>
        <v>1.2332605876270788E-4</v>
      </c>
      <c r="H72" s="104">
        <f si="16" t="shared"/>
        <v>6.493757574774744E-4</v>
      </c>
      <c r="I72" s="104">
        <f si="16" t="shared"/>
        <v>2.6174695929150485E-3</v>
      </c>
      <c r="J72" s="104">
        <f si="16" t="shared"/>
        <v>1.0093796349122499E-4</v>
      </c>
      <c r="K72" s="104">
        <f si="16" t="shared"/>
        <v>4.7989741578065093E-3</v>
      </c>
      <c r="L72" s="104">
        <f si="16" t="shared"/>
        <v>1.0264164442479855E-4</v>
      </c>
      <c r="M72" s="104">
        <f si="16" t="shared"/>
        <v>6.287003535707644E-4</v>
      </c>
      <c r="N72" s="104">
        <f si="16" t="shared"/>
        <v>6.0650725966190553E-4</v>
      </c>
      <c r="O72" s="104">
        <f si="16" t="shared"/>
        <v>2.62669552947396E-3</v>
      </c>
      <c r="P72" s="104">
        <f si="16" t="shared"/>
        <v>3.2381091059336368E-5</v>
      </c>
      <c r="Q72" s="104">
        <f si="16" t="shared"/>
        <v>2.9712175302269488E-2</v>
      </c>
      <c r="R72" s="104">
        <f si="16" t="shared"/>
        <v>1.8592807616424231E-5</v>
      </c>
      <c r="S72" s="104">
        <f si="16" t="shared"/>
        <v>8.5996324435890216E-5</v>
      </c>
      <c r="T72" s="104">
        <f si="16" t="shared"/>
        <v>6.1683501461195429E-5</v>
      </c>
      <c r="U72" s="104">
        <f si="16" t="shared"/>
        <v>6.6040615489274619E-4</v>
      </c>
      <c r="V72" s="104">
        <f si="16" t="shared"/>
        <v>4.3958011130125975E-6</v>
      </c>
      <c r="W72" s="104">
        <f si="16" t="shared"/>
        <v>0</v>
      </c>
      <c r="X72" s="104">
        <f si="16" t="shared"/>
        <v>4.4471057018386433E-2</v>
      </c>
    </row>
    <row r="73" spans="2:24" x14ac:dyDescent="0.25">
      <c r="B73" s="95">
        <v>16</v>
      </c>
      <c r="C73" s="104">
        <f ref="C73:X73" si="17" t="shared">IF($X$52&gt;0,C46/$X$52,0)</f>
        <v>1.038576056894E-3</v>
      </c>
      <c r="D73" s="104">
        <f si="17" t="shared"/>
        <v>4.0592086187502316E-4</v>
      </c>
      <c r="E73" s="104">
        <f si="17" t="shared"/>
        <v>2.2665835040814835E-4</v>
      </c>
      <c r="F73" s="104">
        <f si="17" t="shared"/>
        <v>3.778181556690828E-4</v>
      </c>
      <c r="G73" s="104">
        <f si="17" t="shared"/>
        <v>5.674568185371965E-4</v>
      </c>
      <c r="H73" s="104">
        <f si="17" t="shared"/>
        <v>2.0314033805794028E-3</v>
      </c>
      <c r="I73" s="104">
        <f si="17" t="shared"/>
        <v>3.2227460452088989E-4</v>
      </c>
      <c r="J73" s="104">
        <f si="17" t="shared"/>
        <v>4.5315769888743471E-5</v>
      </c>
      <c r="K73" s="104">
        <f si="17" t="shared"/>
        <v>2.0732796675610536E-4</v>
      </c>
      <c r="L73" s="104">
        <f si="17" t="shared"/>
        <v>3.9359428185841913E-3</v>
      </c>
      <c r="M73" s="104">
        <f si="17" t="shared"/>
        <v>1.3078468666658996E-4</v>
      </c>
      <c r="N73" s="104">
        <f si="17" t="shared"/>
        <v>4.5044825517421821E-3</v>
      </c>
      <c r="O73" s="104">
        <f si="17" t="shared"/>
        <v>6.5417963304146711E-5</v>
      </c>
      <c r="P73" s="104">
        <f si="17" t="shared"/>
        <v>2.7121928869970093E-5</v>
      </c>
      <c r="Q73" s="104">
        <f si="17" t="shared"/>
        <v>3.0222968284893319E-5</v>
      </c>
      <c r="R73" s="104">
        <f si="17" t="shared"/>
        <v>6.2474572481078985E-3</v>
      </c>
      <c r="S73" s="104">
        <f si="17" t="shared"/>
        <v>1.3804977281419078E-6</v>
      </c>
      <c r="T73" s="104">
        <f si="17" t="shared"/>
        <v>4.3772886309213641E-4</v>
      </c>
      <c r="U73" s="104">
        <f si="17" t="shared"/>
        <v>3.1390168370883211E-5</v>
      </c>
      <c r="V73" s="104">
        <f si="17" t="shared"/>
        <v>1.1124847540038308E-4</v>
      </c>
      <c r="W73" s="104">
        <f si="17" t="shared"/>
        <v>0</v>
      </c>
      <c r="X73" s="104">
        <f si="17" t="shared"/>
        <v>2.0745930135280012E-2</v>
      </c>
    </row>
    <row r="74" spans="2:24" x14ac:dyDescent="0.25">
      <c r="B74" s="95">
        <v>17</v>
      </c>
      <c r="C74" s="104">
        <f ref="C74:X74" si="18" t="shared">IF($X$52&gt;0,C47/$X$52,0)</f>
        <v>3.4808903766296942E-4</v>
      </c>
      <c r="D74" s="104">
        <f si="18" t="shared"/>
        <v>4.7146840829949182E-4</v>
      </c>
      <c r="E74" s="104">
        <f si="18" t="shared"/>
        <v>3.4313991166655465E-4</v>
      </c>
      <c r="F74" s="104">
        <f si="18" t="shared"/>
        <v>1.6195220746706779E-4</v>
      </c>
      <c r="G74" s="104">
        <f si="18" t="shared"/>
        <v>1.2037910803107297E-4</v>
      </c>
      <c r="H74" s="104">
        <f si="18" t="shared"/>
        <v>6.3115023200430804E-4</v>
      </c>
      <c r="I74" s="104">
        <f si="18" t="shared"/>
        <v>3.2083396368240137E-4</v>
      </c>
      <c r="J74" s="104">
        <f si="18" t="shared"/>
        <v>1.7378874430350676E-4</v>
      </c>
      <c r="K74" s="104">
        <f si="18" t="shared"/>
        <v>3.1823173011284847E-4</v>
      </c>
      <c r="L74" s="104">
        <f si="18" t="shared"/>
        <v>5.7961745863795656E-5</v>
      </c>
      <c r="M74" s="104">
        <f si="18" t="shared"/>
        <v>4.3882424636436318E-3</v>
      </c>
      <c r="N74" s="104">
        <f si="18" t="shared"/>
        <v>2.7282387696114763E-4</v>
      </c>
      <c r="O74" s="104">
        <f si="18" t="shared"/>
        <v>3.9125249176939481E-5</v>
      </c>
      <c r="P74" s="104">
        <f si="18" t="shared"/>
        <v>1.5813729054499058E-3</v>
      </c>
      <c r="Q74" s="104">
        <f si="18" t="shared"/>
        <v>1.1038956808959105E-4</v>
      </c>
      <c r="R74" s="104">
        <f si="18" t="shared"/>
        <v>1.7494621039270786E-6</v>
      </c>
      <c r="S74" s="104">
        <f si="18" t="shared"/>
        <v>1.3526865833982511E-2</v>
      </c>
      <c r="T74" s="104">
        <f si="18" t="shared"/>
        <v>2.1648786875193058E-6</v>
      </c>
      <c r="U74" s="104">
        <f si="18" t="shared"/>
        <v>3.9092990816221246E-3</v>
      </c>
      <c r="V74" s="104">
        <f si="18" t="shared"/>
        <v>2.7574360535609131E-6</v>
      </c>
      <c r="W74" s="104">
        <f si="18" t="shared"/>
        <v>0</v>
      </c>
      <c r="X74" s="104">
        <f si="18" t="shared"/>
        <v>2.6781785844864875E-2</v>
      </c>
    </row>
    <row r="75" spans="2:24" x14ac:dyDescent="0.25">
      <c r="B75" s="95">
        <v>18</v>
      </c>
      <c r="C75" s="104">
        <f ref="C75:X75" si="19" t="shared">IF($X$52&gt;0,C48/$X$52,0)</f>
        <v>6.1721748903197018E-4</v>
      </c>
      <c r="D75" s="104">
        <f si="19" t="shared"/>
        <v>6.8991753568801626E-4</v>
      </c>
      <c r="E75" s="104">
        <f si="19" t="shared"/>
        <v>1.1552640999083618E-4</v>
      </c>
      <c r="F75" s="104">
        <f si="19" t="shared"/>
        <v>1.9566783951249764E-4</v>
      </c>
      <c r="G75" s="104">
        <f si="19" t="shared"/>
        <v>8.0429553366084114E-5</v>
      </c>
      <c r="H75" s="104">
        <f si="19" t="shared"/>
        <v>8.49827746300776E-4</v>
      </c>
      <c r="I75" s="104">
        <f si="19" t="shared"/>
        <v>2.2588431720954342E-3</v>
      </c>
      <c r="J75" s="104">
        <f si="19" t="shared"/>
        <v>6.4753761127137616E-5</v>
      </c>
      <c r="K75" s="104">
        <f si="19" t="shared"/>
        <v>3.3990090905890998E-4</v>
      </c>
      <c r="L75" s="104">
        <f si="19" t="shared"/>
        <v>1.4296388611524994E-4</v>
      </c>
      <c r="M75" s="104">
        <f si="19" t="shared"/>
        <v>1.5061961299730019E-4</v>
      </c>
      <c r="N75" s="104">
        <f si="19" t="shared"/>
        <v>1.2944994697931934E-2</v>
      </c>
      <c r="O75" s="104">
        <f si="19" t="shared"/>
        <v>4.6287886727683298E-3</v>
      </c>
      <c r="P75" s="104">
        <f si="19" t="shared"/>
        <v>6.4758366289862549E-6</v>
      </c>
      <c r="Q75" s="104">
        <f si="19" t="shared"/>
        <v>8.4152136581476899E-5</v>
      </c>
      <c r="R75" s="104">
        <f si="19" t="shared"/>
        <v>3.9390288954674801E-4</v>
      </c>
      <c r="S75" s="104">
        <f si="19" t="shared"/>
        <v>3.7419157956034258E-6</v>
      </c>
      <c r="T75" s="104">
        <f si="19" t="shared"/>
        <v>2.1354092116066051E-2</v>
      </c>
      <c r="U75" s="104">
        <f si="19" t="shared"/>
        <v>2.2881465827838868E-5</v>
      </c>
      <c r="V75" s="104">
        <f si="19" t="shared"/>
        <v>5.7853062576643998E-3</v>
      </c>
      <c r="W75" s="104">
        <f si="19" t="shared"/>
        <v>0</v>
      </c>
      <c r="X75" s="104">
        <f si="19" t="shared"/>
        <v>5.0730003904095579E-2</v>
      </c>
    </row>
    <row r="76" spans="2:24" x14ac:dyDescent="0.25">
      <c r="B76" s="95">
        <v>19</v>
      </c>
      <c r="C76" s="104">
        <f ref="C76:X76" si="20" t="shared">IF($X$52&gt;0,C49/$X$52,0)</f>
        <v>5.2705321546840059E-4</v>
      </c>
      <c r="D76" s="104">
        <f si="20" t="shared"/>
        <v>4.699140960432661E-4</v>
      </c>
      <c r="E76" s="104">
        <f si="20" t="shared"/>
        <v>3.752187313782412E-4</v>
      </c>
      <c r="F76" s="104">
        <f si="20" t="shared"/>
        <v>3.3505881845318945E-4</v>
      </c>
      <c r="G76" s="104">
        <f si="20" t="shared"/>
        <v>1.1957955814759612E-4</v>
      </c>
      <c r="H76" s="104">
        <f si="20" t="shared"/>
        <v>7.0042895631621178E-4</v>
      </c>
      <c r="I76" s="104">
        <f si="20" t="shared"/>
        <v>4.410496777758798E-4</v>
      </c>
      <c r="J76" s="104">
        <f si="20" t="shared"/>
        <v>9.5303742380668975E-5</v>
      </c>
      <c r="K76" s="104">
        <f si="20" t="shared"/>
        <v>1.0550712893285903E-3</v>
      </c>
      <c r="L76" s="104">
        <f si="20" t="shared"/>
        <v>7.7803498017709957E-5</v>
      </c>
      <c r="M76" s="104">
        <f si="20" t="shared"/>
        <v>7.8391056294807027E-3</v>
      </c>
      <c r="N76" s="104">
        <f si="20" t="shared"/>
        <v>7.2830644109488389E-4</v>
      </c>
      <c r="O76" s="104">
        <f si="20" t="shared"/>
        <v>1.1476883262224956E-4</v>
      </c>
      <c r="P76" s="104">
        <f si="20" t="shared"/>
        <v>2.231123161577421E-4</v>
      </c>
      <c r="Q76" s="104">
        <f si="20" t="shared"/>
        <v>7.5522915269236705E-4</v>
      </c>
      <c r="R76" s="104">
        <f si="20" t="shared"/>
        <v>2.173845485499918E-5</v>
      </c>
      <c r="S76" s="104">
        <f si="20" t="shared"/>
        <v>3.3318218782360785E-3</v>
      </c>
      <c r="T76" s="104">
        <f si="20" t="shared"/>
        <v>1.8845159469516578E-5</v>
      </c>
      <c r="U76" s="104">
        <f si="20" t="shared"/>
        <v>3.4809705871628828E-2</v>
      </c>
      <c r="V76" s="104">
        <f si="20" t="shared"/>
        <v>0</v>
      </c>
      <c r="W76" s="104">
        <f si="20" t="shared"/>
        <v>0</v>
      </c>
      <c r="X76" s="104">
        <f si="20" t="shared"/>
        <v>5.2039115319547122E-2</v>
      </c>
    </row>
    <row r="77" spans="2:24" x14ac:dyDescent="0.25">
      <c r="B77" s="95">
        <v>20</v>
      </c>
      <c r="C77" s="104">
        <f ref="C77:X77" si="21" t="shared">IF($X$52&gt;0,C50/$X$52,0)</f>
        <v>8.7260837560539792E-5</v>
      </c>
      <c r="D77" s="104">
        <f si="21" t="shared"/>
        <v>6.5297426858848488E-5</v>
      </c>
      <c r="E77" s="104">
        <f si="21" t="shared"/>
        <v>2.7036608841581382E-5</v>
      </c>
      <c r="F77" s="104">
        <f si="21" t="shared"/>
        <v>1.6715949891887588E-5</v>
      </c>
      <c r="G77" s="104">
        <f si="21" t="shared"/>
        <v>1.9602752549042606E-5</v>
      </c>
      <c r="H77" s="104">
        <f si="21" t="shared"/>
        <v>1.3967910736590997E-4</v>
      </c>
      <c r="I77" s="104">
        <f si="21" t="shared"/>
        <v>1.4882762088682346E-4</v>
      </c>
      <c r="J77" s="104">
        <f si="21" t="shared"/>
        <v>5.6992982235164078E-6</v>
      </c>
      <c r="K77" s="104">
        <f si="21" t="shared"/>
        <v>5.8748886935400131E-5</v>
      </c>
      <c r="L77" s="104">
        <f si="21" t="shared"/>
        <v>2.4859988032140729E-5</v>
      </c>
      <c r="M77" s="104">
        <f si="21" t="shared"/>
        <v>5.1356983688349053E-5</v>
      </c>
      <c r="N77" s="104">
        <f si="21" t="shared"/>
        <v>1.4159291550857917E-3</v>
      </c>
      <c r="O77" s="104">
        <f si="21" t="shared"/>
        <v>7.5483866970830137E-5</v>
      </c>
      <c r="P77" s="104">
        <f si="21" t="shared"/>
        <v>0</v>
      </c>
      <c r="Q77" s="104">
        <f si="21" t="shared"/>
        <v>3.7743969671758817E-6</v>
      </c>
      <c r="R77" s="104">
        <f si="21" t="shared"/>
        <v>5.4261101824351225E-5</v>
      </c>
      <c r="S77" s="104">
        <f si="21" t="shared"/>
        <v>1.8171129040938906E-6</v>
      </c>
      <c r="T77" s="104">
        <f si="21" t="shared"/>
        <v>3.4851644003614296E-3</v>
      </c>
      <c r="U77" s="104">
        <f si="21" t="shared"/>
        <v>0</v>
      </c>
      <c r="V77" s="104">
        <f si="21" t="shared"/>
        <v>2.9473935675971119E-2</v>
      </c>
      <c r="W77" s="104">
        <f si="21" t="shared"/>
        <v>0</v>
      </c>
      <c r="X77" s="104">
        <f si="21" t="shared"/>
        <v>3.5155451170918825E-2</v>
      </c>
    </row>
    <row r="78" spans="2:24" x14ac:dyDescent="0.25">
      <c r="B78" s="101" t="s">
        <v>15</v>
      </c>
      <c r="C78" s="105">
        <f ref="C78:X78" si="22" t="shared">IF($X$52&gt;0,C51/$X$52,0)</f>
        <v>0</v>
      </c>
      <c r="D78" s="105">
        <f si="22" t="shared"/>
        <v>0</v>
      </c>
      <c r="E78" s="105">
        <f si="22" t="shared"/>
        <v>0</v>
      </c>
      <c r="F78" s="105">
        <f si="22" t="shared"/>
        <v>0</v>
      </c>
      <c r="G78" s="105">
        <f si="22" t="shared"/>
        <v>0</v>
      </c>
      <c r="H78" s="105">
        <f si="22" t="shared"/>
        <v>0</v>
      </c>
      <c r="I78" s="105">
        <f si="22" t="shared"/>
        <v>0</v>
      </c>
      <c r="J78" s="105">
        <f si="22" t="shared"/>
        <v>0</v>
      </c>
      <c r="K78" s="105">
        <f si="22" t="shared"/>
        <v>0</v>
      </c>
      <c r="L78" s="105">
        <f si="22" t="shared"/>
        <v>0</v>
      </c>
      <c r="M78" s="105">
        <f si="22" t="shared"/>
        <v>0</v>
      </c>
      <c r="N78" s="105">
        <f si="22" t="shared"/>
        <v>0</v>
      </c>
      <c r="O78" s="105">
        <f si="22" t="shared"/>
        <v>0</v>
      </c>
      <c r="P78" s="105">
        <f si="22" t="shared"/>
        <v>0</v>
      </c>
      <c r="Q78" s="105">
        <f si="22" t="shared"/>
        <v>0</v>
      </c>
      <c r="R78" s="105">
        <f si="22" t="shared"/>
        <v>0</v>
      </c>
      <c r="S78" s="105">
        <f si="22" t="shared"/>
        <v>0</v>
      </c>
      <c r="T78" s="105">
        <f si="22" t="shared"/>
        <v>0</v>
      </c>
      <c r="U78" s="105">
        <f si="22" t="shared"/>
        <v>0</v>
      </c>
      <c r="V78" s="105">
        <f si="22" t="shared"/>
        <v>0</v>
      </c>
      <c r="W78" s="105">
        <f si="22" t="shared"/>
        <v>0</v>
      </c>
      <c r="X78" s="105">
        <f si="22" t="shared"/>
        <v>0</v>
      </c>
    </row>
    <row ht="15.75" r="79" spans="2:24" thickBot="1" x14ac:dyDescent="0.3">
      <c r="B79" s="1" t="s">
        <v>3</v>
      </c>
      <c r="C79" s="106">
        <f ref="C79:X79" si="23" t="shared">IF($X$52&gt;0,C52/$X$52,0)</f>
        <v>3.6870972841643188E-2</v>
      </c>
      <c r="D79" s="106">
        <f si="23" t="shared"/>
        <v>3.8386374915725149E-2</v>
      </c>
      <c r="E79" s="106">
        <f si="23" t="shared"/>
        <v>4.055293818121803E-2</v>
      </c>
      <c r="F79" s="106">
        <f si="23" t="shared"/>
        <v>2.2819326010383362E-2</v>
      </c>
      <c r="G79" s="106">
        <f si="23" t="shared"/>
        <v>2.1269754795316145E-2</v>
      </c>
      <c r="H79" s="106">
        <f si="23" t="shared"/>
        <v>6.5743158003646926E-2</v>
      </c>
      <c r="I79" s="106">
        <f si="23" t="shared"/>
        <v>0.11522841229312973</v>
      </c>
      <c r="J79" s="106">
        <f si="23" t="shared"/>
        <v>5.6816245654839137E-3</v>
      </c>
      <c r="K79" s="106">
        <f si="23" t="shared"/>
        <v>7.1266277202357287E-2</v>
      </c>
      <c r="L79" s="106">
        <f si="23" t="shared"/>
        <v>2.723834715625938E-2</v>
      </c>
      <c r="M79" s="106">
        <f si="23" t="shared"/>
        <v>6.7035881328104341E-2</v>
      </c>
      <c r="N79" s="106">
        <f si="23" t="shared"/>
        <v>0.1701065277295406</v>
      </c>
      <c r="O79" s="106">
        <f si="23" t="shared"/>
        <v>0.11115382452101039</v>
      </c>
      <c r="P79" s="106">
        <f si="23" t="shared"/>
        <v>2.5188476256575578E-2</v>
      </c>
      <c r="Q79" s="106">
        <f si="23" t="shared"/>
        <v>4.0609765314979354E-2</v>
      </c>
      <c r="R79" s="106">
        <f si="23" t="shared"/>
        <v>1.1347500853951756E-2</v>
      </c>
      <c r="S79" s="106">
        <f si="23" t="shared"/>
        <v>1.873127576697484E-2</v>
      </c>
      <c r="T79" s="106">
        <f si="23" t="shared"/>
        <v>3.1253531427716752E-2</v>
      </c>
      <c r="U79" s="106">
        <f si="23" t="shared"/>
        <v>4.1891443406352098E-2</v>
      </c>
      <c r="V79" s="106">
        <f si="23" t="shared"/>
        <v>3.7624587429631304E-2</v>
      </c>
      <c r="W79" s="106">
        <f si="23" t="shared"/>
        <v>0</v>
      </c>
      <c r="X79" s="106">
        <f si="23" t="shared"/>
        <v>1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T36"/>
  <sheetViews>
    <sheetView workbookViewId="0" zoomScaleNormal="100">
      <selection activeCell="L36" sqref="L36"/>
    </sheetView>
  </sheetViews>
  <sheetFormatPr defaultRowHeight="15" x14ac:dyDescent="0.25"/>
  <cols>
    <col min="2" max="2" bestFit="true" customWidth="true" width="11.140625" collapsed="true"/>
    <col min="3" max="4" bestFit="true" customWidth="true" width="9.28515625" collapsed="true"/>
    <col min="5" max="5" bestFit="true" customWidth="true" width="9.5703125" collapsed="true"/>
    <col min="9" max="9" bestFit="true" customWidth="true" width="11.140625" collapsed="true"/>
    <col min="14" max="15" bestFit="true" customWidth="true" width="9.5703125" collapsed="true"/>
  </cols>
  <sheetData>
    <row r="1" spans="1:19" x14ac:dyDescent="0.25">
      <c r="A1" t="s">
        <v>22</v>
      </c>
    </row>
    <row r="2" spans="1:19" x14ac:dyDescent="0.25">
      <c r="A2" t="s">
        <v>247</v>
      </c>
    </row>
    <row r="3" spans="1:19" x14ac:dyDescent="0.25">
      <c r="A3" t="s">
        <v>36</v>
      </c>
    </row>
    <row ht="15.75" r="5" spans="1:19" thickBot="1" x14ac:dyDescent="0.3">
      <c r="A5" s="4" t="s">
        <v>205</v>
      </c>
      <c r="B5" s="1"/>
      <c r="C5" s="1"/>
      <c r="D5" s="1"/>
      <c r="E5" s="1"/>
      <c r="H5" s="4" t="s">
        <v>37</v>
      </c>
      <c r="I5" s="1"/>
      <c r="J5" s="1"/>
      <c r="K5" s="1"/>
      <c r="L5" s="1"/>
      <c r="O5" s="4" t="s">
        <v>53</v>
      </c>
      <c r="P5" s="1"/>
      <c r="Q5" s="1"/>
      <c r="R5" s="1"/>
      <c r="S5" s="1"/>
    </row>
    <row r="6" spans="1:19" x14ac:dyDescent="0.25">
      <c r="A6" s="2"/>
      <c r="B6" s="3" t="s">
        <v>8</v>
      </c>
      <c r="C6" s="3" t="s">
        <v>9</v>
      </c>
      <c r="D6" s="3" t="s">
        <v>10</v>
      </c>
      <c r="E6" s="3" t="s">
        <v>3</v>
      </c>
      <c r="H6" s="2"/>
      <c r="I6" s="3" t="s">
        <v>8</v>
      </c>
      <c r="J6" s="3" t="s">
        <v>9</v>
      </c>
      <c r="K6" s="3" t="s">
        <v>10</v>
      </c>
      <c r="L6" s="3" t="s">
        <v>3</v>
      </c>
      <c r="O6" s="2"/>
      <c r="P6" s="3" t="s">
        <v>8</v>
      </c>
      <c r="Q6" s="3" t="s">
        <v>9</v>
      </c>
      <c r="R6" s="3" t="s">
        <v>10</v>
      </c>
      <c r="S6" s="3" t="s">
        <v>3</v>
      </c>
    </row>
    <row r="7" spans="1:19" x14ac:dyDescent="0.25">
      <c r="A7" s="31">
        <v>1</v>
      </c>
      <c r="B7" s="14" t="n">
        <v>4596.8904896273225</v>
      </c>
      <c r="C7" s="14" t="n">
        <v>3244.749286438054</v>
      </c>
      <c r="D7" s="14" t="n">
        <v>721.8925062503121</v>
      </c>
      <c r="E7" s="14">
        <f ref="E7:E13" si="0" t="shared">SUM(B7:D7)</f>
        <v>8563.5322823156876</v>
      </c>
      <c r="F7" s="14"/>
      <c r="G7" s="14"/>
      <c r="H7">
        <f>A7</f>
        <v>1</v>
      </c>
      <c r="I7" s="14" t="n">
        <v>6531.0</v>
      </c>
      <c r="J7" s="14" t="n">
        <v>2168.0</v>
      </c>
      <c r="K7" s="14" t="n">
        <v>414.0</v>
      </c>
      <c r="L7" s="14">
        <f>SUM(I7:K7)</f>
        <v>24047</v>
      </c>
      <c r="O7">
        <f>H7</f>
        <v>1</v>
      </c>
      <c r="P7" s="14">
        <f>I7-B7</f>
        <v>12527.109510372677</v>
      </c>
      <c r="Q7" s="14">
        <f>J7-C7</f>
        <v>3072.2507135619462</v>
      </c>
      <c r="R7" s="14">
        <f>K7-D7</f>
        <v>-115.89250625031207</v>
      </c>
      <c r="S7" s="14">
        <f>L7-E7</f>
        <v>15483.467717684312</v>
      </c>
    </row>
    <row r="8" spans="1:19" x14ac:dyDescent="0.25">
      <c r="A8">
        <v>2</v>
      </c>
      <c r="B8" s="14" t="n">
        <v>207.2063917346362</v>
      </c>
      <c r="C8" s="14" t="n">
        <v>296.5709083509241</v>
      </c>
      <c r="D8" s="14" t="n">
        <v>147.397648280605</v>
      </c>
      <c r="E8" s="14">
        <f si="0" t="shared"/>
        <v>651.17494836616538</v>
      </c>
      <c r="F8" s="14"/>
      <c r="G8" s="14"/>
      <c r="H8">
        <f ref="H8:H13" si="1" t="shared">A8</f>
        <v>2</v>
      </c>
      <c r="I8" s="14" t="n">
        <v>1510.0</v>
      </c>
      <c r="J8" s="14" t="n">
        <v>427.0</v>
      </c>
      <c r="K8" s="14" t="n">
        <v>57.0</v>
      </c>
      <c r="L8" s="14">
        <f ref="L8:L13" si="2" t="shared">SUM(I8:K8)</f>
        <v>4205</v>
      </c>
      <c r="O8">
        <f ref="O8:O13" si="3" t="shared">H8</f>
        <v>2</v>
      </c>
      <c r="P8" s="14">
        <f ref="P8:P13" si="4" t="shared">I8-B8</f>
        <v>2647.7936082653637</v>
      </c>
      <c r="Q8" s="14">
        <f ref="Q8:Q13" si="5" t="shared">J8-C8</f>
        <v>1003.4290916490759</v>
      </c>
      <c r="R8" s="14">
        <f ref="R8:R13" si="6" t="shared">K8-D8</f>
        <v>-97.397648280605011</v>
      </c>
      <c r="S8" s="14">
        <f ref="S8:S13" si="7" t="shared">L8-E8</f>
        <v>3553.8250516338348</v>
      </c>
    </row>
    <row r="9" spans="1:19" x14ac:dyDescent="0.25">
      <c r="A9">
        <v>3</v>
      </c>
      <c r="B9" s="14" t="n">
        <v>100.6294432601223</v>
      </c>
      <c r="C9" s="14" t="n">
        <v>0.0</v>
      </c>
      <c r="D9" s="14" t="n">
        <v>0.0</v>
      </c>
      <c r="E9" s="14">
        <f si="0" t="shared"/>
        <v>100.6294432601223</v>
      </c>
      <c r="F9" s="14"/>
      <c r="G9" s="14"/>
      <c r="H9">
        <f si="1" t="shared"/>
        <v>3</v>
      </c>
      <c r="I9" s="14" t="n">
        <v>960.0</v>
      </c>
      <c r="J9" s="14" t="n">
        <v>276.0</v>
      </c>
      <c r="K9" s="14" t="n">
        <v>67.0</v>
      </c>
      <c r="L9" s="14">
        <f si="2" t="shared"/>
        <v>2748</v>
      </c>
      <c r="O9">
        <f si="3" t="shared"/>
        <v>3</v>
      </c>
      <c r="P9" s="14">
        <f si="4" t="shared"/>
        <v>2086.3705567398779</v>
      </c>
      <c r="Q9" s="14">
        <f si="5" t="shared"/>
        <v>482</v>
      </c>
      <c r="R9" s="14">
        <f si="6" t="shared"/>
        <v>79</v>
      </c>
      <c r="S9" s="14">
        <f si="7" t="shared"/>
        <v>2647.3705567398779</v>
      </c>
    </row>
    <row r="10" spans="1:19" x14ac:dyDescent="0.25">
      <c r="A10">
        <v>4</v>
      </c>
      <c r="B10" s="14" t="n">
        <v>1683.8634870068388</v>
      </c>
      <c r="C10" s="14" t="n">
        <v>1036.4869207980162</v>
      </c>
      <c r="D10" s="14" t="n">
        <v>89.9315872691863</v>
      </c>
      <c r="E10" s="14">
        <f si="0" t="shared"/>
        <v>2810.2819950740413</v>
      </c>
      <c r="F10" s="14"/>
      <c r="G10" s="14"/>
      <c r="H10">
        <f si="1" t="shared"/>
        <v>4</v>
      </c>
      <c r="I10" s="14" t="n">
        <v>2890.0</v>
      </c>
      <c r="J10" s="14" t="n">
        <v>800.0</v>
      </c>
      <c r="K10" s="14" t="n">
        <v>151.0</v>
      </c>
      <c r="L10" s="14">
        <f si="2" t="shared"/>
        <v>11453</v>
      </c>
      <c r="O10">
        <f si="3" t="shared"/>
        <v>4</v>
      </c>
      <c r="P10" s="14">
        <f si="4" t="shared"/>
        <v>6948.136512993161</v>
      </c>
      <c r="Q10" s="14">
        <f si="5" t="shared"/>
        <v>1354.5130792019838</v>
      </c>
      <c r="R10" s="14">
        <f si="6" t="shared"/>
        <v>340.06841273081369</v>
      </c>
      <c r="S10" s="14">
        <f si="7" t="shared"/>
        <v>8642.7180049259587</v>
      </c>
    </row>
    <row r="11" spans="1:19" x14ac:dyDescent="0.25">
      <c r="A11">
        <v>5</v>
      </c>
      <c r="B11" s="14" t="n">
        <v>1229.281208697631</v>
      </c>
      <c r="C11" s="14" t="n">
        <v>1302.3153517317696</v>
      </c>
      <c r="D11" s="14" t="n">
        <v>79.8959959309554</v>
      </c>
      <c r="E11" s="14">
        <f si="0" t="shared"/>
        <v>2611.492556360356</v>
      </c>
      <c r="F11" s="14"/>
      <c r="G11" s="14"/>
      <c r="H11">
        <f si="1" t="shared"/>
        <v>5</v>
      </c>
      <c r="I11" s="14" t="n">
        <v>1945.0</v>
      </c>
      <c r="J11" s="14" t="n">
        <v>584.0</v>
      </c>
      <c r="K11" s="14" t="n">
        <v>94.0</v>
      </c>
      <c r="L11" s="14">
        <f si="2" t="shared"/>
        <v>7391</v>
      </c>
      <c r="O11">
        <f si="3" t="shared"/>
        <v>5</v>
      </c>
      <c r="P11" s="14">
        <f si="4" t="shared"/>
        <v>4199.718791302369</v>
      </c>
      <c r="Q11" s="14">
        <f si="5" t="shared"/>
        <v>305.68464826823038</v>
      </c>
      <c r="R11" s="14">
        <f si="6" t="shared"/>
        <v>274.10400406904461</v>
      </c>
      <c r="S11" s="14">
        <f si="7" t="shared"/>
        <v>4779.5074436396444</v>
      </c>
    </row>
    <row r="12" spans="1:19" x14ac:dyDescent="0.25">
      <c r="A12">
        <v>6</v>
      </c>
      <c r="B12" s="15" t="n">
        <v>2196.0987634859275</v>
      </c>
      <c r="C12" s="15" t="n">
        <v>666.2418887414594</v>
      </c>
      <c r="D12" s="15" t="n">
        <v>0.0</v>
      </c>
      <c r="E12" s="15">
        <f si="0" t="shared"/>
        <v>2862.3406522273872</v>
      </c>
      <c r="F12" s="14"/>
      <c r="G12" s="14"/>
      <c r="H12">
        <f si="1" t="shared"/>
        <v>6</v>
      </c>
      <c r="I12" s="15" t="n">
        <v>1981.0</v>
      </c>
      <c r="J12" s="15" t="n">
        <v>618.0</v>
      </c>
      <c r="K12" s="15" t="n">
        <v>99.0</v>
      </c>
      <c r="L12" s="14">
        <f si="2" t="shared"/>
        <v>7669</v>
      </c>
      <c r="O12">
        <f si="3" t="shared"/>
        <v>6</v>
      </c>
      <c r="P12" s="14">
        <f si="4" t="shared"/>
        <v>3165.9012365140725</v>
      </c>
      <c r="Q12" s="14">
        <f si="5" t="shared"/>
        <v>1418.7581112585406</v>
      </c>
      <c r="R12" s="14">
        <f si="6" t="shared"/>
        <v>222</v>
      </c>
      <c r="S12" s="14">
        <f si="7" t="shared"/>
        <v>4806.6593477726128</v>
      </c>
    </row>
    <row customFormat="1" r="13" s="95" spans="1:19" x14ac:dyDescent="0.25">
      <c r="A13" s="6">
        <v>7</v>
      </c>
      <c r="B13" s="16" t="n">
        <v>1154.527495000195</v>
      </c>
      <c r="C13" s="16" t="n">
        <v>717.9479331335483</v>
      </c>
      <c r="D13" s="16" t="n">
        <v>0.0</v>
      </c>
      <c r="E13" s="16">
        <f si="0" t="shared"/>
        <v>1872.4754281337432</v>
      </c>
      <c r="F13" s="14"/>
      <c r="G13" s="14"/>
      <c r="H13" s="6">
        <f si="1" t="shared"/>
        <v>7</v>
      </c>
      <c r="I13" s="16" t="n">
        <v>1356.0</v>
      </c>
      <c r="J13" s="16" t="n">
        <v>432.0</v>
      </c>
      <c r="K13" s="16" t="n">
        <v>54.0</v>
      </c>
      <c r="L13" s="16">
        <f si="2" t="shared"/>
        <v>4788</v>
      </c>
      <c r="O13" s="6">
        <f si="3" t="shared"/>
        <v>7</v>
      </c>
      <c r="P13" s="16">
        <f si="4" t="shared"/>
        <v>2387.4725049998051</v>
      </c>
      <c r="Q13" s="16">
        <f si="5" t="shared"/>
        <v>377.0520668664517</v>
      </c>
      <c r="R13" s="16">
        <f si="6" t="shared"/>
        <v>151</v>
      </c>
      <c r="S13" s="16">
        <f si="7" t="shared"/>
        <v>2915.5245718662568</v>
      </c>
    </row>
    <row ht="15.75" r="14" spans="1:19" thickBot="1" x14ac:dyDescent="0.3">
      <c r="A14" s="17" t="s">
        <v>3</v>
      </c>
      <c r="B14" s="17">
        <f>SUM(B7:B13)</f>
        <v>11168.497278812672</v>
      </c>
      <c r="C14" s="17">
        <f>SUM(C7:C13)</f>
        <v>7264.312289193771</v>
      </c>
      <c r="D14" s="17">
        <f>SUM(D7:D13)</f>
        <v>1039.1177377310587</v>
      </c>
      <c r="E14" s="17">
        <f>SUM(E7:E13)</f>
        <v>19471.927305737503</v>
      </c>
      <c r="F14" s="14"/>
      <c r="G14" s="14"/>
      <c r="H14" s="17" t="s">
        <v>3</v>
      </c>
      <c r="I14" s="17">
        <f>SUM(I7:I13)</f>
        <v>45131</v>
      </c>
      <c r="J14" s="17">
        <f>SUM(J7:J13)</f>
        <v>15278</v>
      </c>
      <c r="K14" s="17">
        <f>SUM(K7:K13)</f>
        <v>1892</v>
      </c>
      <c r="L14" s="17">
        <f>SUM(L7:L13)</f>
        <v>62301</v>
      </c>
      <c r="O14" s="17" t="s">
        <v>3</v>
      </c>
      <c r="P14" s="17">
        <f>I14-B14</f>
        <v>33962.502721187324</v>
      </c>
      <c r="Q14" s="17">
        <f>J14-C14</f>
        <v>8013.687710806229</v>
      </c>
      <c r="R14" s="17">
        <f>K14-D14</f>
        <v>852.8822622689413</v>
      </c>
      <c r="S14" s="17">
        <f>L14-E14</f>
        <v>42829.072694262497</v>
      </c>
    </row>
    <row r="15" spans="1:19" x14ac:dyDescent="0.25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O15" s="14"/>
      <c r="P15" s="14"/>
      <c r="Q15" s="14"/>
      <c r="R15" s="14"/>
      <c r="S15" s="14"/>
    </row>
    <row ht="15.75" r="16" spans="1:19" thickBot="1" x14ac:dyDescent="0.3">
      <c r="A16" s="4" t="s">
        <v>206</v>
      </c>
      <c r="B16" s="17"/>
      <c r="C16" s="17"/>
      <c r="D16" s="17"/>
      <c r="E16" s="17"/>
      <c r="F16" s="14"/>
      <c r="G16" s="14"/>
      <c r="H16" s="18" t="s">
        <v>38</v>
      </c>
      <c r="I16" s="17"/>
      <c r="J16" s="17"/>
      <c r="K16" s="17"/>
      <c r="L16" s="17"/>
      <c r="O16" s="18" t="s">
        <v>54</v>
      </c>
      <c r="P16" s="17"/>
      <c r="Q16" s="17"/>
      <c r="R16" s="17"/>
      <c r="S16" s="17"/>
    </row>
    <row r="17" spans="1:19" x14ac:dyDescent="0.25">
      <c r="A17" s="2"/>
      <c r="B17" s="3" t="str">
        <f>B6</f>
        <v>FT</v>
      </c>
      <c r="C17" s="196" t="str">
        <f>C6</f>
        <v>PT</v>
      </c>
      <c r="D17" s="196" t="str">
        <f>D6</f>
        <v>NotFTPT</v>
      </c>
      <c r="E17" s="196" t="str">
        <f>E6</f>
        <v>Total</v>
      </c>
      <c r="F17" s="14"/>
      <c r="G17" s="14"/>
      <c r="H17" s="20"/>
      <c r="I17" s="19" t="str">
        <f>I6</f>
        <v>FT</v>
      </c>
      <c r="J17" s="19" t="str">
        <f>J6</f>
        <v>PT</v>
      </c>
      <c r="K17" s="19" t="str">
        <f>K6</f>
        <v>NotFTPT</v>
      </c>
      <c r="L17" s="19" t="str">
        <f>L6</f>
        <v>Total</v>
      </c>
      <c r="O17" s="20"/>
      <c r="P17" s="19" t="s">
        <v>8</v>
      </c>
      <c r="Q17" s="19" t="s">
        <v>9</v>
      </c>
      <c r="R17" s="19" t="s">
        <v>10</v>
      </c>
      <c r="S17" s="19" t="s">
        <v>3</v>
      </c>
    </row>
    <row r="18" spans="1:19" x14ac:dyDescent="0.25">
      <c r="A18">
        <f ref="A18:A23" si="8" t="shared">A7</f>
        <v>1</v>
      </c>
      <c r="B18" s="14" t="n">
        <v>218315.39156443693</v>
      </c>
      <c r="C18" s="14" t="n">
        <v>25411.889439902996</v>
      </c>
      <c r="D18" s="14" t="n">
        <v>15845.18878539559</v>
      </c>
      <c r="E18" s="14">
        <f>SUM(B18:D18)</f>
        <v>254550.50507434647</v>
      </c>
      <c r="F18" s="14"/>
      <c r="G18" s="14"/>
      <c r="H18" s="95">
        <f ref="H18:H23" si="9" t="shared">H7</f>
        <v>1</v>
      </c>
      <c r="I18" s="14" t="n">
        <v>336427.0</v>
      </c>
      <c r="J18" s="14" t="n">
        <v>43704.0</v>
      </c>
      <c r="K18" s="14" t="n">
        <v>16597.0</v>
      </c>
      <c r="L18" s="14">
        <f>SUM(I18:K18)</f>
        <v>336733</v>
      </c>
      <c r="O18" s="95">
        <f ref="O18:O23" si="10" t="shared">O7</f>
        <v>1</v>
      </c>
      <c r="P18" s="14">
        <f>I18-B18</f>
        <v>71418.559532942076</v>
      </c>
      <c r="Q18" s="14">
        <f>J18-C18</f>
        <v>12431.236145076273</v>
      </c>
      <c r="R18" s="14">
        <f>K18-D18</f>
        <v>-1667.3007523648139</v>
      </c>
      <c r="S18" s="14">
        <f>L18-E18</f>
        <v>82182.494925653533</v>
      </c>
    </row>
    <row r="19" spans="1:19" x14ac:dyDescent="0.25">
      <c r="A19">
        <f si="8" t="shared"/>
        <v>2</v>
      </c>
      <c r="B19" s="14" t="n">
        <v>26447.648270104542</v>
      </c>
      <c r="C19" s="14" t="n">
        <v>2993.9339346861907</v>
      </c>
      <c r="D19" s="14" t="n">
        <v>981.3609680897282</v>
      </c>
      <c r="E19" s="14">
        <f ref="E19:E24" si="11" t="shared">SUM(B19:D19)</f>
        <v>28485.799586808993</v>
      </c>
      <c r="F19" s="14"/>
      <c r="G19" s="14"/>
      <c r="H19" s="95">
        <f si="9" t="shared"/>
        <v>2</v>
      </c>
      <c r="I19" s="14" t="n">
        <v>64806.0</v>
      </c>
      <c r="J19" s="14" t="n">
        <v>8364.0</v>
      </c>
      <c r="K19" s="14" t="n">
        <v>3500.0</v>
      </c>
      <c r="L19" s="14">
        <f ref="L19:L24" si="12" t="shared">SUM(I19:K19)</f>
        <v>38446</v>
      </c>
      <c r="O19" s="95">
        <f si="10" t="shared"/>
        <v>2</v>
      </c>
      <c r="P19" s="14">
        <f ref="P19:P24" si="13" t="shared">I19-B19</f>
        <v>7339.3582825713784</v>
      </c>
      <c r="Q19" s="14">
        <f ref="Q19:Q24" si="14" t="shared">J19-C19</f>
        <v>3144.2030987093576</v>
      </c>
      <c r="R19" s="14">
        <f ref="R19:R24" si="15" t="shared">K19-D19</f>
        <v>-523.3609680897282</v>
      </c>
      <c r="S19" s="14">
        <f ref="S19:S24" si="16" t="shared">L19-E19</f>
        <v>9960.2004131910071</v>
      </c>
    </row>
    <row r="20" spans="1:19" x14ac:dyDescent="0.25">
      <c r="A20">
        <f si="8" t="shared"/>
        <v>3</v>
      </c>
      <c r="B20" s="14" t="n">
        <v>23159.412178530718</v>
      </c>
      <c r="C20" s="14" t="n">
        <v>2520.5395795189283</v>
      </c>
      <c r="D20" s="14" t="n">
        <v>275.4534419551372</v>
      </c>
      <c r="E20" s="14">
        <f si="11" t="shared"/>
        <v>24306.982321367977</v>
      </c>
      <c r="F20" s="14"/>
      <c r="G20" s="14"/>
      <c r="H20" s="95">
        <f si="9" t="shared"/>
        <v>3</v>
      </c>
      <c r="I20" s="14" t="n">
        <v>57937.0</v>
      </c>
      <c r="J20" s="14" t="n">
        <v>6394.0</v>
      </c>
      <c r="K20" s="14" t="n">
        <v>4840.0</v>
      </c>
      <c r="L20" s="14">
        <f si="12" t="shared"/>
        <v>31276</v>
      </c>
      <c r="O20" s="95">
        <f si="10" t="shared"/>
        <v>3</v>
      </c>
      <c r="P20" s="14">
        <f si="13" t="shared"/>
        <v>6057.3211753672185</v>
      </c>
      <c r="Q20" s="14">
        <f si="14" t="shared"/>
        <v>41.149945219941401</v>
      </c>
      <c r="R20" s="14">
        <f si="15" t="shared"/>
        <v>870.54655804486288</v>
      </c>
      <c r="S20" s="14">
        <f si="16" t="shared"/>
        <v>6969.0176786320226</v>
      </c>
    </row>
    <row r="21" spans="1:19" x14ac:dyDescent="0.25">
      <c r="A21">
        <f si="8" t="shared"/>
        <v>4</v>
      </c>
      <c r="B21" s="14" t="n">
        <v>88467.12464956616</v>
      </c>
      <c r="C21" s="14" t="n">
        <v>10474.093062662174</v>
      </c>
      <c r="D21" s="14" t="n">
        <v>6504.232238554272</v>
      </c>
      <c r="E21" s="14">
        <f si="11" t="shared"/>
        <v>99975.333785536452</v>
      </c>
      <c r="F21" s="14"/>
      <c r="G21" s="14"/>
      <c r="H21" s="95">
        <f si="9" t="shared"/>
        <v>4</v>
      </c>
      <c r="I21" s="14" t="n">
        <v>117741.0</v>
      </c>
      <c r="J21" s="14" t="n">
        <v>14311.0</v>
      </c>
      <c r="K21" s="14" t="n">
        <v>6112.0</v>
      </c>
      <c r="L21" s="14">
        <f si="12" t="shared"/>
        <v>147444</v>
      </c>
      <c r="O21" s="95">
        <f si="10" t="shared"/>
        <v>4</v>
      </c>
      <c r="P21" s="14">
        <f si="13" t="shared"/>
        <v>43694.153917887277</v>
      </c>
      <c r="Q21" s="14">
        <f si="14" t="shared"/>
        <v>3504.715366888373</v>
      </c>
      <c r="R21" s="14">
        <f si="15" t="shared"/>
        <v>269.7969296878955</v>
      </c>
      <c r="S21" s="14">
        <f si="16" t="shared"/>
        <v>47468.666214463548</v>
      </c>
    </row>
    <row r="22" spans="1:19" x14ac:dyDescent="0.25">
      <c r="A22">
        <f si="8" t="shared"/>
        <v>5</v>
      </c>
      <c r="B22" s="14" t="n">
        <v>51981.9468073477</v>
      </c>
      <c r="C22" s="14" t="n">
        <v>7404.793726890573</v>
      </c>
      <c r="D22" s="14" t="n">
        <v>2261.1388714205514</v>
      </c>
      <c r="E22" s="14">
        <f si="11" t="shared"/>
        <v>60405.837534607534</v>
      </c>
      <c r="F22" s="14"/>
      <c r="G22" s="14"/>
      <c r="H22" s="95">
        <f si="9" t="shared"/>
        <v>5</v>
      </c>
      <c r="I22" s="14" t="n">
        <v>78189.0</v>
      </c>
      <c r="J22" s="14" t="n">
        <v>10421.0</v>
      </c>
      <c r="K22" s="14" t="n">
        <v>3799.0</v>
      </c>
      <c r="L22" s="14">
        <f si="12" t="shared"/>
        <v>81457</v>
      </c>
      <c r="O22" s="95">
        <f si="10" t="shared"/>
        <v>5</v>
      </c>
      <c r="P22" s="14">
        <f si="13" t="shared"/>
        <v>18910.099599381305</v>
      </c>
      <c r="Q22" s="14">
        <f si="14" t="shared"/>
        <v>190.86502697330525</v>
      </c>
      <c r="R22" s="14">
        <f si="15" t="shared"/>
        <v>1950.197839037854</v>
      </c>
      <c r="S22" s="14">
        <f si="16" t="shared"/>
        <v>21051.162465392466</v>
      </c>
    </row>
    <row r="23" spans="1:19" x14ac:dyDescent="0.25">
      <c r="A23">
        <f si="8" t="shared"/>
        <v>6</v>
      </c>
      <c r="B23" s="15" t="n">
        <v>58172.15985101729</v>
      </c>
      <c r="C23" s="15" t="n">
        <v>9845.161360422724</v>
      </c>
      <c r="D23" s="15" t="n">
        <v>2291.0702695107593</v>
      </c>
      <c r="E23" s="14">
        <f si="11" t="shared"/>
        <v>67665.453909579475</v>
      </c>
      <c r="F23" s="14"/>
      <c r="G23" s="14"/>
      <c r="H23" s="95">
        <f si="9" t="shared"/>
        <v>6</v>
      </c>
      <c r="I23" s="15" t="n">
        <v>87518.0</v>
      </c>
      <c r="J23" s="15" t="n">
        <v>12046.0</v>
      </c>
      <c r="K23" s="15" t="n">
        <v>3670.0</v>
      </c>
      <c r="L23" s="14">
        <f si="12" t="shared"/>
        <v>103146</v>
      </c>
      <c r="O23" s="95">
        <f si="10" t="shared"/>
        <v>6</v>
      </c>
      <c r="P23" s="14">
        <f si="13" t="shared"/>
        <v>33034.419109901384</v>
      </c>
      <c r="Q23" s="14">
        <f si="14" t="shared"/>
        <v>1980.1957290653245</v>
      </c>
      <c r="R23" s="14">
        <f si="15" t="shared"/>
        <v>465.93125145382373</v>
      </c>
      <c r="S23" s="14">
        <f si="16" t="shared"/>
        <v>35480.546090420525</v>
      </c>
    </row>
    <row customFormat="1" r="24" s="95" spans="1:19" x14ac:dyDescent="0.25">
      <c r="A24" s="6">
        <v>7</v>
      </c>
      <c r="B24" s="16" t="n">
        <v>38318.94357528748</v>
      </c>
      <c r="C24" s="16" t="n">
        <v>5627.051105046438</v>
      </c>
      <c r="D24" s="16" t="n">
        <v>2365.391269303571</v>
      </c>
      <c r="E24" s="16">
        <f si="11" t="shared"/>
        <v>44143.682264608098</v>
      </c>
      <c r="F24" s="14"/>
      <c r="G24" s="14"/>
      <c r="H24" s="6">
        <v>7</v>
      </c>
      <c r="I24" s="16" t="n">
        <v>61107.0</v>
      </c>
      <c r="J24" s="16" t="n">
        <v>7827.0</v>
      </c>
      <c r="K24" s="16" t="n">
        <v>2221.0</v>
      </c>
      <c r="L24" s="16">
        <f si="12" t="shared"/>
        <v>59050</v>
      </c>
      <c r="O24" s="6">
        <v>7</v>
      </c>
      <c r="P24" s="16">
        <f si="13" t="shared"/>
        <v>14972.760109741917</v>
      </c>
      <c r="Q24" s="16">
        <f si="14" t="shared"/>
        <v>427.94889495356165</v>
      </c>
      <c r="R24" s="16">
        <f si="15" t="shared"/>
        <v>-494.39126930357088</v>
      </c>
      <c r="S24" s="16">
        <f si="16" t="shared"/>
        <v>14906.317735391902</v>
      </c>
    </row>
    <row ht="15.75" r="25" spans="1:19" thickBot="1" x14ac:dyDescent="0.3">
      <c r="A25" s="17" t="s">
        <v>3</v>
      </c>
      <c r="B25" s="17">
        <f>SUM(B18:B24)</f>
        <v>487057.32827220741</v>
      </c>
      <c r="C25" s="17">
        <f>SUM(C18:C24)</f>
        <v>62349.685793113866</v>
      </c>
      <c r="D25" s="17">
        <f>SUM(D18:D24)</f>
        <v>30126.58041153368</v>
      </c>
      <c r="E25" s="17">
        <f>SUM(E18:E24)</f>
        <v>579533.59447685489</v>
      </c>
      <c r="F25" s="14"/>
      <c r="G25" s="14"/>
      <c r="H25" s="17" t="s">
        <v>3</v>
      </c>
      <c r="I25" s="17">
        <f>SUM(I18:I24)</f>
        <v>682484</v>
      </c>
      <c r="J25" s="17">
        <f>SUM(J18:J24)</f>
        <v>84070</v>
      </c>
      <c r="K25" s="17">
        <f>SUM(K18:K24)</f>
        <v>30998</v>
      </c>
      <c r="L25" s="17">
        <f>SUM(L18:L24)</f>
        <v>797552</v>
      </c>
      <c r="O25" s="17" t="s">
        <v>3</v>
      </c>
      <c r="P25" s="17">
        <f>I25-B25</f>
        <v>195426.67172779259</v>
      </c>
      <c r="Q25" s="17">
        <f>J25-C25</f>
        <v>21720.314206886134</v>
      </c>
      <c r="R25" s="17">
        <f>K25-D25</f>
        <v>871.41958846632042</v>
      </c>
      <c r="S25" s="17">
        <f>L25-E25</f>
        <v>218018.40552314511</v>
      </c>
    </row>
    <row ht="15.75" r="27" spans="1:19" thickBot="1" x14ac:dyDescent="0.3">
      <c r="A27" s="4" t="s">
        <v>207</v>
      </c>
      <c r="B27" s="1"/>
      <c r="C27" s="1"/>
      <c r="D27" s="1"/>
      <c r="E27" s="1"/>
      <c r="H27" s="4" t="s">
        <v>39</v>
      </c>
      <c r="I27" s="1"/>
      <c r="J27" s="1"/>
      <c r="K27" s="1"/>
      <c r="L27" s="1"/>
      <c r="O27" s="4" t="s">
        <v>55</v>
      </c>
      <c r="P27" s="1"/>
      <c r="Q27" s="1"/>
      <c r="R27" s="1"/>
      <c r="S27" s="1"/>
    </row>
    <row r="28" spans="1:19" x14ac:dyDescent="0.25">
      <c r="A28" s="2"/>
      <c r="B28" s="3" t="s">
        <v>8</v>
      </c>
      <c r="C28" s="3" t="s">
        <v>9</v>
      </c>
      <c r="D28" s="3" t="s">
        <v>10</v>
      </c>
      <c r="E28" s="3" t="s">
        <v>3</v>
      </c>
      <c r="H28" s="2"/>
      <c r="I28" s="3" t="s">
        <v>8</v>
      </c>
      <c r="J28" s="3" t="s">
        <v>9</v>
      </c>
      <c r="K28" s="3" t="s">
        <v>10</v>
      </c>
      <c r="L28" s="3" t="s">
        <v>3</v>
      </c>
      <c r="O28" s="2"/>
      <c r="P28" s="3" t="s">
        <v>8</v>
      </c>
      <c r="Q28" s="3" t="s">
        <v>9</v>
      </c>
      <c r="R28" s="3" t="s">
        <v>10</v>
      </c>
      <c r="S28" s="3" t="s">
        <v>3</v>
      </c>
    </row>
    <row r="29" spans="1:19" x14ac:dyDescent="0.25">
      <c r="A29" s="95">
        <f ref="A29:A34" si="17" t="shared">A18</f>
        <v>1</v>
      </c>
      <c r="B29" s="21">
        <f ref="B29:E36" si="18" t="shared">IF(B18&gt;0,B7/B18,0)</f>
        <v>2.1472925903226043E-2</v>
      </c>
      <c r="C29" s="21">
        <f si="18" t="shared"/>
        <v>0.13083263505183812</v>
      </c>
      <c r="D29" s="21">
        <f si="18" t="shared"/>
        <v>4.606461950143978E-2</v>
      </c>
      <c r="E29" s="21">
        <f si="18" t="shared"/>
        <v>3.364178075315364E-2</v>
      </c>
      <c r="F29" s="21"/>
      <c r="G29" s="21"/>
      <c r="H29" s="95">
        <f ref="H29:H34" si="19" t="shared">H18</f>
        <v>1</v>
      </c>
      <c r="I29" s="21">
        <f ref="I29:L36" si="20" t="shared">IF(I18&gt;0,I7/I18,0)</f>
        <v>5.9979614496824839E-2</v>
      </c>
      <c r="J29" s="21">
        <f si="20" t="shared"/>
        <v>0.1696658788139235</v>
      </c>
      <c r="K29" s="21">
        <f si="20" t="shared"/>
        <v>4.3273350471293916E-2</v>
      </c>
      <c r="L29" s="21">
        <f si="20" t="shared"/>
        <v>7.1412662257634388E-2</v>
      </c>
      <c r="O29" s="95">
        <f ref="O29:O34" si="21" t="shared">O18</f>
        <v>1</v>
      </c>
      <c r="P29" s="21">
        <f>I29-B29</f>
        <v>3.8506688593598792E-2</v>
      </c>
      <c r="Q29" s="21">
        <f>J29-C29</f>
        <v>3.8833243762085384E-2</v>
      </c>
      <c r="R29" s="21">
        <f>K29-D29</f>
        <v>-2.791269030145864E-3</v>
      </c>
      <c r="S29" s="21">
        <f>L29-E29</f>
        <v>3.7770881504480748E-2</v>
      </c>
    </row>
    <row r="30" spans="1:19" x14ac:dyDescent="0.25">
      <c r="A30" s="95">
        <f si="17" t="shared"/>
        <v>2</v>
      </c>
      <c r="B30" s="21">
        <f si="18" t="shared"/>
        <v>8.3569020313363478E-3</v>
      </c>
      <c r="C30" s="21">
        <f si="18" t="shared"/>
        <v>0.10944396172630913</v>
      </c>
      <c r="D30" s="21">
        <f si="18" t="shared"/>
        <v>0.15019717827938731</v>
      </c>
      <c r="E30" s="21">
        <f si="18" t="shared"/>
        <v>2.2859633846041203E-2</v>
      </c>
      <c r="F30" s="21"/>
      <c r="G30" s="21"/>
      <c r="H30" s="95">
        <f si="19" t="shared"/>
        <v>2</v>
      </c>
      <c r="I30" s="21">
        <f si="20" t="shared"/>
        <v>8.88467044252194E-2</v>
      </c>
      <c r="J30" s="21">
        <f si="20" t="shared"/>
        <v>0.22207037922787837</v>
      </c>
      <c r="K30" s="21">
        <f si="20" t="shared"/>
        <v>0.1091703056768559</v>
      </c>
      <c r="L30" s="21">
        <f si="20" t="shared"/>
        <v>0.10937418717161733</v>
      </c>
      <c r="O30" s="95">
        <f si="21" t="shared"/>
        <v>2</v>
      </c>
      <c r="P30" s="21">
        <f ref="P30:P35" si="22" t="shared">I30-B30</f>
        <v>8.048980239388305E-2</v>
      </c>
      <c r="Q30" s="21">
        <f ref="Q30:Q35" si="23" t="shared">J30-C30</f>
        <v>0.11262641750156924</v>
      </c>
      <c r="R30" s="21">
        <f ref="R30:R35" si="24" t="shared">K30-D30</f>
        <v>-4.1026872602531406E-2</v>
      </c>
      <c r="S30" s="21">
        <f ref="S30:S35" si="25" t="shared">L30-E30</f>
        <v>8.651455332557613E-2</v>
      </c>
    </row>
    <row r="31" spans="1:19" x14ac:dyDescent="0.25">
      <c r="A31" s="95">
        <f si="17" t="shared"/>
        <v>3</v>
      </c>
      <c r="B31" s="21">
        <f si="18" t="shared"/>
        <v>4.637797622199129E-3</v>
      </c>
      <c r="C31" s="21">
        <f si="18" t="shared"/>
        <v>0</v>
      </c>
      <c r="D31" s="21">
        <f si="18" t="shared"/>
        <v>0</v>
      </c>
      <c r="E31" s="21">
        <f si="18" t="shared"/>
        <v>4.1399397888918594E-3</v>
      </c>
      <c r="F31" s="21"/>
      <c r="G31" s="21"/>
      <c r="H31" s="95">
        <f si="19" t="shared"/>
        <v>3</v>
      </c>
      <c r="I31" s="21">
        <f si="20" t="shared"/>
        <v>7.8796613222842732E-2</v>
      </c>
      <c r="J31" s="21">
        <f si="20" t="shared"/>
        <v>0.20294736842105263</v>
      </c>
      <c r="K31" s="21">
        <f si="20" t="shared"/>
        <v>6.8935427574171024E-2</v>
      </c>
      <c r="L31" s="21">
        <f si="20" t="shared"/>
        <v>8.7862898068806747E-2</v>
      </c>
      <c r="O31" s="95">
        <f si="21" t="shared"/>
        <v>3</v>
      </c>
      <c r="P31" s="21">
        <f si="22" t="shared"/>
        <v>7.4158815600643607E-2</v>
      </c>
      <c r="Q31" s="21">
        <f si="23" t="shared"/>
        <v>0.20294736842105263</v>
      </c>
      <c r="R31" s="21">
        <f si="24" t="shared"/>
        <v>6.8935427574171024E-2</v>
      </c>
      <c r="S31" s="21">
        <f si="25" t="shared"/>
        <v>8.3722958279914883E-2</v>
      </c>
    </row>
    <row r="32" spans="1:19" x14ac:dyDescent="0.25">
      <c r="A32" s="95">
        <f si="17" t="shared"/>
        <v>4</v>
      </c>
      <c r="B32" s="21">
        <f si="18" t="shared"/>
        <v>2.0138090635993151E-2</v>
      </c>
      <c r="C32" s="21">
        <f si="18" t="shared"/>
        <v>0.10371834275226517</v>
      </c>
      <c r="D32" s="21">
        <f si="18" t="shared"/>
        <v>1.4126408830495785E-2</v>
      </c>
      <c r="E32" s="21">
        <f si="18" t="shared"/>
        <v>2.8109753562839398E-2</v>
      </c>
      <c r="F32" s="21"/>
      <c r="G32" s="21"/>
      <c r="H32" s="95">
        <f si="19" t="shared"/>
        <v>4</v>
      </c>
      <c r="I32" s="21">
        <f si="20" t="shared"/>
        <v>6.7803000549838982E-2</v>
      </c>
      <c r="J32" s="21">
        <f si="20" t="shared"/>
        <v>0.17713735368202696</v>
      </c>
      <c r="K32" s="21">
        <f si="20" t="shared"/>
        <v>6.4798071127185053E-2</v>
      </c>
      <c r="L32" s="21">
        <f si="20" t="shared"/>
        <v>7.7676948536393481E-2</v>
      </c>
      <c r="O32" s="95">
        <f si="21" t="shared"/>
        <v>4</v>
      </c>
      <c r="P32" s="21">
        <f si="22" t="shared"/>
        <v>4.7664909913845831E-2</v>
      </c>
      <c r="Q32" s="21">
        <f si="23" t="shared"/>
        <v>7.3419010929761788E-2</v>
      </c>
      <c r="R32" s="21">
        <f si="24" t="shared"/>
        <v>5.067166229668927E-2</v>
      </c>
      <c r="S32" s="21">
        <f si="25" t="shared"/>
        <v>4.956719497355408E-2</v>
      </c>
    </row>
    <row r="33" spans="1:19" x14ac:dyDescent="0.25">
      <c r="A33" s="95">
        <f si="17" t="shared"/>
        <v>5</v>
      </c>
      <c r="B33" s="21">
        <f si="18" t="shared"/>
        <v>2.4155226160680904E-2</v>
      </c>
      <c r="C33" s="21">
        <f si="18" t="shared"/>
        <v>0.1784694070406645</v>
      </c>
      <c r="D33" s="21">
        <f si="18" t="shared"/>
        <v>3.602485259383742E-2</v>
      </c>
      <c r="E33" s="21">
        <f si="18" t="shared"/>
        <v>4.3232453400951318E-2</v>
      </c>
      <c r="F33" s="21"/>
      <c r="G33" s="21"/>
      <c r="H33" s="95">
        <f si="19" t="shared"/>
        <v>5</v>
      </c>
      <c r="I33" s="21">
        <f si="20" t="shared"/>
        <v>7.7778255325854931E-2</v>
      </c>
      <c r="J33" s="21">
        <f si="20" t="shared"/>
        <v>0.21474358974358973</v>
      </c>
      <c r="K33" s="21">
        <f si="20" t="shared"/>
        <v>8.4932821497120919E-2</v>
      </c>
      <c r="L33" s="21">
        <f si="20" t="shared"/>
        <v>9.0734989012607875E-2</v>
      </c>
      <c r="O33" s="95">
        <f si="21" t="shared"/>
        <v>5</v>
      </c>
      <c r="P33" s="21">
        <f si="22" t="shared"/>
        <v>5.362302916517403E-2</v>
      </c>
      <c r="Q33" s="21">
        <f si="23" t="shared"/>
        <v>3.6274182702925234E-2</v>
      </c>
      <c r="R33" s="21">
        <f si="24" t="shared"/>
        <v>4.89079689032835E-2</v>
      </c>
      <c r="S33" s="21">
        <f si="25" t="shared"/>
        <v>4.7502535611656557E-2</v>
      </c>
    </row>
    <row r="34" spans="1:19" x14ac:dyDescent="0.25">
      <c r="A34" s="95">
        <f si="17" t="shared"/>
        <v>6</v>
      </c>
      <c r="B34" s="21">
        <f si="18" t="shared"/>
        <v>3.9336460437872478E-2</v>
      </c>
      <c r="C34" s="21">
        <f si="18" t="shared"/>
        <v>6.9488474098409012E-2</v>
      </c>
      <c r="D34" s="21">
        <f si="18" t="shared"/>
        <v>0</v>
      </c>
      <c r="E34" s="21">
        <f si="18" t="shared"/>
        <v>4.2301358918722373E-2</v>
      </c>
      <c r="F34" s="21"/>
      <c r="G34" s="21"/>
      <c r="H34" s="95">
        <f si="19" t="shared"/>
        <v>6</v>
      </c>
      <c r="I34" s="21">
        <f si="20" t="shared"/>
        <v>6.0340074046566064E-2</v>
      </c>
      <c r="J34" s="21">
        <f si="20" t="shared"/>
        <v>0.18023858921161826</v>
      </c>
      <c r="K34" s="21">
        <f si="20" t="shared"/>
        <v>8.1767955801104977E-2</v>
      </c>
      <c r="L34" s="21">
        <f si="20" t="shared"/>
        <v>7.4350920055067576E-2</v>
      </c>
      <c r="O34" s="95">
        <f si="21" t="shared"/>
        <v>6</v>
      </c>
      <c r="P34" s="21">
        <f si="22" t="shared"/>
        <v>2.1003613608693586E-2</v>
      </c>
      <c r="Q34" s="21">
        <f si="23" t="shared"/>
        <v>0.11075011511320924</v>
      </c>
      <c r="R34" s="21">
        <f si="24" t="shared"/>
        <v>8.1767955801104977E-2</v>
      </c>
      <c r="S34" s="21">
        <f si="25" t="shared"/>
        <v>3.2049561136345203E-2</v>
      </c>
    </row>
    <row customFormat="1" r="35" s="95" spans="1:19" x14ac:dyDescent="0.25">
      <c r="A35" s="6">
        <v>7</v>
      </c>
      <c r="B35" s="94">
        <f si="18" t="shared"/>
        <v>3.1936041433292948E-2</v>
      </c>
      <c r="C35" s="94">
        <f si="18" t="shared"/>
        <v>0.12758866406769967</v>
      </c>
      <c r="D35" s="94">
        <f si="18" t="shared"/>
        <v>0</v>
      </c>
      <c r="E35" s="94">
        <f si="18" t="shared"/>
        <v>4.241774433110642E-2</v>
      </c>
      <c r="F35" s="21"/>
      <c r="G35" s="21"/>
      <c r="H35" s="6">
        <v>7</v>
      </c>
      <c r="I35" s="94">
        <f si="20" t="shared"/>
        <v>6.928252875361865E-2</v>
      </c>
      <c r="J35" s="94">
        <f si="20" t="shared"/>
        <v>0.18084227910817507</v>
      </c>
      <c r="K35" s="94">
        <f si="20" t="shared"/>
        <v>8.0705505077498657E-2</v>
      </c>
      <c r="L35" s="94">
        <f si="20" t="shared"/>
        <v>8.1083827265029634E-2</v>
      </c>
      <c r="O35" s="6">
        <v>7</v>
      </c>
      <c r="P35" s="94">
        <f si="22" t="shared"/>
        <v>3.7346487320325701E-2</v>
      </c>
      <c r="Q35" s="94">
        <f si="23" t="shared"/>
        <v>5.3253615040475405E-2</v>
      </c>
      <c r="R35" s="94">
        <f si="24" t="shared"/>
        <v>8.0705505077498657E-2</v>
      </c>
      <c r="S35" s="94">
        <f si="25" t="shared"/>
        <v>3.8666082933923214E-2</v>
      </c>
    </row>
    <row ht="15.75" r="36" spans="1:19" thickBot="1" x14ac:dyDescent="0.3">
      <c r="A36" s="17" t="s">
        <v>3</v>
      </c>
      <c r="B36" s="22">
        <f si="18" t="shared"/>
        <v>2.2930559978292339E-2</v>
      </c>
      <c r="C36" s="22">
        <f si="18" t="shared"/>
        <v>0.11650920444567932</v>
      </c>
      <c r="D36" s="22">
        <f si="18" t="shared"/>
        <v>3.4491725364663099E-2</v>
      </c>
      <c r="E36" s="22">
        <f si="18" t="shared"/>
        <v>3.3599307255543685E-2</v>
      </c>
      <c r="F36" s="7"/>
      <c r="H36" s="17" t="s">
        <v>3</v>
      </c>
      <c r="I36" s="22">
        <f si="20" t="shared"/>
        <v>6.6127557569115175E-2</v>
      </c>
      <c r="J36" s="22">
        <f si="20" t="shared"/>
        <v>0.18172951112168431</v>
      </c>
      <c r="K36" s="22">
        <f si="20" t="shared"/>
        <v>6.1036195883605392E-2</v>
      </c>
      <c r="L36" s="22">
        <f si="20" t="shared"/>
        <v>7.8115282765261695E-2</v>
      </c>
      <c r="O36" s="17" t="s">
        <v>3</v>
      </c>
      <c r="P36" s="22">
        <f>I36-B36</f>
        <v>4.3196997590822836E-2</v>
      </c>
      <c r="Q36" s="22">
        <f>J36-C36</f>
        <v>6.5220306676004994E-2</v>
      </c>
      <c r="R36" s="22">
        <f>K36-D36</f>
        <v>2.6544470518942292E-2</v>
      </c>
      <c r="S36" s="22">
        <f>L36-E36</f>
        <v>4.451597550971801E-2</v>
      </c>
    </row>
  </sheetData>
  <pageMargins bottom="0.75" footer="0.3" header="0.3" left="0.7" right="0.7" top="0.75"/>
  <pageSetup orientation="portrait" r:id="rId1"/>
  <ignoredErrors>
    <ignoredError formulaRange="1" sqref="E7:E12"/>
  </ignoredErrors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T48"/>
  <sheetViews>
    <sheetView workbookViewId="0">
      <selection activeCell="N35" sqref="N35"/>
    </sheetView>
  </sheetViews>
  <sheetFormatPr defaultColWidth="8.85546875" defaultRowHeight="15" x14ac:dyDescent="0.25"/>
  <cols>
    <col min="1" max="16384" style="98" width="8.85546875" collapsed="true"/>
  </cols>
  <sheetData>
    <row r="1" spans="1:19" x14ac:dyDescent="0.25">
      <c r="A1" s="98" t="s">
        <v>420</v>
      </c>
    </row>
    <row r="2" spans="1:19" x14ac:dyDescent="0.25">
      <c r="A2" s="98" t="s">
        <v>247</v>
      </c>
    </row>
    <row r="3" spans="1:19" x14ac:dyDescent="0.25">
      <c r="A3" s="98" t="s">
        <v>421</v>
      </c>
    </row>
    <row ht="15.75" r="5" spans="1:19" thickBot="1" x14ac:dyDescent="0.3">
      <c r="A5" s="205" t="s">
        <v>422</v>
      </c>
      <c r="B5" s="206"/>
      <c r="C5" s="206"/>
      <c r="D5" s="206"/>
      <c r="E5" s="206"/>
      <c r="H5" s="205" t="s">
        <v>423</v>
      </c>
      <c r="I5" s="206"/>
      <c r="J5" s="206"/>
      <c r="K5" s="206"/>
      <c r="L5" s="206"/>
      <c r="O5" s="205" t="s">
        <v>424</v>
      </c>
      <c r="P5" s="206"/>
      <c r="Q5" s="206"/>
      <c r="R5" s="206"/>
      <c r="S5" s="206"/>
    </row>
    <row r="6" spans="1:19" x14ac:dyDescent="0.25">
      <c r="A6" s="207" t="s">
        <v>425</v>
      </c>
      <c r="B6" s="208" t="s">
        <v>8</v>
      </c>
      <c r="C6" s="208" t="s">
        <v>9</v>
      </c>
      <c r="D6" s="208" t="s">
        <v>10</v>
      </c>
      <c r="E6" s="208" t="s">
        <v>3</v>
      </c>
      <c r="H6" s="207" t="str">
        <f ref="H6:H17" si="0" t="shared">A6</f>
        <v>County/District</v>
      </c>
      <c r="I6" s="208" t="s">
        <v>8</v>
      </c>
      <c r="J6" s="208" t="s">
        <v>9</v>
      </c>
      <c r="K6" s="208" t="s">
        <v>10</v>
      </c>
      <c r="L6" s="208" t="s">
        <v>3</v>
      </c>
      <c r="O6" s="207" t="str">
        <f>A6</f>
        <v>County/District</v>
      </c>
      <c r="P6" s="208" t="s">
        <v>8</v>
      </c>
      <c r="Q6" s="208" t="s">
        <v>9</v>
      </c>
      <c r="R6" s="208" t="s">
        <v>10</v>
      </c>
      <c r="S6" s="208" t="s">
        <v>3</v>
      </c>
    </row>
    <row r="7" spans="1:19" x14ac:dyDescent="0.25">
      <c r="A7" s="99">
        <v>1</v>
      </c>
      <c r="B7" s="209">
        <v>0</v>
      </c>
      <c r="C7" s="209">
        <v>0</v>
      </c>
      <c r="D7" s="209">
        <v>0</v>
      </c>
      <c r="E7" s="209">
        <f ref="E7:E17" si="1" t="shared">SUM(B7:D7)</f>
        <v>0</v>
      </c>
      <c r="F7" s="209"/>
      <c r="G7" s="209"/>
      <c r="H7" s="98">
        <f si="0" t="shared"/>
        <v>1</v>
      </c>
      <c r="I7" s="209" t="n">
        <v>25554.0</v>
      </c>
      <c r="J7" s="209" t="n">
        <v>3139.0</v>
      </c>
      <c r="K7" s="209" t="n">
        <v>1225.0</v>
      </c>
      <c r="L7" s="209">
        <f ref="L7:L17" si="2" t="shared">SUM(I7:K7)</f>
        <v>27724.164759115451</v>
      </c>
      <c r="O7" s="98">
        <f ref="O7:O17" si="3" t="shared">H7</f>
        <v>1</v>
      </c>
      <c r="P7" s="209"/>
      <c r="Q7" s="209"/>
      <c r="R7" s="209"/>
      <c r="S7" s="209">
        <f ref="S7:S18" si="4" t="shared">L7-E7</f>
        <v>27724.164759115451</v>
      </c>
    </row>
    <row r="8" spans="1:19" x14ac:dyDescent="0.25">
      <c r="A8" s="98">
        <v>2</v>
      </c>
      <c r="B8" s="209">
        <v>0</v>
      </c>
      <c r="C8" s="209">
        <v>0</v>
      </c>
      <c r="D8" s="209">
        <v>0</v>
      </c>
      <c r="E8" s="209">
        <f si="1" t="shared"/>
        <v>0</v>
      </c>
      <c r="F8" s="209"/>
      <c r="G8" s="209"/>
      <c r="H8" s="98">
        <f si="0" t="shared"/>
        <v>2</v>
      </c>
      <c r="I8" s="209" t="n">
        <v>4635.0</v>
      </c>
      <c r="J8" s="209" t="n">
        <v>542.0</v>
      </c>
      <c r="K8" s="209" t="n">
        <v>248.0</v>
      </c>
      <c r="L8" s="209">
        <f si="2" t="shared"/>
        <v>20212.403087812181</v>
      </c>
      <c r="O8" s="98">
        <f si="3" t="shared"/>
        <v>2</v>
      </c>
      <c r="P8" s="209"/>
      <c r="Q8" s="209"/>
      <c r="R8" s="209"/>
      <c r="S8" s="209">
        <f si="4" t="shared"/>
        <v>20212.403087812181</v>
      </c>
    </row>
    <row r="9" spans="1:19" x14ac:dyDescent="0.25">
      <c r="A9" s="98">
        <v>3</v>
      </c>
      <c r="B9" s="209">
        <v>0</v>
      </c>
      <c r="C9" s="209">
        <v>0</v>
      </c>
      <c r="D9" s="209">
        <v>0</v>
      </c>
      <c r="E9" s="209">
        <f si="1" t="shared"/>
        <v>0</v>
      </c>
      <c r="F9" s="209"/>
      <c r="G9" s="209"/>
      <c r="H9" s="98">
        <f si="0" t="shared"/>
        <v>3</v>
      </c>
      <c r="I9" s="209" t="n">
        <v>4353.0</v>
      </c>
      <c r="J9" s="209" t="n">
        <v>431.0</v>
      </c>
      <c r="K9" s="209" t="n">
        <v>346.0</v>
      </c>
      <c r="L9" s="209">
        <f si="2" t="shared"/>
        <v>22609.939913821261</v>
      </c>
      <c r="O9" s="98">
        <f si="3" t="shared"/>
        <v>3</v>
      </c>
      <c r="P9" s="209"/>
      <c r="Q9" s="209"/>
      <c r="R9" s="209"/>
      <c r="S9" s="209">
        <f si="4" t="shared"/>
        <v>22609.939913821261</v>
      </c>
    </row>
    <row r="10" spans="1:19" x14ac:dyDescent="0.25">
      <c r="A10" s="98">
        <v>4</v>
      </c>
      <c r="B10" s="209">
        <v>0</v>
      </c>
      <c r="C10" s="209">
        <v>0</v>
      </c>
      <c r="D10" s="209">
        <v>0</v>
      </c>
      <c r="E10" s="209">
        <f si="1" t="shared"/>
        <v>0</v>
      </c>
      <c r="F10" s="209"/>
      <c r="G10" s="209"/>
      <c r="H10" s="98">
        <f si="0" t="shared"/>
        <v>4</v>
      </c>
      <c r="I10" s="209" t="n">
        <v>8710.0</v>
      </c>
      <c r="J10" s="209" t="n">
        <v>968.0</v>
      </c>
      <c r="K10" s="209" t="n">
        <v>467.0</v>
      </c>
      <c r="L10" s="209">
        <f si="2" t="shared"/>
        <v>21800.069382785361</v>
      </c>
      <c r="O10" s="98">
        <f si="3" t="shared"/>
        <v>4</v>
      </c>
      <c r="P10" s="209"/>
      <c r="Q10" s="209"/>
      <c r="R10" s="209"/>
      <c r="S10" s="209">
        <f si="4" t="shared"/>
        <v>21800.069382785361</v>
      </c>
    </row>
    <row r="11" spans="1:19" x14ac:dyDescent="0.25">
      <c r="A11" s="98">
        <v>5</v>
      </c>
      <c r="B11" s="209">
        <v>0</v>
      </c>
      <c r="C11" s="209">
        <v>0</v>
      </c>
      <c r="D11" s="209">
        <v>0</v>
      </c>
      <c r="E11" s="209">
        <f si="1" t="shared"/>
        <v>0</v>
      </c>
      <c r="F11" s="209"/>
      <c r="G11" s="209"/>
      <c r="H11" s="98">
        <f si="0" t="shared"/>
        <v>5</v>
      </c>
      <c r="I11" s="209" t="n">
        <v>6033.0</v>
      </c>
      <c r="J11" s="209" t="n">
        <v>716.0</v>
      </c>
      <c r="K11" s="209" t="n">
        <v>315.0</v>
      </c>
      <c r="L11" s="209">
        <f si="2" t="shared"/>
        <v>15542.598101217272</v>
      </c>
      <c r="O11" s="98">
        <f si="3" t="shared"/>
        <v>5</v>
      </c>
      <c r="P11" s="209"/>
      <c r="Q11" s="209"/>
      <c r="R11" s="209"/>
      <c r="S11" s="209">
        <f si="4" t="shared"/>
        <v>15542.598101217272</v>
      </c>
    </row>
    <row r="12" spans="1:19" x14ac:dyDescent="0.25">
      <c r="A12" s="98">
        <v>6</v>
      </c>
      <c r="B12" s="209">
        <v>0</v>
      </c>
      <c r="C12" s="209">
        <v>0</v>
      </c>
      <c r="D12" s="209">
        <v>0</v>
      </c>
      <c r="E12" s="209">
        <f si="1" t="shared"/>
        <v>0</v>
      </c>
      <c r="F12" s="209"/>
      <c r="G12" s="209"/>
      <c r="H12" s="98">
        <f si="0" t="shared"/>
        <v>6</v>
      </c>
      <c r="I12" s="209" t="n">
        <v>6588.0</v>
      </c>
      <c r="J12" s="209" t="n">
        <v>907.0</v>
      </c>
      <c r="K12" s="209" t="n">
        <v>288.0</v>
      </c>
      <c r="L12" s="209">
        <f si="2" t="shared"/>
        <v>46164.850633574497</v>
      </c>
      <c r="O12" s="98">
        <f si="3" t="shared"/>
        <v>6</v>
      </c>
      <c r="P12" s="209"/>
      <c r="Q12" s="209"/>
      <c r="R12" s="209"/>
      <c r="S12" s="209">
        <f si="4" t="shared"/>
        <v>46164.850633574497</v>
      </c>
    </row>
    <row r="13" spans="1:19" x14ac:dyDescent="0.25">
      <c r="A13" s="98">
        <v>7</v>
      </c>
      <c r="B13" s="209">
        <v>0</v>
      </c>
      <c r="C13" s="209">
        <v>0</v>
      </c>
      <c r="D13" s="209">
        <v>0</v>
      </c>
      <c r="E13" s="209">
        <f si="1" t="shared"/>
        <v>0</v>
      </c>
      <c r="F13" s="209"/>
      <c r="G13" s="209"/>
      <c r="H13" s="98">
        <f si="0" t="shared"/>
        <v>7</v>
      </c>
      <c r="I13" s="209" t="n">
        <v>4612.0</v>
      </c>
      <c r="J13" s="209" t="n">
        <v>487.0</v>
      </c>
      <c r="K13" s="209" t="n">
        <v>207.0</v>
      </c>
      <c r="L13" s="209">
        <f si="2" t="shared"/>
        <v>34469.5269434742</v>
      </c>
      <c r="O13" s="98">
        <f si="3" t="shared"/>
        <v>7</v>
      </c>
      <c r="P13" s="209"/>
      <c r="Q13" s="209"/>
      <c r="R13" s="209"/>
      <c r="S13" s="209">
        <f si="4" t="shared"/>
        <v>34469.5269434742</v>
      </c>
    </row>
    <row r="14" spans="1:19" x14ac:dyDescent="0.25">
      <c r="A14" s="98">
        <v>8</v>
      </c>
      <c r="B14" s="209">
        <v>5284.9459619472937</v>
      </c>
      <c r="C14" s="209">
        <v>36.828138704388302</v>
      </c>
      <c r="D14" s="209">
        <v>0</v>
      </c>
      <c r="E14" s="209">
        <f si="1" t="shared"/>
        <v>5321.7741006516817</v>
      </c>
      <c r="F14" s="209"/>
      <c r="G14" s="209"/>
      <c r="H14" s="98">
        <f si="0" t="shared"/>
        <v>8</v>
      </c>
      <c r="I14" s="209" t="n">
        <v>0.0</v>
      </c>
      <c r="J14" s="209" t="n">
        <v>0.0</v>
      </c>
      <c r="K14" s="209" t="n">
        <v>0.0</v>
      </c>
      <c r="L14" s="209">
        <f si="2" t="shared"/>
        <v>13764.75</v>
      </c>
      <c r="O14" s="98">
        <f si="3" t="shared"/>
        <v>8</v>
      </c>
      <c r="P14" s="209"/>
      <c r="Q14" s="209"/>
      <c r="R14" s="209"/>
      <c r="S14" s="209">
        <f si="4" t="shared"/>
        <v>8442.9758993483192</v>
      </c>
    </row>
    <row r="15" spans="1:19" x14ac:dyDescent="0.25">
      <c r="A15" s="98">
        <v>9</v>
      </c>
      <c r="B15" s="209">
        <v>0</v>
      </c>
      <c r="C15" s="209">
        <v>0</v>
      </c>
      <c r="D15" s="209">
        <v>0</v>
      </c>
      <c r="E15" s="209">
        <f si="1" t="shared"/>
        <v>0</v>
      </c>
      <c r="F15" s="209"/>
      <c r="G15" s="209"/>
      <c r="H15" s="98">
        <f si="0" t="shared"/>
        <v>9</v>
      </c>
      <c r="I15" s="209" t="n">
        <v>0.0</v>
      </c>
      <c r="J15" s="209" t="n">
        <v>0.0</v>
      </c>
      <c r="K15" s="209" t="n">
        <v>0.0</v>
      </c>
      <c r="L15" s="209">
        <f si="2" t="shared"/>
        <v>11499.357653616486</v>
      </c>
      <c r="O15" s="98">
        <f si="3" t="shared"/>
        <v>9</v>
      </c>
      <c r="P15" s="209"/>
      <c r="Q15" s="209"/>
      <c r="R15" s="209"/>
      <c r="S15" s="209">
        <f si="4" t="shared"/>
        <v>11499.357653616486</v>
      </c>
    </row>
    <row r="16" spans="1:19" x14ac:dyDescent="0.25">
      <c r="A16" s="98">
        <v>10</v>
      </c>
      <c r="B16" s="209">
        <v>19175.72917513263</v>
      </c>
      <c r="C16" s="209">
        <v>1727.0483447222211</v>
      </c>
      <c r="D16" s="209">
        <v>95.650391044409204</v>
      </c>
      <c r="E16" s="209">
        <f si="1" t="shared"/>
        <v>20998.42791089926</v>
      </c>
      <c r="F16" s="209"/>
      <c r="G16" s="209"/>
      <c r="H16" s="98">
        <f si="0" t="shared"/>
        <v>10</v>
      </c>
      <c r="I16" s="209" t="n">
        <v>0.0</v>
      </c>
      <c r="J16" s="209" t="n">
        <v>0.0</v>
      </c>
      <c r="K16" s="209" t="n">
        <v>0.0</v>
      </c>
      <c r="L16" s="209">
        <f si="2" t="shared"/>
        <v>26628.25</v>
      </c>
      <c r="O16" s="98">
        <f si="3" t="shared"/>
        <v>10</v>
      </c>
      <c r="P16" s="209"/>
      <c r="Q16" s="209"/>
      <c r="R16" s="209"/>
      <c r="S16" s="209">
        <f si="4" t="shared"/>
        <v>5629.8220891007404</v>
      </c>
    </row>
    <row r="17" spans="1:19" x14ac:dyDescent="0.25">
      <c r="A17" s="210" t="s">
        <v>426</v>
      </c>
      <c r="B17" s="211">
        <v>0</v>
      </c>
      <c r="C17" s="211">
        <v>0</v>
      </c>
      <c r="D17" s="211">
        <v>0</v>
      </c>
      <c r="E17" s="211">
        <f si="1" t="shared"/>
        <v>0</v>
      </c>
      <c r="F17" s="209"/>
      <c r="G17" s="209"/>
      <c r="H17" s="210" t="str">
        <f si="0" t="shared"/>
        <v>Rest</v>
      </c>
      <c r="I17" s="211" t="n">
        <v>0.0</v>
      </c>
      <c r="J17" s="211" t="n">
        <v>0.0</v>
      </c>
      <c r="K17" s="211" t="n">
        <v>0.0</v>
      </c>
      <c r="L17" s="211">
        <f si="2" t="shared"/>
        <v>0</v>
      </c>
      <c r="O17" s="210" t="str">
        <f si="3" t="shared"/>
        <v>Rest</v>
      </c>
      <c r="P17" s="211"/>
      <c r="Q17" s="211"/>
      <c r="R17" s="211"/>
      <c r="S17" s="211">
        <f si="4" t="shared"/>
        <v>0</v>
      </c>
    </row>
    <row ht="15.75" r="18" spans="1:19" thickBot="1" x14ac:dyDescent="0.3">
      <c r="A18" s="212" t="s">
        <v>3</v>
      </c>
      <c r="B18" s="212">
        <f>SUM(B7:B17)</f>
        <v>24460.675137079925</v>
      </c>
      <c r="C18" s="212">
        <f>SUM(C7:C17)</f>
        <v>1763.8764834266094</v>
      </c>
      <c r="D18" s="212">
        <f>SUM(D7:D17)</f>
        <v>95.650391044409204</v>
      </c>
      <c r="E18" s="212">
        <f>SUM(E7:E17)</f>
        <v>26320.20201155094</v>
      </c>
      <c r="F18" s="209"/>
      <c r="G18" s="209"/>
      <c r="H18" s="212" t="s">
        <v>3</v>
      </c>
      <c r="I18" s="212">
        <f>SUM(I7:I17)</f>
        <v>201978.66668924456</v>
      </c>
      <c r="J18" s="212">
        <f>SUM(J7:J17)</f>
        <v>30551.985582604346</v>
      </c>
      <c r="K18" s="212">
        <f>SUM(K7:K17)</f>
        <v>7885.2582035677897</v>
      </c>
      <c r="L18" s="212">
        <f>SUM(L7:L17)</f>
        <v>240415.91047541672</v>
      </c>
      <c r="O18" s="212" t="s">
        <v>3</v>
      </c>
      <c r="P18" s="212">
        <f>I18-B18</f>
        <v>177517.99155216463</v>
      </c>
      <c r="Q18" s="212">
        <f>J18-C18</f>
        <v>28788.109099177738</v>
      </c>
      <c r="R18" s="212">
        <f>K18-D18</f>
        <v>7789.6078125233807</v>
      </c>
      <c r="S18" s="212">
        <f si="4" t="shared"/>
        <v>214095.70846386577</v>
      </c>
    </row>
    <row r="19" spans="1:19" x14ac:dyDescent="0.25">
      <c r="B19" s="209"/>
      <c r="C19" s="209"/>
      <c r="D19" s="209"/>
      <c r="E19" s="209"/>
      <c r="F19" s="209"/>
      <c r="G19" s="209"/>
      <c r="H19" s="209"/>
      <c r="I19" s="209"/>
      <c r="J19" s="209"/>
      <c r="K19" s="209"/>
      <c r="L19" s="209"/>
      <c r="O19" s="209"/>
      <c r="P19" s="209"/>
      <c r="Q19" s="209"/>
      <c r="R19" s="209"/>
      <c r="S19" s="209"/>
    </row>
    <row ht="15.75" r="20" spans="1:19" thickBot="1" x14ac:dyDescent="0.3">
      <c r="A20" s="205" t="s">
        <v>206</v>
      </c>
      <c r="B20" s="212"/>
      <c r="C20" s="212"/>
      <c r="D20" s="212"/>
      <c r="E20" s="212"/>
      <c r="F20" s="209"/>
      <c r="G20" s="209"/>
      <c r="H20" s="213" t="s">
        <v>38</v>
      </c>
      <c r="I20" s="212"/>
      <c r="J20" s="212"/>
      <c r="K20" s="212"/>
      <c r="L20" s="212"/>
      <c r="O20" s="213" t="s">
        <v>54</v>
      </c>
      <c r="P20" s="212"/>
      <c r="Q20" s="212"/>
      <c r="R20" s="212"/>
      <c r="S20" s="212"/>
    </row>
    <row r="21" spans="1:19" x14ac:dyDescent="0.25">
      <c r="A21" s="207" t="str">
        <f ref="A21:A32" si="5" t="shared">A6</f>
        <v>County/District</v>
      </c>
      <c r="B21" s="208" t="s">
        <v>8</v>
      </c>
      <c r="C21" s="208" t="s">
        <v>9</v>
      </c>
      <c r="D21" s="208" t="s">
        <v>10</v>
      </c>
      <c r="E21" s="208" t="s">
        <v>3</v>
      </c>
      <c r="F21" s="209"/>
      <c r="G21" s="209"/>
      <c r="H21" s="214" t="str">
        <f ref="H21:H32" si="6" t="shared">A21</f>
        <v>County/District</v>
      </c>
      <c r="I21" s="215" t="s">
        <v>8</v>
      </c>
      <c r="J21" s="215" t="s">
        <v>9</v>
      </c>
      <c r="K21" s="215" t="s">
        <v>10</v>
      </c>
      <c r="L21" s="215" t="s">
        <v>3</v>
      </c>
      <c r="O21" s="214" t="str">
        <f>A21</f>
        <v>County/District</v>
      </c>
      <c r="P21" s="215" t="s">
        <v>8</v>
      </c>
      <c r="Q21" s="215" t="s">
        <v>9</v>
      </c>
      <c r="R21" s="215" t="s">
        <v>10</v>
      </c>
      <c r="S21" s="215" t="s">
        <v>3</v>
      </c>
    </row>
    <row r="22" spans="1:19" x14ac:dyDescent="0.25">
      <c r="A22" s="98">
        <f si="5" t="shared"/>
        <v>1</v>
      </c>
      <c r="B22" s="209">
        <v>0</v>
      </c>
      <c r="C22" s="209">
        <v>0</v>
      </c>
      <c r="D22" s="209">
        <v>0</v>
      </c>
      <c r="E22" s="209">
        <f ref="E22:E32" si="7" t="shared">SUM(B22:D22)</f>
        <v>0</v>
      </c>
      <c r="F22" s="209"/>
      <c r="G22" s="209"/>
      <c r="H22" s="98">
        <f si="6" t="shared"/>
        <v>1</v>
      </c>
      <c r="I22" s="209" t="n">
        <v>336427.0</v>
      </c>
      <c r="J22" s="209" t="n">
        <v>43704.0</v>
      </c>
      <c r="K22" s="209" t="n">
        <v>16597.0</v>
      </c>
      <c r="L22" s="209">
        <f ref="L22:L32" si="8" t="shared">SUM(I22:K22)</f>
        <v>322208.90566292562</v>
      </c>
      <c r="O22" s="98">
        <f ref="O22:O32" si="9" t="shared">H22</f>
        <v>1</v>
      </c>
      <c r="P22" s="209"/>
      <c r="Q22" s="209"/>
      <c r="R22" s="209"/>
      <c r="S22" s="209">
        <f ref="S22:S33" si="10" t="shared">L22-E22</f>
        <v>322208.90566292562</v>
      </c>
    </row>
    <row r="23" spans="1:19" x14ac:dyDescent="0.25">
      <c r="A23" s="98">
        <f si="5" t="shared"/>
        <v>2</v>
      </c>
      <c r="B23" s="209">
        <v>0</v>
      </c>
      <c r="C23" s="209">
        <v>0</v>
      </c>
      <c r="D23" s="209">
        <v>0</v>
      </c>
      <c r="E23" s="209">
        <f si="7" t="shared"/>
        <v>0</v>
      </c>
      <c r="F23" s="209"/>
      <c r="G23" s="209"/>
      <c r="H23" s="98">
        <f si="6" t="shared"/>
        <v>2</v>
      </c>
      <c r="I23" s="209" t="n">
        <v>64806.0</v>
      </c>
      <c r="J23" s="209" t="n">
        <v>8364.0</v>
      </c>
      <c r="K23" s="209" t="n">
        <v>3500.0</v>
      </c>
      <c r="L23" s="209">
        <f si="8" t="shared"/>
        <v>229471.77318678331</v>
      </c>
      <c r="O23" s="98">
        <f si="9" t="shared"/>
        <v>2</v>
      </c>
      <c r="P23" s="209"/>
      <c r="Q23" s="209"/>
      <c r="R23" s="209"/>
      <c r="S23" s="209">
        <f si="10" t="shared"/>
        <v>229471.77318678331</v>
      </c>
    </row>
    <row r="24" spans="1:19" x14ac:dyDescent="0.25">
      <c r="A24" s="98">
        <f si="5" t="shared"/>
        <v>3</v>
      </c>
      <c r="B24" s="209">
        <v>0</v>
      </c>
      <c r="C24" s="209">
        <v>0</v>
      </c>
      <c r="D24" s="209">
        <v>0</v>
      </c>
      <c r="E24" s="209">
        <f si="7" t="shared"/>
        <v>0</v>
      </c>
      <c r="F24" s="209"/>
      <c r="G24" s="209"/>
      <c r="H24" s="98">
        <f si="6" t="shared"/>
        <v>3</v>
      </c>
      <c r="I24" s="209" t="n">
        <v>57937.0</v>
      </c>
      <c r="J24" s="209" t="n">
        <v>6394.0</v>
      </c>
      <c r="K24" s="209" t="n">
        <v>4840.0</v>
      </c>
      <c r="L24" s="209">
        <f si="8" t="shared"/>
        <v>234328.70869562108</v>
      </c>
      <c r="O24" s="98">
        <f si="9" t="shared"/>
        <v>3</v>
      </c>
      <c r="P24" s="209"/>
      <c r="Q24" s="209"/>
      <c r="R24" s="209"/>
      <c r="S24" s="209">
        <f si="10" t="shared"/>
        <v>234328.70869562108</v>
      </c>
    </row>
    <row r="25" spans="1:19" x14ac:dyDescent="0.25">
      <c r="A25" s="98">
        <f si="5" t="shared"/>
        <v>4</v>
      </c>
      <c r="B25" s="209">
        <v>0</v>
      </c>
      <c r="C25" s="209">
        <v>0</v>
      </c>
      <c r="D25" s="209">
        <v>0</v>
      </c>
      <c r="E25" s="209">
        <f si="7" t="shared"/>
        <v>0</v>
      </c>
      <c r="F25" s="209"/>
      <c r="G25" s="209"/>
      <c r="H25" s="98">
        <f si="6" t="shared"/>
        <v>4</v>
      </c>
      <c r="I25" s="209" t="n">
        <v>117741.0</v>
      </c>
      <c r="J25" s="209" t="n">
        <v>14311.0</v>
      </c>
      <c r="K25" s="209" t="n">
        <v>6112.0</v>
      </c>
      <c r="L25" s="209">
        <f si="8" t="shared"/>
        <v>216638.70618057766</v>
      </c>
      <c r="O25" s="98">
        <f si="9" t="shared"/>
        <v>4</v>
      </c>
      <c r="P25" s="209"/>
      <c r="Q25" s="209"/>
      <c r="R25" s="209"/>
      <c r="S25" s="209">
        <f si="10" t="shared"/>
        <v>216638.70618057766</v>
      </c>
    </row>
    <row r="26" spans="1:19" x14ac:dyDescent="0.25">
      <c r="A26" s="98">
        <f si="5" t="shared"/>
        <v>5</v>
      </c>
      <c r="B26" s="209">
        <v>0</v>
      </c>
      <c r="C26" s="209">
        <v>0</v>
      </c>
      <c r="D26" s="209">
        <v>0</v>
      </c>
      <c r="E26" s="209">
        <f si="7" t="shared"/>
        <v>0</v>
      </c>
      <c r="F26" s="209"/>
      <c r="G26" s="209"/>
      <c r="H26" s="98">
        <f si="6" t="shared"/>
        <v>5</v>
      </c>
      <c r="I26" s="209" t="n">
        <v>78189.0</v>
      </c>
      <c r="J26" s="209" t="n">
        <v>10421.0</v>
      </c>
      <c r="K26" s="209" t="n">
        <v>3799.0</v>
      </c>
      <c r="L26" s="209">
        <f si="8" t="shared"/>
        <v>164667.76859032284</v>
      </c>
      <c r="O26" s="98">
        <f si="9" t="shared"/>
        <v>5</v>
      </c>
      <c r="P26" s="209"/>
      <c r="Q26" s="209"/>
      <c r="R26" s="209"/>
      <c r="S26" s="209">
        <f si="10" t="shared"/>
        <v>164667.76859032284</v>
      </c>
    </row>
    <row r="27" spans="1:19" x14ac:dyDescent="0.25">
      <c r="A27" s="98">
        <f si="5" t="shared"/>
        <v>6</v>
      </c>
      <c r="B27" s="209">
        <v>0</v>
      </c>
      <c r="C27" s="209">
        <v>0</v>
      </c>
      <c r="D27" s="209">
        <v>0</v>
      </c>
      <c r="E27" s="209">
        <f si="7" t="shared"/>
        <v>0</v>
      </c>
      <c r="F27" s="209"/>
      <c r="G27" s="209"/>
      <c r="H27" s="98">
        <f si="6" t="shared"/>
        <v>6</v>
      </c>
      <c r="I27" s="209" t="n">
        <v>87518.0</v>
      </c>
      <c r="J27" s="209" t="n">
        <v>12046.0</v>
      </c>
      <c r="K27" s="209" t="n">
        <v>3670.0</v>
      </c>
      <c r="L27" s="209">
        <f si="8" t="shared"/>
        <v>458160.1981002778</v>
      </c>
      <c r="O27" s="98">
        <f si="9" t="shared"/>
        <v>6</v>
      </c>
      <c r="P27" s="209"/>
      <c r="Q27" s="209"/>
      <c r="R27" s="209"/>
      <c r="S27" s="209">
        <f si="10" t="shared"/>
        <v>458160.1981002778</v>
      </c>
    </row>
    <row r="28" spans="1:19" x14ac:dyDescent="0.25">
      <c r="A28" s="98">
        <f si="5" t="shared"/>
        <v>7</v>
      </c>
      <c r="B28" s="209">
        <v>0</v>
      </c>
      <c r="C28" s="209">
        <v>0</v>
      </c>
      <c r="D28" s="209">
        <v>0</v>
      </c>
      <c r="E28" s="209">
        <f si="7" t="shared"/>
        <v>0</v>
      </c>
      <c r="F28" s="209"/>
      <c r="G28" s="209"/>
      <c r="H28" s="98">
        <f si="6" t="shared"/>
        <v>7</v>
      </c>
      <c r="I28" s="209" t="n">
        <v>61107.0</v>
      </c>
      <c r="J28" s="209" t="n">
        <v>7827.0</v>
      </c>
      <c r="K28" s="209" t="n">
        <v>2221.0</v>
      </c>
      <c r="L28" s="209">
        <f si="8" t="shared"/>
        <v>392847.15970891813</v>
      </c>
      <c r="O28" s="98">
        <f si="9" t="shared"/>
        <v>7</v>
      </c>
      <c r="P28" s="209"/>
      <c r="Q28" s="209"/>
      <c r="R28" s="209"/>
      <c r="S28" s="209">
        <f si="10" t="shared"/>
        <v>392847.15970891813</v>
      </c>
    </row>
    <row r="29" spans="1:19" x14ac:dyDescent="0.25">
      <c r="A29" s="98">
        <f si="5" t="shared"/>
        <v>8</v>
      </c>
      <c r="B29" s="209">
        <v>98132.244080397184</v>
      </c>
      <c r="C29" s="209">
        <v>23619.182780257517</v>
      </c>
      <c r="D29" s="209">
        <v>4148.3300824863245</v>
      </c>
      <c r="E29" s="209">
        <f si="7" t="shared"/>
        <v>125899.75694314102</v>
      </c>
      <c r="F29" s="209"/>
      <c r="G29" s="209"/>
      <c r="H29" s="98">
        <f si="6" t="shared"/>
        <v>8</v>
      </c>
      <c r="I29" s="209" t="n">
        <v>0.0</v>
      </c>
      <c r="J29" s="209" t="n">
        <v>0.0</v>
      </c>
      <c r="K29" s="209" t="n">
        <v>0.0</v>
      </c>
      <c r="L29" s="209">
        <f si="8" t="shared"/>
        <v>180100</v>
      </c>
      <c r="O29" s="98">
        <f si="9" t="shared"/>
        <v>8</v>
      </c>
      <c r="P29" s="209"/>
      <c r="Q29" s="209"/>
      <c r="R29" s="209"/>
      <c r="S29" s="209">
        <f si="10" t="shared"/>
        <v>54200.243056858977</v>
      </c>
    </row>
    <row r="30" spans="1:19" x14ac:dyDescent="0.25">
      <c r="A30" s="98">
        <f si="5" t="shared"/>
        <v>9</v>
      </c>
      <c r="B30" s="209">
        <v>0</v>
      </c>
      <c r="C30" s="209">
        <v>0</v>
      </c>
      <c r="D30" s="209">
        <v>0</v>
      </c>
      <c r="E30" s="209">
        <f si="7" t="shared"/>
        <v>0</v>
      </c>
      <c r="F30" s="209"/>
      <c r="G30" s="209"/>
      <c r="H30" s="98">
        <f si="6" t="shared"/>
        <v>9</v>
      </c>
      <c r="I30" s="209" t="n">
        <v>0.0</v>
      </c>
      <c r="J30" s="209" t="n">
        <v>0.0</v>
      </c>
      <c r="K30" s="209" t="n">
        <v>0.0</v>
      </c>
      <c r="L30" s="209">
        <f si="8" t="shared"/>
        <v>154128.62609681333</v>
      </c>
      <c r="O30" s="98">
        <f si="9" t="shared"/>
        <v>9</v>
      </c>
      <c r="P30" s="209"/>
      <c r="Q30" s="209"/>
      <c r="R30" s="209"/>
      <c r="S30" s="209">
        <f si="10" t="shared"/>
        <v>154128.62609681333</v>
      </c>
    </row>
    <row r="31" spans="1:19" x14ac:dyDescent="0.25">
      <c r="A31" s="98">
        <f si="5" t="shared"/>
        <v>10</v>
      </c>
      <c r="B31" s="209">
        <v>211452.75591960264</v>
      </c>
      <c r="C31" s="209">
        <v>34060.81721974253</v>
      </c>
      <c r="D31" s="209">
        <v>8132.560116669415</v>
      </c>
      <c r="E31" s="209">
        <f si="7" t="shared"/>
        <v>253646.13325601458</v>
      </c>
      <c r="F31" s="209"/>
      <c r="G31" s="209"/>
      <c r="H31" s="98">
        <f si="6" t="shared"/>
        <v>10</v>
      </c>
      <c r="I31" s="209" t="n">
        <v>0.0</v>
      </c>
      <c r="J31" s="209" t="n">
        <v>0.0</v>
      </c>
      <c r="K31" s="209" t="n">
        <v>0.0</v>
      </c>
      <c r="L31" s="209">
        <f si="8" t="shared"/>
        <v>371191</v>
      </c>
      <c r="O31" s="98">
        <f si="9" t="shared"/>
        <v>10</v>
      </c>
      <c r="P31" s="209"/>
      <c r="Q31" s="209"/>
      <c r="R31" s="209"/>
      <c r="S31" s="209">
        <f si="10" t="shared"/>
        <v>117544.86674398542</v>
      </c>
    </row>
    <row r="32" spans="1:19" x14ac:dyDescent="0.25">
      <c r="A32" s="210" t="str">
        <f si="5" t="shared"/>
        <v>Rest</v>
      </c>
      <c r="B32" s="211">
        <v>0</v>
      </c>
      <c r="C32" s="211">
        <v>0</v>
      </c>
      <c r="D32" s="211">
        <v>0</v>
      </c>
      <c r="E32" s="211">
        <f si="7" t="shared"/>
        <v>0</v>
      </c>
      <c r="F32" s="209"/>
      <c r="G32" s="209"/>
      <c r="H32" s="210" t="str">
        <f si="6" t="shared"/>
        <v>Rest</v>
      </c>
      <c r="I32" s="211" t="n">
        <v>0.0</v>
      </c>
      <c r="J32" s="211" t="n">
        <v>0.0</v>
      </c>
      <c r="K32" s="211" t="n">
        <v>0.0</v>
      </c>
      <c r="L32" s="211">
        <f si="8" t="shared"/>
        <v>0</v>
      </c>
      <c r="O32" s="210" t="str">
        <f si="9" t="shared"/>
        <v>Rest</v>
      </c>
      <c r="P32" s="211"/>
      <c r="Q32" s="211"/>
      <c r="R32" s="211"/>
      <c r="S32" s="211">
        <f si="10" t="shared"/>
        <v>0</v>
      </c>
    </row>
    <row ht="15.75" r="33" spans="1:19" thickBot="1" x14ac:dyDescent="0.3">
      <c r="A33" s="212" t="s">
        <v>3</v>
      </c>
      <c r="B33" s="212">
        <f>SUM(B22:B32)</f>
        <v>309584.99999999983</v>
      </c>
      <c r="C33" s="212">
        <f>SUM(C22:C32)</f>
        <v>57680.000000000044</v>
      </c>
      <c r="D33" s="212">
        <f>SUM(D22:D32)</f>
        <v>12280.89019915574</v>
      </c>
      <c r="E33" s="212">
        <f>SUM(E22:E32)</f>
        <v>379545.8901991556</v>
      </c>
      <c r="F33" s="209"/>
      <c r="G33" s="209"/>
      <c r="H33" s="212" t="s">
        <v>3</v>
      </c>
      <c r="I33" s="212">
        <f>SUM(I22:I32)</f>
        <v>2214121.4282267066</v>
      </c>
      <c r="J33" s="212">
        <f>SUM(J22:J32)</f>
        <v>403535.38245583174</v>
      </c>
      <c r="K33" s="212">
        <f>SUM(K22:K32)</f>
        <v>106086.03553970126</v>
      </c>
      <c r="L33" s="212">
        <f>SUM(L22:L32)</f>
        <v>2723742.84622224</v>
      </c>
      <c r="O33" s="212" t="s">
        <v>3</v>
      </c>
      <c r="P33" s="212">
        <f>I33-B33</f>
        <v>1904536.4282267068</v>
      </c>
      <c r="Q33" s="212">
        <f>J33-C33</f>
        <v>345855.38245583168</v>
      </c>
      <c r="R33" s="212">
        <f>K33-D33</f>
        <v>93805.145340545525</v>
      </c>
      <c r="S33" s="212">
        <f si="10" t="shared"/>
        <v>2344196.9560230845</v>
      </c>
    </row>
    <row ht="15.75" r="35" spans="1:19" thickBot="1" x14ac:dyDescent="0.3">
      <c r="A35" s="205" t="s">
        <v>427</v>
      </c>
      <c r="B35" s="206"/>
      <c r="C35" s="206"/>
      <c r="D35" s="206"/>
      <c r="E35" s="206"/>
      <c r="H35" s="205" t="s">
        <v>428</v>
      </c>
      <c r="I35" s="206"/>
      <c r="J35" s="206"/>
      <c r="K35" s="206"/>
      <c r="L35" s="206"/>
      <c r="O35" s="205" t="s">
        <v>429</v>
      </c>
      <c r="P35" s="206"/>
      <c r="Q35" s="206"/>
      <c r="R35" s="206"/>
      <c r="S35" s="206"/>
    </row>
    <row r="36" spans="1:19" x14ac:dyDescent="0.25">
      <c r="A36" s="207" t="str">
        <f ref="A36:A47" si="11" t="shared">A21</f>
        <v>County/District</v>
      </c>
      <c r="B36" s="208" t="s">
        <v>8</v>
      </c>
      <c r="C36" s="208" t="s">
        <v>9</v>
      </c>
      <c r="D36" s="208" t="s">
        <v>10</v>
      </c>
      <c r="E36" s="208" t="s">
        <v>3</v>
      </c>
      <c r="H36" s="207" t="str">
        <f ref="H36:H47" si="12" t="shared">A36</f>
        <v>County/District</v>
      </c>
      <c r="I36" s="208" t="s">
        <v>8</v>
      </c>
      <c r="J36" s="208" t="s">
        <v>9</v>
      </c>
      <c r="K36" s="208" t="s">
        <v>10</v>
      </c>
      <c r="L36" s="208" t="s">
        <v>3</v>
      </c>
      <c r="O36" s="207"/>
      <c r="P36" s="208" t="s">
        <v>8</v>
      </c>
      <c r="Q36" s="208" t="s">
        <v>9</v>
      </c>
      <c r="R36" s="208" t="s">
        <v>10</v>
      </c>
      <c r="S36" s="208" t="s">
        <v>3</v>
      </c>
    </row>
    <row r="37" spans="1:19" x14ac:dyDescent="0.25">
      <c r="A37" s="98">
        <f si="11" t="shared"/>
        <v>1</v>
      </c>
      <c r="B37" s="216">
        <f ref="B37:E48" si="13" t="shared">IFERROR(B7/B22,0)</f>
        <v>0</v>
      </c>
      <c r="C37" s="216">
        <f si="13" t="shared"/>
        <v>0</v>
      </c>
      <c r="D37" s="216">
        <f si="13" t="shared"/>
        <v>0</v>
      </c>
      <c r="E37" s="216">
        <f si="13" t="shared"/>
        <v>0</v>
      </c>
      <c r="F37" s="217"/>
      <c r="G37" s="217"/>
      <c r="H37" s="98">
        <f si="12" t="shared"/>
        <v>1</v>
      </c>
      <c r="I37" s="216">
        <f ref="I37:L48" si="14" t="shared">IFERROR(I7/I22,0)</f>
        <v>8.8984610436488018E-2</v>
      </c>
      <c r="J37" s="216">
        <f si="14" t="shared"/>
        <v>7.2525339979662665E-2</v>
      </c>
      <c r="K37" s="216">
        <f si="14" t="shared"/>
        <v>7.4228779580526663E-2</v>
      </c>
      <c r="L37" s="216">
        <f si="14" t="shared"/>
        <v>8.6044067286329767E-2</v>
      </c>
      <c r="O37" s="98">
        <f ref="O37:O47" si="15" t="shared">H37</f>
        <v>1</v>
      </c>
      <c r="P37" s="217">
        <f ref="P37:P48" si="16" t="shared">I37-B37</f>
        <v>8.8984610436488018E-2</v>
      </c>
      <c r="Q37" s="217">
        <f ref="Q37:Q48" si="17" t="shared">J37-C37</f>
        <v>7.2525339979662665E-2</v>
      </c>
      <c r="R37" s="217">
        <f ref="R37:R48" si="18" t="shared">K37-D37</f>
        <v>7.4228779580526663E-2</v>
      </c>
      <c r="S37" s="217">
        <f ref="S37:S48" si="19" t="shared">L37-E37</f>
        <v>8.6044067286329767E-2</v>
      </c>
    </row>
    <row r="38" spans="1:19" x14ac:dyDescent="0.25">
      <c r="A38" s="98">
        <f si="11" t="shared"/>
        <v>2</v>
      </c>
      <c r="B38" s="217">
        <f si="13" t="shared"/>
        <v>0</v>
      </c>
      <c r="C38" s="217">
        <f si="13" t="shared"/>
        <v>0</v>
      </c>
      <c r="D38" s="217">
        <f si="13" t="shared"/>
        <v>0</v>
      </c>
      <c r="E38" s="217">
        <f si="13" t="shared"/>
        <v>0</v>
      </c>
      <c r="F38" s="217"/>
      <c r="G38" s="217"/>
      <c r="H38" s="98">
        <f si="12" t="shared"/>
        <v>2</v>
      </c>
      <c r="I38" s="217">
        <f si="14" t="shared"/>
        <v>9.0713384634305172E-2</v>
      </c>
      <c r="J38" s="217">
        <f si="14" t="shared"/>
        <v>7.8343341126404883E-2</v>
      </c>
      <c r="K38" s="217">
        <f si="14" t="shared"/>
        <v>6.4565330089944528E-2</v>
      </c>
      <c r="L38" s="217">
        <f si="14" t="shared"/>
        <v>8.8082306625834439E-2</v>
      </c>
      <c r="O38" s="98">
        <f si="15" t="shared"/>
        <v>2</v>
      </c>
      <c r="P38" s="217">
        <f si="16" t="shared"/>
        <v>9.0713384634305172E-2</v>
      </c>
      <c r="Q38" s="217">
        <f si="17" t="shared"/>
        <v>7.8343341126404883E-2</v>
      </c>
      <c r="R38" s="217">
        <f si="18" t="shared"/>
        <v>6.4565330089944528E-2</v>
      </c>
      <c r="S38" s="217">
        <f si="19" t="shared"/>
        <v>8.8082306625834439E-2</v>
      </c>
    </row>
    <row r="39" spans="1:19" x14ac:dyDescent="0.25">
      <c r="A39" s="98">
        <f si="11" t="shared"/>
        <v>3</v>
      </c>
      <c r="B39" s="217">
        <f si="13" t="shared"/>
        <v>0</v>
      </c>
      <c r="C39" s="217">
        <f si="13" t="shared"/>
        <v>0</v>
      </c>
      <c r="D39" s="217">
        <f si="13" t="shared"/>
        <v>0</v>
      </c>
      <c r="E39" s="217">
        <f si="13" t="shared"/>
        <v>0</v>
      </c>
      <c r="F39" s="217"/>
      <c r="G39" s="217"/>
      <c r="H39" s="98">
        <f si="12" t="shared"/>
        <v>3</v>
      </c>
      <c r="I39" s="217">
        <f si="14" t="shared"/>
        <v>9.9095020342112275E-2</v>
      </c>
      <c r="J39" s="217">
        <f si="14" t="shared"/>
        <v>8.2509541388446739E-2</v>
      </c>
      <c r="K39" s="217">
        <f si="14" t="shared"/>
        <v>9.2015392942721111E-2</v>
      </c>
      <c r="L39" s="217">
        <f si="14" t="shared"/>
        <v>9.6488134295103445E-2</v>
      </c>
      <c r="O39" s="98">
        <f si="15" t="shared"/>
        <v>3</v>
      </c>
      <c r="P39" s="217">
        <f si="16" t="shared"/>
        <v>9.9095020342112275E-2</v>
      </c>
      <c r="Q39" s="217">
        <f si="17" t="shared"/>
        <v>8.2509541388446739E-2</v>
      </c>
      <c r="R39" s="217">
        <f si="18" t="shared"/>
        <v>9.2015392942721111E-2</v>
      </c>
      <c r="S39" s="217">
        <f si="19" t="shared"/>
        <v>9.6488134295103445E-2</v>
      </c>
    </row>
    <row r="40" spans="1:19" x14ac:dyDescent="0.25">
      <c r="A40" s="98">
        <f si="11" t="shared"/>
        <v>4</v>
      </c>
      <c r="B40" s="217">
        <f si="13" t="shared"/>
        <v>0</v>
      </c>
      <c r="C40" s="217">
        <f si="13" t="shared"/>
        <v>0</v>
      </c>
      <c r="D40" s="217">
        <f si="13" t="shared"/>
        <v>0</v>
      </c>
      <c r="E40" s="217">
        <f si="13" t="shared"/>
        <v>0</v>
      </c>
      <c r="F40" s="217"/>
      <c r="G40" s="217"/>
      <c r="H40" s="98">
        <f si="12" t="shared"/>
        <v>4</v>
      </c>
      <c r="I40" s="217">
        <f si="14" t="shared"/>
        <v>0.10300021196563176</v>
      </c>
      <c r="J40" s="217">
        <f si="14" t="shared"/>
        <v>8.4438318494877512E-2</v>
      </c>
      <c r="K40" s="217">
        <f si="14" t="shared"/>
        <v>0.10065130702231188</v>
      </c>
      <c r="L40" s="217">
        <f si="14" t="shared"/>
        <v>0.10062869081490021</v>
      </c>
      <c r="O40" s="98">
        <f si="15" t="shared"/>
        <v>4</v>
      </c>
      <c r="P40" s="217">
        <f si="16" t="shared"/>
        <v>0.10300021196563176</v>
      </c>
      <c r="Q40" s="217">
        <f si="17" t="shared"/>
        <v>8.4438318494877512E-2</v>
      </c>
      <c r="R40" s="217">
        <f si="18" t="shared"/>
        <v>0.10065130702231188</v>
      </c>
      <c r="S40" s="217">
        <f si="19" t="shared"/>
        <v>0.10062869081490021</v>
      </c>
    </row>
    <row r="41" spans="1:19" x14ac:dyDescent="0.25">
      <c r="A41" s="98">
        <f si="11" t="shared"/>
        <v>5</v>
      </c>
      <c r="B41" s="217">
        <f si="13" t="shared"/>
        <v>0</v>
      </c>
      <c r="C41" s="217">
        <f si="13" t="shared"/>
        <v>0</v>
      </c>
      <c r="D41" s="217">
        <f si="13" t="shared"/>
        <v>0</v>
      </c>
      <c r="E41" s="217">
        <f si="13" t="shared"/>
        <v>0</v>
      </c>
      <c r="F41" s="217"/>
      <c r="G41" s="217"/>
      <c r="H41" s="98">
        <f si="12" t="shared"/>
        <v>5</v>
      </c>
      <c r="I41" s="217">
        <f si="14" t="shared"/>
        <v>9.7885990594971814E-2</v>
      </c>
      <c r="J41" s="217">
        <f si="14" t="shared"/>
        <v>7.9860578192966297E-2</v>
      </c>
      <c r="K41" s="217">
        <f si="14" t="shared"/>
        <v>7.5762813356225686E-2</v>
      </c>
      <c r="L41" s="217">
        <f si="14" t="shared"/>
        <v>9.4387615951034856E-2</v>
      </c>
      <c r="O41" s="98">
        <f si="15" t="shared"/>
        <v>5</v>
      </c>
      <c r="P41" s="217">
        <f si="16" t="shared"/>
        <v>9.7885990594971814E-2</v>
      </c>
      <c r="Q41" s="217">
        <f si="17" t="shared"/>
        <v>7.9860578192966297E-2</v>
      </c>
      <c r="R41" s="217">
        <f si="18" t="shared"/>
        <v>7.5762813356225686E-2</v>
      </c>
      <c r="S41" s="217">
        <f si="19" t="shared"/>
        <v>9.4387615951034856E-2</v>
      </c>
    </row>
    <row r="42" spans="1:19" x14ac:dyDescent="0.25">
      <c r="A42" s="98">
        <f si="11" t="shared"/>
        <v>6</v>
      </c>
      <c r="B42" s="217">
        <f si="13" t="shared"/>
        <v>0</v>
      </c>
      <c r="C42" s="217">
        <f si="13" t="shared"/>
        <v>0</v>
      </c>
      <c r="D42" s="217">
        <f si="13" t="shared"/>
        <v>0</v>
      </c>
      <c r="E42" s="217">
        <f si="13" t="shared"/>
        <v>0</v>
      </c>
      <c r="F42" s="217"/>
      <c r="G42" s="217"/>
      <c r="H42" s="98">
        <f si="12" t="shared"/>
        <v>6</v>
      </c>
      <c r="I42" s="217">
        <f si="14" t="shared"/>
        <v>0.10364763311851986</v>
      </c>
      <c r="J42" s="217">
        <f si="14" t="shared"/>
        <v>8.7097126266483249E-2</v>
      </c>
      <c r="K42" s="217">
        <f si="14" t="shared"/>
        <v>8.6433246287556414E-2</v>
      </c>
      <c r="L42" s="217">
        <f si="14" t="shared"/>
        <v>0.10076137304155428</v>
      </c>
      <c r="O42" s="98">
        <f si="15" t="shared"/>
        <v>6</v>
      </c>
      <c r="P42" s="217">
        <f si="16" t="shared"/>
        <v>0.10364763311851986</v>
      </c>
      <c r="Q42" s="217">
        <f si="17" t="shared"/>
        <v>8.7097126266483249E-2</v>
      </c>
      <c r="R42" s="217">
        <f si="18" t="shared"/>
        <v>8.6433246287556414E-2</v>
      </c>
      <c r="S42" s="217">
        <f si="19" t="shared"/>
        <v>0.10076137304155428</v>
      </c>
    </row>
    <row r="43" spans="1:19" x14ac:dyDescent="0.25">
      <c r="A43" s="98">
        <f si="11" t="shared"/>
        <v>7</v>
      </c>
      <c r="B43" s="217">
        <f si="13" t="shared"/>
        <v>0</v>
      </c>
      <c r="C43" s="217">
        <f si="13" t="shared"/>
        <v>0</v>
      </c>
      <c r="D43" s="217">
        <f si="13" t="shared"/>
        <v>0</v>
      </c>
      <c r="E43" s="217">
        <f si="13" t="shared"/>
        <v>0</v>
      </c>
      <c r="F43" s="217"/>
      <c r="G43" s="217"/>
      <c r="H43" s="98">
        <f si="12" t="shared"/>
        <v>7</v>
      </c>
      <c r="I43" s="217">
        <f si="14" t="shared"/>
        <v>9.0318276359427102E-2</v>
      </c>
      <c r="J43" s="217">
        <f si="14" t="shared"/>
        <v>7.6590331611178883E-2</v>
      </c>
      <c r="K43" s="217">
        <f si="14" t="shared"/>
        <v>7.7151916494076961E-2</v>
      </c>
      <c r="L43" s="217">
        <f si="14" t="shared"/>
        <v>8.7742843728371489E-2</v>
      </c>
      <c r="O43" s="98">
        <f si="15" t="shared"/>
        <v>7</v>
      </c>
      <c r="P43" s="217">
        <f si="16" t="shared"/>
        <v>9.0318276359427102E-2</v>
      </c>
      <c r="Q43" s="217">
        <f si="17" t="shared"/>
        <v>7.6590331611178883E-2</v>
      </c>
      <c r="R43" s="217">
        <f si="18" t="shared"/>
        <v>7.7151916494076961E-2</v>
      </c>
      <c r="S43" s="217">
        <f si="19" t="shared"/>
        <v>8.7742843728371489E-2</v>
      </c>
    </row>
    <row r="44" spans="1:19" x14ac:dyDescent="0.25">
      <c r="A44" s="98">
        <f si="11" t="shared"/>
        <v>8</v>
      </c>
      <c r="B44" s="217">
        <f si="13" t="shared"/>
        <v>5.3855346033027385E-2</v>
      </c>
      <c r="C44" s="217">
        <f si="13" t="shared"/>
        <v>1.5592469496942844E-3</v>
      </c>
      <c r="D44" s="217">
        <f si="13" t="shared"/>
        <v>0</v>
      </c>
      <c r="E44" s="217">
        <f si="13" t="shared"/>
        <v>4.2269931490456387E-2</v>
      </c>
      <c r="F44" s="217"/>
      <c r="G44" s="217"/>
      <c r="H44" s="98">
        <f si="12" t="shared"/>
        <v>8</v>
      </c>
      <c r="I44" s="217">
        <f si="14" t="shared"/>
        <v>7.8945068620528136E-2</v>
      </c>
      <c r="J44" s="217">
        <f si="14" t="shared"/>
        <v>6.747935225592383E-2</v>
      </c>
      <c r="K44" s="217">
        <f si="14" t="shared"/>
        <v>6.4453961456102785E-2</v>
      </c>
      <c r="L44" s="217">
        <f si="14" t="shared"/>
        <v>7.6428373126041088E-2</v>
      </c>
      <c r="O44" s="98">
        <f si="15" t="shared"/>
        <v>8</v>
      </c>
      <c r="P44" s="217">
        <f si="16" t="shared"/>
        <v>2.5089722587500751E-2</v>
      </c>
      <c r="Q44" s="217">
        <f si="17" t="shared"/>
        <v>6.5920105306229548E-2</v>
      </c>
      <c r="R44" s="217">
        <f si="18" t="shared"/>
        <v>6.4453961456102785E-2</v>
      </c>
      <c r="S44" s="217">
        <f si="19" t="shared"/>
        <v>3.4158441635584701E-2</v>
      </c>
    </row>
    <row r="45" spans="1:19" x14ac:dyDescent="0.25">
      <c r="A45" s="98">
        <f si="11" t="shared"/>
        <v>9</v>
      </c>
      <c r="B45" s="217">
        <f si="13" t="shared"/>
        <v>0</v>
      </c>
      <c r="C45" s="217">
        <f si="13" t="shared"/>
        <v>0</v>
      </c>
      <c r="D45" s="217">
        <f si="13" t="shared"/>
        <v>0</v>
      </c>
      <c r="E45" s="217">
        <f si="13" t="shared"/>
        <v>0</v>
      </c>
      <c r="F45" s="217"/>
      <c r="G45" s="217"/>
      <c r="H45" s="98">
        <f si="12" t="shared"/>
        <v>9</v>
      </c>
      <c r="I45" s="217">
        <f si="14" t="shared"/>
        <v>7.7287811570667941E-2</v>
      </c>
      <c r="J45" s="217">
        <f si="14" t="shared"/>
        <v>6.4986882561700113E-2</v>
      </c>
      <c r="K45" s="217">
        <f si="14" t="shared"/>
        <v>6.068643428069731E-2</v>
      </c>
      <c r="L45" s="217">
        <f si="14" t="shared"/>
        <v>7.4608837727479352E-2</v>
      </c>
      <c r="O45" s="98">
        <f si="15" t="shared"/>
        <v>9</v>
      </c>
      <c r="P45" s="217">
        <f si="16" t="shared"/>
        <v>7.7287811570667941E-2</v>
      </c>
      <c r="Q45" s="217">
        <f si="17" t="shared"/>
        <v>6.4986882561700113E-2</v>
      </c>
      <c r="R45" s="217">
        <f si="18" t="shared"/>
        <v>6.068643428069731E-2</v>
      </c>
      <c r="S45" s="217">
        <f si="19" t="shared"/>
        <v>7.4608837727479352E-2</v>
      </c>
    </row>
    <row r="46" spans="1:19" x14ac:dyDescent="0.25">
      <c r="A46" s="98">
        <f si="11" t="shared"/>
        <v>10</v>
      </c>
      <c r="B46" s="217">
        <f si="13" t="shared"/>
        <v>9.068564319125505E-2</v>
      </c>
      <c r="C46" s="217">
        <f si="13" t="shared"/>
        <v>5.0704841683046266E-2</v>
      </c>
      <c r="D46" s="217">
        <f si="13" t="shared"/>
        <v>1.1761412110357887E-2</v>
      </c>
      <c r="E46" s="217">
        <f si="13" t="shared"/>
        <v>8.2786311943122567E-2</v>
      </c>
      <c r="F46" s="217"/>
      <c r="G46" s="217"/>
      <c r="H46" s="98">
        <f si="12" t="shared"/>
        <v>10</v>
      </c>
      <c r="I46" s="217">
        <f si="14" t="shared"/>
        <v>7.4456800565731632E-2</v>
      </c>
      <c r="J46" s="217">
        <f si="14" t="shared"/>
        <v>6.2631587956385543E-2</v>
      </c>
      <c r="K46" s="217">
        <f si="14" t="shared"/>
        <v>6.1342306742405532E-2</v>
      </c>
      <c r="L46" s="217">
        <f si="14" t="shared"/>
        <v>7.1737326605440327E-2</v>
      </c>
      <c r="O46" s="98">
        <f si="15" t="shared"/>
        <v>10</v>
      </c>
      <c r="P46" s="217">
        <f si="16" t="shared"/>
        <v>-1.6228842625523418E-2</v>
      </c>
      <c r="Q46" s="217">
        <f si="17" t="shared"/>
        <v>1.1926746273339277E-2</v>
      </c>
      <c r="R46" s="217">
        <f si="18" t="shared"/>
        <v>4.9580894632047644E-2</v>
      </c>
      <c r="S46" s="217">
        <f si="19" t="shared"/>
        <v>-1.1048985337682241E-2</v>
      </c>
    </row>
    <row r="47" spans="1:19" x14ac:dyDescent="0.25">
      <c r="A47" s="210" t="str">
        <f si="11" t="shared"/>
        <v>Rest</v>
      </c>
      <c r="B47" s="218">
        <f si="13" t="shared"/>
        <v>0</v>
      </c>
      <c r="C47" s="218">
        <f si="13" t="shared"/>
        <v>0</v>
      </c>
      <c r="D47" s="218">
        <f si="13" t="shared"/>
        <v>0</v>
      </c>
      <c r="E47" s="218">
        <f si="13" t="shared"/>
        <v>0</v>
      </c>
      <c r="F47" s="217"/>
      <c r="G47" s="217"/>
      <c r="H47" s="210" t="str">
        <f si="12" t="shared"/>
        <v>Rest</v>
      </c>
      <c r="I47" s="218">
        <f si="14" t="shared"/>
        <v>0</v>
      </c>
      <c r="J47" s="218">
        <f si="14" t="shared"/>
        <v>0</v>
      </c>
      <c r="K47" s="218">
        <f si="14" t="shared"/>
        <v>0</v>
      </c>
      <c r="L47" s="218">
        <f si="14" t="shared"/>
        <v>0</v>
      </c>
      <c r="O47" s="210" t="str">
        <f si="15" t="shared"/>
        <v>Rest</v>
      </c>
      <c r="P47" s="218">
        <f si="16" t="shared"/>
        <v>0</v>
      </c>
      <c r="Q47" s="218">
        <f si="17" t="shared"/>
        <v>0</v>
      </c>
      <c r="R47" s="218">
        <f si="18" t="shared"/>
        <v>0</v>
      </c>
      <c r="S47" s="218">
        <f si="19" t="shared"/>
        <v>0</v>
      </c>
    </row>
    <row ht="15.75" r="48" spans="1:19" thickBot="1" x14ac:dyDescent="0.3">
      <c r="A48" s="212" t="s">
        <v>3</v>
      </c>
      <c r="B48" s="219">
        <f si="13" t="shared"/>
        <v>7.9011176694865515E-2</v>
      </c>
      <c r="C48" s="219">
        <f si="13" t="shared"/>
        <v>3.0580382861071568E-2</v>
      </c>
      <c r="D48" s="219">
        <f si="13" t="shared"/>
        <v>7.7885551855992304E-3</v>
      </c>
      <c r="E48" s="219">
        <f si="13" t="shared"/>
        <v>6.934656043236348E-2</v>
      </c>
      <c r="H48" s="212" t="s">
        <v>3</v>
      </c>
      <c r="I48" s="219">
        <f si="14" t="shared"/>
        <v>9.122294022103819E-2</v>
      </c>
      <c r="J48" s="219">
        <f si="14" t="shared"/>
        <v>7.5710797394447457E-2</v>
      </c>
      <c r="K48" s="219">
        <f si="14" t="shared"/>
        <v>7.4328898836235974E-2</v>
      </c>
      <c r="L48" s="219">
        <f si="14" t="shared"/>
        <v>8.8266743245922527E-2</v>
      </c>
      <c r="O48" s="212" t="s">
        <v>3</v>
      </c>
      <c r="P48" s="219">
        <f si="16" t="shared"/>
        <v>1.2211763526172675E-2</v>
      </c>
      <c r="Q48" s="219">
        <f si="17" t="shared"/>
        <v>4.5130414533375893E-2</v>
      </c>
      <c r="R48" s="219">
        <f si="18" t="shared"/>
        <v>6.6540343650636741E-2</v>
      </c>
      <c r="S48" s="219">
        <f si="19" t="shared"/>
        <v>1.8920182813559047E-2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E33"/>
  <sheetViews>
    <sheetView topLeftCell="A4" workbookViewId="0" zoomScale="115" zoomScaleNormal="115">
      <selection activeCell="B21" sqref="B21"/>
    </sheetView>
  </sheetViews>
  <sheetFormatPr defaultRowHeight="15" x14ac:dyDescent="0.25"/>
  <sheetData>
    <row r="1" spans="1:2" x14ac:dyDescent="0.25">
      <c r="A1" s="10" t="s">
        <v>209</v>
      </c>
    </row>
    <row r="11" spans="1:2" x14ac:dyDescent="0.25">
      <c r="A11" s="10" t="s">
        <v>17</v>
      </c>
    </row>
    <row r="12" spans="1:2" x14ac:dyDescent="0.25">
      <c r="A12">
        <v>1</v>
      </c>
      <c r="B12" t="s">
        <v>41</v>
      </c>
    </row>
    <row r="14" spans="1:2" x14ac:dyDescent="0.25">
      <c r="A14">
        <v>2</v>
      </c>
      <c r="B14" t="s">
        <v>210</v>
      </c>
    </row>
    <row r="15" spans="1:2" x14ac:dyDescent="0.25">
      <c r="B15" t="s">
        <v>42</v>
      </c>
    </row>
    <row r="17" spans="1:4" x14ac:dyDescent="0.25">
      <c r="A17">
        <v>3</v>
      </c>
      <c r="B17" t="s">
        <v>43</v>
      </c>
    </row>
    <row r="18" spans="1:4" x14ac:dyDescent="0.25">
      <c r="B18" t="s">
        <v>211</v>
      </c>
    </row>
    <row r="19" spans="1:4" x14ac:dyDescent="0.25">
      <c r="B19" t="s">
        <v>8</v>
      </c>
      <c r="C19" t="s">
        <v>49</v>
      </c>
      <c r="D19" t="s">
        <v>18</v>
      </c>
    </row>
    <row r="20" spans="1:4" x14ac:dyDescent="0.25">
      <c r="B20" t="s">
        <v>9</v>
      </c>
      <c r="C20" t="s">
        <v>50</v>
      </c>
      <c r="D20" t="s">
        <v>19</v>
      </c>
    </row>
    <row r="21" spans="1:4" x14ac:dyDescent="0.25">
      <c r="B21" t="s">
        <v>10</v>
      </c>
      <c r="C21" t="s">
        <v>51</v>
      </c>
      <c r="D21" t="s">
        <v>20</v>
      </c>
    </row>
    <row r="23" spans="1:4" x14ac:dyDescent="0.25">
      <c r="A23" s="10" t="s">
        <v>44</v>
      </c>
    </row>
    <row r="24" spans="1:4" x14ac:dyDescent="0.25">
      <c r="A24">
        <v>1</v>
      </c>
      <c r="B24" t="s">
        <v>45</v>
      </c>
    </row>
    <row r="26" spans="1:4" x14ac:dyDescent="0.25">
      <c r="A26">
        <v>2</v>
      </c>
      <c r="B26" t="s">
        <v>46</v>
      </c>
    </row>
    <row r="28" spans="1:4" x14ac:dyDescent="0.25">
      <c r="A28" s="10" t="s">
        <v>47</v>
      </c>
    </row>
    <row r="29" spans="1:4" x14ac:dyDescent="0.25">
      <c r="A29">
        <v>1</v>
      </c>
      <c r="B29" t="s">
        <v>48</v>
      </c>
    </row>
    <row r="31" spans="1:4" x14ac:dyDescent="0.25">
      <c r="A31" s="10">
        <v>2</v>
      </c>
      <c r="B31" t="s">
        <v>212</v>
      </c>
    </row>
    <row r="33" spans="1:2" x14ac:dyDescent="0.25">
      <c r="A33">
        <v>3</v>
      </c>
      <c r="B33" t="s">
        <v>52</v>
      </c>
    </row>
  </sheetData>
  <pageMargins bottom="0.75" footer="0.3" header="0.3" left="0.7" right="0.7" top="0.75"/>
  <pageSetup orientation="portrait"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F74"/>
  <sheetViews>
    <sheetView workbookViewId="0">
      <selection activeCell="A11" sqref="A10:E11"/>
    </sheetView>
  </sheetViews>
  <sheetFormatPr defaultRowHeight="15" x14ac:dyDescent="0.25"/>
  <cols>
    <col min="4" max="4" bestFit="true" customWidth="true" width="12.7109375" collapsed="true"/>
    <col min="5" max="5" bestFit="true" customWidth="true" style="34" width="94.7109375" collapsed="true"/>
  </cols>
  <sheetData>
    <row r="1" spans="1:5" x14ac:dyDescent="0.25">
      <c r="A1" t="s">
        <v>131</v>
      </c>
      <c r="B1" t="s">
        <v>132</v>
      </c>
      <c r="E1" s="34" t="s">
        <v>133</v>
      </c>
    </row>
    <row r="2" spans="1:5" x14ac:dyDescent="0.25">
      <c r="A2">
        <v>1</v>
      </c>
      <c r="B2" t="s">
        <v>56</v>
      </c>
      <c r="C2" t="s">
        <v>57</v>
      </c>
      <c r="D2">
        <v>1</v>
      </c>
      <c r="E2" s="34" t="s">
        <v>139</v>
      </c>
    </row>
    <row r="3" spans="1:5" x14ac:dyDescent="0.25">
      <c r="A3">
        <v>2</v>
      </c>
      <c r="B3" t="s">
        <v>58</v>
      </c>
      <c r="C3" t="s">
        <v>57</v>
      </c>
      <c r="D3">
        <v>0.7</v>
      </c>
      <c r="E3" s="34" t="s">
        <v>135</v>
      </c>
    </row>
    <row r="4" spans="1:5" x14ac:dyDescent="0.25">
      <c r="A4">
        <v>3</v>
      </c>
      <c r="B4" t="s">
        <v>59</v>
      </c>
      <c r="C4" t="s">
        <v>57</v>
      </c>
      <c r="D4">
        <v>1</v>
      </c>
      <c r="E4" s="34" t="s">
        <v>134</v>
      </c>
    </row>
    <row r="5" spans="1:5" x14ac:dyDescent="0.25">
      <c r="A5">
        <v>4</v>
      </c>
      <c r="B5" t="s">
        <v>60</v>
      </c>
      <c r="C5" t="s">
        <v>57</v>
      </c>
      <c r="D5">
        <v>0.5</v>
      </c>
      <c r="E5" s="34" t="s">
        <v>140</v>
      </c>
    </row>
    <row r="6" spans="1:5" x14ac:dyDescent="0.25">
      <c r="A6">
        <v>5</v>
      </c>
      <c r="B6" t="s">
        <v>61</v>
      </c>
      <c r="C6" t="s">
        <v>57</v>
      </c>
      <c r="D6">
        <v>0</v>
      </c>
      <c r="E6" s="34" t="s">
        <v>136</v>
      </c>
    </row>
    <row r="7" spans="1:5" x14ac:dyDescent="0.25">
      <c r="A7">
        <v>6</v>
      </c>
      <c r="B7" t="s">
        <v>62</v>
      </c>
      <c r="C7" t="s">
        <v>57</v>
      </c>
      <c r="D7">
        <v>-4.1530549264700003</v>
      </c>
      <c r="E7" s="34" t="s">
        <v>141</v>
      </c>
    </row>
    <row r="8" spans="1:5" x14ac:dyDescent="0.25">
      <c r="A8">
        <v>7</v>
      </c>
      <c r="B8" t="s">
        <v>63</v>
      </c>
      <c r="C8" t="s">
        <v>57</v>
      </c>
      <c r="D8">
        <v>-0.64354735537100005</v>
      </c>
      <c r="E8" s="34" t="s">
        <v>142</v>
      </c>
    </row>
    <row r="9" spans="1:5" x14ac:dyDescent="0.25">
      <c r="A9">
        <v>8</v>
      </c>
      <c r="B9" t="s">
        <v>64</v>
      </c>
      <c r="C9" t="s">
        <v>57</v>
      </c>
      <c r="D9">
        <v>-0.732358148145</v>
      </c>
      <c r="E9" s="34" t="s">
        <v>143</v>
      </c>
    </row>
    <row r="10" spans="1:5" x14ac:dyDescent="0.25">
      <c r="A10">
        <v>9</v>
      </c>
      <c r="B10" t="s">
        <v>65</v>
      </c>
      <c r="C10" t="s">
        <v>57</v>
      </c>
      <c r="D10">
        <v>-2.6263992007099999</v>
      </c>
      <c r="E10" s="34" t="s">
        <v>144</v>
      </c>
    </row>
    <row r="11" spans="1:5" x14ac:dyDescent="0.25">
      <c r="A11">
        <v>10</v>
      </c>
      <c r="B11" t="s">
        <v>66</v>
      </c>
      <c r="C11" t="s">
        <v>57</v>
      </c>
      <c r="D11">
        <v>-3.4653118418800002</v>
      </c>
      <c r="E11" s="34" t="s">
        <v>145</v>
      </c>
    </row>
    <row r="12" spans="1:5" x14ac:dyDescent="0.25">
      <c r="A12">
        <v>11</v>
      </c>
      <c r="B12" t="s">
        <v>67</v>
      </c>
      <c r="C12" t="s">
        <v>57</v>
      </c>
      <c r="D12">
        <v>0.125312575308</v>
      </c>
      <c r="E12" s="34" t="s">
        <v>146</v>
      </c>
    </row>
    <row r="13" spans="1:5" x14ac:dyDescent="0.25">
      <c r="A13">
        <v>12</v>
      </c>
      <c r="B13" t="s">
        <v>68</v>
      </c>
      <c r="C13" t="s">
        <v>57</v>
      </c>
      <c r="D13">
        <v>0.24676672684299999</v>
      </c>
      <c r="E13" s="34" t="s">
        <v>147</v>
      </c>
    </row>
    <row r="14" spans="1:5" x14ac:dyDescent="0.25">
      <c r="A14">
        <v>13</v>
      </c>
      <c r="B14" t="s">
        <v>69</v>
      </c>
      <c r="C14" t="s">
        <v>57</v>
      </c>
      <c r="D14">
        <v>0.40796503771199999</v>
      </c>
      <c r="E14" s="34" t="s">
        <v>148</v>
      </c>
    </row>
    <row r="15" spans="1:5" x14ac:dyDescent="0.25">
      <c r="A15">
        <v>14</v>
      </c>
      <c r="B15" t="s">
        <v>70</v>
      </c>
      <c r="C15" t="s">
        <v>57</v>
      </c>
      <c r="D15">
        <v>-0.50293651045300003</v>
      </c>
      <c r="E15" s="34" t="s">
        <v>149</v>
      </c>
    </row>
    <row r="16" spans="1:5" x14ac:dyDescent="0.25">
      <c r="A16">
        <v>15</v>
      </c>
      <c r="B16" t="s">
        <v>71</v>
      </c>
      <c r="C16" t="s">
        <v>57</v>
      </c>
      <c r="D16">
        <v>-1.61322160644</v>
      </c>
      <c r="E16" s="34" t="s">
        <v>150</v>
      </c>
    </row>
    <row r="17" spans="1:5" x14ac:dyDescent="0.25">
      <c r="A17">
        <v>16</v>
      </c>
      <c r="B17" t="s">
        <v>72</v>
      </c>
      <c r="C17" t="s">
        <v>57</v>
      </c>
      <c r="D17">
        <v>0.130749629122</v>
      </c>
      <c r="E17" s="34" t="s">
        <v>151</v>
      </c>
    </row>
    <row r="18" spans="1:5" x14ac:dyDescent="0.25">
      <c r="A18">
        <v>17</v>
      </c>
      <c r="B18" t="s">
        <v>73</v>
      </c>
      <c r="C18" t="s">
        <v>57</v>
      </c>
      <c r="D18" s="33">
        <v>8.4077289836199998E-2</v>
      </c>
      <c r="E18" s="34" t="s">
        <v>152</v>
      </c>
    </row>
    <row r="19" spans="1:5" x14ac:dyDescent="0.25">
      <c r="A19">
        <v>18</v>
      </c>
      <c r="B19" t="s">
        <v>74</v>
      </c>
      <c r="C19" t="s">
        <v>57</v>
      </c>
      <c r="D19">
        <v>0</v>
      </c>
      <c r="E19" s="34" t="s">
        <v>153</v>
      </c>
    </row>
    <row r="20" spans="1:5" x14ac:dyDescent="0.25">
      <c r="A20">
        <v>19</v>
      </c>
      <c r="B20" t="s">
        <v>75</v>
      </c>
      <c r="C20" t="s">
        <v>57</v>
      </c>
      <c r="D20">
        <v>0.106386053639</v>
      </c>
      <c r="E20" s="34" t="s">
        <v>137</v>
      </c>
    </row>
    <row r="21" spans="1:5" x14ac:dyDescent="0.25">
      <c r="A21">
        <v>20</v>
      </c>
      <c r="B21" t="s">
        <v>76</v>
      </c>
      <c r="C21" t="s">
        <v>57</v>
      </c>
      <c r="D21">
        <v>0.88087687792799996</v>
      </c>
      <c r="E21" s="34" t="s">
        <v>138</v>
      </c>
    </row>
    <row r="22" spans="1:5" x14ac:dyDescent="0.25">
      <c r="A22">
        <v>21</v>
      </c>
      <c r="B22" t="s">
        <v>77</v>
      </c>
      <c r="C22" t="s">
        <v>57</v>
      </c>
      <c r="D22">
        <v>-0.16458061134300001</v>
      </c>
      <c r="E22" s="34" t="s">
        <v>190</v>
      </c>
    </row>
    <row r="23" spans="1:5" x14ac:dyDescent="0.25">
      <c r="A23">
        <v>22</v>
      </c>
      <c r="B23" t="s">
        <v>78</v>
      </c>
      <c r="C23" t="s">
        <v>57</v>
      </c>
      <c r="D23">
        <v>0.154182014038</v>
      </c>
      <c r="E23" s="34" t="s">
        <v>191</v>
      </c>
    </row>
    <row r="24" spans="1:5" x14ac:dyDescent="0.25">
      <c r="A24">
        <v>23</v>
      </c>
      <c r="B24" t="s">
        <v>79</v>
      </c>
      <c r="C24" t="s">
        <v>57</v>
      </c>
      <c r="D24" s="33">
        <v>4.79448884421E-2</v>
      </c>
      <c r="E24" s="34" t="s">
        <v>192</v>
      </c>
    </row>
    <row r="25" spans="1:5" x14ac:dyDescent="0.25">
      <c r="A25">
        <v>24</v>
      </c>
      <c r="B25" t="s">
        <v>80</v>
      </c>
      <c r="C25" t="s">
        <v>57</v>
      </c>
      <c r="D25" s="33">
        <v>6.4843520043099998E-2</v>
      </c>
      <c r="E25" s="34" t="s">
        <v>193</v>
      </c>
    </row>
    <row r="26" spans="1:5" x14ac:dyDescent="0.25">
      <c r="A26">
        <v>25</v>
      </c>
      <c r="B26" t="s">
        <v>81</v>
      </c>
      <c r="C26" t="s">
        <v>57</v>
      </c>
      <c r="D26">
        <v>0.15272053169499999</v>
      </c>
      <c r="E26" s="34" t="s">
        <v>194</v>
      </c>
    </row>
    <row r="27" spans="1:5" x14ac:dyDescent="0.25">
      <c r="A27">
        <v>26</v>
      </c>
      <c r="B27" t="s">
        <v>82</v>
      </c>
      <c r="C27" t="s">
        <v>57</v>
      </c>
      <c r="D27" s="33">
        <v>7.2028590735099998E-2</v>
      </c>
      <c r="E27" s="34" t="s">
        <v>195</v>
      </c>
    </row>
    <row r="28" spans="1:5" x14ac:dyDescent="0.25">
      <c r="A28">
        <v>27</v>
      </c>
      <c r="B28" t="s">
        <v>83</v>
      </c>
      <c r="C28" t="s">
        <v>57</v>
      </c>
      <c r="D28">
        <v>-0.27934224041799999</v>
      </c>
      <c r="E28" s="34" t="s">
        <v>199</v>
      </c>
    </row>
    <row r="29" spans="1:5" x14ac:dyDescent="0.25">
      <c r="A29">
        <v>28</v>
      </c>
      <c r="B29" t="s">
        <v>84</v>
      </c>
      <c r="C29" t="s">
        <v>57</v>
      </c>
      <c r="D29" s="33">
        <v>4.3626229225700003E-2</v>
      </c>
      <c r="E29" s="34" t="s">
        <v>154</v>
      </c>
    </row>
    <row r="30" spans="1:5" x14ac:dyDescent="0.25">
      <c r="A30">
        <v>29</v>
      </c>
      <c r="B30" t="s">
        <v>85</v>
      </c>
      <c r="C30" t="s">
        <v>57</v>
      </c>
      <c r="D30" s="33">
        <v>-8.7886819411100006E-2</v>
      </c>
      <c r="E30" s="34" t="s">
        <v>174</v>
      </c>
    </row>
    <row r="31" spans="1:5" x14ac:dyDescent="0.25">
      <c r="A31">
        <v>30</v>
      </c>
      <c r="B31" t="s">
        <v>86</v>
      </c>
      <c r="C31" t="s">
        <v>57</v>
      </c>
      <c r="D31" s="33">
        <v>-4.2894941477000001E-2</v>
      </c>
      <c r="E31" s="34" t="s">
        <v>175</v>
      </c>
    </row>
    <row r="32" spans="1:5" x14ac:dyDescent="0.25">
      <c r="A32">
        <v>31</v>
      </c>
      <c r="B32" t="s">
        <v>87</v>
      </c>
      <c r="C32" t="s">
        <v>57</v>
      </c>
      <c r="D32">
        <v>-0.13045579928000001</v>
      </c>
      <c r="E32" s="34" t="s">
        <v>176</v>
      </c>
    </row>
    <row r="33" spans="1:5" x14ac:dyDescent="0.25">
      <c r="A33">
        <v>32</v>
      </c>
      <c r="B33" t="s">
        <v>88</v>
      </c>
      <c r="C33" t="s">
        <v>57</v>
      </c>
      <c r="D33">
        <v>0.18945088644899999</v>
      </c>
      <c r="E33" s="34" t="s">
        <v>177</v>
      </c>
    </row>
    <row r="34" spans="1:5" x14ac:dyDescent="0.25">
      <c r="A34">
        <v>33</v>
      </c>
      <c r="B34" t="s">
        <v>89</v>
      </c>
      <c r="C34" t="s">
        <v>57</v>
      </c>
      <c r="D34">
        <v>-0.179523169776</v>
      </c>
      <c r="E34" s="34" t="s">
        <v>178</v>
      </c>
    </row>
    <row r="35" spans="1:5" x14ac:dyDescent="0.25">
      <c r="A35">
        <v>34</v>
      </c>
      <c r="B35" t="s">
        <v>90</v>
      </c>
      <c r="C35" t="s">
        <v>57</v>
      </c>
      <c r="D35">
        <v>0.17233347539499999</v>
      </c>
      <c r="E35" s="34" t="s">
        <v>179</v>
      </c>
    </row>
    <row r="36" spans="1:5" x14ac:dyDescent="0.25">
      <c r="A36">
        <v>35</v>
      </c>
      <c r="B36" t="s">
        <v>91</v>
      </c>
      <c r="C36" t="s">
        <v>57</v>
      </c>
      <c r="D36">
        <v>-0.194698386872</v>
      </c>
      <c r="E36" s="34" t="s">
        <v>180</v>
      </c>
    </row>
    <row r="37" spans="1:5" x14ac:dyDescent="0.25">
      <c r="A37">
        <v>36</v>
      </c>
      <c r="B37" t="s">
        <v>92</v>
      </c>
      <c r="C37" t="s">
        <v>57</v>
      </c>
      <c r="D37">
        <v>0.38785322122799998</v>
      </c>
      <c r="E37" s="34" t="s">
        <v>181</v>
      </c>
    </row>
    <row r="38" spans="1:5" x14ac:dyDescent="0.25">
      <c r="A38">
        <v>41</v>
      </c>
      <c r="B38" t="s">
        <v>93</v>
      </c>
      <c r="C38" t="s">
        <v>94</v>
      </c>
      <c r="D38">
        <v>-2.9745332256100001</v>
      </c>
      <c r="E38" s="34" t="s">
        <v>213</v>
      </c>
    </row>
    <row r="39" spans="1:5" x14ac:dyDescent="0.25">
      <c r="A39">
        <v>42</v>
      </c>
      <c r="B39" t="s">
        <v>95</v>
      </c>
      <c r="C39" t="s">
        <v>94</v>
      </c>
      <c r="D39">
        <v>5.0782043482699999</v>
      </c>
      <c r="E39" s="34" t="s">
        <v>200</v>
      </c>
    </row>
    <row r="40" spans="1:5" x14ac:dyDescent="0.25">
      <c r="A40">
        <v>43</v>
      </c>
      <c r="B40" t="s">
        <v>96</v>
      </c>
      <c r="C40" t="s">
        <v>94</v>
      </c>
      <c r="D40">
        <v>-3.0391245094800001</v>
      </c>
      <c r="E40" s="34" t="s">
        <v>201</v>
      </c>
    </row>
    <row r="41" spans="1:5" x14ac:dyDescent="0.25">
      <c r="A41">
        <v>44</v>
      </c>
      <c r="B41" t="s">
        <v>97</v>
      </c>
      <c r="C41" t="s">
        <v>94</v>
      </c>
      <c r="D41">
        <v>-2.3320263859599999</v>
      </c>
      <c r="E41" s="34" t="s">
        <v>202</v>
      </c>
    </row>
    <row r="42" spans="1:5" x14ac:dyDescent="0.25">
      <c r="A42">
        <v>50</v>
      </c>
      <c r="B42" t="s">
        <v>98</v>
      </c>
      <c r="C42" t="s">
        <v>57</v>
      </c>
      <c r="D42">
        <v>0.33566647407</v>
      </c>
    </row>
    <row r="43" spans="1:5" x14ac:dyDescent="0.25">
      <c r="A43">
        <v>51</v>
      </c>
      <c r="B43" t="s">
        <v>99</v>
      </c>
      <c r="C43" t="s">
        <v>57</v>
      </c>
      <c r="D43">
        <v>-0.78911507665199998</v>
      </c>
      <c r="E43" s="34" t="s">
        <v>155</v>
      </c>
    </row>
    <row r="44" spans="1:5" x14ac:dyDescent="0.25">
      <c r="A44">
        <v>52</v>
      </c>
      <c r="B44" t="s">
        <v>100</v>
      </c>
      <c r="C44" t="s">
        <v>57</v>
      </c>
      <c r="D44">
        <v>0.56564055394500001</v>
      </c>
      <c r="E44" s="34" t="s">
        <v>156</v>
      </c>
    </row>
    <row r="45" spans="1:5" x14ac:dyDescent="0.25">
      <c r="A45">
        <v>53</v>
      </c>
      <c r="B45" t="s">
        <v>101</v>
      </c>
      <c r="C45" t="s">
        <v>57</v>
      </c>
      <c r="D45">
        <v>-1.85416848242</v>
      </c>
      <c r="E45" s="34" t="s">
        <v>157</v>
      </c>
    </row>
    <row r="46" spans="1:5" x14ac:dyDescent="0.25">
      <c r="A46">
        <v>54</v>
      </c>
      <c r="B46" t="s">
        <v>102</v>
      </c>
      <c r="C46" t="s">
        <v>57</v>
      </c>
      <c r="D46">
        <v>0</v>
      </c>
      <c r="E46" s="34" t="s">
        <v>158</v>
      </c>
    </row>
    <row r="47" spans="1:5" x14ac:dyDescent="0.25">
      <c r="A47">
        <v>55</v>
      </c>
      <c r="B47" t="s">
        <v>103</v>
      </c>
      <c r="C47" t="s">
        <v>57</v>
      </c>
      <c r="D47">
        <v>-1.1156286956100001</v>
      </c>
      <c r="E47" s="34" t="s">
        <v>159</v>
      </c>
    </row>
    <row r="48" spans="1:5" x14ac:dyDescent="0.25">
      <c r="A48">
        <v>56</v>
      </c>
      <c r="B48" t="s">
        <v>104</v>
      </c>
      <c r="C48" t="s">
        <v>57</v>
      </c>
      <c r="D48">
        <v>-0.81792869186600003</v>
      </c>
      <c r="E48" s="34" t="s">
        <v>160</v>
      </c>
    </row>
    <row r="49" spans="1:5" x14ac:dyDescent="0.25">
      <c r="A49">
        <v>57</v>
      </c>
      <c r="B49" t="s">
        <v>105</v>
      </c>
      <c r="C49" t="s">
        <v>57</v>
      </c>
      <c r="D49">
        <v>-1.04729487823</v>
      </c>
      <c r="E49" s="34" t="s">
        <v>161</v>
      </c>
    </row>
    <row r="50" spans="1:5" x14ac:dyDescent="0.25">
      <c r="A50">
        <v>58</v>
      </c>
      <c r="B50" t="s">
        <v>106</v>
      </c>
      <c r="C50" t="s">
        <v>57</v>
      </c>
      <c r="D50">
        <v>-2.0228517391</v>
      </c>
      <c r="E50" s="34" t="s">
        <v>162</v>
      </c>
    </row>
    <row r="51" spans="1:5" x14ac:dyDescent="0.25">
      <c r="A51">
        <v>59</v>
      </c>
      <c r="B51" t="s">
        <v>107</v>
      </c>
      <c r="C51" t="s">
        <v>57</v>
      </c>
      <c r="D51">
        <v>-1.2945321250099999</v>
      </c>
      <c r="E51" s="34" t="s">
        <v>163</v>
      </c>
    </row>
    <row r="52" spans="1:5" x14ac:dyDescent="0.25">
      <c r="A52">
        <v>60</v>
      </c>
      <c r="B52" t="s">
        <v>108</v>
      </c>
      <c r="C52" t="s">
        <v>57</v>
      </c>
      <c r="D52">
        <v>-0.66178028021599999</v>
      </c>
      <c r="E52" s="34" t="s">
        <v>182</v>
      </c>
    </row>
    <row r="53" spans="1:5" x14ac:dyDescent="0.25">
      <c r="A53">
        <v>61</v>
      </c>
      <c r="B53" t="s">
        <v>109</v>
      </c>
      <c r="C53" t="s">
        <v>57</v>
      </c>
      <c r="D53">
        <v>-0.55504741134900004</v>
      </c>
      <c r="E53" s="34" t="s">
        <v>183</v>
      </c>
    </row>
    <row r="54" spans="1:5" x14ac:dyDescent="0.25">
      <c r="A54">
        <v>62</v>
      </c>
      <c r="B54" t="s">
        <v>110</v>
      </c>
      <c r="C54" t="s">
        <v>57</v>
      </c>
      <c r="D54">
        <v>-1.7449233454799999</v>
      </c>
      <c r="E54" s="34" t="s">
        <v>184</v>
      </c>
    </row>
    <row r="55" spans="1:5" x14ac:dyDescent="0.25">
      <c r="A55">
        <v>63</v>
      </c>
      <c r="B55" t="s">
        <v>111</v>
      </c>
      <c r="C55" t="s">
        <v>57</v>
      </c>
      <c r="D55">
        <v>1.1995398853399999</v>
      </c>
      <c r="E55" s="34" t="s">
        <v>185</v>
      </c>
    </row>
    <row r="56" spans="1:5" x14ac:dyDescent="0.25">
      <c r="A56">
        <v>64</v>
      </c>
      <c r="B56" t="s">
        <v>112</v>
      </c>
      <c r="C56" t="s">
        <v>57</v>
      </c>
      <c r="D56">
        <v>0.19542046398099999</v>
      </c>
      <c r="E56" s="34" t="s">
        <v>186</v>
      </c>
    </row>
    <row r="57" spans="1:5" x14ac:dyDescent="0.25">
      <c r="A57">
        <v>65</v>
      </c>
      <c r="B57" t="s">
        <v>113</v>
      </c>
      <c r="C57" t="s">
        <v>57</v>
      </c>
      <c r="D57">
        <v>-0.90594458676599998</v>
      </c>
      <c r="E57" s="34" t="s">
        <v>187</v>
      </c>
    </row>
    <row r="58" spans="1:5" x14ac:dyDescent="0.25">
      <c r="A58">
        <v>66</v>
      </c>
      <c r="B58" t="s">
        <v>114</v>
      </c>
      <c r="C58" t="s">
        <v>57</v>
      </c>
      <c r="D58">
        <v>-2.05104130438</v>
      </c>
      <c r="E58" s="34" t="s">
        <v>164</v>
      </c>
    </row>
    <row r="59" spans="1:5" x14ac:dyDescent="0.25">
      <c r="A59">
        <v>67</v>
      </c>
      <c r="B59" t="s">
        <v>115</v>
      </c>
      <c r="C59" t="s">
        <v>57</v>
      </c>
      <c r="D59">
        <v>-2.2381608455899999</v>
      </c>
      <c r="E59" s="34" t="s">
        <v>165</v>
      </c>
    </row>
    <row r="60" spans="1:5" x14ac:dyDescent="0.25">
      <c r="A60">
        <v>68</v>
      </c>
      <c r="B60" t="s">
        <v>116</v>
      </c>
      <c r="C60" t="s">
        <v>57</v>
      </c>
      <c r="D60">
        <v>-0.40946320528300001</v>
      </c>
      <c r="E60" s="34" t="s">
        <v>166</v>
      </c>
    </row>
    <row r="61" spans="1:5" x14ac:dyDescent="0.25">
      <c r="A61">
        <v>69</v>
      </c>
      <c r="B61" t="s">
        <v>117</v>
      </c>
      <c r="C61" t="s">
        <v>57</v>
      </c>
      <c r="D61">
        <v>-1.1700902309500001</v>
      </c>
      <c r="E61" s="34" t="s">
        <v>167</v>
      </c>
    </row>
    <row r="62" spans="1:5" x14ac:dyDescent="0.25">
      <c r="A62">
        <v>70</v>
      </c>
      <c r="B62" t="s">
        <v>118</v>
      </c>
      <c r="C62" t="s">
        <v>57</v>
      </c>
      <c r="D62">
        <v>1.8412445021999999</v>
      </c>
      <c r="E62" s="34" t="s">
        <v>168</v>
      </c>
    </row>
    <row r="63" spans="1:5" x14ac:dyDescent="0.25">
      <c r="A63">
        <v>71</v>
      </c>
      <c r="B63" t="s">
        <v>119</v>
      </c>
      <c r="C63" t="s">
        <v>57</v>
      </c>
      <c r="D63">
        <v>0.71619685052500004</v>
      </c>
      <c r="E63" s="34" t="s">
        <v>169</v>
      </c>
    </row>
    <row r="64" spans="1:5" x14ac:dyDescent="0.25">
      <c r="A64">
        <v>72</v>
      </c>
      <c r="B64" t="s">
        <v>120</v>
      </c>
      <c r="C64" t="s">
        <v>57</v>
      </c>
      <c r="D64">
        <v>-0.101060642888</v>
      </c>
      <c r="E64" s="34" t="s">
        <v>170</v>
      </c>
    </row>
    <row r="65" spans="1:5" x14ac:dyDescent="0.25">
      <c r="A65">
        <v>73</v>
      </c>
      <c r="B65" t="s">
        <v>121</v>
      </c>
      <c r="C65" t="s">
        <v>57</v>
      </c>
      <c r="D65">
        <v>-0.34132571646100002</v>
      </c>
      <c r="E65" s="34" t="s">
        <v>171</v>
      </c>
    </row>
    <row r="66" spans="1:5" x14ac:dyDescent="0.25">
      <c r="A66">
        <v>74</v>
      </c>
      <c r="B66" t="s">
        <v>122</v>
      </c>
      <c r="C66" t="s">
        <v>57</v>
      </c>
      <c r="D66">
        <v>1.0486549950899999</v>
      </c>
      <c r="E66" s="34" t="s">
        <v>188</v>
      </c>
    </row>
    <row r="67" spans="1:5" x14ac:dyDescent="0.25">
      <c r="A67">
        <v>75</v>
      </c>
      <c r="B67" t="s">
        <v>123</v>
      </c>
      <c r="C67" t="s">
        <v>57</v>
      </c>
      <c r="D67">
        <v>-30</v>
      </c>
      <c r="E67" s="34" t="s">
        <v>196</v>
      </c>
    </row>
    <row r="68" spans="1:5" x14ac:dyDescent="0.25">
      <c r="A68">
        <v>76</v>
      </c>
      <c r="B68" t="s">
        <v>124</v>
      </c>
      <c r="C68" t="s">
        <v>57</v>
      </c>
      <c r="D68">
        <v>0.91468797064200003</v>
      </c>
      <c r="E68" s="34" t="s">
        <v>197</v>
      </c>
    </row>
    <row r="69" spans="1:5" x14ac:dyDescent="0.25">
      <c r="A69">
        <v>77</v>
      </c>
      <c r="B69" t="s">
        <v>125</v>
      </c>
      <c r="C69" t="s">
        <v>57</v>
      </c>
      <c r="D69">
        <v>-1.1830909132</v>
      </c>
      <c r="E69" s="34" t="s">
        <v>189</v>
      </c>
    </row>
    <row r="70" spans="1:5" x14ac:dyDescent="0.25">
      <c r="A70">
        <v>78</v>
      </c>
      <c r="B70" t="s">
        <v>126</v>
      </c>
      <c r="C70" t="s">
        <v>57</v>
      </c>
      <c r="D70">
        <v>1.4576625009499999</v>
      </c>
      <c r="E70" s="34" t="s">
        <v>198</v>
      </c>
    </row>
    <row r="71" spans="1:5" x14ac:dyDescent="0.25">
      <c r="A71">
        <v>79</v>
      </c>
      <c r="B71" t="s">
        <v>127</v>
      </c>
      <c r="C71" t="s">
        <v>57</v>
      </c>
      <c r="D71">
        <v>-1.62636517084</v>
      </c>
      <c r="E71" s="34" t="s">
        <v>172</v>
      </c>
    </row>
    <row r="72" spans="1:5" x14ac:dyDescent="0.25">
      <c r="A72">
        <v>80</v>
      </c>
      <c r="B72" t="s">
        <v>128</v>
      </c>
      <c r="C72" t="s">
        <v>57</v>
      </c>
      <c r="D72">
        <v>0</v>
      </c>
      <c r="E72" s="34" t="s">
        <v>173</v>
      </c>
    </row>
    <row r="73" spans="1:5" x14ac:dyDescent="0.25">
      <c r="A73">
        <v>90</v>
      </c>
      <c r="B73" t="s">
        <v>129</v>
      </c>
      <c r="C73" t="s">
        <v>57</v>
      </c>
      <c r="D73">
        <v>0</v>
      </c>
      <c r="E73" s="34">
        <v>100</v>
      </c>
    </row>
    <row r="74" spans="1:5" x14ac:dyDescent="0.25">
      <c r="A74">
        <v>98</v>
      </c>
      <c r="B74" t="s">
        <v>130</v>
      </c>
      <c r="C74" t="s">
        <v>94</v>
      </c>
      <c r="D74">
        <v>0.196146395147</v>
      </c>
    </row>
  </sheetData>
  <pageMargins bottom="0.75" footer="0.3" header="0.3" left="0.7" right="0.7" top="0.75"/>
  <pageSetup orientation="portrait"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activeCell="B2" sqref="B2:B8"/>
    </sheetView>
  </sheetViews>
  <sheetFormatPr defaultRowHeight="15" x14ac:dyDescent="0.25"/>
  <sheetData>
    <row r="1" spans="1:2" x14ac:dyDescent="0.25">
      <c r="A1" t="s">
        <v>310</v>
      </c>
      <c r="B1" t="s">
        <v>311</v>
      </c>
    </row>
    <row r="2" spans="1:2" x14ac:dyDescent="0.25">
      <c r="A2">
        <v>1</v>
      </c>
      <c r="B2" s="99" t="s">
        <v>312</v>
      </c>
    </row>
    <row r="3" spans="1:2" x14ac:dyDescent="0.25">
      <c r="A3">
        <v>2</v>
      </c>
      <c r="B3" s="98" t="s">
        <v>313</v>
      </c>
    </row>
    <row r="4" spans="1:2" x14ac:dyDescent="0.25">
      <c r="A4">
        <v>3</v>
      </c>
      <c r="B4" s="98" t="s">
        <v>314</v>
      </c>
    </row>
    <row r="5" spans="1:2" x14ac:dyDescent="0.25">
      <c r="A5">
        <v>4</v>
      </c>
      <c r="B5" s="98" t="s">
        <v>315</v>
      </c>
    </row>
    <row r="6" spans="1:2" x14ac:dyDescent="0.25">
      <c r="A6">
        <v>5</v>
      </c>
      <c r="B6" s="98" t="s">
        <v>316</v>
      </c>
    </row>
    <row r="7" spans="1:2" x14ac:dyDescent="0.25">
      <c r="A7">
        <v>6</v>
      </c>
      <c r="B7" s="98" t="s">
        <v>317</v>
      </c>
    </row>
    <row r="8" spans="1:2" x14ac:dyDescent="0.25">
      <c r="A8">
        <v>7</v>
      </c>
      <c r="B8" s="98" t="s">
        <v>318</v>
      </c>
    </row>
  </sheetData>
  <pageMargins bottom="0.75" footer="0.3" header="0.3" left="0.7" right="0.7" top="0.75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384"/>
  <sheetViews>
    <sheetView workbookViewId="0">
      <selection activeCell="A8" sqref="A8:K370"/>
    </sheetView>
  </sheetViews>
  <sheetFormatPr defaultRowHeight="15" x14ac:dyDescent="0.25"/>
  <sheetData>
    <row r="1" spans="1:11" x14ac:dyDescent="0.25">
      <c r="A1" s="71" t="s">
        <v>234</v>
      </c>
      <c r="B1" s="72"/>
      <c r="C1" s="72"/>
      <c r="D1" s="72"/>
      <c r="E1" s="72"/>
      <c r="F1" s="72"/>
      <c r="G1" s="72"/>
      <c r="H1" s="72" t="s">
        <v>240</v>
      </c>
      <c r="I1" s="72"/>
      <c r="J1" s="72"/>
      <c r="K1" s="72"/>
    </row>
    <row r="2" spans="1:11" x14ac:dyDescent="0.25">
      <c r="A2" s="72">
        <v>1</v>
      </c>
      <c r="B2" s="72" t="s">
        <v>252</v>
      </c>
      <c r="C2" s="72"/>
      <c r="D2" s="72"/>
      <c r="E2" s="72"/>
      <c r="F2" s="72"/>
      <c r="G2" s="72"/>
      <c r="H2" s="72"/>
      <c r="I2" s="72"/>
      <c r="J2" s="72"/>
      <c r="K2" s="72"/>
    </row>
    <row r="3" spans="1:11" x14ac:dyDescent="0.25">
      <c r="A3" s="72">
        <v>2</v>
      </c>
      <c r="B3" s="72" t="s">
        <v>235</v>
      </c>
      <c r="C3" s="72"/>
      <c r="D3" s="72"/>
      <c r="E3" s="72"/>
      <c r="F3" s="72"/>
      <c r="G3" s="72"/>
      <c r="H3" s="72"/>
      <c r="I3" s="72"/>
      <c r="J3" s="72"/>
      <c r="K3" s="72"/>
    </row>
    <row r="4" spans="1:11" x14ac:dyDescent="0.25">
      <c r="A4" s="72">
        <v>3</v>
      </c>
      <c r="B4" s="72" t="s">
        <v>237</v>
      </c>
      <c r="C4" s="72"/>
      <c r="D4" s="72"/>
      <c r="E4" s="72"/>
      <c r="F4" s="72"/>
      <c r="G4" s="72"/>
      <c r="H4" s="72"/>
      <c r="I4" s="72"/>
      <c r="J4" s="72"/>
      <c r="K4" s="72"/>
    </row>
    <row r="5" spans="1:11" x14ac:dyDescent="0.25">
      <c r="A5" s="72">
        <v>4</v>
      </c>
      <c r="B5" s="72" t="s">
        <v>236</v>
      </c>
      <c r="C5" s="72"/>
      <c r="D5" s="72"/>
      <c r="E5" s="72"/>
      <c r="F5" s="72"/>
      <c r="G5" s="72"/>
      <c r="H5" s="72"/>
      <c r="I5" s="72"/>
      <c r="J5" s="72"/>
      <c r="K5" s="72"/>
    </row>
    <row r="6" spans="1:11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</row>
    <row r="8" spans="1:11" x14ac:dyDescent="0.25">
      <c r="A8" t="s">
        <v>226</v>
      </c>
      <c r="B8" t="s">
        <v>227</v>
      </c>
      <c r="C8" t="s">
        <v>301</v>
      </c>
      <c r="D8" t="s">
        <v>302</v>
      </c>
      <c r="E8" t="s">
        <v>303</v>
      </c>
      <c r="F8" t="s">
        <v>304</v>
      </c>
      <c r="G8" t="s">
        <v>305</v>
      </c>
      <c r="H8" t="s">
        <v>306</v>
      </c>
    </row>
    <row r="9" spans="1:11" x14ac:dyDescent="0.25">
      <c r="A9" t="s">
        <v>228</v>
      </c>
      <c r="B9" t="s">
        <v>229</v>
      </c>
      <c r="C9" t="s">
        <v>230</v>
      </c>
      <c r="D9" t="s">
        <v>231</v>
      </c>
      <c r="E9">
        <v>4</v>
      </c>
      <c r="F9" s="39">
        <v>0.67841435185185184</v>
      </c>
      <c r="G9" t="s">
        <v>232</v>
      </c>
      <c r="H9">
        <v>5</v>
      </c>
      <c r="I9" t="s">
        <v>307</v>
      </c>
      <c r="J9">
        <v>12</v>
      </c>
    </row>
    <row r="10" spans="1:11" x14ac:dyDescent="0.25">
      <c r="A10" t="s">
        <v>233</v>
      </c>
    </row>
    <row r="11" spans="1:11" x14ac:dyDescent="0.25">
      <c r="B11">
        <v>1</v>
      </c>
      <c r="C11" t="s">
        <v>56</v>
      </c>
      <c r="D11" t="s">
        <v>57</v>
      </c>
      <c r="E11">
        <v>1</v>
      </c>
    </row>
    <row r="12" spans="1:11" x14ac:dyDescent="0.25">
      <c r="B12">
        <v>2</v>
      </c>
      <c r="C12" t="s">
        <v>58</v>
      </c>
      <c r="D12" t="s">
        <v>57</v>
      </c>
      <c r="E12">
        <v>0.7</v>
      </c>
      <c r="F12" s="33"/>
    </row>
    <row r="13" spans="1:11" x14ac:dyDescent="0.25">
      <c r="B13">
        <v>3</v>
      </c>
      <c r="C13" t="s">
        <v>59</v>
      </c>
      <c r="D13" t="s">
        <v>57</v>
      </c>
      <c r="E13">
        <v>1</v>
      </c>
      <c r="F13" s="33"/>
    </row>
    <row r="14" spans="1:11" x14ac:dyDescent="0.25">
      <c r="B14">
        <v>4</v>
      </c>
      <c r="C14" t="s">
        <v>60</v>
      </c>
      <c r="D14" t="s">
        <v>57</v>
      </c>
      <c r="E14">
        <v>0.5</v>
      </c>
    </row>
    <row r="15" spans="1:11" x14ac:dyDescent="0.25">
      <c r="B15">
        <v>5</v>
      </c>
      <c r="C15" t="s">
        <v>61</v>
      </c>
      <c r="D15" t="s">
        <v>57</v>
      </c>
      <c r="E15">
        <v>0</v>
      </c>
    </row>
    <row r="16" spans="1:11" x14ac:dyDescent="0.25">
      <c r="B16">
        <v>6</v>
      </c>
      <c r="C16" t="s">
        <v>62</v>
      </c>
      <c r="D16" t="s">
        <v>57</v>
      </c>
      <c r="E16">
        <v>-4.1530549264700003</v>
      </c>
    </row>
    <row r="17" spans="2:6" x14ac:dyDescent="0.25">
      <c r="B17">
        <v>7</v>
      </c>
      <c r="C17" t="s">
        <v>63</v>
      </c>
      <c r="D17" t="s">
        <v>57</v>
      </c>
      <c r="E17">
        <v>0.16304005993109999</v>
      </c>
      <c r="F17" s="33"/>
    </row>
    <row r="18" spans="2:6" x14ac:dyDescent="0.25">
      <c r="B18">
        <v>8</v>
      </c>
      <c r="C18" t="s">
        <v>64</v>
      </c>
      <c r="D18" t="s">
        <v>57</v>
      </c>
      <c r="E18">
        <v>-0.66484078944180003</v>
      </c>
      <c r="F18" s="33"/>
    </row>
    <row r="19" spans="2:6" x14ac:dyDescent="0.25">
      <c r="B19">
        <v>9</v>
      </c>
      <c r="C19" t="s">
        <v>65</v>
      </c>
      <c r="D19" t="s">
        <v>57</v>
      </c>
      <c r="E19">
        <v>-2.1673496431996999</v>
      </c>
    </row>
    <row r="20" spans="2:6" x14ac:dyDescent="0.25">
      <c r="B20">
        <v>10</v>
      </c>
      <c r="C20" t="s">
        <v>66</v>
      </c>
      <c r="D20" t="s">
        <v>57</v>
      </c>
      <c r="E20">
        <v>-3.3544504276017002</v>
      </c>
    </row>
    <row r="21" spans="2:6" x14ac:dyDescent="0.25">
      <c r="B21">
        <v>11</v>
      </c>
      <c r="C21" t="s">
        <v>67</v>
      </c>
      <c r="D21" t="s">
        <v>57</v>
      </c>
      <c r="E21">
        <v>-0.22974879339000001</v>
      </c>
    </row>
    <row r="22" spans="2:6" x14ac:dyDescent="0.25">
      <c r="B22">
        <v>12</v>
      </c>
      <c r="C22" t="s">
        <v>68</v>
      </c>
      <c r="D22" t="s">
        <v>57</v>
      </c>
      <c r="E22" s="33">
        <v>-0.93478838755000004</v>
      </c>
      <c r="F22" s="33"/>
    </row>
    <row r="23" spans="2:6" x14ac:dyDescent="0.25">
      <c r="B23">
        <v>13</v>
      </c>
      <c r="C23" t="s">
        <v>69</v>
      </c>
      <c r="D23" t="s">
        <v>57</v>
      </c>
      <c r="E23" s="33">
        <v>0.40796503771199999</v>
      </c>
      <c r="F23" s="33"/>
    </row>
    <row r="24" spans="2:6" x14ac:dyDescent="0.25">
      <c r="B24">
        <v>14</v>
      </c>
      <c r="C24" t="s">
        <v>70</v>
      </c>
      <c r="D24" t="s">
        <v>57</v>
      </c>
      <c r="E24">
        <v>-0.50293651045300003</v>
      </c>
      <c r="F24" s="33"/>
    </row>
    <row r="25" spans="2:6" x14ac:dyDescent="0.25">
      <c r="B25">
        <v>15</v>
      </c>
      <c r="C25" t="s">
        <v>71</v>
      </c>
      <c r="D25" t="s">
        <v>57</v>
      </c>
      <c r="E25">
        <v>-1.61322160644</v>
      </c>
    </row>
    <row r="26" spans="2:6" x14ac:dyDescent="0.25">
      <c r="B26">
        <v>16</v>
      </c>
      <c r="C26" t="s">
        <v>72</v>
      </c>
      <c r="D26" t="s">
        <v>57</v>
      </c>
      <c r="E26">
        <v>0.130749629122</v>
      </c>
      <c r="F26" s="33"/>
    </row>
    <row r="27" spans="2:6" x14ac:dyDescent="0.25">
      <c r="B27">
        <v>17</v>
      </c>
      <c r="C27" t="s">
        <v>73</v>
      </c>
      <c r="D27" t="s">
        <v>57</v>
      </c>
      <c r="E27" s="33">
        <v>8.4077289836199998E-2</v>
      </c>
      <c r="F27" s="33"/>
    </row>
    <row r="28" spans="2:6" x14ac:dyDescent="0.25">
      <c r="B28">
        <v>18</v>
      </c>
      <c r="C28" t="s">
        <v>74</v>
      </c>
      <c r="D28" t="s">
        <v>57</v>
      </c>
      <c r="E28" s="33">
        <v>0</v>
      </c>
      <c r="F28" s="33"/>
    </row>
    <row r="29" spans="2:6" x14ac:dyDescent="0.25">
      <c r="B29">
        <v>19</v>
      </c>
      <c r="C29" t="s">
        <v>75</v>
      </c>
      <c r="D29" t="s">
        <v>57</v>
      </c>
      <c r="E29" s="33">
        <v>0.106386053639</v>
      </c>
      <c r="F29" s="33"/>
    </row>
    <row r="30" spans="2:6" x14ac:dyDescent="0.25">
      <c r="B30">
        <v>20</v>
      </c>
      <c r="C30" t="s">
        <v>76</v>
      </c>
      <c r="D30" t="s">
        <v>57</v>
      </c>
      <c r="E30">
        <v>0.88087687792799996</v>
      </c>
      <c r="F30" s="33"/>
    </row>
    <row r="31" spans="2:6" x14ac:dyDescent="0.25">
      <c r="B31">
        <v>21</v>
      </c>
      <c r="C31" t="s">
        <v>77</v>
      </c>
      <c r="D31" t="s">
        <v>57</v>
      </c>
      <c r="E31">
        <v>-0.16458061134300001</v>
      </c>
      <c r="F31" s="33"/>
    </row>
    <row r="32" spans="2:6" x14ac:dyDescent="0.25">
      <c r="B32">
        <v>22</v>
      </c>
      <c r="C32" t="s">
        <v>78</v>
      </c>
      <c r="D32" t="s">
        <v>57</v>
      </c>
      <c r="E32" s="33">
        <v>0.154182014038</v>
      </c>
      <c r="F32" s="33"/>
    </row>
    <row r="33" spans="2:6" x14ac:dyDescent="0.25">
      <c r="B33">
        <v>23</v>
      </c>
      <c r="C33" t="s">
        <v>79</v>
      </c>
      <c r="D33" t="s">
        <v>57</v>
      </c>
      <c r="E33" s="33">
        <v>4.79448884421E-2</v>
      </c>
      <c r="F33" s="33"/>
    </row>
    <row r="34" spans="2:6" x14ac:dyDescent="0.25">
      <c r="B34">
        <v>24</v>
      </c>
      <c r="C34" t="s">
        <v>80</v>
      </c>
      <c r="D34" t="s">
        <v>57</v>
      </c>
      <c r="E34" s="33">
        <v>6.4843520043099998E-2</v>
      </c>
      <c r="F34" s="33"/>
    </row>
    <row r="35" spans="2:6" x14ac:dyDescent="0.25">
      <c r="B35">
        <v>25</v>
      </c>
      <c r="C35" t="s">
        <v>81</v>
      </c>
      <c r="D35" t="s">
        <v>57</v>
      </c>
      <c r="E35">
        <v>0.15272053169499999</v>
      </c>
      <c r="F35" s="33"/>
    </row>
    <row r="36" spans="2:6" x14ac:dyDescent="0.25">
      <c r="B36">
        <v>26</v>
      </c>
      <c r="C36" t="s">
        <v>82</v>
      </c>
      <c r="D36" t="s">
        <v>57</v>
      </c>
      <c r="E36" s="33">
        <v>7.2028590735099998E-2</v>
      </c>
      <c r="F36" s="33"/>
    </row>
    <row r="37" spans="2:6" x14ac:dyDescent="0.25">
      <c r="B37">
        <v>27</v>
      </c>
      <c r="C37" t="s">
        <v>83</v>
      </c>
      <c r="D37" t="s">
        <v>57</v>
      </c>
      <c r="E37" s="33">
        <v>-0.27934224041799999</v>
      </c>
      <c r="F37" s="33"/>
    </row>
    <row r="38" spans="2:6" x14ac:dyDescent="0.25">
      <c r="B38">
        <v>28</v>
      </c>
      <c r="C38" t="s">
        <v>84</v>
      </c>
      <c r="D38" t="s">
        <v>57</v>
      </c>
      <c r="E38" s="33">
        <v>4.3626229225700003E-2</v>
      </c>
      <c r="F38" s="33"/>
    </row>
    <row r="39" spans="2:6" x14ac:dyDescent="0.25">
      <c r="B39">
        <v>29</v>
      </c>
      <c r="C39" t="s">
        <v>85</v>
      </c>
      <c r="D39" t="s">
        <v>57</v>
      </c>
      <c r="E39" s="33">
        <v>-8.7886819411100006E-2</v>
      </c>
      <c r="F39" s="33"/>
    </row>
    <row r="40" spans="2:6" x14ac:dyDescent="0.25">
      <c r="B40">
        <v>30</v>
      </c>
      <c r="C40" t="s">
        <v>86</v>
      </c>
      <c r="D40" t="s">
        <v>57</v>
      </c>
      <c r="E40" s="33">
        <v>-4.2894941477000001E-2</v>
      </c>
      <c r="F40" s="33"/>
    </row>
    <row r="41" spans="2:6" x14ac:dyDescent="0.25">
      <c r="B41">
        <v>31</v>
      </c>
      <c r="C41" t="s">
        <v>87</v>
      </c>
      <c r="D41" t="s">
        <v>57</v>
      </c>
      <c r="E41">
        <v>-0.13045579928000001</v>
      </c>
      <c r="F41" s="33"/>
    </row>
    <row r="42" spans="2:6" x14ac:dyDescent="0.25">
      <c r="B42">
        <v>32</v>
      </c>
      <c r="C42" t="s">
        <v>88</v>
      </c>
      <c r="D42" t="s">
        <v>57</v>
      </c>
      <c r="E42">
        <v>0.18945088644899999</v>
      </c>
      <c r="F42" s="33"/>
    </row>
    <row r="43" spans="2:6" x14ac:dyDescent="0.25">
      <c r="B43">
        <v>33</v>
      </c>
      <c r="C43" t="s">
        <v>89</v>
      </c>
      <c r="D43" t="s">
        <v>57</v>
      </c>
      <c r="E43">
        <v>-0.179523169776</v>
      </c>
      <c r="F43" s="33"/>
    </row>
    <row r="44" spans="2:6" x14ac:dyDescent="0.25">
      <c r="B44">
        <v>34</v>
      </c>
      <c r="C44" t="s">
        <v>90</v>
      </c>
      <c r="D44" t="s">
        <v>57</v>
      </c>
      <c r="E44" s="33">
        <v>0.17233347539499999</v>
      </c>
      <c r="F44" s="33"/>
    </row>
    <row r="45" spans="2:6" x14ac:dyDescent="0.25">
      <c r="B45">
        <v>35</v>
      </c>
      <c r="C45" t="s">
        <v>91</v>
      </c>
      <c r="D45" t="s">
        <v>57</v>
      </c>
      <c r="E45">
        <v>-0.194698386872</v>
      </c>
    </row>
    <row r="46" spans="2:6" x14ac:dyDescent="0.25">
      <c r="B46">
        <v>36</v>
      </c>
      <c r="C46" t="s">
        <v>92</v>
      </c>
      <c r="D46" t="s">
        <v>57</v>
      </c>
      <c r="E46">
        <v>0.38785322122799998</v>
      </c>
    </row>
    <row r="47" spans="2:6" x14ac:dyDescent="0.25">
      <c r="B47">
        <v>41</v>
      </c>
      <c r="C47" t="s">
        <v>93</v>
      </c>
      <c r="D47" t="s">
        <v>94</v>
      </c>
      <c r="E47">
        <v>-1.2033803293631999</v>
      </c>
    </row>
    <row r="48" spans="2:6" x14ac:dyDescent="0.25">
      <c r="B48">
        <v>42</v>
      </c>
      <c r="C48" t="s">
        <v>95</v>
      </c>
      <c r="D48" t="s">
        <v>94</v>
      </c>
      <c r="E48">
        <v>5.07828619993</v>
      </c>
    </row>
    <row r="49" spans="2:5" x14ac:dyDescent="0.25">
      <c r="B49">
        <v>43</v>
      </c>
      <c r="C49" t="s">
        <v>96</v>
      </c>
      <c r="D49" t="s">
        <v>94</v>
      </c>
      <c r="E49">
        <v>-3.0390882271000002</v>
      </c>
    </row>
    <row r="50" spans="2:5" x14ac:dyDescent="0.25">
      <c r="B50">
        <v>44</v>
      </c>
      <c r="C50" t="s">
        <v>97</v>
      </c>
      <c r="D50" t="s">
        <v>94</v>
      </c>
      <c r="E50">
        <v>-2.3320026601800001</v>
      </c>
    </row>
    <row r="51" spans="2:5" x14ac:dyDescent="0.25">
      <c r="B51">
        <v>50</v>
      </c>
      <c r="C51" t="s">
        <v>98</v>
      </c>
      <c r="D51" t="s">
        <v>57</v>
      </c>
      <c r="E51">
        <v>0.33566647407</v>
      </c>
    </row>
    <row r="52" spans="2:5" x14ac:dyDescent="0.25">
      <c r="B52">
        <v>51</v>
      </c>
      <c r="C52" t="s">
        <v>99</v>
      </c>
      <c r="D52" t="s">
        <v>57</v>
      </c>
      <c r="E52">
        <v>-0.78911507665199998</v>
      </c>
    </row>
    <row r="53" spans="2:5" x14ac:dyDescent="0.25">
      <c r="B53">
        <v>52</v>
      </c>
      <c r="C53" t="s">
        <v>100</v>
      </c>
      <c r="D53" t="s">
        <v>57</v>
      </c>
      <c r="E53">
        <v>0.56564055394500001</v>
      </c>
    </row>
    <row r="54" spans="2:5" x14ac:dyDescent="0.25">
      <c r="B54">
        <v>53</v>
      </c>
      <c r="C54" t="s">
        <v>101</v>
      </c>
      <c r="D54" t="s">
        <v>57</v>
      </c>
      <c r="E54">
        <v>-1.85416848242</v>
      </c>
    </row>
    <row r="55" spans="2:5" x14ac:dyDescent="0.25">
      <c r="B55">
        <v>54</v>
      </c>
      <c r="C55" t="s">
        <v>102</v>
      </c>
      <c r="D55" t="s">
        <v>57</v>
      </c>
      <c r="E55">
        <v>0</v>
      </c>
    </row>
    <row r="56" spans="2:5" x14ac:dyDescent="0.25">
      <c r="B56">
        <v>55</v>
      </c>
      <c r="C56" t="s">
        <v>103</v>
      </c>
      <c r="D56" t="s">
        <v>57</v>
      </c>
      <c r="E56">
        <v>-1.1156286956100001</v>
      </c>
    </row>
    <row r="57" spans="2:5" x14ac:dyDescent="0.25">
      <c r="B57">
        <v>56</v>
      </c>
      <c r="C57" t="s">
        <v>104</v>
      </c>
      <c r="D57" t="s">
        <v>57</v>
      </c>
      <c r="E57">
        <v>-0.81792869186600003</v>
      </c>
    </row>
    <row r="58" spans="2:5" x14ac:dyDescent="0.25">
      <c r="B58">
        <v>57</v>
      </c>
      <c r="C58" t="s">
        <v>105</v>
      </c>
      <c r="D58" t="s">
        <v>57</v>
      </c>
      <c r="E58">
        <v>-1.04729487823</v>
      </c>
    </row>
    <row r="59" spans="2:5" x14ac:dyDescent="0.25">
      <c r="B59">
        <v>58</v>
      </c>
      <c r="C59" t="s">
        <v>106</v>
      </c>
      <c r="D59" t="s">
        <v>57</v>
      </c>
      <c r="E59">
        <v>-2.0228517391</v>
      </c>
    </row>
    <row r="60" spans="2:5" x14ac:dyDescent="0.25">
      <c r="B60">
        <v>59</v>
      </c>
      <c r="C60" t="s">
        <v>107</v>
      </c>
      <c r="D60" t="s">
        <v>57</v>
      </c>
      <c r="E60">
        <v>-1.2945321250099999</v>
      </c>
    </row>
    <row r="61" spans="2:5" x14ac:dyDescent="0.25">
      <c r="B61">
        <v>60</v>
      </c>
      <c r="C61" t="s">
        <v>108</v>
      </c>
      <c r="D61" t="s">
        <v>57</v>
      </c>
      <c r="E61">
        <v>-0.66178028021599999</v>
      </c>
    </row>
    <row r="62" spans="2:5" x14ac:dyDescent="0.25">
      <c r="B62">
        <v>61</v>
      </c>
      <c r="C62" t="s">
        <v>109</v>
      </c>
      <c r="D62" t="s">
        <v>57</v>
      </c>
      <c r="E62" s="33">
        <v>-0.55504741134900004</v>
      </c>
    </row>
    <row r="63" spans="2:5" x14ac:dyDescent="0.25">
      <c r="B63">
        <v>62</v>
      </c>
      <c r="C63" t="s">
        <v>110</v>
      </c>
      <c r="D63" t="s">
        <v>57</v>
      </c>
      <c r="E63">
        <v>-1.7449233454799999</v>
      </c>
    </row>
    <row r="64" spans="2:5" x14ac:dyDescent="0.25">
      <c r="B64">
        <v>63</v>
      </c>
      <c r="C64" t="s">
        <v>111</v>
      </c>
      <c r="D64" t="s">
        <v>57</v>
      </c>
      <c r="E64">
        <v>1.1995398853399999</v>
      </c>
    </row>
    <row r="65" spans="2:5" x14ac:dyDescent="0.25">
      <c r="B65">
        <v>64</v>
      </c>
      <c r="C65" t="s">
        <v>112</v>
      </c>
      <c r="D65" t="s">
        <v>57</v>
      </c>
      <c r="E65" s="33">
        <v>0.19542046398099999</v>
      </c>
    </row>
    <row r="66" spans="2:5" x14ac:dyDescent="0.25">
      <c r="B66">
        <v>65</v>
      </c>
      <c r="C66" t="s">
        <v>113</v>
      </c>
      <c r="D66" t="s">
        <v>57</v>
      </c>
      <c r="E66">
        <v>-0.90594458676599998</v>
      </c>
    </row>
    <row r="67" spans="2:5" x14ac:dyDescent="0.25">
      <c r="B67">
        <v>66</v>
      </c>
      <c r="C67" t="s">
        <v>114</v>
      </c>
      <c r="D67" t="s">
        <v>57</v>
      </c>
      <c r="E67">
        <v>-2.05104130438</v>
      </c>
    </row>
    <row r="68" spans="2:5" x14ac:dyDescent="0.25">
      <c r="B68">
        <v>67</v>
      </c>
      <c r="C68" t="s">
        <v>115</v>
      </c>
      <c r="D68" t="s">
        <v>57</v>
      </c>
      <c r="E68">
        <v>-2.2381608455899999</v>
      </c>
    </row>
    <row r="69" spans="2:5" x14ac:dyDescent="0.25">
      <c r="B69">
        <v>68</v>
      </c>
      <c r="C69" t="s">
        <v>116</v>
      </c>
      <c r="D69" t="s">
        <v>57</v>
      </c>
      <c r="E69">
        <v>-0.40946320528300001</v>
      </c>
    </row>
    <row r="70" spans="2:5" x14ac:dyDescent="0.25">
      <c r="B70">
        <v>69</v>
      </c>
      <c r="C70" t="s">
        <v>117</v>
      </c>
      <c r="D70" t="s">
        <v>57</v>
      </c>
      <c r="E70">
        <v>-1.1700902309500001</v>
      </c>
    </row>
    <row r="71" spans="2:5" x14ac:dyDescent="0.25">
      <c r="B71">
        <v>70</v>
      </c>
      <c r="C71" t="s">
        <v>118</v>
      </c>
      <c r="D71" t="s">
        <v>57</v>
      </c>
      <c r="E71">
        <v>1.8412445021999999</v>
      </c>
    </row>
    <row r="72" spans="2:5" x14ac:dyDescent="0.25">
      <c r="B72">
        <v>71</v>
      </c>
      <c r="C72" t="s">
        <v>119</v>
      </c>
      <c r="D72" t="s">
        <v>57</v>
      </c>
      <c r="E72">
        <v>0.71619685052500004</v>
      </c>
    </row>
    <row r="73" spans="2:5" x14ac:dyDescent="0.25">
      <c r="B73">
        <v>72</v>
      </c>
      <c r="C73" t="s">
        <v>120</v>
      </c>
      <c r="D73" t="s">
        <v>57</v>
      </c>
      <c r="E73">
        <v>-0.101060642888</v>
      </c>
    </row>
    <row r="74" spans="2:5" x14ac:dyDescent="0.25">
      <c r="B74">
        <v>73</v>
      </c>
      <c r="C74" t="s">
        <v>121</v>
      </c>
      <c r="D74" t="s">
        <v>57</v>
      </c>
      <c r="E74">
        <v>-0.34132571646100002</v>
      </c>
    </row>
    <row r="75" spans="2:5" x14ac:dyDescent="0.25">
      <c r="B75">
        <v>74</v>
      </c>
      <c r="C75" t="s">
        <v>122</v>
      </c>
      <c r="D75" t="s">
        <v>57</v>
      </c>
      <c r="E75">
        <v>1.0486549950899999</v>
      </c>
    </row>
    <row r="76" spans="2:5" x14ac:dyDescent="0.25">
      <c r="B76">
        <v>75</v>
      </c>
      <c r="C76" t="s">
        <v>123</v>
      </c>
      <c r="D76" t="s">
        <v>57</v>
      </c>
      <c r="E76">
        <v>-30</v>
      </c>
    </row>
    <row r="77" spans="2:5" x14ac:dyDescent="0.25">
      <c r="B77">
        <v>76</v>
      </c>
      <c r="C77" t="s">
        <v>124</v>
      </c>
      <c r="D77" t="s">
        <v>57</v>
      </c>
      <c r="E77" s="33">
        <v>0.91468797064200003</v>
      </c>
    </row>
    <row r="78" spans="2:5" x14ac:dyDescent="0.25">
      <c r="B78">
        <v>77</v>
      </c>
      <c r="C78" t="s">
        <v>125</v>
      </c>
      <c r="D78" t="s">
        <v>57</v>
      </c>
      <c r="E78">
        <v>-1.1830909132</v>
      </c>
    </row>
    <row r="79" spans="2:5" x14ac:dyDescent="0.25">
      <c r="B79">
        <v>78</v>
      </c>
      <c r="C79" t="s">
        <v>126</v>
      </c>
      <c r="D79" t="s">
        <v>57</v>
      </c>
      <c r="E79">
        <v>1.4576625009499999</v>
      </c>
    </row>
    <row r="80" spans="2:5" x14ac:dyDescent="0.25">
      <c r="B80">
        <v>79</v>
      </c>
      <c r="C80" t="s">
        <v>127</v>
      </c>
      <c r="D80" t="s">
        <v>57</v>
      </c>
      <c r="E80">
        <v>-1.62636517084</v>
      </c>
    </row>
    <row r="81" spans="2:6" x14ac:dyDescent="0.25">
      <c r="B81">
        <v>80</v>
      </c>
      <c r="C81" t="s">
        <v>128</v>
      </c>
      <c r="D81" t="s">
        <v>57</v>
      </c>
      <c r="E81">
        <v>0</v>
      </c>
    </row>
    <row r="82" spans="2:6" x14ac:dyDescent="0.25">
      <c r="B82">
        <v>101</v>
      </c>
      <c r="C82" t="s">
        <v>377</v>
      </c>
      <c r="D82" t="s">
        <v>57</v>
      </c>
      <c r="E82">
        <v>0</v>
      </c>
      <c r="F82" s="33"/>
    </row>
    <row r="83" spans="2:6" x14ac:dyDescent="0.25">
      <c r="B83">
        <v>102</v>
      </c>
      <c r="C83" t="s">
        <v>378</v>
      </c>
      <c r="D83" t="s">
        <v>57</v>
      </c>
      <c r="E83">
        <v>6.1585552388600001E-2</v>
      </c>
      <c r="F83" s="33"/>
    </row>
    <row r="84" spans="2:6" x14ac:dyDescent="0.25">
      <c r="B84">
        <v>103</v>
      </c>
      <c r="C84" s="33" t="s">
        <v>379</v>
      </c>
      <c r="D84" s="33" t="s">
        <v>57</v>
      </c>
      <c r="E84" s="33">
        <v>-0.17738509358310001</v>
      </c>
      <c r="F84" s="33"/>
    </row>
    <row r="85" spans="2:6" x14ac:dyDescent="0.25">
      <c r="B85">
        <v>104</v>
      </c>
      <c r="C85" s="33" t="s">
        <v>380</v>
      </c>
      <c r="D85" s="33" t="s">
        <v>57</v>
      </c>
      <c r="E85" s="33">
        <v>0.2419007637824</v>
      </c>
    </row>
    <row r="86" spans="2:6" x14ac:dyDescent="0.25">
      <c r="B86">
        <v>105</v>
      </c>
      <c r="C86" s="33" t="s">
        <v>381</v>
      </c>
      <c r="D86" s="33" t="s">
        <v>57</v>
      </c>
      <c r="E86" s="33">
        <v>-3.3705109193499998E-2</v>
      </c>
    </row>
    <row r="87" spans="2:6" x14ac:dyDescent="0.25">
      <c r="B87">
        <v>106</v>
      </c>
      <c r="C87" t="s">
        <v>382</v>
      </c>
      <c r="D87" t="s">
        <v>57</v>
      </c>
      <c r="E87">
        <v>0.1143372177009</v>
      </c>
      <c r="F87" s="33"/>
    </row>
    <row r="88" spans="2:6" x14ac:dyDescent="0.25">
      <c r="B88">
        <v>107</v>
      </c>
      <c r="C88" t="s">
        <v>383</v>
      </c>
      <c r="D88" t="s">
        <v>57</v>
      </c>
      <c r="E88">
        <v>0.29549776405130002</v>
      </c>
      <c r="F88" s="33"/>
    </row>
    <row r="89" spans="2:6" x14ac:dyDescent="0.25">
      <c r="B89">
        <v>108</v>
      </c>
      <c r="C89" s="33" t="s">
        <v>384</v>
      </c>
      <c r="D89" s="33" t="s">
        <v>57</v>
      </c>
      <c r="E89" s="33">
        <v>-0.24958234591280001</v>
      </c>
    </row>
    <row r="90" spans="2:6" x14ac:dyDescent="0.25">
      <c r="B90">
        <v>109</v>
      </c>
      <c r="C90" s="33" t="s">
        <v>385</v>
      </c>
      <c r="D90" s="39" t="s">
        <v>57</v>
      </c>
      <c r="E90" s="33">
        <v>0.1613318461263</v>
      </c>
    </row>
    <row r="91" spans="2:6" x14ac:dyDescent="0.25">
      <c r="B91">
        <v>110</v>
      </c>
      <c r="C91" t="s">
        <v>386</v>
      </c>
      <c r="D91" t="s">
        <v>57</v>
      </c>
      <c r="E91">
        <v>-4.5588844644699998E-2</v>
      </c>
    </row>
    <row r="92" spans="2:6" x14ac:dyDescent="0.25">
      <c r="B92">
        <v>111</v>
      </c>
      <c r="C92" t="s">
        <v>387</v>
      </c>
      <c r="D92" t="s">
        <v>57</v>
      </c>
      <c r="E92">
        <v>-0.14910096747439999</v>
      </c>
    </row>
    <row r="93" spans="2:6" x14ac:dyDescent="0.25">
      <c r="B93">
        <v>112</v>
      </c>
      <c r="C93" t="s">
        <v>388</v>
      </c>
      <c r="D93" t="s">
        <v>57</v>
      </c>
      <c r="E93">
        <v>0.17468608903999999</v>
      </c>
    </row>
    <row r="94" spans="2:6" x14ac:dyDescent="0.25">
      <c r="B94">
        <v>113</v>
      </c>
      <c r="C94" t="s">
        <v>389</v>
      </c>
      <c r="D94" t="s">
        <v>57</v>
      </c>
      <c r="E94">
        <v>1.3048994599762</v>
      </c>
    </row>
    <row r="95" spans="2:6" x14ac:dyDescent="0.25">
      <c r="B95">
        <v>114</v>
      </c>
      <c r="C95" t="s">
        <v>390</v>
      </c>
      <c r="D95" t="s">
        <v>57</v>
      </c>
      <c r="E95">
        <v>4.9409553856600001E-2</v>
      </c>
    </row>
    <row r="96" spans="2:6" x14ac:dyDescent="0.25">
      <c r="B96">
        <v>115</v>
      </c>
      <c r="C96" t="s">
        <v>391</v>
      </c>
      <c r="D96" t="s">
        <v>57</v>
      </c>
      <c r="E96">
        <v>0.21697886195819999</v>
      </c>
    </row>
    <row r="97" spans="2:11" x14ac:dyDescent="0.25">
      <c r="B97">
        <v>116</v>
      </c>
      <c r="C97" t="s">
        <v>392</v>
      </c>
      <c r="D97" t="s">
        <v>57</v>
      </c>
      <c r="E97">
        <v>-0.46096256471820002</v>
      </c>
    </row>
    <row r="98" spans="2:11" x14ac:dyDescent="0.25">
      <c r="B98">
        <v>117</v>
      </c>
      <c r="C98" t="s">
        <v>393</v>
      </c>
      <c r="D98" t="s">
        <v>57</v>
      </c>
      <c r="E98">
        <v>-6.5598826231399995E-2</v>
      </c>
    </row>
    <row r="99" spans="2:11" x14ac:dyDescent="0.25">
      <c r="B99">
        <v>118</v>
      </c>
      <c r="C99" t="s">
        <v>394</v>
      </c>
      <c r="D99" t="s">
        <v>57</v>
      </c>
      <c r="E99">
        <v>0.30646725571720002</v>
      </c>
    </row>
    <row r="100" spans="2:11" x14ac:dyDescent="0.25">
      <c r="B100">
        <v>119</v>
      </c>
      <c r="C100" t="s">
        <v>395</v>
      </c>
      <c r="D100" t="s">
        <v>57</v>
      </c>
      <c r="E100">
        <v>0.1628137198364</v>
      </c>
    </row>
    <row r="101" spans="2:11" x14ac:dyDescent="0.25">
      <c r="B101">
        <v>120</v>
      </c>
      <c r="C101" t="s">
        <v>396</v>
      </c>
      <c r="D101" t="s">
        <v>57</v>
      </c>
      <c r="E101">
        <v>-0.40270863939919999</v>
      </c>
    </row>
    <row r="102" spans="2:11" x14ac:dyDescent="0.25">
      <c r="B102">
        <v>121</v>
      </c>
      <c r="C102" t="s">
        <v>418</v>
      </c>
      <c r="D102" t="s">
        <v>57</v>
      </c>
      <c r="E102">
        <v>-0.47819038789149998</v>
      </c>
    </row>
    <row r="103" spans="2:11" x14ac:dyDescent="0.25">
      <c r="B103">
        <v>122</v>
      </c>
      <c r="C103" t="s">
        <v>419</v>
      </c>
      <c r="D103" t="s">
        <v>57</v>
      </c>
      <c r="E103">
        <v>-1.0119832457914</v>
      </c>
    </row>
    <row r="104" spans="2:11" x14ac:dyDescent="0.25">
      <c r="B104">
        <v>98</v>
      </c>
      <c r="C104" s="33" t="s">
        <v>130</v>
      </c>
      <c r="D104" s="33" t="s">
        <v>94</v>
      </c>
      <c r="E104" s="33">
        <v>0.196143079927</v>
      </c>
    </row>
    <row r="105" spans="2:11" x14ac:dyDescent="0.25">
      <c r="B105">
        <v>-1</v>
      </c>
    </row>
    <row r="106" spans="2:11" x14ac:dyDescent="0.25">
      <c r="B106">
        <v>4094</v>
      </c>
      <c r="C106" s="33">
        <v>-7858.2822859199996</v>
      </c>
      <c r="D106" s="33">
        <v>-18684.837435699999</v>
      </c>
      <c r="E106" s="33">
        <v>-15176.5511826</v>
      </c>
    </row>
    <row r="107" spans="2:11" x14ac:dyDescent="0.25">
      <c r="B107">
        <v>4</v>
      </c>
      <c r="C107" t="s">
        <v>308</v>
      </c>
      <c r="D107" t="s">
        <v>232</v>
      </c>
      <c r="E107">
        <v>5</v>
      </c>
      <c r="F107" t="s">
        <v>307</v>
      </c>
      <c r="G107">
        <v>12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-93357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21016</v>
      </c>
    </row>
    <row r="182" spans="2:11" x14ac:dyDescent="0.25">
      <c r="B182">
        <v>-15064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61408</v>
      </c>
      <c r="J185">
        <v>-67476</v>
      </c>
      <c r="K185">
        <v>11445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2:11" x14ac:dyDescent="0.25"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2:11" x14ac:dyDescent="0.25"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</row>
    <row r="253" spans="2:11" x14ac:dyDescent="0.25"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2:11" x14ac:dyDescent="0.25"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2:11" x14ac:dyDescent="0.2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2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2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2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2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2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2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2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2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2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2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2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2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2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2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2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25"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</row>
    <row r="278" spans="2:11" x14ac:dyDescent="0.25"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</row>
    <row r="279" spans="2:11" x14ac:dyDescent="0.25"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</row>
    <row r="280" spans="2:11" x14ac:dyDescent="0.25"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25"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2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2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25"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2:11" x14ac:dyDescent="0.25"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</row>
    <row r="297" spans="2:11" x14ac:dyDescent="0.25"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</row>
    <row r="298" spans="2:11" x14ac:dyDescent="0.2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2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25"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</row>
    <row r="301" spans="2:11" x14ac:dyDescent="0.25"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2:11" x14ac:dyDescent="0.25"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2:11" x14ac:dyDescent="0.25"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2:11" x14ac:dyDescent="0.25"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</row>
    <row r="305" spans="2:11" x14ac:dyDescent="0.25"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</row>
    <row r="306" spans="2:11" x14ac:dyDescent="0.25"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</row>
    <row r="307" spans="2:11" x14ac:dyDescent="0.25"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</row>
    <row r="308" spans="2:11" x14ac:dyDescent="0.25"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</row>
    <row r="309" spans="2:11" x14ac:dyDescent="0.25"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</row>
    <row r="310" spans="2:11" x14ac:dyDescent="0.25"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</row>
    <row r="311" spans="2:11" x14ac:dyDescent="0.25"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</row>
    <row r="312" spans="2:11" x14ac:dyDescent="0.25"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</row>
    <row r="313" spans="2:11" x14ac:dyDescent="0.25"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</row>
    <row r="314" spans="2:11" x14ac:dyDescent="0.25"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</row>
    <row r="315" spans="2:11" x14ac:dyDescent="0.25"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</row>
    <row r="316" spans="2:11" x14ac:dyDescent="0.25"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</row>
    <row r="317" spans="2:11" x14ac:dyDescent="0.25"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</row>
    <row r="318" spans="2:11" x14ac:dyDescent="0.25"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</row>
    <row r="319" spans="2:11" x14ac:dyDescent="0.25"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</row>
    <row r="320" spans="2:11" x14ac:dyDescent="0.25"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</row>
    <row r="321" spans="2:11" x14ac:dyDescent="0.25"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</row>
    <row r="322" spans="2:11" x14ac:dyDescent="0.25"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</row>
    <row r="323" spans="2:11" x14ac:dyDescent="0.25"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</row>
    <row r="324" spans="2:11" x14ac:dyDescent="0.25"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</row>
    <row r="325" spans="2:11" x14ac:dyDescent="0.25"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</row>
    <row r="326" spans="2:11" x14ac:dyDescent="0.25"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</row>
    <row r="327" spans="2:11" x14ac:dyDescent="0.25"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</row>
    <row r="328" spans="2:11" x14ac:dyDescent="0.25"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</row>
    <row r="329" spans="2:11" x14ac:dyDescent="0.25"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</row>
    <row r="330" spans="2:11" x14ac:dyDescent="0.25"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</row>
    <row r="331" spans="2:11" x14ac:dyDescent="0.25"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</row>
    <row r="332" spans="2:11" x14ac:dyDescent="0.25"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</row>
    <row r="333" spans="2:11" x14ac:dyDescent="0.25"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</row>
    <row r="334" spans="2:11" x14ac:dyDescent="0.25"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</row>
    <row r="335" spans="2:11" x14ac:dyDescent="0.25"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</row>
    <row r="336" spans="2:11" x14ac:dyDescent="0.25"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</row>
    <row r="337" spans="2:11" x14ac:dyDescent="0.25"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</row>
    <row r="338" spans="2:11" x14ac:dyDescent="0.25"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</row>
    <row r="339" spans="2:11" x14ac:dyDescent="0.25"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</row>
    <row r="340" spans="2:11" x14ac:dyDescent="0.25"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</row>
    <row r="341" spans="2:11" x14ac:dyDescent="0.25"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</row>
    <row r="342" spans="2:11" x14ac:dyDescent="0.25"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</row>
    <row r="343" spans="2:11" x14ac:dyDescent="0.25"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</row>
    <row r="344" spans="2:11" x14ac:dyDescent="0.25"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</row>
    <row r="345" spans="2:11" x14ac:dyDescent="0.25"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</row>
    <row r="346" spans="2:11" x14ac:dyDescent="0.25"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</row>
    <row r="347" spans="2:11" x14ac:dyDescent="0.25"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</row>
    <row r="348" spans="2:11" x14ac:dyDescent="0.25"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</row>
    <row r="349" spans="2:11" x14ac:dyDescent="0.25"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</row>
    <row r="350" spans="2:11" x14ac:dyDescent="0.25"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</row>
    <row r="351" spans="2:11" x14ac:dyDescent="0.25"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</row>
    <row r="352" spans="2:11" x14ac:dyDescent="0.25"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</row>
    <row r="353" spans="2:11" x14ac:dyDescent="0.25"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</row>
    <row r="354" spans="2:11" x14ac:dyDescent="0.25"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</row>
    <row r="355" spans="2:11" x14ac:dyDescent="0.25"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</row>
    <row r="356" spans="2:11" x14ac:dyDescent="0.25"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</row>
    <row r="357" spans="2:11" x14ac:dyDescent="0.25"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</row>
    <row r="358" spans="2:11" x14ac:dyDescent="0.25"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</row>
    <row r="359" spans="2:11" x14ac:dyDescent="0.25"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</row>
    <row r="360" spans="2:11" x14ac:dyDescent="0.25"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</row>
    <row r="361" spans="2:11" x14ac:dyDescent="0.25"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</row>
    <row r="362" spans="2:11" x14ac:dyDescent="0.25"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</row>
    <row r="363" spans="2:11" x14ac:dyDescent="0.25"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</row>
    <row r="364" spans="2:11" x14ac:dyDescent="0.25"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</row>
    <row r="365" spans="2:11" x14ac:dyDescent="0.25"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</row>
    <row r="366" spans="2:11" x14ac:dyDescent="0.25"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</row>
    <row r="367" spans="2:11" x14ac:dyDescent="0.25">
      <c r="B367">
        <v>0</v>
      </c>
      <c r="C367">
        <v>0</v>
      </c>
      <c r="D367">
        <v>99207</v>
      </c>
      <c r="E367">
        <v>-91957</v>
      </c>
      <c r="F367">
        <v>23803</v>
      </c>
      <c r="G367">
        <v>66371</v>
      </c>
      <c r="H367">
        <v>0</v>
      </c>
      <c r="I367">
        <v>0</v>
      </c>
      <c r="J367">
        <v>0</v>
      </c>
      <c r="K367">
        <v>0</v>
      </c>
    </row>
    <row r="368" spans="2:11" x14ac:dyDescent="0.25"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</row>
    <row r="369" spans="2:11" x14ac:dyDescent="0.25"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</row>
    <row r="370" spans="2:11" x14ac:dyDescent="0.25"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</row>
    <row r="371" spans="2:11" x14ac:dyDescent="0.25"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</row>
    <row r="372" spans="2:11" x14ac:dyDescent="0.25"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</row>
    <row r="373" spans="2:11" x14ac:dyDescent="0.25"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</row>
    <row r="374" spans="2:11" x14ac:dyDescent="0.25"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</row>
    <row r="375" spans="2:11" x14ac:dyDescent="0.25"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</row>
    <row r="376" spans="2:11" x14ac:dyDescent="0.25">
      <c r="B376">
        <v>0</v>
      </c>
      <c r="C376">
        <v>-53851</v>
      </c>
      <c r="D376">
        <v>-1875</v>
      </c>
      <c r="E376">
        <v>0</v>
      </c>
      <c r="F376">
        <v>0</v>
      </c>
      <c r="G376">
        <v>-21781</v>
      </c>
      <c r="H376">
        <v>-20280</v>
      </c>
      <c r="I376">
        <v>-42228</v>
      </c>
      <c r="J376">
        <v>-2163</v>
      </c>
      <c r="K376">
        <v>-1012</v>
      </c>
    </row>
    <row r="377" spans="2:11" x14ac:dyDescent="0.25">
      <c r="B377">
        <v>-3960</v>
      </c>
      <c r="C377">
        <v>-2366</v>
      </c>
      <c r="D377">
        <v>300</v>
      </c>
      <c r="E377">
        <v>3832</v>
      </c>
      <c r="F377">
        <v>-1611</v>
      </c>
      <c r="G377">
        <v>0</v>
      </c>
      <c r="H377">
        <v>0</v>
      </c>
      <c r="I377">
        <v>0</v>
      </c>
      <c r="J377">
        <v>-6123</v>
      </c>
      <c r="K377">
        <v>-8113</v>
      </c>
    </row>
    <row r="378" spans="2:11" x14ac:dyDescent="0.25">
      <c r="B378">
        <v>0</v>
      </c>
      <c r="C378">
        <v>228</v>
      </c>
      <c r="D378">
        <v>0</v>
      </c>
      <c r="E378">
        <v>-699</v>
      </c>
      <c r="F378">
        <v>0</v>
      </c>
      <c r="G378">
        <v>1524</v>
      </c>
      <c r="H378">
        <v>-6490</v>
      </c>
      <c r="I378">
        <v>0</v>
      </c>
      <c r="J378">
        <v>4309</v>
      </c>
      <c r="K378">
        <v>1098</v>
      </c>
    </row>
    <row r="379" spans="2:11" x14ac:dyDescent="0.25">
      <c r="B379">
        <v>2508</v>
      </c>
      <c r="C379">
        <v>0</v>
      </c>
      <c r="D379">
        <v>0</v>
      </c>
      <c r="E379">
        <v>-12322</v>
      </c>
      <c r="F379">
        <v>0</v>
      </c>
      <c r="G379">
        <v>0</v>
      </c>
      <c r="H379">
        <v>0</v>
      </c>
      <c r="I379">
        <v>10347</v>
      </c>
      <c r="J379">
        <v>0</v>
      </c>
      <c r="K379">
        <v>52376</v>
      </c>
    </row>
    <row r="380" spans="2:11" x14ac:dyDescent="0.25">
      <c r="B380">
        <v>0</v>
      </c>
      <c r="C380">
        <v>0</v>
      </c>
      <c r="D380">
        <v>0</v>
      </c>
      <c r="E380">
        <v>0</v>
      </c>
      <c r="F380">
        <v>-31826</v>
      </c>
      <c r="G380">
        <v>-30459</v>
      </c>
      <c r="H380">
        <v>-31188</v>
      </c>
      <c r="I380">
        <v>0</v>
      </c>
      <c r="J380">
        <v>-28742</v>
      </c>
      <c r="K380">
        <v>-30971</v>
      </c>
    </row>
    <row r="381" spans="2:11" x14ac:dyDescent="0.25">
      <c r="B381">
        <v>-30536</v>
      </c>
      <c r="C381">
        <v>-29277</v>
      </c>
      <c r="D381">
        <v>-28272</v>
      </c>
      <c r="E381">
        <v>-26510</v>
      </c>
      <c r="F381">
        <v>-25917</v>
      </c>
      <c r="G381">
        <v>0</v>
      </c>
      <c r="H381">
        <v>-4294</v>
      </c>
      <c r="I381">
        <v>-13158</v>
      </c>
      <c r="J381">
        <v>-19171</v>
      </c>
      <c r="K381">
        <v>-20363</v>
      </c>
    </row>
    <row r="382" spans="2:11" x14ac:dyDescent="0.25">
      <c r="B382">
        <v>-6903</v>
      </c>
      <c r="C382">
        <v>0</v>
      </c>
      <c r="D382">
        <v>-17686</v>
      </c>
      <c r="E382">
        <v>-23766</v>
      </c>
      <c r="F382">
        <v>0</v>
      </c>
      <c r="G382">
        <v>-17253</v>
      </c>
      <c r="H382">
        <v>-24236</v>
      </c>
      <c r="I382">
        <v>-18126</v>
      </c>
      <c r="J382">
        <v>0</v>
      </c>
      <c r="K382">
        <v>41</v>
      </c>
    </row>
    <row r="383" spans="2:11" x14ac:dyDescent="0.25">
      <c r="B383">
        <v>0</v>
      </c>
      <c r="C383">
        <v>0</v>
      </c>
      <c r="D383">
        <v>0</v>
      </c>
      <c r="E383">
        <v>-894</v>
      </c>
      <c r="F383">
        <v>0</v>
      </c>
      <c r="G383">
        <v>0</v>
      </c>
    </row>
    <row r="384" spans="2:11" x14ac:dyDescent="0.25">
      <c r="B384">
        <v>0</v>
      </c>
      <c r="C384">
        <v>0</v>
      </c>
      <c r="D384">
        <v>-4019</v>
      </c>
      <c r="E384">
        <v>0</v>
      </c>
      <c r="F384">
        <v>0</v>
      </c>
      <c r="G384">
        <v>0</v>
      </c>
    </row>
  </sheetData>
  <pageMargins bottom="0.75" footer="0.3" header="0.3" left="0.7" right="0.7" top="0.75"/>
  <pageSetup orientation="portrait" r:id="rId1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DC403"/>
  <sheetViews>
    <sheetView topLeftCell="AG1" workbookViewId="0">
      <selection activeCell="O20" sqref="O20"/>
    </sheetView>
  </sheetViews>
  <sheetFormatPr defaultRowHeight="15" x14ac:dyDescent="0.25"/>
  <cols>
    <col min="3" max="3" bestFit="true" customWidth="true" width="19.28515625" collapsed="true"/>
    <col min="5" max="5" bestFit="true" customWidth="true" width="10.5703125" collapsed="true"/>
    <col min="6" max="6" bestFit="true" customWidth="true" width="9.0" collapsed="true"/>
    <col min="14" max="14" bestFit="true" customWidth="true" width="10.42578125" collapsed="true"/>
    <col min="16" max="16" bestFit="true" customWidth="true" width="10.28515625" collapsed="true"/>
    <col min="17" max="17" bestFit="true" customWidth="true" width="15.7109375" collapsed="true"/>
    <col min="18" max="18" bestFit="true" customWidth="true" width="7.0" collapsed="true"/>
    <col min="19" max="19" bestFit="true" customWidth="true" width="10.140625" collapsed="true"/>
    <col min="21" max="21" bestFit="true" customWidth="true" width="12.28515625" collapsed="true"/>
    <col min="22" max="23" bestFit="true" customWidth="true" width="11.5703125" collapsed="true"/>
    <col min="24" max="24" bestFit="true" customWidth="true" width="9.85546875" collapsed="true"/>
    <col min="25" max="25" customWidth="true" width="10.0" collapsed="true"/>
    <col min="26" max="26" customWidth="true" width="12.42578125" collapsed="true"/>
    <col min="27" max="27" bestFit="true" customWidth="true" width="15.7109375" collapsed="true"/>
    <col min="28" max="28" bestFit="true" customWidth="true" width="15.28515625" collapsed="true"/>
    <col min="29" max="29" bestFit="true" customWidth="true" width="20.7109375" collapsed="true"/>
    <col min="30" max="30" bestFit="true" customWidth="true" width="12.85546875" collapsed="true"/>
    <col min="31" max="31" bestFit="true" customWidth="true" width="10.7109375" collapsed="true"/>
    <col min="33" max="33" bestFit="true" customWidth="true" width="10.5703125" collapsed="true"/>
    <col min="34" max="34" bestFit="true" customWidth="true" width="11.28515625" collapsed="true"/>
    <col min="52" max="56" bestFit="true" customWidth="true" width="10.5703125" collapsed="true"/>
    <col min="57" max="57" bestFit="true" customWidth="true" width="11.5703125" collapsed="true"/>
    <col min="58" max="58" bestFit="true" customWidth="true" width="10.5703125" collapsed="true"/>
    <col min="59" max="59" bestFit="true" customWidth="true" width="9.5703125" collapsed="true"/>
    <col min="60" max="62" bestFit="true" customWidth="true" width="10.5703125" collapsed="true"/>
    <col min="63" max="63" bestFit="true" customWidth="true" width="11.5703125" collapsed="true"/>
    <col min="64" max="66" bestFit="true" customWidth="true" width="10.5703125" collapsed="true"/>
    <col min="67" max="67" bestFit="true" customWidth="true" width="9.5703125" collapsed="true"/>
    <col min="68" max="71" bestFit="true" customWidth="true" width="10.5703125" collapsed="true"/>
    <col min="72" max="72" bestFit="true" customWidth="true" width="9.28515625" collapsed="true"/>
    <col min="73" max="73" bestFit="true" customWidth="true" width="11.5703125" collapsed="true"/>
    <col min="102" max="102" bestFit="true" customWidth="true" width="9.5703125" collapsed="true"/>
  </cols>
  <sheetData>
    <row ht="15.75" r="1" spans="2:106" thickBot="1" x14ac:dyDescent="0.3">
      <c r="L1" s="7"/>
      <c r="M1" s="7"/>
      <c r="N1" s="7"/>
      <c r="O1" s="7"/>
      <c r="CS1" t="s">
        <v>411</v>
      </c>
      <c r="CU1" t="s">
        <v>412</v>
      </c>
      <c r="CV1" t="s">
        <v>410</v>
      </c>
      <c r="CW1" t="s">
        <v>227</v>
      </c>
      <c r="CX1" t="s">
        <v>369</v>
      </c>
      <c r="CY1" t="s">
        <v>347</v>
      </c>
      <c r="CZ1" t="s">
        <v>413</v>
      </c>
      <c r="DA1" t="s">
        <v>414</v>
      </c>
      <c r="DB1" t="s">
        <v>415</v>
      </c>
    </row>
    <row r="2" spans="2:106" x14ac:dyDescent="0.25">
      <c r="B2" s="234" t="s">
        <v>352</v>
      </c>
      <c r="C2" s="238"/>
      <c r="D2" s="239" t="s">
        <v>350</v>
      </c>
      <c r="E2" s="235"/>
      <c r="F2" s="235"/>
      <c r="G2" s="238"/>
      <c r="H2" s="239" t="s">
        <v>351</v>
      </c>
      <c r="I2" s="235"/>
      <c r="J2" s="235"/>
      <c r="K2" s="238"/>
      <c r="L2" s="239" t="s">
        <v>360</v>
      </c>
      <c r="M2" s="235"/>
      <c r="N2" s="235"/>
      <c r="O2" s="238"/>
      <c r="P2" s="239" t="s">
        <v>405</v>
      </c>
      <c r="Q2" s="238"/>
      <c r="R2" s="168"/>
      <c r="S2" s="154"/>
      <c r="T2" s="154"/>
      <c r="U2" s="237"/>
      <c r="V2" s="237"/>
      <c r="W2" s="237"/>
      <c r="X2" s="237"/>
      <c r="Y2" s="237"/>
      <c r="Z2" s="237"/>
      <c r="AA2" s="237"/>
      <c r="AB2" s="237"/>
      <c r="AC2" s="237"/>
      <c r="AD2" s="234" t="s">
        <v>367</v>
      </c>
      <c r="AE2" s="235"/>
      <c r="AF2" s="235"/>
      <c r="AG2" s="235"/>
      <c r="AH2" s="235"/>
      <c r="AI2" s="236"/>
      <c r="CS2">
        <v>20</v>
      </c>
      <c r="CU2">
        <v>1</v>
      </c>
      <c r="CV2">
        <v>1</v>
      </c>
      <c r="CW2">
        <f>MOD(ROW()-2,$CS$2)+1</f>
        <v>1</v>
      </c>
      <c r="CX2" s="58">
        <f>VLOOKUP($CV2,$B$30:$V$49,MATCH($CW2,$B$29:$V$29,0),0)</f>
        <v>1171.4341911162105</v>
      </c>
      <c r="CY2" s="58">
        <f>VLOOKUP($CV2,$AY$30:$BS$49,MATCH($CW2,$AY$29:$BS$29,0),0)</f>
        <v>2093.0000000000005</v>
      </c>
      <c r="CZ2" s="108">
        <f>CY2-CX2</f>
        <v>921.56580888378994</v>
      </c>
      <c r="DA2" s="78">
        <f>CZ2/CX2</f>
        <v>0.78669874575341581</v>
      </c>
      <c r="DB2">
        <v>1000</v>
      </c>
    </row>
    <row r="3" spans="2:106" x14ac:dyDescent="0.25">
      <c r="B3" s="179" t="s">
        <v>353</v>
      </c>
      <c r="C3" s="180" t="s">
        <v>364</v>
      </c>
      <c r="D3" s="181" t="s">
        <v>345</v>
      </c>
      <c r="E3" s="182" t="s">
        <v>359</v>
      </c>
      <c r="F3" s="182" t="s">
        <v>346</v>
      </c>
      <c r="G3" s="182" t="s">
        <v>347</v>
      </c>
      <c r="H3" s="181" t="s">
        <v>345</v>
      </c>
      <c r="I3" s="182" t="s">
        <v>359</v>
      </c>
      <c r="J3" s="182" t="s">
        <v>346</v>
      </c>
      <c r="K3" s="182" t="s">
        <v>347</v>
      </c>
      <c r="L3" s="183" t="s">
        <v>345</v>
      </c>
      <c r="M3" s="184" t="s">
        <v>359</v>
      </c>
      <c r="N3" s="184" t="s">
        <v>363</v>
      </c>
      <c r="O3" s="185" t="s">
        <v>347</v>
      </c>
      <c r="P3" s="186" t="s">
        <v>354</v>
      </c>
      <c r="Q3" s="187" t="s">
        <v>356</v>
      </c>
      <c r="R3" s="188" t="s">
        <v>365</v>
      </c>
      <c r="T3" s="138"/>
      <c r="U3" s="199"/>
      <c r="V3" s="199"/>
      <c r="W3" s="199"/>
      <c r="X3" s="199"/>
      <c r="Y3" s="200"/>
      <c r="Z3" s="199"/>
      <c r="AA3" s="199"/>
      <c r="AB3" s="199"/>
      <c r="AC3" s="199"/>
      <c r="AD3" s="193" t="s">
        <v>401</v>
      </c>
      <c r="AE3" s="184" t="s">
        <v>366</v>
      </c>
      <c r="AF3" s="189" t="s">
        <v>368</v>
      </c>
      <c r="AG3" s="189" t="s">
        <v>402</v>
      </c>
      <c r="AH3" s="189" t="s">
        <v>403</v>
      </c>
      <c r="AI3" s="190" t="s">
        <v>268</v>
      </c>
      <c r="AK3" s="90" t="s">
        <v>404</v>
      </c>
      <c r="CU3" s="95">
        <v>2</v>
      </c>
      <c r="CV3" s="95">
        <f>IF(CW2&lt;$CS$2,CV2,CV2+1)</f>
        <v>1</v>
      </c>
      <c r="CW3" s="95">
        <f ref="CW3:CW66" si="0" t="shared">MOD(ROW()-2,$CS$2)+1</f>
        <v>2</v>
      </c>
      <c r="CX3" s="58">
        <f ref="CX3:CX66" si="1" t="shared">VLOOKUP($CV3,$B$30:$V$49,MATCH($CW3,$B$29:$V$29,0),0)</f>
        <v>300.77364366497295</v>
      </c>
      <c r="CY3" s="58">
        <f ref="CY3:CY66" si="2" t="shared">VLOOKUP($CV3,$AY$30:$BS$49,MATCH($CW3,$AY$29:$BS$29,0),0)</f>
        <v>269.00000000000006</v>
      </c>
      <c r="CZ3" s="108">
        <f ref="CZ3:CZ66" si="3" t="shared">CY3-CX3</f>
        <v>-31.773643664972894</v>
      </c>
      <c r="DA3" s="78">
        <f ref="DA3:DA66" si="4" t="shared">CZ3/CX3</f>
        <v>-0.10563972054800473</v>
      </c>
      <c r="DB3" s="95">
        <v>2000</v>
      </c>
    </row>
    <row r="4" spans="2:106" x14ac:dyDescent="0.25">
      <c r="B4" s="169">
        <v>1</v>
      </c>
      <c r="C4" s="170" t="s">
        <v>325</v>
      </c>
      <c r="D4" s="132">
        <f>County_Flow!BX22</f>
        <v>59653.544440759513</v>
      </c>
      <c r="E4" s="133">
        <f>County_Flow!BY22</f>
        <v>40646.598554106436</v>
      </c>
      <c r="F4" s="133">
        <f>County_Flow!BZ22</f>
        <v>51288</v>
      </c>
      <c r="G4" s="134">
        <f>County_Flow!CA22</f>
        <v>104717</v>
      </c>
      <c r="H4" s="132">
        <f>County_Flow!CB22</f>
        <v>68751.234923705561</v>
      </c>
      <c r="I4" s="133">
        <f>County_Flow!CC22</f>
        <v>23799.328065932477</v>
      </c>
      <c r="J4" s="133">
        <f>County_Flow!CD22</f>
        <v>47962.330067061164</v>
      </c>
      <c r="K4" s="134">
        <f>County_Flow!CE22</f>
        <v>104717</v>
      </c>
      <c r="L4" s="100">
        <f>County_Flow!CF22</f>
        <v>0.10651245735504583</v>
      </c>
      <c r="M4" s="100">
        <f>County_Flow!CG22</f>
        <v>3.6870972841643181E-2</v>
      </c>
      <c r="N4" s="104">
        <f>County_Flow!CH22</f>
        <v>7.4305365446679913E-2</v>
      </c>
      <c r="O4" s="150">
        <f>County_Flow!CI22</f>
        <v>0.16223221312643693</v>
      </c>
      <c r="P4" s="125">
        <f>County_Flow!CJ22</f>
        <v>8.7926847679757017E-2</v>
      </c>
      <c r="Q4" s="121">
        <f>County_Flow!CK22</f>
        <v>1.1833176130847725</v>
      </c>
      <c r="R4" s="171">
        <f>N4/O4</f>
        <v>0.45801856496138316</v>
      </c>
      <c r="S4" s="140"/>
      <c r="T4" s="201"/>
      <c r="U4" s="202"/>
      <c r="V4" s="203"/>
      <c r="W4" s="203"/>
      <c r="X4" s="204"/>
      <c r="Y4" s="30"/>
      <c r="Z4" s="30"/>
      <c r="AA4" s="100"/>
      <c r="AB4" s="165"/>
      <c r="AC4" s="165"/>
      <c r="AD4" s="194">
        <v>101</v>
      </c>
      <c r="AE4" s="192">
        <f>LN(R4)</f>
        <v>-0.78084556083928536</v>
      </c>
      <c r="AF4" s="164">
        <f ref="AF4:AF23" si="5" t="shared">AE4-AE$4</f>
        <v>0</v>
      </c>
      <c r="AG4" s="7">
        <f>VLOOKUP(AD4,calibration_dist!$T:$W,3,FALSE)</f>
        <v>0</v>
      </c>
      <c r="AH4" s="167">
        <f>AG4+AF4*AI4</f>
        <v>0</v>
      </c>
      <c r="AI4" s="174">
        <v>1</v>
      </c>
      <c r="CU4" s="95">
        <v>3</v>
      </c>
      <c r="CV4" s="95">
        <f ref="CV4:CV67" si="6" t="shared">IF(CW3&lt;$CS$2,CV3,CV3+1)</f>
        <v>1</v>
      </c>
      <c r="CW4" s="95">
        <f si="0" t="shared"/>
        <v>3</v>
      </c>
      <c r="CX4" s="58">
        <f si="1" t="shared"/>
        <v>162.25946566136699</v>
      </c>
      <c r="CY4" s="58">
        <f si="2" t="shared"/>
        <v>153.00000000000003</v>
      </c>
      <c r="CZ4" s="108">
        <f si="3" t="shared"/>
        <v>-9.2594656613669599</v>
      </c>
      <c r="DA4" s="78">
        <f si="4" t="shared"/>
        <v>-5.7065796584658567E-2</v>
      </c>
      <c r="DB4" s="95">
        <v>3000</v>
      </c>
    </row>
    <row r="5" spans="2:106" x14ac:dyDescent="0.25">
      <c r="B5" s="144">
        <v>2</v>
      </c>
      <c r="C5" s="170" t="s">
        <v>326</v>
      </c>
      <c r="D5" s="115">
        <f>County_Flow!BX23</f>
        <v>23682.665169572778</v>
      </c>
      <c r="E5" s="116">
        <f>County_Flow!BY23</f>
        <v>42317.179366221637</v>
      </c>
      <c r="F5" s="116">
        <f>County_Flow!BZ23</f>
        <v>34948</v>
      </c>
      <c r="G5" s="123">
        <f>County_Flow!CA23</f>
        <v>36899</v>
      </c>
      <c r="H5" s="115">
        <f>County_Flow!CB23</f>
        <v>27294.480017188169</v>
      </c>
      <c r="I5" s="116">
        <f>County_Flow!CC23</f>
        <v>24777.483735102607</v>
      </c>
      <c r="J5" s="116">
        <f>County_Flow!CD23</f>
        <v>32465.686990023041</v>
      </c>
      <c r="K5" s="123">
        <f>County_Flow!CE23</f>
        <v>36899</v>
      </c>
      <c r="L5" s="100">
        <f>County_Flow!CF23</f>
        <v>4.2285817005106571E-2</v>
      </c>
      <c r="M5" s="100">
        <f>County_Flow!CG23</f>
        <v>3.8386374915725142E-2</v>
      </c>
      <c r="N5" s="104">
        <f>County_Flow!CH23</f>
        <v>5.0297279821438813E-2</v>
      </c>
      <c r="O5" s="150">
        <f>County_Flow!CI23</f>
        <v>5.7165564637569791E-2</v>
      </c>
      <c r="P5" s="125">
        <f>County_Flow!CJ23</f>
        <v>6.8682848161309776E-3</v>
      </c>
      <c r="Q5" s="121">
        <f>County_Flow!CK23</f>
        <v>0.13655380252200885</v>
      </c>
      <c r="R5" s="171">
        <f ref="R5:R23" si="7" t="shared">N5/O5</f>
        <v>0.87985275996701917</v>
      </c>
      <c r="S5" s="140"/>
      <c r="T5" s="201"/>
      <c r="U5" s="202"/>
      <c r="V5" s="203"/>
      <c r="W5" s="203"/>
      <c r="X5" s="204"/>
      <c r="Y5" s="30"/>
      <c r="Z5" s="30"/>
      <c r="AA5" s="100"/>
      <c r="AB5" s="165"/>
      <c r="AC5" s="165"/>
      <c r="AD5" s="194">
        <v>102</v>
      </c>
      <c r="AE5" s="163">
        <f ref="AE5:AE23" si="8" t="shared">LN(R5)</f>
        <v>-0.12800070372843611</v>
      </c>
      <c r="AF5" s="164">
        <f si="5" t="shared"/>
        <v>0.65284485711084927</v>
      </c>
      <c r="AG5" s="7">
        <f>VLOOKUP(AD5,calibration_dist!$T:$W,3,FALSE)</f>
        <v>6.1585552388600001E-2</v>
      </c>
      <c r="AH5" s="167">
        <f ref="AH5:AH23" si="9" t="shared">AG5+AF5*AI5</f>
        <v>0.71443040949944925</v>
      </c>
      <c r="AI5" s="174">
        <v>1</v>
      </c>
      <c r="AK5" s="108">
        <f>MIN($U$26)</f>
        <v>0</v>
      </c>
      <c r="CU5" s="95">
        <v>4</v>
      </c>
      <c r="CV5" s="95">
        <f si="6" t="shared"/>
        <v>1</v>
      </c>
      <c r="CW5" s="95">
        <f si="0" t="shared"/>
        <v>4</v>
      </c>
      <c r="CX5" s="58">
        <f si="1" t="shared"/>
        <v>146.42927388952631</v>
      </c>
      <c r="CY5" s="58">
        <f si="2" t="shared"/>
        <v>139.00000000000003</v>
      </c>
      <c r="CZ5" s="108">
        <f si="3" t="shared"/>
        <v>-7.4292738895262858</v>
      </c>
      <c r="DA5" s="78">
        <f si="4" t="shared"/>
        <v>-5.0736261214620972E-2</v>
      </c>
      <c r="DB5" s="95">
        <v>4000</v>
      </c>
    </row>
    <row r="6" spans="2:106" x14ac:dyDescent="0.25">
      <c r="B6" s="144">
        <v>3</v>
      </c>
      <c r="C6" s="170" t="s">
        <v>327</v>
      </c>
      <c r="D6" s="115">
        <f>County_Flow!BX24</f>
        <v>14920.556829080699</v>
      </c>
      <c r="E6" s="116">
        <f>County_Flow!BY24</f>
        <v>44705.600948499537</v>
      </c>
      <c r="F6" s="116">
        <f>County_Flow!BZ24</f>
        <v>19462</v>
      </c>
      <c r="G6" s="123">
        <f>County_Flow!CA24</f>
        <v>20380</v>
      </c>
      <c r="H6" s="115">
        <f>County_Flow!CB24</f>
        <v>17196.07304755093</v>
      </c>
      <c r="I6" s="116">
        <f>County_Flow!CC24</f>
        <v>26175.948325459889</v>
      </c>
      <c r="J6" s="116">
        <f>County_Flow!CD24</f>
        <v>17819.499670131001</v>
      </c>
      <c r="K6" s="123">
        <f>County_Flow!CE24</f>
        <v>20380</v>
      </c>
      <c r="L6" s="100">
        <f>County_Flow!CF24</f>
        <v>2.6640917784008903E-2</v>
      </c>
      <c r="M6" s="100">
        <f>County_Flow!CG24</f>
        <v>4.0552938181218023E-2</v>
      </c>
      <c r="N6" s="104">
        <f>County_Flow!CH24</f>
        <v>2.7606757912193483E-2</v>
      </c>
      <c r="O6" s="150">
        <f>County_Flow!CI24</f>
        <v>3.1573598398701115E-2</v>
      </c>
      <c r="P6" s="125">
        <f>County_Flow!CJ24</f>
        <v>3.966840486507632E-3</v>
      </c>
      <c r="Q6" s="121">
        <f>County_Flow!CK24</f>
        <v>0.14369092158972921</v>
      </c>
      <c r="R6" s="171">
        <f si="7" t="shared"/>
        <v>0.87436210353930321</v>
      </c>
      <c r="S6" s="140"/>
      <c r="T6" s="201"/>
      <c r="U6" s="202"/>
      <c r="V6" s="203"/>
      <c r="W6" s="203"/>
      <c r="X6" s="204"/>
      <c r="Y6" s="30"/>
      <c r="Z6" s="30"/>
      <c r="AA6" s="100"/>
      <c r="AB6" s="165"/>
      <c r="AC6" s="165"/>
      <c r="AD6" s="194">
        <v>103</v>
      </c>
      <c r="AE6" s="163">
        <f si="8" t="shared"/>
        <v>-0.13426068301863722</v>
      </c>
      <c r="AF6" s="164">
        <f si="5" t="shared"/>
        <v>0.64658487782064811</v>
      </c>
      <c r="AG6" s="7">
        <f>VLOOKUP(AD6,calibration_dist!$T:$W,3,FALSE)</f>
        <v>-0.17738509358310001</v>
      </c>
      <c r="AH6" s="167">
        <f si="9" t="shared"/>
        <v>0.4691997842375481</v>
      </c>
      <c r="AI6" s="174">
        <v>1</v>
      </c>
      <c r="AK6">
        <f>COUNT($U$4:$U$23)</f>
        <v>0</v>
      </c>
      <c r="CU6" s="95">
        <v>5</v>
      </c>
      <c r="CV6" s="95">
        <f si="6" t="shared"/>
        <v>1</v>
      </c>
      <c r="CW6" s="95">
        <f si="0" t="shared"/>
        <v>5</v>
      </c>
      <c r="CX6" s="58">
        <f si="1" t="shared"/>
        <v>170.17456154728734</v>
      </c>
      <c r="CY6" s="58">
        <f si="2" t="shared"/>
        <v>358.00000000000006</v>
      </c>
      <c r="CZ6" s="108">
        <f si="3" t="shared"/>
        <v>187.82543845271272</v>
      </c>
      <c r="DA6" s="78">
        <f si="4" t="shared"/>
        <v>1.1037221823575589</v>
      </c>
      <c r="DB6" s="95">
        <v>5000</v>
      </c>
    </row>
    <row r="7" spans="2:106" x14ac:dyDescent="0.25">
      <c r="B7" s="144">
        <v>4</v>
      </c>
      <c r="C7" s="170" t="s">
        <v>328</v>
      </c>
      <c r="D7" s="115">
        <f>County_Flow!BX25</f>
        <v>17534.852697132013</v>
      </c>
      <c r="E7" s="116">
        <f>County_Flow!BY25</f>
        <v>25156.048569777733</v>
      </c>
      <c r="F7" s="116">
        <f>County_Flow!BZ25</f>
        <v>17033</v>
      </c>
      <c r="G7" s="123">
        <f>County_Flow!CA25</f>
        <v>12404</v>
      </c>
      <c r="H7" s="115">
        <f>County_Flow!CB25</f>
        <v>20209.072041482636</v>
      </c>
      <c r="I7" s="116">
        <f>County_Flow!CC25</f>
        <v>14729.327275878211</v>
      </c>
      <c r="J7" s="116">
        <f>County_Flow!CD25</f>
        <v>15590.095231354566</v>
      </c>
      <c r="K7" s="123">
        <f>County_Flow!CE25</f>
        <v>12404</v>
      </c>
      <c r="L7" s="100">
        <f>County_Flow!CF25</f>
        <v>3.1308789236908323E-2</v>
      </c>
      <c r="M7" s="100">
        <f>County_Flow!CG25</f>
        <v>2.2819326010383358E-2</v>
      </c>
      <c r="N7" s="104">
        <f>County_Flow!CH25</f>
        <v>2.4152865840642513E-2</v>
      </c>
      <c r="O7" s="150">
        <f>County_Flow!CI25</f>
        <v>1.9216826032261464E-2</v>
      </c>
      <c r="P7" s="125">
        <f>County_Flow!CJ25</f>
        <v>-4.9360398083810493E-3</v>
      </c>
      <c r="Q7" s="121">
        <f>County_Flow!CK25</f>
        <v>-0.20436663048386894</v>
      </c>
      <c r="R7" s="171">
        <f si="7" t="shared"/>
        <v>1.2568603056558019</v>
      </c>
      <c r="S7" s="140"/>
      <c r="T7" s="201"/>
      <c r="U7" s="202"/>
      <c r="V7" s="203"/>
      <c r="W7" s="203"/>
      <c r="X7" s="204"/>
      <c r="Y7" s="30"/>
      <c r="Z7" s="30"/>
      <c r="AA7" s="100"/>
      <c r="AB7" s="165"/>
      <c r="AC7" s="165"/>
      <c r="AD7" s="194">
        <v>104</v>
      </c>
      <c r="AE7" s="163">
        <f si="8" t="shared"/>
        <v>0.22861679030253509</v>
      </c>
      <c r="AF7" s="164">
        <f si="5" t="shared"/>
        <v>1.0094623511418204</v>
      </c>
      <c r="AG7" s="7">
        <f>VLOOKUP(AD7,calibration_dist!$T:$W,3,FALSE)</f>
        <v>0.2419007637824</v>
      </c>
      <c r="AH7" s="167">
        <f si="9" t="shared"/>
        <v>1.2513631149242204</v>
      </c>
      <c r="AI7" s="174">
        <v>1</v>
      </c>
      <c r="AK7" t="b">
        <f>$AC$160&lt;=1.5</f>
        <v>0</v>
      </c>
      <c r="CU7" s="95">
        <v>6</v>
      </c>
      <c r="CV7" s="95">
        <f si="6" t="shared"/>
        <v>1</v>
      </c>
      <c r="CW7" s="95">
        <f si="0" t="shared"/>
        <v>6</v>
      </c>
      <c r="CX7" s="58">
        <f si="1" t="shared"/>
        <v>1249.7936403868218</v>
      </c>
      <c r="CY7" s="58">
        <f si="2" t="shared"/>
        <v>1013.0000000000002</v>
      </c>
      <c r="CZ7" s="108">
        <f si="3" t="shared"/>
        <v>-236.79364038682161</v>
      </c>
      <c r="DA7" s="78">
        <f si="4" t="shared"/>
        <v>-0.18946619084533983</v>
      </c>
      <c r="DB7" s="95">
        <v>6000</v>
      </c>
    </row>
    <row r="8" spans="2:106" x14ac:dyDescent="0.25">
      <c r="B8" s="144">
        <v>5</v>
      </c>
      <c r="C8" s="170" t="s">
        <v>329</v>
      </c>
      <c r="D8" s="115">
        <f>County_Flow!BX26</f>
        <v>16427.66561240298</v>
      </c>
      <c r="E8" s="116">
        <f>County_Flow!BY26</f>
        <v>23447.799661338322</v>
      </c>
      <c r="F8" s="116">
        <f>County_Flow!BZ26</f>
        <v>15612</v>
      </c>
      <c r="G8" s="123">
        <f>County_Flow!CA26</f>
        <v>28863</v>
      </c>
      <c r="H8" s="115">
        <f>County_Flow!CB26</f>
        <v>18933.029183001829</v>
      </c>
      <c r="I8" s="116">
        <f>County_Flow!CC26</f>
        <v>13729.116246261483</v>
      </c>
      <c r="J8" s="116">
        <f>County_Flow!CD26</f>
        <v>14470.515258958494</v>
      </c>
      <c r="K8" s="123">
        <f>County_Flow!CE26</f>
        <v>28863</v>
      </c>
      <c r="L8" s="100">
        <f>County_Flow!CF26</f>
        <v>2.9331887139106377E-2</v>
      </c>
      <c r="M8" s="100">
        <f>County_Flow!CG26</f>
        <v>2.1269754795316141E-2</v>
      </c>
      <c r="N8" s="104">
        <f>County_Flow!CH26</f>
        <v>2.2418362973926985E-2</v>
      </c>
      <c r="O8" s="150">
        <f>County_Flow!CI26</f>
        <v>4.471583761441169E-2</v>
      </c>
      <c r="P8" s="125">
        <f>County_Flow!CJ26</f>
        <v>2.2297474640484705E-2</v>
      </c>
      <c r="Q8" s="121">
        <f>County_Flow!CK26</f>
        <v>0.99460761994161329</v>
      </c>
      <c r="R8" s="171">
        <f si="7" t="shared"/>
        <v>0.50135173956132395</v>
      </c>
      <c r="S8" s="140"/>
      <c r="T8" s="201"/>
      <c r="U8" s="202"/>
      <c r="V8" s="203"/>
      <c r="W8" s="203"/>
      <c r="X8" s="204"/>
      <c r="Y8" s="30"/>
      <c r="Z8" s="30"/>
      <c r="AA8" s="100"/>
      <c r="AB8" s="165"/>
      <c r="AC8" s="165"/>
      <c r="AD8" s="194">
        <v>105</v>
      </c>
      <c r="AE8" s="163">
        <f si="8" t="shared"/>
        <v>-0.69044734926391105</v>
      </c>
      <c r="AF8" s="164">
        <f si="5" t="shared"/>
        <v>9.039821157537431E-2</v>
      </c>
      <c r="AG8" s="7">
        <f>VLOOKUP(AD8,calibration_dist!$T:$W,3,FALSE)</f>
        <v>-3.3705109193499998E-2</v>
      </c>
      <c r="AH8" s="167">
        <f si="9" t="shared"/>
        <v>5.6693102381874312E-2</v>
      </c>
      <c r="AI8" s="174">
        <v>1</v>
      </c>
      <c r="AK8" t="b">
        <f ref="AK8" t="array">$AC$4:$AC$23&lt;=0.02</f>
        <v>1</v>
      </c>
      <c r="CU8" s="95">
        <v>7</v>
      </c>
      <c r="CV8" s="95">
        <f si="6" t="shared"/>
        <v>1</v>
      </c>
      <c r="CW8" s="95">
        <f si="0" t="shared"/>
        <v>7</v>
      </c>
      <c r="CX8" s="58">
        <f si="1" t="shared"/>
        <v>206.5840026225209</v>
      </c>
      <c r="CY8" s="58">
        <f si="2" t="shared"/>
        <v>122.00000000000003</v>
      </c>
      <c r="CZ8" s="108">
        <f si="3" t="shared"/>
        <v>-84.58400262252087</v>
      </c>
      <c r="DA8" s="78">
        <f si="4" t="shared"/>
        <v>-0.40944120333013573</v>
      </c>
      <c r="DB8" s="95">
        <v>7000</v>
      </c>
    </row>
    <row r="9" spans="2:106" x14ac:dyDescent="0.25">
      <c r="B9" s="144">
        <v>6</v>
      </c>
      <c r="C9" s="170" t="s">
        <v>330</v>
      </c>
      <c r="D9" s="115">
        <f>County_Flow!BX27</f>
        <v>84979.951347610724</v>
      </c>
      <c r="E9" s="116">
        <f>County_Flow!BY27</f>
        <v>72475.32530618021</v>
      </c>
      <c r="F9" s="116">
        <f>County_Flow!BZ27</f>
        <v>99098</v>
      </c>
      <c r="G9" s="123">
        <f>County_Flow!CA27</f>
        <v>97414</v>
      </c>
      <c r="H9" s="115">
        <f>County_Flow!CB27</f>
        <v>97940.141758159487</v>
      </c>
      <c r="I9" s="116">
        <f>County_Flow!CC27</f>
        <v>42435.630655562003</v>
      </c>
      <c r="J9" s="116">
        <f>County_Flow!CD27</f>
        <v>93808.210758780653</v>
      </c>
      <c r="K9" s="123">
        <f>County_Flow!CE27</f>
        <v>97414</v>
      </c>
      <c r="L9" s="100">
        <f>County_Flow!CF27</f>
        <v>0.15173320426810522</v>
      </c>
      <c r="M9" s="100">
        <f>County_Flow!CG27</f>
        <v>6.5743158003646912E-2</v>
      </c>
      <c r="N9" s="104">
        <f>County_Flow!CH27</f>
        <v>0.14533183380757866</v>
      </c>
      <c r="O9" s="150">
        <f>County_Flow!CI27</f>
        <v>0.1509180821595226</v>
      </c>
      <c r="P9" s="125">
        <f>County_Flow!CJ27</f>
        <v>5.5862483519439343E-3</v>
      </c>
      <c r="Q9" s="121">
        <f>County_Flow!CK27</f>
        <v>3.8437885256028474E-2</v>
      </c>
      <c r="R9" s="171">
        <f si="7" t="shared"/>
        <v>0.96298489702486945</v>
      </c>
      <c r="S9" s="140"/>
      <c r="T9" s="201"/>
      <c r="U9" s="202"/>
      <c r="V9" s="203"/>
      <c r="W9" s="203"/>
      <c r="X9" s="204"/>
      <c r="Y9" s="30"/>
      <c r="Z9" s="30"/>
      <c r="AA9" s="100"/>
      <c r="AB9" s="165"/>
      <c r="AC9" s="165"/>
      <c r="AD9" s="194">
        <v>106</v>
      </c>
      <c r="AE9" s="163">
        <f si="8" t="shared"/>
        <v>-3.7717550562582317E-2</v>
      </c>
      <c r="AF9" s="164">
        <f si="5" t="shared"/>
        <v>0.74312801027670305</v>
      </c>
      <c r="AG9" s="7">
        <f>VLOOKUP(AD9,calibration_dist!$T:$W,3,FALSE)</f>
        <v>0.1143372177009</v>
      </c>
      <c r="AH9" s="167">
        <f si="9" t="shared"/>
        <v>0.85746522797760305</v>
      </c>
      <c r="AI9" s="174">
        <v>1</v>
      </c>
      <c r="AK9" t="b">
        <f ref="AK9" t="array">$AW$30:$AW$49&lt;=0.25</f>
        <v>1</v>
      </c>
      <c r="CU9" s="95">
        <v>8</v>
      </c>
      <c r="CV9" s="95">
        <f si="6" t="shared"/>
        <v>1</v>
      </c>
      <c r="CW9" s="95">
        <f si="0" t="shared"/>
        <v>8</v>
      </c>
      <c r="CX9" s="58">
        <f si="1" t="shared"/>
        <v>20.579249303392885</v>
      </c>
      <c r="CY9" s="58">
        <f si="2" t="shared"/>
        <v>19.000000000000004</v>
      </c>
      <c r="CZ9" s="108">
        <f si="3" t="shared"/>
        <v>-1.5792493033928814</v>
      </c>
      <c r="DA9" s="78">
        <f si="4" t="shared"/>
        <v>-7.6739888812781515E-2</v>
      </c>
      <c r="DB9" s="95">
        <v>8000</v>
      </c>
    </row>
    <row r="10" spans="2:106" x14ac:dyDescent="0.25">
      <c r="B10" s="144">
        <v>7</v>
      </c>
      <c r="C10" s="170" t="s">
        <v>331</v>
      </c>
      <c r="D10" s="115">
        <f>County_Flow!BX28</f>
        <v>52872.439568670117</v>
      </c>
      <c r="E10" s="116">
        <f>County_Flow!BY28</f>
        <v>127027.92076090976</v>
      </c>
      <c r="F10" s="116">
        <f>County_Flow!BZ28</f>
        <v>65730</v>
      </c>
      <c r="G10" s="123">
        <f>County_Flow!CA28</f>
        <v>43120</v>
      </c>
      <c r="H10" s="115">
        <f>County_Flow!CB28</f>
        <v>60935.951884383656</v>
      </c>
      <c r="I10" s="116">
        <f>County_Flow!CC28</f>
        <v>74377.174653320209</v>
      </c>
      <c r="J10" s="116">
        <f>County_Flow!CD28</f>
        <v>61668.638827945528</v>
      </c>
      <c r="K10" s="123">
        <f>County_Flow!CE28</f>
        <v>43120</v>
      </c>
      <c r="L10" s="100">
        <f>County_Flow!CF28</f>
        <v>9.440467482041727E-2</v>
      </c>
      <c r="M10" s="100">
        <f>County_Flow!CG28</f>
        <v>0.11522841229312972</v>
      </c>
      <c r="N10" s="104">
        <f>County_Flow!CH28</f>
        <v>9.5539785875765365E-2</v>
      </c>
      <c r="O10" s="150">
        <f>County_Flow!CI28</f>
        <v>6.6803413294994701E-2</v>
      </c>
      <c r="P10" s="125">
        <f>County_Flow!CJ28</f>
        <v>-2.8736372580770664E-2</v>
      </c>
      <c r="Q10" s="121">
        <f>County_Flow!CK28</f>
        <v>-0.30077911853536965</v>
      </c>
      <c r="R10" s="171">
        <f si="7" t="shared"/>
        <v>1.4301632381248963</v>
      </c>
      <c r="S10" s="140"/>
      <c r="T10" s="201"/>
      <c r="U10" s="202"/>
      <c r="V10" s="203"/>
      <c r="W10" s="203"/>
      <c r="X10" s="204"/>
      <c r="Y10" s="30"/>
      <c r="Z10" s="30"/>
      <c r="AA10" s="100"/>
      <c r="AB10" s="165"/>
      <c r="AC10" s="165"/>
      <c r="AD10" s="194">
        <v>107</v>
      </c>
      <c r="AE10" s="163">
        <f si="8" t="shared"/>
        <v>0.3577885902918036</v>
      </c>
      <c r="AF10" s="164">
        <f si="5" t="shared"/>
        <v>1.1386341511310889</v>
      </c>
      <c r="AG10" s="7">
        <f>VLOOKUP(AD10,calibration_dist!$T:$W,3,FALSE)</f>
        <v>0.29549776405130002</v>
      </c>
      <c r="AH10" s="167">
        <f si="9" t="shared"/>
        <v>1.4341319151823888</v>
      </c>
      <c r="AI10" s="174">
        <v>1</v>
      </c>
      <c r="AK10">
        <f>{32767,32767,0.000001,0.01,FALSE,FALSE,TRUE,1,1,1,0.0001,TRUE}</f>
        <v>32767</v>
      </c>
      <c r="CU10" s="95">
        <v>9</v>
      </c>
      <c r="CV10" s="95">
        <f si="6" t="shared"/>
        <v>1</v>
      </c>
      <c r="CW10" s="95">
        <f si="0" t="shared"/>
        <v>9</v>
      </c>
      <c r="CX10" s="58">
        <f si="1" t="shared"/>
        <v>208.16702179970497</v>
      </c>
      <c r="CY10" s="58">
        <f si="2" t="shared"/>
        <v>100.00000000000003</v>
      </c>
      <c r="CZ10" s="108">
        <f si="3" t="shared"/>
        <v>-108.16702179970494</v>
      </c>
      <c r="DA10" s="78">
        <f si="4" t="shared"/>
        <v>-0.51961651208990034</v>
      </c>
      <c r="DB10" s="95">
        <v>9000</v>
      </c>
    </row>
    <row r="11" spans="2:106" x14ac:dyDescent="0.25">
      <c r="B11" s="144">
        <v>8</v>
      </c>
      <c r="C11" s="170" t="s">
        <v>332</v>
      </c>
      <c r="D11" s="115">
        <f>County_Flow!BX29</f>
        <v>4985.6374748589815</v>
      </c>
      <c r="E11" s="116">
        <f>County_Flow!BY29</f>
        <v>6263.4287909958512</v>
      </c>
      <c r="F11" s="116">
        <f>County_Flow!BZ29</f>
        <v>3746</v>
      </c>
      <c r="G11" s="123">
        <f>County_Flow!CA29</f>
        <v>1352</v>
      </c>
      <c r="H11" s="115">
        <f>County_Flow!CB29</f>
        <v>5745.9910637641206</v>
      </c>
      <c r="I11" s="116">
        <f>County_Flow!CC29</f>
        <v>3667.3522980302946</v>
      </c>
      <c r="J11" s="116">
        <f>County_Flow!CD29</f>
        <v>3389.6060314460683</v>
      </c>
      <c r="K11" s="123">
        <f>County_Flow!CE29</f>
        <v>1352</v>
      </c>
      <c r="L11" s="100">
        <f>County_Flow!CF29</f>
        <v>8.9019437806581812E-3</v>
      </c>
      <c r="M11" s="100">
        <f>County_Flow!CG29</f>
        <v>5.6816245654839129E-3</v>
      </c>
      <c r="N11" s="104">
        <f>County_Flow!CH29</f>
        <v>5.2513277510644364E-3</v>
      </c>
      <c r="O11" s="150">
        <f>County_Flow!CI29</f>
        <v>2.0945782647224685E-3</v>
      </c>
      <c r="P11" s="125">
        <f>County_Flow!CJ29</f>
        <v>-3.1567494863419679E-3</v>
      </c>
      <c r="Q11" s="121">
        <f>County_Flow!CK29</f>
        <v>-0.60113358677757256</v>
      </c>
      <c r="R11" s="171">
        <f si="7" t="shared"/>
        <v>2.5071050528447247</v>
      </c>
      <c r="S11" s="140"/>
      <c r="T11" s="201"/>
      <c r="U11" s="202"/>
      <c r="V11" s="203"/>
      <c r="W11" s="203"/>
      <c r="X11" s="204"/>
      <c r="Y11" s="30"/>
      <c r="Z11" s="30"/>
      <c r="AA11" s="100"/>
      <c r="AB11" s="165"/>
      <c r="AC11" s="165"/>
      <c r="AD11" s="194">
        <v>108</v>
      </c>
      <c r="AE11" s="163">
        <f si="8" t="shared"/>
        <v>0.91912872210544594</v>
      </c>
      <c r="AF11" s="164">
        <f si="5" t="shared"/>
        <v>1.6999742829447313</v>
      </c>
      <c r="AG11" s="7">
        <f>VLOOKUP(AD11,calibration_dist!$T:$W,3,FALSE)</f>
        <v>-0.24958234591280001</v>
      </c>
      <c r="AH11" s="167">
        <f si="9" t="shared"/>
        <v>1.4503919370319314</v>
      </c>
      <c r="AI11" s="174">
        <v>1</v>
      </c>
      <c r="AK11">
        <f>{0,0,1,100,0,FALSE,TRUE,0.075,0,0,FALSE,30}</f>
        <v>0</v>
      </c>
      <c r="CU11" s="95">
        <v>10</v>
      </c>
      <c r="CV11" s="95">
        <f si="6" t="shared"/>
        <v>1</v>
      </c>
      <c r="CW11" s="95">
        <f si="0" t="shared"/>
        <v>10</v>
      </c>
      <c r="CX11" s="58">
        <f si="1" t="shared"/>
        <v>103.68775610555646</v>
      </c>
      <c r="CY11" s="58">
        <f si="2" t="shared"/>
        <v>40.000000000000007</v>
      </c>
      <c r="CZ11" s="108">
        <f si="3" t="shared"/>
        <v>-63.687756105556453</v>
      </c>
      <c r="DA11" s="78">
        <f si="4" t="shared"/>
        <v>-0.61422638986150779</v>
      </c>
      <c r="DB11" s="95">
        <v>10000</v>
      </c>
    </row>
    <row r="12" spans="2:106" x14ac:dyDescent="0.25">
      <c r="B12" s="144">
        <v>9</v>
      </c>
      <c r="C12" s="170" t="s">
        <v>333</v>
      </c>
      <c r="D12" s="115">
        <f>County_Flow!BX30</f>
        <v>36973.784533068967</v>
      </c>
      <c r="E12" s="116">
        <f>County_Flow!BY30</f>
        <v>78564.017617084086</v>
      </c>
      <c r="F12" s="116">
        <f>County_Flow!BZ30</f>
        <v>40943</v>
      </c>
      <c r="G12" s="123">
        <f>County_Flow!CA30</f>
        <v>25252</v>
      </c>
      <c r="H12" s="115">
        <f>County_Flow!CB30</f>
        <v>42612.612046479269</v>
      </c>
      <c r="I12" s="116">
        <f>County_Flow!CC30</f>
        <v>46000.671543468772</v>
      </c>
      <c r="J12" s="116">
        <f>County_Flow!CD30</f>
        <v>37916.839771783598</v>
      </c>
      <c r="K12" s="123">
        <f>County_Flow!CE30</f>
        <v>25252</v>
      </c>
      <c r="L12" s="100">
        <f>County_Flow!CF30</f>
        <v>6.6017345410951403E-2</v>
      </c>
      <c r="M12" s="100">
        <f>County_Flow!CG30</f>
        <v>7.1266277202357273E-2</v>
      </c>
      <c r="N12" s="104">
        <f>County_Flow!CH30</f>
        <v>5.8742447080578672E-2</v>
      </c>
      <c r="O12" s="150">
        <f>County_Flow!CI30</f>
        <v>3.9121516524239473E-2</v>
      </c>
      <c r="P12" s="125">
        <f>County_Flow!CJ30</f>
        <v>-1.9620930556339199E-2</v>
      </c>
      <c r="Q12" s="121">
        <f>County_Flow!CK30</f>
        <v>-0.33401622730194763</v>
      </c>
      <c r="R12" s="171">
        <f si="7" t="shared"/>
        <v>1.5015380869548394</v>
      </c>
      <c r="S12" s="140"/>
      <c r="T12" s="201"/>
      <c r="U12" s="202"/>
      <c r="V12" s="203"/>
      <c r="W12" s="203"/>
      <c r="X12" s="204"/>
      <c r="Y12" s="30"/>
      <c r="Z12" s="30"/>
      <c r="AA12" s="100"/>
      <c r="AB12" s="165"/>
      <c r="AC12" s="165"/>
      <c r="AD12" s="194">
        <v>109</v>
      </c>
      <c r="AE12" s="163">
        <f si="8" t="shared"/>
        <v>0.40648997405682691</v>
      </c>
      <c r="AF12" s="164">
        <f si="5" t="shared"/>
        <v>1.1873355348961123</v>
      </c>
      <c r="AG12" s="7">
        <f>VLOOKUP(AD12,calibration_dist!$T:$W,3,FALSE)</f>
        <v>0.1613318461263</v>
      </c>
      <c r="AH12" s="167">
        <f si="9" t="shared"/>
        <v>1.3486673810224123</v>
      </c>
      <c r="AI12" s="174">
        <v>1</v>
      </c>
      <c r="CU12" s="95">
        <v>11</v>
      </c>
      <c r="CV12" s="95">
        <f si="6" t="shared"/>
        <v>1</v>
      </c>
      <c r="CW12" s="95">
        <f si="0" t="shared"/>
        <v>11</v>
      </c>
      <c r="CX12" s="58">
        <f si="1" t="shared"/>
        <v>142.47172594656615</v>
      </c>
      <c r="CY12" s="58">
        <f si="2" t="shared"/>
        <v>75.000000000000014</v>
      </c>
      <c r="CZ12" s="108">
        <f si="3" t="shared"/>
        <v>-67.471725946566139</v>
      </c>
      <c r="DA12" s="78">
        <f si="4" t="shared"/>
        <v>-0.47357976116518252</v>
      </c>
      <c r="DB12" s="95">
        <v>11000</v>
      </c>
    </row>
    <row r="13" spans="2:106" x14ac:dyDescent="0.25">
      <c r="B13" s="144">
        <v>10</v>
      </c>
      <c r="C13" s="170" t="s">
        <v>334</v>
      </c>
      <c r="D13" s="115">
        <f>County_Flow!BX31</f>
        <v>8821.4341383130341</v>
      </c>
      <c r="E13" s="116">
        <f>County_Flow!BY31</f>
        <v>30027.582046531123</v>
      </c>
      <c r="F13" s="116">
        <f>County_Flow!BZ31</f>
        <v>13127</v>
      </c>
      <c r="G13" s="123">
        <f>County_Flow!CA31</f>
        <v>6761</v>
      </c>
      <c r="H13" s="115">
        <f>County_Flow!CB31</f>
        <v>10166.780473697425</v>
      </c>
      <c r="I13" s="116">
        <f>County_Flow!CC31</f>
        <v>17581.699369033679</v>
      </c>
      <c r="J13" s="116">
        <f>County_Flow!CD31</f>
        <v>12314.051289788287</v>
      </c>
      <c r="K13" s="123">
        <f>County_Flow!CE31</f>
        <v>6761</v>
      </c>
      <c r="L13" s="100">
        <f>County_Flow!CF31</f>
        <v>1.5750826481073541E-2</v>
      </c>
      <c r="M13" s="100">
        <f>County_Flow!CG31</f>
        <v>2.7238347156259373E-2</v>
      </c>
      <c r="N13" s="104">
        <f>County_Flow!CH31</f>
        <v>1.9077473507594842E-2</v>
      </c>
      <c r="O13" s="150">
        <f>County_Flow!CI31</f>
        <v>1.0474440567890982E-2</v>
      </c>
      <c r="P13" s="125">
        <f>County_Flow!CJ31</f>
        <v>-8.6030329397038599E-3</v>
      </c>
      <c r="Q13" s="121">
        <f>County_Flow!CK31</f>
        <v>-0.45095242492560378</v>
      </c>
      <c r="R13" s="171">
        <f si="7" t="shared"/>
        <v>1.8213357920112836</v>
      </c>
      <c r="S13" s="140"/>
      <c r="T13" s="201"/>
      <c r="U13" s="202"/>
      <c r="V13" s="203"/>
      <c r="W13" s="203"/>
      <c r="X13" s="204"/>
      <c r="Y13" s="30"/>
      <c r="Z13" s="30"/>
      <c r="AA13" s="100"/>
      <c r="AB13" s="165"/>
      <c r="AC13" s="165"/>
      <c r="AD13" s="194">
        <v>110</v>
      </c>
      <c r="AE13" s="163">
        <f si="8" t="shared"/>
        <v>0.59957018353245684</v>
      </c>
      <c r="AF13" s="164">
        <f si="5" t="shared"/>
        <v>1.3804157443717422</v>
      </c>
      <c r="AG13" s="7">
        <f>VLOOKUP(AD13,calibration_dist!$T:$W,3,FALSE)</f>
        <v>-4.5588844644699998E-2</v>
      </c>
      <c r="AH13" s="167">
        <f si="9" t="shared"/>
        <v>1.3348268997270423</v>
      </c>
      <c r="AI13" s="174">
        <v>1</v>
      </c>
      <c r="CU13" s="95">
        <v>12</v>
      </c>
      <c r="CV13" s="95">
        <f si="6" t="shared"/>
        <v>1</v>
      </c>
      <c r="CW13" s="95">
        <f si="0" t="shared"/>
        <v>12</v>
      </c>
      <c r="CX13" s="58">
        <f si="1" t="shared"/>
        <v>800.21619406654645</v>
      </c>
      <c r="CY13" s="58">
        <f si="2" t="shared"/>
        <v>346.00000000000006</v>
      </c>
      <c r="CZ13" s="108">
        <f si="3" t="shared"/>
        <v>-454.21619406654639</v>
      </c>
      <c r="DA13" s="78">
        <f si="4" t="shared"/>
        <v>-0.56761684833982939</v>
      </c>
      <c r="DB13" s="95">
        <v>12000</v>
      </c>
    </row>
    <row r="14" spans="2:106" x14ac:dyDescent="0.25">
      <c r="B14" s="144">
        <v>11</v>
      </c>
      <c r="C14" s="170" t="s">
        <v>335</v>
      </c>
      <c r="D14" s="115">
        <f>County_Flow!BX32</f>
        <v>29966.124608656566</v>
      </c>
      <c r="E14" s="116">
        <f>County_Flow!BY32</f>
        <v>73900.424834647361</v>
      </c>
      <c r="F14" s="116">
        <f>County_Flow!BZ32</f>
        <v>38310</v>
      </c>
      <c r="G14" s="123">
        <f>County_Flow!CA32</f>
        <v>22148</v>
      </c>
      <c r="H14" s="115">
        <f>County_Flow!CB32</f>
        <v>34536.222315653416</v>
      </c>
      <c r="I14" s="116">
        <f>County_Flow!CC32</f>
        <v>43270.052536139476</v>
      </c>
      <c r="J14" s="116">
        <f>County_Flow!CD32</f>
        <v>34680.423618890891</v>
      </c>
      <c r="K14" s="123">
        <f>County_Flow!CE32</f>
        <v>22148</v>
      </c>
      <c r="L14" s="100">
        <f>County_Flow!CF32</f>
        <v>5.3505044828395507E-2</v>
      </c>
      <c r="M14" s="100">
        <f>County_Flow!CG32</f>
        <v>6.7035881328104327E-2</v>
      </c>
      <c r="N14" s="104">
        <f>County_Flow!CH32</f>
        <v>5.372844787240872E-2</v>
      </c>
      <c r="O14" s="150">
        <f>County_Flow!CI32</f>
        <v>3.4312662283338187E-2</v>
      </c>
      <c r="P14" s="125">
        <f>County_Flow!CJ32</f>
        <v>-1.9415785589070533E-2</v>
      </c>
      <c r="Q14" s="121">
        <f>County_Flow!CK32</f>
        <v>-0.36136881592369913</v>
      </c>
      <c r="R14" s="171">
        <f si="7" t="shared"/>
        <v>1.5658489985050972</v>
      </c>
      <c r="S14" s="140"/>
      <c r="T14" s="201"/>
      <c r="U14" s="202"/>
      <c r="V14" s="203"/>
      <c r="W14" s="203"/>
      <c r="X14" s="204"/>
      <c r="Y14" s="30"/>
      <c r="Z14" s="30"/>
      <c r="AA14" s="100"/>
      <c r="AB14" s="165"/>
      <c r="AC14" s="165"/>
      <c r="AD14" s="194">
        <v>111</v>
      </c>
      <c r="AE14" s="163">
        <f si="8" t="shared"/>
        <v>0.44842816795460894</v>
      </c>
      <c r="AF14" s="164">
        <f si="5" t="shared"/>
        <v>1.2292737287938942</v>
      </c>
      <c r="AG14" s="7">
        <f>VLOOKUP(AD14,calibration_dist!$T:$W,3,FALSE)</f>
        <v>-0.14910096747439999</v>
      </c>
      <c r="AH14" s="167">
        <f si="9" t="shared"/>
        <v>1.0801727613194942</v>
      </c>
      <c r="AI14" s="174">
        <v>1</v>
      </c>
      <c r="CU14" s="95">
        <v>13</v>
      </c>
      <c r="CV14" s="95">
        <f si="6" t="shared"/>
        <v>1</v>
      </c>
      <c r="CW14" s="95">
        <f si="0" t="shared"/>
        <v>13</v>
      </c>
      <c r="CX14" s="58">
        <f si="1" t="shared"/>
        <v>49.865104081298149</v>
      </c>
      <c r="CY14" s="58">
        <f si="2" t="shared"/>
        <v>68.000000000000014</v>
      </c>
      <c r="CZ14" s="108">
        <f si="3" t="shared"/>
        <v>18.134895918701865</v>
      </c>
      <c r="DA14" s="78">
        <f si="4" t="shared"/>
        <v>0.36367909488638445</v>
      </c>
      <c r="DB14" s="95">
        <v>13000</v>
      </c>
    </row>
    <row r="15" spans="2:106" x14ac:dyDescent="0.25">
      <c r="B15" s="144">
        <v>12</v>
      </c>
      <c r="C15" s="170" t="s">
        <v>336</v>
      </c>
      <c r="D15" s="115">
        <f>County_Flow!BX33</f>
        <v>105320.53463114968</v>
      </c>
      <c r="E15" s="116">
        <f>County_Flow!BY33</f>
        <v>187525.61191568145</v>
      </c>
      <c r="F15" s="116">
        <f>County_Flow!BZ33</f>
        <v>144341</v>
      </c>
      <c r="G15" s="123">
        <f>County_Flow!CA33</f>
        <v>91217</v>
      </c>
      <c r="H15" s="115">
        <f>County_Flow!CB33</f>
        <v>121382.84299111877</v>
      </c>
      <c r="I15" s="116">
        <f>County_Flow!CC33</f>
        <v>109799.68109275294</v>
      </c>
      <c r="J15" s="116">
        <f>County_Flow!CD33</f>
        <v>137060.58534782816</v>
      </c>
      <c r="K15" s="123">
        <f>County_Flow!CE33</f>
        <v>91217</v>
      </c>
      <c r="L15" s="100">
        <f>County_Flow!CF33</f>
        <v>0.18805167502915487</v>
      </c>
      <c r="M15" s="100">
        <f>County_Flow!CG33</f>
        <v>0.17010652772954057</v>
      </c>
      <c r="N15" s="104">
        <f>County_Flow!CH33</f>
        <v>0.21234032767729266</v>
      </c>
      <c r="O15" s="150">
        <f>County_Flow!CI33</f>
        <v>0.14131741536478507</v>
      </c>
      <c r="P15" s="125">
        <f>County_Flow!CJ33</f>
        <v>-7.1022912312507597E-2</v>
      </c>
      <c r="Q15" s="121">
        <f>County_Flow!CK33</f>
        <v>-0.33447679529083957</v>
      </c>
      <c r="R15" s="171">
        <f si="7" t="shared"/>
        <v>1.5025772098164614</v>
      </c>
      <c r="S15" s="140"/>
      <c r="T15" s="201"/>
      <c r="U15" s="202"/>
      <c r="V15" s="203"/>
      <c r="W15" s="203"/>
      <c r="X15" s="204"/>
      <c r="Y15" s="30"/>
      <c r="Z15" s="30"/>
      <c r="AA15" s="100"/>
      <c r="AB15" s="165"/>
      <c r="AC15" s="165"/>
      <c r="AD15" s="194">
        <v>112</v>
      </c>
      <c r="AE15" s="163">
        <f si="8" t="shared"/>
        <v>0.40718177367196245</v>
      </c>
      <c r="AF15" s="164">
        <f si="5" t="shared"/>
        <v>1.1880273345112478</v>
      </c>
      <c r="AG15" s="7">
        <f>VLOOKUP(AD15,calibration_dist!$T:$W,3,FALSE)</f>
        <v>0.17468608903999999</v>
      </c>
      <c r="AH15" s="167">
        <f si="9" t="shared"/>
        <v>1.3627134235512477</v>
      </c>
      <c r="AI15" s="174">
        <v>1</v>
      </c>
      <c r="CU15" s="95">
        <v>14</v>
      </c>
      <c r="CV15" s="95">
        <f si="6" t="shared"/>
        <v>1</v>
      </c>
      <c r="CW15" s="95">
        <f si="0" t="shared"/>
        <v>14</v>
      </c>
      <c r="CX15" s="58">
        <f si="1" t="shared"/>
        <v>9.4981150631044091</v>
      </c>
      <c r="CY15" s="58">
        <f si="2" t="shared"/>
        <v>5.0000000000000009</v>
      </c>
      <c r="CZ15" s="108">
        <f si="3" t="shared"/>
        <v>-4.4981150631044082</v>
      </c>
      <c r="DA15" s="78">
        <f si="4" t="shared"/>
        <v>-0.47357976116518247</v>
      </c>
      <c r="DB15" s="95">
        <v>14000</v>
      </c>
    </row>
    <row r="16" spans="2:106" x14ac:dyDescent="0.25">
      <c r="B16" s="144">
        <v>13</v>
      </c>
      <c r="C16" s="170" t="s">
        <v>337</v>
      </c>
      <c r="D16" s="115">
        <f>County_Flow!BX34</f>
        <v>39542.599161277889</v>
      </c>
      <c r="E16" s="116">
        <f>County_Flow!BY34</f>
        <v>122536.09099123925</v>
      </c>
      <c r="F16" s="116">
        <f>County_Flow!BZ34</f>
        <v>53417</v>
      </c>
      <c r="G16" s="123">
        <f>County_Flow!CA34</f>
        <v>88273</v>
      </c>
      <c r="H16" s="115">
        <f>County_Flow!CB34</f>
        <v>45573.193511254241</v>
      </c>
      <c r="I16" s="116">
        <f>County_Flow!CC34</f>
        <v>71747.126036523696</v>
      </c>
      <c r="J16" s="116">
        <f>County_Flow!CD34</f>
        <v>50044.257356442307</v>
      </c>
      <c r="K16" s="123">
        <f>County_Flow!CE34</f>
        <v>88273</v>
      </c>
      <c r="L16" s="100">
        <f>County_Flow!CF34</f>
        <v>7.0604009306704268E-2</v>
      </c>
      <c r="M16" s="100">
        <f>County_Flow!CG34</f>
        <v>0.11115382452101036</v>
      </c>
      <c r="N16" s="104">
        <f>County_Flow!CH34</f>
        <v>7.753077938829997E-2</v>
      </c>
      <c r="O16" s="150">
        <f>County_Flow!CI34</f>
        <v>0.13675644020846631</v>
      </c>
      <c r="P16" s="125">
        <f>County_Flow!CJ34</f>
        <v>5.9225660820166337E-2</v>
      </c>
      <c r="Q16" s="121">
        <f>County_Flow!CK34</f>
        <v>0.76389869013884815</v>
      </c>
      <c r="R16" s="171">
        <f si="7" t="shared"/>
        <v>0.5669259836693249</v>
      </c>
      <c r="S16" s="140"/>
      <c r="T16" s="201"/>
      <c r="U16" s="202"/>
      <c r="V16" s="203"/>
      <c r="W16" s="203"/>
      <c r="X16" s="204"/>
      <c r="Y16" s="30"/>
      <c r="Z16" s="30"/>
      <c r="AA16" s="100"/>
      <c r="AB16" s="165"/>
      <c r="AC16" s="165"/>
      <c r="AD16" s="194">
        <v>113</v>
      </c>
      <c r="AE16" s="163">
        <f si="8" t="shared"/>
        <v>-0.56752652404124793</v>
      </c>
      <c r="AF16" s="164">
        <f si="5" t="shared"/>
        <v>0.21331903679803743</v>
      </c>
      <c r="AG16" s="7">
        <f>VLOOKUP(AD16,calibration_dist!$T:$W,3,FALSE)</f>
        <v>1.3048994599762</v>
      </c>
      <c r="AH16" s="167">
        <f si="9" t="shared"/>
        <v>1.7315375335722749</v>
      </c>
      <c r="AI16" s="174">
        <v>2</v>
      </c>
      <c r="CU16" s="95">
        <v>15</v>
      </c>
      <c r="CV16" s="95">
        <f si="6" t="shared"/>
        <v>1</v>
      </c>
      <c r="CW16" s="95">
        <f si="0" t="shared"/>
        <v>15</v>
      </c>
      <c r="CX16" s="58">
        <f si="1" t="shared"/>
        <v>22.95377806916899</v>
      </c>
      <c r="CY16" s="58">
        <f si="2" t="shared"/>
        <v>12.000000000000004</v>
      </c>
      <c r="CZ16" s="108">
        <f si="3" t="shared"/>
        <v>-10.953778069168987</v>
      </c>
      <c r="DA16" s="78">
        <f si="4" t="shared"/>
        <v>-0.47721024557093983</v>
      </c>
      <c r="DB16" s="95">
        <v>15000</v>
      </c>
    </row>
    <row r="17" spans="2:106" x14ac:dyDescent="0.25">
      <c r="B17" s="144">
        <v>14</v>
      </c>
      <c r="C17" s="170" t="s">
        <v>338</v>
      </c>
      <c r="D17" s="115">
        <f>County_Flow!BX35</f>
        <v>10674.988460489061</v>
      </c>
      <c r="E17" s="116">
        <f>County_Flow!BY35</f>
        <v>27767.802248882606</v>
      </c>
      <c r="F17" s="116">
        <f>County_Flow!BZ35</f>
        <v>11908</v>
      </c>
      <c r="G17" s="123">
        <f>County_Flow!CA35</f>
        <v>7097</v>
      </c>
      <c r="H17" s="115">
        <f>County_Flow!CB35</f>
        <v>12303.018141424371</v>
      </c>
      <c r="I17" s="116">
        <f>County_Flow!CC35</f>
        <v>16258.556900189378</v>
      </c>
      <c r="J17" s="116">
        <f>County_Flow!CD35</f>
        <v>10212.277399808154</v>
      </c>
      <c r="K17" s="123">
        <f>County_Flow!CE35</f>
        <v>7097</v>
      </c>
      <c r="L17" s="100">
        <f>County_Flow!CF35</f>
        <v>1.9060380465616648E-2</v>
      </c>
      <c r="M17" s="100">
        <f>County_Flow!CG35</f>
        <v>2.5188476256575575E-2</v>
      </c>
      <c r="N17" s="104">
        <f>County_Flow!CH35</f>
        <v>1.5821312333546333E-2</v>
      </c>
      <c r="O17" s="150">
        <f>County_Flow!CI35</f>
        <v>1.0994986645514317E-2</v>
      </c>
      <c r="P17" s="125">
        <f>County_Flow!CJ35</f>
        <v>-4.8263256880320161E-3</v>
      </c>
      <c r="Q17" s="121">
        <f>County_Flow!CK35</f>
        <v>-0.30505217179731886</v>
      </c>
      <c r="R17" s="171">
        <f si="7" t="shared"/>
        <v>1.4389569395248913</v>
      </c>
      <c r="S17" s="140"/>
      <c r="T17" s="201"/>
      <c r="U17" s="202"/>
      <c r="V17" s="203"/>
      <c r="W17" s="203"/>
      <c r="X17" s="204"/>
      <c r="Y17" s="30"/>
      <c r="Z17" s="30"/>
      <c r="AA17" s="100"/>
      <c r="AB17" s="165"/>
      <c r="AC17" s="165"/>
      <c r="AD17" s="194">
        <v>114</v>
      </c>
      <c r="AE17" s="163">
        <f si="8" t="shared"/>
        <v>0.36391850356931005</v>
      </c>
      <c r="AF17" s="164">
        <f si="5" t="shared"/>
        <v>1.1447640644085955</v>
      </c>
      <c r="AG17" s="7">
        <f>VLOOKUP(AD17,calibration_dist!$T:$W,3,FALSE)</f>
        <v>4.9409553856600001E-2</v>
      </c>
      <c r="AH17" s="167">
        <f si="9" t="shared"/>
        <v>1.1941736182651954</v>
      </c>
      <c r="AI17" s="174">
        <v>1</v>
      </c>
      <c r="CU17" s="95">
        <v>16</v>
      </c>
      <c r="CV17" s="95">
        <f si="6" t="shared"/>
        <v>1</v>
      </c>
      <c r="CW17" s="95">
        <f si="0" t="shared"/>
        <v>16</v>
      </c>
      <c r="CX17" s="58">
        <f si="1" t="shared"/>
        <v>13.455663006064579</v>
      </c>
      <c r="CY17" s="58">
        <f si="2" t="shared"/>
        <v>2.0000000000000004</v>
      </c>
      <c r="CZ17" s="108">
        <f si="3" t="shared"/>
        <v>-11.455663006064579</v>
      </c>
      <c r="DA17" s="78">
        <f si="4" t="shared"/>
        <v>-0.85136369727016925</v>
      </c>
      <c r="DB17" s="95">
        <v>16000</v>
      </c>
    </row>
    <row r="18" spans="2:106" x14ac:dyDescent="0.25">
      <c r="B18" s="144">
        <v>15</v>
      </c>
      <c r="C18" s="170" t="s">
        <v>339</v>
      </c>
      <c r="D18" s="115">
        <f>County_Flow!BX36</f>
        <v>12678.195969196768</v>
      </c>
      <c r="E18" s="116">
        <f>County_Flow!BY36</f>
        <v>44768.247239469332</v>
      </c>
      <c r="F18" s="116">
        <f>County_Flow!BZ36</f>
        <v>23778</v>
      </c>
      <c r="G18" s="123">
        <f>County_Flow!CA36</f>
        <v>20514</v>
      </c>
      <c r="H18" s="115">
        <f>County_Flow!CB36</f>
        <v>14611.732423588506</v>
      </c>
      <c r="I18" s="116">
        <f>County_Flow!CC36</f>
        <v>26212.628876451614</v>
      </c>
      <c r="J18" s="116">
        <f>County_Flow!CD36</f>
        <v>20996.049637056076</v>
      </c>
      <c r="K18" s="123">
        <f>County_Flow!CE36</f>
        <v>20514</v>
      </c>
      <c r="L18" s="100">
        <f>County_Flow!CF36</f>
        <v>2.2637142858275918E-2</v>
      </c>
      <c r="M18" s="100">
        <f>County_Flow!CG36</f>
        <v>4.0609765314979347E-2</v>
      </c>
      <c r="N18" s="104">
        <f>County_Flow!CH36</f>
        <v>3.2528009774269027E-2</v>
      </c>
      <c r="O18" s="150">
        <f>County_Flow!CI36</f>
        <v>3.1781197132038988E-2</v>
      </c>
      <c r="P18" s="125">
        <f>County_Flow!CJ36</f>
        <v>-7.4681264223003946E-4</v>
      </c>
      <c r="Q18" s="121">
        <f>County_Flow!CK36</f>
        <v>-2.2959063509037581E-2</v>
      </c>
      <c r="R18" s="171">
        <f si="7" t="shared"/>
        <v>1.023498568638787</v>
      </c>
      <c r="S18" s="140"/>
      <c r="T18" s="201"/>
      <c r="U18" s="202"/>
      <c r="V18" s="203"/>
      <c r="W18" s="203"/>
      <c r="X18" s="204"/>
      <c r="Y18" s="30"/>
      <c r="Z18" s="30"/>
      <c r="AA18" s="100"/>
      <c r="AB18" s="165"/>
      <c r="AC18" s="165"/>
      <c r="AD18" s="194">
        <v>115</v>
      </c>
      <c r="AE18" s="163">
        <f si="8" t="shared"/>
        <v>2.3226727621685025E-2</v>
      </c>
      <c r="AF18" s="164">
        <f si="5" t="shared"/>
        <v>0.80407228846097034</v>
      </c>
      <c r="AG18" s="7">
        <f>VLOOKUP(AD18,calibration_dist!$T:$W,3,FALSE)</f>
        <v>0.21697886195819999</v>
      </c>
      <c r="AH18" s="167">
        <f si="9" t="shared"/>
        <v>1.0210511504191704</v>
      </c>
      <c r="AI18" s="174">
        <v>1</v>
      </c>
      <c r="CU18" s="95">
        <v>17</v>
      </c>
      <c r="CV18" s="95">
        <f si="6" t="shared"/>
        <v>1</v>
      </c>
      <c r="CW18" s="95">
        <f si="0" t="shared"/>
        <v>17</v>
      </c>
      <c r="CX18" s="58">
        <f si="1" t="shared"/>
        <v>5.5405671201442388</v>
      </c>
      <c r="CY18" s="58">
        <f si="2" t="shared"/>
        <v>3.0000000000000009</v>
      </c>
      <c r="CZ18" s="108">
        <f si="3" t="shared"/>
        <v>-2.5405671201442379</v>
      </c>
      <c r="DA18" s="78">
        <f si="4" t="shared"/>
        <v>-0.45853918291275908</v>
      </c>
      <c r="DB18" s="95">
        <v>17000</v>
      </c>
    </row>
    <row r="19" spans="2:106" x14ac:dyDescent="0.25">
      <c r="B19" s="144">
        <v>16</v>
      </c>
      <c r="C19" s="170" t="s">
        <v>340</v>
      </c>
      <c r="D19" s="115">
        <f>County_Flow!BX37</f>
        <v>1470.352749710549</v>
      </c>
      <c r="E19" s="116">
        <f>County_Flow!BY37</f>
        <v>12509.496665138753</v>
      </c>
      <c r="F19" s="116">
        <f>County_Flow!BZ37</f>
        <v>3306</v>
      </c>
      <c r="G19" s="123">
        <f>County_Flow!CA37</f>
        <v>1271</v>
      </c>
      <c r="H19" s="115">
        <f>County_Flow!CB37</f>
        <v>1694.5944832574864</v>
      </c>
      <c r="I19" s="116">
        <f>County_Flow!CC37</f>
        <v>7324.5394612053642</v>
      </c>
      <c r="J19" s="116">
        <f>County_Flow!CD37</f>
        <v>3056.6721848154989</v>
      </c>
      <c r="K19" s="123">
        <f>County_Flow!CE37</f>
        <v>1271</v>
      </c>
      <c r="L19" s="100">
        <f>County_Flow!CF37</f>
        <v>2.6253408078030578E-3</v>
      </c>
      <c r="M19" s="100">
        <f>County_Flow!CG37</f>
        <v>1.1347500853951755E-2</v>
      </c>
      <c r="N19" s="104">
        <f>County_Flow!CH37</f>
        <v>4.7355318940061272E-3</v>
      </c>
      <c r="O19" s="150">
        <f>County_Flow!CI37</f>
        <v>1.9690894781525573E-3</v>
      </c>
      <c r="P19" s="125">
        <f>County_Flow!CJ37</f>
        <v>-2.7664424158535699E-3</v>
      </c>
      <c r="Q19" s="121">
        <f>County_Flow!CK37</f>
        <v>-0.58418831881485589</v>
      </c>
      <c r="R19" s="171">
        <f si="7" t="shared"/>
        <v>2.4049348424984256</v>
      </c>
      <c r="S19" s="140"/>
      <c r="T19" s="201"/>
      <c r="U19" s="202"/>
      <c r="V19" s="203"/>
      <c r="W19" s="203"/>
      <c r="X19" s="204"/>
      <c r="Y19" s="30"/>
      <c r="Z19" s="30"/>
      <c r="AA19" s="100"/>
      <c r="AB19" s="165"/>
      <c r="AC19" s="165"/>
      <c r="AD19" s="194">
        <v>116</v>
      </c>
      <c r="AE19" s="163">
        <f si="8" t="shared"/>
        <v>0.87752281067446847</v>
      </c>
      <c r="AF19" s="164">
        <f si="5" t="shared"/>
        <v>1.6583683715137538</v>
      </c>
      <c r="AG19" s="7">
        <f>VLOOKUP(AD19,calibration_dist!$T:$W,3,FALSE)</f>
        <v>-0.46096256471820002</v>
      </c>
      <c r="AH19" s="167">
        <f si="9" t="shared"/>
        <v>1.1974058067955538</v>
      </c>
      <c r="AI19" s="174">
        <v>1</v>
      </c>
      <c r="CU19" s="95">
        <v>18</v>
      </c>
      <c r="CV19" s="95">
        <f si="6" t="shared"/>
        <v>1</v>
      </c>
      <c r="CW19" s="95">
        <f si="0" t="shared"/>
        <v>18</v>
      </c>
      <c r="CX19" s="58">
        <f si="1" t="shared"/>
        <v>8.7066054745123758</v>
      </c>
      <c r="CY19" s="58">
        <f si="2" t="shared"/>
        <v>8.0000000000000018</v>
      </c>
      <c r="CZ19" s="108">
        <f si="3" t="shared"/>
        <v>-0.70660547451237399</v>
      </c>
      <c r="DA19" s="78">
        <f si="4" t="shared"/>
        <v>-8.1157401306500371E-2</v>
      </c>
      <c r="DB19" s="95">
        <v>18000</v>
      </c>
    </row>
    <row r="20" spans="2:106" x14ac:dyDescent="0.25">
      <c r="B20" s="144">
        <v>17</v>
      </c>
      <c r="C20" s="170" t="s">
        <v>341</v>
      </c>
      <c r="D20" s="115">
        <f>County_Flow!BX38</f>
        <v>6774.47985647735</v>
      </c>
      <c r="E20" s="116">
        <f>County_Flow!BY38</f>
        <v>20649.37775784919</v>
      </c>
      <c r="F20" s="116">
        <f>County_Flow!BZ38</f>
        <v>9368</v>
      </c>
      <c r="G20" s="123">
        <f>County_Flow!CA38</f>
        <v>4643</v>
      </c>
      <c r="H20" s="115">
        <f>County_Flow!CB38</f>
        <v>7807.6476505283636</v>
      </c>
      <c r="I20" s="116">
        <f>County_Flow!CC38</f>
        <v>12090.588956963851</v>
      </c>
      <c r="J20" s="116">
        <f>County_Flow!CD38</f>
        <v>8183.7677729022362</v>
      </c>
      <c r="K20" s="123">
        <f>County_Flow!CE38</f>
        <v>4643</v>
      </c>
      <c r="L20" s="100">
        <f>County_Flow!CF38</f>
        <v>1.2095953452224969E-2</v>
      </c>
      <c r="M20" s="100">
        <f>County_Flow!CG38</f>
        <v>1.8731275766974836E-2</v>
      </c>
      <c r="N20" s="104">
        <f>County_Flow!CH38</f>
        <v>1.2678655399894398E-2</v>
      </c>
      <c r="O20" s="150">
        <f>County_Flow!CI38</f>
        <v>7.1931411857296011E-3</v>
      </c>
      <c r="P20" s="125">
        <f>County_Flow!CJ38</f>
        <v>-5.4855142141647965E-3</v>
      </c>
      <c r="Q20" s="121">
        <f>County_Flow!CK38</f>
        <v>-0.43265741051771833</v>
      </c>
      <c r="R20" s="171">
        <f si="7" t="shared"/>
        <v>1.762603440211552</v>
      </c>
      <c r="S20" s="140"/>
      <c r="T20" s="201"/>
      <c r="U20" s="202"/>
      <c r="V20" s="203"/>
      <c r="W20" s="203"/>
      <c r="X20" s="204"/>
      <c r="Y20" s="30"/>
      <c r="Z20" s="30"/>
      <c r="AA20" s="100"/>
      <c r="AB20" s="165"/>
      <c r="AC20" s="165"/>
      <c r="AD20" s="194">
        <v>117</v>
      </c>
      <c r="AE20" s="163">
        <f si="8" t="shared"/>
        <v>0.56679194346385808</v>
      </c>
      <c r="AF20" s="164">
        <f si="5" t="shared"/>
        <v>1.3476375043031434</v>
      </c>
      <c r="AG20" s="7">
        <f>VLOOKUP(AD20,calibration_dist!$T:$W,3,FALSE)</f>
        <v>-6.5598826231399995E-2</v>
      </c>
      <c r="AH20" s="167">
        <f si="9" t="shared"/>
        <v>1.2820386780717434</v>
      </c>
      <c r="AI20" s="174">
        <v>1</v>
      </c>
      <c r="CU20" s="95">
        <v>19</v>
      </c>
      <c r="CV20" s="95">
        <f si="6" t="shared"/>
        <v>1</v>
      </c>
      <c r="CW20" s="95">
        <f si="0" t="shared"/>
        <v>19</v>
      </c>
      <c r="CX20" s="58">
        <f si="1" t="shared"/>
        <v>26.119816423537124</v>
      </c>
      <c r="CY20" s="58">
        <f si="2" t="shared"/>
        <v>4.0000000000000009</v>
      </c>
      <c r="CZ20" s="108">
        <f si="3" t="shared"/>
        <v>-22.119816423537124</v>
      </c>
      <c r="DA20" s="78">
        <f si="4" t="shared"/>
        <v>-0.84685956688441677</v>
      </c>
      <c r="DB20" s="95">
        <v>19000</v>
      </c>
    </row>
    <row r="21" spans="2:106" x14ac:dyDescent="0.25">
      <c r="B21" s="144">
        <v>18</v>
      </c>
      <c r="C21" s="170" t="s">
        <v>342</v>
      </c>
      <c r="D21" s="115">
        <f>County_Flow!BX39</f>
        <v>8463.186929443702</v>
      </c>
      <c r="E21" s="116">
        <f>County_Flow!BY39</f>
        <v>34453.925335698776</v>
      </c>
      <c r="F21" s="116">
        <f>County_Flow!BZ39</f>
        <v>13081</v>
      </c>
      <c r="G21" s="123">
        <f>County_Flow!CA39</f>
        <v>9969</v>
      </c>
      <c r="H21" s="115">
        <f>County_Flow!CB39</f>
        <v>9753.8974128728241</v>
      </c>
      <c r="I21" s="116">
        <f>County_Flow!CC39</f>
        <v>20173.404451836897</v>
      </c>
      <c r="J21" s="116">
        <f>County_Flow!CD39</f>
        <v>11662.736307180778</v>
      </c>
      <c r="K21" s="123">
        <f>County_Flow!CE39</f>
        <v>9969</v>
      </c>
      <c r="L21" s="100">
        <f>County_Flow!CF39</f>
        <v>1.5111169761343295E-2</v>
      </c>
      <c r="M21" s="100">
        <f>County_Flow!CG39</f>
        <v>3.1253531427716745E-2</v>
      </c>
      <c r="N21" s="104">
        <f>County_Flow!CH39</f>
        <v>1.8068427497197073E-2</v>
      </c>
      <c r="O21" s="150">
        <f>County_Flow!CI39</f>
        <v>1.5444416213770922E-2</v>
      </c>
      <c r="P21" s="125">
        <f>County_Flow!CJ39</f>
        <v>-2.6240112834261514E-3</v>
      </c>
      <c r="Q21" s="121">
        <f>County_Flow!CK39</f>
        <v>-0.14522632275737382</v>
      </c>
      <c r="R21" s="171">
        <f si="7" t="shared"/>
        <v>1.1699003217153956</v>
      </c>
      <c r="S21" s="140"/>
      <c r="T21" s="201"/>
      <c r="U21" s="202"/>
      <c r="V21" s="203"/>
      <c r="W21" s="203"/>
      <c r="X21" s="204"/>
      <c r="Y21" s="30"/>
      <c r="Z21" s="30"/>
      <c r="AA21" s="100"/>
      <c r="AB21" s="165"/>
      <c r="AC21" s="165"/>
      <c r="AD21" s="194">
        <v>118</v>
      </c>
      <c r="AE21" s="163">
        <f si="8" t="shared"/>
        <v>0.1569185500653083</v>
      </c>
      <c r="AF21" s="164">
        <f si="5" t="shared"/>
        <v>0.93776411090459366</v>
      </c>
      <c r="AG21" s="7">
        <f>VLOOKUP(AD21,calibration_dist!$T:$W,3,FALSE)</f>
        <v>0.30646725571720002</v>
      </c>
      <c r="AH21" s="167">
        <f si="9" t="shared"/>
        <v>1.2442313666217937</v>
      </c>
      <c r="AI21" s="174">
        <v>1</v>
      </c>
      <c r="CU21" s="95">
        <v>20</v>
      </c>
      <c r="CV21" s="95">
        <f si="6" t="shared"/>
        <v>1</v>
      </c>
      <c r="CW21" s="95">
        <f si="0" t="shared"/>
        <v>20</v>
      </c>
      <c r="CX21" s="58">
        <f si="1" t="shared"/>
        <v>10.289624651696442</v>
      </c>
      <c r="CY21" s="58">
        <f si="2" t="shared"/>
        <v>0</v>
      </c>
      <c r="CZ21" s="108">
        <f si="3" t="shared"/>
        <v>-10.289624651696442</v>
      </c>
      <c r="DA21" s="78">
        <f si="4" t="shared"/>
        <v>-1</v>
      </c>
      <c r="DB21" s="95">
        <v>20000</v>
      </c>
    </row>
    <row r="22" spans="2:106" x14ac:dyDescent="0.25">
      <c r="B22" s="144">
        <v>19</v>
      </c>
      <c r="C22" s="170" t="s">
        <v>343</v>
      </c>
      <c r="D22" s="115">
        <f>County_Flow!BX40</f>
        <v>12412.957962668792</v>
      </c>
      <c r="E22" s="116">
        <f>County_Flow!BY40</f>
        <v>46181.170491572484</v>
      </c>
      <c r="F22" s="116">
        <f>County_Flow!BZ40</f>
        <v>22540</v>
      </c>
      <c r="G22" s="123">
        <f>County_Flow!CA40</f>
        <v>12777</v>
      </c>
      <c r="H22" s="115">
        <f>County_Flow!CB40</f>
        <v>14306.043286950375</v>
      </c>
      <c r="I22" s="116">
        <f>County_Flow!CC40</f>
        <v>27039.921324158528</v>
      </c>
      <c r="J22" s="116">
        <f>County_Flow!CD40</f>
        <v>19671.927490438102</v>
      </c>
      <c r="K22" s="123">
        <f>County_Flow!CE40</f>
        <v>12777</v>
      </c>
      <c r="L22" s="100">
        <f>County_Flow!CF40</f>
        <v>2.2163555712296622E-2</v>
      </c>
      <c r="M22" s="100">
        <f>County_Flow!CG40</f>
        <v>4.1891443406352091E-2</v>
      </c>
      <c r="N22" s="104">
        <f>County_Flow!CH40</f>
        <v>3.0476621114399454E-2</v>
      </c>
      <c r="O22" s="150">
        <f>County_Flow!CI40</f>
        <v>1.979469414819451E-2</v>
      </c>
      <c r="P22" s="125">
        <f>County_Flow!CJ40</f>
        <v>-1.0681926966204944E-2</v>
      </c>
      <c r="Q22" s="121">
        <f>County_Flow!CK40</f>
        <v>-0.35049577596244735</v>
      </c>
      <c r="R22" s="171">
        <f si="7" t="shared"/>
        <v>1.5396358683914928</v>
      </c>
      <c r="S22" s="140"/>
      <c r="T22" s="201"/>
      <c r="U22" s="202"/>
      <c r="V22" s="203"/>
      <c r="W22" s="203"/>
      <c r="X22" s="204"/>
      <c r="Y22" s="30"/>
      <c r="Z22" s="30"/>
      <c r="AA22" s="100"/>
      <c r="AB22" s="165"/>
      <c r="AC22" s="165"/>
      <c r="AD22" s="194">
        <v>119</v>
      </c>
      <c r="AE22" s="163">
        <f si="8" t="shared"/>
        <v>0.4315459393706097</v>
      </c>
      <c r="AF22" s="164">
        <f si="5" t="shared"/>
        <v>1.2123915002098951</v>
      </c>
      <c r="AG22" s="7">
        <f>VLOOKUP(AD22,calibration_dist!$T:$W,3,FALSE)</f>
        <v>0.1628137198364</v>
      </c>
      <c r="AH22" s="167">
        <f si="9" t="shared"/>
        <v>1.375205220046295</v>
      </c>
      <c r="AI22" s="174">
        <v>1</v>
      </c>
      <c r="CU22" s="95">
        <v>21</v>
      </c>
      <c r="CV22" s="95">
        <f si="6" t="shared"/>
        <v>2</v>
      </c>
      <c r="CW22" s="95">
        <f si="0" t="shared"/>
        <v>1</v>
      </c>
      <c r="CX22" s="58">
        <f si="1" t="shared"/>
        <v>1663.2047384890479</v>
      </c>
      <c r="CY22" s="58">
        <f si="2" t="shared"/>
        <v>3207.0000000000005</v>
      </c>
      <c r="CZ22" s="108">
        <f si="3" t="shared"/>
        <v>1543.7952615109525</v>
      </c>
      <c r="DA22" s="78">
        <f si="4" t="shared"/>
        <v>0.92820518471672109</v>
      </c>
      <c r="DB22" s="95">
        <v>21000</v>
      </c>
    </row>
    <row r="23" spans="2:106" x14ac:dyDescent="0.25">
      <c r="B23" s="144">
        <v>20</v>
      </c>
      <c r="C23" s="170" t="s">
        <v>344</v>
      </c>
      <c r="D23" s="115">
        <f>County_Flow!BX41</f>
        <v>11905.715030577378</v>
      </c>
      <c r="E23" s="116">
        <f>County_Flow!BY41</f>
        <v>41477.384054506212</v>
      </c>
      <c r="F23" s="116">
        <f>County_Flow!BZ41</f>
        <v>15078</v>
      </c>
      <c r="G23" s="123">
        <f>County_Flow!CA41</f>
        <v>10405</v>
      </c>
      <c r="H23" s="115">
        <f>County_Flow!CB41</f>
        <v>13721.441343938621</v>
      </c>
      <c r="I23" s="116">
        <f>County_Flow!CC41</f>
        <v>24285.768195728695</v>
      </c>
      <c r="J23" s="116">
        <f>County_Flow!CD41</f>
        <v>12501.828987365367</v>
      </c>
      <c r="K23" s="123">
        <f>County_Flow!CE41</f>
        <v>10405</v>
      </c>
      <c r="L23" s="100">
        <f>County_Flow!CF41</f>
        <v>2.1257864496803322E-2</v>
      </c>
      <c r="M23" s="100">
        <f>County_Flow!CG41</f>
        <v>3.7624587429631297E-2</v>
      </c>
      <c r="N23" s="104">
        <f>County_Flow!CH41</f>
        <v>1.9368387031222487E-2</v>
      </c>
      <c r="O23" s="150">
        <f>County_Flow!CI41</f>
        <v>1.6119886719258347E-2</v>
      </c>
      <c r="P23" s="126">
        <f>County_Flow!CJ41</f>
        <v>-3.2485003119641399E-3</v>
      </c>
      <c r="Q23" s="122">
        <f>County_Flow!CK41</f>
        <v>-0.16772177810818478</v>
      </c>
      <c r="R23" s="172">
        <f si="7" t="shared"/>
        <v>1.2015212866280984</v>
      </c>
      <c r="S23" s="140"/>
      <c r="T23" s="201"/>
      <c r="U23" s="202"/>
      <c r="V23" s="203"/>
      <c r="W23" s="203"/>
      <c r="X23" s="204"/>
      <c r="Y23" s="30"/>
      <c r="Z23" s="30"/>
      <c r="AA23" s="100"/>
      <c r="AB23" s="165"/>
      <c r="AC23" s="165"/>
      <c r="AD23" s="194">
        <v>120</v>
      </c>
      <c r="AE23" s="163">
        <f si="8" t="shared"/>
        <v>0.1835884927483076</v>
      </c>
      <c r="AF23" s="164">
        <f si="5" t="shared"/>
        <v>0.96443405358759293</v>
      </c>
      <c r="AG23" s="7">
        <f>VLOOKUP(AD23,calibration_dist!$T:$W,3,FALSE)</f>
        <v>-0.40270863939919999</v>
      </c>
      <c r="AH23" s="167">
        <f si="9" t="shared"/>
        <v>0.56172541418839295</v>
      </c>
      <c r="AI23" s="174">
        <v>1</v>
      </c>
      <c r="CU23" s="95">
        <v>22</v>
      </c>
      <c r="CV23" s="95">
        <f si="6" t="shared"/>
        <v>2</v>
      </c>
      <c r="CW23" s="95">
        <f si="0" t="shared"/>
        <v>2</v>
      </c>
      <c r="CX23" s="58">
        <f si="1" t="shared"/>
        <v>1690.1697958575473</v>
      </c>
      <c r="CY23" s="58">
        <f si="2" t="shared"/>
        <v>2008.0000000000002</v>
      </c>
      <c r="CZ23" s="108">
        <f si="3" t="shared"/>
        <v>317.83020414245289</v>
      </c>
      <c r="DA23" s="78">
        <f si="4" t="shared"/>
        <v>0.18804631636503377</v>
      </c>
      <c r="DB23" s="95">
        <v>22000</v>
      </c>
    </row>
    <row ht="15.75" r="24" spans="2:106" thickBot="1" x14ac:dyDescent="0.3">
      <c r="B24" s="173"/>
      <c r="C24" s="110" t="s">
        <v>218</v>
      </c>
      <c r="D24" s="117">
        <f>County_Flow!BX42</f>
        <v>560061.6671711175</v>
      </c>
      <c r="E24" s="111">
        <f>County_Flow!BY42</f>
        <v>1102401.03315633</v>
      </c>
      <c r="F24" s="111">
        <f>County_Flow!BZ42</f>
        <v>696114</v>
      </c>
      <c r="G24" s="124">
        <f>County_Flow!CA42</f>
        <v>645476</v>
      </c>
      <c r="H24" s="117">
        <f>County_Flow!CB42</f>
        <v>645476</v>
      </c>
      <c r="I24" s="111">
        <f>County_Flow!CC42</f>
        <v>645476.00000000012</v>
      </c>
      <c r="J24" s="111">
        <f>County_Flow!CD42</f>
        <v>645476</v>
      </c>
      <c r="K24" s="124">
        <f>County_Flow!CE42</f>
        <v>645476</v>
      </c>
      <c r="L24" s="130">
        <f>County_Flow!CF42</f>
        <v>1</v>
      </c>
      <c r="M24" s="130">
        <f>County_Flow!CG42</f>
        <v>1</v>
      </c>
      <c r="N24" s="130">
        <f>County_Flow!CH42</f>
        <v>1</v>
      </c>
      <c r="O24" s="131">
        <f>County_Flow!CI42</f>
        <v>1</v>
      </c>
      <c r="P24" s="119"/>
      <c r="Q24" s="137"/>
      <c r="R24" s="172">
        <f>V24/W24</f>
        <v>1.6259056595803061</v>
      </c>
      <c r="S24" t="s">
        <v>416</v>
      </c>
      <c r="T24" s="141"/>
      <c r="V24" s="108">
        <f>N41</f>
        <v>44691.268864883874</v>
      </c>
      <c r="W24" s="108">
        <f>BK41</f>
        <v>27487</v>
      </c>
      <c r="X24" s="30">
        <f>M68</f>
        <v>3.1918196531536495E-3</v>
      </c>
      <c r="Y24" s="30">
        <f>AK68</f>
        <v>1.3664334537612554E-3</v>
      </c>
      <c r="Z24" s="166"/>
      <c r="AA24" s="166"/>
      <c r="AB24" s="7"/>
      <c r="AC24" s="41"/>
      <c r="AD24" s="194">
        <v>121</v>
      </c>
      <c r="AE24" s="163">
        <f>LN(R24)</f>
        <v>0.486064989504086</v>
      </c>
      <c r="AF24" s="164">
        <f>AE24-AF14</f>
        <v>-0.74320873928980813</v>
      </c>
      <c r="AG24" s="7">
        <f>VLOOKUP(AD24,calibration_dist!$T:$W,3,FALSE)</f>
        <v>-0.47819038789149998</v>
      </c>
      <c r="AH24" s="167">
        <f>AG24+AI24*(AF24-(AF15*AI15))</f>
        <v>-0.47819038789149998</v>
      </c>
      <c r="AI24" s="174">
        <v>0</v>
      </c>
      <c r="CU24" s="95">
        <v>23</v>
      </c>
      <c r="CV24" s="95">
        <f si="6" t="shared"/>
        <v>2</v>
      </c>
      <c r="CW24" s="95">
        <f si="0" t="shared"/>
        <v>3</v>
      </c>
      <c r="CX24" s="58">
        <f si="1" t="shared"/>
        <v>660.10460438086727</v>
      </c>
      <c r="CY24" s="58">
        <f si="2" t="shared"/>
        <v>595.00000000000011</v>
      </c>
      <c r="CZ24" s="108">
        <f si="3" t="shared"/>
        <v>-65.104604380867158</v>
      </c>
      <c r="DA24" s="78">
        <f si="4" t="shared"/>
        <v>-9.8627708318942575E-2</v>
      </c>
      <c r="DB24" s="95">
        <v>23000</v>
      </c>
    </row>
    <row ht="15.75" r="25" spans="2:106" thickBot="1" x14ac:dyDescent="0.3">
      <c r="R25" s="172">
        <f>V25/W25</f>
        <v>0.65473926760193868</v>
      </c>
      <c r="S25" s="95" t="s">
        <v>417</v>
      </c>
      <c r="U25" s="41"/>
      <c r="V25" s="108">
        <f>O42</f>
        <v>28375.745118600422</v>
      </c>
      <c r="W25" s="108">
        <f>BL42</f>
        <v>43339</v>
      </c>
      <c r="X25" s="30">
        <f>M69</f>
        <v>1.8887978991998014E-3</v>
      </c>
      <c r="Y25" s="30">
        <f>AK69</f>
        <v>3.2224280995730282E-4</v>
      </c>
      <c r="Z25" s="7"/>
      <c r="AA25" s="7"/>
      <c r="AB25" s="7"/>
      <c r="AD25" s="195">
        <v>122</v>
      </c>
      <c r="AE25" s="175">
        <f>LN(R25)</f>
        <v>-0.4235181873255458</v>
      </c>
      <c r="AF25" s="176">
        <f>AE25-AF14</f>
        <v>-1.65279191611944</v>
      </c>
      <c r="AG25" s="1">
        <f>VLOOKUP(AD25,calibration_dist!$T:$W,3,FALSE)</f>
        <v>-1.0119832457914</v>
      </c>
      <c r="AH25" s="177">
        <f>AG25+AI25*(AF25-(AF16*AI16))</f>
        <v>-1.0119832457914</v>
      </c>
      <c r="AI25" s="178">
        <v>0</v>
      </c>
      <c r="CU25" s="95">
        <v>24</v>
      </c>
      <c r="CV25" s="95">
        <f si="6" t="shared"/>
        <v>2</v>
      </c>
      <c r="CW25" s="95">
        <f si="0" t="shared"/>
        <v>4</v>
      </c>
      <c r="CX25" s="58">
        <f si="1" t="shared"/>
        <v>396.92564446431231</v>
      </c>
      <c r="CY25" s="58">
        <f si="2" t="shared"/>
        <v>367.00000000000006</v>
      </c>
      <c r="CZ25" s="108">
        <f si="3" t="shared"/>
        <v>-29.925644464312256</v>
      </c>
      <c r="DA25" s="78">
        <f si="4" t="shared"/>
        <v>-7.5393577819089189E-2</v>
      </c>
      <c r="DB25" s="95">
        <v>24000</v>
      </c>
    </row>
    <row r="26" spans="2:106" x14ac:dyDescent="0.25">
      <c r="U26" s="143"/>
      <c r="AH26" s="141"/>
      <c r="CU26" s="95">
        <v>25</v>
      </c>
      <c r="CV26" s="95">
        <f si="6" t="shared"/>
        <v>2</v>
      </c>
      <c r="CW26" s="95">
        <f si="0" t="shared"/>
        <v>5</v>
      </c>
      <c r="CX26" s="58">
        <f si="1" t="shared"/>
        <v>426.04790642229176</v>
      </c>
      <c r="CY26" s="58">
        <f si="2" t="shared"/>
        <v>781.00000000000011</v>
      </c>
      <c r="CZ26" s="108">
        <f si="3" t="shared"/>
        <v>354.95209357770835</v>
      </c>
      <c r="DA26" s="78">
        <f si="4" t="shared"/>
        <v>0.83312718646687967</v>
      </c>
      <c r="DB26" s="95">
        <v>25000</v>
      </c>
    </row>
    <row r="27" spans="2:106" x14ac:dyDescent="0.25">
      <c r="B27" s="142" t="s">
        <v>320</v>
      </c>
      <c r="Z27" s="142" t="s">
        <v>323</v>
      </c>
      <c r="AH27" s="141"/>
      <c r="AY27" s="142" t="s">
        <v>406</v>
      </c>
      <c r="BW27" s="142" t="s">
        <v>407</v>
      </c>
      <c r="CU27" s="95">
        <v>26</v>
      </c>
      <c r="CV27" s="95">
        <f si="6" t="shared"/>
        <v>2</v>
      </c>
      <c r="CW27" s="95">
        <f si="0" t="shared"/>
        <v>6</v>
      </c>
      <c r="CX27" s="58">
        <f si="1" t="shared"/>
        <v>2751.5144538816871</v>
      </c>
      <c r="CY27" s="58">
        <f si="2" t="shared"/>
        <v>2796.0000000000005</v>
      </c>
      <c r="CZ27" s="108">
        <f si="3" t="shared"/>
        <v>44.485546118313323</v>
      </c>
      <c r="DA27" s="78">
        <f si="4" t="shared"/>
        <v>1.6167658525491492E-2</v>
      </c>
      <c r="DB27" s="95">
        <v>26000</v>
      </c>
    </row>
    <row ht="15.75" r="28" spans="2:106" thickBot="1" x14ac:dyDescent="0.3">
      <c r="W28" s="7"/>
      <c r="X28" s="7"/>
      <c r="Y28" s="95"/>
      <c r="Z28" t="s">
        <v>408</v>
      </c>
      <c r="AA28" s="191">
        <v>1</v>
      </c>
      <c r="AB28" s="191">
        <v>1</v>
      </c>
      <c r="AC28" s="191">
        <v>1</v>
      </c>
      <c r="AD28" s="191">
        <v>1</v>
      </c>
      <c r="AE28" s="191">
        <v>1</v>
      </c>
      <c r="AF28" s="191">
        <v>1</v>
      </c>
      <c r="AG28" s="191">
        <v>1</v>
      </c>
      <c r="AH28" s="191">
        <v>1</v>
      </c>
      <c r="AI28" s="191">
        <v>1</v>
      </c>
      <c r="AJ28" s="191">
        <v>1</v>
      </c>
      <c r="AK28" s="191">
        <v>1</v>
      </c>
      <c r="AL28" s="191">
        <v>1</v>
      </c>
      <c r="AM28" s="191">
        <v>1</v>
      </c>
      <c r="AN28" s="191">
        <v>1</v>
      </c>
      <c r="AO28" s="191">
        <v>1</v>
      </c>
      <c r="AP28" s="191">
        <v>1</v>
      </c>
      <c r="AQ28" s="191">
        <v>1</v>
      </c>
      <c r="AR28" s="191">
        <v>1</v>
      </c>
      <c r="AS28" s="191">
        <v>1</v>
      </c>
      <c r="AT28" s="191">
        <v>1</v>
      </c>
      <c r="AU28" s="95"/>
      <c r="AV28" s="95"/>
      <c r="CU28" s="95">
        <v>27</v>
      </c>
      <c r="CV28" s="95">
        <f si="6" t="shared"/>
        <v>2</v>
      </c>
      <c r="CW28" s="95">
        <f si="0" t="shared"/>
        <v>7</v>
      </c>
      <c r="CX28" s="58">
        <f si="1" t="shared"/>
        <v>1203.7201609298165</v>
      </c>
      <c r="CY28" s="58">
        <f si="2" t="shared"/>
        <v>1018.0000000000001</v>
      </c>
      <c r="CZ28" s="108">
        <f si="3" t="shared"/>
        <v>-185.72016092981642</v>
      </c>
      <c r="DA28" s="78">
        <f si="4" t="shared"/>
        <v>-0.15428848577758839</v>
      </c>
      <c r="DB28" s="95">
        <v>27000</v>
      </c>
    </row>
    <row r="29" spans="2:106" x14ac:dyDescent="0.25">
      <c r="B29" s="2" t="s">
        <v>14</v>
      </c>
      <c r="C29" s="2">
        <v>1</v>
      </c>
      <c r="D29" s="2">
        <v>2</v>
      </c>
      <c r="E29" s="2">
        <v>3</v>
      </c>
      <c r="F29" s="2">
        <v>4</v>
      </c>
      <c r="G29" s="2">
        <v>5</v>
      </c>
      <c r="H29" s="2">
        <v>6</v>
      </c>
      <c r="I29" s="2">
        <v>7</v>
      </c>
      <c r="J29" s="2">
        <v>8</v>
      </c>
      <c r="K29" s="2">
        <v>9</v>
      </c>
      <c r="L29" s="2">
        <v>10</v>
      </c>
      <c r="M29" s="2">
        <v>11</v>
      </c>
      <c r="N29" s="2">
        <v>12</v>
      </c>
      <c r="O29" s="2">
        <v>13</v>
      </c>
      <c r="P29" s="2">
        <v>14</v>
      </c>
      <c r="Q29" s="2">
        <v>15</v>
      </c>
      <c r="R29" s="2">
        <v>16</v>
      </c>
      <c r="S29" s="2">
        <v>17</v>
      </c>
      <c r="T29" s="2">
        <v>18</v>
      </c>
      <c r="U29" s="2">
        <v>19</v>
      </c>
      <c r="V29" s="2">
        <v>20</v>
      </c>
      <c r="W29" s="3" t="s">
        <v>15</v>
      </c>
      <c r="X29" s="3" t="s">
        <v>3</v>
      </c>
      <c r="Y29" s="95"/>
      <c r="Z29" s="2" t="s">
        <v>14</v>
      </c>
      <c r="AA29" s="2">
        <v>1</v>
      </c>
      <c r="AB29" s="2">
        <v>2</v>
      </c>
      <c r="AC29" s="2">
        <v>3</v>
      </c>
      <c r="AD29" s="2">
        <v>4</v>
      </c>
      <c r="AE29" s="2">
        <v>5</v>
      </c>
      <c r="AF29" s="2">
        <v>6</v>
      </c>
      <c r="AG29" s="2">
        <v>7</v>
      </c>
      <c r="AH29" s="2">
        <v>8</v>
      </c>
      <c r="AI29" s="2">
        <v>9</v>
      </c>
      <c r="AJ29" s="2">
        <v>10</v>
      </c>
      <c r="AK29" s="2">
        <v>11</v>
      </c>
      <c r="AL29" s="2">
        <v>12</v>
      </c>
      <c r="AM29" s="2">
        <v>13</v>
      </c>
      <c r="AN29" s="2">
        <v>14</v>
      </c>
      <c r="AO29" s="2">
        <v>15</v>
      </c>
      <c r="AP29" s="2">
        <v>16</v>
      </c>
      <c r="AQ29" s="2">
        <v>17</v>
      </c>
      <c r="AR29" s="2">
        <v>18</v>
      </c>
      <c r="AS29" s="2">
        <v>19</v>
      </c>
      <c r="AT29" s="2">
        <v>20</v>
      </c>
      <c r="AU29" s="3" t="s">
        <v>15</v>
      </c>
      <c r="AV29" s="3" t="s">
        <v>3</v>
      </c>
      <c r="AY29" s="2" t="s">
        <v>14</v>
      </c>
      <c r="AZ29" s="2">
        <v>1</v>
      </c>
      <c r="BA29" s="2">
        <v>2</v>
      </c>
      <c r="BB29" s="2">
        <v>3</v>
      </c>
      <c r="BC29" s="2">
        <v>4</v>
      </c>
      <c r="BD29" s="2">
        <v>5</v>
      </c>
      <c r="BE29" s="2">
        <v>6</v>
      </c>
      <c r="BF29" s="2">
        <v>7</v>
      </c>
      <c r="BG29" s="2">
        <v>8</v>
      </c>
      <c r="BH29" s="2">
        <v>9</v>
      </c>
      <c r="BI29" s="2">
        <v>10</v>
      </c>
      <c r="BJ29" s="2">
        <v>11</v>
      </c>
      <c r="BK29" s="2">
        <v>12</v>
      </c>
      <c r="BL29" s="2">
        <v>13</v>
      </c>
      <c r="BM29" s="2">
        <v>14</v>
      </c>
      <c r="BN29" s="2">
        <v>15</v>
      </c>
      <c r="BO29" s="2">
        <v>16</v>
      </c>
      <c r="BP29" s="2">
        <v>17</v>
      </c>
      <c r="BQ29" s="2">
        <v>18</v>
      </c>
      <c r="BR29" s="2">
        <v>19</v>
      </c>
      <c r="BS29" s="2">
        <v>20</v>
      </c>
      <c r="BT29" s="3" t="s">
        <v>15</v>
      </c>
      <c r="BU29" s="3" t="s">
        <v>3</v>
      </c>
      <c r="BW29" s="2" t="s">
        <v>14</v>
      </c>
      <c r="BX29" s="2">
        <v>1</v>
      </c>
      <c r="BY29" s="2">
        <v>2</v>
      </c>
      <c r="BZ29" s="2">
        <v>3</v>
      </c>
      <c r="CA29" s="2">
        <v>4</v>
      </c>
      <c r="CB29" s="2">
        <v>5</v>
      </c>
      <c r="CC29" s="2">
        <v>6</v>
      </c>
      <c r="CD29" s="2">
        <v>7</v>
      </c>
      <c r="CE29" s="2">
        <v>8</v>
      </c>
      <c r="CF29" s="2">
        <v>9</v>
      </c>
      <c r="CG29" s="2">
        <v>10</v>
      </c>
      <c r="CH29" s="2">
        <v>11</v>
      </c>
      <c r="CI29" s="2">
        <v>12</v>
      </c>
      <c r="CJ29" s="2">
        <v>13</v>
      </c>
      <c r="CK29" s="2">
        <v>14</v>
      </c>
      <c r="CL29" s="2">
        <v>15</v>
      </c>
      <c r="CM29" s="2">
        <v>16</v>
      </c>
      <c r="CN29" s="2">
        <v>17</v>
      </c>
      <c r="CO29" s="2">
        <v>18</v>
      </c>
      <c r="CP29" s="2">
        <v>19</v>
      </c>
      <c r="CQ29" s="2">
        <v>20</v>
      </c>
      <c r="CR29" s="3" t="s">
        <v>15</v>
      </c>
      <c r="CS29" s="3" t="s">
        <v>3</v>
      </c>
      <c r="CU29" s="95">
        <v>28</v>
      </c>
      <c r="CV29" s="95">
        <f si="6" t="shared"/>
        <v>2</v>
      </c>
      <c r="CW29" s="95">
        <f si="0" t="shared"/>
        <v>8</v>
      </c>
      <c r="CX29" s="58">
        <f si="1" t="shared"/>
        <v>91.681195052898218</v>
      </c>
      <c r="CY29" s="58">
        <f si="2" t="shared"/>
        <v>33.000000000000007</v>
      </c>
      <c r="CZ29" s="108">
        <f si="3" t="shared"/>
        <v>-58.681195052898211</v>
      </c>
      <c r="DA29" s="78">
        <f si="4" t="shared"/>
        <v>-0.640057047893413</v>
      </c>
      <c r="DB29" s="95">
        <v>28000</v>
      </c>
    </row>
    <row r="30" spans="2:106" x14ac:dyDescent="0.25">
      <c r="B30" s="31">
        <v>1</v>
      </c>
      <c r="C30" s="77">
        <f>County_Flow!Z34</f>
        <v>1171.4341911162105</v>
      </c>
      <c r="D30" s="77">
        <f>County_Flow!AA34*$AA28</f>
        <v>300.77364366497295</v>
      </c>
      <c r="E30" s="77">
        <f>County_Flow!AB34*$AA28</f>
        <v>162.25946566136699</v>
      </c>
      <c r="F30" s="77">
        <f>County_Flow!AC34*$AA28</f>
        <v>146.42927388952631</v>
      </c>
      <c r="G30" s="77">
        <f>County_Flow!AD34*$AA28</f>
        <v>170.17456154728734</v>
      </c>
      <c r="H30" s="77">
        <f>County_Flow!AE34*$AA28</f>
        <v>1249.7936403868218</v>
      </c>
      <c r="I30" s="77">
        <f>County_Flow!AF34*$AA28</f>
        <v>206.5840026225209</v>
      </c>
      <c r="J30" s="77">
        <f>County_Flow!AG34*$AA28</f>
        <v>20.579249303392885</v>
      </c>
      <c r="K30" s="77">
        <f>County_Flow!AH34*$AA28</f>
        <v>208.16702179970497</v>
      </c>
      <c r="L30" s="77">
        <f>County_Flow!AI34*$AA28</f>
        <v>103.68775610555646</v>
      </c>
      <c r="M30" s="77">
        <f>County_Flow!AJ34*$AA28</f>
        <v>142.47172594656615</v>
      </c>
      <c r="N30" s="77">
        <f>County_Flow!AK34*$AA28</f>
        <v>800.21619406654645</v>
      </c>
      <c r="O30" s="77">
        <f>County_Flow!AL34*$AA28</f>
        <v>49.865104081298149</v>
      </c>
      <c r="P30" s="77">
        <f>County_Flow!AM34*$AA28</f>
        <v>9.4981150631044091</v>
      </c>
      <c r="Q30" s="77">
        <f>County_Flow!AN34*$AA28</f>
        <v>22.95377806916899</v>
      </c>
      <c r="R30" s="77">
        <f>County_Flow!AO34*$AA28</f>
        <v>13.455663006064579</v>
      </c>
      <c r="S30" s="77">
        <f>County_Flow!AP34*$AA28</f>
        <v>5.5405671201442388</v>
      </c>
      <c r="T30" s="77">
        <f>County_Flow!AQ34*$AA28</f>
        <v>8.7066054745123758</v>
      </c>
      <c r="U30" s="77">
        <f>County_Flow!AR34*$AA28</f>
        <v>26.119816423537124</v>
      </c>
      <c r="V30" s="77">
        <f>County_Flow!AS34*$AA28</f>
        <v>10.289624651696442</v>
      </c>
      <c r="W30" s="77">
        <f>County_Flow!AT34</f>
        <v>0</v>
      </c>
      <c r="X30" s="77">
        <f>SUM(C30:W30)</f>
        <v>4829.0000000000009</v>
      </c>
      <c r="Y30" s="95"/>
      <c r="Z30" s="31">
        <v>1</v>
      </c>
      <c r="AA30" s="77">
        <f>County_Flow!AX34*AA$28</f>
        <v>2093</v>
      </c>
      <c r="AB30" s="77">
        <f>County_Flow!AY34*AB$28</f>
        <v>269</v>
      </c>
      <c r="AC30" s="77">
        <f>County_Flow!AZ34*AC$28</f>
        <v>153</v>
      </c>
      <c r="AD30" s="77">
        <f>County_Flow!BA34*AD$28</f>
        <v>139</v>
      </c>
      <c r="AE30" s="77">
        <f>County_Flow!BB34*AE$28</f>
        <v>358</v>
      </c>
      <c r="AF30" s="77">
        <f>County_Flow!BC34*AF$28</f>
        <v>1013</v>
      </c>
      <c r="AG30" s="77">
        <f>County_Flow!BD34*AG$28</f>
        <v>122</v>
      </c>
      <c r="AH30" s="77">
        <f>County_Flow!BE34*AH$28</f>
        <v>19</v>
      </c>
      <c r="AI30" s="77">
        <f>County_Flow!BF34*AI$28</f>
        <v>100</v>
      </c>
      <c r="AJ30" s="77">
        <f>County_Flow!BG34*AJ$28</f>
        <v>40</v>
      </c>
      <c r="AK30" s="77">
        <f>County_Flow!BH34*AK$28</f>
        <v>75</v>
      </c>
      <c r="AL30" s="77">
        <f>County_Flow!BI34*AL$28</f>
        <v>346</v>
      </c>
      <c r="AM30" s="77">
        <f>County_Flow!BJ34*AM$28</f>
        <v>68</v>
      </c>
      <c r="AN30" s="77">
        <f>County_Flow!BK34*AN$28</f>
        <v>5</v>
      </c>
      <c r="AO30" s="77">
        <f>County_Flow!BL34*AO$28</f>
        <v>12</v>
      </c>
      <c r="AP30" s="77">
        <f>County_Flow!BM34*AP$28</f>
        <v>2</v>
      </c>
      <c r="AQ30" s="77">
        <f>County_Flow!BN34*AQ$28</f>
        <v>3</v>
      </c>
      <c r="AR30" s="77">
        <f>County_Flow!BO34*AR$28</f>
        <v>8</v>
      </c>
      <c r="AS30" s="77">
        <f>County_Flow!BP34*AS$28</f>
        <v>4</v>
      </c>
      <c r="AT30" s="77">
        <f>County_Flow!BQ34*AT$28</f>
        <v>0</v>
      </c>
      <c r="AU30" s="77">
        <f>County_Flow!BR34</f>
        <v>0</v>
      </c>
      <c r="AV30" s="97">
        <f>SUM(AA30:AU30)</f>
        <v>4829</v>
      </c>
      <c r="AW30" s="139">
        <f>ABS((AV30-X30)/X30)</f>
        <v>1.8834017431619965E-16</v>
      </c>
      <c r="AY30" s="31">
        <v>1</v>
      </c>
      <c r="AZ30" s="77">
        <f>AA30*$X30/$AV30</f>
        <v>2093.0000000000005</v>
      </c>
      <c r="BA30" s="77">
        <f ref="BA30:BS30" si="10" t="shared">AB30*$X30/$AV30</f>
        <v>269.00000000000006</v>
      </c>
      <c r="BB30" s="77">
        <f si="10" t="shared"/>
        <v>153.00000000000003</v>
      </c>
      <c r="BC30" s="77">
        <f si="10" t="shared"/>
        <v>139.00000000000003</v>
      </c>
      <c r="BD30" s="77">
        <f si="10" t="shared"/>
        <v>358.00000000000006</v>
      </c>
      <c r="BE30" s="77">
        <f si="10" t="shared"/>
        <v>1013.0000000000002</v>
      </c>
      <c r="BF30" s="77">
        <f si="10" t="shared"/>
        <v>122.00000000000003</v>
      </c>
      <c r="BG30" s="77">
        <f si="10" t="shared"/>
        <v>19.000000000000004</v>
      </c>
      <c r="BH30" s="77">
        <f si="10" t="shared"/>
        <v>100.00000000000003</v>
      </c>
      <c r="BI30" s="77">
        <f si="10" t="shared"/>
        <v>40.000000000000007</v>
      </c>
      <c r="BJ30" s="77">
        <f si="10" t="shared"/>
        <v>75.000000000000014</v>
      </c>
      <c r="BK30" s="77">
        <f si="10" t="shared"/>
        <v>346.00000000000006</v>
      </c>
      <c r="BL30" s="77">
        <f si="10" t="shared"/>
        <v>68.000000000000014</v>
      </c>
      <c r="BM30" s="77">
        <f si="10" t="shared"/>
        <v>5.0000000000000009</v>
      </c>
      <c r="BN30" s="77">
        <f si="10" t="shared"/>
        <v>12.000000000000004</v>
      </c>
      <c r="BO30" s="77">
        <f si="10" t="shared"/>
        <v>2.0000000000000004</v>
      </c>
      <c r="BP30" s="77">
        <f si="10" t="shared"/>
        <v>3.0000000000000009</v>
      </c>
      <c r="BQ30" s="77">
        <f si="10" t="shared"/>
        <v>8.0000000000000018</v>
      </c>
      <c r="BR30" s="77">
        <f si="10" t="shared"/>
        <v>4.0000000000000009</v>
      </c>
      <c r="BS30" s="77">
        <f si="10" t="shared"/>
        <v>0</v>
      </c>
      <c r="BT30" s="77">
        <f>AU30*$X30/$AV30</f>
        <v>0</v>
      </c>
      <c r="BU30" s="77">
        <f ref="BU30:BU49" si="11" t="shared">AV30*$X30/$AV30</f>
        <v>4829.0000000000009</v>
      </c>
      <c r="BW30" s="31">
        <v>1</v>
      </c>
      <c r="BX30" s="77">
        <f>ABS(AZ30-C30)</f>
        <v>921.56580888378994</v>
      </c>
      <c r="BY30" s="77">
        <f ref="BY30:CS30" si="12" t="shared">ABS(BA30-D30)</f>
        <v>31.773643664972894</v>
      </c>
      <c r="BZ30" s="77">
        <f si="12" t="shared"/>
        <v>9.2594656613669599</v>
      </c>
      <c r="CA30" s="77">
        <f si="12" t="shared"/>
        <v>7.4292738895262858</v>
      </c>
      <c r="CB30" s="77">
        <f si="12" t="shared"/>
        <v>187.82543845271272</v>
      </c>
      <c r="CC30" s="77">
        <f si="12" t="shared"/>
        <v>236.79364038682161</v>
      </c>
      <c r="CD30" s="77">
        <f si="12" t="shared"/>
        <v>84.58400262252087</v>
      </c>
      <c r="CE30" s="77">
        <f si="12" t="shared"/>
        <v>1.5792493033928814</v>
      </c>
      <c r="CF30" s="77">
        <f si="12" t="shared"/>
        <v>108.16702179970494</v>
      </c>
      <c r="CG30" s="77">
        <f si="12" t="shared"/>
        <v>63.687756105556453</v>
      </c>
      <c r="CH30" s="77">
        <f si="12" t="shared"/>
        <v>67.471725946566139</v>
      </c>
      <c r="CI30" s="77">
        <f si="12" t="shared"/>
        <v>454.21619406654639</v>
      </c>
      <c r="CJ30" s="77">
        <f si="12" t="shared"/>
        <v>18.134895918701865</v>
      </c>
      <c r="CK30" s="77">
        <f si="12" t="shared"/>
        <v>4.4981150631044082</v>
      </c>
      <c r="CL30" s="77">
        <f si="12" t="shared"/>
        <v>10.953778069168987</v>
      </c>
      <c r="CM30" s="77">
        <f si="12" t="shared"/>
        <v>11.455663006064579</v>
      </c>
      <c r="CN30" s="77">
        <f si="12" t="shared"/>
        <v>2.5405671201442379</v>
      </c>
      <c r="CO30" s="77">
        <f si="12" t="shared"/>
        <v>0.70660547451237399</v>
      </c>
      <c r="CP30" s="77">
        <f si="12" t="shared"/>
        <v>22.119816423537124</v>
      </c>
      <c r="CQ30" s="77">
        <f si="12" t="shared"/>
        <v>10.289624651696442</v>
      </c>
      <c r="CR30" s="77">
        <f si="12" t="shared"/>
        <v>0</v>
      </c>
      <c r="CS30" s="77">
        <f si="12" t="shared"/>
        <v>0</v>
      </c>
      <c r="CU30" s="95">
        <v>29</v>
      </c>
      <c r="CV30" s="95">
        <f si="6" t="shared"/>
        <v>2</v>
      </c>
      <c r="CW30" s="95">
        <f si="0" t="shared"/>
        <v>9</v>
      </c>
      <c r="CX30" s="58">
        <f si="1" t="shared"/>
        <v>1173.5192966770974</v>
      </c>
      <c r="CY30" s="58">
        <f si="2" t="shared"/>
        <v>785.00000000000011</v>
      </c>
      <c r="CZ30" s="108">
        <f si="3" t="shared"/>
        <v>-388.51929667709726</v>
      </c>
      <c r="DA30" s="78">
        <f si="4" t="shared"/>
        <v>-0.33107192849509764</v>
      </c>
      <c r="DB30" s="95">
        <v>29000</v>
      </c>
    </row>
    <row r="31" spans="2:106" x14ac:dyDescent="0.25">
      <c r="B31" s="95">
        <v>2</v>
      </c>
      <c r="C31" s="77">
        <f>County_Flow!Z35</f>
        <v>1663.2047384890479</v>
      </c>
      <c r="D31" s="77">
        <f>County_Flow!AA35</f>
        <v>1690.1697958575473</v>
      </c>
      <c r="E31" s="77">
        <f>County_Flow!AB35</f>
        <v>660.10460438086727</v>
      </c>
      <c r="F31" s="77">
        <f>County_Flow!AC35</f>
        <v>396.92564446431231</v>
      </c>
      <c r="G31" s="77">
        <f>County_Flow!AD35</f>
        <v>426.04790642229176</v>
      </c>
      <c r="H31" s="77">
        <f>County_Flow!AE35</f>
        <v>2751.5144538816871</v>
      </c>
      <c r="I31" s="77">
        <f>County_Flow!AF35</f>
        <v>1203.7201609298165</v>
      </c>
      <c r="J31" s="77">
        <f>County_Flow!AG35</f>
        <v>91.681195052898218</v>
      </c>
      <c r="K31" s="77">
        <f>County_Flow!AH35</f>
        <v>1173.5192966770974</v>
      </c>
      <c r="L31" s="77">
        <f>County_Flow!AI35</f>
        <v>290.14401728505442</v>
      </c>
      <c r="M31" s="77">
        <f>County_Flow!AJ35</f>
        <v>704.32729846520635</v>
      </c>
      <c r="N31" s="77">
        <f>County_Flow!AK35</f>
        <v>2661.9904634182685</v>
      </c>
      <c r="O31" s="77">
        <f>County_Flow!AL35</f>
        <v>241.60691402175533</v>
      </c>
      <c r="P31" s="77">
        <f>County_Flow!AM35</f>
        <v>50.694307852779019</v>
      </c>
      <c r="Q31" s="77">
        <f>County_Flow!AN35</f>
        <v>172.57636715839666</v>
      </c>
      <c r="R31" s="77">
        <f>County_Flow!AO35</f>
        <v>49.615705558039039</v>
      </c>
      <c r="S31" s="77">
        <f>County_Flow!AP35</f>
        <v>48.537103263299066</v>
      </c>
      <c r="T31" s="77">
        <f>County_Flow!AQ35</f>
        <v>66.873342273878706</v>
      </c>
      <c r="U31" s="77">
        <f>County_Flow!AR35</f>
        <v>94.917001937118158</v>
      </c>
      <c r="V31" s="77">
        <f>County_Flow!AS35</f>
        <v>38.829682610639253</v>
      </c>
      <c r="W31" s="77">
        <f>County_Flow!AT35</f>
        <v>0</v>
      </c>
      <c r="X31" s="77">
        <f ref="X31:X51" si="13" t="shared">SUM(C31:W31)</f>
        <v>14477.000000000002</v>
      </c>
      <c r="Y31" s="95"/>
      <c r="Z31" s="95">
        <v>2</v>
      </c>
      <c r="AA31" s="77">
        <f>County_Flow!AX35*AA$28</f>
        <v>3207</v>
      </c>
      <c r="AB31" s="77">
        <f>County_Flow!AY35*AB$28</f>
        <v>2008</v>
      </c>
      <c r="AC31" s="77">
        <f>County_Flow!AZ35*AC$28</f>
        <v>595</v>
      </c>
      <c r="AD31" s="77">
        <f>County_Flow!BA35*AD$28</f>
        <v>367</v>
      </c>
      <c r="AE31" s="77">
        <f>County_Flow!BB35*AE$28</f>
        <v>781</v>
      </c>
      <c r="AF31" s="77">
        <f>County_Flow!BC35*AF$28</f>
        <v>2796</v>
      </c>
      <c r="AG31" s="77">
        <f>County_Flow!BD35*AG$28</f>
        <v>1018</v>
      </c>
      <c r="AH31" s="77">
        <f>County_Flow!BE35*AH$28</f>
        <v>33</v>
      </c>
      <c r="AI31" s="77">
        <f>County_Flow!BF35*AI$28</f>
        <v>785</v>
      </c>
      <c r="AJ31" s="77">
        <f>County_Flow!BG35*AJ$28</f>
        <v>141</v>
      </c>
      <c r="AK31" s="77">
        <f>County_Flow!BH35*AK$28</f>
        <v>235</v>
      </c>
      <c r="AL31" s="77">
        <f>County_Flow!BI35*AL$28</f>
        <v>1833</v>
      </c>
      <c r="AM31" s="77">
        <f>County_Flow!BJ35*AM$28</f>
        <v>468</v>
      </c>
      <c r="AN31" s="77">
        <f>County_Flow!BK35*AN$28</f>
        <v>21</v>
      </c>
      <c r="AO31" s="77">
        <f>County_Flow!BL35*AO$28</f>
        <v>110</v>
      </c>
      <c r="AP31" s="77">
        <f>County_Flow!BM35*AP$28</f>
        <v>4</v>
      </c>
      <c r="AQ31" s="77">
        <f>County_Flow!BN35*AQ$28</f>
        <v>12</v>
      </c>
      <c r="AR31" s="77">
        <f>County_Flow!BO35*AR$28</f>
        <v>36</v>
      </c>
      <c r="AS31" s="77">
        <f>County_Flow!BP35*AS$28</f>
        <v>23</v>
      </c>
      <c r="AT31" s="77">
        <f>County_Flow!BQ35*AT$28</f>
        <v>4</v>
      </c>
      <c r="AU31" s="77">
        <f>County_Flow!BR35</f>
        <v>0</v>
      </c>
      <c r="AV31" s="15">
        <f ref="AV31:AV49" si="14" t="shared">SUM(AA31:AU31)</f>
        <v>14477</v>
      </c>
      <c r="AW31" s="139">
        <f ref="AW31:AW49" si="15" t="shared">ABS((AV31-X31)/X31)</f>
        <v>1.2564684696731756E-16</v>
      </c>
      <c r="AY31" s="95">
        <v>2</v>
      </c>
      <c r="AZ31" s="77">
        <f ref="AZ31:AZ49" si="16" t="shared">AA31*$X31/$AV31</f>
        <v>3207.0000000000005</v>
      </c>
      <c r="BA31" s="77">
        <f ref="BA31:BA49" si="17" t="shared">AB31*$X31/$AV31</f>
        <v>2008.0000000000002</v>
      </c>
      <c r="BB31" s="77">
        <f ref="BB31:BB49" si="18" t="shared">AC31*$X31/$AV31</f>
        <v>595.00000000000011</v>
      </c>
      <c r="BC31" s="77">
        <f ref="BC31:BC49" si="19" t="shared">AD31*$X31/$AV31</f>
        <v>367.00000000000006</v>
      </c>
      <c r="BD31" s="77">
        <f ref="BD31:BD49" si="20" t="shared">AE31*$X31/$AV31</f>
        <v>781.00000000000011</v>
      </c>
      <c r="BE31" s="77">
        <f ref="BE31:BE49" si="21" t="shared">AF31*$X31/$AV31</f>
        <v>2796.0000000000005</v>
      </c>
      <c r="BF31" s="77">
        <f ref="BF31:BF49" si="22" t="shared">AG31*$X31/$AV31</f>
        <v>1018.0000000000001</v>
      </c>
      <c r="BG31" s="77">
        <f ref="BG31:BG49" si="23" t="shared">AH31*$X31/$AV31</f>
        <v>33.000000000000007</v>
      </c>
      <c r="BH31" s="77">
        <f ref="BH31:BH49" si="24" t="shared">AI31*$X31/$AV31</f>
        <v>785.00000000000011</v>
      </c>
      <c r="BI31" s="77">
        <f ref="BI31:BI49" si="25" t="shared">AJ31*$X31/$AV31</f>
        <v>141.00000000000003</v>
      </c>
      <c r="BJ31" s="77">
        <f ref="BJ31:BJ49" si="26" t="shared">AK31*$X31/$AV31</f>
        <v>235.00000000000003</v>
      </c>
      <c r="BK31" s="77">
        <f ref="BK31:BK49" si="27" t="shared">AL31*$X31/$AV31</f>
        <v>1833.0000000000002</v>
      </c>
      <c r="BL31" s="77">
        <f ref="BL31:BL49" si="28" t="shared">AM31*$X31/$AV31</f>
        <v>468.00000000000006</v>
      </c>
      <c r="BM31" s="77">
        <f ref="BM31:BM49" si="29" t="shared">AN31*$X31/$AV31</f>
        <v>21.000000000000004</v>
      </c>
      <c r="BN31" s="77">
        <f ref="BN31:BN49" si="30" t="shared">AO31*$X31/$AV31</f>
        <v>110.00000000000001</v>
      </c>
      <c r="BO31" s="77">
        <f ref="BO31:BO49" si="31" t="shared">AP31*$X31/$AV31</f>
        <v>4.0000000000000009</v>
      </c>
      <c r="BP31" s="77">
        <f ref="BP31:BP49" si="32" t="shared">AQ31*$X31/$AV31</f>
        <v>12.000000000000002</v>
      </c>
      <c r="BQ31" s="77">
        <f ref="BQ31:BQ49" si="33" t="shared">AR31*$X31/$AV31</f>
        <v>36.000000000000007</v>
      </c>
      <c r="BR31" s="77">
        <f ref="BR31:BR49" si="34" t="shared">AS31*$X31/$AV31</f>
        <v>23.000000000000004</v>
      </c>
      <c r="BS31" s="77">
        <f ref="BS31:BS49" si="35" t="shared">AT31*$X31/$AV31</f>
        <v>4.0000000000000009</v>
      </c>
      <c r="BT31" s="77">
        <f ref="BT31:BT50" si="36" t="shared">ABS(AU31-W31)</f>
        <v>0</v>
      </c>
      <c r="BU31" s="77">
        <f si="11" t="shared"/>
        <v>14477.000000000002</v>
      </c>
      <c r="BV31" s="95"/>
      <c r="BW31" s="95">
        <v>2</v>
      </c>
      <c r="BX31" s="77">
        <f ref="BX31:BX49" si="37" t="shared">ABS(AZ31-C31)</f>
        <v>1543.7952615109525</v>
      </c>
      <c r="BY31" s="77">
        <f ref="BY31:BY49" si="38" t="shared">ABS(BA31-D31)</f>
        <v>317.83020414245289</v>
      </c>
      <c r="BZ31" s="77">
        <f ref="BZ31:BZ49" si="39" t="shared">ABS(BB31-E31)</f>
        <v>65.104604380867158</v>
      </c>
      <c r="CA31" s="77">
        <f ref="CA31:CA49" si="40" t="shared">ABS(BC31-F31)</f>
        <v>29.925644464312256</v>
      </c>
      <c r="CB31" s="77">
        <f ref="CB31:CB49" si="41" t="shared">ABS(BD31-G31)</f>
        <v>354.95209357770835</v>
      </c>
      <c r="CC31" s="77">
        <f ref="CC31:CC49" si="42" t="shared">ABS(BE31-H31)</f>
        <v>44.485546118313323</v>
      </c>
      <c r="CD31" s="77">
        <f ref="CD31:CD49" si="43" t="shared">ABS(BF31-I31)</f>
        <v>185.72016092981642</v>
      </c>
      <c r="CE31" s="77">
        <f ref="CE31:CE49" si="44" t="shared">ABS(BG31-J31)</f>
        <v>58.681195052898211</v>
      </c>
      <c r="CF31" s="77">
        <f ref="CF31:CF49" si="45" t="shared">ABS(BH31-K31)</f>
        <v>388.51929667709726</v>
      </c>
      <c r="CG31" s="77">
        <f ref="CG31:CG49" si="46" t="shared">ABS(BI31-L31)</f>
        <v>149.14401728505439</v>
      </c>
      <c r="CH31" s="77">
        <f ref="CH31:CH49" si="47" t="shared">ABS(BJ31-M31)</f>
        <v>469.32729846520635</v>
      </c>
      <c r="CI31" s="77">
        <f ref="CI31:CI49" si="48" t="shared">ABS(BK31-N31)</f>
        <v>828.99046341826829</v>
      </c>
      <c r="CJ31" s="77">
        <f ref="CJ31:CJ49" si="49" t="shared">ABS(BL31-O31)</f>
        <v>226.39308597824473</v>
      </c>
      <c r="CK31" s="77">
        <f ref="CK31:CK49" si="50" t="shared">ABS(BM31-P31)</f>
        <v>29.694307852779016</v>
      </c>
      <c r="CL31" s="77">
        <f ref="CL31:CL49" si="51" t="shared">ABS(BN31-Q31)</f>
        <v>62.57636715839665</v>
      </c>
      <c r="CM31" s="77">
        <f ref="CM31:CM49" si="52" t="shared">ABS(BO31-R31)</f>
        <v>45.615705558039039</v>
      </c>
      <c r="CN31" s="77">
        <f ref="CN31:CN49" si="53" t="shared">ABS(BP31-S31)</f>
        <v>36.537103263299066</v>
      </c>
      <c r="CO31" s="77">
        <f ref="CO31:CO49" si="54" t="shared">ABS(BQ31-T31)</f>
        <v>30.873342273878698</v>
      </c>
      <c r="CP31" s="77">
        <f ref="CP31:CP49" si="55" t="shared">ABS(BR31-U31)</f>
        <v>71.917001937118158</v>
      </c>
      <c r="CQ31" s="77">
        <f ref="CQ31:CQ49" si="56" t="shared">ABS(BS31-V31)</f>
        <v>34.829682610639253</v>
      </c>
      <c r="CR31" s="77">
        <f ref="CR31:CR49" si="57" t="shared">ABS(BT31-W31)</f>
        <v>0</v>
      </c>
      <c r="CS31" s="77">
        <f ref="CS31:CS49" si="58" t="shared">ABS(BU31-X31)</f>
        <v>0</v>
      </c>
      <c r="CU31" s="95">
        <v>30</v>
      </c>
      <c r="CV31" s="95">
        <f si="6" t="shared"/>
        <v>2</v>
      </c>
      <c r="CW31" s="95">
        <f si="0" t="shared"/>
        <v>10</v>
      </c>
      <c r="CX31" s="58">
        <f si="1" t="shared"/>
        <v>290.14401728505442</v>
      </c>
      <c r="CY31" s="58">
        <f si="2" t="shared"/>
        <v>141.00000000000003</v>
      </c>
      <c r="CZ31" s="108">
        <f si="3" t="shared"/>
        <v>-149.14401728505439</v>
      </c>
      <c r="DA31" s="78">
        <f si="4" t="shared"/>
        <v>-0.5140344394505526</v>
      </c>
      <c r="DB31" s="95">
        <v>30000</v>
      </c>
    </row>
    <row r="32" spans="2:106" x14ac:dyDescent="0.25">
      <c r="B32" s="95">
        <v>3</v>
      </c>
      <c r="C32" s="77">
        <f>County_Flow!Z36</f>
        <v>3947.2079004745415</v>
      </c>
      <c r="D32" s="77">
        <f>County_Flow!AA36</f>
        <v>1638.6558932922919</v>
      </c>
      <c r="E32" s="77">
        <f>County_Flow!AB36</f>
        <v>2563.265358471207</v>
      </c>
      <c r="F32" s="77">
        <f>County_Flow!AC36</f>
        <v>1146.2100808003079</v>
      </c>
      <c r="G32" s="77">
        <f>County_Flow!AD36</f>
        <v>1054.5132743362831</v>
      </c>
      <c r="H32" s="77">
        <f>County_Flow!AE36</f>
        <v>5735.2956265230214</v>
      </c>
      <c r="I32" s="77">
        <f>County_Flow!AF36</f>
        <v>1500.2616390919584</v>
      </c>
      <c r="J32" s="77">
        <f>County_Flow!AG36</f>
        <v>217.35539309991023</v>
      </c>
      <c r="K32" s="77">
        <f>County_Flow!AH36</f>
        <v>1397.5272540720789</v>
      </c>
      <c r="L32" s="77">
        <f>County_Flow!AI36</f>
        <v>597.7273310247532</v>
      </c>
      <c r="M32" s="77">
        <f>County_Flow!AJ36</f>
        <v>1426.3947672181607</v>
      </c>
      <c r="N32" s="77">
        <f>County_Flow!AK36</f>
        <v>3841.9263819417724</v>
      </c>
      <c r="O32" s="77">
        <f>County_Flow!AL36</f>
        <v>382.07002693343594</v>
      </c>
      <c r="P32" s="77">
        <f>County_Flow!AM36</f>
        <v>150.2808772604848</v>
      </c>
      <c r="Q32" s="77">
        <f>County_Flow!AN36</f>
        <v>259.80761831473643</v>
      </c>
      <c r="R32" s="77">
        <f>County_Flow!AO36</f>
        <v>100.18725150698987</v>
      </c>
      <c r="S32" s="77">
        <f>County_Flow!AP36</f>
        <v>105.28151853276901</v>
      </c>
      <c r="T32" s="77">
        <f>County_Flow!AQ36</f>
        <v>84.904450429652428</v>
      </c>
      <c r="U32" s="77">
        <f>County_Flow!AR36</f>
        <v>268.29806335770166</v>
      </c>
      <c r="V32" s="77">
        <f>County_Flow!AS36</f>
        <v>62.829293317942799</v>
      </c>
      <c r="W32" s="77">
        <f>County_Flow!AT36</f>
        <v>0</v>
      </c>
      <c r="X32" s="77">
        <f si="13" t="shared"/>
        <v>26479.999999999996</v>
      </c>
      <c r="Y32" s="95"/>
      <c r="Z32" s="95">
        <v>3</v>
      </c>
      <c r="AA32" s="77">
        <f>County_Flow!AX36*AA$28</f>
        <v>7404</v>
      </c>
      <c r="AB32" s="77">
        <f>County_Flow!AY36*AB$28</f>
        <v>2048</v>
      </c>
      <c r="AC32" s="77">
        <f>County_Flow!AZ36*AC$28</f>
        <v>2669</v>
      </c>
      <c r="AD32" s="77">
        <f>County_Flow!BA36*AD$28</f>
        <v>892</v>
      </c>
      <c r="AE32" s="77">
        <f>County_Flow!BB36*AE$28</f>
        <v>1734</v>
      </c>
      <c r="AF32" s="77">
        <f>County_Flow!BC36*AF$28</f>
        <v>5171</v>
      </c>
      <c r="AG32" s="77">
        <f>County_Flow!BD36*AG$28</f>
        <v>1003</v>
      </c>
      <c r="AH32" s="77">
        <f>County_Flow!BE36*AH$28</f>
        <v>74</v>
      </c>
      <c r="AI32" s="77">
        <f>County_Flow!BF36*AI$28</f>
        <v>890</v>
      </c>
      <c r="AJ32" s="77">
        <f>County_Flow!BG36*AJ$28</f>
        <v>295</v>
      </c>
      <c r="AK32" s="77">
        <f>County_Flow!BH36*AK$28</f>
        <v>915</v>
      </c>
      <c r="AL32" s="77">
        <f>County_Flow!BI36*AL$28</f>
        <v>2478</v>
      </c>
      <c r="AM32" s="77">
        <f>County_Flow!BJ36*AM$28</f>
        <v>486</v>
      </c>
      <c r="AN32" s="77">
        <f>County_Flow!BK36*AN$28</f>
        <v>73</v>
      </c>
      <c r="AO32" s="77">
        <f>County_Flow!BL36*AO$28</f>
        <v>142</v>
      </c>
      <c r="AP32" s="77">
        <f>County_Flow!BM36*AP$28</f>
        <v>25</v>
      </c>
      <c r="AQ32" s="77">
        <f>County_Flow!BN36*AQ$28</f>
        <v>58</v>
      </c>
      <c r="AR32" s="77">
        <f>County_Flow!BO36*AR$28</f>
        <v>33</v>
      </c>
      <c r="AS32" s="77">
        <f>County_Flow!BP36*AS$28</f>
        <v>86</v>
      </c>
      <c r="AT32" s="77">
        <f>County_Flow!BQ36*AT$28</f>
        <v>4</v>
      </c>
      <c r="AU32" s="77">
        <f>County_Flow!BR36</f>
        <v>0</v>
      </c>
      <c r="AV32" s="15">
        <f si="14" t="shared"/>
        <v>26480</v>
      </c>
      <c r="AW32" s="139">
        <f si="15" t="shared"/>
        <v>1.3738590661222483E-16</v>
      </c>
      <c r="AY32" s="95">
        <v>3</v>
      </c>
      <c r="AZ32" s="77">
        <f si="16" t="shared"/>
        <v>7403.9999999999991</v>
      </c>
      <c r="BA32" s="77">
        <f si="17" t="shared"/>
        <v>2047.9999999999998</v>
      </c>
      <c r="BB32" s="77">
        <f si="18" t="shared"/>
        <v>2668.9999999999995</v>
      </c>
      <c r="BC32" s="77">
        <f si="19" t="shared"/>
        <v>891.99999999999989</v>
      </c>
      <c r="BD32" s="77">
        <f si="20" t="shared"/>
        <v>1733.9999999999998</v>
      </c>
      <c r="BE32" s="77">
        <f si="21" t="shared"/>
        <v>5170.9999999999991</v>
      </c>
      <c r="BF32" s="77">
        <f si="22" t="shared"/>
        <v>1002.9999999999999</v>
      </c>
      <c r="BG32" s="77">
        <f si="23" t="shared"/>
        <v>73.999999999999986</v>
      </c>
      <c r="BH32" s="77">
        <f si="24" t="shared"/>
        <v>889.99999999999989</v>
      </c>
      <c r="BI32" s="77">
        <f si="25" t="shared"/>
        <v>294.99999999999994</v>
      </c>
      <c r="BJ32" s="77">
        <f si="26" t="shared"/>
        <v>914.99999999999989</v>
      </c>
      <c r="BK32" s="77">
        <f si="27" t="shared"/>
        <v>2477.9999999999995</v>
      </c>
      <c r="BL32" s="77">
        <f si="28" t="shared"/>
        <v>485.99999999999994</v>
      </c>
      <c r="BM32" s="77">
        <f si="29" t="shared"/>
        <v>72.999999999999986</v>
      </c>
      <c r="BN32" s="77">
        <f si="30" t="shared"/>
        <v>141.99999999999997</v>
      </c>
      <c r="BO32" s="77">
        <f si="31" t="shared"/>
        <v>24.999999999999996</v>
      </c>
      <c r="BP32" s="77">
        <f si="32" t="shared"/>
        <v>57.999999999999993</v>
      </c>
      <c r="BQ32" s="77">
        <f si="33" t="shared"/>
        <v>32.999999999999993</v>
      </c>
      <c r="BR32" s="77">
        <f si="34" t="shared"/>
        <v>85.999999999999986</v>
      </c>
      <c r="BS32" s="77">
        <f si="35" t="shared"/>
        <v>3.9999999999999996</v>
      </c>
      <c r="BT32" s="77">
        <f si="36" t="shared"/>
        <v>0</v>
      </c>
      <c r="BU32" s="77">
        <f si="11" t="shared"/>
        <v>26479.999999999996</v>
      </c>
      <c r="BV32" s="95"/>
      <c r="BW32" s="95">
        <v>3</v>
      </c>
      <c r="BX32" s="77">
        <f si="37" t="shared"/>
        <v>3456.7920995254576</v>
      </c>
      <c r="BY32" s="77">
        <f si="38" t="shared"/>
        <v>409.34410670770785</v>
      </c>
      <c r="BZ32" s="77">
        <f si="39" t="shared"/>
        <v>105.73464152879251</v>
      </c>
      <c r="CA32" s="77">
        <f si="40" t="shared"/>
        <v>254.21008080030799</v>
      </c>
      <c r="CB32" s="77">
        <f si="41" t="shared"/>
        <v>679.4867256637167</v>
      </c>
      <c r="CC32" s="77">
        <f si="42" t="shared"/>
        <v>564.29562652302229</v>
      </c>
      <c r="CD32" s="77">
        <f si="43" t="shared"/>
        <v>497.2616390919585</v>
      </c>
      <c r="CE32" s="77">
        <f si="44" t="shared"/>
        <v>143.35539309991026</v>
      </c>
      <c r="CF32" s="77">
        <f si="45" t="shared"/>
        <v>507.52725407207902</v>
      </c>
      <c r="CG32" s="77">
        <f si="46" t="shared"/>
        <v>302.72733102475325</v>
      </c>
      <c r="CH32" s="77">
        <f si="47" t="shared"/>
        <v>511.39476721816084</v>
      </c>
      <c r="CI32" s="77">
        <f si="48" t="shared"/>
        <v>1363.9263819417729</v>
      </c>
      <c r="CJ32" s="77">
        <f si="49" t="shared"/>
        <v>103.929973066564</v>
      </c>
      <c r="CK32" s="77">
        <f si="50" t="shared"/>
        <v>77.280877260484814</v>
      </c>
      <c r="CL32" s="77">
        <f si="51" t="shared"/>
        <v>117.80761831473646</v>
      </c>
      <c r="CM32" s="77">
        <f si="52" t="shared"/>
        <v>75.187251506989867</v>
      </c>
      <c r="CN32" s="77">
        <f si="53" t="shared"/>
        <v>47.28151853276902</v>
      </c>
      <c r="CO32" s="77">
        <f si="54" t="shared"/>
        <v>51.904450429652435</v>
      </c>
      <c r="CP32" s="77">
        <f si="55" t="shared"/>
        <v>182.29806335770166</v>
      </c>
      <c r="CQ32" s="77">
        <f si="56" t="shared"/>
        <v>58.829293317942799</v>
      </c>
      <c r="CR32" s="77">
        <f si="57" t="shared"/>
        <v>0</v>
      </c>
      <c r="CS32" s="77">
        <f si="58" t="shared"/>
        <v>0</v>
      </c>
      <c r="CU32" s="95">
        <v>31</v>
      </c>
      <c r="CV32" s="95">
        <f si="6" t="shared"/>
        <v>2</v>
      </c>
      <c r="CW32" s="95">
        <f si="0" t="shared"/>
        <v>11</v>
      </c>
      <c r="CX32" s="58">
        <f si="1" t="shared"/>
        <v>704.32729846520635</v>
      </c>
      <c r="CY32" s="58">
        <f si="2" t="shared"/>
        <v>235.00000000000003</v>
      </c>
      <c r="CZ32" s="108">
        <f si="3" t="shared"/>
        <v>-469.32729846520635</v>
      </c>
      <c r="DA32" s="78">
        <f si="4" t="shared"/>
        <v>-0.66634830069473883</v>
      </c>
      <c r="DB32" s="95">
        <v>31000</v>
      </c>
    </row>
    <row r="33" spans="2:106" x14ac:dyDescent="0.25">
      <c r="B33" s="95">
        <v>4</v>
      </c>
      <c r="C33" s="77">
        <f>County_Flow!Z37</f>
        <v>1032.3490891959798</v>
      </c>
      <c r="D33" s="77">
        <f>County_Flow!AA37</f>
        <v>613.9428391959799</v>
      </c>
      <c r="E33" s="77">
        <f>County_Flow!AB37</f>
        <v>499.0037688442211</v>
      </c>
      <c r="F33" s="77">
        <f>County_Flow!AC37</f>
        <v>693.83951005025119</v>
      </c>
      <c r="G33" s="77">
        <f>County_Flow!AD37</f>
        <v>557.875</v>
      </c>
      <c r="H33" s="77">
        <f>County_Flow!AE37</f>
        <v>1870.5632851758794</v>
      </c>
      <c r="I33" s="77">
        <f>County_Flow!AF37</f>
        <v>560.678391959799</v>
      </c>
      <c r="J33" s="77">
        <f>County_Flow!AG37</f>
        <v>100.92211055276383</v>
      </c>
      <c r="K33" s="77">
        <f>County_Flow!AH37</f>
        <v>534.04616834170849</v>
      </c>
      <c r="L33" s="77">
        <f>County_Flow!AI37</f>
        <v>264.2196922110553</v>
      </c>
      <c r="M33" s="77">
        <f>County_Flow!AJ37</f>
        <v>455.5511934673367</v>
      </c>
      <c r="N33" s="77">
        <f>County_Flow!AK37</f>
        <v>1282.5518216080402</v>
      </c>
      <c r="O33" s="77">
        <f>County_Flow!AL37</f>
        <v>138.0670540201005</v>
      </c>
      <c r="P33" s="77">
        <f>County_Flow!AM37</f>
        <v>51.862751256281406</v>
      </c>
      <c r="Q33" s="77">
        <f>County_Flow!AN37</f>
        <v>79.195822864321613</v>
      </c>
      <c r="R33" s="77">
        <f>County_Flow!AO37</f>
        <v>33.640703517587937</v>
      </c>
      <c r="S33" s="77">
        <f>County_Flow!AP37</f>
        <v>25.931375628140703</v>
      </c>
      <c r="T33" s="77">
        <f>County_Flow!AQ37</f>
        <v>47.657663316582912</v>
      </c>
      <c r="U33" s="77">
        <f>County_Flow!AR37</f>
        <v>67.281407035175874</v>
      </c>
      <c r="V33" s="77">
        <f>County_Flow!AS37</f>
        <v>16.820351758793969</v>
      </c>
      <c r="W33" s="77">
        <f>County_Flow!AT37</f>
        <v>0</v>
      </c>
      <c r="X33" s="77">
        <f si="13" t="shared"/>
        <v>8926</v>
      </c>
      <c r="Y33" s="95"/>
      <c r="Z33" s="95">
        <v>4</v>
      </c>
      <c r="AA33" s="77">
        <f>County_Flow!AX37*AA$28</f>
        <v>2283</v>
      </c>
      <c r="AB33" s="77">
        <f>County_Flow!AY37*AB$28</f>
        <v>609</v>
      </c>
      <c r="AC33" s="77">
        <f>County_Flow!AZ37*AC$28</f>
        <v>533</v>
      </c>
      <c r="AD33" s="77">
        <f>County_Flow!BA37*AD$28</f>
        <v>636</v>
      </c>
      <c r="AE33" s="77">
        <f>County_Flow!BB37*AE$28</f>
        <v>875</v>
      </c>
      <c r="AF33" s="77">
        <f>County_Flow!BC37*AF$28</f>
        <v>1997</v>
      </c>
      <c r="AG33" s="77">
        <f>County_Flow!BD37*AG$28</f>
        <v>268</v>
      </c>
      <c r="AH33" s="77">
        <f>County_Flow!BE37*AH$28</f>
        <v>60</v>
      </c>
      <c r="AI33" s="77">
        <f>County_Flow!BF37*AI$28</f>
        <v>223</v>
      </c>
      <c r="AJ33" s="77">
        <f>County_Flow!BG37*AJ$28</f>
        <v>170</v>
      </c>
      <c r="AK33" s="77">
        <f>County_Flow!BH37*AK$28</f>
        <v>276</v>
      </c>
      <c r="AL33" s="77">
        <f>County_Flow!BI37*AL$28</f>
        <v>750</v>
      </c>
      <c r="AM33" s="77">
        <f>County_Flow!BJ37*AM$28</f>
        <v>123</v>
      </c>
      <c r="AN33" s="77">
        <f>County_Flow!BK37*AN$28</f>
        <v>36</v>
      </c>
      <c r="AO33" s="77">
        <f>County_Flow!BL37*AO$28</f>
        <v>28</v>
      </c>
      <c r="AP33" s="77">
        <f>County_Flow!BM37*AP$28</f>
        <v>13</v>
      </c>
      <c r="AQ33" s="77">
        <f>County_Flow!BN37*AQ$28</f>
        <v>14</v>
      </c>
      <c r="AR33" s="77">
        <f>County_Flow!BO37*AR$28</f>
        <v>9</v>
      </c>
      <c r="AS33" s="77">
        <f>County_Flow!BP37*AS$28</f>
        <v>21</v>
      </c>
      <c r="AT33" s="77">
        <f>County_Flow!BQ37*AT$28</f>
        <v>2</v>
      </c>
      <c r="AU33" s="77">
        <f>County_Flow!BR37</f>
        <v>0</v>
      </c>
      <c r="AV33" s="15">
        <f si="14" t="shared"/>
        <v>8926</v>
      </c>
      <c r="AW33" s="139">
        <f si="15" t="shared"/>
        <v>0</v>
      </c>
      <c r="AY33" s="95">
        <v>4</v>
      </c>
      <c r="AZ33" s="77">
        <f si="16" t="shared"/>
        <v>2283</v>
      </c>
      <c r="BA33" s="77">
        <f si="17" t="shared"/>
        <v>609</v>
      </c>
      <c r="BB33" s="77">
        <f si="18" t="shared"/>
        <v>533</v>
      </c>
      <c r="BC33" s="77">
        <f si="19" t="shared"/>
        <v>636</v>
      </c>
      <c r="BD33" s="77">
        <f si="20" t="shared"/>
        <v>875</v>
      </c>
      <c r="BE33" s="77">
        <f si="21" t="shared"/>
        <v>1997</v>
      </c>
      <c r="BF33" s="77">
        <f si="22" t="shared"/>
        <v>268</v>
      </c>
      <c r="BG33" s="77">
        <f si="23" t="shared"/>
        <v>60</v>
      </c>
      <c r="BH33" s="77">
        <f si="24" t="shared"/>
        <v>223</v>
      </c>
      <c r="BI33" s="77">
        <f si="25" t="shared"/>
        <v>170</v>
      </c>
      <c r="BJ33" s="77">
        <f si="26" t="shared"/>
        <v>276</v>
      </c>
      <c r="BK33" s="77">
        <f si="27" t="shared"/>
        <v>750</v>
      </c>
      <c r="BL33" s="77">
        <f si="28" t="shared"/>
        <v>123</v>
      </c>
      <c r="BM33" s="77">
        <f si="29" t="shared"/>
        <v>36</v>
      </c>
      <c r="BN33" s="77">
        <f si="30" t="shared"/>
        <v>28</v>
      </c>
      <c r="BO33" s="77">
        <f si="31" t="shared"/>
        <v>13</v>
      </c>
      <c r="BP33" s="77">
        <f si="32" t="shared"/>
        <v>14</v>
      </c>
      <c r="BQ33" s="77">
        <f si="33" t="shared"/>
        <v>9</v>
      </c>
      <c r="BR33" s="77">
        <f si="34" t="shared"/>
        <v>21</v>
      </c>
      <c r="BS33" s="77">
        <f si="35" t="shared"/>
        <v>2</v>
      </c>
      <c r="BT33" s="77">
        <f si="36" t="shared"/>
        <v>0</v>
      </c>
      <c r="BU33" s="77">
        <f si="11" t="shared"/>
        <v>8926</v>
      </c>
      <c r="BV33" s="95"/>
      <c r="BW33" s="95">
        <v>4</v>
      </c>
      <c r="BX33" s="77">
        <f si="37" t="shared"/>
        <v>1250.6509108040202</v>
      </c>
      <c r="BY33" s="77">
        <f si="38" t="shared"/>
        <v>4.9428391959799001</v>
      </c>
      <c r="BZ33" s="77">
        <f si="39" t="shared"/>
        <v>33.996231155778901</v>
      </c>
      <c r="CA33" s="77">
        <f si="40" t="shared"/>
        <v>57.839510050251192</v>
      </c>
      <c r="CB33" s="77">
        <f si="41" t="shared"/>
        <v>317.125</v>
      </c>
      <c r="CC33" s="77">
        <f si="42" t="shared"/>
        <v>126.4367148241206</v>
      </c>
      <c r="CD33" s="77">
        <f si="43" t="shared"/>
        <v>292.678391959799</v>
      </c>
      <c r="CE33" s="77">
        <f si="44" t="shared"/>
        <v>40.922110552763826</v>
      </c>
      <c r="CF33" s="77">
        <f si="45" t="shared"/>
        <v>311.04616834170849</v>
      </c>
      <c r="CG33" s="77">
        <f si="46" t="shared"/>
        <v>94.219692211055303</v>
      </c>
      <c r="CH33" s="77">
        <f si="47" t="shared"/>
        <v>179.5511934673367</v>
      </c>
      <c r="CI33" s="77">
        <f si="48" t="shared"/>
        <v>532.5518216080402</v>
      </c>
      <c r="CJ33" s="77">
        <f si="49" t="shared"/>
        <v>15.0670540201005</v>
      </c>
      <c r="CK33" s="77">
        <f si="50" t="shared"/>
        <v>15.862751256281406</v>
      </c>
      <c r="CL33" s="77">
        <f si="51" t="shared"/>
        <v>51.195822864321613</v>
      </c>
      <c r="CM33" s="77">
        <f si="52" t="shared"/>
        <v>20.640703517587937</v>
      </c>
      <c r="CN33" s="77">
        <f si="53" t="shared"/>
        <v>11.931375628140703</v>
      </c>
      <c r="CO33" s="77">
        <f si="54" t="shared"/>
        <v>38.657663316582912</v>
      </c>
      <c r="CP33" s="77">
        <f si="55" t="shared"/>
        <v>46.281407035175874</v>
      </c>
      <c r="CQ33" s="77">
        <f si="56" t="shared"/>
        <v>14.820351758793969</v>
      </c>
      <c r="CR33" s="77">
        <f si="57" t="shared"/>
        <v>0</v>
      </c>
      <c r="CS33" s="77">
        <f si="58" t="shared"/>
        <v>0</v>
      </c>
      <c r="CU33" s="95">
        <v>32</v>
      </c>
      <c r="CV33" s="95">
        <f si="6" t="shared"/>
        <v>2</v>
      </c>
      <c r="CW33" s="95">
        <f si="0" t="shared"/>
        <v>12</v>
      </c>
      <c r="CX33" s="58">
        <f si="1" t="shared"/>
        <v>2661.9904634182685</v>
      </c>
      <c r="CY33" s="58">
        <f si="2" t="shared"/>
        <v>1833.0000000000002</v>
      </c>
      <c r="CZ33" s="108">
        <f si="3" t="shared"/>
        <v>-828.99046341826829</v>
      </c>
      <c r="DA33" s="78">
        <f si="4" t="shared"/>
        <v>-0.31141751813556823</v>
      </c>
      <c r="DB33" s="95">
        <v>32000</v>
      </c>
    </row>
    <row r="34" spans="2:106" x14ac:dyDescent="0.25">
      <c r="B34" s="95">
        <v>5</v>
      </c>
      <c r="C34" s="77">
        <f>County_Flow!Z38</f>
        <v>1171.006419939577</v>
      </c>
      <c r="D34" s="77">
        <f>County_Flow!AA38</f>
        <v>448.21280211480359</v>
      </c>
      <c r="E34" s="77">
        <f>County_Flow!AB38</f>
        <v>317.38311933534743</v>
      </c>
      <c r="F34" s="77">
        <f>County_Flow!AC38</f>
        <v>373.10687311178248</v>
      </c>
      <c r="G34" s="77">
        <f>County_Flow!AD38</f>
        <v>637.18901057401808</v>
      </c>
      <c r="H34" s="77">
        <f>County_Flow!AE38</f>
        <v>2086.8141993957702</v>
      </c>
      <c r="I34" s="77">
        <f>County_Flow!AF38</f>
        <v>415.90917673716012</v>
      </c>
      <c r="J34" s="77">
        <f>County_Flow!AG38</f>
        <v>70.260385196374614</v>
      </c>
      <c r="K34" s="77">
        <f>County_Flow!AH38</f>
        <v>360.18542296072508</v>
      </c>
      <c r="L34" s="77">
        <f>County_Flow!AI38</f>
        <v>304.46166918429003</v>
      </c>
      <c r="M34" s="77">
        <f>County_Flow!AJ38</f>
        <v>306.0768504531722</v>
      </c>
      <c r="N34" s="77">
        <f>County_Flow!AK38</f>
        <v>1632.9482628398794</v>
      </c>
      <c r="O34" s="77">
        <f>County_Flow!AL38</f>
        <v>142.94354229607251</v>
      </c>
      <c r="P34" s="77">
        <f>County_Flow!AM38</f>
        <v>46.840256797583088</v>
      </c>
      <c r="Q34" s="77">
        <f>County_Flow!AN38</f>
        <v>60.569297583081571</v>
      </c>
      <c r="R34" s="77">
        <f>County_Flow!AO38</f>
        <v>47.647847432024165</v>
      </c>
      <c r="S34" s="77">
        <f>County_Flow!AP38</f>
        <v>28.265672205438065</v>
      </c>
      <c r="T34" s="77">
        <f>County_Flow!AQ38</f>
        <v>40.379531722054381</v>
      </c>
      <c r="U34" s="77">
        <f>County_Flow!AR38</f>
        <v>47.647847432024165</v>
      </c>
      <c r="V34" s="77">
        <f>County_Flow!AS38</f>
        <v>16.151812688821753</v>
      </c>
      <c r="W34" s="77">
        <f>County_Flow!AT38</f>
        <v>0</v>
      </c>
      <c r="X34" s="77">
        <f si="13" t="shared"/>
        <v>8554</v>
      </c>
      <c r="Y34" s="95"/>
      <c r="Z34" s="95">
        <v>5</v>
      </c>
      <c r="AA34" s="77">
        <f>County_Flow!AX38*AA$28</f>
        <v>2031</v>
      </c>
      <c r="AB34" s="77">
        <f>County_Flow!AY38*AB$28</f>
        <v>492</v>
      </c>
      <c r="AC34" s="77">
        <f>County_Flow!AZ38*AC$28</f>
        <v>286</v>
      </c>
      <c r="AD34" s="77">
        <f>County_Flow!BA38*AD$28</f>
        <v>315</v>
      </c>
      <c r="AE34" s="77">
        <f>County_Flow!BB38*AE$28</f>
        <v>1301</v>
      </c>
      <c r="AF34" s="77">
        <f>County_Flow!BC38*AF$28</f>
        <v>2368</v>
      </c>
      <c r="AG34" s="77">
        <f>County_Flow!BD38*AG$28</f>
        <v>201</v>
      </c>
      <c r="AH34" s="77">
        <f>County_Flow!BE38*AH$28</f>
        <v>31</v>
      </c>
      <c r="AI34" s="77">
        <f>County_Flow!BF38*AI$28</f>
        <v>161</v>
      </c>
      <c r="AJ34" s="77">
        <f>County_Flow!BG38*AJ$28</f>
        <v>212</v>
      </c>
      <c r="AK34" s="77">
        <f>County_Flow!BH38*AK$28</f>
        <v>142</v>
      </c>
      <c r="AL34" s="77">
        <f>County_Flow!BI38*AL$28</f>
        <v>827</v>
      </c>
      <c r="AM34" s="77">
        <f>County_Flow!BJ38*AM$28</f>
        <v>96</v>
      </c>
      <c r="AN34" s="77">
        <f>County_Flow!BK38*AN$28</f>
        <v>17</v>
      </c>
      <c r="AO34" s="77">
        <f>County_Flow!BL38*AO$28</f>
        <v>22</v>
      </c>
      <c r="AP34" s="77">
        <f>County_Flow!BM38*AP$28</f>
        <v>17</v>
      </c>
      <c r="AQ34" s="77">
        <f>County_Flow!BN38*AQ$28</f>
        <v>8</v>
      </c>
      <c r="AR34" s="77">
        <f>County_Flow!BO38*AR$28</f>
        <v>7</v>
      </c>
      <c r="AS34" s="77">
        <f>County_Flow!BP38*AS$28</f>
        <v>16</v>
      </c>
      <c r="AT34" s="77">
        <f>County_Flow!BQ38*AT$28</f>
        <v>4</v>
      </c>
      <c r="AU34" s="77">
        <f>County_Flow!BR38</f>
        <v>0</v>
      </c>
      <c r="AV34" s="15">
        <f si="14" t="shared"/>
        <v>8554</v>
      </c>
      <c r="AW34" s="139">
        <f si="15" t="shared"/>
        <v>0</v>
      </c>
      <c r="AY34" s="95">
        <v>5</v>
      </c>
      <c r="AZ34" s="77">
        <f si="16" t="shared"/>
        <v>2031</v>
      </c>
      <c r="BA34" s="77">
        <f si="17" t="shared"/>
        <v>492</v>
      </c>
      <c r="BB34" s="77">
        <f si="18" t="shared"/>
        <v>286</v>
      </c>
      <c r="BC34" s="77">
        <f si="19" t="shared"/>
        <v>315</v>
      </c>
      <c r="BD34" s="77">
        <f si="20" t="shared"/>
        <v>1301</v>
      </c>
      <c r="BE34" s="77">
        <f si="21" t="shared"/>
        <v>2368</v>
      </c>
      <c r="BF34" s="77">
        <f si="22" t="shared"/>
        <v>201</v>
      </c>
      <c r="BG34" s="77">
        <f si="23" t="shared"/>
        <v>31</v>
      </c>
      <c r="BH34" s="77">
        <f si="24" t="shared"/>
        <v>161</v>
      </c>
      <c r="BI34" s="77">
        <f si="25" t="shared"/>
        <v>212</v>
      </c>
      <c r="BJ34" s="77">
        <f si="26" t="shared"/>
        <v>142</v>
      </c>
      <c r="BK34" s="77">
        <f si="27" t="shared"/>
        <v>827</v>
      </c>
      <c r="BL34" s="77">
        <f si="28" t="shared"/>
        <v>96</v>
      </c>
      <c r="BM34" s="77">
        <f si="29" t="shared"/>
        <v>17</v>
      </c>
      <c r="BN34" s="77">
        <f si="30" t="shared"/>
        <v>22</v>
      </c>
      <c r="BO34" s="77">
        <f si="31" t="shared"/>
        <v>17</v>
      </c>
      <c r="BP34" s="77">
        <f si="32" t="shared"/>
        <v>8</v>
      </c>
      <c r="BQ34" s="77">
        <f si="33" t="shared"/>
        <v>7</v>
      </c>
      <c r="BR34" s="77">
        <f si="34" t="shared"/>
        <v>16</v>
      </c>
      <c r="BS34" s="77">
        <f si="35" t="shared"/>
        <v>4</v>
      </c>
      <c r="BT34" s="77">
        <f si="36" t="shared"/>
        <v>0</v>
      </c>
      <c r="BU34" s="77">
        <f si="11" t="shared"/>
        <v>8554</v>
      </c>
      <c r="BV34" s="95"/>
      <c r="BW34" s="95">
        <v>5</v>
      </c>
      <c r="BX34" s="77">
        <f si="37" t="shared"/>
        <v>859.99358006042303</v>
      </c>
      <c r="BY34" s="77">
        <f si="38" t="shared"/>
        <v>43.787197885196406</v>
      </c>
      <c r="BZ34" s="77">
        <f si="39" t="shared"/>
        <v>31.38311933534743</v>
      </c>
      <c r="CA34" s="77">
        <f si="40" t="shared"/>
        <v>58.106873111782477</v>
      </c>
      <c r="CB34" s="77">
        <f si="41" t="shared"/>
        <v>663.81098942598192</v>
      </c>
      <c r="CC34" s="77">
        <f si="42" t="shared"/>
        <v>281.18580060422983</v>
      </c>
      <c r="CD34" s="77">
        <f si="43" t="shared"/>
        <v>214.90917673716012</v>
      </c>
      <c r="CE34" s="77">
        <f si="44" t="shared"/>
        <v>39.260385196374614</v>
      </c>
      <c r="CF34" s="77">
        <f si="45" t="shared"/>
        <v>199.18542296072508</v>
      </c>
      <c r="CG34" s="77">
        <f si="46" t="shared"/>
        <v>92.461669184290031</v>
      </c>
      <c r="CH34" s="77">
        <f si="47" t="shared"/>
        <v>164.0768504531722</v>
      </c>
      <c r="CI34" s="77">
        <f si="48" t="shared"/>
        <v>805.94826283987936</v>
      </c>
      <c r="CJ34" s="77">
        <f si="49" t="shared"/>
        <v>46.943542296072508</v>
      </c>
      <c r="CK34" s="77">
        <f si="50" t="shared"/>
        <v>29.840256797583088</v>
      </c>
      <c r="CL34" s="77">
        <f si="51" t="shared"/>
        <v>38.569297583081571</v>
      </c>
      <c r="CM34" s="77">
        <f si="52" t="shared"/>
        <v>30.647847432024165</v>
      </c>
      <c r="CN34" s="77">
        <f si="53" t="shared"/>
        <v>20.265672205438065</v>
      </c>
      <c r="CO34" s="77">
        <f si="54" t="shared"/>
        <v>33.379531722054381</v>
      </c>
      <c r="CP34" s="77">
        <f si="55" t="shared"/>
        <v>31.647847432024165</v>
      </c>
      <c r="CQ34" s="77">
        <f si="56" t="shared"/>
        <v>12.151812688821753</v>
      </c>
      <c r="CR34" s="77">
        <f si="57" t="shared"/>
        <v>0</v>
      </c>
      <c r="CS34" s="77">
        <f si="58" t="shared"/>
        <v>0</v>
      </c>
      <c r="CU34" s="95">
        <v>33</v>
      </c>
      <c r="CV34" s="95">
        <f si="6" t="shared"/>
        <v>2</v>
      </c>
      <c r="CW34" s="95">
        <f si="0" t="shared"/>
        <v>13</v>
      </c>
      <c r="CX34" s="58">
        <f si="1" t="shared"/>
        <v>241.60691402175533</v>
      </c>
      <c r="CY34" s="58">
        <f si="2" t="shared"/>
        <v>468.00000000000006</v>
      </c>
      <c r="CZ34" s="108">
        <f si="3" t="shared"/>
        <v>226.39308597824473</v>
      </c>
      <c r="DA34" s="78">
        <f si="4" t="shared"/>
        <v>0.93703065946970088</v>
      </c>
      <c r="DB34" s="95">
        <v>33000</v>
      </c>
    </row>
    <row r="35" spans="2:106" x14ac:dyDescent="0.25">
      <c r="B35" s="95">
        <v>6</v>
      </c>
      <c r="C35" s="77">
        <f>County_Flow!Z39</f>
        <v>3451.8631993621912</v>
      </c>
      <c r="D35" s="77">
        <f>County_Flow!AA39</f>
        <v>1003.268489424565</v>
      </c>
      <c r="E35" s="77">
        <f>County_Flow!AB39</f>
        <v>656.53318013412752</v>
      </c>
      <c r="F35" s="77">
        <f>County_Flow!AC39</f>
        <v>660.1077709515547</v>
      </c>
      <c r="G35" s="77">
        <f>County_Flow!AD39</f>
        <v>918.66984007878818</v>
      </c>
      <c r="H35" s="77">
        <f>County_Flow!AE39</f>
        <v>8548.0381747408901</v>
      </c>
      <c r="I35" s="77">
        <f>County_Flow!AF39</f>
        <v>1135.5283496693712</v>
      </c>
      <c r="J35" s="77">
        <f>County_Flow!AG39</f>
        <v>73.874876893495284</v>
      </c>
      <c r="K35" s="77">
        <f>County_Flow!AH39</f>
        <v>927.01055198611834</v>
      </c>
      <c r="L35" s="77">
        <f>County_Flow!AI39</f>
        <v>619.59574168737981</v>
      </c>
      <c r="M35" s="77">
        <f>County_Flow!AJ39</f>
        <v>574.31759133330206</v>
      </c>
      <c r="N35" s="77">
        <f>County_Flow!AK39</f>
        <v>5537.0411761947189</v>
      </c>
      <c r="O35" s="77">
        <f>County_Flow!AL39</f>
        <v>461.12221544810768</v>
      </c>
      <c r="P35" s="77">
        <f>County_Flow!AM39</f>
        <v>91.74783098063125</v>
      </c>
      <c r="Q35" s="77">
        <f>County_Flow!AN39</f>
        <v>194.21943441354406</v>
      </c>
      <c r="R35" s="77">
        <f>County_Flow!AO39</f>
        <v>135.83445106223328</v>
      </c>
      <c r="S35" s="77">
        <f>County_Flow!AP39</f>
        <v>52.427331988932139</v>
      </c>
      <c r="T35" s="77">
        <f>County_Flow!AQ39</f>
        <v>133.45139051728182</v>
      </c>
      <c r="U35" s="77">
        <f>County_Flow!AR39</f>
        <v>175.15495005393237</v>
      </c>
      <c r="V35" s="77">
        <f>County_Flow!AS39</f>
        <v>57.193453078835063</v>
      </c>
      <c r="W35" s="77">
        <f>County_Flow!AT39</f>
        <v>0</v>
      </c>
      <c r="X35" s="77">
        <f si="13" t="shared"/>
        <v>25407</v>
      </c>
      <c r="Y35" s="95"/>
      <c r="Z35" s="95">
        <v>6</v>
      </c>
      <c r="AA35" s="77">
        <f>County_Flow!AX39*AA$28</f>
        <v>5957</v>
      </c>
      <c r="AB35" s="77">
        <f>County_Flow!AY39*AB$28</f>
        <v>1560</v>
      </c>
      <c r="AC35" s="77">
        <f>County_Flow!AZ39*AC$28</f>
        <v>712</v>
      </c>
      <c r="AD35" s="77">
        <f>County_Flow!BA39*AD$28</f>
        <v>552</v>
      </c>
      <c r="AE35" s="77">
        <f>County_Flow!BB39*AE$28</f>
        <v>1834</v>
      </c>
      <c r="AF35" s="77">
        <f>County_Flow!BC39*AF$28</f>
        <v>9282</v>
      </c>
      <c r="AG35" s="77">
        <f>County_Flow!BD39*AG$28</f>
        <v>765</v>
      </c>
      <c r="AH35" s="77">
        <f>County_Flow!BE39*AH$28</f>
        <v>62</v>
      </c>
      <c r="AI35" s="77">
        <f>County_Flow!BF39*AI$28</f>
        <v>531</v>
      </c>
      <c r="AJ35" s="77">
        <f>County_Flow!BG39*AJ$28</f>
        <v>379</v>
      </c>
      <c r="AK35" s="77">
        <f>County_Flow!BH39*AK$28</f>
        <v>297</v>
      </c>
      <c r="AL35" s="77">
        <f>County_Flow!BI39*AL$28</f>
        <v>2835</v>
      </c>
      <c r="AM35" s="77">
        <f>County_Flow!BJ39*AM$28</f>
        <v>425</v>
      </c>
      <c r="AN35" s="77">
        <f>County_Flow!BK39*AN$28</f>
        <v>31</v>
      </c>
      <c r="AO35" s="77">
        <f>County_Flow!BL39*AO$28</f>
        <v>84</v>
      </c>
      <c r="AP35" s="77">
        <f>County_Flow!BM39*AP$28</f>
        <v>20</v>
      </c>
      <c r="AQ35" s="77">
        <f>County_Flow!BN39*AQ$28</f>
        <v>12</v>
      </c>
      <c r="AR35" s="77">
        <f>County_Flow!BO39*AR$28</f>
        <v>40</v>
      </c>
      <c r="AS35" s="77">
        <f>County_Flow!BP39*AS$28</f>
        <v>25</v>
      </c>
      <c r="AT35" s="77">
        <f>County_Flow!BQ39*AT$28</f>
        <v>4</v>
      </c>
      <c r="AU35" s="77">
        <f>County_Flow!BR39</f>
        <v>0</v>
      </c>
      <c r="AV35" s="15">
        <f si="14" t="shared"/>
        <v>25407</v>
      </c>
      <c r="AW35" s="139">
        <f si="15" t="shared"/>
        <v>0</v>
      </c>
      <c r="AY35" s="95">
        <v>6</v>
      </c>
      <c r="AZ35" s="77">
        <f si="16" t="shared"/>
        <v>5957</v>
      </c>
      <c r="BA35" s="77">
        <f si="17" t="shared"/>
        <v>1560</v>
      </c>
      <c r="BB35" s="77">
        <f si="18" t="shared"/>
        <v>712</v>
      </c>
      <c r="BC35" s="77">
        <f si="19" t="shared"/>
        <v>552</v>
      </c>
      <c r="BD35" s="77">
        <f si="20" t="shared"/>
        <v>1834</v>
      </c>
      <c r="BE35" s="77">
        <f si="21" t="shared"/>
        <v>9282</v>
      </c>
      <c r="BF35" s="77">
        <f si="22" t="shared"/>
        <v>765</v>
      </c>
      <c r="BG35" s="77">
        <f si="23" t="shared"/>
        <v>62</v>
      </c>
      <c r="BH35" s="77">
        <f si="24" t="shared"/>
        <v>531</v>
      </c>
      <c r="BI35" s="77">
        <f si="25" t="shared"/>
        <v>379</v>
      </c>
      <c r="BJ35" s="77">
        <f si="26" t="shared"/>
        <v>297</v>
      </c>
      <c r="BK35" s="77">
        <f si="27" t="shared"/>
        <v>2835</v>
      </c>
      <c r="BL35" s="77">
        <f si="28" t="shared"/>
        <v>425</v>
      </c>
      <c r="BM35" s="77">
        <f si="29" t="shared"/>
        <v>31</v>
      </c>
      <c r="BN35" s="77">
        <f si="30" t="shared"/>
        <v>84</v>
      </c>
      <c r="BO35" s="77">
        <f si="31" t="shared"/>
        <v>20</v>
      </c>
      <c r="BP35" s="77">
        <f si="32" t="shared"/>
        <v>12</v>
      </c>
      <c r="BQ35" s="77">
        <f si="33" t="shared"/>
        <v>40</v>
      </c>
      <c r="BR35" s="77">
        <f si="34" t="shared"/>
        <v>25</v>
      </c>
      <c r="BS35" s="77">
        <f si="35" t="shared"/>
        <v>4</v>
      </c>
      <c r="BT35" s="77">
        <f si="36" t="shared"/>
        <v>0</v>
      </c>
      <c r="BU35" s="77">
        <f si="11" t="shared"/>
        <v>25407</v>
      </c>
      <c r="BV35" s="95"/>
      <c r="BW35" s="95">
        <v>6</v>
      </c>
      <c r="BX35" s="77">
        <f si="37" t="shared"/>
        <v>2505.1368006378088</v>
      </c>
      <c r="BY35" s="77">
        <f si="38" t="shared"/>
        <v>556.73151057543498</v>
      </c>
      <c r="BZ35" s="77">
        <f si="39" t="shared"/>
        <v>55.46681986587248</v>
      </c>
      <c r="CA35" s="77">
        <f si="40" t="shared"/>
        <v>108.1077709515547</v>
      </c>
      <c r="CB35" s="77">
        <f si="41" t="shared"/>
        <v>915.33015992121182</v>
      </c>
      <c r="CC35" s="77">
        <f si="42" t="shared"/>
        <v>733.9618252591099</v>
      </c>
      <c r="CD35" s="77">
        <f si="43" t="shared"/>
        <v>370.52834966937121</v>
      </c>
      <c r="CE35" s="77">
        <f si="44" t="shared"/>
        <v>11.874876893495284</v>
      </c>
      <c r="CF35" s="77">
        <f si="45" t="shared"/>
        <v>396.01055198611834</v>
      </c>
      <c r="CG35" s="77">
        <f si="46" t="shared"/>
        <v>240.59574168737981</v>
      </c>
      <c r="CH35" s="77">
        <f si="47" t="shared"/>
        <v>277.31759133330206</v>
      </c>
      <c r="CI35" s="77">
        <f si="48" t="shared"/>
        <v>2702.0411761947189</v>
      </c>
      <c r="CJ35" s="77">
        <f si="49" t="shared"/>
        <v>36.122215448107681</v>
      </c>
      <c r="CK35" s="77">
        <f si="50" t="shared"/>
        <v>60.74783098063125</v>
      </c>
      <c r="CL35" s="77">
        <f si="51" t="shared"/>
        <v>110.21943441354406</v>
      </c>
      <c r="CM35" s="77">
        <f si="52" t="shared"/>
        <v>115.83445106223328</v>
      </c>
      <c r="CN35" s="77">
        <f si="53" t="shared"/>
        <v>40.427331988932139</v>
      </c>
      <c r="CO35" s="77">
        <f si="54" t="shared"/>
        <v>93.451390517281823</v>
      </c>
      <c r="CP35" s="77">
        <f si="55" t="shared"/>
        <v>150.15495005393237</v>
      </c>
      <c r="CQ35" s="77">
        <f si="56" t="shared"/>
        <v>53.193453078835063</v>
      </c>
      <c r="CR35" s="77">
        <f si="57" t="shared"/>
        <v>0</v>
      </c>
      <c r="CS35" s="77">
        <f si="58" t="shared"/>
        <v>0</v>
      </c>
      <c r="CU35" s="95">
        <v>34</v>
      </c>
      <c r="CV35" s="95">
        <f si="6" t="shared"/>
        <v>2</v>
      </c>
      <c r="CW35" s="95">
        <f si="0" t="shared"/>
        <v>14</v>
      </c>
      <c r="CX35" s="58">
        <f si="1" t="shared"/>
        <v>50.694307852779019</v>
      </c>
      <c r="CY35" s="58">
        <f si="2" t="shared"/>
        <v>21.000000000000004</v>
      </c>
      <c r="CZ35" s="108">
        <f si="3" t="shared"/>
        <v>-29.694307852779016</v>
      </c>
      <c r="DA35" s="78">
        <f si="4" t="shared"/>
        <v>-0.5857523085040246</v>
      </c>
      <c r="DB35" s="95">
        <v>34000</v>
      </c>
    </row>
    <row r="36" spans="2:106" x14ac:dyDescent="0.25">
      <c r="B36" s="95">
        <v>7</v>
      </c>
      <c r="C36" s="77">
        <f>County_Flow!Z40</f>
        <v>5069.2693150176356</v>
      </c>
      <c r="D36" s="77">
        <f>County_Flow!AA40</f>
        <v>5147.7439391126782</v>
      </c>
      <c r="E36" s="77">
        <f>County_Flow!AB40</f>
        <v>2271.9360683126047</v>
      </c>
      <c r="F36" s="77">
        <f>County_Flow!AC40</f>
        <v>1790.5612400222758</v>
      </c>
      <c r="G36" s="77">
        <f>County_Flow!AD40</f>
        <v>1642.2250603304251</v>
      </c>
      <c r="H36" s="77">
        <f>County_Flow!AE40</f>
        <v>9986.3744198997574</v>
      </c>
      <c r="I36" s="77">
        <f>County_Flow!AF40</f>
        <v>17574.487766846112</v>
      </c>
      <c r="J36" s="77">
        <f>County_Flow!AG40</f>
        <v>319.64054204566548</v>
      </c>
      <c r="K36" s="77">
        <f>County_Flow!AH40</f>
        <v>5097.97954334509</v>
      </c>
      <c r="L36" s="77">
        <f>County_Flow!AI40</f>
        <v>1246.0239094115464</v>
      </c>
      <c r="M36" s="77">
        <f>County_Flow!AJ40</f>
        <v>2577.2214961945424</v>
      </c>
      <c r="N36" s="77">
        <f>County_Flow!AK40</f>
        <v>15574.341860033413</v>
      </c>
      <c r="O36" s="77">
        <f>County_Flow!AL40</f>
        <v>5368.8126972340824</v>
      </c>
      <c r="P36" s="77">
        <f>County_Flow!AM40</f>
        <v>247.86497122702801</v>
      </c>
      <c r="Q36" s="77">
        <f>County_Flow!AN40</f>
        <v>1561.836421013551</v>
      </c>
      <c r="R36" s="77">
        <f>County_Flow!AO40</f>
        <v>200.01459068126971</v>
      </c>
      <c r="S36" s="77">
        <f>County_Flow!AP40</f>
        <v>189.48750696120288</v>
      </c>
      <c r="T36" s="77">
        <f>County_Flow!AQ40</f>
        <v>726.36877668461113</v>
      </c>
      <c r="U36" s="77">
        <f>County_Flow!AR40</f>
        <v>454.57861518470395</v>
      </c>
      <c r="V36" s="77">
        <f>County_Flow!AS40</f>
        <v>284.23126044180435</v>
      </c>
      <c r="W36" s="77">
        <f>County_Flow!AT40</f>
        <v>0</v>
      </c>
      <c r="X36" s="77">
        <f si="13" t="shared"/>
        <v>77331</v>
      </c>
      <c r="Y36" s="95"/>
      <c r="Z36" s="95">
        <v>7</v>
      </c>
      <c r="AA36" s="77">
        <f>County_Flow!AX40*AA$28</f>
        <v>10750</v>
      </c>
      <c r="AB36" s="77">
        <f>County_Flow!AY40*AB$28</f>
        <v>5557</v>
      </c>
      <c r="AC36" s="77">
        <f>County_Flow!AZ40*AC$28</f>
        <v>1907</v>
      </c>
      <c r="AD36" s="77">
        <f>County_Flow!BA40*AD$28</f>
        <v>1005</v>
      </c>
      <c r="AE36" s="77">
        <f>County_Flow!BB40*AE$28</f>
        <v>2579</v>
      </c>
      <c r="AF36" s="77">
        <f>County_Flow!BC40*AF$28</f>
        <v>9737</v>
      </c>
      <c r="AG36" s="77">
        <f>County_Flow!BD40*AG$28</f>
        <v>13358</v>
      </c>
      <c r="AH36" s="77">
        <f>County_Flow!BE40*AH$28</f>
        <v>86</v>
      </c>
      <c r="AI36" s="77">
        <f>County_Flow!BF40*AI$28</f>
        <v>3513</v>
      </c>
      <c r="AJ36" s="77">
        <f>County_Flow!BG40*AJ$28</f>
        <v>482</v>
      </c>
      <c r="AK36" s="77">
        <f>County_Flow!BH40*AK$28</f>
        <v>672</v>
      </c>
      <c r="AL36" s="77">
        <f>County_Flow!BI40*AL$28</f>
        <v>11773</v>
      </c>
      <c r="AM36" s="77">
        <f>County_Flow!BJ40*AM$28</f>
        <v>14128</v>
      </c>
      <c r="AN36" s="77">
        <f>County_Flow!BK40*AN$28</f>
        <v>71</v>
      </c>
      <c r="AO36" s="77">
        <f>County_Flow!BL40*AO$28</f>
        <v>1121</v>
      </c>
      <c r="AP36" s="77">
        <f>County_Flow!BM40*AP$28</f>
        <v>29</v>
      </c>
      <c r="AQ36" s="77">
        <f>County_Flow!BN40*AQ$28</f>
        <v>44</v>
      </c>
      <c r="AR36" s="77">
        <f>County_Flow!BO40*AR$28</f>
        <v>388</v>
      </c>
      <c r="AS36" s="77">
        <f>County_Flow!BP40*AS$28</f>
        <v>111</v>
      </c>
      <c r="AT36" s="77">
        <f>County_Flow!BQ40*AT$28</f>
        <v>20</v>
      </c>
      <c r="AU36" s="77">
        <f>County_Flow!BR40</f>
        <v>0</v>
      </c>
      <c r="AV36" s="15">
        <f si="14" t="shared"/>
        <v>77331</v>
      </c>
      <c r="AW36" s="139">
        <f si="15" t="shared"/>
        <v>0</v>
      </c>
      <c r="AY36" s="95">
        <v>7</v>
      </c>
      <c r="AZ36" s="77">
        <f si="16" t="shared"/>
        <v>10750</v>
      </c>
      <c r="BA36" s="77">
        <f si="17" t="shared"/>
        <v>5557</v>
      </c>
      <c r="BB36" s="77">
        <f si="18" t="shared"/>
        <v>1907</v>
      </c>
      <c r="BC36" s="77">
        <f si="19" t="shared"/>
        <v>1005</v>
      </c>
      <c r="BD36" s="77">
        <f si="20" t="shared"/>
        <v>2579</v>
      </c>
      <c r="BE36" s="77">
        <f si="21" t="shared"/>
        <v>9737</v>
      </c>
      <c r="BF36" s="77">
        <f si="22" t="shared"/>
        <v>13358</v>
      </c>
      <c r="BG36" s="77">
        <f si="23" t="shared"/>
        <v>86</v>
      </c>
      <c r="BH36" s="77">
        <f si="24" t="shared"/>
        <v>3513</v>
      </c>
      <c r="BI36" s="77">
        <f si="25" t="shared"/>
        <v>482</v>
      </c>
      <c r="BJ36" s="77">
        <f si="26" t="shared"/>
        <v>672</v>
      </c>
      <c r="BK36" s="77">
        <f si="27" t="shared"/>
        <v>11773</v>
      </c>
      <c r="BL36" s="77">
        <f si="28" t="shared"/>
        <v>14128</v>
      </c>
      <c r="BM36" s="77">
        <f si="29" t="shared"/>
        <v>71</v>
      </c>
      <c r="BN36" s="77">
        <f si="30" t="shared"/>
        <v>1121</v>
      </c>
      <c r="BO36" s="77">
        <f si="31" t="shared"/>
        <v>29</v>
      </c>
      <c r="BP36" s="77">
        <f si="32" t="shared"/>
        <v>44</v>
      </c>
      <c r="BQ36" s="77">
        <f si="33" t="shared"/>
        <v>388</v>
      </c>
      <c r="BR36" s="77">
        <f si="34" t="shared"/>
        <v>111</v>
      </c>
      <c r="BS36" s="77">
        <f si="35" t="shared"/>
        <v>20</v>
      </c>
      <c r="BT36" s="77">
        <f si="36" t="shared"/>
        <v>0</v>
      </c>
      <c r="BU36" s="77">
        <f si="11" t="shared"/>
        <v>77331</v>
      </c>
      <c r="BV36" s="95"/>
      <c r="BW36" s="95">
        <v>7</v>
      </c>
      <c r="BX36" s="77">
        <f si="37" t="shared"/>
        <v>5680.7306849823644</v>
      </c>
      <c r="BY36" s="77">
        <f si="38" t="shared"/>
        <v>409.25606088732184</v>
      </c>
      <c r="BZ36" s="77">
        <f si="39" t="shared"/>
        <v>364.93606831260468</v>
      </c>
      <c r="CA36" s="77">
        <f si="40" t="shared"/>
        <v>785.5612400222758</v>
      </c>
      <c r="CB36" s="77">
        <f si="41" t="shared"/>
        <v>936.77493966957491</v>
      </c>
      <c r="CC36" s="77">
        <f si="42" t="shared"/>
        <v>249.37441989975741</v>
      </c>
      <c r="CD36" s="77">
        <f si="43" t="shared"/>
        <v>4216.4877668461122</v>
      </c>
      <c r="CE36" s="77">
        <f si="44" t="shared"/>
        <v>233.64054204566548</v>
      </c>
      <c r="CF36" s="77">
        <f si="45" t="shared"/>
        <v>1584.97954334509</v>
      </c>
      <c r="CG36" s="77">
        <f si="46" t="shared"/>
        <v>764.02390941154636</v>
      </c>
      <c r="CH36" s="77">
        <f si="47" t="shared"/>
        <v>1905.2214961945424</v>
      </c>
      <c r="CI36" s="77">
        <f si="48" t="shared"/>
        <v>3801.3418600334135</v>
      </c>
      <c r="CJ36" s="77">
        <f si="49" t="shared"/>
        <v>8759.1873027659167</v>
      </c>
      <c r="CK36" s="77">
        <f si="50" t="shared"/>
        <v>176.86497122702801</v>
      </c>
      <c r="CL36" s="77">
        <f si="51" t="shared"/>
        <v>440.83642101355099</v>
      </c>
      <c r="CM36" s="77">
        <f si="52" t="shared"/>
        <v>171.01459068126971</v>
      </c>
      <c r="CN36" s="77">
        <f si="53" t="shared"/>
        <v>145.48750696120288</v>
      </c>
      <c r="CO36" s="77">
        <f si="54" t="shared"/>
        <v>338.36877668461113</v>
      </c>
      <c r="CP36" s="77">
        <f si="55" t="shared"/>
        <v>343.57861518470395</v>
      </c>
      <c r="CQ36" s="77">
        <f si="56" t="shared"/>
        <v>264.23126044180435</v>
      </c>
      <c r="CR36" s="77">
        <f si="57" t="shared"/>
        <v>0</v>
      </c>
      <c r="CS36" s="77">
        <f si="58" t="shared"/>
        <v>0</v>
      </c>
      <c r="CU36" s="95">
        <v>35</v>
      </c>
      <c r="CV36" s="95">
        <f si="6" t="shared"/>
        <v>2</v>
      </c>
      <c r="CW36" s="95">
        <f si="0" t="shared"/>
        <v>15</v>
      </c>
      <c r="CX36" s="58">
        <f si="1" t="shared"/>
        <v>172.57636715839666</v>
      </c>
      <c r="CY36" s="58">
        <f si="2" t="shared"/>
        <v>110.00000000000001</v>
      </c>
      <c r="CZ36" s="108">
        <f si="3" t="shared"/>
        <v>-62.57636715839665</v>
      </c>
      <c r="DA36" s="78">
        <f si="4" t="shared"/>
        <v>-0.36260102231125224</v>
      </c>
      <c r="DB36" s="95">
        <v>35000</v>
      </c>
    </row>
    <row r="37" spans="2:106" x14ac:dyDescent="0.25">
      <c r="B37" s="95">
        <v>8</v>
      </c>
      <c r="C37" s="77">
        <f>County_Flow!Z41</f>
        <v>429.15668031261629</v>
      </c>
      <c r="D37" s="77">
        <f>County_Flow!AA41</f>
        <v>305.65835504279863</v>
      </c>
      <c r="E37" s="77">
        <f>County_Flow!AB41</f>
        <v>215.35020468924449</v>
      </c>
      <c r="F37" s="77">
        <f>County_Flow!AC41</f>
        <v>229.24376628209899</v>
      </c>
      <c r="G37" s="77">
        <f>County_Flow!AD41</f>
        <v>191.42240416821735</v>
      </c>
      <c r="H37" s="77">
        <f>County_Flow!AE41</f>
        <v>858.31336062523258</v>
      </c>
      <c r="I37" s="77">
        <f>County_Flow!AF41</f>
        <v>250.0841086713807</v>
      </c>
      <c r="J37" s="77">
        <f>County_Flow!AG41</f>
        <v>98.026795682917751</v>
      </c>
      <c r="K37" s="77">
        <f>County_Flow!AH41</f>
        <v>260.89021213248975</v>
      </c>
      <c r="L37" s="77">
        <f>County_Flow!AI41</f>
        <v>118.09527353926312</v>
      </c>
      <c r="M37" s="77">
        <f>County_Flow!AJ41</f>
        <v>348.11090435429844</v>
      </c>
      <c r="N37" s="77">
        <f>County_Flow!AK41</f>
        <v>542.62076665426127</v>
      </c>
      <c r="O37" s="77">
        <f>County_Flow!AL41</f>
        <v>69.467807964272424</v>
      </c>
      <c r="P37" s="77">
        <f>County_Flow!AM41</f>
        <v>77.958317826572397</v>
      </c>
      <c r="Q37" s="77">
        <f>County_Flow!AN41</f>
        <v>41.680684778563453</v>
      </c>
      <c r="R37" s="77">
        <f>County_Flow!AO41</f>
        <v>11.577967994045403</v>
      </c>
      <c r="S37" s="77">
        <f>County_Flow!AP41</f>
        <v>27.015258652772609</v>
      </c>
      <c r="T37" s="77">
        <f>County_Flow!AQ41</f>
        <v>24.699665053963528</v>
      </c>
      <c r="U37" s="77">
        <f>County_Flow!AR41</f>
        <v>37.821362113881655</v>
      </c>
      <c r="V37" s="77">
        <f>County_Flow!AS41</f>
        <v>10.806103461109043</v>
      </c>
      <c r="W37" s="77">
        <f>County_Flow!AT41</f>
        <v>0</v>
      </c>
      <c r="X37" s="77">
        <f si="13" t="shared"/>
        <v>4148</v>
      </c>
      <c r="Y37" s="95"/>
      <c r="Z37" s="95">
        <v>8</v>
      </c>
      <c r="AA37" s="77">
        <f>County_Flow!AX41*AA$28</f>
        <v>1129</v>
      </c>
      <c r="AB37" s="77">
        <f>County_Flow!AY41*AB$28</f>
        <v>297</v>
      </c>
      <c r="AC37" s="77">
        <f>County_Flow!AZ41*AC$28</f>
        <v>273</v>
      </c>
      <c r="AD37" s="77">
        <f>County_Flow!BA41*AD$28</f>
        <v>206</v>
      </c>
      <c r="AE37" s="77">
        <f>County_Flow!BB41*AE$28</f>
        <v>325</v>
      </c>
      <c r="AF37" s="77">
        <f>County_Flow!BC41*AF$28</f>
        <v>833</v>
      </c>
      <c r="AG37" s="77">
        <f>County_Flow!BD41*AG$28</f>
        <v>132</v>
      </c>
      <c r="AH37" s="77">
        <f>County_Flow!BE41*AH$28</f>
        <v>27</v>
      </c>
      <c r="AI37" s="77">
        <f>County_Flow!BF41*AI$28</f>
        <v>129</v>
      </c>
      <c r="AJ37" s="77">
        <f>County_Flow!BG41*AJ$28</f>
        <v>61</v>
      </c>
      <c r="AK37" s="77">
        <f>County_Flow!BH41*AK$28</f>
        <v>308</v>
      </c>
      <c r="AL37" s="77">
        <f>County_Flow!BI41*AL$28</f>
        <v>271</v>
      </c>
      <c r="AM37" s="77">
        <f>County_Flow!BJ41*AM$28</f>
        <v>50</v>
      </c>
      <c r="AN37" s="77">
        <f>County_Flow!BK41*AN$28</f>
        <v>40</v>
      </c>
      <c r="AO37" s="77">
        <f>County_Flow!BL41*AO$28</f>
        <v>24</v>
      </c>
      <c r="AP37" s="77">
        <f>County_Flow!BM41*AP$28</f>
        <v>0</v>
      </c>
      <c r="AQ37" s="77">
        <f>County_Flow!BN41*AQ$28</f>
        <v>14</v>
      </c>
      <c r="AR37" s="77">
        <f>County_Flow!BO41*AR$28</f>
        <v>3</v>
      </c>
      <c r="AS37" s="77">
        <f>County_Flow!BP41*AS$28</f>
        <v>24</v>
      </c>
      <c r="AT37" s="77">
        <f>County_Flow!BQ41*AT$28</f>
        <v>2</v>
      </c>
      <c r="AU37" s="77">
        <f>County_Flow!BR41</f>
        <v>0</v>
      </c>
      <c r="AV37" s="15">
        <f si="14" t="shared"/>
        <v>4148</v>
      </c>
      <c r="AW37" s="139">
        <f si="15" t="shared"/>
        <v>0</v>
      </c>
      <c r="AY37" s="95">
        <v>8</v>
      </c>
      <c r="AZ37" s="77">
        <f si="16" t="shared"/>
        <v>1129</v>
      </c>
      <c r="BA37" s="77">
        <f si="17" t="shared"/>
        <v>297</v>
      </c>
      <c r="BB37" s="77">
        <f si="18" t="shared"/>
        <v>273</v>
      </c>
      <c r="BC37" s="77">
        <f si="19" t="shared"/>
        <v>206</v>
      </c>
      <c r="BD37" s="77">
        <f si="20" t="shared"/>
        <v>325</v>
      </c>
      <c r="BE37" s="77">
        <f si="21" t="shared"/>
        <v>833</v>
      </c>
      <c r="BF37" s="77">
        <f si="22" t="shared"/>
        <v>132</v>
      </c>
      <c r="BG37" s="77">
        <f si="23" t="shared"/>
        <v>27</v>
      </c>
      <c r="BH37" s="77">
        <f si="24" t="shared"/>
        <v>129</v>
      </c>
      <c r="BI37" s="77">
        <f si="25" t="shared"/>
        <v>61</v>
      </c>
      <c r="BJ37" s="77">
        <f si="26" t="shared"/>
        <v>308</v>
      </c>
      <c r="BK37" s="77">
        <f si="27" t="shared"/>
        <v>271</v>
      </c>
      <c r="BL37" s="77">
        <f si="28" t="shared"/>
        <v>50</v>
      </c>
      <c r="BM37" s="77">
        <f si="29" t="shared"/>
        <v>40</v>
      </c>
      <c r="BN37" s="77">
        <f si="30" t="shared"/>
        <v>24</v>
      </c>
      <c r="BO37" s="77">
        <f si="31" t="shared"/>
        <v>0</v>
      </c>
      <c r="BP37" s="77">
        <f si="32" t="shared"/>
        <v>14</v>
      </c>
      <c r="BQ37" s="77">
        <f si="33" t="shared"/>
        <v>3</v>
      </c>
      <c r="BR37" s="77">
        <f si="34" t="shared"/>
        <v>24</v>
      </c>
      <c r="BS37" s="77">
        <f si="35" t="shared"/>
        <v>2</v>
      </c>
      <c r="BT37" s="77">
        <f si="36" t="shared"/>
        <v>0</v>
      </c>
      <c r="BU37" s="77">
        <f si="11" t="shared"/>
        <v>4148</v>
      </c>
      <c r="BV37" s="95"/>
      <c r="BW37" s="95">
        <v>8</v>
      </c>
      <c r="BX37" s="77">
        <f si="37" t="shared"/>
        <v>699.84331968738366</v>
      </c>
      <c r="BY37" s="77">
        <f si="38" t="shared"/>
        <v>8.6583550427986324</v>
      </c>
      <c r="BZ37" s="77">
        <f si="39" t="shared"/>
        <v>57.649795310755508</v>
      </c>
      <c r="CA37" s="77">
        <f si="40" t="shared"/>
        <v>23.243766282098989</v>
      </c>
      <c r="CB37" s="77">
        <f si="41" t="shared"/>
        <v>133.57759583178265</v>
      </c>
      <c r="CC37" s="77">
        <f si="42" t="shared"/>
        <v>25.313360625232576</v>
      </c>
      <c r="CD37" s="77">
        <f si="43" t="shared"/>
        <v>118.0841086713807</v>
      </c>
      <c r="CE37" s="77">
        <f si="44" t="shared"/>
        <v>71.026795682917751</v>
      </c>
      <c r="CF37" s="77">
        <f si="45" t="shared"/>
        <v>131.89021213248975</v>
      </c>
      <c r="CG37" s="77">
        <f si="46" t="shared"/>
        <v>57.095273539263118</v>
      </c>
      <c r="CH37" s="77">
        <f si="47" t="shared"/>
        <v>40.110904354298441</v>
      </c>
      <c r="CI37" s="77">
        <f si="48" t="shared"/>
        <v>271.62076665426127</v>
      </c>
      <c r="CJ37" s="77">
        <f si="49" t="shared"/>
        <v>19.467807964272424</v>
      </c>
      <c r="CK37" s="77">
        <f si="50" t="shared"/>
        <v>37.958317826572397</v>
      </c>
      <c r="CL37" s="77">
        <f si="51" t="shared"/>
        <v>17.680684778563453</v>
      </c>
      <c r="CM37" s="77">
        <f si="52" t="shared"/>
        <v>11.577967994045403</v>
      </c>
      <c r="CN37" s="77">
        <f si="53" t="shared"/>
        <v>13.015258652772609</v>
      </c>
      <c r="CO37" s="77">
        <f si="54" t="shared"/>
        <v>21.699665053963528</v>
      </c>
      <c r="CP37" s="77">
        <f si="55" t="shared"/>
        <v>13.821362113881655</v>
      </c>
      <c r="CQ37" s="77">
        <f si="56" t="shared"/>
        <v>8.8061034611090427</v>
      </c>
      <c r="CR37" s="77">
        <f si="57" t="shared"/>
        <v>0</v>
      </c>
      <c r="CS37" s="77">
        <f si="58" t="shared"/>
        <v>0</v>
      </c>
      <c r="CU37" s="95">
        <v>36</v>
      </c>
      <c r="CV37" s="95">
        <f si="6" t="shared"/>
        <v>2</v>
      </c>
      <c r="CW37" s="95">
        <f si="0" t="shared"/>
        <v>16</v>
      </c>
      <c r="CX37" s="58">
        <f si="1" t="shared"/>
        <v>49.615705558039039</v>
      </c>
      <c r="CY37" s="58">
        <f si="2" t="shared"/>
        <v>4.0000000000000009</v>
      </c>
      <c r="CZ37" s="108">
        <f si="3" t="shared"/>
        <v>-45.615705558039039</v>
      </c>
      <c r="DA37" s="78">
        <f si="4" t="shared"/>
        <v>-0.9193803664583402</v>
      </c>
      <c r="DB37" s="95">
        <v>36000</v>
      </c>
    </row>
    <row r="38" spans="2:106" x14ac:dyDescent="0.25">
      <c r="B38" s="95">
        <v>9</v>
      </c>
      <c r="C38" s="77">
        <f>County_Flow!Z42</f>
        <v>5189.2833573392691</v>
      </c>
      <c r="D38" s="77">
        <f>County_Flow!AA42</f>
        <v>4372.9388175985332</v>
      </c>
      <c r="E38" s="77">
        <f>County_Flow!AB42</f>
        <v>2071.3920714940423</v>
      </c>
      <c r="F38" s="77">
        <f>County_Flow!AC42</f>
        <v>1557.5365326698966</v>
      </c>
      <c r="G38" s="77">
        <f>County_Flow!AD42</f>
        <v>1167.68269608485</v>
      </c>
      <c r="H38" s="77">
        <f>County_Flow!AE42</f>
        <v>9101.912825716905</v>
      </c>
      <c r="I38" s="77">
        <f>County_Flow!AF42</f>
        <v>5174.2528479769544</v>
      </c>
      <c r="J38" s="77">
        <f>County_Flow!AG42</f>
        <v>297.79196674086683</v>
      </c>
      <c r="K38" s="77">
        <f>County_Flow!AH42</f>
        <v>9016.4268037187376</v>
      </c>
      <c r="L38" s="77">
        <f>County_Flow!AI42</f>
        <v>848.2843721356553</v>
      </c>
      <c r="M38" s="77">
        <f>County_Flow!AJ42</f>
        <v>2975.1014469032343</v>
      </c>
      <c r="N38" s="77">
        <f>County_Flow!AK42</f>
        <v>8566.4509296844317</v>
      </c>
      <c r="O38" s="77">
        <f>County_Flow!AL42</f>
        <v>1911.6929095194448</v>
      </c>
      <c r="P38" s="77">
        <f>County_Flow!AM42</f>
        <v>265.85213434594738</v>
      </c>
      <c r="Q38" s="77">
        <f>County_Flow!AN42</f>
        <v>3231.5595128977347</v>
      </c>
      <c r="R38" s="77">
        <f>County_Flow!AO42</f>
        <v>124.00170223909912</v>
      </c>
      <c r="S38" s="77">
        <f>County_Flow!AP42</f>
        <v>271.48857535681549</v>
      </c>
      <c r="T38" s="77">
        <f>County_Flow!AQ42</f>
        <v>253.6398454890664</v>
      </c>
      <c r="U38" s="77">
        <f>County_Flow!AR42</f>
        <v>809.76869189472302</v>
      </c>
      <c r="V38" s="77">
        <f>County_Flow!AS42</f>
        <v>186.94196019379339</v>
      </c>
      <c r="W38" s="77">
        <f>County_Flow!AT42</f>
        <v>0</v>
      </c>
      <c r="X38" s="77">
        <f si="13" t="shared"/>
        <v>57393.999999999993</v>
      </c>
      <c r="Y38" s="95"/>
      <c r="Z38" s="95">
        <v>9</v>
      </c>
      <c r="AA38" s="77">
        <f>County_Flow!AX42*AA$28</f>
        <v>11030</v>
      </c>
      <c r="AB38" s="77">
        <f>County_Flow!AY42*AB$28</f>
        <v>5241</v>
      </c>
      <c r="AC38" s="77">
        <f>County_Flow!AZ42*AC$28</f>
        <v>2007</v>
      </c>
      <c r="AD38" s="77">
        <f>County_Flow!BA42*AD$28</f>
        <v>959</v>
      </c>
      <c r="AE38" s="77">
        <f>County_Flow!BB42*AE$28</f>
        <v>2425</v>
      </c>
      <c r="AF38" s="77">
        <f>County_Flow!BC42*AF$28</f>
        <v>9225</v>
      </c>
      <c r="AG38" s="77">
        <f>County_Flow!BD42*AG$28</f>
        <v>4742</v>
      </c>
      <c r="AH38" s="77">
        <f>County_Flow!BE42*AH$28</f>
        <v>78</v>
      </c>
      <c r="AI38" s="77">
        <f>County_Flow!BF42*AI$28</f>
        <v>7545</v>
      </c>
      <c r="AJ38" s="77">
        <f>County_Flow!BG42*AJ$28</f>
        <v>365</v>
      </c>
      <c r="AK38" s="77">
        <f>County_Flow!BH42*AK$28</f>
        <v>1920</v>
      </c>
      <c r="AL38" s="77">
        <f>County_Flow!BI42*AL$28</f>
        <v>5227</v>
      </c>
      <c r="AM38" s="77">
        <f>County_Flow!BJ42*AM$28</f>
        <v>3088</v>
      </c>
      <c r="AN38" s="77">
        <f>County_Flow!BK42*AN$28</f>
        <v>127</v>
      </c>
      <c r="AO38" s="77">
        <f>County_Flow!BL42*AO$28</f>
        <v>2754</v>
      </c>
      <c r="AP38" s="77">
        <f>County_Flow!BM42*AP$28</f>
        <v>35</v>
      </c>
      <c r="AQ38" s="77">
        <f>County_Flow!BN42*AQ$28</f>
        <v>119</v>
      </c>
      <c r="AR38" s="77">
        <f>County_Flow!BO42*AR$28</f>
        <v>79</v>
      </c>
      <c r="AS38" s="77">
        <f>County_Flow!BP42*AS$28</f>
        <v>423</v>
      </c>
      <c r="AT38" s="77">
        <f>County_Flow!BQ42*AT$28</f>
        <v>5</v>
      </c>
      <c r="AU38" s="77">
        <f>County_Flow!BR42</f>
        <v>0</v>
      </c>
      <c r="AV38" s="15">
        <f si="14" t="shared"/>
        <v>57394</v>
      </c>
      <c r="AW38" s="139">
        <f si="15" t="shared"/>
        <v>1.2677209489116331E-16</v>
      </c>
      <c r="AY38" s="95">
        <v>9</v>
      </c>
      <c r="AZ38" s="77">
        <f si="16" t="shared"/>
        <v>11029.999999999998</v>
      </c>
      <c r="BA38" s="77">
        <f si="17" t="shared"/>
        <v>5240.9999999999991</v>
      </c>
      <c r="BB38" s="77">
        <f si="18" t="shared"/>
        <v>2006.9999999999998</v>
      </c>
      <c r="BC38" s="77">
        <f si="19" t="shared"/>
        <v>958.99999999999989</v>
      </c>
      <c r="BD38" s="77">
        <f si="20" t="shared"/>
        <v>2424.9999999999995</v>
      </c>
      <c r="BE38" s="77">
        <f si="21" t="shared"/>
        <v>9224.9999999999982</v>
      </c>
      <c r="BF38" s="77">
        <f si="22" t="shared"/>
        <v>4741.9999999999991</v>
      </c>
      <c r="BG38" s="77">
        <f si="23" t="shared"/>
        <v>77.999999999999986</v>
      </c>
      <c r="BH38" s="77">
        <f si="24" t="shared"/>
        <v>7544.9999999999991</v>
      </c>
      <c r="BI38" s="77">
        <f si="25" t="shared"/>
        <v>364.99999999999994</v>
      </c>
      <c r="BJ38" s="77">
        <f si="26" t="shared"/>
        <v>1919.9999999999998</v>
      </c>
      <c r="BK38" s="77">
        <f si="27" t="shared"/>
        <v>5226.9999999999991</v>
      </c>
      <c r="BL38" s="77">
        <f si="28" t="shared"/>
        <v>3087.9999999999995</v>
      </c>
      <c r="BM38" s="77">
        <f si="29" t="shared"/>
        <v>126.99999999999999</v>
      </c>
      <c r="BN38" s="77">
        <f si="30" t="shared"/>
        <v>2753.9999999999995</v>
      </c>
      <c r="BO38" s="77">
        <f si="31" t="shared"/>
        <v>34.999999999999993</v>
      </c>
      <c r="BP38" s="77">
        <f si="32" t="shared"/>
        <v>118.99999999999999</v>
      </c>
      <c r="BQ38" s="77">
        <f si="33" t="shared"/>
        <v>78.999999999999986</v>
      </c>
      <c r="BR38" s="77">
        <f si="34" t="shared"/>
        <v>422.99999999999994</v>
      </c>
      <c r="BS38" s="77">
        <f si="35" t="shared"/>
        <v>4.9999999999999991</v>
      </c>
      <c r="BT38" s="77">
        <f si="36" t="shared"/>
        <v>0</v>
      </c>
      <c r="BU38" s="77">
        <f si="11" t="shared"/>
        <v>57393.999999999993</v>
      </c>
      <c r="BV38" s="95"/>
      <c r="BW38" s="95">
        <v>9</v>
      </c>
      <c r="BX38" s="77">
        <f si="37" t="shared"/>
        <v>5840.7166426607291</v>
      </c>
      <c r="BY38" s="77">
        <f si="38" t="shared"/>
        <v>868.06118240146589</v>
      </c>
      <c r="BZ38" s="77">
        <f si="39" t="shared"/>
        <v>64.392071494042511</v>
      </c>
      <c r="CA38" s="77">
        <f si="40" t="shared"/>
        <v>598.5365326698967</v>
      </c>
      <c r="CB38" s="77">
        <f si="41" t="shared"/>
        <v>1257.3173039151495</v>
      </c>
      <c r="CC38" s="77">
        <f si="42" t="shared"/>
        <v>123.08717428309319</v>
      </c>
      <c r="CD38" s="77">
        <f si="43" t="shared"/>
        <v>432.25284797695531</v>
      </c>
      <c r="CE38" s="77">
        <f si="44" t="shared"/>
        <v>219.79196674086683</v>
      </c>
      <c r="CF38" s="77">
        <f si="45" t="shared"/>
        <v>1471.4268037187385</v>
      </c>
      <c r="CG38" s="77">
        <f si="46" t="shared"/>
        <v>483.28437213565536</v>
      </c>
      <c r="CH38" s="77">
        <f si="47" t="shared"/>
        <v>1055.1014469032345</v>
      </c>
      <c r="CI38" s="77">
        <f si="48" t="shared"/>
        <v>3339.4509296844326</v>
      </c>
      <c r="CJ38" s="77">
        <f si="49" t="shared"/>
        <v>1176.3070904805547</v>
      </c>
      <c r="CK38" s="77">
        <f si="50" t="shared"/>
        <v>138.85213434594738</v>
      </c>
      <c r="CL38" s="77">
        <f si="51" t="shared"/>
        <v>477.5595128977352</v>
      </c>
      <c r="CM38" s="77">
        <f si="52" t="shared"/>
        <v>89.001702239099131</v>
      </c>
      <c r="CN38" s="77">
        <f si="53" t="shared"/>
        <v>152.48857535681549</v>
      </c>
      <c r="CO38" s="77">
        <f si="54" t="shared"/>
        <v>174.63984548906643</v>
      </c>
      <c r="CP38" s="77">
        <f si="55" t="shared"/>
        <v>386.76869189472308</v>
      </c>
      <c r="CQ38" s="77">
        <f si="56" t="shared"/>
        <v>181.94196019379339</v>
      </c>
      <c r="CR38" s="77">
        <f si="57" t="shared"/>
        <v>0</v>
      </c>
      <c r="CS38" s="77">
        <f si="58" t="shared"/>
        <v>0</v>
      </c>
      <c r="CU38" s="95">
        <v>37</v>
      </c>
      <c r="CV38" s="95">
        <f si="6" t="shared"/>
        <v>2</v>
      </c>
      <c r="CW38" s="95">
        <f si="0" t="shared"/>
        <v>17</v>
      </c>
      <c r="CX38" s="58">
        <f si="1" t="shared"/>
        <v>48.537103263299066</v>
      </c>
      <c r="CY38" s="58">
        <f si="2" t="shared"/>
        <v>12.000000000000002</v>
      </c>
      <c r="CZ38" s="108">
        <f si="3" t="shared"/>
        <v>-36.537103263299066</v>
      </c>
      <c r="DA38" s="78">
        <f si="4" t="shared"/>
        <v>-0.75276645713890999</v>
      </c>
      <c r="DB38" s="95">
        <v>37000</v>
      </c>
    </row>
    <row r="39" spans="2:106" x14ac:dyDescent="0.25">
      <c r="B39" s="95">
        <v>10</v>
      </c>
      <c r="C39" s="77">
        <f>County_Flow!Z43</f>
        <v>2660.7859905993928</v>
      </c>
      <c r="D39" s="77">
        <f>County_Flow!AA43</f>
        <v>952.47535460255392</v>
      </c>
      <c r="E39" s="77">
        <f>County_Flow!AB43</f>
        <v>493.64851711659253</v>
      </c>
      <c r="F39" s="77">
        <f>County_Flow!AC43</f>
        <v>739.44860862692906</v>
      </c>
      <c r="G39" s="77">
        <f>County_Flow!AD43</f>
        <v>1223.8796223118838</v>
      </c>
      <c r="H39" s="77">
        <f>County_Flow!AE43</f>
        <v>6417.4307225157027</v>
      </c>
      <c r="I39" s="77">
        <f>County_Flow!AF43</f>
        <v>994.4662035689031</v>
      </c>
      <c r="J39" s="77">
        <f>County_Flow!AG43</f>
        <v>212.00257892766527</v>
      </c>
      <c r="K39" s="77">
        <f>County_Flow!AH43</f>
        <v>926.87117840356052</v>
      </c>
      <c r="L39" s="77">
        <f>County_Flow!AI43</f>
        <v>1942.8448899796181</v>
      </c>
      <c r="M39" s="77">
        <f>County_Flow!AJ43</f>
        <v>695.40942556466041</v>
      </c>
      <c r="N39" s="77">
        <f>County_Flow!AK43</f>
        <v>5794.7371573561832</v>
      </c>
      <c r="O39" s="77">
        <f>County_Flow!AL43</f>
        <v>426.05349195125001</v>
      </c>
      <c r="P39" s="77">
        <f>County_Flow!AM43</f>
        <v>137.23838442660454</v>
      </c>
      <c r="Q39" s="77">
        <f>County_Flow!AN43</f>
        <v>149.52838900212137</v>
      </c>
      <c r="R39" s="77">
        <f>County_Flow!AO43</f>
        <v>409.66681918389418</v>
      </c>
      <c r="S39" s="77">
        <f>County_Flow!AP43</f>
        <v>57.353354685745181</v>
      </c>
      <c r="T39" s="77">
        <f>County_Flow!AQ43</f>
        <v>136.2142173786448</v>
      </c>
      <c r="U39" s="77">
        <f>County_Flow!AR43</f>
        <v>175.13256520111477</v>
      </c>
      <c r="V39" s="77">
        <f>County_Flow!AS43</f>
        <v>76.812528596980158</v>
      </c>
      <c r="W39" s="77">
        <f>County_Flow!AT43</f>
        <v>0</v>
      </c>
      <c r="X39" s="77">
        <f si="13" t="shared"/>
        <v>24621.999999999996</v>
      </c>
      <c r="Y39" s="95"/>
      <c r="Z39" s="95">
        <v>10</v>
      </c>
      <c r="AA39" s="77">
        <f>County_Flow!AX43*AA$28</f>
        <v>5261</v>
      </c>
      <c r="AB39" s="77">
        <f>County_Flow!AY43*AB$28</f>
        <v>1379</v>
      </c>
      <c r="AC39" s="77">
        <f>County_Flow!AZ43*AC$28</f>
        <v>697</v>
      </c>
      <c r="AD39" s="77">
        <f>County_Flow!BA43*AD$28</f>
        <v>809</v>
      </c>
      <c r="AE39" s="77">
        <f>County_Flow!BB43*AE$28</f>
        <v>2359</v>
      </c>
      <c r="AF39" s="77">
        <f>County_Flow!BC43*AF$28</f>
        <v>6038</v>
      </c>
      <c r="AG39" s="77">
        <f>County_Flow!BD43*AG$28</f>
        <v>659</v>
      </c>
      <c r="AH39" s="77">
        <f>County_Flow!BE43*AH$28</f>
        <v>99</v>
      </c>
      <c r="AI39" s="77">
        <f>County_Flow!BF43*AI$28</f>
        <v>413</v>
      </c>
      <c r="AJ39" s="77">
        <f>County_Flow!BG43*AJ$28</f>
        <v>1254</v>
      </c>
      <c r="AK39" s="77">
        <f>County_Flow!BH43*AK$28</f>
        <v>302</v>
      </c>
      <c r="AL39" s="77">
        <f>County_Flow!BI43*AL$28</f>
        <v>4566</v>
      </c>
      <c r="AM39" s="77">
        <f>County_Flow!BJ43*AM$28</f>
        <v>377</v>
      </c>
      <c r="AN39" s="77">
        <f>County_Flow!BK43*AN$28</f>
        <v>50</v>
      </c>
      <c r="AO39" s="77">
        <f>County_Flow!BL43*AO$28</f>
        <v>84</v>
      </c>
      <c r="AP39" s="77">
        <f>County_Flow!BM43*AP$28</f>
        <v>153</v>
      </c>
      <c r="AQ39" s="77">
        <f>County_Flow!BN43*AQ$28</f>
        <v>24</v>
      </c>
      <c r="AR39" s="77">
        <f>County_Flow!BO43*AR$28</f>
        <v>71</v>
      </c>
      <c r="AS39" s="77">
        <f>County_Flow!BP43*AS$28</f>
        <v>18</v>
      </c>
      <c r="AT39" s="77">
        <f>County_Flow!BQ43*AT$28</f>
        <v>9</v>
      </c>
      <c r="AU39" s="77">
        <f>County_Flow!BR43</f>
        <v>0</v>
      </c>
      <c r="AV39" s="15">
        <f si="14" t="shared"/>
        <v>24622</v>
      </c>
      <c r="AW39" s="139">
        <f si="15" t="shared"/>
        <v>1.4775318037087618E-16</v>
      </c>
      <c r="AY39" s="95">
        <v>10</v>
      </c>
      <c r="AZ39" s="77">
        <f si="16" t="shared"/>
        <v>5260.9999999999991</v>
      </c>
      <c r="BA39" s="77">
        <f si="17" t="shared"/>
        <v>1378.9999999999998</v>
      </c>
      <c r="BB39" s="77">
        <f si="18" t="shared"/>
        <v>696.99999999999989</v>
      </c>
      <c r="BC39" s="77">
        <f si="19" t="shared"/>
        <v>808.99999999999989</v>
      </c>
      <c r="BD39" s="77">
        <f si="20" t="shared"/>
        <v>2358.9999999999995</v>
      </c>
      <c r="BE39" s="77">
        <f si="21" t="shared"/>
        <v>6037.9999999999991</v>
      </c>
      <c r="BF39" s="77">
        <f si="22" t="shared"/>
        <v>658.99999999999989</v>
      </c>
      <c r="BG39" s="77">
        <f si="23" t="shared"/>
        <v>98.999999999999986</v>
      </c>
      <c r="BH39" s="77">
        <f si="24" t="shared"/>
        <v>412.99999999999994</v>
      </c>
      <c r="BI39" s="77">
        <f si="25" t="shared"/>
        <v>1253.9999999999998</v>
      </c>
      <c r="BJ39" s="77">
        <f si="26" t="shared"/>
        <v>301.99999999999994</v>
      </c>
      <c r="BK39" s="77">
        <f si="27" t="shared"/>
        <v>4565.9999999999991</v>
      </c>
      <c r="BL39" s="77">
        <f si="28" t="shared"/>
        <v>376.99999999999994</v>
      </c>
      <c r="BM39" s="77">
        <f si="29" t="shared"/>
        <v>49.999999999999993</v>
      </c>
      <c r="BN39" s="77">
        <f si="30" t="shared"/>
        <v>83.999999999999986</v>
      </c>
      <c r="BO39" s="77">
        <f si="31" t="shared"/>
        <v>152.99999999999997</v>
      </c>
      <c r="BP39" s="77">
        <f si="32" t="shared"/>
        <v>23.999999999999996</v>
      </c>
      <c r="BQ39" s="77">
        <f si="33" t="shared"/>
        <v>70.999999999999986</v>
      </c>
      <c r="BR39" s="77">
        <f si="34" t="shared"/>
        <v>17.999999999999996</v>
      </c>
      <c r="BS39" s="77">
        <f si="35" t="shared"/>
        <v>8.9999999999999982</v>
      </c>
      <c r="BT39" s="77">
        <f si="36" t="shared"/>
        <v>0</v>
      </c>
      <c r="BU39" s="77">
        <f si="11" t="shared"/>
        <v>24621.999999999996</v>
      </c>
      <c r="BV39" s="95"/>
      <c r="BW39" s="95">
        <v>10</v>
      </c>
      <c r="BX39" s="77">
        <f si="37" t="shared"/>
        <v>2600.2140094006063</v>
      </c>
      <c r="BY39" s="77">
        <f si="38" t="shared"/>
        <v>426.52464539744585</v>
      </c>
      <c r="BZ39" s="77">
        <f si="39" t="shared"/>
        <v>203.35148288340736</v>
      </c>
      <c r="CA39" s="77">
        <f si="40" t="shared"/>
        <v>69.551391373070828</v>
      </c>
      <c r="CB39" s="77">
        <f si="41" t="shared"/>
        <v>1135.1203776881157</v>
      </c>
      <c r="CC39" s="77">
        <f si="42" t="shared"/>
        <v>379.43072251570356</v>
      </c>
      <c r="CD39" s="77">
        <f si="43" t="shared"/>
        <v>335.46620356890321</v>
      </c>
      <c r="CE39" s="77">
        <f si="44" t="shared"/>
        <v>113.00257892766528</v>
      </c>
      <c r="CF39" s="77">
        <f si="45" t="shared"/>
        <v>513.87117840356063</v>
      </c>
      <c r="CG39" s="77">
        <f si="46" t="shared"/>
        <v>688.8448899796183</v>
      </c>
      <c r="CH39" s="77">
        <f si="47" t="shared"/>
        <v>393.40942556466047</v>
      </c>
      <c r="CI39" s="77">
        <f si="48" t="shared"/>
        <v>1228.7371573561841</v>
      </c>
      <c r="CJ39" s="77">
        <f si="49" t="shared"/>
        <v>49.053491951250066</v>
      </c>
      <c r="CK39" s="77">
        <f si="50" t="shared"/>
        <v>87.23838442660454</v>
      </c>
      <c r="CL39" s="77">
        <f si="51" t="shared"/>
        <v>65.528389002121386</v>
      </c>
      <c r="CM39" s="77">
        <f si="52" t="shared"/>
        <v>256.66681918389418</v>
      </c>
      <c r="CN39" s="77">
        <f si="53" t="shared"/>
        <v>33.353354685745188</v>
      </c>
      <c r="CO39" s="77">
        <f si="54" t="shared"/>
        <v>65.214217378644818</v>
      </c>
      <c r="CP39" s="77">
        <f si="55" t="shared"/>
        <v>157.13256520111477</v>
      </c>
      <c r="CQ39" s="77">
        <f si="56" t="shared"/>
        <v>67.812528596980158</v>
      </c>
      <c r="CR39" s="77">
        <f si="57" t="shared"/>
        <v>0</v>
      </c>
      <c r="CS39" s="77">
        <f si="58" t="shared"/>
        <v>0</v>
      </c>
      <c r="CU39" s="95">
        <v>38</v>
      </c>
      <c r="CV39" s="95">
        <f si="6" t="shared"/>
        <v>2</v>
      </c>
      <c r="CW39" s="95">
        <f si="0" t="shared"/>
        <v>18</v>
      </c>
      <c r="CX39" s="58">
        <f si="1" t="shared"/>
        <v>66.873342273878706</v>
      </c>
      <c r="CY39" s="58">
        <f si="2" t="shared"/>
        <v>36.000000000000007</v>
      </c>
      <c r="CZ39" s="108">
        <f si="3" t="shared"/>
        <v>-30.873342273878698</v>
      </c>
      <c r="DA39" s="78">
        <f si="4" t="shared"/>
        <v>-0.4616688986089168</v>
      </c>
      <c r="DB39" s="95">
        <v>38000</v>
      </c>
    </row>
    <row r="40" spans="2:106" x14ac:dyDescent="0.25">
      <c r="B40" s="95">
        <v>11</v>
      </c>
      <c r="C40" s="77">
        <f>County_Flow!Z44</f>
        <v>4354.4727272727278</v>
      </c>
      <c r="D40" s="77">
        <f>County_Flow!AA44</f>
        <v>3094.3090909090911</v>
      </c>
      <c r="E40" s="77">
        <f>County_Flow!AB44</f>
        <v>2418.3272727272724</v>
      </c>
      <c r="F40" s="77">
        <f>County_Flow!AC44</f>
        <v>1838.7818181818184</v>
      </c>
      <c r="G40" s="77">
        <f>County_Flow!AD44</f>
        <v>1356.6</v>
      </c>
      <c r="H40" s="77">
        <f>County_Flow!AE44</f>
        <v>7688.0181818181818</v>
      </c>
      <c r="I40" s="77">
        <f>County_Flow!AF44</f>
        <v>2604.7090909090907</v>
      </c>
      <c r="J40" s="77">
        <f>County_Flow!AG44</f>
        <v>473.83636363636361</v>
      </c>
      <c r="K40" s="77">
        <f>County_Flow!AH44</f>
        <v>3596.8909090909087</v>
      </c>
      <c r="L40" s="77">
        <f>County_Flow!AI44</f>
        <v>794.67272727272723</v>
      </c>
      <c r="M40" s="77">
        <f>County_Flow!AJ44</f>
        <v>9631.5818181818177</v>
      </c>
      <c r="N40" s="77">
        <f>County_Flow!AK44</f>
        <v>5555.2909090909088</v>
      </c>
      <c r="O40" s="77">
        <f>County_Flow!AL44</f>
        <v>991.25454545454545</v>
      </c>
      <c r="P40" s="77">
        <f>County_Flow!AM44</f>
        <v>572.12727272727273</v>
      </c>
      <c r="Q40" s="77">
        <f>County_Flow!AN44</f>
        <v>906.87272727272727</v>
      </c>
      <c r="R40" s="77">
        <f>County_Flow!AO44</f>
        <v>115.90909090909092</v>
      </c>
      <c r="S40" s="77">
        <f>County_Flow!AP44</f>
        <v>707.5090909090909</v>
      </c>
      <c r="T40" s="77">
        <f>County_Flow!AQ44</f>
        <v>205.85454545454544</v>
      </c>
      <c r="U40" s="77">
        <f>County_Flow!AR44</f>
        <v>3110.0727272727272</v>
      </c>
      <c r="V40" s="77">
        <f>County_Flow!AS44</f>
        <v>166.90909090909091</v>
      </c>
      <c r="W40" s="77">
        <f>County_Flow!AT44</f>
        <v>0</v>
      </c>
      <c r="X40" s="77">
        <f si="13" t="shared"/>
        <v>50184</v>
      </c>
      <c r="Y40" s="95"/>
      <c r="Z40" s="95">
        <v>11</v>
      </c>
      <c r="AA40" s="77">
        <f>County_Flow!AX44*AA$28</f>
        <v>10943</v>
      </c>
      <c r="AB40" s="77">
        <f>County_Flow!AY44*AB$28</f>
        <v>3117</v>
      </c>
      <c r="AC40" s="77">
        <f>County_Flow!AZ44*AC$28</f>
        <v>3328</v>
      </c>
      <c r="AD40" s="77">
        <f>County_Flow!BA44*AD$28</f>
        <v>1727</v>
      </c>
      <c r="AE40" s="77">
        <f>County_Flow!BB44*AE$28</f>
        <v>2920</v>
      </c>
      <c r="AF40" s="77">
        <f>County_Flow!BC44*AF$28</f>
        <v>8202</v>
      </c>
      <c r="AG40" s="77">
        <f>County_Flow!BD44*AG$28</f>
        <v>1472</v>
      </c>
      <c r="AH40" s="77">
        <f>County_Flow!BE44*AH$28</f>
        <v>205</v>
      </c>
      <c r="AI40" s="77">
        <f>County_Flow!BF44*AI$28</f>
        <v>2737</v>
      </c>
      <c r="AJ40" s="77">
        <f>County_Flow!BG44*AJ$28</f>
        <v>470</v>
      </c>
      <c r="AK40" s="77">
        <f>County_Flow!BH44*AK$28</f>
        <v>8102</v>
      </c>
      <c r="AL40" s="77">
        <f>County_Flow!BI44*AL$28</f>
        <v>3236</v>
      </c>
      <c r="AM40" s="77">
        <f>County_Flow!BJ44*AM$28</f>
        <v>738</v>
      </c>
      <c r="AN40" s="77">
        <f>County_Flow!BK44*AN$28</f>
        <v>470</v>
      </c>
      <c r="AO40" s="77">
        <f>County_Flow!BL44*AO$28</f>
        <v>766</v>
      </c>
      <c r="AP40" s="77">
        <f>County_Flow!BM44*AP$28</f>
        <v>31</v>
      </c>
      <c r="AQ40" s="77">
        <f>County_Flow!BN44*AQ$28</f>
        <v>400</v>
      </c>
      <c r="AR40" s="77">
        <f>County_Flow!BO44*AR$28</f>
        <v>53</v>
      </c>
      <c r="AS40" s="77">
        <f>County_Flow!BP44*AS$28</f>
        <v>1262</v>
      </c>
      <c r="AT40" s="77">
        <f>County_Flow!BQ44*AT$28</f>
        <v>5</v>
      </c>
      <c r="AU40" s="77">
        <f>County_Flow!BR44</f>
        <v>0</v>
      </c>
      <c r="AV40" s="15">
        <f si="14" t="shared"/>
        <v>50184</v>
      </c>
      <c r="AW40" s="139">
        <f si="15" t="shared"/>
        <v>0</v>
      </c>
      <c r="AY40" s="95">
        <v>11</v>
      </c>
      <c r="AZ40" s="77">
        <f si="16" t="shared"/>
        <v>10943</v>
      </c>
      <c r="BA40" s="77">
        <f si="17" t="shared"/>
        <v>3117</v>
      </c>
      <c r="BB40" s="77">
        <f si="18" t="shared"/>
        <v>3328</v>
      </c>
      <c r="BC40" s="77">
        <f si="19" t="shared"/>
        <v>1727</v>
      </c>
      <c r="BD40" s="77">
        <f si="20" t="shared"/>
        <v>2920</v>
      </c>
      <c r="BE40" s="77">
        <f si="21" t="shared"/>
        <v>8202</v>
      </c>
      <c r="BF40" s="77">
        <f si="22" t="shared"/>
        <v>1472</v>
      </c>
      <c r="BG40" s="77">
        <f si="23" t="shared"/>
        <v>205</v>
      </c>
      <c r="BH40" s="77">
        <f si="24" t="shared"/>
        <v>2737</v>
      </c>
      <c r="BI40" s="77">
        <f si="25" t="shared"/>
        <v>470</v>
      </c>
      <c r="BJ40" s="77">
        <f si="26" t="shared"/>
        <v>8102</v>
      </c>
      <c r="BK40" s="77">
        <f si="27" t="shared"/>
        <v>3236</v>
      </c>
      <c r="BL40" s="77">
        <f si="28" t="shared"/>
        <v>738</v>
      </c>
      <c r="BM40" s="77">
        <f si="29" t="shared"/>
        <v>470</v>
      </c>
      <c r="BN40" s="77">
        <f si="30" t="shared"/>
        <v>766</v>
      </c>
      <c r="BO40" s="77">
        <f si="31" t="shared"/>
        <v>31</v>
      </c>
      <c r="BP40" s="77">
        <f si="32" t="shared"/>
        <v>400</v>
      </c>
      <c r="BQ40" s="77">
        <f si="33" t="shared"/>
        <v>53</v>
      </c>
      <c r="BR40" s="77">
        <f si="34" t="shared"/>
        <v>1262</v>
      </c>
      <c r="BS40" s="77">
        <f si="35" t="shared"/>
        <v>5</v>
      </c>
      <c r="BT40" s="77">
        <f si="36" t="shared"/>
        <v>0</v>
      </c>
      <c r="BU40" s="77">
        <f si="11" t="shared"/>
        <v>50184</v>
      </c>
      <c r="BV40" s="95"/>
      <c r="BW40" s="95">
        <v>11</v>
      </c>
      <c r="BX40" s="77">
        <f si="37" t="shared"/>
        <v>6588.5272727272722</v>
      </c>
      <c r="BY40" s="77">
        <f si="38" t="shared"/>
        <v>22.690909090908917</v>
      </c>
      <c r="BZ40" s="77">
        <f si="39" t="shared"/>
        <v>909.67272727272757</v>
      </c>
      <c r="CA40" s="77">
        <f si="40" t="shared"/>
        <v>111.78181818181838</v>
      </c>
      <c r="CB40" s="77">
        <f si="41" t="shared"/>
        <v>1563.4</v>
      </c>
      <c r="CC40" s="77">
        <f si="42" t="shared"/>
        <v>513.9818181818182</v>
      </c>
      <c r="CD40" s="77">
        <f si="43" t="shared"/>
        <v>1132.7090909090907</v>
      </c>
      <c r="CE40" s="77">
        <f si="44" t="shared"/>
        <v>268.83636363636361</v>
      </c>
      <c r="CF40" s="77">
        <f si="45" t="shared"/>
        <v>859.89090909090874</v>
      </c>
      <c r="CG40" s="77">
        <f si="46" t="shared"/>
        <v>324.67272727272723</v>
      </c>
      <c r="CH40" s="77">
        <f si="47" t="shared"/>
        <v>1529.5818181818177</v>
      </c>
      <c r="CI40" s="77">
        <f si="48" t="shared"/>
        <v>2319.2909090909088</v>
      </c>
      <c r="CJ40" s="77">
        <f si="49" t="shared"/>
        <v>253.25454545454545</v>
      </c>
      <c r="CK40" s="77">
        <f si="50" t="shared"/>
        <v>102.12727272727273</v>
      </c>
      <c r="CL40" s="77">
        <f si="51" t="shared"/>
        <v>140.87272727272727</v>
      </c>
      <c r="CM40" s="77">
        <f si="52" t="shared"/>
        <v>84.909090909090921</v>
      </c>
      <c r="CN40" s="77">
        <f si="53" t="shared"/>
        <v>307.5090909090909</v>
      </c>
      <c r="CO40" s="77">
        <f si="54" t="shared"/>
        <v>152.85454545454544</v>
      </c>
      <c r="CP40" s="77">
        <f si="55" t="shared"/>
        <v>1848.0727272727272</v>
      </c>
      <c r="CQ40" s="77">
        <f si="56" t="shared"/>
        <v>161.90909090909091</v>
      </c>
      <c r="CR40" s="77">
        <f si="57" t="shared"/>
        <v>0</v>
      </c>
      <c r="CS40" s="77">
        <f si="58" t="shared"/>
        <v>0</v>
      </c>
      <c r="CU40" s="95">
        <v>39</v>
      </c>
      <c r="CV40" s="95">
        <f si="6" t="shared"/>
        <v>2</v>
      </c>
      <c r="CW40" s="95">
        <f si="0" t="shared"/>
        <v>19</v>
      </c>
      <c r="CX40" s="58">
        <f si="1" t="shared"/>
        <v>94.917001937118158</v>
      </c>
      <c r="CY40" s="58">
        <f si="2" t="shared"/>
        <v>23.000000000000004</v>
      </c>
      <c r="CZ40" s="108">
        <f si="3" t="shared"/>
        <v>-71.917001937118158</v>
      </c>
      <c r="DA40" s="78">
        <f si="4" t="shared"/>
        <v>-0.75768303327535214</v>
      </c>
      <c r="DB40" s="95">
        <v>39000</v>
      </c>
    </row>
    <row r="41" spans="2:106" x14ac:dyDescent="0.25">
      <c r="B41" s="95">
        <v>12</v>
      </c>
      <c r="C41" s="77">
        <f>County_Flow!Z45</f>
        <v>8033.326988064774</v>
      </c>
      <c r="D41" s="77">
        <f>County_Flow!AA45</f>
        <v>4246.0858320473508</v>
      </c>
      <c r="E41" s="77">
        <f>County_Flow!AB45</f>
        <v>1749.2820209794309</v>
      </c>
      <c r="F41" s="77">
        <f>County_Flow!AC45</f>
        <v>1909.3205614048793</v>
      </c>
      <c r="G41" s="77">
        <f>County_Flow!AD45</f>
        <v>2172.675121598656</v>
      </c>
      <c r="H41" s="77">
        <f>County_Flow!AE45</f>
        <v>18387.212812298556</v>
      </c>
      <c r="I41" s="77">
        <f>County_Flow!AF45</f>
        <v>7205.7859277635616</v>
      </c>
      <c r="J41" s="77">
        <f>County_Flow!AG45</f>
        <v>302.857744222843</v>
      </c>
      <c r="K41" s="77">
        <f>County_Flow!AH45</f>
        <v>4025.2731623464147</v>
      </c>
      <c r="L41" s="77">
        <f>County_Flow!AI45</f>
        <v>1901.217344168148</v>
      </c>
      <c r="M41" s="77">
        <f>County_Flow!AJ45</f>
        <v>2060.2429824390051</v>
      </c>
      <c r="N41" s="77">
        <f>County_Flow!AK45</f>
        <v>44691.268864883874</v>
      </c>
      <c r="O41" s="77">
        <f>County_Flow!AL45</f>
        <v>2681.1520032035628</v>
      </c>
      <c r="P41" s="77">
        <f>County_Flow!AM45</f>
        <v>220.81266970093566</v>
      </c>
      <c r="Q41" s="77">
        <f>County_Flow!AN45</f>
        <v>744.48308362471425</v>
      </c>
      <c r="R41" s="77">
        <f>County_Flow!AO45</f>
        <v>423.39310061922532</v>
      </c>
      <c r="S41" s="77">
        <f>County_Flow!AP45</f>
        <v>150.92242103412576</v>
      </c>
      <c r="T41" s="77">
        <f>County_Flow!AQ45</f>
        <v>1608.4886214912196</v>
      </c>
      <c r="U41" s="77">
        <f>County_Flow!AR45</f>
        <v>436.56082862891412</v>
      </c>
      <c r="V41" s="77">
        <f>County_Flow!AS45</f>
        <v>756.6379094798117</v>
      </c>
      <c r="W41" s="77">
        <f>County_Flow!AT45</f>
        <v>0</v>
      </c>
      <c r="X41" s="77">
        <f si="13" t="shared"/>
        <v>103707</v>
      </c>
      <c r="Y41" s="95"/>
      <c r="Z41" s="95">
        <v>12</v>
      </c>
      <c r="AA41" s="77">
        <f>County_Flow!AX45*AA$28</f>
        <v>18849</v>
      </c>
      <c r="AB41" s="77">
        <f>County_Flow!AY45*AB$28</f>
        <v>6809</v>
      </c>
      <c r="AC41" s="77">
        <f>County_Flow!AZ45*AC$28</f>
        <v>2451</v>
      </c>
      <c r="AD41" s="77">
        <f>County_Flow!BA45*AD$28</f>
        <v>1718</v>
      </c>
      <c r="AE41" s="77">
        <f>County_Flow!BB45*AE$28</f>
        <v>4896</v>
      </c>
      <c r="AF41" s="77">
        <f>County_Flow!BC45*AF$28</f>
        <v>20075</v>
      </c>
      <c r="AG41" s="77">
        <f>County_Flow!BD45*AG$28</f>
        <v>7195</v>
      </c>
      <c r="AH41" s="77">
        <f>County_Flow!BE45*AH$28</f>
        <v>172</v>
      </c>
      <c r="AI41" s="77">
        <f>County_Flow!BF45*AI$28</f>
        <v>2605</v>
      </c>
      <c r="AJ41" s="77">
        <f>County_Flow!BG45*AJ$28</f>
        <v>1326</v>
      </c>
      <c r="AK41" s="77">
        <f>County_Flow!BH45*AK$28</f>
        <v>882</v>
      </c>
      <c r="AL41" s="77">
        <f>County_Flow!BI45*AL$28</f>
        <v>27487</v>
      </c>
      <c r="AM41" s="77">
        <f>County_Flow!BJ45*AM$28</f>
        <v>6691</v>
      </c>
      <c r="AN41" s="77">
        <f>County_Flow!BK45*AN$28</f>
        <v>117</v>
      </c>
      <c r="AO41" s="77">
        <f>County_Flow!BL45*AO$28</f>
        <v>503</v>
      </c>
      <c r="AP41" s="77">
        <f>County_Flow!BM45*AP$28</f>
        <v>261</v>
      </c>
      <c r="AQ41" s="77">
        <f>County_Flow!BN45*AQ$28</f>
        <v>47</v>
      </c>
      <c r="AR41" s="77">
        <f>County_Flow!BO45*AR$28</f>
        <v>1351</v>
      </c>
      <c r="AS41" s="77">
        <f>County_Flow!BP45*AS$28</f>
        <v>102</v>
      </c>
      <c r="AT41" s="77">
        <f>County_Flow!BQ45*AT$28</f>
        <v>170</v>
      </c>
      <c r="AU41" s="77">
        <f>County_Flow!BR45</f>
        <v>0</v>
      </c>
      <c r="AV41" s="15">
        <f si="14" t="shared"/>
        <v>103707</v>
      </c>
      <c r="AW41" s="139">
        <f si="15" t="shared"/>
        <v>0</v>
      </c>
      <c r="AY41" s="95">
        <v>12</v>
      </c>
      <c r="AZ41" s="77">
        <f si="16" t="shared"/>
        <v>18849</v>
      </c>
      <c r="BA41" s="77">
        <f si="17" t="shared"/>
        <v>6809</v>
      </c>
      <c r="BB41" s="77">
        <f si="18" t="shared"/>
        <v>2451</v>
      </c>
      <c r="BC41" s="77">
        <f si="19" t="shared"/>
        <v>1718</v>
      </c>
      <c r="BD41" s="77">
        <f si="20" t="shared"/>
        <v>4896</v>
      </c>
      <c r="BE41" s="77">
        <f si="21" t="shared"/>
        <v>20075</v>
      </c>
      <c r="BF41" s="77">
        <f si="22" t="shared"/>
        <v>7195</v>
      </c>
      <c r="BG41" s="77">
        <f si="23" t="shared"/>
        <v>172</v>
      </c>
      <c r="BH41" s="77">
        <f si="24" t="shared"/>
        <v>2605</v>
      </c>
      <c r="BI41" s="77">
        <f si="25" t="shared"/>
        <v>1326</v>
      </c>
      <c r="BJ41" s="77">
        <f si="26" t="shared"/>
        <v>882</v>
      </c>
      <c r="BK41" s="77">
        <f si="27" t="shared"/>
        <v>27487</v>
      </c>
      <c r="BL41" s="77">
        <f si="28" t="shared"/>
        <v>6691</v>
      </c>
      <c r="BM41" s="77">
        <f si="29" t="shared"/>
        <v>117</v>
      </c>
      <c r="BN41" s="77">
        <f si="30" t="shared"/>
        <v>503</v>
      </c>
      <c r="BO41" s="77">
        <f si="31" t="shared"/>
        <v>261</v>
      </c>
      <c r="BP41" s="77">
        <f si="32" t="shared"/>
        <v>47</v>
      </c>
      <c r="BQ41" s="77">
        <f si="33" t="shared"/>
        <v>1351</v>
      </c>
      <c r="BR41" s="77">
        <f si="34" t="shared"/>
        <v>102</v>
      </c>
      <c r="BS41" s="77">
        <f si="35" t="shared"/>
        <v>170</v>
      </c>
      <c r="BT41" s="77">
        <f si="36" t="shared"/>
        <v>0</v>
      </c>
      <c r="BU41" s="77">
        <f si="11" t="shared"/>
        <v>103707</v>
      </c>
      <c r="BV41" s="95"/>
      <c r="BW41" s="95">
        <v>12</v>
      </c>
      <c r="BX41" s="77">
        <f si="37" t="shared"/>
        <v>10815.673011935225</v>
      </c>
      <c r="BY41" s="77">
        <f si="38" t="shared"/>
        <v>2562.9141679526492</v>
      </c>
      <c r="BZ41" s="77">
        <f si="39" t="shared"/>
        <v>701.71797902056915</v>
      </c>
      <c r="CA41" s="77">
        <f si="40" t="shared"/>
        <v>191.3205614048793</v>
      </c>
      <c r="CB41" s="77">
        <f si="41" t="shared"/>
        <v>2723.324878401344</v>
      </c>
      <c r="CC41" s="77">
        <f si="42" t="shared"/>
        <v>1687.7871877014441</v>
      </c>
      <c r="CD41" s="77">
        <f si="43" t="shared"/>
        <v>10.785927763561631</v>
      </c>
      <c r="CE41" s="77">
        <f si="44" t="shared"/>
        <v>130.857744222843</v>
      </c>
      <c r="CF41" s="77">
        <f si="45" t="shared"/>
        <v>1420.2731623464147</v>
      </c>
      <c r="CG41" s="77">
        <f si="46" t="shared"/>
        <v>575.21734416814797</v>
      </c>
      <c r="CH41" s="77">
        <f si="47" t="shared"/>
        <v>1178.2429824390051</v>
      </c>
      <c r="CI41" s="77">
        <f si="48" t="shared"/>
        <v>17204.268864883874</v>
      </c>
      <c r="CJ41" s="77">
        <f si="49" t="shared"/>
        <v>4009.8479967964372</v>
      </c>
      <c r="CK41" s="77">
        <f si="50" t="shared"/>
        <v>103.81266970093566</v>
      </c>
      <c r="CL41" s="77">
        <f si="51" t="shared"/>
        <v>241.48308362471425</v>
      </c>
      <c r="CM41" s="77">
        <f si="52" t="shared"/>
        <v>162.39310061922532</v>
      </c>
      <c r="CN41" s="77">
        <f si="53" t="shared"/>
        <v>103.92242103412576</v>
      </c>
      <c r="CO41" s="77">
        <f si="54" t="shared"/>
        <v>257.48862149121965</v>
      </c>
      <c r="CP41" s="77">
        <f si="55" t="shared"/>
        <v>334.56082862891412</v>
      </c>
      <c r="CQ41" s="77">
        <f si="56" t="shared"/>
        <v>586.6379094798117</v>
      </c>
      <c r="CR41" s="77">
        <f si="57" t="shared"/>
        <v>0</v>
      </c>
      <c r="CS41" s="77">
        <f si="58" t="shared"/>
        <v>0</v>
      </c>
      <c r="CU41" s="95">
        <v>40</v>
      </c>
      <c r="CV41" s="95">
        <f si="6" t="shared"/>
        <v>2</v>
      </c>
      <c r="CW41" s="95">
        <f si="0" t="shared"/>
        <v>20</v>
      </c>
      <c r="CX41" s="58">
        <f si="1" t="shared"/>
        <v>38.829682610639253</v>
      </c>
      <c r="CY41" s="58">
        <f si="2" t="shared"/>
        <v>4.0000000000000009</v>
      </c>
      <c r="CZ41" s="108">
        <f si="3" t="shared"/>
        <v>-34.829682610639253</v>
      </c>
      <c r="DA41" s="78">
        <f si="4" t="shared"/>
        <v>-0.89698602380787917</v>
      </c>
      <c r="DB41" s="95">
        <v>40000</v>
      </c>
    </row>
    <row r="42" spans="2:106" x14ac:dyDescent="0.25">
      <c r="B42" s="95">
        <v>13</v>
      </c>
      <c r="C42" s="77">
        <f>County_Flow!Z46</f>
        <v>2358.4639685679017</v>
      </c>
      <c r="D42" s="77">
        <f>County_Flow!AA46</f>
        <v>2184.4321515324477</v>
      </c>
      <c r="E42" s="77">
        <f>County_Flow!AB46</f>
        <v>865.40411749870589</v>
      </c>
      <c r="F42" s="77">
        <f>County_Flow!AC46</f>
        <v>960.5034710699922</v>
      </c>
      <c r="G42" s="77">
        <f>County_Flow!AD46</f>
        <v>578.20406971342106</v>
      </c>
      <c r="H42" s="77">
        <f>County_Flow!AE46</f>
        <v>4479.1795532075867</v>
      </c>
      <c r="I42" s="77">
        <f>County_Flow!AF46</f>
        <v>12762.333249266629</v>
      </c>
      <c r="J42" s="77">
        <f>County_Flow!AG46</f>
        <v>150.25697864263242</v>
      </c>
      <c r="K42" s="77">
        <f>County_Flow!AH46</f>
        <v>2676.0958094959983</v>
      </c>
      <c r="L42" s="77">
        <f>County_Flow!AI46</f>
        <v>700.8822358203804</v>
      </c>
      <c r="M42" s="77">
        <f>County_Flow!AJ46</f>
        <v>1219.173712783891</v>
      </c>
      <c r="N42" s="77">
        <f>County_Flow!AK46</f>
        <v>9939.7844352708507</v>
      </c>
      <c r="O42" s="77">
        <f>County_Flow!AL46</f>
        <v>28375.745118600422</v>
      </c>
      <c r="P42" s="77">
        <f>County_Flow!AM46</f>
        <v>169.27684935688973</v>
      </c>
      <c r="Q42" s="77">
        <f>County_Flow!AN46</f>
        <v>1976.1645672113304</v>
      </c>
      <c r="R42" s="77">
        <f>County_Flow!AO46</f>
        <v>151.2079721783453</v>
      </c>
      <c r="S42" s="77">
        <f>County_Flow!AP46</f>
        <v>178.78678471401835</v>
      </c>
      <c r="T42" s="77">
        <f>County_Flow!AQ46</f>
        <v>1278.1353119980886</v>
      </c>
      <c r="U42" s="77">
        <f>County_Flow!AR46</f>
        <v>338.55369871377945</v>
      </c>
      <c r="V42" s="77">
        <f>County_Flow!AS46</f>
        <v>302.4159443566906</v>
      </c>
      <c r="W42" s="77">
        <f>County_Flow!AT46</f>
        <v>0</v>
      </c>
      <c r="X42" s="77">
        <f si="13" t="shared"/>
        <v>71645</v>
      </c>
      <c r="Y42" s="95"/>
      <c r="Z42" s="95">
        <v>13</v>
      </c>
      <c r="AA42" s="77">
        <f>County_Flow!AX46*AA$28</f>
        <v>3996</v>
      </c>
      <c r="AB42" s="77">
        <f>County_Flow!AY46*AB$28</f>
        <v>1626</v>
      </c>
      <c r="AC42" s="77">
        <f>County_Flow!AZ46*AC$28</f>
        <v>631</v>
      </c>
      <c r="AD42" s="77">
        <f>County_Flow!BA46*AD$28</f>
        <v>364</v>
      </c>
      <c r="AE42" s="77">
        <f>County_Flow!BB46*AE$28</f>
        <v>881</v>
      </c>
      <c r="AF42" s="77">
        <f>County_Flow!BC46*AF$28</f>
        <v>3515</v>
      </c>
      <c r="AG42" s="77">
        <f>County_Flow!BD46*AG$28</f>
        <v>7137</v>
      </c>
      <c r="AH42" s="77">
        <f>County_Flow!BE46*AH$28</f>
        <v>30</v>
      </c>
      <c r="AI42" s="77">
        <f>County_Flow!BF46*AI$28</f>
        <v>936</v>
      </c>
      <c r="AJ42" s="77">
        <f>County_Flow!BG46*AJ$28</f>
        <v>160</v>
      </c>
      <c r="AK42" s="77">
        <f>County_Flow!BH46*AK$28</f>
        <v>208</v>
      </c>
      <c r="AL42" s="77">
        <f>County_Flow!BI46*AL$28</f>
        <v>5606</v>
      </c>
      <c r="AM42" s="77">
        <f>County_Flow!BJ46*AM$28</f>
        <v>43339</v>
      </c>
      <c r="AN42" s="77">
        <f>County_Flow!BK46*AN$28</f>
        <v>34</v>
      </c>
      <c r="AO42" s="77">
        <f>County_Flow!BL46*AO$28</f>
        <v>1854</v>
      </c>
      <c r="AP42" s="77">
        <f>County_Flow!BM46*AP$28</f>
        <v>19</v>
      </c>
      <c r="AQ42" s="77">
        <f>County_Flow!BN46*AQ$28</f>
        <v>19</v>
      </c>
      <c r="AR42" s="77">
        <f>County_Flow!BO46*AR$28</f>
        <v>1118</v>
      </c>
      <c r="AS42" s="77">
        <f>County_Flow!BP46*AS$28</f>
        <v>117</v>
      </c>
      <c r="AT42" s="77">
        <f>County_Flow!BQ46*AT$28</f>
        <v>55</v>
      </c>
      <c r="AU42" s="77">
        <f>County_Flow!BR46</f>
        <v>0</v>
      </c>
      <c r="AV42" s="15">
        <f si="14" t="shared"/>
        <v>71645</v>
      </c>
      <c r="AW42" s="139">
        <f si="15" t="shared"/>
        <v>0</v>
      </c>
      <c r="AY42" s="95">
        <v>13</v>
      </c>
      <c r="AZ42" s="77">
        <f si="16" t="shared"/>
        <v>3996</v>
      </c>
      <c r="BA42" s="77">
        <f si="17" t="shared"/>
        <v>1626</v>
      </c>
      <c r="BB42" s="77">
        <f si="18" t="shared"/>
        <v>631</v>
      </c>
      <c r="BC42" s="77">
        <f si="19" t="shared"/>
        <v>364</v>
      </c>
      <c r="BD42" s="77">
        <f si="20" t="shared"/>
        <v>881</v>
      </c>
      <c r="BE42" s="77">
        <f si="21" t="shared"/>
        <v>3515</v>
      </c>
      <c r="BF42" s="77">
        <f si="22" t="shared"/>
        <v>7137</v>
      </c>
      <c r="BG42" s="77">
        <f si="23" t="shared"/>
        <v>30</v>
      </c>
      <c r="BH42" s="77">
        <f si="24" t="shared"/>
        <v>936</v>
      </c>
      <c r="BI42" s="77">
        <f si="25" t="shared"/>
        <v>160</v>
      </c>
      <c r="BJ42" s="77">
        <f si="26" t="shared"/>
        <v>208</v>
      </c>
      <c r="BK42" s="77">
        <f si="27" t="shared"/>
        <v>5606</v>
      </c>
      <c r="BL42" s="77">
        <f si="28" t="shared"/>
        <v>43339</v>
      </c>
      <c r="BM42" s="77">
        <f si="29" t="shared"/>
        <v>34</v>
      </c>
      <c r="BN42" s="77">
        <f si="30" t="shared"/>
        <v>1854</v>
      </c>
      <c r="BO42" s="77">
        <f si="31" t="shared"/>
        <v>19</v>
      </c>
      <c r="BP42" s="77">
        <f si="32" t="shared"/>
        <v>19</v>
      </c>
      <c r="BQ42" s="77">
        <f si="33" t="shared"/>
        <v>1118</v>
      </c>
      <c r="BR42" s="77">
        <f si="34" t="shared"/>
        <v>117</v>
      </c>
      <c r="BS42" s="77">
        <f si="35" t="shared"/>
        <v>55</v>
      </c>
      <c r="BT42" s="77">
        <f si="36" t="shared"/>
        <v>0</v>
      </c>
      <c r="BU42" s="77">
        <f si="11" t="shared"/>
        <v>71645</v>
      </c>
      <c r="BV42" s="95"/>
      <c r="BW42" s="95">
        <v>13</v>
      </c>
      <c r="BX42" s="77">
        <f si="37" t="shared"/>
        <v>1637.5360314320983</v>
      </c>
      <c r="BY42" s="77">
        <f si="38" t="shared"/>
        <v>558.43215153244773</v>
      </c>
      <c r="BZ42" s="77">
        <f si="39" t="shared"/>
        <v>234.40411749870589</v>
      </c>
      <c r="CA42" s="77">
        <f si="40" t="shared"/>
        <v>596.5034710699922</v>
      </c>
      <c r="CB42" s="77">
        <f si="41" t="shared"/>
        <v>302.79593028657894</v>
      </c>
      <c r="CC42" s="77">
        <f si="42" t="shared"/>
        <v>964.17955320758665</v>
      </c>
      <c r="CD42" s="77">
        <f si="43" t="shared"/>
        <v>5625.3332492666286</v>
      </c>
      <c r="CE42" s="77">
        <f si="44" t="shared"/>
        <v>120.25697864263242</v>
      </c>
      <c r="CF42" s="77">
        <f si="45" t="shared"/>
        <v>1740.0958094959983</v>
      </c>
      <c r="CG42" s="77">
        <f si="46" t="shared"/>
        <v>540.8822358203804</v>
      </c>
      <c r="CH42" s="77">
        <f si="47" t="shared"/>
        <v>1011.173712783891</v>
      </c>
      <c r="CI42" s="77">
        <f si="48" t="shared"/>
        <v>4333.7844352708507</v>
      </c>
      <c r="CJ42" s="77">
        <f si="49" t="shared"/>
        <v>14963.254881399578</v>
      </c>
      <c r="CK42" s="77">
        <f si="50" t="shared"/>
        <v>135.27684935688973</v>
      </c>
      <c r="CL42" s="77">
        <f si="51" t="shared"/>
        <v>122.16456721133045</v>
      </c>
      <c r="CM42" s="77">
        <f si="52" t="shared"/>
        <v>132.2079721783453</v>
      </c>
      <c r="CN42" s="77">
        <f si="53" t="shared"/>
        <v>159.78678471401835</v>
      </c>
      <c r="CO42" s="77">
        <f si="54" t="shared"/>
        <v>160.13531199808858</v>
      </c>
      <c r="CP42" s="77">
        <f si="55" t="shared"/>
        <v>221.55369871377945</v>
      </c>
      <c r="CQ42" s="77">
        <f si="56" t="shared"/>
        <v>247.4159443566906</v>
      </c>
      <c r="CR42" s="77">
        <f si="57" t="shared"/>
        <v>0</v>
      </c>
      <c r="CS42" s="77">
        <f si="58" t="shared"/>
        <v>0</v>
      </c>
      <c r="CU42" s="95">
        <v>41</v>
      </c>
      <c r="CV42" s="95">
        <f si="6" t="shared"/>
        <v>3</v>
      </c>
      <c r="CW42" s="95">
        <f si="0" t="shared"/>
        <v>1</v>
      </c>
      <c r="CX42" s="58">
        <f si="1" t="shared"/>
        <v>3947.2079004745415</v>
      </c>
      <c r="CY42" s="58">
        <f si="2" t="shared"/>
        <v>7403.9999999999991</v>
      </c>
      <c r="CZ42" s="108">
        <f si="3" t="shared"/>
        <v>3456.7920995254576</v>
      </c>
      <c r="DA42" s="78">
        <f si="4" t="shared"/>
        <v>0.87575627802879974</v>
      </c>
      <c r="DB42" s="95">
        <v>41000</v>
      </c>
    </row>
    <row r="43" spans="2:106" x14ac:dyDescent="0.25">
      <c r="B43" s="95">
        <v>14</v>
      </c>
      <c r="C43" s="77">
        <f>County_Flow!Z47</f>
        <v>1107.7513499614297</v>
      </c>
      <c r="D43" s="77">
        <f>County_Flow!AA47</f>
        <v>1015.6461815376704</v>
      </c>
      <c r="E43" s="77">
        <f>County_Flow!AB47</f>
        <v>579.18385188994603</v>
      </c>
      <c r="F43" s="77">
        <f>County_Flow!AC47</f>
        <v>584.16250964258165</v>
      </c>
      <c r="G43" s="77">
        <f>County_Flow!AD47</f>
        <v>403.27127796348674</v>
      </c>
      <c r="H43" s="77">
        <f>County_Flow!AE47</f>
        <v>1940.8467472357931</v>
      </c>
      <c r="I43" s="77">
        <f>County_Flow!AF47</f>
        <v>758.41553098482893</v>
      </c>
      <c r="J43" s="77">
        <f>County_Flow!AG47</f>
        <v>269.67729493443045</v>
      </c>
      <c r="K43" s="77">
        <f>County_Flow!AH47</f>
        <v>664.65080997685777</v>
      </c>
      <c r="L43" s="77">
        <f>County_Flow!AI47</f>
        <v>282.95371560812549</v>
      </c>
      <c r="M43" s="77">
        <f>County_Flow!AJ47</f>
        <v>1866.1668809462587</v>
      </c>
      <c r="N43" s="77">
        <f>County_Flow!AK47</f>
        <v>1661.2121367960915</v>
      </c>
      <c r="O43" s="77">
        <f>County_Flow!AL47</f>
        <v>370.91000257135511</v>
      </c>
      <c r="P43" s="77">
        <f>County_Flow!AM47</f>
        <v>5846.6037541784526</v>
      </c>
      <c r="Q43" s="77">
        <f>County_Flow!AN47</f>
        <v>198.31653381331961</v>
      </c>
      <c r="R43" s="77">
        <f>County_Flow!AO47</f>
        <v>61.403445615839544</v>
      </c>
      <c r="S43" s="77">
        <f>County_Flow!AP47</f>
        <v>1009.0079712008229</v>
      </c>
      <c r="T43" s="77">
        <f>County_Flow!AQ47</f>
        <v>112.01979943430187</v>
      </c>
      <c r="U43" s="77">
        <f>County_Flow!AR47</f>
        <v>494.54667009514014</v>
      </c>
      <c r="V43" s="77">
        <f>County_Flow!AS47</f>
        <v>135.25353561326818</v>
      </c>
      <c r="W43" s="77">
        <f>County_Flow!AT47</f>
        <v>0</v>
      </c>
      <c r="X43" s="77">
        <f si="13" t="shared"/>
        <v>19362.000000000004</v>
      </c>
      <c r="Y43" s="95"/>
      <c r="Z43" s="95">
        <v>14</v>
      </c>
      <c r="AA43" s="77">
        <f>County_Flow!AX47*AA$28</f>
        <v>3584</v>
      </c>
      <c r="AB43" s="77">
        <f>County_Flow!AY47*AB$28</f>
        <v>958</v>
      </c>
      <c r="AC43" s="77">
        <f>County_Flow!AZ47*AC$28</f>
        <v>860</v>
      </c>
      <c r="AD43" s="77">
        <f>County_Flow!BA47*AD$28</f>
        <v>618</v>
      </c>
      <c r="AE43" s="77">
        <f>County_Flow!BB47*AE$28</f>
        <v>1032</v>
      </c>
      <c r="AF43" s="77">
        <f>County_Flow!BC47*AF$28</f>
        <v>2787</v>
      </c>
      <c r="AG43" s="77">
        <f>County_Flow!BD47*AG$28</f>
        <v>419</v>
      </c>
      <c r="AH43" s="77">
        <f>County_Flow!BE47*AH$28</f>
        <v>131</v>
      </c>
      <c r="AI43" s="77">
        <f>County_Flow!BF47*AI$28</f>
        <v>501</v>
      </c>
      <c r="AJ43" s="77">
        <f>County_Flow!BG47*AJ$28</f>
        <v>200</v>
      </c>
      <c r="AK43" s="77">
        <f>County_Flow!BH47*AK$28</f>
        <v>1571</v>
      </c>
      <c r="AL43" s="77">
        <f>County_Flow!BI47*AL$28</f>
        <v>1030</v>
      </c>
      <c r="AM43" s="77">
        <f>County_Flow!BJ47*AM$28</f>
        <v>232</v>
      </c>
      <c r="AN43" s="77">
        <f>County_Flow!BK47*AN$28</f>
        <v>4343</v>
      </c>
      <c r="AO43" s="77">
        <f>County_Flow!BL47*AO$28</f>
        <v>103</v>
      </c>
      <c r="AP43" s="77">
        <f>County_Flow!BM47*AP$28</f>
        <v>17</v>
      </c>
      <c r="AQ43" s="77">
        <f>County_Flow!BN47*AQ$28</f>
        <v>607</v>
      </c>
      <c r="AR43" s="77">
        <f>County_Flow!BO47*AR$28</f>
        <v>24</v>
      </c>
      <c r="AS43" s="77">
        <f>County_Flow!BP47*AS$28</f>
        <v>344</v>
      </c>
      <c r="AT43" s="77">
        <f>County_Flow!BQ47*AT$28</f>
        <v>1</v>
      </c>
      <c r="AU43" s="77">
        <f>County_Flow!BR47</f>
        <v>0</v>
      </c>
      <c r="AV43" s="15">
        <f si="14" t="shared"/>
        <v>19362</v>
      </c>
      <c r="AW43" s="139">
        <f si="15" t="shared"/>
        <v>1.8789271806072266E-16</v>
      </c>
      <c r="AY43" s="95">
        <v>14</v>
      </c>
      <c r="AZ43" s="77">
        <f si="16" t="shared"/>
        <v>3584.0000000000009</v>
      </c>
      <c r="BA43" s="77">
        <f si="17" t="shared"/>
        <v>958.00000000000023</v>
      </c>
      <c r="BB43" s="77">
        <f si="18" t="shared"/>
        <v>860.00000000000023</v>
      </c>
      <c r="BC43" s="77">
        <f si="19" t="shared"/>
        <v>618.00000000000011</v>
      </c>
      <c r="BD43" s="77">
        <f si="20" t="shared"/>
        <v>1032.0000000000002</v>
      </c>
      <c r="BE43" s="77">
        <f si="21" t="shared"/>
        <v>2787.0000000000005</v>
      </c>
      <c r="BF43" s="77">
        <f si="22" t="shared"/>
        <v>419.00000000000011</v>
      </c>
      <c r="BG43" s="77">
        <f si="23" t="shared"/>
        <v>131.00000000000003</v>
      </c>
      <c r="BH43" s="77">
        <f si="24" t="shared"/>
        <v>501.00000000000011</v>
      </c>
      <c r="BI43" s="77">
        <f si="25" t="shared"/>
        <v>200.00000000000006</v>
      </c>
      <c r="BJ43" s="77">
        <f si="26" t="shared"/>
        <v>1571.0000000000005</v>
      </c>
      <c r="BK43" s="77">
        <f si="27" t="shared"/>
        <v>1030.0000000000002</v>
      </c>
      <c r="BL43" s="77">
        <f si="28" t="shared"/>
        <v>232.00000000000006</v>
      </c>
      <c r="BM43" s="77">
        <f si="29" t="shared"/>
        <v>4343.0000000000009</v>
      </c>
      <c r="BN43" s="77">
        <f si="30" t="shared"/>
        <v>103.00000000000003</v>
      </c>
      <c r="BO43" s="77">
        <f si="31" t="shared"/>
        <v>17.000000000000004</v>
      </c>
      <c r="BP43" s="77">
        <f si="32" t="shared"/>
        <v>607.00000000000011</v>
      </c>
      <c r="BQ43" s="77">
        <f si="33" t="shared"/>
        <v>24.000000000000007</v>
      </c>
      <c r="BR43" s="77">
        <f si="34" t="shared"/>
        <v>344.00000000000006</v>
      </c>
      <c r="BS43" s="77">
        <f si="35" t="shared"/>
        <v>1.0000000000000002</v>
      </c>
      <c r="BT43" s="77">
        <f si="36" t="shared"/>
        <v>0</v>
      </c>
      <c r="BU43" s="77">
        <f si="11" t="shared"/>
        <v>19362.000000000004</v>
      </c>
      <c r="BV43" s="95"/>
      <c r="BW43" s="95">
        <v>14</v>
      </c>
      <c r="BX43" s="77">
        <f si="37" t="shared"/>
        <v>2476.2486500385712</v>
      </c>
      <c r="BY43" s="77">
        <f si="38" t="shared"/>
        <v>57.646181537670145</v>
      </c>
      <c r="BZ43" s="77">
        <f si="39" t="shared"/>
        <v>280.8161481100542</v>
      </c>
      <c r="CA43" s="77">
        <f si="40" t="shared"/>
        <v>33.83749035741846</v>
      </c>
      <c r="CB43" s="77">
        <f si="41" t="shared"/>
        <v>628.72872203651355</v>
      </c>
      <c r="CC43" s="77">
        <f si="42" t="shared"/>
        <v>846.15325276420731</v>
      </c>
      <c r="CD43" s="77">
        <f si="43" t="shared"/>
        <v>339.41553098482882</v>
      </c>
      <c r="CE43" s="77">
        <f si="44" t="shared"/>
        <v>138.67729493443042</v>
      </c>
      <c r="CF43" s="77">
        <f si="45" t="shared"/>
        <v>163.65080997685766</v>
      </c>
      <c r="CG43" s="77">
        <f si="46" t="shared"/>
        <v>82.953715608125435</v>
      </c>
      <c r="CH43" s="77">
        <f si="47" t="shared"/>
        <v>295.16688094625829</v>
      </c>
      <c r="CI43" s="77">
        <f si="48" t="shared"/>
        <v>631.21213679609127</v>
      </c>
      <c r="CJ43" s="77">
        <f si="49" t="shared"/>
        <v>138.91000257135505</v>
      </c>
      <c r="CK43" s="77">
        <f si="50" t="shared"/>
        <v>1503.6037541784517</v>
      </c>
      <c r="CL43" s="77">
        <f si="51" t="shared"/>
        <v>95.31653381331958</v>
      </c>
      <c r="CM43" s="77">
        <f si="52" t="shared"/>
        <v>44.403445615839544</v>
      </c>
      <c r="CN43" s="77">
        <f si="53" t="shared"/>
        <v>402.00797120082279</v>
      </c>
      <c r="CO43" s="77">
        <f si="54" t="shared"/>
        <v>88.019799434301859</v>
      </c>
      <c r="CP43" s="77">
        <f si="55" t="shared"/>
        <v>150.54667009514009</v>
      </c>
      <c r="CQ43" s="77">
        <f si="56" t="shared"/>
        <v>134.25353561326818</v>
      </c>
      <c r="CR43" s="77">
        <f si="57" t="shared"/>
        <v>0</v>
      </c>
      <c r="CS43" s="77">
        <f si="58" t="shared"/>
        <v>0</v>
      </c>
      <c r="CU43" s="95">
        <v>42</v>
      </c>
      <c r="CV43" s="95">
        <f si="6" t="shared"/>
        <v>3</v>
      </c>
      <c r="CW43" s="95">
        <f si="0" t="shared"/>
        <v>2</v>
      </c>
      <c r="CX43" s="58">
        <f si="1" t="shared"/>
        <v>1638.6558932922919</v>
      </c>
      <c r="CY43" s="58">
        <f si="2" t="shared"/>
        <v>2047.9999999999998</v>
      </c>
      <c r="CZ43" s="108">
        <f si="3" t="shared"/>
        <v>409.34410670770785</v>
      </c>
      <c r="DA43" s="78">
        <f si="4" t="shared"/>
        <v>0.24980479939890096</v>
      </c>
      <c r="DB43" s="95">
        <v>42000</v>
      </c>
    </row>
    <row r="44" spans="2:106" x14ac:dyDescent="0.25">
      <c r="B44" s="95">
        <v>15</v>
      </c>
      <c r="C44" s="77">
        <f>County_Flow!Z48</f>
        <v>1124.5274894159948</v>
      </c>
      <c r="D44" s="77">
        <f>County_Flow!AA48</f>
        <v>1313.4747433741229</v>
      </c>
      <c r="E44" s="77">
        <f>County_Flow!AB48</f>
        <v>412.02154497477233</v>
      </c>
      <c r="F44" s="77">
        <f>County_Flow!AC48</f>
        <v>407.85971118714838</v>
      </c>
      <c r="G44" s="77">
        <f>County_Flow!AD48</f>
        <v>289.66363161862785</v>
      </c>
      <c r="H44" s="77">
        <f>County_Flow!AE48</f>
        <v>2035.136722148118</v>
      </c>
      <c r="I44" s="77">
        <f>County_Flow!AF48</f>
        <v>2946.5783216377658</v>
      </c>
      <c r="J44" s="77">
        <f>County_Flow!AG48</f>
        <v>99.051644145450325</v>
      </c>
      <c r="K44" s="77">
        <f>County_Flow!AH48</f>
        <v>2894.139215913704</v>
      </c>
      <c r="L44" s="77">
        <f>County_Flow!AI48</f>
        <v>292.99309864872703</v>
      </c>
      <c r="M44" s="77">
        <f>County_Flow!AJ48</f>
        <v>943.90390303311494</v>
      </c>
      <c r="N44" s="77">
        <f>County_Flow!AK48</f>
        <v>2751.8045003769644</v>
      </c>
      <c r="O44" s="77">
        <f>County_Flow!AL48</f>
        <v>2583.6664153569563</v>
      </c>
      <c r="P44" s="77">
        <f>County_Flow!AM48</f>
        <v>148.99364959693787</v>
      </c>
      <c r="Q44" s="77">
        <f>County_Flow!AN48</f>
        <v>9287.5482804616368</v>
      </c>
      <c r="R44" s="77">
        <f>County_Flow!AO48</f>
        <v>57.433306269210696</v>
      </c>
      <c r="S44" s="77">
        <f>County_Flow!AP48</f>
        <v>139.00524850664038</v>
      </c>
      <c r="T44" s="77">
        <f>County_Flow!AQ48</f>
        <v>152.32311662703705</v>
      </c>
      <c r="U44" s="77">
        <f>County_Flow!AR48</f>
        <v>709.17647741112341</v>
      </c>
      <c r="V44" s="77">
        <f>County_Flow!AS48</f>
        <v>115.69897929594617</v>
      </c>
      <c r="W44" s="77">
        <f>County_Flow!AT48</f>
        <v>0</v>
      </c>
      <c r="X44" s="77">
        <f si="13" t="shared"/>
        <v>28705.000000000004</v>
      </c>
      <c r="Y44" s="95"/>
      <c r="Z44" s="95">
        <v>15</v>
      </c>
      <c r="AA44" s="77">
        <f>County_Flow!AX48*AA$28</f>
        <v>2436</v>
      </c>
      <c r="AB44" s="77">
        <f>County_Flow!AY48*AB$28</f>
        <v>1070</v>
      </c>
      <c r="AC44" s="77">
        <f>County_Flow!AZ48*AC$28</f>
        <v>365</v>
      </c>
      <c r="AD44" s="77">
        <f>County_Flow!BA48*AD$28</f>
        <v>222</v>
      </c>
      <c r="AE44" s="77">
        <f>County_Flow!BB48*AE$28</f>
        <v>536</v>
      </c>
      <c r="AF44" s="77">
        <f>County_Flow!BC48*AF$28</f>
        <v>1938</v>
      </c>
      <c r="AG44" s="77">
        <f>County_Flow!BD48*AG$28</f>
        <v>1556</v>
      </c>
      <c r="AH44" s="77">
        <f>County_Flow!BE48*AH$28</f>
        <v>20</v>
      </c>
      <c r="AI44" s="77">
        <f>County_Flow!BF48*AI$28</f>
        <v>1698</v>
      </c>
      <c r="AJ44" s="77">
        <f>County_Flow!BG48*AJ$28</f>
        <v>83</v>
      </c>
      <c r="AK44" s="77">
        <f>County_Flow!BH48*AK$28</f>
        <v>436</v>
      </c>
      <c r="AL44" s="77">
        <f>County_Flow!BI48*AL$28</f>
        <v>1211</v>
      </c>
      <c r="AM44" s="77">
        <f>County_Flow!BJ48*AM$28</f>
        <v>6668</v>
      </c>
      <c r="AN44" s="77">
        <f>County_Flow!BK48*AN$28</f>
        <v>30</v>
      </c>
      <c r="AO44" s="77">
        <f>County_Flow!BL48*AO$28</f>
        <v>9575</v>
      </c>
      <c r="AP44" s="77">
        <f>County_Flow!BM48*AP$28</f>
        <v>4</v>
      </c>
      <c r="AQ44" s="77">
        <f>County_Flow!BN48*AQ$28</f>
        <v>54</v>
      </c>
      <c r="AR44" s="77">
        <f>County_Flow!BO48*AR$28</f>
        <v>80</v>
      </c>
      <c r="AS44" s="77">
        <f>County_Flow!BP48*AS$28</f>
        <v>719</v>
      </c>
      <c r="AT44" s="77">
        <f>County_Flow!BQ48*AT$28</f>
        <v>4</v>
      </c>
      <c r="AU44" s="77">
        <f>County_Flow!BR48</f>
        <v>0</v>
      </c>
      <c r="AV44" s="15">
        <f si="14" t="shared"/>
        <v>28705</v>
      </c>
      <c r="AW44" s="139">
        <f si="15" t="shared"/>
        <v>1.2673676387708456E-16</v>
      </c>
      <c r="AY44" s="95">
        <v>15</v>
      </c>
      <c r="AZ44" s="77">
        <f si="16" t="shared"/>
        <v>2436.0000000000005</v>
      </c>
      <c r="BA44" s="77">
        <f si="17" t="shared"/>
        <v>1070.0000000000002</v>
      </c>
      <c r="BB44" s="77">
        <f si="18" t="shared"/>
        <v>365.00000000000006</v>
      </c>
      <c r="BC44" s="77">
        <f si="19" t="shared"/>
        <v>222.00000000000003</v>
      </c>
      <c r="BD44" s="77">
        <f si="20" t="shared"/>
        <v>536.00000000000011</v>
      </c>
      <c r="BE44" s="77">
        <f si="21" t="shared"/>
        <v>1938.0000000000002</v>
      </c>
      <c r="BF44" s="77">
        <f si="22" t="shared"/>
        <v>1556.0000000000002</v>
      </c>
      <c r="BG44" s="77">
        <f si="23" t="shared"/>
        <v>20.000000000000004</v>
      </c>
      <c r="BH44" s="77">
        <f si="24" t="shared"/>
        <v>1698.0000000000002</v>
      </c>
      <c r="BI44" s="77">
        <f si="25" t="shared"/>
        <v>83.000000000000014</v>
      </c>
      <c r="BJ44" s="77">
        <f si="26" t="shared"/>
        <v>436.00000000000006</v>
      </c>
      <c r="BK44" s="77">
        <f si="27" t="shared"/>
        <v>1211.0000000000002</v>
      </c>
      <c r="BL44" s="77">
        <f si="28" t="shared"/>
        <v>6668.0000000000009</v>
      </c>
      <c r="BM44" s="77">
        <f si="29" t="shared"/>
        <v>30.000000000000004</v>
      </c>
      <c r="BN44" s="77">
        <f si="30" t="shared"/>
        <v>9575.0000000000018</v>
      </c>
      <c r="BO44" s="77">
        <f si="31" t="shared"/>
        <v>4.0000000000000009</v>
      </c>
      <c r="BP44" s="77">
        <f si="32" t="shared"/>
        <v>54.000000000000007</v>
      </c>
      <c r="BQ44" s="77">
        <f si="33" t="shared"/>
        <v>80.000000000000014</v>
      </c>
      <c r="BR44" s="77">
        <f si="34" t="shared"/>
        <v>719.00000000000011</v>
      </c>
      <c r="BS44" s="77">
        <f si="35" t="shared"/>
        <v>4.0000000000000009</v>
      </c>
      <c r="BT44" s="77">
        <f si="36" t="shared"/>
        <v>0</v>
      </c>
      <c r="BU44" s="77">
        <f si="11" t="shared"/>
        <v>28705.000000000004</v>
      </c>
      <c r="BV44" s="95"/>
      <c r="BW44" s="95">
        <v>15</v>
      </c>
      <c r="BX44" s="77">
        <f si="37" t="shared"/>
        <v>1311.4725105840057</v>
      </c>
      <c r="BY44" s="77">
        <f si="38" t="shared"/>
        <v>243.47474337412268</v>
      </c>
      <c r="BZ44" s="77">
        <f si="39" t="shared"/>
        <v>47.021544974772269</v>
      </c>
      <c r="CA44" s="77">
        <f si="40" t="shared"/>
        <v>185.85971118714835</v>
      </c>
      <c r="CB44" s="77">
        <f si="41" t="shared"/>
        <v>246.33636838137227</v>
      </c>
      <c r="CC44" s="77">
        <f si="42" t="shared"/>
        <v>97.136722148117769</v>
      </c>
      <c r="CD44" s="77">
        <f si="43" t="shared"/>
        <v>1390.5783216377656</v>
      </c>
      <c r="CE44" s="77">
        <f si="44" t="shared"/>
        <v>79.051644145450325</v>
      </c>
      <c r="CF44" s="77">
        <f si="45" t="shared"/>
        <v>1196.1392159137038</v>
      </c>
      <c r="CG44" s="77">
        <f si="46" t="shared"/>
        <v>209.99309864872703</v>
      </c>
      <c r="CH44" s="77">
        <f si="47" t="shared"/>
        <v>507.90390303311489</v>
      </c>
      <c r="CI44" s="77">
        <f si="48" t="shared"/>
        <v>1540.8045003769641</v>
      </c>
      <c r="CJ44" s="77">
        <f si="49" t="shared"/>
        <v>4084.3335846430446</v>
      </c>
      <c r="CK44" s="77">
        <f si="50" t="shared"/>
        <v>118.99364959693787</v>
      </c>
      <c r="CL44" s="77">
        <f si="51" t="shared"/>
        <v>287.45171953836507</v>
      </c>
      <c r="CM44" s="77">
        <f si="52" t="shared"/>
        <v>53.433306269210696</v>
      </c>
      <c r="CN44" s="77">
        <f si="53" t="shared"/>
        <v>85.005248506640385</v>
      </c>
      <c r="CO44" s="77">
        <f si="54" t="shared"/>
        <v>72.323116627037038</v>
      </c>
      <c r="CP44" s="77">
        <f si="55" t="shared"/>
        <v>9.823522588876699</v>
      </c>
      <c r="CQ44" s="77">
        <f si="56" t="shared"/>
        <v>111.69897929594617</v>
      </c>
      <c r="CR44" s="77">
        <f si="57" t="shared"/>
        <v>0</v>
      </c>
      <c r="CS44" s="77">
        <f si="58" t="shared"/>
        <v>0</v>
      </c>
      <c r="CU44" s="95">
        <v>43</v>
      </c>
      <c r="CV44" s="95">
        <f si="6" t="shared"/>
        <v>3</v>
      </c>
      <c r="CW44" s="95">
        <f si="0" t="shared"/>
        <v>3</v>
      </c>
      <c r="CX44" s="58">
        <f si="1" t="shared"/>
        <v>2563.265358471207</v>
      </c>
      <c r="CY44" s="58">
        <f si="2" t="shared"/>
        <v>2668.9999999999995</v>
      </c>
      <c r="CZ44" s="108">
        <f si="3" t="shared"/>
        <v>105.73464152879251</v>
      </c>
      <c r="DA44" s="78">
        <f si="4" t="shared"/>
        <v>4.1249978734880254E-2</v>
      </c>
      <c r="DB44" s="95">
        <v>43000</v>
      </c>
    </row>
    <row r="45" spans="2:106" x14ac:dyDescent="0.25">
      <c r="B45" s="95">
        <v>16</v>
      </c>
      <c r="C45" s="77">
        <f>County_Flow!Z49</f>
        <v>1007.8878061289909</v>
      </c>
      <c r="D45" s="77">
        <f>County_Flow!AA49</f>
        <v>576.05853314527508</v>
      </c>
      <c r="E45" s="77">
        <f>County_Flow!AB49</f>
        <v>238.66508526734196</v>
      </c>
      <c r="F45" s="77">
        <f>County_Flow!AC49</f>
        <v>336.53494037697141</v>
      </c>
      <c r="G45" s="77">
        <f>County_Flow!AD49</f>
        <v>464.452558020259</v>
      </c>
      <c r="H45" s="77">
        <f>County_Flow!AE49</f>
        <v>2749.7995255802025</v>
      </c>
      <c r="I45" s="77">
        <f>County_Flow!AF49</f>
        <v>512.52897807411205</v>
      </c>
      <c r="J45" s="77">
        <f>County_Flow!AG49</f>
        <v>77.265675086549564</v>
      </c>
      <c r="K45" s="77">
        <f>County_Flow!AH49</f>
        <v>408.649570457751</v>
      </c>
      <c r="L45" s="77">
        <f>County_Flow!AI49</f>
        <v>800.98749839723041</v>
      </c>
      <c r="M45" s="77">
        <f>County_Flow!AJ49</f>
        <v>260.12777279138351</v>
      </c>
      <c r="N45" s="77">
        <f>County_Flow!AK49</f>
        <v>4245.3195922554169</v>
      </c>
      <c r="O45" s="77">
        <f>County_Flow!AL49</f>
        <v>333.9594178740864</v>
      </c>
      <c r="P45" s="77">
        <f>County_Flow!AM49</f>
        <v>48.93492755481472</v>
      </c>
      <c r="Q45" s="77">
        <f>County_Flow!AN49</f>
        <v>91.860302602897804</v>
      </c>
      <c r="R45" s="77">
        <f>County_Flow!AO49</f>
        <v>764.07167585587899</v>
      </c>
      <c r="S45" s="77">
        <f>County_Flow!AP49</f>
        <v>25.755225028849853</v>
      </c>
      <c r="T45" s="77">
        <f>County_Flow!AQ49</f>
        <v>258.41075778946015</v>
      </c>
      <c r="U45" s="77">
        <f>County_Flow!AR49</f>
        <v>73.831645082702906</v>
      </c>
      <c r="V45" s="77">
        <f>County_Flow!AS49</f>
        <v>115.89851262982432</v>
      </c>
      <c r="W45" s="77">
        <f>County_Flow!AT49</f>
        <v>0</v>
      </c>
      <c r="X45" s="77">
        <f si="13" t="shared"/>
        <v>13390.999999999998</v>
      </c>
      <c r="Y45" s="95"/>
      <c r="Z45" s="95">
        <v>16</v>
      </c>
      <c r="AA45" s="77">
        <f>County_Flow!AX49*AA$28</f>
        <v>2230</v>
      </c>
      <c r="AB45" s="77">
        <f>County_Flow!AY49*AB$28</f>
        <v>580</v>
      </c>
      <c r="AC45" s="77">
        <f>County_Flow!AZ49*AC$28</f>
        <v>294</v>
      </c>
      <c r="AD45" s="77">
        <f>County_Flow!BA49*AD$28</f>
        <v>367</v>
      </c>
      <c r="AE45" s="77">
        <f>County_Flow!BB49*AE$28</f>
        <v>1050</v>
      </c>
      <c r="AF45" s="77">
        <f>County_Flow!BC49*AF$28</f>
        <v>2717</v>
      </c>
      <c r="AG45" s="77">
        <f>County_Flow!BD49*AG$28</f>
        <v>288</v>
      </c>
      <c r="AH45" s="77">
        <f>County_Flow!BE49*AH$28</f>
        <v>56</v>
      </c>
      <c r="AI45" s="77">
        <f>County_Flow!BF49*AI$28</f>
        <v>189</v>
      </c>
      <c r="AJ45" s="77">
        <f>County_Flow!BG49*AJ$28</f>
        <v>544</v>
      </c>
      <c r="AK45" s="77">
        <f>County_Flow!BH49*AK$28</f>
        <v>133</v>
      </c>
      <c r="AL45" s="77">
        <f>County_Flow!BI49*AL$28</f>
        <v>3870</v>
      </c>
      <c r="AM45" s="77">
        <f>County_Flow!BJ49*AM$28</f>
        <v>274</v>
      </c>
      <c r="AN45" s="77">
        <f>County_Flow!BK49*AN$28</f>
        <v>19</v>
      </c>
      <c r="AO45" s="77">
        <f>County_Flow!BL49*AO$28</f>
        <v>34</v>
      </c>
      <c r="AP45" s="77">
        <f>County_Flow!BM49*AP$28</f>
        <v>458</v>
      </c>
      <c r="AQ45" s="77">
        <f>County_Flow!BN49*AQ$28</f>
        <v>15</v>
      </c>
      <c r="AR45" s="77">
        <f>County_Flow!BO49*AR$28</f>
        <v>196</v>
      </c>
      <c r="AS45" s="77">
        <f>County_Flow!BP49*AS$28</f>
        <v>10</v>
      </c>
      <c r="AT45" s="77">
        <f>County_Flow!BQ49*AT$28</f>
        <v>67</v>
      </c>
      <c r="AU45" s="77">
        <f>County_Flow!BR49</f>
        <v>0</v>
      </c>
      <c r="AV45" s="15">
        <f si="14" t="shared"/>
        <v>13391</v>
      </c>
      <c r="AW45" s="139">
        <f si="15" t="shared"/>
        <v>1.3583671148875041E-16</v>
      </c>
      <c r="AY45" s="95">
        <v>16</v>
      </c>
      <c r="AZ45" s="77">
        <f si="16" t="shared"/>
        <v>2229.9999999999995</v>
      </c>
      <c r="BA45" s="77">
        <f si="17" t="shared"/>
        <v>579.99999999999989</v>
      </c>
      <c r="BB45" s="77">
        <f si="18" t="shared"/>
        <v>293.99999999999994</v>
      </c>
      <c r="BC45" s="77">
        <f si="19" t="shared"/>
        <v>366.99999999999994</v>
      </c>
      <c r="BD45" s="77">
        <f si="20" t="shared"/>
        <v>1049.9999999999998</v>
      </c>
      <c r="BE45" s="77">
        <f si="21" t="shared"/>
        <v>2716.9999999999995</v>
      </c>
      <c r="BF45" s="77">
        <f si="22" t="shared"/>
        <v>287.99999999999994</v>
      </c>
      <c r="BG45" s="77">
        <f si="23" t="shared"/>
        <v>55.999999999999993</v>
      </c>
      <c r="BH45" s="77">
        <f si="24" t="shared"/>
        <v>188.99999999999997</v>
      </c>
      <c r="BI45" s="77">
        <f si="25" t="shared"/>
        <v>543.99999999999989</v>
      </c>
      <c r="BJ45" s="77">
        <f si="26" t="shared"/>
        <v>132.99999999999997</v>
      </c>
      <c r="BK45" s="77">
        <f si="27" t="shared"/>
        <v>3869.9999999999995</v>
      </c>
      <c r="BL45" s="77">
        <f si="28" t="shared"/>
        <v>273.99999999999994</v>
      </c>
      <c r="BM45" s="77">
        <f si="29" t="shared"/>
        <v>18.999999999999996</v>
      </c>
      <c r="BN45" s="77">
        <f si="30" t="shared"/>
        <v>33.999999999999993</v>
      </c>
      <c r="BO45" s="77">
        <f si="31" t="shared"/>
        <v>457.99999999999994</v>
      </c>
      <c r="BP45" s="77">
        <f si="32" t="shared"/>
        <v>14.999999999999998</v>
      </c>
      <c r="BQ45" s="77">
        <f si="33" t="shared"/>
        <v>195.99999999999997</v>
      </c>
      <c r="BR45" s="77">
        <f si="34" t="shared"/>
        <v>9.9999999999999982</v>
      </c>
      <c r="BS45" s="77">
        <f si="35" t="shared"/>
        <v>66.999999999999986</v>
      </c>
      <c r="BT45" s="77">
        <f si="36" t="shared"/>
        <v>0</v>
      </c>
      <c r="BU45" s="77">
        <f si="11" t="shared"/>
        <v>13390.999999999998</v>
      </c>
      <c r="BV45" s="95"/>
      <c r="BW45" s="95">
        <v>16</v>
      </c>
      <c r="BX45" s="77">
        <f si="37" t="shared"/>
        <v>1222.1121938710087</v>
      </c>
      <c r="BY45" s="77">
        <f si="38" t="shared"/>
        <v>3.9414668547248084</v>
      </c>
      <c r="BZ45" s="77">
        <f si="39" t="shared"/>
        <v>55.334914732657978</v>
      </c>
      <c r="CA45" s="77">
        <f si="40" t="shared"/>
        <v>30.465059623028537</v>
      </c>
      <c r="CB45" s="77">
        <f si="41" t="shared"/>
        <v>585.54744197974082</v>
      </c>
      <c r="CC45" s="77">
        <f si="42" t="shared"/>
        <v>32.799525580202953</v>
      </c>
      <c r="CD45" s="77">
        <f si="43" t="shared"/>
        <v>224.5289780741121</v>
      </c>
      <c r="CE45" s="77">
        <f si="44" t="shared"/>
        <v>21.265675086549571</v>
      </c>
      <c r="CF45" s="77">
        <f si="45" t="shared"/>
        <v>219.64957045775103</v>
      </c>
      <c r="CG45" s="77">
        <f si="46" t="shared"/>
        <v>256.98749839723052</v>
      </c>
      <c r="CH45" s="77">
        <f si="47" t="shared"/>
        <v>127.12777279138353</v>
      </c>
      <c r="CI45" s="77">
        <f si="48" t="shared"/>
        <v>375.31959225541732</v>
      </c>
      <c r="CJ45" s="77">
        <f si="49" t="shared"/>
        <v>59.959417874086455</v>
      </c>
      <c r="CK45" s="77">
        <f si="50" t="shared"/>
        <v>29.934927554814724</v>
      </c>
      <c r="CL45" s="77">
        <f si="51" t="shared"/>
        <v>57.860302602897811</v>
      </c>
      <c r="CM45" s="77">
        <f si="52" t="shared"/>
        <v>306.07167585587905</v>
      </c>
      <c r="CN45" s="77">
        <f si="53" t="shared"/>
        <v>10.755225028849855</v>
      </c>
      <c r="CO45" s="77">
        <f si="54" t="shared"/>
        <v>62.410757789460177</v>
      </c>
      <c r="CP45" s="77">
        <f si="55" t="shared"/>
        <v>63.831645082702906</v>
      </c>
      <c r="CQ45" s="77">
        <f si="56" t="shared"/>
        <v>48.898512629824339</v>
      </c>
      <c r="CR45" s="77">
        <f si="57" t="shared"/>
        <v>0</v>
      </c>
      <c r="CS45" s="77">
        <f si="58" t="shared"/>
        <v>0</v>
      </c>
      <c r="CU45" s="95">
        <v>44</v>
      </c>
      <c r="CV45" s="95">
        <f si="6" t="shared"/>
        <v>3</v>
      </c>
      <c r="CW45" s="95">
        <f si="0" t="shared"/>
        <v>4</v>
      </c>
      <c r="CX45" s="58">
        <f si="1" t="shared"/>
        <v>1146.2100808003079</v>
      </c>
      <c r="CY45" s="58">
        <f si="2" t="shared"/>
        <v>891.99999999999989</v>
      </c>
      <c r="CZ45" s="108">
        <f si="3" t="shared"/>
        <v>-254.21008080030799</v>
      </c>
      <c r="DA45" s="78">
        <f si="4" t="shared"/>
        <v>-0.22178314870762014</v>
      </c>
      <c r="DB45" s="95">
        <v>44000</v>
      </c>
    </row>
    <row r="46" spans="2:106" x14ac:dyDescent="0.25">
      <c r="B46" s="95">
        <v>17</v>
      </c>
      <c r="C46" s="77">
        <f>County_Flow!Z50</f>
        <v>949.23243436876305</v>
      </c>
      <c r="D46" s="77">
        <f>County_Flow!AA50</f>
        <v>882.88347576889612</v>
      </c>
      <c r="E46" s="77">
        <f>County_Flow!AB50</f>
        <v>478.59715470037355</v>
      </c>
      <c r="F46" s="77">
        <f>County_Flow!AC50</f>
        <v>507.79069648431499</v>
      </c>
      <c r="G46" s="77">
        <f>County_Flow!AD50</f>
        <v>301.66659843406171</v>
      </c>
      <c r="H46" s="77">
        <f>County_Flow!AE50</f>
        <v>1686.148201217952</v>
      </c>
      <c r="I46" s="77">
        <f>County_Flow!AF50</f>
        <v>697.10639168926866</v>
      </c>
      <c r="J46" s="77">
        <f>County_Flow!AG50</f>
        <v>180.46916739163808</v>
      </c>
      <c r="K46" s="77">
        <f>County_Flow!AH50</f>
        <v>702.41430837725818</v>
      </c>
      <c r="L46" s="77">
        <f>County_Flow!AI50</f>
        <v>220.27854255155825</v>
      </c>
      <c r="M46" s="77">
        <f>County_Flow!AJ50</f>
        <v>2873.3522337649047</v>
      </c>
      <c r="N46" s="77">
        <f>County_Flow!AK50</f>
        <v>1349.9801443119595</v>
      </c>
      <c r="O46" s="77">
        <f>County_Flow!AL50</f>
        <v>298.12798730873544</v>
      </c>
      <c r="P46" s="77">
        <f>County_Flow!AM50</f>
        <v>1335.8256998106547</v>
      </c>
      <c r="Q46" s="77">
        <f>County_Flow!AN50</f>
        <v>268.934445524794</v>
      </c>
      <c r="R46" s="77">
        <f>County_Flow!AO50</f>
        <v>61.925694693209145</v>
      </c>
      <c r="S46" s="77">
        <f>County_Flow!AP50</f>
        <v>2515.0678573256232</v>
      </c>
      <c r="T46" s="77">
        <f>County_Flow!AQ50</f>
        <v>76.964791975845657</v>
      </c>
      <c r="U46" s="77">
        <f>County_Flow!AR50</f>
        <v>1826.8079934496698</v>
      </c>
      <c r="V46" s="77">
        <f>County_Flow!AS50</f>
        <v>73.426180850519415</v>
      </c>
      <c r="W46" s="77">
        <f>County_Flow!AT50</f>
        <v>0</v>
      </c>
      <c r="X46" s="77">
        <f si="13" t="shared"/>
        <v>17287</v>
      </c>
      <c r="Y46" s="95"/>
      <c r="Z46" s="95">
        <v>17</v>
      </c>
      <c r="AA46" s="77">
        <f>County_Flow!AX50*AA$28</f>
        <v>3188</v>
      </c>
      <c r="AB46" s="77">
        <f>County_Flow!AY50*AB$28</f>
        <v>788</v>
      </c>
      <c r="AC46" s="77">
        <f>County_Flow!AZ50*AC$28</f>
        <v>906</v>
      </c>
      <c r="AD46" s="77">
        <f>County_Flow!BA50*AD$28</f>
        <v>492</v>
      </c>
      <c r="AE46" s="77">
        <f>County_Flow!BB50*AE$28</f>
        <v>852</v>
      </c>
      <c r="AF46" s="77">
        <f>County_Flow!BC50*AF$28</f>
        <v>2350</v>
      </c>
      <c r="AG46" s="77">
        <f>County_Flow!BD50*AG$28</f>
        <v>367</v>
      </c>
      <c r="AH46" s="77">
        <f>County_Flow!BE50*AH$28</f>
        <v>59</v>
      </c>
      <c r="AI46" s="77">
        <f>County_Flow!BF50*AI$28</f>
        <v>549</v>
      </c>
      <c r="AJ46" s="77">
        <f>County_Flow!BG50*AJ$28</f>
        <v>129</v>
      </c>
      <c r="AK46" s="77">
        <f>County_Flow!BH50*AK$28</f>
        <v>1939</v>
      </c>
      <c r="AL46" s="77">
        <f>County_Flow!BI50*AL$28</f>
        <v>935</v>
      </c>
      <c r="AM46" s="77">
        <f>County_Flow!BJ50*AM$28</f>
        <v>214</v>
      </c>
      <c r="AN46" s="77">
        <f>County_Flow!BK50*AN$28</f>
        <v>1043</v>
      </c>
      <c r="AO46" s="77">
        <f>County_Flow!BL50*AO$28</f>
        <v>315</v>
      </c>
      <c r="AP46" s="77">
        <f>County_Flow!BM50*AP$28</f>
        <v>9</v>
      </c>
      <c r="AQ46" s="77">
        <f>County_Flow!BN50*AQ$28</f>
        <v>1729</v>
      </c>
      <c r="AR46" s="77">
        <f>County_Flow!BO50*AR$28</f>
        <v>14</v>
      </c>
      <c r="AS46" s="77">
        <f>County_Flow!BP50*AS$28</f>
        <v>1405</v>
      </c>
      <c r="AT46" s="77">
        <f>County_Flow!BQ50*AT$28</f>
        <v>4</v>
      </c>
      <c r="AU46" s="77">
        <f>County_Flow!BR50</f>
        <v>0</v>
      </c>
      <c r="AV46" s="15">
        <f si="14" t="shared"/>
        <v>17287</v>
      </c>
      <c r="AW46" s="139">
        <f si="15" t="shared"/>
        <v>0</v>
      </c>
      <c r="AY46" s="95">
        <v>17</v>
      </c>
      <c r="AZ46" s="77">
        <f si="16" t="shared"/>
        <v>3188</v>
      </c>
      <c r="BA46" s="77">
        <f si="17" t="shared"/>
        <v>788</v>
      </c>
      <c r="BB46" s="77">
        <f si="18" t="shared"/>
        <v>906</v>
      </c>
      <c r="BC46" s="77">
        <f si="19" t="shared"/>
        <v>492</v>
      </c>
      <c r="BD46" s="77">
        <f si="20" t="shared"/>
        <v>852</v>
      </c>
      <c r="BE46" s="77">
        <f si="21" t="shared"/>
        <v>2350</v>
      </c>
      <c r="BF46" s="77">
        <f si="22" t="shared"/>
        <v>367</v>
      </c>
      <c r="BG46" s="77">
        <f si="23" t="shared"/>
        <v>59</v>
      </c>
      <c r="BH46" s="77">
        <f si="24" t="shared"/>
        <v>549</v>
      </c>
      <c r="BI46" s="77">
        <f si="25" t="shared"/>
        <v>129</v>
      </c>
      <c r="BJ46" s="77">
        <f si="26" t="shared"/>
        <v>1939</v>
      </c>
      <c r="BK46" s="77">
        <f si="27" t="shared"/>
        <v>935</v>
      </c>
      <c r="BL46" s="77">
        <f si="28" t="shared"/>
        <v>214</v>
      </c>
      <c r="BM46" s="77">
        <f si="29" t="shared"/>
        <v>1043</v>
      </c>
      <c r="BN46" s="77">
        <f si="30" t="shared"/>
        <v>315</v>
      </c>
      <c r="BO46" s="77">
        <f si="31" t="shared"/>
        <v>9</v>
      </c>
      <c r="BP46" s="77">
        <f si="32" t="shared"/>
        <v>1729</v>
      </c>
      <c r="BQ46" s="77">
        <f si="33" t="shared"/>
        <v>14</v>
      </c>
      <c r="BR46" s="77">
        <f si="34" t="shared"/>
        <v>1405</v>
      </c>
      <c r="BS46" s="77">
        <f si="35" t="shared"/>
        <v>4</v>
      </c>
      <c r="BT46" s="77">
        <f si="36" t="shared"/>
        <v>0</v>
      </c>
      <c r="BU46" s="77">
        <f si="11" t="shared"/>
        <v>17287</v>
      </c>
      <c r="BV46" s="95"/>
      <c r="BW46" s="95">
        <v>17</v>
      </c>
      <c r="BX46" s="77">
        <f si="37" t="shared"/>
        <v>2238.7675656312367</v>
      </c>
      <c r="BY46" s="77">
        <f si="38" t="shared"/>
        <v>94.883475768896119</v>
      </c>
      <c r="BZ46" s="77">
        <f si="39" t="shared"/>
        <v>427.40284529962645</v>
      </c>
      <c r="CA46" s="77">
        <f si="40" t="shared"/>
        <v>15.790696484314992</v>
      </c>
      <c r="CB46" s="77">
        <f si="41" t="shared"/>
        <v>550.33340156593829</v>
      </c>
      <c r="CC46" s="77">
        <f si="42" t="shared"/>
        <v>663.85179878204804</v>
      </c>
      <c r="CD46" s="77">
        <f si="43" t="shared"/>
        <v>330.10639168926866</v>
      </c>
      <c r="CE46" s="77">
        <f si="44" t="shared"/>
        <v>121.46916739163808</v>
      </c>
      <c r="CF46" s="77">
        <f si="45" t="shared"/>
        <v>153.41430837725818</v>
      </c>
      <c r="CG46" s="77">
        <f si="46" t="shared"/>
        <v>91.278542551558246</v>
      </c>
      <c r="CH46" s="77">
        <f si="47" t="shared"/>
        <v>934.35223376490467</v>
      </c>
      <c r="CI46" s="77">
        <f si="48" t="shared"/>
        <v>414.98014431195952</v>
      </c>
      <c r="CJ46" s="77">
        <f si="49" t="shared"/>
        <v>84.127987308735442</v>
      </c>
      <c r="CK46" s="77">
        <f si="50" t="shared"/>
        <v>292.82569981065467</v>
      </c>
      <c r="CL46" s="77">
        <f si="51" t="shared"/>
        <v>46.065554475206</v>
      </c>
      <c r="CM46" s="77">
        <f si="52" t="shared"/>
        <v>52.925694693209145</v>
      </c>
      <c r="CN46" s="77">
        <f si="53" t="shared"/>
        <v>786.06785732562321</v>
      </c>
      <c r="CO46" s="77">
        <f si="54" t="shared"/>
        <v>62.964791975845657</v>
      </c>
      <c r="CP46" s="77">
        <f si="55" t="shared"/>
        <v>421.80799344966977</v>
      </c>
      <c r="CQ46" s="77">
        <f si="56" t="shared"/>
        <v>69.426180850519415</v>
      </c>
      <c r="CR46" s="77">
        <f si="57" t="shared"/>
        <v>0</v>
      </c>
      <c r="CS46" s="77">
        <f si="58" t="shared"/>
        <v>0</v>
      </c>
      <c r="CU46" s="95">
        <v>45</v>
      </c>
      <c r="CV46" s="95">
        <f si="6" t="shared"/>
        <v>3</v>
      </c>
      <c r="CW46" s="95">
        <f si="0" t="shared"/>
        <v>5</v>
      </c>
      <c r="CX46" s="58">
        <f si="1" t="shared"/>
        <v>1054.5132743362831</v>
      </c>
      <c r="CY46" s="58">
        <f si="2" t="shared"/>
        <v>1733.9999999999998</v>
      </c>
      <c r="CZ46" s="108">
        <f si="3" t="shared"/>
        <v>679.4867256637167</v>
      </c>
      <c r="DA46" s="78">
        <f si="4" t="shared"/>
        <v>0.64436052366565955</v>
      </c>
      <c r="DB46" s="95">
        <v>45000</v>
      </c>
    </row>
    <row r="47" spans="2:106" x14ac:dyDescent="0.25">
      <c r="B47" s="95">
        <v>18</v>
      </c>
      <c r="C47" s="77">
        <f>County_Flow!Z51</f>
        <v>1284.8129790069977</v>
      </c>
      <c r="D47" s="77">
        <f>County_Flow!AA51</f>
        <v>917.463762079307</v>
      </c>
      <c r="E47" s="77">
        <f>County_Flow!AB51</f>
        <v>315.52024325224926</v>
      </c>
      <c r="F47" s="77">
        <f>County_Flow!AC51</f>
        <v>408.26682772409197</v>
      </c>
      <c r="G47" s="77">
        <f>County_Flow!AD51</f>
        <v>328.2501666111296</v>
      </c>
      <c r="H47" s="77">
        <f>County_Flow!AE51</f>
        <v>2766.0304898367212</v>
      </c>
      <c r="I47" s="77">
        <f>County_Flow!AF51</f>
        <v>2827.8615461512827</v>
      </c>
      <c r="J47" s="77">
        <f>County_Flow!AG51</f>
        <v>80.925941352882376</v>
      </c>
      <c r="K47" s="77">
        <f>County_Flow!AH51</f>
        <v>956.56281239586804</v>
      </c>
      <c r="L47" s="77">
        <f>County_Flow!AI51</f>
        <v>445.5473175608131</v>
      </c>
      <c r="M47" s="77">
        <f>County_Flow!AJ51</f>
        <v>418.26891036321223</v>
      </c>
      <c r="N47" s="77">
        <f>County_Flow!AK51</f>
        <v>13032.713678773744</v>
      </c>
      <c r="O47" s="77">
        <f>County_Flow!AL51</f>
        <v>3727.139703432189</v>
      </c>
      <c r="P47" s="77">
        <f>County_Flow!AM51</f>
        <v>58.193935354881702</v>
      </c>
      <c r="Q47" s="77">
        <f>County_Flow!AN51</f>
        <v>330.06872709096967</v>
      </c>
      <c r="R47" s="77">
        <f>County_Flow!AO51</f>
        <v>152.75908030656447</v>
      </c>
      <c r="S47" s="77">
        <f>County_Flow!AP51</f>
        <v>50.919693435521495</v>
      </c>
      <c r="T47" s="77">
        <f>County_Flow!AQ51</f>
        <v>3158.839553482173</v>
      </c>
      <c r="U47" s="77">
        <f>County_Flow!AR51</f>
        <v>120.02499166944352</v>
      </c>
      <c r="V47" s="77">
        <f>County_Flow!AS51</f>
        <v>1364.82964011996</v>
      </c>
      <c r="W47" s="77">
        <f>County_Flow!AT51</f>
        <v>0</v>
      </c>
      <c r="X47" s="77">
        <f si="13" t="shared"/>
        <v>32745</v>
      </c>
      <c r="Y47" s="95"/>
      <c r="Z47" s="95">
        <v>18</v>
      </c>
      <c r="AA47" s="77">
        <f>County_Flow!AX51*AA$28</f>
        <v>2596</v>
      </c>
      <c r="AB47" s="77">
        <f>County_Flow!AY51*AB$28</f>
        <v>887</v>
      </c>
      <c r="AC47" s="77">
        <f>County_Flow!AZ51*AC$28</f>
        <v>345</v>
      </c>
      <c r="AD47" s="77">
        <f>County_Flow!BA51*AD$28</f>
        <v>228</v>
      </c>
      <c r="AE47" s="77">
        <f>County_Flow!BB51*AE$28</f>
        <v>648</v>
      </c>
      <c r="AF47" s="77">
        <f>County_Flow!BC51*AF$28</f>
        <v>2546</v>
      </c>
      <c r="AG47" s="77">
        <f>County_Flow!BD51*AG$28</f>
        <v>1308</v>
      </c>
      <c r="AH47" s="77">
        <f>County_Flow!BE51*AH$28</f>
        <v>23</v>
      </c>
      <c r="AI47" s="77">
        <f>County_Flow!BF51*AI$28</f>
        <v>334</v>
      </c>
      <c r="AJ47" s="77">
        <f>County_Flow!BG51*AJ$28</f>
        <v>189</v>
      </c>
      <c r="AK47" s="77">
        <f>County_Flow!BH51*AK$28</f>
        <v>128</v>
      </c>
      <c r="AL47" s="77">
        <f>County_Flow!BI51*AL$28</f>
        <v>10453</v>
      </c>
      <c r="AM47" s="77">
        <f>County_Flow!BJ51*AM$28</f>
        <v>8285</v>
      </c>
      <c r="AN47" s="77">
        <f>County_Flow!BK51*AN$28</f>
        <v>18</v>
      </c>
      <c r="AO47" s="77">
        <f>County_Flow!BL51*AO$28</f>
        <v>148</v>
      </c>
      <c r="AP47" s="77">
        <f>County_Flow!BM51*AP$28</f>
        <v>73</v>
      </c>
      <c r="AQ47" s="77">
        <f>County_Flow!BN51*AQ$28</f>
        <v>11</v>
      </c>
      <c r="AR47" s="77">
        <f>County_Flow!BO51*AR$28</f>
        <v>3734</v>
      </c>
      <c r="AS47" s="77">
        <f>County_Flow!BP51*AS$28</f>
        <v>17</v>
      </c>
      <c r="AT47" s="77">
        <f>County_Flow!BQ51*AT$28</f>
        <v>774</v>
      </c>
      <c r="AU47" s="77">
        <f>County_Flow!BR51</f>
        <v>0</v>
      </c>
      <c r="AV47" s="15">
        <f si="14" t="shared"/>
        <v>32745</v>
      </c>
      <c r="AW47" s="139">
        <f si="15" t="shared"/>
        <v>0</v>
      </c>
      <c r="AY47" s="95">
        <v>18</v>
      </c>
      <c r="AZ47" s="77">
        <f si="16" t="shared"/>
        <v>2596</v>
      </c>
      <c r="BA47" s="77">
        <f si="17" t="shared"/>
        <v>887</v>
      </c>
      <c r="BB47" s="77">
        <f si="18" t="shared"/>
        <v>345</v>
      </c>
      <c r="BC47" s="77">
        <f si="19" t="shared"/>
        <v>228</v>
      </c>
      <c r="BD47" s="77">
        <f si="20" t="shared"/>
        <v>648</v>
      </c>
      <c r="BE47" s="77">
        <f si="21" t="shared"/>
        <v>2546</v>
      </c>
      <c r="BF47" s="77">
        <f si="22" t="shared"/>
        <v>1308</v>
      </c>
      <c r="BG47" s="77">
        <f si="23" t="shared"/>
        <v>23</v>
      </c>
      <c r="BH47" s="77">
        <f si="24" t="shared"/>
        <v>334</v>
      </c>
      <c r="BI47" s="77">
        <f si="25" t="shared"/>
        <v>189</v>
      </c>
      <c r="BJ47" s="77">
        <f si="26" t="shared"/>
        <v>128</v>
      </c>
      <c r="BK47" s="77">
        <f si="27" t="shared"/>
        <v>10453</v>
      </c>
      <c r="BL47" s="77">
        <f si="28" t="shared"/>
        <v>8285</v>
      </c>
      <c r="BM47" s="77">
        <f si="29" t="shared"/>
        <v>18</v>
      </c>
      <c r="BN47" s="77">
        <f si="30" t="shared"/>
        <v>148</v>
      </c>
      <c r="BO47" s="77">
        <f si="31" t="shared"/>
        <v>73</v>
      </c>
      <c r="BP47" s="77">
        <f si="32" t="shared"/>
        <v>11</v>
      </c>
      <c r="BQ47" s="77">
        <f si="33" t="shared"/>
        <v>3734</v>
      </c>
      <c r="BR47" s="77">
        <f si="34" t="shared"/>
        <v>17</v>
      </c>
      <c r="BS47" s="77">
        <f si="35" t="shared"/>
        <v>774</v>
      </c>
      <c r="BT47" s="77">
        <f si="36" t="shared"/>
        <v>0</v>
      </c>
      <c r="BU47" s="77">
        <f si="11" t="shared"/>
        <v>32745</v>
      </c>
      <c r="BV47" s="95"/>
      <c r="BW47" s="95">
        <v>18</v>
      </c>
      <c r="BX47" s="77">
        <f si="37" t="shared"/>
        <v>1311.1870209930023</v>
      </c>
      <c r="BY47" s="77">
        <f si="38" t="shared"/>
        <v>30.463762079307003</v>
      </c>
      <c r="BZ47" s="77">
        <f si="39" t="shared"/>
        <v>29.479756747750741</v>
      </c>
      <c r="CA47" s="77">
        <f si="40" t="shared"/>
        <v>180.26682772409197</v>
      </c>
      <c r="CB47" s="77">
        <f si="41" t="shared"/>
        <v>319.7498333888704</v>
      </c>
      <c r="CC47" s="77">
        <f si="42" t="shared"/>
        <v>220.03048983672124</v>
      </c>
      <c r="CD47" s="77">
        <f si="43" t="shared"/>
        <v>1519.8615461512827</v>
      </c>
      <c r="CE47" s="77">
        <f si="44" t="shared"/>
        <v>57.925941352882376</v>
      </c>
      <c r="CF47" s="77">
        <f si="45" t="shared"/>
        <v>622.56281239586804</v>
      </c>
      <c r="CG47" s="77">
        <f si="46" t="shared"/>
        <v>256.5473175608131</v>
      </c>
      <c r="CH47" s="77">
        <f si="47" t="shared"/>
        <v>290.26891036321223</v>
      </c>
      <c r="CI47" s="77">
        <f si="48" t="shared"/>
        <v>2579.7136787737436</v>
      </c>
      <c r="CJ47" s="77">
        <f si="49" t="shared"/>
        <v>4557.860296567811</v>
      </c>
      <c r="CK47" s="77">
        <f si="50" t="shared"/>
        <v>40.193935354881702</v>
      </c>
      <c r="CL47" s="77">
        <f si="51" t="shared"/>
        <v>182.06872709096967</v>
      </c>
      <c r="CM47" s="77">
        <f si="52" t="shared"/>
        <v>79.759080306564471</v>
      </c>
      <c r="CN47" s="77">
        <f si="53" t="shared"/>
        <v>39.919693435521495</v>
      </c>
      <c r="CO47" s="77">
        <f si="54" t="shared"/>
        <v>575.16044651782704</v>
      </c>
      <c r="CP47" s="77">
        <f si="55" t="shared"/>
        <v>103.02499166944352</v>
      </c>
      <c r="CQ47" s="77">
        <f si="56" t="shared"/>
        <v>590.82964011996</v>
      </c>
      <c r="CR47" s="77">
        <f si="57" t="shared"/>
        <v>0</v>
      </c>
      <c r="CS47" s="77">
        <f si="58" t="shared"/>
        <v>0</v>
      </c>
      <c r="CU47" s="95">
        <v>46</v>
      </c>
      <c r="CV47" s="95">
        <f si="6" t="shared"/>
        <v>3</v>
      </c>
      <c r="CW47" s="95">
        <f si="0" t="shared"/>
        <v>6</v>
      </c>
      <c r="CX47" s="58">
        <f si="1" t="shared"/>
        <v>5735.2956265230214</v>
      </c>
      <c r="CY47" s="58">
        <f si="2" t="shared"/>
        <v>5170.9999999999991</v>
      </c>
      <c r="CZ47" s="108">
        <f si="3" t="shared"/>
        <v>-564.29562652302229</v>
      </c>
      <c r="DA47" s="78">
        <f si="4" t="shared"/>
        <v>-9.8389980790776113E-2</v>
      </c>
      <c r="DB47" s="95">
        <v>46000</v>
      </c>
    </row>
    <row r="48" spans="2:106" x14ac:dyDescent="0.25">
      <c r="B48" s="95">
        <v>19</v>
      </c>
      <c r="C48" s="77">
        <f>County_Flow!Z52</f>
        <v>1377.7707341518415</v>
      </c>
      <c r="D48" s="77">
        <f>County_Flow!AA52</f>
        <v>1254.8907541969431</v>
      </c>
      <c r="E48" s="77">
        <f>County_Flow!AB52</f>
        <v>668.26509646705097</v>
      </c>
      <c r="F48" s="77">
        <f>County_Flow!AC52</f>
        <v>701.9308443998998</v>
      </c>
      <c r="G48" s="77">
        <f>County_Flow!AD52</f>
        <v>421.66349285893256</v>
      </c>
      <c r="H48" s="77">
        <f>County_Flow!AE52</f>
        <v>2531.664244550238</v>
      </c>
      <c r="I48" s="77">
        <f>County_Flow!AF52</f>
        <v>1275.9318466549737</v>
      </c>
      <c r="J48" s="77">
        <f>County_Flow!AG52</f>
        <v>185.161613630669</v>
      </c>
      <c r="K48" s="77">
        <f>County_Flow!AH52</f>
        <v>1541.0496116261588</v>
      </c>
      <c r="L48" s="77">
        <f>County_Flow!AI52</f>
        <v>318.14131796542216</v>
      </c>
      <c r="M48" s="77">
        <f>County_Flow!AJ52</f>
        <v>4975.7975444750691</v>
      </c>
      <c r="N48" s="77">
        <f>County_Flow!AK52</f>
        <v>2685.685041343022</v>
      </c>
      <c r="O48" s="77">
        <f>County_Flow!AL52</f>
        <v>622.81633675770479</v>
      </c>
      <c r="P48" s="77">
        <f>County_Flow!AM52</f>
        <v>589.99223252317722</v>
      </c>
      <c r="Q48" s="77">
        <f>County_Flow!AN52</f>
        <v>1244.7910298170887</v>
      </c>
      <c r="R48" s="77">
        <f>County_Flow!AO52</f>
        <v>75.74793284891004</v>
      </c>
      <c r="S48" s="77">
        <f>County_Flow!AP52</f>
        <v>2567.0132798797295</v>
      </c>
      <c r="T48" s="77">
        <f>County_Flow!AQ52</f>
        <v>146.44600350789275</v>
      </c>
      <c r="U48" s="77">
        <f>County_Flow!AR52</f>
        <v>10294.985717865196</v>
      </c>
      <c r="V48" s="77">
        <f>County_Flow!AS52</f>
        <v>110.25532448008019</v>
      </c>
      <c r="W48" s="77">
        <f>County_Flow!AT52</f>
        <v>0</v>
      </c>
      <c r="X48" s="77">
        <f si="13" t="shared"/>
        <v>33590</v>
      </c>
      <c r="Y48" s="95"/>
      <c r="Z48" s="95">
        <v>19</v>
      </c>
      <c r="AA48" s="77">
        <f>County_Flow!AX52*AA$28</f>
        <v>4599</v>
      </c>
      <c r="AB48" s="77">
        <f>County_Flow!AY52*AB$28</f>
        <v>1187</v>
      </c>
      <c r="AC48" s="77">
        <f>County_Flow!AZ52*AC$28</f>
        <v>1210</v>
      </c>
      <c r="AD48" s="77">
        <f>County_Flow!BA52*AD$28</f>
        <v>688</v>
      </c>
      <c r="AE48" s="77">
        <f>County_Flow!BB52*AE$28</f>
        <v>1196</v>
      </c>
      <c r="AF48" s="77">
        <f>County_Flow!BC52*AF$28</f>
        <v>3553</v>
      </c>
      <c r="AG48" s="77">
        <f>County_Flow!BD52*AG$28</f>
        <v>722</v>
      </c>
      <c r="AH48" s="77">
        <f>County_Flow!BE52*AH$28</f>
        <v>76</v>
      </c>
      <c r="AI48" s="77">
        <f>County_Flow!BF52*AI$28</f>
        <v>1269</v>
      </c>
      <c r="AJ48" s="77">
        <f>County_Flow!BG52*AJ$28</f>
        <v>170</v>
      </c>
      <c r="AK48" s="77">
        <f>County_Flow!BH52*AK$28</f>
        <v>3546</v>
      </c>
      <c r="AL48" s="77">
        <f>County_Flow!BI52*AL$28</f>
        <v>1326</v>
      </c>
      <c r="AM48" s="77">
        <f>County_Flow!BJ52*AM$28</f>
        <v>1172</v>
      </c>
      <c r="AN48" s="77">
        <f>County_Flow!BK52*AN$28</f>
        <v>543</v>
      </c>
      <c r="AO48" s="77">
        <f>County_Flow!BL52*AO$28</f>
        <v>2789</v>
      </c>
      <c r="AP48" s="77">
        <f>County_Flow!BM52*AP$28</f>
        <v>12</v>
      </c>
      <c r="AQ48" s="77">
        <f>County_Flow!BN52*AQ$28</f>
        <v>1449</v>
      </c>
      <c r="AR48" s="77">
        <f>County_Flow!BO52*AR$28</f>
        <v>41</v>
      </c>
      <c r="AS48" s="77">
        <f>County_Flow!BP52*AS$28</f>
        <v>8039</v>
      </c>
      <c r="AT48" s="77">
        <f>County_Flow!BQ52*AT$28</f>
        <v>3</v>
      </c>
      <c r="AU48" s="77">
        <f>County_Flow!BR52</f>
        <v>0</v>
      </c>
      <c r="AV48" s="15">
        <f si="14" t="shared"/>
        <v>33590</v>
      </c>
      <c r="AW48" s="139">
        <f si="15" t="shared"/>
        <v>0</v>
      </c>
      <c r="AY48" s="95">
        <v>19</v>
      </c>
      <c r="AZ48" s="77">
        <f si="16" t="shared"/>
        <v>4599</v>
      </c>
      <c r="BA48" s="77">
        <f si="17" t="shared"/>
        <v>1187</v>
      </c>
      <c r="BB48" s="77">
        <f si="18" t="shared"/>
        <v>1210</v>
      </c>
      <c r="BC48" s="77">
        <f si="19" t="shared"/>
        <v>688</v>
      </c>
      <c r="BD48" s="77">
        <f si="20" t="shared"/>
        <v>1196</v>
      </c>
      <c r="BE48" s="77">
        <f si="21" t="shared"/>
        <v>3553</v>
      </c>
      <c r="BF48" s="77">
        <f si="22" t="shared"/>
        <v>722</v>
      </c>
      <c r="BG48" s="77">
        <f si="23" t="shared"/>
        <v>76</v>
      </c>
      <c r="BH48" s="77">
        <f si="24" t="shared"/>
        <v>1269</v>
      </c>
      <c r="BI48" s="77">
        <f si="25" t="shared"/>
        <v>170</v>
      </c>
      <c r="BJ48" s="77">
        <f si="26" t="shared"/>
        <v>3546</v>
      </c>
      <c r="BK48" s="77">
        <f si="27" t="shared"/>
        <v>1326</v>
      </c>
      <c r="BL48" s="77">
        <f si="28" t="shared"/>
        <v>1172</v>
      </c>
      <c r="BM48" s="77">
        <f si="29" t="shared"/>
        <v>543</v>
      </c>
      <c r="BN48" s="77">
        <f si="30" t="shared"/>
        <v>2789</v>
      </c>
      <c r="BO48" s="77">
        <f si="31" t="shared"/>
        <v>12</v>
      </c>
      <c r="BP48" s="77">
        <f si="32" t="shared"/>
        <v>1449</v>
      </c>
      <c r="BQ48" s="77">
        <f si="33" t="shared"/>
        <v>41</v>
      </c>
      <c r="BR48" s="77">
        <f si="34" t="shared"/>
        <v>8039</v>
      </c>
      <c r="BS48" s="77">
        <f si="35" t="shared"/>
        <v>3</v>
      </c>
      <c r="BT48" s="77">
        <f si="36" t="shared"/>
        <v>0</v>
      </c>
      <c r="BU48" s="77">
        <f si="11" t="shared"/>
        <v>33590</v>
      </c>
      <c r="BV48" s="95"/>
      <c r="BW48" s="95">
        <v>19</v>
      </c>
      <c r="BX48" s="77">
        <f si="37" t="shared"/>
        <v>3221.2292658481583</v>
      </c>
      <c r="BY48" s="77">
        <f si="38" t="shared"/>
        <v>67.890754196943135</v>
      </c>
      <c r="BZ48" s="77">
        <f si="39" t="shared"/>
        <v>541.73490353294903</v>
      </c>
      <c r="CA48" s="77">
        <f si="40" t="shared"/>
        <v>13.930844399899797</v>
      </c>
      <c r="CB48" s="77">
        <f si="41" t="shared"/>
        <v>774.33650714106739</v>
      </c>
      <c r="CC48" s="77">
        <f si="42" t="shared"/>
        <v>1021.335755449762</v>
      </c>
      <c r="CD48" s="77">
        <f si="43" t="shared"/>
        <v>553.9318466549737</v>
      </c>
      <c r="CE48" s="77">
        <f si="44" t="shared"/>
        <v>109.161613630669</v>
      </c>
      <c r="CF48" s="77">
        <f si="45" t="shared"/>
        <v>272.04961162615882</v>
      </c>
      <c r="CG48" s="77">
        <f si="46" t="shared"/>
        <v>148.14131796542216</v>
      </c>
      <c r="CH48" s="77">
        <f si="47" t="shared"/>
        <v>1429.7975444750691</v>
      </c>
      <c r="CI48" s="77">
        <f si="48" t="shared"/>
        <v>1359.685041343022</v>
      </c>
      <c r="CJ48" s="77">
        <f si="49" t="shared"/>
        <v>549.18366324229521</v>
      </c>
      <c r="CK48" s="77">
        <f si="50" t="shared"/>
        <v>46.992232523177222</v>
      </c>
      <c r="CL48" s="77">
        <f si="51" t="shared"/>
        <v>1544.2089701829113</v>
      </c>
      <c r="CM48" s="77">
        <f si="52" t="shared"/>
        <v>63.74793284891004</v>
      </c>
      <c r="CN48" s="77">
        <f si="53" t="shared"/>
        <v>1118.0132798797295</v>
      </c>
      <c r="CO48" s="77">
        <f si="54" t="shared"/>
        <v>105.44600350789275</v>
      </c>
      <c r="CP48" s="77">
        <f si="55" t="shared"/>
        <v>2255.9857178651964</v>
      </c>
      <c r="CQ48" s="77">
        <f si="56" t="shared"/>
        <v>107.25532448008019</v>
      </c>
      <c r="CR48" s="77">
        <f si="57" t="shared"/>
        <v>0</v>
      </c>
      <c r="CS48" s="77">
        <f si="58" t="shared"/>
        <v>0</v>
      </c>
      <c r="CU48" s="95">
        <v>47</v>
      </c>
      <c r="CV48" s="95">
        <f si="6" t="shared"/>
        <v>3</v>
      </c>
      <c r="CW48" s="95">
        <f si="0" t="shared"/>
        <v>7</v>
      </c>
      <c r="CX48" s="58">
        <f si="1" t="shared"/>
        <v>1500.2616390919584</v>
      </c>
      <c r="CY48" s="58">
        <f si="2" t="shared"/>
        <v>1002.9999999999999</v>
      </c>
      <c r="CZ48" s="108">
        <f si="3" t="shared"/>
        <v>-497.2616390919585</v>
      </c>
      <c r="DA48" s="78">
        <f si="4" t="shared"/>
        <v>-0.33144994588605814</v>
      </c>
      <c r="DB48" s="95">
        <v>47000</v>
      </c>
    </row>
    <row r="49" spans="2:106" x14ac:dyDescent="0.25">
      <c r="B49" s="95">
        <v>20</v>
      </c>
      <c r="C49" s="77">
        <f>County_Flow!Z53</f>
        <v>578.52270827528559</v>
      </c>
      <c r="D49" s="77">
        <f>County_Flow!AA53</f>
        <v>506.6025355252159</v>
      </c>
      <c r="E49" s="77">
        <f>County_Flow!AB53</f>
        <v>183.35692393424353</v>
      </c>
      <c r="F49" s="77">
        <f>County_Flow!AC53</f>
        <v>201.53455001393144</v>
      </c>
      <c r="G49" s="77">
        <f>County_Flow!AD53</f>
        <v>164.38896628587352</v>
      </c>
      <c r="H49" s="77">
        <f>County_Flow!AE53</f>
        <v>938.12357202563385</v>
      </c>
      <c r="I49" s="77">
        <f>County_Flow!AF53</f>
        <v>1061.4152967400391</v>
      </c>
      <c r="J49" s="77">
        <f>County_Flow!AG53</f>
        <v>67.968514906659237</v>
      </c>
      <c r="K49" s="77">
        <f>County_Flow!AH53</f>
        <v>548.49010866536639</v>
      </c>
      <c r="L49" s="77">
        <f>County_Flow!AI53</f>
        <v>221.29283923098359</v>
      </c>
      <c r="M49" s="77">
        <f>County_Flow!AJ53</f>
        <v>226.82516021175817</v>
      </c>
      <c r="N49" s="77">
        <f>County_Flow!AK53</f>
        <v>4912.7010309278348</v>
      </c>
      <c r="O49" s="77">
        <f>County_Flow!AL53</f>
        <v>867.78406241292839</v>
      </c>
      <c r="P49" s="77">
        <f>County_Flow!AM53</f>
        <v>91.678461967121763</v>
      </c>
      <c r="Q49" s="77">
        <f>County_Flow!AN53</f>
        <v>173.08261354137642</v>
      </c>
      <c r="R49" s="77">
        <f>County_Flow!AO53</f>
        <v>67.17818333797716</v>
      </c>
      <c r="S49" s="77">
        <f>County_Flow!AP53</f>
        <v>28.45193647255503</v>
      </c>
      <c r="T49" s="77">
        <f>County_Flow!AQ53</f>
        <v>3142.3583170799661</v>
      </c>
      <c r="U49" s="77">
        <f>County_Flow!AR53</f>
        <v>110.64641961549179</v>
      </c>
      <c r="V49" s="77">
        <f>County_Flow!AS53</f>
        <v>8599.5977988297582</v>
      </c>
      <c r="W49" s="77">
        <f>County_Flow!AT53</f>
        <v>0</v>
      </c>
      <c r="X49" s="77">
        <f si="13" t="shared"/>
        <v>22692</v>
      </c>
      <c r="Y49" s="95"/>
      <c r="Z49" s="95">
        <v>20</v>
      </c>
      <c r="AA49" s="77">
        <f>County_Flow!AX53*AA$28</f>
        <v>1151</v>
      </c>
      <c r="AB49" s="77">
        <f>County_Flow!AY53*AB$28</f>
        <v>417</v>
      </c>
      <c r="AC49" s="77">
        <f>County_Flow!AZ53*AC$28</f>
        <v>158</v>
      </c>
      <c r="AD49" s="77">
        <f>County_Flow!BA53*AD$28</f>
        <v>100</v>
      </c>
      <c r="AE49" s="77">
        <f>County_Flow!BB53*AE$28</f>
        <v>281</v>
      </c>
      <c r="AF49" s="77">
        <f>County_Flow!BC53*AF$28</f>
        <v>1271</v>
      </c>
      <c r="AG49" s="77">
        <f>County_Flow!BD53*AG$28</f>
        <v>388</v>
      </c>
      <c r="AH49" s="77">
        <f>County_Flow!BE53*AH$28</f>
        <v>11</v>
      </c>
      <c r="AI49" s="77">
        <f>County_Flow!BF53*AI$28</f>
        <v>144</v>
      </c>
      <c r="AJ49" s="77">
        <f>County_Flow!BG53*AJ$28</f>
        <v>91</v>
      </c>
      <c r="AK49" s="77">
        <f>County_Flow!BH53*AK$28</f>
        <v>61</v>
      </c>
      <c r="AL49" s="77">
        <f>County_Flow!BI53*AL$28</f>
        <v>5157</v>
      </c>
      <c r="AM49" s="77">
        <f>County_Flow!BJ53*AM$28</f>
        <v>1351</v>
      </c>
      <c r="AN49" s="77">
        <f>County_Flow!BK53*AN$28</f>
        <v>9</v>
      </c>
      <c r="AO49" s="77">
        <f>County_Flow!BL53*AO$28</f>
        <v>46</v>
      </c>
      <c r="AP49" s="77">
        <f>County_Flow!BM53*AP$28</f>
        <v>89</v>
      </c>
      <c r="AQ49" s="77">
        <f>County_Flow!BN53*AQ$28</f>
        <v>4</v>
      </c>
      <c r="AR49" s="77">
        <f>County_Flow!BO53*AR$28</f>
        <v>2684</v>
      </c>
      <c r="AS49" s="77">
        <f>County_Flow!BP53*AS$28</f>
        <v>11</v>
      </c>
      <c r="AT49" s="77">
        <f>County_Flow!BQ53*AT$28</f>
        <v>9268</v>
      </c>
      <c r="AU49" s="77">
        <f>County_Flow!BR53</f>
        <v>0</v>
      </c>
      <c r="AV49" s="15">
        <f si="14" t="shared"/>
        <v>22692</v>
      </c>
      <c r="AW49" s="139">
        <f si="15" t="shared"/>
        <v>0</v>
      </c>
      <c r="AY49" s="95">
        <v>20</v>
      </c>
      <c r="AZ49" s="77">
        <f si="16" t="shared"/>
        <v>1151</v>
      </c>
      <c r="BA49" s="77">
        <f si="17" t="shared"/>
        <v>417</v>
      </c>
      <c r="BB49" s="77">
        <f si="18" t="shared"/>
        <v>158</v>
      </c>
      <c r="BC49" s="77">
        <f si="19" t="shared"/>
        <v>100</v>
      </c>
      <c r="BD49" s="77">
        <f si="20" t="shared"/>
        <v>281</v>
      </c>
      <c r="BE49" s="77">
        <f si="21" t="shared"/>
        <v>1271</v>
      </c>
      <c r="BF49" s="77">
        <f si="22" t="shared"/>
        <v>388</v>
      </c>
      <c r="BG49" s="77">
        <f si="23" t="shared"/>
        <v>11</v>
      </c>
      <c r="BH49" s="77">
        <f si="24" t="shared"/>
        <v>144</v>
      </c>
      <c r="BI49" s="77">
        <f si="25" t="shared"/>
        <v>91</v>
      </c>
      <c r="BJ49" s="77">
        <f si="26" t="shared"/>
        <v>61</v>
      </c>
      <c r="BK49" s="77">
        <f si="27" t="shared"/>
        <v>5157</v>
      </c>
      <c r="BL49" s="77">
        <f si="28" t="shared"/>
        <v>1351</v>
      </c>
      <c r="BM49" s="77">
        <f si="29" t="shared"/>
        <v>9</v>
      </c>
      <c r="BN49" s="77">
        <f si="30" t="shared"/>
        <v>46</v>
      </c>
      <c r="BO49" s="77">
        <f si="31" t="shared"/>
        <v>89</v>
      </c>
      <c r="BP49" s="77">
        <f si="32" t="shared"/>
        <v>4</v>
      </c>
      <c r="BQ49" s="77">
        <f si="33" t="shared"/>
        <v>2684</v>
      </c>
      <c r="BR49" s="77">
        <f si="34" t="shared"/>
        <v>11</v>
      </c>
      <c r="BS49" s="77">
        <f si="35" t="shared"/>
        <v>9268</v>
      </c>
      <c r="BT49" s="77">
        <f si="36" t="shared"/>
        <v>0</v>
      </c>
      <c r="BU49" s="77">
        <f si="11" t="shared"/>
        <v>22692</v>
      </c>
      <c r="BV49" s="95"/>
      <c r="BW49" s="95">
        <v>20</v>
      </c>
      <c r="BX49" s="77">
        <f si="37" t="shared"/>
        <v>572.47729172471441</v>
      </c>
      <c r="BY49" s="77">
        <f si="38" t="shared"/>
        <v>89.602535525215899</v>
      </c>
      <c r="BZ49" s="77">
        <f si="39" t="shared"/>
        <v>25.356923934243525</v>
      </c>
      <c r="CA49" s="77">
        <f si="40" t="shared"/>
        <v>101.53455001393144</v>
      </c>
      <c r="CB49" s="77">
        <f si="41" t="shared"/>
        <v>116.61103371412648</v>
      </c>
      <c r="CC49" s="77">
        <f si="42" t="shared"/>
        <v>332.87642797436615</v>
      </c>
      <c r="CD49" s="77">
        <f si="43" t="shared"/>
        <v>673.41529674003914</v>
      </c>
      <c r="CE49" s="77">
        <f si="44" t="shared"/>
        <v>56.968514906659237</v>
      </c>
      <c r="CF49" s="77">
        <f si="45" t="shared"/>
        <v>404.49010866536639</v>
      </c>
      <c r="CG49" s="77">
        <f si="46" t="shared"/>
        <v>130.29283923098359</v>
      </c>
      <c r="CH49" s="77">
        <f si="47" t="shared"/>
        <v>165.82516021175817</v>
      </c>
      <c r="CI49" s="77">
        <f si="48" t="shared"/>
        <v>244.29896907216516</v>
      </c>
      <c r="CJ49" s="77">
        <f si="49" t="shared"/>
        <v>483.21593758707161</v>
      </c>
      <c r="CK49" s="77">
        <f si="50" t="shared"/>
        <v>82.678461967121763</v>
      </c>
      <c r="CL49" s="77">
        <f si="51" t="shared"/>
        <v>127.08261354137642</v>
      </c>
      <c r="CM49" s="77">
        <f si="52" t="shared"/>
        <v>21.82181666202284</v>
      </c>
      <c r="CN49" s="77">
        <f si="53" t="shared"/>
        <v>24.45193647255503</v>
      </c>
      <c r="CO49" s="77">
        <f si="54" t="shared"/>
        <v>458.35831707996613</v>
      </c>
      <c r="CP49" s="77">
        <f si="55" t="shared"/>
        <v>99.646419615491794</v>
      </c>
      <c r="CQ49" s="77">
        <f si="56" t="shared"/>
        <v>668.40220117024182</v>
      </c>
      <c r="CR49" s="77">
        <f si="57" t="shared"/>
        <v>0</v>
      </c>
      <c r="CS49" s="77">
        <f si="58" t="shared"/>
        <v>0</v>
      </c>
      <c r="CU49" s="95">
        <v>48</v>
      </c>
      <c r="CV49" s="95">
        <f si="6" t="shared"/>
        <v>3</v>
      </c>
      <c r="CW49" s="95">
        <f si="0" t="shared"/>
        <v>8</v>
      </c>
      <c r="CX49" s="58">
        <f si="1" t="shared"/>
        <v>217.35539309991023</v>
      </c>
      <c r="CY49" s="58">
        <f si="2" t="shared"/>
        <v>73.999999999999986</v>
      </c>
      <c r="CZ49" s="108">
        <f si="3" t="shared"/>
        <v>-143.35539309991026</v>
      </c>
      <c r="DA49" s="78">
        <f si="4" t="shared"/>
        <v>-0.65954375944108778</v>
      </c>
      <c r="DB49" s="95">
        <v>48000</v>
      </c>
    </row>
    <row r="50" spans="2:106" x14ac:dyDescent="0.25">
      <c r="B50" s="101" t="s">
        <v>15</v>
      </c>
      <c r="C50" s="77">
        <f>County_Flow!Z54</f>
        <v>0</v>
      </c>
      <c r="D50" s="77">
        <f>County_Flow!AA54</f>
        <v>0</v>
      </c>
      <c r="E50" s="77">
        <f>County_Flow!AB54</f>
        <v>0</v>
      </c>
      <c r="F50" s="77">
        <f>County_Flow!AC54</f>
        <v>0</v>
      </c>
      <c r="G50" s="77">
        <f>County_Flow!AD54</f>
        <v>0</v>
      </c>
      <c r="H50" s="77">
        <f>County_Flow!AE54</f>
        <v>0</v>
      </c>
      <c r="I50" s="77">
        <f>County_Flow!AF54</f>
        <v>0</v>
      </c>
      <c r="J50" s="77">
        <f>County_Flow!AG54</f>
        <v>0</v>
      </c>
      <c r="K50" s="77">
        <f>County_Flow!AH54</f>
        <v>0</v>
      </c>
      <c r="L50" s="77">
        <f>County_Flow!AI54</f>
        <v>0</v>
      </c>
      <c r="M50" s="77">
        <f>County_Flow!AJ54</f>
        <v>0</v>
      </c>
      <c r="N50" s="77">
        <f>County_Flow!AK54</f>
        <v>0</v>
      </c>
      <c r="O50" s="77">
        <f>County_Flow!AL54</f>
        <v>0</v>
      </c>
      <c r="P50" s="77">
        <f>County_Flow!AM54</f>
        <v>0</v>
      </c>
      <c r="Q50" s="77">
        <f>County_Flow!AN54</f>
        <v>0</v>
      </c>
      <c r="R50" s="77">
        <f>County_Flow!AO54</f>
        <v>0</v>
      </c>
      <c r="S50" s="77">
        <f>County_Flow!AP54</f>
        <v>0</v>
      </c>
      <c r="T50" s="77">
        <f>County_Flow!AQ54</f>
        <v>0</v>
      </c>
      <c r="U50" s="77">
        <f>County_Flow!AR54</f>
        <v>0</v>
      </c>
      <c r="V50" s="77">
        <f>County_Flow!AS54</f>
        <v>0</v>
      </c>
      <c r="W50" s="77">
        <f>County_Flow!AT54</f>
        <v>0</v>
      </c>
      <c r="X50" s="77">
        <f si="13" t="shared"/>
        <v>0</v>
      </c>
      <c r="Y50" s="95"/>
      <c r="Z50" s="101" t="s">
        <v>15</v>
      </c>
      <c r="AA50" s="77">
        <f>County_Flow!AX54</f>
        <v>0</v>
      </c>
      <c r="AB50" s="77">
        <f>County_Flow!AY54</f>
        <v>0</v>
      </c>
      <c r="AC50" s="77">
        <f>County_Flow!AZ54</f>
        <v>0</v>
      </c>
      <c r="AD50" s="77">
        <f>County_Flow!BA54</f>
        <v>0</v>
      </c>
      <c r="AE50" s="77">
        <f>County_Flow!BB54</f>
        <v>0</v>
      </c>
      <c r="AF50" s="77">
        <f>County_Flow!BC54</f>
        <v>0</v>
      </c>
      <c r="AG50" s="77">
        <f>County_Flow!BD54</f>
        <v>0</v>
      </c>
      <c r="AH50" s="77">
        <f>County_Flow!BE54</f>
        <v>0</v>
      </c>
      <c r="AI50" s="77">
        <f>County_Flow!BF54</f>
        <v>0</v>
      </c>
      <c r="AJ50" s="77">
        <f>County_Flow!BG54</f>
        <v>0</v>
      </c>
      <c r="AK50" s="77">
        <f>County_Flow!BH54</f>
        <v>0</v>
      </c>
      <c r="AL50" s="77">
        <f>County_Flow!BI54</f>
        <v>0</v>
      </c>
      <c r="AM50" s="77">
        <f>County_Flow!BJ54</f>
        <v>0</v>
      </c>
      <c r="AN50" s="77">
        <f>County_Flow!BK54</f>
        <v>0</v>
      </c>
      <c r="AO50" s="77">
        <f>County_Flow!BL54</f>
        <v>0</v>
      </c>
      <c r="AP50" s="77">
        <f>County_Flow!BM54</f>
        <v>0</v>
      </c>
      <c r="AQ50" s="77">
        <f>County_Flow!BN54</f>
        <v>0</v>
      </c>
      <c r="AR50" s="77">
        <f>County_Flow!BO54</f>
        <v>0</v>
      </c>
      <c r="AS50" s="77">
        <f>County_Flow!BP54</f>
        <v>0</v>
      </c>
      <c r="AT50" s="77">
        <f>County_Flow!BQ54</f>
        <v>0</v>
      </c>
      <c r="AU50" s="77">
        <f>County_Flow!BR54</f>
        <v>0</v>
      </c>
      <c r="AV50" s="16">
        <f>SUM(AA50:AU50)</f>
        <v>0</v>
      </c>
      <c r="AY50" s="101" t="s">
        <v>15</v>
      </c>
      <c r="AZ50" s="77">
        <f ref="AZ50:BS50" si="59" t="shared">ABS(AA50-C50)</f>
        <v>0</v>
      </c>
      <c r="BA50" s="77">
        <f si="59" t="shared"/>
        <v>0</v>
      </c>
      <c r="BB50" s="77">
        <f si="59" t="shared"/>
        <v>0</v>
      </c>
      <c r="BC50" s="77">
        <f si="59" t="shared"/>
        <v>0</v>
      </c>
      <c r="BD50" s="77">
        <f si="59" t="shared"/>
        <v>0</v>
      </c>
      <c r="BE50" s="77">
        <f si="59" t="shared"/>
        <v>0</v>
      </c>
      <c r="BF50" s="77">
        <f si="59" t="shared"/>
        <v>0</v>
      </c>
      <c r="BG50" s="77">
        <f si="59" t="shared"/>
        <v>0</v>
      </c>
      <c r="BH50" s="77">
        <f si="59" t="shared"/>
        <v>0</v>
      </c>
      <c r="BI50" s="77">
        <f si="59" t="shared"/>
        <v>0</v>
      </c>
      <c r="BJ50" s="77">
        <f si="59" t="shared"/>
        <v>0</v>
      </c>
      <c r="BK50" s="77">
        <f si="59" t="shared"/>
        <v>0</v>
      </c>
      <c r="BL50" s="77">
        <f si="59" t="shared"/>
        <v>0</v>
      </c>
      <c r="BM50" s="77">
        <f si="59" t="shared"/>
        <v>0</v>
      </c>
      <c r="BN50" s="77">
        <f si="59" t="shared"/>
        <v>0</v>
      </c>
      <c r="BO50" s="77">
        <f si="59" t="shared"/>
        <v>0</v>
      </c>
      <c r="BP50" s="77">
        <f si="59" t="shared"/>
        <v>0</v>
      </c>
      <c r="BQ50" s="77">
        <f si="59" t="shared"/>
        <v>0</v>
      </c>
      <c r="BR50" s="77">
        <f si="59" t="shared"/>
        <v>0</v>
      </c>
      <c r="BS50" s="77">
        <f si="59" t="shared"/>
        <v>0</v>
      </c>
      <c r="BT50" s="77">
        <f si="36" t="shared"/>
        <v>0</v>
      </c>
      <c r="BU50" s="16"/>
      <c r="BW50" s="101" t="s">
        <v>15</v>
      </c>
      <c r="BX50" s="77">
        <f ref="BX50:CS50" si="60" t="shared">ABS(AZ50-C50)</f>
        <v>0</v>
      </c>
      <c r="BY50" s="77">
        <f si="60" t="shared"/>
        <v>0</v>
      </c>
      <c r="BZ50" s="77">
        <f si="60" t="shared"/>
        <v>0</v>
      </c>
      <c r="CA50" s="77">
        <f si="60" t="shared"/>
        <v>0</v>
      </c>
      <c r="CB50" s="77">
        <f si="60" t="shared"/>
        <v>0</v>
      </c>
      <c r="CC50" s="77">
        <f si="60" t="shared"/>
        <v>0</v>
      </c>
      <c r="CD50" s="77">
        <f si="60" t="shared"/>
        <v>0</v>
      </c>
      <c r="CE50" s="77">
        <f si="60" t="shared"/>
        <v>0</v>
      </c>
      <c r="CF50" s="77">
        <f si="60" t="shared"/>
        <v>0</v>
      </c>
      <c r="CG50" s="77">
        <f si="60" t="shared"/>
        <v>0</v>
      </c>
      <c r="CH50" s="77">
        <f si="60" t="shared"/>
        <v>0</v>
      </c>
      <c r="CI50" s="77">
        <f si="60" t="shared"/>
        <v>0</v>
      </c>
      <c r="CJ50" s="77">
        <f si="60" t="shared"/>
        <v>0</v>
      </c>
      <c r="CK50" s="77">
        <f si="60" t="shared"/>
        <v>0</v>
      </c>
      <c r="CL50" s="77">
        <f si="60" t="shared"/>
        <v>0</v>
      </c>
      <c r="CM50" s="77">
        <f si="60" t="shared"/>
        <v>0</v>
      </c>
      <c r="CN50" s="77">
        <f si="60" t="shared"/>
        <v>0</v>
      </c>
      <c r="CO50" s="77">
        <f si="60" t="shared"/>
        <v>0</v>
      </c>
      <c r="CP50" s="77">
        <f si="60" t="shared"/>
        <v>0</v>
      </c>
      <c r="CQ50" s="77">
        <f si="60" t="shared"/>
        <v>0</v>
      </c>
      <c r="CR50" s="77">
        <f si="60" t="shared"/>
        <v>0</v>
      </c>
      <c r="CS50" s="16">
        <f si="60" t="shared"/>
        <v>0</v>
      </c>
      <c r="CU50" s="95">
        <v>49</v>
      </c>
      <c r="CV50" s="95">
        <f si="6" t="shared"/>
        <v>3</v>
      </c>
      <c r="CW50" s="95">
        <f si="0" t="shared"/>
        <v>9</v>
      </c>
      <c r="CX50" s="58">
        <f si="1" t="shared"/>
        <v>1397.5272540720789</v>
      </c>
      <c r="CY50" s="58">
        <f si="2" t="shared"/>
        <v>889.99999999999989</v>
      </c>
      <c r="CZ50" s="108">
        <f si="3" t="shared"/>
        <v>-507.52725407207902</v>
      </c>
      <c r="DA50" s="78">
        <f si="4" t="shared"/>
        <v>-0.36316089907603533</v>
      </c>
      <c r="DB50" s="95">
        <v>49000</v>
      </c>
    </row>
    <row ht="15.75" r="51" spans="2:106" thickBot="1" x14ac:dyDescent="0.3">
      <c r="B51" s="1" t="s">
        <v>3</v>
      </c>
      <c r="C51" s="107">
        <f>SUM(C30:C50)</f>
        <v>47962.330067061164</v>
      </c>
      <c r="D51" s="107">
        <f ref="D51:W51" si="61" t="shared">SUM(D30:D50)</f>
        <v>32465.686990023041</v>
      </c>
      <c r="E51" s="107">
        <f si="61" t="shared"/>
        <v>17819.499670131001</v>
      </c>
      <c r="F51" s="107">
        <f si="61" t="shared"/>
        <v>15590.095231354566</v>
      </c>
      <c r="G51" s="107">
        <f si="61" t="shared"/>
        <v>14470.515258958494</v>
      </c>
      <c r="H51" s="107">
        <f si="61" t="shared"/>
        <v>93808.210758780653</v>
      </c>
      <c r="I51" s="107">
        <f si="61" t="shared"/>
        <v>61668.638827945528</v>
      </c>
      <c r="J51" s="107">
        <f si="61" t="shared"/>
        <v>3389.6060314460683</v>
      </c>
      <c r="K51" s="107">
        <f si="61" t="shared"/>
        <v>37916.839771783598</v>
      </c>
      <c r="L51" s="107">
        <f si="61" t="shared"/>
        <v>12314.051289788287</v>
      </c>
      <c r="M51" s="107">
        <f si="61" t="shared"/>
        <v>34680.423618890891</v>
      </c>
      <c r="N51" s="107">
        <f si="61" t="shared"/>
        <v>137060.58534782816</v>
      </c>
      <c r="O51" s="107">
        <f si="61" t="shared"/>
        <v>50044.257356442307</v>
      </c>
      <c r="P51" s="107">
        <f si="61" t="shared"/>
        <v>10212.277399808154</v>
      </c>
      <c r="Q51" s="107">
        <f si="61" t="shared"/>
        <v>20996.049637056076</v>
      </c>
      <c r="R51" s="107">
        <f si="61" t="shared"/>
        <v>3056.6721848154989</v>
      </c>
      <c r="S51" s="107">
        <f si="61" t="shared"/>
        <v>8183.7677729022362</v>
      </c>
      <c r="T51" s="107">
        <f si="61" t="shared"/>
        <v>11662.736307180778</v>
      </c>
      <c r="U51" s="107">
        <f si="61" t="shared"/>
        <v>19671.927490438102</v>
      </c>
      <c r="V51" s="107">
        <f si="61" t="shared"/>
        <v>12501.828987365367</v>
      </c>
      <c r="W51" s="107">
        <f si="61" t="shared"/>
        <v>0</v>
      </c>
      <c r="X51" s="107">
        <f si="13" t="shared"/>
        <v>645476</v>
      </c>
      <c r="Y51" s="95"/>
      <c r="Z51" s="1" t="s">
        <v>3</v>
      </c>
      <c r="AA51" s="96">
        <f>SUM(AA30:AA50)</f>
        <v>104717</v>
      </c>
      <c r="AB51" s="96">
        <f ref="AB51:AV51" si="62" t="shared">SUM(AB30:AB50)</f>
        <v>36899</v>
      </c>
      <c r="AC51" s="96">
        <f si="62" t="shared"/>
        <v>20380</v>
      </c>
      <c r="AD51" s="96">
        <f si="62" t="shared"/>
        <v>12404</v>
      </c>
      <c r="AE51" s="96">
        <f si="62" t="shared"/>
        <v>28863</v>
      </c>
      <c r="AF51" s="96">
        <f si="62" t="shared"/>
        <v>97414</v>
      </c>
      <c r="AG51" s="96">
        <f si="62" t="shared"/>
        <v>43120</v>
      </c>
      <c r="AH51" s="96">
        <f si="62" t="shared"/>
        <v>1352</v>
      </c>
      <c r="AI51" s="96">
        <f si="62" t="shared"/>
        <v>25252</v>
      </c>
      <c r="AJ51" s="96">
        <f si="62" t="shared"/>
        <v>6761</v>
      </c>
      <c r="AK51" s="96">
        <f si="62" t="shared"/>
        <v>22148</v>
      </c>
      <c r="AL51" s="96">
        <f si="62" t="shared"/>
        <v>91217</v>
      </c>
      <c r="AM51" s="96">
        <f si="62" t="shared"/>
        <v>88273</v>
      </c>
      <c r="AN51" s="96">
        <f si="62" t="shared"/>
        <v>7097</v>
      </c>
      <c r="AO51" s="96">
        <f si="62" t="shared"/>
        <v>20514</v>
      </c>
      <c r="AP51" s="96">
        <f si="62" t="shared"/>
        <v>1271</v>
      </c>
      <c r="AQ51" s="96">
        <f si="62" t="shared"/>
        <v>4643</v>
      </c>
      <c r="AR51" s="96">
        <f si="62" t="shared"/>
        <v>9969</v>
      </c>
      <c r="AS51" s="96">
        <f si="62" t="shared"/>
        <v>12777</v>
      </c>
      <c r="AT51" s="96">
        <f si="62" t="shared"/>
        <v>10405</v>
      </c>
      <c r="AU51" s="96">
        <f si="62" t="shared"/>
        <v>0</v>
      </c>
      <c r="AV51" s="96">
        <f si="62" t="shared"/>
        <v>645476</v>
      </c>
      <c r="AY51" s="1" t="s">
        <v>3</v>
      </c>
      <c r="AZ51" s="96">
        <f>ABS(SUM(AZ30:AZ50))</f>
        <v>104717</v>
      </c>
      <c r="BA51" s="96">
        <f ref="BA51:BS51" si="63" t="shared">ABS(SUM(BA30:BA50))</f>
        <v>36899</v>
      </c>
      <c r="BB51" s="96">
        <f si="63" t="shared"/>
        <v>20380</v>
      </c>
      <c r="BC51" s="96">
        <f si="63" t="shared"/>
        <v>12404</v>
      </c>
      <c r="BD51" s="96">
        <f si="63" t="shared"/>
        <v>28863</v>
      </c>
      <c r="BE51" s="96">
        <f si="63" t="shared"/>
        <v>97414</v>
      </c>
      <c r="BF51" s="96">
        <f si="63" t="shared"/>
        <v>43120</v>
      </c>
      <c r="BG51" s="96">
        <f si="63" t="shared"/>
        <v>1352</v>
      </c>
      <c r="BH51" s="96">
        <f si="63" t="shared"/>
        <v>25252</v>
      </c>
      <c r="BI51" s="96">
        <f si="63" t="shared"/>
        <v>6761</v>
      </c>
      <c r="BJ51" s="96">
        <f si="63" t="shared"/>
        <v>22148</v>
      </c>
      <c r="BK51" s="96">
        <f si="63" t="shared"/>
        <v>91217</v>
      </c>
      <c r="BL51" s="96">
        <f si="63" t="shared"/>
        <v>88273</v>
      </c>
      <c r="BM51" s="96">
        <f si="63" t="shared"/>
        <v>7097.0000000000009</v>
      </c>
      <c r="BN51" s="96">
        <f si="63" t="shared"/>
        <v>20514</v>
      </c>
      <c r="BO51" s="96">
        <f si="63" t="shared"/>
        <v>1271</v>
      </c>
      <c r="BP51" s="96">
        <f si="63" t="shared"/>
        <v>4643</v>
      </c>
      <c r="BQ51" s="96">
        <f si="63" t="shared"/>
        <v>9969</v>
      </c>
      <c r="BR51" s="96">
        <f si="63" t="shared"/>
        <v>12777</v>
      </c>
      <c r="BS51" s="96">
        <f si="63" t="shared"/>
        <v>10405</v>
      </c>
      <c r="BT51" s="96">
        <f>ABS(SUM(BT30:BT50))</f>
        <v>0</v>
      </c>
      <c r="BU51" s="96">
        <f>ABS(SUM(BU30:BU50))</f>
        <v>645476</v>
      </c>
      <c r="BW51" s="1" t="s">
        <v>3</v>
      </c>
      <c r="BX51" s="96">
        <f>SUM(BX30:BX49)</f>
        <v>56754.669932938828</v>
      </c>
      <c r="BY51" s="96">
        <f ref="BY51:CQ51" si="64" t="shared">SUM(BY30:BY49)</f>
        <v>6808.8498938136636</v>
      </c>
      <c r="BZ51" s="96">
        <f si="64" t="shared"/>
        <v>4244.2161610528919</v>
      </c>
      <c r="CA51" s="96">
        <f si="64" t="shared"/>
        <v>3453.8031140616004</v>
      </c>
      <c r="CB51" s="96">
        <f si="64" t="shared"/>
        <v>14392.48474104151</v>
      </c>
      <c r="CC51" s="96">
        <f si="64" t="shared"/>
        <v>9144.4973626656792</v>
      </c>
      <c r="CD51" s="96">
        <f si="64" t="shared"/>
        <v>18548.638827945531</v>
      </c>
      <c r="CE51" s="96">
        <f si="64" t="shared"/>
        <v>2037.6060314460688</v>
      </c>
      <c r="CF51" s="96">
        <f si="64" t="shared"/>
        <v>12664.839771783598</v>
      </c>
      <c r="CG51" s="96">
        <f si="64" t="shared"/>
        <v>5553.0512897882872</v>
      </c>
      <c r="CH51" s="96">
        <f si="64" t="shared"/>
        <v>12532.423618890896</v>
      </c>
      <c r="CI51" s="96">
        <f si="64" t="shared"/>
        <v>46332.183285972518</v>
      </c>
      <c r="CJ51" s="96">
        <f si="64" t="shared"/>
        <v>39634.554773334734</v>
      </c>
      <c r="CK51" s="96">
        <f si="64" t="shared"/>
        <v>3115.2773998081543</v>
      </c>
      <c r="CL51" s="96">
        <f si="64" t="shared"/>
        <v>4237.5021254490384</v>
      </c>
      <c r="CM51" s="96">
        <f si="64" t="shared"/>
        <v>1829.3158181395447</v>
      </c>
      <c r="CN51" s="96">
        <f si="64" t="shared"/>
        <v>3540.7677729022366</v>
      </c>
      <c r="CO51" s="96">
        <f si="64" t="shared"/>
        <v>2844.0572002164331</v>
      </c>
      <c r="CP51" s="96">
        <f si="64" t="shared"/>
        <v>6914.574535615855</v>
      </c>
      <c r="CQ51" s="96">
        <f si="64" t="shared"/>
        <v>3433.6333897058498</v>
      </c>
      <c r="CR51" s="96">
        <f>ABS(BT51-W51)</f>
        <v>0</v>
      </c>
      <c r="CS51" s="96">
        <f>ABS(BU51-X51)</f>
        <v>0</v>
      </c>
      <c r="CU51" s="95">
        <v>50</v>
      </c>
      <c r="CV51" s="95">
        <f si="6" t="shared"/>
        <v>3</v>
      </c>
      <c r="CW51" s="95">
        <f si="0" t="shared"/>
        <v>10</v>
      </c>
      <c r="CX51" s="58">
        <f si="1" t="shared"/>
        <v>597.7273310247532</v>
      </c>
      <c r="CY51" s="58">
        <f si="2" t="shared"/>
        <v>294.99999999999994</v>
      </c>
      <c r="CZ51" s="108">
        <f si="3" t="shared"/>
        <v>-302.72733102475325</v>
      </c>
      <c r="DA51" s="78">
        <f si="4" t="shared"/>
        <v>-0.50646392646251048</v>
      </c>
      <c r="DB51" s="95">
        <v>50000</v>
      </c>
    </row>
    <row r="52" spans="2:106" x14ac:dyDescent="0.25">
      <c r="B52" s="95"/>
      <c r="C52" s="95"/>
      <c r="D52" s="95"/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  <c r="AC52" s="95"/>
      <c r="AD52" s="95"/>
      <c r="AE52" s="95"/>
      <c r="AF52" s="95"/>
      <c r="AG52" s="95"/>
      <c r="AH52" s="95"/>
      <c r="AI52" s="95"/>
      <c r="AJ52" s="95"/>
      <c r="AK52" s="95"/>
      <c r="AL52" s="95"/>
      <c r="AM52" s="95"/>
      <c r="AN52" s="95"/>
      <c r="AO52" s="95"/>
      <c r="AP52" s="95"/>
      <c r="AQ52" s="95"/>
      <c r="AR52" s="95"/>
      <c r="AS52" s="95"/>
      <c r="AT52" s="95"/>
      <c r="AU52" s="95"/>
      <c r="AV52" s="95"/>
      <c r="CU52" s="95">
        <v>51</v>
      </c>
      <c r="CV52" s="95">
        <f si="6" t="shared"/>
        <v>3</v>
      </c>
      <c r="CW52" s="95">
        <f si="0" t="shared"/>
        <v>11</v>
      </c>
      <c r="CX52" s="58">
        <f si="1" t="shared"/>
        <v>1426.3947672181607</v>
      </c>
      <c r="CY52" s="58">
        <f si="2" t="shared"/>
        <v>914.99999999999989</v>
      </c>
      <c r="CZ52" s="108">
        <f si="3" t="shared"/>
        <v>-511.39476721816084</v>
      </c>
      <c r="DA52" s="78">
        <f si="4" t="shared"/>
        <v>-0.35852260466119984</v>
      </c>
      <c r="DB52" s="95">
        <v>51000</v>
      </c>
    </row>
    <row r="53" spans="2:106" x14ac:dyDescent="0.25">
      <c r="B53" s="95"/>
      <c r="C53" s="95"/>
      <c r="D53" s="95"/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  <c r="AB53" s="95"/>
      <c r="AC53" s="95"/>
      <c r="AD53" s="95"/>
      <c r="AE53" s="95"/>
      <c r="AF53" s="95"/>
      <c r="AG53" s="95"/>
      <c r="AH53" s="95"/>
      <c r="AI53" s="95"/>
      <c r="AJ53" s="95"/>
      <c r="AK53" s="95"/>
      <c r="AL53" s="95"/>
      <c r="AM53" s="95"/>
      <c r="AN53" s="95"/>
      <c r="AO53" s="95"/>
      <c r="AP53" s="95"/>
      <c r="AQ53" s="95"/>
      <c r="AR53" s="95"/>
      <c r="AS53" s="95"/>
      <c r="AT53" s="95"/>
      <c r="AU53" s="95"/>
      <c r="AV53" s="95"/>
      <c r="CU53" s="95">
        <v>52</v>
      </c>
      <c r="CV53" s="95">
        <f si="6" t="shared"/>
        <v>3</v>
      </c>
      <c r="CW53" s="95">
        <f si="0" t="shared"/>
        <v>12</v>
      </c>
      <c r="CX53" s="58">
        <f si="1" t="shared"/>
        <v>3841.9263819417724</v>
      </c>
      <c r="CY53" s="58">
        <f si="2" t="shared"/>
        <v>2477.9999999999995</v>
      </c>
      <c r="CZ53" s="108">
        <f si="3" t="shared"/>
        <v>-1363.9263819417729</v>
      </c>
      <c r="DA53" s="78">
        <f si="4" t="shared"/>
        <v>-0.35501106641518265</v>
      </c>
      <c r="DB53" s="95">
        <v>52000</v>
      </c>
    </row>
    <row r="54" spans="2:106" x14ac:dyDescent="0.25">
      <c r="B54" s="95"/>
      <c r="C54" s="95"/>
      <c r="D54" s="95"/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  <c r="AB54" s="95"/>
      <c r="AC54" s="95"/>
      <c r="AD54" s="95"/>
      <c r="AE54" s="95"/>
      <c r="AF54" s="95"/>
      <c r="AG54" s="95"/>
      <c r="AH54" s="95"/>
      <c r="AI54" s="95"/>
      <c r="AJ54" s="95"/>
      <c r="AK54" s="95"/>
      <c r="AL54" s="95"/>
      <c r="AM54" s="95"/>
      <c r="AN54" s="95"/>
      <c r="AO54" s="95"/>
      <c r="AP54" s="95"/>
      <c r="AQ54" s="95"/>
      <c r="AR54" s="95"/>
      <c r="AS54" s="95"/>
      <c r="AT54" s="95"/>
      <c r="AU54" s="95"/>
      <c r="AV54" s="95"/>
      <c r="CU54" s="95">
        <v>53</v>
      </c>
      <c r="CV54" s="95">
        <f si="6" t="shared"/>
        <v>3</v>
      </c>
      <c r="CW54" s="95">
        <f si="0" t="shared"/>
        <v>13</v>
      </c>
      <c r="CX54" s="58">
        <f si="1" t="shared"/>
        <v>382.07002693343594</v>
      </c>
      <c r="CY54" s="58">
        <f si="2" t="shared"/>
        <v>485.99999999999994</v>
      </c>
      <c r="CZ54" s="108">
        <f si="3" t="shared"/>
        <v>103.929973066564</v>
      </c>
      <c r="DA54" s="78">
        <f si="4" t="shared"/>
        <v>0.27201812688821736</v>
      </c>
      <c r="DB54" s="95">
        <v>53000</v>
      </c>
    </row>
    <row ht="15.75" r="55" spans="2:106" thickBot="1" x14ac:dyDescent="0.3">
      <c r="B55" s="4" t="s">
        <v>320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7"/>
      <c r="Q55" s="7"/>
      <c r="R55" s="7"/>
      <c r="S55" s="7"/>
      <c r="T55" s="7"/>
      <c r="U55" s="7"/>
      <c r="V55" s="7"/>
      <c r="W55" s="7"/>
      <c r="X55" s="7"/>
      <c r="Y55" s="95"/>
      <c r="Z55" s="4" t="s">
        <v>323</v>
      </c>
      <c r="AA55" s="1"/>
      <c r="AB55" s="1"/>
      <c r="AC55" s="1"/>
      <c r="AD55" s="1"/>
      <c r="AE55" s="1"/>
      <c r="AF55" s="1"/>
      <c r="AG55" s="1"/>
      <c r="AH55" s="1"/>
      <c r="AI55" s="1"/>
      <c r="AJ55" s="95"/>
      <c r="AK55" s="95"/>
      <c r="AL55" s="95"/>
      <c r="AM55" s="95"/>
      <c r="AN55" s="95"/>
      <c r="AO55" s="95"/>
      <c r="AP55" s="95"/>
      <c r="AQ55" s="95"/>
      <c r="AR55" s="95"/>
      <c r="AS55" s="95"/>
      <c r="AT55" s="95"/>
      <c r="AU55" s="95"/>
      <c r="AV55" s="95"/>
      <c r="AY55" s="10" t="s">
        <v>370</v>
      </c>
      <c r="CU55" s="95">
        <v>54</v>
      </c>
      <c r="CV55" s="95">
        <f si="6" t="shared"/>
        <v>3</v>
      </c>
      <c r="CW55" s="95">
        <f si="0" t="shared"/>
        <v>14</v>
      </c>
      <c r="CX55" s="58">
        <f si="1" t="shared"/>
        <v>150.2808772604848</v>
      </c>
      <c r="CY55" s="58">
        <f si="2" t="shared"/>
        <v>72.999999999999986</v>
      </c>
      <c r="CZ55" s="108">
        <f si="3" t="shared"/>
        <v>-77.280877260484814</v>
      </c>
      <c r="DA55" s="78">
        <f si="4" t="shared"/>
        <v>-0.51424292078447442</v>
      </c>
      <c r="DB55" s="95">
        <v>54000</v>
      </c>
    </row>
    <row r="56" spans="2:106" x14ac:dyDescent="0.25">
      <c r="B56" s="2" t="s">
        <v>14</v>
      </c>
      <c r="C56" s="2">
        <v>1</v>
      </c>
      <c r="D56" s="2">
        <v>2</v>
      </c>
      <c r="E56" s="2">
        <v>3</v>
      </c>
      <c r="F56" s="2">
        <v>4</v>
      </c>
      <c r="G56" s="2">
        <v>5</v>
      </c>
      <c r="H56" s="2">
        <v>6</v>
      </c>
      <c r="I56" s="2">
        <v>7</v>
      </c>
      <c r="J56" s="2">
        <v>8</v>
      </c>
      <c r="K56" s="2">
        <v>9</v>
      </c>
      <c r="L56" s="2">
        <v>10</v>
      </c>
      <c r="M56" s="2">
        <v>11</v>
      </c>
      <c r="N56" s="2">
        <v>12</v>
      </c>
      <c r="O56" s="2">
        <v>13</v>
      </c>
      <c r="P56" s="2">
        <v>14</v>
      </c>
      <c r="Q56" s="2">
        <v>15</v>
      </c>
      <c r="R56" s="2">
        <v>16</v>
      </c>
      <c r="S56" s="2">
        <v>17</v>
      </c>
      <c r="T56" s="2">
        <v>18</v>
      </c>
      <c r="U56" s="2">
        <v>19</v>
      </c>
      <c r="V56" s="2">
        <v>20</v>
      </c>
      <c r="W56" s="3" t="s">
        <v>15</v>
      </c>
      <c r="X56" s="3" t="s">
        <v>3</v>
      </c>
      <c r="Y56" s="95"/>
      <c r="Z56" s="2" t="s">
        <v>14</v>
      </c>
      <c r="AA56" s="2">
        <v>1</v>
      </c>
      <c r="AB56" s="2">
        <v>2</v>
      </c>
      <c r="AC56" s="2">
        <v>3</v>
      </c>
      <c r="AD56" s="2">
        <v>4</v>
      </c>
      <c r="AE56" s="2">
        <v>5</v>
      </c>
      <c r="AF56" s="2">
        <v>6</v>
      </c>
      <c r="AG56" s="2">
        <v>7</v>
      </c>
      <c r="AH56" s="2">
        <v>8</v>
      </c>
      <c r="AI56" s="2">
        <v>9</v>
      </c>
      <c r="AJ56" s="2">
        <v>10</v>
      </c>
      <c r="AK56" s="2">
        <v>11</v>
      </c>
      <c r="AL56" s="2">
        <v>12</v>
      </c>
      <c r="AM56" s="2">
        <v>13</v>
      </c>
      <c r="AN56" s="2">
        <v>14</v>
      </c>
      <c r="AO56" s="2">
        <v>15</v>
      </c>
      <c r="AP56" s="2">
        <v>16</v>
      </c>
      <c r="AQ56" s="2">
        <v>17</v>
      </c>
      <c r="AR56" s="2">
        <v>18</v>
      </c>
      <c r="AS56" s="2">
        <v>19</v>
      </c>
      <c r="AT56" s="2">
        <v>20</v>
      </c>
      <c r="AU56" s="3" t="s">
        <v>15</v>
      </c>
      <c r="AV56" s="3" t="s">
        <v>3</v>
      </c>
      <c r="AY56" s="148" t="s">
        <v>362</v>
      </c>
      <c r="AZ56" s="2">
        <v>1</v>
      </c>
      <c r="BA56" s="2">
        <v>2</v>
      </c>
      <c r="BB56" s="2">
        <v>3</v>
      </c>
      <c r="BC56" s="2">
        <v>4</v>
      </c>
      <c r="BD56" s="2">
        <v>5</v>
      </c>
      <c r="BE56" s="2">
        <v>6</v>
      </c>
      <c r="BF56" s="2">
        <v>7</v>
      </c>
      <c r="BG56" s="2">
        <v>8</v>
      </c>
      <c r="BH56" s="2">
        <v>9</v>
      </c>
      <c r="BI56" s="2">
        <v>10</v>
      </c>
      <c r="BJ56" s="2">
        <v>11</v>
      </c>
      <c r="BK56" s="2">
        <v>12</v>
      </c>
      <c r="BL56" s="2">
        <v>13</v>
      </c>
      <c r="BM56" s="2">
        <v>14</v>
      </c>
      <c r="BN56" s="2">
        <v>15</v>
      </c>
      <c r="BO56" s="2">
        <v>16</v>
      </c>
      <c r="BP56" s="2">
        <v>17</v>
      </c>
      <c r="BQ56" s="2">
        <v>18</v>
      </c>
      <c r="BR56" s="2">
        <v>19</v>
      </c>
      <c r="BS56" s="2">
        <v>20</v>
      </c>
      <c r="BT56" s="3" t="s">
        <v>15</v>
      </c>
      <c r="BU56" s="149" t="s">
        <v>3</v>
      </c>
      <c r="CU56" s="95">
        <v>55</v>
      </c>
      <c r="CV56" s="95">
        <f si="6" t="shared"/>
        <v>3</v>
      </c>
      <c r="CW56" s="95">
        <f si="0" t="shared"/>
        <v>15</v>
      </c>
      <c r="CX56" s="58">
        <f si="1" t="shared"/>
        <v>259.80761831473643</v>
      </c>
      <c r="CY56" s="58">
        <f si="2" t="shared"/>
        <v>141.99999999999997</v>
      </c>
      <c r="CZ56" s="108">
        <f si="3" t="shared"/>
        <v>-117.80761831473646</v>
      </c>
      <c r="DA56" s="78">
        <f si="4" t="shared"/>
        <v>-0.45344173923345782</v>
      </c>
      <c r="DB56" s="95">
        <v>55000</v>
      </c>
    </row>
    <row r="57" spans="2:106" x14ac:dyDescent="0.25">
      <c r="B57" s="31">
        <v>1</v>
      </c>
      <c r="C57" s="103">
        <f>IF($X$51&gt;0,C30/$X$51,0)</f>
        <v>1.8148377183910952E-3</v>
      </c>
      <c r="D57" s="103">
        <f ref="D57:X57" si="65" t="shared">IF($X$51&gt;0,D30/$X$51,0)</f>
        <v>4.6597184661392981E-4</v>
      </c>
      <c r="E57" s="103">
        <f si="65" t="shared"/>
        <v>2.5137954883119895E-4</v>
      </c>
      <c r="F57" s="103">
        <f si="65" t="shared"/>
        <v>2.268547147988869E-4</v>
      </c>
      <c r="G57" s="103">
        <f si="65" t="shared"/>
        <v>2.6364196584735506E-4</v>
      </c>
      <c r="H57" s="103">
        <f si="65" t="shared"/>
        <v>1.9362356468510399E-3</v>
      </c>
      <c r="I57" s="103">
        <f si="65" t="shared"/>
        <v>3.2004908412167283E-4</v>
      </c>
      <c r="J57" s="103">
        <f si="65" t="shared"/>
        <v>3.1882284242005723E-5</v>
      </c>
      <c r="K57" s="103">
        <f si="65" t="shared"/>
        <v>3.2250156752490407E-4</v>
      </c>
      <c r="L57" s="103">
        <f si="65" t="shared"/>
        <v>1.6063766291164421E-4</v>
      </c>
      <c r="M57" s="103">
        <f si="65" t="shared"/>
        <v>2.2072350629080887E-4</v>
      </c>
      <c r="N57" s="103">
        <f si="65" t="shared"/>
        <v>1.2397303603333763E-3</v>
      </c>
      <c r="O57" s="103">
        <f si="65" t="shared"/>
        <v>7.7253227201783104E-5</v>
      </c>
      <c r="P57" s="103">
        <f si="65" t="shared"/>
        <v>1.4714900419387258E-5</v>
      </c>
      <c r="Q57" s="103">
        <f si="65" t="shared"/>
        <v>3.5561009346852543E-5</v>
      </c>
      <c r="R57" s="103">
        <f si="65" t="shared"/>
        <v>2.084610892746528E-5</v>
      </c>
      <c r="S57" s="103">
        <f si="65" t="shared"/>
        <v>8.5836919113092336E-6</v>
      </c>
      <c r="T57" s="103">
        <f si="65" t="shared"/>
        <v>1.3488658717771654E-5</v>
      </c>
      <c r="U57" s="103">
        <f si="65" t="shared"/>
        <v>4.0465976153314952E-5</v>
      </c>
      <c r="V57" s="103">
        <f si="65" t="shared"/>
        <v>1.5941142121002862E-5</v>
      </c>
      <c r="W57" s="103">
        <f si="65" t="shared"/>
        <v>0</v>
      </c>
      <c r="X57" s="103">
        <f si="65" t="shared"/>
        <v>7.4813006215568058E-3</v>
      </c>
      <c r="Y57" s="95"/>
      <c r="Z57" s="31">
        <v>1</v>
      </c>
      <c r="AA57" s="103">
        <f>IF($BU$51&gt;0,AZ30/$BU$51,0)</f>
        <v>3.2425682751953603E-3</v>
      </c>
      <c r="AB57" s="103">
        <f ref="AB57:AV57" si="66" t="shared">IF($BU$51&gt;0,BA30/$BU$51,0)</f>
        <v>4.1674671095439655E-4</v>
      </c>
      <c r="AC57" s="103">
        <f si="66" t="shared"/>
        <v>2.3703437463205453E-4</v>
      </c>
      <c r="AD57" s="103">
        <f si="66" t="shared"/>
        <v>2.1534495473108221E-4</v>
      </c>
      <c r="AE57" s="103">
        <f si="66" t="shared"/>
        <v>5.5462945175343474E-4</v>
      </c>
      <c r="AF57" s="103">
        <f si="66" t="shared"/>
        <v>1.5693844542632107E-3</v>
      </c>
      <c r="AG57" s="103">
        <f si="66" t="shared"/>
        <v>1.8900780199418728E-4</v>
      </c>
      <c r="AH57" s="103">
        <f si="66" t="shared"/>
        <v>2.9435641294176706E-5</v>
      </c>
      <c r="AI57" s="103">
        <f si="66" t="shared"/>
        <v>1.5492442786408793E-4</v>
      </c>
      <c r="AJ57" s="103">
        <f si="66" t="shared"/>
        <v>6.196977114563517E-5</v>
      </c>
      <c r="AK57" s="103">
        <f si="66" t="shared"/>
        <v>1.1619332089806595E-4</v>
      </c>
      <c r="AL57" s="103">
        <f si="66" t="shared"/>
        <v>5.3603852040974424E-4</v>
      </c>
      <c r="AM57" s="103">
        <f si="66" t="shared"/>
        <v>1.0534861094757979E-4</v>
      </c>
      <c r="AN57" s="103">
        <f si="66" t="shared"/>
        <v>7.7462213932043963E-6</v>
      </c>
      <c r="AO57" s="103">
        <f si="66" t="shared"/>
        <v>1.8590931343690554E-5</v>
      </c>
      <c r="AP57" s="103">
        <f si="66" t="shared"/>
        <v>3.0984885572817587E-6</v>
      </c>
      <c r="AQ57" s="103">
        <f si="66" t="shared"/>
        <v>4.6477328359226385E-6</v>
      </c>
      <c r="AR57" s="103">
        <f si="66" t="shared"/>
        <v>1.2393954229127035E-5</v>
      </c>
      <c r="AS57" s="103">
        <f si="66" t="shared"/>
        <v>6.1969771145635174E-6</v>
      </c>
      <c r="AT57" s="103">
        <f si="66" t="shared"/>
        <v>0</v>
      </c>
      <c r="AU57" s="103">
        <f si="66" t="shared"/>
        <v>0</v>
      </c>
      <c r="AV57" s="103">
        <f si="66" t="shared"/>
        <v>7.4813006215568058E-3</v>
      </c>
      <c r="AX57" t="s">
        <v>220</v>
      </c>
      <c r="AY57" s="144" t="s">
        <v>369</v>
      </c>
      <c r="AZ57" s="116">
        <f>C51</f>
        <v>47962.330067061164</v>
      </c>
      <c r="BA57" s="116">
        <f ref="BA57:BU57" si="67" t="shared">D51</f>
        <v>32465.686990023041</v>
      </c>
      <c r="BB57" s="116">
        <f si="67" t="shared"/>
        <v>17819.499670131001</v>
      </c>
      <c r="BC57" s="116">
        <f si="67" t="shared"/>
        <v>15590.095231354566</v>
      </c>
      <c r="BD57" s="116">
        <f si="67" t="shared"/>
        <v>14470.515258958494</v>
      </c>
      <c r="BE57" s="116">
        <f si="67" t="shared"/>
        <v>93808.210758780653</v>
      </c>
      <c r="BF57" s="116">
        <f si="67" t="shared"/>
        <v>61668.638827945528</v>
      </c>
      <c r="BG57" s="116">
        <f si="67" t="shared"/>
        <v>3389.6060314460683</v>
      </c>
      <c r="BH57" s="116">
        <f si="67" t="shared"/>
        <v>37916.839771783598</v>
      </c>
      <c r="BI57" s="116">
        <f si="67" t="shared"/>
        <v>12314.051289788287</v>
      </c>
      <c r="BJ57" s="116">
        <f si="67" t="shared"/>
        <v>34680.423618890891</v>
      </c>
      <c r="BK57" s="116">
        <f si="67" t="shared"/>
        <v>137060.58534782816</v>
      </c>
      <c r="BL57" s="116">
        <f si="67" t="shared"/>
        <v>50044.257356442307</v>
      </c>
      <c r="BM57" s="116">
        <f si="67" t="shared"/>
        <v>10212.277399808154</v>
      </c>
      <c r="BN57" s="116">
        <f si="67" t="shared"/>
        <v>20996.049637056076</v>
      </c>
      <c r="BO57" s="116">
        <f si="67" t="shared"/>
        <v>3056.6721848154989</v>
      </c>
      <c r="BP57" s="116">
        <f si="67" t="shared"/>
        <v>8183.7677729022362</v>
      </c>
      <c r="BQ57" s="116">
        <f si="67" t="shared"/>
        <v>11662.736307180778</v>
      </c>
      <c r="BR57" s="116">
        <f si="67" t="shared"/>
        <v>19671.927490438102</v>
      </c>
      <c r="BS57" s="116">
        <f si="67" t="shared"/>
        <v>12501.828987365367</v>
      </c>
      <c r="BT57" s="116">
        <f si="67" t="shared"/>
        <v>0</v>
      </c>
      <c r="BU57" s="152">
        <f si="67" t="shared"/>
        <v>645476</v>
      </c>
      <c r="CU57" s="95">
        <v>56</v>
      </c>
      <c r="CV57" s="95">
        <f si="6" t="shared"/>
        <v>3</v>
      </c>
      <c r="CW57" s="95">
        <f si="0" t="shared"/>
        <v>16</v>
      </c>
      <c r="CX57" s="58">
        <f si="1" t="shared"/>
        <v>100.18725150698987</v>
      </c>
      <c r="CY57" s="58">
        <f si="2" t="shared"/>
        <v>24.999999999999996</v>
      </c>
      <c r="CZ57" s="108">
        <f si="3" t="shared"/>
        <v>-75.187251506989867</v>
      </c>
      <c r="DA57" s="78">
        <f si="4" t="shared"/>
        <v>-0.7504672538276409</v>
      </c>
      <c r="DB57" s="95">
        <v>56000</v>
      </c>
    </row>
    <row r="58" spans="2:106" x14ac:dyDescent="0.25">
      <c r="B58" s="95">
        <v>2</v>
      </c>
      <c r="C58" s="104">
        <f ref="C58:X58" si="68" t="shared">IF($X$51&gt;0,C31/$X$51,0)</f>
        <v>2.5767104253125567E-3</v>
      </c>
      <c r="D58" s="104">
        <f si="68" t="shared"/>
        <v>2.6184858861639277E-3</v>
      </c>
      <c r="E58" s="104">
        <f si="68" t="shared"/>
        <v>1.0226632816415595E-3</v>
      </c>
      <c r="F58" s="104">
        <f si="68" t="shared"/>
        <v>6.1493478373217956E-4</v>
      </c>
      <c r="G58" s="104">
        <f si="68" t="shared"/>
        <v>6.600522814516601E-4</v>
      </c>
      <c r="H58" s="104">
        <f si="68" t="shared"/>
        <v>4.2627680252738864E-3</v>
      </c>
      <c r="I58" s="104">
        <f si="68" t="shared"/>
        <v>1.8648565724051964E-3</v>
      </c>
      <c r="J58" s="104">
        <f si="68" t="shared"/>
        <v>1.4203656689466102E-4</v>
      </c>
      <c r="K58" s="104">
        <f si="68" t="shared"/>
        <v>1.8180680562516615E-3</v>
      </c>
      <c r="L58" s="104">
        <f si="68" t="shared"/>
        <v>4.4950395876075083E-4</v>
      </c>
      <c r="M58" s="104">
        <f si="68" t="shared"/>
        <v>1.0911750374378076E-3</v>
      </c>
      <c r="N58" s="104">
        <f si="68" t="shared"/>
        <v>4.1240734952473343E-3</v>
      </c>
      <c r="O58" s="104">
        <f si="68" t="shared"/>
        <v>3.7430812922828319E-4</v>
      </c>
      <c r="P58" s="104">
        <f si="68" t="shared"/>
        <v>7.8537866400577283E-5</v>
      </c>
      <c r="Q58" s="104">
        <f si="68" t="shared"/>
        <v>2.6736294944877372E-4</v>
      </c>
      <c r="R58" s="104">
        <f si="68" t="shared"/>
        <v>7.6866847966522444E-5</v>
      </c>
      <c r="S58" s="104">
        <f si="68" t="shared"/>
        <v>7.519582953246762E-5</v>
      </c>
      <c r="T58" s="104">
        <f si="68" t="shared"/>
        <v>1.0360314291139981E-4</v>
      </c>
      <c r="U58" s="104">
        <f si="68" t="shared"/>
        <v>1.4704962219682554E-4</v>
      </c>
      <c r="V58" s="104">
        <f si="68" t="shared"/>
        <v>6.015666362597409E-5</v>
      </c>
      <c r="W58" s="104">
        <f si="68" t="shared"/>
        <v>0</v>
      </c>
      <c r="X58" s="104">
        <f si="68" t="shared"/>
        <v>2.2428409421884007E-2</v>
      </c>
      <c r="Y58" s="95"/>
      <c r="Z58" s="95">
        <v>2</v>
      </c>
      <c r="AA58" s="104">
        <f ref="AA58:AA78" si="69" t="shared">IF($BU$51&gt;0,AZ31/$BU$51,0)</f>
        <v>4.9684264016012997E-3</v>
      </c>
      <c r="AB58" s="104">
        <f ref="AB58:AB78" si="70" t="shared">IF($BU$51&gt;0,BA31/$BU$51,0)</f>
        <v>3.1108825115108854E-3</v>
      </c>
      <c r="AC58" s="104">
        <f ref="AC58:AC78" si="71" t="shared">IF($BU$51&gt;0,BB31/$BU$51,0)</f>
        <v>9.2180034579132316E-4</v>
      </c>
      <c r="AD58" s="104">
        <f ref="AD58:AD78" si="72" t="shared">IF($BU$51&gt;0,BC31/$BU$51,0)</f>
        <v>5.6857265026120268E-4</v>
      </c>
      <c r="AE58" s="104">
        <f ref="AE58:AE78" si="73" t="shared">IF($BU$51&gt;0,BD31/$BU$51,0)</f>
        <v>1.2099597816185267E-3</v>
      </c>
      <c r="AF58" s="104">
        <f ref="AF58:AF78" si="74" t="shared">IF($BU$51&gt;0,BE31/$BU$51,0)</f>
        <v>4.3316870030798982E-3</v>
      </c>
      <c r="AG58" s="104">
        <f ref="AG58:AG78" si="75" t="shared">IF($BU$51&gt;0,BF31/$BU$51,0)</f>
        <v>1.5771306756564149E-3</v>
      </c>
      <c r="AH58" s="104">
        <f ref="AH58:AH78" si="76" t="shared">IF($BU$51&gt;0,BG31/$BU$51,0)</f>
        <v>5.1125061195149015E-5</v>
      </c>
      <c r="AI58" s="104">
        <f ref="AI58:AI78" si="77" t="shared">IF($BU$51&gt;0,BH31/$BU$51,0)</f>
        <v>1.2161567587330902E-3</v>
      </c>
      <c r="AJ58" s="104">
        <f ref="AJ58:AJ78" si="78" t="shared">IF($BU$51&gt;0,BI31/$BU$51,0)</f>
        <v>2.1844344328836399E-4</v>
      </c>
      <c r="AK58" s="104">
        <f ref="AK58:AK78" si="79" t="shared">IF($BU$51&gt;0,BJ31/$BU$51,0)</f>
        <v>3.6407240548060662E-4</v>
      </c>
      <c r="AL58" s="104">
        <f ref="AL58:AL78" si="80" t="shared">IF($BU$51&gt;0,BK31/$BU$51,0)</f>
        <v>2.8397647627487316E-3</v>
      </c>
      <c r="AM58" s="104">
        <f ref="AM58:AM78" si="81" t="shared">IF($BU$51&gt;0,BL31/$BU$51,0)</f>
        <v>7.2504632240393148E-4</v>
      </c>
      <c r="AN58" s="104">
        <f ref="AN58:AN78" si="82" t="shared">IF($BU$51&gt;0,BM31/$BU$51,0)</f>
        <v>3.2534129851458461E-5</v>
      </c>
      <c r="AO58" s="104">
        <f ref="AO58:AO78" si="83" t="shared">IF($BU$51&gt;0,BN31/$BU$51,0)</f>
        <v>1.7041687065049672E-4</v>
      </c>
      <c r="AP58" s="104">
        <f ref="AP58:AP78" si="84" t="shared">IF($BU$51&gt;0,BO31/$BU$51,0)</f>
        <v>6.1969771145635174E-6</v>
      </c>
      <c r="AQ58" s="104">
        <f ref="AQ58:AQ78" si="85" t="shared">IF($BU$51&gt;0,BP31/$BU$51,0)</f>
        <v>1.859093134369055E-5</v>
      </c>
      <c r="AR58" s="104">
        <f ref="AR58:AR78" si="86" t="shared">IF($BU$51&gt;0,BQ31/$BU$51,0)</f>
        <v>5.5772794031071655E-5</v>
      </c>
      <c r="AS58" s="104">
        <f ref="AS58:AS78" si="87" t="shared">IF($BU$51&gt;0,BR31/$BU$51,0)</f>
        <v>3.5632618408740225E-5</v>
      </c>
      <c r="AT58" s="104">
        <f ref="AT58:AT78" si="88" t="shared">IF($BU$51&gt;0,BS31/$BU$51,0)</f>
        <v>6.1969771145635174E-6</v>
      </c>
      <c r="AU58" s="104">
        <f ref="AU58:AU78" si="89" t="shared">IF($BU$51&gt;0,BT31/$BU$51,0)</f>
        <v>0</v>
      </c>
      <c r="AV58" s="104">
        <f ref="AV58:AV78" si="90" t="shared">IF($BU$51&gt;0,BU31/$BU$51,0)</f>
        <v>2.2428409421884007E-2</v>
      </c>
      <c r="AY58" s="151" t="s">
        <v>347</v>
      </c>
      <c r="AZ58" s="60">
        <f>AZ51</f>
        <v>104717</v>
      </c>
      <c r="BA58" s="60">
        <f ref="BA58:BU58" si="91" t="shared">BA51</f>
        <v>36899</v>
      </c>
      <c r="BB58" s="60">
        <f si="91" t="shared"/>
        <v>20380</v>
      </c>
      <c r="BC58" s="60">
        <f si="91" t="shared"/>
        <v>12404</v>
      </c>
      <c r="BD58" s="60">
        <f si="91" t="shared"/>
        <v>28863</v>
      </c>
      <c r="BE58" s="60">
        <f si="91" t="shared"/>
        <v>97414</v>
      </c>
      <c r="BF58" s="60">
        <f si="91" t="shared"/>
        <v>43120</v>
      </c>
      <c r="BG58" s="60">
        <f si="91" t="shared"/>
        <v>1352</v>
      </c>
      <c r="BH58" s="60">
        <f si="91" t="shared"/>
        <v>25252</v>
      </c>
      <c r="BI58" s="60">
        <f si="91" t="shared"/>
        <v>6761</v>
      </c>
      <c r="BJ58" s="60">
        <f si="91" t="shared"/>
        <v>22148</v>
      </c>
      <c r="BK58" s="60">
        <f si="91" t="shared"/>
        <v>91217</v>
      </c>
      <c r="BL58" s="60">
        <f si="91" t="shared"/>
        <v>88273</v>
      </c>
      <c r="BM58" s="60">
        <f si="91" t="shared"/>
        <v>7097.0000000000009</v>
      </c>
      <c r="BN58" s="60">
        <f si="91" t="shared"/>
        <v>20514</v>
      </c>
      <c r="BO58" s="60">
        <f si="91" t="shared"/>
        <v>1271</v>
      </c>
      <c r="BP58" s="60">
        <f si="91" t="shared"/>
        <v>4643</v>
      </c>
      <c r="BQ58" s="60">
        <f si="91" t="shared"/>
        <v>9969</v>
      </c>
      <c r="BR58" s="60">
        <f si="91" t="shared"/>
        <v>12777</v>
      </c>
      <c r="BS58" s="60">
        <f si="91" t="shared"/>
        <v>10405</v>
      </c>
      <c r="BT58" s="60">
        <f si="91" t="shared"/>
        <v>0</v>
      </c>
      <c r="BU58" s="153">
        <f si="91" t="shared"/>
        <v>645476</v>
      </c>
      <c r="CU58" s="95">
        <v>57</v>
      </c>
      <c r="CV58" s="95">
        <f si="6" t="shared"/>
        <v>3</v>
      </c>
      <c r="CW58" s="95">
        <f si="0" t="shared"/>
        <v>17</v>
      </c>
      <c r="CX58" s="58">
        <f si="1" t="shared"/>
        <v>105.28151853276901</v>
      </c>
      <c r="CY58" s="58">
        <f si="2" t="shared"/>
        <v>57.999999999999993</v>
      </c>
      <c r="CZ58" s="108">
        <f si="3" t="shared"/>
        <v>-47.28151853276902</v>
      </c>
      <c r="DA58" s="78">
        <f si="4" t="shared"/>
        <v>-0.4490960919988306</v>
      </c>
      <c r="DB58" s="95">
        <v>57000</v>
      </c>
    </row>
    <row r="59" spans="2:106" x14ac:dyDescent="0.25">
      <c r="B59" s="95">
        <v>3</v>
      </c>
      <c r="C59" s="104">
        <f ref="C59:X59" si="92" t="shared">IF($X$51&gt;0,C32/$X$51,0)</f>
        <v>6.1151892564162598E-3</v>
      </c>
      <c r="D59" s="104">
        <f si="92" t="shared"/>
        <v>2.5386782673442422E-3</v>
      </c>
      <c r="E59" s="104">
        <f si="92" t="shared"/>
        <v>3.9711241912498791E-3</v>
      </c>
      <c r="F59" s="104">
        <f si="92" t="shared"/>
        <v>1.7757594098003766E-3</v>
      </c>
      <c r="G59" s="104">
        <f si="92" t="shared"/>
        <v>1.6336986570163461E-3</v>
      </c>
      <c r="H59" s="104">
        <f si="92" t="shared"/>
        <v>8.8853739357048472E-3</v>
      </c>
      <c r="I59" s="104">
        <f si="92" t="shared"/>
        <v>2.3242717608276038E-3</v>
      </c>
      <c r="J59" s="104">
        <f si="92" t="shared"/>
        <v>3.367365991917751E-4</v>
      </c>
      <c r="K59" s="104">
        <f si="92" t="shared"/>
        <v>2.1651111026158663E-3</v>
      </c>
      <c r="L59" s="104">
        <f si="92" t="shared"/>
        <v>9.2602564777738167E-4</v>
      </c>
      <c r="M59" s="104">
        <f si="92" t="shared"/>
        <v>2.209833932196024E-3</v>
      </c>
      <c r="N59" s="104">
        <f si="92" t="shared"/>
        <v>5.9520824661827435E-3</v>
      </c>
      <c r="O59" s="104">
        <f si="92" t="shared"/>
        <v>5.9191980326679216E-4</v>
      </c>
      <c r="P59" s="104">
        <f si="92" t="shared"/>
        <v>2.3282178928493824E-4</v>
      </c>
      <c r="Q59" s="104">
        <f si="92" t="shared"/>
        <v>4.0250546622141867E-4</v>
      </c>
      <c r="R59" s="104">
        <f si="92" t="shared"/>
        <v>1.5521452618995883E-4</v>
      </c>
      <c r="S59" s="104">
        <f si="92" t="shared"/>
        <v>1.6310679023351607E-4</v>
      </c>
      <c r="T59" s="104">
        <f si="92" t="shared"/>
        <v>1.3153773405928714E-4</v>
      </c>
      <c r="U59" s="104">
        <f si="92" t="shared"/>
        <v>4.1565923962734734E-4</v>
      </c>
      <c r="V59" s="104">
        <f si="92" t="shared"/>
        <v>9.7337923203872487E-5</v>
      </c>
      <c r="W59" s="104">
        <f si="92" t="shared"/>
        <v>0</v>
      </c>
      <c r="X59" s="104">
        <f si="92" t="shared"/>
        <v>4.102398849841047E-2</v>
      </c>
      <c r="Y59" s="95"/>
      <c r="Z59" s="95">
        <v>3</v>
      </c>
      <c r="AA59" s="104">
        <f si="69" t="shared"/>
        <v>1.1470604639057067E-2</v>
      </c>
      <c r="AB59" s="104">
        <f si="70" t="shared"/>
        <v>3.1728522826565196E-3</v>
      </c>
      <c r="AC59" s="104">
        <f si="71" t="shared"/>
        <v>4.1349329796925051E-3</v>
      </c>
      <c r="AD59" s="104">
        <f si="72" t="shared"/>
        <v>1.3819258965476638E-3</v>
      </c>
      <c r="AE59" s="104">
        <f si="73" t="shared"/>
        <v>2.6863895791632837E-3</v>
      </c>
      <c r="AF59" s="104">
        <f si="74" t="shared"/>
        <v>8.0111421648519834E-3</v>
      </c>
      <c r="AG59" s="104">
        <f si="75" t="shared"/>
        <v>1.5538920114768014E-3</v>
      </c>
      <c r="AH59" s="104">
        <f si="76" t="shared"/>
        <v>1.1464407661942502E-4</v>
      </c>
      <c r="AI59" s="104">
        <f si="77" t="shared"/>
        <v>1.3788274079903822E-3</v>
      </c>
      <c r="AJ59" s="104">
        <f si="78" t="shared"/>
        <v>4.570270621990592E-4</v>
      </c>
      <c r="AK59" s="104">
        <f si="79" t="shared"/>
        <v>1.4175585149564041E-3</v>
      </c>
      <c r="AL59" s="104">
        <f si="80" t="shared"/>
        <v>3.8390273224720973E-3</v>
      </c>
      <c r="AM59" s="104">
        <f si="81" t="shared"/>
        <v>7.5293271941946713E-4</v>
      </c>
      <c r="AN59" s="104">
        <f si="82" t="shared"/>
        <v>1.1309483234078414E-4</v>
      </c>
      <c r="AO59" s="104">
        <f si="83" t="shared"/>
        <v>2.1999268756700476E-4</v>
      </c>
      <c r="AP59" s="104">
        <f si="84" t="shared"/>
        <v>3.873110696602197E-5</v>
      </c>
      <c r="AQ59" s="104">
        <f si="85" t="shared"/>
        <v>8.9856168161170971E-5</v>
      </c>
      <c r="AR59" s="104">
        <f si="86" t="shared"/>
        <v>5.1125061195148994E-5</v>
      </c>
      <c r="AS59" s="104">
        <f si="87" t="shared"/>
        <v>1.3323500796311557E-4</v>
      </c>
      <c r="AT59" s="104">
        <f si="88" t="shared"/>
        <v>6.1969771145635148E-6</v>
      </c>
      <c r="AU59" s="104">
        <f si="89" t="shared"/>
        <v>0</v>
      </c>
      <c r="AV59" s="104">
        <f si="90" t="shared"/>
        <v>4.102398849841047E-2</v>
      </c>
      <c r="AX59" t="s">
        <v>360</v>
      </c>
      <c r="AY59" s="144" t="s">
        <v>369</v>
      </c>
      <c r="AZ59" s="104">
        <f ref="AZ59:BU59" si="93" t="shared">C78</f>
        <v>7.4305365446679913E-2</v>
      </c>
      <c r="BA59" s="104">
        <f si="93" t="shared"/>
        <v>5.0297279821438813E-2</v>
      </c>
      <c r="BB59" s="104">
        <f si="93" t="shared"/>
        <v>2.7606757912193483E-2</v>
      </c>
      <c r="BC59" s="104">
        <f si="93" t="shared"/>
        <v>2.4152865840642513E-2</v>
      </c>
      <c r="BD59" s="104">
        <f si="93" t="shared"/>
        <v>2.2418362973926985E-2</v>
      </c>
      <c r="BE59" s="104">
        <f si="93" t="shared"/>
        <v>0.14533183380757866</v>
      </c>
      <c r="BF59" s="104">
        <f si="93" t="shared"/>
        <v>9.5539785875765365E-2</v>
      </c>
      <c r="BG59" s="104">
        <f si="93" t="shared"/>
        <v>5.2513277510644364E-3</v>
      </c>
      <c r="BH59" s="104">
        <f si="93" t="shared"/>
        <v>5.8742447080578672E-2</v>
      </c>
      <c r="BI59" s="104">
        <f si="93" t="shared"/>
        <v>1.9077473507594842E-2</v>
      </c>
      <c r="BJ59" s="104">
        <f si="93" t="shared"/>
        <v>5.372844787240872E-2</v>
      </c>
      <c r="BK59" s="104">
        <f si="93" t="shared"/>
        <v>0.21234032767729266</v>
      </c>
      <c r="BL59" s="104">
        <f si="93" t="shared"/>
        <v>7.753077938829997E-2</v>
      </c>
      <c r="BM59" s="104">
        <f si="93" t="shared"/>
        <v>1.5821312333546333E-2</v>
      </c>
      <c r="BN59" s="104">
        <f si="93" t="shared"/>
        <v>3.2528009774269027E-2</v>
      </c>
      <c r="BO59" s="104">
        <f si="93" t="shared"/>
        <v>4.7355318940061272E-3</v>
      </c>
      <c r="BP59" s="104">
        <f si="93" t="shared"/>
        <v>1.2678655399894398E-2</v>
      </c>
      <c r="BQ59" s="104">
        <f si="93" t="shared"/>
        <v>1.8068427497197073E-2</v>
      </c>
      <c r="BR59" s="104">
        <f si="93" t="shared"/>
        <v>3.0476621114399454E-2</v>
      </c>
      <c r="BS59" s="104">
        <f si="93" t="shared"/>
        <v>1.9368387031222487E-2</v>
      </c>
      <c r="BT59" s="104">
        <f si="93" t="shared"/>
        <v>0</v>
      </c>
      <c r="BU59" s="145">
        <f si="93" t="shared"/>
        <v>1</v>
      </c>
      <c r="CU59" s="95">
        <v>58</v>
      </c>
      <c r="CV59" s="95">
        <f si="6" t="shared"/>
        <v>3</v>
      </c>
      <c r="CW59" s="95">
        <f si="0" t="shared"/>
        <v>18</v>
      </c>
      <c r="CX59" s="58">
        <f si="1" t="shared"/>
        <v>84.904450429652428</v>
      </c>
      <c r="CY59" s="58">
        <f si="2" t="shared"/>
        <v>32.999999999999993</v>
      </c>
      <c r="CZ59" s="108">
        <f si="3" t="shared"/>
        <v>-51.904450429652435</v>
      </c>
      <c r="DA59" s="78">
        <f si="4" t="shared"/>
        <v>-0.61132779456193365</v>
      </c>
      <c r="DB59" s="95">
        <v>58000</v>
      </c>
    </row>
    <row ht="15.75" r="60" spans="2:106" thickBot="1" x14ac:dyDescent="0.3">
      <c r="B60" s="95">
        <v>4</v>
      </c>
      <c r="C60" s="104">
        <f ref="C60:X60" si="94" t="shared">IF($X$51&gt;0,C33/$X$51,0)</f>
        <v>1.5993609199969941E-3</v>
      </c>
      <c r="D60" s="104">
        <f si="94" t="shared"/>
        <v>9.5114743103690903E-4</v>
      </c>
      <c r="E60" s="104">
        <f si="94" t="shared"/>
        <v>7.7307873390214529E-4</v>
      </c>
      <c r="F60" s="104">
        <f si="94" t="shared"/>
        <v>1.0749268912403423E-3</v>
      </c>
      <c r="G60" s="104">
        <f si="94" t="shared"/>
        <v>8.6428465194678041E-4</v>
      </c>
      <c r="H60" s="104">
        <f si="94" t="shared"/>
        <v>2.8979594673944182E-3</v>
      </c>
      <c r="I60" s="104">
        <f si="94" t="shared"/>
        <v>8.6862779090128681E-4</v>
      </c>
      <c r="J60" s="104">
        <f si="94" t="shared"/>
        <v>1.5635300236223164E-4</v>
      </c>
      <c r="K60" s="104">
        <f si="94" t="shared"/>
        <v>8.2736797083347564E-4</v>
      </c>
      <c r="L60" s="104">
        <f si="94" t="shared"/>
        <v>4.0934084646223142E-4</v>
      </c>
      <c r="M60" s="104">
        <f si="94" t="shared"/>
        <v>7.0576008010729552E-4</v>
      </c>
      <c r="N60" s="104">
        <f si="94" t="shared"/>
        <v>1.9869860716866935E-3</v>
      </c>
      <c r="O60" s="104">
        <f si="94" t="shared"/>
        <v>2.1389959350944188E-4</v>
      </c>
      <c r="P60" s="104">
        <f si="94" t="shared"/>
        <v>8.0348070658369032E-5</v>
      </c>
      <c r="Q60" s="104">
        <f si="94" t="shared"/>
        <v>1.2269367546480678E-4</v>
      </c>
      <c r="R60" s="104">
        <f si="94" t="shared"/>
        <v>5.2117667454077206E-5</v>
      </c>
      <c r="S60" s="104">
        <f si="94" t="shared"/>
        <v>4.0174035329184516E-5</v>
      </c>
      <c r="T60" s="104">
        <f si="94" t="shared"/>
        <v>7.383336222660938E-5</v>
      </c>
      <c r="U60" s="104">
        <f si="94" t="shared"/>
        <v>1.0423533490815441E-4</v>
      </c>
      <c r="V60" s="104">
        <f si="94" t="shared"/>
        <v>2.6058833727038603E-5</v>
      </c>
      <c r="W60" s="104">
        <f si="94" t="shared"/>
        <v>0</v>
      </c>
      <c r="X60" s="104">
        <f si="94" t="shared"/>
        <v>1.3828554431148487E-2</v>
      </c>
      <c r="Y60" s="95"/>
      <c r="Z60" s="95">
        <v>4</v>
      </c>
      <c r="AA60" s="104">
        <f si="69" t="shared"/>
        <v>3.5369246881371266E-3</v>
      </c>
      <c r="AB60" s="104">
        <f si="70" t="shared"/>
        <v>9.4348976569229531E-4</v>
      </c>
      <c r="AC60" s="104">
        <f si="71" t="shared"/>
        <v>8.2574720051558845E-4</v>
      </c>
      <c r="AD60" s="104">
        <f si="72" t="shared"/>
        <v>9.8531936121559901E-4</v>
      </c>
      <c r="AE60" s="104">
        <f si="73" t="shared"/>
        <v>1.3555887438107691E-3</v>
      </c>
      <c r="AF60" s="104">
        <f si="74" t="shared"/>
        <v>3.0938408244458354E-3</v>
      </c>
      <c r="AG60" s="104">
        <f si="75" t="shared"/>
        <v>4.1519746667575556E-4</v>
      </c>
      <c r="AH60" s="104">
        <f si="76" t="shared"/>
        <v>9.2954656718452735E-5</v>
      </c>
      <c r="AI60" s="104">
        <f si="77" t="shared"/>
        <v>3.45481474136916E-4</v>
      </c>
      <c r="AJ60" s="104">
        <f si="78" t="shared"/>
        <v>2.6337152736894944E-4</v>
      </c>
      <c r="AK60" s="104">
        <f si="79" t="shared"/>
        <v>4.2759142090488262E-4</v>
      </c>
      <c r="AL60" s="104">
        <f si="80" t="shared"/>
        <v>1.1619332089806591E-3</v>
      </c>
      <c r="AM60" s="104">
        <f si="81" t="shared"/>
        <v>1.9055704627282812E-4</v>
      </c>
      <c r="AN60" s="104">
        <f si="82" t="shared"/>
        <v>5.5772794031071641E-5</v>
      </c>
      <c r="AO60" s="104">
        <f si="83" t="shared"/>
        <v>4.337883980194461E-5</v>
      </c>
      <c r="AP60" s="104">
        <f si="84" t="shared"/>
        <v>2.0140175622331426E-5</v>
      </c>
      <c r="AQ60" s="104">
        <f si="85" t="shared"/>
        <v>2.1689419900972305E-5</v>
      </c>
      <c r="AR60" s="104">
        <f si="86" t="shared"/>
        <v>1.394319850776791E-5</v>
      </c>
      <c r="AS60" s="104">
        <f si="87" t="shared"/>
        <v>3.2534129851458461E-5</v>
      </c>
      <c r="AT60" s="104">
        <f si="88" t="shared"/>
        <v>3.0984885572817578E-6</v>
      </c>
      <c r="AU60" s="104">
        <f si="89" t="shared"/>
        <v>0</v>
      </c>
      <c r="AV60" s="104">
        <f si="90" t="shared"/>
        <v>1.3828554431148487E-2</v>
      </c>
      <c r="AY60" s="146" t="s">
        <v>347</v>
      </c>
      <c r="AZ60" s="106">
        <f ref="AZ60:BU60" si="95" t="shared">AA78</f>
        <v>0.16223221312643693</v>
      </c>
      <c r="BA60" s="106">
        <f si="95" t="shared"/>
        <v>5.7165564637569791E-2</v>
      </c>
      <c r="BB60" s="106">
        <f si="95" t="shared"/>
        <v>3.1573598398701115E-2</v>
      </c>
      <c r="BC60" s="106">
        <f si="95" t="shared"/>
        <v>1.9216826032261464E-2</v>
      </c>
      <c r="BD60" s="106">
        <f si="95" t="shared"/>
        <v>4.471583761441169E-2</v>
      </c>
      <c r="BE60" s="106">
        <f si="95" t="shared"/>
        <v>0.1509180821595226</v>
      </c>
      <c r="BF60" s="106">
        <f si="95" t="shared"/>
        <v>6.6803413294994701E-2</v>
      </c>
      <c r="BG60" s="106">
        <f si="95" t="shared"/>
        <v>2.0945782647224685E-3</v>
      </c>
      <c r="BH60" s="106">
        <f si="95" t="shared"/>
        <v>3.9121516524239473E-2</v>
      </c>
      <c r="BI60" s="106">
        <f si="95" t="shared"/>
        <v>1.0474440567890982E-2</v>
      </c>
      <c r="BJ60" s="106">
        <f si="95" t="shared"/>
        <v>3.4312662283338187E-2</v>
      </c>
      <c r="BK60" s="106">
        <f si="95" t="shared"/>
        <v>0.14131741536478507</v>
      </c>
      <c r="BL60" s="106">
        <f si="95" t="shared"/>
        <v>0.13675644020846631</v>
      </c>
      <c r="BM60" s="106">
        <f si="95" t="shared"/>
        <v>1.0994986645514319E-2</v>
      </c>
      <c r="BN60" s="106">
        <f si="95" t="shared"/>
        <v>3.1781197132038988E-2</v>
      </c>
      <c r="BO60" s="106">
        <f si="95" t="shared"/>
        <v>1.9690894781525573E-3</v>
      </c>
      <c r="BP60" s="106">
        <f si="95" t="shared"/>
        <v>7.1931411857296011E-3</v>
      </c>
      <c r="BQ60" s="106">
        <f si="95" t="shared"/>
        <v>1.5444416213770922E-2</v>
      </c>
      <c r="BR60" s="106">
        <f si="95" t="shared"/>
        <v>1.979469414819451E-2</v>
      </c>
      <c r="BS60" s="106">
        <f si="95" t="shared"/>
        <v>1.6119886719258347E-2</v>
      </c>
      <c r="BT60" s="106">
        <f si="95" t="shared"/>
        <v>0</v>
      </c>
      <c r="BU60" s="147">
        <f si="95" t="shared"/>
        <v>1</v>
      </c>
      <c r="CU60" s="95">
        <v>59</v>
      </c>
      <c r="CV60" s="95">
        <f si="6" t="shared"/>
        <v>3</v>
      </c>
      <c r="CW60" s="95">
        <f si="0" t="shared"/>
        <v>19</v>
      </c>
      <c r="CX60" s="58">
        <f si="1" t="shared"/>
        <v>268.29806335770166</v>
      </c>
      <c r="CY60" s="58">
        <f si="2" t="shared"/>
        <v>85.999999999999986</v>
      </c>
      <c r="CZ60" s="108">
        <f si="3" t="shared"/>
        <v>-182.29806335770166</v>
      </c>
      <c r="DA60" s="78">
        <f si="4" t="shared"/>
        <v>-0.679460973651</v>
      </c>
      <c r="DB60" s="95">
        <v>59000</v>
      </c>
    </row>
    <row r="61" spans="2:106" x14ac:dyDescent="0.25">
      <c r="B61" s="95">
        <v>5</v>
      </c>
      <c r="C61" s="104">
        <f ref="C61:X61" si="96" t="shared">IF($X$51&gt;0,C34/$X$51,0)</f>
        <v>1.8141749963431282E-3</v>
      </c>
      <c r="D61" s="104">
        <f si="96" t="shared"/>
        <v>6.9439111928995588E-4</v>
      </c>
      <c r="E61" s="104">
        <f si="96" t="shared"/>
        <v>4.9170398176748233E-4</v>
      </c>
      <c r="F61" s="104">
        <f si="96" t="shared"/>
        <v>5.7803368849001743E-4</v>
      </c>
      <c r="G61" s="104">
        <f si="96" t="shared"/>
        <v>9.8716142904463995E-4</v>
      </c>
      <c r="H61" s="104">
        <f si="96" t="shared"/>
        <v>3.2329849590004432E-3</v>
      </c>
      <c r="I61" s="104">
        <f si="96" t="shared"/>
        <v>6.4434491249428351E-4</v>
      </c>
      <c r="J61" s="104">
        <f si="96" t="shared"/>
        <v>1.0885049978058769E-4</v>
      </c>
      <c r="K61" s="104">
        <f si="96" t="shared"/>
        <v>5.5801520577174841E-4</v>
      </c>
      <c r="L61" s="104">
        <f si="96" t="shared"/>
        <v>4.7168549904921337E-4</v>
      </c>
      <c r="M61" s="104">
        <f si="96" t="shared"/>
        <v>4.7418780938899695E-4</v>
      </c>
      <c r="N61" s="104">
        <f si="96" t="shared"/>
        <v>2.5298357535212452E-3</v>
      </c>
      <c r="O61" s="104">
        <f si="96" t="shared"/>
        <v>2.2145446507085083E-4</v>
      </c>
      <c r="P61" s="104">
        <f si="96" t="shared"/>
        <v>7.2566999853725133E-5</v>
      </c>
      <c r="Q61" s="104">
        <f si="96" t="shared"/>
        <v>9.383663774188594E-5</v>
      </c>
      <c r="R61" s="104">
        <f si="96" t="shared"/>
        <v>7.381815502361694E-5</v>
      </c>
      <c r="S61" s="104">
        <f si="96" t="shared"/>
        <v>4.379043094621344E-5</v>
      </c>
      <c r="T61" s="104">
        <f si="96" t="shared"/>
        <v>6.2557758494590626E-5</v>
      </c>
      <c r="U61" s="104">
        <f si="96" t="shared"/>
        <v>7.381815502361694E-5</v>
      </c>
      <c r="V61" s="104">
        <f si="96" t="shared"/>
        <v>2.5023103397836253E-5</v>
      </c>
      <c r="W61" s="104">
        <f si="96" t="shared"/>
        <v>0</v>
      </c>
      <c r="X61" s="104">
        <f si="96" t="shared"/>
        <v>1.3252235559494079E-2</v>
      </c>
      <c r="Y61" s="95"/>
      <c r="Z61" s="95">
        <v>5</v>
      </c>
      <c r="AA61" s="104">
        <f si="69" t="shared"/>
        <v>3.1465151299196253E-3</v>
      </c>
      <c r="AB61" s="104">
        <f si="70" t="shared"/>
        <v>7.622281850913125E-4</v>
      </c>
      <c r="AC61" s="104">
        <f si="71" t="shared"/>
        <v>4.4308386369129138E-4</v>
      </c>
      <c r="AD61" s="104">
        <f si="72" t="shared"/>
        <v>4.8801194777187688E-4</v>
      </c>
      <c r="AE61" s="104">
        <f si="73" t="shared"/>
        <v>2.0155668065117835E-3</v>
      </c>
      <c r="AF61" s="104">
        <f si="74" t="shared"/>
        <v>3.6686104518216015E-3</v>
      </c>
      <c r="AG61" s="104">
        <f si="75" t="shared"/>
        <v>3.1139810000681669E-4</v>
      </c>
      <c r="AH61" s="104">
        <f si="76" t="shared"/>
        <v>4.802657263786725E-5</v>
      </c>
      <c r="AI61" s="104">
        <f si="77" t="shared"/>
        <v>2.494283288611815E-4</v>
      </c>
      <c r="AJ61" s="104">
        <f si="78" t="shared"/>
        <v>3.2843978707186632E-4</v>
      </c>
      <c r="AK61" s="104">
        <f si="79" t="shared"/>
        <v>2.1999268756700481E-4</v>
      </c>
      <c r="AL61" s="104">
        <f si="80" t="shared"/>
        <v>1.2812250184360068E-3</v>
      </c>
      <c r="AM61" s="104">
        <f si="81" t="shared"/>
        <v>1.4872745074952438E-4</v>
      </c>
      <c r="AN61" s="104">
        <f si="82" t="shared"/>
        <v>2.6337152736894942E-5</v>
      </c>
      <c r="AO61" s="104">
        <f si="83" t="shared"/>
        <v>3.4083374130099336E-5</v>
      </c>
      <c r="AP61" s="104">
        <f si="84" t="shared"/>
        <v>2.6337152736894942E-5</v>
      </c>
      <c r="AQ61" s="104">
        <f si="85" t="shared"/>
        <v>1.2393954229127031E-5</v>
      </c>
      <c r="AR61" s="104">
        <f si="86" t="shared"/>
        <v>1.0844709950486152E-5</v>
      </c>
      <c r="AS61" s="104">
        <f si="87" t="shared"/>
        <v>2.4787908458254063E-5</v>
      </c>
      <c r="AT61" s="104">
        <f si="88" t="shared"/>
        <v>6.1969771145635157E-6</v>
      </c>
      <c r="AU61" s="104">
        <f si="89" t="shared"/>
        <v>0</v>
      </c>
      <c r="AV61" s="104">
        <f si="90" t="shared"/>
        <v>1.3252235559494079E-2</v>
      </c>
      <c r="CU61" s="95">
        <v>60</v>
      </c>
      <c r="CV61" s="95">
        <f si="6" t="shared"/>
        <v>3</v>
      </c>
      <c r="CW61" s="95">
        <f si="0" t="shared"/>
        <v>20</v>
      </c>
      <c r="CX61" s="58">
        <f si="1" t="shared"/>
        <v>62.829293317942799</v>
      </c>
      <c r="CY61" s="58">
        <f si="2" t="shared"/>
        <v>3.9999999999999996</v>
      </c>
      <c r="CZ61" s="108">
        <f si="3" t="shared"/>
        <v>-58.829293317942799</v>
      </c>
      <c r="DA61" s="78">
        <f si="4" t="shared"/>
        <v>-0.93633542908467382</v>
      </c>
      <c r="DB61" s="95">
        <v>60000</v>
      </c>
    </row>
    <row r="62" spans="2:106" x14ac:dyDescent="0.25">
      <c r="B62" s="95">
        <v>6</v>
      </c>
      <c r="C62" s="104">
        <f ref="C62:X62" si="97" t="shared">IF($X$51&gt;0,C35/$X$51,0)</f>
        <v>5.3477793122628748E-3</v>
      </c>
      <c r="D62" s="104">
        <f si="97" t="shared"/>
        <v>1.5543079671816846E-3</v>
      </c>
      <c r="E62" s="104">
        <f si="97" t="shared"/>
        <v>1.0171302730606986E-3</v>
      </c>
      <c r="F62" s="104">
        <f si="97" t="shared"/>
        <v>1.0226681874330799E-3</v>
      </c>
      <c r="G62" s="104">
        <f si="97" t="shared"/>
        <v>1.4232439937019938E-3</v>
      </c>
      <c r="H62" s="104">
        <f si="97" t="shared"/>
        <v>1.3242999235821146E-2</v>
      </c>
      <c r="I62" s="104">
        <f si="97" t="shared"/>
        <v>1.7592107989597928E-3</v>
      </c>
      <c r="J62" s="104">
        <f si="97" t="shared"/>
        <v>1.1445023036254684E-4</v>
      </c>
      <c r="K62" s="104">
        <f si="97" t="shared"/>
        <v>1.436165793904217E-3</v>
      </c>
      <c r="L62" s="104">
        <f si="97" t="shared"/>
        <v>9.5990515787942507E-4</v>
      </c>
      <c r="M62" s="104">
        <f si="97" t="shared"/>
        <v>8.8975824249592865E-4</v>
      </c>
      <c r="N62" s="104">
        <f si="97" t="shared"/>
        <v>8.5782293628186308E-3</v>
      </c>
      <c r="O62" s="104">
        <f si="97" t="shared"/>
        <v>7.1439095403718754E-4</v>
      </c>
      <c r="P62" s="104">
        <f si="97" t="shared"/>
        <v>1.4213980222445335E-4</v>
      </c>
      <c r="Q62" s="104">
        <f si="97" t="shared"/>
        <v>3.0089334756605059E-4</v>
      </c>
      <c r="R62" s="104">
        <f si="97" t="shared"/>
        <v>2.1044074615048937E-4</v>
      </c>
      <c r="S62" s="104">
        <f si="97" t="shared"/>
        <v>8.1222744128259055E-5</v>
      </c>
      <c r="T62" s="104">
        <f si="97" t="shared"/>
        <v>2.0674880323556851E-4</v>
      </c>
      <c r="U62" s="104">
        <f si="97" t="shared"/>
        <v>2.7135780424668364E-4</v>
      </c>
      <c r="V62" s="104">
        <f si="97" t="shared"/>
        <v>8.8606629958100792E-5</v>
      </c>
      <c r="W62" s="104">
        <f si="97" t="shared"/>
        <v>0</v>
      </c>
      <c r="X62" s="104">
        <f si="97" t="shared"/>
        <v>3.936164938742881E-2</v>
      </c>
      <c r="Y62" s="95"/>
      <c r="Z62" s="95">
        <v>6</v>
      </c>
      <c r="AA62" s="104">
        <f si="69" t="shared"/>
        <v>9.2288481678637155E-3</v>
      </c>
      <c r="AB62" s="104">
        <f si="70" t="shared"/>
        <v>2.416821074679771E-3</v>
      </c>
      <c r="AC62" s="104">
        <f si="71" t="shared"/>
        <v>1.1030619263923058E-3</v>
      </c>
      <c r="AD62" s="104">
        <f si="72" t="shared"/>
        <v>8.5518284180976525E-4</v>
      </c>
      <c r="AE62" s="104">
        <f si="73" t="shared"/>
        <v>2.8413140070273719E-3</v>
      </c>
      <c r="AF62" s="104">
        <f si="74" t="shared"/>
        <v>1.4380085394344639E-2</v>
      </c>
      <c r="AG62" s="104">
        <f si="75" t="shared"/>
        <v>1.1851718731602724E-3</v>
      </c>
      <c r="AH62" s="104">
        <f si="76" t="shared"/>
        <v>9.60531452757345E-5</v>
      </c>
      <c r="AI62" s="104">
        <f si="77" t="shared"/>
        <v>8.226487119583067E-4</v>
      </c>
      <c r="AJ62" s="104">
        <f si="78" t="shared"/>
        <v>5.8716358160489318E-4</v>
      </c>
      <c r="AK62" s="104">
        <f si="79" t="shared"/>
        <v>4.6012555075634106E-4</v>
      </c>
      <c r="AL62" s="104">
        <f si="80" t="shared"/>
        <v>4.3921075299468921E-3</v>
      </c>
      <c r="AM62" s="104">
        <f si="81" t="shared"/>
        <v>6.5842881842237356E-4</v>
      </c>
      <c r="AN62" s="104">
        <f si="82" t="shared"/>
        <v>4.802657263786725E-5</v>
      </c>
      <c r="AO62" s="104">
        <f si="83" t="shared"/>
        <v>1.3013651940583384E-4</v>
      </c>
      <c r="AP62" s="104">
        <f si="84" t="shared"/>
        <v>3.0984885572817578E-5</v>
      </c>
      <c r="AQ62" s="104">
        <f si="85" t="shared"/>
        <v>1.8590931343690547E-5</v>
      </c>
      <c r="AR62" s="104">
        <f si="86" t="shared"/>
        <v>6.1969771145635157E-5</v>
      </c>
      <c r="AS62" s="104">
        <f si="87" t="shared"/>
        <v>3.8731106966021976E-5</v>
      </c>
      <c r="AT62" s="104">
        <f si="88" t="shared"/>
        <v>6.1969771145635157E-6</v>
      </c>
      <c r="AU62" s="104">
        <f si="89" t="shared"/>
        <v>0</v>
      </c>
      <c r="AV62" s="104">
        <f si="90" t="shared"/>
        <v>3.936164938742881E-2</v>
      </c>
      <c r="CU62" s="95">
        <v>61</v>
      </c>
      <c r="CV62" s="95">
        <f si="6" t="shared"/>
        <v>4</v>
      </c>
      <c r="CW62" s="95">
        <f si="0" t="shared"/>
        <v>1</v>
      </c>
      <c r="CX62" s="58">
        <f si="1" t="shared"/>
        <v>1032.3490891959798</v>
      </c>
      <c r="CY62" s="58">
        <f si="2" t="shared"/>
        <v>2283</v>
      </c>
      <c r="CZ62" s="108">
        <f si="3" t="shared"/>
        <v>1250.6509108040202</v>
      </c>
      <c r="DA62" s="78">
        <f si="4" t="shared"/>
        <v>1.2114612429968428</v>
      </c>
      <c r="DB62" s="95">
        <v>61000</v>
      </c>
    </row>
    <row r="63" spans="2:106" x14ac:dyDescent="0.25">
      <c r="B63" s="95">
        <v>7</v>
      </c>
      <c r="C63" s="104">
        <f ref="C63:X63" si="98" t="shared">IF($X$51&gt;0,C36/$X$51,0)</f>
        <v>7.8535364831808403E-3</v>
      </c>
      <c r="D63" s="104">
        <f si="98" t="shared"/>
        <v>7.9751128455785771E-3</v>
      </c>
      <c r="E63" s="104">
        <f si="98" t="shared"/>
        <v>3.5197839552711559E-3</v>
      </c>
      <c r="F63" s="104">
        <f si="98" t="shared"/>
        <v>2.7740167566606285E-3</v>
      </c>
      <c r="G63" s="104">
        <f si="98" t="shared"/>
        <v>2.5442077789575835E-3</v>
      </c>
      <c r="H63" s="104">
        <f si="98" t="shared"/>
        <v>1.5471333434395326E-2</v>
      </c>
      <c r="I63" s="104">
        <f si="98" t="shared"/>
        <v>2.7227174622830457E-2</v>
      </c>
      <c r="J63" s="104">
        <f si="98" t="shared"/>
        <v>4.9520128098591652E-4</v>
      </c>
      <c r="K63" s="104">
        <f si="98" t="shared"/>
        <v>7.8980156401556208E-3</v>
      </c>
      <c r="L63" s="104">
        <f si="98" t="shared"/>
        <v>1.930395412705579E-3</v>
      </c>
      <c r="M63" s="104">
        <f si="98" t="shared"/>
        <v>3.9927456577696805E-3</v>
      </c>
      <c r="N63" s="104">
        <f si="98" t="shared"/>
        <v>2.4128460020253911E-2</v>
      </c>
      <c r="O63" s="104">
        <f si="98" t="shared"/>
        <v>8.3176023542844077E-3</v>
      </c>
      <c r="P63" s="104">
        <f si="98" t="shared"/>
        <v>3.8400338854895923E-4</v>
      </c>
      <c r="Q63" s="104">
        <f si="98" t="shared"/>
        <v>2.4196661394281908E-3</v>
      </c>
      <c r="R63" s="104">
        <f si="98" t="shared"/>
        <v>3.0987146025765439E-4</v>
      </c>
      <c r="S63" s="104">
        <f si="98" t="shared"/>
        <v>2.935624360335673E-4</v>
      </c>
      <c r="T63" s="104">
        <f si="98" t="shared"/>
        <v>1.1253226714620082E-3</v>
      </c>
      <c r="U63" s="104">
        <f si="98" t="shared"/>
        <v>7.0425331876739644E-4</v>
      </c>
      <c r="V63" s="104">
        <f si="98" t="shared"/>
        <v>4.4034365405035098E-4</v>
      </c>
      <c r="W63" s="104">
        <f si="98" t="shared"/>
        <v>0</v>
      </c>
      <c r="X63" s="104">
        <f si="98" t="shared"/>
        <v>0.11980460931157781</v>
      </c>
      <c r="Y63" s="95"/>
      <c r="Z63" s="95">
        <v>7</v>
      </c>
      <c r="AA63" s="104">
        <f si="69" t="shared"/>
        <v>1.665437599538945E-2</v>
      </c>
      <c r="AB63" s="104">
        <f si="70" t="shared"/>
        <v>8.6091504564073645E-3</v>
      </c>
      <c r="AC63" s="104">
        <f si="71" t="shared"/>
        <v>2.9544088393681561E-3</v>
      </c>
      <c r="AD63" s="104">
        <f si="72" t="shared"/>
        <v>1.5569905000340834E-3</v>
      </c>
      <c r="AE63" s="104">
        <f si="73" t="shared"/>
        <v>3.9955009946148271E-3</v>
      </c>
      <c r="AF63" s="104">
        <f si="74" t="shared"/>
        <v>1.5084991541126238E-2</v>
      </c>
      <c r="AG63" s="104">
        <f si="75" t="shared"/>
        <v>2.069480507408486E-2</v>
      </c>
      <c r="AH63" s="104">
        <f si="76" t="shared"/>
        <v>1.3323500796311559E-4</v>
      </c>
      <c r="AI63" s="104">
        <f si="77" t="shared"/>
        <v>5.4424951508654082E-3</v>
      </c>
      <c r="AJ63" s="104">
        <f si="78" t="shared"/>
        <v>7.4673574230490363E-4</v>
      </c>
      <c r="AK63" s="104">
        <f si="79" t="shared"/>
        <v>1.0410921552466707E-3</v>
      </c>
      <c r="AL63" s="104">
        <f si="80" t="shared"/>
        <v>1.8239252892439068E-2</v>
      </c>
      <c r="AM63" s="104">
        <f si="81" t="shared"/>
        <v>2.1887723168638337E-2</v>
      </c>
      <c r="AN63" s="104">
        <f si="82" t="shared"/>
        <v>1.0999634378350241E-4</v>
      </c>
      <c r="AO63" s="104">
        <f si="83" t="shared"/>
        <v>1.7367028363564254E-3</v>
      </c>
      <c r="AP63" s="104">
        <f si="84" t="shared"/>
        <v>4.4928084080585492E-5</v>
      </c>
      <c r="AQ63" s="104">
        <f si="85" t="shared"/>
        <v>6.8166748260198672E-5</v>
      </c>
      <c r="AR63" s="104">
        <f si="86" t="shared"/>
        <v>6.0110678011266101E-4</v>
      </c>
      <c r="AS63" s="104">
        <f si="87" t="shared"/>
        <v>1.7196611492913756E-4</v>
      </c>
      <c r="AT63" s="104">
        <f si="88" t="shared"/>
        <v>3.0984885572817578E-5</v>
      </c>
      <c r="AU63" s="104">
        <f si="89" t="shared"/>
        <v>0</v>
      </c>
      <c r="AV63" s="104">
        <f si="90" t="shared"/>
        <v>0.11980460931157781</v>
      </c>
      <c r="CU63" s="95">
        <v>62</v>
      </c>
      <c r="CV63" s="95">
        <f si="6" t="shared"/>
        <v>4</v>
      </c>
      <c r="CW63" s="95">
        <f si="0" t="shared"/>
        <v>2</v>
      </c>
      <c r="CX63" s="58">
        <f si="1" t="shared"/>
        <v>613.9428391959799</v>
      </c>
      <c r="CY63" s="58">
        <f si="2" t="shared"/>
        <v>609</v>
      </c>
      <c r="CZ63" s="108">
        <f si="3" t="shared"/>
        <v>-4.9428391959799001</v>
      </c>
      <c r="DA63" s="78">
        <f si="4" t="shared"/>
        <v>-8.0509762153966099E-3</v>
      </c>
      <c r="DB63" s="95">
        <v>62000</v>
      </c>
    </row>
    <row r="64" spans="2:106" x14ac:dyDescent="0.25">
      <c r="B64" s="95">
        <v>8</v>
      </c>
      <c r="C64" s="104">
        <f ref="C64:X64" si="99" t="shared">IF($X$51&gt;0,C37/$X$51,0)</f>
        <v>6.6486853161483353E-4</v>
      </c>
      <c r="D64" s="104">
        <f si="99" t="shared"/>
        <v>4.7353945776883822E-4</v>
      </c>
      <c r="E64" s="104">
        <f si="99" t="shared"/>
        <v>3.3363007251895424E-4</v>
      </c>
      <c r="F64" s="104">
        <f si="99" t="shared"/>
        <v>3.5515459332662871E-4</v>
      </c>
      <c r="G64" s="104">
        <f si="99" t="shared"/>
        <v>2.9656006446129266E-4</v>
      </c>
      <c r="H64" s="104">
        <f si="99" t="shared"/>
        <v>1.3297370632296671E-3</v>
      </c>
      <c r="I64" s="104">
        <f si="99" t="shared"/>
        <v>3.8744137453814039E-4</v>
      </c>
      <c r="J64" s="104">
        <f si="99" t="shared"/>
        <v>1.5186745236525875E-4</v>
      </c>
      <c r="K64" s="104">
        <f si="99" t="shared"/>
        <v>4.0418266849966497E-4</v>
      </c>
      <c r="L64" s="104">
        <f si="99" t="shared"/>
        <v>1.8295842686523299E-4</v>
      </c>
      <c r="M64" s="104">
        <f si="99" t="shared"/>
        <v>5.3930882690339911E-4</v>
      </c>
      <c r="N64" s="104">
        <f si="99" t="shared"/>
        <v>8.4065211821084172E-4</v>
      </c>
      <c r="O64" s="104">
        <f si="99" t="shared"/>
        <v>1.0762260403837233E-4</v>
      </c>
      <c r="P64" s="104">
        <f si="99" t="shared"/>
        <v>1.2077647786528453E-4</v>
      </c>
      <c r="Q64" s="104">
        <f si="99" t="shared"/>
        <v>6.4573562423023403E-5</v>
      </c>
      <c r="R64" s="104">
        <f si="99" t="shared"/>
        <v>1.7937100673062054E-5</v>
      </c>
      <c r="S64" s="104">
        <f si="99" t="shared"/>
        <v>4.1853234903811464E-5</v>
      </c>
      <c r="T64" s="104">
        <f si="99" t="shared"/>
        <v>3.8265814769199056E-5</v>
      </c>
      <c r="U64" s="104">
        <f si="99" t="shared"/>
        <v>5.8594528865336055E-5</v>
      </c>
      <c r="V64" s="104">
        <f si="99" t="shared"/>
        <v>1.6741293961524584E-5</v>
      </c>
      <c r="W64" s="104">
        <f si="99" t="shared"/>
        <v>0</v>
      </c>
      <c r="X64" s="104">
        <f si="99" t="shared"/>
        <v>6.4262652678023658E-3</v>
      </c>
      <c r="Y64" s="95"/>
      <c r="Z64" s="95">
        <v>8</v>
      </c>
      <c r="AA64" s="104">
        <f si="69" t="shared"/>
        <v>1.7490967905855524E-3</v>
      </c>
      <c r="AB64" s="104">
        <f si="70" t="shared"/>
        <v>4.6012555075634106E-4</v>
      </c>
      <c r="AC64" s="104">
        <f si="71" t="shared"/>
        <v>4.2294368806895994E-4</v>
      </c>
      <c r="AD64" s="104">
        <f si="72" t="shared"/>
        <v>3.1914432140002106E-4</v>
      </c>
      <c r="AE64" s="104">
        <f si="73" t="shared"/>
        <v>5.0350439055828569E-4</v>
      </c>
      <c r="AF64" s="104">
        <f si="74" t="shared"/>
        <v>1.2905204841078522E-3</v>
      </c>
      <c r="AG64" s="104">
        <f si="75" t="shared"/>
        <v>2.0450024478059603E-4</v>
      </c>
      <c r="AH64" s="104">
        <f si="76" t="shared"/>
        <v>4.1829595523303734E-5</v>
      </c>
      <c r="AI64" s="104">
        <f si="77" t="shared"/>
        <v>1.9985251194467338E-4</v>
      </c>
      <c r="AJ64" s="104">
        <f si="78" t="shared"/>
        <v>9.4503900997093624E-5</v>
      </c>
      <c r="AK64" s="104">
        <f si="79" t="shared"/>
        <v>4.7716723782139075E-4</v>
      </c>
      <c r="AL64" s="104">
        <f si="80" t="shared"/>
        <v>4.1984519951167819E-4</v>
      </c>
      <c r="AM64" s="104">
        <f si="81" t="shared"/>
        <v>7.7462213932043953E-5</v>
      </c>
      <c r="AN64" s="104">
        <f si="82" t="shared"/>
        <v>6.1969771145635157E-5</v>
      </c>
      <c r="AO64" s="104">
        <f si="83" t="shared"/>
        <v>3.7181862687381094E-5</v>
      </c>
      <c r="AP64" s="104">
        <f si="84" t="shared"/>
        <v>0</v>
      </c>
      <c r="AQ64" s="104">
        <f si="85" t="shared"/>
        <v>2.1689419900972305E-5</v>
      </c>
      <c r="AR64" s="104">
        <f si="86" t="shared"/>
        <v>4.6477328359226368E-6</v>
      </c>
      <c r="AS64" s="104">
        <f si="87" t="shared"/>
        <v>3.7181862687381094E-5</v>
      </c>
      <c r="AT64" s="104">
        <f si="88" t="shared"/>
        <v>3.0984885572817578E-6</v>
      </c>
      <c r="AU64" s="104">
        <f si="89" t="shared"/>
        <v>0</v>
      </c>
      <c r="AV64" s="104">
        <f si="90" t="shared"/>
        <v>6.4262652678023658E-3</v>
      </c>
      <c r="CU64" s="95">
        <v>63</v>
      </c>
      <c r="CV64" s="95">
        <f si="6" t="shared"/>
        <v>4</v>
      </c>
      <c r="CW64" s="95">
        <f si="0" t="shared"/>
        <v>3</v>
      </c>
      <c r="CX64" s="58">
        <f si="1" t="shared"/>
        <v>499.0037688442211</v>
      </c>
      <c r="CY64" s="58">
        <f si="2" t="shared"/>
        <v>533</v>
      </c>
      <c r="CZ64" s="108">
        <f si="3" t="shared"/>
        <v>33.996231155778901</v>
      </c>
      <c r="DA64" s="78">
        <f si="4" t="shared"/>
        <v>6.8128205192758445E-2</v>
      </c>
      <c r="DB64" s="95">
        <v>63000</v>
      </c>
    </row>
    <row r="65" spans="2:106" x14ac:dyDescent="0.25">
      <c r="B65" s="95">
        <v>9</v>
      </c>
      <c r="C65" s="104">
        <f ref="C65:X65" si="100" t="shared">IF($X$51&gt;0,C38/$X$51,0)</f>
        <v>8.0394675516041944E-3</v>
      </c>
      <c r="D65" s="104">
        <f si="100" t="shared"/>
        <v>6.7747504440111381E-3</v>
      </c>
      <c r="E65" s="104">
        <f si="100" t="shared"/>
        <v>3.2090923155842234E-3</v>
      </c>
      <c r="F65" s="104">
        <f si="100" t="shared"/>
        <v>2.4130045620129898E-3</v>
      </c>
      <c r="G65" s="104">
        <f si="100" t="shared"/>
        <v>1.8090257361774102E-3</v>
      </c>
      <c r="H65" s="104">
        <f si="100" t="shared"/>
        <v>1.410108636992995E-2</v>
      </c>
      <c r="I65" s="104">
        <f si="100" t="shared"/>
        <v>8.0161816209695699E-3</v>
      </c>
      <c r="J65" s="104">
        <f si="100" t="shared"/>
        <v>4.6135250069850284E-4</v>
      </c>
      <c r="K65" s="104">
        <f si="100" t="shared"/>
        <v>1.3968647639445522E-2</v>
      </c>
      <c r="L65" s="104">
        <f si="100" t="shared"/>
        <v>1.3141997101916343E-3</v>
      </c>
      <c r="M65" s="104">
        <f si="100" t="shared"/>
        <v>4.6091588949910365E-3</v>
      </c>
      <c r="N65" s="104">
        <f si="100" t="shared"/>
        <v>1.3271525091071445E-2</v>
      </c>
      <c r="O65" s="104">
        <f si="100" t="shared"/>
        <v>2.9616793025913353E-3</v>
      </c>
      <c r="P65" s="104">
        <f si="100" t="shared"/>
        <v>4.118698980999253E-4</v>
      </c>
      <c r="Q65" s="104">
        <f si="100" t="shared"/>
        <v>5.0064750864443211E-3</v>
      </c>
      <c r="R65" s="104">
        <f si="100" t="shared"/>
        <v>1.9210892773565417E-4</v>
      </c>
      <c r="S65" s="104">
        <f si="100" t="shared"/>
        <v>4.2060212208790951E-4</v>
      </c>
      <c r="T65" s="104">
        <f si="100" t="shared"/>
        <v>3.929500794592927E-4</v>
      </c>
      <c r="U65" s="104">
        <f si="100" t="shared"/>
        <v>1.2545295129404084E-3</v>
      </c>
      <c r="V65" s="104">
        <f si="100" t="shared"/>
        <v>2.8961876226814536E-4</v>
      </c>
      <c r="W65" s="104">
        <f si="100" t="shared"/>
        <v>0</v>
      </c>
      <c r="X65" s="104">
        <f si="100" t="shared"/>
        <v>8.89173261283146E-2</v>
      </c>
      <c r="Y65" s="95"/>
      <c r="Z65" s="95">
        <v>9</v>
      </c>
      <c r="AA65" s="104">
        <f si="69" t="shared"/>
        <v>1.7088164393408892E-2</v>
      </c>
      <c r="AB65" s="104">
        <f si="70" t="shared"/>
        <v>8.1195892643568454E-3</v>
      </c>
      <c r="AC65" s="104">
        <f si="71" t="shared"/>
        <v>3.1093332672322439E-3</v>
      </c>
      <c r="AD65" s="104">
        <f si="72" t="shared"/>
        <v>1.4857252632166028E-3</v>
      </c>
      <c r="AE65" s="104">
        <f si="73" t="shared"/>
        <v>3.7569173757041308E-3</v>
      </c>
      <c r="AF65" s="104">
        <f si="74" t="shared"/>
        <v>1.4291778470462107E-2</v>
      </c>
      <c r="AG65" s="104">
        <f si="75" t="shared"/>
        <v>7.3465163693150464E-3</v>
      </c>
      <c r="AH65" s="104">
        <f si="76" t="shared"/>
        <v>1.2084105373398854E-4</v>
      </c>
      <c r="AI65" s="104">
        <f si="77" t="shared"/>
        <v>1.1689048082345431E-2</v>
      </c>
      <c r="AJ65" s="104">
        <f si="78" t="shared"/>
        <v>5.6547416170392071E-4</v>
      </c>
      <c r="AK65" s="104">
        <f si="79" t="shared"/>
        <v>2.9745490149904871E-3</v>
      </c>
      <c r="AL65" s="104">
        <f si="80" t="shared"/>
        <v>8.0978998444558737E-3</v>
      </c>
      <c r="AM65" s="104">
        <f si="81" t="shared"/>
        <v>4.7840663324430332E-3</v>
      </c>
      <c r="AN65" s="104">
        <f si="82" t="shared"/>
        <v>1.967540233873916E-4</v>
      </c>
      <c r="AO65" s="104">
        <f si="83" t="shared"/>
        <v>4.2666187433769804E-3</v>
      </c>
      <c r="AP65" s="104">
        <f si="84" t="shared"/>
        <v>5.4223549752430752E-5</v>
      </c>
      <c r="AQ65" s="104">
        <f si="85" t="shared"/>
        <v>1.8436006915826457E-4</v>
      </c>
      <c r="AR65" s="104">
        <f si="86" t="shared"/>
        <v>1.2239029801262941E-4</v>
      </c>
      <c r="AS65" s="104">
        <f si="87" t="shared"/>
        <v>6.5533032986509171E-4</v>
      </c>
      <c r="AT65" s="104">
        <f si="88" t="shared"/>
        <v>7.7462213932043929E-6</v>
      </c>
      <c r="AU65" s="104">
        <f si="89" t="shared"/>
        <v>0</v>
      </c>
      <c r="AV65" s="104">
        <f si="90" t="shared"/>
        <v>8.89173261283146E-2</v>
      </c>
      <c r="CU65" s="95">
        <v>64</v>
      </c>
      <c r="CV65" s="95">
        <f si="6" t="shared"/>
        <v>4</v>
      </c>
      <c r="CW65" s="95">
        <f si="0" t="shared"/>
        <v>4</v>
      </c>
      <c r="CX65" s="58">
        <f si="1" t="shared"/>
        <v>693.83951005025119</v>
      </c>
      <c r="CY65" s="58">
        <f si="2" t="shared"/>
        <v>636</v>
      </c>
      <c r="CZ65" s="108">
        <f si="3" t="shared"/>
        <v>-57.839510050251192</v>
      </c>
      <c r="DA65" s="78">
        <f si="4" t="shared"/>
        <v>-8.3361511145512851E-2</v>
      </c>
      <c r="DB65" s="95">
        <v>64000</v>
      </c>
    </row>
    <row r="66" spans="2:106" x14ac:dyDescent="0.25">
      <c r="B66" s="95">
        <v>10</v>
      </c>
      <c r="C66" s="104">
        <f ref="C66:X66" si="101" t="shared">IF($X$51&gt;0,C39/$X$51,0)</f>
        <v>4.1222074726239132E-3</v>
      </c>
      <c r="D66" s="104">
        <f si="101" t="shared"/>
        <v>1.475616993664449E-3</v>
      </c>
      <c r="E66" s="104">
        <f si="101" t="shared"/>
        <v>7.6478214080243502E-4</v>
      </c>
      <c r="F66" s="104">
        <f si="101" t="shared"/>
        <v>1.1455865262642282E-3</v>
      </c>
      <c r="G66" s="104">
        <f si="101" t="shared"/>
        <v>1.896088502611846E-3</v>
      </c>
      <c r="H66" s="104">
        <f si="101" t="shared"/>
        <v>9.942167830431654E-3</v>
      </c>
      <c r="I66" s="104">
        <f si="101" t="shared"/>
        <v>1.5406710761808387E-3</v>
      </c>
      <c r="J66" s="104">
        <f si="101" t="shared"/>
        <v>3.2844378246079677E-4</v>
      </c>
      <c r="K66" s="104">
        <f si="101" t="shared"/>
        <v>1.4359498701788456E-3</v>
      </c>
      <c r="L66" s="104">
        <f si="101" t="shared"/>
        <v>3.0099413300875913E-3</v>
      </c>
      <c r="M66" s="104">
        <f si="101" t="shared"/>
        <v>1.0773590738689903E-3</v>
      </c>
      <c r="N66" s="104">
        <f si="101" t="shared"/>
        <v>8.977463387261778E-3</v>
      </c>
      <c r="O66" s="104">
        <f si="101" t="shared"/>
        <v>6.6006093480044188E-4</v>
      </c>
      <c r="P66" s="104">
        <f si="101" t="shared"/>
        <v>2.1261578188283458E-4</v>
      </c>
      <c r="Q66" s="104">
        <f si="101" t="shared"/>
        <v>2.3165600115592427E-4</v>
      </c>
      <c r="R66" s="104">
        <f si="101" t="shared"/>
        <v>6.3467397576965549E-4</v>
      </c>
      <c r="S66" s="104">
        <f si="101" t="shared"/>
        <v>8.8854356607751765E-5</v>
      </c>
      <c r="T66" s="104">
        <f si="101" t="shared"/>
        <v>2.1102909694341044E-4</v>
      </c>
      <c r="U66" s="104">
        <f si="101" t="shared"/>
        <v>2.7132312464152775E-4</v>
      </c>
      <c r="V66" s="104">
        <f si="101" t="shared"/>
        <v>1.1900137045681042E-4</v>
      </c>
      <c r="W66" s="104">
        <f si="101" t="shared"/>
        <v>0</v>
      </c>
      <c r="X66" s="104">
        <f si="101" t="shared"/>
        <v>3.8145492628695717E-2</v>
      </c>
      <c r="Y66" s="95"/>
      <c r="Z66" s="95">
        <v>10</v>
      </c>
      <c r="AA66" s="104">
        <f si="69" t="shared"/>
        <v>8.1505741499296631E-3</v>
      </c>
      <c r="AB66" s="104">
        <f si="70" t="shared"/>
        <v>2.1364078602457716E-3</v>
      </c>
      <c r="AC66" s="104">
        <f si="71" t="shared"/>
        <v>1.0798232622126925E-3</v>
      </c>
      <c r="AD66" s="104">
        <f si="72" t="shared"/>
        <v>1.253338621420471E-3</v>
      </c>
      <c r="AE66" s="104">
        <f si="73" t="shared"/>
        <v>3.6546672533138329E-3</v>
      </c>
      <c r="AF66" s="104">
        <f si="74" t="shared"/>
        <v>9.3543369544336254E-3</v>
      </c>
      <c r="AG66" s="104">
        <f si="75" t="shared"/>
        <v>1.0209519796243391E-3</v>
      </c>
      <c r="AH66" s="104">
        <f si="76" t="shared"/>
        <v>1.53375183585447E-4</v>
      </c>
      <c r="AI66" s="104">
        <f si="77" t="shared"/>
        <v>6.3983788707868295E-4</v>
      </c>
      <c r="AJ66" s="104">
        <f si="78" t="shared"/>
        <v>1.9427523254156619E-3</v>
      </c>
      <c r="AK66" s="104">
        <f si="79" t="shared"/>
        <v>4.6787177214954539E-4</v>
      </c>
      <c r="AL66" s="104">
        <f si="80" t="shared"/>
        <v>7.0738493762742523E-3</v>
      </c>
      <c r="AM66" s="104">
        <f si="81" t="shared"/>
        <v>5.8406509304761132E-4</v>
      </c>
      <c r="AN66" s="104">
        <f si="82" t="shared"/>
        <v>7.7462213932043939E-5</v>
      </c>
      <c r="AO66" s="104">
        <f si="83" t="shared"/>
        <v>1.3013651940583382E-4</v>
      </c>
      <c r="AP66" s="104">
        <f si="84" t="shared"/>
        <v>2.3703437463205444E-4</v>
      </c>
      <c r="AQ66" s="104">
        <f si="85" t="shared"/>
        <v>3.7181862687381087E-5</v>
      </c>
      <c r="AR66" s="104">
        <f si="86" t="shared"/>
        <v>1.0999634378350238E-4</v>
      </c>
      <c r="AS66" s="104">
        <f si="87" t="shared"/>
        <v>2.7886397015535817E-5</v>
      </c>
      <c r="AT66" s="104">
        <f si="88" t="shared"/>
        <v>1.3943198507767909E-5</v>
      </c>
      <c r="AU66" s="104">
        <f si="89" t="shared"/>
        <v>0</v>
      </c>
      <c r="AV66" s="104">
        <f si="90" t="shared"/>
        <v>3.8145492628695717E-2</v>
      </c>
      <c r="CU66" s="95">
        <v>65</v>
      </c>
      <c r="CV66" s="95">
        <f si="6" t="shared"/>
        <v>4</v>
      </c>
      <c r="CW66" s="95">
        <f si="0" t="shared"/>
        <v>5</v>
      </c>
      <c r="CX66" s="58">
        <f si="1" t="shared"/>
        <v>557.875</v>
      </c>
      <c r="CY66" s="58">
        <f si="2" t="shared"/>
        <v>875</v>
      </c>
      <c r="CZ66" s="108">
        <f si="3" t="shared"/>
        <v>317.125</v>
      </c>
      <c r="DA66" s="78">
        <f si="4" t="shared"/>
        <v>0.56845171409365902</v>
      </c>
      <c r="DB66" s="95">
        <v>65000</v>
      </c>
    </row>
    <row r="67" spans="2:106" x14ac:dyDescent="0.25">
      <c r="B67" s="95">
        <v>11</v>
      </c>
      <c r="C67" s="104">
        <f ref="C67:X67" si="102" t="shared">IF($X$51&gt;0,C40/$X$51,0)</f>
        <v>6.7461419592250178E-3</v>
      </c>
      <c r="D67" s="104">
        <f si="102" t="shared"/>
        <v>4.793840655437369E-3</v>
      </c>
      <c r="E67" s="104">
        <f si="102" t="shared"/>
        <v>3.7465796911539274E-3</v>
      </c>
      <c r="F67" s="104">
        <f si="102" t="shared"/>
        <v>2.848722211487055E-3</v>
      </c>
      <c r="G67" s="104">
        <f si="102" t="shared"/>
        <v>2.1017047884042163E-3</v>
      </c>
      <c r="H67" s="104">
        <f si="102" t="shared"/>
        <v>1.1910618182268871E-2</v>
      </c>
      <c r="I67" s="104">
        <f si="102" t="shared"/>
        <v>4.035330656614794E-3</v>
      </c>
      <c r="J67" s="104">
        <f si="102" t="shared"/>
        <v>7.3408827537563542E-4</v>
      </c>
      <c r="K67" s="104">
        <f si="102" t="shared"/>
        <v>5.5724626618044804E-3</v>
      </c>
      <c r="L67" s="104">
        <f si="102" t="shared"/>
        <v>1.2311421761192162E-3</v>
      </c>
      <c r="M67" s="104">
        <f si="102" t="shared"/>
        <v>1.4921673026079696E-2</v>
      </c>
      <c r="N67" s="104">
        <f si="102" t="shared"/>
        <v>8.6065026570947781E-3</v>
      </c>
      <c r="O67" s="104">
        <f si="102" t="shared"/>
        <v>1.5356954332222197E-3</v>
      </c>
      <c r="P67" s="104">
        <f si="102" t="shared"/>
        <v>8.8636490392713708E-4</v>
      </c>
      <c r="Q67" s="104">
        <f si="102" t="shared"/>
        <v>1.404967384182723E-3</v>
      </c>
      <c r="R67" s="104">
        <f si="102" t="shared"/>
        <v>1.7957149593337461E-4</v>
      </c>
      <c r="S67" s="104">
        <f si="102" t="shared"/>
        <v>1.0961044111773186E-3</v>
      </c>
      <c r="T67" s="104">
        <f si="102" t="shared"/>
        <v>3.189189767776733E-4</v>
      </c>
      <c r="U67" s="104">
        <f si="102" t="shared"/>
        <v>4.818262378884307E-3</v>
      </c>
      <c r="V67" s="104">
        <f si="102" t="shared"/>
        <v>2.5858295414405943E-4</v>
      </c>
      <c r="W67" s="104">
        <f si="102" t="shared"/>
        <v>0</v>
      </c>
      <c r="X67" s="104">
        <f si="102" t="shared"/>
        <v>7.7747274879313877E-2</v>
      </c>
      <c r="Y67" s="95"/>
      <c r="Z67" s="95">
        <v>11</v>
      </c>
      <c r="AA67" s="104">
        <f si="69" t="shared"/>
        <v>1.6953380141167138E-2</v>
      </c>
      <c r="AB67" s="104">
        <f si="70" t="shared"/>
        <v>4.8289944165236199E-3</v>
      </c>
      <c r="AC67" s="104">
        <f si="71" t="shared"/>
        <v>5.155884959316845E-3</v>
      </c>
      <c r="AD67" s="104">
        <f si="72" t="shared"/>
        <v>2.6755448692127978E-3</v>
      </c>
      <c r="AE67" s="104">
        <f si="73" t="shared"/>
        <v>4.5237932936313665E-3</v>
      </c>
      <c r="AF67" s="104">
        <f si="74" t="shared"/>
        <v>1.2706901573412489E-2</v>
      </c>
      <c r="AG67" s="104">
        <f si="75" t="shared"/>
        <v>2.280487578159374E-3</v>
      </c>
      <c r="AH67" s="104">
        <f si="76" t="shared"/>
        <v>3.1759507712138019E-4</v>
      </c>
      <c r="AI67" s="104">
        <f si="77" t="shared"/>
        <v>4.2402815906400857E-3</v>
      </c>
      <c r="AJ67" s="104">
        <f si="78" t="shared"/>
        <v>7.2814481096121313E-4</v>
      </c>
      <c r="AK67" s="104">
        <f si="79" t="shared"/>
        <v>1.2551977145548402E-2</v>
      </c>
      <c r="AL67" s="104">
        <f si="80" t="shared"/>
        <v>5.0133544856818847E-3</v>
      </c>
      <c r="AM67" s="104">
        <f si="81" t="shared"/>
        <v>1.1433422776369686E-3</v>
      </c>
      <c r="AN67" s="104">
        <f si="82" t="shared"/>
        <v>7.2814481096121313E-4</v>
      </c>
      <c r="AO67" s="104">
        <f si="83" t="shared"/>
        <v>1.1867211174389134E-3</v>
      </c>
      <c r="AP67" s="104">
        <f si="84" t="shared"/>
        <v>4.802657263786725E-5</v>
      </c>
      <c r="AQ67" s="104">
        <f si="85" t="shared"/>
        <v>6.1969771145635162E-4</v>
      </c>
      <c r="AR67" s="104">
        <f si="86" t="shared"/>
        <v>8.2109946767966579E-5</v>
      </c>
      <c r="AS67" s="104">
        <f si="87" t="shared"/>
        <v>1.9551462796447891E-3</v>
      </c>
      <c r="AT67" s="104">
        <f si="88" t="shared"/>
        <v>7.7462213932043946E-6</v>
      </c>
      <c r="AU67" s="104">
        <f si="89" t="shared"/>
        <v>0</v>
      </c>
      <c r="AV67" s="104">
        <f si="90" t="shared"/>
        <v>7.7747274879313877E-2</v>
      </c>
      <c r="CU67" s="95">
        <v>66</v>
      </c>
      <c r="CV67" s="95">
        <f si="6" t="shared"/>
        <v>4</v>
      </c>
      <c r="CW67" s="95">
        <f ref="CW67:CW130" si="103" t="shared">MOD(ROW()-2,$CS$2)+1</f>
        <v>6</v>
      </c>
      <c r="CX67" s="58">
        <f ref="CX67:CX130" si="104" t="shared">VLOOKUP($CV67,$B$30:$V$49,MATCH($CW67,$B$29:$V$29,0),0)</f>
        <v>1870.5632851758794</v>
      </c>
      <c r="CY67" s="58">
        <f ref="CY67:CY130" si="105" t="shared">VLOOKUP($CV67,$AY$30:$BS$49,MATCH($CW67,$AY$29:$BS$29,0),0)</f>
        <v>1997</v>
      </c>
      <c r="CZ67" s="108">
        <f ref="CZ67:CZ130" si="106" t="shared">CY67-CX67</f>
        <v>126.4367148241206</v>
      </c>
      <c r="DA67" s="78">
        <f ref="DA67:DA130" si="107" t="shared">CZ67/CX67</f>
        <v>6.7592856026911924E-2</v>
      </c>
    </row>
    <row r="68" spans="2:106" x14ac:dyDescent="0.25">
      <c r="B68" s="95">
        <v>12</v>
      </c>
      <c r="C68" s="104">
        <f ref="C68:X68" si="108" t="shared">IF($X$51&gt;0,C41/$X$51,0)</f>
        <v>1.2445585874710716E-2</v>
      </c>
      <c r="D68" s="104">
        <f si="108" t="shared"/>
        <v>6.5782241819174548E-3</v>
      </c>
      <c r="E68" s="104">
        <f si="108" t="shared"/>
        <v>2.7100651627317372E-3</v>
      </c>
      <c r="F68" s="104">
        <f si="108" t="shared"/>
        <v>2.9580039558479002E-3</v>
      </c>
      <c r="G68" s="104">
        <f si="108" t="shared"/>
        <v>3.3660045014820938E-3</v>
      </c>
      <c r="H68" s="104">
        <f si="108" t="shared"/>
        <v>2.8486284249605805E-2</v>
      </c>
      <c r="I68" s="104">
        <f si="108" t="shared"/>
        <v>1.1163522621698656E-2</v>
      </c>
      <c r="J68" s="104">
        <f si="108" t="shared"/>
        <v>4.6920062747932221E-4</v>
      </c>
      <c r="K68" s="104">
        <f si="108" t="shared"/>
        <v>6.2361314167318606E-3</v>
      </c>
      <c r="L68" s="104">
        <f si="108" t="shared"/>
        <v>2.9454500929053102E-3</v>
      </c>
      <c r="M68" s="104">
        <f si="108" t="shared"/>
        <v>3.1918196531536495E-3</v>
      </c>
      <c r="N68" s="104">
        <f si="108" t="shared"/>
        <v>6.9237692594122588E-2</v>
      </c>
      <c r="O68" s="104">
        <f si="108" t="shared"/>
        <v>4.1537594011296511E-3</v>
      </c>
      <c r="P68" s="104">
        <f si="108" t="shared"/>
        <v>3.4209276518559273E-4</v>
      </c>
      <c r="Q68" s="104">
        <f si="108" t="shared"/>
        <v>1.1533861578505076E-3</v>
      </c>
      <c r="R68" s="104">
        <f si="108" t="shared"/>
        <v>6.5593933875035678E-4</v>
      </c>
      <c r="S68" s="104">
        <f si="108" t="shared"/>
        <v>2.3381569730574918E-4</v>
      </c>
      <c r="T68" s="104">
        <f si="108" t="shared"/>
        <v>2.4919417941042265E-3</v>
      </c>
      <c r="U68" s="104">
        <f si="108" t="shared"/>
        <v>6.763393660320664E-4</v>
      </c>
      <c r="V68" s="104">
        <f si="108" t="shared"/>
        <v>1.1722169522643937E-3</v>
      </c>
      <c r="W68" s="104">
        <f si="108" t="shared"/>
        <v>0</v>
      </c>
      <c r="X68" s="104">
        <f si="108" t="shared"/>
        <v>0.16066747640500964</v>
      </c>
      <c r="Y68" s="95"/>
      <c r="Z68" s="95">
        <v>12</v>
      </c>
      <c r="AA68" s="104">
        <f si="69" t="shared"/>
        <v>2.9201705408101929E-2</v>
      </c>
      <c r="AB68" s="104">
        <f si="70" t="shared"/>
        <v>1.0548804293265745E-2</v>
      </c>
      <c r="AC68" s="104">
        <f si="71" t="shared"/>
        <v>3.7971977269487945E-3</v>
      </c>
      <c r="AD68" s="104">
        <f si="72" t="shared"/>
        <v>2.6616016707050301E-3</v>
      </c>
      <c r="AE68" s="104">
        <f si="73" t="shared"/>
        <v>7.5850999882257431E-3</v>
      </c>
      <c r="AF68" s="104">
        <f si="74" t="shared"/>
        <v>3.1101078893715644E-2</v>
      </c>
      <c r="AG68" s="104">
        <f si="75" t="shared"/>
        <v>1.1146812584821125E-2</v>
      </c>
      <c r="AH68" s="104">
        <f si="76" t="shared"/>
        <v>2.6647001592623119E-4</v>
      </c>
      <c r="AI68" s="104">
        <f si="77" t="shared"/>
        <v>4.0357813458594899E-3</v>
      </c>
      <c r="AJ68" s="104">
        <f si="78" t="shared"/>
        <v>2.0542979134778056E-3</v>
      </c>
      <c r="AK68" s="104">
        <f si="79" t="shared"/>
        <v>1.3664334537612554E-3</v>
      </c>
      <c r="AL68" s="104">
        <f si="80" t="shared"/>
        <v>4.258407748700184E-2</v>
      </c>
      <c r="AM68" s="104">
        <f si="81" t="shared"/>
        <v>1.0365993468386122E-2</v>
      </c>
      <c r="AN68" s="104">
        <f si="82" t="shared"/>
        <v>1.8126158060098284E-4</v>
      </c>
      <c r="AO68" s="104">
        <f si="83" t="shared"/>
        <v>7.7926987215636207E-4</v>
      </c>
      <c r="AP68" s="104">
        <f si="84" t="shared"/>
        <v>4.0435275672526944E-4</v>
      </c>
      <c r="AQ68" s="104">
        <f si="85" t="shared"/>
        <v>7.2814481096121313E-5</v>
      </c>
      <c r="AR68" s="104">
        <f si="86" t="shared"/>
        <v>2.0930290204438273E-3</v>
      </c>
      <c r="AS68" s="104">
        <f si="87" t="shared"/>
        <v>1.5802291642136966E-4</v>
      </c>
      <c r="AT68" s="104">
        <f si="88" t="shared"/>
        <v>2.6337152736894944E-4</v>
      </c>
      <c r="AU68" s="104">
        <f si="89" t="shared"/>
        <v>0</v>
      </c>
      <c r="AV68" s="104">
        <f si="90" t="shared"/>
        <v>0.16066747640500964</v>
      </c>
      <c r="CU68" s="95">
        <v>67</v>
      </c>
      <c r="CV68" s="95">
        <f ref="CV68:CV131" si="109" t="shared">IF(CW67&lt;$CS$2,CV67,CV67+1)</f>
        <v>4</v>
      </c>
      <c r="CW68" s="95">
        <f si="103" t="shared"/>
        <v>7</v>
      </c>
      <c r="CX68" s="58">
        <f si="104" t="shared"/>
        <v>560.678391959799</v>
      </c>
      <c r="CY68" s="58">
        <f si="105" t="shared"/>
        <v>268</v>
      </c>
      <c r="CZ68" s="108">
        <f si="106" t="shared"/>
        <v>-292.678391959799</v>
      </c>
      <c r="DA68" s="78">
        <f si="107" t="shared"/>
        <v>-0.52200761819403985</v>
      </c>
    </row>
    <row r="69" spans="2:106" x14ac:dyDescent="0.25">
      <c r="B69" s="95">
        <v>13</v>
      </c>
      <c r="C69" s="104">
        <f ref="C69:X69" si="110" t="shared">IF($X$51&gt;0,C42/$X$51,0)</f>
        <v>3.6538368096844837E-3</v>
      </c>
      <c r="D69" s="104">
        <f si="110" t="shared"/>
        <v>3.3842190128408303E-3</v>
      </c>
      <c r="E69" s="104">
        <f si="110" t="shared"/>
        <v>1.3407223777471291E-3</v>
      </c>
      <c r="F69" s="104">
        <f si="110" t="shared"/>
        <v>1.4880545071698904E-3</v>
      </c>
      <c r="G69" s="104">
        <f si="110" t="shared"/>
        <v>8.9577934689038954E-4</v>
      </c>
      <c r="H69" s="104">
        <f si="110" t="shared"/>
        <v>6.9393432958120621E-3</v>
      </c>
      <c r="I69" s="104">
        <f si="110" t="shared"/>
        <v>1.9771971768534582E-2</v>
      </c>
      <c r="J69" s="104">
        <f si="110" t="shared"/>
        <v>2.3278476448796302E-4</v>
      </c>
      <c r="K69" s="104">
        <f si="110" t="shared"/>
        <v>4.1459261219565068E-3</v>
      </c>
      <c r="L69" s="104">
        <f si="110" t="shared"/>
        <v>1.0858377938457516E-3</v>
      </c>
      <c r="M69" s="104">
        <f si="110" t="shared"/>
        <v>1.8887978991998014E-3</v>
      </c>
      <c r="N69" s="104">
        <f si="110" t="shared"/>
        <v>1.5399154167267027E-2</v>
      </c>
      <c r="O69" s="104">
        <f si="110" t="shared"/>
        <v>4.3960960777163556E-2</v>
      </c>
      <c r="P69" s="104">
        <f si="110" t="shared"/>
        <v>2.6225119037251535E-4</v>
      </c>
      <c r="Q69" s="104">
        <f si="110" t="shared"/>
        <v>3.0615616494049824E-3</v>
      </c>
      <c r="R69" s="104">
        <f si="110" t="shared"/>
        <v>2.3425808578219067E-4</v>
      </c>
      <c r="S69" s="104">
        <f si="110" t="shared"/>
        <v>2.7698440331479148E-4</v>
      </c>
      <c r="T69" s="104">
        <f si="110" t="shared"/>
        <v>1.9801438194419134E-3</v>
      </c>
      <c r="U69" s="104">
        <f si="110" t="shared"/>
        <v>5.2450238074503071E-4</v>
      </c>
      <c r="V69" s="104">
        <f si="110" t="shared"/>
        <v>4.6851617156438134E-4</v>
      </c>
      <c r="W69" s="104">
        <f si="110" t="shared"/>
        <v>0</v>
      </c>
      <c r="X69" s="104">
        <f si="110" t="shared"/>
        <v>0.11099560634322578</v>
      </c>
      <c r="Y69" s="95"/>
      <c r="Z69" s="95">
        <v>13</v>
      </c>
      <c r="AA69" s="104">
        <f si="69" t="shared"/>
        <v>6.1907801374489523E-3</v>
      </c>
      <c r="AB69" s="104">
        <f si="70" t="shared"/>
        <v>2.5190711970700694E-3</v>
      </c>
      <c r="AC69" s="104">
        <f si="71" t="shared"/>
        <v>9.7757313982239457E-4</v>
      </c>
      <c r="AD69" s="104">
        <f si="72" t="shared"/>
        <v>5.6392491742527999E-4</v>
      </c>
      <c r="AE69" s="104">
        <f si="73" t="shared"/>
        <v>1.3648842094826144E-3</v>
      </c>
      <c r="AF69" s="104">
        <f si="74" t="shared"/>
        <v>5.4455936394226896E-3</v>
      </c>
      <c r="AG69" s="104">
        <f si="75" t="shared"/>
        <v>1.1056956416659953E-2</v>
      </c>
      <c r="AH69" s="104">
        <f si="76" t="shared"/>
        <v>4.6477328359226368E-5</v>
      </c>
      <c r="AI69" s="104">
        <f si="77" t="shared"/>
        <v>1.4500926448078628E-3</v>
      </c>
      <c r="AJ69" s="104">
        <f si="78" t="shared"/>
        <v>2.4787908458254063E-4</v>
      </c>
      <c r="AK69" s="104">
        <f si="79" t="shared"/>
        <v>3.2224280995730282E-4</v>
      </c>
      <c r="AL69" s="104">
        <f si="80" t="shared"/>
        <v>8.6850634260607681E-3</v>
      </c>
      <c r="AM69" s="104">
        <f si="81" t="shared"/>
        <v>6.714269779201705E-2</v>
      </c>
      <c r="AN69" s="104">
        <f si="82" t="shared"/>
        <v>5.2674305473789883E-5</v>
      </c>
      <c r="AO69" s="104">
        <f si="83" t="shared"/>
        <v>2.8722988926001896E-3</v>
      </c>
      <c r="AP69" s="104">
        <f si="84" t="shared"/>
        <v>2.9435641294176699E-5</v>
      </c>
      <c r="AQ69" s="104">
        <f si="85" t="shared"/>
        <v>2.9435641294176699E-5</v>
      </c>
      <c r="AR69" s="104">
        <f si="86" t="shared"/>
        <v>1.7320551035205026E-3</v>
      </c>
      <c r="AS69" s="104">
        <f si="87" t="shared"/>
        <v>1.8126158060098284E-4</v>
      </c>
      <c r="AT69" s="104">
        <f si="88" t="shared"/>
        <v>8.5208435325248344E-5</v>
      </c>
      <c r="AU69" s="104">
        <f si="89" t="shared"/>
        <v>0</v>
      </c>
      <c r="AV69" s="104">
        <f si="90" t="shared"/>
        <v>0.11099560634322578</v>
      </c>
      <c r="CU69" s="95">
        <v>68</v>
      </c>
      <c r="CV69" s="95">
        <f si="109" t="shared"/>
        <v>4</v>
      </c>
      <c r="CW69" s="95">
        <f si="103" t="shared"/>
        <v>8</v>
      </c>
      <c r="CX69" s="58">
        <f si="104" t="shared"/>
        <v>100.92211055276383</v>
      </c>
      <c r="CY69" s="58">
        <f si="105" t="shared"/>
        <v>60</v>
      </c>
      <c r="CZ69" s="108">
        <f si="106" t="shared"/>
        <v>-40.922110552763826</v>
      </c>
      <c r="DA69" s="78">
        <f si="107" t="shared"/>
        <v>-0.40548211218164171</v>
      </c>
    </row>
    <row r="70" spans="2:106" x14ac:dyDescent="0.25">
      <c r="B70" s="95">
        <v>14</v>
      </c>
      <c r="C70" s="104">
        <f ref="C70:X70" si="111" t="shared">IF($X$51&gt;0,C43/$X$51,0)</f>
        <v>1.7161774410844551E-3</v>
      </c>
      <c r="D70" s="104">
        <f si="111" t="shared"/>
        <v>1.5734840358706914E-3</v>
      </c>
      <c r="E70" s="104">
        <f si="111" t="shared"/>
        <v>8.972972688216851E-4</v>
      </c>
      <c r="F70" s="104">
        <f si="111" t="shared"/>
        <v>9.050104258602669E-4</v>
      </c>
      <c r="G70" s="104">
        <f si="111" t="shared"/>
        <v>6.2476572012512739E-4</v>
      </c>
      <c r="H70" s="104">
        <f si="111" t="shared"/>
        <v>3.0068457188738127E-3</v>
      </c>
      <c r="I70" s="104">
        <f si="111" t="shared"/>
        <v>1.1749709222106306E-3</v>
      </c>
      <c r="J70" s="104">
        <f si="111" t="shared"/>
        <v>4.1779600625651528E-4</v>
      </c>
      <c r="K70" s="104">
        <f si="111" t="shared"/>
        <v>1.029706464650673E-3</v>
      </c>
      <c r="L70" s="104">
        <f si="111" t="shared"/>
        <v>4.3836442502606681E-4</v>
      </c>
      <c r="M70" s="104">
        <f si="111" t="shared"/>
        <v>2.8911483632950859E-3</v>
      </c>
      <c r="N70" s="104">
        <f si="111" t="shared"/>
        <v>2.5736233985401338E-3</v>
      </c>
      <c r="O70" s="104">
        <f si="111" t="shared"/>
        <v>5.7463019937434561E-4</v>
      </c>
      <c r="P70" s="104">
        <f si="111" t="shared"/>
        <v>9.0578174156412516E-3</v>
      </c>
      <c r="Q70" s="104">
        <f si="111" t="shared"/>
        <v>3.0724075537017583E-4</v>
      </c>
      <c r="R70" s="104">
        <f si="111" t="shared"/>
        <v>9.512893680917578E-5</v>
      </c>
      <c r="S70" s="104">
        <f si="111" t="shared"/>
        <v>1.5631998264859157E-3</v>
      </c>
      <c r="T70" s="104">
        <f si="111" t="shared"/>
        <v>1.7354603336809096E-4</v>
      </c>
      <c r="U70" s="104">
        <f si="111" t="shared"/>
        <v>7.6617359916579411E-4</v>
      </c>
      <c r="V70" s="104">
        <f si="111" t="shared"/>
        <v>2.095407662148061E-4</v>
      </c>
      <c r="W70" s="104">
        <f si="111" t="shared"/>
        <v>0</v>
      </c>
      <c r="X70" s="104">
        <f si="111" t="shared"/>
        <v>2.9996467723044703E-2</v>
      </c>
      <c r="Y70" s="95"/>
      <c r="Z70" s="95">
        <v>14</v>
      </c>
      <c r="AA70" s="104">
        <f si="69" t="shared"/>
        <v>5.5524914946489118E-3</v>
      </c>
      <c r="AB70" s="104">
        <f si="70" t="shared"/>
        <v>1.4841760189379623E-3</v>
      </c>
      <c r="AC70" s="104">
        <f si="71" t="shared"/>
        <v>1.3323500796311562E-3</v>
      </c>
      <c r="AD70" s="104">
        <f si="72" t="shared"/>
        <v>9.5743296420006336E-4</v>
      </c>
      <c r="AE70" s="104">
        <f si="73" t="shared"/>
        <v>1.5988200955573875E-3</v>
      </c>
      <c r="AF70" s="104">
        <f si="74" t="shared"/>
        <v>4.31774380457213E-3</v>
      </c>
      <c r="AG70" s="104">
        <f si="75" t="shared"/>
        <v>6.4913335275052842E-4</v>
      </c>
      <c r="AH70" s="104">
        <f si="76" t="shared"/>
        <v>2.0295100050195518E-4</v>
      </c>
      <c r="AI70" s="104">
        <f si="77" t="shared"/>
        <v>7.7617138359908054E-4</v>
      </c>
      <c r="AJ70" s="104">
        <f si="78" t="shared"/>
        <v>3.0984885572817587E-4</v>
      </c>
      <c r="AK70" s="104">
        <f si="79" t="shared"/>
        <v>2.4338627617448215E-3</v>
      </c>
      <c r="AL70" s="104">
        <f si="80" t="shared"/>
        <v>1.5957216070001056E-3</v>
      </c>
      <c r="AM70" s="104">
        <f si="81" t="shared"/>
        <v>3.5942467264468399E-4</v>
      </c>
      <c r="AN70" s="104">
        <f si="82" t="shared"/>
        <v>6.7283679021373386E-3</v>
      </c>
      <c r="AO70" s="104">
        <f si="83" t="shared"/>
        <v>1.5957216070001059E-4</v>
      </c>
      <c r="AP70" s="104">
        <f si="84" t="shared"/>
        <v>2.6337152736894948E-5</v>
      </c>
      <c r="AQ70" s="104">
        <f si="85" t="shared"/>
        <v>9.4039127713501367E-4</v>
      </c>
      <c r="AR70" s="104">
        <f si="86" t="shared"/>
        <v>3.7181862687381108E-5</v>
      </c>
      <c r="AS70" s="104">
        <f si="87" t="shared"/>
        <v>5.3294003185246248E-4</v>
      </c>
      <c r="AT70" s="104">
        <f si="88" t="shared"/>
        <v>1.5492442786408793E-6</v>
      </c>
      <c r="AU70" s="104">
        <f si="89" t="shared"/>
        <v>0</v>
      </c>
      <c r="AV70" s="104">
        <f si="90" t="shared"/>
        <v>2.9996467723044703E-2</v>
      </c>
      <c r="CU70" s="95">
        <v>69</v>
      </c>
      <c r="CV70" s="95">
        <f si="109" t="shared"/>
        <v>4</v>
      </c>
      <c r="CW70" s="95">
        <f si="103" t="shared"/>
        <v>9</v>
      </c>
      <c r="CX70" s="58">
        <f si="104" t="shared"/>
        <v>534.04616834170849</v>
      </c>
      <c r="CY70" s="58">
        <f si="105" t="shared"/>
        <v>223</v>
      </c>
      <c r="CZ70" s="108">
        <f si="106" t="shared"/>
        <v>-311.04616834170849</v>
      </c>
      <c r="DA70" s="78">
        <f si="107" t="shared"/>
        <v>-0.58243310556379868</v>
      </c>
    </row>
    <row r="71" spans="2:106" x14ac:dyDescent="0.25">
      <c r="B71" s="95">
        <v>15</v>
      </c>
      <c r="C71" s="104">
        <f ref="C71:X71" si="112" t="shared">IF($X$51&gt;0,C44/$X$51,0)</f>
        <v>1.7421677791521215E-3</v>
      </c>
      <c r="D71" s="104">
        <f si="112" t="shared"/>
        <v>2.0348932313116568E-3</v>
      </c>
      <c r="E71" s="104">
        <f si="112" t="shared"/>
        <v>6.3832202122894165E-4</v>
      </c>
      <c r="F71" s="104">
        <f si="112" t="shared"/>
        <v>6.3187432404481088E-4</v>
      </c>
      <c r="G71" s="104">
        <f si="112" t="shared"/>
        <v>4.487597240154984E-4</v>
      </c>
      <c r="H71" s="104">
        <f si="112" t="shared"/>
        <v>3.1529239230399242E-3</v>
      </c>
      <c r="I71" s="104">
        <f si="112" t="shared"/>
        <v>4.5649696063645526E-3</v>
      </c>
      <c r="J71" s="104">
        <f si="112" t="shared"/>
        <v>1.5345519298231124E-4</v>
      </c>
      <c r="K71" s="104">
        <f si="112" t="shared"/>
        <v>4.4837286218445058E-3</v>
      </c>
      <c r="L71" s="104">
        <f si="112" t="shared"/>
        <v>4.5391788176280299E-4</v>
      </c>
      <c r="M71" s="104">
        <f si="112" t="shared"/>
        <v>1.4623377213608484E-3</v>
      </c>
      <c r="N71" s="104">
        <f si="112" t="shared"/>
        <v>4.2632173781472346E-3</v>
      </c>
      <c r="O71" s="104">
        <f si="112" t="shared"/>
        <v>4.0027304119083533E-3</v>
      </c>
      <c r="P71" s="104">
        <f si="112" t="shared"/>
        <v>2.3082755919187991E-4</v>
      </c>
      <c r="Q71" s="104">
        <f si="112" t="shared"/>
        <v>1.4388681036106124E-2</v>
      </c>
      <c r="R71" s="104">
        <f si="112" t="shared"/>
        <v>8.8978221141004001E-5</v>
      </c>
      <c r="S71" s="104">
        <f si="112" t="shared"/>
        <v>2.1535308594996622E-4</v>
      </c>
      <c r="T71" s="104">
        <f si="112" t="shared"/>
        <v>2.359857169391845E-4</v>
      </c>
      <c r="U71" s="104">
        <f si="112" t="shared"/>
        <v>1.0986876001758755E-3</v>
      </c>
      <c r="V71" s="104">
        <f si="112" t="shared"/>
        <v>1.7924598171883412E-4</v>
      </c>
      <c r="W71" s="104">
        <f si="112" t="shared"/>
        <v>0</v>
      </c>
      <c r="X71" s="104">
        <f si="112" t="shared"/>
        <v>4.447105701838644E-2</v>
      </c>
      <c r="Y71" s="95"/>
      <c r="Z71" s="95">
        <v>15</v>
      </c>
      <c r="AA71" s="104">
        <f si="69" t="shared"/>
        <v>3.7739590627691817E-3</v>
      </c>
      <c r="AB71" s="104">
        <f si="70" t="shared"/>
        <v>1.6576913781457408E-3</v>
      </c>
      <c r="AC71" s="104">
        <f si="71" t="shared"/>
        <v>5.6547416170392092E-4</v>
      </c>
      <c r="AD71" s="104">
        <f si="72" t="shared"/>
        <v>3.4393222985827518E-4</v>
      </c>
      <c r="AE71" s="104">
        <f si="73" t="shared"/>
        <v>8.3039493335151135E-4</v>
      </c>
      <c r="AF71" s="104">
        <f si="74" t="shared"/>
        <v>3.0024354120060238E-3</v>
      </c>
      <c r="AG71" s="104">
        <f si="75" t="shared"/>
        <v>2.4106240975652082E-3</v>
      </c>
      <c r="AH71" s="104">
        <f si="76" t="shared"/>
        <v>3.0984885572817585E-5</v>
      </c>
      <c r="AI71" s="104">
        <f si="77" t="shared"/>
        <v>2.6306167851322128E-3</v>
      </c>
      <c r="AJ71" s="104">
        <f si="78" t="shared"/>
        <v>1.2858727512719297E-4</v>
      </c>
      <c r="AK71" s="104">
        <f si="79" t="shared"/>
        <v>6.7547050548742336E-4</v>
      </c>
      <c r="AL71" s="104">
        <f si="80" t="shared"/>
        <v>1.8761348214341048E-3</v>
      </c>
      <c r="AM71" s="104">
        <f si="81" t="shared"/>
        <v>1.0330360849977382E-2</v>
      </c>
      <c r="AN71" s="104">
        <f si="82" t="shared"/>
        <v>4.6477328359226374E-5</v>
      </c>
      <c r="AO71" s="104">
        <f si="83" t="shared"/>
        <v>1.4834013967986419E-2</v>
      </c>
      <c r="AP71" s="104">
        <f si="84" t="shared"/>
        <v>6.1969771145635174E-6</v>
      </c>
      <c r="AQ71" s="104">
        <f si="85" t="shared"/>
        <v>8.3659191046607482E-5</v>
      </c>
      <c r="AR71" s="104">
        <f si="86" t="shared"/>
        <v>1.2393954229127034E-4</v>
      </c>
      <c r="AS71" s="104">
        <f si="87" t="shared"/>
        <v>1.1139066363427921E-3</v>
      </c>
      <c r="AT71" s="104">
        <f si="88" t="shared"/>
        <v>6.1969771145635174E-6</v>
      </c>
      <c r="AU71" s="104">
        <f si="89" t="shared"/>
        <v>0</v>
      </c>
      <c r="AV71" s="104">
        <f si="90" t="shared"/>
        <v>4.447105701838644E-2</v>
      </c>
      <c r="CU71" s="95">
        <v>70</v>
      </c>
      <c r="CV71" s="95">
        <f si="109" t="shared"/>
        <v>4</v>
      </c>
      <c r="CW71" s="95">
        <f si="103" t="shared"/>
        <v>10</v>
      </c>
      <c r="CX71" s="58">
        <f si="104" t="shared"/>
        <v>264.2196922110553</v>
      </c>
      <c r="CY71" s="58">
        <f si="105" t="shared"/>
        <v>170</v>
      </c>
      <c r="CZ71" s="108">
        <f si="106" t="shared"/>
        <v>-94.219692211055303</v>
      </c>
      <c r="DA71" s="78">
        <f si="107" t="shared"/>
        <v>-0.35659602591541067</v>
      </c>
    </row>
    <row r="72" spans="2:106" x14ac:dyDescent="0.25">
      <c r="B72" s="95">
        <v>16</v>
      </c>
      <c r="C72" s="104">
        <f ref="C72:X72" si="113" t="shared">IF($X$51&gt;0,C45/$X$51,0)</f>
        <v>1.5614644171572465E-3</v>
      </c>
      <c r="D72" s="104">
        <f si="113" t="shared"/>
        <v>8.9245538663757461E-4</v>
      </c>
      <c r="E72" s="104">
        <f si="113" t="shared"/>
        <v>3.697505178617671E-4</v>
      </c>
      <c r="F72" s="104">
        <f si="113" t="shared"/>
        <v>5.2137483094177233E-4</v>
      </c>
      <c r="G72" s="104">
        <f si="113" t="shared"/>
        <v>7.1955046821300711E-4</v>
      </c>
      <c r="H72" s="104">
        <f si="113" t="shared"/>
        <v>4.2601111824145318E-3</v>
      </c>
      <c r="I72" s="104">
        <f si="113" t="shared"/>
        <v>7.9403258691897465E-4</v>
      </c>
      <c r="J72" s="104">
        <f si="113" t="shared"/>
        <v>1.1970340506316201E-4</v>
      </c>
      <c r="K72" s="104">
        <f si="113" t="shared"/>
        <v>6.3309800900072347E-4</v>
      </c>
      <c r="L72" s="104">
        <f si="113" t="shared"/>
        <v>1.2409252991547794E-3</v>
      </c>
      <c r="M72" s="104">
        <f si="113" t="shared"/>
        <v>4.0300146371264543E-4</v>
      </c>
      <c r="N72" s="104">
        <f si="113" t="shared"/>
        <v>6.5770370893037337E-3</v>
      </c>
      <c r="O72" s="104">
        <f si="113" t="shared"/>
        <v>5.1738471743966688E-4</v>
      </c>
      <c r="P72" s="104">
        <f si="113" t="shared"/>
        <v>7.5812156540002598E-5</v>
      </c>
      <c r="Q72" s="104">
        <f si="113" t="shared"/>
        <v>1.4231404824175927E-4</v>
      </c>
      <c r="R72" s="104">
        <f si="113" t="shared"/>
        <v>1.1837336722912688E-3</v>
      </c>
      <c r="S72" s="104">
        <f si="113" t="shared"/>
        <v>3.9901135021054006E-5</v>
      </c>
      <c r="T72" s="104">
        <f si="113" t="shared"/>
        <v>4.0034138804457506E-4</v>
      </c>
      <c r="U72" s="104">
        <f si="113" t="shared"/>
        <v>1.1438325372702147E-4</v>
      </c>
      <c r="V72" s="104">
        <f si="113" t="shared"/>
        <v>1.7955510759474298E-4</v>
      </c>
      <c r="W72" s="104">
        <f si="113" t="shared"/>
        <v>0</v>
      </c>
      <c r="X72" s="104">
        <f si="113" t="shared"/>
        <v>2.0745930135280009E-2</v>
      </c>
      <c r="Y72" s="95"/>
      <c r="Z72" s="95">
        <v>16</v>
      </c>
      <c r="AA72" s="104">
        <f si="69" t="shared"/>
        <v>3.4548147413691593E-3</v>
      </c>
      <c r="AB72" s="104">
        <f si="70" t="shared"/>
        <v>8.9856168161170965E-4</v>
      </c>
      <c r="AC72" s="104">
        <f si="71" t="shared"/>
        <v>4.5547781792041833E-4</v>
      </c>
      <c r="AD72" s="104">
        <f si="72" t="shared"/>
        <v>5.6857265026120246E-4</v>
      </c>
      <c r="AE72" s="104">
        <f si="73" t="shared"/>
        <v>1.6267064925729227E-3</v>
      </c>
      <c r="AF72" s="104">
        <f si="74" t="shared"/>
        <v>4.2092967050672671E-3</v>
      </c>
      <c r="AG72" s="104">
        <f si="75" t="shared"/>
        <v>4.4618235224857307E-4</v>
      </c>
      <c r="AH72" s="104">
        <f si="76" t="shared"/>
        <v>8.6757679603889206E-5</v>
      </c>
      <c r="AI72" s="104">
        <f si="77" t="shared"/>
        <v>2.9280716866312607E-4</v>
      </c>
      <c r="AJ72" s="104">
        <f si="78" t="shared"/>
        <v>8.4278888758063802E-4</v>
      </c>
      <c r="AK72" s="104">
        <f si="79" t="shared"/>
        <v>2.0604948905923685E-4</v>
      </c>
      <c r="AL72" s="104">
        <f si="80" t="shared"/>
        <v>5.9955753583402008E-3</v>
      </c>
      <c r="AM72" s="104">
        <f si="81" t="shared"/>
        <v>4.2449293234760076E-4</v>
      </c>
      <c r="AN72" s="104">
        <f si="82" t="shared"/>
        <v>2.9435641294176696E-5</v>
      </c>
      <c r="AO72" s="104">
        <f si="83" t="shared"/>
        <v>5.2674305473789877E-5</v>
      </c>
      <c r="AP72" s="104">
        <f si="84" t="shared"/>
        <v>7.0955387961752251E-4</v>
      </c>
      <c r="AQ72" s="104">
        <f si="85" t="shared"/>
        <v>2.323866417961318E-5</v>
      </c>
      <c r="AR72" s="104">
        <f si="86" t="shared"/>
        <v>3.0365187861361225E-4</v>
      </c>
      <c r="AS72" s="104">
        <f si="87" t="shared"/>
        <v>1.5492442786408786E-5</v>
      </c>
      <c r="AT72" s="104">
        <f si="88" t="shared"/>
        <v>1.0379936666893886E-4</v>
      </c>
      <c r="AU72" s="104">
        <f si="89" t="shared"/>
        <v>0</v>
      </c>
      <c r="AV72" s="104">
        <f si="90" t="shared"/>
        <v>2.0745930135280009E-2</v>
      </c>
      <c r="CU72" s="95">
        <v>71</v>
      </c>
      <c r="CV72" s="95">
        <f si="109" t="shared"/>
        <v>4</v>
      </c>
      <c r="CW72" s="95">
        <f si="103" t="shared"/>
        <v>11</v>
      </c>
      <c r="CX72" s="58">
        <f si="104" t="shared"/>
        <v>455.5511934673367</v>
      </c>
      <c r="CY72" s="58">
        <f si="105" t="shared"/>
        <v>276</v>
      </c>
      <c r="CZ72" s="108">
        <f si="106" t="shared"/>
        <v>-179.5511934673367</v>
      </c>
      <c r="DA72" s="78">
        <f si="107" t="shared"/>
        <v>-0.39414054016787609</v>
      </c>
    </row>
    <row r="73" spans="2:106" x14ac:dyDescent="0.25">
      <c r="B73" s="95">
        <v>17</v>
      </c>
      <c r="C73" s="104">
        <f ref="C73:X73" si="114" t="shared">IF($X$51&gt;0,C46/$X$51,0)</f>
        <v>1.4705929180461599E-3</v>
      </c>
      <c r="D73" s="104">
        <f si="114" t="shared"/>
        <v>1.3678021735415355E-3</v>
      </c>
      <c r="E73" s="104">
        <f si="114" t="shared"/>
        <v>7.4146390369335738E-4</v>
      </c>
      <c r="F73" s="104">
        <f si="114" t="shared"/>
        <v>7.8669183127539212E-4</v>
      </c>
      <c r="G73" s="104">
        <f si="114" t="shared"/>
        <v>4.6735525168102566E-4</v>
      </c>
      <c r="H73" s="104">
        <f si="114" t="shared"/>
        <v>2.6122554536775217E-3</v>
      </c>
      <c r="I73" s="104">
        <f si="114" t="shared"/>
        <v>1.079988088928587E-3</v>
      </c>
      <c r="J73" s="104">
        <f si="114" t="shared"/>
        <v>2.7959082505257837E-4</v>
      </c>
      <c r="K73" s="104">
        <f si="114" t="shared"/>
        <v>1.0882113484889573E-3</v>
      </c>
      <c r="L73" s="104">
        <f si="114" t="shared"/>
        <v>3.4126527175535302E-4</v>
      </c>
      <c r="M73" s="104">
        <f si="114" t="shared"/>
        <v>4.4515245086802682E-3</v>
      </c>
      <c r="N73" s="104">
        <f si="114" t="shared"/>
        <v>2.0914490148540915E-3</v>
      </c>
      <c r="O73" s="104">
        <f si="114" t="shared"/>
        <v>4.6187307864077896E-4</v>
      </c>
      <c r="P73" s="104">
        <f si="114" t="shared"/>
        <v>2.0695203226931049E-3</v>
      </c>
      <c r="Q73" s="104">
        <f si="114" t="shared"/>
        <v>4.1664515105874423E-4</v>
      </c>
      <c r="R73" s="104">
        <f si="114" t="shared"/>
        <v>9.5938028204316109E-5</v>
      </c>
      <c r="S73" s="104">
        <f si="114" t="shared"/>
        <v>3.8964544883552965E-3</v>
      </c>
      <c r="T73" s="104">
        <f si="114" t="shared"/>
        <v>1.1923726362536432E-4</v>
      </c>
      <c r="U73" s="104">
        <f si="114" t="shared"/>
        <v>2.8301718320273253E-3</v>
      </c>
      <c r="V73" s="104">
        <f si="114" t="shared"/>
        <v>1.1375509058511768E-4</v>
      </c>
      <c r="W73" s="104">
        <f si="114" t="shared"/>
        <v>0</v>
      </c>
      <c r="X73" s="104">
        <f si="114" t="shared"/>
        <v>2.6781785844864875E-2</v>
      </c>
      <c r="Y73" s="95"/>
      <c r="Z73" s="95">
        <v>17</v>
      </c>
      <c r="AA73" s="104">
        <f si="69" t="shared"/>
        <v>4.9389907603071218E-3</v>
      </c>
      <c r="AB73" s="104">
        <f si="70" t="shared"/>
        <v>1.2208044915690127E-3</v>
      </c>
      <c r="AC73" s="104">
        <f si="71" t="shared"/>
        <v>1.4036153164486364E-3</v>
      </c>
      <c r="AD73" s="104">
        <f si="72" t="shared"/>
        <v>7.622281850913125E-4</v>
      </c>
      <c r="AE73" s="104">
        <f si="73" t="shared"/>
        <v>1.319956125402029E-3</v>
      </c>
      <c r="AF73" s="104">
        <f si="74" t="shared"/>
        <v>3.6407240548060656E-3</v>
      </c>
      <c r="AG73" s="104">
        <f si="75" t="shared"/>
        <v>5.6857265026120257E-4</v>
      </c>
      <c r="AH73" s="104">
        <f si="76" t="shared"/>
        <v>9.140541243981186E-5</v>
      </c>
      <c r="AI73" s="104">
        <f si="77" t="shared"/>
        <v>8.5053510897384256E-4</v>
      </c>
      <c r="AJ73" s="104">
        <f si="78" t="shared"/>
        <v>1.9985251194467338E-4</v>
      </c>
      <c r="AK73" s="104">
        <f si="79" t="shared"/>
        <v>3.0039846562846645E-3</v>
      </c>
      <c r="AL73" s="104">
        <f si="80" t="shared"/>
        <v>1.4485434005292218E-3</v>
      </c>
      <c r="AM73" s="104">
        <f si="81" t="shared"/>
        <v>3.3153827562914812E-4</v>
      </c>
      <c r="AN73" s="104">
        <f si="82" t="shared"/>
        <v>1.6158617826224368E-3</v>
      </c>
      <c r="AO73" s="104">
        <f si="83" t="shared"/>
        <v>4.8801194777187688E-4</v>
      </c>
      <c r="AP73" s="104">
        <f si="84" t="shared"/>
        <v>1.394319850776791E-5</v>
      </c>
      <c r="AQ73" s="104">
        <f si="85" t="shared"/>
        <v>2.6786433577700797E-3</v>
      </c>
      <c r="AR73" s="104">
        <f si="86" t="shared"/>
        <v>2.1689419900972305E-5</v>
      </c>
      <c r="AS73" s="104">
        <f si="87" t="shared"/>
        <v>2.1766882114904349E-3</v>
      </c>
      <c r="AT73" s="104">
        <f si="88" t="shared"/>
        <v>6.1969771145635157E-6</v>
      </c>
      <c r="AU73" s="104">
        <f si="89" t="shared"/>
        <v>0</v>
      </c>
      <c r="AV73" s="104">
        <f si="90" t="shared"/>
        <v>2.6781785844864875E-2</v>
      </c>
      <c r="CU73" s="95">
        <v>72</v>
      </c>
      <c r="CV73" s="95">
        <f si="109" t="shared"/>
        <v>4</v>
      </c>
      <c r="CW73" s="95">
        <f si="103" t="shared"/>
        <v>12</v>
      </c>
      <c r="CX73" s="58">
        <f si="104" t="shared"/>
        <v>1282.5518216080402</v>
      </c>
      <c r="CY73" s="58">
        <f si="105" t="shared"/>
        <v>750</v>
      </c>
      <c r="CZ73" s="108">
        <f si="106" t="shared"/>
        <v>-532.5518216080402</v>
      </c>
      <c r="DA73" s="78">
        <f si="107" t="shared"/>
        <v>-0.41522830706390984</v>
      </c>
    </row>
    <row r="74" spans="2:106" x14ac:dyDescent="0.25">
      <c r="B74" s="95">
        <v>18</v>
      </c>
      <c r="C74" s="104">
        <f ref="C74:X74" si="115" t="shared">IF($X$51&gt;0,C47/$X$51,0)</f>
        <v>1.9904891568501351E-3</v>
      </c>
      <c r="D74" s="104">
        <f si="115" t="shared"/>
        <v>1.4213754842617029E-3</v>
      </c>
      <c r="E74" s="104">
        <f si="115" t="shared"/>
        <v>4.8881793165392556E-4</v>
      </c>
      <c r="F74" s="104">
        <f si="115" t="shared"/>
        <v>6.3250504701041087E-4</v>
      </c>
      <c r="G74" s="104">
        <f si="115" t="shared"/>
        <v>5.0853969258520784E-4</v>
      </c>
      <c r="H74" s="104">
        <f si="115" t="shared"/>
        <v>4.2852569109257683E-3</v>
      </c>
      <c r="I74" s="104">
        <f si="115" t="shared"/>
        <v>4.3810483211634251E-3</v>
      </c>
      <c r="J74" s="104">
        <f si="115" t="shared"/>
        <v>1.2537405163458033E-4</v>
      </c>
      <c r="K74" s="104">
        <f si="115" t="shared"/>
        <v>1.4819494642649271E-3</v>
      </c>
      <c r="L74" s="104">
        <f si="115" t="shared"/>
        <v>6.9026163259488051E-4</v>
      </c>
      <c r="M74" s="104">
        <f si="115" t="shared"/>
        <v>6.4800071631356123E-4</v>
      </c>
      <c r="N74" s="104">
        <f si="115" t="shared"/>
        <v>2.0190857102004946E-2</v>
      </c>
      <c r="O74" s="104">
        <f si="115" t="shared"/>
        <v>5.7742498612375816E-3</v>
      </c>
      <c r="P74" s="104">
        <f si="115" t="shared"/>
        <v>9.0156621400147642E-5</v>
      </c>
      <c r="Q74" s="104">
        <f si="115" t="shared"/>
        <v>5.1135708700396246E-4</v>
      </c>
      <c r="R74" s="104">
        <f si="115" t="shared"/>
        <v>2.3666113117538757E-4</v>
      </c>
      <c r="S74" s="104">
        <f si="115" t="shared"/>
        <v>7.8887043725129195E-5</v>
      </c>
      <c r="T74" s="104">
        <f si="115" t="shared"/>
        <v>4.8938141053767653E-3</v>
      </c>
      <c r="U74" s="104">
        <f si="115" t="shared"/>
        <v>1.8594803163780453E-4</v>
      </c>
      <c r="V74" s="104">
        <f si="115" t="shared"/>
        <v>2.114454511275338E-3</v>
      </c>
      <c r="W74" s="104">
        <f si="115" t="shared"/>
        <v>0</v>
      </c>
      <c r="X74" s="104">
        <f si="115" t="shared"/>
        <v>5.0730003904095579E-2</v>
      </c>
      <c r="Y74" s="95"/>
      <c r="Z74" s="95">
        <v>18</v>
      </c>
      <c r="AA74" s="104">
        <f si="69" t="shared"/>
        <v>4.0218381473517218E-3</v>
      </c>
      <c r="AB74" s="104">
        <f si="70" t="shared"/>
        <v>1.3741796751544596E-3</v>
      </c>
      <c r="AC74" s="104">
        <f si="71" t="shared"/>
        <v>5.344892761311032E-4</v>
      </c>
      <c r="AD74" s="104">
        <f si="72" t="shared"/>
        <v>3.5322769553012038E-4</v>
      </c>
      <c r="AE74" s="104">
        <f si="73" t="shared"/>
        <v>1.0039102925592895E-3</v>
      </c>
      <c r="AF74" s="104">
        <f si="74" t="shared"/>
        <v>3.9443759334196775E-3</v>
      </c>
      <c r="AG74" s="104">
        <f si="75" t="shared"/>
        <v>2.0264115164622697E-3</v>
      </c>
      <c r="AH74" s="104">
        <f si="76" t="shared"/>
        <v>3.5632618408740219E-5</v>
      </c>
      <c r="AI74" s="104">
        <f si="77" t="shared"/>
        <v>5.1744758906605362E-4</v>
      </c>
      <c r="AJ74" s="104">
        <f si="78" t="shared"/>
        <v>2.9280716866312613E-4</v>
      </c>
      <c r="AK74" s="104">
        <f si="79" t="shared"/>
        <v>1.983032676660325E-4</v>
      </c>
      <c r="AL74" s="104">
        <f si="80" t="shared"/>
        <v>1.6194250444633108E-2</v>
      </c>
      <c r="AM74" s="104">
        <f si="81" t="shared"/>
        <v>1.2835488848539682E-2</v>
      </c>
      <c r="AN74" s="104">
        <f si="82" t="shared"/>
        <v>2.7886397015535821E-5</v>
      </c>
      <c r="AO74" s="104">
        <f si="83" t="shared"/>
        <v>2.2928815323885009E-4</v>
      </c>
      <c r="AP74" s="104">
        <f si="84" t="shared"/>
        <v>1.1309483234078417E-4</v>
      </c>
      <c r="AQ74" s="104">
        <f si="85" t="shared"/>
        <v>1.7041687065049668E-5</v>
      </c>
      <c r="AR74" s="104">
        <f si="86" t="shared"/>
        <v>5.7848781364450421E-3</v>
      </c>
      <c r="AS74" s="104">
        <f si="87" t="shared"/>
        <v>2.6337152736894942E-5</v>
      </c>
      <c r="AT74" s="104">
        <f si="88" t="shared"/>
        <v>1.1991150716680404E-3</v>
      </c>
      <c r="AU74" s="104">
        <f si="89" t="shared"/>
        <v>0</v>
      </c>
      <c r="AV74" s="104">
        <f si="90" t="shared"/>
        <v>5.0730003904095579E-2</v>
      </c>
      <c r="CU74" s="95">
        <v>73</v>
      </c>
      <c r="CV74" s="95">
        <f si="109" t="shared"/>
        <v>4</v>
      </c>
      <c r="CW74" s="95">
        <f si="103" t="shared"/>
        <v>13</v>
      </c>
      <c r="CX74" s="58">
        <f si="104" t="shared"/>
        <v>138.0670540201005</v>
      </c>
      <c r="CY74" s="58">
        <f si="105" t="shared"/>
        <v>123</v>
      </c>
      <c r="CZ74" s="108">
        <f si="106" t="shared"/>
        <v>-15.0670540201005</v>
      </c>
      <c r="DA74" s="78">
        <f si="107" t="shared"/>
        <v>-0.10912852546203355</v>
      </c>
    </row>
    <row r="75" spans="2:106" x14ac:dyDescent="0.25">
      <c r="B75" s="95">
        <v>19</v>
      </c>
      <c r="C75" s="104">
        <f ref="C75:X75" si="116" t="shared">IF($X$51&gt;0,C48/$X$51,0)</f>
        <v>2.1345034271635839E-3</v>
      </c>
      <c r="D75" s="104">
        <f si="116" t="shared"/>
        <v>1.9441323212589518E-3</v>
      </c>
      <c r="E75" s="104">
        <f si="116" t="shared"/>
        <v>1.0353058773169739E-3</v>
      </c>
      <c r="F75" s="104">
        <f si="116" t="shared"/>
        <v>1.0874623446881057E-3</v>
      </c>
      <c r="G75" s="104">
        <f si="116" t="shared"/>
        <v>6.5325975382343044E-4</v>
      </c>
      <c r="H75" s="104">
        <f si="116" t="shared"/>
        <v>3.9221663463091389E-3</v>
      </c>
      <c r="I75" s="104">
        <f si="116" t="shared"/>
        <v>1.9767301133659094E-3</v>
      </c>
      <c r="J75" s="104">
        <f si="116" t="shared"/>
        <v>2.8686057054122695E-4</v>
      </c>
      <c r="K75" s="104">
        <f si="116" t="shared"/>
        <v>2.3874622939135753E-3</v>
      </c>
      <c r="L75" s="104">
        <f si="116" t="shared"/>
        <v>4.9287861665719892E-4</v>
      </c>
      <c r="M75" s="104">
        <f si="116" t="shared"/>
        <v>7.7087258774533353E-3</v>
      </c>
      <c r="N75" s="104">
        <f si="116" t="shared"/>
        <v>4.1607821845320693E-3</v>
      </c>
      <c r="O75" s="104">
        <f si="116" t="shared"/>
        <v>9.6489464636594514E-4</v>
      </c>
      <c r="P75" s="104">
        <f si="116" t="shared"/>
        <v>9.1404209067909141E-4</v>
      </c>
      <c r="Q75" s="104">
        <f si="116" t="shared"/>
        <v>1.9284853810476125E-3</v>
      </c>
      <c r="R75" s="104">
        <f si="116" t="shared"/>
        <v>1.1735205158504737E-4</v>
      </c>
      <c r="S75" s="104">
        <f si="116" t="shared"/>
        <v>3.9769306370488278E-3</v>
      </c>
      <c r="T75" s="104">
        <f si="116" t="shared"/>
        <v>2.2688063306442493E-4</v>
      </c>
      <c r="U75" s="104">
        <f si="116" t="shared"/>
        <v>1.5949447722092218E-2</v>
      </c>
      <c r="V75" s="104">
        <f si="116" t="shared"/>
        <v>1.7081243064045787E-4</v>
      </c>
      <c r="W75" s="104">
        <f si="116" t="shared"/>
        <v>0</v>
      </c>
      <c r="X75" s="104">
        <f si="116" t="shared"/>
        <v>5.2039115319547122E-2</v>
      </c>
      <c r="Y75" s="95"/>
      <c r="Z75" s="95">
        <v>19</v>
      </c>
      <c r="AA75" s="104">
        <f si="69" t="shared"/>
        <v>7.1249744374694028E-3</v>
      </c>
      <c r="AB75" s="104">
        <f si="70" t="shared"/>
        <v>1.8389529587467233E-3</v>
      </c>
      <c r="AC75" s="104">
        <f si="71" t="shared"/>
        <v>1.8745855771554636E-3</v>
      </c>
      <c r="AD75" s="104">
        <f si="72" t="shared"/>
        <v>1.0658800637049248E-3</v>
      </c>
      <c r="AE75" s="104">
        <f si="73" t="shared"/>
        <v>1.8528961572544913E-3</v>
      </c>
      <c r="AF75" s="104">
        <f si="74" t="shared"/>
        <v>5.5044649220110427E-3</v>
      </c>
      <c r="AG75" s="104">
        <f si="75" t="shared"/>
        <v>1.1185543691787146E-3</v>
      </c>
      <c r="AH75" s="104">
        <f si="76" t="shared"/>
        <v>1.177425651767068E-4</v>
      </c>
      <c r="AI75" s="104">
        <f si="77" t="shared"/>
        <v>1.9659909895952754E-3</v>
      </c>
      <c r="AJ75" s="104">
        <f si="78" t="shared"/>
        <v>2.6337152736894944E-4</v>
      </c>
      <c r="AK75" s="104">
        <f si="79" t="shared"/>
        <v>5.4936202120605569E-3</v>
      </c>
      <c r="AL75" s="104">
        <f si="80" t="shared"/>
        <v>2.0542979134778056E-3</v>
      </c>
      <c r="AM75" s="104">
        <f si="81" t="shared"/>
        <v>1.8157142945671102E-3</v>
      </c>
      <c r="AN75" s="104">
        <f si="82" t="shared"/>
        <v>8.4123964330199731E-4</v>
      </c>
      <c r="AO75" s="104">
        <f si="83" t="shared"/>
        <v>4.3208422931294115E-3</v>
      </c>
      <c r="AP75" s="104">
        <f si="84" t="shared"/>
        <v>1.8590931343690547E-5</v>
      </c>
      <c r="AQ75" s="104">
        <f si="85" t="shared"/>
        <v>2.2448549597506337E-3</v>
      </c>
      <c r="AR75" s="104">
        <f si="86" t="shared"/>
        <v>6.3519015424276032E-5</v>
      </c>
      <c r="AS75" s="104">
        <f si="87" t="shared"/>
        <v>1.2454374755994027E-2</v>
      </c>
      <c r="AT75" s="104">
        <f si="88" t="shared"/>
        <v>4.6477328359226368E-6</v>
      </c>
      <c r="AU75" s="104">
        <f si="89" t="shared"/>
        <v>0</v>
      </c>
      <c r="AV75" s="104">
        <f si="90" t="shared"/>
        <v>5.2039115319547122E-2</v>
      </c>
      <c r="CU75" s="95">
        <v>74</v>
      </c>
      <c r="CV75" s="95">
        <f si="109" t="shared"/>
        <v>4</v>
      </c>
      <c r="CW75" s="95">
        <f si="103" t="shared"/>
        <v>14</v>
      </c>
      <c r="CX75" s="58">
        <f si="104" t="shared"/>
        <v>51.862751256281406</v>
      </c>
      <c r="CY75" s="58">
        <f si="105" t="shared"/>
        <v>36</v>
      </c>
      <c r="CZ75" s="108">
        <f si="106" t="shared"/>
        <v>-15.862751256281406</v>
      </c>
      <c r="DA75" s="78">
        <f si="107" t="shared"/>
        <v>-0.3058601958445113</v>
      </c>
    </row>
    <row r="76" spans="2:106" x14ac:dyDescent="0.25">
      <c r="B76" s="95">
        <v>20</v>
      </c>
      <c r="C76" s="104">
        <f ref="C76:X76" si="117" t="shared">IF($X$51&gt;0,C49/$X$51,0)</f>
        <v>8.9627299585931248E-4</v>
      </c>
      <c r="D76" s="104">
        <f si="117" t="shared"/>
        <v>7.8485107970740337E-4</v>
      </c>
      <c r="E76" s="104">
        <f si="117" t="shared"/>
        <v>2.8406466535431764E-4</v>
      </c>
      <c r="F76" s="104">
        <f si="117" t="shared"/>
        <v>3.1222624855754735E-4</v>
      </c>
      <c r="G76" s="104">
        <f si="117" t="shared"/>
        <v>2.5467866549007791E-4</v>
      </c>
      <c r="H76" s="104">
        <f si="117" t="shared"/>
        <v>1.4533825766188577E-3</v>
      </c>
      <c r="I76" s="104">
        <f si="117" t="shared"/>
        <v>1.6443915757364165E-3</v>
      </c>
      <c r="J76" s="104">
        <f si="117" t="shared"/>
        <v>1.0529983284685911E-4</v>
      </c>
      <c r="K76" s="104">
        <f si="117" t="shared"/>
        <v>8.4974516274093288E-4</v>
      </c>
      <c r="L76" s="104">
        <f si="117" t="shared"/>
        <v>3.4283666508279717E-4</v>
      </c>
      <c r="M76" s="104">
        <f si="117" t="shared"/>
        <v>3.514075817098671E-4</v>
      </c>
      <c r="N76" s="104">
        <f si="117" t="shared"/>
        <v>7.6109739648380957E-3</v>
      </c>
      <c r="O76" s="104">
        <f si="117" t="shared"/>
        <v>1.3444094937889687E-3</v>
      </c>
      <c r="P76" s="104">
        <f si="117" t="shared"/>
        <v>1.4203233267715882E-4</v>
      </c>
      <c r="Q76" s="104">
        <f si="117" t="shared"/>
        <v>2.6814724876118775E-4</v>
      </c>
      <c r="R76" s="104">
        <f si="117" t="shared"/>
        <v>1.0407541618584914E-4</v>
      </c>
      <c r="S76" s="104">
        <f si="117" t="shared"/>
        <v>4.4078999796359635E-5</v>
      </c>
      <c r="T76" s="104">
        <f si="117" t="shared"/>
        <v>4.8682806441757188E-3</v>
      </c>
      <c r="U76" s="104">
        <f si="117" t="shared"/>
        <v>1.7141833254139858E-4</v>
      </c>
      <c r="V76" s="104">
        <f si="117" t="shared"/>
        <v>1.3322877688449699E-2</v>
      </c>
      <c r="W76" s="104">
        <f si="117" t="shared"/>
        <v>0</v>
      </c>
      <c r="X76" s="104">
        <f si="117" t="shared"/>
        <v>3.5155451170918825E-2</v>
      </c>
      <c r="Y76" s="95"/>
      <c r="Z76" s="95">
        <v>20</v>
      </c>
      <c r="AA76" s="104">
        <f si="69" t="shared"/>
        <v>1.7831801647156518E-3</v>
      </c>
      <c r="AB76" s="104">
        <f si="70" t="shared"/>
        <v>6.4603486419324656E-4</v>
      </c>
      <c r="AC76" s="104">
        <f si="71" t="shared"/>
        <v>2.4478059602525888E-4</v>
      </c>
      <c r="AD76" s="104">
        <f si="72" t="shared"/>
        <v>1.5492442786408791E-4</v>
      </c>
      <c r="AE76" s="104">
        <f si="73" t="shared"/>
        <v>4.35337642298087E-4</v>
      </c>
      <c r="AF76" s="104">
        <f si="74" t="shared"/>
        <v>1.9690894781525573E-3</v>
      </c>
      <c r="AG76" s="104">
        <f si="75" t="shared"/>
        <v>6.0110678011266101E-4</v>
      </c>
      <c r="AH76" s="104">
        <f si="76" t="shared"/>
        <v>1.7041687065049668E-5</v>
      </c>
      <c r="AI76" s="104">
        <f si="77" t="shared"/>
        <v>2.2309117612428656E-4</v>
      </c>
      <c r="AJ76" s="104">
        <f si="78" t="shared"/>
        <v>1.4098122935632E-4</v>
      </c>
      <c r="AK76" s="104">
        <f si="79" t="shared"/>
        <v>9.4503900997093624E-5</v>
      </c>
      <c r="AL76" s="104">
        <f si="80" t="shared"/>
        <v>7.9894527449510134E-3</v>
      </c>
      <c r="AM76" s="104">
        <f si="81" t="shared"/>
        <v>2.0930290204438273E-3</v>
      </c>
      <c r="AN76" s="104">
        <f si="82" t="shared"/>
        <v>1.394319850776791E-5</v>
      </c>
      <c r="AO76" s="104">
        <f si="83" t="shared"/>
        <v>7.1265236817480437E-5</v>
      </c>
      <c r="AP76" s="104">
        <f si="84" t="shared"/>
        <v>1.3788274079903822E-4</v>
      </c>
      <c r="AQ76" s="104">
        <f si="85" t="shared"/>
        <v>6.1969771145635157E-6</v>
      </c>
      <c r="AR76" s="104">
        <f si="86" t="shared"/>
        <v>4.1581716438721193E-3</v>
      </c>
      <c r="AS76" s="104">
        <f si="87" t="shared"/>
        <v>1.7041687065049668E-5</v>
      </c>
      <c r="AT76" s="104">
        <f si="88" t="shared"/>
        <v>1.4358395974443666E-2</v>
      </c>
      <c r="AU76" s="104">
        <f si="89" t="shared"/>
        <v>0</v>
      </c>
      <c r="AV76" s="104">
        <f si="90" t="shared"/>
        <v>3.5155451170918825E-2</v>
      </c>
      <c r="CU76" s="95">
        <v>75</v>
      </c>
      <c r="CV76" s="95">
        <f si="109" t="shared"/>
        <v>4</v>
      </c>
      <c r="CW76" s="95">
        <f si="103" t="shared"/>
        <v>15</v>
      </c>
      <c r="CX76" s="58">
        <f si="104" t="shared"/>
        <v>79.195822864321613</v>
      </c>
      <c r="CY76" s="58">
        <f si="105" t="shared"/>
        <v>28</v>
      </c>
      <c r="CZ76" s="108">
        <f si="106" t="shared"/>
        <v>-51.195822864321613</v>
      </c>
      <c r="DA76" s="78">
        <f si="107" t="shared"/>
        <v>-0.64644599945669312</v>
      </c>
    </row>
    <row r="77" spans="2:106" x14ac:dyDescent="0.25">
      <c r="B77" s="101" t="s">
        <v>15</v>
      </c>
      <c r="C77" s="105">
        <f ref="C77:X77" si="118" t="shared">IF($X$51&gt;0,C50/$X$51,0)</f>
        <v>0</v>
      </c>
      <c r="D77" s="105">
        <f si="118" t="shared"/>
        <v>0</v>
      </c>
      <c r="E77" s="105">
        <f si="118" t="shared"/>
        <v>0</v>
      </c>
      <c r="F77" s="105">
        <f si="118" t="shared"/>
        <v>0</v>
      </c>
      <c r="G77" s="105">
        <f si="118" t="shared"/>
        <v>0</v>
      </c>
      <c r="H77" s="105">
        <f si="118" t="shared"/>
        <v>0</v>
      </c>
      <c r="I77" s="105">
        <f si="118" t="shared"/>
        <v>0</v>
      </c>
      <c r="J77" s="105">
        <f si="118" t="shared"/>
        <v>0</v>
      </c>
      <c r="K77" s="105">
        <f si="118" t="shared"/>
        <v>0</v>
      </c>
      <c r="L77" s="105">
        <f si="118" t="shared"/>
        <v>0</v>
      </c>
      <c r="M77" s="105">
        <f si="118" t="shared"/>
        <v>0</v>
      </c>
      <c r="N77" s="105">
        <f si="118" t="shared"/>
        <v>0</v>
      </c>
      <c r="O77" s="105">
        <f si="118" t="shared"/>
        <v>0</v>
      </c>
      <c r="P77" s="105">
        <f si="118" t="shared"/>
        <v>0</v>
      </c>
      <c r="Q77" s="105">
        <f si="118" t="shared"/>
        <v>0</v>
      </c>
      <c r="R77" s="105">
        <f si="118" t="shared"/>
        <v>0</v>
      </c>
      <c r="S77" s="105">
        <f si="118" t="shared"/>
        <v>0</v>
      </c>
      <c r="T77" s="105">
        <f si="118" t="shared"/>
        <v>0</v>
      </c>
      <c r="U77" s="105">
        <f si="118" t="shared"/>
        <v>0</v>
      </c>
      <c r="V77" s="105">
        <f si="118" t="shared"/>
        <v>0</v>
      </c>
      <c r="W77" s="105">
        <f si="118" t="shared"/>
        <v>0</v>
      </c>
      <c r="X77" s="105">
        <f si="118" t="shared"/>
        <v>0</v>
      </c>
      <c r="Y77" s="95"/>
      <c r="Z77" s="101" t="s">
        <v>15</v>
      </c>
      <c r="AA77" s="105">
        <f si="69" t="shared"/>
        <v>0</v>
      </c>
      <c r="AB77" s="105">
        <f si="70" t="shared"/>
        <v>0</v>
      </c>
      <c r="AC77" s="105">
        <f si="71" t="shared"/>
        <v>0</v>
      </c>
      <c r="AD77" s="105">
        <f si="72" t="shared"/>
        <v>0</v>
      </c>
      <c r="AE77" s="105">
        <f si="73" t="shared"/>
        <v>0</v>
      </c>
      <c r="AF77" s="105">
        <f si="74" t="shared"/>
        <v>0</v>
      </c>
      <c r="AG77" s="105">
        <f si="75" t="shared"/>
        <v>0</v>
      </c>
      <c r="AH77" s="105">
        <f si="76" t="shared"/>
        <v>0</v>
      </c>
      <c r="AI77" s="105">
        <f si="77" t="shared"/>
        <v>0</v>
      </c>
      <c r="AJ77" s="105">
        <f si="78" t="shared"/>
        <v>0</v>
      </c>
      <c r="AK77" s="105">
        <f si="79" t="shared"/>
        <v>0</v>
      </c>
      <c r="AL77" s="105">
        <f si="80" t="shared"/>
        <v>0</v>
      </c>
      <c r="AM77" s="105">
        <f si="81" t="shared"/>
        <v>0</v>
      </c>
      <c r="AN77" s="105">
        <f si="82" t="shared"/>
        <v>0</v>
      </c>
      <c r="AO77" s="105">
        <f si="83" t="shared"/>
        <v>0</v>
      </c>
      <c r="AP77" s="105">
        <f si="84" t="shared"/>
        <v>0</v>
      </c>
      <c r="AQ77" s="105">
        <f si="85" t="shared"/>
        <v>0</v>
      </c>
      <c r="AR77" s="105">
        <f si="86" t="shared"/>
        <v>0</v>
      </c>
      <c r="AS77" s="105">
        <f si="87" t="shared"/>
        <v>0</v>
      </c>
      <c r="AT77" s="105">
        <f si="88" t="shared"/>
        <v>0</v>
      </c>
      <c r="AU77" s="105">
        <f si="89" t="shared"/>
        <v>0</v>
      </c>
      <c r="AV77" s="105">
        <f si="90" t="shared"/>
        <v>0</v>
      </c>
      <c r="CU77" s="95">
        <v>76</v>
      </c>
      <c r="CV77" s="95">
        <f si="109" t="shared"/>
        <v>4</v>
      </c>
      <c r="CW77" s="95">
        <f si="103" t="shared"/>
        <v>16</v>
      </c>
      <c r="CX77" s="58">
        <f si="104" t="shared"/>
        <v>33.640703517587937</v>
      </c>
      <c r="CY77" s="58">
        <f si="105" t="shared"/>
        <v>13</v>
      </c>
      <c r="CZ77" s="108">
        <f si="106" t="shared"/>
        <v>-20.640703517587937</v>
      </c>
      <c r="DA77" s="78">
        <f si="107" t="shared"/>
        <v>-0.61356337291806706</v>
      </c>
    </row>
    <row ht="15.75" r="78" spans="2:106" thickBot="1" x14ac:dyDescent="0.3">
      <c r="B78" s="1" t="s">
        <v>3</v>
      </c>
      <c r="C78" s="106">
        <f ref="C78:X78" si="119" t="shared">IF($X$51&gt;0,C51/$X$51,0)</f>
        <v>7.4305365446679913E-2</v>
      </c>
      <c r="D78" s="106">
        <f si="119" t="shared"/>
        <v>5.0297279821438813E-2</v>
      </c>
      <c r="E78" s="106">
        <f si="119" t="shared"/>
        <v>2.7606757912193483E-2</v>
      </c>
      <c r="F78" s="106">
        <f si="119" t="shared"/>
        <v>2.4152865840642513E-2</v>
      </c>
      <c r="G78" s="106">
        <f si="119" t="shared"/>
        <v>2.2418362973926985E-2</v>
      </c>
      <c r="H78" s="106">
        <f si="119" t="shared"/>
        <v>0.14533183380757866</v>
      </c>
      <c r="I78" s="106">
        <f si="119" t="shared"/>
        <v>9.5539785875765365E-2</v>
      </c>
      <c r="J78" s="106">
        <f si="119" t="shared"/>
        <v>5.2513277510644364E-3</v>
      </c>
      <c r="K78" s="106">
        <f si="119" t="shared"/>
        <v>5.8742447080578672E-2</v>
      </c>
      <c r="L78" s="106">
        <f si="119" t="shared"/>
        <v>1.9077473507594842E-2</v>
      </c>
      <c r="M78" s="106">
        <f si="119" t="shared"/>
        <v>5.372844787240872E-2</v>
      </c>
      <c r="N78" s="106">
        <f si="119" t="shared"/>
        <v>0.21234032767729266</v>
      </c>
      <c r="O78" s="106">
        <f si="119" t="shared"/>
        <v>7.753077938829997E-2</v>
      </c>
      <c r="P78" s="106">
        <f si="119" t="shared"/>
        <v>1.5821312333546333E-2</v>
      </c>
      <c r="Q78" s="106">
        <f si="119" t="shared"/>
        <v>3.2528009774269027E-2</v>
      </c>
      <c r="R78" s="106">
        <f si="119" t="shared"/>
        <v>4.7355318940061272E-3</v>
      </c>
      <c r="S78" s="106">
        <f si="119" t="shared"/>
        <v>1.2678655399894398E-2</v>
      </c>
      <c r="T78" s="106">
        <f si="119" t="shared"/>
        <v>1.8068427497197073E-2</v>
      </c>
      <c r="U78" s="106">
        <f si="119" t="shared"/>
        <v>3.0476621114399454E-2</v>
      </c>
      <c r="V78" s="106">
        <f si="119" t="shared"/>
        <v>1.9368387031222487E-2</v>
      </c>
      <c r="W78" s="106">
        <f si="119" t="shared"/>
        <v>0</v>
      </c>
      <c r="X78" s="106">
        <f si="119" t="shared"/>
        <v>1</v>
      </c>
      <c r="Y78" s="95"/>
      <c r="Z78" s="1" t="s">
        <v>3</v>
      </c>
      <c r="AA78" s="106">
        <f si="69" t="shared"/>
        <v>0.16223221312643693</v>
      </c>
      <c r="AB78" s="106">
        <f si="70" t="shared"/>
        <v>5.7165564637569791E-2</v>
      </c>
      <c r="AC78" s="106">
        <f si="71" t="shared"/>
        <v>3.1573598398701115E-2</v>
      </c>
      <c r="AD78" s="106">
        <f si="72" t="shared"/>
        <v>1.9216826032261464E-2</v>
      </c>
      <c r="AE78" s="106">
        <f si="73" t="shared"/>
        <v>4.471583761441169E-2</v>
      </c>
      <c r="AF78" s="106">
        <f si="74" t="shared"/>
        <v>0.1509180821595226</v>
      </c>
      <c r="AG78" s="106">
        <f si="75" t="shared"/>
        <v>6.6803413294994701E-2</v>
      </c>
      <c r="AH78" s="106">
        <f si="76" t="shared"/>
        <v>2.0945782647224685E-3</v>
      </c>
      <c r="AI78" s="106">
        <f si="77" t="shared"/>
        <v>3.9121516524239473E-2</v>
      </c>
      <c r="AJ78" s="106">
        <f si="78" t="shared"/>
        <v>1.0474440567890982E-2</v>
      </c>
      <c r="AK78" s="106">
        <f si="79" t="shared"/>
        <v>3.4312662283338187E-2</v>
      </c>
      <c r="AL78" s="106">
        <f si="80" t="shared"/>
        <v>0.14131741536478507</v>
      </c>
      <c r="AM78" s="106">
        <f si="81" t="shared"/>
        <v>0.13675644020846631</v>
      </c>
      <c r="AN78" s="106">
        <f si="82" t="shared"/>
        <v>1.0994986645514319E-2</v>
      </c>
      <c r="AO78" s="106">
        <f si="83" t="shared"/>
        <v>3.1781197132038988E-2</v>
      </c>
      <c r="AP78" s="106">
        <f si="84" t="shared"/>
        <v>1.9690894781525573E-3</v>
      </c>
      <c r="AQ78" s="106">
        <f si="85" t="shared"/>
        <v>7.1931411857296011E-3</v>
      </c>
      <c r="AR78" s="106">
        <f si="86" t="shared"/>
        <v>1.5444416213770922E-2</v>
      </c>
      <c r="AS78" s="106">
        <f si="87" t="shared"/>
        <v>1.979469414819451E-2</v>
      </c>
      <c r="AT78" s="106">
        <f si="88" t="shared"/>
        <v>1.6119886719258347E-2</v>
      </c>
      <c r="AU78" s="106">
        <f si="89" t="shared"/>
        <v>0</v>
      </c>
      <c r="AV78" s="106">
        <f si="90" t="shared"/>
        <v>1</v>
      </c>
      <c r="CU78" s="95">
        <v>77</v>
      </c>
      <c r="CV78" s="95">
        <f si="109" t="shared"/>
        <v>4</v>
      </c>
      <c r="CW78" s="95">
        <f si="103" t="shared"/>
        <v>17</v>
      </c>
      <c r="CX78" s="58">
        <f si="104" t="shared"/>
        <v>25.931375628140703</v>
      </c>
      <c r="CY78" s="58">
        <f si="105" t="shared"/>
        <v>14</v>
      </c>
      <c r="CZ78" s="108">
        <f si="106" t="shared"/>
        <v>-11.931375628140703</v>
      </c>
      <c r="DA78" s="78">
        <f si="107" t="shared"/>
        <v>-0.46011348565684212</v>
      </c>
    </row>
    <row r="79" spans="2:106" x14ac:dyDescent="0.25">
      <c r="B79" s="95"/>
      <c r="C79" s="95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95"/>
      <c r="AJ79" s="95"/>
      <c r="AK79" s="95"/>
      <c r="AL79" s="95"/>
      <c r="AM79" s="95"/>
      <c r="AN79" s="95"/>
      <c r="AO79" s="95"/>
      <c r="AP79" s="95"/>
      <c r="AQ79" s="95"/>
      <c r="AR79" s="95"/>
      <c r="AS79" s="95"/>
      <c r="AT79" s="95"/>
      <c r="AU79" s="95"/>
      <c r="AV79" s="95"/>
      <c r="CU79" s="95">
        <v>78</v>
      </c>
      <c r="CV79" s="95">
        <f si="109" t="shared"/>
        <v>4</v>
      </c>
      <c r="CW79" s="95">
        <f si="103" t="shared"/>
        <v>18</v>
      </c>
      <c r="CX79" s="58">
        <f si="104" t="shared"/>
        <v>47.657663316582912</v>
      </c>
      <c r="CY79" s="58">
        <f si="105" t="shared"/>
        <v>9</v>
      </c>
      <c r="CZ79" s="108">
        <f si="106" t="shared"/>
        <v>-38.657663316582912</v>
      </c>
      <c r="DA79" s="78">
        <f si="107" t="shared"/>
        <v>-0.8111531415165214</v>
      </c>
    </row>
    <row r="80" spans="2:106" x14ac:dyDescent="0.25">
      <c r="B80" s="95"/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95"/>
      <c r="AJ80" s="95"/>
      <c r="AK80" s="95"/>
      <c r="AL80" s="95"/>
      <c r="AM80" s="95"/>
      <c r="AN80" s="95"/>
      <c r="AO80" s="95"/>
      <c r="AP80" s="95"/>
      <c r="AQ80" s="95"/>
      <c r="AR80" s="95"/>
      <c r="AS80" s="95"/>
      <c r="AT80" s="95"/>
      <c r="AU80" s="95"/>
      <c r="AV80" s="95"/>
      <c r="CU80" s="95">
        <v>79</v>
      </c>
      <c r="CV80" s="95">
        <f si="109" t="shared"/>
        <v>4</v>
      </c>
      <c r="CW80" s="95">
        <f si="103" t="shared"/>
        <v>19</v>
      </c>
      <c r="CX80" s="58">
        <f si="104" t="shared"/>
        <v>67.281407035175874</v>
      </c>
      <c r="CY80" s="58">
        <f si="105" t="shared"/>
        <v>21</v>
      </c>
      <c r="CZ80" s="108">
        <f si="106" t="shared"/>
        <v>-46.281407035175874</v>
      </c>
      <c r="DA80" s="78">
        <f si="107" t="shared"/>
        <v>-0.68787810889536183</v>
      </c>
    </row>
    <row r="81" spans="2:105" x14ac:dyDescent="0.25">
      <c r="B81" s="95"/>
      <c r="C81" s="95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95"/>
      <c r="AJ81" s="95"/>
      <c r="AK81" s="95"/>
      <c r="AL81" s="95"/>
      <c r="AM81" s="95"/>
      <c r="AN81" s="95"/>
      <c r="AO81" s="95"/>
      <c r="AP81" s="95"/>
      <c r="AQ81" s="95"/>
      <c r="AR81" s="95"/>
      <c r="AS81" s="95"/>
      <c r="AT81" s="95"/>
      <c r="AU81" s="95"/>
      <c r="AV81" s="95"/>
      <c r="CU81" s="95">
        <v>80</v>
      </c>
      <c r="CV81" s="95">
        <f si="109" t="shared"/>
        <v>4</v>
      </c>
      <c r="CW81" s="95">
        <f si="103" t="shared"/>
        <v>20</v>
      </c>
      <c r="CX81" s="58">
        <f si="104" t="shared"/>
        <v>16.820351758793969</v>
      </c>
      <c r="CY81" s="58">
        <f si="105" t="shared"/>
        <v>2</v>
      </c>
      <c r="CZ81" s="108">
        <f si="106" t="shared"/>
        <v>-14.820351758793969</v>
      </c>
      <c r="DA81" s="78">
        <f si="107" t="shared"/>
        <v>-0.88109642243632835</v>
      </c>
    </row>
    <row ht="15.75" r="82" spans="2:105" thickBot="1" x14ac:dyDescent="0.3">
      <c r="B82" s="95"/>
      <c r="C82" s="95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23" t="s">
        <v>324</v>
      </c>
      <c r="AA82" s="24"/>
      <c r="AB82" s="24"/>
      <c r="AC82" s="24"/>
      <c r="AD82" s="24"/>
      <c r="AE82" s="24"/>
      <c r="AF82" s="24"/>
      <c r="AG82" s="24"/>
      <c r="AH82" s="24"/>
      <c r="AI82" s="24"/>
      <c r="AJ82" s="95"/>
      <c r="AK82" s="95"/>
      <c r="AL82" s="95"/>
      <c r="AM82" s="95"/>
      <c r="AN82" s="95"/>
      <c r="AO82" s="95"/>
      <c r="AP82" s="95"/>
      <c r="AQ82" s="95"/>
      <c r="AR82" s="95"/>
      <c r="AS82" s="95"/>
      <c r="AT82" s="95"/>
      <c r="AU82" s="95"/>
      <c r="AV82" s="95"/>
      <c r="CU82" s="95">
        <v>81</v>
      </c>
      <c r="CV82" s="95">
        <f si="109" t="shared"/>
        <v>5</v>
      </c>
      <c r="CW82" s="95">
        <f si="103" t="shared"/>
        <v>1</v>
      </c>
      <c r="CX82" s="58">
        <f si="104" t="shared"/>
        <v>1171.006419939577</v>
      </c>
      <c r="CY82" s="58">
        <f si="105" t="shared"/>
        <v>2031</v>
      </c>
      <c r="CZ82" s="108">
        <f si="106" t="shared"/>
        <v>859.99358006042303</v>
      </c>
      <c r="DA82" s="78">
        <f si="107" t="shared"/>
        <v>0.73440552111131729</v>
      </c>
    </row>
    <row r="83" spans="2:105" x14ac:dyDescent="0.25">
      <c r="B83" s="95"/>
      <c r="C83" s="95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2" t="s">
        <v>14</v>
      </c>
      <c r="AA83" s="2">
        <v>1</v>
      </c>
      <c r="AB83" s="2">
        <v>2</v>
      </c>
      <c r="AC83" s="2">
        <v>3</v>
      </c>
      <c r="AD83" s="2">
        <v>4</v>
      </c>
      <c r="AE83" s="2">
        <v>5</v>
      </c>
      <c r="AF83" s="2">
        <v>6</v>
      </c>
      <c r="AG83" s="2">
        <v>7</v>
      </c>
      <c r="AH83" s="2">
        <v>8</v>
      </c>
      <c r="AI83" s="2">
        <v>9</v>
      </c>
      <c r="AJ83" s="2">
        <v>10</v>
      </c>
      <c r="AK83" s="2">
        <v>11</v>
      </c>
      <c r="AL83" s="2">
        <v>12</v>
      </c>
      <c r="AM83" s="2">
        <v>13</v>
      </c>
      <c r="AN83" s="2">
        <v>14</v>
      </c>
      <c r="AO83" s="2">
        <v>15</v>
      </c>
      <c r="AP83" s="2">
        <v>16</v>
      </c>
      <c r="AQ83" s="2">
        <v>17</v>
      </c>
      <c r="AR83" s="2">
        <v>18</v>
      </c>
      <c r="AS83" s="2">
        <v>19</v>
      </c>
      <c r="AT83" s="2">
        <v>20</v>
      </c>
      <c r="AU83" s="3" t="s">
        <v>15</v>
      </c>
      <c r="AV83" s="3" t="s">
        <v>3</v>
      </c>
      <c r="CU83" s="95">
        <v>82</v>
      </c>
      <c r="CV83" s="95">
        <f si="109" t="shared"/>
        <v>5</v>
      </c>
      <c r="CW83" s="95">
        <f si="103" t="shared"/>
        <v>2</v>
      </c>
      <c r="CX83" s="58">
        <f si="104" t="shared"/>
        <v>448.21280211480359</v>
      </c>
      <c r="CY83" s="58">
        <f si="105" t="shared"/>
        <v>492</v>
      </c>
      <c r="CZ83" s="108">
        <f si="106" t="shared"/>
        <v>43.787197885196406</v>
      </c>
      <c r="DA83" s="78">
        <f si="107" t="shared"/>
        <v>9.7692876416280744E-2</v>
      </c>
    </row>
    <row r="84" spans="2:105" x14ac:dyDescent="0.25">
      <c r="B84" s="95"/>
      <c r="C84" s="95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31">
        <v>1</v>
      </c>
      <c r="AA84" s="103">
        <f ref="AA84:AA100" si="120" t="shared">AA57-C57</f>
        <v>1.4277305568042651E-3</v>
      </c>
      <c r="AB84" s="103">
        <f ref="AB84:AV96" si="121" t="shared">AB57-D57</f>
        <v>-4.9225135659533266E-5</v>
      </c>
      <c r="AC84" s="103">
        <f si="121" t="shared"/>
        <v>-1.434517419914442E-5</v>
      </c>
      <c r="AD84" s="103">
        <f si="121" t="shared"/>
        <v>-1.1509760067804689E-5</v>
      </c>
      <c r="AE84" s="103">
        <f si="121" t="shared"/>
        <v>2.9098748590607968E-4</v>
      </c>
      <c r="AF84" s="103">
        <f si="121" t="shared"/>
        <v>-3.6685119258782922E-4</v>
      </c>
      <c r="AG84" s="103">
        <f si="121" t="shared"/>
        <v>-1.3104128212748555E-4</v>
      </c>
      <c r="AH84" s="103">
        <f si="121" t="shared"/>
        <v>-2.446642947829017E-6</v>
      </c>
      <c r="AI84" s="103">
        <f si="121" t="shared"/>
        <v>-1.6757713966081614E-4</v>
      </c>
      <c r="AJ84" s="103">
        <f si="121" t="shared"/>
        <v>-9.8667891766009041E-5</v>
      </c>
      <c r="AK84" s="103">
        <f si="121" t="shared"/>
        <v>-1.0453018539274292E-4</v>
      </c>
      <c r="AL84" s="103">
        <f si="121" t="shared"/>
        <v>-7.0369183992363205E-4</v>
      </c>
      <c r="AM84" s="103">
        <f si="121" t="shared"/>
        <v>2.809538374579669E-5</v>
      </c>
      <c r="AN84" s="103">
        <f si="121" t="shared"/>
        <v>-6.9686790261828615E-6</v>
      </c>
      <c r="AO84" s="103">
        <f si="121" t="shared"/>
        <v>-1.6970078003161989E-5</v>
      </c>
      <c r="AP84" s="103">
        <f si="121" t="shared"/>
        <v>-1.7747620370183523E-5</v>
      </c>
      <c r="AQ84" s="103">
        <f si="121" t="shared"/>
        <v>-3.9359590753865951E-6</v>
      </c>
      <c r="AR84" s="103">
        <f si="121" t="shared"/>
        <v>-1.0947044886446192E-6</v>
      </c>
      <c r="AS84" s="103">
        <f si="121" t="shared"/>
        <v>-3.4268999038751436E-5</v>
      </c>
      <c r="AT84" s="103">
        <f si="121" t="shared"/>
        <v>-1.5941142121002862E-5</v>
      </c>
      <c r="AU84" s="103">
        <f si="121" t="shared"/>
        <v>0</v>
      </c>
      <c r="AV84" s="103">
        <f si="121" t="shared"/>
        <v>0</v>
      </c>
      <c r="CU84" s="95">
        <v>83</v>
      </c>
      <c r="CV84" s="95">
        <f si="109" t="shared"/>
        <v>5</v>
      </c>
      <c r="CW84" s="95">
        <f si="103" t="shared"/>
        <v>3</v>
      </c>
      <c r="CX84" s="58">
        <f si="104" t="shared"/>
        <v>317.38311933534743</v>
      </c>
      <c r="CY84" s="58">
        <f si="105" t="shared"/>
        <v>286</v>
      </c>
      <c r="CZ84" s="108">
        <f si="106" t="shared"/>
        <v>-31.38311933534743</v>
      </c>
      <c r="DA84" s="78">
        <f si="107" t="shared"/>
        <v>-9.8880871172571674E-2</v>
      </c>
    </row>
    <row r="85" spans="2:105" x14ac:dyDescent="0.25">
      <c r="B85" s="95"/>
      <c r="C85" s="95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>
        <v>2</v>
      </c>
      <c r="AA85" s="104">
        <f si="120" t="shared"/>
        <v>2.391715976288743E-3</v>
      </c>
      <c r="AB85" s="104">
        <f si="121" t="shared"/>
        <v>4.9239662534695779E-4</v>
      </c>
      <c r="AC85" s="104">
        <f si="121" t="shared"/>
        <v>-1.0086293585023635E-4</v>
      </c>
      <c r="AD85" s="104">
        <f si="121" t="shared"/>
        <v>-4.636213347097688E-5</v>
      </c>
      <c r="AE85" s="104">
        <f si="121" t="shared"/>
        <v>5.4990750016686656E-4</v>
      </c>
      <c r="AF85" s="104">
        <f si="121" t="shared"/>
        <v>6.8918977806011784E-5</v>
      </c>
      <c r="AG85" s="104">
        <f si="121" t="shared"/>
        <v>-2.8772589674878153E-4</v>
      </c>
      <c r="AH85" s="104">
        <f si="121" t="shared"/>
        <v>-9.0911505699512008E-5</v>
      </c>
      <c r="AI85" s="104">
        <f si="121" t="shared"/>
        <v>-6.0191129751857131E-4</v>
      </c>
      <c r="AJ85" s="104">
        <f si="121" t="shared"/>
        <v>-2.3106051547238683E-4</v>
      </c>
      <c r="AK85" s="104">
        <f si="121" t="shared"/>
        <v>-7.2710263195720107E-4</v>
      </c>
      <c r="AL85" s="104">
        <f si="121" t="shared"/>
        <v>-1.2843087324986026E-3</v>
      </c>
      <c r="AM85" s="104">
        <f si="121" t="shared"/>
        <v>3.5073819317564829E-4</v>
      </c>
      <c r="AN85" s="104">
        <f si="121" t="shared"/>
        <v>-4.6003736549118822E-5</v>
      </c>
      <c r="AO85" s="104">
        <f si="121" t="shared"/>
        <v>-9.6946078798277002E-5</v>
      </c>
      <c r="AP85" s="104">
        <f si="121" t="shared"/>
        <v>-7.0669870851958929E-5</v>
      </c>
      <c r="AQ85" s="104">
        <f si="121" t="shared"/>
        <v>-5.6604898188777073E-5</v>
      </c>
      <c r="AR85" s="104">
        <f si="121" t="shared"/>
        <v>-4.7830348880328159E-5</v>
      </c>
      <c r="AS85" s="104">
        <f si="121" t="shared"/>
        <v>-1.1141700378808532E-4</v>
      </c>
      <c r="AT85" s="104">
        <f si="121" t="shared"/>
        <v>-5.3959686511410575E-5</v>
      </c>
      <c r="AU85" s="104">
        <f si="121" t="shared"/>
        <v>0</v>
      </c>
      <c r="AV85" s="104">
        <f si="121" t="shared"/>
        <v>0</v>
      </c>
      <c r="CU85" s="95">
        <v>84</v>
      </c>
      <c r="CV85" s="95">
        <f si="109" t="shared"/>
        <v>5</v>
      </c>
      <c r="CW85" s="95">
        <f si="103" t="shared"/>
        <v>4</v>
      </c>
      <c r="CX85" s="58">
        <f si="104" t="shared"/>
        <v>373.10687311178248</v>
      </c>
      <c r="CY85" s="58">
        <f si="105" t="shared"/>
        <v>315</v>
      </c>
      <c r="CZ85" s="108">
        <f si="106" t="shared"/>
        <v>-58.106873111782477</v>
      </c>
      <c r="DA85" s="78">
        <f si="107" t="shared"/>
        <v>-0.15573787914213447</v>
      </c>
    </row>
    <row r="86" spans="2:105" x14ac:dyDescent="0.25">
      <c r="B86" s="95"/>
      <c r="C86" s="95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>
        <v>3</v>
      </c>
      <c r="AA86" s="104">
        <f si="120" t="shared"/>
        <v>5.3554153826408067E-3</v>
      </c>
      <c r="AB86" s="104">
        <f si="121" t="shared"/>
        <v>6.3417401531227742E-4</v>
      </c>
      <c r="AC86" s="104">
        <f si="121" t="shared"/>
        <v>1.6380878844262595E-4</v>
      </c>
      <c r="AD86" s="104">
        <f si="121" t="shared"/>
        <v>-3.938335132527128E-4</v>
      </c>
      <c r="AE86" s="104">
        <f si="121" t="shared"/>
        <v>1.0526909221469376E-3</v>
      </c>
      <c r="AF86" s="104">
        <f si="121" t="shared"/>
        <v>-8.742317708528638E-4</v>
      </c>
      <c r="AG86" s="104">
        <f si="121" t="shared"/>
        <v>-7.703797493508024E-4</v>
      </c>
      <c r="AH86" s="104">
        <f si="121" t="shared"/>
        <v>-2.220925225723501E-4</v>
      </c>
      <c r="AI86" s="104">
        <f si="121" t="shared"/>
        <v>-7.8628369462548412E-4</v>
      </c>
      <c r="AJ86" s="104">
        <f si="121" t="shared"/>
        <v>-4.6899858557832247E-4</v>
      </c>
      <c r="AK86" s="104">
        <f si="121" t="shared"/>
        <v>-7.9227541723961986E-4</v>
      </c>
      <c r="AL86" s="104">
        <f si="121" t="shared"/>
        <v>-2.1130551437106462E-3</v>
      </c>
      <c r="AM86" s="104">
        <f si="121" t="shared"/>
        <v>1.6101291615267497E-4</v>
      </c>
      <c r="AN86" s="104">
        <f si="121" t="shared"/>
        <v>-1.197269569441541E-4</v>
      </c>
      <c r="AO86" s="104">
        <f si="121" t="shared"/>
        <v>-1.8251277865441391E-4</v>
      </c>
      <c r="AP86" s="104">
        <f si="121" t="shared"/>
        <v>-1.1648341922393686E-4</v>
      </c>
      <c r="AQ86" s="104">
        <f si="121" t="shared"/>
        <v>-7.3250622072345097E-5</v>
      </c>
      <c r="AR86" s="104">
        <f si="121" t="shared"/>
        <v>-8.0412672864138134E-5</v>
      </c>
      <c r="AS86" s="104">
        <f si="121" t="shared"/>
        <v>-2.8242423166423178E-4</v>
      </c>
      <c r="AT86" s="104">
        <f si="121" t="shared"/>
        <v>-9.1140946089308971E-5</v>
      </c>
      <c r="AU86" s="104">
        <f si="121" t="shared"/>
        <v>0</v>
      </c>
      <c r="AV86" s="104">
        <f si="121" t="shared"/>
        <v>0</v>
      </c>
      <c r="CU86" s="95">
        <v>85</v>
      </c>
      <c r="CV86" s="95">
        <f si="109" t="shared"/>
        <v>5</v>
      </c>
      <c r="CW86" s="95">
        <f si="103" t="shared"/>
        <v>5</v>
      </c>
      <c r="CX86" s="58">
        <f si="104" t="shared"/>
        <v>637.18901057401808</v>
      </c>
      <c r="CY86" s="58">
        <f si="105" t="shared"/>
        <v>1301</v>
      </c>
      <c r="CZ86" s="108">
        <f si="106" t="shared"/>
        <v>663.81098942598192</v>
      </c>
      <c r="DA86" s="78">
        <f si="107" t="shared"/>
        <v>1.0417803483898462</v>
      </c>
    </row>
    <row r="87" spans="2:105" x14ac:dyDescent="0.25">
      <c r="B87" s="95"/>
      <c r="C87" s="95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>
        <v>4</v>
      </c>
      <c r="AA87" s="104">
        <f si="120" t="shared"/>
        <v>1.9375637681401324E-3</v>
      </c>
      <c r="AB87" s="104">
        <f si="121" t="shared"/>
        <v>-7.6576653446137118E-6</v>
      </c>
      <c r="AC87" s="104">
        <f si="121" t="shared"/>
        <v>5.2668466613443161E-5</v>
      </c>
      <c r="AD87" s="104">
        <f si="121" t="shared"/>
        <v>-8.960753002474329E-5</v>
      </c>
      <c r="AE87" s="104">
        <f si="121" t="shared"/>
        <v>4.9130409186398866E-4</v>
      </c>
      <c r="AF87" s="104">
        <f si="121" t="shared"/>
        <v>1.9588135705141726E-4</v>
      </c>
      <c r="AG87" s="104">
        <f si="121" t="shared"/>
        <v>-4.5343032422553124E-4</v>
      </c>
      <c r="AH87" s="104">
        <f si="121" t="shared"/>
        <v>-6.3398345643778903E-5</v>
      </c>
      <c r="AI87" s="104">
        <f si="121" t="shared"/>
        <v>-4.8188649669655964E-4</v>
      </c>
      <c r="AJ87" s="104">
        <f si="121" t="shared"/>
        <v>-1.4596931909328199E-4</v>
      </c>
      <c r="AK87" s="104">
        <f si="121" t="shared"/>
        <v>-2.781686592024129E-4</v>
      </c>
      <c r="AL87" s="104">
        <f si="121" t="shared"/>
        <v>-8.2505286270603438E-4</v>
      </c>
      <c r="AM87" s="104">
        <f si="121" t="shared"/>
        <v>-2.3342547236613752E-5</v>
      </c>
      <c r="AN87" s="104">
        <f si="121" t="shared"/>
        <v>-2.4575276627297391E-5</v>
      </c>
      <c r="AO87" s="104">
        <f si="121" t="shared"/>
        <v>-7.9314835662862171E-5</v>
      </c>
      <c r="AP87" s="104">
        <f si="121" t="shared"/>
        <v>-3.1977491831745777E-5</v>
      </c>
      <c r="AQ87" s="104">
        <f si="121" t="shared"/>
        <v>-1.8484615428212211E-5</v>
      </c>
      <c r="AR87" s="104">
        <f si="121" t="shared"/>
        <v>-5.9890163718841473E-5</v>
      </c>
      <c r="AS87" s="104">
        <f si="121" t="shared"/>
        <v>-7.1701205056695958E-5</v>
      </c>
      <c r="AT87" s="104">
        <f si="121" t="shared"/>
        <v>-2.2960345169756845E-5</v>
      </c>
      <c r="AU87" s="104">
        <f si="121" t="shared"/>
        <v>0</v>
      </c>
      <c r="AV87" s="104">
        <f si="121" t="shared"/>
        <v>0</v>
      </c>
      <c r="CU87" s="95">
        <v>86</v>
      </c>
      <c r="CV87" s="95">
        <f si="109" t="shared"/>
        <v>5</v>
      </c>
      <c r="CW87" s="95">
        <f si="103" t="shared"/>
        <v>6</v>
      </c>
      <c r="CX87" s="58">
        <f si="104" t="shared"/>
        <v>2086.8141993957702</v>
      </c>
      <c r="CY87" s="58">
        <f si="105" t="shared"/>
        <v>2368</v>
      </c>
      <c r="CZ87" s="108">
        <f si="106" t="shared"/>
        <v>281.18580060422983</v>
      </c>
      <c r="DA87" s="78">
        <f si="107" t="shared"/>
        <v>0.13474405181143881</v>
      </c>
    </row>
    <row r="88" spans="2:105" x14ac:dyDescent="0.25">
      <c r="B88" s="95"/>
      <c r="C88" s="95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>
        <v>5</v>
      </c>
      <c r="AA88" s="104">
        <f si="120" t="shared"/>
        <v>1.3323401335764971E-3</v>
      </c>
      <c r="AB88" s="104">
        <f si="121" t="shared"/>
        <v>6.7837065801356613E-5</v>
      </c>
      <c r="AC88" s="104">
        <f si="121" t="shared"/>
        <v>-4.8620118076190947E-5</v>
      </c>
      <c r="AD88" s="104">
        <f si="121" t="shared"/>
        <v>-9.0021740718140549E-5</v>
      </c>
      <c r="AE88" s="104">
        <f si="121" t="shared"/>
        <v>1.0284053774671435E-3</v>
      </c>
      <c r="AF88" s="104">
        <f si="121" t="shared"/>
        <v>4.3562549282115826E-4</v>
      </c>
      <c r="AG88" s="104">
        <f si="121" t="shared"/>
        <v>-3.3294681248746683E-4</v>
      </c>
      <c r="AH88" s="104">
        <f si="121" t="shared"/>
        <v>-6.0823927142720436E-5</v>
      </c>
      <c r="AI88" s="104">
        <f si="121" t="shared"/>
        <v>-3.0858687691056691E-4</v>
      </c>
      <c r="AJ88" s="104">
        <f si="121" t="shared"/>
        <v>-1.4324571197734705E-4</v>
      </c>
      <c r="AK88" s="104">
        <f si="121" t="shared"/>
        <v>-2.5419512182199214E-4</v>
      </c>
      <c r="AL88" s="104">
        <f si="121" t="shared"/>
        <v>-1.2486107350852384E-3</v>
      </c>
      <c r="AM88" s="104">
        <f si="121" t="shared"/>
        <v>-7.2727014321326457E-5</v>
      </c>
      <c r="AN88" s="104">
        <f si="121" t="shared"/>
        <v>-4.6229847116830195E-5</v>
      </c>
      <c r="AO88" s="104">
        <f si="121" t="shared"/>
        <v>-5.9753263611786603E-5</v>
      </c>
      <c r="AP88" s="104">
        <f si="121" t="shared"/>
        <v>-4.7481002286722002E-5</v>
      </c>
      <c r="AQ88" s="104">
        <f si="121" t="shared"/>
        <v>-3.1396476717086409E-5</v>
      </c>
      <c r="AR88" s="104">
        <f si="121" t="shared"/>
        <v>-5.1713048544104471E-5</v>
      </c>
      <c r="AS88" s="104">
        <f si="121" t="shared"/>
        <v>-4.9030246565362877E-5</v>
      </c>
      <c r="AT88" s="104">
        <f si="121" t="shared"/>
        <v>-1.8826126283272738E-5</v>
      </c>
      <c r="AU88" s="104">
        <f si="121" t="shared"/>
        <v>0</v>
      </c>
      <c r="AV88" s="104">
        <f si="121" t="shared"/>
        <v>0</v>
      </c>
      <c r="CU88" s="95">
        <v>87</v>
      </c>
      <c r="CV88" s="95">
        <f si="109" t="shared"/>
        <v>5</v>
      </c>
      <c r="CW88" s="95">
        <f si="103" t="shared"/>
        <v>7</v>
      </c>
      <c r="CX88" s="58">
        <f si="104" t="shared"/>
        <v>415.90917673716012</v>
      </c>
      <c r="CY88" s="58">
        <f si="105" t="shared"/>
        <v>201</v>
      </c>
      <c r="CZ88" s="108">
        <f si="106" t="shared"/>
        <v>-214.90917673716012</v>
      </c>
      <c r="DA88" s="78">
        <f si="107" t="shared"/>
        <v>-0.51672141120602177</v>
      </c>
    </row>
    <row r="89" spans="2:105" x14ac:dyDescent="0.25">
      <c r="B89" s="95"/>
      <c r="C89" s="95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>
        <v>6</v>
      </c>
      <c r="AA89" s="104">
        <f si="120" t="shared"/>
        <v>3.8810688556008407E-3</v>
      </c>
      <c r="AB89" s="104">
        <f si="121" t="shared"/>
        <v>8.6251310749808647E-4</v>
      </c>
      <c r="AC89" s="104">
        <f si="121" t="shared"/>
        <v>8.5931653331607159E-5</v>
      </c>
      <c r="AD89" s="104">
        <f si="121" t="shared"/>
        <v>-1.6748534562331468E-4</v>
      </c>
      <c r="AE89" s="104">
        <f si="121" t="shared"/>
        <v>1.4180700133253781E-3</v>
      </c>
      <c r="AF89" s="104">
        <f si="121" t="shared"/>
        <v>1.1370861585234936E-3</v>
      </c>
      <c r="AG89" s="104">
        <f si="121" t="shared"/>
        <v>-5.740389257995204E-4</v>
      </c>
      <c r="AH89" s="104">
        <f si="121" t="shared"/>
        <v>-1.8397085086812345E-5</v>
      </c>
      <c r="AI89" s="104">
        <f si="121" t="shared"/>
        <v>-6.1351708194591029E-4</v>
      </c>
      <c r="AJ89" s="104">
        <f si="121" t="shared"/>
        <v>-3.7274157627453189E-4</v>
      </c>
      <c r="AK89" s="104">
        <f si="121" t="shared"/>
        <v>-4.2963269173958759E-4</v>
      </c>
      <c r="AL89" s="104">
        <f si="121" t="shared"/>
        <v>-4.1861218328717387E-3</v>
      </c>
      <c r="AM89" s="104">
        <f si="121" t="shared"/>
        <v>-5.5962135614813979E-5</v>
      </c>
      <c r="AN89" s="104">
        <f si="121" t="shared"/>
        <v>-9.4113229586586096E-5</v>
      </c>
      <c r="AO89" s="104">
        <f si="121" t="shared"/>
        <v>-1.7075682816021674E-4</v>
      </c>
      <c r="AP89" s="104">
        <f si="121" t="shared"/>
        <v>-1.7945586057767181E-4</v>
      </c>
      <c r="AQ89" s="104">
        <f si="121" t="shared"/>
        <v>-6.2631812784568508E-5</v>
      </c>
      <c r="AR89" s="104">
        <f si="121" t="shared"/>
        <v>-1.4477903208993335E-4</v>
      </c>
      <c r="AS89" s="104">
        <f si="121" t="shared"/>
        <v>-2.3262669728066167E-4</v>
      </c>
      <c r="AT89" s="104">
        <f si="121" t="shared"/>
        <v>-8.2409652843537276E-5</v>
      </c>
      <c r="AU89" s="104">
        <f si="121" t="shared"/>
        <v>0</v>
      </c>
      <c r="AV89" s="104">
        <f si="121" t="shared"/>
        <v>0</v>
      </c>
      <c r="CU89" s="95">
        <v>88</v>
      </c>
      <c r="CV89" s="95">
        <f si="109" t="shared"/>
        <v>5</v>
      </c>
      <c r="CW89" s="95">
        <f si="103" t="shared"/>
        <v>8</v>
      </c>
      <c r="CX89" s="58">
        <f si="104" t="shared"/>
        <v>70.260385196374614</v>
      </c>
      <c r="CY89" s="58">
        <f si="105" t="shared"/>
        <v>31</v>
      </c>
      <c r="CZ89" s="108">
        <f si="106" t="shared"/>
        <v>-39.260385196374614</v>
      </c>
      <c r="DA89" s="78">
        <f si="107" t="shared"/>
        <v>-0.55878408703060201</v>
      </c>
    </row>
    <row r="90" spans="2:105" x14ac:dyDescent="0.25">
      <c r="B90" s="95"/>
      <c r="C90" s="95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>
        <v>7</v>
      </c>
      <c r="AA90" s="104">
        <f si="120" t="shared"/>
        <v>8.8008395122086101E-3</v>
      </c>
      <c r="AB90" s="104">
        <f si="121" t="shared"/>
        <v>6.3403761082878735E-4</v>
      </c>
      <c r="AC90" s="104">
        <f si="121" t="shared"/>
        <v>-5.6537511590299978E-4</v>
      </c>
      <c r="AD90" s="104">
        <f si="121" t="shared"/>
        <v>-1.2170262566265451E-3</v>
      </c>
      <c r="AE90" s="104">
        <f si="121" t="shared"/>
        <v>1.4512932156572436E-3</v>
      </c>
      <c r="AF90" s="104">
        <f si="121" t="shared"/>
        <v>-3.8634189326908729E-4</v>
      </c>
      <c r="AG90" s="104">
        <f si="121" t="shared"/>
        <v>-6.5323695487455972E-3</v>
      </c>
      <c r="AH90" s="104">
        <f si="121" t="shared"/>
        <v>-3.619662730228009E-4</v>
      </c>
      <c r="AI90" s="104">
        <f si="121" t="shared"/>
        <v>-2.4555204892902126E-3</v>
      </c>
      <c r="AJ90" s="104">
        <f si="121" t="shared"/>
        <v>-1.1836596704006754E-3</v>
      </c>
      <c r="AK90" s="104">
        <f si="121" t="shared"/>
        <v>-2.9516535025230096E-3</v>
      </c>
      <c r="AL90" s="104">
        <f si="121" t="shared"/>
        <v>-5.8892071278148425E-3</v>
      </c>
      <c r="AM90" s="104">
        <f si="121" t="shared"/>
        <v>1.357012081435393E-2</v>
      </c>
      <c r="AN90" s="104">
        <f si="121" t="shared"/>
        <v>-2.740070447654568E-4</v>
      </c>
      <c r="AO90" s="104">
        <f si="121" t="shared"/>
        <v>-6.8296330307176536E-4</v>
      </c>
      <c r="AP90" s="104">
        <f si="121" t="shared"/>
        <v>-2.6494337617706889E-4</v>
      </c>
      <c r="AQ90" s="104">
        <f si="121" t="shared"/>
        <v>-2.2539568777336862E-4</v>
      </c>
      <c r="AR90" s="104">
        <f si="121" t="shared"/>
        <v>-5.2421589134934716E-4</v>
      </c>
      <c r="AS90" s="104">
        <f si="121" t="shared"/>
        <v>-5.3228720383825888E-4</v>
      </c>
      <c r="AT90" s="104">
        <f si="121" t="shared"/>
        <v>-4.0935876847753342E-4</v>
      </c>
      <c r="AU90" s="104">
        <f si="121" t="shared"/>
        <v>0</v>
      </c>
      <c r="AV90" s="104">
        <f si="121" t="shared"/>
        <v>0</v>
      </c>
      <c r="CU90" s="95">
        <v>89</v>
      </c>
      <c r="CV90" s="95">
        <f si="109" t="shared"/>
        <v>5</v>
      </c>
      <c r="CW90" s="95">
        <f si="103" t="shared"/>
        <v>9</v>
      </c>
      <c r="CX90" s="58">
        <f si="104" t="shared"/>
        <v>360.18542296072508</v>
      </c>
      <c r="CY90" s="58">
        <f si="105" t="shared"/>
        <v>161</v>
      </c>
      <c r="CZ90" s="108">
        <f si="106" t="shared"/>
        <v>-199.18542296072508</v>
      </c>
      <c r="DA90" s="78">
        <f si="107" t="shared"/>
        <v>-0.55300800716314502</v>
      </c>
    </row>
    <row r="91" spans="2:105" x14ac:dyDescent="0.25">
      <c r="B91" s="95"/>
      <c r="C91" s="95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>
        <v>8</v>
      </c>
      <c r="AA91" s="104">
        <f si="120" t="shared"/>
        <v>1.084228258970719E-3</v>
      </c>
      <c r="AB91" s="104">
        <f si="121" t="shared"/>
        <v>-1.3413907012497161E-5</v>
      </c>
      <c r="AC91" s="104">
        <f si="121" t="shared"/>
        <v>8.9313615550005705E-5</v>
      </c>
      <c r="AD91" s="104">
        <f si="121" t="shared"/>
        <v>-3.6010271926607644E-5</v>
      </c>
      <c r="AE91" s="104">
        <f si="121" t="shared"/>
        <v>2.0694432609699303E-4</v>
      </c>
      <c r="AF91" s="104">
        <f si="121" t="shared"/>
        <v>-3.921657912181486E-5</v>
      </c>
      <c r="AG91" s="104">
        <f si="121" t="shared"/>
        <v>-1.8294112975754436E-4</v>
      </c>
      <c r="AH91" s="104">
        <f si="121" t="shared"/>
        <v>-1.1003785684195502E-4</v>
      </c>
      <c r="AI91" s="104">
        <f si="121" t="shared"/>
        <v>-2.0433015655499159E-4</v>
      </c>
      <c r="AJ91" s="104">
        <f si="121" t="shared"/>
        <v>-8.8454525868139362E-5</v>
      </c>
      <c r="AK91" s="104">
        <f si="121" t="shared"/>
        <v>-6.2141589082008366E-5</v>
      </c>
      <c r="AL91" s="104">
        <f si="121" t="shared"/>
        <v>-4.2080691869916353E-4</v>
      </c>
      <c r="AM91" s="104">
        <f si="121" t="shared"/>
        <v>-3.0160390106328381E-5</v>
      </c>
      <c r="AN91" s="104">
        <f si="121" t="shared"/>
        <v>-5.8806706719649374E-5</v>
      </c>
      <c r="AO91" s="104">
        <f si="121" t="shared"/>
        <v>-2.7391699735642309E-5</v>
      </c>
      <c r="AP91" s="104">
        <f si="121" t="shared"/>
        <v>-1.7937100673062054E-5</v>
      </c>
      <c r="AQ91" s="104">
        <f si="121" t="shared"/>
        <v>-2.0163815002839159E-5</v>
      </c>
      <c r="AR91" s="104">
        <f si="121" t="shared"/>
        <v>-3.3618081933276423E-5</v>
      </c>
      <c r="AS91" s="104">
        <f si="121" t="shared"/>
        <v>-2.1412666177954961E-5</v>
      </c>
      <c r="AT91" s="104">
        <f si="121" t="shared"/>
        <v>-1.3642805404242826E-5</v>
      </c>
      <c r="AU91" s="104">
        <f si="121" t="shared"/>
        <v>0</v>
      </c>
      <c r="AV91" s="104">
        <f si="121" t="shared"/>
        <v>0</v>
      </c>
      <c r="CU91" s="95">
        <v>90</v>
      </c>
      <c r="CV91" s="95">
        <f si="109" t="shared"/>
        <v>5</v>
      </c>
      <c r="CW91" s="95">
        <f si="103" t="shared"/>
        <v>10</v>
      </c>
      <c r="CX91" s="58">
        <f si="104" t="shared"/>
        <v>304.46166918429003</v>
      </c>
      <c r="CY91" s="58">
        <f si="105" t="shared"/>
        <v>212</v>
      </c>
      <c r="CZ91" s="108">
        <f si="106" t="shared"/>
        <v>-92.461669184290031</v>
      </c>
      <c r="DA91" s="78">
        <f si="107" t="shared"/>
        <v>-0.30368903064879138</v>
      </c>
    </row>
    <row r="92" spans="2:105" x14ac:dyDescent="0.25">
      <c r="B92" s="95"/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>
        <v>9</v>
      </c>
      <c r="AA92" s="104">
        <f si="120" t="shared"/>
        <v>9.0486968418046973E-3</v>
      </c>
      <c r="AB92" s="104">
        <f si="121" t="shared"/>
        <v>1.3448388203457073E-3</v>
      </c>
      <c r="AC92" s="104">
        <f si="121" t="shared"/>
        <v>-9.9759048351979584E-5</v>
      </c>
      <c r="AD92" s="104">
        <f si="121" t="shared"/>
        <v>-9.2727929879638698E-4</v>
      </c>
      <c r="AE92" s="104">
        <f si="121" t="shared"/>
        <v>1.9478916395267206E-3</v>
      </c>
      <c r="AF92" s="104">
        <f si="121" t="shared"/>
        <v>1.906921005321565E-4</v>
      </c>
      <c r="AG92" s="104">
        <f si="121" t="shared"/>
        <v>-6.6966525165452345E-4</v>
      </c>
      <c r="AH92" s="104">
        <f si="121" t="shared"/>
        <v>-3.4051144696451428E-4</v>
      </c>
      <c r="AI92" s="104">
        <f si="121" t="shared"/>
        <v>-2.2795995571000902E-3</v>
      </c>
      <c r="AJ92" s="104">
        <f si="121" t="shared"/>
        <v>-7.4872554848771358E-4</v>
      </c>
      <c r="AK92" s="104">
        <f si="121" t="shared"/>
        <v>-1.6346098800005494E-3</v>
      </c>
      <c r="AL92" s="104">
        <f si="121" t="shared"/>
        <v>-5.1736252466155711E-3</v>
      </c>
      <c r="AM92" s="104">
        <f si="121" t="shared"/>
        <v>1.8223870298516979E-3</v>
      </c>
      <c r="AN92" s="104">
        <f si="121" t="shared"/>
        <v>-2.151158747125337E-4</v>
      </c>
      <c r="AO92" s="104">
        <f si="121" t="shared"/>
        <v>-7.398563430673407E-4</v>
      </c>
      <c r="AP92" s="104">
        <f si="121" t="shared"/>
        <v>-1.3788537798322341E-4</v>
      </c>
      <c r="AQ92" s="104">
        <f si="121" t="shared"/>
        <v>-2.3624205292964494E-4</v>
      </c>
      <c r="AR92" s="104">
        <f si="121" t="shared"/>
        <v>-2.7055978144666331E-4</v>
      </c>
      <c r="AS92" s="104">
        <f si="121" t="shared"/>
        <v>-5.9919918307531665E-4</v>
      </c>
      <c r="AT92" s="104">
        <f si="121" t="shared"/>
        <v>-2.8187254087494099E-4</v>
      </c>
      <c r="AU92" s="104">
        <f si="121" t="shared"/>
        <v>0</v>
      </c>
      <c r="AV92" s="104">
        <f si="121" t="shared"/>
        <v>0</v>
      </c>
      <c r="CU92" s="95">
        <v>91</v>
      </c>
      <c r="CV92" s="95">
        <f si="109" t="shared"/>
        <v>5</v>
      </c>
      <c r="CW92" s="95">
        <f si="103" t="shared"/>
        <v>11</v>
      </c>
      <c r="CX92" s="58">
        <f si="104" t="shared"/>
        <v>306.0768504531722</v>
      </c>
      <c r="CY92" s="58">
        <f si="105" t="shared"/>
        <v>142</v>
      </c>
      <c r="CZ92" s="108">
        <f si="106" t="shared"/>
        <v>-164.0768504531722</v>
      </c>
      <c r="DA92" s="78">
        <f si="107" t="shared"/>
        <v>-0.53606422769393636</v>
      </c>
    </row>
    <row r="93" spans="2:105" x14ac:dyDescent="0.25">
      <c r="B93" s="95"/>
      <c r="C93" s="95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>
        <v>10</v>
      </c>
      <c r="AA93" s="104">
        <f si="120" t="shared"/>
        <v>4.0283666773057499E-3</v>
      </c>
      <c r="AB93" s="104">
        <f si="121" t="shared"/>
        <v>6.6079086658132262E-4</v>
      </c>
      <c r="AC93" s="104">
        <f si="121" t="shared"/>
        <v>3.1504112141025745E-4</v>
      </c>
      <c r="AD93" s="104">
        <f si="121" t="shared"/>
        <v>1.0775209515624272E-4</v>
      </c>
      <c r="AE93" s="104">
        <f si="121" t="shared"/>
        <v>1.7585787507019869E-3</v>
      </c>
      <c r="AF93" s="104">
        <f si="121" t="shared"/>
        <v>-5.8783087599802858E-4</v>
      </c>
      <c r="AG93" s="104">
        <f si="121" t="shared"/>
        <v>-5.1971909655649964E-4</v>
      </c>
      <c r="AH93" s="104">
        <f si="121" t="shared"/>
        <v>-1.7506859887534977E-4</v>
      </c>
      <c r="AI93" s="104">
        <f si="121" t="shared"/>
        <v>-7.9611198310016265E-4</v>
      </c>
      <c r="AJ93" s="104">
        <f si="121" t="shared"/>
        <v>-1.0671890046719294E-3</v>
      </c>
      <c r="AK93" s="104">
        <f si="121" t="shared"/>
        <v>-6.0948730171944492E-4</v>
      </c>
      <c r="AL93" s="104">
        <f si="121" t="shared"/>
        <v>-1.9036140109875256E-3</v>
      </c>
      <c r="AM93" s="104">
        <f si="121" t="shared"/>
        <v>-7.5995841752830558E-5</v>
      </c>
      <c r="AN93" s="104">
        <f si="121" t="shared"/>
        <v>-1.3515356795079064E-4</v>
      </c>
      <c r="AO93" s="104">
        <f si="121" t="shared"/>
        <v>-1.0151948175009045E-4</v>
      </c>
      <c r="AP93" s="104">
        <f si="121" t="shared"/>
        <v>-3.9763960113760105E-4</v>
      </c>
      <c r="AQ93" s="104">
        <f si="121" t="shared"/>
        <v>-5.1672493920370677E-5</v>
      </c>
      <c r="AR93" s="104">
        <f si="121" t="shared"/>
        <v>-1.0103275315990806E-4</v>
      </c>
      <c r="AS93" s="104">
        <f si="121" t="shared"/>
        <v>-2.4343672762599193E-4</v>
      </c>
      <c r="AT93" s="104">
        <f si="121" t="shared"/>
        <v>-1.0505817194904251E-4</v>
      </c>
      <c r="AU93" s="104">
        <f si="121" t="shared"/>
        <v>0</v>
      </c>
      <c r="AV93" s="104">
        <f si="121" t="shared"/>
        <v>0</v>
      </c>
      <c r="CU93" s="95">
        <v>92</v>
      </c>
      <c r="CV93" s="95">
        <f si="109" t="shared"/>
        <v>5</v>
      </c>
      <c r="CW93" s="95">
        <f si="103" t="shared"/>
        <v>12</v>
      </c>
      <c r="CX93" s="58">
        <f si="104" t="shared"/>
        <v>1632.9482628398794</v>
      </c>
      <c r="CY93" s="58">
        <f si="105" t="shared"/>
        <v>827</v>
      </c>
      <c r="CZ93" s="108">
        <f si="106" t="shared"/>
        <v>-805.94826283987936</v>
      </c>
      <c r="DA93" s="78">
        <f si="107" t="shared"/>
        <v>-0.4935540709895152</v>
      </c>
    </row>
    <row r="94" spans="2:105" x14ac:dyDescent="0.25">
      <c r="B94" s="95"/>
      <c r="C94" s="95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>
        <v>11</v>
      </c>
      <c r="AA94" s="104">
        <f si="120" t="shared"/>
        <v>1.020723818194212E-2</v>
      </c>
      <c r="AB94" s="104">
        <f si="121" t="shared"/>
        <v>3.5153761086250887E-5</v>
      </c>
      <c r="AC94" s="104">
        <f si="121" t="shared"/>
        <v>1.4093052681629177E-3</v>
      </c>
      <c r="AD94" s="104">
        <f si="121" t="shared"/>
        <v>-1.7317734227425717E-4</v>
      </c>
      <c r="AE94" s="104">
        <f si="121" t="shared"/>
        <v>2.4220885052271502E-3</v>
      </c>
      <c r="AF94" s="104">
        <f si="121" t="shared"/>
        <v>7.9628339114361756E-4</v>
      </c>
      <c r="AG94" s="104">
        <f si="121" t="shared"/>
        <v>-1.75484307845542E-3</v>
      </c>
      <c r="AH94" s="104">
        <f si="121" t="shared"/>
        <v>-4.1649319825425523E-4</v>
      </c>
      <c r="AI94" s="104">
        <f si="121" t="shared"/>
        <v>-1.3321810711643947E-3</v>
      </c>
      <c r="AJ94" s="104">
        <f si="121" t="shared"/>
        <v>-5.0299736515800305E-4</v>
      </c>
      <c r="AK94" s="104">
        <f si="121" t="shared"/>
        <v>-2.3696958805312935E-3</v>
      </c>
      <c r="AL94" s="104">
        <f si="121" t="shared"/>
        <v>-3.5931481714128934E-3</v>
      </c>
      <c r="AM94" s="104">
        <f si="121" t="shared"/>
        <v>-3.9235315558525108E-4</v>
      </c>
      <c r="AN94" s="104">
        <f si="121" t="shared"/>
        <v>-1.5822009296592395E-4</v>
      </c>
      <c r="AO94" s="104">
        <f si="121" t="shared"/>
        <v>-2.1824626674380961E-4</v>
      </c>
      <c r="AP94" s="104">
        <f si="121" t="shared"/>
        <v>-1.3154492329550736E-4</v>
      </c>
      <c r="AQ94" s="104">
        <f si="121" t="shared"/>
        <v>-4.7640669972096701E-4</v>
      </c>
      <c r="AR94" s="104">
        <f si="121" t="shared"/>
        <v>-2.3680903000970673E-4</v>
      </c>
      <c r="AS94" s="104">
        <f si="121" t="shared"/>
        <v>-2.8631160992395178E-3</v>
      </c>
      <c r="AT94" s="104">
        <f si="121" t="shared"/>
        <v>-2.5083673275085505E-4</v>
      </c>
      <c r="AU94" s="104">
        <f si="121" t="shared"/>
        <v>0</v>
      </c>
      <c r="AV94" s="104">
        <f si="121" t="shared"/>
        <v>0</v>
      </c>
      <c r="CU94" s="95">
        <v>93</v>
      </c>
      <c r="CV94" s="95">
        <f si="109" t="shared"/>
        <v>5</v>
      </c>
      <c r="CW94" s="95">
        <f si="103" t="shared"/>
        <v>13</v>
      </c>
      <c r="CX94" s="58">
        <f si="104" t="shared"/>
        <v>142.94354229607251</v>
      </c>
      <c r="CY94" s="58">
        <f si="105" t="shared"/>
        <v>96</v>
      </c>
      <c r="CZ94" s="108">
        <f si="106" t="shared"/>
        <v>-46.943542296072508</v>
      </c>
      <c r="DA94" s="78">
        <f si="107" t="shared"/>
        <v>-0.32840617730628552</v>
      </c>
    </row>
    <row r="95" spans="2:105" x14ac:dyDescent="0.25">
      <c r="B95" s="95"/>
      <c r="C95" s="95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>
        <v>12</v>
      </c>
      <c r="AA95" s="104">
        <f si="120" t="shared"/>
        <v>1.6756119533391213E-2</v>
      </c>
      <c r="AB95" s="104">
        <f si="121" t="shared"/>
        <v>3.9705801113482904E-3</v>
      </c>
      <c r="AC95" s="104">
        <f si="121" t="shared"/>
        <v>1.0871325642170574E-3</v>
      </c>
      <c r="AD95" s="104">
        <f si="121" t="shared"/>
        <v>-2.9640228514287012E-4</v>
      </c>
      <c r="AE95" s="104">
        <f si="121" t="shared"/>
        <v>4.2190954867436497E-3</v>
      </c>
      <c r="AF95" s="104">
        <f si="121" t="shared"/>
        <v>2.6147946441098385E-3</v>
      </c>
      <c r="AG95" s="104">
        <f si="121" t="shared"/>
        <v>-1.671003687753192E-5</v>
      </c>
      <c r="AH95" s="104">
        <f si="121" t="shared"/>
        <v>-2.0273061155309102E-4</v>
      </c>
      <c r="AI95" s="104">
        <f si="121" t="shared"/>
        <v>-2.2003500708723707E-3</v>
      </c>
      <c r="AJ95" s="104">
        <f si="121" t="shared"/>
        <v>-8.9115217942750463E-4</v>
      </c>
      <c r="AK95" s="104">
        <f si="121" t="shared"/>
        <v>-1.8253861993923941E-3</v>
      </c>
      <c r="AL95" s="104">
        <f si="121" t="shared"/>
        <v>-2.6653615107120748E-2</v>
      </c>
      <c r="AM95" s="104">
        <f si="121" t="shared"/>
        <v>6.2122340672564709E-3</v>
      </c>
      <c r="AN95" s="104">
        <f si="121" t="shared"/>
        <v>-1.6083118458460989E-4</v>
      </c>
      <c r="AO95" s="104">
        <f si="121" t="shared"/>
        <v>-3.741162856941455E-4</v>
      </c>
      <c r="AP95" s="104">
        <f si="121" t="shared"/>
        <v>-2.5158658202508735E-4</v>
      </c>
      <c r="AQ95" s="104">
        <f si="121" t="shared"/>
        <v>-1.6100121620962786E-4</v>
      </c>
      <c r="AR95" s="104">
        <f si="121" t="shared"/>
        <v>-3.9891277366039916E-4</v>
      </c>
      <c r="AS95" s="104">
        <f si="121" t="shared"/>
        <v>-5.1831644961069677E-4</v>
      </c>
      <c r="AT95" s="104">
        <f si="121" t="shared"/>
        <v>-9.0884542489544427E-4</v>
      </c>
      <c r="AU95" s="104">
        <f si="121" t="shared"/>
        <v>0</v>
      </c>
      <c r="AV95" s="104">
        <f si="121" t="shared"/>
        <v>0</v>
      </c>
      <c r="CU95" s="95">
        <v>94</v>
      </c>
      <c r="CV95" s="95">
        <f si="109" t="shared"/>
        <v>5</v>
      </c>
      <c r="CW95" s="95">
        <f si="103" t="shared"/>
        <v>14</v>
      </c>
      <c r="CX95" s="58">
        <f si="104" t="shared"/>
        <v>46.840256797583088</v>
      </c>
      <c r="CY95" s="58">
        <f si="105" t="shared"/>
        <v>17</v>
      </c>
      <c r="CZ95" s="108">
        <f si="106" t="shared"/>
        <v>-29.840256797583088</v>
      </c>
      <c r="DA95" s="78">
        <f si="107" t="shared"/>
        <v>-0.63706432965420501</v>
      </c>
    </row>
    <row r="96" spans="2:105" x14ac:dyDescent="0.25">
      <c r="B96" s="95"/>
      <c r="C96" s="95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>
        <v>13</v>
      </c>
      <c r="AA96" s="104">
        <f si="120" t="shared"/>
        <v>2.5369433277644686E-3</v>
      </c>
      <c r="AB96" s="104">
        <f si="121" t="shared"/>
        <v>-8.6514781577076098E-4</v>
      </c>
      <c r="AC96" s="104">
        <f si="121" t="shared"/>
        <v>-3.631492379247345E-4</v>
      </c>
      <c r="AD96" s="104">
        <f si="121" t="shared"/>
        <v>-9.2412958974461045E-4</v>
      </c>
      <c r="AE96" s="104">
        <f ref="AE96:AV105" si="122" t="shared">AE69-G69</f>
        <v>4.6910486259222489E-4</v>
      </c>
      <c r="AF96" s="104">
        <f si="122" t="shared"/>
        <v>-1.4937496563893725E-3</v>
      </c>
      <c r="AG96" s="104">
        <f si="122" t="shared"/>
        <v>-8.7150153518746297E-3</v>
      </c>
      <c r="AH96" s="104">
        <f si="122" t="shared"/>
        <v>-1.8630743612873664E-4</v>
      </c>
      <c r="AI96" s="104">
        <f si="122" t="shared"/>
        <v>-2.6958334771486443E-3</v>
      </c>
      <c r="AJ96" s="104">
        <f si="122" t="shared"/>
        <v>-8.3795870926321096E-4</v>
      </c>
      <c r="AK96" s="104">
        <f si="122" t="shared"/>
        <v>-1.5665550892424987E-3</v>
      </c>
      <c r="AL96" s="104">
        <f si="122" t="shared"/>
        <v>-6.7140907412062585E-3</v>
      </c>
      <c r="AM96" s="104">
        <f si="122" t="shared"/>
        <v>2.3181737014853494E-2</v>
      </c>
      <c r="AN96" s="104">
        <f si="122" t="shared"/>
        <v>-2.0957688489872548E-4</v>
      </c>
      <c r="AO96" s="104">
        <f si="122" t="shared"/>
        <v>-1.8926275680479282E-4</v>
      </c>
      <c r="AP96" s="104">
        <f si="122" t="shared"/>
        <v>-2.0482244448801398E-4</v>
      </c>
      <c r="AQ96" s="104">
        <f si="122" t="shared"/>
        <v>-2.4754876202061479E-4</v>
      </c>
      <c r="AR96" s="104">
        <f si="122" t="shared"/>
        <v>-2.4808871592141074E-4</v>
      </c>
      <c r="AS96" s="104">
        <f si="122" t="shared"/>
        <v>-3.4324080014404789E-4</v>
      </c>
      <c r="AT96" s="104">
        <f si="122" t="shared"/>
        <v>-3.8330773623913297E-4</v>
      </c>
      <c r="AU96" s="104">
        <f si="122" t="shared"/>
        <v>0</v>
      </c>
      <c r="AV96" s="104">
        <f si="122" t="shared"/>
        <v>0</v>
      </c>
      <c r="CU96" s="95">
        <v>95</v>
      </c>
      <c r="CV96" s="95">
        <f si="109" t="shared"/>
        <v>5</v>
      </c>
      <c r="CW96" s="95">
        <f si="103" t="shared"/>
        <v>15</v>
      </c>
      <c r="CX96" s="58">
        <f si="104" t="shared"/>
        <v>60.569297583081571</v>
      </c>
      <c r="CY96" s="58">
        <f si="105" t="shared"/>
        <v>22</v>
      </c>
      <c r="CZ96" s="108">
        <f si="106" t="shared"/>
        <v>-38.569297583081571</v>
      </c>
      <c r="DA96" s="78">
        <f si="107" t="shared"/>
        <v>-0.63677967422648274</v>
      </c>
    </row>
    <row r="97" spans="2:105" x14ac:dyDescent="0.25">
      <c r="B97" s="95"/>
      <c r="C97" s="95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>
        <v>14</v>
      </c>
      <c r="AA97" s="104">
        <f si="120" t="shared"/>
        <v>3.8363140535644566E-3</v>
      </c>
      <c r="AB97" s="104">
        <f ref="AB97:AD100" si="123" t="shared">AB70-D70</f>
        <v>-8.9308016932729056E-5</v>
      </c>
      <c r="AC97" s="104">
        <f si="123" t="shared"/>
        <v>4.3505281080947111E-4</v>
      </c>
      <c r="AD97" s="104">
        <f si="123" t="shared"/>
        <v>5.2422538339796454E-5</v>
      </c>
      <c r="AE97" s="104">
        <f si="122" t="shared"/>
        <v>9.7405437543226006E-4</v>
      </c>
      <c r="AF97" s="104">
        <f si="122" t="shared"/>
        <v>1.3108980856983174E-3</v>
      </c>
      <c r="AG97" s="104">
        <f si="122" t="shared"/>
        <v>-5.2583756946010215E-4</v>
      </c>
      <c r="AH97" s="104">
        <f si="122" t="shared"/>
        <v>-2.148450057545601E-4</v>
      </c>
      <c r="AI97" s="104">
        <f si="122" t="shared"/>
        <v>-2.5353508105159246E-4</v>
      </c>
      <c r="AJ97" s="104">
        <f si="122" t="shared"/>
        <v>-1.2851556929789095E-4</v>
      </c>
      <c r="AK97" s="104">
        <f si="122" t="shared"/>
        <v>-4.5728560155026445E-4</v>
      </c>
      <c r="AL97" s="104">
        <f si="122" t="shared"/>
        <v>-9.7790179154002817E-4</v>
      </c>
      <c r="AM97" s="104">
        <f si="122" t="shared"/>
        <v>-2.1520552672966162E-4</v>
      </c>
      <c r="AN97" s="104">
        <f si="122" t="shared"/>
        <v>-2.3294495135039129E-3</v>
      </c>
      <c r="AO97" s="104">
        <f si="122" t="shared"/>
        <v>-1.4766859467016524E-4</v>
      </c>
      <c r="AP97" s="104">
        <f si="122" t="shared"/>
        <v>-6.8791784072280829E-5</v>
      </c>
      <c r="AQ97" s="104">
        <f si="122" t="shared"/>
        <v>-6.2280854935090198E-4</v>
      </c>
      <c r="AR97" s="104">
        <f si="122" t="shared"/>
        <v>-1.3636417068070984E-4</v>
      </c>
      <c r="AS97" s="104">
        <f si="122" t="shared"/>
        <v>-2.3323356731333163E-4</v>
      </c>
      <c r="AT97" s="104">
        <f si="122" t="shared"/>
        <v>-2.0799152193616522E-4</v>
      </c>
      <c r="AU97" s="104">
        <f si="122" t="shared"/>
        <v>0</v>
      </c>
      <c r="AV97" s="104">
        <f si="122" t="shared"/>
        <v>0</v>
      </c>
      <c r="CU97" s="95">
        <v>96</v>
      </c>
      <c r="CV97" s="95">
        <f si="109" t="shared"/>
        <v>5</v>
      </c>
      <c r="CW97" s="95">
        <f si="103" t="shared"/>
        <v>16</v>
      </c>
      <c r="CX97" s="58">
        <f si="104" t="shared"/>
        <v>47.647847432024165</v>
      </c>
      <c r="CY97" s="58">
        <f si="105" t="shared"/>
        <v>17</v>
      </c>
      <c r="CZ97" s="108">
        <f si="106" t="shared"/>
        <v>-30.647847432024165</v>
      </c>
      <c r="DA97" s="78">
        <f si="107" t="shared"/>
        <v>-0.64321578169396409</v>
      </c>
    </row>
    <row r="98" spans="2:105" x14ac:dyDescent="0.25">
      <c r="B98" s="95"/>
      <c r="C98" s="95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>
        <v>15</v>
      </c>
      <c r="AA98" s="104">
        <f si="120" t="shared"/>
        <v>2.0317912836170602E-3</v>
      </c>
      <c r="AB98" s="104">
        <f si="123" t="shared"/>
        <v>-3.7720185316591592E-4</v>
      </c>
      <c r="AC98" s="104">
        <f si="123" t="shared"/>
        <v>-7.2847859525020727E-5</v>
      </c>
      <c r="AD98" s="104">
        <f si="123" t="shared"/>
        <v>-2.879420941865357E-4</v>
      </c>
      <c r="AE98" s="104">
        <f si="122" t="shared"/>
        <v>3.8163520933601295E-4</v>
      </c>
      <c r="AF98" s="104">
        <f si="122" t="shared"/>
        <v>-1.5048851103390036E-4</v>
      </c>
      <c r="AG98" s="104">
        <f si="122" t="shared"/>
        <v>-2.1543455087993445E-3</v>
      </c>
      <c r="AH98" s="104">
        <f si="122" t="shared"/>
        <v>-1.2247030740949365E-4</v>
      </c>
      <c r="AI98" s="104">
        <f si="122" t="shared"/>
        <v>-1.8531118367122929E-3</v>
      </c>
      <c r="AJ98" s="104">
        <f si="122" t="shared"/>
        <v>-3.2533060663560999E-4</v>
      </c>
      <c r="AK98" s="104">
        <f si="122" t="shared"/>
        <v>-7.8686721587342505E-4</v>
      </c>
      <c r="AL98" s="104">
        <f si="122" t="shared"/>
        <v>-2.38708255671313E-3</v>
      </c>
      <c r="AM98" s="104">
        <f si="122" t="shared"/>
        <v>6.3276304380690289E-3</v>
      </c>
      <c r="AN98" s="104">
        <f si="122" t="shared"/>
        <v>-1.8435023083265354E-4</v>
      </c>
      <c r="AO98" s="104">
        <f si="122" t="shared"/>
        <v>4.4533293188029482E-4</v>
      </c>
      <c r="AP98" s="104">
        <f si="122" t="shared"/>
        <v>-8.2781244026440486E-5</v>
      </c>
      <c r="AQ98" s="104">
        <f si="122" t="shared"/>
        <v>-1.3169389490335872E-4</v>
      </c>
      <c r="AR98" s="104">
        <f si="122" t="shared"/>
        <v>-1.1204617464791416E-4</v>
      </c>
      <c r="AS98" s="104">
        <f si="122" t="shared"/>
        <v>1.5219036166916593E-5</v>
      </c>
      <c r="AT98" s="104">
        <f si="122" t="shared"/>
        <v>-1.7304900460427059E-4</v>
      </c>
      <c r="AU98" s="104">
        <f si="122" t="shared"/>
        <v>0</v>
      </c>
      <c r="AV98" s="104">
        <f si="122" t="shared"/>
        <v>0</v>
      </c>
      <c r="CU98" s="95">
        <v>97</v>
      </c>
      <c r="CV98" s="95">
        <f si="109" t="shared"/>
        <v>5</v>
      </c>
      <c r="CW98" s="95">
        <f si="103" t="shared"/>
        <v>17</v>
      </c>
      <c r="CX98" s="58">
        <f si="104" t="shared"/>
        <v>28.265672205438065</v>
      </c>
      <c r="CY98" s="58">
        <f si="105" t="shared"/>
        <v>8</v>
      </c>
      <c r="CZ98" s="108">
        <f si="106" t="shared"/>
        <v>-20.265672205438065</v>
      </c>
      <c r="DA98" s="78">
        <f si="107" t="shared"/>
        <v>-0.71697117472193461</v>
      </c>
    </row>
    <row r="99" spans="2:105" x14ac:dyDescent="0.25">
      <c r="B99" s="95"/>
      <c r="C99" s="95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>
        <v>16</v>
      </c>
      <c r="AA99" s="104">
        <f si="120" t="shared"/>
        <v>1.8933503242119128E-3</v>
      </c>
      <c r="AB99" s="104">
        <f si="123" t="shared"/>
        <v>6.1062949741350417E-6</v>
      </c>
      <c r="AC99" s="104">
        <f si="123" t="shared"/>
        <v>8.5727300058651226E-5</v>
      </c>
      <c r="AD99" s="104">
        <f si="123" t="shared"/>
        <v>4.7197819319430134E-5</v>
      </c>
      <c r="AE99" s="104">
        <f si="122" t="shared"/>
        <v>9.0715602435991556E-4</v>
      </c>
      <c r="AF99" s="104">
        <f si="122" t="shared"/>
        <v>-5.0814477347264735E-5</v>
      </c>
      <c r="AG99" s="104">
        <f si="122" t="shared"/>
        <v>-3.4785023467040157E-4</v>
      </c>
      <c r="AH99" s="104">
        <f si="122" t="shared"/>
        <v>-3.2945725459272804E-5</v>
      </c>
      <c r="AI99" s="104">
        <f si="122" t="shared"/>
        <v>-3.402908403375974E-4</v>
      </c>
      <c r="AJ99" s="104">
        <f si="122" t="shared"/>
        <v>-3.9813641157414141E-4</v>
      </c>
      <c r="AK99" s="104">
        <f si="122" t="shared"/>
        <v>-1.9695197465340858E-4</v>
      </c>
      <c r="AL99" s="104">
        <f si="122" t="shared"/>
        <v>-5.8146173096353289E-4</v>
      </c>
      <c r="AM99" s="104">
        <f si="122" t="shared"/>
        <v>-9.2891785092066121E-5</v>
      </c>
      <c r="AN99" s="104">
        <f si="122" t="shared"/>
        <v>-4.6376515245825902E-5</v>
      </c>
      <c r="AO99" s="104">
        <f si="122" t="shared"/>
        <v>-8.9639742767969391E-5</v>
      </c>
      <c r="AP99" s="104">
        <f si="122" t="shared"/>
        <v>-4.7417979267374633E-4</v>
      </c>
      <c r="AQ99" s="104">
        <f si="122" t="shared"/>
        <v>-1.6662470841440825E-5</v>
      </c>
      <c r="AR99" s="104">
        <f si="122" t="shared"/>
        <v>-9.6689509430962809E-5</v>
      </c>
      <c r="AS99" s="104">
        <f si="122" t="shared"/>
        <v>-9.8890810940612686E-5</v>
      </c>
      <c r="AT99" s="104">
        <f si="122" t="shared"/>
        <v>-7.5755740925804118E-5</v>
      </c>
      <c r="AU99" s="104">
        <f si="122" t="shared"/>
        <v>0</v>
      </c>
      <c r="AV99" s="104">
        <f si="122" t="shared"/>
        <v>0</v>
      </c>
      <c r="CU99" s="95">
        <v>98</v>
      </c>
      <c r="CV99" s="95">
        <f si="109" t="shared"/>
        <v>5</v>
      </c>
      <c r="CW99" s="95">
        <f si="103" t="shared"/>
        <v>18</v>
      </c>
      <c r="CX99" s="58">
        <f si="104" t="shared"/>
        <v>40.379531722054381</v>
      </c>
      <c r="CY99" s="58">
        <f si="105" t="shared"/>
        <v>7</v>
      </c>
      <c r="CZ99" s="108">
        <f si="106" t="shared"/>
        <v>-33.379531722054381</v>
      </c>
      <c r="DA99" s="78">
        <f si="107" t="shared"/>
        <v>-0.8266448445171849</v>
      </c>
    </row>
    <row r="100" spans="2:105" x14ac:dyDescent="0.25">
      <c r="B100" s="95"/>
      <c r="C100" s="95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>
        <v>17</v>
      </c>
      <c r="AA100" s="104">
        <f si="120" t="shared"/>
        <v>3.4683978422609622E-3</v>
      </c>
      <c r="AB100" s="104">
        <f si="123" t="shared"/>
        <v>-1.4699768197252278E-4</v>
      </c>
      <c r="AC100" s="104">
        <f si="123" t="shared"/>
        <v>6.6215141275527899E-4</v>
      </c>
      <c r="AD100" s="104">
        <f si="123" t="shared"/>
        <v>-2.4463646184079619E-5</v>
      </c>
      <c r="AE100" s="104">
        <f si="122" t="shared"/>
        <v>8.5260087372100333E-4</v>
      </c>
      <c r="AF100" s="104">
        <f si="122" t="shared"/>
        <v>1.0284686011285439E-3</v>
      </c>
      <c r="AG100" s="104">
        <f si="122" t="shared"/>
        <v>-5.1141543866738441E-4</v>
      </c>
      <c r="AH100" s="104">
        <f si="122" t="shared"/>
        <v>-1.8818541261276649E-4</v>
      </c>
      <c r="AI100" s="104">
        <f si="122" t="shared"/>
        <v>-2.376762395151147E-4</v>
      </c>
      <c r="AJ100" s="104">
        <f si="122" t="shared"/>
        <v>-1.4141275981067965E-4</v>
      </c>
      <c r="AK100" s="104">
        <f si="122" t="shared"/>
        <v>-1.4475398523956036E-3</v>
      </c>
      <c r="AL100" s="104">
        <f si="122" t="shared"/>
        <v>-6.4290561432486966E-4</v>
      </c>
      <c r="AM100" s="104">
        <f si="122" t="shared"/>
        <v>-1.3033480301163084E-4</v>
      </c>
      <c r="AN100" s="104">
        <f si="122" t="shared"/>
        <v>-4.536585400706681E-4</v>
      </c>
      <c r="AO100" s="104">
        <f si="122" t="shared"/>
        <v>7.1366796713132649E-5</v>
      </c>
      <c r="AP100" s="104">
        <f si="122" t="shared"/>
        <v>-8.1994829696548202E-5</v>
      </c>
      <c r="AQ100" s="104">
        <f si="122" t="shared"/>
        <v>-1.2178111305852168E-3</v>
      </c>
      <c r="AR100" s="104">
        <f si="122" t="shared"/>
        <v>-9.7547843724392022E-5</v>
      </c>
      <c r="AS100" s="104">
        <f si="122" t="shared"/>
        <v>-6.5348362053689038E-4</v>
      </c>
      <c r="AT100" s="104">
        <f si="122" t="shared"/>
        <v>-1.0755811347055416E-4</v>
      </c>
      <c r="AU100" s="104">
        <f si="122" t="shared"/>
        <v>0</v>
      </c>
      <c r="AV100" s="104">
        <f si="122" t="shared"/>
        <v>0</v>
      </c>
      <c r="CU100" s="95">
        <v>99</v>
      </c>
      <c r="CV100" s="95">
        <f si="109" t="shared"/>
        <v>5</v>
      </c>
      <c r="CW100" s="95">
        <f si="103" t="shared"/>
        <v>19</v>
      </c>
      <c r="CX100" s="58">
        <f si="104" t="shared"/>
        <v>47.647847432024165</v>
      </c>
      <c r="CY100" s="58">
        <f si="105" t="shared"/>
        <v>16</v>
      </c>
      <c r="CZ100" s="108">
        <f si="106" t="shared"/>
        <v>-31.647847432024165</v>
      </c>
      <c r="DA100" s="78">
        <f si="107" t="shared"/>
        <v>-0.6642030886531427</v>
      </c>
    </row>
    <row r="101" spans="2:105" x14ac:dyDescent="0.25">
      <c r="B101" s="95"/>
      <c r="C101" s="95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>
        <v>18</v>
      </c>
      <c r="AA101" s="104">
        <f ref="AA101:AD105" si="124" t="shared">AA74-C74</f>
        <v>2.0313489905015867E-3</v>
      </c>
      <c r="AB101" s="104">
        <f si="124" t="shared"/>
        <v>-4.719580910724332E-5</v>
      </c>
      <c r="AC101" s="104">
        <f si="124" t="shared"/>
        <v>4.5671344477177635E-5</v>
      </c>
      <c r="AD101" s="104">
        <f si="124" t="shared"/>
        <v>-2.7927735148029049E-4</v>
      </c>
      <c r="AE101" s="104">
        <f si="122" t="shared"/>
        <v>4.9537059997408167E-4</v>
      </c>
      <c r="AF101" s="104">
        <f si="122" t="shared"/>
        <v>-3.4088097750609083E-4</v>
      </c>
      <c r="AG101" s="104">
        <f si="122" t="shared"/>
        <v>-2.3546368047011553E-3</v>
      </c>
      <c r="AH101" s="104">
        <f si="122" t="shared"/>
        <v>-8.974143322584011E-5</v>
      </c>
      <c r="AI101" s="104">
        <f si="122" t="shared"/>
        <v>-9.6450187519887343E-4</v>
      </c>
      <c r="AJ101" s="104">
        <f si="122" t="shared"/>
        <v>-3.9745446393175439E-4</v>
      </c>
      <c r="AK101" s="104">
        <f si="122" t="shared"/>
        <v>-4.4969744864752873E-4</v>
      </c>
      <c r="AL101" s="104">
        <f si="122" t="shared"/>
        <v>-3.9966066573718373E-3</v>
      </c>
      <c r="AM101" s="104">
        <f si="122" t="shared"/>
        <v>7.0612389873021004E-3</v>
      </c>
      <c r="AN101" s="104">
        <f si="122" t="shared"/>
        <v>-6.2270224384611815E-5</v>
      </c>
      <c r="AO101" s="104">
        <f si="122" t="shared"/>
        <v>-2.8206893376511233E-4</v>
      </c>
      <c r="AP101" s="104">
        <f si="122" t="shared"/>
        <v>-1.2356629883460341E-4</v>
      </c>
      <c r="AQ101" s="104">
        <f si="122" t="shared"/>
        <v>-6.1845356660079524E-5</v>
      </c>
      <c r="AR101" s="104">
        <f si="122" t="shared"/>
        <v>8.9106403106827686E-4</v>
      </c>
      <c r="AS101" s="104">
        <f si="122" t="shared"/>
        <v>-1.596108789009096E-4</v>
      </c>
      <c r="AT101" s="104">
        <f si="122" t="shared"/>
        <v>-9.1533943960729765E-4</v>
      </c>
      <c r="AU101" s="104">
        <f si="122" t="shared"/>
        <v>0</v>
      </c>
      <c r="AV101" s="104">
        <f si="122" t="shared"/>
        <v>0</v>
      </c>
      <c r="CU101" s="95">
        <v>100</v>
      </c>
      <c r="CV101" s="95">
        <f si="109" t="shared"/>
        <v>5</v>
      </c>
      <c r="CW101" s="95">
        <f si="103" t="shared"/>
        <v>20</v>
      </c>
      <c r="CX101" s="58">
        <f si="104" t="shared"/>
        <v>16.151812688821753</v>
      </c>
      <c r="CY101" s="58">
        <f si="105" t="shared"/>
        <v>4</v>
      </c>
      <c r="CZ101" s="108">
        <f si="106" t="shared"/>
        <v>-12.151812688821753</v>
      </c>
      <c r="DA101" s="78">
        <f si="107" t="shared"/>
        <v>-0.75234977788169277</v>
      </c>
    </row>
    <row r="102" spans="2:105" x14ac:dyDescent="0.25">
      <c r="B102" s="95"/>
      <c r="C102" s="95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>
        <v>19</v>
      </c>
      <c r="AA102" s="104">
        <f si="124" t="shared"/>
        <v>4.9904710103058185E-3</v>
      </c>
      <c r="AB102" s="104">
        <f si="124" t="shared"/>
        <v>-1.0517936251222852E-4</v>
      </c>
      <c r="AC102" s="104">
        <f si="124" t="shared"/>
        <v>8.3927969983848974E-4</v>
      </c>
      <c r="AD102" s="104">
        <f si="124" t="shared"/>
        <v>-2.1582280983180975E-5</v>
      </c>
      <c r="AE102" s="104">
        <f si="122" t="shared"/>
        <v>1.1996364034310607E-3</v>
      </c>
      <c r="AF102" s="104">
        <f si="122" t="shared"/>
        <v>1.5822985757019039E-3</v>
      </c>
      <c r="AG102" s="104">
        <f si="122" t="shared"/>
        <v>-8.5817574418719481E-4</v>
      </c>
      <c r="AH102" s="104">
        <f si="122" t="shared"/>
        <v>-1.6911800536452014E-4</v>
      </c>
      <c r="AI102" s="104">
        <f si="122" t="shared"/>
        <v>-4.2147130431829981E-4</v>
      </c>
      <c r="AJ102" s="104">
        <f si="122" t="shared"/>
        <v>-2.2950708928824948E-4</v>
      </c>
      <c r="AK102" s="104">
        <f si="122" t="shared"/>
        <v>-2.2151056653927784E-3</v>
      </c>
      <c r="AL102" s="104">
        <f si="122" t="shared"/>
        <v>-2.1064842710542637E-3</v>
      </c>
      <c r="AM102" s="104">
        <f si="122" t="shared"/>
        <v>8.5081964820116511E-4</v>
      </c>
      <c r="AN102" s="104">
        <f si="122" t="shared"/>
        <v>-7.2802447377094096E-5</v>
      </c>
      <c r="AO102" s="104">
        <f si="122" t="shared"/>
        <v>2.392356912081799E-3</v>
      </c>
      <c r="AP102" s="104">
        <f si="122" t="shared"/>
        <v>-9.8761120241356828E-5</v>
      </c>
      <c r="AQ102" s="104">
        <f si="122" t="shared"/>
        <v>-1.7320756772981941E-3</v>
      </c>
      <c r="AR102" s="104">
        <f si="122" t="shared"/>
        <v>-1.633616176401489E-4</v>
      </c>
      <c r="AS102" s="104">
        <f si="122" t="shared"/>
        <v>-3.4950729660981911E-3</v>
      </c>
      <c r="AT102" s="104">
        <f si="122" t="shared"/>
        <v>-1.6616469780453524E-4</v>
      </c>
      <c r="AU102" s="104">
        <f si="122" t="shared"/>
        <v>0</v>
      </c>
      <c r="AV102" s="104">
        <f si="122" t="shared"/>
        <v>0</v>
      </c>
      <c r="CU102" s="95">
        <v>101</v>
      </c>
      <c r="CV102" s="95">
        <f si="109" t="shared"/>
        <v>6</v>
      </c>
      <c r="CW102" s="95">
        <f si="103" t="shared"/>
        <v>1</v>
      </c>
      <c r="CX102" s="58">
        <f si="104" t="shared"/>
        <v>3451.8631993621912</v>
      </c>
      <c r="CY102" s="58">
        <f si="105" t="shared"/>
        <v>5957</v>
      </c>
      <c r="CZ102" s="108">
        <f si="106" t="shared"/>
        <v>2505.1368006378088</v>
      </c>
      <c r="DA102" s="78">
        <f si="107" t="shared"/>
        <v>0.72573467022119786</v>
      </c>
    </row>
    <row r="103" spans="2:105" x14ac:dyDescent="0.25">
      <c r="B103" s="95"/>
      <c r="C103" s="95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>
        <v>20</v>
      </c>
      <c r="AA103" s="104">
        <f si="124" t="shared"/>
        <v>8.8690716885633932E-4</v>
      </c>
      <c r="AB103" s="104">
        <f si="124" t="shared"/>
        <v>-1.3881621551415681E-4</v>
      </c>
      <c r="AC103" s="104">
        <f si="124" t="shared"/>
        <v>-3.9284069329058769E-5</v>
      </c>
      <c r="AD103" s="104">
        <f si="124" t="shared"/>
        <v>-1.5730182069345944E-4</v>
      </c>
      <c r="AE103" s="104">
        <f si="122" t="shared"/>
        <v>1.8065897680800909E-4</v>
      </c>
      <c r="AF103" s="104">
        <f si="122" t="shared"/>
        <v>5.1570690153369958E-4</v>
      </c>
      <c r="AG103" s="104">
        <f si="122" t="shared"/>
        <v>-1.0432847956237555E-3</v>
      </c>
      <c r="AH103" s="104">
        <f si="122" t="shared"/>
        <v>-8.8258145781809443E-5</v>
      </c>
      <c r="AI103" s="104">
        <f si="122" t="shared"/>
        <v>-6.2665398661664626E-4</v>
      </c>
      <c r="AJ103" s="104">
        <f si="122" t="shared"/>
        <v>-2.0185543572647717E-4</v>
      </c>
      <c r="AK103" s="104">
        <f si="122" t="shared"/>
        <v>-2.5690368071277348E-4</v>
      </c>
      <c r="AL103" s="104">
        <f si="122" t="shared"/>
        <v>3.7847878011291764E-4</v>
      </c>
      <c r="AM103" s="104">
        <f si="122" t="shared"/>
        <v>7.4861952665485868E-4</v>
      </c>
      <c r="AN103" s="104">
        <f si="122" t="shared"/>
        <v>-1.2808913416939092E-4</v>
      </c>
      <c r="AO103" s="104">
        <f si="122" t="shared"/>
        <v>-1.9688201194370731E-4</v>
      </c>
      <c r="AP103" s="104">
        <f si="122" t="shared"/>
        <v>3.3807324613189082E-5</v>
      </c>
      <c r="AQ103" s="104">
        <f si="122" t="shared"/>
        <v>-3.7882022681796119E-5</v>
      </c>
      <c r="AR103" s="104">
        <f si="122" t="shared"/>
        <v>-7.1010900030359959E-4</v>
      </c>
      <c r="AS103" s="104">
        <f si="122" t="shared"/>
        <v>-1.5437664547634893E-4</v>
      </c>
      <c r="AT103" s="104">
        <f si="122" t="shared"/>
        <v>1.0355182859939673E-3</v>
      </c>
      <c r="AU103" s="104">
        <f si="122" t="shared"/>
        <v>0</v>
      </c>
      <c r="AV103" s="104">
        <f si="122" t="shared"/>
        <v>0</v>
      </c>
      <c r="CU103" s="95">
        <v>102</v>
      </c>
      <c r="CV103" s="95">
        <f si="109" t="shared"/>
        <v>6</v>
      </c>
      <c r="CW103" s="95">
        <f si="103" t="shared"/>
        <v>2</v>
      </c>
      <c r="CX103" s="58">
        <f si="104" t="shared"/>
        <v>1003.268489424565</v>
      </c>
      <c r="CY103" s="58">
        <f si="105" t="shared"/>
        <v>1560</v>
      </c>
      <c r="CZ103" s="108">
        <f si="106" t="shared"/>
        <v>556.73151057543498</v>
      </c>
      <c r="DA103" s="78">
        <f si="107" t="shared"/>
        <v>0.55491776772013846</v>
      </c>
    </row>
    <row r="104" spans="2:105" x14ac:dyDescent="0.25">
      <c r="B104" s="95"/>
      <c r="C104" s="95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101" t="s">
        <v>15</v>
      </c>
      <c r="AA104" s="105">
        <f si="124" t="shared"/>
        <v>0</v>
      </c>
      <c r="AB104" s="105">
        <f si="124" t="shared"/>
        <v>0</v>
      </c>
      <c r="AC104" s="105">
        <f si="124" t="shared"/>
        <v>0</v>
      </c>
      <c r="AD104" s="105">
        <f si="124" t="shared"/>
        <v>0</v>
      </c>
      <c r="AE104" s="105">
        <f si="122" t="shared"/>
        <v>0</v>
      </c>
      <c r="AF104" s="105">
        <f si="122" t="shared"/>
        <v>0</v>
      </c>
      <c r="AG104" s="105">
        <f si="122" t="shared"/>
        <v>0</v>
      </c>
      <c r="AH104" s="105">
        <f si="122" t="shared"/>
        <v>0</v>
      </c>
      <c r="AI104" s="105">
        <f si="122" t="shared"/>
        <v>0</v>
      </c>
      <c r="AJ104" s="105">
        <f si="122" t="shared"/>
        <v>0</v>
      </c>
      <c r="AK104" s="105">
        <f si="122" t="shared"/>
        <v>0</v>
      </c>
      <c r="AL104" s="105">
        <f si="122" t="shared"/>
        <v>0</v>
      </c>
      <c r="AM104" s="105">
        <f si="122" t="shared"/>
        <v>0</v>
      </c>
      <c r="AN104" s="105">
        <f si="122" t="shared"/>
        <v>0</v>
      </c>
      <c r="AO104" s="105">
        <f si="122" t="shared"/>
        <v>0</v>
      </c>
      <c r="AP104" s="105">
        <f si="122" t="shared"/>
        <v>0</v>
      </c>
      <c r="AQ104" s="105">
        <f si="122" t="shared"/>
        <v>0</v>
      </c>
      <c r="AR104" s="105">
        <f si="122" t="shared"/>
        <v>0</v>
      </c>
      <c r="AS104" s="105">
        <f si="122" t="shared"/>
        <v>0</v>
      </c>
      <c r="AT104" s="105">
        <f si="122" t="shared"/>
        <v>0</v>
      </c>
      <c r="AU104" s="105">
        <f si="122" t="shared"/>
        <v>0</v>
      </c>
      <c r="AV104" s="105">
        <f si="122" t="shared"/>
        <v>0</v>
      </c>
      <c r="CU104" s="95">
        <v>103</v>
      </c>
      <c r="CV104" s="95">
        <f si="109" t="shared"/>
        <v>6</v>
      </c>
      <c r="CW104" s="95">
        <f si="103" t="shared"/>
        <v>3</v>
      </c>
      <c r="CX104" s="58">
        <f si="104" t="shared"/>
        <v>656.53318013412752</v>
      </c>
      <c r="CY104" s="58">
        <f si="105" t="shared"/>
        <v>712</v>
      </c>
      <c r="CZ104" s="108">
        <f si="106" t="shared"/>
        <v>55.46681986587248</v>
      </c>
      <c r="DA104" s="78">
        <f si="107" t="shared"/>
        <v>8.4484412279880197E-2</v>
      </c>
    </row>
    <row ht="15.75" r="105" spans="2:105" thickBot="1" x14ac:dyDescent="0.3">
      <c r="B105" s="95"/>
      <c r="C105" s="95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1" t="s">
        <v>3</v>
      </c>
      <c r="AA105" s="106">
        <f si="124" t="shared"/>
        <v>8.7926847679757017E-2</v>
      </c>
      <c r="AB105" s="106">
        <f si="124" t="shared"/>
        <v>6.8682848161309776E-3</v>
      </c>
      <c r="AC105" s="106">
        <f si="124" t="shared"/>
        <v>3.966840486507632E-3</v>
      </c>
      <c r="AD105" s="106">
        <f si="124" t="shared"/>
        <v>-4.9360398083810493E-3</v>
      </c>
      <c r="AE105" s="106">
        <f si="122" t="shared"/>
        <v>2.2297474640484705E-2</v>
      </c>
      <c r="AF105" s="106">
        <f si="122" t="shared"/>
        <v>5.5862483519439343E-3</v>
      </c>
      <c r="AG105" s="106">
        <f si="122" t="shared"/>
        <v>-2.8736372580770664E-2</v>
      </c>
      <c r="AH105" s="106">
        <f si="122" t="shared"/>
        <v>-3.1567494863419679E-3</v>
      </c>
      <c r="AI105" s="106">
        <f si="122" t="shared"/>
        <v>-1.9620930556339199E-2</v>
      </c>
      <c r="AJ105" s="106">
        <f si="122" t="shared"/>
        <v>-8.6030329397038599E-3</v>
      </c>
      <c r="AK105" s="106">
        <f si="122" t="shared"/>
        <v>-1.9415785589070533E-2</v>
      </c>
      <c r="AL105" s="106">
        <f si="122" t="shared"/>
        <v>-7.1022912312507597E-2</v>
      </c>
      <c r="AM105" s="106">
        <f si="122" t="shared"/>
        <v>5.9225660820166337E-2</v>
      </c>
      <c r="AN105" s="106">
        <f si="122" t="shared"/>
        <v>-4.8263256880320144E-3</v>
      </c>
      <c r="AO105" s="106">
        <f si="122" t="shared"/>
        <v>-7.4681264223003946E-4</v>
      </c>
      <c r="AP105" s="106">
        <f si="122" t="shared"/>
        <v>-2.7664424158535699E-3</v>
      </c>
      <c r="AQ105" s="106">
        <f si="122" t="shared"/>
        <v>-5.4855142141647965E-3</v>
      </c>
      <c r="AR105" s="106">
        <f si="122" t="shared"/>
        <v>-2.6240112834261514E-3</v>
      </c>
      <c r="AS105" s="106">
        <f si="122" t="shared"/>
        <v>-1.0681926966204944E-2</v>
      </c>
      <c r="AT105" s="106">
        <f si="122" t="shared"/>
        <v>-3.2485003119641399E-3</v>
      </c>
      <c r="AU105" s="106">
        <f si="122" t="shared"/>
        <v>0</v>
      </c>
      <c r="AV105" s="106">
        <f si="122" t="shared"/>
        <v>0</v>
      </c>
      <c r="CU105" s="95">
        <v>104</v>
      </c>
      <c r="CV105" s="95">
        <f si="109" t="shared"/>
        <v>6</v>
      </c>
      <c r="CW105" s="95">
        <f si="103" t="shared"/>
        <v>4</v>
      </c>
      <c r="CX105" s="58">
        <f si="104" t="shared"/>
        <v>660.1077709515547</v>
      </c>
      <c r="CY105" s="58">
        <f si="105" t="shared"/>
        <v>552</v>
      </c>
      <c r="CZ105" s="108">
        <f si="106" t="shared"/>
        <v>-108.1077709515547</v>
      </c>
      <c r="DA105" s="78">
        <f si="107" t="shared"/>
        <v>-0.16377291058960844</v>
      </c>
    </row>
    <row r="106" spans="2:105" x14ac:dyDescent="0.25">
      <c r="B106" s="95"/>
      <c r="C106" s="95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  <c r="AC106" s="95"/>
      <c r="AD106" s="95"/>
      <c r="AE106" s="95"/>
      <c r="AF106" s="95"/>
      <c r="AG106" s="95"/>
      <c r="AH106" s="95"/>
      <c r="AI106" s="95"/>
      <c r="AJ106" s="95"/>
      <c r="AK106" s="95"/>
      <c r="AL106" s="95"/>
      <c r="AM106" s="95"/>
      <c r="AN106" s="95"/>
      <c r="AO106" s="95"/>
      <c r="AP106" s="95"/>
      <c r="AQ106" s="95"/>
      <c r="AR106" s="95"/>
      <c r="AS106" s="95"/>
      <c r="AT106" s="95"/>
      <c r="AU106" s="95"/>
      <c r="AV106" s="95"/>
      <c r="CU106" s="95">
        <v>105</v>
      </c>
      <c r="CV106" s="95">
        <f si="109" t="shared"/>
        <v>6</v>
      </c>
      <c r="CW106" s="95">
        <f si="103" t="shared"/>
        <v>5</v>
      </c>
      <c r="CX106" s="58">
        <f si="104" t="shared"/>
        <v>918.66984007878818</v>
      </c>
      <c r="CY106" s="58">
        <f si="105" t="shared"/>
        <v>1834</v>
      </c>
      <c r="CZ106" s="108">
        <f si="106" t="shared"/>
        <v>915.33015992121182</v>
      </c>
      <c r="DA106" s="78">
        <f si="107" t="shared"/>
        <v>0.99636465679847508</v>
      </c>
    </row>
    <row r="107" spans="2:105" x14ac:dyDescent="0.25">
      <c r="CU107" s="95">
        <v>106</v>
      </c>
      <c r="CV107" s="95">
        <f si="109" t="shared"/>
        <v>6</v>
      </c>
      <c r="CW107" s="95">
        <f si="103" t="shared"/>
        <v>6</v>
      </c>
      <c r="CX107" s="58">
        <f si="104" t="shared"/>
        <v>8548.0381747408901</v>
      </c>
      <c r="CY107" s="58">
        <f si="105" t="shared"/>
        <v>9282</v>
      </c>
      <c r="CZ107" s="108">
        <f si="106" t="shared"/>
        <v>733.9618252591099</v>
      </c>
      <c r="DA107" s="78">
        <f si="107" t="shared"/>
        <v>8.5863189922096711E-2</v>
      </c>
    </row>
    <row ht="15.75" r="108" spans="2:105" thickBot="1" x14ac:dyDescent="0.3">
      <c r="Z108" s="23" t="s">
        <v>371</v>
      </c>
      <c r="AA108" s="24"/>
      <c r="AB108" s="24"/>
      <c r="AC108" s="24"/>
      <c r="AD108" s="24"/>
      <c r="AE108" s="24"/>
      <c r="AF108" s="24"/>
      <c r="AG108" s="24"/>
      <c r="AH108" s="24"/>
      <c r="AI108" s="24"/>
      <c r="AJ108" s="95"/>
      <c r="AK108" s="95"/>
      <c r="AL108" s="95"/>
      <c r="AM108" s="95"/>
      <c r="AN108" s="95"/>
      <c r="AO108" s="95"/>
      <c r="AP108" s="95"/>
      <c r="AQ108" s="95"/>
      <c r="AR108" s="95"/>
      <c r="AS108" s="95"/>
      <c r="AT108" s="95"/>
      <c r="AU108" s="95"/>
      <c r="AV108" s="95"/>
      <c r="CU108" s="95">
        <v>107</v>
      </c>
      <c r="CV108" s="95">
        <f si="109" t="shared"/>
        <v>6</v>
      </c>
      <c r="CW108" s="95">
        <f si="103" t="shared"/>
        <v>7</v>
      </c>
      <c r="CX108" s="58">
        <f si="104" t="shared"/>
        <v>1135.5283496693712</v>
      </c>
      <c r="CY108" s="58">
        <f si="105" t="shared"/>
        <v>765</v>
      </c>
      <c r="CZ108" s="108">
        <f si="106" t="shared"/>
        <v>-370.52834966937121</v>
      </c>
      <c r="DA108" s="78">
        <f si="107" t="shared"/>
        <v>-0.32630479879895291</v>
      </c>
    </row>
    <row r="109" spans="2:105" x14ac:dyDescent="0.25">
      <c r="Z109" s="2" t="s">
        <v>14</v>
      </c>
      <c r="AA109" s="2">
        <v>1</v>
      </c>
      <c r="AB109" s="2">
        <v>2</v>
      </c>
      <c r="AC109" s="2">
        <v>3</v>
      </c>
      <c r="AD109" s="2">
        <v>4</v>
      </c>
      <c r="AE109" s="2">
        <v>5</v>
      </c>
      <c r="AF109" s="2">
        <v>6</v>
      </c>
      <c r="AG109" s="2">
        <v>7</v>
      </c>
      <c r="AH109" s="2">
        <v>8</v>
      </c>
      <c r="AI109" s="2">
        <v>9</v>
      </c>
      <c r="AJ109" s="2">
        <v>10</v>
      </c>
      <c r="AK109" s="2">
        <v>11</v>
      </c>
      <c r="AL109" s="2">
        <v>12</v>
      </c>
      <c r="AM109" s="2">
        <v>13</v>
      </c>
      <c r="AN109" s="2">
        <v>14</v>
      </c>
      <c r="AO109" s="2">
        <v>15</v>
      </c>
      <c r="AP109" s="2">
        <v>16</v>
      </c>
      <c r="AQ109" s="2">
        <v>17</v>
      </c>
      <c r="AR109" s="2">
        <v>18</v>
      </c>
      <c r="AS109" s="2">
        <v>19</v>
      </c>
      <c r="AT109" s="2">
        <v>20</v>
      </c>
      <c r="AU109" s="3" t="s">
        <v>15</v>
      </c>
      <c r="AV109" s="3" t="s">
        <v>3</v>
      </c>
      <c r="CU109" s="95">
        <v>108</v>
      </c>
      <c r="CV109" s="95">
        <f si="109" t="shared"/>
        <v>6</v>
      </c>
      <c r="CW109" s="95">
        <f si="103" t="shared"/>
        <v>8</v>
      </c>
      <c r="CX109" s="58">
        <f si="104" t="shared"/>
        <v>73.874876893495284</v>
      </c>
      <c r="CY109" s="58">
        <f si="105" t="shared"/>
        <v>62</v>
      </c>
      <c r="CZ109" s="108">
        <f si="106" t="shared"/>
        <v>-11.874876893495284</v>
      </c>
      <c r="DA109" s="78">
        <f si="107" t="shared"/>
        <v>-0.16074310229464317</v>
      </c>
    </row>
    <row r="110" spans="2:105" x14ac:dyDescent="0.25">
      <c r="Z110" s="31">
        <v>1</v>
      </c>
      <c r="AA110" s="103">
        <f>IF(C30&gt;0,(AZ30-C30)/C30,0)</f>
        <v>0.78669874575341581</v>
      </c>
      <c r="AB110" s="103">
        <f ref="AB110:AV110" si="125" t="shared">IF(D30&gt;0,(BA30-D30)/D30,0)</f>
        <v>-0.10563972054800473</v>
      </c>
      <c r="AC110" s="103">
        <f si="125" t="shared"/>
        <v>-5.7065796584658567E-2</v>
      </c>
      <c r="AD110" s="103">
        <f si="125" t="shared"/>
        <v>-5.0736261214620972E-2</v>
      </c>
      <c r="AE110" s="103">
        <f si="125" t="shared"/>
        <v>1.1037221823575589</v>
      </c>
      <c r="AF110" s="103">
        <f si="125" t="shared"/>
        <v>-0.18946619084533983</v>
      </c>
      <c r="AG110" s="103">
        <f si="125" t="shared"/>
        <v>-0.40944120333013573</v>
      </c>
      <c r="AH110" s="103">
        <f si="125" t="shared"/>
        <v>-7.6739888812781515E-2</v>
      </c>
      <c r="AI110" s="103">
        <f si="125" t="shared"/>
        <v>-0.51961651208990034</v>
      </c>
      <c r="AJ110" s="103">
        <f si="125" t="shared"/>
        <v>-0.61422638986150779</v>
      </c>
      <c r="AK110" s="103">
        <f si="125" t="shared"/>
        <v>-0.47357976116518252</v>
      </c>
      <c r="AL110" s="103">
        <f si="125" t="shared"/>
        <v>-0.56761684833982939</v>
      </c>
      <c r="AM110" s="103">
        <f si="125" t="shared"/>
        <v>0.36367909488638445</v>
      </c>
      <c r="AN110" s="103">
        <f si="125" t="shared"/>
        <v>-0.47357976116518247</v>
      </c>
      <c r="AO110" s="103">
        <f si="125" t="shared"/>
        <v>-0.47721024557093983</v>
      </c>
      <c r="AP110" s="103">
        <f si="125" t="shared"/>
        <v>-0.85136369727016925</v>
      </c>
      <c r="AQ110" s="103">
        <f si="125" t="shared"/>
        <v>-0.45853918291275908</v>
      </c>
      <c r="AR110" s="103">
        <f si="125" t="shared"/>
        <v>-8.1157401306500371E-2</v>
      </c>
      <c r="AS110" s="103">
        <f si="125" t="shared"/>
        <v>-0.84685956688441677</v>
      </c>
      <c r="AT110" s="103">
        <f si="125" t="shared"/>
        <v>-1</v>
      </c>
      <c r="AU110" s="103">
        <f si="125" t="shared"/>
        <v>0</v>
      </c>
      <c r="AV110" s="103">
        <f si="125" t="shared"/>
        <v>0</v>
      </c>
      <c r="CU110" s="95">
        <v>109</v>
      </c>
      <c r="CV110" s="95">
        <f si="109" t="shared"/>
        <v>6</v>
      </c>
      <c r="CW110" s="95">
        <f si="103" t="shared"/>
        <v>9</v>
      </c>
      <c r="CX110" s="58">
        <f si="104" t="shared"/>
        <v>927.01055198611834</v>
      </c>
      <c r="CY110" s="58">
        <f si="105" t="shared"/>
        <v>531</v>
      </c>
      <c r="CZ110" s="108">
        <f si="106" t="shared"/>
        <v>-396.01055198611834</v>
      </c>
      <c r="DA110" s="78">
        <f si="107" t="shared"/>
        <v>-0.42719098627050844</v>
      </c>
    </row>
    <row r="111" spans="2:105" x14ac:dyDescent="0.25">
      <c r="Z111" s="95">
        <v>2</v>
      </c>
      <c r="AA111" s="104">
        <f ref="AA111:AA131" si="126" t="shared">IF(C31&gt;0,(AZ31-C31)/C31,0)</f>
        <v>0.92820518471672109</v>
      </c>
      <c r="AB111" s="104">
        <f ref="AB111:AB131" si="127" t="shared">IF(D31&gt;0,(BA31-D31)/D31,0)</f>
        <v>0.18804631636503377</v>
      </c>
      <c r="AC111" s="104">
        <f ref="AC111:AC131" si="128" t="shared">IF(E31&gt;0,(BB31-E31)/E31,0)</f>
        <v>-9.8627708318942575E-2</v>
      </c>
      <c r="AD111" s="104">
        <f ref="AD111:AD131" si="129" t="shared">IF(F31&gt;0,(BC31-F31)/F31,0)</f>
        <v>-7.5393577819089189E-2</v>
      </c>
      <c r="AE111" s="104">
        <f ref="AE111:AE131" si="130" t="shared">IF(G31&gt;0,(BD31-G31)/G31,0)</f>
        <v>0.83312718646687967</v>
      </c>
      <c r="AF111" s="104">
        <f ref="AF111:AF131" si="131" t="shared">IF(H31&gt;0,(BE31-H31)/H31,0)</f>
        <v>1.6167658525491492E-2</v>
      </c>
      <c r="AG111" s="104">
        <f ref="AG111:AG131" si="132" t="shared">IF(I31&gt;0,(BF31-I31)/I31,0)</f>
        <v>-0.15428848577758839</v>
      </c>
      <c r="AH111" s="104">
        <f ref="AH111:AH131" si="133" t="shared">IF(J31&gt;0,(BG31-J31)/J31,0)</f>
        <v>-0.640057047893413</v>
      </c>
      <c r="AI111" s="104">
        <f ref="AI111:AI131" si="134" t="shared">IF(K31&gt;0,(BH31-K31)/K31,0)</f>
        <v>-0.33107192849509764</v>
      </c>
      <c r="AJ111" s="104">
        <f ref="AJ111:AJ131" si="135" t="shared">IF(L31&gt;0,(BI31-L31)/L31,0)</f>
        <v>-0.5140344394505526</v>
      </c>
      <c r="AK111" s="104">
        <f ref="AK111:AK131" si="136" t="shared">IF(M31&gt;0,(BJ31-M31)/M31,0)</f>
        <v>-0.66634830069473883</v>
      </c>
      <c r="AL111" s="104">
        <f ref="AL111:AL131" si="137" t="shared">IF(N31&gt;0,(BK31-N31)/N31,0)</f>
        <v>-0.31141751813556823</v>
      </c>
      <c r="AM111" s="104">
        <f ref="AM111:AM131" si="138" t="shared">IF(O31&gt;0,(BL31-O31)/O31,0)</f>
        <v>0.93703065946970088</v>
      </c>
      <c r="AN111" s="104">
        <f ref="AN111:AN131" si="139" t="shared">IF(P31&gt;0,(BM31-P31)/P31,0)</f>
        <v>-0.5857523085040246</v>
      </c>
      <c r="AO111" s="104">
        <f ref="AO111:AO131" si="140" t="shared">IF(Q31&gt;0,(BN31-Q31)/Q31,0)</f>
        <v>-0.36260102231125224</v>
      </c>
      <c r="AP111" s="104">
        <f ref="AP111:AP131" si="141" t="shared">IF(R31&gt;0,(BO31-R31)/R31,0)</f>
        <v>-0.9193803664583402</v>
      </c>
      <c r="AQ111" s="104">
        <f ref="AQ111:AQ131" si="142" t="shared">IF(S31&gt;0,(BP31-S31)/S31,0)</f>
        <v>-0.75276645713890999</v>
      </c>
      <c r="AR111" s="104">
        <f ref="AR111:AR131" si="143" t="shared">IF(T31&gt;0,(BQ31-T31)/T31,0)</f>
        <v>-0.4616688986089168</v>
      </c>
      <c r="AS111" s="104">
        <f ref="AS111:AS131" si="144" t="shared">IF(U31&gt;0,(BR31-U31)/U31,0)</f>
        <v>-0.75768303327535214</v>
      </c>
      <c r="AT111" s="104">
        <f ref="AT111:AT131" si="145" t="shared">IF(V31&gt;0,(BS31-V31)/V31,0)</f>
        <v>-0.89698602380787917</v>
      </c>
      <c r="AU111" s="104">
        <f ref="AU111:AU131" si="146" t="shared">IF(W31&gt;0,(BT31-W31)/W31,0)</f>
        <v>0</v>
      </c>
      <c r="AV111" s="104">
        <f ref="AV111:AV131" si="147" t="shared">IF(X31&gt;0,(BU31-X31)/X31,0)</f>
        <v>0</v>
      </c>
      <c r="CU111" s="95">
        <v>110</v>
      </c>
      <c r="CV111" s="95">
        <f si="109" t="shared"/>
        <v>6</v>
      </c>
      <c r="CW111" s="95">
        <f si="103" t="shared"/>
        <v>10</v>
      </c>
      <c r="CX111" s="58">
        <f si="104" t="shared"/>
        <v>619.59574168737981</v>
      </c>
      <c r="CY111" s="58">
        <f si="105" t="shared"/>
        <v>379</v>
      </c>
      <c r="CZ111" s="108">
        <f si="106" t="shared"/>
        <v>-240.59574168737981</v>
      </c>
      <c r="DA111" s="78">
        <f si="107" t="shared"/>
        <v>-0.38831083801859573</v>
      </c>
    </row>
    <row r="112" spans="2:105" x14ac:dyDescent="0.25">
      <c r="Z112" s="95">
        <v>3</v>
      </c>
      <c r="AA112" s="104">
        <f si="126" t="shared"/>
        <v>0.87575627802879974</v>
      </c>
      <c r="AB112" s="104">
        <f si="127" t="shared"/>
        <v>0.24980479939890096</v>
      </c>
      <c r="AC112" s="104">
        <f si="128" t="shared"/>
        <v>4.1249978734880254E-2</v>
      </c>
      <c r="AD112" s="104">
        <f si="129" t="shared"/>
        <v>-0.22178314870762014</v>
      </c>
      <c r="AE112" s="104">
        <f si="130" t="shared"/>
        <v>0.64436052366565955</v>
      </c>
      <c r="AF112" s="104">
        <f si="131" t="shared"/>
        <v>-9.8389980790776113E-2</v>
      </c>
      <c r="AG112" s="104">
        <f si="132" t="shared"/>
        <v>-0.33144994588605814</v>
      </c>
      <c r="AH112" s="104">
        <f si="133" t="shared"/>
        <v>-0.65954375944108778</v>
      </c>
      <c r="AI112" s="104">
        <f si="134" t="shared"/>
        <v>-0.36316089907603533</v>
      </c>
      <c r="AJ112" s="104">
        <f si="135" t="shared"/>
        <v>-0.50646392646251048</v>
      </c>
      <c r="AK112" s="104">
        <f si="136" t="shared"/>
        <v>-0.35852260466119984</v>
      </c>
      <c r="AL112" s="104">
        <f si="137" t="shared"/>
        <v>-0.35501106641518265</v>
      </c>
      <c r="AM112" s="104">
        <f si="138" t="shared"/>
        <v>0.27201812688821736</v>
      </c>
      <c r="AN112" s="104">
        <f si="139" t="shared"/>
        <v>-0.51424292078447442</v>
      </c>
      <c r="AO112" s="104">
        <f si="140" t="shared"/>
        <v>-0.45344173923345782</v>
      </c>
      <c r="AP112" s="104">
        <f si="141" t="shared"/>
        <v>-0.7504672538276409</v>
      </c>
      <c r="AQ112" s="104">
        <f si="142" t="shared"/>
        <v>-0.4490960919988306</v>
      </c>
      <c r="AR112" s="104">
        <f si="143" t="shared"/>
        <v>-0.61132779456193365</v>
      </c>
      <c r="AS112" s="104">
        <f si="144" t="shared"/>
        <v>-0.679460973651</v>
      </c>
      <c r="AT112" s="104">
        <f si="145" t="shared"/>
        <v>-0.93633542908467382</v>
      </c>
      <c r="AU112" s="104">
        <f si="146" t="shared"/>
        <v>0</v>
      </c>
      <c r="AV112" s="104">
        <f si="147" t="shared"/>
        <v>0</v>
      </c>
      <c r="CU112" s="95">
        <v>111</v>
      </c>
      <c r="CV112" s="95">
        <f si="109" t="shared"/>
        <v>6</v>
      </c>
      <c r="CW112" s="95">
        <f si="103" t="shared"/>
        <v>11</v>
      </c>
      <c r="CX112" s="58">
        <f si="104" t="shared"/>
        <v>574.31759133330206</v>
      </c>
      <c r="CY112" s="58">
        <f si="105" t="shared"/>
        <v>297</v>
      </c>
      <c r="CZ112" s="108">
        <f si="106" t="shared"/>
        <v>-277.31759133330206</v>
      </c>
      <c r="DA112" s="78">
        <f si="107" t="shared"/>
        <v>-0.48286452568777805</v>
      </c>
    </row>
    <row r="113" spans="26:105" x14ac:dyDescent="0.25">
      <c r="Z113" s="95">
        <v>4</v>
      </c>
      <c r="AA113" s="104">
        <f si="126" t="shared"/>
        <v>1.2114612429968428</v>
      </c>
      <c r="AB113" s="104">
        <f si="127" t="shared"/>
        <v>-8.0509762153966099E-3</v>
      </c>
      <c r="AC113" s="104">
        <f si="128" t="shared"/>
        <v>6.8128205192758445E-2</v>
      </c>
      <c r="AD113" s="104">
        <f si="129" t="shared"/>
        <v>-8.3361511145512851E-2</v>
      </c>
      <c r="AE113" s="104">
        <f si="130" t="shared"/>
        <v>0.56845171409365902</v>
      </c>
      <c r="AF113" s="104">
        <f si="131" t="shared"/>
        <v>6.7592856026911924E-2</v>
      </c>
      <c r="AG113" s="104">
        <f si="132" t="shared"/>
        <v>-0.52200761819403985</v>
      </c>
      <c r="AH113" s="104">
        <f si="133" t="shared"/>
        <v>-0.40548211218164171</v>
      </c>
      <c r="AI113" s="104">
        <f si="134" t="shared"/>
        <v>-0.58243310556379868</v>
      </c>
      <c r="AJ113" s="104">
        <f si="135" t="shared"/>
        <v>-0.35659602591541067</v>
      </c>
      <c r="AK113" s="104">
        <f si="136" t="shared"/>
        <v>-0.39414054016787609</v>
      </c>
      <c r="AL113" s="104">
        <f si="137" t="shared"/>
        <v>-0.41522830706390984</v>
      </c>
      <c r="AM113" s="104">
        <f si="138" t="shared"/>
        <v>-0.10912852546203355</v>
      </c>
      <c r="AN113" s="104">
        <f si="139" t="shared"/>
        <v>-0.3058601958445113</v>
      </c>
      <c r="AO113" s="104">
        <f si="140" t="shared"/>
        <v>-0.64644599945669312</v>
      </c>
      <c r="AP113" s="104">
        <f si="141" t="shared"/>
        <v>-0.61356337291806706</v>
      </c>
      <c r="AQ113" s="104">
        <f si="142" t="shared"/>
        <v>-0.46011348565684212</v>
      </c>
      <c r="AR113" s="104">
        <f si="143" t="shared"/>
        <v>-0.8111531415165214</v>
      </c>
      <c r="AS113" s="104">
        <f si="144" t="shared"/>
        <v>-0.68787810889536183</v>
      </c>
      <c r="AT113" s="104">
        <f si="145" t="shared"/>
        <v>-0.88109642243632835</v>
      </c>
      <c r="AU113" s="104">
        <f si="146" t="shared"/>
        <v>0</v>
      </c>
      <c r="AV113" s="104">
        <f si="147" t="shared"/>
        <v>0</v>
      </c>
      <c r="CU113" s="95">
        <v>112</v>
      </c>
      <c r="CV113" s="95">
        <f si="109" t="shared"/>
        <v>6</v>
      </c>
      <c r="CW113" s="95">
        <f si="103" t="shared"/>
        <v>12</v>
      </c>
      <c r="CX113" s="58">
        <f si="104" t="shared"/>
        <v>5537.0411761947189</v>
      </c>
      <c r="CY113" s="58">
        <f si="105" t="shared"/>
        <v>2835</v>
      </c>
      <c r="CZ113" s="108">
        <f si="106" t="shared"/>
        <v>-2702.0411761947189</v>
      </c>
      <c r="DA113" s="78">
        <f si="107" t="shared"/>
        <v>-0.4879936937820773</v>
      </c>
    </row>
    <row r="114" spans="26:105" x14ac:dyDescent="0.25">
      <c r="Z114" s="95">
        <v>5</v>
      </c>
      <c r="AA114" s="104">
        <f si="126" t="shared"/>
        <v>0.73440552111131729</v>
      </c>
      <c r="AB114" s="104">
        <f si="127" t="shared"/>
        <v>9.7692876416280744E-2</v>
      </c>
      <c r="AC114" s="104">
        <f si="128" t="shared"/>
        <v>-9.8880871172571674E-2</v>
      </c>
      <c r="AD114" s="104">
        <f si="129" t="shared"/>
        <v>-0.15573787914213447</v>
      </c>
      <c r="AE114" s="104">
        <f si="130" t="shared"/>
        <v>1.0417803483898462</v>
      </c>
      <c r="AF114" s="104">
        <f si="131" t="shared"/>
        <v>0.13474405181143881</v>
      </c>
      <c r="AG114" s="104">
        <f si="132" t="shared"/>
        <v>-0.51672141120602177</v>
      </c>
      <c r="AH114" s="104">
        <f si="133" t="shared"/>
        <v>-0.55878408703060201</v>
      </c>
      <c r="AI114" s="104">
        <f si="134" t="shared"/>
        <v>-0.55300800716314502</v>
      </c>
      <c r="AJ114" s="104">
        <f si="135" t="shared"/>
        <v>-0.30368903064879138</v>
      </c>
      <c r="AK114" s="104">
        <f si="136" t="shared"/>
        <v>-0.53606422769393636</v>
      </c>
      <c r="AL114" s="104">
        <f si="137" t="shared"/>
        <v>-0.4935540709895152</v>
      </c>
      <c r="AM114" s="104">
        <f si="138" t="shared"/>
        <v>-0.32840617730628552</v>
      </c>
      <c r="AN114" s="104">
        <f si="139" t="shared"/>
        <v>-0.63706432965420501</v>
      </c>
      <c r="AO114" s="104">
        <f si="140" t="shared"/>
        <v>-0.63677967422648274</v>
      </c>
      <c r="AP114" s="104">
        <f si="141" t="shared"/>
        <v>-0.64321578169396409</v>
      </c>
      <c r="AQ114" s="104">
        <f si="142" t="shared"/>
        <v>-0.71697117472193461</v>
      </c>
      <c r="AR114" s="104">
        <f si="143" t="shared"/>
        <v>-0.8266448445171849</v>
      </c>
      <c r="AS114" s="104">
        <f si="144" t="shared"/>
        <v>-0.6642030886531427</v>
      </c>
      <c r="AT114" s="104">
        <f si="145" t="shared"/>
        <v>-0.75234977788169277</v>
      </c>
      <c r="AU114" s="104">
        <f si="146" t="shared"/>
        <v>0</v>
      </c>
      <c r="AV114" s="104">
        <f si="147" t="shared"/>
        <v>0</v>
      </c>
      <c r="CU114" s="95">
        <v>113</v>
      </c>
      <c r="CV114" s="95">
        <f si="109" t="shared"/>
        <v>6</v>
      </c>
      <c r="CW114" s="95">
        <f si="103" t="shared"/>
        <v>13</v>
      </c>
      <c r="CX114" s="58">
        <f si="104" t="shared"/>
        <v>461.12221544810768</v>
      </c>
      <c r="CY114" s="58">
        <f si="105" t="shared"/>
        <v>425</v>
      </c>
      <c r="CZ114" s="108">
        <f si="106" t="shared"/>
        <v>-36.122215448107681</v>
      </c>
      <c r="DA114" s="78">
        <f si="107" t="shared"/>
        <v>-7.8335448256391133E-2</v>
      </c>
    </row>
    <row r="115" spans="26:105" x14ac:dyDescent="0.25">
      <c r="Z115" s="95">
        <v>6</v>
      </c>
      <c r="AA115" s="104">
        <f si="126" t="shared"/>
        <v>0.72573467022119786</v>
      </c>
      <c r="AB115" s="104">
        <f si="127" t="shared"/>
        <v>0.55491776772013846</v>
      </c>
      <c r="AC115" s="104">
        <f si="128" t="shared"/>
        <v>8.4484412279880197E-2</v>
      </c>
      <c r="AD115" s="104">
        <f si="129" t="shared"/>
        <v>-0.16377291058960844</v>
      </c>
      <c r="AE115" s="104">
        <f si="130" t="shared"/>
        <v>0.99636465679847508</v>
      </c>
      <c r="AF115" s="104">
        <f si="131" t="shared"/>
        <v>8.5863189922096711E-2</v>
      </c>
      <c r="AG115" s="104">
        <f si="132" t="shared"/>
        <v>-0.32630479879895291</v>
      </c>
      <c r="AH115" s="104">
        <f si="133" t="shared"/>
        <v>-0.16074310229464317</v>
      </c>
      <c r="AI115" s="104">
        <f si="134" t="shared"/>
        <v>-0.42719098627050844</v>
      </c>
      <c r="AJ115" s="104">
        <f si="135" t="shared"/>
        <v>-0.38831083801859573</v>
      </c>
      <c r="AK115" s="104">
        <f si="136" t="shared"/>
        <v>-0.48286452568777805</v>
      </c>
      <c r="AL115" s="104">
        <f si="137" t="shared"/>
        <v>-0.4879936937820773</v>
      </c>
      <c r="AM115" s="104">
        <f si="138" t="shared"/>
        <v>-7.8335448256391133E-2</v>
      </c>
      <c r="AN115" s="104">
        <f si="139" t="shared"/>
        <v>-0.66211735287186935</v>
      </c>
      <c r="AO115" s="104">
        <f si="140" t="shared"/>
        <v>-0.56749951283895728</v>
      </c>
      <c r="AP115" s="104">
        <f si="141" t="shared"/>
        <v>-0.85276194777099001</v>
      </c>
      <c r="AQ115" s="104">
        <f si="142" t="shared"/>
        <v>-0.77111175517126629</v>
      </c>
      <c r="AR115" s="104">
        <f si="143" t="shared"/>
        <v>-0.7002653936766583</v>
      </c>
      <c r="AS115" s="104">
        <f si="144" t="shared"/>
        <v>-0.857269235084123</v>
      </c>
      <c r="AT115" s="104">
        <f si="145" t="shared"/>
        <v>-0.93006192519122022</v>
      </c>
      <c r="AU115" s="104">
        <f si="146" t="shared"/>
        <v>0</v>
      </c>
      <c r="AV115" s="104">
        <f si="147" t="shared"/>
        <v>0</v>
      </c>
      <c r="CU115" s="95">
        <v>114</v>
      </c>
      <c r="CV115" s="95">
        <f si="109" t="shared"/>
        <v>6</v>
      </c>
      <c r="CW115" s="95">
        <f si="103" t="shared"/>
        <v>14</v>
      </c>
      <c r="CX115" s="58">
        <f si="104" t="shared"/>
        <v>91.74783098063125</v>
      </c>
      <c r="CY115" s="58">
        <f si="105" t="shared"/>
        <v>31</v>
      </c>
      <c r="CZ115" s="108">
        <f si="106" t="shared"/>
        <v>-60.74783098063125</v>
      </c>
      <c r="DA115" s="78">
        <f si="107" t="shared"/>
        <v>-0.66211735287186935</v>
      </c>
    </row>
    <row r="116" spans="26:105" x14ac:dyDescent="0.25">
      <c r="Z116" s="95">
        <v>7</v>
      </c>
      <c r="AA116" s="104">
        <f si="126" t="shared"/>
        <v>1.1206212043525254</v>
      </c>
      <c r="AB116" s="104">
        <f si="127" t="shared"/>
        <v>7.9502023746322106E-2</v>
      </c>
      <c r="AC116" s="104">
        <f si="128" t="shared"/>
        <v>-0.16062778940062661</v>
      </c>
      <c r="AD116" s="104">
        <f si="129" t="shared"/>
        <v>-0.43872346974991089</v>
      </c>
      <c r="AE116" s="104">
        <f si="130" t="shared"/>
        <v>0.5704303035547944</v>
      </c>
      <c r="AF116" s="104">
        <f si="131" t="shared"/>
        <v>-2.4971467062443731E-2</v>
      </c>
      <c r="AG116" s="104">
        <f si="132" t="shared"/>
        <v>-0.23992094806884923</v>
      </c>
      <c r="AH116" s="104">
        <f si="133" t="shared"/>
        <v>-0.73094777198909389</v>
      </c>
      <c r="AI116" s="104">
        <f si="134" t="shared"/>
        <v>-0.31090347261477824</v>
      </c>
      <c r="AJ116" s="104">
        <f si="135" t="shared"/>
        <v>-0.61316954164416337</v>
      </c>
      <c r="AK116" s="104">
        <f si="136" t="shared"/>
        <v>-0.73925407614663408</v>
      </c>
      <c r="AL116" s="104">
        <f si="137" t="shared"/>
        <v>-0.24407720686986756</v>
      </c>
      <c r="AM116" s="104">
        <f si="138" t="shared"/>
        <v>1.6314942980369749</v>
      </c>
      <c r="AN116" s="104">
        <f si="139" t="shared"/>
        <v>-0.71355371576498938</v>
      </c>
      <c r="AO116" s="104">
        <f si="140" t="shared"/>
        <v>-0.28225518055691834</v>
      </c>
      <c r="AP116" s="104">
        <f si="141" t="shared"/>
        <v>-0.85501057747225795</v>
      </c>
      <c r="AQ116" s="104">
        <f si="142" t="shared"/>
        <v>-0.76779471794407583</v>
      </c>
      <c r="AR116" s="104">
        <f si="143" t="shared"/>
        <v>-0.465836070527479</v>
      </c>
      <c r="AS116" s="104">
        <f si="144" t="shared"/>
        <v>-0.75581781392224401</v>
      </c>
      <c r="AT116" s="104">
        <f si="145" t="shared"/>
        <v>-0.92963476301335635</v>
      </c>
      <c r="AU116" s="104">
        <f si="146" t="shared"/>
        <v>0</v>
      </c>
      <c r="AV116" s="104">
        <f si="147" t="shared"/>
        <v>0</v>
      </c>
      <c r="CU116" s="95">
        <v>115</v>
      </c>
      <c r="CV116" s="95">
        <f si="109" t="shared"/>
        <v>6</v>
      </c>
      <c r="CW116" s="95">
        <f si="103" t="shared"/>
        <v>15</v>
      </c>
      <c r="CX116" s="58">
        <f si="104" t="shared"/>
        <v>194.21943441354406</v>
      </c>
      <c r="CY116" s="58">
        <f si="105" t="shared"/>
        <v>84</v>
      </c>
      <c r="CZ116" s="108">
        <f si="106" t="shared"/>
        <v>-110.21943441354406</v>
      </c>
      <c r="DA116" s="78">
        <f si="107" t="shared"/>
        <v>-0.56749951283895728</v>
      </c>
    </row>
    <row r="117" spans="26:105" x14ac:dyDescent="0.25">
      <c r="Z117" s="95">
        <v>8</v>
      </c>
      <c r="AA117" s="104">
        <f si="126" t="shared"/>
        <v>1.6307408268178127</v>
      </c>
      <c r="AB117" s="104">
        <f si="127" t="shared"/>
        <v>-2.8326904532304638E-2</v>
      </c>
      <c r="AC117" s="104">
        <f si="128" t="shared"/>
        <v>0.26770253315498604</v>
      </c>
      <c r="AD117" s="104">
        <f si="129" t="shared"/>
        <v>-0.10139323157645239</v>
      </c>
      <c r="AE117" s="104">
        <f si="130" t="shared"/>
        <v>0.69781589261828469</v>
      </c>
      <c r="AF117" s="104">
        <f si="131" t="shared"/>
        <v>-2.9491980186342699E-2</v>
      </c>
      <c r="AG117" s="104">
        <f si="132" t="shared"/>
        <v>-0.47217757777063463</v>
      </c>
      <c r="AH117" s="104">
        <f si="133" t="shared"/>
        <v>-0.72456510679655883</v>
      </c>
      <c r="AI117" s="104">
        <f si="134" t="shared"/>
        <v>-0.50553913485075863</v>
      </c>
      <c r="AJ117" s="104">
        <f si="135" t="shared"/>
        <v>-0.48346789696270664</v>
      </c>
      <c r="AK117" s="104">
        <f si="136" t="shared"/>
        <v>-0.11522449843591967</v>
      </c>
      <c r="AL117" s="104">
        <f si="137" t="shared"/>
        <v>-0.50057200782978584</v>
      </c>
      <c r="AM117" s="104">
        <f si="138" t="shared"/>
        <v>-0.28024215150541093</v>
      </c>
      <c r="AN117" s="104">
        <f si="139" t="shared"/>
        <v>-0.48690529612266925</v>
      </c>
      <c r="AO117" s="104">
        <f si="140" t="shared"/>
        <v>-0.42419372120432874</v>
      </c>
      <c r="AP117" s="104">
        <f si="141" t="shared"/>
        <v>-1</v>
      </c>
      <c r="AQ117" s="104">
        <f si="142" t="shared"/>
        <v>-0.48177434908389583</v>
      </c>
      <c r="AR117" s="104">
        <f si="143" t="shared"/>
        <v>-0.87854086306653811</v>
      </c>
      <c r="AS117" s="104">
        <f si="144" t="shared"/>
        <v>-0.36543797847007659</v>
      </c>
      <c r="AT117" s="104">
        <f si="145" t="shared"/>
        <v>-0.81491941038710569</v>
      </c>
      <c r="AU117" s="104">
        <f si="146" t="shared"/>
        <v>0</v>
      </c>
      <c r="AV117" s="104">
        <f si="147" t="shared"/>
        <v>0</v>
      </c>
      <c r="CU117" s="95">
        <v>116</v>
      </c>
      <c r="CV117" s="95">
        <f si="109" t="shared"/>
        <v>6</v>
      </c>
      <c r="CW117" s="95">
        <f si="103" t="shared"/>
        <v>16</v>
      </c>
      <c r="CX117" s="58">
        <f si="104" t="shared"/>
        <v>135.83445106223328</v>
      </c>
      <c r="CY117" s="58">
        <f si="105" t="shared"/>
        <v>20</v>
      </c>
      <c r="CZ117" s="108">
        <f si="106" t="shared"/>
        <v>-115.83445106223328</v>
      </c>
      <c r="DA117" s="78">
        <f si="107" t="shared"/>
        <v>-0.85276194777099001</v>
      </c>
    </row>
    <row r="118" spans="26:105" x14ac:dyDescent="0.25">
      <c r="Z118" s="95">
        <v>9</v>
      </c>
      <c r="AA118" s="104">
        <f si="126" t="shared"/>
        <v>1.1255343446220045</v>
      </c>
      <c r="AB118" s="104">
        <f si="127" t="shared"/>
        <v>0.19850750687570221</v>
      </c>
      <c r="AC118" s="104">
        <f si="128" t="shared"/>
        <v>-3.108637538020417E-2</v>
      </c>
      <c r="AD118" s="104">
        <f si="129" t="shared"/>
        <v>-0.38428410513357131</v>
      </c>
      <c r="AE118" s="104">
        <f si="130" t="shared"/>
        <v>1.0767628124753732</v>
      </c>
      <c r="AF118" s="104">
        <f si="131" t="shared"/>
        <v>1.3523220518583502E-2</v>
      </c>
      <c r="AG118" s="104">
        <f si="132" t="shared"/>
        <v>-8.3539181535351309E-2</v>
      </c>
      <c r="AH118" s="104">
        <f si="133" t="shared"/>
        <v>-0.73807218222285298</v>
      </c>
      <c r="AI118" s="104">
        <f si="134" t="shared"/>
        <v>-0.16319400531393022</v>
      </c>
      <c r="AJ118" s="104">
        <f si="135" t="shared"/>
        <v>-0.5697197638086039</v>
      </c>
      <c r="AK118" s="104">
        <f si="136" t="shared"/>
        <v>-0.35464385525457742</v>
      </c>
      <c r="AL118" s="104">
        <f si="137" t="shared"/>
        <v>-0.38982899185385872</v>
      </c>
      <c r="AM118" s="104">
        <f si="138" t="shared"/>
        <v>0.6153222019201039</v>
      </c>
      <c r="AN118" s="104">
        <f si="139" t="shared"/>
        <v>-0.52229083918228858</v>
      </c>
      <c r="AO118" s="104">
        <f si="140" t="shared"/>
        <v>-0.14777989109954787</v>
      </c>
      <c r="AP118" s="104">
        <f si="141" t="shared"/>
        <v>-0.71774581019449835</v>
      </c>
      <c r="AQ118" s="104">
        <f si="142" t="shared"/>
        <v>-0.56167584641969126</v>
      </c>
      <c r="AR118" s="104">
        <f si="143" t="shared"/>
        <v>-0.68853474166224637</v>
      </c>
      <c r="AS118" s="104">
        <f si="144" t="shared"/>
        <v>-0.47762860649718275</v>
      </c>
      <c r="AT118" s="104">
        <f si="145" t="shared"/>
        <v>-0.97325373075784194</v>
      </c>
      <c r="AU118" s="104">
        <f si="146" t="shared"/>
        <v>0</v>
      </c>
      <c r="AV118" s="104">
        <f si="147" t="shared"/>
        <v>0</v>
      </c>
      <c r="CU118" s="95">
        <v>117</v>
      </c>
      <c r="CV118" s="95">
        <f si="109" t="shared"/>
        <v>6</v>
      </c>
      <c r="CW118" s="95">
        <f si="103" t="shared"/>
        <v>17</v>
      </c>
      <c r="CX118" s="58">
        <f si="104" t="shared"/>
        <v>52.427331988932139</v>
      </c>
      <c r="CY118" s="58">
        <f si="105" t="shared"/>
        <v>12</v>
      </c>
      <c r="CZ118" s="108">
        <f si="106" t="shared"/>
        <v>-40.427331988932139</v>
      </c>
      <c r="DA118" s="78">
        <f si="107" t="shared"/>
        <v>-0.77111175517126629</v>
      </c>
    </row>
    <row r="119" spans="26:105" x14ac:dyDescent="0.25">
      <c r="Z119" s="95">
        <v>10</v>
      </c>
      <c r="AA119" s="104">
        <f si="126" t="shared"/>
        <v>0.97723530512683532</v>
      </c>
      <c r="AB119" s="104">
        <f si="127" t="shared"/>
        <v>0.44780649004343509</v>
      </c>
      <c r="AC119" s="104">
        <f si="128" t="shared"/>
        <v>0.4119357717737836</v>
      </c>
      <c r="AD119" s="104">
        <f si="129" t="shared"/>
        <v>9.4058451881084415E-2</v>
      </c>
      <c r="AE119" s="104">
        <f si="130" t="shared"/>
        <v>0.92747714480603594</v>
      </c>
      <c r="AF119" s="104">
        <f si="131" t="shared"/>
        <v>-5.9125020420471727E-2</v>
      </c>
      <c r="AG119" s="104">
        <f si="132" t="shared"/>
        <v>-0.33733293536270481</v>
      </c>
      <c r="AH119" s="104">
        <f si="133" t="shared"/>
        <v>-0.53302454856561665</v>
      </c>
      <c r="AI119" s="104">
        <f si="134" t="shared"/>
        <v>-0.55441488566798514</v>
      </c>
      <c r="AJ119" s="104">
        <f si="135" t="shared"/>
        <v>-0.35455475294625544</v>
      </c>
      <c r="AK119" s="104">
        <f si="136" t="shared"/>
        <v>-0.56572345887491937</v>
      </c>
      <c r="AL119" s="104">
        <f si="137" t="shared"/>
        <v>-0.2120436395974151</v>
      </c>
      <c r="AM119" s="104">
        <f si="138" t="shared"/>
        <v>-0.11513458492405192</v>
      </c>
      <c r="AN119" s="104">
        <f si="139" t="shared"/>
        <v>-0.63567044155390695</v>
      </c>
      <c r="AO119" s="104">
        <f si="140" t="shared"/>
        <v>-0.43823376577133943</v>
      </c>
      <c r="AP119" s="104">
        <f si="141" t="shared"/>
        <v>-0.62652576963691009</v>
      </c>
      <c r="AQ119" s="104">
        <f si="142" t="shared"/>
        <v>-0.58154147858477334</v>
      </c>
      <c r="AR119" s="104">
        <f si="143" t="shared"/>
        <v>-0.47876219262313863</v>
      </c>
      <c r="AS119" s="104">
        <f si="144" t="shared"/>
        <v>-0.89722071403836534</v>
      </c>
      <c r="AT119" s="104">
        <f si="145" t="shared"/>
        <v>-0.88283161400373644</v>
      </c>
      <c r="AU119" s="104">
        <f si="146" t="shared"/>
        <v>0</v>
      </c>
      <c r="AV119" s="104">
        <f si="147" t="shared"/>
        <v>0</v>
      </c>
      <c r="CU119" s="95">
        <v>118</v>
      </c>
      <c r="CV119" s="95">
        <f si="109" t="shared"/>
        <v>6</v>
      </c>
      <c r="CW119" s="95">
        <f si="103" t="shared"/>
        <v>18</v>
      </c>
      <c r="CX119" s="58">
        <f si="104" t="shared"/>
        <v>133.45139051728182</v>
      </c>
      <c r="CY119" s="58">
        <f si="105" t="shared"/>
        <v>40</v>
      </c>
      <c r="CZ119" s="108">
        <f si="106" t="shared"/>
        <v>-93.451390517281823</v>
      </c>
      <c r="DA119" s="78">
        <f si="107" t="shared"/>
        <v>-0.7002653936766583</v>
      </c>
    </row>
    <row r="120" spans="26:105" x14ac:dyDescent="0.25">
      <c r="Z120" s="95">
        <v>11</v>
      </c>
      <c r="AA120" s="104">
        <f si="126" t="shared"/>
        <v>1.5130482346260477</v>
      </c>
      <c r="AB120" s="104">
        <f si="127" t="shared"/>
        <v>7.3331100495336917E-3</v>
      </c>
      <c r="AC120" s="104">
        <f si="128" t="shared"/>
        <v>0.37615782509322765</v>
      </c>
      <c r="AD120" s="104">
        <f si="129" t="shared"/>
        <v>-6.0791235304005715E-2</v>
      </c>
      <c r="AE120" s="104">
        <f si="130" t="shared"/>
        <v>1.1524399233377562</v>
      </c>
      <c r="AF120" s="104">
        <f si="131" t="shared"/>
        <v>6.6854917096497268E-2</v>
      </c>
      <c r="AG120" s="104">
        <f si="132" t="shared"/>
        <v>-0.43486971150154613</v>
      </c>
      <c r="AH120" s="104">
        <f si="133" t="shared"/>
        <v>-0.56736119105176319</v>
      </c>
      <c r="AI120" s="104">
        <f si="134" t="shared"/>
        <v>-0.23906505113001625</v>
      </c>
      <c r="AJ120" s="104">
        <f si="135" t="shared"/>
        <v>-0.40856155764522845</v>
      </c>
      <c r="AK120" s="104">
        <f si="136" t="shared"/>
        <v>-0.15880899389697148</v>
      </c>
      <c r="AL120" s="104">
        <f si="137" t="shared"/>
        <v>-0.41749225144906899</v>
      </c>
      <c r="AM120" s="104">
        <f si="138" t="shared"/>
        <v>-0.25548891212237934</v>
      </c>
      <c r="AN120" s="104">
        <f si="139" t="shared"/>
        <v>-0.17850446499507419</v>
      </c>
      <c r="AO120" s="104">
        <f si="140" t="shared"/>
        <v>-0.1553390272264325</v>
      </c>
      <c r="AP120" s="104">
        <f si="141" t="shared"/>
        <v>-0.73254901960784313</v>
      </c>
      <c r="AQ120" s="104">
        <f si="142" t="shared"/>
        <v>-0.4346362398170277</v>
      </c>
      <c r="AR120" s="104">
        <f si="143" t="shared"/>
        <v>-0.74253665430136018</v>
      </c>
      <c r="AS120" s="104">
        <f si="144" t="shared"/>
        <v>-0.59422170776479943</v>
      </c>
      <c r="AT120" s="104">
        <f si="145" t="shared"/>
        <v>-0.97004357298474941</v>
      </c>
      <c r="AU120" s="104">
        <f si="146" t="shared"/>
        <v>0</v>
      </c>
      <c r="AV120" s="104">
        <f si="147" t="shared"/>
        <v>0</v>
      </c>
      <c r="CU120" s="95">
        <v>119</v>
      </c>
      <c r="CV120" s="95">
        <f si="109" t="shared"/>
        <v>6</v>
      </c>
      <c r="CW120" s="95">
        <f si="103" t="shared"/>
        <v>19</v>
      </c>
      <c r="CX120" s="58">
        <f si="104" t="shared"/>
        <v>175.15495005393237</v>
      </c>
      <c r="CY120" s="58">
        <f si="105" t="shared"/>
        <v>25</v>
      </c>
      <c r="CZ120" s="108">
        <f si="106" t="shared"/>
        <v>-150.15495005393237</v>
      </c>
      <c r="DA120" s="78">
        <f si="107" t="shared"/>
        <v>-0.857269235084123</v>
      </c>
    </row>
    <row r="121" spans="26:105" x14ac:dyDescent="0.25">
      <c r="Z121" s="95">
        <v>12</v>
      </c>
      <c r="AA121" s="104">
        <f si="126" t="shared"/>
        <v>1.3463504010236633</v>
      </c>
      <c r="AB121" s="104">
        <f si="127" t="shared"/>
        <v>0.60359452666006974</v>
      </c>
      <c r="AC121" s="104">
        <f si="128" t="shared"/>
        <v>0.40114628207730285</v>
      </c>
      <c r="AD121" s="104">
        <f si="129" t="shared"/>
        <v>-0.100203478280308</v>
      </c>
      <c r="AE121" s="104">
        <f si="130" t="shared"/>
        <v>1.2534432098608095</v>
      </c>
      <c r="AF121" s="104">
        <f si="131" t="shared"/>
        <v>9.1791355488774401E-2</v>
      </c>
      <c r="AG121" s="104">
        <f si="132" t="shared"/>
        <v>-1.4968426583426449E-3</v>
      </c>
      <c r="AH121" s="104">
        <f si="133" t="shared"/>
        <v>-0.43207659939036513</v>
      </c>
      <c r="AI121" s="104">
        <f si="134" t="shared"/>
        <v>-0.35283895156037265</v>
      </c>
      <c r="AJ121" s="104">
        <f si="135" t="shared"/>
        <v>-0.30255212321336494</v>
      </c>
      <c r="AK121" s="104">
        <f si="136" t="shared"/>
        <v>-0.57189515629081278</v>
      </c>
      <c r="AL121" s="104">
        <f si="137" t="shared"/>
        <v>-0.38495816524918836</v>
      </c>
      <c r="AM121" s="104">
        <f si="138" t="shared"/>
        <v>1.4955690658363598</v>
      </c>
      <c r="AN121" s="104">
        <f si="139" t="shared"/>
        <v>-0.47013909954323496</v>
      </c>
      <c r="AO121" s="104">
        <f si="140" t="shared"/>
        <v>-0.32436342602841894</v>
      </c>
      <c r="AP121" s="104">
        <f si="141" t="shared"/>
        <v>-0.38355159869568128</v>
      </c>
      <c r="AQ121" s="104">
        <f si="142" t="shared"/>
        <v>-0.68858172511443738</v>
      </c>
      <c r="AR121" s="104">
        <f si="143" t="shared"/>
        <v>-0.1600810960369142</v>
      </c>
      <c r="AS121" s="104">
        <f si="144" t="shared"/>
        <v>-0.76635558366437373</v>
      </c>
      <c r="AT121" s="104">
        <f si="145" t="shared"/>
        <v>-0.77532185756212646</v>
      </c>
      <c r="AU121" s="104">
        <f si="146" t="shared"/>
        <v>0</v>
      </c>
      <c r="AV121" s="104">
        <f si="147" t="shared"/>
        <v>0</v>
      </c>
      <c r="CU121" s="95">
        <v>120</v>
      </c>
      <c r="CV121" s="95">
        <f si="109" t="shared"/>
        <v>6</v>
      </c>
      <c r="CW121" s="95">
        <f si="103" t="shared"/>
        <v>20</v>
      </c>
      <c r="CX121" s="58">
        <f si="104" t="shared"/>
        <v>57.193453078835063</v>
      </c>
      <c r="CY121" s="58">
        <f si="105" t="shared"/>
        <v>4</v>
      </c>
      <c r="CZ121" s="108">
        <f si="106" t="shared"/>
        <v>-53.193453078835063</v>
      </c>
      <c r="DA121" s="78">
        <f si="107" t="shared"/>
        <v>-0.93006192519122022</v>
      </c>
    </row>
    <row r="122" spans="26:105" x14ac:dyDescent="0.25">
      <c r="Z122" s="95">
        <v>13</v>
      </c>
      <c r="AA122" s="104">
        <f si="126" t="shared"/>
        <v>0.6943231074360815</v>
      </c>
      <c r="AB122" s="104">
        <f si="127" t="shared"/>
        <v>-0.25564179282963312</v>
      </c>
      <c r="AC122" s="104">
        <f si="128" t="shared"/>
        <v>-0.27086087616061799</v>
      </c>
      <c r="AD122" s="104">
        <f si="129" t="shared"/>
        <v>-0.62103208269043808</v>
      </c>
      <c r="AE122" s="104">
        <f si="130" t="shared"/>
        <v>0.52368349886685439</v>
      </c>
      <c r="AF122" s="104">
        <f si="131" t="shared"/>
        <v>-0.21525807165223546</v>
      </c>
      <c r="AG122" s="104">
        <f si="132" t="shared"/>
        <v>-0.44077623890520812</v>
      </c>
      <c r="AH122" s="104">
        <f si="133" t="shared"/>
        <v>-0.80034205218946086</v>
      </c>
      <c r="AI122" s="104">
        <f si="134" t="shared"/>
        <v>-0.65023673790801939</v>
      </c>
      <c r="AJ122" s="104">
        <f si="135" t="shared"/>
        <v>-0.7717162858140918</v>
      </c>
      <c r="AK122" s="104">
        <f si="136" t="shared"/>
        <v>-0.82939264698789505</v>
      </c>
      <c r="AL122" s="104">
        <f si="137" t="shared"/>
        <v>-0.43600386542515185</v>
      </c>
      <c r="AM122" s="104">
        <f si="138" t="shared"/>
        <v>0.52732553167709073</v>
      </c>
      <c r="AN122" s="104">
        <f si="139" t="shared"/>
        <v>-0.79914560006774982</v>
      </c>
      <c r="AO122" s="104">
        <f si="140" t="shared"/>
        <v>-6.1819025215963302E-2</v>
      </c>
      <c r="AP122" s="104">
        <f si="141" t="shared"/>
        <v>-0.87434524961693116</v>
      </c>
      <c r="AQ122" s="104">
        <f si="142" t="shared"/>
        <v>-0.89372816323985138</v>
      </c>
      <c r="AR122" s="104">
        <f si="143" t="shared"/>
        <v>-0.12528823082726007</v>
      </c>
      <c r="AS122" s="104">
        <f si="144" t="shared"/>
        <v>-0.65441228246951066</v>
      </c>
      <c r="AT122" s="104">
        <f si="145" t="shared"/>
        <v>-0.81813128234029509</v>
      </c>
      <c r="AU122" s="104">
        <f si="146" t="shared"/>
        <v>0</v>
      </c>
      <c r="AV122" s="104">
        <f si="147" t="shared"/>
        <v>0</v>
      </c>
      <c r="CU122" s="95">
        <v>121</v>
      </c>
      <c r="CV122" s="95">
        <f si="109" t="shared"/>
        <v>7</v>
      </c>
      <c r="CW122" s="95">
        <f si="103" t="shared"/>
        <v>1</v>
      </c>
      <c r="CX122" s="58">
        <f si="104" t="shared"/>
        <v>5069.2693150176356</v>
      </c>
      <c r="CY122" s="58">
        <f si="105" t="shared"/>
        <v>10750</v>
      </c>
      <c r="CZ122" s="108">
        <f si="106" t="shared"/>
        <v>5680.7306849823644</v>
      </c>
      <c r="DA122" s="78">
        <f si="107" t="shared"/>
        <v>1.1206212043525254</v>
      </c>
    </row>
    <row r="123" spans="26:105" x14ac:dyDescent="0.25">
      <c r="Z123" s="95">
        <v>14</v>
      </c>
      <c r="AA123" s="104">
        <f si="126" t="shared"/>
        <v>2.2353831030084419</v>
      </c>
      <c r="AB123" s="104">
        <f si="127" t="shared"/>
        <v>-5.675813347754121E-2</v>
      </c>
      <c r="AC123" s="104">
        <f si="128" t="shared"/>
        <v>0.48484802743328842</v>
      </c>
      <c r="AD123" s="104">
        <f si="129" t="shared"/>
        <v>5.7924789418824299E-2</v>
      </c>
      <c r="AE123" s="104">
        <f si="130" t="shared"/>
        <v>1.5590714151813221</v>
      </c>
      <c r="AF123" s="104">
        <f si="131" t="shared"/>
        <v>0.43597118318039374</v>
      </c>
      <c r="AG123" s="104">
        <f si="132" t="shared"/>
        <v>-0.44753241081981265</v>
      </c>
      <c r="AH123" s="104">
        <f si="133" t="shared"/>
        <v>-0.51423422564420385</v>
      </c>
      <c r="AI123" s="104">
        <f si="134" t="shared"/>
        <v>-0.24622073353458451</v>
      </c>
      <c r="AJ123" s="104">
        <f si="135" t="shared"/>
        <v>-0.29317061778051196</v>
      </c>
      <c r="AK123" s="104">
        <f si="136" t="shared"/>
        <v>-0.1581674629208889</v>
      </c>
      <c r="AL123" s="104">
        <f si="137" t="shared"/>
        <v>-0.37997081938823479</v>
      </c>
      <c r="AM123" s="104">
        <f si="138" t="shared"/>
        <v>-0.37451134131825348</v>
      </c>
      <c r="AN123" s="104">
        <f si="139" t="shared"/>
        <v>-0.2571755872978147</v>
      </c>
      <c r="AO123" s="104">
        <f si="140" t="shared"/>
        <v>-0.48062827632437066</v>
      </c>
      <c r="AP123" s="104">
        <f si="141" t="shared"/>
        <v>-0.72314257238335333</v>
      </c>
      <c r="AQ123" s="104">
        <f si="142" t="shared"/>
        <v>-0.39841902410581764</v>
      </c>
      <c r="AR123" s="104">
        <f si="143" t="shared"/>
        <v>-0.78575216058947062</v>
      </c>
      <c r="AS123" s="104">
        <f si="144" t="shared"/>
        <v>-0.30441347439702332</v>
      </c>
      <c r="AT123" s="104">
        <f si="145" t="shared"/>
        <v>-0.99260647793445256</v>
      </c>
      <c r="AU123" s="104">
        <f si="146" t="shared"/>
        <v>0</v>
      </c>
      <c r="AV123" s="104">
        <f si="147" t="shared"/>
        <v>0</v>
      </c>
      <c r="CU123" s="95">
        <v>122</v>
      </c>
      <c r="CV123" s="95">
        <f si="109" t="shared"/>
        <v>7</v>
      </c>
      <c r="CW123" s="95">
        <f si="103" t="shared"/>
        <v>2</v>
      </c>
      <c r="CX123" s="58">
        <f si="104" t="shared"/>
        <v>5147.7439391126782</v>
      </c>
      <c r="CY123" s="58">
        <f si="105" t="shared"/>
        <v>5557</v>
      </c>
      <c r="CZ123" s="108">
        <f si="106" t="shared"/>
        <v>409.25606088732184</v>
      </c>
      <c r="DA123" s="78">
        <f si="107" t="shared"/>
        <v>7.9502023746322106E-2</v>
      </c>
    </row>
    <row r="124" spans="26:105" x14ac:dyDescent="0.25">
      <c r="Z124" s="95">
        <v>15</v>
      </c>
      <c r="AA124" s="104">
        <f si="126" t="shared"/>
        <v>1.1662431758472154</v>
      </c>
      <c r="AB124" s="104">
        <f si="127" t="shared"/>
        <v>-0.18536690149722404</v>
      </c>
      <c r="AC124" s="104">
        <f si="128" t="shared"/>
        <v>-0.11412399557322021</v>
      </c>
      <c r="AD124" s="104">
        <f si="129" t="shared"/>
        <v>-0.45569519638546924</v>
      </c>
      <c r="AE124" s="104">
        <f si="130" t="shared"/>
        <v>0.85042215001191312</v>
      </c>
      <c r="AF124" s="104">
        <f si="131" t="shared"/>
        <v>-4.7729826252453679E-2</v>
      </c>
      <c r="AG124" s="104">
        <f si="132" t="shared"/>
        <v>-0.47192986910487245</v>
      </c>
      <c r="AH124" s="104">
        <f si="133" t="shared"/>
        <v>-0.79808512849487467</v>
      </c>
      <c r="AI124" s="104">
        <f si="134" t="shared"/>
        <v>-0.41329705542035322</v>
      </c>
      <c r="AJ124" s="104">
        <f si="135" t="shared"/>
        <v>-0.71671687700907349</v>
      </c>
      <c r="AK124" s="104">
        <f si="136" t="shared"/>
        <v>-0.53808857172963309</v>
      </c>
      <c r="AL124" s="104">
        <f si="137" t="shared"/>
        <v>-0.55992513282316836</v>
      </c>
      <c r="AM124" s="104">
        <f si="138" t="shared"/>
        <v>1.5808285312555559</v>
      </c>
      <c r="AN124" s="104">
        <f si="139" t="shared"/>
        <v>-0.79864913651583869</v>
      </c>
      <c r="AO124" s="104">
        <f si="140" t="shared"/>
        <v>3.0950226136975442E-2</v>
      </c>
      <c r="AP124" s="104">
        <f si="141" t="shared"/>
        <v>-0.93035400084315967</v>
      </c>
      <c r="AQ124" s="104">
        <f si="142" t="shared"/>
        <v>-0.61152545979283379</v>
      </c>
      <c r="AR124" s="104">
        <f si="143" t="shared"/>
        <v>-0.47480066209595811</v>
      </c>
      <c r="AS124" s="104">
        <f si="144" t="shared"/>
        <v>1.3852014134391279E-2</v>
      </c>
      <c r="AT124" s="104">
        <f si="145" t="shared"/>
        <v>-0.96542752559840306</v>
      </c>
      <c r="AU124" s="104">
        <f si="146" t="shared"/>
        <v>0</v>
      </c>
      <c r="AV124" s="104">
        <f si="147" t="shared"/>
        <v>0</v>
      </c>
      <c r="CU124" s="95">
        <v>123</v>
      </c>
      <c r="CV124" s="95">
        <f si="109" t="shared"/>
        <v>7</v>
      </c>
      <c r="CW124" s="95">
        <f si="103" t="shared"/>
        <v>3</v>
      </c>
      <c r="CX124" s="58">
        <f si="104" t="shared"/>
        <v>2271.9360683126047</v>
      </c>
      <c r="CY124" s="58">
        <f si="105" t="shared"/>
        <v>1907</v>
      </c>
      <c r="CZ124" s="108">
        <f si="106" t="shared"/>
        <v>-364.93606831260468</v>
      </c>
      <c r="DA124" s="78">
        <f si="107" t="shared"/>
        <v>-0.16062778940062661</v>
      </c>
    </row>
    <row r="125" spans="26:105" x14ac:dyDescent="0.25">
      <c r="Z125" s="95">
        <v>16</v>
      </c>
      <c r="AA125" s="104">
        <f si="126" t="shared"/>
        <v>1.2125478514962815</v>
      </c>
      <c r="AB125" s="104">
        <f si="127" t="shared"/>
        <v>6.8421291031042107E-3</v>
      </c>
      <c r="AC125" s="104">
        <f si="128" t="shared"/>
        <v>0.23185173763759487</v>
      </c>
      <c r="AD125" s="104">
        <f si="129" t="shared"/>
        <v>9.052569575362053E-2</v>
      </c>
      <c r="AE125" s="104">
        <f si="130" t="shared"/>
        <v>1.2607260566626048</v>
      </c>
      <c r="AF125" s="104">
        <f si="131" t="shared"/>
        <v>-1.1927969757461616E-2</v>
      </c>
      <c r="AG125" s="104">
        <f si="132" t="shared"/>
        <v>-0.43808055286513975</v>
      </c>
      <c r="AH125" s="104">
        <f si="133" t="shared"/>
        <v>-0.27522797235290714</v>
      </c>
      <c r="AI125" s="104">
        <f si="134" t="shared"/>
        <v>-0.53750104328192339</v>
      </c>
      <c r="AJ125" s="104">
        <f si="135" t="shared"/>
        <v>-0.32083833881485097</v>
      </c>
      <c r="AK125" s="104">
        <f si="136" t="shared"/>
        <v>-0.48871280227865976</v>
      </c>
      <c r="AL125" s="104">
        <f si="137" t="shared"/>
        <v>-8.8407853425240185E-2</v>
      </c>
      <c r="AM125" s="104">
        <f si="138" t="shared"/>
        <v>-0.17954103003225713</v>
      </c>
      <c r="AN125" s="104">
        <f si="139" t="shared"/>
        <v>-0.61172927090334317</v>
      </c>
      <c r="AO125" s="104">
        <f si="140" t="shared"/>
        <v>-0.62987276291720562</v>
      </c>
      <c r="AP125" s="104">
        <f si="141" t="shared"/>
        <v>-0.40057979575414993</v>
      </c>
      <c r="AQ125" s="104">
        <f si="142" t="shared"/>
        <v>-0.41759390635501464</v>
      </c>
      <c r="AR125" s="104">
        <f si="143" t="shared"/>
        <v>-0.24151764548560037</v>
      </c>
      <c r="AS125" s="104">
        <f si="144" t="shared"/>
        <v>-0.86455672240814296</v>
      </c>
      <c r="AT125" s="104">
        <f si="145" t="shared"/>
        <v>-0.4219080255671997</v>
      </c>
      <c r="AU125" s="104">
        <f si="146" t="shared"/>
        <v>0</v>
      </c>
      <c r="AV125" s="104">
        <f si="147" t="shared"/>
        <v>0</v>
      </c>
      <c r="CU125" s="95">
        <v>124</v>
      </c>
      <c r="CV125" s="95">
        <f si="109" t="shared"/>
        <v>7</v>
      </c>
      <c r="CW125" s="95">
        <f si="103" t="shared"/>
        <v>4</v>
      </c>
      <c r="CX125" s="58">
        <f si="104" t="shared"/>
        <v>1790.5612400222758</v>
      </c>
      <c r="CY125" s="58">
        <f si="105" t="shared"/>
        <v>1005</v>
      </c>
      <c r="CZ125" s="108">
        <f si="106" t="shared"/>
        <v>-785.5612400222758</v>
      </c>
      <c r="DA125" s="78">
        <f si="107" t="shared"/>
        <v>-0.43872346974991089</v>
      </c>
    </row>
    <row r="126" spans="26:105" x14ac:dyDescent="0.25">
      <c r="Z126" s="95">
        <v>17</v>
      </c>
      <c r="AA126" s="104">
        <f si="126" t="shared"/>
        <v>2.3585030226237591</v>
      </c>
      <c r="AB126" s="104">
        <f si="127" t="shared"/>
        <v>-0.1074699871194926</v>
      </c>
      <c r="AC126" s="104">
        <f si="128" t="shared"/>
        <v>0.89303256632857053</v>
      </c>
      <c r="AD126" s="104">
        <f si="129" t="shared"/>
        <v>-3.1096860564090202E-2</v>
      </c>
      <c r="AE126" s="104">
        <f si="130" t="shared"/>
        <v>1.8243100310829745</v>
      </c>
      <c r="AF126" s="104">
        <f si="131" t="shared"/>
        <v>0.3937090454460227</v>
      </c>
      <c r="AG126" s="104">
        <f si="132" t="shared"/>
        <v>-0.47353803612291617</v>
      </c>
      <c r="AH126" s="104">
        <f si="133" t="shared"/>
        <v>-0.67307434919360232</v>
      </c>
      <c r="AI126" s="104">
        <f si="134" t="shared"/>
        <v>-0.21840999898148605</v>
      </c>
      <c r="AJ126" s="104">
        <f si="135" t="shared"/>
        <v>-0.41437782134496215</v>
      </c>
      <c r="AK126" s="104">
        <f si="136" t="shared"/>
        <v>-0.32517845281385455</v>
      </c>
      <c r="AL126" s="104">
        <f si="137" t="shared"/>
        <v>-0.30739722066316855</v>
      </c>
      <c r="AM126" s="104">
        <f si="138" t="shared"/>
        <v>-0.28218748621414791</v>
      </c>
      <c r="AN126" s="104">
        <f si="139" t="shared"/>
        <v>-0.2192095120285236</v>
      </c>
      <c r="AO126" s="104">
        <f si="140" t="shared"/>
        <v>0.17128915704834491</v>
      </c>
      <c r="AP126" s="104">
        <f si="141" t="shared"/>
        <v>-0.85466452908461354</v>
      </c>
      <c r="AQ126" s="104">
        <f si="142" t="shared"/>
        <v>-0.31254339919141666</v>
      </c>
      <c r="AR126" s="104">
        <f si="143" t="shared"/>
        <v>-0.81809864432046142</v>
      </c>
      <c r="AS126" s="104">
        <f si="144" t="shared"/>
        <v>-0.23089892039126933</v>
      </c>
      <c r="AT126" s="104">
        <f si="145" t="shared"/>
        <v>-0.94552351826464764</v>
      </c>
      <c r="AU126" s="104">
        <f si="146" t="shared"/>
        <v>0</v>
      </c>
      <c r="AV126" s="104">
        <f si="147" t="shared"/>
        <v>0</v>
      </c>
      <c r="CU126" s="95">
        <v>125</v>
      </c>
      <c r="CV126" s="95">
        <f si="109" t="shared"/>
        <v>7</v>
      </c>
      <c r="CW126" s="95">
        <f si="103" t="shared"/>
        <v>5</v>
      </c>
      <c r="CX126" s="58">
        <f si="104" t="shared"/>
        <v>1642.2250603304251</v>
      </c>
      <c r="CY126" s="58">
        <f si="105" t="shared"/>
        <v>2579</v>
      </c>
      <c r="CZ126" s="108">
        <f si="106" t="shared"/>
        <v>936.77493966957491</v>
      </c>
      <c r="DA126" s="78">
        <f si="107" t="shared"/>
        <v>0.5704303035547944</v>
      </c>
    </row>
    <row r="127" spans="26:105" x14ac:dyDescent="0.25">
      <c r="Z127" s="95">
        <v>18</v>
      </c>
      <c r="AA127" s="104">
        <f si="126" t="shared"/>
        <v>1.02052753390333</v>
      </c>
      <c r="AB127" s="104">
        <f si="127" t="shared"/>
        <v>-3.3204321890888663E-2</v>
      </c>
      <c r="AC127" s="104">
        <f si="128" t="shared"/>
        <v>9.3432219891458862E-2</v>
      </c>
      <c r="AD127" s="104">
        <f si="129" t="shared"/>
        <v>-0.44154169646601038</v>
      </c>
      <c r="AE127" s="104">
        <f si="130" t="shared"/>
        <v>0.97410410081427512</v>
      </c>
      <c r="AF127" s="104">
        <f si="131" t="shared"/>
        <v>-7.9547384110617542E-2</v>
      </c>
      <c r="AG127" s="104">
        <f si="132" t="shared"/>
        <v>-0.53745967450910492</v>
      </c>
      <c r="AH127" s="104">
        <f si="133" t="shared"/>
        <v>-0.71578952786341854</v>
      </c>
      <c r="AI127" s="104">
        <f si="134" t="shared"/>
        <v>-0.65083317512266403</v>
      </c>
      <c r="AJ127" s="104">
        <f si="135" t="shared"/>
        <v>-0.57580263071788496</v>
      </c>
      <c r="AK127" s="104">
        <f si="136" t="shared"/>
        <v>-0.69397677707183969</v>
      </c>
      <c r="AL127" s="104">
        <f si="137" t="shared"/>
        <v>-0.19794140670605681</v>
      </c>
      <c r="AM127" s="104">
        <f si="138" t="shared"/>
        <v>1.2228842112815468</v>
      </c>
      <c r="AN127" s="104">
        <f si="139" t="shared"/>
        <v>-0.69068941823179109</v>
      </c>
      <c r="AO127" s="104">
        <f si="140" t="shared"/>
        <v>-0.55160853527571552</v>
      </c>
      <c r="AP127" s="104">
        <f si="141" t="shared"/>
        <v>-0.52212333398774069</v>
      </c>
      <c r="AQ127" s="104">
        <f si="142" t="shared"/>
        <v>-0.78397356193966361</v>
      </c>
      <c r="AR127" s="104">
        <f si="143" t="shared"/>
        <v>0.18207966462994113</v>
      </c>
      <c r="AS127" s="104">
        <f si="144" t="shared"/>
        <v>-0.85836283124418722</v>
      </c>
      <c r="AT127" s="104">
        <f si="145" t="shared"/>
        <v>-0.43289625514582886</v>
      </c>
      <c r="AU127" s="104">
        <f si="146" t="shared"/>
        <v>0</v>
      </c>
      <c r="AV127" s="104">
        <f si="147" t="shared"/>
        <v>0</v>
      </c>
      <c r="CU127" s="95">
        <v>126</v>
      </c>
      <c r="CV127" s="95">
        <f si="109" t="shared"/>
        <v>7</v>
      </c>
      <c r="CW127" s="95">
        <f si="103" t="shared"/>
        <v>6</v>
      </c>
      <c r="CX127" s="58">
        <f si="104" t="shared"/>
        <v>9986.3744198997574</v>
      </c>
      <c r="CY127" s="58">
        <f si="105" t="shared"/>
        <v>9737</v>
      </c>
      <c r="CZ127" s="108">
        <f si="106" t="shared"/>
        <v>-249.37441989975741</v>
      </c>
      <c r="DA127" s="78">
        <f si="107" t="shared"/>
        <v>-2.4971467062443731E-2</v>
      </c>
    </row>
    <row r="128" spans="26:105" x14ac:dyDescent="0.25">
      <c r="Z128" s="95">
        <v>19</v>
      </c>
      <c r="AA128" s="104">
        <f si="126" t="shared"/>
        <v>2.3380009358604599</v>
      </c>
      <c r="AB128" s="104">
        <f si="127" t="shared"/>
        <v>-5.4100927885463029E-2</v>
      </c>
      <c r="AC128" s="104">
        <f si="128" t="shared"/>
        <v>0.81065868380222883</v>
      </c>
      <c r="AD128" s="104">
        <f si="129" t="shared"/>
        <v>-1.9846462811888062E-2</v>
      </c>
      <c r="AE128" s="104">
        <f si="130" t="shared"/>
        <v>1.8363849853136835</v>
      </c>
      <c r="AF128" s="104">
        <f si="131" t="shared"/>
        <v>0.40342464750147272</v>
      </c>
      <c r="AG128" s="104">
        <f si="132" t="shared"/>
        <v>-0.43413905539483183</v>
      </c>
      <c r="AH128" s="104">
        <f si="133" t="shared"/>
        <v>-0.58954775501366752</v>
      </c>
      <c r="AI128" s="104">
        <f si="134" t="shared"/>
        <v>-0.17653527152775078</v>
      </c>
      <c r="AJ128" s="104">
        <f si="135" t="shared"/>
        <v>-0.4656462697546353</v>
      </c>
      <c r="AK128" s="104">
        <f si="136" t="shared"/>
        <v>-0.28735042607645089</v>
      </c>
      <c r="AL128" s="104">
        <f si="137" t="shared"/>
        <v>-0.50627121960030308</v>
      </c>
      <c r="AM128" s="104">
        <f si="138" t="shared"/>
        <v>0.88177465944658573</v>
      </c>
      <c r="AN128" s="104">
        <f si="139" t="shared"/>
        <v>-7.9648900329092359E-2</v>
      </c>
      <c r="AO128" s="104">
        <f si="140" t="shared"/>
        <v>1.2405367111376273</v>
      </c>
      <c r="AP128" s="104">
        <f si="141" t="shared"/>
        <v>-0.84157983526843305</v>
      </c>
      <c r="AQ128" s="104">
        <f si="142" t="shared"/>
        <v>-0.4355307736982611</v>
      </c>
      <c r="AR128" s="104">
        <f si="143" t="shared"/>
        <v>-0.72003332956921362</v>
      </c>
      <c r="AS128" s="104">
        <f si="144" t="shared"/>
        <v>-0.21913441938538264</v>
      </c>
      <c r="AT128" s="104">
        <f si="145" t="shared"/>
        <v>-0.9727904297216774</v>
      </c>
      <c r="AU128" s="104">
        <f si="146" t="shared"/>
        <v>0</v>
      </c>
      <c r="AV128" s="104">
        <f si="147" t="shared"/>
        <v>0</v>
      </c>
      <c r="CU128" s="95">
        <v>127</v>
      </c>
      <c r="CV128" s="95">
        <f si="109" t="shared"/>
        <v>7</v>
      </c>
      <c r="CW128" s="95">
        <f si="103" t="shared"/>
        <v>7</v>
      </c>
      <c r="CX128" s="58">
        <f si="104" t="shared"/>
        <v>17574.487766846112</v>
      </c>
      <c r="CY128" s="58">
        <f si="105" t="shared"/>
        <v>13358</v>
      </c>
      <c r="CZ128" s="108">
        <f si="106" t="shared"/>
        <v>-4216.4877668461122</v>
      </c>
      <c r="DA128" s="78">
        <f si="107" t="shared"/>
        <v>-0.23992094806884923</v>
      </c>
    </row>
    <row r="129" spans="26:105" x14ac:dyDescent="0.25">
      <c r="Z129" s="95">
        <v>20</v>
      </c>
      <c r="AA129" s="104">
        <f si="126" t="shared"/>
        <v>0.98955025193636037</v>
      </c>
      <c r="AB129" s="104">
        <f si="127" t="shared"/>
        <v>-0.17686949677881345</v>
      </c>
      <c r="AC129" s="104">
        <f si="128" t="shared"/>
        <v>-0.13829269923472956</v>
      </c>
      <c r="AD129" s="104">
        <f si="129" t="shared"/>
        <v>-0.50380716361989886</v>
      </c>
      <c r="AE129" s="104">
        <f si="130" t="shared"/>
        <v>0.70936046590462221</v>
      </c>
      <c r="AF129" s="104">
        <f si="131" t="shared"/>
        <v>0.35483217552630736</v>
      </c>
      <c r="AG129" s="104">
        <f si="132" t="shared"/>
        <v>-0.63445034079339391</v>
      </c>
      <c r="AH129" s="104">
        <f si="133" t="shared"/>
        <v>-0.8381603597620717</v>
      </c>
      <c r="AI129" s="104">
        <f si="134" t="shared"/>
        <v>-0.73746108138505306</v>
      </c>
      <c r="AJ129" s="104">
        <f si="135" t="shared"/>
        <v>-0.58878018684999123</v>
      </c>
      <c r="AK129" s="104">
        <f si="136" t="shared"/>
        <v>-0.73107039826158637</v>
      </c>
      <c r="AL129" s="104">
        <f si="137" t="shared"/>
        <v>4.9728035053259845E-2</v>
      </c>
      <c r="AM129" s="104">
        <f si="138" t="shared"/>
        <v>0.55683891709587197</v>
      </c>
      <c r="AN129" s="104">
        <f si="139" t="shared"/>
        <v>-0.90183081383686792</v>
      </c>
      <c r="AO129" s="104">
        <f si="140" t="shared"/>
        <v>-0.73423096024024714</v>
      </c>
      <c r="AP129" s="104">
        <f si="141" t="shared"/>
        <v>0.32483487313486986</v>
      </c>
      <c r="AQ129" s="104">
        <f si="142" t="shared"/>
        <v>-0.85941202969230468</v>
      </c>
      <c r="AR129" s="104">
        <f si="143" t="shared"/>
        <v>-0.14586443391531975</v>
      </c>
      <c r="AS129" s="104">
        <f si="144" t="shared"/>
        <v>-0.90058422099670121</v>
      </c>
      <c r="AT129" s="104">
        <f si="145" t="shared"/>
        <v>7.7724821184218487E-2</v>
      </c>
      <c r="AU129" s="104">
        <f si="146" t="shared"/>
        <v>0</v>
      </c>
      <c r="AV129" s="104">
        <f si="147" t="shared"/>
        <v>0</v>
      </c>
      <c r="CU129" s="95">
        <v>128</v>
      </c>
      <c r="CV129" s="95">
        <f si="109" t="shared"/>
        <v>7</v>
      </c>
      <c r="CW129" s="95">
        <f si="103" t="shared"/>
        <v>8</v>
      </c>
      <c r="CX129" s="58">
        <f si="104" t="shared"/>
        <v>319.64054204566548</v>
      </c>
      <c r="CY129" s="58">
        <f si="105" t="shared"/>
        <v>86</v>
      </c>
      <c r="CZ129" s="108">
        <f si="106" t="shared"/>
        <v>-233.64054204566548</v>
      </c>
      <c r="DA129" s="78">
        <f si="107" t="shared"/>
        <v>-0.73094777198909389</v>
      </c>
    </row>
    <row r="130" spans="26:105" x14ac:dyDescent="0.25">
      <c r="Z130" s="101" t="s">
        <v>15</v>
      </c>
      <c r="AA130" s="105">
        <f si="126" t="shared"/>
        <v>0</v>
      </c>
      <c r="AB130" s="105">
        <f si="127" t="shared"/>
        <v>0</v>
      </c>
      <c r="AC130" s="105">
        <f si="128" t="shared"/>
        <v>0</v>
      </c>
      <c r="AD130" s="105">
        <f si="129" t="shared"/>
        <v>0</v>
      </c>
      <c r="AE130" s="105">
        <f si="130" t="shared"/>
        <v>0</v>
      </c>
      <c r="AF130" s="105">
        <f si="131" t="shared"/>
        <v>0</v>
      </c>
      <c r="AG130" s="105">
        <f si="132" t="shared"/>
        <v>0</v>
      </c>
      <c r="AH130" s="105">
        <f si="133" t="shared"/>
        <v>0</v>
      </c>
      <c r="AI130" s="105">
        <f si="134" t="shared"/>
        <v>0</v>
      </c>
      <c r="AJ130" s="105">
        <f si="135" t="shared"/>
        <v>0</v>
      </c>
      <c r="AK130" s="105">
        <f si="136" t="shared"/>
        <v>0</v>
      </c>
      <c r="AL130" s="105">
        <f si="137" t="shared"/>
        <v>0</v>
      </c>
      <c r="AM130" s="105">
        <f si="138" t="shared"/>
        <v>0</v>
      </c>
      <c r="AN130" s="105">
        <f si="139" t="shared"/>
        <v>0</v>
      </c>
      <c r="AO130" s="105">
        <f si="140" t="shared"/>
        <v>0</v>
      </c>
      <c r="AP130" s="105">
        <f si="141" t="shared"/>
        <v>0</v>
      </c>
      <c r="AQ130" s="105">
        <f si="142" t="shared"/>
        <v>0</v>
      </c>
      <c r="AR130" s="105">
        <f si="143" t="shared"/>
        <v>0</v>
      </c>
      <c r="AS130" s="105">
        <f si="144" t="shared"/>
        <v>0</v>
      </c>
      <c r="AT130" s="105">
        <f si="145" t="shared"/>
        <v>0</v>
      </c>
      <c r="AU130" s="105">
        <f si="146" t="shared"/>
        <v>0</v>
      </c>
      <c r="AV130" s="105">
        <f si="147" t="shared"/>
        <v>0</v>
      </c>
      <c r="CU130" s="95">
        <v>129</v>
      </c>
      <c r="CV130" s="95">
        <f si="109" t="shared"/>
        <v>7</v>
      </c>
      <c r="CW130" s="95">
        <f si="103" t="shared"/>
        <v>9</v>
      </c>
      <c r="CX130" s="58">
        <f si="104" t="shared"/>
        <v>5097.97954334509</v>
      </c>
      <c r="CY130" s="58">
        <f si="105" t="shared"/>
        <v>3513</v>
      </c>
      <c r="CZ130" s="108">
        <f si="106" t="shared"/>
        <v>-1584.97954334509</v>
      </c>
      <c r="DA130" s="78">
        <f si="107" t="shared"/>
        <v>-0.31090347261477824</v>
      </c>
    </row>
    <row ht="15.75" r="131" spans="26:105" thickBot="1" x14ac:dyDescent="0.3">
      <c r="Z131" s="1" t="s">
        <v>3</v>
      </c>
      <c r="AA131" s="106">
        <f si="126" t="shared"/>
        <v>1.1833176130847725</v>
      </c>
      <c r="AB131" s="106">
        <f si="127" t="shared"/>
        <v>0.13655380252200885</v>
      </c>
      <c r="AC131" s="106">
        <f si="128" t="shared"/>
        <v>0.14369092158972921</v>
      </c>
      <c r="AD131" s="106">
        <f si="129" t="shared"/>
        <v>-0.20436663048386894</v>
      </c>
      <c r="AE131" s="106">
        <f si="130" t="shared"/>
        <v>0.99460761994161329</v>
      </c>
      <c r="AF131" s="106">
        <f si="131" t="shared"/>
        <v>3.8437885256028474E-2</v>
      </c>
      <c r="AG131" s="106">
        <f si="132" t="shared"/>
        <v>-0.30077911853536965</v>
      </c>
      <c r="AH131" s="106">
        <f si="133" t="shared"/>
        <v>-0.60113358677757256</v>
      </c>
      <c r="AI131" s="106">
        <f si="134" t="shared"/>
        <v>-0.33401622730194763</v>
      </c>
      <c r="AJ131" s="106">
        <f si="135" t="shared"/>
        <v>-0.45095242492560378</v>
      </c>
      <c r="AK131" s="106">
        <f si="136" t="shared"/>
        <v>-0.36136881592369913</v>
      </c>
      <c r="AL131" s="106">
        <f si="137" t="shared"/>
        <v>-0.33447679529083957</v>
      </c>
      <c r="AM131" s="106">
        <f si="138" t="shared"/>
        <v>0.76389869013884815</v>
      </c>
      <c r="AN131" s="106">
        <f si="139" t="shared"/>
        <v>-0.30505217179731881</v>
      </c>
      <c r="AO131" s="106">
        <f si="140" t="shared"/>
        <v>-2.2959063509037581E-2</v>
      </c>
      <c r="AP131" s="106">
        <f si="141" t="shared"/>
        <v>-0.58418831881485589</v>
      </c>
      <c r="AQ131" s="106">
        <f si="142" t="shared"/>
        <v>-0.43265741051771833</v>
      </c>
      <c r="AR131" s="106">
        <f si="143" t="shared"/>
        <v>-0.14522632275737382</v>
      </c>
      <c r="AS131" s="106">
        <f si="144" t="shared"/>
        <v>-0.35049577596244735</v>
      </c>
      <c r="AT131" s="106">
        <f si="145" t="shared"/>
        <v>-0.16772177810818478</v>
      </c>
      <c r="AU131" s="106">
        <f si="146" t="shared"/>
        <v>0</v>
      </c>
      <c r="AV131" s="106">
        <f si="147" t="shared"/>
        <v>0</v>
      </c>
      <c r="CU131" s="95">
        <v>130</v>
      </c>
      <c r="CV131" s="95">
        <f si="109" t="shared"/>
        <v>7</v>
      </c>
      <c r="CW131" s="95">
        <f ref="CW131:CW194" si="148" t="shared">MOD(ROW()-2,$CS$2)+1</f>
        <v>10</v>
      </c>
      <c r="CX131" s="58">
        <f ref="CX131:CX194" si="149" t="shared">VLOOKUP($CV131,$B$30:$V$49,MATCH($CW131,$B$29:$V$29,0),0)</f>
        <v>1246.0239094115464</v>
      </c>
      <c r="CY131" s="58">
        <f ref="CY131:CY194" si="150" t="shared">VLOOKUP($CV131,$AY$30:$BS$49,MATCH($CW131,$AY$29:$BS$29,0),0)</f>
        <v>482</v>
      </c>
      <c r="CZ131" s="108">
        <f ref="CZ131:CZ194" si="151" t="shared">CY131-CX131</f>
        <v>-764.02390941154636</v>
      </c>
      <c r="DA131" s="78">
        <f ref="DA131:DA194" si="152" t="shared">CZ131/CX131</f>
        <v>-0.61316954164416337</v>
      </c>
    </row>
    <row r="132" spans="26:105" x14ac:dyDescent="0.25">
      <c r="CU132" s="95">
        <v>131</v>
      </c>
      <c r="CV132" s="95">
        <f ref="CV132:CV195" si="153" t="shared">IF(CW131&lt;$CS$2,CV131,CV131+1)</f>
        <v>7</v>
      </c>
      <c r="CW132" s="95">
        <f si="148" t="shared"/>
        <v>11</v>
      </c>
      <c r="CX132" s="58">
        <f si="149" t="shared"/>
        <v>2577.2214961945424</v>
      </c>
      <c r="CY132" s="58">
        <f si="150" t="shared"/>
        <v>672</v>
      </c>
      <c r="CZ132" s="108">
        <f si="151" t="shared"/>
        <v>-1905.2214961945424</v>
      </c>
      <c r="DA132" s="78">
        <f si="152" t="shared"/>
        <v>-0.73925407614663408</v>
      </c>
    </row>
    <row r="133" spans="26:105" x14ac:dyDescent="0.25">
      <c r="CU133" s="95">
        <v>132</v>
      </c>
      <c r="CV133" s="95">
        <f si="153" t="shared"/>
        <v>7</v>
      </c>
      <c r="CW133" s="95">
        <f si="148" t="shared"/>
        <v>12</v>
      </c>
      <c r="CX133" s="58">
        <f si="149" t="shared"/>
        <v>15574.341860033413</v>
      </c>
      <c r="CY133" s="58">
        <f si="150" t="shared"/>
        <v>11773</v>
      </c>
      <c r="CZ133" s="108">
        <f si="151" t="shared"/>
        <v>-3801.3418600334135</v>
      </c>
      <c r="DA133" s="78">
        <f si="152" t="shared"/>
        <v>-0.24407720686986756</v>
      </c>
    </row>
    <row ht="15.75" r="134" spans="26:105" thickBot="1" x14ac:dyDescent="0.3">
      <c r="Z134" s="23" t="s">
        <v>371</v>
      </c>
      <c r="AA134" s="24"/>
      <c r="AB134" s="24"/>
      <c r="AC134" s="24"/>
      <c r="AD134" s="24"/>
      <c r="AE134" s="24"/>
      <c r="AF134" s="24"/>
      <c r="AG134" s="24"/>
      <c r="AH134" s="24"/>
      <c r="AI134" s="24"/>
      <c r="AJ134" s="95"/>
      <c r="AK134" s="95"/>
      <c r="AL134" s="95"/>
      <c r="AM134" s="95"/>
      <c r="AN134" s="95"/>
      <c r="AO134" s="95"/>
      <c r="AP134" s="95"/>
      <c r="AQ134" s="95"/>
      <c r="AR134" s="95"/>
      <c r="AS134" s="95"/>
      <c r="AT134" s="95"/>
      <c r="AU134" s="95"/>
      <c r="AV134" s="95"/>
      <c r="CU134" s="95">
        <v>133</v>
      </c>
      <c r="CV134" s="95">
        <f si="153" t="shared"/>
        <v>7</v>
      </c>
      <c r="CW134" s="95">
        <f si="148" t="shared"/>
        <v>13</v>
      </c>
      <c r="CX134" s="58">
        <f si="149" t="shared"/>
        <v>5368.8126972340824</v>
      </c>
      <c r="CY134" s="58">
        <f si="150" t="shared"/>
        <v>14128</v>
      </c>
      <c r="CZ134" s="108">
        <f si="151" t="shared"/>
        <v>8759.1873027659167</v>
      </c>
      <c r="DA134" s="78">
        <f si="152" t="shared"/>
        <v>1.6314942980369749</v>
      </c>
    </row>
    <row r="135" spans="26:105" x14ac:dyDescent="0.25">
      <c r="Z135" s="2" t="s">
        <v>14</v>
      </c>
      <c r="AA135" s="2">
        <v>1</v>
      </c>
      <c r="AB135" s="2">
        <v>2</v>
      </c>
      <c r="AC135" s="2">
        <v>3</v>
      </c>
      <c r="AD135" s="2">
        <v>4</v>
      </c>
      <c r="AE135" s="2">
        <v>5</v>
      </c>
      <c r="AF135" s="2">
        <v>6</v>
      </c>
      <c r="AG135" s="2">
        <v>7</v>
      </c>
      <c r="AH135" s="2">
        <v>8</v>
      </c>
      <c r="AI135" s="2">
        <v>9</v>
      </c>
      <c r="AJ135" s="2">
        <v>10</v>
      </c>
      <c r="AK135" s="2">
        <v>11</v>
      </c>
      <c r="AL135" s="2">
        <v>12</v>
      </c>
      <c r="AM135" s="2">
        <v>13</v>
      </c>
      <c r="AN135" s="2">
        <v>14</v>
      </c>
      <c r="AO135" s="2">
        <v>15</v>
      </c>
      <c r="AP135" s="2">
        <v>16</v>
      </c>
      <c r="AQ135" s="2">
        <v>17</v>
      </c>
      <c r="AR135" s="2">
        <v>18</v>
      </c>
      <c r="AS135" s="2">
        <v>19</v>
      </c>
      <c r="AT135" s="2">
        <v>20</v>
      </c>
      <c r="AU135" s="3" t="s">
        <v>15</v>
      </c>
      <c r="AV135" s="3" t="s">
        <v>3</v>
      </c>
      <c r="CU135" s="95">
        <v>134</v>
      </c>
      <c r="CV135" s="95">
        <f si="153" t="shared"/>
        <v>7</v>
      </c>
      <c r="CW135" s="95">
        <f si="148" t="shared"/>
        <v>14</v>
      </c>
      <c r="CX135" s="58">
        <f si="149" t="shared"/>
        <v>247.86497122702801</v>
      </c>
      <c r="CY135" s="58">
        <f si="150" t="shared"/>
        <v>71</v>
      </c>
      <c r="CZ135" s="108">
        <f si="151" t="shared"/>
        <v>-176.86497122702801</v>
      </c>
      <c r="DA135" s="78">
        <f si="152" t="shared"/>
        <v>-0.71355371576498938</v>
      </c>
    </row>
    <row r="136" spans="26:105" x14ac:dyDescent="0.25">
      <c r="Z136" s="31">
        <v>1</v>
      </c>
      <c r="AA136" s="103">
        <f>ABS(AA110)</f>
        <v>0.78669874575341581</v>
      </c>
      <c r="AB136" s="103">
        <f ref="AB136:AV136" si="154" t="shared">ABS(AB110)</f>
        <v>0.10563972054800473</v>
      </c>
      <c r="AC136" s="103">
        <f si="154" t="shared"/>
        <v>5.7065796584658567E-2</v>
      </c>
      <c r="AD136" s="103">
        <f si="154" t="shared"/>
        <v>5.0736261214620972E-2</v>
      </c>
      <c r="AE136" s="103">
        <f si="154" t="shared"/>
        <v>1.1037221823575589</v>
      </c>
      <c r="AF136" s="103">
        <f si="154" t="shared"/>
        <v>0.18946619084533983</v>
      </c>
      <c r="AG136" s="103">
        <f si="154" t="shared"/>
        <v>0.40944120333013573</v>
      </c>
      <c r="AH136" s="103">
        <f si="154" t="shared"/>
        <v>7.6739888812781515E-2</v>
      </c>
      <c r="AI136" s="103">
        <f si="154" t="shared"/>
        <v>0.51961651208990034</v>
      </c>
      <c r="AJ136" s="103">
        <f si="154" t="shared"/>
        <v>0.61422638986150779</v>
      </c>
      <c r="AK136" s="103">
        <f si="154" t="shared"/>
        <v>0.47357976116518252</v>
      </c>
      <c r="AL136" s="103">
        <f si="154" t="shared"/>
        <v>0.56761684833982939</v>
      </c>
      <c r="AM136" s="103">
        <f si="154" t="shared"/>
        <v>0.36367909488638445</v>
      </c>
      <c r="AN136" s="103">
        <f si="154" t="shared"/>
        <v>0.47357976116518247</v>
      </c>
      <c r="AO136" s="103">
        <f si="154" t="shared"/>
        <v>0.47721024557093983</v>
      </c>
      <c r="AP136" s="103">
        <f si="154" t="shared"/>
        <v>0.85136369727016925</v>
      </c>
      <c r="AQ136" s="103">
        <f si="154" t="shared"/>
        <v>0.45853918291275908</v>
      </c>
      <c r="AR136" s="103">
        <f si="154" t="shared"/>
        <v>8.1157401306500371E-2</v>
      </c>
      <c r="AS136" s="103">
        <f si="154" t="shared"/>
        <v>0.84685956688441677</v>
      </c>
      <c r="AT136" s="103">
        <f si="154" t="shared"/>
        <v>1</v>
      </c>
      <c r="AU136" s="103">
        <f si="154" t="shared"/>
        <v>0</v>
      </c>
      <c r="AV136" s="103">
        <f si="154" t="shared"/>
        <v>0</v>
      </c>
      <c r="CU136" s="95">
        <v>135</v>
      </c>
      <c r="CV136" s="95">
        <f si="153" t="shared"/>
        <v>7</v>
      </c>
      <c r="CW136" s="95">
        <f si="148" t="shared"/>
        <v>15</v>
      </c>
      <c r="CX136" s="58">
        <f si="149" t="shared"/>
        <v>1561.836421013551</v>
      </c>
      <c r="CY136" s="58">
        <f si="150" t="shared"/>
        <v>1121</v>
      </c>
      <c r="CZ136" s="108">
        <f si="151" t="shared"/>
        <v>-440.83642101355099</v>
      </c>
      <c r="DA136" s="78">
        <f si="152" t="shared"/>
        <v>-0.28225518055691834</v>
      </c>
    </row>
    <row r="137" spans="26:105" x14ac:dyDescent="0.25">
      <c r="Z137" s="95">
        <v>2</v>
      </c>
      <c r="AA137" s="104">
        <f ref="AA137:AV137" si="155" t="shared">ABS(AA111)</f>
        <v>0.92820518471672109</v>
      </c>
      <c r="AB137" s="104">
        <f si="155" t="shared"/>
        <v>0.18804631636503377</v>
      </c>
      <c r="AC137" s="104">
        <f si="155" t="shared"/>
        <v>9.8627708318942575E-2</v>
      </c>
      <c r="AD137" s="104">
        <f si="155" t="shared"/>
        <v>7.5393577819089189E-2</v>
      </c>
      <c r="AE137" s="104">
        <f si="155" t="shared"/>
        <v>0.83312718646687967</v>
      </c>
      <c r="AF137" s="104">
        <f si="155" t="shared"/>
        <v>1.6167658525491492E-2</v>
      </c>
      <c r="AG137" s="104">
        <f si="155" t="shared"/>
        <v>0.15428848577758839</v>
      </c>
      <c r="AH137" s="104">
        <f si="155" t="shared"/>
        <v>0.640057047893413</v>
      </c>
      <c r="AI137" s="104">
        <f si="155" t="shared"/>
        <v>0.33107192849509764</v>
      </c>
      <c r="AJ137" s="104">
        <f si="155" t="shared"/>
        <v>0.5140344394505526</v>
      </c>
      <c r="AK137" s="104">
        <f si="155" t="shared"/>
        <v>0.66634830069473883</v>
      </c>
      <c r="AL137" s="104">
        <f si="155" t="shared"/>
        <v>0.31141751813556823</v>
      </c>
      <c r="AM137" s="104">
        <f si="155" t="shared"/>
        <v>0.93703065946970088</v>
      </c>
      <c r="AN137" s="104">
        <f si="155" t="shared"/>
        <v>0.5857523085040246</v>
      </c>
      <c r="AO137" s="104">
        <f si="155" t="shared"/>
        <v>0.36260102231125224</v>
      </c>
      <c r="AP137" s="104">
        <f si="155" t="shared"/>
        <v>0.9193803664583402</v>
      </c>
      <c r="AQ137" s="104">
        <f si="155" t="shared"/>
        <v>0.75276645713890999</v>
      </c>
      <c r="AR137" s="104">
        <f si="155" t="shared"/>
        <v>0.4616688986089168</v>
      </c>
      <c r="AS137" s="104">
        <f si="155" t="shared"/>
        <v>0.75768303327535214</v>
      </c>
      <c r="AT137" s="104">
        <f si="155" t="shared"/>
        <v>0.89698602380787917</v>
      </c>
      <c r="AU137" s="104">
        <f si="155" t="shared"/>
        <v>0</v>
      </c>
      <c r="AV137" s="104">
        <f si="155" t="shared"/>
        <v>0</v>
      </c>
      <c r="CU137" s="95">
        <v>136</v>
      </c>
      <c r="CV137" s="95">
        <f si="153" t="shared"/>
        <v>7</v>
      </c>
      <c r="CW137" s="95">
        <f si="148" t="shared"/>
        <v>16</v>
      </c>
      <c r="CX137" s="58">
        <f si="149" t="shared"/>
        <v>200.01459068126971</v>
      </c>
      <c r="CY137" s="58">
        <f si="150" t="shared"/>
        <v>29</v>
      </c>
      <c r="CZ137" s="108">
        <f si="151" t="shared"/>
        <v>-171.01459068126971</v>
      </c>
      <c r="DA137" s="78">
        <f si="152" t="shared"/>
        <v>-0.85501057747225795</v>
      </c>
    </row>
    <row r="138" spans="26:105" x14ac:dyDescent="0.25">
      <c r="Z138" s="95">
        <v>3</v>
      </c>
      <c r="AA138" s="104">
        <f ref="AA138:AV138" si="156" t="shared">ABS(AA112)</f>
        <v>0.87575627802879974</v>
      </c>
      <c r="AB138" s="104">
        <f si="156" t="shared"/>
        <v>0.24980479939890096</v>
      </c>
      <c r="AC138" s="104">
        <f si="156" t="shared"/>
        <v>4.1249978734880254E-2</v>
      </c>
      <c r="AD138" s="104">
        <f si="156" t="shared"/>
        <v>0.22178314870762014</v>
      </c>
      <c r="AE138" s="104">
        <f si="156" t="shared"/>
        <v>0.64436052366565955</v>
      </c>
      <c r="AF138" s="104">
        <f si="156" t="shared"/>
        <v>9.8389980790776113E-2</v>
      </c>
      <c r="AG138" s="104">
        <f si="156" t="shared"/>
        <v>0.33144994588605814</v>
      </c>
      <c r="AH138" s="104">
        <f si="156" t="shared"/>
        <v>0.65954375944108778</v>
      </c>
      <c r="AI138" s="104">
        <f si="156" t="shared"/>
        <v>0.36316089907603533</v>
      </c>
      <c r="AJ138" s="104">
        <f si="156" t="shared"/>
        <v>0.50646392646251048</v>
      </c>
      <c r="AK138" s="104">
        <f si="156" t="shared"/>
        <v>0.35852260466119984</v>
      </c>
      <c r="AL138" s="104">
        <f si="156" t="shared"/>
        <v>0.35501106641518265</v>
      </c>
      <c r="AM138" s="104">
        <f si="156" t="shared"/>
        <v>0.27201812688821736</v>
      </c>
      <c r="AN138" s="104">
        <f si="156" t="shared"/>
        <v>0.51424292078447442</v>
      </c>
      <c r="AO138" s="104">
        <f si="156" t="shared"/>
        <v>0.45344173923345782</v>
      </c>
      <c r="AP138" s="104">
        <f si="156" t="shared"/>
        <v>0.7504672538276409</v>
      </c>
      <c r="AQ138" s="104">
        <f si="156" t="shared"/>
        <v>0.4490960919988306</v>
      </c>
      <c r="AR138" s="104">
        <f si="156" t="shared"/>
        <v>0.61132779456193365</v>
      </c>
      <c r="AS138" s="104">
        <f si="156" t="shared"/>
        <v>0.679460973651</v>
      </c>
      <c r="AT138" s="104">
        <f si="156" t="shared"/>
        <v>0.93633542908467382</v>
      </c>
      <c r="AU138" s="104">
        <f si="156" t="shared"/>
        <v>0</v>
      </c>
      <c r="AV138" s="104">
        <f si="156" t="shared"/>
        <v>0</v>
      </c>
      <c r="CU138" s="95">
        <v>137</v>
      </c>
      <c r="CV138" s="95">
        <f si="153" t="shared"/>
        <v>7</v>
      </c>
      <c r="CW138" s="95">
        <f si="148" t="shared"/>
        <v>17</v>
      </c>
      <c r="CX138" s="58">
        <f si="149" t="shared"/>
        <v>189.48750696120288</v>
      </c>
      <c r="CY138" s="58">
        <f si="150" t="shared"/>
        <v>44</v>
      </c>
      <c r="CZ138" s="108">
        <f si="151" t="shared"/>
        <v>-145.48750696120288</v>
      </c>
      <c r="DA138" s="78">
        <f si="152" t="shared"/>
        <v>-0.76779471794407583</v>
      </c>
    </row>
    <row r="139" spans="26:105" x14ac:dyDescent="0.25">
      <c r="Z139" s="95">
        <v>4</v>
      </c>
      <c r="AA139" s="104">
        <f ref="AA139:AV139" si="157" t="shared">ABS(AA113)</f>
        <v>1.2114612429968428</v>
      </c>
      <c r="AB139" s="104">
        <f si="157" t="shared"/>
        <v>8.0509762153966099E-3</v>
      </c>
      <c r="AC139" s="104">
        <f si="157" t="shared"/>
        <v>6.8128205192758445E-2</v>
      </c>
      <c r="AD139" s="104">
        <f si="157" t="shared"/>
        <v>8.3361511145512851E-2</v>
      </c>
      <c r="AE139" s="104">
        <f si="157" t="shared"/>
        <v>0.56845171409365902</v>
      </c>
      <c r="AF139" s="104">
        <f si="157" t="shared"/>
        <v>6.7592856026911924E-2</v>
      </c>
      <c r="AG139" s="104">
        <f si="157" t="shared"/>
        <v>0.52200761819403985</v>
      </c>
      <c r="AH139" s="104">
        <f si="157" t="shared"/>
        <v>0.40548211218164171</v>
      </c>
      <c r="AI139" s="104">
        <f si="157" t="shared"/>
        <v>0.58243310556379868</v>
      </c>
      <c r="AJ139" s="104">
        <f si="157" t="shared"/>
        <v>0.35659602591541067</v>
      </c>
      <c r="AK139" s="104">
        <f si="157" t="shared"/>
        <v>0.39414054016787609</v>
      </c>
      <c r="AL139" s="104">
        <f si="157" t="shared"/>
        <v>0.41522830706390984</v>
      </c>
      <c r="AM139" s="104">
        <f si="157" t="shared"/>
        <v>0.10912852546203355</v>
      </c>
      <c r="AN139" s="104">
        <f si="157" t="shared"/>
        <v>0.3058601958445113</v>
      </c>
      <c r="AO139" s="104">
        <f si="157" t="shared"/>
        <v>0.64644599945669312</v>
      </c>
      <c r="AP139" s="104">
        <f si="157" t="shared"/>
        <v>0.61356337291806706</v>
      </c>
      <c r="AQ139" s="104">
        <f si="157" t="shared"/>
        <v>0.46011348565684212</v>
      </c>
      <c r="AR139" s="104">
        <f si="157" t="shared"/>
        <v>0.8111531415165214</v>
      </c>
      <c r="AS139" s="104">
        <f si="157" t="shared"/>
        <v>0.68787810889536183</v>
      </c>
      <c r="AT139" s="104">
        <f si="157" t="shared"/>
        <v>0.88109642243632835</v>
      </c>
      <c r="AU139" s="104">
        <f si="157" t="shared"/>
        <v>0</v>
      </c>
      <c r="AV139" s="104">
        <f si="157" t="shared"/>
        <v>0</v>
      </c>
      <c r="CU139" s="95">
        <v>138</v>
      </c>
      <c r="CV139" s="95">
        <f si="153" t="shared"/>
        <v>7</v>
      </c>
      <c r="CW139" s="95">
        <f si="148" t="shared"/>
        <v>18</v>
      </c>
      <c r="CX139" s="58">
        <f si="149" t="shared"/>
        <v>726.36877668461113</v>
      </c>
      <c r="CY139" s="58">
        <f si="150" t="shared"/>
        <v>388</v>
      </c>
      <c r="CZ139" s="108">
        <f si="151" t="shared"/>
        <v>-338.36877668461113</v>
      </c>
      <c r="DA139" s="78">
        <f si="152" t="shared"/>
        <v>-0.465836070527479</v>
      </c>
    </row>
    <row r="140" spans="26:105" x14ac:dyDescent="0.25">
      <c r="Z140" s="95">
        <v>5</v>
      </c>
      <c r="AA140" s="104">
        <f ref="AA140:AV140" si="158" t="shared">ABS(AA114)</f>
        <v>0.73440552111131729</v>
      </c>
      <c r="AB140" s="104">
        <f si="158" t="shared"/>
        <v>9.7692876416280744E-2</v>
      </c>
      <c r="AC140" s="104">
        <f si="158" t="shared"/>
        <v>9.8880871172571674E-2</v>
      </c>
      <c r="AD140" s="104">
        <f si="158" t="shared"/>
        <v>0.15573787914213447</v>
      </c>
      <c r="AE140" s="104">
        <f si="158" t="shared"/>
        <v>1.0417803483898462</v>
      </c>
      <c r="AF140" s="104">
        <f si="158" t="shared"/>
        <v>0.13474405181143881</v>
      </c>
      <c r="AG140" s="104">
        <f si="158" t="shared"/>
        <v>0.51672141120602177</v>
      </c>
      <c r="AH140" s="104">
        <f si="158" t="shared"/>
        <v>0.55878408703060201</v>
      </c>
      <c r="AI140" s="104">
        <f si="158" t="shared"/>
        <v>0.55300800716314502</v>
      </c>
      <c r="AJ140" s="104">
        <f si="158" t="shared"/>
        <v>0.30368903064879138</v>
      </c>
      <c r="AK140" s="104">
        <f si="158" t="shared"/>
        <v>0.53606422769393636</v>
      </c>
      <c r="AL140" s="104">
        <f si="158" t="shared"/>
        <v>0.4935540709895152</v>
      </c>
      <c r="AM140" s="104">
        <f si="158" t="shared"/>
        <v>0.32840617730628552</v>
      </c>
      <c r="AN140" s="104">
        <f si="158" t="shared"/>
        <v>0.63706432965420501</v>
      </c>
      <c r="AO140" s="104">
        <f si="158" t="shared"/>
        <v>0.63677967422648274</v>
      </c>
      <c r="AP140" s="104">
        <f si="158" t="shared"/>
        <v>0.64321578169396409</v>
      </c>
      <c r="AQ140" s="104">
        <f si="158" t="shared"/>
        <v>0.71697117472193461</v>
      </c>
      <c r="AR140" s="104">
        <f si="158" t="shared"/>
        <v>0.8266448445171849</v>
      </c>
      <c r="AS140" s="104">
        <f si="158" t="shared"/>
        <v>0.6642030886531427</v>
      </c>
      <c r="AT140" s="104">
        <f si="158" t="shared"/>
        <v>0.75234977788169277</v>
      </c>
      <c r="AU140" s="104">
        <f si="158" t="shared"/>
        <v>0</v>
      </c>
      <c r="AV140" s="104">
        <f si="158" t="shared"/>
        <v>0</v>
      </c>
      <c r="CU140" s="95">
        <v>139</v>
      </c>
      <c r="CV140" s="95">
        <f si="153" t="shared"/>
        <v>7</v>
      </c>
      <c r="CW140" s="95">
        <f si="148" t="shared"/>
        <v>19</v>
      </c>
      <c r="CX140" s="58">
        <f si="149" t="shared"/>
        <v>454.57861518470395</v>
      </c>
      <c r="CY140" s="58">
        <f si="150" t="shared"/>
        <v>111</v>
      </c>
      <c r="CZ140" s="108">
        <f si="151" t="shared"/>
        <v>-343.57861518470395</v>
      </c>
      <c r="DA140" s="78">
        <f si="152" t="shared"/>
        <v>-0.75581781392224401</v>
      </c>
    </row>
    <row r="141" spans="26:105" x14ac:dyDescent="0.25">
      <c r="Z141" s="95">
        <v>6</v>
      </c>
      <c r="AA141" s="104">
        <f ref="AA141:AV141" si="159" t="shared">ABS(AA115)</f>
        <v>0.72573467022119786</v>
      </c>
      <c r="AB141" s="104">
        <f si="159" t="shared"/>
        <v>0.55491776772013846</v>
      </c>
      <c r="AC141" s="104">
        <f si="159" t="shared"/>
        <v>8.4484412279880197E-2</v>
      </c>
      <c r="AD141" s="104">
        <f si="159" t="shared"/>
        <v>0.16377291058960844</v>
      </c>
      <c r="AE141" s="104">
        <f si="159" t="shared"/>
        <v>0.99636465679847508</v>
      </c>
      <c r="AF141" s="104">
        <f si="159" t="shared"/>
        <v>8.5863189922096711E-2</v>
      </c>
      <c r="AG141" s="104">
        <f si="159" t="shared"/>
        <v>0.32630479879895291</v>
      </c>
      <c r="AH141" s="104">
        <f si="159" t="shared"/>
        <v>0.16074310229464317</v>
      </c>
      <c r="AI141" s="104">
        <f si="159" t="shared"/>
        <v>0.42719098627050844</v>
      </c>
      <c r="AJ141" s="104">
        <f si="159" t="shared"/>
        <v>0.38831083801859573</v>
      </c>
      <c r="AK141" s="104">
        <f si="159" t="shared"/>
        <v>0.48286452568777805</v>
      </c>
      <c r="AL141" s="104">
        <f si="159" t="shared"/>
        <v>0.4879936937820773</v>
      </c>
      <c r="AM141" s="104">
        <f si="159" t="shared"/>
        <v>7.8335448256391133E-2</v>
      </c>
      <c r="AN141" s="104">
        <f si="159" t="shared"/>
        <v>0.66211735287186935</v>
      </c>
      <c r="AO141" s="104">
        <f si="159" t="shared"/>
        <v>0.56749951283895728</v>
      </c>
      <c r="AP141" s="104">
        <f si="159" t="shared"/>
        <v>0.85276194777099001</v>
      </c>
      <c r="AQ141" s="104">
        <f si="159" t="shared"/>
        <v>0.77111175517126629</v>
      </c>
      <c r="AR141" s="104">
        <f si="159" t="shared"/>
        <v>0.7002653936766583</v>
      </c>
      <c r="AS141" s="104">
        <f si="159" t="shared"/>
        <v>0.857269235084123</v>
      </c>
      <c r="AT141" s="104">
        <f si="159" t="shared"/>
        <v>0.93006192519122022</v>
      </c>
      <c r="AU141" s="104">
        <f si="159" t="shared"/>
        <v>0</v>
      </c>
      <c r="AV141" s="104">
        <f si="159" t="shared"/>
        <v>0</v>
      </c>
      <c r="CU141" s="95">
        <v>140</v>
      </c>
      <c r="CV141" s="95">
        <f si="153" t="shared"/>
        <v>7</v>
      </c>
      <c r="CW141" s="95">
        <f si="148" t="shared"/>
        <v>20</v>
      </c>
      <c r="CX141" s="58">
        <f si="149" t="shared"/>
        <v>284.23126044180435</v>
      </c>
      <c r="CY141" s="58">
        <f si="150" t="shared"/>
        <v>20</v>
      </c>
      <c r="CZ141" s="108">
        <f si="151" t="shared"/>
        <v>-264.23126044180435</v>
      </c>
      <c r="DA141" s="78">
        <f si="152" t="shared"/>
        <v>-0.92963476301335635</v>
      </c>
    </row>
    <row r="142" spans="26:105" x14ac:dyDescent="0.25">
      <c r="Z142" s="95">
        <v>7</v>
      </c>
      <c r="AA142" s="104">
        <f ref="AA142:AV142" si="160" t="shared">ABS(AA116)</f>
        <v>1.1206212043525254</v>
      </c>
      <c r="AB142" s="104">
        <f si="160" t="shared"/>
        <v>7.9502023746322106E-2</v>
      </c>
      <c r="AC142" s="104">
        <f si="160" t="shared"/>
        <v>0.16062778940062661</v>
      </c>
      <c r="AD142" s="104">
        <f si="160" t="shared"/>
        <v>0.43872346974991089</v>
      </c>
      <c r="AE142" s="104">
        <f si="160" t="shared"/>
        <v>0.5704303035547944</v>
      </c>
      <c r="AF142" s="104">
        <f si="160" t="shared"/>
        <v>2.4971467062443731E-2</v>
      </c>
      <c r="AG142" s="104">
        <f si="160" t="shared"/>
        <v>0.23992094806884923</v>
      </c>
      <c r="AH142" s="104">
        <f si="160" t="shared"/>
        <v>0.73094777198909389</v>
      </c>
      <c r="AI142" s="104">
        <f si="160" t="shared"/>
        <v>0.31090347261477824</v>
      </c>
      <c r="AJ142" s="104">
        <f si="160" t="shared"/>
        <v>0.61316954164416337</v>
      </c>
      <c r="AK142" s="104">
        <f si="160" t="shared"/>
        <v>0.73925407614663408</v>
      </c>
      <c r="AL142" s="104">
        <f si="160" t="shared"/>
        <v>0.24407720686986756</v>
      </c>
      <c r="AM142" s="104">
        <f si="160" t="shared"/>
        <v>1.6314942980369749</v>
      </c>
      <c r="AN142" s="104">
        <f si="160" t="shared"/>
        <v>0.71355371576498938</v>
      </c>
      <c r="AO142" s="104">
        <f si="160" t="shared"/>
        <v>0.28225518055691834</v>
      </c>
      <c r="AP142" s="104">
        <f si="160" t="shared"/>
        <v>0.85501057747225795</v>
      </c>
      <c r="AQ142" s="104">
        <f si="160" t="shared"/>
        <v>0.76779471794407583</v>
      </c>
      <c r="AR142" s="104">
        <f si="160" t="shared"/>
        <v>0.465836070527479</v>
      </c>
      <c r="AS142" s="104">
        <f si="160" t="shared"/>
        <v>0.75581781392224401</v>
      </c>
      <c r="AT142" s="104">
        <f si="160" t="shared"/>
        <v>0.92963476301335635</v>
      </c>
      <c r="AU142" s="104">
        <f si="160" t="shared"/>
        <v>0</v>
      </c>
      <c r="AV142" s="104">
        <f si="160" t="shared"/>
        <v>0</v>
      </c>
      <c r="CU142" s="95">
        <v>141</v>
      </c>
      <c r="CV142" s="95">
        <f si="153" t="shared"/>
        <v>8</v>
      </c>
      <c r="CW142" s="95">
        <f si="148" t="shared"/>
        <v>1</v>
      </c>
      <c r="CX142" s="58">
        <f si="149" t="shared"/>
        <v>429.15668031261629</v>
      </c>
      <c r="CY142" s="58">
        <f si="150" t="shared"/>
        <v>1129</v>
      </c>
      <c r="CZ142" s="108">
        <f si="151" t="shared"/>
        <v>699.84331968738366</v>
      </c>
      <c r="DA142" s="78">
        <f si="152" t="shared"/>
        <v>1.6307408268178127</v>
      </c>
    </row>
    <row r="143" spans="26:105" x14ac:dyDescent="0.25">
      <c r="Z143" s="95">
        <v>8</v>
      </c>
      <c r="AA143" s="104">
        <f ref="AA143:AV143" si="161" t="shared">ABS(AA117)</f>
        <v>1.6307408268178127</v>
      </c>
      <c r="AB143" s="104">
        <f si="161" t="shared"/>
        <v>2.8326904532304638E-2</v>
      </c>
      <c r="AC143" s="104">
        <f si="161" t="shared"/>
        <v>0.26770253315498604</v>
      </c>
      <c r="AD143" s="104">
        <f si="161" t="shared"/>
        <v>0.10139323157645239</v>
      </c>
      <c r="AE143" s="104">
        <f si="161" t="shared"/>
        <v>0.69781589261828469</v>
      </c>
      <c r="AF143" s="104">
        <f si="161" t="shared"/>
        <v>2.9491980186342699E-2</v>
      </c>
      <c r="AG143" s="104">
        <f si="161" t="shared"/>
        <v>0.47217757777063463</v>
      </c>
      <c r="AH143" s="104">
        <f si="161" t="shared"/>
        <v>0.72456510679655883</v>
      </c>
      <c r="AI143" s="104">
        <f si="161" t="shared"/>
        <v>0.50553913485075863</v>
      </c>
      <c r="AJ143" s="104">
        <f si="161" t="shared"/>
        <v>0.48346789696270664</v>
      </c>
      <c r="AK143" s="104">
        <f si="161" t="shared"/>
        <v>0.11522449843591967</v>
      </c>
      <c r="AL143" s="104">
        <f si="161" t="shared"/>
        <v>0.50057200782978584</v>
      </c>
      <c r="AM143" s="104">
        <f si="161" t="shared"/>
        <v>0.28024215150541093</v>
      </c>
      <c r="AN143" s="104">
        <f si="161" t="shared"/>
        <v>0.48690529612266925</v>
      </c>
      <c r="AO143" s="104">
        <f si="161" t="shared"/>
        <v>0.42419372120432874</v>
      </c>
      <c r="AP143" s="104">
        <f si="161" t="shared"/>
        <v>1</v>
      </c>
      <c r="AQ143" s="104">
        <f si="161" t="shared"/>
        <v>0.48177434908389583</v>
      </c>
      <c r="AR143" s="104">
        <f si="161" t="shared"/>
        <v>0.87854086306653811</v>
      </c>
      <c r="AS143" s="104">
        <f si="161" t="shared"/>
        <v>0.36543797847007659</v>
      </c>
      <c r="AT143" s="104">
        <f si="161" t="shared"/>
        <v>0.81491941038710569</v>
      </c>
      <c r="AU143" s="104">
        <f si="161" t="shared"/>
        <v>0</v>
      </c>
      <c r="AV143" s="104">
        <f si="161" t="shared"/>
        <v>0</v>
      </c>
      <c r="CU143" s="95">
        <v>142</v>
      </c>
      <c r="CV143" s="95">
        <f si="153" t="shared"/>
        <v>8</v>
      </c>
      <c r="CW143" s="95">
        <f si="148" t="shared"/>
        <v>2</v>
      </c>
      <c r="CX143" s="58">
        <f si="149" t="shared"/>
        <v>305.65835504279863</v>
      </c>
      <c r="CY143" s="58">
        <f si="150" t="shared"/>
        <v>297</v>
      </c>
      <c r="CZ143" s="108">
        <f si="151" t="shared"/>
        <v>-8.6583550427986324</v>
      </c>
      <c r="DA143" s="78">
        <f si="152" t="shared"/>
        <v>-2.8326904532304638E-2</v>
      </c>
    </row>
    <row r="144" spans="26:105" x14ac:dyDescent="0.25">
      <c r="Z144" s="95">
        <v>9</v>
      </c>
      <c r="AA144" s="104">
        <f ref="AA144:AV144" si="162" t="shared">ABS(AA118)</f>
        <v>1.1255343446220045</v>
      </c>
      <c r="AB144" s="104">
        <f si="162" t="shared"/>
        <v>0.19850750687570221</v>
      </c>
      <c r="AC144" s="104">
        <f si="162" t="shared"/>
        <v>3.108637538020417E-2</v>
      </c>
      <c r="AD144" s="104">
        <f si="162" t="shared"/>
        <v>0.38428410513357131</v>
      </c>
      <c r="AE144" s="104">
        <f si="162" t="shared"/>
        <v>1.0767628124753732</v>
      </c>
      <c r="AF144" s="104">
        <f si="162" t="shared"/>
        <v>1.3523220518583502E-2</v>
      </c>
      <c r="AG144" s="104">
        <f si="162" t="shared"/>
        <v>8.3539181535351309E-2</v>
      </c>
      <c r="AH144" s="104">
        <f si="162" t="shared"/>
        <v>0.73807218222285298</v>
      </c>
      <c r="AI144" s="104">
        <f si="162" t="shared"/>
        <v>0.16319400531393022</v>
      </c>
      <c r="AJ144" s="104">
        <f si="162" t="shared"/>
        <v>0.5697197638086039</v>
      </c>
      <c r="AK144" s="104">
        <f si="162" t="shared"/>
        <v>0.35464385525457742</v>
      </c>
      <c r="AL144" s="104">
        <f si="162" t="shared"/>
        <v>0.38982899185385872</v>
      </c>
      <c r="AM144" s="104">
        <f si="162" t="shared"/>
        <v>0.6153222019201039</v>
      </c>
      <c r="AN144" s="104">
        <f si="162" t="shared"/>
        <v>0.52229083918228858</v>
      </c>
      <c r="AO144" s="104">
        <f si="162" t="shared"/>
        <v>0.14777989109954787</v>
      </c>
      <c r="AP144" s="104">
        <f si="162" t="shared"/>
        <v>0.71774581019449835</v>
      </c>
      <c r="AQ144" s="104">
        <f si="162" t="shared"/>
        <v>0.56167584641969126</v>
      </c>
      <c r="AR144" s="104">
        <f si="162" t="shared"/>
        <v>0.68853474166224637</v>
      </c>
      <c r="AS144" s="104">
        <f si="162" t="shared"/>
        <v>0.47762860649718275</v>
      </c>
      <c r="AT144" s="104">
        <f si="162" t="shared"/>
        <v>0.97325373075784194</v>
      </c>
      <c r="AU144" s="104">
        <f si="162" t="shared"/>
        <v>0</v>
      </c>
      <c r="AV144" s="104">
        <f si="162" t="shared"/>
        <v>0</v>
      </c>
      <c r="CU144" s="95">
        <v>143</v>
      </c>
      <c r="CV144" s="95">
        <f si="153" t="shared"/>
        <v>8</v>
      </c>
      <c r="CW144" s="95">
        <f si="148" t="shared"/>
        <v>3</v>
      </c>
      <c r="CX144" s="58">
        <f si="149" t="shared"/>
        <v>215.35020468924449</v>
      </c>
      <c r="CY144" s="58">
        <f si="150" t="shared"/>
        <v>273</v>
      </c>
      <c r="CZ144" s="108">
        <f si="151" t="shared"/>
        <v>57.649795310755508</v>
      </c>
      <c r="DA144" s="78">
        <f si="152" t="shared"/>
        <v>0.26770253315498604</v>
      </c>
    </row>
    <row r="145" spans="26:105" x14ac:dyDescent="0.25">
      <c r="Z145" s="95">
        <v>10</v>
      </c>
      <c r="AA145" s="104">
        <f ref="AA145:AV145" si="163" t="shared">ABS(AA119)</f>
        <v>0.97723530512683532</v>
      </c>
      <c r="AB145" s="104">
        <f si="163" t="shared"/>
        <v>0.44780649004343509</v>
      </c>
      <c r="AC145" s="104">
        <f si="163" t="shared"/>
        <v>0.4119357717737836</v>
      </c>
      <c r="AD145" s="104">
        <f si="163" t="shared"/>
        <v>9.4058451881084415E-2</v>
      </c>
      <c r="AE145" s="104">
        <f si="163" t="shared"/>
        <v>0.92747714480603594</v>
      </c>
      <c r="AF145" s="104">
        <f si="163" t="shared"/>
        <v>5.9125020420471727E-2</v>
      </c>
      <c r="AG145" s="104">
        <f si="163" t="shared"/>
        <v>0.33733293536270481</v>
      </c>
      <c r="AH145" s="104">
        <f si="163" t="shared"/>
        <v>0.53302454856561665</v>
      </c>
      <c r="AI145" s="104">
        <f si="163" t="shared"/>
        <v>0.55441488566798514</v>
      </c>
      <c r="AJ145" s="104">
        <f si="163" t="shared"/>
        <v>0.35455475294625544</v>
      </c>
      <c r="AK145" s="104">
        <f si="163" t="shared"/>
        <v>0.56572345887491937</v>
      </c>
      <c r="AL145" s="104">
        <f si="163" t="shared"/>
        <v>0.2120436395974151</v>
      </c>
      <c r="AM145" s="104">
        <f si="163" t="shared"/>
        <v>0.11513458492405192</v>
      </c>
      <c r="AN145" s="104">
        <f si="163" t="shared"/>
        <v>0.63567044155390695</v>
      </c>
      <c r="AO145" s="104">
        <f si="163" t="shared"/>
        <v>0.43823376577133943</v>
      </c>
      <c r="AP145" s="104">
        <f si="163" t="shared"/>
        <v>0.62652576963691009</v>
      </c>
      <c r="AQ145" s="104">
        <f si="163" t="shared"/>
        <v>0.58154147858477334</v>
      </c>
      <c r="AR145" s="104">
        <f si="163" t="shared"/>
        <v>0.47876219262313863</v>
      </c>
      <c r="AS145" s="104">
        <f si="163" t="shared"/>
        <v>0.89722071403836534</v>
      </c>
      <c r="AT145" s="104">
        <f si="163" t="shared"/>
        <v>0.88283161400373644</v>
      </c>
      <c r="AU145" s="104">
        <f si="163" t="shared"/>
        <v>0</v>
      </c>
      <c r="AV145" s="104">
        <f si="163" t="shared"/>
        <v>0</v>
      </c>
      <c r="CU145" s="95">
        <v>144</v>
      </c>
      <c r="CV145" s="95">
        <f si="153" t="shared"/>
        <v>8</v>
      </c>
      <c r="CW145" s="95">
        <f si="148" t="shared"/>
        <v>4</v>
      </c>
      <c r="CX145" s="58">
        <f si="149" t="shared"/>
        <v>229.24376628209899</v>
      </c>
      <c r="CY145" s="58">
        <f si="150" t="shared"/>
        <v>206</v>
      </c>
      <c r="CZ145" s="108">
        <f si="151" t="shared"/>
        <v>-23.243766282098989</v>
      </c>
      <c r="DA145" s="78">
        <f si="152" t="shared"/>
        <v>-0.10139323157645239</v>
      </c>
    </row>
    <row r="146" spans="26:105" x14ac:dyDescent="0.25">
      <c r="Z146" s="95">
        <v>11</v>
      </c>
      <c r="AA146" s="104">
        <f ref="AA146:AV146" si="164" t="shared">ABS(AA120)</f>
        <v>1.5130482346260477</v>
      </c>
      <c r="AB146" s="104">
        <f si="164" t="shared"/>
        <v>7.3331100495336917E-3</v>
      </c>
      <c r="AC146" s="104">
        <f si="164" t="shared"/>
        <v>0.37615782509322765</v>
      </c>
      <c r="AD146" s="104">
        <f si="164" t="shared"/>
        <v>6.0791235304005715E-2</v>
      </c>
      <c r="AE146" s="104">
        <f si="164" t="shared"/>
        <v>1.1524399233377562</v>
      </c>
      <c r="AF146" s="104">
        <f si="164" t="shared"/>
        <v>6.6854917096497268E-2</v>
      </c>
      <c r="AG146" s="104">
        <f si="164" t="shared"/>
        <v>0.43486971150154613</v>
      </c>
      <c r="AH146" s="104">
        <f si="164" t="shared"/>
        <v>0.56736119105176319</v>
      </c>
      <c r="AI146" s="104">
        <f si="164" t="shared"/>
        <v>0.23906505113001625</v>
      </c>
      <c r="AJ146" s="104">
        <f si="164" t="shared"/>
        <v>0.40856155764522845</v>
      </c>
      <c r="AK146" s="104">
        <f si="164" t="shared"/>
        <v>0.15880899389697148</v>
      </c>
      <c r="AL146" s="104">
        <f si="164" t="shared"/>
        <v>0.41749225144906899</v>
      </c>
      <c r="AM146" s="104">
        <f si="164" t="shared"/>
        <v>0.25548891212237934</v>
      </c>
      <c r="AN146" s="104">
        <f si="164" t="shared"/>
        <v>0.17850446499507419</v>
      </c>
      <c r="AO146" s="104">
        <f si="164" t="shared"/>
        <v>0.1553390272264325</v>
      </c>
      <c r="AP146" s="104">
        <f si="164" t="shared"/>
        <v>0.73254901960784313</v>
      </c>
      <c r="AQ146" s="104">
        <f si="164" t="shared"/>
        <v>0.4346362398170277</v>
      </c>
      <c r="AR146" s="104">
        <f si="164" t="shared"/>
        <v>0.74253665430136018</v>
      </c>
      <c r="AS146" s="104">
        <f si="164" t="shared"/>
        <v>0.59422170776479943</v>
      </c>
      <c r="AT146" s="104">
        <f si="164" t="shared"/>
        <v>0.97004357298474941</v>
      </c>
      <c r="AU146" s="104">
        <f si="164" t="shared"/>
        <v>0</v>
      </c>
      <c r="AV146" s="104">
        <f si="164" t="shared"/>
        <v>0</v>
      </c>
      <c r="CU146" s="95">
        <v>145</v>
      </c>
      <c r="CV146" s="95">
        <f si="153" t="shared"/>
        <v>8</v>
      </c>
      <c r="CW146" s="95">
        <f si="148" t="shared"/>
        <v>5</v>
      </c>
      <c r="CX146" s="58">
        <f si="149" t="shared"/>
        <v>191.42240416821735</v>
      </c>
      <c r="CY146" s="58">
        <f si="150" t="shared"/>
        <v>325</v>
      </c>
      <c r="CZ146" s="108">
        <f si="151" t="shared"/>
        <v>133.57759583178265</v>
      </c>
      <c r="DA146" s="78">
        <f si="152" t="shared"/>
        <v>0.69781589261828469</v>
      </c>
    </row>
    <row r="147" spans="26:105" x14ac:dyDescent="0.25">
      <c r="Z147" s="95">
        <v>12</v>
      </c>
      <c r="AA147" s="104">
        <f ref="AA147:AV147" si="165" t="shared">ABS(AA121)</f>
        <v>1.3463504010236633</v>
      </c>
      <c r="AB147" s="104">
        <f si="165" t="shared"/>
        <v>0.60359452666006974</v>
      </c>
      <c r="AC147" s="104">
        <f si="165" t="shared"/>
        <v>0.40114628207730285</v>
      </c>
      <c r="AD147" s="104">
        <f si="165" t="shared"/>
        <v>0.100203478280308</v>
      </c>
      <c r="AE147" s="104">
        <f si="165" t="shared"/>
        <v>1.2534432098608095</v>
      </c>
      <c r="AF147" s="104">
        <f si="165" t="shared"/>
        <v>9.1791355488774401E-2</v>
      </c>
      <c r="AG147" s="104">
        <f si="165" t="shared"/>
        <v>1.4968426583426449E-3</v>
      </c>
      <c r="AH147" s="104">
        <f si="165" t="shared"/>
        <v>0.43207659939036513</v>
      </c>
      <c r="AI147" s="104">
        <f si="165" t="shared"/>
        <v>0.35283895156037265</v>
      </c>
      <c r="AJ147" s="104">
        <f si="165" t="shared"/>
        <v>0.30255212321336494</v>
      </c>
      <c r="AK147" s="104">
        <f si="165" t="shared"/>
        <v>0.57189515629081278</v>
      </c>
      <c r="AL147" s="104">
        <f si="165" t="shared"/>
        <v>0.38495816524918836</v>
      </c>
      <c r="AM147" s="104">
        <f si="165" t="shared"/>
        <v>1.4955690658363598</v>
      </c>
      <c r="AN147" s="104">
        <f si="165" t="shared"/>
        <v>0.47013909954323496</v>
      </c>
      <c r="AO147" s="104">
        <f si="165" t="shared"/>
        <v>0.32436342602841894</v>
      </c>
      <c r="AP147" s="104">
        <f si="165" t="shared"/>
        <v>0.38355159869568128</v>
      </c>
      <c r="AQ147" s="104">
        <f si="165" t="shared"/>
        <v>0.68858172511443738</v>
      </c>
      <c r="AR147" s="104">
        <f si="165" t="shared"/>
        <v>0.1600810960369142</v>
      </c>
      <c r="AS147" s="104">
        <f si="165" t="shared"/>
        <v>0.76635558366437373</v>
      </c>
      <c r="AT147" s="104">
        <f si="165" t="shared"/>
        <v>0.77532185756212646</v>
      </c>
      <c r="AU147" s="104">
        <f si="165" t="shared"/>
        <v>0</v>
      </c>
      <c r="AV147" s="104">
        <f si="165" t="shared"/>
        <v>0</v>
      </c>
      <c r="CU147" s="95">
        <v>146</v>
      </c>
      <c r="CV147" s="95">
        <f si="153" t="shared"/>
        <v>8</v>
      </c>
      <c r="CW147" s="95">
        <f si="148" t="shared"/>
        <v>6</v>
      </c>
      <c r="CX147" s="58">
        <f si="149" t="shared"/>
        <v>858.31336062523258</v>
      </c>
      <c r="CY147" s="58">
        <f si="150" t="shared"/>
        <v>833</v>
      </c>
      <c r="CZ147" s="108">
        <f si="151" t="shared"/>
        <v>-25.313360625232576</v>
      </c>
      <c r="DA147" s="78">
        <f si="152" t="shared"/>
        <v>-2.9491980186342699E-2</v>
      </c>
    </row>
    <row r="148" spans="26:105" x14ac:dyDescent="0.25">
      <c r="Z148" s="95">
        <v>13</v>
      </c>
      <c r="AA148" s="104">
        <f ref="AA148:AV148" si="166" t="shared">ABS(AA122)</f>
        <v>0.6943231074360815</v>
      </c>
      <c r="AB148" s="104">
        <f si="166" t="shared"/>
        <v>0.25564179282963312</v>
      </c>
      <c r="AC148" s="104">
        <f si="166" t="shared"/>
        <v>0.27086087616061799</v>
      </c>
      <c r="AD148" s="104">
        <f si="166" t="shared"/>
        <v>0.62103208269043808</v>
      </c>
      <c r="AE148" s="104">
        <f si="166" t="shared"/>
        <v>0.52368349886685439</v>
      </c>
      <c r="AF148" s="104">
        <f si="166" t="shared"/>
        <v>0.21525807165223546</v>
      </c>
      <c r="AG148" s="104">
        <f si="166" t="shared"/>
        <v>0.44077623890520812</v>
      </c>
      <c r="AH148" s="104">
        <f si="166" t="shared"/>
        <v>0.80034205218946086</v>
      </c>
      <c r="AI148" s="104">
        <f si="166" t="shared"/>
        <v>0.65023673790801939</v>
      </c>
      <c r="AJ148" s="104">
        <f si="166" t="shared"/>
        <v>0.7717162858140918</v>
      </c>
      <c r="AK148" s="104">
        <f si="166" t="shared"/>
        <v>0.82939264698789505</v>
      </c>
      <c r="AL148" s="104">
        <f si="166" t="shared"/>
        <v>0.43600386542515185</v>
      </c>
      <c r="AM148" s="104">
        <f si="166" t="shared"/>
        <v>0.52732553167709073</v>
      </c>
      <c r="AN148" s="104">
        <f si="166" t="shared"/>
        <v>0.79914560006774982</v>
      </c>
      <c r="AO148" s="104">
        <f si="166" t="shared"/>
        <v>6.1819025215963302E-2</v>
      </c>
      <c r="AP148" s="104">
        <f si="166" t="shared"/>
        <v>0.87434524961693116</v>
      </c>
      <c r="AQ148" s="104">
        <f si="166" t="shared"/>
        <v>0.89372816323985138</v>
      </c>
      <c r="AR148" s="104">
        <f si="166" t="shared"/>
        <v>0.12528823082726007</v>
      </c>
      <c r="AS148" s="104">
        <f si="166" t="shared"/>
        <v>0.65441228246951066</v>
      </c>
      <c r="AT148" s="104">
        <f si="166" t="shared"/>
        <v>0.81813128234029509</v>
      </c>
      <c r="AU148" s="104">
        <f si="166" t="shared"/>
        <v>0</v>
      </c>
      <c r="AV148" s="104">
        <f si="166" t="shared"/>
        <v>0</v>
      </c>
      <c r="CU148" s="95">
        <v>147</v>
      </c>
      <c r="CV148" s="95">
        <f si="153" t="shared"/>
        <v>8</v>
      </c>
      <c r="CW148" s="95">
        <f si="148" t="shared"/>
        <v>7</v>
      </c>
      <c r="CX148" s="58">
        <f si="149" t="shared"/>
        <v>250.0841086713807</v>
      </c>
      <c r="CY148" s="58">
        <f si="150" t="shared"/>
        <v>132</v>
      </c>
      <c r="CZ148" s="108">
        <f si="151" t="shared"/>
        <v>-118.0841086713807</v>
      </c>
      <c r="DA148" s="78">
        <f si="152" t="shared"/>
        <v>-0.47217757777063463</v>
      </c>
    </row>
    <row r="149" spans="26:105" x14ac:dyDescent="0.25">
      <c r="Z149" s="95">
        <v>14</v>
      </c>
      <c r="AA149" s="104">
        <f ref="AA149:AV149" si="167" t="shared">ABS(AA123)</f>
        <v>2.2353831030084419</v>
      </c>
      <c r="AB149" s="104">
        <f si="167" t="shared"/>
        <v>5.675813347754121E-2</v>
      </c>
      <c r="AC149" s="104">
        <f si="167" t="shared"/>
        <v>0.48484802743328842</v>
      </c>
      <c r="AD149" s="104">
        <f si="167" t="shared"/>
        <v>5.7924789418824299E-2</v>
      </c>
      <c r="AE149" s="104">
        <f si="167" t="shared"/>
        <v>1.5590714151813221</v>
      </c>
      <c r="AF149" s="104">
        <f si="167" t="shared"/>
        <v>0.43597118318039374</v>
      </c>
      <c r="AG149" s="104">
        <f si="167" t="shared"/>
        <v>0.44753241081981265</v>
      </c>
      <c r="AH149" s="104">
        <f si="167" t="shared"/>
        <v>0.51423422564420385</v>
      </c>
      <c r="AI149" s="104">
        <f si="167" t="shared"/>
        <v>0.24622073353458451</v>
      </c>
      <c r="AJ149" s="104">
        <f si="167" t="shared"/>
        <v>0.29317061778051196</v>
      </c>
      <c r="AK149" s="104">
        <f si="167" t="shared"/>
        <v>0.1581674629208889</v>
      </c>
      <c r="AL149" s="104">
        <f si="167" t="shared"/>
        <v>0.37997081938823479</v>
      </c>
      <c r="AM149" s="104">
        <f si="167" t="shared"/>
        <v>0.37451134131825348</v>
      </c>
      <c r="AN149" s="104">
        <f si="167" t="shared"/>
        <v>0.2571755872978147</v>
      </c>
      <c r="AO149" s="104">
        <f si="167" t="shared"/>
        <v>0.48062827632437066</v>
      </c>
      <c r="AP149" s="104">
        <f si="167" t="shared"/>
        <v>0.72314257238335333</v>
      </c>
      <c r="AQ149" s="104">
        <f si="167" t="shared"/>
        <v>0.39841902410581764</v>
      </c>
      <c r="AR149" s="104">
        <f si="167" t="shared"/>
        <v>0.78575216058947062</v>
      </c>
      <c r="AS149" s="104">
        <f si="167" t="shared"/>
        <v>0.30441347439702332</v>
      </c>
      <c r="AT149" s="104">
        <f si="167" t="shared"/>
        <v>0.99260647793445256</v>
      </c>
      <c r="AU149" s="104">
        <f si="167" t="shared"/>
        <v>0</v>
      </c>
      <c r="AV149" s="104">
        <f si="167" t="shared"/>
        <v>0</v>
      </c>
      <c r="CU149" s="95">
        <v>148</v>
      </c>
      <c r="CV149" s="95">
        <f si="153" t="shared"/>
        <v>8</v>
      </c>
      <c r="CW149" s="95">
        <f si="148" t="shared"/>
        <v>8</v>
      </c>
      <c r="CX149" s="58">
        <f si="149" t="shared"/>
        <v>98.026795682917751</v>
      </c>
      <c r="CY149" s="58">
        <f si="150" t="shared"/>
        <v>27</v>
      </c>
      <c r="CZ149" s="108">
        <f si="151" t="shared"/>
        <v>-71.026795682917751</v>
      </c>
      <c r="DA149" s="78">
        <f si="152" t="shared"/>
        <v>-0.72456510679655883</v>
      </c>
    </row>
    <row r="150" spans="26:105" x14ac:dyDescent="0.25">
      <c r="Z150" s="95">
        <v>15</v>
      </c>
      <c r="AA150" s="104">
        <f ref="AA150:AV150" si="168" t="shared">ABS(AA124)</f>
        <v>1.1662431758472154</v>
      </c>
      <c r="AB150" s="104">
        <f si="168" t="shared"/>
        <v>0.18536690149722404</v>
      </c>
      <c r="AC150" s="104">
        <f si="168" t="shared"/>
        <v>0.11412399557322021</v>
      </c>
      <c r="AD150" s="104">
        <f si="168" t="shared"/>
        <v>0.45569519638546924</v>
      </c>
      <c r="AE150" s="104">
        <f si="168" t="shared"/>
        <v>0.85042215001191312</v>
      </c>
      <c r="AF150" s="104">
        <f si="168" t="shared"/>
        <v>4.7729826252453679E-2</v>
      </c>
      <c r="AG150" s="104">
        <f si="168" t="shared"/>
        <v>0.47192986910487245</v>
      </c>
      <c r="AH150" s="104">
        <f si="168" t="shared"/>
        <v>0.79808512849487467</v>
      </c>
      <c r="AI150" s="104">
        <f si="168" t="shared"/>
        <v>0.41329705542035322</v>
      </c>
      <c r="AJ150" s="104">
        <f si="168" t="shared"/>
        <v>0.71671687700907349</v>
      </c>
      <c r="AK150" s="104">
        <f si="168" t="shared"/>
        <v>0.53808857172963309</v>
      </c>
      <c r="AL150" s="104">
        <f si="168" t="shared"/>
        <v>0.55992513282316836</v>
      </c>
      <c r="AM150" s="104">
        <f si="168" t="shared"/>
        <v>1.5808285312555559</v>
      </c>
      <c r="AN150" s="104">
        <f si="168" t="shared"/>
        <v>0.79864913651583869</v>
      </c>
      <c r="AO150" s="104">
        <f si="168" t="shared"/>
        <v>3.0950226136975442E-2</v>
      </c>
      <c r="AP150" s="104">
        <f si="168" t="shared"/>
        <v>0.93035400084315967</v>
      </c>
      <c r="AQ150" s="104">
        <f si="168" t="shared"/>
        <v>0.61152545979283379</v>
      </c>
      <c r="AR150" s="104">
        <f si="168" t="shared"/>
        <v>0.47480066209595811</v>
      </c>
      <c r="AS150" s="104">
        <f si="168" t="shared"/>
        <v>1.3852014134391279E-2</v>
      </c>
      <c r="AT150" s="104">
        <f si="168" t="shared"/>
        <v>0.96542752559840306</v>
      </c>
      <c r="AU150" s="104">
        <f si="168" t="shared"/>
        <v>0</v>
      </c>
      <c r="AV150" s="104">
        <f si="168" t="shared"/>
        <v>0</v>
      </c>
      <c r="CU150" s="95">
        <v>149</v>
      </c>
      <c r="CV150" s="95">
        <f si="153" t="shared"/>
        <v>8</v>
      </c>
      <c r="CW150" s="95">
        <f si="148" t="shared"/>
        <v>9</v>
      </c>
      <c r="CX150" s="58">
        <f si="149" t="shared"/>
        <v>260.89021213248975</v>
      </c>
      <c r="CY150" s="58">
        <f si="150" t="shared"/>
        <v>129</v>
      </c>
      <c r="CZ150" s="108">
        <f si="151" t="shared"/>
        <v>-131.89021213248975</v>
      </c>
      <c r="DA150" s="78">
        <f si="152" t="shared"/>
        <v>-0.50553913485075863</v>
      </c>
    </row>
    <row r="151" spans="26:105" x14ac:dyDescent="0.25">
      <c r="Z151" s="95">
        <v>16</v>
      </c>
      <c r="AA151" s="104">
        <f ref="AA151:AV151" si="169" t="shared">ABS(AA125)</f>
        <v>1.2125478514962815</v>
      </c>
      <c r="AB151" s="104">
        <f si="169" t="shared"/>
        <v>6.8421291031042107E-3</v>
      </c>
      <c r="AC151" s="104">
        <f si="169" t="shared"/>
        <v>0.23185173763759487</v>
      </c>
      <c r="AD151" s="104">
        <f si="169" t="shared"/>
        <v>9.052569575362053E-2</v>
      </c>
      <c r="AE151" s="104">
        <f si="169" t="shared"/>
        <v>1.2607260566626048</v>
      </c>
      <c r="AF151" s="104">
        <f si="169" t="shared"/>
        <v>1.1927969757461616E-2</v>
      </c>
      <c r="AG151" s="104">
        <f si="169" t="shared"/>
        <v>0.43808055286513975</v>
      </c>
      <c r="AH151" s="104">
        <f si="169" t="shared"/>
        <v>0.27522797235290714</v>
      </c>
      <c r="AI151" s="104">
        <f si="169" t="shared"/>
        <v>0.53750104328192339</v>
      </c>
      <c r="AJ151" s="104">
        <f si="169" t="shared"/>
        <v>0.32083833881485097</v>
      </c>
      <c r="AK151" s="104">
        <f si="169" t="shared"/>
        <v>0.48871280227865976</v>
      </c>
      <c r="AL151" s="104">
        <f si="169" t="shared"/>
        <v>8.8407853425240185E-2</v>
      </c>
      <c r="AM151" s="104">
        <f si="169" t="shared"/>
        <v>0.17954103003225713</v>
      </c>
      <c r="AN151" s="104">
        <f si="169" t="shared"/>
        <v>0.61172927090334317</v>
      </c>
      <c r="AO151" s="104">
        <f si="169" t="shared"/>
        <v>0.62987276291720562</v>
      </c>
      <c r="AP151" s="104">
        <f si="169" t="shared"/>
        <v>0.40057979575414993</v>
      </c>
      <c r="AQ151" s="104">
        <f si="169" t="shared"/>
        <v>0.41759390635501464</v>
      </c>
      <c r="AR151" s="104">
        <f si="169" t="shared"/>
        <v>0.24151764548560037</v>
      </c>
      <c r="AS151" s="104">
        <f si="169" t="shared"/>
        <v>0.86455672240814296</v>
      </c>
      <c r="AT151" s="104">
        <f si="169" t="shared"/>
        <v>0.4219080255671997</v>
      </c>
      <c r="AU151" s="104">
        <f si="169" t="shared"/>
        <v>0</v>
      </c>
      <c r="AV151" s="104">
        <f si="169" t="shared"/>
        <v>0</v>
      </c>
      <c r="CU151" s="95">
        <v>150</v>
      </c>
      <c r="CV151" s="95">
        <f si="153" t="shared"/>
        <v>8</v>
      </c>
      <c r="CW151" s="95">
        <f si="148" t="shared"/>
        <v>10</v>
      </c>
      <c r="CX151" s="58">
        <f si="149" t="shared"/>
        <v>118.09527353926312</v>
      </c>
      <c r="CY151" s="58">
        <f si="150" t="shared"/>
        <v>61</v>
      </c>
      <c r="CZ151" s="108">
        <f si="151" t="shared"/>
        <v>-57.095273539263118</v>
      </c>
      <c r="DA151" s="78">
        <f si="152" t="shared"/>
        <v>-0.48346789696270664</v>
      </c>
    </row>
    <row r="152" spans="26:105" x14ac:dyDescent="0.25">
      <c r="Z152" s="95">
        <v>17</v>
      </c>
      <c r="AA152" s="104">
        <f ref="AA152:AV152" si="170" t="shared">ABS(AA126)</f>
        <v>2.3585030226237591</v>
      </c>
      <c r="AB152" s="104">
        <f si="170" t="shared"/>
        <v>0.1074699871194926</v>
      </c>
      <c r="AC152" s="104">
        <f si="170" t="shared"/>
        <v>0.89303256632857053</v>
      </c>
      <c r="AD152" s="104">
        <f si="170" t="shared"/>
        <v>3.1096860564090202E-2</v>
      </c>
      <c r="AE152" s="104">
        <f si="170" t="shared"/>
        <v>1.8243100310829745</v>
      </c>
      <c r="AF152" s="104">
        <f si="170" t="shared"/>
        <v>0.3937090454460227</v>
      </c>
      <c r="AG152" s="104">
        <f si="170" t="shared"/>
        <v>0.47353803612291617</v>
      </c>
      <c r="AH152" s="104">
        <f si="170" t="shared"/>
        <v>0.67307434919360232</v>
      </c>
      <c r="AI152" s="104">
        <f si="170" t="shared"/>
        <v>0.21840999898148605</v>
      </c>
      <c r="AJ152" s="104">
        <f si="170" t="shared"/>
        <v>0.41437782134496215</v>
      </c>
      <c r="AK152" s="104">
        <f si="170" t="shared"/>
        <v>0.32517845281385455</v>
      </c>
      <c r="AL152" s="104">
        <f si="170" t="shared"/>
        <v>0.30739722066316855</v>
      </c>
      <c r="AM152" s="104">
        <f si="170" t="shared"/>
        <v>0.28218748621414791</v>
      </c>
      <c r="AN152" s="104">
        <f si="170" t="shared"/>
        <v>0.2192095120285236</v>
      </c>
      <c r="AO152" s="104">
        <f si="170" t="shared"/>
        <v>0.17128915704834491</v>
      </c>
      <c r="AP152" s="104">
        <f si="170" t="shared"/>
        <v>0.85466452908461354</v>
      </c>
      <c r="AQ152" s="104">
        <f si="170" t="shared"/>
        <v>0.31254339919141666</v>
      </c>
      <c r="AR152" s="104">
        <f si="170" t="shared"/>
        <v>0.81809864432046142</v>
      </c>
      <c r="AS152" s="104">
        <f si="170" t="shared"/>
        <v>0.23089892039126933</v>
      </c>
      <c r="AT152" s="104">
        <f si="170" t="shared"/>
        <v>0.94552351826464764</v>
      </c>
      <c r="AU152" s="104">
        <f si="170" t="shared"/>
        <v>0</v>
      </c>
      <c r="AV152" s="104">
        <f si="170" t="shared"/>
        <v>0</v>
      </c>
      <c r="CU152" s="95">
        <v>151</v>
      </c>
      <c r="CV152" s="95">
        <f si="153" t="shared"/>
        <v>8</v>
      </c>
      <c r="CW152" s="95">
        <f si="148" t="shared"/>
        <v>11</v>
      </c>
      <c r="CX152" s="58">
        <f si="149" t="shared"/>
        <v>348.11090435429844</v>
      </c>
      <c r="CY152" s="58">
        <f si="150" t="shared"/>
        <v>308</v>
      </c>
      <c r="CZ152" s="108">
        <f si="151" t="shared"/>
        <v>-40.110904354298441</v>
      </c>
      <c r="DA152" s="78">
        <f si="152" t="shared"/>
        <v>-0.11522449843591967</v>
      </c>
    </row>
    <row r="153" spans="26:105" x14ac:dyDescent="0.25">
      <c r="Z153" s="95">
        <v>18</v>
      </c>
      <c r="AA153" s="104">
        <f ref="AA153:AV153" si="171" t="shared">ABS(AA127)</f>
        <v>1.02052753390333</v>
      </c>
      <c r="AB153" s="104">
        <f si="171" t="shared"/>
        <v>3.3204321890888663E-2</v>
      </c>
      <c r="AC153" s="104">
        <f si="171" t="shared"/>
        <v>9.3432219891458862E-2</v>
      </c>
      <c r="AD153" s="104">
        <f si="171" t="shared"/>
        <v>0.44154169646601038</v>
      </c>
      <c r="AE153" s="104">
        <f si="171" t="shared"/>
        <v>0.97410410081427512</v>
      </c>
      <c r="AF153" s="104">
        <f si="171" t="shared"/>
        <v>7.9547384110617542E-2</v>
      </c>
      <c r="AG153" s="104">
        <f si="171" t="shared"/>
        <v>0.53745967450910492</v>
      </c>
      <c r="AH153" s="104">
        <f si="171" t="shared"/>
        <v>0.71578952786341854</v>
      </c>
      <c r="AI153" s="104">
        <f si="171" t="shared"/>
        <v>0.65083317512266403</v>
      </c>
      <c r="AJ153" s="104">
        <f si="171" t="shared"/>
        <v>0.57580263071788496</v>
      </c>
      <c r="AK153" s="104">
        <f si="171" t="shared"/>
        <v>0.69397677707183969</v>
      </c>
      <c r="AL153" s="104">
        <f si="171" t="shared"/>
        <v>0.19794140670605681</v>
      </c>
      <c r="AM153" s="104">
        <f si="171" t="shared"/>
        <v>1.2228842112815468</v>
      </c>
      <c r="AN153" s="104">
        <f si="171" t="shared"/>
        <v>0.69068941823179109</v>
      </c>
      <c r="AO153" s="104">
        <f si="171" t="shared"/>
        <v>0.55160853527571552</v>
      </c>
      <c r="AP153" s="104">
        <f si="171" t="shared"/>
        <v>0.52212333398774069</v>
      </c>
      <c r="AQ153" s="104">
        <f si="171" t="shared"/>
        <v>0.78397356193966361</v>
      </c>
      <c r="AR153" s="104">
        <f si="171" t="shared"/>
        <v>0.18207966462994113</v>
      </c>
      <c r="AS153" s="104">
        <f si="171" t="shared"/>
        <v>0.85836283124418722</v>
      </c>
      <c r="AT153" s="104">
        <f si="171" t="shared"/>
        <v>0.43289625514582886</v>
      </c>
      <c r="AU153" s="104">
        <f si="171" t="shared"/>
        <v>0</v>
      </c>
      <c r="AV153" s="104">
        <f si="171" t="shared"/>
        <v>0</v>
      </c>
      <c r="CU153" s="95">
        <v>152</v>
      </c>
      <c r="CV153" s="95">
        <f si="153" t="shared"/>
        <v>8</v>
      </c>
      <c r="CW153" s="95">
        <f si="148" t="shared"/>
        <v>12</v>
      </c>
      <c r="CX153" s="58">
        <f si="149" t="shared"/>
        <v>542.62076665426127</v>
      </c>
      <c r="CY153" s="58">
        <f si="150" t="shared"/>
        <v>271</v>
      </c>
      <c r="CZ153" s="108">
        <f si="151" t="shared"/>
        <v>-271.62076665426127</v>
      </c>
      <c r="DA153" s="78">
        <f si="152" t="shared"/>
        <v>-0.50057200782978584</v>
      </c>
    </row>
    <row r="154" spans="26:105" x14ac:dyDescent="0.25">
      <c r="Z154" s="95">
        <v>19</v>
      </c>
      <c r="AA154" s="104">
        <f ref="AA154:AV154" si="172" t="shared">ABS(AA128)</f>
        <v>2.3380009358604599</v>
      </c>
      <c r="AB154" s="104">
        <f si="172" t="shared"/>
        <v>5.4100927885463029E-2</v>
      </c>
      <c r="AC154" s="104">
        <f si="172" t="shared"/>
        <v>0.81065868380222883</v>
      </c>
      <c r="AD154" s="104">
        <f si="172" t="shared"/>
        <v>1.9846462811888062E-2</v>
      </c>
      <c r="AE154" s="104">
        <f si="172" t="shared"/>
        <v>1.8363849853136835</v>
      </c>
      <c r="AF154" s="104">
        <f si="172" t="shared"/>
        <v>0.40342464750147272</v>
      </c>
      <c r="AG154" s="104">
        <f si="172" t="shared"/>
        <v>0.43413905539483183</v>
      </c>
      <c r="AH154" s="104">
        <f si="172" t="shared"/>
        <v>0.58954775501366752</v>
      </c>
      <c r="AI154" s="104">
        <f si="172" t="shared"/>
        <v>0.17653527152775078</v>
      </c>
      <c r="AJ154" s="104">
        <f si="172" t="shared"/>
        <v>0.4656462697546353</v>
      </c>
      <c r="AK154" s="104">
        <f si="172" t="shared"/>
        <v>0.28735042607645089</v>
      </c>
      <c r="AL154" s="104">
        <f si="172" t="shared"/>
        <v>0.50627121960030308</v>
      </c>
      <c r="AM154" s="104">
        <f si="172" t="shared"/>
        <v>0.88177465944658573</v>
      </c>
      <c r="AN154" s="104">
        <f si="172" t="shared"/>
        <v>7.9648900329092359E-2</v>
      </c>
      <c r="AO154" s="104">
        <f si="172" t="shared"/>
        <v>1.2405367111376273</v>
      </c>
      <c r="AP154" s="104">
        <f si="172" t="shared"/>
        <v>0.84157983526843305</v>
      </c>
      <c r="AQ154" s="104">
        <f si="172" t="shared"/>
        <v>0.4355307736982611</v>
      </c>
      <c r="AR154" s="104">
        <f si="172" t="shared"/>
        <v>0.72003332956921362</v>
      </c>
      <c r="AS154" s="104">
        <f si="172" t="shared"/>
        <v>0.21913441938538264</v>
      </c>
      <c r="AT154" s="104">
        <f si="172" t="shared"/>
        <v>0.9727904297216774</v>
      </c>
      <c r="AU154" s="104">
        <f si="172" t="shared"/>
        <v>0</v>
      </c>
      <c r="AV154" s="104">
        <f si="172" t="shared"/>
        <v>0</v>
      </c>
      <c r="CU154" s="95">
        <v>153</v>
      </c>
      <c r="CV154" s="95">
        <f si="153" t="shared"/>
        <v>8</v>
      </c>
      <c r="CW154" s="95">
        <f si="148" t="shared"/>
        <v>13</v>
      </c>
      <c r="CX154" s="58">
        <f si="149" t="shared"/>
        <v>69.467807964272424</v>
      </c>
      <c r="CY154" s="58">
        <f si="150" t="shared"/>
        <v>50</v>
      </c>
      <c r="CZ154" s="108">
        <f si="151" t="shared"/>
        <v>-19.467807964272424</v>
      </c>
      <c r="DA154" s="78">
        <f si="152" t="shared"/>
        <v>-0.28024215150541093</v>
      </c>
    </row>
    <row r="155" spans="26:105" x14ac:dyDescent="0.25">
      <c r="Z155" s="95">
        <v>20</v>
      </c>
      <c r="AA155" s="104">
        <f ref="AA155:AV155" si="173" t="shared">ABS(AA129)</f>
        <v>0.98955025193636037</v>
      </c>
      <c r="AB155" s="104">
        <f si="173" t="shared"/>
        <v>0.17686949677881345</v>
      </c>
      <c r="AC155" s="104">
        <f si="173" t="shared"/>
        <v>0.13829269923472956</v>
      </c>
      <c r="AD155" s="104">
        <f si="173" t="shared"/>
        <v>0.50380716361989886</v>
      </c>
      <c r="AE155" s="104">
        <f si="173" t="shared"/>
        <v>0.70936046590462221</v>
      </c>
      <c r="AF155" s="104">
        <f si="173" t="shared"/>
        <v>0.35483217552630736</v>
      </c>
      <c r="AG155" s="104">
        <f si="173" t="shared"/>
        <v>0.63445034079339391</v>
      </c>
      <c r="AH155" s="104">
        <f si="173" t="shared"/>
        <v>0.8381603597620717</v>
      </c>
      <c r="AI155" s="104">
        <f si="173" t="shared"/>
        <v>0.73746108138505306</v>
      </c>
      <c r="AJ155" s="104">
        <f si="173" t="shared"/>
        <v>0.58878018684999123</v>
      </c>
      <c r="AK155" s="104">
        <f si="173" t="shared"/>
        <v>0.73107039826158637</v>
      </c>
      <c r="AL155" s="104">
        <f si="173" t="shared"/>
        <v>4.9728035053259845E-2</v>
      </c>
      <c r="AM155" s="104">
        <f si="173" t="shared"/>
        <v>0.55683891709587197</v>
      </c>
      <c r="AN155" s="104">
        <f si="173" t="shared"/>
        <v>0.90183081383686792</v>
      </c>
      <c r="AO155" s="104">
        <f si="173" t="shared"/>
        <v>0.73423096024024714</v>
      </c>
      <c r="AP155" s="104">
        <f si="173" t="shared"/>
        <v>0.32483487313486986</v>
      </c>
      <c r="AQ155" s="104">
        <f si="173" t="shared"/>
        <v>0.85941202969230468</v>
      </c>
      <c r="AR155" s="104">
        <f si="173" t="shared"/>
        <v>0.14586443391531975</v>
      </c>
      <c r="AS155" s="104">
        <f si="173" t="shared"/>
        <v>0.90058422099670121</v>
      </c>
      <c r="AT155" s="104">
        <f si="173" t="shared"/>
        <v>7.7724821184218487E-2</v>
      </c>
      <c r="AU155" s="104">
        <f si="173" t="shared"/>
        <v>0</v>
      </c>
      <c r="AV155" s="104">
        <f si="173" t="shared"/>
        <v>0</v>
      </c>
      <c r="CU155" s="95">
        <v>154</v>
      </c>
      <c r="CV155" s="95">
        <f si="153" t="shared"/>
        <v>8</v>
      </c>
      <c r="CW155" s="95">
        <f si="148" t="shared"/>
        <v>14</v>
      </c>
      <c r="CX155" s="58">
        <f si="149" t="shared"/>
        <v>77.958317826572397</v>
      </c>
      <c r="CY155" s="58">
        <f si="150" t="shared"/>
        <v>40</v>
      </c>
      <c r="CZ155" s="108">
        <f si="151" t="shared"/>
        <v>-37.958317826572397</v>
      </c>
      <c r="DA155" s="78">
        <f si="152" t="shared"/>
        <v>-0.48690529612266925</v>
      </c>
    </row>
    <row r="156" spans="26:105" x14ac:dyDescent="0.25">
      <c r="Z156" s="101" t="s">
        <v>15</v>
      </c>
      <c r="AA156" s="105">
        <f ref="AA156:AV156" si="174" t="shared">ABS(AA130)</f>
        <v>0</v>
      </c>
      <c r="AB156" s="105">
        <f si="174" t="shared"/>
        <v>0</v>
      </c>
      <c r="AC156" s="105">
        <f si="174" t="shared"/>
        <v>0</v>
      </c>
      <c r="AD156" s="105">
        <f si="174" t="shared"/>
        <v>0</v>
      </c>
      <c r="AE156" s="105">
        <f si="174" t="shared"/>
        <v>0</v>
      </c>
      <c r="AF156" s="105">
        <f si="174" t="shared"/>
        <v>0</v>
      </c>
      <c r="AG156" s="105">
        <f si="174" t="shared"/>
        <v>0</v>
      </c>
      <c r="AH156" s="105">
        <f si="174" t="shared"/>
        <v>0</v>
      </c>
      <c r="AI156" s="105">
        <f si="174" t="shared"/>
        <v>0</v>
      </c>
      <c r="AJ156" s="105">
        <f si="174" t="shared"/>
        <v>0</v>
      </c>
      <c r="AK156" s="105">
        <f si="174" t="shared"/>
        <v>0</v>
      </c>
      <c r="AL156" s="105">
        <f si="174" t="shared"/>
        <v>0</v>
      </c>
      <c r="AM156" s="105">
        <f si="174" t="shared"/>
        <v>0</v>
      </c>
      <c r="AN156" s="105">
        <f si="174" t="shared"/>
        <v>0</v>
      </c>
      <c r="AO156" s="105">
        <f si="174" t="shared"/>
        <v>0</v>
      </c>
      <c r="AP156" s="105">
        <f si="174" t="shared"/>
        <v>0</v>
      </c>
      <c r="AQ156" s="105">
        <f si="174" t="shared"/>
        <v>0</v>
      </c>
      <c r="AR156" s="105">
        <f si="174" t="shared"/>
        <v>0</v>
      </c>
      <c r="AS156" s="105">
        <f si="174" t="shared"/>
        <v>0</v>
      </c>
      <c r="AT156" s="105">
        <f si="174" t="shared"/>
        <v>0</v>
      </c>
      <c r="AU156" s="105">
        <f si="174" t="shared"/>
        <v>0</v>
      </c>
      <c r="AV156" s="105">
        <f si="174" t="shared"/>
        <v>0</v>
      </c>
      <c r="CU156" s="95">
        <v>155</v>
      </c>
      <c r="CV156" s="95">
        <f si="153" t="shared"/>
        <v>8</v>
      </c>
      <c r="CW156" s="95">
        <f si="148" t="shared"/>
        <v>15</v>
      </c>
      <c r="CX156" s="58">
        <f si="149" t="shared"/>
        <v>41.680684778563453</v>
      </c>
      <c r="CY156" s="58">
        <f si="150" t="shared"/>
        <v>24</v>
      </c>
      <c r="CZ156" s="108">
        <f si="151" t="shared"/>
        <v>-17.680684778563453</v>
      </c>
      <c r="DA156" s="78">
        <f si="152" t="shared"/>
        <v>-0.42419372120432874</v>
      </c>
    </row>
    <row ht="15.75" r="157" spans="26:105" thickBot="1" x14ac:dyDescent="0.3">
      <c r="Z157" s="1" t="s">
        <v>3</v>
      </c>
      <c r="AA157" s="106">
        <f ref="AA157:AV157" si="175" t="shared">ABS(AA131)</f>
        <v>1.1833176130847725</v>
      </c>
      <c r="AB157" s="106">
        <f si="175" t="shared"/>
        <v>0.13655380252200885</v>
      </c>
      <c r="AC157" s="106">
        <f si="175" t="shared"/>
        <v>0.14369092158972921</v>
      </c>
      <c r="AD157" s="106">
        <f si="175" t="shared"/>
        <v>0.20436663048386894</v>
      </c>
      <c r="AE157" s="106">
        <f si="175" t="shared"/>
        <v>0.99460761994161329</v>
      </c>
      <c r="AF157" s="106">
        <f si="175" t="shared"/>
        <v>3.8437885256028474E-2</v>
      </c>
      <c r="AG157" s="106">
        <f si="175" t="shared"/>
        <v>0.30077911853536965</v>
      </c>
      <c r="AH157" s="106">
        <f si="175" t="shared"/>
        <v>0.60113358677757256</v>
      </c>
      <c r="AI157" s="106">
        <f si="175" t="shared"/>
        <v>0.33401622730194763</v>
      </c>
      <c r="AJ157" s="106">
        <f si="175" t="shared"/>
        <v>0.45095242492560378</v>
      </c>
      <c r="AK157" s="106">
        <f si="175" t="shared"/>
        <v>0.36136881592369913</v>
      </c>
      <c r="AL157" s="106">
        <f si="175" t="shared"/>
        <v>0.33447679529083957</v>
      </c>
      <c r="AM157" s="106">
        <f si="175" t="shared"/>
        <v>0.76389869013884815</v>
      </c>
      <c r="AN157" s="106">
        <f si="175" t="shared"/>
        <v>0.30505217179731881</v>
      </c>
      <c r="AO157" s="106">
        <f si="175" t="shared"/>
        <v>2.2959063509037581E-2</v>
      </c>
      <c r="AP157" s="106">
        <f si="175" t="shared"/>
        <v>0.58418831881485589</v>
      </c>
      <c r="AQ157" s="106">
        <f si="175" t="shared"/>
        <v>0.43265741051771833</v>
      </c>
      <c r="AR157" s="106">
        <f si="175" t="shared"/>
        <v>0.14522632275737382</v>
      </c>
      <c r="AS157" s="106">
        <f si="175" t="shared"/>
        <v>0.35049577596244735</v>
      </c>
      <c r="AT157" s="106">
        <f si="175" t="shared"/>
        <v>0.16772177810818478</v>
      </c>
      <c r="AU157" s="106">
        <f si="175" t="shared"/>
        <v>0</v>
      </c>
      <c r="AV157" s="106">
        <f si="175" t="shared"/>
        <v>0</v>
      </c>
      <c r="CU157" s="95">
        <v>156</v>
      </c>
      <c r="CV157" s="95">
        <f si="153" t="shared"/>
        <v>8</v>
      </c>
      <c r="CW157" s="95">
        <f si="148" t="shared"/>
        <v>16</v>
      </c>
      <c r="CX157" s="58">
        <f si="149" t="shared"/>
        <v>11.577967994045403</v>
      </c>
      <c r="CY157" s="58">
        <f si="150" t="shared"/>
        <v>0</v>
      </c>
      <c r="CZ157" s="108">
        <f si="151" t="shared"/>
        <v>-11.577967994045403</v>
      </c>
      <c r="DA157" s="78">
        <f si="152" t="shared"/>
        <v>-1</v>
      </c>
    </row>
    <row r="158" spans="26:105" x14ac:dyDescent="0.25">
      <c r="CU158" s="95">
        <v>157</v>
      </c>
      <c r="CV158" s="95">
        <f si="153" t="shared"/>
        <v>8</v>
      </c>
      <c r="CW158" s="95">
        <f si="148" t="shared"/>
        <v>17</v>
      </c>
      <c r="CX158" s="58">
        <f si="149" t="shared"/>
        <v>27.015258652772609</v>
      </c>
      <c r="CY158" s="58">
        <f si="150" t="shared"/>
        <v>14</v>
      </c>
      <c r="CZ158" s="108">
        <f si="151" t="shared"/>
        <v>-13.015258652772609</v>
      </c>
      <c r="DA158" s="78">
        <f si="152" t="shared"/>
        <v>-0.48177434908389583</v>
      </c>
    </row>
    <row r="159" spans="26:105" x14ac:dyDescent="0.25">
      <c r="AA159" s="127" t="s">
        <v>373</v>
      </c>
      <c r="AB159" s="127" t="s">
        <v>374</v>
      </c>
      <c r="AC159" s="127" t="s">
        <v>375</v>
      </c>
      <c r="CU159" s="95">
        <v>158</v>
      </c>
      <c r="CV159" s="95">
        <f si="153" t="shared"/>
        <v>8</v>
      </c>
      <c r="CW159" s="95">
        <f si="148" t="shared"/>
        <v>18</v>
      </c>
      <c r="CX159" s="58">
        <f si="149" t="shared"/>
        <v>24.699665053963528</v>
      </c>
      <c r="CY159" s="58">
        <f si="150" t="shared"/>
        <v>3</v>
      </c>
      <c r="CZ159" s="108">
        <f si="151" t="shared"/>
        <v>-21.699665053963528</v>
      </c>
      <c r="DA159" s="78">
        <f si="152" t="shared"/>
        <v>-0.87854086306653811</v>
      </c>
    </row>
    <row r="160" spans="26:105" x14ac:dyDescent="0.25">
      <c r="Z160" t="s">
        <v>372</v>
      </c>
      <c r="AA160" s="8">
        <f>SUM(AA136:AL155)</f>
        <v>114.95596182471084</v>
      </c>
      <c r="AB160" s="8">
        <f>MIN($AA$136:$AL$155)</f>
        <v>1.4968426583426449E-3</v>
      </c>
      <c r="AC160" s="8">
        <f>MAX($AA$136:$AL$154)</f>
        <v>2.3585030226237591</v>
      </c>
      <c r="CU160" s="95">
        <v>159</v>
      </c>
      <c r="CV160" s="95">
        <f si="153" t="shared"/>
        <v>8</v>
      </c>
      <c r="CW160" s="95">
        <f si="148" t="shared"/>
        <v>19</v>
      </c>
      <c r="CX160" s="58">
        <f si="149" t="shared"/>
        <v>37.821362113881655</v>
      </c>
      <c r="CY160" s="58">
        <f si="150" t="shared"/>
        <v>24</v>
      </c>
      <c r="CZ160" s="108">
        <f si="151" t="shared"/>
        <v>-13.821362113881655</v>
      </c>
      <c r="DA160" s="78">
        <f si="152" t="shared"/>
        <v>-0.36543797847007659</v>
      </c>
    </row>
    <row r="161" spans="26:105" x14ac:dyDescent="0.25">
      <c r="Z161" t="s">
        <v>376</v>
      </c>
      <c r="AA161" s="8">
        <f>SUM(AM136:AT155)</f>
        <v>96.869705011086594</v>
      </c>
      <c r="AB161" s="8">
        <f>MIN($AM$136:$AT$155)</f>
        <v>1.3852014134391279E-2</v>
      </c>
      <c r="AC161" s="8">
        <f>MAX($AM$136:$AT$155)</f>
        <v>1.6314942980369749</v>
      </c>
      <c r="CU161" s="95">
        <v>160</v>
      </c>
      <c r="CV161" s="95">
        <f si="153" t="shared"/>
        <v>8</v>
      </c>
      <c r="CW161" s="95">
        <f si="148" t="shared"/>
        <v>20</v>
      </c>
      <c r="CX161" s="58">
        <f si="149" t="shared"/>
        <v>10.806103461109043</v>
      </c>
      <c r="CY161" s="58">
        <f si="150" t="shared"/>
        <v>2</v>
      </c>
      <c r="CZ161" s="108">
        <f si="151" t="shared"/>
        <v>-8.8061034611090427</v>
      </c>
      <c r="DA161" s="78">
        <f si="152" t="shared"/>
        <v>-0.81491941038710569</v>
      </c>
    </row>
    <row r="162" spans="26:105" x14ac:dyDescent="0.25">
      <c r="CU162" s="95">
        <v>161</v>
      </c>
      <c r="CV162" s="95">
        <f si="153" t="shared"/>
        <v>9</v>
      </c>
      <c r="CW162" s="95">
        <f si="148" t="shared"/>
        <v>1</v>
      </c>
      <c r="CX162" s="58">
        <f si="149" t="shared"/>
        <v>5189.2833573392691</v>
      </c>
      <c r="CY162" s="58">
        <f si="150" t="shared"/>
        <v>11029.999999999998</v>
      </c>
      <c r="CZ162" s="108">
        <f si="151" t="shared"/>
        <v>5840.7166426607291</v>
      </c>
      <c r="DA162" s="78">
        <f si="152" t="shared"/>
        <v>1.1255343446220045</v>
      </c>
    </row>
    <row r="163" spans="26:105" x14ac:dyDescent="0.25">
      <c r="CU163" s="95">
        <v>162</v>
      </c>
      <c r="CV163" s="95">
        <f si="153" t="shared"/>
        <v>9</v>
      </c>
      <c r="CW163" s="95">
        <f si="148" t="shared"/>
        <v>2</v>
      </c>
      <c r="CX163" s="58">
        <f si="149" t="shared"/>
        <v>4372.9388175985332</v>
      </c>
      <c r="CY163" s="58">
        <f si="150" t="shared"/>
        <v>5240.9999999999991</v>
      </c>
      <c r="CZ163" s="108">
        <f si="151" t="shared"/>
        <v>868.06118240146589</v>
      </c>
      <c r="DA163" s="78">
        <f si="152" t="shared"/>
        <v>0.19850750687570221</v>
      </c>
    </row>
    <row r="164" spans="26:105" x14ac:dyDescent="0.25">
      <c r="CU164" s="95">
        <v>163</v>
      </c>
      <c r="CV164" s="95">
        <f si="153" t="shared"/>
        <v>9</v>
      </c>
      <c r="CW164" s="95">
        <f si="148" t="shared"/>
        <v>3</v>
      </c>
      <c r="CX164" s="58">
        <f si="149" t="shared"/>
        <v>2071.3920714940423</v>
      </c>
      <c r="CY164" s="58">
        <f si="150" t="shared"/>
        <v>2006.9999999999998</v>
      </c>
      <c r="CZ164" s="108">
        <f si="151" t="shared"/>
        <v>-64.392071494042511</v>
      </c>
      <c r="DA164" s="78">
        <f si="152" t="shared"/>
        <v>-3.108637538020417E-2</v>
      </c>
    </row>
    <row r="165" spans="26:105" x14ac:dyDescent="0.25">
      <c r="CU165" s="95">
        <v>164</v>
      </c>
      <c r="CV165" s="95">
        <f si="153" t="shared"/>
        <v>9</v>
      </c>
      <c r="CW165" s="95">
        <f si="148" t="shared"/>
        <v>4</v>
      </c>
      <c r="CX165" s="58">
        <f si="149" t="shared"/>
        <v>1557.5365326698966</v>
      </c>
      <c r="CY165" s="58">
        <f si="150" t="shared"/>
        <v>958.99999999999989</v>
      </c>
      <c r="CZ165" s="108">
        <f si="151" t="shared"/>
        <v>-598.5365326698967</v>
      </c>
      <c r="DA165" s="78">
        <f si="152" t="shared"/>
        <v>-0.38428410513357131</v>
      </c>
    </row>
    <row r="166" spans="26:105" x14ac:dyDescent="0.25">
      <c r="CU166" s="95">
        <v>165</v>
      </c>
      <c r="CV166" s="95">
        <f si="153" t="shared"/>
        <v>9</v>
      </c>
      <c r="CW166" s="95">
        <f si="148" t="shared"/>
        <v>5</v>
      </c>
      <c r="CX166" s="58">
        <f si="149" t="shared"/>
        <v>1167.68269608485</v>
      </c>
      <c r="CY166" s="58">
        <f si="150" t="shared"/>
        <v>2424.9999999999995</v>
      </c>
      <c r="CZ166" s="108">
        <f si="151" t="shared"/>
        <v>1257.3173039151495</v>
      </c>
      <c r="DA166" s="78">
        <f si="152" t="shared"/>
        <v>1.0767628124753732</v>
      </c>
    </row>
    <row r="167" spans="26:105" x14ac:dyDescent="0.25">
      <c r="CU167" s="95">
        <v>166</v>
      </c>
      <c r="CV167" s="95">
        <f si="153" t="shared"/>
        <v>9</v>
      </c>
      <c r="CW167" s="95">
        <f si="148" t="shared"/>
        <v>6</v>
      </c>
      <c r="CX167" s="58">
        <f si="149" t="shared"/>
        <v>9101.912825716905</v>
      </c>
      <c r="CY167" s="58">
        <f si="150" t="shared"/>
        <v>9224.9999999999982</v>
      </c>
      <c r="CZ167" s="108">
        <f si="151" t="shared"/>
        <v>123.08717428309319</v>
      </c>
      <c r="DA167" s="78">
        <f si="152" t="shared"/>
        <v>1.3523220518583502E-2</v>
      </c>
    </row>
    <row r="168" spans="26:105" x14ac:dyDescent="0.25">
      <c r="CU168" s="95">
        <v>167</v>
      </c>
      <c r="CV168" s="95">
        <f si="153" t="shared"/>
        <v>9</v>
      </c>
      <c r="CW168" s="95">
        <f si="148" t="shared"/>
        <v>7</v>
      </c>
      <c r="CX168" s="58">
        <f si="149" t="shared"/>
        <v>5174.2528479769544</v>
      </c>
      <c r="CY168" s="58">
        <f si="150" t="shared"/>
        <v>4741.9999999999991</v>
      </c>
      <c r="CZ168" s="108">
        <f si="151" t="shared"/>
        <v>-432.25284797695531</v>
      </c>
      <c r="DA168" s="78">
        <f si="152" t="shared"/>
        <v>-8.3539181535351309E-2</v>
      </c>
    </row>
    <row r="169" spans="26:105" x14ac:dyDescent="0.25">
      <c r="CU169" s="95">
        <v>168</v>
      </c>
      <c r="CV169" s="95">
        <f si="153" t="shared"/>
        <v>9</v>
      </c>
      <c r="CW169" s="95">
        <f si="148" t="shared"/>
        <v>8</v>
      </c>
      <c r="CX169" s="58">
        <f si="149" t="shared"/>
        <v>297.79196674086683</v>
      </c>
      <c r="CY169" s="58">
        <f si="150" t="shared"/>
        <v>77.999999999999986</v>
      </c>
      <c r="CZ169" s="108">
        <f si="151" t="shared"/>
        <v>-219.79196674086683</v>
      </c>
      <c r="DA169" s="78">
        <f si="152" t="shared"/>
        <v>-0.73807218222285298</v>
      </c>
    </row>
    <row r="170" spans="26:105" x14ac:dyDescent="0.25">
      <c r="CU170" s="95">
        <v>169</v>
      </c>
      <c r="CV170" s="95">
        <f si="153" t="shared"/>
        <v>9</v>
      </c>
      <c r="CW170" s="95">
        <f si="148" t="shared"/>
        <v>9</v>
      </c>
      <c r="CX170" s="58">
        <f si="149" t="shared"/>
        <v>9016.4268037187376</v>
      </c>
      <c r="CY170" s="58">
        <f si="150" t="shared"/>
        <v>7544.9999999999991</v>
      </c>
      <c r="CZ170" s="108">
        <f si="151" t="shared"/>
        <v>-1471.4268037187385</v>
      </c>
      <c r="DA170" s="78">
        <f si="152" t="shared"/>
        <v>-0.16319400531393022</v>
      </c>
    </row>
    <row r="171" spans="26:105" x14ac:dyDescent="0.25">
      <c r="CU171" s="95">
        <v>170</v>
      </c>
      <c r="CV171" s="95">
        <f si="153" t="shared"/>
        <v>9</v>
      </c>
      <c r="CW171" s="95">
        <f si="148" t="shared"/>
        <v>10</v>
      </c>
      <c r="CX171" s="58">
        <f si="149" t="shared"/>
        <v>848.2843721356553</v>
      </c>
      <c r="CY171" s="58">
        <f si="150" t="shared"/>
        <v>364.99999999999994</v>
      </c>
      <c r="CZ171" s="108">
        <f si="151" t="shared"/>
        <v>-483.28437213565536</v>
      </c>
      <c r="DA171" s="78">
        <f si="152" t="shared"/>
        <v>-0.5697197638086039</v>
      </c>
    </row>
    <row r="172" spans="26:105" x14ac:dyDescent="0.25">
      <c r="CU172" s="95">
        <v>171</v>
      </c>
      <c r="CV172" s="95">
        <f si="153" t="shared"/>
        <v>9</v>
      </c>
      <c r="CW172" s="95">
        <f si="148" t="shared"/>
        <v>11</v>
      </c>
      <c r="CX172" s="58">
        <f si="149" t="shared"/>
        <v>2975.1014469032343</v>
      </c>
      <c r="CY172" s="58">
        <f si="150" t="shared"/>
        <v>1919.9999999999998</v>
      </c>
      <c r="CZ172" s="108">
        <f si="151" t="shared"/>
        <v>-1055.1014469032345</v>
      </c>
      <c r="DA172" s="78">
        <f si="152" t="shared"/>
        <v>-0.35464385525457742</v>
      </c>
    </row>
    <row r="173" spans="26:105" x14ac:dyDescent="0.25">
      <c r="CU173" s="95">
        <v>172</v>
      </c>
      <c r="CV173" s="95">
        <f si="153" t="shared"/>
        <v>9</v>
      </c>
      <c r="CW173" s="95">
        <f si="148" t="shared"/>
        <v>12</v>
      </c>
      <c r="CX173" s="58">
        <f si="149" t="shared"/>
        <v>8566.4509296844317</v>
      </c>
      <c r="CY173" s="58">
        <f si="150" t="shared"/>
        <v>5226.9999999999991</v>
      </c>
      <c r="CZ173" s="108">
        <f si="151" t="shared"/>
        <v>-3339.4509296844326</v>
      </c>
      <c r="DA173" s="78">
        <f si="152" t="shared"/>
        <v>-0.38982899185385872</v>
      </c>
    </row>
    <row r="174" spans="26:105" x14ac:dyDescent="0.25">
      <c r="CU174" s="95">
        <v>173</v>
      </c>
      <c r="CV174" s="95">
        <f si="153" t="shared"/>
        <v>9</v>
      </c>
      <c r="CW174" s="95">
        <f si="148" t="shared"/>
        <v>13</v>
      </c>
      <c r="CX174" s="58">
        <f si="149" t="shared"/>
        <v>1911.6929095194448</v>
      </c>
      <c r="CY174" s="58">
        <f si="150" t="shared"/>
        <v>3087.9999999999995</v>
      </c>
      <c r="CZ174" s="108">
        <f si="151" t="shared"/>
        <v>1176.3070904805547</v>
      </c>
      <c r="DA174" s="78">
        <f si="152" t="shared"/>
        <v>0.6153222019201039</v>
      </c>
    </row>
    <row r="175" spans="26:105" x14ac:dyDescent="0.25">
      <c r="CU175" s="95">
        <v>174</v>
      </c>
      <c r="CV175" s="95">
        <f si="153" t="shared"/>
        <v>9</v>
      </c>
      <c r="CW175" s="95">
        <f si="148" t="shared"/>
        <v>14</v>
      </c>
      <c r="CX175" s="58">
        <f si="149" t="shared"/>
        <v>265.85213434594738</v>
      </c>
      <c r="CY175" s="58">
        <f si="150" t="shared"/>
        <v>126.99999999999999</v>
      </c>
      <c r="CZ175" s="108">
        <f si="151" t="shared"/>
        <v>-138.85213434594738</v>
      </c>
      <c r="DA175" s="78">
        <f si="152" t="shared"/>
        <v>-0.52229083918228858</v>
      </c>
    </row>
    <row r="176" spans="26:105" x14ac:dyDescent="0.25">
      <c r="CU176" s="95">
        <v>175</v>
      </c>
      <c r="CV176" s="95">
        <f si="153" t="shared"/>
        <v>9</v>
      </c>
      <c r="CW176" s="95">
        <f si="148" t="shared"/>
        <v>15</v>
      </c>
      <c r="CX176" s="58">
        <f si="149" t="shared"/>
        <v>3231.5595128977347</v>
      </c>
      <c r="CY176" s="58">
        <f si="150" t="shared"/>
        <v>2753.9999999999995</v>
      </c>
      <c r="CZ176" s="108">
        <f si="151" t="shared"/>
        <v>-477.5595128977352</v>
      </c>
      <c r="DA176" s="78">
        <f si="152" t="shared"/>
        <v>-0.14777989109954787</v>
      </c>
    </row>
    <row r="177" spans="99:105" x14ac:dyDescent="0.25">
      <c r="CU177" s="95">
        <v>176</v>
      </c>
      <c r="CV177" s="95">
        <f si="153" t="shared"/>
        <v>9</v>
      </c>
      <c r="CW177" s="95">
        <f si="148" t="shared"/>
        <v>16</v>
      </c>
      <c r="CX177" s="58">
        <f si="149" t="shared"/>
        <v>124.00170223909912</v>
      </c>
      <c r="CY177" s="58">
        <f si="150" t="shared"/>
        <v>34.999999999999993</v>
      </c>
      <c r="CZ177" s="108">
        <f si="151" t="shared"/>
        <v>-89.001702239099131</v>
      </c>
      <c r="DA177" s="78">
        <f si="152" t="shared"/>
        <v>-0.71774581019449835</v>
      </c>
    </row>
    <row r="178" spans="99:105" x14ac:dyDescent="0.25">
      <c r="CU178" s="95">
        <v>177</v>
      </c>
      <c r="CV178" s="95">
        <f si="153" t="shared"/>
        <v>9</v>
      </c>
      <c r="CW178" s="95">
        <f si="148" t="shared"/>
        <v>17</v>
      </c>
      <c r="CX178" s="58">
        <f si="149" t="shared"/>
        <v>271.48857535681549</v>
      </c>
      <c r="CY178" s="58">
        <f si="150" t="shared"/>
        <v>118.99999999999999</v>
      </c>
      <c r="CZ178" s="108">
        <f si="151" t="shared"/>
        <v>-152.48857535681549</v>
      </c>
      <c r="DA178" s="78">
        <f si="152" t="shared"/>
        <v>-0.56167584641969126</v>
      </c>
    </row>
    <row r="179" spans="99:105" x14ac:dyDescent="0.25">
      <c r="CU179" s="95">
        <v>178</v>
      </c>
      <c r="CV179" s="95">
        <f si="153" t="shared"/>
        <v>9</v>
      </c>
      <c r="CW179" s="95">
        <f si="148" t="shared"/>
        <v>18</v>
      </c>
      <c r="CX179" s="58">
        <f si="149" t="shared"/>
        <v>253.6398454890664</v>
      </c>
      <c r="CY179" s="58">
        <f si="150" t="shared"/>
        <v>78.999999999999986</v>
      </c>
      <c r="CZ179" s="108">
        <f si="151" t="shared"/>
        <v>-174.63984548906643</v>
      </c>
      <c r="DA179" s="78">
        <f si="152" t="shared"/>
        <v>-0.68853474166224637</v>
      </c>
    </row>
    <row r="180" spans="99:105" x14ac:dyDescent="0.25">
      <c r="CU180" s="95">
        <v>179</v>
      </c>
      <c r="CV180" s="95">
        <f si="153" t="shared"/>
        <v>9</v>
      </c>
      <c r="CW180" s="95">
        <f si="148" t="shared"/>
        <v>19</v>
      </c>
      <c r="CX180" s="58">
        <f si="149" t="shared"/>
        <v>809.76869189472302</v>
      </c>
      <c r="CY180" s="58">
        <f si="150" t="shared"/>
        <v>422.99999999999994</v>
      </c>
      <c r="CZ180" s="108">
        <f si="151" t="shared"/>
        <v>-386.76869189472308</v>
      </c>
      <c r="DA180" s="78">
        <f si="152" t="shared"/>
        <v>-0.47762860649718275</v>
      </c>
    </row>
    <row r="181" spans="99:105" x14ac:dyDescent="0.25">
      <c r="CU181" s="95">
        <v>180</v>
      </c>
      <c r="CV181" s="95">
        <f si="153" t="shared"/>
        <v>9</v>
      </c>
      <c r="CW181" s="95">
        <f si="148" t="shared"/>
        <v>20</v>
      </c>
      <c r="CX181" s="58">
        <f si="149" t="shared"/>
        <v>186.94196019379339</v>
      </c>
      <c r="CY181" s="58">
        <f si="150" t="shared"/>
        <v>4.9999999999999991</v>
      </c>
      <c r="CZ181" s="108">
        <f si="151" t="shared"/>
        <v>-181.94196019379339</v>
      </c>
      <c r="DA181" s="78">
        <f si="152" t="shared"/>
        <v>-0.97325373075784194</v>
      </c>
    </row>
    <row r="182" spans="99:105" x14ac:dyDescent="0.25">
      <c r="CU182" s="95">
        <v>181</v>
      </c>
      <c r="CV182" s="95">
        <f si="153" t="shared"/>
        <v>10</v>
      </c>
      <c r="CW182" s="95">
        <f si="148" t="shared"/>
        <v>1</v>
      </c>
      <c r="CX182" s="58">
        <f si="149" t="shared"/>
        <v>2660.7859905993928</v>
      </c>
      <c r="CY182" s="58">
        <f si="150" t="shared"/>
        <v>5260.9999999999991</v>
      </c>
      <c r="CZ182" s="108">
        <f si="151" t="shared"/>
        <v>2600.2140094006063</v>
      </c>
      <c r="DA182" s="78">
        <f si="152" t="shared"/>
        <v>0.97723530512683532</v>
      </c>
    </row>
    <row r="183" spans="99:105" x14ac:dyDescent="0.25">
      <c r="CU183" s="95">
        <v>182</v>
      </c>
      <c r="CV183" s="95">
        <f si="153" t="shared"/>
        <v>10</v>
      </c>
      <c r="CW183" s="95">
        <f si="148" t="shared"/>
        <v>2</v>
      </c>
      <c r="CX183" s="58">
        <f si="149" t="shared"/>
        <v>952.47535460255392</v>
      </c>
      <c r="CY183" s="58">
        <f si="150" t="shared"/>
        <v>1378.9999999999998</v>
      </c>
      <c r="CZ183" s="108">
        <f si="151" t="shared"/>
        <v>426.52464539744585</v>
      </c>
      <c r="DA183" s="78">
        <f si="152" t="shared"/>
        <v>0.44780649004343509</v>
      </c>
    </row>
    <row r="184" spans="99:105" x14ac:dyDescent="0.25">
      <c r="CU184" s="95">
        <v>183</v>
      </c>
      <c r="CV184" s="95">
        <f si="153" t="shared"/>
        <v>10</v>
      </c>
      <c r="CW184" s="95">
        <f si="148" t="shared"/>
        <v>3</v>
      </c>
      <c r="CX184" s="58">
        <f si="149" t="shared"/>
        <v>493.64851711659253</v>
      </c>
      <c r="CY184" s="58">
        <f si="150" t="shared"/>
        <v>696.99999999999989</v>
      </c>
      <c r="CZ184" s="108">
        <f si="151" t="shared"/>
        <v>203.35148288340736</v>
      </c>
      <c r="DA184" s="78">
        <f si="152" t="shared"/>
        <v>0.4119357717737836</v>
      </c>
    </row>
    <row r="185" spans="99:105" x14ac:dyDescent="0.25">
      <c r="CU185" s="95">
        <v>184</v>
      </c>
      <c r="CV185" s="95">
        <f si="153" t="shared"/>
        <v>10</v>
      </c>
      <c r="CW185" s="95">
        <f si="148" t="shared"/>
        <v>4</v>
      </c>
      <c r="CX185" s="58">
        <f si="149" t="shared"/>
        <v>739.44860862692906</v>
      </c>
      <c r="CY185" s="58">
        <f si="150" t="shared"/>
        <v>808.99999999999989</v>
      </c>
      <c r="CZ185" s="108">
        <f si="151" t="shared"/>
        <v>69.551391373070828</v>
      </c>
      <c r="DA185" s="78">
        <f si="152" t="shared"/>
        <v>9.4058451881084415E-2</v>
      </c>
    </row>
    <row r="186" spans="99:105" x14ac:dyDescent="0.25">
      <c r="CU186" s="95">
        <v>185</v>
      </c>
      <c r="CV186" s="95">
        <f si="153" t="shared"/>
        <v>10</v>
      </c>
      <c r="CW186" s="95">
        <f si="148" t="shared"/>
        <v>5</v>
      </c>
      <c r="CX186" s="58">
        <f si="149" t="shared"/>
        <v>1223.8796223118838</v>
      </c>
      <c r="CY186" s="58">
        <f si="150" t="shared"/>
        <v>2358.9999999999995</v>
      </c>
      <c r="CZ186" s="108">
        <f si="151" t="shared"/>
        <v>1135.1203776881157</v>
      </c>
      <c r="DA186" s="78">
        <f si="152" t="shared"/>
        <v>0.92747714480603594</v>
      </c>
    </row>
    <row r="187" spans="99:105" x14ac:dyDescent="0.25">
      <c r="CU187" s="95">
        <v>186</v>
      </c>
      <c r="CV187" s="95">
        <f si="153" t="shared"/>
        <v>10</v>
      </c>
      <c r="CW187" s="95">
        <f si="148" t="shared"/>
        <v>6</v>
      </c>
      <c r="CX187" s="58">
        <f si="149" t="shared"/>
        <v>6417.4307225157027</v>
      </c>
      <c r="CY187" s="58">
        <f si="150" t="shared"/>
        <v>6037.9999999999991</v>
      </c>
      <c r="CZ187" s="108">
        <f si="151" t="shared"/>
        <v>-379.43072251570356</v>
      </c>
      <c r="DA187" s="78">
        <f si="152" t="shared"/>
        <v>-5.9125020420471727E-2</v>
      </c>
    </row>
    <row r="188" spans="99:105" x14ac:dyDescent="0.25">
      <c r="CU188" s="95">
        <v>187</v>
      </c>
      <c r="CV188" s="95">
        <f si="153" t="shared"/>
        <v>10</v>
      </c>
      <c r="CW188" s="95">
        <f si="148" t="shared"/>
        <v>7</v>
      </c>
      <c r="CX188" s="58">
        <f si="149" t="shared"/>
        <v>994.4662035689031</v>
      </c>
      <c r="CY188" s="58">
        <f si="150" t="shared"/>
        <v>658.99999999999989</v>
      </c>
      <c r="CZ188" s="108">
        <f si="151" t="shared"/>
        <v>-335.46620356890321</v>
      </c>
      <c r="DA188" s="78">
        <f si="152" t="shared"/>
        <v>-0.33733293536270481</v>
      </c>
    </row>
    <row r="189" spans="99:105" x14ac:dyDescent="0.25">
      <c r="CU189" s="95">
        <v>188</v>
      </c>
      <c r="CV189" s="95">
        <f si="153" t="shared"/>
        <v>10</v>
      </c>
      <c r="CW189" s="95">
        <f si="148" t="shared"/>
        <v>8</v>
      </c>
      <c r="CX189" s="58">
        <f si="149" t="shared"/>
        <v>212.00257892766527</v>
      </c>
      <c r="CY189" s="58">
        <f si="150" t="shared"/>
        <v>98.999999999999986</v>
      </c>
      <c r="CZ189" s="108">
        <f si="151" t="shared"/>
        <v>-113.00257892766528</v>
      </c>
      <c r="DA189" s="78">
        <f si="152" t="shared"/>
        <v>-0.53302454856561665</v>
      </c>
    </row>
    <row r="190" spans="99:105" x14ac:dyDescent="0.25">
      <c r="CU190" s="95">
        <v>189</v>
      </c>
      <c r="CV190" s="95">
        <f si="153" t="shared"/>
        <v>10</v>
      </c>
      <c r="CW190" s="95">
        <f si="148" t="shared"/>
        <v>9</v>
      </c>
      <c r="CX190" s="58">
        <f si="149" t="shared"/>
        <v>926.87117840356052</v>
      </c>
      <c r="CY190" s="58">
        <f si="150" t="shared"/>
        <v>412.99999999999994</v>
      </c>
      <c r="CZ190" s="108">
        <f si="151" t="shared"/>
        <v>-513.87117840356063</v>
      </c>
      <c r="DA190" s="78">
        <f si="152" t="shared"/>
        <v>-0.55441488566798514</v>
      </c>
    </row>
    <row r="191" spans="99:105" x14ac:dyDescent="0.25">
      <c r="CU191" s="95">
        <v>190</v>
      </c>
      <c r="CV191" s="95">
        <f si="153" t="shared"/>
        <v>10</v>
      </c>
      <c r="CW191" s="95">
        <f si="148" t="shared"/>
        <v>10</v>
      </c>
      <c r="CX191" s="58">
        <f si="149" t="shared"/>
        <v>1942.8448899796181</v>
      </c>
      <c r="CY191" s="58">
        <f si="150" t="shared"/>
        <v>1253.9999999999998</v>
      </c>
      <c r="CZ191" s="108">
        <f si="151" t="shared"/>
        <v>-688.8448899796183</v>
      </c>
      <c r="DA191" s="78">
        <f si="152" t="shared"/>
        <v>-0.35455475294625544</v>
      </c>
    </row>
    <row r="192" spans="99:105" x14ac:dyDescent="0.25">
      <c r="CU192" s="95">
        <v>191</v>
      </c>
      <c r="CV192" s="95">
        <f si="153" t="shared"/>
        <v>10</v>
      </c>
      <c r="CW192" s="95">
        <f si="148" t="shared"/>
        <v>11</v>
      </c>
      <c r="CX192" s="58">
        <f si="149" t="shared"/>
        <v>695.40942556466041</v>
      </c>
      <c r="CY192" s="58">
        <f si="150" t="shared"/>
        <v>301.99999999999994</v>
      </c>
      <c r="CZ192" s="108">
        <f si="151" t="shared"/>
        <v>-393.40942556466047</v>
      </c>
      <c r="DA192" s="78">
        <f si="152" t="shared"/>
        <v>-0.56572345887491937</v>
      </c>
    </row>
    <row r="193" spans="99:105" x14ac:dyDescent="0.25">
      <c r="CU193" s="95">
        <v>192</v>
      </c>
      <c r="CV193" s="95">
        <f si="153" t="shared"/>
        <v>10</v>
      </c>
      <c r="CW193" s="95">
        <f si="148" t="shared"/>
        <v>12</v>
      </c>
      <c r="CX193" s="58">
        <f si="149" t="shared"/>
        <v>5794.7371573561832</v>
      </c>
      <c r="CY193" s="58">
        <f si="150" t="shared"/>
        <v>4565.9999999999991</v>
      </c>
      <c r="CZ193" s="108">
        <f si="151" t="shared"/>
        <v>-1228.7371573561841</v>
      </c>
      <c r="DA193" s="78">
        <f si="152" t="shared"/>
        <v>-0.2120436395974151</v>
      </c>
    </row>
    <row r="194" spans="99:105" x14ac:dyDescent="0.25">
      <c r="CU194" s="95">
        <v>193</v>
      </c>
      <c r="CV194" s="95">
        <f si="153" t="shared"/>
        <v>10</v>
      </c>
      <c r="CW194" s="95">
        <f si="148" t="shared"/>
        <v>13</v>
      </c>
      <c r="CX194" s="58">
        <f si="149" t="shared"/>
        <v>426.05349195125001</v>
      </c>
      <c r="CY194" s="58">
        <f si="150" t="shared"/>
        <v>376.99999999999994</v>
      </c>
      <c r="CZ194" s="108">
        <f si="151" t="shared"/>
        <v>-49.053491951250066</v>
      </c>
      <c r="DA194" s="78">
        <f si="152" t="shared"/>
        <v>-0.11513458492405192</v>
      </c>
    </row>
    <row r="195" spans="99:105" x14ac:dyDescent="0.25">
      <c r="CU195" s="95">
        <v>194</v>
      </c>
      <c r="CV195" s="95">
        <f si="153" t="shared"/>
        <v>10</v>
      </c>
      <c r="CW195" s="95">
        <f ref="CW195:CW258" si="176" t="shared">MOD(ROW()-2,$CS$2)+1</f>
        <v>14</v>
      </c>
      <c r="CX195" s="58">
        <f ref="CX195:CX258" si="177" t="shared">VLOOKUP($CV195,$B$30:$V$49,MATCH($CW195,$B$29:$V$29,0),0)</f>
        <v>137.23838442660454</v>
      </c>
      <c r="CY195" s="58">
        <f ref="CY195:CY258" si="178" t="shared">VLOOKUP($CV195,$AY$30:$BS$49,MATCH($CW195,$AY$29:$BS$29,0),0)</f>
        <v>49.999999999999993</v>
      </c>
      <c r="CZ195" s="108">
        <f ref="CZ195:CZ258" si="179" t="shared">CY195-CX195</f>
        <v>-87.23838442660454</v>
      </c>
      <c r="DA195" s="78">
        <f ref="DA195:DA258" si="180" t="shared">CZ195/CX195</f>
        <v>-0.63567044155390695</v>
      </c>
    </row>
    <row r="196" spans="99:105" x14ac:dyDescent="0.25">
      <c r="CU196" s="95">
        <v>195</v>
      </c>
      <c r="CV196" s="95">
        <f ref="CV196:CV259" si="181" t="shared">IF(CW195&lt;$CS$2,CV195,CV195+1)</f>
        <v>10</v>
      </c>
      <c r="CW196" s="95">
        <f si="176" t="shared"/>
        <v>15</v>
      </c>
      <c r="CX196" s="58">
        <f si="177" t="shared"/>
        <v>149.52838900212137</v>
      </c>
      <c r="CY196" s="58">
        <f si="178" t="shared"/>
        <v>83.999999999999986</v>
      </c>
      <c r="CZ196" s="108">
        <f si="179" t="shared"/>
        <v>-65.528389002121386</v>
      </c>
      <c r="DA196" s="78">
        <f si="180" t="shared"/>
        <v>-0.43823376577133943</v>
      </c>
    </row>
    <row r="197" spans="99:105" x14ac:dyDescent="0.25">
      <c r="CU197" s="95">
        <v>196</v>
      </c>
      <c r="CV197" s="95">
        <f si="181" t="shared"/>
        <v>10</v>
      </c>
      <c r="CW197" s="95">
        <f si="176" t="shared"/>
        <v>16</v>
      </c>
      <c r="CX197" s="58">
        <f si="177" t="shared"/>
        <v>409.66681918389418</v>
      </c>
      <c r="CY197" s="58">
        <f si="178" t="shared"/>
        <v>152.99999999999997</v>
      </c>
      <c r="CZ197" s="108">
        <f si="179" t="shared"/>
        <v>-256.66681918389418</v>
      </c>
      <c r="DA197" s="78">
        <f si="180" t="shared"/>
        <v>-0.62652576963691009</v>
      </c>
    </row>
    <row r="198" spans="99:105" x14ac:dyDescent="0.25">
      <c r="CU198" s="95">
        <v>197</v>
      </c>
      <c r="CV198" s="95">
        <f si="181" t="shared"/>
        <v>10</v>
      </c>
      <c r="CW198" s="95">
        <f si="176" t="shared"/>
        <v>17</v>
      </c>
      <c r="CX198" s="58">
        <f si="177" t="shared"/>
        <v>57.353354685745181</v>
      </c>
      <c r="CY198" s="58">
        <f si="178" t="shared"/>
        <v>23.999999999999996</v>
      </c>
      <c r="CZ198" s="108">
        <f si="179" t="shared"/>
        <v>-33.353354685745188</v>
      </c>
      <c r="DA198" s="78">
        <f si="180" t="shared"/>
        <v>-0.58154147858477334</v>
      </c>
    </row>
    <row r="199" spans="99:105" x14ac:dyDescent="0.25">
      <c r="CU199" s="95">
        <v>198</v>
      </c>
      <c r="CV199" s="95">
        <f si="181" t="shared"/>
        <v>10</v>
      </c>
      <c r="CW199" s="95">
        <f si="176" t="shared"/>
        <v>18</v>
      </c>
      <c r="CX199" s="58">
        <f si="177" t="shared"/>
        <v>136.2142173786448</v>
      </c>
      <c r="CY199" s="58">
        <f si="178" t="shared"/>
        <v>70.999999999999986</v>
      </c>
      <c r="CZ199" s="108">
        <f si="179" t="shared"/>
        <v>-65.214217378644818</v>
      </c>
      <c r="DA199" s="78">
        <f si="180" t="shared"/>
        <v>-0.47876219262313863</v>
      </c>
    </row>
    <row r="200" spans="99:105" x14ac:dyDescent="0.25">
      <c r="CU200" s="95">
        <v>199</v>
      </c>
      <c r="CV200" s="95">
        <f si="181" t="shared"/>
        <v>10</v>
      </c>
      <c r="CW200" s="95">
        <f si="176" t="shared"/>
        <v>19</v>
      </c>
      <c r="CX200" s="58">
        <f si="177" t="shared"/>
        <v>175.13256520111477</v>
      </c>
      <c r="CY200" s="58">
        <f si="178" t="shared"/>
        <v>17.999999999999996</v>
      </c>
      <c r="CZ200" s="108">
        <f si="179" t="shared"/>
        <v>-157.13256520111477</v>
      </c>
      <c r="DA200" s="78">
        <f si="180" t="shared"/>
        <v>-0.89722071403836534</v>
      </c>
    </row>
    <row r="201" spans="99:105" x14ac:dyDescent="0.25">
      <c r="CU201" s="95">
        <v>200</v>
      </c>
      <c r="CV201" s="95">
        <f si="181" t="shared"/>
        <v>10</v>
      </c>
      <c r="CW201" s="95">
        <f si="176" t="shared"/>
        <v>20</v>
      </c>
      <c r="CX201" s="58">
        <f si="177" t="shared"/>
        <v>76.812528596980158</v>
      </c>
      <c r="CY201" s="58">
        <f si="178" t="shared"/>
        <v>8.9999999999999982</v>
      </c>
      <c r="CZ201" s="108">
        <f si="179" t="shared"/>
        <v>-67.812528596980158</v>
      </c>
      <c r="DA201" s="78">
        <f si="180" t="shared"/>
        <v>-0.88283161400373644</v>
      </c>
    </row>
    <row r="202" spans="99:105" x14ac:dyDescent="0.25">
      <c r="CU202" s="95">
        <v>201</v>
      </c>
      <c r="CV202" s="95">
        <f si="181" t="shared"/>
        <v>11</v>
      </c>
      <c r="CW202" s="95">
        <f si="176" t="shared"/>
        <v>1</v>
      </c>
      <c r="CX202" s="58">
        <f si="177" t="shared"/>
        <v>4354.4727272727278</v>
      </c>
      <c r="CY202" s="58">
        <f si="178" t="shared"/>
        <v>10943</v>
      </c>
      <c r="CZ202" s="108">
        <f si="179" t="shared"/>
        <v>6588.5272727272722</v>
      </c>
      <c r="DA202" s="78">
        <f si="180" t="shared"/>
        <v>1.5130482346260477</v>
      </c>
    </row>
    <row r="203" spans="99:105" x14ac:dyDescent="0.25">
      <c r="CU203" s="95">
        <v>202</v>
      </c>
      <c r="CV203" s="95">
        <f si="181" t="shared"/>
        <v>11</v>
      </c>
      <c r="CW203" s="95">
        <f si="176" t="shared"/>
        <v>2</v>
      </c>
      <c r="CX203" s="58">
        <f si="177" t="shared"/>
        <v>3094.3090909090911</v>
      </c>
      <c r="CY203" s="58">
        <f si="178" t="shared"/>
        <v>3117</v>
      </c>
      <c r="CZ203" s="108">
        <f si="179" t="shared"/>
        <v>22.690909090908917</v>
      </c>
      <c r="DA203" s="78">
        <f si="180" t="shared"/>
        <v>7.3331100495336917E-3</v>
      </c>
    </row>
    <row r="204" spans="99:105" x14ac:dyDescent="0.25">
      <c r="CU204" s="95">
        <v>203</v>
      </c>
      <c r="CV204" s="95">
        <f si="181" t="shared"/>
        <v>11</v>
      </c>
      <c r="CW204" s="95">
        <f si="176" t="shared"/>
        <v>3</v>
      </c>
      <c r="CX204" s="58">
        <f si="177" t="shared"/>
        <v>2418.3272727272724</v>
      </c>
      <c r="CY204" s="58">
        <f si="178" t="shared"/>
        <v>3328</v>
      </c>
      <c r="CZ204" s="108">
        <f si="179" t="shared"/>
        <v>909.67272727272757</v>
      </c>
      <c r="DA204" s="78">
        <f si="180" t="shared"/>
        <v>0.37615782509322765</v>
      </c>
    </row>
    <row r="205" spans="99:105" x14ac:dyDescent="0.25">
      <c r="CU205" s="95">
        <v>204</v>
      </c>
      <c r="CV205" s="95">
        <f si="181" t="shared"/>
        <v>11</v>
      </c>
      <c r="CW205" s="95">
        <f si="176" t="shared"/>
        <v>4</v>
      </c>
      <c r="CX205" s="58">
        <f si="177" t="shared"/>
        <v>1838.7818181818184</v>
      </c>
      <c r="CY205" s="58">
        <f si="178" t="shared"/>
        <v>1727</v>
      </c>
      <c r="CZ205" s="108">
        <f si="179" t="shared"/>
        <v>-111.78181818181838</v>
      </c>
      <c r="DA205" s="78">
        <f si="180" t="shared"/>
        <v>-6.0791235304005715E-2</v>
      </c>
    </row>
    <row r="206" spans="99:105" x14ac:dyDescent="0.25">
      <c r="CU206" s="95">
        <v>205</v>
      </c>
      <c r="CV206" s="95">
        <f si="181" t="shared"/>
        <v>11</v>
      </c>
      <c r="CW206" s="95">
        <f si="176" t="shared"/>
        <v>5</v>
      </c>
      <c r="CX206" s="58">
        <f si="177" t="shared"/>
        <v>1356.6</v>
      </c>
      <c r="CY206" s="58">
        <f si="178" t="shared"/>
        <v>2920</v>
      </c>
      <c r="CZ206" s="108">
        <f si="179" t="shared"/>
        <v>1563.4</v>
      </c>
      <c r="DA206" s="78">
        <f si="180" t="shared"/>
        <v>1.1524399233377562</v>
      </c>
    </row>
    <row r="207" spans="99:105" x14ac:dyDescent="0.25">
      <c r="CU207" s="95">
        <v>206</v>
      </c>
      <c r="CV207" s="95">
        <f si="181" t="shared"/>
        <v>11</v>
      </c>
      <c r="CW207" s="95">
        <f si="176" t="shared"/>
        <v>6</v>
      </c>
      <c r="CX207" s="58">
        <f si="177" t="shared"/>
        <v>7688.0181818181818</v>
      </c>
      <c r="CY207" s="58">
        <f si="178" t="shared"/>
        <v>8202</v>
      </c>
      <c r="CZ207" s="108">
        <f si="179" t="shared"/>
        <v>513.9818181818182</v>
      </c>
      <c r="DA207" s="78">
        <f si="180" t="shared"/>
        <v>6.6854917096497268E-2</v>
      </c>
    </row>
    <row r="208" spans="99:105" x14ac:dyDescent="0.25">
      <c r="CU208" s="95">
        <v>207</v>
      </c>
      <c r="CV208" s="95">
        <f si="181" t="shared"/>
        <v>11</v>
      </c>
      <c r="CW208" s="95">
        <f si="176" t="shared"/>
        <v>7</v>
      </c>
      <c r="CX208" s="58">
        <f si="177" t="shared"/>
        <v>2604.7090909090907</v>
      </c>
      <c r="CY208" s="58">
        <f si="178" t="shared"/>
        <v>1472</v>
      </c>
      <c r="CZ208" s="108">
        <f si="179" t="shared"/>
        <v>-1132.7090909090907</v>
      </c>
      <c r="DA208" s="78">
        <f si="180" t="shared"/>
        <v>-0.43486971150154613</v>
      </c>
    </row>
    <row r="209" spans="99:105" x14ac:dyDescent="0.25">
      <c r="CU209" s="95">
        <v>208</v>
      </c>
      <c r="CV209" s="95">
        <f si="181" t="shared"/>
        <v>11</v>
      </c>
      <c r="CW209" s="95">
        <f si="176" t="shared"/>
        <v>8</v>
      </c>
      <c r="CX209" s="58">
        <f si="177" t="shared"/>
        <v>473.83636363636361</v>
      </c>
      <c r="CY209" s="58">
        <f si="178" t="shared"/>
        <v>205</v>
      </c>
      <c r="CZ209" s="108">
        <f si="179" t="shared"/>
        <v>-268.83636363636361</v>
      </c>
      <c r="DA209" s="78">
        <f si="180" t="shared"/>
        <v>-0.56736119105176319</v>
      </c>
    </row>
    <row r="210" spans="99:105" x14ac:dyDescent="0.25">
      <c r="CU210" s="95">
        <v>209</v>
      </c>
      <c r="CV210" s="95">
        <f si="181" t="shared"/>
        <v>11</v>
      </c>
      <c r="CW210" s="95">
        <f si="176" t="shared"/>
        <v>9</v>
      </c>
      <c r="CX210" s="58">
        <f si="177" t="shared"/>
        <v>3596.8909090909087</v>
      </c>
      <c r="CY210" s="58">
        <f si="178" t="shared"/>
        <v>2737</v>
      </c>
      <c r="CZ210" s="108">
        <f si="179" t="shared"/>
        <v>-859.89090909090874</v>
      </c>
      <c r="DA210" s="78">
        <f si="180" t="shared"/>
        <v>-0.23906505113001625</v>
      </c>
    </row>
    <row r="211" spans="99:105" x14ac:dyDescent="0.25">
      <c r="CU211" s="95">
        <v>210</v>
      </c>
      <c r="CV211" s="95">
        <f si="181" t="shared"/>
        <v>11</v>
      </c>
      <c r="CW211" s="95">
        <f si="176" t="shared"/>
        <v>10</v>
      </c>
      <c r="CX211" s="58">
        <f si="177" t="shared"/>
        <v>794.67272727272723</v>
      </c>
      <c r="CY211" s="58">
        <f si="178" t="shared"/>
        <v>470</v>
      </c>
      <c r="CZ211" s="108">
        <f si="179" t="shared"/>
        <v>-324.67272727272723</v>
      </c>
      <c r="DA211" s="78">
        <f si="180" t="shared"/>
        <v>-0.40856155764522845</v>
      </c>
    </row>
    <row r="212" spans="99:105" x14ac:dyDescent="0.25">
      <c r="CU212" s="95">
        <v>211</v>
      </c>
      <c r="CV212" s="95">
        <f si="181" t="shared"/>
        <v>11</v>
      </c>
      <c r="CW212" s="95">
        <f si="176" t="shared"/>
        <v>11</v>
      </c>
      <c r="CX212" s="58">
        <f si="177" t="shared"/>
        <v>9631.5818181818177</v>
      </c>
      <c r="CY212" s="58">
        <f si="178" t="shared"/>
        <v>8102</v>
      </c>
      <c r="CZ212" s="108">
        <f si="179" t="shared"/>
        <v>-1529.5818181818177</v>
      </c>
      <c r="DA212" s="78">
        <f si="180" t="shared"/>
        <v>-0.15880899389697148</v>
      </c>
    </row>
    <row r="213" spans="99:105" x14ac:dyDescent="0.25">
      <c r="CU213" s="95">
        <v>212</v>
      </c>
      <c r="CV213" s="95">
        <f si="181" t="shared"/>
        <v>11</v>
      </c>
      <c r="CW213" s="95">
        <f si="176" t="shared"/>
        <v>12</v>
      </c>
      <c r="CX213" s="58">
        <f si="177" t="shared"/>
        <v>5555.2909090909088</v>
      </c>
      <c r="CY213" s="58">
        <f si="178" t="shared"/>
        <v>3236</v>
      </c>
      <c r="CZ213" s="108">
        <f si="179" t="shared"/>
        <v>-2319.2909090909088</v>
      </c>
      <c r="DA213" s="78">
        <f si="180" t="shared"/>
        <v>-0.41749225144906899</v>
      </c>
    </row>
    <row r="214" spans="99:105" x14ac:dyDescent="0.25">
      <c r="CU214" s="95">
        <v>213</v>
      </c>
      <c r="CV214" s="95">
        <f si="181" t="shared"/>
        <v>11</v>
      </c>
      <c r="CW214" s="95">
        <f si="176" t="shared"/>
        <v>13</v>
      </c>
      <c r="CX214" s="58">
        <f si="177" t="shared"/>
        <v>991.25454545454545</v>
      </c>
      <c r="CY214" s="58">
        <f si="178" t="shared"/>
        <v>738</v>
      </c>
      <c r="CZ214" s="108">
        <f si="179" t="shared"/>
        <v>-253.25454545454545</v>
      </c>
      <c r="DA214" s="78">
        <f si="180" t="shared"/>
        <v>-0.25548891212237934</v>
      </c>
    </row>
    <row r="215" spans="99:105" x14ac:dyDescent="0.25">
      <c r="CU215" s="95">
        <v>214</v>
      </c>
      <c r="CV215" s="95">
        <f si="181" t="shared"/>
        <v>11</v>
      </c>
      <c r="CW215" s="95">
        <f si="176" t="shared"/>
        <v>14</v>
      </c>
      <c r="CX215" s="58">
        <f si="177" t="shared"/>
        <v>572.12727272727273</v>
      </c>
      <c r="CY215" s="58">
        <f si="178" t="shared"/>
        <v>470</v>
      </c>
      <c r="CZ215" s="108">
        <f si="179" t="shared"/>
        <v>-102.12727272727273</v>
      </c>
      <c r="DA215" s="78">
        <f si="180" t="shared"/>
        <v>-0.17850446499507419</v>
      </c>
    </row>
    <row r="216" spans="99:105" x14ac:dyDescent="0.25">
      <c r="CU216" s="95">
        <v>215</v>
      </c>
      <c r="CV216" s="95">
        <f si="181" t="shared"/>
        <v>11</v>
      </c>
      <c r="CW216" s="95">
        <f si="176" t="shared"/>
        <v>15</v>
      </c>
      <c r="CX216" s="58">
        <f si="177" t="shared"/>
        <v>906.87272727272727</v>
      </c>
      <c r="CY216" s="58">
        <f si="178" t="shared"/>
        <v>766</v>
      </c>
      <c r="CZ216" s="108">
        <f si="179" t="shared"/>
        <v>-140.87272727272727</v>
      </c>
      <c r="DA216" s="78">
        <f si="180" t="shared"/>
        <v>-0.1553390272264325</v>
      </c>
    </row>
    <row r="217" spans="99:105" x14ac:dyDescent="0.25">
      <c r="CU217" s="95">
        <v>216</v>
      </c>
      <c r="CV217" s="95">
        <f si="181" t="shared"/>
        <v>11</v>
      </c>
      <c r="CW217" s="95">
        <f si="176" t="shared"/>
        <v>16</v>
      </c>
      <c r="CX217" s="58">
        <f si="177" t="shared"/>
        <v>115.90909090909092</v>
      </c>
      <c r="CY217" s="58">
        <f si="178" t="shared"/>
        <v>31</v>
      </c>
      <c r="CZ217" s="108">
        <f si="179" t="shared"/>
        <v>-84.909090909090921</v>
      </c>
      <c r="DA217" s="78">
        <f si="180" t="shared"/>
        <v>-0.73254901960784313</v>
      </c>
    </row>
    <row r="218" spans="99:105" x14ac:dyDescent="0.25">
      <c r="CU218" s="95">
        <v>217</v>
      </c>
      <c r="CV218" s="95">
        <f si="181" t="shared"/>
        <v>11</v>
      </c>
      <c r="CW218" s="95">
        <f si="176" t="shared"/>
        <v>17</v>
      </c>
      <c r="CX218" s="58">
        <f si="177" t="shared"/>
        <v>707.5090909090909</v>
      </c>
      <c r="CY218" s="58">
        <f si="178" t="shared"/>
        <v>400</v>
      </c>
      <c r="CZ218" s="108">
        <f si="179" t="shared"/>
        <v>-307.5090909090909</v>
      </c>
      <c r="DA218" s="78">
        <f si="180" t="shared"/>
        <v>-0.4346362398170277</v>
      </c>
    </row>
    <row r="219" spans="99:105" x14ac:dyDescent="0.25">
      <c r="CU219" s="95">
        <v>218</v>
      </c>
      <c r="CV219" s="95">
        <f si="181" t="shared"/>
        <v>11</v>
      </c>
      <c r="CW219" s="95">
        <f si="176" t="shared"/>
        <v>18</v>
      </c>
      <c r="CX219" s="58">
        <f si="177" t="shared"/>
        <v>205.85454545454544</v>
      </c>
      <c r="CY219" s="58">
        <f si="178" t="shared"/>
        <v>53</v>
      </c>
      <c r="CZ219" s="108">
        <f si="179" t="shared"/>
        <v>-152.85454545454544</v>
      </c>
      <c r="DA219" s="78">
        <f si="180" t="shared"/>
        <v>-0.74253665430136018</v>
      </c>
    </row>
    <row r="220" spans="99:105" x14ac:dyDescent="0.25">
      <c r="CU220" s="95">
        <v>219</v>
      </c>
      <c r="CV220" s="95">
        <f si="181" t="shared"/>
        <v>11</v>
      </c>
      <c r="CW220" s="95">
        <f si="176" t="shared"/>
        <v>19</v>
      </c>
      <c r="CX220" s="58">
        <f si="177" t="shared"/>
        <v>3110.0727272727272</v>
      </c>
      <c r="CY220" s="58">
        <f si="178" t="shared"/>
        <v>1262</v>
      </c>
      <c r="CZ220" s="108">
        <f si="179" t="shared"/>
        <v>-1848.0727272727272</v>
      </c>
      <c r="DA220" s="78">
        <f si="180" t="shared"/>
        <v>-0.59422170776479943</v>
      </c>
    </row>
    <row r="221" spans="99:105" x14ac:dyDescent="0.25">
      <c r="CU221" s="95">
        <v>220</v>
      </c>
      <c r="CV221" s="95">
        <f si="181" t="shared"/>
        <v>11</v>
      </c>
      <c r="CW221" s="95">
        <f si="176" t="shared"/>
        <v>20</v>
      </c>
      <c r="CX221" s="58">
        <f si="177" t="shared"/>
        <v>166.90909090909091</v>
      </c>
      <c r="CY221" s="58">
        <f si="178" t="shared"/>
        <v>5</v>
      </c>
      <c r="CZ221" s="108">
        <f si="179" t="shared"/>
        <v>-161.90909090909091</v>
      </c>
      <c r="DA221" s="78">
        <f si="180" t="shared"/>
        <v>-0.97004357298474941</v>
      </c>
    </row>
    <row r="222" spans="99:105" x14ac:dyDescent="0.25">
      <c r="CU222" s="95">
        <v>221</v>
      </c>
      <c r="CV222" s="95">
        <f si="181" t="shared"/>
        <v>12</v>
      </c>
      <c r="CW222" s="95">
        <f si="176" t="shared"/>
        <v>1</v>
      </c>
      <c r="CX222" s="58">
        <f si="177" t="shared"/>
        <v>8033.326988064774</v>
      </c>
      <c r="CY222" s="58">
        <f si="178" t="shared"/>
        <v>18849</v>
      </c>
      <c r="CZ222" s="108">
        <f si="179" t="shared"/>
        <v>10815.673011935225</v>
      </c>
      <c r="DA222" s="78">
        <f si="180" t="shared"/>
        <v>1.3463504010236633</v>
      </c>
    </row>
    <row r="223" spans="99:105" x14ac:dyDescent="0.25">
      <c r="CU223" s="95">
        <v>222</v>
      </c>
      <c r="CV223" s="95">
        <f si="181" t="shared"/>
        <v>12</v>
      </c>
      <c r="CW223" s="95">
        <f si="176" t="shared"/>
        <v>2</v>
      </c>
      <c r="CX223" s="58">
        <f si="177" t="shared"/>
        <v>4246.0858320473508</v>
      </c>
      <c r="CY223" s="58">
        <f si="178" t="shared"/>
        <v>6809</v>
      </c>
      <c r="CZ223" s="108">
        <f si="179" t="shared"/>
        <v>2562.9141679526492</v>
      </c>
      <c r="DA223" s="78">
        <f si="180" t="shared"/>
        <v>0.60359452666006974</v>
      </c>
    </row>
    <row r="224" spans="99:105" x14ac:dyDescent="0.25">
      <c r="CU224" s="95">
        <v>223</v>
      </c>
      <c r="CV224" s="95">
        <f si="181" t="shared"/>
        <v>12</v>
      </c>
      <c r="CW224" s="95">
        <f si="176" t="shared"/>
        <v>3</v>
      </c>
      <c r="CX224" s="58">
        <f si="177" t="shared"/>
        <v>1749.2820209794309</v>
      </c>
      <c r="CY224" s="58">
        <f si="178" t="shared"/>
        <v>2451</v>
      </c>
      <c r="CZ224" s="108">
        <f si="179" t="shared"/>
        <v>701.71797902056915</v>
      </c>
      <c r="DA224" s="78">
        <f si="180" t="shared"/>
        <v>0.40114628207730285</v>
      </c>
    </row>
    <row r="225" spans="99:105" x14ac:dyDescent="0.25">
      <c r="CU225" s="95">
        <v>224</v>
      </c>
      <c r="CV225" s="95">
        <f si="181" t="shared"/>
        <v>12</v>
      </c>
      <c r="CW225" s="95">
        <f si="176" t="shared"/>
        <v>4</v>
      </c>
      <c r="CX225" s="58">
        <f si="177" t="shared"/>
        <v>1909.3205614048793</v>
      </c>
      <c r="CY225" s="58">
        <f si="178" t="shared"/>
        <v>1718</v>
      </c>
      <c r="CZ225" s="108">
        <f si="179" t="shared"/>
        <v>-191.3205614048793</v>
      </c>
      <c r="DA225" s="78">
        <f si="180" t="shared"/>
        <v>-0.100203478280308</v>
      </c>
    </row>
    <row r="226" spans="99:105" x14ac:dyDescent="0.25">
      <c r="CU226" s="95">
        <v>225</v>
      </c>
      <c r="CV226" s="95">
        <f si="181" t="shared"/>
        <v>12</v>
      </c>
      <c r="CW226" s="95">
        <f si="176" t="shared"/>
        <v>5</v>
      </c>
      <c r="CX226" s="58">
        <f si="177" t="shared"/>
        <v>2172.675121598656</v>
      </c>
      <c r="CY226" s="58">
        <f si="178" t="shared"/>
        <v>4896</v>
      </c>
      <c r="CZ226" s="108">
        <f si="179" t="shared"/>
        <v>2723.324878401344</v>
      </c>
      <c r="DA226" s="78">
        <f si="180" t="shared"/>
        <v>1.2534432098608095</v>
      </c>
    </row>
    <row r="227" spans="99:105" x14ac:dyDescent="0.25">
      <c r="CU227" s="95">
        <v>226</v>
      </c>
      <c r="CV227" s="95">
        <f si="181" t="shared"/>
        <v>12</v>
      </c>
      <c r="CW227" s="95">
        <f si="176" t="shared"/>
        <v>6</v>
      </c>
      <c r="CX227" s="58">
        <f si="177" t="shared"/>
        <v>18387.212812298556</v>
      </c>
      <c r="CY227" s="58">
        <f si="178" t="shared"/>
        <v>20075</v>
      </c>
      <c r="CZ227" s="108">
        <f si="179" t="shared"/>
        <v>1687.7871877014441</v>
      </c>
      <c r="DA227" s="78">
        <f si="180" t="shared"/>
        <v>9.1791355488774401E-2</v>
      </c>
    </row>
    <row r="228" spans="99:105" x14ac:dyDescent="0.25">
      <c r="CU228" s="95">
        <v>227</v>
      </c>
      <c r="CV228" s="95">
        <f si="181" t="shared"/>
        <v>12</v>
      </c>
      <c r="CW228" s="95">
        <f si="176" t="shared"/>
        <v>7</v>
      </c>
      <c r="CX228" s="58">
        <f si="177" t="shared"/>
        <v>7205.7859277635616</v>
      </c>
      <c r="CY228" s="58">
        <f si="178" t="shared"/>
        <v>7195</v>
      </c>
      <c r="CZ228" s="108">
        <f si="179" t="shared"/>
        <v>-10.785927763561631</v>
      </c>
      <c r="DA228" s="78">
        <f si="180" t="shared"/>
        <v>-1.4968426583426449E-3</v>
      </c>
    </row>
    <row r="229" spans="99:105" x14ac:dyDescent="0.25">
      <c r="CU229" s="95">
        <v>228</v>
      </c>
      <c r="CV229" s="95">
        <f si="181" t="shared"/>
        <v>12</v>
      </c>
      <c r="CW229" s="95">
        <f si="176" t="shared"/>
        <v>8</v>
      </c>
      <c r="CX229" s="58">
        <f si="177" t="shared"/>
        <v>302.857744222843</v>
      </c>
      <c r="CY229" s="58">
        <f si="178" t="shared"/>
        <v>172</v>
      </c>
      <c r="CZ229" s="108">
        <f si="179" t="shared"/>
        <v>-130.857744222843</v>
      </c>
      <c r="DA229" s="78">
        <f si="180" t="shared"/>
        <v>-0.43207659939036513</v>
      </c>
    </row>
    <row r="230" spans="99:105" x14ac:dyDescent="0.25">
      <c r="CU230" s="95">
        <v>229</v>
      </c>
      <c r="CV230" s="95">
        <f si="181" t="shared"/>
        <v>12</v>
      </c>
      <c r="CW230" s="95">
        <f si="176" t="shared"/>
        <v>9</v>
      </c>
      <c r="CX230" s="58">
        <f si="177" t="shared"/>
        <v>4025.2731623464147</v>
      </c>
      <c r="CY230" s="58">
        <f si="178" t="shared"/>
        <v>2605</v>
      </c>
      <c r="CZ230" s="108">
        <f si="179" t="shared"/>
        <v>-1420.2731623464147</v>
      </c>
      <c r="DA230" s="78">
        <f si="180" t="shared"/>
        <v>-0.35283895156037265</v>
      </c>
    </row>
    <row r="231" spans="99:105" x14ac:dyDescent="0.25">
      <c r="CU231" s="95">
        <v>230</v>
      </c>
      <c r="CV231" s="95">
        <f si="181" t="shared"/>
        <v>12</v>
      </c>
      <c r="CW231" s="95">
        <f si="176" t="shared"/>
        <v>10</v>
      </c>
      <c r="CX231" s="58">
        <f si="177" t="shared"/>
        <v>1901.217344168148</v>
      </c>
      <c r="CY231" s="58">
        <f si="178" t="shared"/>
        <v>1326</v>
      </c>
      <c r="CZ231" s="108">
        <f si="179" t="shared"/>
        <v>-575.21734416814797</v>
      </c>
      <c r="DA231" s="78">
        <f si="180" t="shared"/>
        <v>-0.30255212321336494</v>
      </c>
    </row>
    <row r="232" spans="99:105" x14ac:dyDescent="0.25">
      <c r="CU232" s="95">
        <v>231</v>
      </c>
      <c r="CV232" s="95">
        <f si="181" t="shared"/>
        <v>12</v>
      </c>
      <c r="CW232" s="95">
        <f si="176" t="shared"/>
        <v>11</v>
      </c>
      <c r="CX232" s="58">
        <f si="177" t="shared"/>
        <v>2060.2429824390051</v>
      </c>
      <c r="CY232" s="58">
        <f si="178" t="shared"/>
        <v>882</v>
      </c>
      <c r="CZ232" s="108">
        <f si="179" t="shared"/>
        <v>-1178.2429824390051</v>
      </c>
      <c r="DA232" s="78">
        <f si="180" t="shared"/>
        <v>-0.57189515629081278</v>
      </c>
    </row>
    <row r="233" spans="99:105" x14ac:dyDescent="0.25">
      <c r="CU233" s="95">
        <v>232</v>
      </c>
      <c r="CV233" s="95">
        <f si="181" t="shared"/>
        <v>12</v>
      </c>
      <c r="CW233" s="95">
        <f si="176" t="shared"/>
        <v>12</v>
      </c>
      <c r="CX233" s="58">
        <f si="177" t="shared"/>
        <v>44691.268864883874</v>
      </c>
      <c r="CY233" s="58">
        <f si="178" t="shared"/>
        <v>27487</v>
      </c>
      <c r="CZ233" s="108">
        <f si="179" t="shared"/>
        <v>-17204.268864883874</v>
      </c>
      <c r="DA233" s="78">
        <f si="180" t="shared"/>
        <v>-0.38495816524918836</v>
      </c>
    </row>
    <row r="234" spans="99:105" x14ac:dyDescent="0.25">
      <c r="CU234" s="95">
        <v>233</v>
      </c>
      <c r="CV234" s="95">
        <f si="181" t="shared"/>
        <v>12</v>
      </c>
      <c r="CW234" s="95">
        <f si="176" t="shared"/>
        <v>13</v>
      </c>
      <c r="CX234" s="58">
        <f si="177" t="shared"/>
        <v>2681.1520032035628</v>
      </c>
      <c r="CY234" s="58">
        <f si="178" t="shared"/>
        <v>6691</v>
      </c>
      <c r="CZ234" s="108">
        <f si="179" t="shared"/>
        <v>4009.8479967964372</v>
      </c>
      <c r="DA234" s="78">
        <f si="180" t="shared"/>
        <v>1.4955690658363598</v>
      </c>
    </row>
    <row r="235" spans="99:105" x14ac:dyDescent="0.25">
      <c r="CU235" s="95">
        <v>234</v>
      </c>
      <c r="CV235" s="95">
        <f si="181" t="shared"/>
        <v>12</v>
      </c>
      <c r="CW235" s="95">
        <f si="176" t="shared"/>
        <v>14</v>
      </c>
      <c r="CX235" s="58">
        <f si="177" t="shared"/>
        <v>220.81266970093566</v>
      </c>
      <c r="CY235" s="58">
        <f si="178" t="shared"/>
        <v>117</v>
      </c>
      <c r="CZ235" s="108">
        <f si="179" t="shared"/>
        <v>-103.81266970093566</v>
      </c>
      <c r="DA235" s="78">
        <f si="180" t="shared"/>
        <v>-0.47013909954323496</v>
      </c>
    </row>
    <row r="236" spans="99:105" x14ac:dyDescent="0.25">
      <c r="CU236" s="95">
        <v>235</v>
      </c>
      <c r="CV236" s="95">
        <f si="181" t="shared"/>
        <v>12</v>
      </c>
      <c r="CW236" s="95">
        <f si="176" t="shared"/>
        <v>15</v>
      </c>
      <c r="CX236" s="58">
        <f si="177" t="shared"/>
        <v>744.48308362471425</v>
      </c>
      <c r="CY236" s="58">
        <f si="178" t="shared"/>
        <v>503</v>
      </c>
      <c r="CZ236" s="108">
        <f si="179" t="shared"/>
        <v>-241.48308362471425</v>
      </c>
      <c r="DA236" s="78">
        <f si="180" t="shared"/>
        <v>-0.32436342602841894</v>
      </c>
    </row>
    <row r="237" spans="99:105" x14ac:dyDescent="0.25">
      <c r="CU237" s="95">
        <v>236</v>
      </c>
      <c r="CV237" s="95">
        <f si="181" t="shared"/>
        <v>12</v>
      </c>
      <c r="CW237" s="95">
        <f si="176" t="shared"/>
        <v>16</v>
      </c>
      <c r="CX237" s="58">
        <f si="177" t="shared"/>
        <v>423.39310061922532</v>
      </c>
      <c r="CY237" s="58">
        <f si="178" t="shared"/>
        <v>261</v>
      </c>
      <c r="CZ237" s="108">
        <f si="179" t="shared"/>
        <v>-162.39310061922532</v>
      </c>
      <c r="DA237" s="78">
        <f si="180" t="shared"/>
        <v>-0.38355159869568128</v>
      </c>
    </row>
    <row r="238" spans="99:105" x14ac:dyDescent="0.25">
      <c r="CU238" s="95">
        <v>237</v>
      </c>
      <c r="CV238" s="95">
        <f si="181" t="shared"/>
        <v>12</v>
      </c>
      <c r="CW238" s="95">
        <f si="176" t="shared"/>
        <v>17</v>
      </c>
      <c r="CX238" s="58">
        <f si="177" t="shared"/>
        <v>150.92242103412576</v>
      </c>
      <c r="CY238" s="58">
        <f si="178" t="shared"/>
        <v>47</v>
      </c>
      <c r="CZ238" s="108">
        <f si="179" t="shared"/>
        <v>-103.92242103412576</v>
      </c>
      <c r="DA238" s="78">
        <f si="180" t="shared"/>
        <v>-0.68858172511443738</v>
      </c>
    </row>
    <row r="239" spans="99:105" x14ac:dyDescent="0.25">
      <c r="CU239" s="95">
        <v>238</v>
      </c>
      <c r="CV239" s="95">
        <f si="181" t="shared"/>
        <v>12</v>
      </c>
      <c r="CW239" s="95">
        <f si="176" t="shared"/>
        <v>18</v>
      </c>
      <c r="CX239" s="58">
        <f si="177" t="shared"/>
        <v>1608.4886214912196</v>
      </c>
      <c r="CY239" s="58">
        <f si="178" t="shared"/>
        <v>1351</v>
      </c>
      <c r="CZ239" s="108">
        <f si="179" t="shared"/>
        <v>-257.48862149121965</v>
      </c>
      <c r="DA239" s="78">
        <f si="180" t="shared"/>
        <v>-0.1600810960369142</v>
      </c>
    </row>
    <row r="240" spans="99:105" x14ac:dyDescent="0.25">
      <c r="CU240" s="95">
        <v>239</v>
      </c>
      <c r="CV240" s="95">
        <f si="181" t="shared"/>
        <v>12</v>
      </c>
      <c r="CW240" s="95">
        <f si="176" t="shared"/>
        <v>19</v>
      </c>
      <c r="CX240" s="58">
        <f si="177" t="shared"/>
        <v>436.56082862891412</v>
      </c>
      <c r="CY240" s="58">
        <f si="178" t="shared"/>
        <v>102</v>
      </c>
      <c r="CZ240" s="108">
        <f si="179" t="shared"/>
        <v>-334.56082862891412</v>
      </c>
      <c r="DA240" s="78">
        <f si="180" t="shared"/>
        <v>-0.76635558366437373</v>
      </c>
    </row>
    <row r="241" spans="99:105" x14ac:dyDescent="0.25">
      <c r="CU241" s="95">
        <v>240</v>
      </c>
      <c r="CV241" s="95">
        <f si="181" t="shared"/>
        <v>12</v>
      </c>
      <c r="CW241" s="95">
        <f si="176" t="shared"/>
        <v>20</v>
      </c>
      <c r="CX241" s="58">
        <f si="177" t="shared"/>
        <v>756.6379094798117</v>
      </c>
      <c r="CY241" s="58">
        <f si="178" t="shared"/>
        <v>170</v>
      </c>
      <c r="CZ241" s="108">
        <f si="179" t="shared"/>
        <v>-586.6379094798117</v>
      </c>
      <c r="DA241" s="78">
        <f si="180" t="shared"/>
        <v>-0.77532185756212646</v>
      </c>
    </row>
    <row r="242" spans="99:105" x14ac:dyDescent="0.25">
      <c r="CU242" s="95">
        <v>241</v>
      </c>
      <c r="CV242" s="95">
        <f si="181" t="shared"/>
        <v>13</v>
      </c>
      <c r="CW242" s="95">
        <f si="176" t="shared"/>
        <v>1</v>
      </c>
      <c r="CX242" s="58">
        <f si="177" t="shared"/>
        <v>2358.4639685679017</v>
      </c>
      <c r="CY242" s="58">
        <f si="178" t="shared"/>
        <v>3996</v>
      </c>
      <c r="CZ242" s="108">
        <f si="179" t="shared"/>
        <v>1637.5360314320983</v>
      </c>
      <c r="DA242" s="78">
        <f si="180" t="shared"/>
        <v>0.6943231074360815</v>
      </c>
    </row>
    <row r="243" spans="99:105" x14ac:dyDescent="0.25">
      <c r="CU243" s="95">
        <v>242</v>
      </c>
      <c r="CV243" s="95">
        <f si="181" t="shared"/>
        <v>13</v>
      </c>
      <c r="CW243" s="95">
        <f si="176" t="shared"/>
        <v>2</v>
      </c>
      <c r="CX243" s="58">
        <f si="177" t="shared"/>
        <v>2184.4321515324477</v>
      </c>
      <c r="CY243" s="58">
        <f si="178" t="shared"/>
        <v>1626</v>
      </c>
      <c r="CZ243" s="108">
        <f si="179" t="shared"/>
        <v>-558.43215153244773</v>
      </c>
      <c r="DA243" s="78">
        <f si="180" t="shared"/>
        <v>-0.25564179282963312</v>
      </c>
    </row>
    <row r="244" spans="99:105" x14ac:dyDescent="0.25">
      <c r="CU244" s="95">
        <v>243</v>
      </c>
      <c r="CV244" s="95">
        <f si="181" t="shared"/>
        <v>13</v>
      </c>
      <c r="CW244" s="95">
        <f si="176" t="shared"/>
        <v>3</v>
      </c>
      <c r="CX244" s="58">
        <f si="177" t="shared"/>
        <v>865.40411749870589</v>
      </c>
      <c r="CY244" s="58">
        <f si="178" t="shared"/>
        <v>631</v>
      </c>
      <c r="CZ244" s="108">
        <f si="179" t="shared"/>
        <v>-234.40411749870589</v>
      </c>
      <c r="DA244" s="78">
        <f si="180" t="shared"/>
        <v>-0.27086087616061799</v>
      </c>
    </row>
    <row r="245" spans="99:105" x14ac:dyDescent="0.25">
      <c r="CU245" s="95">
        <v>244</v>
      </c>
      <c r="CV245" s="95">
        <f si="181" t="shared"/>
        <v>13</v>
      </c>
      <c r="CW245" s="95">
        <f si="176" t="shared"/>
        <v>4</v>
      </c>
      <c r="CX245" s="58">
        <f si="177" t="shared"/>
        <v>960.5034710699922</v>
      </c>
      <c r="CY245" s="58">
        <f si="178" t="shared"/>
        <v>364</v>
      </c>
      <c r="CZ245" s="108">
        <f si="179" t="shared"/>
        <v>-596.5034710699922</v>
      </c>
      <c r="DA245" s="78">
        <f si="180" t="shared"/>
        <v>-0.62103208269043808</v>
      </c>
    </row>
    <row r="246" spans="99:105" x14ac:dyDescent="0.25">
      <c r="CU246" s="95">
        <v>245</v>
      </c>
      <c r="CV246" s="95">
        <f si="181" t="shared"/>
        <v>13</v>
      </c>
      <c r="CW246" s="95">
        <f si="176" t="shared"/>
        <v>5</v>
      </c>
      <c r="CX246" s="58">
        <f si="177" t="shared"/>
        <v>578.20406971342106</v>
      </c>
      <c r="CY246" s="58">
        <f si="178" t="shared"/>
        <v>881</v>
      </c>
      <c r="CZ246" s="108">
        <f si="179" t="shared"/>
        <v>302.79593028657894</v>
      </c>
      <c r="DA246" s="78">
        <f si="180" t="shared"/>
        <v>0.52368349886685439</v>
      </c>
    </row>
    <row r="247" spans="99:105" x14ac:dyDescent="0.25">
      <c r="CU247" s="95">
        <v>246</v>
      </c>
      <c r="CV247" s="95">
        <f si="181" t="shared"/>
        <v>13</v>
      </c>
      <c r="CW247" s="95">
        <f si="176" t="shared"/>
        <v>6</v>
      </c>
      <c r="CX247" s="58">
        <f si="177" t="shared"/>
        <v>4479.1795532075867</v>
      </c>
      <c r="CY247" s="58">
        <f si="178" t="shared"/>
        <v>3515</v>
      </c>
      <c r="CZ247" s="108">
        <f si="179" t="shared"/>
        <v>-964.17955320758665</v>
      </c>
      <c r="DA247" s="78">
        <f si="180" t="shared"/>
        <v>-0.21525807165223546</v>
      </c>
    </row>
    <row r="248" spans="99:105" x14ac:dyDescent="0.25">
      <c r="CU248" s="95">
        <v>247</v>
      </c>
      <c r="CV248" s="95">
        <f si="181" t="shared"/>
        <v>13</v>
      </c>
      <c r="CW248" s="95">
        <f si="176" t="shared"/>
        <v>7</v>
      </c>
      <c r="CX248" s="58">
        <f si="177" t="shared"/>
        <v>12762.333249266629</v>
      </c>
      <c r="CY248" s="58">
        <f si="178" t="shared"/>
        <v>7137</v>
      </c>
      <c r="CZ248" s="108">
        <f si="179" t="shared"/>
        <v>-5625.3332492666286</v>
      </c>
      <c r="DA248" s="78">
        <f si="180" t="shared"/>
        <v>-0.44077623890520812</v>
      </c>
    </row>
    <row r="249" spans="99:105" x14ac:dyDescent="0.25">
      <c r="CU249" s="95">
        <v>248</v>
      </c>
      <c r="CV249" s="95">
        <f si="181" t="shared"/>
        <v>13</v>
      </c>
      <c r="CW249" s="95">
        <f si="176" t="shared"/>
        <v>8</v>
      </c>
      <c r="CX249" s="58">
        <f si="177" t="shared"/>
        <v>150.25697864263242</v>
      </c>
      <c r="CY249" s="58">
        <f si="178" t="shared"/>
        <v>30</v>
      </c>
      <c r="CZ249" s="108">
        <f si="179" t="shared"/>
        <v>-120.25697864263242</v>
      </c>
      <c r="DA249" s="78">
        <f si="180" t="shared"/>
        <v>-0.80034205218946086</v>
      </c>
    </row>
    <row r="250" spans="99:105" x14ac:dyDescent="0.25">
      <c r="CU250" s="95">
        <v>249</v>
      </c>
      <c r="CV250" s="95">
        <f si="181" t="shared"/>
        <v>13</v>
      </c>
      <c r="CW250" s="95">
        <f si="176" t="shared"/>
        <v>9</v>
      </c>
      <c r="CX250" s="58">
        <f si="177" t="shared"/>
        <v>2676.0958094959983</v>
      </c>
      <c r="CY250" s="58">
        <f si="178" t="shared"/>
        <v>936</v>
      </c>
      <c r="CZ250" s="108">
        <f si="179" t="shared"/>
        <v>-1740.0958094959983</v>
      </c>
      <c r="DA250" s="78">
        <f si="180" t="shared"/>
        <v>-0.65023673790801939</v>
      </c>
    </row>
    <row r="251" spans="99:105" x14ac:dyDescent="0.25">
      <c r="CU251" s="95">
        <v>250</v>
      </c>
      <c r="CV251" s="95">
        <f si="181" t="shared"/>
        <v>13</v>
      </c>
      <c r="CW251" s="95">
        <f si="176" t="shared"/>
        <v>10</v>
      </c>
      <c r="CX251" s="58">
        <f si="177" t="shared"/>
        <v>700.8822358203804</v>
      </c>
      <c r="CY251" s="58">
        <f si="178" t="shared"/>
        <v>160</v>
      </c>
      <c r="CZ251" s="108">
        <f si="179" t="shared"/>
        <v>-540.8822358203804</v>
      </c>
      <c r="DA251" s="78">
        <f si="180" t="shared"/>
        <v>-0.7717162858140918</v>
      </c>
    </row>
    <row r="252" spans="99:105" x14ac:dyDescent="0.25">
      <c r="CU252" s="95">
        <v>251</v>
      </c>
      <c r="CV252" s="95">
        <f si="181" t="shared"/>
        <v>13</v>
      </c>
      <c r="CW252" s="95">
        <f si="176" t="shared"/>
        <v>11</v>
      </c>
      <c r="CX252" s="58">
        <f si="177" t="shared"/>
        <v>1219.173712783891</v>
      </c>
      <c r="CY252" s="58">
        <f si="178" t="shared"/>
        <v>208</v>
      </c>
      <c r="CZ252" s="108">
        <f si="179" t="shared"/>
        <v>-1011.173712783891</v>
      </c>
      <c r="DA252" s="78">
        <f si="180" t="shared"/>
        <v>-0.82939264698789505</v>
      </c>
    </row>
    <row r="253" spans="99:105" x14ac:dyDescent="0.25">
      <c r="CU253" s="95">
        <v>252</v>
      </c>
      <c r="CV253" s="95">
        <f si="181" t="shared"/>
        <v>13</v>
      </c>
      <c r="CW253" s="95">
        <f si="176" t="shared"/>
        <v>12</v>
      </c>
      <c r="CX253" s="58">
        <f si="177" t="shared"/>
        <v>9939.7844352708507</v>
      </c>
      <c r="CY253" s="58">
        <f si="178" t="shared"/>
        <v>5606</v>
      </c>
      <c r="CZ253" s="108">
        <f si="179" t="shared"/>
        <v>-4333.7844352708507</v>
      </c>
      <c r="DA253" s="78">
        <f si="180" t="shared"/>
        <v>-0.43600386542515185</v>
      </c>
    </row>
    <row r="254" spans="99:105" x14ac:dyDescent="0.25">
      <c r="CU254" s="95">
        <v>253</v>
      </c>
      <c r="CV254" s="95">
        <f si="181" t="shared"/>
        <v>13</v>
      </c>
      <c r="CW254" s="95">
        <f si="176" t="shared"/>
        <v>13</v>
      </c>
      <c r="CX254" s="58">
        <f si="177" t="shared"/>
        <v>28375.745118600422</v>
      </c>
      <c r="CY254" s="58">
        <f si="178" t="shared"/>
        <v>43339</v>
      </c>
      <c r="CZ254" s="108">
        <f si="179" t="shared"/>
        <v>14963.254881399578</v>
      </c>
      <c r="DA254" s="78">
        <f si="180" t="shared"/>
        <v>0.52732553167709073</v>
      </c>
    </row>
    <row r="255" spans="99:105" x14ac:dyDescent="0.25">
      <c r="CU255" s="95">
        <v>254</v>
      </c>
      <c r="CV255" s="95">
        <f si="181" t="shared"/>
        <v>13</v>
      </c>
      <c r="CW255" s="95">
        <f si="176" t="shared"/>
        <v>14</v>
      </c>
      <c r="CX255" s="58">
        <f si="177" t="shared"/>
        <v>169.27684935688973</v>
      </c>
      <c r="CY255" s="58">
        <f si="178" t="shared"/>
        <v>34</v>
      </c>
      <c r="CZ255" s="108">
        <f si="179" t="shared"/>
        <v>-135.27684935688973</v>
      </c>
      <c r="DA255" s="78">
        <f si="180" t="shared"/>
        <v>-0.79914560006774982</v>
      </c>
    </row>
    <row r="256" spans="99:105" x14ac:dyDescent="0.25">
      <c r="CU256" s="95">
        <v>255</v>
      </c>
      <c r="CV256" s="95">
        <f si="181" t="shared"/>
        <v>13</v>
      </c>
      <c r="CW256" s="95">
        <f si="176" t="shared"/>
        <v>15</v>
      </c>
      <c r="CX256" s="58">
        <f si="177" t="shared"/>
        <v>1976.1645672113304</v>
      </c>
      <c r="CY256" s="58">
        <f si="178" t="shared"/>
        <v>1854</v>
      </c>
      <c r="CZ256" s="108">
        <f si="179" t="shared"/>
        <v>-122.16456721133045</v>
      </c>
      <c r="DA256" s="78">
        <f si="180" t="shared"/>
        <v>-6.1819025215963302E-2</v>
      </c>
    </row>
    <row r="257" spans="99:105" x14ac:dyDescent="0.25">
      <c r="CU257" s="95">
        <v>256</v>
      </c>
      <c r="CV257" s="95">
        <f si="181" t="shared"/>
        <v>13</v>
      </c>
      <c r="CW257" s="95">
        <f si="176" t="shared"/>
        <v>16</v>
      </c>
      <c r="CX257" s="58">
        <f si="177" t="shared"/>
        <v>151.2079721783453</v>
      </c>
      <c r="CY257" s="58">
        <f si="178" t="shared"/>
        <v>19</v>
      </c>
      <c r="CZ257" s="108">
        <f si="179" t="shared"/>
        <v>-132.2079721783453</v>
      </c>
      <c r="DA257" s="78">
        <f si="180" t="shared"/>
        <v>-0.87434524961693116</v>
      </c>
    </row>
    <row r="258" spans="99:105" x14ac:dyDescent="0.25">
      <c r="CU258" s="95">
        <v>257</v>
      </c>
      <c r="CV258" s="95">
        <f si="181" t="shared"/>
        <v>13</v>
      </c>
      <c r="CW258" s="95">
        <f si="176" t="shared"/>
        <v>17</v>
      </c>
      <c r="CX258" s="58">
        <f si="177" t="shared"/>
        <v>178.78678471401835</v>
      </c>
      <c r="CY258" s="58">
        <f si="178" t="shared"/>
        <v>19</v>
      </c>
      <c r="CZ258" s="108">
        <f si="179" t="shared"/>
        <v>-159.78678471401835</v>
      </c>
      <c r="DA258" s="78">
        <f si="180" t="shared"/>
        <v>-0.89372816323985138</v>
      </c>
    </row>
    <row r="259" spans="99:105" x14ac:dyDescent="0.25">
      <c r="CU259" s="95">
        <v>258</v>
      </c>
      <c r="CV259" s="95">
        <f si="181" t="shared"/>
        <v>13</v>
      </c>
      <c r="CW259" s="95">
        <f ref="CW259:CW322" si="182" t="shared">MOD(ROW()-2,$CS$2)+1</f>
        <v>18</v>
      </c>
      <c r="CX259" s="58">
        <f ref="CX259:CX322" si="183" t="shared">VLOOKUP($CV259,$B$30:$V$49,MATCH($CW259,$B$29:$V$29,0),0)</f>
        <v>1278.1353119980886</v>
      </c>
      <c r="CY259" s="58">
        <f ref="CY259:CY322" si="184" t="shared">VLOOKUP($CV259,$AY$30:$BS$49,MATCH($CW259,$AY$29:$BS$29,0),0)</f>
        <v>1118</v>
      </c>
      <c r="CZ259" s="108">
        <f ref="CZ259:CZ322" si="185" t="shared">CY259-CX259</f>
        <v>-160.13531199808858</v>
      </c>
      <c r="DA259" s="78">
        <f ref="DA259:DA322" si="186" t="shared">CZ259/CX259</f>
        <v>-0.12528823082726007</v>
      </c>
    </row>
    <row r="260" spans="99:105" x14ac:dyDescent="0.25">
      <c r="CU260" s="95">
        <v>259</v>
      </c>
      <c r="CV260" s="95">
        <f ref="CV260:CV323" si="187" t="shared">IF(CW259&lt;$CS$2,CV259,CV259+1)</f>
        <v>13</v>
      </c>
      <c r="CW260" s="95">
        <f si="182" t="shared"/>
        <v>19</v>
      </c>
      <c r="CX260" s="58">
        <f si="183" t="shared"/>
        <v>338.55369871377945</v>
      </c>
      <c r="CY260" s="58">
        <f si="184" t="shared"/>
        <v>117</v>
      </c>
      <c r="CZ260" s="108">
        <f si="185" t="shared"/>
        <v>-221.55369871377945</v>
      </c>
      <c r="DA260" s="78">
        <f si="186" t="shared"/>
        <v>-0.65441228246951066</v>
      </c>
    </row>
    <row r="261" spans="99:105" x14ac:dyDescent="0.25">
      <c r="CU261" s="95">
        <v>260</v>
      </c>
      <c r="CV261" s="95">
        <f si="187" t="shared"/>
        <v>13</v>
      </c>
      <c r="CW261" s="95">
        <f si="182" t="shared"/>
        <v>20</v>
      </c>
      <c r="CX261" s="58">
        <f si="183" t="shared"/>
        <v>302.4159443566906</v>
      </c>
      <c r="CY261" s="58">
        <f si="184" t="shared"/>
        <v>55</v>
      </c>
      <c r="CZ261" s="108">
        <f si="185" t="shared"/>
        <v>-247.4159443566906</v>
      </c>
      <c r="DA261" s="78">
        <f si="186" t="shared"/>
        <v>-0.81813128234029509</v>
      </c>
    </row>
    <row r="262" spans="99:105" x14ac:dyDescent="0.25">
      <c r="CU262" s="95">
        <v>261</v>
      </c>
      <c r="CV262" s="95">
        <f si="187" t="shared"/>
        <v>14</v>
      </c>
      <c r="CW262" s="95">
        <f si="182" t="shared"/>
        <v>1</v>
      </c>
      <c r="CX262" s="58">
        <f si="183" t="shared"/>
        <v>1107.7513499614297</v>
      </c>
      <c r="CY262" s="58">
        <f si="184" t="shared"/>
        <v>3584.0000000000009</v>
      </c>
      <c r="CZ262" s="108">
        <f si="185" t="shared"/>
        <v>2476.2486500385712</v>
      </c>
      <c r="DA262" s="78">
        <f si="186" t="shared"/>
        <v>2.2353831030084419</v>
      </c>
    </row>
    <row r="263" spans="99:105" x14ac:dyDescent="0.25">
      <c r="CU263" s="95">
        <v>262</v>
      </c>
      <c r="CV263" s="95">
        <f si="187" t="shared"/>
        <v>14</v>
      </c>
      <c r="CW263" s="95">
        <f si="182" t="shared"/>
        <v>2</v>
      </c>
      <c r="CX263" s="58">
        <f si="183" t="shared"/>
        <v>1015.6461815376704</v>
      </c>
      <c r="CY263" s="58">
        <f si="184" t="shared"/>
        <v>958.00000000000023</v>
      </c>
      <c r="CZ263" s="108">
        <f si="185" t="shared"/>
        <v>-57.646181537670145</v>
      </c>
      <c r="DA263" s="78">
        <f si="186" t="shared"/>
        <v>-5.675813347754121E-2</v>
      </c>
    </row>
    <row r="264" spans="99:105" x14ac:dyDescent="0.25">
      <c r="CU264" s="95">
        <v>263</v>
      </c>
      <c r="CV264" s="95">
        <f si="187" t="shared"/>
        <v>14</v>
      </c>
      <c r="CW264" s="95">
        <f si="182" t="shared"/>
        <v>3</v>
      </c>
      <c r="CX264" s="58">
        <f si="183" t="shared"/>
        <v>579.18385188994603</v>
      </c>
      <c r="CY264" s="58">
        <f si="184" t="shared"/>
        <v>860.00000000000023</v>
      </c>
      <c r="CZ264" s="108">
        <f si="185" t="shared"/>
        <v>280.8161481100542</v>
      </c>
      <c r="DA264" s="78">
        <f si="186" t="shared"/>
        <v>0.48484802743328842</v>
      </c>
    </row>
    <row r="265" spans="99:105" x14ac:dyDescent="0.25">
      <c r="CU265" s="95">
        <v>264</v>
      </c>
      <c r="CV265" s="95">
        <f si="187" t="shared"/>
        <v>14</v>
      </c>
      <c r="CW265" s="95">
        <f si="182" t="shared"/>
        <v>4</v>
      </c>
      <c r="CX265" s="58">
        <f si="183" t="shared"/>
        <v>584.16250964258165</v>
      </c>
      <c r="CY265" s="58">
        <f si="184" t="shared"/>
        <v>618.00000000000011</v>
      </c>
      <c r="CZ265" s="108">
        <f si="185" t="shared"/>
        <v>33.83749035741846</v>
      </c>
      <c r="DA265" s="78">
        <f si="186" t="shared"/>
        <v>5.7924789418824299E-2</v>
      </c>
    </row>
    <row r="266" spans="99:105" x14ac:dyDescent="0.25">
      <c r="CU266" s="95">
        <v>265</v>
      </c>
      <c r="CV266" s="95">
        <f si="187" t="shared"/>
        <v>14</v>
      </c>
      <c r="CW266" s="95">
        <f si="182" t="shared"/>
        <v>5</v>
      </c>
      <c r="CX266" s="58">
        <f si="183" t="shared"/>
        <v>403.27127796348674</v>
      </c>
      <c r="CY266" s="58">
        <f si="184" t="shared"/>
        <v>1032.0000000000002</v>
      </c>
      <c r="CZ266" s="108">
        <f si="185" t="shared"/>
        <v>628.72872203651355</v>
      </c>
      <c r="DA266" s="78">
        <f si="186" t="shared"/>
        <v>1.5590714151813221</v>
      </c>
    </row>
    <row r="267" spans="99:105" x14ac:dyDescent="0.25">
      <c r="CU267" s="95">
        <v>266</v>
      </c>
      <c r="CV267" s="95">
        <f si="187" t="shared"/>
        <v>14</v>
      </c>
      <c r="CW267" s="95">
        <f si="182" t="shared"/>
        <v>6</v>
      </c>
      <c r="CX267" s="58">
        <f si="183" t="shared"/>
        <v>1940.8467472357931</v>
      </c>
      <c r="CY267" s="58">
        <f si="184" t="shared"/>
        <v>2787.0000000000005</v>
      </c>
      <c r="CZ267" s="108">
        <f si="185" t="shared"/>
        <v>846.15325276420731</v>
      </c>
      <c r="DA267" s="78">
        <f si="186" t="shared"/>
        <v>0.43597118318039374</v>
      </c>
    </row>
    <row r="268" spans="99:105" x14ac:dyDescent="0.25">
      <c r="CU268" s="95">
        <v>267</v>
      </c>
      <c r="CV268" s="95">
        <f si="187" t="shared"/>
        <v>14</v>
      </c>
      <c r="CW268" s="95">
        <f si="182" t="shared"/>
        <v>7</v>
      </c>
      <c r="CX268" s="58">
        <f si="183" t="shared"/>
        <v>758.41553098482893</v>
      </c>
      <c r="CY268" s="58">
        <f si="184" t="shared"/>
        <v>419.00000000000011</v>
      </c>
      <c r="CZ268" s="108">
        <f si="185" t="shared"/>
        <v>-339.41553098482882</v>
      </c>
      <c r="DA268" s="78">
        <f si="186" t="shared"/>
        <v>-0.44753241081981265</v>
      </c>
    </row>
    <row r="269" spans="99:105" x14ac:dyDescent="0.25">
      <c r="CU269" s="95">
        <v>268</v>
      </c>
      <c r="CV269" s="95">
        <f si="187" t="shared"/>
        <v>14</v>
      </c>
      <c r="CW269" s="95">
        <f si="182" t="shared"/>
        <v>8</v>
      </c>
      <c r="CX269" s="58">
        <f si="183" t="shared"/>
        <v>269.67729493443045</v>
      </c>
      <c r="CY269" s="58">
        <f si="184" t="shared"/>
        <v>131.00000000000003</v>
      </c>
      <c r="CZ269" s="108">
        <f si="185" t="shared"/>
        <v>-138.67729493443042</v>
      </c>
      <c r="DA269" s="78">
        <f si="186" t="shared"/>
        <v>-0.51423422564420385</v>
      </c>
    </row>
    <row r="270" spans="99:105" x14ac:dyDescent="0.25">
      <c r="CU270" s="95">
        <v>269</v>
      </c>
      <c r="CV270" s="95">
        <f si="187" t="shared"/>
        <v>14</v>
      </c>
      <c r="CW270" s="95">
        <f si="182" t="shared"/>
        <v>9</v>
      </c>
      <c r="CX270" s="58">
        <f si="183" t="shared"/>
        <v>664.65080997685777</v>
      </c>
      <c r="CY270" s="58">
        <f si="184" t="shared"/>
        <v>501.00000000000011</v>
      </c>
      <c r="CZ270" s="108">
        <f si="185" t="shared"/>
        <v>-163.65080997685766</v>
      </c>
      <c r="DA270" s="78">
        <f si="186" t="shared"/>
        <v>-0.24622073353458451</v>
      </c>
    </row>
    <row r="271" spans="99:105" x14ac:dyDescent="0.25">
      <c r="CU271" s="95">
        <v>270</v>
      </c>
      <c r="CV271" s="95">
        <f si="187" t="shared"/>
        <v>14</v>
      </c>
      <c r="CW271" s="95">
        <f si="182" t="shared"/>
        <v>10</v>
      </c>
      <c r="CX271" s="58">
        <f si="183" t="shared"/>
        <v>282.95371560812549</v>
      </c>
      <c r="CY271" s="58">
        <f si="184" t="shared"/>
        <v>200.00000000000006</v>
      </c>
      <c r="CZ271" s="108">
        <f si="185" t="shared"/>
        <v>-82.953715608125435</v>
      </c>
      <c r="DA271" s="78">
        <f si="186" t="shared"/>
        <v>-0.29317061778051196</v>
      </c>
    </row>
    <row r="272" spans="99:105" x14ac:dyDescent="0.25">
      <c r="CU272" s="95">
        <v>271</v>
      </c>
      <c r="CV272" s="95">
        <f si="187" t="shared"/>
        <v>14</v>
      </c>
      <c r="CW272" s="95">
        <f si="182" t="shared"/>
        <v>11</v>
      </c>
      <c r="CX272" s="58">
        <f si="183" t="shared"/>
        <v>1866.1668809462587</v>
      </c>
      <c r="CY272" s="58">
        <f si="184" t="shared"/>
        <v>1571.0000000000005</v>
      </c>
      <c r="CZ272" s="108">
        <f si="185" t="shared"/>
        <v>-295.16688094625829</v>
      </c>
      <c r="DA272" s="78">
        <f si="186" t="shared"/>
        <v>-0.1581674629208889</v>
      </c>
    </row>
    <row r="273" spans="99:105" x14ac:dyDescent="0.25">
      <c r="CU273" s="95">
        <v>272</v>
      </c>
      <c r="CV273" s="95">
        <f si="187" t="shared"/>
        <v>14</v>
      </c>
      <c r="CW273" s="95">
        <f si="182" t="shared"/>
        <v>12</v>
      </c>
      <c r="CX273" s="58">
        <f si="183" t="shared"/>
        <v>1661.2121367960915</v>
      </c>
      <c r="CY273" s="58">
        <f si="184" t="shared"/>
        <v>1030.0000000000002</v>
      </c>
      <c r="CZ273" s="108">
        <f si="185" t="shared"/>
        <v>-631.21213679609127</v>
      </c>
      <c r="DA273" s="78">
        <f si="186" t="shared"/>
        <v>-0.37997081938823479</v>
      </c>
    </row>
    <row r="274" spans="99:105" x14ac:dyDescent="0.25">
      <c r="CU274" s="95">
        <v>273</v>
      </c>
      <c r="CV274" s="95">
        <f si="187" t="shared"/>
        <v>14</v>
      </c>
      <c r="CW274" s="95">
        <f si="182" t="shared"/>
        <v>13</v>
      </c>
      <c r="CX274" s="58">
        <f si="183" t="shared"/>
        <v>370.91000257135511</v>
      </c>
      <c r="CY274" s="58">
        <f si="184" t="shared"/>
        <v>232.00000000000006</v>
      </c>
      <c r="CZ274" s="108">
        <f si="185" t="shared"/>
        <v>-138.91000257135505</v>
      </c>
      <c r="DA274" s="78">
        <f si="186" t="shared"/>
        <v>-0.37451134131825348</v>
      </c>
    </row>
    <row r="275" spans="99:105" x14ac:dyDescent="0.25">
      <c r="CU275" s="95">
        <v>274</v>
      </c>
      <c r="CV275" s="95">
        <f si="187" t="shared"/>
        <v>14</v>
      </c>
      <c r="CW275" s="95">
        <f si="182" t="shared"/>
        <v>14</v>
      </c>
      <c r="CX275" s="58">
        <f si="183" t="shared"/>
        <v>5846.6037541784526</v>
      </c>
      <c r="CY275" s="58">
        <f si="184" t="shared"/>
        <v>4343.0000000000009</v>
      </c>
      <c r="CZ275" s="108">
        <f si="185" t="shared"/>
        <v>-1503.6037541784517</v>
      </c>
      <c r="DA275" s="78">
        <f si="186" t="shared"/>
        <v>-0.2571755872978147</v>
      </c>
    </row>
    <row r="276" spans="99:105" x14ac:dyDescent="0.25">
      <c r="CU276" s="95">
        <v>275</v>
      </c>
      <c r="CV276" s="95">
        <f si="187" t="shared"/>
        <v>14</v>
      </c>
      <c r="CW276" s="95">
        <f si="182" t="shared"/>
        <v>15</v>
      </c>
      <c r="CX276" s="58">
        <f si="183" t="shared"/>
        <v>198.31653381331961</v>
      </c>
      <c r="CY276" s="58">
        <f si="184" t="shared"/>
        <v>103.00000000000003</v>
      </c>
      <c r="CZ276" s="108">
        <f si="185" t="shared"/>
        <v>-95.31653381331958</v>
      </c>
      <c r="DA276" s="78">
        <f si="186" t="shared"/>
        <v>-0.48062827632437066</v>
      </c>
    </row>
    <row r="277" spans="99:105" x14ac:dyDescent="0.25">
      <c r="CU277" s="95">
        <v>276</v>
      </c>
      <c r="CV277" s="95">
        <f si="187" t="shared"/>
        <v>14</v>
      </c>
      <c r="CW277" s="95">
        <f si="182" t="shared"/>
        <v>16</v>
      </c>
      <c r="CX277" s="58">
        <f si="183" t="shared"/>
        <v>61.403445615839544</v>
      </c>
      <c r="CY277" s="58">
        <f si="184" t="shared"/>
        <v>17.000000000000004</v>
      </c>
      <c r="CZ277" s="108">
        <f si="185" t="shared"/>
        <v>-44.403445615839544</v>
      </c>
      <c r="DA277" s="78">
        <f si="186" t="shared"/>
        <v>-0.72314257238335333</v>
      </c>
    </row>
    <row r="278" spans="99:105" x14ac:dyDescent="0.25">
      <c r="CU278" s="95">
        <v>277</v>
      </c>
      <c r="CV278" s="95">
        <f si="187" t="shared"/>
        <v>14</v>
      </c>
      <c r="CW278" s="95">
        <f si="182" t="shared"/>
        <v>17</v>
      </c>
      <c r="CX278" s="58">
        <f si="183" t="shared"/>
        <v>1009.0079712008229</v>
      </c>
      <c r="CY278" s="58">
        <f si="184" t="shared"/>
        <v>607.00000000000011</v>
      </c>
      <c r="CZ278" s="108">
        <f si="185" t="shared"/>
        <v>-402.00797120082279</v>
      </c>
      <c r="DA278" s="78">
        <f si="186" t="shared"/>
        <v>-0.39841902410581764</v>
      </c>
    </row>
    <row r="279" spans="99:105" x14ac:dyDescent="0.25">
      <c r="CU279" s="95">
        <v>278</v>
      </c>
      <c r="CV279" s="95">
        <f si="187" t="shared"/>
        <v>14</v>
      </c>
      <c r="CW279" s="95">
        <f si="182" t="shared"/>
        <v>18</v>
      </c>
      <c r="CX279" s="58">
        <f si="183" t="shared"/>
        <v>112.01979943430187</v>
      </c>
      <c r="CY279" s="58">
        <f si="184" t="shared"/>
        <v>24.000000000000007</v>
      </c>
      <c r="CZ279" s="108">
        <f si="185" t="shared"/>
        <v>-88.019799434301859</v>
      </c>
      <c r="DA279" s="78">
        <f si="186" t="shared"/>
        <v>-0.78575216058947062</v>
      </c>
    </row>
    <row r="280" spans="99:105" x14ac:dyDescent="0.25">
      <c r="CU280" s="95">
        <v>279</v>
      </c>
      <c r="CV280" s="95">
        <f si="187" t="shared"/>
        <v>14</v>
      </c>
      <c r="CW280" s="95">
        <f si="182" t="shared"/>
        <v>19</v>
      </c>
      <c r="CX280" s="58">
        <f si="183" t="shared"/>
        <v>494.54667009514014</v>
      </c>
      <c r="CY280" s="58">
        <f si="184" t="shared"/>
        <v>344.00000000000006</v>
      </c>
      <c r="CZ280" s="108">
        <f si="185" t="shared"/>
        <v>-150.54667009514009</v>
      </c>
      <c r="DA280" s="78">
        <f si="186" t="shared"/>
        <v>-0.30441347439702332</v>
      </c>
    </row>
    <row r="281" spans="99:105" x14ac:dyDescent="0.25">
      <c r="CU281" s="95">
        <v>280</v>
      </c>
      <c r="CV281" s="95">
        <f si="187" t="shared"/>
        <v>14</v>
      </c>
      <c r="CW281" s="95">
        <f si="182" t="shared"/>
        <v>20</v>
      </c>
      <c r="CX281" s="58">
        <f si="183" t="shared"/>
        <v>135.25353561326818</v>
      </c>
      <c r="CY281" s="58">
        <f si="184" t="shared"/>
        <v>1.0000000000000002</v>
      </c>
      <c r="CZ281" s="108">
        <f si="185" t="shared"/>
        <v>-134.25353561326818</v>
      </c>
      <c r="DA281" s="78">
        <f si="186" t="shared"/>
        <v>-0.99260647793445256</v>
      </c>
    </row>
    <row r="282" spans="99:105" x14ac:dyDescent="0.25">
      <c r="CU282" s="95">
        <v>281</v>
      </c>
      <c r="CV282" s="95">
        <f si="187" t="shared"/>
        <v>15</v>
      </c>
      <c r="CW282" s="95">
        <f si="182" t="shared"/>
        <v>1</v>
      </c>
      <c r="CX282" s="58">
        <f si="183" t="shared"/>
        <v>1124.5274894159948</v>
      </c>
      <c r="CY282" s="58">
        <f si="184" t="shared"/>
        <v>2436.0000000000005</v>
      </c>
      <c r="CZ282" s="108">
        <f si="185" t="shared"/>
        <v>1311.4725105840057</v>
      </c>
      <c r="DA282" s="78">
        <f si="186" t="shared"/>
        <v>1.1662431758472154</v>
      </c>
    </row>
    <row r="283" spans="99:105" x14ac:dyDescent="0.25">
      <c r="CU283" s="95">
        <v>282</v>
      </c>
      <c r="CV283" s="95">
        <f si="187" t="shared"/>
        <v>15</v>
      </c>
      <c r="CW283" s="95">
        <f si="182" t="shared"/>
        <v>2</v>
      </c>
      <c r="CX283" s="58">
        <f si="183" t="shared"/>
        <v>1313.4747433741229</v>
      </c>
      <c r="CY283" s="58">
        <f si="184" t="shared"/>
        <v>1070.0000000000002</v>
      </c>
      <c r="CZ283" s="108">
        <f si="185" t="shared"/>
        <v>-243.47474337412268</v>
      </c>
      <c r="DA283" s="78">
        <f si="186" t="shared"/>
        <v>-0.18536690149722404</v>
      </c>
    </row>
    <row r="284" spans="99:105" x14ac:dyDescent="0.25">
      <c r="CU284" s="95">
        <v>283</v>
      </c>
      <c r="CV284" s="95">
        <f si="187" t="shared"/>
        <v>15</v>
      </c>
      <c r="CW284" s="95">
        <f si="182" t="shared"/>
        <v>3</v>
      </c>
      <c r="CX284" s="58">
        <f si="183" t="shared"/>
        <v>412.02154497477233</v>
      </c>
      <c r="CY284" s="58">
        <f si="184" t="shared"/>
        <v>365.00000000000006</v>
      </c>
      <c r="CZ284" s="108">
        <f si="185" t="shared"/>
        <v>-47.021544974772269</v>
      </c>
      <c r="DA284" s="78">
        <f si="186" t="shared"/>
        <v>-0.11412399557322021</v>
      </c>
    </row>
    <row r="285" spans="99:105" x14ac:dyDescent="0.25">
      <c r="CU285" s="95">
        <v>284</v>
      </c>
      <c r="CV285" s="95">
        <f si="187" t="shared"/>
        <v>15</v>
      </c>
      <c r="CW285" s="95">
        <f si="182" t="shared"/>
        <v>4</v>
      </c>
      <c r="CX285" s="58">
        <f si="183" t="shared"/>
        <v>407.85971118714838</v>
      </c>
      <c r="CY285" s="58">
        <f si="184" t="shared"/>
        <v>222.00000000000003</v>
      </c>
      <c r="CZ285" s="108">
        <f si="185" t="shared"/>
        <v>-185.85971118714835</v>
      </c>
      <c r="DA285" s="78">
        <f si="186" t="shared"/>
        <v>-0.45569519638546924</v>
      </c>
    </row>
    <row r="286" spans="99:105" x14ac:dyDescent="0.25">
      <c r="CU286" s="95">
        <v>285</v>
      </c>
      <c r="CV286" s="95">
        <f si="187" t="shared"/>
        <v>15</v>
      </c>
      <c r="CW286" s="95">
        <f si="182" t="shared"/>
        <v>5</v>
      </c>
      <c r="CX286" s="58">
        <f si="183" t="shared"/>
        <v>289.66363161862785</v>
      </c>
      <c r="CY286" s="58">
        <f si="184" t="shared"/>
        <v>536.00000000000011</v>
      </c>
      <c r="CZ286" s="108">
        <f si="185" t="shared"/>
        <v>246.33636838137227</v>
      </c>
      <c r="DA286" s="78">
        <f si="186" t="shared"/>
        <v>0.85042215001191312</v>
      </c>
    </row>
    <row r="287" spans="99:105" x14ac:dyDescent="0.25">
      <c r="CU287" s="95">
        <v>286</v>
      </c>
      <c r="CV287" s="95">
        <f si="187" t="shared"/>
        <v>15</v>
      </c>
      <c r="CW287" s="95">
        <f si="182" t="shared"/>
        <v>6</v>
      </c>
      <c r="CX287" s="58">
        <f si="183" t="shared"/>
        <v>2035.136722148118</v>
      </c>
      <c r="CY287" s="58">
        <f si="184" t="shared"/>
        <v>1938.0000000000002</v>
      </c>
      <c r="CZ287" s="108">
        <f si="185" t="shared"/>
        <v>-97.136722148117769</v>
      </c>
      <c r="DA287" s="78">
        <f si="186" t="shared"/>
        <v>-4.7729826252453679E-2</v>
      </c>
    </row>
    <row r="288" spans="99:105" x14ac:dyDescent="0.25">
      <c r="CU288" s="95">
        <v>287</v>
      </c>
      <c r="CV288" s="95">
        <f si="187" t="shared"/>
        <v>15</v>
      </c>
      <c r="CW288" s="95">
        <f si="182" t="shared"/>
        <v>7</v>
      </c>
      <c r="CX288" s="58">
        <f si="183" t="shared"/>
        <v>2946.5783216377658</v>
      </c>
      <c r="CY288" s="58">
        <f si="184" t="shared"/>
        <v>1556.0000000000002</v>
      </c>
      <c r="CZ288" s="108">
        <f si="185" t="shared"/>
        <v>-1390.5783216377656</v>
      </c>
      <c r="DA288" s="78">
        <f si="186" t="shared"/>
        <v>-0.47192986910487245</v>
      </c>
    </row>
    <row r="289" spans="99:105" x14ac:dyDescent="0.25">
      <c r="CU289" s="95">
        <v>288</v>
      </c>
      <c r="CV289" s="95">
        <f si="187" t="shared"/>
        <v>15</v>
      </c>
      <c r="CW289" s="95">
        <f si="182" t="shared"/>
        <v>8</v>
      </c>
      <c r="CX289" s="58">
        <f si="183" t="shared"/>
        <v>99.051644145450325</v>
      </c>
      <c r="CY289" s="58">
        <f si="184" t="shared"/>
        <v>20.000000000000004</v>
      </c>
      <c r="CZ289" s="108">
        <f si="185" t="shared"/>
        <v>-79.051644145450325</v>
      </c>
      <c r="DA289" s="78">
        <f si="186" t="shared"/>
        <v>-0.79808512849487467</v>
      </c>
    </row>
    <row r="290" spans="99:105" x14ac:dyDescent="0.25">
      <c r="CU290" s="95">
        <v>289</v>
      </c>
      <c r="CV290" s="95">
        <f si="187" t="shared"/>
        <v>15</v>
      </c>
      <c r="CW290" s="95">
        <f si="182" t="shared"/>
        <v>9</v>
      </c>
      <c r="CX290" s="58">
        <f si="183" t="shared"/>
        <v>2894.139215913704</v>
      </c>
      <c r="CY290" s="58">
        <f si="184" t="shared"/>
        <v>1698.0000000000002</v>
      </c>
      <c r="CZ290" s="108">
        <f si="185" t="shared"/>
        <v>-1196.1392159137038</v>
      </c>
      <c r="DA290" s="78">
        <f si="186" t="shared"/>
        <v>-0.41329705542035322</v>
      </c>
    </row>
    <row r="291" spans="99:105" x14ac:dyDescent="0.25">
      <c r="CU291" s="95">
        <v>290</v>
      </c>
      <c r="CV291" s="95">
        <f si="187" t="shared"/>
        <v>15</v>
      </c>
      <c r="CW291" s="95">
        <f si="182" t="shared"/>
        <v>10</v>
      </c>
      <c r="CX291" s="58">
        <f si="183" t="shared"/>
        <v>292.99309864872703</v>
      </c>
      <c r="CY291" s="58">
        <f si="184" t="shared"/>
        <v>83.000000000000014</v>
      </c>
      <c r="CZ291" s="108">
        <f si="185" t="shared"/>
        <v>-209.99309864872703</v>
      </c>
      <c r="DA291" s="78">
        <f si="186" t="shared"/>
        <v>-0.71671687700907349</v>
      </c>
    </row>
    <row r="292" spans="99:105" x14ac:dyDescent="0.25">
      <c r="CU292" s="95">
        <v>291</v>
      </c>
      <c r="CV292" s="95">
        <f si="187" t="shared"/>
        <v>15</v>
      </c>
      <c r="CW292" s="95">
        <f si="182" t="shared"/>
        <v>11</v>
      </c>
      <c r="CX292" s="58">
        <f si="183" t="shared"/>
        <v>943.90390303311494</v>
      </c>
      <c r="CY292" s="58">
        <f si="184" t="shared"/>
        <v>436.00000000000006</v>
      </c>
      <c r="CZ292" s="108">
        <f si="185" t="shared"/>
        <v>-507.90390303311489</v>
      </c>
      <c r="DA292" s="78">
        <f si="186" t="shared"/>
        <v>-0.53808857172963309</v>
      </c>
    </row>
    <row r="293" spans="99:105" x14ac:dyDescent="0.25">
      <c r="CU293" s="95">
        <v>292</v>
      </c>
      <c r="CV293" s="95">
        <f si="187" t="shared"/>
        <v>15</v>
      </c>
      <c r="CW293" s="95">
        <f si="182" t="shared"/>
        <v>12</v>
      </c>
      <c r="CX293" s="58">
        <f si="183" t="shared"/>
        <v>2751.8045003769644</v>
      </c>
      <c r="CY293" s="58">
        <f si="184" t="shared"/>
        <v>1211.0000000000002</v>
      </c>
      <c r="CZ293" s="108">
        <f si="185" t="shared"/>
        <v>-1540.8045003769641</v>
      </c>
      <c r="DA293" s="78">
        <f si="186" t="shared"/>
        <v>-0.55992513282316836</v>
      </c>
    </row>
    <row r="294" spans="99:105" x14ac:dyDescent="0.25">
      <c r="CU294" s="95">
        <v>293</v>
      </c>
      <c r="CV294" s="95">
        <f si="187" t="shared"/>
        <v>15</v>
      </c>
      <c r="CW294" s="95">
        <f si="182" t="shared"/>
        <v>13</v>
      </c>
      <c r="CX294" s="58">
        <f si="183" t="shared"/>
        <v>2583.6664153569563</v>
      </c>
      <c r="CY294" s="58">
        <f si="184" t="shared"/>
        <v>6668.0000000000009</v>
      </c>
      <c r="CZ294" s="108">
        <f si="185" t="shared"/>
        <v>4084.3335846430446</v>
      </c>
      <c r="DA294" s="78">
        <f si="186" t="shared"/>
        <v>1.5808285312555559</v>
      </c>
    </row>
    <row r="295" spans="99:105" x14ac:dyDescent="0.25">
      <c r="CU295" s="95">
        <v>294</v>
      </c>
      <c r="CV295" s="95">
        <f si="187" t="shared"/>
        <v>15</v>
      </c>
      <c r="CW295" s="95">
        <f si="182" t="shared"/>
        <v>14</v>
      </c>
      <c r="CX295" s="58">
        <f si="183" t="shared"/>
        <v>148.99364959693787</v>
      </c>
      <c r="CY295" s="58">
        <f si="184" t="shared"/>
        <v>30.000000000000004</v>
      </c>
      <c r="CZ295" s="108">
        <f si="185" t="shared"/>
        <v>-118.99364959693787</v>
      </c>
      <c r="DA295" s="78">
        <f si="186" t="shared"/>
        <v>-0.79864913651583869</v>
      </c>
    </row>
    <row r="296" spans="99:105" x14ac:dyDescent="0.25">
      <c r="CU296" s="95">
        <v>295</v>
      </c>
      <c r="CV296" s="95">
        <f si="187" t="shared"/>
        <v>15</v>
      </c>
      <c r="CW296" s="95">
        <f si="182" t="shared"/>
        <v>15</v>
      </c>
      <c r="CX296" s="58">
        <f si="183" t="shared"/>
        <v>9287.5482804616368</v>
      </c>
      <c r="CY296" s="58">
        <f si="184" t="shared"/>
        <v>9575.0000000000018</v>
      </c>
      <c r="CZ296" s="108">
        <f si="185" t="shared"/>
        <v>287.45171953836507</v>
      </c>
      <c r="DA296" s="78">
        <f si="186" t="shared"/>
        <v>3.0950226136975442E-2</v>
      </c>
    </row>
    <row r="297" spans="99:105" x14ac:dyDescent="0.25">
      <c r="CU297" s="95">
        <v>296</v>
      </c>
      <c r="CV297" s="95">
        <f si="187" t="shared"/>
        <v>15</v>
      </c>
      <c r="CW297" s="95">
        <f si="182" t="shared"/>
        <v>16</v>
      </c>
      <c r="CX297" s="58">
        <f si="183" t="shared"/>
        <v>57.433306269210696</v>
      </c>
      <c r="CY297" s="58">
        <f si="184" t="shared"/>
        <v>4.0000000000000009</v>
      </c>
      <c r="CZ297" s="108">
        <f si="185" t="shared"/>
        <v>-53.433306269210696</v>
      </c>
      <c r="DA297" s="78">
        <f si="186" t="shared"/>
        <v>-0.93035400084315967</v>
      </c>
    </row>
    <row r="298" spans="99:105" x14ac:dyDescent="0.25">
      <c r="CU298" s="95">
        <v>297</v>
      </c>
      <c r="CV298" s="95">
        <f si="187" t="shared"/>
        <v>15</v>
      </c>
      <c r="CW298" s="95">
        <f si="182" t="shared"/>
        <v>17</v>
      </c>
      <c r="CX298" s="58">
        <f si="183" t="shared"/>
        <v>139.00524850664038</v>
      </c>
      <c r="CY298" s="58">
        <f si="184" t="shared"/>
        <v>54.000000000000007</v>
      </c>
      <c r="CZ298" s="108">
        <f si="185" t="shared"/>
        <v>-85.005248506640385</v>
      </c>
      <c r="DA298" s="78">
        <f si="186" t="shared"/>
        <v>-0.61152545979283379</v>
      </c>
    </row>
    <row r="299" spans="99:105" x14ac:dyDescent="0.25">
      <c r="CU299" s="95">
        <v>298</v>
      </c>
      <c r="CV299" s="95">
        <f si="187" t="shared"/>
        <v>15</v>
      </c>
      <c r="CW299" s="95">
        <f si="182" t="shared"/>
        <v>18</v>
      </c>
      <c r="CX299" s="58">
        <f si="183" t="shared"/>
        <v>152.32311662703705</v>
      </c>
      <c r="CY299" s="58">
        <f si="184" t="shared"/>
        <v>80.000000000000014</v>
      </c>
      <c r="CZ299" s="108">
        <f si="185" t="shared"/>
        <v>-72.323116627037038</v>
      </c>
      <c r="DA299" s="78">
        <f si="186" t="shared"/>
        <v>-0.47480066209595811</v>
      </c>
    </row>
    <row r="300" spans="99:105" x14ac:dyDescent="0.25">
      <c r="CU300" s="95">
        <v>299</v>
      </c>
      <c r="CV300" s="95">
        <f si="187" t="shared"/>
        <v>15</v>
      </c>
      <c r="CW300" s="95">
        <f si="182" t="shared"/>
        <v>19</v>
      </c>
      <c r="CX300" s="58">
        <f si="183" t="shared"/>
        <v>709.17647741112341</v>
      </c>
      <c r="CY300" s="58">
        <f si="184" t="shared"/>
        <v>719.00000000000011</v>
      </c>
      <c r="CZ300" s="108">
        <f si="185" t="shared"/>
        <v>9.823522588876699</v>
      </c>
      <c r="DA300" s="78">
        <f si="186" t="shared"/>
        <v>1.3852014134391279E-2</v>
      </c>
    </row>
    <row r="301" spans="99:105" x14ac:dyDescent="0.25">
      <c r="CU301" s="95">
        <v>300</v>
      </c>
      <c r="CV301" s="95">
        <f si="187" t="shared"/>
        <v>15</v>
      </c>
      <c r="CW301" s="95">
        <f si="182" t="shared"/>
        <v>20</v>
      </c>
      <c r="CX301" s="58">
        <f si="183" t="shared"/>
        <v>115.69897929594617</v>
      </c>
      <c r="CY301" s="58">
        <f si="184" t="shared"/>
        <v>4.0000000000000009</v>
      </c>
      <c r="CZ301" s="108">
        <f si="185" t="shared"/>
        <v>-111.69897929594617</v>
      </c>
      <c r="DA301" s="78">
        <f si="186" t="shared"/>
        <v>-0.96542752559840306</v>
      </c>
    </row>
    <row r="302" spans="99:105" x14ac:dyDescent="0.25">
      <c r="CU302" s="95">
        <v>301</v>
      </c>
      <c r="CV302" s="95">
        <f si="187" t="shared"/>
        <v>16</v>
      </c>
      <c r="CW302" s="95">
        <f si="182" t="shared"/>
        <v>1</v>
      </c>
      <c r="CX302" s="58">
        <f si="183" t="shared"/>
        <v>1007.8878061289909</v>
      </c>
      <c r="CY302" s="58">
        <f si="184" t="shared"/>
        <v>2229.9999999999995</v>
      </c>
      <c r="CZ302" s="108">
        <f si="185" t="shared"/>
        <v>1222.1121938710087</v>
      </c>
      <c r="DA302" s="78">
        <f si="186" t="shared"/>
        <v>1.2125478514962815</v>
      </c>
    </row>
    <row r="303" spans="99:105" x14ac:dyDescent="0.25">
      <c r="CU303" s="95">
        <v>302</v>
      </c>
      <c r="CV303" s="95">
        <f si="187" t="shared"/>
        <v>16</v>
      </c>
      <c r="CW303" s="95">
        <f si="182" t="shared"/>
        <v>2</v>
      </c>
      <c r="CX303" s="58">
        <f si="183" t="shared"/>
        <v>576.05853314527508</v>
      </c>
      <c r="CY303" s="58">
        <f si="184" t="shared"/>
        <v>579.99999999999989</v>
      </c>
      <c r="CZ303" s="108">
        <f si="185" t="shared"/>
        <v>3.9414668547248084</v>
      </c>
      <c r="DA303" s="78">
        <f si="186" t="shared"/>
        <v>6.8421291031042107E-3</v>
      </c>
    </row>
    <row r="304" spans="99:105" x14ac:dyDescent="0.25">
      <c r="CU304" s="95">
        <v>303</v>
      </c>
      <c r="CV304" s="95">
        <f si="187" t="shared"/>
        <v>16</v>
      </c>
      <c r="CW304" s="95">
        <f si="182" t="shared"/>
        <v>3</v>
      </c>
      <c r="CX304" s="58">
        <f si="183" t="shared"/>
        <v>238.66508526734196</v>
      </c>
      <c r="CY304" s="58">
        <f si="184" t="shared"/>
        <v>293.99999999999994</v>
      </c>
      <c r="CZ304" s="108">
        <f si="185" t="shared"/>
        <v>55.334914732657978</v>
      </c>
      <c r="DA304" s="78">
        <f si="186" t="shared"/>
        <v>0.23185173763759487</v>
      </c>
    </row>
    <row r="305" spans="99:105" x14ac:dyDescent="0.25">
      <c r="CU305" s="95">
        <v>304</v>
      </c>
      <c r="CV305" s="95">
        <f si="187" t="shared"/>
        <v>16</v>
      </c>
      <c r="CW305" s="95">
        <f si="182" t="shared"/>
        <v>4</v>
      </c>
      <c r="CX305" s="58">
        <f si="183" t="shared"/>
        <v>336.53494037697141</v>
      </c>
      <c r="CY305" s="58">
        <f si="184" t="shared"/>
        <v>366.99999999999994</v>
      </c>
      <c r="CZ305" s="108">
        <f si="185" t="shared"/>
        <v>30.465059623028537</v>
      </c>
      <c r="DA305" s="78">
        <f si="186" t="shared"/>
        <v>9.052569575362053E-2</v>
      </c>
    </row>
    <row r="306" spans="99:105" x14ac:dyDescent="0.25">
      <c r="CU306" s="95">
        <v>305</v>
      </c>
      <c r="CV306" s="95">
        <f si="187" t="shared"/>
        <v>16</v>
      </c>
      <c r="CW306" s="95">
        <f si="182" t="shared"/>
        <v>5</v>
      </c>
      <c r="CX306" s="58">
        <f si="183" t="shared"/>
        <v>464.452558020259</v>
      </c>
      <c r="CY306" s="58">
        <f si="184" t="shared"/>
        <v>1049.9999999999998</v>
      </c>
      <c r="CZ306" s="108">
        <f si="185" t="shared"/>
        <v>585.54744197974082</v>
      </c>
      <c r="DA306" s="78">
        <f si="186" t="shared"/>
        <v>1.2607260566626048</v>
      </c>
    </row>
    <row r="307" spans="99:105" x14ac:dyDescent="0.25">
      <c r="CU307" s="95">
        <v>306</v>
      </c>
      <c r="CV307" s="95">
        <f si="187" t="shared"/>
        <v>16</v>
      </c>
      <c r="CW307" s="95">
        <f si="182" t="shared"/>
        <v>6</v>
      </c>
      <c r="CX307" s="58">
        <f si="183" t="shared"/>
        <v>2749.7995255802025</v>
      </c>
      <c r="CY307" s="58">
        <f si="184" t="shared"/>
        <v>2716.9999999999995</v>
      </c>
      <c r="CZ307" s="108">
        <f si="185" t="shared"/>
        <v>-32.799525580202953</v>
      </c>
      <c r="DA307" s="78">
        <f si="186" t="shared"/>
        <v>-1.1927969757461616E-2</v>
      </c>
    </row>
    <row r="308" spans="99:105" x14ac:dyDescent="0.25">
      <c r="CU308" s="95">
        <v>307</v>
      </c>
      <c r="CV308" s="95">
        <f si="187" t="shared"/>
        <v>16</v>
      </c>
      <c r="CW308" s="95">
        <f si="182" t="shared"/>
        <v>7</v>
      </c>
      <c r="CX308" s="58">
        <f si="183" t="shared"/>
        <v>512.52897807411205</v>
      </c>
      <c r="CY308" s="58">
        <f si="184" t="shared"/>
        <v>287.99999999999994</v>
      </c>
      <c r="CZ308" s="108">
        <f si="185" t="shared"/>
        <v>-224.5289780741121</v>
      </c>
      <c r="DA308" s="78">
        <f si="186" t="shared"/>
        <v>-0.43808055286513975</v>
      </c>
    </row>
    <row r="309" spans="99:105" x14ac:dyDescent="0.25">
      <c r="CU309" s="95">
        <v>308</v>
      </c>
      <c r="CV309" s="95">
        <f si="187" t="shared"/>
        <v>16</v>
      </c>
      <c r="CW309" s="95">
        <f si="182" t="shared"/>
        <v>8</v>
      </c>
      <c r="CX309" s="58">
        <f si="183" t="shared"/>
        <v>77.265675086549564</v>
      </c>
      <c r="CY309" s="58">
        <f si="184" t="shared"/>
        <v>55.999999999999993</v>
      </c>
      <c r="CZ309" s="108">
        <f si="185" t="shared"/>
        <v>-21.265675086549571</v>
      </c>
      <c r="DA309" s="78">
        <f si="186" t="shared"/>
        <v>-0.27522797235290714</v>
      </c>
    </row>
    <row r="310" spans="99:105" x14ac:dyDescent="0.25">
      <c r="CU310" s="95">
        <v>309</v>
      </c>
      <c r="CV310" s="95">
        <f si="187" t="shared"/>
        <v>16</v>
      </c>
      <c r="CW310" s="95">
        <f si="182" t="shared"/>
        <v>9</v>
      </c>
      <c r="CX310" s="58">
        <f si="183" t="shared"/>
        <v>408.649570457751</v>
      </c>
      <c r="CY310" s="58">
        <f si="184" t="shared"/>
        <v>188.99999999999997</v>
      </c>
      <c r="CZ310" s="108">
        <f si="185" t="shared"/>
        <v>-219.64957045775103</v>
      </c>
      <c r="DA310" s="78">
        <f si="186" t="shared"/>
        <v>-0.53750104328192339</v>
      </c>
    </row>
    <row r="311" spans="99:105" x14ac:dyDescent="0.25">
      <c r="CU311" s="95">
        <v>310</v>
      </c>
      <c r="CV311" s="95">
        <f si="187" t="shared"/>
        <v>16</v>
      </c>
      <c r="CW311" s="95">
        <f si="182" t="shared"/>
        <v>10</v>
      </c>
      <c r="CX311" s="58">
        <f si="183" t="shared"/>
        <v>800.98749839723041</v>
      </c>
      <c r="CY311" s="58">
        <f si="184" t="shared"/>
        <v>543.99999999999989</v>
      </c>
      <c r="CZ311" s="108">
        <f si="185" t="shared"/>
        <v>-256.98749839723052</v>
      </c>
      <c r="DA311" s="78">
        <f si="186" t="shared"/>
        <v>-0.32083833881485097</v>
      </c>
    </row>
    <row r="312" spans="99:105" x14ac:dyDescent="0.25">
      <c r="CU312" s="95">
        <v>311</v>
      </c>
      <c r="CV312" s="95">
        <f si="187" t="shared"/>
        <v>16</v>
      </c>
      <c r="CW312" s="95">
        <f si="182" t="shared"/>
        <v>11</v>
      </c>
      <c r="CX312" s="58">
        <f si="183" t="shared"/>
        <v>260.12777279138351</v>
      </c>
      <c r="CY312" s="58">
        <f si="184" t="shared"/>
        <v>132.99999999999997</v>
      </c>
      <c r="CZ312" s="108">
        <f si="185" t="shared"/>
        <v>-127.12777279138353</v>
      </c>
      <c r="DA312" s="78">
        <f si="186" t="shared"/>
        <v>-0.48871280227865976</v>
      </c>
    </row>
    <row r="313" spans="99:105" x14ac:dyDescent="0.25">
      <c r="CU313" s="95">
        <v>312</v>
      </c>
      <c r="CV313" s="95">
        <f si="187" t="shared"/>
        <v>16</v>
      </c>
      <c r="CW313" s="95">
        <f si="182" t="shared"/>
        <v>12</v>
      </c>
      <c r="CX313" s="58">
        <f si="183" t="shared"/>
        <v>4245.3195922554169</v>
      </c>
      <c r="CY313" s="58">
        <f si="184" t="shared"/>
        <v>3869.9999999999995</v>
      </c>
      <c r="CZ313" s="108">
        <f si="185" t="shared"/>
        <v>-375.31959225541732</v>
      </c>
      <c r="DA313" s="78">
        <f si="186" t="shared"/>
        <v>-8.8407853425240185E-2</v>
      </c>
    </row>
    <row r="314" spans="99:105" x14ac:dyDescent="0.25">
      <c r="CU314" s="95">
        <v>313</v>
      </c>
      <c r="CV314" s="95">
        <f si="187" t="shared"/>
        <v>16</v>
      </c>
      <c r="CW314" s="95">
        <f si="182" t="shared"/>
        <v>13</v>
      </c>
      <c r="CX314" s="58">
        <f si="183" t="shared"/>
        <v>333.9594178740864</v>
      </c>
      <c r="CY314" s="58">
        <f si="184" t="shared"/>
        <v>273.99999999999994</v>
      </c>
      <c r="CZ314" s="108">
        <f si="185" t="shared"/>
        <v>-59.959417874086455</v>
      </c>
      <c r="DA314" s="78">
        <f si="186" t="shared"/>
        <v>-0.17954103003225713</v>
      </c>
    </row>
    <row r="315" spans="99:105" x14ac:dyDescent="0.25">
      <c r="CU315" s="95">
        <v>314</v>
      </c>
      <c r="CV315" s="95">
        <f si="187" t="shared"/>
        <v>16</v>
      </c>
      <c r="CW315" s="95">
        <f si="182" t="shared"/>
        <v>14</v>
      </c>
      <c r="CX315" s="58">
        <f si="183" t="shared"/>
        <v>48.93492755481472</v>
      </c>
      <c r="CY315" s="58">
        <f si="184" t="shared"/>
        <v>18.999999999999996</v>
      </c>
      <c r="CZ315" s="108">
        <f si="185" t="shared"/>
        <v>-29.934927554814724</v>
      </c>
      <c r="DA315" s="78">
        <f si="186" t="shared"/>
        <v>-0.61172927090334317</v>
      </c>
    </row>
    <row r="316" spans="99:105" x14ac:dyDescent="0.25">
      <c r="CU316" s="95">
        <v>315</v>
      </c>
      <c r="CV316" s="95">
        <f si="187" t="shared"/>
        <v>16</v>
      </c>
      <c r="CW316" s="95">
        <f si="182" t="shared"/>
        <v>15</v>
      </c>
      <c r="CX316" s="58">
        <f si="183" t="shared"/>
        <v>91.860302602897804</v>
      </c>
      <c r="CY316" s="58">
        <f si="184" t="shared"/>
        <v>33.999999999999993</v>
      </c>
      <c r="CZ316" s="108">
        <f si="185" t="shared"/>
        <v>-57.860302602897811</v>
      </c>
      <c r="DA316" s="78">
        <f si="186" t="shared"/>
        <v>-0.62987276291720562</v>
      </c>
    </row>
    <row r="317" spans="99:105" x14ac:dyDescent="0.25">
      <c r="CU317" s="95">
        <v>316</v>
      </c>
      <c r="CV317" s="95">
        <f si="187" t="shared"/>
        <v>16</v>
      </c>
      <c r="CW317" s="95">
        <f si="182" t="shared"/>
        <v>16</v>
      </c>
      <c r="CX317" s="58">
        <f si="183" t="shared"/>
        <v>764.07167585587899</v>
      </c>
      <c r="CY317" s="58">
        <f si="184" t="shared"/>
        <v>457.99999999999994</v>
      </c>
      <c r="CZ317" s="108">
        <f si="185" t="shared"/>
        <v>-306.07167585587905</v>
      </c>
      <c r="DA317" s="78">
        <f si="186" t="shared"/>
        <v>-0.40057979575414993</v>
      </c>
    </row>
    <row r="318" spans="99:105" x14ac:dyDescent="0.25">
      <c r="CU318" s="95">
        <v>317</v>
      </c>
      <c r="CV318" s="95">
        <f si="187" t="shared"/>
        <v>16</v>
      </c>
      <c r="CW318" s="95">
        <f si="182" t="shared"/>
        <v>17</v>
      </c>
      <c r="CX318" s="58">
        <f si="183" t="shared"/>
        <v>25.755225028849853</v>
      </c>
      <c r="CY318" s="58">
        <f si="184" t="shared"/>
        <v>14.999999999999998</v>
      </c>
      <c r="CZ318" s="108">
        <f si="185" t="shared"/>
        <v>-10.755225028849855</v>
      </c>
      <c r="DA318" s="78">
        <f si="186" t="shared"/>
        <v>-0.41759390635501464</v>
      </c>
    </row>
    <row r="319" spans="99:105" x14ac:dyDescent="0.25">
      <c r="CU319" s="95">
        <v>318</v>
      </c>
      <c r="CV319" s="95">
        <f si="187" t="shared"/>
        <v>16</v>
      </c>
      <c r="CW319" s="95">
        <f si="182" t="shared"/>
        <v>18</v>
      </c>
      <c r="CX319" s="58">
        <f si="183" t="shared"/>
        <v>258.41075778946015</v>
      </c>
      <c r="CY319" s="58">
        <f si="184" t="shared"/>
        <v>195.99999999999997</v>
      </c>
      <c r="CZ319" s="108">
        <f si="185" t="shared"/>
        <v>-62.410757789460177</v>
      </c>
      <c r="DA319" s="78">
        <f si="186" t="shared"/>
        <v>-0.24151764548560037</v>
      </c>
    </row>
    <row r="320" spans="99:105" x14ac:dyDescent="0.25">
      <c r="CU320" s="95">
        <v>319</v>
      </c>
      <c r="CV320" s="95">
        <f si="187" t="shared"/>
        <v>16</v>
      </c>
      <c r="CW320" s="95">
        <f si="182" t="shared"/>
        <v>19</v>
      </c>
      <c r="CX320" s="58">
        <f si="183" t="shared"/>
        <v>73.831645082702906</v>
      </c>
      <c r="CY320" s="58">
        <f si="184" t="shared"/>
        <v>9.9999999999999982</v>
      </c>
      <c r="CZ320" s="108">
        <f si="185" t="shared"/>
        <v>-63.831645082702906</v>
      </c>
      <c r="DA320" s="78">
        <f si="186" t="shared"/>
        <v>-0.86455672240814296</v>
      </c>
    </row>
    <row r="321" spans="99:105" x14ac:dyDescent="0.25">
      <c r="CU321" s="95">
        <v>320</v>
      </c>
      <c r="CV321" s="95">
        <f si="187" t="shared"/>
        <v>16</v>
      </c>
      <c r="CW321" s="95">
        <f si="182" t="shared"/>
        <v>20</v>
      </c>
      <c r="CX321" s="58">
        <f si="183" t="shared"/>
        <v>115.89851262982432</v>
      </c>
      <c r="CY321" s="58">
        <f si="184" t="shared"/>
        <v>66.999999999999986</v>
      </c>
      <c r="CZ321" s="108">
        <f si="185" t="shared"/>
        <v>-48.898512629824339</v>
      </c>
      <c r="DA321" s="78">
        <f si="186" t="shared"/>
        <v>-0.4219080255671997</v>
      </c>
    </row>
    <row r="322" spans="99:105" x14ac:dyDescent="0.25">
      <c r="CU322" s="95">
        <v>321</v>
      </c>
      <c r="CV322" s="95">
        <f si="187" t="shared"/>
        <v>17</v>
      </c>
      <c r="CW322" s="95">
        <f si="182" t="shared"/>
        <v>1</v>
      </c>
      <c r="CX322" s="58">
        <f si="183" t="shared"/>
        <v>949.23243436876305</v>
      </c>
      <c r="CY322" s="58">
        <f si="184" t="shared"/>
        <v>3188</v>
      </c>
      <c r="CZ322" s="108">
        <f si="185" t="shared"/>
        <v>2238.7675656312367</v>
      </c>
      <c r="DA322" s="78">
        <f si="186" t="shared"/>
        <v>2.3585030226237591</v>
      </c>
    </row>
    <row r="323" spans="99:105" x14ac:dyDescent="0.25">
      <c r="CU323" s="95">
        <v>322</v>
      </c>
      <c r="CV323" s="95">
        <f si="187" t="shared"/>
        <v>17</v>
      </c>
      <c r="CW323" s="95">
        <f ref="CW323:CW386" si="188" t="shared">MOD(ROW()-2,$CS$2)+1</f>
        <v>2</v>
      </c>
      <c r="CX323" s="58">
        <f ref="CX323:CX386" si="189" t="shared">VLOOKUP($CV323,$B$30:$V$49,MATCH($CW323,$B$29:$V$29,0),0)</f>
        <v>882.88347576889612</v>
      </c>
      <c r="CY323" s="58">
        <f ref="CY323:CY386" si="190" t="shared">VLOOKUP($CV323,$AY$30:$BS$49,MATCH($CW323,$AY$29:$BS$29,0),0)</f>
        <v>788</v>
      </c>
      <c r="CZ323" s="108">
        <f ref="CZ323:CZ386" si="191" t="shared">CY323-CX323</f>
        <v>-94.883475768896119</v>
      </c>
      <c r="DA323" s="78">
        <f ref="DA323:DA386" si="192" t="shared">CZ323/CX323</f>
        <v>-0.1074699871194926</v>
      </c>
    </row>
    <row r="324" spans="99:105" x14ac:dyDescent="0.25">
      <c r="CU324" s="95">
        <v>323</v>
      </c>
      <c r="CV324" s="95">
        <f ref="CV324:CV387" si="193" t="shared">IF(CW323&lt;$CS$2,CV323,CV323+1)</f>
        <v>17</v>
      </c>
      <c r="CW324" s="95">
        <f si="188" t="shared"/>
        <v>3</v>
      </c>
      <c r="CX324" s="58">
        <f si="189" t="shared"/>
        <v>478.59715470037355</v>
      </c>
      <c r="CY324" s="58">
        <f si="190" t="shared"/>
        <v>906</v>
      </c>
      <c r="CZ324" s="108">
        <f si="191" t="shared"/>
        <v>427.40284529962645</v>
      </c>
      <c r="DA324" s="78">
        <f si="192" t="shared"/>
        <v>0.89303256632857053</v>
      </c>
    </row>
    <row r="325" spans="99:105" x14ac:dyDescent="0.25">
      <c r="CU325" s="95">
        <v>324</v>
      </c>
      <c r="CV325" s="95">
        <f si="193" t="shared"/>
        <v>17</v>
      </c>
      <c r="CW325" s="95">
        <f si="188" t="shared"/>
        <v>4</v>
      </c>
      <c r="CX325" s="58">
        <f si="189" t="shared"/>
        <v>507.79069648431499</v>
      </c>
      <c r="CY325" s="58">
        <f si="190" t="shared"/>
        <v>492</v>
      </c>
      <c r="CZ325" s="108">
        <f si="191" t="shared"/>
        <v>-15.790696484314992</v>
      </c>
      <c r="DA325" s="78">
        <f si="192" t="shared"/>
        <v>-3.1096860564090202E-2</v>
      </c>
    </row>
    <row r="326" spans="99:105" x14ac:dyDescent="0.25">
      <c r="CU326" s="95">
        <v>325</v>
      </c>
      <c r="CV326" s="95">
        <f si="193" t="shared"/>
        <v>17</v>
      </c>
      <c r="CW326" s="95">
        <f si="188" t="shared"/>
        <v>5</v>
      </c>
      <c r="CX326" s="58">
        <f si="189" t="shared"/>
        <v>301.66659843406171</v>
      </c>
      <c r="CY326" s="58">
        <f si="190" t="shared"/>
        <v>852</v>
      </c>
      <c r="CZ326" s="108">
        <f si="191" t="shared"/>
        <v>550.33340156593829</v>
      </c>
      <c r="DA326" s="78">
        <f si="192" t="shared"/>
        <v>1.8243100310829745</v>
      </c>
    </row>
    <row r="327" spans="99:105" x14ac:dyDescent="0.25">
      <c r="CU327" s="95">
        <v>326</v>
      </c>
      <c r="CV327" s="95">
        <f si="193" t="shared"/>
        <v>17</v>
      </c>
      <c r="CW327" s="95">
        <f si="188" t="shared"/>
        <v>6</v>
      </c>
      <c r="CX327" s="58">
        <f si="189" t="shared"/>
        <v>1686.148201217952</v>
      </c>
      <c r="CY327" s="58">
        <f si="190" t="shared"/>
        <v>2350</v>
      </c>
      <c r="CZ327" s="108">
        <f si="191" t="shared"/>
        <v>663.85179878204804</v>
      </c>
      <c r="DA327" s="78">
        <f si="192" t="shared"/>
        <v>0.3937090454460227</v>
      </c>
    </row>
    <row r="328" spans="99:105" x14ac:dyDescent="0.25">
      <c r="CU328" s="95">
        <v>327</v>
      </c>
      <c r="CV328" s="95">
        <f si="193" t="shared"/>
        <v>17</v>
      </c>
      <c r="CW328" s="95">
        <f si="188" t="shared"/>
        <v>7</v>
      </c>
      <c r="CX328" s="58">
        <f si="189" t="shared"/>
        <v>697.10639168926866</v>
      </c>
      <c r="CY328" s="58">
        <f si="190" t="shared"/>
        <v>367</v>
      </c>
      <c r="CZ328" s="108">
        <f si="191" t="shared"/>
        <v>-330.10639168926866</v>
      </c>
      <c r="DA328" s="78">
        <f si="192" t="shared"/>
        <v>-0.47353803612291617</v>
      </c>
    </row>
    <row r="329" spans="99:105" x14ac:dyDescent="0.25">
      <c r="CU329" s="95">
        <v>328</v>
      </c>
      <c r="CV329" s="95">
        <f si="193" t="shared"/>
        <v>17</v>
      </c>
      <c r="CW329" s="95">
        <f si="188" t="shared"/>
        <v>8</v>
      </c>
      <c r="CX329" s="58">
        <f si="189" t="shared"/>
        <v>180.46916739163808</v>
      </c>
      <c r="CY329" s="58">
        <f si="190" t="shared"/>
        <v>59</v>
      </c>
      <c r="CZ329" s="108">
        <f si="191" t="shared"/>
        <v>-121.46916739163808</v>
      </c>
      <c r="DA329" s="78">
        <f si="192" t="shared"/>
        <v>-0.67307434919360232</v>
      </c>
    </row>
    <row r="330" spans="99:105" x14ac:dyDescent="0.25">
      <c r="CU330" s="95">
        <v>329</v>
      </c>
      <c r="CV330" s="95">
        <f si="193" t="shared"/>
        <v>17</v>
      </c>
      <c r="CW330" s="95">
        <f si="188" t="shared"/>
        <v>9</v>
      </c>
      <c r="CX330" s="58">
        <f si="189" t="shared"/>
        <v>702.41430837725818</v>
      </c>
      <c r="CY330" s="58">
        <f si="190" t="shared"/>
        <v>549</v>
      </c>
      <c r="CZ330" s="108">
        <f si="191" t="shared"/>
        <v>-153.41430837725818</v>
      </c>
      <c r="DA330" s="78">
        <f si="192" t="shared"/>
        <v>-0.21840999898148605</v>
      </c>
    </row>
    <row r="331" spans="99:105" x14ac:dyDescent="0.25">
      <c r="CU331" s="95">
        <v>330</v>
      </c>
      <c r="CV331" s="95">
        <f si="193" t="shared"/>
        <v>17</v>
      </c>
      <c r="CW331" s="95">
        <f si="188" t="shared"/>
        <v>10</v>
      </c>
      <c r="CX331" s="58">
        <f si="189" t="shared"/>
        <v>220.27854255155825</v>
      </c>
      <c r="CY331" s="58">
        <f si="190" t="shared"/>
        <v>129</v>
      </c>
      <c r="CZ331" s="108">
        <f si="191" t="shared"/>
        <v>-91.278542551558246</v>
      </c>
      <c r="DA331" s="78">
        <f si="192" t="shared"/>
        <v>-0.41437782134496215</v>
      </c>
    </row>
    <row r="332" spans="99:105" x14ac:dyDescent="0.25">
      <c r="CU332" s="95">
        <v>331</v>
      </c>
      <c r="CV332" s="95">
        <f si="193" t="shared"/>
        <v>17</v>
      </c>
      <c r="CW332" s="95">
        <f si="188" t="shared"/>
        <v>11</v>
      </c>
      <c r="CX332" s="58">
        <f si="189" t="shared"/>
        <v>2873.3522337649047</v>
      </c>
      <c r="CY332" s="58">
        <f si="190" t="shared"/>
        <v>1939</v>
      </c>
      <c r="CZ332" s="108">
        <f si="191" t="shared"/>
        <v>-934.35223376490467</v>
      </c>
      <c r="DA332" s="78">
        <f si="192" t="shared"/>
        <v>-0.32517845281385455</v>
      </c>
    </row>
    <row r="333" spans="99:105" x14ac:dyDescent="0.25">
      <c r="CU333" s="95">
        <v>332</v>
      </c>
      <c r="CV333" s="95">
        <f si="193" t="shared"/>
        <v>17</v>
      </c>
      <c r="CW333" s="95">
        <f si="188" t="shared"/>
        <v>12</v>
      </c>
      <c r="CX333" s="58">
        <f si="189" t="shared"/>
        <v>1349.9801443119595</v>
      </c>
      <c r="CY333" s="58">
        <f si="190" t="shared"/>
        <v>935</v>
      </c>
      <c r="CZ333" s="108">
        <f si="191" t="shared"/>
        <v>-414.98014431195952</v>
      </c>
      <c r="DA333" s="78">
        <f si="192" t="shared"/>
        <v>-0.30739722066316855</v>
      </c>
    </row>
    <row r="334" spans="99:105" x14ac:dyDescent="0.25">
      <c r="CU334" s="95">
        <v>333</v>
      </c>
      <c r="CV334" s="95">
        <f si="193" t="shared"/>
        <v>17</v>
      </c>
      <c r="CW334" s="95">
        <f si="188" t="shared"/>
        <v>13</v>
      </c>
      <c r="CX334" s="58">
        <f si="189" t="shared"/>
        <v>298.12798730873544</v>
      </c>
      <c r="CY334" s="58">
        <f si="190" t="shared"/>
        <v>214</v>
      </c>
      <c r="CZ334" s="108">
        <f si="191" t="shared"/>
        <v>-84.127987308735442</v>
      </c>
      <c r="DA334" s="78">
        <f si="192" t="shared"/>
        <v>-0.28218748621414791</v>
      </c>
    </row>
    <row r="335" spans="99:105" x14ac:dyDescent="0.25">
      <c r="CU335" s="95">
        <v>334</v>
      </c>
      <c r="CV335" s="95">
        <f si="193" t="shared"/>
        <v>17</v>
      </c>
      <c r="CW335" s="95">
        <f si="188" t="shared"/>
        <v>14</v>
      </c>
      <c r="CX335" s="58">
        <f si="189" t="shared"/>
        <v>1335.8256998106547</v>
      </c>
      <c r="CY335" s="58">
        <f si="190" t="shared"/>
        <v>1043</v>
      </c>
      <c r="CZ335" s="108">
        <f si="191" t="shared"/>
        <v>-292.82569981065467</v>
      </c>
      <c r="DA335" s="78">
        <f si="192" t="shared"/>
        <v>-0.2192095120285236</v>
      </c>
    </row>
    <row r="336" spans="99:105" x14ac:dyDescent="0.25">
      <c r="CU336" s="95">
        <v>335</v>
      </c>
      <c r="CV336" s="95">
        <f si="193" t="shared"/>
        <v>17</v>
      </c>
      <c r="CW336" s="95">
        <f si="188" t="shared"/>
        <v>15</v>
      </c>
      <c r="CX336" s="58">
        <f si="189" t="shared"/>
        <v>268.934445524794</v>
      </c>
      <c r="CY336" s="58">
        <f si="190" t="shared"/>
        <v>315</v>
      </c>
      <c r="CZ336" s="108">
        <f si="191" t="shared"/>
        <v>46.065554475206</v>
      </c>
      <c r="DA336" s="78">
        <f si="192" t="shared"/>
        <v>0.17128915704834491</v>
      </c>
    </row>
    <row r="337" spans="99:105" x14ac:dyDescent="0.25">
      <c r="CU337" s="95">
        <v>336</v>
      </c>
      <c r="CV337" s="95">
        <f si="193" t="shared"/>
        <v>17</v>
      </c>
      <c r="CW337" s="95">
        <f si="188" t="shared"/>
        <v>16</v>
      </c>
      <c r="CX337" s="58">
        <f si="189" t="shared"/>
        <v>61.925694693209145</v>
      </c>
      <c r="CY337" s="58">
        <f si="190" t="shared"/>
        <v>9</v>
      </c>
      <c r="CZ337" s="108">
        <f si="191" t="shared"/>
        <v>-52.925694693209145</v>
      </c>
      <c r="DA337" s="78">
        <f si="192" t="shared"/>
        <v>-0.85466452908461354</v>
      </c>
    </row>
    <row r="338" spans="99:105" x14ac:dyDescent="0.25">
      <c r="CU338" s="95">
        <v>337</v>
      </c>
      <c r="CV338" s="95">
        <f si="193" t="shared"/>
        <v>17</v>
      </c>
      <c r="CW338" s="95">
        <f si="188" t="shared"/>
        <v>17</v>
      </c>
      <c r="CX338" s="58">
        <f si="189" t="shared"/>
        <v>2515.0678573256232</v>
      </c>
      <c r="CY338" s="58">
        <f si="190" t="shared"/>
        <v>1729</v>
      </c>
      <c r="CZ338" s="108">
        <f si="191" t="shared"/>
        <v>-786.06785732562321</v>
      </c>
      <c r="DA338" s="78">
        <f si="192" t="shared"/>
        <v>-0.31254339919141666</v>
      </c>
    </row>
    <row r="339" spans="99:105" x14ac:dyDescent="0.25">
      <c r="CU339" s="95">
        <v>338</v>
      </c>
      <c r="CV339" s="95">
        <f si="193" t="shared"/>
        <v>17</v>
      </c>
      <c r="CW339" s="95">
        <f si="188" t="shared"/>
        <v>18</v>
      </c>
      <c r="CX339" s="58">
        <f si="189" t="shared"/>
        <v>76.964791975845657</v>
      </c>
      <c r="CY339" s="58">
        <f si="190" t="shared"/>
        <v>14</v>
      </c>
      <c r="CZ339" s="108">
        <f si="191" t="shared"/>
        <v>-62.964791975845657</v>
      </c>
      <c r="DA339" s="78">
        <f si="192" t="shared"/>
        <v>-0.81809864432046142</v>
      </c>
    </row>
    <row r="340" spans="99:105" x14ac:dyDescent="0.25">
      <c r="CU340" s="95">
        <v>339</v>
      </c>
      <c r="CV340" s="95">
        <f si="193" t="shared"/>
        <v>17</v>
      </c>
      <c r="CW340" s="95">
        <f si="188" t="shared"/>
        <v>19</v>
      </c>
      <c r="CX340" s="58">
        <f si="189" t="shared"/>
        <v>1826.8079934496698</v>
      </c>
      <c r="CY340" s="58">
        <f si="190" t="shared"/>
        <v>1405</v>
      </c>
      <c r="CZ340" s="108">
        <f si="191" t="shared"/>
        <v>-421.80799344966977</v>
      </c>
      <c r="DA340" s="78">
        <f si="192" t="shared"/>
        <v>-0.23089892039126933</v>
      </c>
    </row>
    <row r="341" spans="99:105" x14ac:dyDescent="0.25">
      <c r="CU341" s="95">
        <v>340</v>
      </c>
      <c r="CV341" s="95">
        <f si="193" t="shared"/>
        <v>17</v>
      </c>
      <c r="CW341" s="95">
        <f si="188" t="shared"/>
        <v>20</v>
      </c>
      <c r="CX341" s="58">
        <f si="189" t="shared"/>
        <v>73.426180850519415</v>
      </c>
      <c r="CY341" s="58">
        <f si="190" t="shared"/>
        <v>4</v>
      </c>
      <c r="CZ341" s="108">
        <f si="191" t="shared"/>
        <v>-69.426180850519415</v>
      </c>
      <c r="DA341" s="78">
        <f si="192" t="shared"/>
        <v>-0.94552351826464764</v>
      </c>
    </row>
    <row r="342" spans="99:105" x14ac:dyDescent="0.25">
      <c r="CU342" s="95">
        <v>341</v>
      </c>
      <c r="CV342" s="95">
        <f si="193" t="shared"/>
        <v>18</v>
      </c>
      <c r="CW342" s="95">
        <f si="188" t="shared"/>
        <v>1</v>
      </c>
      <c r="CX342" s="58">
        <f si="189" t="shared"/>
        <v>1284.8129790069977</v>
      </c>
      <c r="CY342" s="58">
        <f si="190" t="shared"/>
        <v>2596</v>
      </c>
      <c r="CZ342" s="108">
        <f si="191" t="shared"/>
        <v>1311.1870209930023</v>
      </c>
      <c r="DA342" s="78">
        <f si="192" t="shared"/>
        <v>1.02052753390333</v>
      </c>
    </row>
    <row r="343" spans="99:105" x14ac:dyDescent="0.25">
      <c r="CU343" s="95">
        <v>342</v>
      </c>
      <c r="CV343" s="95">
        <f si="193" t="shared"/>
        <v>18</v>
      </c>
      <c r="CW343" s="95">
        <f si="188" t="shared"/>
        <v>2</v>
      </c>
      <c r="CX343" s="58">
        <f si="189" t="shared"/>
        <v>917.463762079307</v>
      </c>
      <c r="CY343" s="58">
        <f si="190" t="shared"/>
        <v>887</v>
      </c>
      <c r="CZ343" s="108">
        <f si="191" t="shared"/>
        <v>-30.463762079307003</v>
      </c>
      <c r="DA343" s="78">
        <f si="192" t="shared"/>
        <v>-3.3204321890888663E-2</v>
      </c>
    </row>
    <row r="344" spans="99:105" x14ac:dyDescent="0.25">
      <c r="CU344" s="95">
        <v>343</v>
      </c>
      <c r="CV344" s="95">
        <f si="193" t="shared"/>
        <v>18</v>
      </c>
      <c r="CW344" s="95">
        <f si="188" t="shared"/>
        <v>3</v>
      </c>
      <c r="CX344" s="58">
        <f si="189" t="shared"/>
        <v>315.52024325224926</v>
      </c>
      <c r="CY344" s="58">
        <f si="190" t="shared"/>
        <v>345</v>
      </c>
      <c r="CZ344" s="108">
        <f si="191" t="shared"/>
        <v>29.479756747750741</v>
      </c>
      <c r="DA344" s="78">
        <f si="192" t="shared"/>
        <v>9.3432219891458862E-2</v>
      </c>
    </row>
    <row r="345" spans="99:105" x14ac:dyDescent="0.25">
      <c r="CU345" s="95">
        <v>344</v>
      </c>
      <c r="CV345" s="95">
        <f si="193" t="shared"/>
        <v>18</v>
      </c>
      <c r="CW345" s="95">
        <f si="188" t="shared"/>
        <v>4</v>
      </c>
      <c r="CX345" s="58">
        <f si="189" t="shared"/>
        <v>408.26682772409197</v>
      </c>
      <c r="CY345" s="58">
        <f si="190" t="shared"/>
        <v>228</v>
      </c>
      <c r="CZ345" s="108">
        <f si="191" t="shared"/>
        <v>-180.26682772409197</v>
      </c>
      <c r="DA345" s="78">
        <f si="192" t="shared"/>
        <v>-0.44154169646601038</v>
      </c>
    </row>
    <row r="346" spans="99:105" x14ac:dyDescent="0.25">
      <c r="CU346" s="95">
        <v>345</v>
      </c>
      <c r="CV346" s="95">
        <f si="193" t="shared"/>
        <v>18</v>
      </c>
      <c r="CW346" s="95">
        <f si="188" t="shared"/>
        <v>5</v>
      </c>
      <c r="CX346" s="58">
        <f si="189" t="shared"/>
        <v>328.2501666111296</v>
      </c>
      <c r="CY346" s="58">
        <f si="190" t="shared"/>
        <v>648</v>
      </c>
      <c r="CZ346" s="108">
        <f si="191" t="shared"/>
        <v>319.7498333888704</v>
      </c>
      <c r="DA346" s="78">
        <f si="192" t="shared"/>
        <v>0.97410410081427512</v>
      </c>
    </row>
    <row r="347" spans="99:105" x14ac:dyDescent="0.25">
      <c r="CU347" s="95">
        <v>346</v>
      </c>
      <c r="CV347" s="95">
        <f si="193" t="shared"/>
        <v>18</v>
      </c>
      <c r="CW347" s="95">
        <f si="188" t="shared"/>
        <v>6</v>
      </c>
      <c r="CX347" s="58">
        <f si="189" t="shared"/>
        <v>2766.0304898367212</v>
      </c>
      <c r="CY347" s="58">
        <f si="190" t="shared"/>
        <v>2546</v>
      </c>
      <c r="CZ347" s="108">
        <f si="191" t="shared"/>
        <v>-220.03048983672124</v>
      </c>
      <c r="DA347" s="78">
        <f si="192" t="shared"/>
        <v>-7.9547384110617542E-2</v>
      </c>
    </row>
    <row r="348" spans="99:105" x14ac:dyDescent="0.25">
      <c r="CU348" s="95">
        <v>347</v>
      </c>
      <c r="CV348" s="95">
        <f si="193" t="shared"/>
        <v>18</v>
      </c>
      <c r="CW348" s="95">
        <f si="188" t="shared"/>
        <v>7</v>
      </c>
      <c r="CX348" s="58">
        <f si="189" t="shared"/>
        <v>2827.8615461512827</v>
      </c>
      <c r="CY348" s="58">
        <f si="190" t="shared"/>
        <v>1308</v>
      </c>
      <c r="CZ348" s="108">
        <f si="191" t="shared"/>
        <v>-1519.8615461512827</v>
      </c>
      <c r="DA348" s="78">
        <f si="192" t="shared"/>
        <v>-0.53745967450910492</v>
      </c>
    </row>
    <row r="349" spans="99:105" x14ac:dyDescent="0.25">
      <c r="CU349" s="95">
        <v>348</v>
      </c>
      <c r="CV349" s="95">
        <f si="193" t="shared"/>
        <v>18</v>
      </c>
      <c r="CW349" s="95">
        <f si="188" t="shared"/>
        <v>8</v>
      </c>
      <c r="CX349" s="58">
        <f si="189" t="shared"/>
        <v>80.925941352882376</v>
      </c>
      <c r="CY349" s="58">
        <f si="190" t="shared"/>
        <v>23</v>
      </c>
      <c r="CZ349" s="108">
        <f si="191" t="shared"/>
        <v>-57.925941352882376</v>
      </c>
      <c r="DA349" s="78">
        <f si="192" t="shared"/>
        <v>-0.71578952786341854</v>
      </c>
    </row>
    <row r="350" spans="99:105" x14ac:dyDescent="0.25">
      <c r="CU350" s="95">
        <v>349</v>
      </c>
      <c r="CV350" s="95">
        <f si="193" t="shared"/>
        <v>18</v>
      </c>
      <c r="CW350" s="95">
        <f si="188" t="shared"/>
        <v>9</v>
      </c>
      <c r="CX350" s="58">
        <f si="189" t="shared"/>
        <v>956.56281239586804</v>
      </c>
      <c r="CY350" s="58">
        <f si="190" t="shared"/>
        <v>334</v>
      </c>
      <c r="CZ350" s="108">
        <f si="191" t="shared"/>
        <v>-622.56281239586804</v>
      </c>
      <c r="DA350" s="78">
        <f si="192" t="shared"/>
        <v>-0.65083317512266403</v>
      </c>
    </row>
    <row r="351" spans="99:105" x14ac:dyDescent="0.25">
      <c r="CU351" s="95">
        <v>350</v>
      </c>
      <c r="CV351" s="95">
        <f si="193" t="shared"/>
        <v>18</v>
      </c>
      <c r="CW351" s="95">
        <f si="188" t="shared"/>
        <v>10</v>
      </c>
      <c r="CX351" s="58">
        <f si="189" t="shared"/>
        <v>445.5473175608131</v>
      </c>
      <c r="CY351" s="58">
        <f si="190" t="shared"/>
        <v>189</v>
      </c>
      <c r="CZ351" s="108">
        <f si="191" t="shared"/>
        <v>-256.5473175608131</v>
      </c>
      <c r="DA351" s="78">
        <f si="192" t="shared"/>
        <v>-0.57580263071788496</v>
      </c>
    </row>
    <row r="352" spans="99:105" x14ac:dyDescent="0.25">
      <c r="CU352" s="95">
        <v>351</v>
      </c>
      <c r="CV352" s="95">
        <f si="193" t="shared"/>
        <v>18</v>
      </c>
      <c r="CW352" s="95">
        <f si="188" t="shared"/>
        <v>11</v>
      </c>
      <c r="CX352" s="58">
        <f si="189" t="shared"/>
        <v>418.26891036321223</v>
      </c>
      <c r="CY352" s="58">
        <f si="190" t="shared"/>
        <v>128</v>
      </c>
      <c r="CZ352" s="108">
        <f si="191" t="shared"/>
        <v>-290.26891036321223</v>
      </c>
      <c r="DA352" s="78">
        <f si="192" t="shared"/>
        <v>-0.69397677707183969</v>
      </c>
    </row>
    <row r="353" spans="99:105" x14ac:dyDescent="0.25">
      <c r="CU353" s="95">
        <v>352</v>
      </c>
      <c r="CV353" s="95">
        <f si="193" t="shared"/>
        <v>18</v>
      </c>
      <c r="CW353" s="95">
        <f si="188" t="shared"/>
        <v>12</v>
      </c>
      <c r="CX353" s="58">
        <f si="189" t="shared"/>
        <v>13032.713678773744</v>
      </c>
      <c r="CY353" s="58">
        <f si="190" t="shared"/>
        <v>10453</v>
      </c>
      <c r="CZ353" s="108">
        <f si="191" t="shared"/>
        <v>-2579.7136787737436</v>
      </c>
      <c r="DA353" s="78">
        <f si="192" t="shared"/>
        <v>-0.19794140670605681</v>
      </c>
    </row>
    <row r="354" spans="99:105" x14ac:dyDescent="0.25">
      <c r="CU354" s="95">
        <v>353</v>
      </c>
      <c r="CV354" s="95">
        <f si="193" t="shared"/>
        <v>18</v>
      </c>
      <c r="CW354" s="95">
        <f si="188" t="shared"/>
        <v>13</v>
      </c>
      <c r="CX354" s="58">
        <f si="189" t="shared"/>
        <v>3727.139703432189</v>
      </c>
      <c r="CY354" s="58">
        <f si="190" t="shared"/>
        <v>8285</v>
      </c>
      <c r="CZ354" s="108">
        <f si="191" t="shared"/>
        <v>4557.860296567811</v>
      </c>
      <c r="DA354" s="78">
        <f si="192" t="shared"/>
        <v>1.2228842112815468</v>
      </c>
    </row>
    <row r="355" spans="99:105" x14ac:dyDescent="0.25">
      <c r="CU355" s="95">
        <v>354</v>
      </c>
      <c r="CV355" s="95">
        <f si="193" t="shared"/>
        <v>18</v>
      </c>
      <c r="CW355" s="95">
        <f si="188" t="shared"/>
        <v>14</v>
      </c>
      <c r="CX355" s="58">
        <f si="189" t="shared"/>
        <v>58.193935354881702</v>
      </c>
      <c r="CY355" s="58">
        <f si="190" t="shared"/>
        <v>18</v>
      </c>
      <c r="CZ355" s="108">
        <f si="191" t="shared"/>
        <v>-40.193935354881702</v>
      </c>
      <c r="DA355" s="78">
        <f si="192" t="shared"/>
        <v>-0.69068941823179109</v>
      </c>
    </row>
    <row r="356" spans="99:105" x14ac:dyDescent="0.25">
      <c r="CU356" s="95">
        <v>355</v>
      </c>
      <c r="CV356" s="95">
        <f si="193" t="shared"/>
        <v>18</v>
      </c>
      <c r="CW356" s="95">
        <f si="188" t="shared"/>
        <v>15</v>
      </c>
      <c r="CX356" s="58">
        <f si="189" t="shared"/>
        <v>330.06872709096967</v>
      </c>
      <c r="CY356" s="58">
        <f si="190" t="shared"/>
        <v>148</v>
      </c>
      <c r="CZ356" s="108">
        <f si="191" t="shared"/>
        <v>-182.06872709096967</v>
      </c>
      <c r="DA356" s="78">
        <f si="192" t="shared"/>
        <v>-0.55160853527571552</v>
      </c>
    </row>
    <row r="357" spans="99:105" x14ac:dyDescent="0.25">
      <c r="CU357" s="95">
        <v>356</v>
      </c>
      <c r="CV357" s="95">
        <f si="193" t="shared"/>
        <v>18</v>
      </c>
      <c r="CW357" s="95">
        <f si="188" t="shared"/>
        <v>16</v>
      </c>
      <c r="CX357" s="58">
        <f si="189" t="shared"/>
        <v>152.75908030656447</v>
      </c>
      <c r="CY357" s="58">
        <f si="190" t="shared"/>
        <v>73</v>
      </c>
      <c r="CZ357" s="108">
        <f si="191" t="shared"/>
        <v>-79.759080306564471</v>
      </c>
      <c r="DA357" s="78">
        <f si="192" t="shared"/>
        <v>-0.52212333398774069</v>
      </c>
    </row>
    <row r="358" spans="99:105" x14ac:dyDescent="0.25">
      <c r="CU358" s="95">
        <v>357</v>
      </c>
      <c r="CV358" s="95">
        <f si="193" t="shared"/>
        <v>18</v>
      </c>
      <c r="CW358" s="95">
        <f si="188" t="shared"/>
        <v>17</v>
      </c>
      <c r="CX358" s="58">
        <f si="189" t="shared"/>
        <v>50.919693435521495</v>
      </c>
      <c r="CY358" s="58">
        <f si="190" t="shared"/>
        <v>11</v>
      </c>
      <c r="CZ358" s="108">
        <f si="191" t="shared"/>
        <v>-39.919693435521495</v>
      </c>
      <c r="DA358" s="78">
        <f si="192" t="shared"/>
        <v>-0.78397356193966361</v>
      </c>
    </row>
    <row r="359" spans="99:105" x14ac:dyDescent="0.25">
      <c r="CU359" s="95">
        <v>358</v>
      </c>
      <c r="CV359" s="95">
        <f si="193" t="shared"/>
        <v>18</v>
      </c>
      <c r="CW359" s="95">
        <f si="188" t="shared"/>
        <v>18</v>
      </c>
      <c r="CX359" s="58">
        <f si="189" t="shared"/>
        <v>3158.839553482173</v>
      </c>
      <c r="CY359" s="58">
        <f si="190" t="shared"/>
        <v>3734</v>
      </c>
      <c r="CZ359" s="108">
        <f si="191" t="shared"/>
        <v>575.16044651782704</v>
      </c>
      <c r="DA359" s="78">
        <f si="192" t="shared"/>
        <v>0.18207966462994113</v>
      </c>
    </row>
    <row r="360" spans="99:105" x14ac:dyDescent="0.25">
      <c r="CU360" s="95">
        <v>359</v>
      </c>
      <c r="CV360" s="95">
        <f si="193" t="shared"/>
        <v>18</v>
      </c>
      <c r="CW360" s="95">
        <f si="188" t="shared"/>
        <v>19</v>
      </c>
      <c r="CX360" s="58">
        <f si="189" t="shared"/>
        <v>120.02499166944352</v>
      </c>
      <c r="CY360" s="58">
        <f si="190" t="shared"/>
        <v>17</v>
      </c>
      <c r="CZ360" s="108">
        <f si="191" t="shared"/>
        <v>-103.02499166944352</v>
      </c>
      <c r="DA360" s="78">
        <f si="192" t="shared"/>
        <v>-0.85836283124418722</v>
      </c>
    </row>
    <row r="361" spans="99:105" x14ac:dyDescent="0.25">
      <c r="CU361" s="95">
        <v>360</v>
      </c>
      <c r="CV361" s="95">
        <f si="193" t="shared"/>
        <v>18</v>
      </c>
      <c r="CW361" s="95">
        <f si="188" t="shared"/>
        <v>20</v>
      </c>
      <c r="CX361" s="58">
        <f si="189" t="shared"/>
        <v>1364.82964011996</v>
      </c>
      <c r="CY361" s="58">
        <f si="190" t="shared"/>
        <v>774</v>
      </c>
      <c r="CZ361" s="108">
        <f si="191" t="shared"/>
        <v>-590.82964011996</v>
      </c>
      <c r="DA361" s="78">
        <f si="192" t="shared"/>
        <v>-0.43289625514582886</v>
      </c>
    </row>
    <row r="362" spans="99:105" x14ac:dyDescent="0.25">
      <c r="CU362" s="95">
        <v>361</v>
      </c>
      <c r="CV362" s="95">
        <f si="193" t="shared"/>
        <v>19</v>
      </c>
      <c r="CW362" s="95">
        <f si="188" t="shared"/>
        <v>1</v>
      </c>
      <c r="CX362" s="58">
        <f si="189" t="shared"/>
        <v>1377.7707341518415</v>
      </c>
      <c r="CY362" s="58">
        <f si="190" t="shared"/>
        <v>4599</v>
      </c>
      <c r="CZ362" s="108">
        <f si="191" t="shared"/>
        <v>3221.2292658481583</v>
      </c>
      <c r="DA362" s="78">
        <f si="192" t="shared"/>
        <v>2.3380009358604599</v>
      </c>
    </row>
    <row r="363" spans="99:105" x14ac:dyDescent="0.25">
      <c r="CU363" s="95">
        <v>362</v>
      </c>
      <c r="CV363" s="95">
        <f si="193" t="shared"/>
        <v>19</v>
      </c>
      <c r="CW363" s="95">
        <f si="188" t="shared"/>
        <v>2</v>
      </c>
      <c r="CX363" s="58">
        <f si="189" t="shared"/>
        <v>1254.8907541969431</v>
      </c>
      <c r="CY363" s="58">
        <f si="190" t="shared"/>
        <v>1187</v>
      </c>
      <c r="CZ363" s="108">
        <f si="191" t="shared"/>
        <v>-67.890754196943135</v>
      </c>
      <c r="DA363" s="78">
        <f si="192" t="shared"/>
        <v>-5.4100927885463029E-2</v>
      </c>
    </row>
    <row r="364" spans="99:105" x14ac:dyDescent="0.25">
      <c r="CU364" s="95">
        <v>363</v>
      </c>
      <c r="CV364" s="95">
        <f si="193" t="shared"/>
        <v>19</v>
      </c>
      <c r="CW364" s="95">
        <f si="188" t="shared"/>
        <v>3</v>
      </c>
      <c r="CX364" s="58">
        <f si="189" t="shared"/>
        <v>668.26509646705097</v>
      </c>
      <c r="CY364" s="58">
        <f si="190" t="shared"/>
        <v>1210</v>
      </c>
      <c r="CZ364" s="108">
        <f si="191" t="shared"/>
        <v>541.73490353294903</v>
      </c>
      <c r="DA364" s="78">
        <f si="192" t="shared"/>
        <v>0.81065868380222883</v>
      </c>
    </row>
    <row r="365" spans="99:105" x14ac:dyDescent="0.25">
      <c r="CU365" s="95">
        <v>364</v>
      </c>
      <c r="CV365" s="95">
        <f si="193" t="shared"/>
        <v>19</v>
      </c>
      <c r="CW365" s="95">
        <f si="188" t="shared"/>
        <v>4</v>
      </c>
      <c r="CX365" s="58">
        <f si="189" t="shared"/>
        <v>701.9308443998998</v>
      </c>
      <c r="CY365" s="58">
        <f si="190" t="shared"/>
        <v>688</v>
      </c>
      <c r="CZ365" s="108">
        <f si="191" t="shared"/>
        <v>-13.930844399899797</v>
      </c>
      <c r="DA365" s="78">
        <f si="192" t="shared"/>
        <v>-1.9846462811888062E-2</v>
      </c>
    </row>
    <row r="366" spans="99:105" x14ac:dyDescent="0.25">
      <c r="CU366" s="95">
        <v>365</v>
      </c>
      <c r="CV366" s="95">
        <f si="193" t="shared"/>
        <v>19</v>
      </c>
      <c r="CW366" s="95">
        <f si="188" t="shared"/>
        <v>5</v>
      </c>
      <c r="CX366" s="58">
        <f si="189" t="shared"/>
        <v>421.66349285893256</v>
      </c>
      <c r="CY366" s="58">
        <f si="190" t="shared"/>
        <v>1196</v>
      </c>
      <c r="CZ366" s="108">
        <f si="191" t="shared"/>
        <v>774.33650714106739</v>
      </c>
      <c r="DA366" s="78">
        <f si="192" t="shared"/>
        <v>1.8363849853136835</v>
      </c>
    </row>
    <row r="367" spans="99:105" x14ac:dyDescent="0.25">
      <c r="CU367" s="95">
        <v>366</v>
      </c>
      <c r="CV367" s="95">
        <f si="193" t="shared"/>
        <v>19</v>
      </c>
      <c r="CW367" s="95">
        <f si="188" t="shared"/>
        <v>6</v>
      </c>
      <c r="CX367" s="58">
        <f si="189" t="shared"/>
        <v>2531.664244550238</v>
      </c>
      <c r="CY367" s="58">
        <f si="190" t="shared"/>
        <v>3553</v>
      </c>
      <c r="CZ367" s="108">
        <f si="191" t="shared"/>
        <v>1021.335755449762</v>
      </c>
      <c r="DA367" s="78">
        <f si="192" t="shared"/>
        <v>0.40342464750147272</v>
      </c>
    </row>
    <row r="368" spans="99:105" x14ac:dyDescent="0.25">
      <c r="CU368" s="95">
        <v>367</v>
      </c>
      <c r="CV368" s="95">
        <f si="193" t="shared"/>
        <v>19</v>
      </c>
      <c r="CW368" s="95">
        <f si="188" t="shared"/>
        <v>7</v>
      </c>
      <c r="CX368" s="58">
        <f si="189" t="shared"/>
        <v>1275.9318466549737</v>
      </c>
      <c r="CY368" s="58">
        <f si="190" t="shared"/>
        <v>722</v>
      </c>
      <c r="CZ368" s="108">
        <f si="191" t="shared"/>
        <v>-553.9318466549737</v>
      </c>
      <c r="DA368" s="78">
        <f si="192" t="shared"/>
        <v>-0.43413905539483183</v>
      </c>
    </row>
    <row r="369" spans="99:105" x14ac:dyDescent="0.25">
      <c r="CU369" s="95">
        <v>368</v>
      </c>
      <c r="CV369" s="95">
        <f si="193" t="shared"/>
        <v>19</v>
      </c>
      <c r="CW369" s="95">
        <f si="188" t="shared"/>
        <v>8</v>
      </c>
      <c r="CX369" s="58">
        <f si="189" t="shared"/>
        <v>185.161613630669</v>
      </c>
      <c r="CY369" s="58">
        <f si="190" t="shared"/>
        <v>76</v>
      </c>
      <c r="CZ369" s="108">
        <f si="191" t="shared"/>
        <v>-109.161613630669</v>
      </c>
      <c r="DA369" s="78">
        <f si="192" t="shared"/>
        <v>-0.58954775501366752</v>
      </c>
    </row>
    <row r="370" spans="99:105" x14ac:dyDescent="0.25">
      <c r="CU370" s="95">
        <v>369</v>
      </c>
      <c r="CV370" s="95">
        <f si="193" t="shared"/>
        <v>19</v>
      </c>
      <c r="CW370" s="95">
        <f si="188" t="shared"/>
        <v>9</v>
      </c>
      <c r="CX370" s="58">
        <f si="189" t="shared"/>
        <v>1541.0496116261588</v>
      </c>
      <c r="CY370" s="58">
        <f si="190" t="shared"/>
        <v>1269</v>
      </c>
      <c r="CZ370" s="108">
        <f si="191" t="shared"/>
        <v>-272.04961162615882</v>
      </c>
      <c r="DA370" s="78">
        <f si="192" t="shared"/>
        <v>-0.17653527152775078</v>
      </c>
    </row>
    <row r="371" spans="99:105" x14ac:dyDescent="0.25">
      <c r="CU371" s="95">
        <v>370</v>
      </c>
      <c r="CV371" s="95">
        <f si="193" t="shared"/>
        <v>19</v>
      </c>
      <c r="CW371" s="95">
        <f si="188" t="shared"/>
        <v>10</v>
      </c>
      <c r="CX371" s="58">
        <f si="189" t="shared"/>
        <v>318.14131796542216</v>
      </c>
      <c r="CY371" s="58">
        <f si="190" t="shared"/>
        <v>170</v>
      </c>
      <c r="CZ371" s="108">
        <f si="191" t="shared"/>
        <v>-148.14131796542216</v>
      </c>
      <c r="DA371" s="78">
        <f si="192" t="shared"/>
        <v>-0.4656462697546353</v>
      </c>
    </row>
    <row r="372" spans="99:105" x14ac:dyDescent="0.25">
      <c r="CU372" s="95">
        <v>371</v>
      </c>
      <c r="CV372" s="95">
        <f si="193" t="shared"/>
        <v>19</v>
      </c>
      <c r="CW372" s="95">
        <f si="188" t="shared"/>
        <v>11</v>
      </c>
      <c r="CX372" s="58">
        <f si="189" t="shared"/>
        <v>4975.7975444750691</v>
      </c>
      <c r="CY372" s="58">
        <f si="190" t="shared"/>
        <v>3546</v>
      </c>
      <c r="CZ372" s="108">
        <f si="191" t="shared"/>
        <v>-1429.7975444750691</v>
      </c>
      <c r="DA372" s="78">
        <f si="192" t="shared"/>
        <v>-0.28735042607645089</v>
      </c>
    </row>
    <row r="373" spans="99:105" x14ac:dyDescent="0.25">
      <c r="CU373" s="95">
        <v>372</v>
      </c>
      <c r="CV373" s="95">
        <f si="193" t="shared"/>
        <v>19</v>
      </c>
      <c r="CW373" s="95">
        <f si="188" t="shared"/>
        <v>12</v>
      </c>
      <c r="CX373" s="58">
        <f si="189" t="shared"/>
        <v>2685.685041343022</v>
      </c>
      <c r="CY373" s="58">
        <f si="190" t="shared"/>
        <v>1326</v>
      </c>
      <c r="CZ373" s="108">
        <f si="191" t="shared"/>
        <v>-1359.685041343022</v>
      </c>
      <c r="DA373" s="78">
        <f si="192" t="shared"/>
        <v>-0.50627121960030308</v>
      </c>
    </row>
    <row r="374" spans="99:105" x14ac:dyDescent="0.25">
      <c r="CU374" s="95">
        <v>373</v>
      </c>
      <c r="CV374" s="95">
        <f si="193" t="shared"/>
        <v>19</v>
      </c>
      <c r="CW374" s="95">
        <f si="188" t="shared"/>
        <v>13</v>
      </c>
      <c r="CX374" s="58">
        <f si="189" t="shared"/>
        <v>622.81633675770479</v>
      </c>
      <c r="CY374" s="58">
        <f si="190" t="shared"/>
        <v>1172</v>
      </c>
      <c r="CZ374" s="108">
        <f si="191" t="shared"/>
        <v>549.18366324229521</v>
      </c>
      <c r="DA374" s="78">
        <f si="192" t="shared"/>
        <v>0.88177465944658573</v>
      </c>
    </row>
    <row r="375" spans="99:105" x14ac:dyDescent="0.25">
      <c r="CU375" s="95">
        <v>374</v>
      </c>
      <c r="CV375" s="95">
        <f si="193" t="shared"/>
        <v>19</v>
      </c>
      <c r="CW375" s="95">
        <f si="188" t="shared"/>
        <v>14</v>
      </c>
      <c r="CX375" s="58">
        <f si="189" t="shared"/>
        <v>589.99223252317722</v>
      </c>
      <c r="CY375" s="58">
        <f si="190" t="shared"/>
        <v>543</v>
      </c>
      <c r="CZ375" s="108">
        <f si="191" t="shared"/>
        <v>-46.992232523177222</v>
      </c>
      <c r="DA375" s="78">
        <f si="192" t="shared"/>
        <v>-7.9648900329092359E-2</v>
      </c>
    </row>
    <row r="376" spans="99:105" x14ac:dyDescent="0.25">
      <c r="CU376" s="95">
        <v>375</v>
      </c>
      <c r="CV376" s="95">
        <f si="193" t="shared"/>
        <v>19</v>
      </c>
      <c r="CW376" s="95">
        <f si="188" t="shared"/>
        <v>15</v>
      </c>
      <c r="CX376" s="58">
        <f si="189" t="shared"/>
        <v>1244.7910298170887</v>
      </c>
      <c r="CY376" s="58">
        <f si="190" t="shared"/>
        <v>2789</v>
      </c>
      <c r="CZ376" s="108">
        <f si="191" t="shared"/>
        <v>1544.2089701829113</v>
      </c>
      <c r="DA376" s="78">
        <f si="192" t="shared"/>
        <v>1.2405367111376273</v>
      </c>
    </row>
    <row r="377" spans="99:105" x14ac:dyDescent="0.25">
      <c r="CU377" s="95">
        <v>376</v>
      </c>
      <c r="CV377" s="95">
        <f si="193" t="shared"/>
        <v>19</v>
      </c>
      <c r="CW377" s="95">
        <f si="188" t="shared"/>
        <v>16</v>
      </c>
      <c r="CX377" s="58">
        <f si="189" t="shared"/>
        <v>75.74793284891004</v>
      </c>
      <c r="CY377" s="58">
        <f si="190" t="shared"/>
        <v>12</v>
      </c>
      <c r="CZ377" s="108">
        <f si="191" t="shared"/>
        <v>-63.74793284891004</v>
      </c>
      <c r="DA377" s="78">
        <f si="192" t="shared"/>
        <v>-0.84157983526843305</v>
      </c>
    </row>
    <row r="378" spans="99:105" x14ac:dyDescent="0.25">
      <c r="CU378" s="95">
        <v>377</v>
      </c>
      <c r="CV378" s="95">
        <f si="193" t="shared"/>
        <v>19</v>
      </c>
      <c r="CW378" s="95">
        <f si="188" t="shared"/>
        <v>17</v>
      </c>
      <c r="CX378" s="58">
        <f si="189" t="shared"/>
        <v>2567.0132798797295</v>
      </c>
      <c r="CY378" s="58">
        <f si="190" t="shared"/>
        <v>1449</v>
      </c>
      <c r="CZ378" s="108">
        <f si="191" t="shared"/>
        <v>-1118.0132798797295</v>
      </c>
      <c r="DA378" s="78">
        <f si="192" t="shared"/>
        <v>-0.4355307736982611</v>
      </c>
    </row>
    <row r="379" spans="99:105" x14ac:dyDescent="0.25">
      <c r="CU379" s="95">
        <v>378</v>
      </c>
      <c r="CV379" s="95">
        <f si="193" t="shared"/>
        <v>19</v>
      </c>
      <c r="CW379" s="95">
        <f si="188" t="shared"/>
        <v>18</v>
      </c>
      <c r="CX379" s="58">
        <f si="189" t="shared"/>
        <v>146.44600350789275</v>
      </c>
      <c r="CY379" s="58">
        <f si="190" t="shared"/>
        <v>41</v>
      </c>
      <c r="CZ379" s="108">
        <f si="191" t="shared"/>
        <v>-105.44600350789275</v>
      </c>
      <c r="DA379" s="78">
        <f si="192" t="shared"/>
        <v>-0.72003332956921362</v>
      </c>
    </row>
    <row r="380" spans="99:105" x14ac:dyDescent="0.25">
      <c r="CU380" s="95">
        <v>379</v>
      </c>
      <c r="CV380" s="95">
        <f si="193" t="shared"/>
        <v>19</v>
      </c>
      <c r="CW380" s="95">
        <f si="188" t="shared"/>
        <v>19</v>
      </c>
      <c r="CX380" s="58">
        <f si="189" t="shared"/>
        <v>10294.985717865196</v>
      </c>
      <c r="CY380" s="58">
        <f si="190" t="shared"/>
        <v>8039</v>
      </c>
      <c r="CZ380" s="108">
        <f si="191" t="shared"/>
        <v>-2255.9857178651964</v>
      </c>
      <c r="DA380" s="78">
        <f si="192" t="shared"/>
        <v>-0.21913441938538264</v>
      </c>
    </row>
    <row r="381" spans="99:105" x14ac:dyDescent="0.25">
      <c r="CU381" s="95">
        <v>380</v>
      </c>
      <c r="CV381" s="95">
        <f si="193" t="shared"/>
        <v>19</v>
      </c>
      <c r="CW381" s="95">
        <f si="188" t="shared"/>
        <v>20</v>
      </c>
      <c r="CX381" s="58">
        <f si="189" t="shared"/>
        <v>110.25532448008019</v>
      </c>
      <c r="CY381" s="58">
        <f si="190" t="shared"/>
        <v>3</v>
      </c>
      <c r="CZ381" s="108">
        <f si="191" t="shared"/>
        <v>-107.25532448008019</v>
      </c>
      <c r="DA381" s="78">
        <f si="192" t="shared"/>
        <v>-0.9727904297216774</v>
      </c>
    </row>
    <row r="382" spans="99:105" x14ac:dyDescent="0.25">
      <c r="CU382" s="95">
        <v>381</v>
      </c>
      <c r="CV382" s="95">
        <f si="193" t="shared"/>
        <v>20</v>
      </c>
      <c r="CW382" s="95">
        <f si="188" t="shared"/>
        <v>1</v>
      </c>
      <c r="CX382" s="58">
        <f si="189" t="shared"/>
        <v>578.52270827528559</v>
      </c>
      <c r="CY382" s="58">
        <f si="190" t="shared"/>
        <v>1151</v>
      </c>
      <c r="CZ382" s="108">
        <f si="191" t="shared"/>
        <v>572.47729172471441</v>
      </c>
      <c r="DA382" s="78">
        <f si="192" t="shared"/>
        <v>0.98955025193636037</v>
      </c>
    </row>
    <row r="383" spans="99:105" x14ac:dyDescent="0.25">
      <c r="CU383" s="95">
        <v>382</v>
      </c>
      <c r="CV383" s="95">
        <f si="193" t="shared"/>
        <v>20</v>
      </c>
      <c r="CW383" s="95">
        <f si="188" t="shared"/>
        <v>2</v>
      </c>
      <c r="CX383" s="58">
        <f si="189" t="shared"/>
        <v>506.6025355252159</v>
      </c>
      <c r="CY383" s="58">
        <f si="190" t="shared"/>
        <v>417</v>
      </c>
      <c r="CZ383" s="108">
        <f si="191" t="shared"/>
        <v>-89.602535525215899</v>
      </c>
      <c r="DA383" s="78">
        <f si="192" t="shared"/>
        <v>-0.17686949677881345</v>
      </c>
    </row>
    <row r="384" spans="99:105" x14ac:dyDescent="0.25">
      <c r="CU384" s="95">
        <v>383</v>
      </c>
      <c r="CV384" s="95">
        <f si="193" t="shared"/>
        <v>20</v>
      </c>
      <c r="CW384" s="95">
        <f si="188" t="shared"/>
        <v>3</v>
      </c>
      <c r="CX384" s="58">
        <f si="189" t="shared"/>
        <v>183.35692393424353</v>
      </c>
      <c r="CY384" s="58">
        <f si="190" t="shared"/>
        <v>158</v>
      </c>
      <c r="CZ384" s="108">
        <f si="191" t="shared"/>
        <v>-25.356923934243525</v>
      </c>
      <c r="DA384" s="78">
        <f si="192" t="shared"/>
        <v>-0.13829269923472956</v>
      </c>
    </row>
    <row r="385" spans="99:105" x14ac:dyDescent="0.25">
      <c r="CU385" s="95">
        <v>384</v>
      </c>
      <c r="CV385" s="95">
        <f si="193" t="shared"/>
        <v>20</v>
      </c>
      <c r="CW385" s="95">
        <f si="188" t="shared"/>
        <v>4</v>
      </c>
      <c r="CX385" s="58">
        <f si="189" t="shared"/>
        <v>201.53455001393144</v>
      </c>
      <c r="CY385" s="58">
        <f si="190" t="shared"/>
        <v>100</v>
      </c>
      <c r="CZ385" s="108">
        <f si="191" t="shared"/>
        <v>-101.53455001393144</v>
      </c>
      <c r="DA385" s="78">
        <f si="192" t="shared"/>
        <v>-0.50380716361989886</v>
      </c>
    </row>
    <row r="386" spans="99:105" x14ac:dyDescent="0.25">
      <c r="CU386" s="95">
        <v>385</v>
      </c>
      <c r="CV386" s="95">
        <f si="193" t="shared"/>
        <v>20</v>
      </c>
      <c r="CW386" s="95">
        <f si="188" t="shared"/>
        <v>5</v>
      </c>
      <c r="CX386" s="58">
        <f si="189" t="shared"/>
        <v>164.38896628587352</v>
      </c>
      <c r="CY386" s="58">
        <f si="190" t="shared"/>
        <v>281</v>
      </c>
      <c r="CZ386" s="108">
        <f si="191" t="shared"/>
        <v>116.61103371412648</v>
      </c>
      <c r="DA386" s="78">
        <f si="192" t="shared"/>
        <v>0.70936046590462221</v>
      </c>
    </row>
    <row r="387" spans="99:105" x14ac:dyDescent="0.25">
      <c r="CU387" s="95">
        <v>386</v>
      </c>
      <c r="CV387" s="95">
        <f si="193" t="shared"/>
        <v>20</v>
      </c>
      <c r="CW387" s="95">
        <f ref="CW387:CW401" si="194" t="shared">MOD(ROW()-2,$CS$2)+1</f>
        <v>6</v>
      </c>
      <c r="CX387" s="58">
        <f ref="CX387:CX401" si="195" t="shared">VLOOKUP($CV387,$B$30:$V$49,MATCH($CW387,$B$29:$V$29,0),0)</f>
        <v>938.12357202563385</v>
      </c>
      <c r="CY387" s="58">
        <f ref="CY387:CY401" si="196" t="shared">VLOOKUP($CV387,$AY$30:$BS$49,MATCH($CW387,$AY$29:$BS$29,0),0)</f>
        <v>1271</v>
      </c>
      <c r="CZ387" s="108">
        <f ref="CZ387:CZ401" si="197" t="shared">CY387-CX387</f>
        <v>332.87642797436615</v>
      </c>
      <c r="DA387" s="78">
        <f ref="DA387:DA401" si="198" t="shared">CZ387/CX387</f>
        <v>0.35483217552630736</v>
      </c>
    </row>
    <row r="388" spans="99:105" x14ac:dyDescent="0.25">
      <c r="CU388" s="95">
        <v>387</v>
      </c>
      <c r="CV388" s="95">
        <f ref="CV388:CV401" si="199" t="shared">IF(CW387&lt;$CS$2,CV387,CV387+1)</f>
        <v>20</v>
      </c>
      <c r="CW388" s="95">
        <f si="194" t="shared"/>
        <v>7</v>
      </c>
      <c r="CX388" s="58">
        <f si="195" t="shared"/>
        <v>1061.4152967400391</v>
      </c>
      <c r="CY388" s="58">
        <f si="196" t="shared"/>
        <v>388</v>
      </c>
      <c r="CZ388" s="108">
        <f si="197" t="shared"/>
        <v>-673.41529674003914</v>
      </c>
      <c r="DA388" s="78">
        <f si="198" t="shared"/>
        <v>-0.63445034079339391</v>
      </c>
    </row>
    <row r="389" spans="99:105" x14ac:dyDescent="0.25">
      <c r="CU389" s="95">
        <v>388</v>
      </c>
      <c r="CV389" s="95">
        <f si="199" t="shared"/>
        <v>20</v>
      </c>
      <c r="CW389" s="95">
        <f si="194" t="shared"/>
        <v>8</v>
      </c>
      <c r="CX389" s="58">
        <f si="195" t="shared"/>
        <v>67.968514906659237</v>
      </c>
      <c r="CY389" s="58">
        <f si="196" t="shared"/>
        <v>11</v>
      </c>
      <c r="CZ389" s="108">
        <f si="197" t="shared"/>
        <v>-56.968514906659237</v>
      </c>
      <c r="DA389" s="78">
        <f si="198" t="shared"/>
        <v>-0.8381603597620717</v>
      </c>
    </row>
    <row r="390" spans="99:105" x14ac:dyDescent="0.25">
      <c r="CU390" s="95">
        <v>389</v>
      </c>
      <c r="CV390" s="95">
        <f si="199" t="shared"/>
        <v>20</v>
      </c>
      <c r="CW390" s="95">
        <f si="194" t="shared"/>
        <v>9</v>
      </c>
      <c r="CX390" s="58">
        <f si="195" t="shared"/>
        <v>548.49010866536639</v>
      </c>
      <c r="CY390" s="58">
        <f si="196" t="shared"/>
        <v>144</v>
      </c>
      <c r="CZ390" s="108">
        <f si="197" t="shared"/>
        <v>-404.49010866536639</v>
      </c>
      <c r="DA390" s="78">
        <f si="198" t="shared"/>
        <v>-0.73746108138505306</v>
      </c>
    </row>
    <row r="391" spans="99:105" x14ac:dyDescent="0.25">
      <c r="CU391" s="95">
        <v>390</v>
      </c>
      <c r="CV391" s="95">
        <f si="199" t="shared"/>
        <v>20</v>
      </c>
      <c r="CW391" s="95">
        <f si="194" t="shared"/>
        <v>10</v>
      </c>
      <c r="CX391" s="58">
        <f si="195" t="shared"/>
        <v>221.29283923098359</v>
      </c>
      <c r="CY391" s="58">
        <f si="196" t="shared"/>
        <v>91</v>
      </c>
      <c r="CZ391" s="108">
        <f si="197" t="shared"/>
        <v>-130.29283923098359</v>
      </c>
      <c r="DA391" s="78">
        <f si="198" t="shared"/>
        <v>-0.58878018684999123</v>
      </c>
    </row>
    <row r="392" spans="99:105" x14ac:dyDescent="0.25">
      <c r="CU392" s="95">
        <v>391</v>
      </c>
      <c r="CV392" s="95">
        <f si="199" t="shared"/>
        <v>20</v>
      </c>
      <c r="CW392" s="95">
        <f si="194" t="shared"/>
        <v>11</v>
      </c>
      <c r="CX392" s="58">
        <f si="195" t="shared"/>
        <v>226.82516021175817</v>
      </c>
      <c r="CY392" s="58">
        <f si="196" t="shared"/>
        <v>61</v>
      </c>
      <c r="CZ392" s="108">
        <f si="197" t="shared"/>
        <v>-165.82516021175817</v>
      </c>
      <c r="DA392" s="78">
        <f si="198" t="shared"/>
        <v>-0.73107039826158637</v>
      </c>
    </row>
    <row r="393" spans="99:105" x14ac:dyDescent="0.25">
      <c r="CU393" s="95">
        <v>392</v>
      </c>
      <c r="CV393" s="95">
        <f si="199" t="shared"/>
        <v>20</v>
      </c>
      <c r="CW393" s="95">
        <f si="194" t="shared"/>
        <v>12</v>
      </c>
      <c r="CX393" s="58">
        <f si="195" t="shared"/>
        <v>4912.7010309278348</v>
      </c>
      <c r="CY393" s="58">
        <f si="196" t="shared"/>
        <v>5157</v>
      </c>
      <c r="CZ393" s="108">
        <f si="197" t="shared"/>
        <v>244.29896907216516</v>
      </c>
      <c r="DA393" s="78">
        <f si="198" t="shared"/>
        <v>4.9728035053259845E-2</v>
      </c>
    </row>
    <row r="394" spans="99:105" x14ac:dyDescent="0.25">
      <c r="CU394" s="95">
        <v>393</v>
      </c>
      <c r="CV394" s="95">
        <f si="199" t="shared"/>
        <v>20</v>
      </c>
      <c r="CW394" s="95">
        <f si="194" t="shared"/>
        <v>13</v>
      </c>
      <c r="CX394" s="58">
        <f si="195" t="shared"/>
        <v>867.78406241292839</v>
      </c>
      <c r="CY394" s="58">
        <f si="196" t="shared"/>
        <v>1351</v>
      </c>
      <c r="CZ394" s="108">
        <f si="197" t="shared"/>
        <v>483.21593758707161</v>
      </c>
      <c r="DA394" s="78">
        <f si="198" t="shared"/>
        <v>0.55683891709587197</v>
      </c>
    </row>
    <row r="395" spans="99:105" x14ac:dyDescent="0.25">
      <c r="CU395" s="95">
        <v>394</v>
      </c>
      <c r="CV395" s="95">
        <f si="199" t="shared"/>
        <v>20</v>
      </c>
      <c r="CW395" s="95">
        <f si="194" t="shared"/>
        <v>14</v>
      </c>
      <c r="CX395" s="58">
        <f si="195" t="shared"/>
        <v>91.678461967121763</v>
      </c>
      <c r="CY395" s="58">
        <f si="196" t="shared"/>
        <v>9</v>
      </c>
      <c r="CZ395" s="108">
        <f si="197" t="shared"/>
        <v>-82.678461967121763</v>
      </c>
      <c r="DA395" s="78">
        <f si="198" t="shared"/>
        <v>-0.90183081383686792</v>
      </c>
    </row>
    <row r="396" spans="99:105" x14ac:dyDescent="0.25">
      <c r="CU396" s="95">
        <v>395</v>
      </c>
      <c r="CV396" s="95">
        <f si="199" t="shared"/>
        <v>20</v>
      </c>
      <c r="CW396" s="95">
        <f si="194" t="shared"/>
        <v>15</v>
      </c>
      <c r="CX396" s="58">
        <f si="195" t="shared"/>
        <v>173.08261354137642</v>
      </c>
      <c r="CY396" s="58">
        <f si="196" t="shared"/>
        <v>46</v>
      </c>
      <c r="CZ396" s="108">
        <f si="197" t="shared"/>
        <v>-127.08261354137642</v>
      </c>
      <c r="DA396" s="78">
        <f si="198" t="shared"/>
        <v>-0.73423096024024714</v>
      </c>
    </row>
    <row r="397" spans="99:105" x14ac:dyDescent="0.25">
      <c r="CU397" s="95">
        <v>396</v>
      </c>
      <c r="CV397" s="95">
        <f si="199" t="shared"/>
        <v>20</v>
      </c>
      <c r="CW397" s="95">
        <f si="194" t="shared"/>
        <v>16</v>
      </c>
      <c r="CX397" s="58">
        <f si="195" t="shared"/>
        <v>67.17818333797716</v>
      </c>
      <c r="CY397" s="58">
        <f si="196" t="shared"/>
        <v>89</v>
      </c>
      <c r="CZ397" s="108">
        <f si="197" t="shared"/>
        <v>21.82181666202284</v>
      </c>
      <c r="DA397" s="78">
        <f si="198" t="shared"/>
        <v>0.32483487313486986</v>
      </c>
    </row>
    <row r="398" spans="99:105" x14ac:dyDescent="0.25">
      <c r="CU398" s="95">
        <v>397</v>
      </c>
      <c r="CV398" s="95">
        <f si="199" t="shared"/>
        <v>20</v>
      </c>
      <c r="CW398" s="95">
        <f si="194" t="shared"/>
        <v>17</v>
      </c>
      <c r="CX398" s="58">
        <f si="195" t="shared"/>
        <v>28.45193647255503</v>
      </c>
      <c r="CY398" s="58">
        <f si="196" t="shared"/>
        <v>4</v>
      </c>
      <c r="CZ398" s="108">
        <f si="197" t="shared"/>
        <v>-24.45193647255503</v>
      </c>
      <c r="DA398" s="78">
        <f si="198" t="shared"/>
        <v>-0.85941202969230468</v>
      </c>
    </row>
    <row r="399" spans="99:105" x14ac:dyDescent="0.25">
      <c r="CU399" s="95">
        <v>398</v>
      </c>
      <c r="CV399" s="95">
        <f si="199" t="shared"/>
        <v>20</v>
      </c>
      <c r="CW399" s="95">
        <f si="194" t="shared"/>
        <v>18</v>
      </c>
      <c r="CX399" s="58">
        <f si="195" t="shared"/>
        <v>3142.3583170799661</v>
      </c>
      <c r="CY399" s="58">
        <f si="196" t="shared"/>
        <v>2684</v>
      </c>
      <c r="CZ399" s="108">
        <f si="197" t="shared"/>
        <v>-458.35831707996613</v>
      </c>
      <c r="DA399" s="78">
        <f si="198" t="shared"/>
        <v>-0.14586443391531975</v>
      </c>
    </row>
    <row r="400" spans="99:105" x14ac:dyDescent="0.25">
      <c r="CU400" s="95">
        <v>399</v>
      </c>
      <c r="CV400" s="95">
        <f si="199" t="shared"/>
        <v>20</v>
      </c>
      <c r="CW400" s="95">
        <f si="194" t="shared"/>
        <v>19</v>
      </c>
      <c r="CX400" s="58">
        <f si="195" t="shared"/>
        <v>110.64641961549179</v>
      </c>
      <c r="CY400" s="58">
        <f si="196" t="shared"/>
        <v>11</v>
      </c>
      <c r="CZ400" s="108">
        <f si="197" t="shared"/>
        <v>-99.646419615491794</v>
      </c>
      <c r="DA400" s="78">
        <f si="198" t="shared"/>
        <v>-0.90058422099670121</v>
      </c>
    </row>
    <row r="401" spans="99:105" x14ac:dyDescent="0.25">
      <c r="CU401" s="95">
        <v>400</v>
      </c>
      <c r="CV401" s="95">
        <f si="199" t="shared"/>
        <v>20</v>
      </c>
      <c r="CW401" s="95">
        <f si="194" t="shared"/>
        <v>20</v>
      </c>
      <c r="CX401" s="58">
        <f si="195" t="shared"/>
        <v>8599.5977988297582</v>
      </c>
      <c r="CY401" s="58">
        <f si="196" t="shared"/>
        <v>9268</v>
      </c>
      <c r="CZ401" s="108">
        <f si="197" t="shared"/>
        <v>668.40220117024182</v>
      </c>
      <c r="DA401" s="78">
        <f si="198" t="shared"/>
        <v>7.7724821184218487E-2</v>
      </c>
    </row>
    <row r="402" spans="99:105" x14ac:dyDescent="0.25">
      <c r="CU402" s="95"/>
      <c r="CV402" s="95"/>
      <c r="CW402" s="95"/>
    </row>
    <row r="403" spans="99:105" x14ac:dyDescent="0.25">
      <c r="CU403" s="95"/>
      <c r="CV403" s="95"/>
      <c r="CW403" s="95"/>
    </row>
  </sheetData>
  <mergeCells count="7">
    <mergeCell ref="AD2:AI2"/>
    <mergeCell ref="U2:AC2"/>
    <mergeCell ref="B2:C2"/>
    <mergeCell ref="D2:G2"/>
    <mergeCell ref="H2:K2"/>
    <mergeCell ref="L2:O2"/>
    <mergeCell ref="P2:Q2"/>
  </mergeCells>
  <conditionalFormatting sqref="P4:P23">
    <cfRule priority="15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4:Q23">
    <cfRule priority="14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84:AU104">
    <cfRule priority="22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05:AU105">
    <cfRule priority="2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V84:AV104">
    <cfRule priority="20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4:AA23">
    <cfRule priority="17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4:Z23">
    <cfRule priority="16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10:AT129">
    <cfRule priority="6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31:AT131">
    <cfRule priority="5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F127"/>
  <sheetViews>
    <sheetView tabSelected="1" topLeftCell="A6" workbookViewId="0">
      <selection activeCell="I26" sqref="I26"/>
    </sheetView>
  </sheetViews>
  <sheetFormatPr defaultRowHeight="15" x14ac:dyDescent="0.25"/>
  <cols>
    <col min="1" max="1" bestFit="true" customWidth="true" width="12.7109375" collapsed="true"/>
    <col min="2" max="2" bestFit="true" customWidth="true" width="11.5703125" collapsed="true"/>
    <col min="3" max="4" bestFit="true" customWidth="true" width="10.5703125" collapsed="true"/>
    <col min="5" max="5" bestFit="true" customWidth="true" width="11.5703125" collapsed="true"/>
    <col min="7" max="7" bestFit="true" customWidth="true" width="12.7109375" collapsed="true"/>
    <col min="8" max="8" bestFit="true" customWidth="true" width="11.5703125" collapsed="true"/>
    <col min="9" max="10" bestFit="true" customWidth="true" width="10.5703125" collapsed="true"/>
    <col min="11" max="11" bestFit="true" customWidth="true" width="11.5703125" collapsed="true"/>
    <col min="13" max="13" bestFit="true" customWidth="true" width="10.85546875" collapsed="true"/>
    <col min="14" max="14" bestFit="true" customWidth="true" width="16.42578125" collapsed="true"/>
    <col min="15" max="15" bestFit="true" customWidth="true" width="9.42578125" collapsed="true"/>
    <col min="16" max="16" bestFit="true" customWidth="true" width="13.42578125" collapsed="true"/>
    <col min="17" max="17" bestFit="true" customWidth="true" width="16.42578125" collapsed="true"/>
    <col min="21" max="21" bestFit="true" customWidth="true" width="10.0" collapsed="true"/>
    <col min="22" max="23" bestFit="true" customWidth="true" width="17.5703125" collapsed="true"/>
    <col min="24" max="24" bestFit="true" customWidth="true" width="11.5703125" collapsed="true"/>
  </cols>
  <sheetData>
    <row r="1" spans="1:31" x14ac:dyDescent="0.25">
      <c r="M1" s="36"/>
      <c r="T1" s="36" t="s">
        <v>267</v>
      </c>
      <c r="Z1" s="36" t="s">
        <v>266</v>
      </c>
    </row>
    <row r="2" spans="1:31" x14ac:dyDescent="0.25">
      <c r="V2" s="41" t="s">
        <v>238</v>
      </c>
      <c r="W2" s="41" t="s">
        <v>239</v>
      </c>
      <c r="X2" s="41" t="s">
        <v>400</v>
      </c>
      <c r="Z2" s="75"/>
      <c r="AA2" s="36" t="s">
        <v>254</v>
      </c>
      <c r="AC2" s="75"/>
      <c r="AD2" s="75"/>
      <c r="AE2" s="75"/>
    </row>
    <row r="3" spans="1:31" x14ac:dyDescent="0.25">
      <c r="T3">
        <f>WorkLocationCoefficients!B11</f>
        <v>1</v>
      </c>
      <c r="U3" t="str">
        <f>WorkLocationCoefficients!C11</f>
        <v>Beta00001</v>
      </c>
      <c r="V3" s="40">
        <f>WorkLocationCoefficients!E11</f>
        <v>1</v>
      </c>
      <c r="W3" s="162">
        <f>_xlfn.IFNA(VLOOKUP(T3,$M$13:$Q$39,5,FALSE),_xlfn.IFNA(VLOOKUP(T3,calibration_flow!$AD$3:$AH$25,5,FALSE),V3))</f>
        <v>1</v>
      </c>
      <c r="X3">
        <f>IF(W3=V3,0,1)</f>
        <v>0</v>
      </c>
      <c r="Z3">
        <v>1</v>
      </c>
      <c r="AA3" s="31" t="s">
        <v>309</v>
      </c>
      <c r="AC3" s="75"/>
      <c r="AD3" s="75"/>
      <c r="AE3" s="75"/>
    </row>
    <row r="4" spans="1:31" x14ac:dyDescent="0.25">
      <c r="C4" s="10" t="s">
        <v>298</v>
      </c>
      <c r="I4" s="10" t="s">
        <v>219</v>
      </c>
      <c r="T4">
        <f>WorkLocationCoefficients!B12</f>
        <v>2</v>
      </c>
      <c r="U4" t="str">
        <f>WorkLocationCoefficients!C12</f>
        <v>Beta00002</v>
      </c>
      <c r="V4" s="40">
        <f>WorkLocationCoefficients!E12</f>
        <v>0.7</v>
      </c>
      <c r="W4" s="162">
        <f>_xlfn.IFNA(VLOOKUP(T4,$M$13:$Q$39,5,FALSE),_xlfn.IFNA(VLOOKUP(T4,calibration_flow!$AD$3:$AH$25,5,FALSE),V4))</f>
        <v>0.7</v>
      </c>
      <c r="X4" s="95">
        <f ref="X4:X67" si="0" t="shared">IF(W4=V4,0,1)</f>
        <v>0</v>
      </c>
      <c r="Z4">
        <v>2</v>
      </c>
      <c r="AA4" s="31" t="s">
        <v>261</v>
      </c>
      <c r="AC4" s="75"/>
      <c r="AD4" s="75"/>
      <c r="AE4" s="75"/>
    </row>
    <row ht="15.75" r="5" spans="1:31" thickBot="1" x14ac:dyDescent="0.3">
      <c r="A5" s="36" t="s">
        <v>220</v>
      </c>
      <c r="M5" s="53"/>
      <c r="N5" s="32"/>
      <c r="O5" s="32"/>
      <c r="P5" s="32"/>
      <c r="Q5" s="32"/>
      <c r="T5">
        <f>WorkLocationCoefficients!B13</f>
        <v>3</v>
      </c>
      <c r="U5" t="str">
        <f>WorkLocationCoefficients!C13</f>
        <v>Beta00003</v>
      </c>
      <c r="V5" s="40">
        <f>WorkLocationCoefficients!E13</f>
        <v>1</v>
      </c>
      <c r="W5" s="162">
        <f>_xlfn.IFNA(VLOOKUP(T5,$M$13:$Q$39,5,FALSE),_xlfn.IFNA(VLOOKUP(T5,calibration_flow!$AD$3:$AH$25,5,FALSE),V5))</f>
        <v>1</v>
      </c>
      <c r="X5" s="95">
        <f si="0" t="shared"/>
        <v>0</v>
      </c>
      <c r="Z5">
        <v>3</v>
      </c>
      <c r="AA5" s="75" t="s">
        <v>263</v>
      </c>
      <c r="AB5" s="75"/>
      <c r="AC5" s="75"/>
      <c r="AD5" s="75"/>
      <c r="AE5" s="75"/>
    </row>
    <row r="6" spans="1:31" x14ac:dyDescent="0.25">
      <c r="A6" s="5" t="s">
        <v>2</v>
      </c>
      <c r="B6" s="5" t="s">
        <v>8</v>
      </c>
      <c r="C6" s="5" t="s">
        <v>9</v>
      </c>
      <c r="D6" s="5" t="s">
        <v>10</v>
      </c>
      <c r="E6" s="5" t="s">
        <v>218</v>
      </c>
      <c r="G6" s="5" t="s">
        <v>2</v>
      </c>
      <c r="H6" s="5" t="s">
        <v>8</v>
      </c>
      <c r="I6" s="5" t="s">
        <v>9</v>
      </c>
      <c r="J6" s="5" t="s">
        <v>10</v>
      </c>
      <c r="K6" s="5" t="s">
        <v>218</v>
      </c>
      <c r="M6" s="54"/>
      <c r="N6" s="54"/>
      <c r="O6" s="54"/>
      <c r="P6" s="54"/>
      <c r="Q6" s="54"/>
      <c r="T6">
        <f>WorkLocationCoefficients!B14</f>
        <v>4</v>
      </c>
      <c r="U6" t="str">
        <f>WorkLocationCoefficients!C14</f>
        <v>Beta00004</v>
      </c>
      <c r="V6" s="40">
        <f>WorkLocationCoefficients!E14</f>
        <v>0.5</v>
      </c>
      <c r="W6" s="162">
        <f>_xlfn.IFNA(VLOOKUP(T6,$M$13:$Q$39,5,FALSE),_xlfn.IFNA(VLOOKUP(T6,calibration_flow!$AD$3:$AH$25,5,FALSE),V6))</f>
        <v>0.5</v>
      </c>
      <c r="X6" s="95">
        <f si="0" t="shared"/>
        <v>0</v>
      </c>
      <c r="Z6">
        <v>4</v>
      </c>
      <c r="AA6" s="75" t="s">
        <v>265</v>
      </c>
      <c r="AB6" s="75"/>
      <c r="AC6" s="75"/>
      <c r="AD6" s="75"/>
      <c r="AE6" s="75"/>
    </row>
    <row r="7" spans="1:31" x14ac:dyDescent="0.25">
      <c r="A7" s="35" t="s">
        <v>214</v>
      </c>
      <c r="B7" s="58">
        <f>SUM(TLFD!B11:B13)+0.5*(TLFD!B14)</f>
        <v>66229.96038936908</v>
      </c>
      <c r="C7" s="58">
        <f>SUM(TLFD!C11:C13)+0.5*(TLFD!C14)</f>
        <v>13772.852248797035</v>
      </c>
      <c r="D7" s="58">
        <f>SUM(TLFD!D11:D13)+0.5*(TLFD!D14)</f>
        <v>7971.483502731945</v>
      </c>
      <c r="E7" s="58">
        <f>SUM(B7:D7)</f>
        <v>87974.296140898063</v>
      </c>
      <c r="G7" s="35" t="s">
        <v>214</v>
      </c>
      <c r="H7" s="58">
        <f>SUM(TLFD!H11:H13)+0.5*(TLFD!H14)</f>
        <v>61035</v>
      </c>
      <c r="I7" s="58">
        <f>SUM(TLFD!I11:I13)+0.5*(TLFD!I14)</f>
        <v>11703</v>
      </c>
      <c r="J7" s="58">
        <f>SUM(TLFD!J11:J13)+0.5*(TLFD!J14)</f>
        <v>7674</v>
      </c>
      <c r="K7" s="58">
        <f>SUM(H7:J7)</f>
        <v>80412</v>
      </c>
      <c r="M7" s="32"/>
      <c r="N7" s="45"/>
      <c r="O7" s="46"/>
      <c r="P7" s="46"/>
      <c r="Q7" s="45"/>
      <c r="T7">
        <f>WorkLocationCoefficients!B15</f>
        <v>5</v>
      </c>
      <c r="U7" t="str">
        <f>WorkLocationCoefficients!C15</f>
        <v>Beta00005</v>
      </c>
      <c r="V7" s="40">
        <f>WorkLocationCoefficients!E15</f>
        <v>0</v>
      </c>
      <c r="W7" s="162">
        <f>_xlfn.IFNA(VLOOKUP(T7,$M$13:$Q$39,5,FALSE),_xlfn.IFNA(VLOOKUP(T7,calibration_flow!$AD$3:$AH$25,5,FALSE),V7))</f>
        <v>0</v>
      </c>
      <c r="X7" s="95">
        <f si="0" t="shared"/>
        <v>0</v>
      </c>
      <c r="Z7" s="75">
        <v>5</v>
      </c>
      <c r="AA7" s="75" t="s">
        <v>255</v>
      </c>
      <c r="AB7" s="75"/>
      <c r="AC7" s="75"/>
      <c r="AD7" s="75"/>
      <c r="AE7" s="75"/>
    </row>
    <row r="8" spans="1:31" x14ac:dyDescent="0.25">
      <c r="A8" s="35" t="s">
        <v>215</v>
      </c>
      <c r="B8" s="58">
        <f>0.5*(TLFD!B14)+SUM(TLFD!B15:B20)</f>
        <v>149880.23179273275</v>
      </c>
      <c r="C8" s="58">
        <f>0.5*(TLFD!C14)+SUM(TLFD!C15:C20)</f>
        <v>20864.708198730492</v>
      </c>
      <c r="D8" s="58">
        <f>0.5*(TLFD!D14)+SUM(TLFD!D15:D20)</f>
        <v>12285.545512791181</v>
      </c>
      <c r="E8" s="58">
        <f>SUM(B8:D8)</f>
        <v>183030.48550425441</v>
      </c>
      <c r="G8" s="35" t="s">
        <v>215</v>
      </c>
      <c r="H8" s="58">
        <f>0.5*(TLFD!H14)+SUM(TLFD!H15:H20)</f>
        <v>136647</v>
      </c>
      <c r="I8" s="58">
        <f>0.5*(TLFD!I14)+SUM(TLFD!I15:I20)</f>
        <v>20561</v>
      </c>
      <c r="J8" s="58">
        <f>0.5*(TLFD!J14)+SUM(TLFD!J15:J20)</f>
        <v>8601</v>
      </c>
      <c r="K8" s="58">
        <f>SUM(H8:J8)</f>
        <v>165809</v>
      </c>
      <c r="M8" s="74" t="s">
        <v>244</v>
      </c>
      <c r="N8" s="45"/>
      <c r="O8" s="46"/>
      <c r="P8" s="46"/>
      <c r="Q8" s="45"/>
      <c r="T8" s="72">
        <f>WorkLocationCoefficients!B16</f>
        <v>6</v>
      </c>
      <c r="U8" s="72" t="str">
        <f>WorkLocationCoefficients!C16</f>
        <v>Beta00006</v>
      </c>
      <c r="V8" s="73">
        <f>WorkLocationCoefficients!E16</f>
        <v>-4.1530549264700003</v>
      </c>
      <c r="W8" s="162">
        <f>_xlfn.IFNA(VLOOKUP(T8,$M$13:$Q$39,5,FALSE),_xlfn.IFNA(VLOOKUP(T8,calibration_flow!$AD$3:$AH$25,5,FALSE),V8))</f>
        <v>-4.1530549264700003</v>
      </c>
      <c r="X8" s="95">
        <f si="0" t="shared"/>
        <v>0</v>
      </c>
      <c r="Z8" s="75"/>
      <c r="AA8" s="75"/>
      <c r="AB8" s="75"/>
      <c r="AC8" s="75"/>
      <c r="AD8" s="75"/>
      <c r="AE8" s="75"/>
    </row>
    <row r="9" spans="1:31" x14ac:dyDescent="0.25">
      <c r="A9" s="47" t="s">
        <v>216</v>
      </c>
      <c r="B9" s="60">
        <f>SUM(TLFD!B21:B101)</f>
        <v>259778.63881129297</v>
      </c>
      <c r="C9" s="60">
        <f>SUM(TLFD!C21:C101)</f>
        <v>20447.81305639257</v>
      </c>
      <c r="D9" s="60">
        <f>SUM(TLFD!D21:D101)</f>
        <v>8830.4336582794913</v>
      </c>
      <c r="E9" s="60">
        <f>SUM(B9:D9)</f>
        <v>289056.88552596502</v>
      </c>
      <c r="G9" s="47" t="s">
        <v>216</v>
      </c>
      <c r="H9" s="60">
        <f>SUM(TLFD!H21:H101)</f>
        <v>363355</v>
      </c>
      <c r="I9" s="60">
        <f>SUM(TLFD!I21:I101)</f>
        <v>26969</v>
      </c>
      <c r="J9" s="60">
        <f>SUM(TLFD!J21:J101)</f>
        <v>8931</v>
      </c>
      <c r="K9" s="60">
        <f>SUM(H9:J9)</f>
        <v>399255</v>
      </c>
      <c r="M9" s="32" t="s">
        <v>245</v>
      </c>
      <c r="N9" s="45"/>
      <c r="O9" s="46"/>
      <c r="P9" s="46"/>
      <c r="Q9" s="45"/>
      <c r="T9" s="72">
        <f>WorkLocationCoefficients!B17</f>
        <v>7</v>
      </c>
      <c r="U9" s="72" t="str">
        <f>WorkLocationCoefficients!C17</f>
        <v>Beta00007</v>
      </c>
      <c r="V9" s="73">
        <f>WorkLocationCoefficients!E17</f>
        <v>0.16304005993109999</v>
      </c>
      <c r="W9" s="162">
        <f>_xlfn.IFNA(VLOOKUP(T9,$M$13:$Q$39,5,FALSE),_xlfn.IFNA(VLOOKUP(T9,calibration_flow!$AD$3:$AH$25,5,FALSE),V9))</f>
        <v>0.16304005993109999</v>
      </c>
      <c r="X9" s="95">
        <f si="0" t="shared"/>
        <v>0</v>
      </c>
      <c r="Z9" s="75"/>
      <c r="AA9" s="76" t="s">
        <v>256</v>
      </c>
      <c r="AB9" s="75"/>
      <c r="AC9" s="75"/>
      <c r="AD9" s="75"/>
      <c r="AE9" s="75"/>
    </row>
    <row ht="15.75" r="10" spans="1:31" thickBot="1" x14ac:dyDescent="0.3">
      <c r="A10" s="49" t="s">
        <v>3</v>
      </c>
      <c r="B10" s="61">
        <f>SUM(B7:B9)</f>
        <v>475888.83099339483</v>
      </c>
      <c r="C10" s="61">
        <f>SUM(C7:C9)</f>
        <v>55085.373503920098</v>
      </c>
      <c r="D10" s="61">
        <f>SUM(D7:D9)</f>
        <v>29087.46267380262</v>
      </c>
      <c r="E10" s="61">
        <f>SUM(E7:E9)</f>
        <v>560061.6671711175</v>
      </c>
      <c r="F10" s="32"/>
      <c r="G10" s="49" t="s">
        <v>3</v>
      </c>
      <c r="H10" s="61">
        <f>SUM(H7:H9)</f>
        <v>561037</v>
      </c>
      <c r="I10" s="61">
        <f>SUM(I7:I9)</f>
        <v>59233</v>
      </c>
      <c r="J10" s="61">
        <f>SUM(J7:J9)</f>
        <v>25206</v>
      </c>
      <c r="K10" s="61">
        <f>SUM(K7:K9)</f>
        <v>645476</v>
      </c>
      <c r="L10" s="32"/>
      <c r="M10" s="32" t="s">
        <v>246</v>
      </c>
      <c r="N10" s="32"/>
      <c r="O10" s="32"/>
      <c r="P10" s="32"/>
      <c r="Q10" s="32"/>
      <c r="T10" s="72">
        <f>WorkLocationCoefficients!B18</f>
        <v>8</v>
      </c>
      <c r="U10" s="72" t="str">
        <f>WorkLocationCoefficients!C18</f>
        <v>Beta00008</v>
      </c>
      <c r="V10" s="73">
        <f>WorkLocationCoefficients!E18</f>
        <v>-0.66484078944180003</v>
      </c>
      <c r="W10" s="162">
        <f>_xlfn.IFNA(VLOOKUP(T10,$M$13:$Q$39,5,FALSE),_xlfn.IFNA(VLOOKUP(T10,calibration_flow!$AD$3:$AH$25,5,FALSE),V10))</f>
        <v>-0.66484078944180003</v>
      </c>
      <c r="X10" s="95">
        <f si="0" t="shared"/>
        <v>0</v>
      </c>
      <c r="Z10" s="75">
        <v>1</v>
      </c>
      <c r="AA10" s="31" t="s">
        <v>309</v>
      </c>
      <c r="AB10" s="75"/>
      <c r="AC10" s="75"/>
      <c r="AD10" s="75"/>
      <c r="AE10" s="75"/>
    </row>
    <row r="11" spans="1:31" x14ac:dyDescent="0.25">
      <c r="T11" s="72">
        <f>WorkLocationCoefficients!B19</f>
        <v>9</v>
      </c>
      <c r="U11" s="72" t="str">
        <f>WorkLocationCoefficients!C19</f>
        <v>Beta00009</v>
      </c>
      <c r="V11" s="73">
        <f>WorkLocationCoefficients!E19</f>
        <v>-2.1673496431996999</v>
      </c>
      <c r="W11" s="162">
        <f>_xlfn.IFNA(VLOOKUP(T11,$M$13:$Q$39,5,FALSE),_xlfn.IFNA(VLOOKUP(T11,calibration_flow!$AD$3:$AH$25,5,FALSE),V11))</f>
        <v>-2.1673496431996999</v>
      </c>
      <c r="X11" s="95">
        <f si="0" t="shared"/>
        <v>0</v>
      </c>
      <c r="Z11" s="75">
        <v>2</v>
      </c>
      <c r="AA11" s="75" t="s">
        <v>257</v>
      </c>
      <c r="AB11" s="75"/>
      <c r="AC11" s="75"/>
      <c r="AD11" s="75"/>
      <c r="AE11" s="75"/>
    </row>
    <row ht="15.75" r="12" spans="1:31" thickBot="1" x14ac:dyDescent="0.3">
      <c r="A12" s="42" t="s">
        <v>243</v>
      </c>
      <c r="M12" s="10" t="s">
        <v>398</v>
      </c>
      <c r="T12" s="72">
        <f>WorkLocationCoefficients!B20</f>
        <v>10</v>
      </c>
      <c r="U12" s="72" t="str">
        <f>WorkLocationCoefficients!C20</f>
        <v>Beta00010</v>
      </c>
      <c r="V12" s="73">
        <f>WorkLocationCoefficients!E20</f>
        <v>-3.3544504276017002</v>
      </c>
      <c r="W12" s="162">
        <f>_xlfn.IFNA(VLOOKUP(T12,$M$13:$Q$39,5,FALSE),_xlfn.IFNA(VLOOKUP(T12,calibration_flow!$AD$3:$AH$25,5,FALSE),V12))</f>
        <v>-3.3544504276017002</v>
      </c>
      <c r="X12" s="95">
        <f si="0" t="shared"/>
        <v>0</v>
      </c>
      <c r="Z12" s="75">
        <v>3</v>
      </c>
      <c r="AA12" s="75" t="s">
        <v>258</v>
      </c>
      <c r="AB12" s="75"/>
      <c r="AC12" s="75"/>
      <c r="AD12" s="75"/>
      <c r="AE12" s="75"/>
    </row>
    <row r="13" spans="1:31" x14ac:dyDescent="0.25">
      <c r="A13" s="5" t="s">
        <v>2</v>
      </c>
      <c r="B13" s="5" t="s">
        <v>8</v>
      </c>
      <c r="C13" s="5" t="s">
        <v>9</v>
      </c>
      <c r="D13" s="5" t="s">
        <v>10</v>
      </c>
      <c r="E13" s="5" t="s">
        <v>218</v>
      </c>
      <c r="G13" s="5" t="s">
        <v>2</v>
      </c>
      <c r="H13" s="5" t="s">
        <v>8</v>
      </c>
      <c r="I13" s="5" t="s">
        <v>9</v>
      </c>
      <c r="J13" s="5" t="s">
        <v>10</v>
      </c>
      <c r="K13" s="5" t="s">
        <v>218</v>
      </c>
      <c r="M13" s="5" t="s">
        <v>225</v>
      </c>
      <c r="N13" s="5" t="s">
        <v>223</v>
      </c>
      <c r="O13" s="5" t="s">
        <v>221</v>
      </c>
      <c r="P13" s="5" t="s">
        <v>222</v>
      </c>
      <c r="Q13" s="5" t="s">
        <v>224</v>
      </c>
      <c r="R13" s="54" t="s">
        <v>268</v>
      </c>
      <c r="T13">
        <f>WorkLocationCoefficients!B21</f>
        <v>11</v>
      </c>
      <c r="U13" t="str">
        <f>WorkLocationCoefficients!C21</f>
        <v>Beta00011</v>
      </c>
      <c r="V13" s="40">
        <f>WorkLocationCoefficients!E21</f>
        <v>-0.22974879339000001</v>
      </c>
      <c r="W13" s="162">
        <f>_xlfn.IFNA(VLOOKUP(T13,$M$13:$Q$39,5,FALSE),_xlfn.IFNA(VLOOKUP(T13,calibration_flow!$AD$3:$AH$25,5,FALSE),V13))</f>
        <v>-0.22974879339000001</v>
      </c>
      <c r="X13" s="95">
        <f si="0" t="shared"/>
        <v>0</v>
      </c>
      <c r="Z13" s="75">
        <v>4</v>
      </c>
      <c r="AA13" s="75" t="s">
        <v>259</v>
      </c>
      <c r="AB13" s="75"/>
      <c r="AC13" s="75"/>
      <c r="AD13" s="75"/>
      <c r="AE13" s="75"/>
    </row>
    <row r="14" spans="1:31" x14ac:dyDescent="0.25">
      <c r="A14" s="35" t="s">
        <v>214</v>
      </c>
      <c r="B14" s="50">
        <f ref="B14:E16" si="1" t="shared">B7/B$10</f>
        <v>0.1391710754192681</v>
      </c>
      <c r="C14" s="50">
        <f si="1" t="shared"/>
        <v>0.2500273915328341</v>
      </c>
      <c r="D14" s="50">
        <f si="1" t="shared"/>
        <v>0.27405221253318168</v>
      </c>
      <c r="E14" s="21">
        <f si="1" t="shared"/>
        <v>0.15707965979042623</v>
      </c>
      <c r="G14" s="35" t="s">
        <v>214</v>
      </c>
      <c r="H14" s="50">
        <f ref="H14:K16" si="2" t="shared">H7/H$10</f>
        <v>0.10878961637111279</v>
      </c>
      <c r="I14" s="50">
        <f si="2" t="shared"/>
        <v>0.19757567572130399</v>
      </c>
      <c r="J14" s="50">
        <f si="2" t="shared"/>
        <v>0.30445132111402046</v>
      </c>
      <c r="K14" s="21">
        <f si="2" t="shared"/>
        <v>0.12457783093407036</v>
      </c>
      <c r="M14">
        <v>6</v>
      </c>
      <c r="N14" s="157">
        <f>V8</f>
        <v>-4.1530549264700003</v>
      </c>
      <c r="O14" s="8">
        <f>B14/H14</f>
        <v>1.2792680042598494</v>
      </c>
      <c r="P14" s="141">
        <f>R14*(LN(O14)-LN(O14))</f>
        <v>0</v>
      </c>
      <c r="Q14" s="155">
        <f>N14+P14</f>
        <v>-4.1530549264700003</v>
      </c>
      <c r="R14" s="91">
        <v>0</v>
      </c>
      <c r="T14">
        <f>WorkLocationCoefficients!B22</f>
        <v>12</v>
      </c>
      <c r="U14" t="str">
        <f>WorkLocationCoefficients!C22</f>
        <v>Beta00012</v>
      </c>
      <c r="V14" s="40">
        <f>WorkLocationCoefficients!E22</f>
        <v>-0.93478838755000004</v>
      </c>
      <c r="W14" s="162">
        <f>_xlfn.IFNA(VLOOKUP(T14,$M$13:$Q$39,5,FALSE),_xlfn.IFNA(VLOOKUP(T14,calibration_flow!$AD$3:$AH$25,5,FALSE),V14))</f>
        <v>-0.93478838755000004</v>
      </c>
      <c r="X14" s="95">
        <f si="0" t="shared"/>
        <v>0</v>
      </c>
      <c r="Z14" s="75">
        <v>5</v>
      </c>
      <c r="AA14" s="75" t="s">
        <v>262</v>
      </c>
      <c r="AB14" s="75"/>
      <c r="AC14" s="75"/>
      <c r="AD14" s="75"/>
      <c r="AE14" s="75"/>
    </row>
    <row r="15" spans="1:31" x14ac:dyDescent="0.25">
      <c r="A15" s="35" t="s">
        <v>215</v>
      </c>
      <c r="B15" s="50">
        <f si="1" t="shared"/>
        <v>0.31494799211795965</v>
      </c>
      <c r="C15" s="50">
        <f si="1" t="shared"/>
        <v>0.3787703862486414</v>
      </c>
      <c r="D15" s="50">
        <f si="1" t="shared"/>
        <v>0.42236566491088462</v>
      </c>
      <c r="E15" s="50">
        <f si="1" t="shared"/>
        <v>0.3268041650283709</v>
      </c>
      <c r="G15" s="35" t="s">
        <v>215</v>
      </c>
      <c r="H15" s="50">
        <f si="2" t="shared"/>
        <v>0.24356147633756775</v>
      </c>
      <c r="I15" s="50">
        <f si="2" t="shared"/>
        <v>0.34712069285702229</v>
      </c>
      <c r="J15" s="50">
        <f si="2" t="shared"/>
        <v>0.34122827898119495</v>
      </c>
      <c r="K15" s="21">
        <f si="2" t="shared"/>
        <v>0.25687864459716553</v>
      </c>
      <c r="M15">
        <v>7</v>
      </c>
      <c r="N15" s="157">
        <f>V9</f>
        <v>0.16304005993109999</v>
      </c>
      <c r="O15" s="8">
        <f>B15/H15</f>
        <v>1.2930944452046786</v>
      </c>
      <c r="P15" s="141">
        <f>R15*(LN(O15)-LN(O14))</f>
        <v>0</v>
      </c>
      <c r="Q15" s="155">
        <f>N15+P15</f>
        <v>0.16304005993109999</v>
      </c>
      <c r="R15" s="91">
        <v>0</v>
      </c>
      <c r="T15">
        <f>WorkLocationCoefficients!B23</f>
        <v>13</v>
      </c>
      <c r="U15" t="str">
        <f>WorkLocationCoefficients!C23</f>
        <v>Beta00013</v>
      </c>
      <c r="V15" s="40">
        <f>WorkLocationCoefficients!E23</f>
        <v>0.40796503771199999</v>
      </c>
      <c r="W15" s="162">
        <f>_xlfn.IFNA(VLOOKUP(T15,$M$13:$Q$39,5,FALSE),_xlfn.IFNA(VLOOKUP(T15,calibration_flow!$AD$3:$AH$25,5,FALSE),V15))</f>
        <v>0.40796503771199999</v>
      </c>
      <c r="X15" s="95">
        <f si="0" t="shared"/>
        <v>0</v>
      </c>
      <c r="Z15" s="75">
        <v>6</v>
      </c>
      <c r="AA15" s="75" t="s">
        <v>264</v>
      </c>
      <c r="AB15" s="75"/>
      <c r="AC15" s="75"/>
      <c r="AD15" s="75"/>
      <c r="AE15" s="75"/>
    </row>
    <row r="16" spans="1:31" x14ac:dyDescent="0.25">
      <c r="A16" s="47" t="s">
        <v>216</v>
      </c>
      <c r="B16" s="50">
        <f si="1" t="shared"/>
        <v>0.54588093246277214</v>
      </c>
      <c r="C16" s="50">
        <f si="1" t="shared"/>
        <v>0.3712022222185245</v>
      </c>
      <c r="D16" s="50">
        <f si="1" t="shared"/>
        <v>0.30358212255593359</v>
      </c>
      <c r="E16" s="50">
        <f si="1" t="shared"/>
        <v>0.5161161751812029</v>
      </c>
      <c r="G16" s="47" t="s">
        <v>216</v>
      </c>
      <c r="H16" s="50">
        <f si="2" t="shared"/>
        <v>0.64764890729131952</v>
      </c>
      <c r="I16" s="50">
        <f si="2" t="shared"/>
        <v>0.45530363142167374</v>
      </c>
      <c r="J16" s="50">
        <f si="2" t="shared"/>
        <v>0.35432039990478459</v>
      </c>
      <c r="K16" s="21">
        <f si="2" t="shared"/>
        <v>0.61854352446876415</v>
      </c>
      <c r="L16" s="32"/>
      <c r="M16" s="6">
        <v>8</v>
      </c>
      <c r="N16" s="158">
        <f>V10</f>
        <v>-0.66484078944180003</v>
      </c>
      <c r="O16" s="13">
        <f>B16/H16</f>
        <v>0.84286551913725216</v>
      </c>
      <c r="P16" s="159">
        <f>R16*(LN(O16)-LN(O14)-LN(O15))</f>
        <v>0</v>
      </c>
      <c r="Q16" s="156">
        <f>N16+P16</f>
        <v>-0.66484078944180003</v>
      </c>
      <c r="R16" s="91">
        <v>0</v>
      </c>
      <c r="T16">
        <f>WorkLocationCoefficients!B24</f>
        <v>14</v>
      </c>
      <c r="U16" t="str">
        <f>WorkLocationCoefficients!C24</f>
        <v>Beta00014</v>
      </c>
      <c r="V16" s="40">
        <f>WorkLocationCoefficients!E24</f>
        <v>-0.50293651045300003</v>
      </c>
      <c r="W16" s="162">
        <f>_xlfn.IFNA(VLOOKUP(T16,$M$13:$Q$39,5,FALSE),_xlfn.IFNA(VLOOKUP(T16,calibration_flow!$AD$3:$AH$25,5,FALSE),V16))</f>
        <v>-0.50293651045300003</v>
      </c>
      <c r="X16" s="95">
        <f si="0" t="shared"/>
        <v>0</v>
      </c>
      <c r="Z16" s="75">
        <v>7</v>
      </c>
      <c r="AA16" s="75" t="s">
        <v>265</v>
      </c>
      <c r="AB16" s="75"/>
      <c r="AC16" s="75"/>
      <c r="AD16" s="75"/>
      <c r="AE16" s="75"/>
    </row>
    <row ht="15.75" r="17" spans="1:31" thickBot="1" x14ac:dyDescent="0.3">
      <c r="A17" s="49" t="s">
        <v>3</v>
      </c>
      <c r="B17" s="51">
        <f>SUM(B14:B16)</f>
        <v>0.99999999999999989</v>
      </c>
      <c r="C17" s="51">
        <f>SUM(C14:C16)</f>
        <v>1</v>
      </c>
      <c r="D17" s="51">
        <f>SUM(D14:D16)</f>
        <v>1</v>
      </c>
      <c r="E17" s="51">
        <f>SUM(E14:E16)</f>
        <v>1</v>
      </c>
      <c r="F17" s="32"/>
      <c r="G17" s="49" t="s">
        <v>3</v>
      </c>
      <c r="H17" s="51">
        <f>SUM(H14:H16)</f>
        <v>1</v>
      </c>
      <c r="I17" s="51">
        <f>SUM(I14:I16)</f>
        <v>1</v>
      </c>
      <c r="J17" s="51">
        <f>SUM(J14:J16)</f>
        <v>1</v>
      </c>
      <c r="K17" s="51">
        <f>SUM(K14:K16)</f>
        <v>1</v>
      </c>
      <c r="L17" s="32"/>
      <c r="M17" s="32"/>
      <c r="N17" s="45"/>
      <c r="O17" s="46"/>
      <c r="P17" s="46"/>
      <c r="Q17" s="45"/>
      <c r="T17">
        <f>WorkLocationCoefficients!B25</f>
        <v>15</v>
      </c>
      <c r="U17" t="str">
        <f>WorkLocationCoefficients!C25</f>
        <v>Beta00015</v>
      </c>
      <c r="V17" s="40">
        <f>WorkLocationCoefficients!E25</f>
        <v>-1.61322160644</v>
      </c>
      <c r="W17" s="162">
        <f>_xlfn.IFNA(VLOOKUP(T17,$M$13:$Q$39,5,FALSE),_xlfn.IFNA(VLOOKUP(T17,calibration_flow!$AD$3:$AH$25,5,FALSE),V17))</f>
        <v>-1.61322160644</v>
      </c>
      <c r="X17" s="95">
        <f si="0" t="shared"/>
        <v>0</v>
      </c>
      <c r="Z17" s="75">
        <v>8</v>
      </c>
      <c r="AA17" s="75" t="s">
        <v>260</v>
      </c>
      <c r="AB17" s="75"/>
      <c r="AC17" s="75"/>
      <c r="AD17" s="75"/>
      <c r="AE17" s="75"/>
    </row>
    <row r="18" spans="1:31" x14ac:dyDescent="0.25">
      <c r="A18" s="43"/>
      <c r="B18" s="44"/>
      <c r="C18" s="44"/>
      <c r="D18" s="44"/>
      <c r="E18" s="44"/>
      <c r="F18" s="32"/>
      <c r="G18" s="43"/>
      <c r="H18" s="44"/>
      <c r="I18" s="44"/>
      <c r="J18" s="44"/>
      <c r="K18" s="44"/>
      <c r="L18" s="32"/>
      <c r="M18" s="32"/>
      <c r="N18" s="45"/>
      <c r="O18" s="46"/>
      <c r="P18" s="46"/>
      <c r="Q18" s="45"/>
      <c r="T18">
        <f>WorkLocationCoefficients!B26</f>
        <v>16</v>
      </c>
      <c r="U18" t="str">
        <f>WorkLocationCoefficients!C26</f>
        <v>Beta00016</v>
      </c>
      <c r="V18" s="40">
        <f>WorkLocationCoefficients!E26</f>
        <v>0.130749629122</v>
      </c>
      <c r="W18" s="162">
        <f>_xlfn.IFNA(VLOOKUP(T18,$M$13:$Q$39,5,FALSE),_xlfn.IFNA(VLOOKUP(T18,calibration_flow!$AD$3:$AH$25,5,FALSE),V18))</f>
        <v>0.130749629122</v>
      </c>
      <c r="X18" s="95">
        <f si="0" t="shared"/>
        <v>0</v>
      </c>
    </row>
    <row r="19" spans="1:31" x14ac:dyDescent="0.25">
      <c r="A19" s="43"/>
      <c r="B19" s="44"/>
      <c r="C19" s="44"/>
      <c r="D19" s="44"/>
      <c r="E19" s="44"/>
      <c r="F19" s="32"/>
      <c r="G19" s="43"/>
      <c r="H19" s="44"/>
      <c r="I19" s="44"/>
      <c r="J19" s="44"/>
      <c r="K19" s="44"/>
      <c r="L19" s="32"/>
      <c r="M19" s="32"/>
      <c r="N19" s="45"/>
      <c r="O19" s="46"/>
      <c r="P19" s="46"/>
      <c r="Q19" s="45"/>
      <c r="R19" s="7"/>
      <c r="T19">
        <f>WorkLocationCoefficients!B27</f>
        <v>17</v>
      </c>
      <c r="U19" t="str">
        <f>WorkLocationCoefficients!C27</f>
        <v>Beta00017</v>
      </c>
      <c r="V19" s="40">
        <f>WorkLocationCoefficients!E27</f>
        <v>8.4077289836199998E-2</v>
      </c>
      <c r="W19" s="162">
        <f>_xlfn.IFNA(VLOOKUP(T19,$M$13:$Q$39,5,FALSE),_xlfn.IFNA(VLOOKUP(T19,calibration_flow!$AD$3:$AH$25,5,FALSE),V19))</f>
        <v>8.4077289836199998E-2</v>
      </c>
      <c r="X19" s="95">
        <f si="0" t="shared"/>
        <v>0</v>
      </c>
    </row>
    <row r="20" spans="1:31" x14ac:dyDescent="0.25">
      <c r="A20" s="32"/>
      <c r="B20" s="44"/>
      <c r="C20" s="44"/>
      <c r="D20" s="44"/>
      <c r="E20" s="44"/>
      <c r="F20" s="32"/>
      <c r="G20" s="32"/>
      <c r="H20" s="44"/>
      <c r="I20" s="44"/>
      <c r="J20" s="44"/>
      <c r="K20" s="44"/>
      <c r="L20" s="32"/>
      <c r="M20" s="32"/>
      <c r="N20" s="32"/>
      <c r="O20" s="32"/>
      <c r="P20" s="46"/>
      <c r="Q20" s="32"/>
      <c r="T20">
        <f>WorkLocationCoefficients!B28</f>
        <v>18</v>
      </c>
      <c r="U20" t="str">
        <f>WorkLocationCoefficients!C28</f>
        <v>Beta00018</v>
      </c>
      <c r="V20" s="40">
        <f>WorkLocationCoefficients!E28</f>
        <v>0</v>
      </c>
      <c r="W20" s="162">
        <f>_xlfn.IFNA(VLOOKUP(T20,$M$13:$Q$39,5,FALSE),_xlfn.IFNA(VLOOKUP(T20,calibration_flow!$AD$3:$AH$25,5,FALSE),V20))</f>
        <v>0</v>
      </c>
      <c r="X20" s="95">
        <f si="0" t="shared"/>
        <v>0</v>
      </c>
    </row>
    <row r="21" spans="1:31" x14ac:dyDescent="0.25">
      <c r="T21">
        <f>WorkLocationCoefficients!B29</f>
        <v>19</v>
      </c>
      <c r="U21" t="str">
        <f>WorkLocationCoefficients!C29</f>
        <v>Beta00019</v>
      </c>
      <c r="V21" s="40">
        <f>WorkLocationCoefficients!E29</f>
        <v>0.106386053639</v>
      </c>
      <c r="W21" s="162">
        <f>_xlfn.IFNA(VLOOKUP(T21,$M$13:$Q$39,5,FALSE),_xlfn.IFNA(VLOOKUP(T21,calibration_flow!$AD$3:$AH$25,5,FALSE),V21))</f>
        <v>0.106386053639</v>
      </c>
      <c r="X21" s="95">
        <f si="0" t="shared"/>
        <v>0</v>
      </c>
    </row>
    <row r="22" spans="1:31" x14ac:dyDescent="0.25">
      <c r="N22" s="37"/>
      <c r="Q22" s="38"/>
      <c r="T22">
        <f>WorkLocationCoefficients!B30</f>
        <v>20</v>
      </c>
      <c r="U22" t="str">
        <f>WorkLocationCoefficients!C30</f>
        <v>Beta00020</v>
      </c>
      <c r="V22" s="40">
        <f>WorkLocationCoefficients!E30</f>
        <v>0.88087687792799996</v>
      </c>
      <c r="W22" s="162">
        <f>_xlfn.IFNA(VLOOKUP(T22,$M$13:$Q$39,5,FALSE),_xlfn.IFNA(VLOOKUP(T22,calibration_flow!$AD$3:$AH$25,5,FALSE),V22))</f>
        <v>0.88087687792799996</v>
      </c>
      <c r="X22" s="95">
        <f si="0" t="shared"/>
        <v>0</v>
      </c>
    </row>
    <row r="23" spans="1:31" x14ac:dyDescent="0.25">
      <c r="A23" s="42" t="s">
        <v>242</v>
      </c>
      <c r="B23" s="32"/>
      <c r="C23" s="32"/>
      <c r="D23" s="32"/>
      <c r="E23" s="32"/>
      <c r="F23" s="32"/>
      <c r="G23" s="220" t="s">
        <v>430</v>
      </c>
      <c r="H23" s="98"/>
      <c r="I23" s="98"/>
      <c r="J23" s="32"/>
      <c r="K23" s="32"/>
      <c r="L23" s="32"/>
      <c r="M23" s="32"/>
      <c r="N23" s="32"/>
      <c r="O23" s="32"/>
      <c r="P23" s="32"/>
      <c r="Q23" s="32"/>
      <c r="T23">
        <f>WorkLocationCoefficients!B31</f>
        <v>21</v>
      </c>
      <c r="U23" t="str">
        <f>WorkLocationCoefficients!C31</f>
        <v>Beta00021</v>
      </c>
      <c r="V23" s="40">
        <f>WorkLocationCoefficients!E31</f>
        <v>-0.16458061134300001</v>
      </c>
      <c r="W23" s="162">
        <f>_xlfn.IFNA(VLOOKUP(T23,$M$13:$Q$39,5,FALSE),_xlfn.IFNA(VLOOKUP(T23,calibration_flow!$AD$3:$AH$25,5,FALSE),V23))</f>
        <v>-0.16458061134300001</v>
      </c>
      <c r="X23" s="95">
        <f si="0" t="shared"/>
        <v>0</v>
      </c>
    </row>
    <row ht="15.75" r="24" spans="1:31" thickBot="1" x14ac:dyDescent="0.3">
      <c r="A24" s="32"/>
      <c r="B24" s="32"/>
      <c r="C24" s="32"/>
      <c r="D24" s="32"/>
      <c r="E24" s="32"/>
      <c r="F24" s="32"/>
      <c r="G24" s="98"/>
      <c r="H24" s="98"/>
      <c r="I24" s="98"/>
      <c r="J24" s="32"/>
      <c r="K24" s="32"/>
      <c r="L24" s="32"/>
      <c r="M24" s="32"/>
      <c r="N24" s="32"/>
      <c r="O24" s="32"/>
      <c r="P24" s="32"/>
      <c r="Q24" s="32"/>
      <c r="T24">
        <f>WorkLocationCoefficients!B32</f>
        <v>22</v>
      </c>
      <c r="U24" t="str">
        <f>WorkLocationCoefficients!C32</f>
        <v>Beta00022</v>
      </c>
      <c r="V24" s="40">
        <f>WorkLocationCoefficients!E32</f>
        <v>0.154182014038</v>
      </c>
      <c r="W24" s="162">
        <f>_xlfn.IFNA(VLOOKUP(T24,$M$13:$Q$39,5,FALSE),_xlfn.IFNA(VLOOKUP(T24,calibration_flow!$AD$3:$AH$25,5,FALSE),V24))</f>
        <v>0.154182014038</v>
      </c>
      <c r="X24" s="95">
        <f si="0" t="shared"/>
        <v>0</v>
      </c>
    </row>
    <row r="25" spans="1:31" x14ac:dyDescent="0.25">
      <c r="A25" s="5"/>
      <c r="B25" s="5" t="s">
        <v>203</v>
      </c>
      <c r="C25" s="5" t="s">
        <v>253</v>
      </c>
      <c r="D25" s="52"/>
      <c r="E25" s="52"/>
      <c r="G25" s="221"/>
      <c r="H25" s="221" t="s">
        <v>203</v>
      </c>
      <c r="I25" s="221" t="s">
        <v>253</v>
      </c>
      <c r="J25" s="52"/>
      <c r="K25" s="52"/>
      <c r="M25" s="54"/>
      <c r="N25" s="54"/>
      <c r="O25" s="54"/>
      <c r="P25" s="54"/>
      <c r="Q25" s="54"/>
      <c r="T25">
        <f>WorkLocationCoefficients!B33</f>
        <v>23</v>
      </c>
      <c r="U25" t="str">
        <f>WorkLocationCoefficients!C33</f>
        <v>Beta00023</v>
      </c>
      <c r="V25" s="40">
        <f>WorkLocationCoefficients!E33</f>
        <v>4.79448884421E-2</v>
      </c>
      <c r="W25" s="162">
        <f>_xlfn.IFNA(VLOOKUP(T25,$M$13:$Q$39,5,FALSE),_xlfn.IFNA(VLOOKUP(T25,calibration_flow!$AD$3:$AH$25,5,FALSE),V25))</f>
        <v>4.79448884421E-2</v>
      </c>
      <c r="X25" s="95">
        <f si="0" t="shared"/>
        <v>0</v>
      </c>
    </row>
    <row r="26" spans="1:31" x14ac:dyDescent="0.25">
      <c r="A26" s="48" t="s">
        <v>217</v>
      </c>
      <c r="B26" s="70">
        <f>WorkAtHome!E14</f>
        <v>19471.927305737503</v>
      </c>
      <c r="C26" s="70">
        <f>WorkAtHome!L14</f>
        <v>62301</v>
      </c>
      <c r="D26" s="55"/>
      <c r="E26" s="55"/>
      <c r="G26" s="222" t="s">
        <v>430</v>
      </c>
      <c r="H26" s="223">
        <f>Telecommute!E18</f>
        <v>26320.20201155094</v>
      </c>
      <c r="I26" s="223">
        <f>Telecommute!L18</f>
        <v>240415.91047541672</v>
      </c>
      <c r="J26" s="55"/>
      <c r="K26" s="55"/>
      <c r="L26" s="32"/>
      <c r="M26" s="32"/>
      <c r="N26" s="45"/>
      <c r="O26" s="46"/>
      <c r="P26" s="46"/>
      <c r="Q26" s="45"/>
      <c r="T26">
        <f>WorkLocationCoefficients!B34</f>
        <v>24</v>
      </c>
      <c r="U26" t="str">
        <f>WorkLocationCoefficients!C34</f>
        <v>Beta00024</v>
      </c>
      <c r="V26" s="40">
        <f>WorkLocationCoefficients!E34</f>
        <v>6.4843520043099998E-2</v>
      </c>
      <c r="W26" s="162">
        <f>_xlfn.IFNA(VLOOKUP(T26,$M$13:$Q$39,5,FALSE),_xlfn.IFNA(VLOOKUP(T26,calibration_flow!$AD$3:$AH$25,5,FALSE),V26))</f>
        <v>6.4843520043099998E-2</v>
      </c>
      <c r="X26" s="95">
        <f si="0" t="shared"/>
        <v>0</v>
      </c>
    </row>
    <row ht="15.75" r="27" spans="1:31" thickBot="1" x14ac:dyDescent="0.3">
      <c r="A27" s="49" t="s">
        <v>3</v>
      </c>
      <c r="B27" s="61">
        <f>WorkAtHome!E25</f>
        <v>579533.59447685489</v>
      </c>
      <c r="C27" s="61">
        <f>WorkAtHome!L25</f>
        <v>797552</v>
      </c>
      <c r="D27" s="7"/>
      <c r="G27" s="224" t="s">
        <v>3</v>
      </c>
      <c r="H27" s="225">
        <f>Telecommute!E33</f>
        <v>379545.8901991556</v>
      </c>
      <c r="I27" s="225">
        <f>Telecommute!L33</f>
        <v>2723742.84622224</v>
      </c>
      <c r="J27" s="7"/>
      <c r="K27" s="7"/>
      <c r="M27" s="32"/>
      <c r="N27" s="32"/>
      <c r="O27" s="32"/>
      <c r="P27" s="32"/>
      <c r="Q27" s="32"/>
      <c r="T27">
        <f>WorkLocationCoefficients!B35</f>
        <v>25</v>
      </c>
      <c r="U27" t="str">
        <f>WorkLocationCoefficients!C35</f>
        <v>Beta00025</v>
      </c>
      <c r="V27" s="40">
        <f>WorkLocationCoefficients!E35</f>
        <v>0.15272053169499999</v>
      </c>
      <c r="W27" s="162">
        <f>_xlfn.IFNA(VLOOKUP(T27,$M$13:$Q$39,5,FALSE),_xlfn.IFNA(VLOOKUP(T27,calibration_flow!$AD$3:$AH$25,5,FALSE),V27))</f>
        <v>0.15272053169499999</v>
      </c>
      <c r="X27" s="95">
        <f si="0" t="shared"/>
        <v>0</v>
      </c>
    </row>
    <row r="28" spans="1:31" x14ac:dyDescent="0.25">
      <c r="G28" s="98"/>
      <c r="H28" s="98"/>
      <c r="I28" s="98"/>
      <c r="T28">
        <f>WorkLocationCoefficients!B36</f>
        <v>26</v>
      </c>
      <c r="U28" t="str">
        <f>WorkLocationCoefficients!C36</f>
        <v>Beta00026</v>
      </c>
      <c r="V28" s="40">
        <f>WorkLocationCoefficients!E36</f>
        <v>7.2028590735099998E-2</v>
      </c>
      <c r="W28" s="162">
        <f>_xlfn.IFNA(VLOOKUP(T28,$M$13:$Q$39,5,FALSE),_xlfn.IFNA(VLOOKUP(T28,calibration_flow!$AD$3:$AH$25,5,FALSE),V28))</f>
        <v>7.2028590735099998E-2</v>
      </c>
      <c r="X28" s="95">
        <f si="0" t="shared"/>
        <v>0</v>
      </c>
    </row>
    <row ht="15.75" r="29" spans="1:31" thickBot="1" x14ac:dyDescent="0.3">
      <c r="A29" t="s">
        <v>243</v>
      </c>
      <c r="G29" s="98" t="s">
        <v>243</v>
      </c>
      <c r="H29" s="98"/>
      <c r="I29" s="98"/>
      <c r="M29" s="10" t="s">
        <v>397</v>
      </c>
      <c r="T29">
        <f>WorkLocationCoefficients!B37</f>
        <v>27</v>
      </c>
      <c r="U29" t="str">
        <f>WorkLocationCoefficients!C37</f>
        <v>Beta00027</v>
      </c>
      <c r="V29" s="40">
        <f>WorkLocationCoefficients!E37</f>
        <v>-0.27934224041799999</v>
      </c>
      <c r="W29" s="162">
        <f>_xlfn.IFNA(VLOOKUP(T29,$M$13:$Q$39,5,FALSE),_xlfn.IFNA(VLOOKUP(T29,calibration_flow!$AD$3:$AH$25,5,FALSE),V29))</f>
        <v>-0.27934224041799999</v>
      </c>
      <c r="X29" s="95">
        <f si="0" t="shared"/>
        <v>0</v>
      </c>
    </row>
    <row r="30" spans="1:31" x14ac:dyDescent="0.25">
      <c r="A30" s="5"/>
      <c r="B30" s="5" t="s">
        <v>203</v>
      </c>
      <c r="C30" s="5" t="s">
        <v>253</v>
      </c>
      <c r="D30" s="52" t="s">
        <v>409</v>
      </c>
      <c r="E30" s="52"/>
      <c r="G30" s="221"/>
      <c r="H30" s="221" t="str">
        <f>H25</f>
        <v>Survey</v>
      </c>
      <c r="I30" s="221" t="str">
        <f>I25</f>
        <v>DaySim</v>
      </c>
      <c r="J30" s="52"/>
      <c r="K30" s="52"/>
      <c r="M30" s="5" t="s">
        <v>225</v>
      </c>
      <c r="N30" s="5" t="s">
        <v>223</v>
      </c>
      <c r="O30" s="5" t="s">
        <v>221</v>
      </c>
      <c r="P30" s="5" t="s">
        <v>222</v>
      </c>
      <c r="Q30" s="5" t="s">
        <v>224</v>
      </c>
      <c r="R30" s="54" t="s">
        <v>268</v>
      </c>
      <c r="T30">
        <f>WorkLocationCoefficients!B38</f>
        <v>28</v>
      </c>
      <c r="U30" t="str">
        <f>WorkLocationCoefficients!C38</f>
        <v>Beta00028</v>
      </c>
      <c r="V30" s="40">
        <f>WorkLocationCoefficients!E38</f>
        <v>4.3626229225700003E-2</v>
      </c>
      <c r="W30" s="162">
        <f>_xlfn.IFNA(VLOOKUP(T30,$M$13:$Q$39,5,FALSE),_xlfn.IFNA(VLOOKUP(T30,calibration_flow!$AD$3:$AH$25,5,FALSE),V30))</f>
        <v>4.3626229225700003E-2</v>
      </c>
      <c r="X30" s="95">
        <f si="0" t="shared"/>
        <v>0</v>
      </c>
    </row>
    <row r="31" spans="1:31" x14ac:dyDescent="0.25">
      <c r="A31" s="48" t="s">
        <v>217</v>
      </c>
      <c r="B31" s="57">
        <f>B26/B27</f>
        <v>3.3599307255543685E-2</v>
      </c>
      <c r="C31" s="57">
        <f>C26/C27</f>
        <v>7.8115282765261695E-2</v>
      </c>
      <c r="D31" s="104">
        <f>C26/(K10+C26)</f>
        <v>8.8023487623926741E-2</v>
      </c>
      <c r="E31" s="55"/>
      <c r="G31" s="222" t="s">
        <v>430</v>
      </c>
      <c r="H31" s="226">
        <f>IFERROR(H26/H27,0)</f>
        <v>6.934656043236348E-2</v>
      </c>
      <c r="I31" s="226">
        <f>IFERROR(I26/I27,0)</f>
        <v>8.8266743245922527E-2</v>
      </c>
      <c r="J31" s="55"/>
      <c r="K31" s="55"/>
      <c r="M31" s="6">
        <v>41</v>
      </c>
      <c r="N31" s="158">
        <f>V39</f>
        <v>-1.2033803293631999</v>
      </c>
      <c r="O31" s="13">
        <f>B31/C31</f>
        <v>0.43012463203276641</v>
      </c>
      <c r="P31" s="159">
        <f>R31*LN(O31)</f>
        <v>0</v>
      </c>
      <c r="Q31" s="160">
        <f>N31+P31</f>
        <v>-1.2033803293631999</v>
      </c>
      <c r="R31" s="91">
        <v>0</v>
      </c>
      <c r="T31">
        <f>WorkLocationCoefficients!B39</f>
        <v>29</v>
      </c>
      <c r="U31" t="str">
        <f>WorkLocationCoefficients!C39</f>
        <v>Beta00029</v>
      </c>
      <c r="V31" s="40">
        <f>WorkLocationCoefficients!E39</f>
        <v>-8.7886819411100006E-2</v>
      </c>
      <c r="W31" s="162">
        <f>_xlfn.IFNA(VLOOKUP(T31,$M$13:$Q$39,5,FALSE),_xlfn.IFNA(VLOOKUP(T31,calibration_flow!$AD$3:$AH$25,5,FALSE),V31))</f>
        <v>-8.7886819411100006E-2</v>
      </c>
      <c r="X31" s="95">
        <f si="0" t="shared"/>
        <v>0</v>
      </c>
    </row>
    <row ht="15.75" r="32" spans="1:31" thickBot="1" x14ac:dyDescent="0.3">
      <c r="A32" s="49" t="s">
        <v>3</v>
      </c>
      <c r="B32" s="56">
        <f>B27/B27</f>
        <v>1</v>
      </c>
      <c r="C32" s="56">
        <f>C27/C27</f>
        <v>1</v>
      </c>
      <c r="G32" s="224" t="s">
        <v>3</v>
      </c>
      <c r="H32" s="227">
        <f>IFERROR(H27/H27,0)</f>
        <v>1</v>
      </c>
      <c r="I32" s="227">
        <f>IFERROR(I27/I27,0)</f>
        <v>1</v>
      </c>
      <c r="T32">
        <f>WorkLocationCoefficients!B40</f>
        <v>30</v>
      </c>
      <c r="U32" t="str">
        <f>WorkLocationCoefficients!C40</f>
        <v>Beta00030</v>
      </c>
      <c r="V32" s="40">
        <f>WorkLocationCoefficients!E40</f>
        <v>-4.2894941477000001E-2</v>
      </c>
      <c r="W32" s="162">
        <f>_xlfn.IFNA(VLOOKUP(T32,$M$13:$Q$39,5,FALSE),_xlfn.IFNA(VLOOKUP(T32,calibration_flow!$AD$3:$AH$25,5,FALSE),V32))</f>
        <v>-4.2894941477000001E-2</v>
      </c>
      <c r="X32" s="95">
        <f si="0" t="shared"/>
        <v>0</v>
      </c>
    </row>
    <row r="33" spans="1:24" x14ac:dyDescent="0.25">
      <c r="T33">
        <f>WorkLocationCoefficients!B41</f>
        <v>31</v>
      </c>
      <c r="U33" t="str">
        <f>WorkLocationCoefficients!C41</f>
        <v>Beta00031</v>
      </c>
      <c r="V33" s="40">
        <f>WorkLocationCoefficients!E41</f>
        <v>-0.13045579928000001</v>
      </c>
      <c r="W33" s="162">
        <f>_xlfn.IFNA(VLOOKUP(T33,$M$13:$Q$39,5,FALSE),_xlfn.IFNA(VLOOKUP(T33,calibration_flow!$AD$3:$AH$25,5,FALSE),V33))</f>
        <v>-0.13045579928000001</v>
      </c>
      <c r="X33" s="95">
        <f si="0" t="shared"/>
        <v>0</v>
      </c>
    </row>
    <row ht="15.75" r="34" spans="1:24" thickBot="1" x14ac:dyDescent="0.3">
      <c r="A34" s="1"/>
      <c r="B34" s="1"/>
      <c r="C34" s="1"/>
      <c r="D34" s="1"/>
      <c r="E34" s="1"/>
      <c r="F34" s="1"/>
      <c r="G34" s="1"/>
      <c r="H34" s="1"/>
      <c r="T34">
        <f>WorkLocationCoefficients!B42</f>
        <v>32</v>
      </c>
      <c r="U34" t="str">
        <f>WorkLocationCoefficients!C42</f>
        <v>Beta00032</v>
      </c>
      <c r="V34" s="40">
        <f>WorkLocationCoefficients!E42</f>
        <v>0.18945088644899999</v>
      </c>
      <c r="W34" s="162">
        <f>_xlfn.IFNA(VLOOKUP(T34,$M$13:$Q$39,5,FALSE),_xlfn.IFNA(VLOOKUP(T34,calibration_flow!$AD$3:$AH$25,5,FALSE),V34))</f>
        <v>0.18945088644899999</v>
      </c>
      <c r="X34" s="95">
        <f si="0" t="shared"/>
        <v>0</v>
      </c>
    </row>
    <row r="35" spans="1:24" x14ac:dyDescent="0.25">
      <c r="A35" s="7"/>
      <c r="B35" s="7"/>
      <c r="C35" s="5" t="s">
        <v>9</v>
      </c>
      <c r="D35" s="5"/>
      <c r="E35" s="5" t="s">
        <v>10</v>
      </c>
      <c r="F35" s="5"/>
      <c r="G35" s="3" t="s">
        <v>269</v>
      </c>
      <c r="H35" s="3"/>
      <c r="M35" s="36"/>
      <c r="T35">
        <f>WorkLocationCoefficients!B43</f>
        <v>33</v>
      </c>
      <c r="U35" t="str">
        <f>WorkLocationCoefficients!C43</f>
        <v>Beta00033</v>
      </c>
      <c r="V35" s="40">
        <f>WorkLocationCoefficients!E43</f>
        <v>-0.179523169776</v>
      </c>
      <c r="W35" s="162">
        <f>_xlfn.IFNA(VLOOKUP(T35,$M$13:$Q$39,5,FALSE),_xlfn.IFNA(VLOOKUP(T35,calibration_flow!$AD$3:$AH$25,5,FALSE),V35))</f>
        <v>-0.179523169776</v>
      </c>
      <c r="X35" s="95">
        <f si="0" t="shared"/>
        <v>0</v>
      </c>
    </row>
    <row ht="15.75" r="36" spans="1:24" thickBot="1" x14ac:dyDescent="0.3">
      <c r="A36" s="6" t="s">
        <v>270</v>
      </c>
      <c r="B36" s="6" t="s">
        <v>271</v>
      </c>
      <c r="C36" s="6" t="s">
        <v>203</v>
      </c>
      <c r="D36" s="6" t="s">
        <v>219</v>
      </c>
      <c r="E36" s="6" t="s">
        <v>203</v>
      </c>
      <c r="F36" s="6" t="s">
        <v>219</v>
      </c>
      <c r="G36" s="80" t="s">
        <v>9</v>
      </c>
      <c r="H36" s="80" t="s">
        <v>10</v>
      </c>
      <c r="M36" s="10" t="s">
        <v>399</v>
      </c>
      <c r="T36">
        <f>WorkLocationCoefficients!B44</f>
        <v>34</v>
      </c>
      <c r="U36" t="str">
        <f>WorkLocationCoefficients!C44</f>
        <v>Beta00034</v>
      </c>
      <c r="V36" s="40">
        <f>WorkLocationCoefficients!E44</f>
        <v>0.17233347539499999</v>
      </c>
      <c r="W36" s="162">
        <f>_xlfn.IFNA(VLOOKUP(T36,$M$13:$Q$39,5,FALSE),_xlfn.IFNA(VLOOKUP(T36,calibration_flow!$AD$3:$AH$25,5,FALSE),V36))</f>
        <v>0.17233347539499999</v>
      </c>
      <c r="X36" s="95">
        <f si="0" t="shared"/>
        <v>0</v>
      </c>
    </row>
    <row r="37" spans="1:24" x14ac:dyDescent="0.25">
      <c r="A37">
        <f>TLFD!A11+0.5</f>
        <v>0.5</v>
      </c>
      <c r="B37" s="81">
        <f>LN(1+A37)</f>
        <v>0.40546510810816438</v>
      </c>
      <c r="C37" s="78">
        <f>TLFD!C11/SUM(TLFD!$C$11:$C$100)</f>
        <v>3.8976578246529635E-2</v>
      </c>
      <c r="D37" s="78">
        <f>TLFD!I11/SUM(TLFD!$I$11:$I$100)</f>
        <v>2.6876909830668715E-2</v>
      </c>
      <c r="E37" s="78">
        <f>TLFD!D11/SUM(TLFD!$D$11:$D$101)</f>
        <v>2.7807318704047491E-2</v>
      </c>
      <c r="F37" s="78">
        <f>TLFD!J11/SUM(TLFD!$J$11:$J$100)</f>
        <v>4.6536538919304926E-2</v>
      </c>
      <c r="G37" s="141">
        <f ref="G37:G100" si="3" t="shared">IF(AND(C37&gt;0, D37&gt;0),LN(C37/D37),0)</f>
        <v>0.371693360551616</v>
      </c>
      <c r="H37" s="141">
        <f>IF(AND(E37&gt;0, F37&gt;0),LN(E37/F37),0)</f>
        <v>-0.51493853845361592</v>
      </c>
      <c r="M37" s="82" t="s">
        <v>272</v>
      </c>
      <c r="N37" s="82" t="s">
        <v>273</v>
      </c>
      <c r="O37" s="82" t="s">
        <v>222</v>
      </c>
      <c r="P37" s="82" t="s">
        <v>223</v>
      </c>
      <c r="Q37" s="82" t="s">
        <v>224</v>
      </c>
      <c r="R37" s="54" t="s">
        <v>268</v>
      </c>
      <c r="T37">
        <f>WorkLocationCoefficients!B45</f>
        <v>35</v>
      </c>
      <c r="U37" t="str">
        <f>WorkLocationCoefficients!C45</f>
        <v>Beta00035</v>
      </c>
      <c r="V37" s="40">
        <f>WorkLocationCoefficients!E45</f>
        <v>-0.194698386872</v>
      </c>
      <c r="W37" s="162">
        <f>_xlfn.IFNA(VLOOKUP(T37,$M$13:$Q$39,5,FALSE),_xlfn.IFNA(VLOOKUP(T37,calibration_flow!$AD$3:$AH$25,5,FALSE),V37))</f>
        <v>-0.194698386872</v>
      </c>
      <c r="X37" s="95">
        <f si="0" t="shared"/>
        <v>0</v>
      </c>
    </row>
    <row r="38" spans="1:24" x14ac:dyDescent="0.25">
      <c r="A38">
        <f>TLFD!A12+0.5</f>
        <v>1.5</v>
      </c>
      <c r="B38" s="81">
        <f ref="B38:B101" si="4" t="shared">LN(1+A38)</f>
        <v>0.91629073187415511</v>
      </c>
      <c r="C38" s="78">
        <f>TLFD!C12/SUM(TLFD!$C$11:$C$100)</f>
        <v>9.6145615562690565E-2</v>
      </c>
      <c r="D38" s="78">
        <f>TLFD!I12/SUM(TLFD!$I$11:$I$100)</f>
        <v>6.2701534617527394E-2</v>
      </c>
      <c r="E38" s="78">
        <f>TLFD!D12/SUM(TLFD!$D$11:$D$101)</f>
        <v>0.14735728323036731</v>
      </c>
      <c r="F38" s="78">
        <f>TLFD!J12/SUM(TLFD!$J$11:$J$100)</f>
        <v>0.10061096564310085</v>
      </c>
      <c r="G38" s="141">
        <f si="3" t="shared"/>
        <v>0.42747794812505735</v>
      </c>
      <c r="H38" s="141">
        <f ref="H38:H101" si="5" t="shared">IF(AND(E38&gt;0, F38&gt;0),LN(E38/F38),0)</f>
        <v>0.38159888191922098</v>
      </c>
      <c r="M38" s="92">
        <v>9</v>
      </c>
      <c r="N38" s="83"/>
      <c r="O38" s="161">
        <f>K64</f>
        <v>-2.3769499067547318E-2</v>
      </c>
      <c r="P38" s="161">
        <f>VLOOKUP(M38,$T:$W,3,FALSE)</f>
        <v>-2.1673496431996999</v>
      </c>
      <c r="Q38" s="161">
        <f>P38+O38*R38</f>
        <v>-2.1673496431996999</v>
      </c>
      <c r="R38" s="91">
        <v>0</v>
      </c>
      <c r="T38">
        <f>WorkLocationCoefficients!B46</f>
        <v>36</v>
      </c>
      <c r="U38" t="str">
        <f>WorkLocationCoefficients!C46</f>
        <v>Beta00036</v>
      </c>
      <c r="V38" s="40">
        <f>WorkLocationCoefficients!E46</f>
        <v>0.38785322122799998</v>
      </c>
      <c r="W38" s="162">
        <f>_xlfn.IFNA(VLOOKUP(T38,$M$13:$Q$39,5,FALSE),_xlfn.IFNA(VLOOKUP(T38,calibration_flow!$AD$3:$AH$25,5,FALSE),V38))</f>
        <v>0.38785322122799998</v>
      </c>
      <c r="X38" s="95">
        <f si="0" t="shared"/>
        <v>0</v>
      </c>
    </row>
    <row r="39" spans="1:24" x14ac:dyDescent="0.25">
      <c r="A39">
        <f>TLFD!A13+0.5</f>
        <v>2.5</v>
      </c>
      <c r="B39" s="81">
        <f si="4" t="shared"/>
        <v>1.2527629684953681</v>
      </c>
      <c r="C39" s="78">
        <f>TLFD!C13/SUM(TLFD!$C$11:$C$100)</f>
        <v>7.4217345289507672E-2</v>
      </c>
      <c r="D39" s="78">
        <f>TLFD!I13/SUM(TLFD!$I$11:$I$100)</f>
        <v>7.2223253929397463E-2</v>
      </c>
      <c r="E39" s="78">
        <f>TLFD!D13/SUM(TLFD!$D$11:$D$101)</f>
        <v>3.5378076546726846E-2</v>
      </c>
      <c r="F39" s="78">
        <f>TLFD!J13/SUM(TLFD!$J$11:$J$100)</f>
        <v>0.11160041260017456</v>
      </c>
      <c r="G39" s="141">
        <f si="3" t="shared"/>
        <v>2.7235816236619439E-2</v>
      </c>
      <c r="H39" s="141">
        <f si="5" t="shared"/>
        <v>-1.1488324253740043</v>
      </c>
      <c r="M39" s="93">
        <v>10</v>
      </c>
      <c r="N39" s="6"/>
      <c r="O39" s="159">
        <f>K90</f>
        <v>3.2297982090088391E-2</v>
      </c>
      <c r="P39" s="159">
        <f>VLOOKUP(M39,$T:$W,3,FALSE)</f>
        <v>-3.3544504276017002</v>
      </c>
      <c r="Q39" s="159">
        <f>P39+O39*R39</f>
        <v>-3.3544504276017002</v>
      </c>
      <c r="R39" s="91">
        <v>0</v>
      </c>
      <c r="T39" s="72">
        <f>WorkLocationCoefficients!B47</f>
        <v>41</v>
      </c>
      <c r="U39" s="72" t="str">
        <f>WorkLocationCoefficients!C47</f>
        <v>Beta00041</v>
      </c>
      <c r="V39" s="73">
        <f>WorkLocationCoefficients!E47</f>
        <v>-1.2033803293631999</v>
      </c>
      <c r="W39" s="162">
        <f>_xlfn.IFNA(VLOOKUP(T39,$M$13:$Q$39,5,FALSE),_xlfn.IFNA(VLOOKUP(T39,calibration_flow!$AD$3:$AH$25,5,FALSE),V39))</f>
        <v>-1.2033803293631999</v>
      </c>
      <c r="X39" s="95">
        <f si="0" t="shared"/>
        <v>0</v>
      </c>
    </row>
    <row r="40" spans="1:24" x14ac:dyDescent="0.25">
      <c r="A40">
        <f>TLFD!A14+0.5</f>
        <v>3.5</v>
      </c>
      <c r="B40" s="81">
        <f si="4" t="shared"/>
        <v>1.5040773967762742</v>
      </c>
      <c r="C40" s="78">
        <f>TLFD!C14/SUM(TLFD!$C$11:$C$100)</f>
        <v>8.1375704868212689E-2</v>
      </c>
      <c r="D40" s="78">
        <f>TLFD!I14/SUM(TLFD!$I$11:$I$100)</f>
        <v>7.1547954687420867E-2</v>
      </c>
      <c r="E40" s="78">
        <f>TLFD!D14/SUM(TLFD!$D$11:$D$101)</f>
        <v>0.12701906810407995</v>
      </c>
      <c r="F40" s="78">
        <f>TLFD!J14/SUM(TLFD!$J$11:$J$100)</f>
        <v>9.1406807902880263E-2</v>
      </c>
      <c r="G40" s="141">
        <f si="3" t="shared"/>
        <v>0.12870884265258517</v>
      </c>
      <c r="H40" s="141">
        <f si="5" t="shared"/>
        <v>0.32901725733965531</v>
      </c>
      <c r="T40">
        <f>WorkLocationCoefficients!B48</f>
        <v>42</v>
      </c>
      <c r="U40" t="str">
        <f>WorkLocationCoefficients!C48</f>
        <v>Beta00042</v>
      </c>
      <c r="V40" s="40">
        <f>WorkLocationCoefficients!E48</f>
        <v>5.07828619993</v>
      </c>
      <c r="W40" s="162">
        <f>_xlfn.IFNA(VLOOKUP(T40,$M$13:$Q$39,5,FALSE),_xlfn.IFNA(VLOOKUP(T40,calibration_flow!$AD$3:$AH$25,5,FALSE),V40))</f>
        <v>5.07828619993</v>
      </c>
      <c r="X40" s="95">
        <f si="0" t="shared"/>
        <v>0</v>
      </c>
    </row>
    <row r="41" spans="1:24" x14ac:dyDescent="0.25">
      <c r="A41">
        <f>TLFD!A15+0.5</f>
        <v>4.5</v>
      </c>
      <c r="B41" s="81">
        <f si="4" t="shared"/>
        <v>1.7047480922384253</v>
      </c>
      <c r="C41" s="78">
        <f>TLFD!C15/SUM(TLFD!$C$11:$C$100)</f>
        <v>5.7779556281112289E-2</v>
      </c>
      <c r="D41" s="78">
        <f>TLFD!I15/SUM(TLFD!$I$11:$I$100)</f>
        <v>6.6787095031485832E-2</v>
      </c>
      <c r="E41" s="78">
        <f>TLFD!D15/SUM(TLFD!$D$11:$D$101)</f>
        <v>8.1775610548790512E-2</v>
      </c>
      <c r="F41" s="78">
        <f>TLFD!J15/SUM(TLFD!$J$11:$J$100)</f>
        <v>7.7005474886931685E-2</v>
      </c>
      <c r="G41" s="141">
        <f si="3" t="shared"/>
        <v>-0.14487485817396967</v>
      </c>
      <c r="H41" s="141">
        <f si="5" t="shared"/>
        <v>6.0102517846356882E-2</v>
      </c>
      <c r="I41" s="7"/>
      <c r="J41" s="7"/>
      <c r="K41" s="7"/>
      <c r="L41" s="7"/>
      <c r="M41" s="7"/>
      <c r="N41" s="7"/>
      <c r="O41" s="7"/>
      <c r="P41" s="7"/>
      <c r="Q41" s="7"/>
      <c r="T41">
        <f>WorkLocationCoefficients!B49</f>
        <v>43</v>
      </c>
      <c r="U41" t="str">
        <f>WorkLocationCoefficients!C49</f>
        <v>Beta00043</v>
      </c>
      <c r="V41" s="40">
        <f>WorkLocationCoefficients!E49</f>
        <v>-3.0390882271000002</v>
      </c>
      <c r="W41" s="162">
        <f>_xlfn.IFNA(VLOOKUP(T41,$M$13:$Q$39,5,FALSE),_xlfn.IFNA(VLOOKUP(T41,calibration_flow!$AD$3:$AH$25,5,FALSE),V41))</f>
        <v>-3.0390882271000002</v>
      </c>
      <c r="X41" s="95">
        <f si="0" t="shared"/>
        <v>0</v>
      </c>
    </row>
    <row r="42" spans="1:24" x14ac:dyDescent="0.25">
      <c r="A42">
        <f>TLFD!A16+0.5</f>
        <v>5.5</v>
      </c>
      <c r="B42" s="81">
        <f si="4" t="shared"/>
        <v>1.8718021769015913</v>
      </c>
      <c r="C42" s="78">
        <f>TLFD!C16/SUM(TLFD!$C$11:$C$100)</f>
        <v>5.203099100045374E-2</v>
      </c>
      <c r="D42" s="78">
        <f>TLFD!I16/SUM(TLFD!$I$11:$I$100)</f>
        <v>5.9763982914929181E-2</v>
      </c>
      <c r="E42" s="78">
        <f>TLFD!D16/SUM(TLFD!$D$11:$D$101)</f>
        <v>0.1120590866220401</v>
      </c>
      <c r="F42" s="78">
        <f>TLFD!J16/SUM(TLFD!$J$11:$J$100)</f>
        <v>5.9509640561771007E-2</v>
      </c>
      <c r="G42" s="141">
        <f si="3" t="shared"/>
        <v>-0.13856366527980177</v>
      </c>
      <c r="H42" s="141">
        <f si="5" t="shared"/>
        <v>0.63288796563505956</v>
      </c>
      <c r="I42" s="7"/>
      <c r="J42" s="7" t="s">
        <v>274</v>
      </c>
      <c r="K42" s="7"/>
      <c r="L42" s="7"/>
      <c r="M42" s="7"/>
      <c r="N42" s="7"/>
      <c r="O42" s="7"/>
      <c r="P42" s="7"/>
      <c r="Q42" s="7"/>
      <c r="T42">
        <f>WorkLocationCoefficients!B50</f>
        <v>44</v>
      </c>
      <c r="U42" t="str">
        <f>WorkLocationCoefficients!C50</f>
        <v>Beta00044</v>
      </c>
      <c r="V42" s="40">
        <f>WorkLocationCoefficients!E50</f>
        <v>-2.3320026601800001</v>
      </c>
      <c r="W42" s="162">
        <f>_xlfn.IFNA(VLOOKUP(T42,$M$13:$Q$39,5,FALSE),_xlfn.IFNA(VLOOKUP(T42,calibration_flow!$AD$3:$AH$25,5,FALSE),V42))</f>
        <v>-2.3320026601800001</v>
      </c>
      <c r="X42" s="95">
        <f si="0" t="shared"/>
        <v>0</v>
      </c>
    </row>
    <row r="43" spans="1:24" x14ac:dyDescent="0.25">
      <c r="A43">
        <f>TLFD!A17+0.5</f>
        <v>6.5</v>
      </c>
      <c r="B43" s="81">
        <f si="4" t="shared"/>
        <v>2.0149030205422647</v>
      </c>
      <c r="C43" s="78">
        <f>TLFD!C17/SUM(TLFD!$C$11:$C$100)</f>
        <v>6.2538869952427023E-2</v>
      </c>
      <c r="D43" s="78">
        <f>TLFD!I17/SUM(TLFD!$I$11:$I$100)</f>
        <v>5.5222595512636537E-2</v>
      </c>
      <c r="E43" s="78">
        <f>TLFD!D17/SUM(TLFD!$D$11:$D$101)</f>
        <v>4.4082491207318351E-2</v>
      </c>
      <c r="F43" s="78">
        <f>TLFD!J17/SUM(TLFD!$J$11:$J$100)</f>
        <v>4.8797905260652225E-2</v>
      </c>
      <c r="G43" s="141">
        <f si="3" t="shared"/>
        <v>0.12441607414582684</v>
      </c>
      <c r="H43" s="141">
        <f si="5" t="shared"/>
        <v>-0.1016247081109285</v>
      </c>
      <c r="I43" s="87"/>
      <c r="J43" s="7"/>
      <c r="K43" s="7"/>
      <c r="L43" s="7"/>
      <c r="M43" s="7"/>
      <c r="N43" s="7"/>
      <c r="O43" s="7"/>
      <c r="P43" s="7"/>
      <c r="Q43" s="7"/>
      <c r="T43">
        <f>WorkLocationCoefficients!B51</f>
        <v>50</v>
      </c>
      <c r="U43" t="str">
        <f>WorkLocationCoefficients!C51</f>
        <v>LSM_050</v>
      </c>
      <c r="V43" s="40">
        <f>WorkLocationCoefficients!E51</f>
        <v>0.33566647407</v>
      </c>
      <c r="W43" s="162">
        <f>_xlfn.IFNA(VLOOKUP(T43,$M$13:$Q$39,5,FALSE),_xlfn.IFNA(VLOOKUP(T43,calibration_flow!$AD$3:$AH$25,5,FALSE),V43))</f>
        <v>0.33566647407</v>
      </c>
      <c r="X43" s="95">
        <f si="0" t="shared"/>
        <v>0</v>
      </c>
    </row>
    <row r="44" spans="1:24" x14ac:dyDescent="0.25">
      <c r="A44">
        <f>TLFD!A18+0.5</f>
        <v>7.5</v>
      </c>
      <c r="B44" s="81">
        <f si="4" t="shared"/>
        <v>2.1400661634962708</v>
      </c>
      <c r="C44" s="78">
        <f>TLFD!C18/SUM(TLFD!$C$11:$C$100)</f>
        <v>8.2066749350611604E-2</v>
      </c>
      <c r="D44" s="78">
        <f>TLFD!I18/SUM(TLFD!$I$11:$I$100)</f>
        <v>4.6646295139533708E-2</v>
      </c>
      <c r="E44" s="78">
        <f>TLFD!D18/SUM(TLFD!$D$11:$D$101)</f>
        <v>2.8242832893670879E-2</v>
      </c>
      <c r="F44" s="78">
        <f>TLFD!J18/SUM(TLFD!$J$11:$J$100)</f>
        <v>4.2093152424026024E-2</v>
      </c>
      <c r="G44" s="141">
        <f si="3" t="shared"/>
        <v>0.56493942669463493</v>
      </c>
      <c r="H44" s="141">
        <f si="5" t="shared"/>
        <v>-0.39904535467315977</v>
      </c>
      <c r="I44" s="84"/>
      <c r="J44" s="7"/>
      <c r="K44" s="7"/>
      <c r="L44" s="7"/>
      <c r="M44" s="7"/>
      <c r="N44" s="7"/>
      <c r="O44" s="7"/>
      <c r="P44" s="7"/>
      <c r="Q44" s="7"/>
      <c r="T44">
        <f>WorkLocationCoefficients!B52</f>
        <v>51</v>
      </c>
      <c r="U44" t="str">
        <f>WorkLocationCoefficients!C52</f>
        <v>Gamma51</v>
      </c>
      <c r="V44" s="40">
        <f>WorkLocationCoefficients!E52</f>
        <v>-0.78911507665199998</v>
      </c>
      <c r="W44" s="162">
        <f>_xlfn.IFNA(VLOOKUP(T44,$M$13:$Q$39,5,FALSE),_xlfn.IFNA(VLOOKUP(T44,calibration_flow!$AD$3:$AH$25,5,FALSE),V44))</f>
        <v>-0.78911507665199998</v>
      </c>
      <c r="X44" s="95">
        <f si="0" t="shared"/>
        <v>0</v>
      </c>
    </row>
    <row r="45" spans="1:24" x14ac:dyDescent="0.25">
      <c r="A45">
        <f>TLFD!A19+0.5</f>
        <v>8.5</v>
      </c>
      <c r="B45" s="81">
        <f si="4" t="shared"/>
        <v>2.2512917986064953</v>
      </c>
      <c r="C45" s="78">
        <f>TLFD!C19/SUM(TLFD!$C$11:$C$100)</f>
        <v>5.1376106407214579E-2</v>
      </c>
      <c r="D45" s="78">
        <f>TLFD!I19/SUM(TLFD!$I$11:$I$100)</f>
        <v>4.2256850066685801E-2</v>
      </c>
      <c r="E45" s="78">
        <f>TLFD!D19/SUM(TLFD!$D$11:$D$101)</f>
        <v>5.4253152379806255E-2</v>
      </c>
      <c r="F45" s="78">
        <f>TLFD!J19/SUM(TLFD!$J$11:$J$100)</f>
        <v>3.4991668650321349E-2</v>
      </c>
      <c r="G45" s="141">
        <f si="3" t="shared"/>
        <v>0.19540673607423042</v>
      </c>
      <c r="H45" s="141">
        <f si="5" t="shared"/>
        <v>0.43855110452437646</v>
      </c>
      <c r="I45" s="84"/>
      <c r="J45" s="85" t="s">
        <v>9</v>
      </c>
      <c r="K45" s="7" t="s">
        <v>299</v>
      </c>
      <c r="L45" s="7"/>
      <c r="M45" s="7"/>
      <c r="N45" s="7"/>
      <c r="O45" s="7"/>
      <c r="P45" s="7"/>
      <c r="Q45" s="7"/>
      <c r="T45">
        <f>WorkLocationCoefficients!B53</f>
        <v>52</v>
      </c>
      <c r="U45" t="str">
        <f>WorkLocationCoefficients!C53</f>
        <v>Gamma52</v>
      </c>
      <c r="V45" s="40">
        <f>WorkLocationCoefficients!E53</f>
        <v>0.56564055394500001</v>
      </c>
      <c r="W45" s="162">
        <f>_xlfn.IFNA(VLOOKUP(T45,$M$13:$Q$39,5,FALSE),_xlfn.IFNA(VLOOKUP(T45,calibration_flow!$AD$3:$AH$25,5,FALSE),V45))</f>
        <v>0.56564055394500001</v>
      </c>
      <c r="X45" s="95">
        <f si="0" t="shared"/>
        <v>0</v>
      </c>
    </row>
    <row r="46" spans="1:24" x14ac:dyDescent="0.25">
      <c r="A46">
        <f>TLFD!A20+0.5</f>
        <v>9.5</v>
      </c>
      <c r="B46" s="81">
        <f si="4" t="shared"/>
        <v>2.3513752571634776</v>
      </c>
      <c r="C46" s="78">
        <f>TLFD!C20/SUM(TLFD!$C$11:$C$100)</f>
        <v>3.2290260822716001E-2</v>
      </c>
      <c r="D46" s="78">
        <f>TLFD!I20/SUM(TLFD!$I$11:$I$100)</f>
        <v>4.0669896848040787E-2</v>
      </c>
      <c r="E46" s="78">
        <f>TLFD!D20/SUM(TLFD!$D$11:$D$101)</f>
        <v>3.8442957207218381E-2</v>
      </c>
      <c r="F46" s="78">
        <f>TLFD!J20/SUM(TLFD!$J$11:$J$100)</f>
        <v>3.3127033246052526E-2</v>
      </c>
      <c r="G46" s="141">
        <f si="3" t="shared"/>
        <v>-0.23072252135519972</v>
      </c>
      <c r="H46" s="141">
        <f si="5" t="shared"/>
        <v>0.14882584817627997</v>
      </c>
      <c r="I46" s="84"/>
      <c r="J46" s="7"/>
      <c r="K46" s="7"/>
      <c r="L46" s="7"/>
      <c r="M46" s="7"/>
      <c r="N46" s="7"/>
      <c r="O46" s="7"/>
      <c r="P46" s="7"/>
      <c r="Q46" s="7"/>
      <c r="T46">
        <f>WorkLocationCoefficients!B54</f>
        <v>53</v>
      </c>
      <c r="U46" t="str">
        <f>WorkLocationCoefficients!C54</f>
        <v>Gamma53</v>
      </c>
      <c r="V46" s="40">
        <f>WorkLocationCoefficients!E54</f>
        <v>-1.85416848242</v>
      </c>
      <c r="W46" s="162">
        <f>_xlfn.IFNA(VLOOKUP(T46,$M$13:$Q$39,5,FALSE),_xlfn.IFNA(VLOOKUP(T46,calibration_flow!$AD$3:$AH$25,5,FALSE),V46))</f>
        <v>-1.85416848242</v>
      </c>
      <c r="X46" s="95">
        <f si="0" t="shared"/>
        <v>0</v>
      </c>
    </row>
    <row r="47" spans="1:24" x14ac:dyDescent="0.25">
      <c r="A47">
        <f>TLFD!A21+0.5</f>
        <v>10.5</v>
      </c>
      <c r="B47" s="81">
        <f si="4" t="shared"/>
        <v>2.4423470353692043</v>
      </c>
      <c r="C47" s="78">
        <f>TLFD!C21/SUM(TLFD!$C$11:$C$100)</f>
        <v>3.3550290551030336E-2</v>
      </c>
      <c r="D47" s="78">
        <f>TLFD!I21/SUM(TLFD!$I$11:$I$100)</f>
        <v>3.8660881603160398E-2</v>
      </c>
      <c r="E47" s="78">
        <f>TLFD!D21/SUM(TLFD!$D$11:$D$101)</f>
        <v>5.7995096496483295E-2</v>
      </c>
      <c r="F47" s="78">
        <f>TLFD!J21/SUM(TLFD!$J$11:$J$100)</f>
        <v>3.2571609934142667E-2</v>
      </c>
      <c r="G47" s="141">
        <f si="3" t="shared"/>
        <v>-0.1417827539140927</v>
      </c>
      <c r="H47" s="141">
        <f si="5" t="shared"/>
        <v>0.57691741577123512</v>
      </c>
      <c r="I47" s="84"/>
      <c r="J47" t="s">
        <v>275</v>
      </c>
      <c r="T47">
        <f>WorkLocationCoefficients!B55</f>
        <v>54</v>
      </c>
      <c r="U47" t="str">
        <f>WorkLocationCoefficients!C55</f>
        <v>Gamma54</v>
      </c>
      <c r="V47" s="40">
        <f>WorkLocationCoefficients!E55</f>
        <v>0</v>
      </c>
      <c r="W47" s="162">
        <f>_xlfn.IFNA(VLOOKUP(T47,$M$13:$Q$39,5,FALSE),_xlfn.IFNA(VLOOKUP(T47,calibration_flow!$AD$3:$AH$25,5,FALSE),V47))</f>
        <v>0</v>
      </c>
      <c r="X47" s="95">
        <f si="0" t="shared"/>
        <v>0</v>
      </c>
    </row>
    <row ht="15.75" r="48" spans="1:24" thickBot="1" x14ac:dyDescent="0.3">
      <c r="A48">
        <f>TLFD!A22+0.5</f>
        <v>11.5</v>
      </c>
      <c r="B48" s="81">
        <f si="4" t="shared"/>
        <v>2.5257286443082556</v>
      </c>
      <c r="C48" s="78">
        <f>TLFD!C22/SUM(TLFD!$C$11:$C$100)</f>
        <v>6.5263351608353559E-2</v>
      </c>
      <c r="D48" s="78">
        <f>TLFD!I22/SUM(TLFD!$I$11:$I$100)</f>
        <v>3.6432394104637618E-2</v>
      </c>
      <c r="E48" s="78">
        <f>TLFD!D22/SUM(TLFD!$D$11:$D$101)</f>
        <v>3.5087996578801517E-2</v>
      </c>
      <c r="F48" s="78">
        <f>TLFD!J22/SUM(TLFD!$J$11:$J$100)</f>
        <v>2.8128223438863762E-2</v>
      </c>
      <c r="G48" s="141">
        <f si="3" t="shared"/>
        <v>0.58297232081731831</v>
      </c>
      <c r="H48" s="141">
        <f si="5" t="shared"/>
        <v>0.22108562905532347</v>
      </c>
      <c r="I48" s="84"/>
      <c r="T48">
        <f>WorkLocationCoefficients!B56</f>
        <v>55</v>
      </c>
      <c r="U48" t="str">
        <f>WorkLocationCoefficients!C56</f>
        <v>Gamma55</v>
      </c>
      <c r="V48" s="40">
        <f>WorkLocationCoefficients!E56</f>
        <v>-1.1156286956100001</v>
      </c>
      <c r="W48" s="162">
        <f>_xlfn.IFNA(VLOOKUP(T48,$M$13:$Q$39,5,FALSE),_xlfn.IFNA(VLOOKUP(T48,calibration_flow!$AD$3:$AH$25,5,FALSE),V48))</f>
        <v>-1.1156286956100001</v>
      </c>
      <c r="X48" s="95">
        <f si="0" t="shared"/>
        <v>0</v>
      </c>
    </row>
    <row r="49" spans="1:24" x14ac:dyDescent="0.25">
      <c r="A49">
        <f>TLFD!A23+0.5</f>
        <v>12.5</v>
      </c>
      <c r="B49" s="81">
        <f si="4" t="shared"/>
        <v>2.6026896854443837</v>
      </c>
      <c r="C49" s="78">
        <f>TLFD!C23/SUM(TLFD!$C$11:$C$100)</f>
        <v>3.2724912124495645E-2</v>
      </c>
      <c r="D49" s="78">
        <f>TLFD!I23/SUM(TLFD!$I$11:$I$100)</f>
        <v>3.6905103574021235E-2</v>
      </c>
      <c r="E49" s="78">
        <f>TLFD!D23/SUM(TLFD!$D$11:$D$101)</f>
        <v>5.9281152702304607E-2</v>
      </c>
      <c r="F49" s="78">
        <f>TLFD!J23/SUM(TLFD!$J$11:$J$100)</f>
        <v>2.9001031500436404E-2</v>
      </c>
      <c r="G49" s="141">
        <f si="3" t="shared"/>
        <v>-0.12021322320081085</v>
      </c>
      <c r="H49" s="141">
        <f si="5" t="shared"/>
        <v>0.71496002750992482</v>
      </c>
      <c r="I49" s="7"/>
      <c r="J49" s="86" t="s">
        <v>276</v>
      </c>
      <c r="K49" s="86"/>
      <c r="T49">
        <f>WorkLocationCoefficients!B57</f>
        <v>56</v>
      </c>
      <c r="U49" t="str">
        <f>WorkLocationCoefficients!C57</f>
        <v>Gamma56</v>
      </c>
      <c r="V49" s="40">
        <f>WorkLocationCoefficients!E57</f>
        <v>-0.81792869186600003</v>
      </c>
      <c r="W49" s="162">
        <f>_xlfn.IFNA(VLOOKUP(T49,$M$13:$Q$39,5,FALSE),_xlfn.IFNA(VLOOKUP(T49,calibration_flow!$AD$3:$AH$25,5,FALSE),V49))</f>
        <v>-0.81792869186600003</v>
      </c>
      <c r="X49" s="95">
        <f si="0" t="shared"/>
        <v>0</v>
      </c>
    </row>
    <row r="50" spans="1:24" x14ac:dyDescent="0.25">
      <c r="A50">
        <f>TLFD!A24+0.5</f>
        <v>13.5</v>
      </c>
      <c r="B50" s="81">
        <f si="4" t="shared"/>
        <v>2.6741486494265287</v>
      </c>
      <c r="C50" s="78">
        <f>TLFD!C24/SUM(TLFD!$C$11:$C$100)</f>
        <v>2.7887201739870342E-2</v>
      </c>
      <c r="D50" s="78">
        <f>TLFD!I24/SUM(TLFD!$I$11:$I$100)</f>
        <v>3.3798727060928874E-2</v>
      </c>
      <c r="E50" s="78">
        <f>TLFD!D24/SUM(TLFD!$D$11:$D$101)</f>
        <v>6.6407313325958272E-3</v>
      </c>
      <c r="F50" s="78">
        <f>TLFD!J24/SUM(TLFD!$J$11:$J$100)</f>
        <v>2.4398952630326112E-2</v>
      </c>
      <c r="G50" s="141">
        <f si="3" t="shared"/>
        <v>-0.19225527627800895</v>
      </c>
      <c r="H50" s="141">
        <f si="5" t="shared"/>
        <v>-1.3013181085167107</v>
      </c>
      <c r="I50" s="7"/>
      <c r="J50" s="84" t="s">
        <v>277</v>
      </c>
      <c r="K50" s="84">
        <v>0.12440194136462766</v>
      </c>
      <c r="T50">
        <f>WorkLocationCoefficients!B58</f>
        <v>57</v>
      </c>
      <c r="U50" t="str">
        <f>WorkLocationCoefficients!C58</f>
        <v>Gamma57</v>
      </c>
      <c r="V50" s="40">
        <f>WorkLocationCoefficients!E58</f>
        <v>-1.04729487823</v>
      </c>
      <c r="W50" s="162">
        <f>_xlfn.IFNA(VLOOKUP(T50,$M$13:$Q$39,5,FALSE),_xlfn.IFNA(VLOOKUP(T50,calibration_flow!$AD$3:$AH$25,5,FALSE),V50))</f>
        <v>-1.04729487823</v>
      </c>
      <c r="X50" s="95">
        <f si="0" t="shared"/>
        <v>0</v>
      </c>
    </row>
    <row r="51" spans="1:24" x14ac:dyDescent="0.25">
      <c r="A51">
        <f>TLFD!A25+0.5</f>
        <v>14.5</v>
      </c>
      <c r="B51" s="81">
        <f si="4" t="shared"/>
        <v>2.7408400239252009</v>
      </c>
      <c r="C51" s="78">
        <f>TLFD!C25/SUM(TLFD!$C$11:$C$100)</f>
        <v>1.3805455684635703E-2</v>
      </c>
      <c r="D51" s="78">
        <f>TLFD!I25/SUM(TLFD!$I$11:$I$100)</f>
        <v>2.8666452821906708E-2</v>
      </c>
      <c r="E51" s="78">
        <f>TLFD!D25/SUM(TLFD!$D$11:$D$101)</f>
        <v>9.3671319283901745E-3</v>
      </c>
      <c r="F51" s="78">
        <f>TLFD!J25/SUM(TLFD!$J$11:$J$100)</f>
        <v>2.1344124414821867E-2</v>
      </c>
      <c r="G51" s="141">
        <f si="3" t="shared"/>
        <v>-0.73066369435318779</v>
      </c>
      <c r="H51" s="141">
        <f si="5" t="shared"/>
        <v>-0.82356954023838502</v>
      </c>
      <c r="I51" s="87"/>
      <c r="J51" s="84" t="s">
        <v>278</v>
      </c>
      <c r="K51" s="84">
        <v>1.547584301528826E-2</v>
      </c>
      <c r="T51">
        <f>WorkLocationCoefficients!B59</f>
        <v>58</v>
      </c>
      <c r="U51" t="str">
        <f>WorkLocationCoefficients!C59</f>
        <v>Gamma58</v>
      </c>
      <c r="V51" s="40">
        <f>WorkLocationCoefficients!E59</f>
        <v>-2.0228517391</v>
      </c>
      <c r="W51" s="162">
        <f>_xlfn.IFNA(VLOOKUP(T51,$M$13:$Q$39,5,FALSE),_xlfn.IFNA(VLOOKUP(T51,calibration_flow!$AD$3:$AH$25,5,FALSE),V51))</f>
        <v>-2.0228517391</v>
      </c>
      <c r="X51" s="95">
        <f si="0" t="shared"/>
        <v>0</v>
      </c>
    </row>
    <row r="52" spans="1:24" x14ac:dyDescent="0.25">
      <c r="A52">
        <f>TLFD!A26+0.5</f>
        <v>15.5</v>
      </c>
      <c r="B52" s="81">
        <f si="4" t="shared"/>
        <v>2.8033603809065348</v>
      </c>
      <c r="C52" s="78">
        <f>TLFD!C26/SUM(TLFD!$C$11:$C$100)</f>
        <v>1.9467632905581872E-2</v>
      </c>
      <c r="D52" s="78">
        <f>TLFD!I26/SUM(TLFD!$I$11:$I$100)</f>
        <v>2.5458781422517854E-2</v>
      </c>
      <c r="E52" s="78">
        <f>TLFD!D26/SUM(TLFD!$D$11:$D$101)</f>
        <v>1.676445180975521E-2</v>
      </c>
      <c r="F52" s="78">
        <f>TLFD!J26/SUM(TLFD!$J$11:$J$100)</f>
        <v>1.745616123145283E-2</v>
      </c>
      <c r="G52" s="141">
        <f si="3" t="shared"/>
        <v>-0.26830749405827364</v>
      </c>
      <c r="H52" s="141">
        <f si="5" t="shared"/>
        <v>-4.0431984606997755E-2</v>
      </c>
      <c r="I52" s="84"/>
      <c r="J52" s="84" t="s">
        <v>279</v>
      </c>
      <c r="K52" s="84">
        <v>4.2398879591084831E-3</v>
      </c>
      <c r="T52">
        <f>WorkLocationCoefficients!B60</f>
        <v>59</v>
      </c>
      <c r="U52" t="str">
        <f>WorkLocationCoefficients!C60</f>
        <v>Gamma59</v>
      </c>
      <c r="V52" s="40">
        <f>WorkLocationCoefficients!E60</f>
        <v>-1.2945321250099999</v>
      </c>
      <c r="W52" s="162">
        <f>_xlfn.IFNA(VLOOKUP(T52,$M$13:$Q$39,5,FALSE),_xlfn.IFNA(VLOOKUP(T52,calibration_flow!$AD$3:$AH$25,5,FALSE),V52))</f>
        <v>-1.2945321250099999</v>
      </c>
      <c r="X52" s="95">
        <f si="0" t="shared"/>
        <v>0</v>
      </c>
    </row>
    <row r="53" spans="1:24" x14ac:dyDescent="0.25">
      <c r="A53">
        <f>TLFD!A27+0.5</f>
        <v>16.5</v>
      </c>
      <c r="B53" s="81">
        <f si="4" t="shared"/>
        <v>2.8622008809294686</v>
      </c>
      <c r="C53" s="78">
        <f>TLFD!C27/SUM(TLFD!$C$11:$C$100)</f>
        <v>1.8133471200207502E-2</v>
      </c>
      <c r="D53" s="78">
        <f>TLFD!I27/SUM(TLFD!$I$11:$I$100)</f>
        <v>2.3399118734489219E-2</v>
      </c>
      <c r="E53" s="78">
        <f>TLFD!D27/SUM(TLFD!$D$11:$D$101)</f>
        <v>5.7891922245772755E-3</v>
      </c>
      <c r="F53" s="78">
        <f>TLFD!J27/SUM(TLFD!$J$11:$J$100)</f>
        <v>1.7178449575497898E-2</v>
      </c>
      <c r="G53" s="141">
        <f si="3" t="shared"/>
        <v>-0.25493889261769681</v>
      </c>
      <c r="H53" s="141">
        <f si="5" t="shared"/>
        <v>-1.0876628968978324</v>
      </c>
      <c r="I53" s="84"/>
      <c r="J53" s="84" t="s">
        <v>280</v>
      </c>
      <c r="K53" s="84">
        <v>0.69923901473582173</v>
      </c>
      <c r="T53">
        <f>WorkLocationCoefficients!B61</f>
        <v>60</v>
      </c>
      <c r="U53" t="str">
        <f>WorkLocationCoefficients!C61</f>
        <v>Gamma60</v>
      </c>
      <c r="V53" s="40">
        <f>WorkLocationCoefficients!E61</f>
        <v>-0.66178028021599999</v>
      </c>
      <c r="W53" s="162">
        <f>_xlfn.IFNA(VLOOKUP(T53,$M$13:$Q$39,5,FALSE),_xlfn.IFNA(VLOOKUP(T53,calibration_flow!$AD$3:$AH$25,5,FALSE),V53))</f>
        <v>-0.66178028021599999</v>
      </c>
      <c r="X53" s="95">
        <f si="0" t="shared"/>
        <v>0</v>
      </c>
    </row>
    <row ht="15.75" r="54" spans="1:24" thickBot="1" x14ac:dyDescent="0.3">
      <c r="A54">
        <f>TLFD!A28+0.5</f>
        <v>17.5</v>
      </c>
      <c r="B54" s="81">
        <f si="4" t="shared"/>
        <v>2.917770732084279</v>
      </c>
      <c r="C54" s="78">
        <f>TLFD!C28/SUM(TLFD!$C$11:$C$100)</f>
        <v>1.3554859776230737E-2</v>
      </c>
      <c r="D54" s="78">
        <f>TLFD!I28/SUM(TLFD!$I$11:$I$100)</f>
        <v>2.0900511539175798E-2</v>
      </c>
      <c r="E54" s="78">
        <f>TLFD!D28/SUM(TLFD!$D$11:$D$101)</f>
        <v>2.3687329144026054E-3</v>
      </c>
      <c r="F54" s="78">
        <f>TLFD!J28/SUM(TLFD!$J$11:$J$100)</f>
        <v>1.4044275172577957E-2</v>
      </c>
      <c r="G54" s="141">
        <f si="3" t="shared"/>
        <v>-0.43302849613316163</v>
      </c>
      <c r="H54" s="141">
        <f si="5" t="shared"/>
        <v>-1.779859674812994</v>
      </c>
      <c r="I54" s="84"/>
      <c r="J54" s="88" t="s">
        <v>281</v>
      </c>
      <c r="K54" s="88">
        <v>90</v>
      </c>
      <c r="T54">
        <f>WorkLocationCoefficients!B62</f>
        <v>61</v>
      </c>
      <c r="U54" t="str">
        <f>WorkLocationCoefficients!C62</f>
        <v>Gamma61</v>
      </c>
      <c r="V54" s="40">
        <f>WorkLocationCoefficients!E62</f>
        <v>-0.55504741134900004</v>
      </c>
      <c r="W54" s="162">
        <f>_xlfn.IFNA(VLOOKUP(T54,$M$13:$Q$39,5,FALSE),_xlfn.IFNA(VLOOKUP(T54,calibration_flow!$AD$3:$AH$25,5,FALSE),V54))</f>
        <v>-0.55504741134900004</v>
      </c>
      <c r="X54" s="95">
        <f si="0" t="shared"/>
        <v>0</v>
      </c>
    </row>
    <row r="55" spans="1:24" x14ac:dyDescent="0.25">
      <c r="A55">
        <f>TLFD!A29+0.5</f>
        <v>18.5</v>
      </c>
      <c r="B55" s="81">
        <f si="4" t="shared"/>
        <v>2.9704144655697009</v>
      </c>
      <c r="C55" s="78">
        <f>TLFD!C29/SUM(TLFD!$C$11:$C$100)</f>
        <v>1.3088770698112916E-2</v>
      </c>
      <c r="D55" s="78">
        <f>TLFD!I29/SUM(TLFD!$I$11:$I$100)</f>
        <v>1.8823966370097749E-2</v>
      </c>
      <c r="E55" s="78">
        <f>TLFD!D29/SUM(TLFD!$D$11:$D$101)</f>
        <v>1.6361572534435126E-2</v>
      </c>
      <c r="F55" s="78">
        <f>TLFD!J29/SUM(TLFD!$J$11:$J$100)</f>
        <v>1.5234467983813378E-2</v>
      </c>
      <c r="G55" s="141">
        <f si="3" t="shared"/>
        <v>-0.36337620089462419</v>
      </c>
      <c r="H55" s="141">
        <f si="5" t="shared"/>
        <v>7.1374956069620646E-2</v>
      </c>
      <c r="I55" s="7"/>
      <c r="T55">
        <f>WorkLocationCoefficients!B63</f>
        <v>62</v>
      </c>
      <c r="U55" t="str">
        <f>WorkLocationCoefficients!C63</f>
        <v>Gamma62</v>
      </c>
      <c r="V55" s="40">
        <f>WorkLocationCoefficients!E63</f>
        <v>-1.7449233454799999</v>
      </c>
      <c r="W55" s="162">
        <f>_xlfn.IFNA(VLOOKUP(T55,$M$13:$Q$39,5,FALSE),_xlfn.IFNA(VLOOKUP(T55,calibration_flow!$AD$3:$AH$25,5,FALSE),V55))</f>
        <v>-1.7449233454799999</v>
      </c>
      <c r="X55" s="95">
        <f si="0" t="shared"/>
        <v>0</v>
      </c>
    </row>
    <row ht="15.75" r="56" spans="1:24" thickBot="1" x14ac:dyDescent="0.3">
      <c r="A56">
        <f>TLFD!A30+0.5</f>
        <v>19.5</v>
      </c>
      <c r="B56" s="81">
        <f si="4" t="shared"/>
        <v>3.0204248861443626</v>
      </c>
      <c r="C56" s="78">
        <f>TLFD!C30/SUM(TLFD!$C$11:$C$100)</f>
        <v>1.6059121804180915E-2</v>
      </c>
      <c r="D56" s="78">
        <f>TLFD!I30/SUM(TLFD!$I$11:$I$100)</f>
        <v>1.6359124136883157E-2</v>
      </c>
      <c r="E56" s="78">
        <f>TLFD!D30/SUM(TLFD!$D$11:$D$101)</f>
        <v>1.9023786586726637E-2</v>
      </c>
      <c r="F56" s="78">
        <f>TLFD!J30/SUM(TLFD!$J$11:$J$100)</f>
        <v>1.2893755455050384E-2</v>
      </c>
      <c r="G56" s="141">
        <f si="3" t="shared"/>
        <v>-1.8508768033144371E-2</v>
      </c>
      <c r="H56" s="141">
        <f si="5" t="shared"/>
        <v>0.38894700086376061</v>
      </c>
      <c r="I56" s="7"/>
      <c r="J56" t="s">
        <v>282</v>
      </c>
      <c r="T56">
        <f>WorkLocationCoefficients!B64</f>
        <v>63</v>
      </c>
      <c r="U56" t="str">
        <f>WorkLocationCoefficients!C64</f>
        <v>Gamma63</v>
      </c>
      <c r="V56" s="40">
        <f>WorkLocationCoefficients!E64</f>
        <v>1.1995398853399999</v>
      </c>
      <c r="W56" s="162">
        <f>_xlfn.IFNA(VLOOKUP(T56,$M$13:$Q$39,5,FALSE),_xlfn.IFNA(VLOOKUP(T56,calibration_flow!$AD$3:$AH$25,5,FALSE),V56))</f>
        <v>1.1995398853399999</v>
      </c>
      <c r="X56" s="95">
        <f si="0" t="shared"/>
        <v>0</v>
      </c>
    </row>
    <row r="57" spans="1:24" x14ac:dyDescent="0.25">
      <c r="A57">
        <f>TLFD!A31+0.5</f>
        <v>20.5</v>
      </c>
      <c r="B57" s="81">
        <f si="4" t="shared"/>
        <v>3.068052935133617</v>
      </c>
      <c r="C57" s="78">
        <f>TLFD!C31/SUM(TLFD!$C$11:$C$100)</f>
        <v>2.2386608780136267E-2</v>
      </c>
      <c r="D57" s="78">
        <f>TLFD!I31/SUM(TLFD!$I$11:$I$100)</f>
        <v>1.5734472338054802E-2</v>
      </c>
      <c r="E57" s="78">
        <f>TLFD!D31/SUM(TLFD!$D$11:$D$101)</f>
        <v>0</v>
      </c>
      <c r="F57" s="78">
        <f>TLFD!J31/SUM(TLFD!$J$11:$J$100)</f>
        <v>1.3131794017297469E-2</v>
      </c>
      <c r="G57" s="141">
        <f si="3" t="shared"/>
        <v>0.3526089621076936</v>
      </c>
      <c r="H57" s="141">
        <f si="5" t="shared"/>
        <v>0</v>
      </c>
      <c r="I57" s="7"/>
      <c r="J57" s="89"/>
      <c r="K57" s="89" t="s">
        <v>283</v>
      </c>
      <c r="L57" s="89" t="s">
        <v>284</v>
      </c>
      <c r="M57" s="89" t="s">
        <v>285</v>
      </c>
      <c r="N57" s="89" t="s">
        <v>94</v>
      </c>
      <c r="O57" s="89" t="s">
        <v>286</v>
      </c>
      <c r="T57">
        <f>WorkLocationCoefficients!B65</f>
        <v>64</v>
      </c>
      <c r="U57" t="str">
        <f>WorkLocationCoefficients!C65</f>
        <v>Gamma64</v>
      </c>
      <c r="V57" s="40">
        <f>WorkLocationCoefficients!E65</f>
        <v>0.19542046398099999</v>
      </c>
      <c r="W57" s="162">
        <f>_xlfn.IFNA(VLOOKUP(T57,$M$13:$Q$39,5,FALSE),_xlfn.IFNA(VLOOKUP(T57,calibration_flow!$AD$3:$AH$25,5,FALSE),V57))</f>
        <v>0.19542046398099999</v>
      </c>
      <c r="X57" s="95">
        <f si="0" t="shared"/>
        <v>0</v>
      </c>
    </row>
    <row r="58" spans="1:24" x14ac:dyDescent="0.25">
      <c r="A58">
        <f>TLFD!A32+0.5</f>
        <v>21.5</v>
      </c>
      <c r="B58" s="81">
        <f si="4" t="shared"/>
        <v>3.1135153092103742</v>
      </c>
      <c r="C58" s="78">
        <f>TLFD!C32/SUM(TLFD!$C$11:$C$100)</f>
        <v>1.1058911120439085E-2</v>
      </c>
      <c r="D58" s="78">
        <f>TLFD!I32/SUM(TLFD!$I$11:$I$100)</f>
        <v>1.4063106714162714E-2</v>
      </c>
      <c r="E58" s="78">
        <f>TLFD!D32/SUM(TLFD!$D$11:$D$101)</f>
        <v>1.0581393977731775E-2</v>
      </c>
      <c r="F58" s="78">
        <f>TLFD!J32/SUM(TLFD!$J$11:$J$100)</f>
        <v>1.2298659049432675E-2</v>
      </c>
      <c r="G58" s="141">
        <f si="3" t="shared"/>
        <v>-0.24031828394459276</v>
      </c>
      <c r="H58" s="141">
        <f si="5" t="shared"/>
        <v>-0.15039306238350936</v>
      </c>
      <c r="I58" s="7"/>
      <c r="J58" s="84" t="s">
        <v>287</v>
      </c>
      <c r="K58" s="84">
        <v>1</v>
      </c>
      <c r="L58" s="84">
        <v>0.68402070831395179</v>
      </c>
      <c r="M58" s="84">
        <v>0.68402070831395179</v>
      </c>
      <c r="N58" s="84">
        <v>1.3990007442570487</v>
      </c>
      <c r="O58" s="84">
        <v>0.2400767404253939</v>
      </c>
      <c r="T58">
        <f>WorkLocationCoefficients!B66</f>
        <v>65</v>
      </c>
      <c r="U58" t="str">
        <f>WorkLocationCoefficients!C66</f>
        <v>Gamma65</v>
      </c>
      <c r="V58" s="40">
        <f>WorkLocationCoefficients!E66</f>
        <v>-0.90594458676599998</v>
      </c>
      <c r="W58" s="162">
        <f>_xlfn.IFNA(VLOOKUP(T58,$M$13:$Q$39,5,FALSE),_xlfn.IFNA(VLOOKUP(T58,calibration_flow!$AD$3:$AH$25,5,FALSE),V58))</f>
        <v>-0.90594458676599998</v>
      </c>
      <c r="X58" s="95">
        <f si="0" t="shared"/>
        <v>0</v>
      </c>
    </row>
    <row r="59" spans="1:24" x14ac:dyDescent="0.25">
      <c r="A59">
        <f>TLFD!A33+0.5</f>
        <v>22.5</v>
      </c>
      <c r="B59" s="81">
        <f si="4" t="shared"/>
        <v>3.1570004211501135</v>
      </c>
      <c r="C59" s="78">
        <f>TLFD!C33/SUM(TLFD!$C$11:$C$100)</f>
        <v>1.0404235871075466E-2</v>
      </c>
      <c r="D59" s="78">
        <f>TLFD!I33/SUM(TLFD!$I$11:$I$100)</f>
        <v>1.3286512585889622E-2</v>
      </c>
      <c r="E59" s="78">
        <f>TLFD!D33/SUM(TLFD!$D$11:$D$101)</f>
        <v>0</v>
      </c>
      <c r="F59" s="78">
        <f>TLFD!J33/SUM(TLFD!$J$11:$J$100)</f>
        <v>1.2020947393477744E-2</v>
      </c>
      <c r="G59" s="141">
        <f si="3" t="shared"/>
        <v>-0.24453641088192501</v>
      </c>
      <c r="H59" s="141">
        <f si="5" t="shared"/>
        <v>0</v>
      </c>
      <c r="I59" s="7"/>
      <c r="J59" s="84" t="s">
        <v>288</v>
      </c>
      <c r="K59" s="84">
        <v>89</v>
      </c>
      <c r="L59" s="84">
        <v>43.515232775856319</v>
      </c>
      <c r="M59" s="84">
        <v>0.48893519972872268</v>
      </c>
      <c r="N59" s="84"/>
      <c r="O59" s="84"/>
      <c r="T59">
        <f>WorkLocationCoefficients!B67</f>
        <v>66</v>
      </c>
      <c r="U59" t="str">
        <f>WorkLocationCoefficients!C67</f>
        <v>Gamma66</v>
      </c>
      <c r="V59" s="40">
        <f>WorkLocationCoefficients!E67</f>
        <v>-2.05104130438</v>
      </c>
      <c r="W59" s="162">
        <f>_xlfn.IFNA(VLOOKUP(T59,$M$13:$Q$39,5,FALSE),_xlfn.IFNA(VLOOKUP(T59,calibration_flow!$AD$3:$AH$25,5,FALSE),V59))</f>
        <v>-2.05104130438</v>
      </c>
      <c r="X59" s="95">
        <f si="0" t="shared"/>
        <v>0</v>
      </c>
    </row>
    <row ht="15.75" r="60" spans="1:24" thickBot="1" x14ac:dyDescent="0.3">
      <c r="A60">
        <f>TLFD!A34+0.5</f>
        <v>23.5</v>
      </c>
      <c r="B60" s="81">
        <f si="4" t="shared"/>
        <v>3.1986731175506815</v>
      </c>
      <c r="C60" s="78">
        <f>TLFD!C34/SUM(TLFD!$C$11:$C$100)</f>
        <v>1.0121798163712002E-2</v>
      </c>
      <c r="D60" s="78">
        <f>TLFD!I34/SUM(TLFD!$I$11:$I$100)</f>
        <v>1.2357976128171796E-2</v>
      </c>
      <c r="E60" s="78">
        <f>TLFD!D34/SUM(TLFD!$D$11:$D$101)</f>
        <v>2.6731419797043658E-3</v>
      </c>
      <c r="F60" s="78">
        <f>TLFD!J34/SUM(TLFD!$J$11:$J$100)</f>
        <v>9.4818693961755129E-3</v>
      </c>
      <c r="G60" s="141">
        <f si="3" t="shared"/>
        <v>-0.19961036271004087</v>
      </c>
      <c r="H60" s="141">
        <f si="5" t="shared"/>
        <v>-1.2661269385319742</v>
      </c>
      <c r="J60" s="88" t="s">
        <v>3</v>
      </c>
      <c r="K60" s="88">
        <v>90</v>
      </c>
      <c r="L60" s="88">
        <v>44.199253484170271</v>
      </c>
      <c r="M60" s="88"/>
      <c r="N60" s="88"/>
      <c r="O60" s="88"/>
      <c r="T60">
        <f>WorkLocationCoefficients!B68</f>
        <v>67</v>
      </c>
      <c r="U60" t="str">
        <f>WorkLocationCoefficients!C68</f>
        <v>Gamma67</v>
      </c>
      <c r="V60" s="40">
        <f>WorkLocationCoefficients!E68</f>
        <v>-2.2381608455899999</v>
      </c>
      <c r="W60" s="162">
        <f>_xlfn.IFNA(VLOOKUP(T60,$M$13:$Q$39,5,FALSE),_xlfn.IFNA(VLOOKUP(T60,calibration_flow!$AD$3:$AH$25,5,FALSE),V60))</f>
        <v>-2.2381608455899999</v>
      </c>
      <c r="X60" s="95">
        <f si="0" t="shared"/>
        <v>0</v>
      </c>
    </row>
    <row ht="15.75" r="61" spans="1:24" thickBot="1" x14ac:dyDescent="0.3">
      <c r="A61">
        <f>TLFD!A35+0.5</f>
        <v>24.5</v>
      </c>
      <c r="B61" s="81">
        <f si="4" t="shared"/>
        <v>3.2386784521643803</v>
      </c>
      <c r="C61" s="78">
        <f>TLFD!C35/SUM(TLFD!$C$11:$C$100)</f>
        <v>5.8221011709321552E-3</v>
      </c>
      <c r="D61" s="78">
        <f>TLFD!I35/SUM(TLFD!$I$11:$I$100)</f>
        <v>1.0737257947427954E-2</v>
      </c>
      <c r="E61" s="78">
        <f>TLFD!D35/SUM(TLFD!$D$11:$D$101)</f>
        <v>1.0648376699883572E-2</v>
      </c>
      <c r="F61" s="78">
        <f>TLFD!J35/SUM(TLFD!$J$11:$J$100)</f>
        <v>8.9661191779734986E-3</v>
      </c>
      <c r="G61" s="141">
        <f si="3" t="shared"/>
        <v>-0.61205852180294973</v>
      </c>
      <c r="H61" s="141">
        <f si="5" t="shared"/>
        <v>0.171954520134808</v>
      </c>
      <c r="T61">
        <f>WorkLocationCoefficients!B69</f>
        <v>68</v>
      </c>
      <c r="U61" t="str">
        <f>WorkLocationCoefficients!C69</f>
        <v>Gamma68</v>
      </c>
      <c r="V61" s="40">
        <f>WorkLocationCoefficients!E69</f>
        <v>-0.40946320528300001</v>
      </c>
      <c r="W61" s="162">
        <f>_xlfn.IFNA(VLOOKUP(T61,$M$13:$Q$39,5,FALSE),_xlfn.IFNA(VLOOKUP(T61,calibration_flow!$AD$3:$AH$25,5,FALSE),V61))</f>
        <v>-0.40946320528300001</v>
      </c>
      <c r="X61" s="95">
        <f si="0" t="shared"/>
        <v>0</v>
      </c>
    </row>
    <row r="62" spans="1:24" x14ac:dyDescent="0.25">
      <c r="A62">
        <f>TLFD!A36+0.5</f>
        <v>25.5</v>
      </c>
      <c r="B62" s="81">
        <f si="4" t="shared"/>
        <v>3.2771447329921766</v>
      </c>
      <c r="C62" s="78">
        <f>TLFD!C36/SUM(TLFD!$C$11:$C$100)</f>
        <v>1.7062674455497829E-3</v>
      </c>
      <c r="D62" s="78">
        <f>TLFD!I36/SUM(TLFD!$I$11:$I$100)</f>
        <v>9.3697769824253371E-3</v>
      </c>
      <c r="E62" s="78">
        <f>TLFD!D36/SUM(TLFD!$D$11:$D$101)</f>
        <v>0</v>
      </c>
      <c r="F62" s="78">
        <f>TLFD!J36/SUM(TLFD!$J$11:$J$100)</f>
        <v>6.9427913988732845E-3</v>
      </c>
      <c r="G62" s="141">
        <f si="3" t="shared"/>
        <v>-1.7031810903348832</v>
      </c>
      <c r="H62" s="141">
        <f si="5" t="shared"/>
        <v>0</v>
      </c>
      <c r="J62" s="89"/>
      <c r="K62" s="89" t="s">
        <v>289</v>
      </c>
      <c r="L62" s="89" t="s">
        <v>280</v>
      </c>
      <c r="M62" s="89" t="s">
        <v>290</v>
      </c>
      <c r="N62" s="89" t="s">
        <v>291</v>
      </c>
      <c r="O62" s="89" t="s">
        <v>292</v>
      </c>
      <c r="P62" s="89" t="s">
        <v>293</v>
      </c>
      <c r="Q62" s="89" t="s">
        <v>294</v>
      </c>
      <c r="R62" s="89" t="s">
        <v>295</v>
      </c>
      <c r="T62">
        <f>WorkLocationCoefficients!B70</f>
        <v>69</v>
      </c>
      <c r="U62" t="str">
        <f>WorkLocationCoefficients!C70</f>
        <v>Gamma69</v>
      </c>
      <c r="V62" s="40">
        <f>WorkLocationCoefficients!E70</f>
        <v>-1.1700902309500001</v>
      </c>
      <c r="W62" s="162">
        <f>_xlfn.IFNA(VLOOKUP(T62,$M$13:$Q$39,5,FALSE),_xlfn.IFNA(VLOOKUP(T62,calibration_flow!$AD$3:$AH$25,5,FALSE),V62))</f>
        <v>-1.1700902309500001</v>
      </c>
      <c r="X62" s="95">
        <f si="0" t="shared"/>
        <v>0</v>
      </c>
    </row>
    <row r="63" spans="1:24" x14ac:dyDescent="0.25">
      <c r="A63">
        <f>TLFD!A37+0.5</f>
        <v>26.5</v>
      </c>
      <c r="B63" s="81">
        <f si="4" t="shared"/>
        <v>3.3141860046725258</v>
      </c>
      <c r="C63" s="78">
        <f>TLFD!C37/SUM(TLFD!$C$11:$C$100)</f>
        <v>1.423679635725276E-2</v>
      </c>
      <c r="D63" s="78">
        <f>TLFD!I37/SUM(TLFD!$I$11:$I$100)</f>
        <v>7.7828237637803249E-3</v>
      </c>
      <c r="E63" s="78">
        <f>TLFD!D37/SUM(TLFD!$D$11:$D$101)</f>
        <v>0</v>
      </c>
      <c r="F63" s="78">
        <f>TLFD!J37/SUM(TLFD!$J$11:$J$100)</f>
        <v>6.4270411806712684E-3</v>
      </c>
      <c r="G63" s="141">
        <f si="3" t="shared"/>
        <v>0.60391068177915119</v>
      </c>
      <c r="H63" s="141">
        <f si="5" t="shared"/>
        <v>0</v>
      </c>
      <c r="J63" s="84" t="s">
        <v>296</v>
      </c>
      <c r="K63" s="84">
        <v>0</v>
      </c>
      <c r="L63" s="84" t="e">
        <v>#N/A</v>
      </c>
      <c r="M63" s="84" t="e">
        <v>#N/A</v>
      </c>
      <c r="N63" s="84" t="e">
        <v>#N/A</v>
      </c>
      <c r="O63" s="84" t="e">
        <v>#N/A</v>
      </c>
      <c r="P63" s="84" t="e">
        <v>#N/A</v>
      </c>
      <c r="Q63" s="84" t="e">
        <v>#N/A</v>
      </c>
      <c r="R63" s="84" t="e">
        <v>#N/A</v>
      </c>
      <c r="T63">
        <f>WorkLocationCoefficients!B71</f>
        <v>70</v>
      </c>
      <c r="U63" t="str">
        <f>WorkLocationCoefficients!C71</f>
        <v>Gamma70</v>
      </c>
      <c r="V63" s="40">
        <f>WorkLocationCoefficients!E71</f>
        <v>1.8412445021999999</v>
      </c>
      <c r="W63" s="162">
        <f>_xlfn.IFNA(VLOOKUP(T63,$M$13:$Q$39,5,FALSE),_xlfn.IFNA(VLOOKUP(T63,calibration_flow!$AD$3:$AH$25,5,FALSE),V63))</f>
        <v>1.8412445021999999</v>
      </c>
      <c r="X63" s="95">
        <f si="0" t="shared"/>
        <v>0</v>
      </c>
    </row>
    <row ht="15.75" r="64" spans="1:24" thickBot="1" x14ac:dyDescent="0.3">
      <c r="A64">
        <f>TLFD!A38+0.5</f>
        <v>27.5</v>
      </c>
      <c r="B64" s="81">
        <f si="4" t="shared"/>
        <v>3.3499040872746049</v>
      </c>
      <c r="C64" s="78">
        <f>TLFD!C38/SUM(TLFD!$C$11:$C$100)</f>
        <v>7.3596425623022425E-3</v>
      </c>
      <c r="D64" s="78">
        <f>TLFD!I38/SUM(TLFD!$I$11:$I$100)</f>
        <v>7.2594668512484598E-3</v>
      </c>
      <c r="E64" s="78">
        <f>TLFD!D38/SUM(TLFD!$D$11:$D$101)</f>
        <v>0</v>
      </c>
      <c r="F64" s="78">
        <f>TLFD!J38/SUM(TLFD!$J$11:$J$100)</f>
        <v>6.8237721177497419E-3</v>
      </c>
      <c r="G64" s="141">
        <f si="3" t="shared"/>
        <v>1.3704976983924142E-2</v>
      </c>
      <c r="H64" s="141">
        <f si="5" t="shared"/>
        <v>0</v>
      </c>
      <c r="J64" s="88" t="s">
        <v>297</v>
      </c>
      <c r="K64" s="88">
        <v>-2.3769499067547318E-2</v>
      </c>
      <c r="L64" s="88">
        <v>2.0096066374795992E-2</v>
      </c>
      <c r="M64" s="88">
        <v>-1.1827936186237151</v>
      </c>
      <c r="N64" s="88">
        <v>0.24004105373670998</v>
      </c>
      <c r="O64" s="88">
        <v>-6.3699954898131447E-2</v>
      </c>
      <c r="P64" s="88">
        <v>1.6160956763036808E-2</v>
      </c>
      <c r="Q64" s="88">
        <v>-6.3699954898131447E-2</v>
      </c>
      <c r="R64" s="88">
        <v>1.6160956763036808E-2</v>
      </c>
      <c r="T64">
        <f>WorkLocationCoefficients!B72</f>
        <v>71</v>
      </c>
      <c r="U64" t="str">
        <f>WorkLocationCoefficients!C72</f>
        <v>Gamma71</v>
      </c>
      <c r="V64" s="40">
        <f>WorkLocationCoefficients!E72</f>
        <v>0.71619685052500004</v>
      </c>
      <c r="W64" s="162">
        <f>_xlfn.IFNA(VLOOKUP(T64,$M$13:$Q$39,5,FALSE),_xlfn.IFNA(VLOOKUP(T64,calibration_flow!$AD$3:$AH$25,5,FALSE),V64))</f>
        <v>0.71619685052500004</v>
      </c>
      <c r="X64" s="95">
        <f si="0" t="shared"/>
        <v>0</v>
      </c>
    </row>
    <row r="65" spans="1:24" x14ac:dyDescent="0.25">
      <c r="A65">
        <f>TLFD!A39+0.5</f>
        <v>28.5</v>
      </c>
      <c r="B65" s="81">
        <f si="4" t="shared"/>
        <v>3.3843902633457743</v>
      </c>
      <c r="C65" s="78">
        <f>TLFD!C39/SUM(TLFD!$C$11:$C$100)</f>
        <v>1.4674228013695121E-3</v>
      </c>
      <c r="D65" s="78">
        <f>TLFD!I39/SUM(TLFD!$I$11:$I$100)</f>
        <v>7.4451741427920244E-3</v>
      </c>
      <c r="E65" s="78">
        <f>TLFD!D39/SUM(TLFD!$D$11:$D$101)</f>
        <v>7.2125733987390209E-3</v>
      </c>
      <c r="F65" s="78">
        <f>TLFD!J39/SUM(TLFD!$J$11:$J$100)</f>
        <v>5.6335793065143223E-3</v>
      </c>
      <c r="G65" s="141">
        <f si="3" t="shared"/>
        <v>-1.6240583906361707</v>
      </c>
      <c r="H65" s="141">
        <f si="5" t="shared"/>
        <v>0.24708081219807321</v>
      </c>
      <c r="T65">
        <f>WorkLocationCoefficients!B73</f>
        <v>72</v>
      </c>
      <c r="U65" t="str">
        <f>WorkLocationCoefficients!C73</f>
        <v>Gamma72</v>
      </c>
      <c r="V65" s="40">
        <f>WorkLocationCoefficients!E73</f>
        <v>-0.101060642888</v>
      </c>
      <c r="W65" s="162">
        <f>_xlfn.IFNA(VLOOKUP(T65,$M$13:$Q$39,5,FALSE),_xlfn.IFNA(VLOOKUP(T65,calibration_flow!$AD$3:$AH$25,5,FALSE),V65))</f>
        <v>-0.101060642888</v>
      </c>
      <c r="X65" s="95">
        <f si="0" t="shared"/>
        <v>0</v>
      </c>
    </row>
    <row r="66" spans="1:24" x14ac:dyDescent="0.25">
      <c r="A66">
        <f>TLFD!A40+0.5</f>
        <v>29.5</v>
      </c>
      <c r="B66" s="81">
        <f si="4" t="shared"/>
        <v>3.417726683613366</v>
      </c>
      <c r="C66" s="78">
        <f>TLFD!C40/SUM(TLFD!$C$11:$C$100)</f>
        <v>2.8002911584190356E-3</v>
      </c>
      <c r="D66" s="78">
        <f>TLFD!I40/SUM(TLFD!$I$11:$I$100)</f>
        <v>6.0608106967399928E-3</v>
      </c>
      <c r="E66" s="78">
        <f>TLFD!D40/SUM(TLFD!$D$11:$D$101)</f>
        <v>0</v>
      </c>
      <c r="F66" s="78">
        <f>TLFD!J40/SUM(TLFD!$J$11:$J$100)</f>
        <v>5.831944775053559E-3</v>
      </c>
      <c r="G66" s="141">
        <f si="3" t="shared"/>
        <v>-0.77212017254889875</v>
      </c>
      <c r="H66" s="141">
        <f si="5" t="shared"/>
        <v>0</v>
      </c>
      <c r="T66">
        <f>WorkLocationCoefficients!B74</f>
        <v>73</v>
      </c>
      <c r="U66" t="str">
        <f>WorkLocationCoefficients!C74</f>
        <v>Gamma73</v>
      </c>
      <c r="V66" s="40">
        <f>WorkLocationCoefficients!E74</f>
        <v>-0.34132571646100002</v>
      </c>
      <c r="W66" s="162">
        <f>_xlfn.IFNA(VLOOKUP(T66,$M$13:$Q$39,5,FALSE),_xlfn.IFNA(VLOOKUP(T66,calibration_flow!$AD$3:$AH$25,5,FALSE),V66))</f>
        <v>-0.34132571646100002</v>
      </c>
      <c r="X66" s="95">
        <f si="0" t="shared"/>
        <v>0</v>
      </c>
    </row>
    <row r="67" spans="1:24" x14ac:dyDescent="0.25">
      <c r="A67">
        <f>TLFD!A41+0.5</f>
        <v>30.5</v>
      </c>
      <c r="B67" s="81">
        <f si="4" t="shared"/>
        <v>3.4499875458315872</v>
      </c>
      <c r="C67" s="78">
        <f>TLFD!C41/SUM(TLFD!$C$11:$C$100)</f>
        <v>5.8575186839036333E-3</v>
      </c>
      <c r="D67" s="78">
        <f>TLFD!I41/SUM(TLFD!$I$11:$I$100)</f>
        <v>5.891985886245843E-3</v>
      </c>
      <c r="E67" s="78">
        <f>TLFD!D41/SUM(TLFD!$D$11:$D$101)</f>
        <v>1.2475844842162543E-3</v>
      </c>
      <c r="F67" s="78">
        <f>TLFD!J41/SUM(TLFD!$J$11:$J$100)</f>
        <v>5.1575021820201537E-3</v>
      </c>
      <c r="G67" s="141">
        <f si="3" t="shared"/>
        <v>-5.8670220527833467E-3</v>
      </c>
      <c r="H67" s="141">
        <f si="5" t="shared"/>
        <v>-1.4192431198711914</v>
      </c>
      <c r="T67">
        <f>WorkLocationCoefficients!B75</f>
        <v>74</v>
      </c>
      <c r="U67" t="str">
        <f>WorkLocationCoefficients!C75</f>
        <v>Gamma74</v>
      </c>
      <c r="V67" s="40">
        <f>WorkLocationCoefficients!E75</f>
        <v>1.0486549950899999</v>
      </c>
      <c r="W67" s="162">
        <f>_xlfn.IFNA(VLOOKUP(T67,$M$13:$Q$39,5,FALSE),_xlfn.IFNA(VLOOKUP(T67,calibration_flow!$AD$3:$AH$25,5,FALSE),V67))</f>
        <v>1.0486549950899999</v>
      </c>
      <c r="X67" s="95">
        <f si="0" t="shared"/>
        <v>0</v>
      </c>
    </row>
    <row r="68" spans="1:24" x14ac:dyDescent="0.25">
      <c r="A68">
        <f>TLFD!A42+0.5</f>
        <v>31.5</v>
      </c>
      <c r="B68" s="81">
        <f si="4" t="shared"/>
        <v>3.4812400893356918</v>
      </c>
      <c r="C68" s="78">
        <f>TLFD!C42/SUM(TLFD!$C$11:$C$100)</f>
        <v>2.738097655528703E-3</v>
      </c>
      <c r="D68" s="78">
        <f>TLFD!I42/SUM(TLFD!$I$11:$I$100)</f>
        <v>6.0439282156905779E-3</v>
      </c>
      <c r="E68" s="78">
        <f>TLFD!D42/SUM(TLFD!$D$11:$D$101)</f>
        <v>0</v>
      </c>
      <c r="F68" s="78">
        <f>TLFD!J42/SUM(TLFD!$J$11:$J$100)</f>
        <v>5.1971752757280013E-3</v>
      </c>
      <c r="G68" s="141">
        <f si="3" t="shared"/>
        <v>-0.79179077441781753</v>
      </c>
      <c r="H68" s="141">
        <f si="5" t="shared"/>
        <v>0</v>
      </c>
      <c r="J68" s="7"/>
      <c r="K68" s="7"/>
      <c r="T68">
        <f>WorkLocationCoefficients!B76</f>
        <v>75</v>
      </c>
      <c r="U68" t="str">
        <f>WorkLocationCoefficients!C76</f>
        <v>Gamma75</v>
      </c>
      <c r="V68" s="40">
        <f>WorkLocationCoefficients!E76</f>
        <v>-30</v>
      </c>
      <c r="W68" s="162">
        <f>_xlfn.IFNA(VLOOKUP(T68,$M$13:$Q$39,5,FALSE),_xlfn.IFNA(VLOOKUP(T68,calibration_flow!$AD$3:$AH$25,5,FALSE),V68))</f>
        <v>-30</v>
      </c>
      <c r="X68" s="95">
        <f ref="X68:X93" si="6" t="shared">IF(W68=V68,0,1)</f>
        <v>0</v>
      </c>
    </row>
    <row r="69" spans="1:24" x14ac:dyDescent="0.25">
      <c r="A69">
        <f>TLFD!A43+0.5</f>
        <v>32.5</v>
      </c>
      <c r="B69" s="81">
        <f si="4" t="shared"/>
        <v>3.5115454388310208</v>
      </c>
      <c r="C69" s="78">
        <f>TLFD!C43/SUM(TLFD!$C$11:$C$100)</f>
        <v>2.9134744317942194E-3</v>
      </c>
      <c r="D69" s="78">
        <f>TLFD!I43/SUM(TLFD!$I$11:$I$100)</f>
        <v>5.3010990495163174E-3</v>
      </c>
      <c r="E69" s="78">
        <f>TLFD!D43/SUM(TLFD!$D$11:$D$101)</f>
        <v>0</v>
      </c>
      <c r="F69" s="78">
        <f>TLFD!J43/SUM(TLFD!$J$11:$J$100)</f>
        <v>4.5227326826945968E-3</v>
      </c>
      <c r="G69" s="141">
        <f si="3" t="shared"/>
        <v>-0.59856783510108258</v>
      </c>
      <c r="H69" s="141">
        <f si="5" t="shared"/>
        <v>0</v>
      </c>
      <c r="J69" s="7"/>
      <c r="K69" s="7"/>
      <c r="T69">
        <f>WorkLocationCoefficients!B77</f>
        <v>76</v>
      </c>
      <c r="U69" t="str">
        <f>WorkLocationCoefficients!C77</f>
        <v>Gamma76</v>
      </c>
      <c r="V69" s="40">
        <f>WorkLocationCoefficients!E77</f>
        <v>0.91468797064200003</v>
      </c>
      <c r="W69" s="162">
        <f>_xlfn.IFNA(VLOOKUP(T69,$M$13:$Q$39,5,FALSE),_xlfn.IFNA(VLOOKUP(T69,calibration_flow!$AD$3:$AH$25,5,FALSE),V69))</f>
        <v>0.91468797064200003</v>
      </c>
      <c r="X69" s="95">
        <f si="6" t="shared"/>
        <v>0</v>
      </c>
    </row>
    <row r="70" spans="1:24" x14ac:dyDescent="0.25">
      <c r="A70">
        <f>TLFD!A44+0.5</f>
        <v>33.5</v>
      </c>
      <c r="B70" s="81">
        <f si="4" t="shared"/>
        <v>3.5409593240373143</v>
      </c>
      <c r="C70" s="78">
        <f>TLFD!C44/SUM(TLFD!$C$11:$C$100)</f>
        <v>8.5331252490466005E-4</v>
      </c>
      <c r="D70" s="78">
        <f>TLFD!I44/SUM(TLFD!$I$11:$I$100)</f>
        <v>5.3686289737139769E-3</v>
      </c>
      <c r="E70" s="78">
        <f>TLFD!D44/SUM(TLFD!$D$11:$D$101)</f>
        <v>3.9522802142914398E-2</v>
      </c>
      <c r="F70" s="78">
        <f>TLFD!J44/SUM(TLFD!$J$11:$J$100)</f>
        <v>3.8086169959533444E-3</v>
      </c>
      <c r="G70" s="141">
        <f si="3" t="shared"/>
        <v>-1.8392019791168357</v>
      </c>
      <c r="H70" s="141">
        <f si="5" t="shared"/>
        <v>2.3396116447395023</v>
      </c>
      <c r="J70" s="90" t="s">
        <v>10</v>
      </c>
      <c r="K70" s="7" t="s">
        <v>300</v>
      </c>
      <c r="T70">
        <f>WorkLocationCoefficients!B78</f>
        <v>77</v>
      </c>
      <c r="U70" t="str">
        <f>WorkLocationCoefficients!C78</f>
        <v>Gamma77</v>
      </c>
      <c r="V70" s="40">
        <f>WorkLocationCoefficients!E78</f>
        <v>-1.1830909132</v>
      </c>
      <c r="W70" s="162">
        <f>_xlfn.IFNA(VLOOKUP(T70,$M$13:$Q$39,5,FALSE),_xlfn.IFNA(VLOOKUP(T70,calibration_flow!$AD$3:$AH$25,5,FALSE),V70))</f>
        <v>-1.1830909132</v>
      </c>
      <c r="X70" s="95">
        <f si="6" t="shared"/>
        <v>0</v>
      </c>
    </row>
    <row r="71" spans="1:24" x14ac:dyDescent="0.25">
      <c r="A71">
        <f>TLFD!A45+0.5</f>
        <v>34.5</v>
      </c>
      <c r="B71" s="81">
        <f si="4" t="shared"/>
        <v>3.5695326964813701</v>
      </c>
      <c r="C71" s="78">
        <f>TLFD!C45/SUM(TLFD!$C$11:$C$100)</f>
        <v>3.9324217615594598E-3</v>
      </c>
      <c r="D71" s="78">
        <f>TLFD!I45/SUM(TLFD!$I$11:$I$100)</f>
        <v>5.5712187463069574E-3</v>
      </c>
      <c r="E71" s="78">
        <f>TLFD!D45/SUM(TLFD!$D$11:$D$101)</f>
        <v>1.1688547535954768E-3</v>
      </c>
      <c r="F71" s="78">
        <f>TLFD!J45/SUM(TLFD!$J$11:$J$100)</f>
        <v>4.7210981512338336E-3</v>
      </c>
      <c r="G71" s="141">
        <f si="3" t="shared"/>
        <v>-0.34835837503756406</v>
      </c>
      <c r="H71" s="141">
        <f si="5" t="shared"/>
        <v>-1.3960170053470926</v>
      </c>
      <c r="J71" s="84"/>
      <c r="K71" s="84"/>
      <c r="T71">
        <f>WorkLocationCoefficients!B79</f>
        <v>78</v>
      </c>
      <c r="U71" t="str">
        <f>WorkLocationCoefficients!C79</f>
        <v>Gamma78</v>
      </c>
      <c r="V71" s="40">
        <f>WorkLocationCoefficients!E79</f>
        <v>1.4576625009499999</v>
      </c>
      <c r="W71" s="162">
        <f>_xlfn.IFNA(VLOOKUP(T71,$M$13:$Q$39,5,FALSE),_xlfn.IFNA(VLOOKUP(T71,calibration_flow!$AD$3:$AH$25,5,FALSE),V71))</f>
        <v>1.4576625009499999</v>
      </c>
      <c r="X71" s="95">
        <f si="6" t="shared"/>
        <v>0</v>
      </c>
    </row>
    <row r="72" spans="1:24" x14ac:dyDescent="0.25">
      <c r="A72">
        <f>TLFD!A46+0.5</f>
        <v>35.5</v>
      </c>
      <c r="B72" s="81">
        <f si="4" t="shared"/>
        <v>3.597312260588446</v>
      </c>
      <c r="C72" s="78">
        <f>TLFD!C46/SUM(TLFD!$C$11:$C$100)</f>
        <v>2.7345032287633582E-3</v>
      </c>
      <c r="D72" s="78">
        <f>TLFD!I46/SUM(TLFD!$I$11:$I$100)</f>
        <v>4.6764472506879611E-3</v>
      </c>
      <c r="E72" s="78">
        <f>TLFD!D46/SUM(TLFD!$D$11:$D$101)</f>
        <v>0</v>
      </c>
      <c r="F72" s="78">
        <f>TLFD!J46/SUM(TLFD!$J$11:$J$100)</f>
        <v>3.9276362770768866E-3</v>
      </c>
      <c r="G72" s="141">
        <f si="3" t="shared"/>
        <v>-0.53658890261779013</v>
      </c>
      <c r="H72" s="141">
        <f si="5" t="shared"/>
        <v>0</v>
      </c>
      <c r="J72" s="84"/>
      <c r="K72" s="84"/>
      <c r="T72">
        <f>WorkLocationCoefficients!B80</f>
        <v>79</v>
      </c>
      <c r="U72" t="str">
        <f>WorkLocationCoefficients!C80</f>
        <v>Gamma79</v>
      </c>
      <c r="V72" s="40">
        <f>WorkLocationCoefficients!E80</f>
        <v>-1.62636517084</v>
      </c>
      <c r="W72" s="162">
        <f>_xlfn.IFNA(VLOOKUP(T72,$M$13:$Q$39,5,FALSE),_xlfn.IFNA(VLOOKUP(T72,calibration_flow!$AD$3:$AH$25,5,FALSE),V72))</f>
        <v>-1.62636517084</v>
      </c>
      <c r="X72" s="95">
        <f si="6" t="shared"/>
        <v>0</v>
      </c>
    </row>
    <row r="73" spans="1:24" x14ac:dyDescent="0.25">
      <c r="A73">
        <f>TLFD!A47+0.5</f>
        <v>36.5</v>
      </c>
      <c r="B73" s="81">
        <f si="4" t="shared"/>
        <v>3.6243409329763652</v>
      </c>
      <c r="C73" s="78">
        <f>TLFD!C47/SUM(TLFD!$C$11:$C$100)</f>
        <v>5.6191852866449357E-3</v>
      </c>
      <c r="D73" s="78">
        <f>TLFD!I47/SUM(TLFD!$I$11:$I$100)</f>
        <v>3.9336180845137006E-3</v>
      </c>
      <c r="E73" s="78">
        <f>TLFD!D47/SUM(TLFD!$D$11:$D$101)</f>
        <v>0</v>
      </c>
      <c r="F73" s="78">
        <f>TLFD!J47/SUM(TLFD!$J$11:$J$100)</f>
        <v>3.6499246211219552E-3</v>
      </c>
      <c r="G73" s="141">
        <f si="3" t="shared"/>
        <v>0.35662705205668821</v>
      </c>
      <c r="H73" s="141">
        <f si="5" t="shared"/>
        <v>0</v>
      </c>
      <c r="J73" t="s">
        <v>275</v>
      </c>
      <c r="T73">
        <f>WorkLocationCoefficients!B81</f>
        <v>80</v>
      </c>
      <c r="U73" t="str">
        <f>WorkLocationCoefficients!C81</f>
        <v>Gamma80</v>
      </c>
      <c r="V73" s="40">
        <f>WorkLocationCoefficients!E81</f>
        <v>0</v>
      </c>
      <c r="W73" s="162">
        <f>_xlfn.IFNA(VLOOKUP(T73,$M$13:$Q$39,5,FALSE),_xlfn.IFNA(VLOOKUP(T73,calibration_flow!$AD$3:$AH$25,5,FALSE),V73))</f>
        <v>0</v>
      </c>
      <c r="X73" s="95">
        <f si="6" t="shared"/>
        <v>0</v>
      </c>
    </row>
    <row ht="15.75" r="74" spans="1:24" thickBot="1" x14ac:dyDescent="0.3">
      <c r="A74">
        <f>TLFD!A48+0.5</f>
        <v>37.5</v>
      </c>
      <c r="B74" s="81">
        <f si="4" t="shared"/>
        <v>3.6506582412937387</v>
      </c>
      <c r="C74" s="78">
        <f>TLFD!C48/SUM(TLFD!$C$11:$C$100)</f>
        <v>2.4276007665588696E-3</v>
      </c>
      <c r="D74" s="78">
        <f>TLFD!I48/SUM(TLFD!$I$11:$I$100)</f>
        <v>3.9167356034642848E-3</v>
      </c>
      <c r="E74" s="78">
        <f>TLFD!D48/SUM(TLFD!$D$11:$D$101)</f>
        <v>0</v>
      </c>
      <c r="F74" s="78">
        <f>TLFD!J48/SUM(TLFD!$J$11:$J$100)</f>
        <v>2.9754820280885504E-3</v>
      </c>
      <c r="G74" s="141">
        <f si="3" t="shared"/>
        <v>-0.47835512190395485</v>
      </c>
      <c r="H74" s="141">
        <f si="5" t="shared"/>
        <v>0</v>
      </c>
      <c r="T74" s="72">
        <f>WorkLocationCoefficients!B82</f>
        <v>101</v>
      </c>
      <c r="U74" s="72" t="str">
        <f>WorkLocationCoefficients!C82</f>
        <v>DestD_1</v>
      </c>
      <c r="V74" s="73">
        <f>WorkLocationCoefficients!E82</f>
        <v>0</v>
      </c>
      <c r="W74" s="162">
        <f>_xlfn.IFNA(VLOOKUP(T74,$M$13:$Q$39,5,FALSE),_xlfn.IFNA(VLOOKUP(T74,calibration_flow!$AD$3:$AH$25,5,FALSE),V74))</f>
        <v>0</v>
      </c>
      <c r="X74" s="95">
        <f si="6" t="shared"/>
        <v>0</v>
      </c>
    </row>
    <row r="75" spans="1:24" x14ac:dyDescent="0.25">
      <c r="A75">
        <f>TLFD!A49+0.5</f>
        <v>38.5</v>
      </c>
      <c r="B75" s="81">
        <f si="4" t="shared"/>
        <v>3.6763006719070761</v>
      </c>
      <c r="C75" s="78">
        <f>TLFD!C49/SUM(TLFD!$C$11:$C$100)</f>
        <v>0</v>
      </c>
      <c r="D75" s="78">
        <f>TLFD!I49/SUM(TLFD!$I$11:$I$100)</f>
        <v>3.6128509445748145E-3</v>
      </c>
      <c r="E75" s="78">
        <f>TLFD!D49/SUM(TLFD!$D$11:$D$101)</f>
        <v>1.8475500106764574E-3</v>
      </c>
      <c r="F75" s="78">
        <f>TLFD!J49/SUM(TLFD!$J$11:$J$100)</f>
        <v>2.8167896532571611E-3</v>
      </c>
      <c r="G75" s="141">
        <f si="3" t="shared"/>
        <v>0</v>
      </c>
      <c r="H75" s="141">
        <f si="5" t="shared"/>
        <v>-0.42173737277383855</v>
      </c>
      <c r="J75" s="86" t="s">
        <v>276</v>
      </c>
      <c r="K75" s="86"/>
      <c r="T75" s="72">
        <f>WorkLocationCoefficients!B83</f>
        <v>102</v>
      </c>
      <c r="U75" s="72" t="str">
        <f>WorkLocationCoefficients!C83</f>
        <v>DestD_2</v>
      </c>
      <c r="V75" s="73">
        <f>WorkLocationCoefficients!E83</f>
        <v>6.1585552388600001E-2</v>
      </c>
      <c r="W75" s="162">
        <f>_xlfn.IFNA(VLOOKUP(T75,$M$13:$Q$39,5,FALSE),_xlfn.IFNA(VLOOKUP(T75,calibration_flow!$AD$3:$AH$25,5,FALSE),V75))</f>
        <v>0.71443040949944925</v>
      </c>
      <c r="X75" s="95">
        <f si="6" t="shared"/>
        <v>1</v>
      </c>
    </row>
    <row r="76" spans="1:24" x14ac:dyDescent="0.25">
      <c r="A76">
        <f>TLFD!A50+0.5</f>
        <v>39.5</v>
      </c>
      <c r="B76" s="81">
        <f si="4" t="shared"/>
        <v>3.7013019741124933</v>
      </c>
      <c r="C76" s="78">
        <f>TLFD!C50/SUM(TLFD!$C$11:$C$100)</f>
        <v>0</v>
      </c>
      <c r="D76" s="78">
        <f>TLFD!I50/SUM(TLFD!$I$11:$I$100)</f>
        <v>3.0557290699441192E-3</v>
      </c>
      <c r="E76" s="78">
        <f>TLFD!D50/SUM(TLFD!$D$11:$D$101)</f>
        <v>0</v>
      </c>
      <c r="F76" s="78">
        <f>TLFD!J50/SUM(TLFD!$J$11:$J$100)</f>
        <v>2.3010394350551455E-3</v>
      </c>
      <c r="G76" s="141">
        <f si="3" t="shared"/>
        <v>0</v>
      </c>
      <c r="H76" s="141">
        <f si="5" t="shared"/>
        <v>0</v>
      </c>
      <c r="J76" s="84" t="s">
        <v>277</v>
      </c>
      <c r="K76" s="84">
        <v>0.15401022166034731</v>
      </c>
      <c r="T76" s="72">
        <f>WorkLocationCoefficients!B84</f>
        <v>103</v>
      </c>
      <c r="U76" s="72" t="str">
        <f>WorkLocationCoefficients!C84</f>
        <v>DestD_3</v>
      </c>
      <c r="V76" s="73">
        <f>WorkLocationCoefficients!E84</f>
        <v>-0.17738509358310001</v>
      </c>
      <c r="W76" s="162">
        <f>_xlfn.IFNA(VLOOKUP(T76,$M$13:$Q$39,5,FALSE),_xlfn.IFNA(VLOOKUP(T76,calibration_flow!$AD$3:$AH$25,5,FALSE),V76))</f>
        <v>0.4691997842375481</v>
      </c>
      <c r="X76" s="95">
        <f si="6" t="shared"/>
        <v>1</v>
      </c>
    </row>
    <row r="77" spans="1:24" x14ac:dyDescent="0.25">
      <c r="A77">
        <f>TLFD!A51+0.5</f>
        <v>40.5</v>
      </c>
      <c r="B77" s="81">
        <f si="4" t="shared"/>
        <v>3.7256934272366524</v>
      </c>
      <c r="C77" s="78">
        <f>TLFD!C51/SUM(TLFD!$C$11:$C$100)</f>
        <v>0</v>
      </c>
      <c r="D77" s="78">
        <f>TLFD!I51/SUM(TLFD!$I$11:$I$100)</f>
        <v>2.6167845626593285E-3</v>
      </c>
      <c r="E77" s="78">
        <f>TLFD!D51/SUM(TLFD!$D$11:$D$101)</f>
        <v>0</v>
      </c>
      <c r="F77" s="78">
        <f>TLFD!J51/SUM(TLFD!$J$11:$J$100)</f>
        <v>2.1820201539316038E-3</v>
      </c>
      <c r="G77" s="141">
        <f si="3" t="shared"/>
        <v>0</v>
      </c>
      <c r="H77" s="141">
        <f si="5" t="shared"/>
        <v>0</v>
      </c>
      <c r="J77" s="84" t="s">
        <v>278</v>
      </c>
      <c r="K77" s="84">
        <v>2.371914837586931E-2</v>
      </c>
      <c r="T77" s="72">
        <f>WorkLocationCoefficients!B85</f>
        <v>104</v>
      </c>
      <c r="U77" s="72" t="str">
        <f>WorkLocationCoefficients!C85</f>
        <v>DestD_4</v>
      </c>
      <c r="V77" s="73">
        <f>WorkLocationCoefficients!E85</f>
        <v>0.2419007637824</v>
      </c>
      <c r="W77" s="162">
        <f>_xlfn.IFNA(VLOOKUP(T77,$M$13:$Q$39,5,FALSE),_xlfn.IFNA(VLOOKUP(T77,calibration_flow!$AD$3:$AH$25,5,FALSE),V77))</f>
        <v>1.2513631149242204</v>
      </c>
      <c r="X77" s="95">
        <f si="6" t="shared"/>
        <v>1</v>
      </c>
    </row>
    <row r="78" spans="1:24" x14ac:dyDescent="0.25">
      <c r="A78">
        <f>TLFD!A52+0.5</f>
        <v>41.5</v>
      </c>
      <c r="B78" s="81">
        <f si="4" t="shared"/>
        <v>3.7495040759303713</v>
      </c>
      <c r="C78" s="78">
        <f>TLFD!C52/SUM(TLFD!$C$11:$C$100)</f>
        <v>0</v>
      </c>
      <c r="D78" s="78">
        <f>TLFD!I52/SUM(TLFD!$I$11:$I$100)</f>
        <v>2.3804298279675182E-3</v>
      </c>
      <c r="E78" s="78">
        <f>TLFD!D52/SUM(TLFD!$D$11:$D$101)</f>
        <v>0</v>
      </c>
      <c r="F78" s="78">
        <f>TLFD!J52/SUM(TLFD!$J$11:$J$100)</f>
        <v>2.0630008728080617E-3</v>
      </c>
      <c r="G78" s="141">
        <f si="3" t="shared"/>
        <v>0</v>
      </c>
      <c r="H78" s="141">
        <f si="5" t="shared"/>
        <v>0</v>
      </c>
      <c r="J78" s="84" t="s">
        <v>279</v>
      </c>
      <c r="K78" s="84">
        <v>1.2483193319689537E-2</v>
      </c>
      <c r="T78" s="72">
        <f>WorkLocationCoefficients!B86</f>
        <v>105</v>
      </c>
      <c r="U78" s="72" t="str">
        <f>WorkLocationCoefficients!C86</f>
        <v>DestD_5</v>
      </c>
      <c r="V78" s="73">
        <f>WorkLocationCoefficients!E86</f>
        <v>-3.3705109193499998E-2</v>
      </c>
      <c r="W78" s="162">
        <f>_xlfn.IFNA(VLOOKUP(T78,$M$13:$Q$39,5,FALSE),_xlfn.IFNA(VLOOKUP(T78,calibration_flow!$AD$3:$AH$25,5,FALSE),V78))</f>
        <v>5.6693102381874312E-2</v>
      </c>
      <c r="X78" s="95">
        <f si="6" t="shared"/>
        <v>1</v>
      </c>
    </row>
    <row r="79" spans="1:24" x14ac:dyDescent="0.25">
      <c r="A79">
        <f>TLFD!A53+0.5</f>
        <v>42.5</v>
      </c>
      <c r="B79" s="81">
        <f si="4" t="shared"/>
        <v>3.7727609380946383</v>
      </c>
      <c r="C79" s="78">
        <f>TLFD!C53/SUM(TLFD!$C$11:$C$100)</f>
        <v>4.9513372072537438E-4</v>
      </c>
      <c r="D79" s="78">
        <f>TLFD!I53/SUM(TLFD!$I$11:$I$100)</f>
        <v>2.0596626880286326E-3</v>
      </c>
      <c r="E79" s="78">
        <f>TLFD!D53/SUM(TLFD!$D$11:$D$101)</f>
        <v>0</v>
      </c>
      <c r="F79" s="78">
        <f>TLFD!J53/SUM(TLFD!$J$11:$J$100)</f>
        <v>1.5869237483138936E-3</v>
      </c>
      <c r="G79" s="141">
        <f si="3" t="shared"/>
        <v>-1.4254696357345296</v>
      </c>
      <c r="H79" s="141">
        <f si="5" t="shared"/>
        <v>0</v>
      </c>
      <c r="J79" s="84" t="s">
        <v>280</v>
      </c>
      <c r="K79" s="84">
        <v>0.76424537909254264</v>
      </c>
      <c r="T79" s="72">
        <f>WorkLocationCoefficients!B87</f>
        <v>106</v>
      </c>
      <c r="U79" s="72" t="str">
        <f>WorkLocationCoefficients!C87</f>
        <v>DestD_6</v>
      </c>
      <c r="V79" s="73">
        <f>WorkLocationCoefficients!E87</f>
        <v>0.1143372177009</v>
      </c>
      <c r="W79" s="162">
        <f>_xlfn.IFNA(VLOOKUP(T79,$M$13:$Q$39,5,FALSE),_xlfn.IFNA(VLOOKUP(T79,calibration_flow!$AD$3:$AH$25,5,FALSE),V79))</f>
        <v>0.85746522797760305</v>
      </c>
      <c r="X79" s="95">
        <f si="6" t="shared"/>
        <v>1</v>
      </c>
    </row>
    <row ht="15.75" r="80" spans="1:24" thickBot="1" x14ac:dyDescent="0.3">
      <c r="A80">
        <f>TLFD!A54+0.5</f>
        <v>43.5</v>
      </c>
      <c r="B80" s="81">
        <f si="4" t="shared"/>
        <v>3.7954891891721947</v>
      </c>
      <c r="C80" s="78">
        <f>TLFD!C54/SUM(TLFD!$C$11:$C$100)</f>
        <v>1.3486793264157822E-3</v>
      </c>
      <c r="D80" s="78">
        <f>TLFD!I54/SUM(TLFD!$I$11:$I$100)</f>
        <v>1.9583678017321424E-3</v>
      </c>
      <c r="E80" s="78">
        <f>TLFD!D54/SUM(TLFD!$D$11:$D$101)</f>
        <v>0</v>
      </c>
      <c r="F80" s="78">
        <f>TLFD!J54/SUM(TLFD!$J$11:$J$100)</f>
        <v>1.4282313734825041E-3</v>
      </c>
      <c r="G80" s="141">
        <f si="3" t="shared"/>
        <v>-0.37298553519541672</v>
      </c>
      <c r="H80" s="141">
        <f si="5" t="shared"/>
        <v>0</v>
      </c>
      <c r="J80" s="88" t="s">
        <v>281</v>
      </c>
      <c r="K80" s="88">
        <v>90</v>
      </c>
      <c r="T80" s="72">
        <f>WorkLocationCoefficients!B88</f>
        <v>107</v>
      </c>
      <c r="U80" s="72" t="str">
        <f>WorkLocationCoefficients!C88</f>
        <v>DestD_7</v>
      </c>
      <c r="V80" s="73">
        <f>WorkLocationCoefficients!E88</f>
        <v>0.29549776405130002</v>
      </c>
      <c r="W80" s="162">
        <f>_xlfn.IFNA(VLOOKUP(T80,$M$13:$Q$39,5,FALSE),_xlfn.IFNA(VLOOKUP(T80,calibration_flow!$AD$3:$AH$25,5,FALSE),V80))</f>
        <v>1.4341319151823888</v>
      </c>
      <c r="X80" s="95">
        <f si="6" t="shared"/>
        <v>1</v>
      </c>
    </row>
    <row r="81" spans="1:24" x14ac:dyDescent="0.25">
      <c r="A81">
        <f>TLFD!A55+0.5</f>
        <v>44.5</v>
      </c>
      <c r="B81" s="81">
        <f si="4" t="shared"/>
        <v>3.8177123259569048</v>
      </c>
      <c r="C81" s="78">
        <f>TLFD!C55/SUM(TLFD!$C$11:$C$100)</f>
        <v>0</v>
      </c>
      <c r="D81" s="78">
        <f>TLFD!I55/SUM(TLFD!$I$11:$I$100)</f>
        <v>1.6207181807438421E-3</v>
      </c>
      <c r="E81" s="78">
        <f>TLFD!D55/SUM(TLFD!$D$11:$D$101)</f>
        <v>0</v>
      </c>
      <c r="F81" s="78">
        <f>TLFD!J55/SUM(TLFD!$J$11:$J$100)</f>
        <v>1.2298659049432676E-3</v>
      </c>
      <c r="G81" s="141">
        <f si="3" t="shared"/>
        <v>0</v>
      </c>
      <c r="H81" s="141">
        <f si="5" t="shared"/>
        <v>0</v>
      </c>
      <c r="T81" s="72">
        <f>WorkLocationCoefficients!B89</f>
        <v>108</v>
      </c>
      <c r="U81" s="72" t="str">
        <f>WorkLocationCoefficients!C89</f>
        <v>DestD_8</v>
      </c>
      <c r="V81" s="73">
        <f>WorkLocationCoefficients!E89</f>
        <v>-0.24958234591280001</v>
      </c>
      <c r="W81" s="162">
        <f>_xlfn.IFNA(VLOOKUP(T81,$M$13:$Q$39,5,FALSE),_xlfn.IFNA(VLOOKUP(T81,calibration_flow!$AD$3:$AH$25,5,FALSE),V81))</f>
        <v>1.4503919370319314</v>
      </c>
      <c r="X81" s="95">
        <f si="6" t="shared"/>
        <v>1</v>
      </c>
    </row>
    <row ht="15.75" r="82" spans="1:24" thickBot="1" x14ac:dyDescent="0.3">
      <c r="A82">
        <f>TLFD!A56+0.5</f>
        <v>45.5</v>
      </c>
      <c r="B82" s="81">
        <f si="4" t="shared"/>
        <v>3.8394523125933104</v>
      </c>
      <c r="C82" s="78">
        <f>TLFD!C56/SUM(TLFD!$C$11:$C$100)</f>
        <v>0</v>
      </c>
      <c r="D82" s="78">
        <f>TLFD!I56/SUM(TLFD!$I$11:$I$100)</f>
        <v>1.603835699694427E-3</v>
      </c>
      <c r="E82" s="78">
        <f>TLFD!D56/SUM(TLFD!$D$11:$D$101)</f>
        <v>0</v>
      </c>
      <c r="F82" s="78">
        <f>TLFD!J56/SUM(TLFD!$J$11:$J$100)</f>
        <v>6.7444259303340475E-4</v>
      </c>
      <c r="G82" s="141">
        <f si="3" t="shared"/>
        <v>0</v>
      </c>
      <c r="H82" s="141">
        <f si="5" t="shared"/>
        <v>0</v>
      </c>
      <c r="J82" t="s">
        <v>282</v>
      </c>
      <c r="T82" s="72">
        <f>WorkLocationCoefficients!B90</f>
        <v>109</v>
      </c>
      <c r="U82" s="72" t="str">
        <f>WorkLocationCoefficients!C90</f>
        <v>DestD_9</v>
      </c>
      <c r="V82" s="73">
        <f>WorkLocationCoefficients!E90</f>
        <v>0.1613318461263</v>
      </c>
      <c r="W82" s="162">
        <f>_xlfn.IFNA(VLOOKUP(T82,$M$13:$Q$39,5,FALSE),_xlfn.IFNA(VLOOKUP(T82,calibration_flow!$AD$3:$AH$25,5,FALSE),V82))</f>
        <v>1.3486673810224123</v>
      </c>
      <c r="X82" s="95">
        <f si="6" t="shared"/>
        <v>1</v>
      </c>
    </row>
    <row r="83" spans="1:24" x14ac:dyDescent="0.25">
      <c r="A83">
        <f>TLFD!A57+0.5</f>
        <v>46.5</v>
      </c>
      <c r="B83" s="81">
        <f si="4" t="shared"/>
        <v>3.8607297110405954</v>
      </c>
      <c r="C83" s="78">
        <f>TLFD!C57/SUM(TLFD!$C$11:$C$100)</f>
        <v>0</v>
      </c>
      <c r="D83" s="78">
        <f>TLFD!I57/SUM(TLFD!$I$11:$I$100)</f>
        <v>1.1480087113602214E-3</v>
      </c>
      <c r="E83" s="78">
        <f>TLFD!D57/SUM(TLFD!$D$11:$D$101)</f>
        <v>0</v>
      </c>
      <c r="F83" s="78">
        <f>TLFD!J57/SUM(TLFD!$J$11:$J$100)</f>
        <v>8.3313496786479408E-4</v>
      </c>
      <c r="G83" s="141">
        <f si="3" t="shared"/>
        <v>0</v>
      </c>
      <c r="H83" s="141">
        <f si="5" t="shared"/>
        <v>0</v>
      </c>
      <c r="J83" s="89"/>
      <c r="K83" s="89" t="s">
        <v>283</v>
      </c>
      <c r="L83" s="89" t="s">
        <v>284</v>
      </c>
      <c r="M83" s="89" t="s">
        <v>285</v>
      </c>
      <c r="N83" s="89" t="s">
        <v>94</v>
      </c>
      <c r="O83" s="89" t="s">
        <v>286</v>
      </c>
      <c r="T83" s="72">
        <f>WorkLocationCoefficients!B91</f>
        <v>110</v>
      </c>
      <c r="U83" s="72" t="str">
        <f>WorkLocationCoefficients!C91</f>
        <v>DestD_10</v>
      </c>
      <c r="V83" s="73">
        <f>WorkLocationCoefficients!E91</f>
        <v>-4.5588844644699998E-2</v>
      </c>
      <c r="W83" s="162">
        <f>_xlfn.IFNA(VLOOKUP(T83,$M$13:$Q$39,5,FALSE),_xlfn.IFNA(VLOOKUP(T83,calibration_flow!$AD$3:$AH$25,5,FALSE),V83))</f>
        <v>1.3348268997270423</v>
      </c>
      <c r="X83" s="95">
        <f si="6" t="shared"/>
        <v>1</v>
      </c>
    </row>
    <row r="84" spans="1:24" x14ac:dyDescent="0.25">
      <c r="A84">
        <f>TLFD!A58+0.5</f>
        <v>47.5</v>
      </c>
      <c r="B84" s="81">
        <f si="4" t="shared"/>
        <v>3.8815637979434374</v>
      </c>
      <c r="C84" s="78">
        <f>TLFD!C58/SUM(TLFD!$C$11:$C$100)</f>
        <v>0</v>
      </c>
      <c r="D84" s="78">
        <f>TLFD!I58/SUM(TLFD!$I$11:$I$100)</f>
        <v>9.454189387672412E-4</v>
      </c>
      <c r="E84" s="78">
        <f>TLFD!D58/SUM(TLFD!$D$11:$D$101)</f>
        <v>0</v>
      </c>
      <c r="F84" s="78">
        <f>TLFD!J58/SUM(TLFD!$J$11:$J$100)</f>
        <v>1.1108466238197254E-3</v>
      </c>
      <c r="G84" s="141">
        <f si="3" t="shared"/>
        <v>0</v>
      </c>
      <c r="H84" s="141">
        <f si="5" t="shared"/>
        <v>0</v>
      </c>
      <c r="J84" s="84" t="s">
        <v>287</v>
      </c>
      <c r="K84" s="84">
        <v>1</v>
      </c>
      <c r="L84" s="84">
        <v>1.2629320078343724</v>
      </c>
      <c r="M84" s="84">
        <v>1.2629320078343724</v>
      </c>
      <c r="N84" s="84">
        <v>2.1622919285372895</v>
      </c>
      <c r="O84" s="84">
        <v>0.14500021604772662</v>
      </c>
      <c r="T84" s="72">
        <f>WorkLocationCoefficients!B92</f>
        <v>111</v>
      </c>
      <c r="U84" s="72" t="str">
        <f>WorkLocationCoefficients!C92</f>
        <v>DestD_11</v>
      </c>
      <c r="V84" s="73">
        <f>WorkLocationCoefficients!E92</f>
        <v>-0.14910096747439999</v>
      </c>
      <c r="W84" s="162">
        <f>_xlfn.IFNA(VLOOKUP(T84,$M$13:$Q$39,5,FALSE),_xlfn.IFNA(VLOOKUP(T84,calibration_flow!$AD$3:$AH$25,5,FALSE),V84))</f>
        <v>1.0801727613194942</v>
      </c>
      <c r="X84" s="95">
        <f si="6" t="shared"/>
        <v>1</v>
      </c>
    </row>
    <row r="85" spans="1:24" x14ac:dyDescent="0.25">
      <c r="A85">
        <f>TLFD!A59+0.5</f>
        <v>48.5</v>
      </c>
      <c r="B85" s="81">
        <f si="4" t="shared"/>
        <v>3.9019726695746448</v>
      </c>
      <c r="C85" s="78">
        <f>TLFD!C59/SUM(TLFD!$C$11:$C$100)</f>
        <v>0</v>
      </c>
      <c r="D85" s="78">
        <f>TLFD!I59/SUM(TLFD!$I$11:$I$100)</f>
        <v>1.1817736734590514E-3</v>
      </c>
      <c r="E85" s="78">
        <f>TLFD!D59/SUM(TLFD!$D$11:$D$101)</f>
        <v>0</v>
      </c>
      <c r="F85" s="78">
        <f>TLFD!J59/SUM(TLFD!$J$11:$J$100)</f>
        <v>4.364040307863207E-4</v>
      </c>
      <c r="G85" s="141">
        <f si="3" t="shared"/>
        <v>0</v>
      </c>
      <c r="H85" s="141">
        <f si="5" t="shared"/>
        <v>0</v>
      </c>
      <c r="J85" s="84" t="s">
        <v>288</v>
      </c>
      <c r="K85" s="84">
        <v>89</v>
      </c>
      <c r="L85" s="84">
        <v>51.982318952323077</v>
      </c>
      <c r="M85" s="84">
        <v>0.58407099946430419</v>
      </c>
      <c r="N85" s="84"/>
      <c r="O85" s="84"/>
      <c r="T85" s="72">
        <f>WorkLocationCoefficients!B93</f>
        <v>112</v>
      </c>
      <c r="U85" s="72" t="str">
        <f>WorkLocationCoefficients!C93</f>
        <v>DestD_12</v>
      </c>
      <c r="V85" s="73">
        <f>WorkLocationCoefficients!E93</f>
        <v>0.17468608903999999</v>
      </c>
      <c r="W85" s="162">
        <f>_xlfn.IFNA(VLOOKUP(T85,$M$13:$Q$39,5,FALSE),_xlfn.IFNA(VLOOKUP(T85,calibration_flow!$AD$3:$AH$25,5,FALSE),V85))</f>
        <v>1.3627134235512477</v>
      </c>
      <c r="X85" s="95">
        <f si="6" t="shared"/>
        <v>1</v>
      </c>
    </row>
    <row ht="15.75" r="86" spans="1:24" thickBot="1" x14ac:dyDescent="0.3">
      <c r="A86">
        <f>TLFD!A60+0.5</f>
        <v>49.5</v>
      </c>
      <c r="B86" s="81">
        <f si="4" t="shared"/>
        <v>3.9219733362813143</v>
      </c>
      <c r="C86" s="78">
        <f>TLFD!C60/SUM(TLFD!$C$11:$C$100)</f>
        <v>0</v>
      </c>
      <c r="D86" s="78">
        <f>TLFD!I60/SUM(TLFD!$I$11:$I$100)</f>
        <v>1.1480087113602214E-3</v>
      </c>
      <c r="E86" s="78">
        <f>TLFD!D60/SUM(TLFD!$D$11:$D$101)</f>
        <v>0</v>
      </c>
      <c r="F86" s="78">
        <f>TLFD!J60/SUM(TLFD!$J$11:$J$100)</f>
        <v>4.364040307863207E-4</v>
      </c>
      <c r="G86" s="141">
        <f si="3" t="shared"/>
        <v>0</v>
      </c>
      <c r="H86" s="141">
        <f si="5" t="shared"/>
        <v>0</v>
      </c>
      <c r="J86" s="88" t="s">
        <v>3</v>
      </c>
      <c r="K86" s="88">
        <v>90</v>
      </c>
      <c r="L86" s="88">
        <v>53.245250960157449</v>
      </c>
      <c r="M86" s="88"/>
      <c r="N86" s="88"/>
      <c r="O86" s="88"/>
      <c r="T86" s="72">
        <f>WorkLocationCoefficients!B94</f>
        <v>113</v>
      </c>
      <c r="U86" s="72" t="str">
        <f>WorkLocationCoefficients!C94</f>
        <v>DestD_13</v>
      </c>
      <c r="V86" s="73">
        <f>WorkLocationCoefficients!E94</f>
        <v>1.3048994599762</v>
      </c>
      <c r="W86" s="162">
        <f>_xlfn.IFNA(VLOOKUP(T86,$M$13:$Q$39,5,FALSE),_xlfn.IFNA(VLOOKUP(T86,calibration_flow!$AD$3:$AH$25,5,FALSE),V86))</f>
        <v>1.7315375335722749</v>
      </c>
      <c r="X86" s="95">
        <f si="6" t="shared"/>
        <v>1</v>
      </c>
    </row>
    <row ht="15.75" r="87" spans="1:24" thickBot="1" x14ac:dyDescent="0.3">
      <c r="A87">
        <f>TLFD!A61+0.5</f>
        <v>50.5</v>
      </c>
      <c r="B87" s="81">
        <f si="4" t="shared"/>
        <v>3.9415818076696905</v>
      </c>
      <c r="C87" s="78">
        <f>TLFD!C61/SUM(TLFD!$C$11:$C$100)</f>
        <v>0</v>
      </c>
      <c r="D87" s="78">
        <f>TLFD!I61/SUM(TLFD!$I$11:$I$100)</f>
        <v>8.6100653352016608E-4</v>
      </c>
      <c r="E87" s="78">
        <f>TLFD!D61/SUM(TLFD!$D$11:$D$101)</f>
        <v>0</v>
      </c>
      <c r="F87" s="78">
        <f>TLFD!J61/SUM(TLFD!$J$11:$J$100)</f>
        <v>6.3476949932555744E-4</v>
      </c>
      <c r="G87" s="141">
        <f si="3" t="shared"/>
        <v>0</v>
      </c>
      <c r="H87" s="141">
        <f si="5" t="shared"/>
        <v>0</v>
      </c>
      <c r="T87" s="72">
        <f>WorkLocationCoefficients!B95</f>
        <v>114</v>
      </c>
      <c r="U87" s="72" t="str">
        <f>WorkLocationCoefficients!C95</f>
        <v>DestD_14</v>
      </c>
      <c r="V87" s="73">
        <f>WorkLocationCoefficients!E95</f>
        <v>4.9409553856600001E-2</v>
      </c>
      <c r="W87" s="162">
        <f>_xlfn.IFNA(VLOOKUP(T87,$M$13:$Q$39,5,FALSE),_xlfn.IFNA(VLOOKUP(T87,calibration_flow!$AD$3:$AH$25,5,FALSE),V87))</f>
        <v>1.1941736182651954</v>
      </c>
      <c r="X87" s="95">
        <f si="6" t="shared"/>
        <v>1</v>
      </c>
    </row>
    <row r="88" spans="1:24" x14ac:dyDescent="0.25">
      <c r="A88">
        <f>TLFD!A62+0.5</f>
        <v>51.5</v>
      </c>
      <c r="B88" s="81">
        <f si="4" t="shared"/>
        <v>3.9608131695975781</v>
      </c>
      <c r="C88" s="78">
        <f>TLFD!C62/SUM(TLFD!$C$11:$C$100)</f>
        <v>7.5965505958662321E-4</v>
      </c>
      <c r="D88" s="78">
        <f>TLFD!I62/SUM(TLFD!$I$11:$I$100)</f>
        <v>7.0906420407543095E-4</v>
      </c>
      <c r="E88" s="78">
        <f>TLFD!D62/SUM(TLFD!$D$11:$D$101)</f>
        <v>0</v>
      </c>
      <c r="F88" s="78">
        <f>TLFD!J62/SUM(TLFD!$J$11:$J$100)</f>
        <v>4.364040307863207E-4</v>
      </c>
      <c r="G88" s="141">
        <f si="3" t="shared"/>
        <v>6.8918383034854452E-2</v>
      </c>
      <c r="H88" s="141">
        <f si="5" t="shared"/>
        <v>0</v>
      </c>
      <c r="J88" s="89"/>
      <c r="K88" s="89" t="s">
        <v>289</v>
      </c>
      <c r="L88" s="89" t="s">
        <v>280</v>
      </c>
      <c r="M88" s="89" t="s">
        <v>290</v>
      </c>
      <c r="N88" s="89" t="s">
        <v>291</v>
      </c>
      <c r="O88" s="89" t="s">
        <v>292</v>
      </c>
      <c r="P88" s="89" t="s">
        <v>293</v>
      </c>
      <c r="Q88" s="89" t="s">
        <v>294</v>
      </c>
      <c r="R88" s="89" t="s">
        <v>295</v>
      </c>
      <c r="T88" s="72">
        <f>WorkLocationCoefficients!B96</f>
        <v>115</v>
      </c>
      <c r="U88" s="72" t="str">
        <f>WorkLocationCoefficients!C96</f>
        <v>DestD_15</v>
      </c>
      <c r="V88" s="73">
        <f>WorkLocationCoefficients!E96</f>
        <v>0.21697886195819999</v>
      </c>
      <c r="W88" s="162">
        <f>_xlfn.IFNA(VLOOKUP(T88,$M$13:$Q$39,5,FALSE),_xlfn.IFNA(VLOOKUP(T88,calibration_flow!$AD$3:$AH$25,5,FALSE),V88))</f>
        <v>1.0210511504191704</v>
      </c>
      <c r="X88" s="95">
        <f si="6" t="shared"/>
        <v>1</v>
      </c>
    </row>
    <row r="89" spans="1:24" x14ac:dyDescent="0.25">
      <c r="A89">
        <f>TLFD!A63+0.5</f>
        <v>52.5</v>
      </c>
      <c r="B89" s="81">
        <f si="4" t="shared"/>
        <v>3.9796816539019608</v>
      </c>
      <c r="C89" s="78">
        <f>TLFD!C63/SUM(TLFD!$C$11:$C$100)</f>
        <v>0</v>
      </c>
      <c r="D89" s="78">
        <f>TLFD!I63/SUM(TLFD!$I$11:$I$100)</f>
        <v>7.2594668512484595E-4</v>
      </c>
      <c r="E89" s="78">
        <f>TLFD!D63/SUM(TLFD!$D$11:$D$101)</f>
        <v>0</v>
      </c>
      <c r="F89" s="78">
        <f>TLFD!J63/SUM(TLFD!$J$11:$J$100)</f>
        <v>3.1738474966277872E-4</v>
      </c>
      <c r="G89" s="141">
        <f si="3" t="shared"/>
        <v>0</v>
      </c>
      <c r="H89" s="141">
        <f si="5" t="shared"/>
        <v>0</v>
      </c>
      <c r="J89" s="84" t="s">
        <v>296</v>
      </c>
      <c r="K89" s="84">
        <v>0</v>
      </c>
      <c r="L89" s="84" t="e">
        <v>#N/A</v>
      </c>
      <c r="M89" s="84" t="e">
        <v>#N/A</v>
      </c>
      <c r="N89" s="84" t="e">
        <v>#N/A</v>
      </c>
      <c r="O89" s="84" t="e">
        <v>#N/A</v>
      </c>
      <c r="P89" s="84" t="e">
        <v>#N/A</v>
      </c>
      <c r="Q89" s="84" t="e">
        <v>#N/A</v>
      </c>
      <c r="R89" s="84" t="e">
        <v>#N/A</v>
      </c>
      <c r="T89" s="72">
        <f>WorkLocationCoefficients!B97</f>
        <v>116</v>
      </c>
      <c r="U89" s="72" t="str">
        <f>WorkLocationCoefficients!C97</f>
        <v>DestD_16</v>
      </c>
      <c r="V89" s="73">
        <f>WorkLocationCoefficients!E97</f>
        <v>-0.46096256471820002</v>
      </c>
      <c r="W89" s="162">
        <f>_xlfn.IFNA(VLOOKUP(T89,$M$13:$Q$39,5,FALSE),_xlfn.IFNA(VLOOKUP(T89,calibration_flow!$AD$3:$AH$25,5,FALSE),V89))</f>
        <v>1.1974058067955538</v>
      </c>
      <c r="X89" s="95">
        <f si="6" t="shared"/>
        <v>1</v>
      </c>
    </row>
    <row ht="15.75" r="90" spans="1:24" thickBot="1" x14ac:dyDescent="0.3">
      <c r="A90">
        <f>TLFD!A64+0.5</f>
        <v>53.5</v>
      </c>
      <c r="B90" s="81">
        <f si="4" t="shared"/>
        <v>3.9982007016691985</v>
      </c>
      <c r="C90" s="78">
        <f>TLFD!C64/SUM(TLFD!$C$11:$C$100)</f>
        <v>0</v>
      </c>
      <c r="D90" s="78">
        <f>TLFD!I64/SUM(TLFD!$I$11:$I$100)</f>
        <v>8.4412405247075108E-4</v>
      </c>
      <c r="E90" s="78">
        <f>TLFD!D64/SUM(TLFD!$D$11:$D$101)</f>
        <v>0</v>
      </c>
      <c r="F90" s="78">
        <f>TLFD!J64/SUM(TLFD!$J$11:$J$100)</f>
        <v>3.1738474966277872E-4</v>
      </c>
      <c r="G90" s="141">
        <f si="3" t="shared"/>
        <v>0</v>
      </c>
      <c r="H90" s="141">
        <f si="5" t="shared"/>
        <v>0</v>
      </c>
      <c r="J90" s="88" t="s">
        <v>297</v>
      </c>
      <c r="K90" s="88">
        <v>3.2297982090088391E-2</v>
      </c>
      <c r="L90" s="88">
        <v>2.1964343437954996E-2</v>
      </c>
      <c r="M90" s="88">
        <v>1.4704733688636729</v>
      </c>
      <c r="N90" s="88">
        <v>0.14496023952276038</v>
      </c>
      <c r="O90" s="88">
        <v>-1.1344700469768834E-2</v>
      </c>
      <c r="P90" s="88">
        <v>7.5940664649945616E-2</v>
      </c>
      <c r="Q90" s="88">
        <v>-1.1344700469768834E-2</v>
      </c>
      <c r="R90" s="88">
        <v>7.5940664649945616E-2</v>
      </c>
      <c r="T90" s="72">
        <f>WorkLocationCoefficients!B98</f>
        <v>117</v>
      </c>
      <c r="U90" s="72" t="str">
        <f>WorkLocationCoefficients!C98</f>
        <v>DestD_17</v>
      </c>
      <c r="V90" s="73">
        <f>WorkLocationCoefficients!E98</f>
        <v>-6.5598826231399995E-2</v>
      </c>
      <c r="W90" s="162">
        <f>_xlfn.IFNA(VLOOKUP(T90,$M$13:$Q$39,5,FALSE),_xlfn.IFNA(VLOOKUP(T90,calibration_flow!$AD$3:$AH$25,5,FALSE),V90))</f>
        <v>1.2820386780717434</v>
      </c>
      <c r="X90" s="95">
        <f si="6" t="shared"/>
        <v>1</v>
      </c>
    </row>
    <row r="91" spans="1:24" x14ac:dyDescent="0.25">
      <c r="A91">
        <f>TLFD!A65+0.5</f>
        <v>54.5</v>
      </c>
      <c r="B91" s="81">
        <f si="4" t="shared"/>
        <v>4.0163830207523885</v>
      </c>
      <c r="C91" s="78">
        <f>TLFD!C65/SUM(TLFD!$C$11:$C$100)</f>
        <v>0</v>
      </c>
      <c r="D91" s="78">
        <f>TLFD!I65/SUM(TLFD!$I$11:$I$100)</f>
        <v>4.558269883342056E-4</v>
      </c>
      <c r="E91" s="78">
        <f>TLFD!D65/SUM(TLFD!$D$11:$D$101)</f>
        <v>0</v>
      </c>
      <c r="F91" s="78">
        <f>TLFD!J65/SUM(TLFD!$J$11:$J$100)</f>
        <v>3.1738474966277872E-4</v>
      </c>
      <c r="G91" s="141">
        <f si="3" t="shared"/>
        <v>0</v>
      </c>
      <c r="H91" s="141">
        <f si="5" t="shared"/>
        <v>0</v>
      </c>
      <c r="T91" s="72">
        <f>WorkLocationCoefficients!B99</f>
        <v>118</v>
      </c>
      <c r="U91" s="72" t="str">
        <f>WorkLocationCoefficients!C99</f>
        <v>DestD_18</v>
      </c>
      <c r="V91" s="73">
        <f>WorkLocationCoefficients!E99</f>
        <v>0.30646725571720002</v>
      </c>
      <c r="W91" s="162">
        <f>_xlfn.IFNA(VLOOKUP(T91,$M$13:$Q$39,5,FALSE),_xlfn.IFNA(VLOOKUP(T91,calibration_flow!$AD$3:$AH$25,5,FALSE),V91))</f>
        <v>1.2442313666217937</v>
      </c>
      <c r="X91" s="95">
        <f si="6" t="shared"/>
        <v>1</v>
      </c>
    </row>
    <row r="92" spans="1:24" x14ac:dyDescent="0.25">
      <c r="A92">
        <f>TLFD!A66+0.5</f>
        <v>55.5</v>
      </c>
      <c r="B92" s="81">
        <f si="4" t="shared"/>
        <v>4.0342406381523954</v>
      </c>
      <c r="C92" s="78">
        <f>TLFD!C66/SUM(TLFD!$C$11:$C$100)</f>
        <v>0</v>
      </c>
      <c r="D92" s="78">
        <f>TLFD!I66/SUM(TLFD!$I$11:$I$100)</f>
        <v>5.4023939358128071E-4</v>
      </c>
      <c r="E92" s="78">
        <f>TLFD!D66/SUM(TLFD!$D$11:$D$101)</f>
        <v>0</v>
      </c>
      <c r="F92" s="78">
        <f>TLFD!J66/SUM(TLFD!$J$11:$J$100)</f>
        <v>1.9836546853923669E-4</v>
      </c>
      <c r="G92" s="141">
        <f si="3" t="shared"/>
        <v>0</v>
      </c>
      <c r="H92" s="141">
        <f si="5" t="shared"/>
        <v>0</v>
      </c>
      <c r="T92" s="72">
        <f>WorkLocationCoefficients!B100</f>
        <v>119</v>
      </c>
      <c r="U92" s="72" t="str">
        <f>WorkLocationCoefficients!C100</f>
        <v>DestD_19</v>
      </c>
      <c r="V92" s="73">
        <f>WorkLocationCoefficients!E100</f>
        <v>0.1628137198364</v>
      </c>
      <c r="W92" s="162">
        <f>_xlfn.IFNA(VLOOKUP(T92,$M$13:$Q$39,5,FALSE),_xlfn.IFNA(VLOOKUP(T92,calibration_flow!$AD$3:$AH$25,5,FALSE),V92))</f>
        <v>1.375205220046295</v>
      </c>
      <c r="X92" s="95">
        <f si="6" t="shared"/>
        <v>1</v>
      </c>
    </row>
    <row r="93" spans="1:24" x14ac:dyDescent="0.25">
      <c r="A93">
        <f>TLFD!A67+0.5</f>
        <v>56.5</v>
      </c>
      <c r="B93" s="81">
        <f si="4" t="shared"/>
        <v>4.0517849478033048</v>
      </c>
      <c r="C93" s="78">
        <f>TLFD!C67/SUM(TLFD!$C$11:$C$100)</f>
        <v>0</v>
      </c>
      <c r="D93" s="78">
        <f>TLFD!I67/SUM(TLFD!$I$11:$I$100)</f>
        <v>4.558269883342056E-4</v>
      </c>
      <c r="E93" s="78">
        <f>TLFD!D67/SUM(TLFD!$D$11:$D$101)</f>
        <v>0</v>
      </c>
      <c r="F93" s="78">
        <f>TLFD!J67/SUM(TLFD!$J$11:$J$100)</f>
        <v>2.7771165595493136E-4</v>
      </c>
      <c r="G93" s="141">
        <f si="3" t="shared"/>
        <v>0</v>
      </c>
      <c r="H93" s="141">
        <f si="5" t="shared"/>
        <v>0</v>
      </c>
      <c r="T93" s="72">
        <f>WorkLocationCoefficients!B101</f>
        <v>120</v>
      </c>
      <c r="U93" s="72" t="str">
        <f>WorkLocationCoefficients!C101</f>
        <v>DestD_20</v>
      </c>
      <c r="V93" s="73">
        <f>WorkLocationCoefficients!E101</f>
        <v>-0.40270863939919999</v>
      </c>
      <c r="W93" s="162">
        <f>_xlfn.IFNA(VLOOKUP(T93,$M$13:$Q$39,5,FALSE),_xlfn.IFNA(VLOOKUP(T93,calibration_flow!$AD$3:$AH$25,5,FALSE),V93))</f>
        <v>0.56172541418839295</v>
      </c>
      <c r="X93" s="95">
        <f si="6" t="shared"/>
        <v>1</v>
      </c>
    </row>
    <row r="94" spans="1:24" x14ac:dyDescent="0.25">
      <c r="A94">
        <f>TLFD!A68+0.5</f>
        <v>57.5</v>
      </c>
      <c r="B94" s="81">
        <f si="4" t="shared"/>
        <v>4.0690267542378109</v>
      </c>
      <c r="C94" s="78">
        <f>TLFD!C68/SUM(TLFD!$C$11:$C$100)</f>
        <v>0</v>
      </c>
      <c r="D94" s="78">
        <f>TLFD!I68/SUM(TLFD!$I$11:$I$100)</f>
        <v>3.5453210203771548E-4</v>
      </c>
      <c r="E94" s="78">
        <f>TLFD!D68/SUM(TLFD!$D$11:$D$101)</f>
        <v>0</v>
      </c>
      <c r="F94" s="78">
        <f>TLFD!J68/SUM(TLFD!$J$11:$J$100)</f>
        <v>1.5869237483138936E-4</v>
      </c>
      <c r="G94" s="141">
        <f si="3" t="shared"/>
        <v>0</v>
      </c>
      <c r="H94" s="141">
        <f si="5" t="shared"/>
        <v>0</v>
      </c>
      <c r="J94" s="84"/>
      <c r="K94" s="84"/>
      <c r="T94" s="72">
        <f>WorkLocationCoefficients!B102</f>
        <v>121</v>
      </c>
      <c r="U94" s="72" t="str">
        <f>WorkLocationCoefficients!C102</f>
        <v>O12_D12</v>
      </c>
      <c r="V94" s="73">
        <f>WorkLocationCoefficients!E102</f>
        <v>-0.47819038789149998</v>
      </c>
      <c r="W94" s="162">
        <f>_xlfn.IFNA(VLOOKUP(T94,$M$13:$Q$39,5,FALSE),_xlfn.IFNA(VLOOKUP(T94,calibration_flow!$AD$3:$AH$25,5,FALSE),V94))</f>
        <v>-0.47819038789149998</v>
      </c>
      <c r="X94" s="95">
        <f>IF(W94=V94,0,1)</f>
        <v>0</v>
      </c>
    </row>
    <row r="95" spans="1:24" x14ac:dyDescent="0.25">
      <c r="A95">
        <f>TLFD!A69+0.5</f>
        <v>58.5</v>
      </c>
      <c r="B95" s="81">
        <f si="4" t="shared"/>
        <v>4.0859763125515842</v>
      </c>
      <c r="C95" s="78">
        <f>TLFD!C69/SUM(TLFD!$C$11:$C$100)</f>
        <v>0</v>
      </c>
      <c r="D95" s="78">
        <f>TLFD!I69/SUM(TLFD!$I$11:$I$100)</f>
        <v>3.5453210203771548E-4</v>
      </c>
      <c r="E95" s="78">
        <f>TLFD!D69/SUM(TLFD!$D$11:$D$101)</f>
        <v>0</v>
      </c>
      <c r="F95" s="78">
        <f>TLFD!J69/SUM(TLFD!$J$11:$J$100)</f>
        <v>7.934618741569468E-5</v>
      </c>
      <c r="G95" s="141">
        <f si="3" t="shared"/>
        <v>0</v>
      </c>
      <c r="H95" s="141">
        <f si="5" t="shared"/>
        <v>0</v>
      </c>
      <c r="J95" s="84"/>
      <c r="K95" s="84"/>
      <c r="T95" s="72">
        <f>WorkLocationCoefficients!B103</f>
        <v>122</v>
      </c>
      <c r="U95" s="72" t="str">
        <f>WorkLocationCoefficients!C103</f>
        <v>O13_D13</v>
      </c>
      <c r="V95" s="73">
        <f>WorkLocationCoefficients!E103</f>
        <v>-1.0119832457914</v>
      </c>
      <c r="W95" s="162">
        <f>_xlfn.IFNA(VLOOKUP(T95,$M$13:$Q$39,5,FALSE),_xlfn.IFNA(VLOOKUP(T95,calibration_flow!$AD$3:$AH$25,5,FALSE),V95))</f>
        <v>-1.0119832457914</v>
      </c>
      <c r="X95" s="95">
        <f>IF(W95=V95,0,1)</f>
        <v>0</v>
      </c>
    </row>
    <row r="96" spans="1:24" x14ac:dyDescent="0.25">
      <c r="A96">
        <f>TLFD!A70+0.5</f>
        <v>59.5</v>
      </c>
      <c r="B96" s="81">
        <f si="4" t="shared"/>
        <v>4.1026433650367959</v>
      </c>
      <c r="C96" s="78">
        <f>TLFD!C70/SUM(TLFD!$C$11:$C$100)</f>
        <v>6.2349624825109066E-4</v>
      </c>
      <c r="D96" s="78">
        <f>TLFD!I70/SUM(TLFD!$I$11:$I$100)</f>
        <v>3.0388465888947042E-4</v>
      </c>
      <c r="E96" s="78">
        <f>TLFD!D70/SUM(TLFD!$D$11:$D$101)</f>
        <v>0</v>
      </c>
      <c r="F96" s="78">
        <f>TLFD!J70/SUM(TLFD!$J$11:$J$100)</f>
        <v>1.1901928112354201E-4</v>
      </c>
      <c r="G96" s="141">
        <f si="3" t="shared"/>
        <v>0.71869452999870265</v>
      </c>
      <c r="H96" s="141">
        <f si="5" t="shared"/>
        <v>0</v>
      </c>
      <c r="J96" s="84"/>
      <c r="K96" s="84"/>
    </row>
    <row r="97" spans="1:11" x14ac:dyDescent="0.25">
      <c r="A97">
        <f>TLFD!A71+0.5</f>
        <v>60.5</v>
      </c>
      <c r="B97" s="81">
        <f si="4" t="shared"/>
        <v>4.1190371748124726</v>
      </c>
      <c r="C97" s="78">
        <f>TLFD!C71/SUM(TLFD!$C$11:$C$100)</f>
        <v>0</v>
      </c>
      <c r="D97" s="78">
        <f>TLFD!I71/SUM(TLFD!$I$11:$I$100)</f>
        <v>3.0388465888947042E-4</v>
      </c>
      <c r="E97" s="78">
        <f>TLFD!D71/SUM(TLFD!$D$11:$D$101)</f>
        <v>0</v>
      </c>
      <c r="F97" s="78">
        <f>TLFD!J71/SUM(TLFD!$J$11:$J$100)</f>
        <v>7.934618741569468E-5</v>
      </c>
      <c r="G97" s="141">
        <f si="3" t="shared"/>
        <v>0</v>
      </c>
      <c r="H97" s="141">
        <f si="5" t="shared"/>
        <v>0</v>
      </c>
      <c r="J97" s="84"/>
      <c r="K97" s="84"/>
    </row>
    <row r="98" spans="1:11" x14ac:dyDescent="0.25">
      <c r="A98">
        <f>TLFD!A72+0.5</f>
        <v>61.5</v>
      </c>
      <c r="B98" s="81">
        <f si="4" t="shared"/>
        <v>4.1351665567423561</v>
      </c>
      <c r="C98" s="78">
        <f>TLFD!C72/SUM(TLFD!$C$11:$C$100)</f>
        <v>0</v>
      </c>
      <c r="D98" s="78">
        <f>TLFD!I72/SUM(TLFD!$I$11:$I$100)</f>
        <v>1.8570729154356524E-4</v>
      </c>
      <c r="E98" s="78">
        <f>TLFD!D72/SUM(TLFD!$D$11:$D$101)</f>
        <v>0</v>
      </c>
      <c r="F98" s="78">
        <f>TLFD!J72/SUM(TLFD!$J$11:$J$100)</f>
        <v>1.1901928112354201E-4</v>
      </c>
      <c r="G98" s="141">
        <f si="3" t="shared"/>
        <v>0</v>
      </c>
      <c r="H98" s="141">
        <f si="5" t="shared"/>
        <v>0</v>
      </c>
      <c r="J98" s="84"/>
      <c r="K98" s="84"/>
    </row>
    <row r="99" spans="1:11" x14ac:dyDescent="0.25">
      <c r="A99">
        <f>TLFD!A73+0.5</f>
        <v>62.5</v>
      </c>
      <c r="B99" s="81">
        <f si="4" t="shared"/>
        <v>4.1510399058986458</v>
      </c>
      <c r="C99" s="78">
        <f>TLFD!C73/SUM(TLFD!$C$11:$C$100)</f>
        <v>0</v>
      </c>
      <c r="D99" s="78">
        <f>TLFD!I73/SUM(TLFD!$I$11:$I$100)</f>
        <v>2.5323721574122536E-4</v>
      </c>
      <c r="E99" s="78">
        <f>TLFD!D73/SUM(TLFD!$D$11:$D$101)</f>
        <v>0</v>
      </c>
      <c r="F99" s="78">
        <f>TLFD!J73/SUM(TLFD!$J$11:$J$100)</f>
        <v>7.934618741569468E-5</v>
      </c>
      <c r="G99" s="141">
        <f si="3" t="shared"/>
        <v>0</v>
      </c>
      <c r="H99" s="141">
        <f si="5" t="shared"/>
        <v>0</v>
      </c>
      <c r="J99" s="84"/>
      <c r="K99" s="84"/>
    </row>
    <row r="100" spans="1:11" x14ac:dyDescent="0.25">
      <c r="A100">
        <f>TLFD!A74+0.5</f>
        <v>63.5</v>
      </c>
      <c r="B100" s="81">
        <f si="4" t="shared"/>
        <v>4.1666652238017265</v>
      </c>
      <c r="C100" s="78">
        <f>TLFD!C74/SUM(TLFD!$C$11:$C$100)</f>
        <v>0</v>
      </c>
      <c r="D100" s="78">
        <f>TLFD!I74/SUM(TLFD!$I$11:$I$100)</f>
        <v>3.0388465888947042E-4</v>
      </c>
      <c r="E100" s="78">
        <f>TLFD!D74/SUM(TLFD!$D$11:$D$101)</f>
        <v>0</v>
      </c>
      <c r="F100" s="78">
        <f>TLFD!J74/SUM(TLFD!$J$11:$J$100)</f>
        <v>7.934618741569468E-5</v>
      </c>
      <c r="G100" s="141">
        <f si="3" t="shared"/>
        <v>0</v>
      </c>
      <c r="H100" s="141">
        <f si="5" t="shared"/>
        <v>0</v>
      </c>
      <c r="J100" s="84"/>
      <c r="K100" s="84"/>
    </row>
    <row r="101" spans="1:11" x14ac:dyDescent="0.25">
      <c r="A101">
        <f>TLFD!A75+0.5</f>
        <v>64.5</v>
      </c>
      <c r="B101" s="81">
        <f si="4" t="shared"/>
        <v>4.1820501426412067</v>
      </c>
      <c r="C101" s="78">
        <f>TLFD!C75/SUM(TLFD!$C$11:$C$100)</f>
        <v>0</v>
      </c>
      <c r="D101" s="78">
        <f>TLFD!I75/SUM(TLFD!$I$11:$I$100)</f>
        <v>1.0129488629649013E-4</v>
      </c>
      <c r="E101" s="78">
        <f>TLFD!D75/SUM(TLFD!$D$11:$D$101)</f>
        <v>0</v>
      </c>
      <c r="F101" s="78">
        <f>TLFD!J75/SUM(TLFD!$J$11:$J$100)</f>
        <v>1.1901928112354201E-4</v>
      </c>
      <c r="G101" s="141">
        <f ref="G101:G126" si="7" t="shared">IF(AND(C101&gt;0, D101&gt;0),LN(C101/D101),0)</f>
        <v>0</v>
      </c>
      <c r="H101" s="141">
        <f si="5" t="shared"/>
        <v>0</v>
      </c>
      <c r="J101" s="84"/>
      <c r="K101" s="84"/>
    </row>
    <row r="102" spans="1:11" x14ac:dyDescent="0.25">
      <c r="A102">
        <f>TLFD!A76+0.5</f>
        <v>65.5</v>
      </c>
      <c r="B102" s="81">
        <f ref="B102:B126" si="8" t="shared">LN(1+A102)</f>
        <v>4.1972019476618083</v>
      </c>
      <c r="C102" s="78">
        <f>TLFD!C76/SUM(TLFD!$C$11:$C$100)</f>
        <v>0</v>
      </c>
      <c r="D102" s="78">
        <f>TLFD!I76/SUM(TLFD!$I$11:$I$100)</f>
        <v>3.2076713993888542E-4</v>
      </c>
      <c r="E102" s="78">
        <f>TLFD!D76/SUM(TLFD!$D$11:$D$101)</f>
        <v>0</v>
      </c>
      <c r="F102" s="78">
        <f>TLFD!J76/SUM(TLFD!$J$11:$J$100)</f>
        <v>3.967309370784734E-5</v>
      </c>
      <c r="G102" s="141">
        <f si="7" t="shared"/>
        <v>0</v>
      </c>
      <c r="H102" s="141">
        <f ref="H102:H126" si="9" t="shared">IF(AND(E102&gt;0, F102&gt;0),LN(E102/F102),0)</f>
        <v>0</v>
      </c>
      <c r="J102" s="84"/>
      <c r="K102" s="84"/>
    </row>
    <row r="103" spans="1:11" x14ac:dyDescent="0.25">
      <c r="A103">
        <f>TLFD!A77+0.5</f>
        <v>66.5</v>
      </c>
      <c r="B103" s="81">
        <f si="8" t="shared"/>
        <v>4.2121275978784842</v>
      </c>
      <c r="C103" s="78">
        <f>TLFD!C77/SUM(TLFD!$C$11:$C$100)</f>
        <v>0</v>
      </c>
      <c r="D103" s="78">
        <f>TLFD!I77/SUM(TLFD!$I$11:$I$100)</f>
        <v>1.1817736734590515E-4</v>
      </c>
      <c r="E103" s="78">
        <f>TLFD!D77/SUM(TLFD!$D$11:$D$101)</f>
        <v>0</v>
      </c>
      <c r="F103" s="78">
        <f>TLFD!J77/SUM(TLFD!$J$11:$J$100)</f>
        <v>3.967309370784734E-5</v>
      </c>
      <c r="G103" s="141">
        <f si="7" t="shared"/>
        <v>0</v>
      </c>
      <c r="H103" s="141">
        <f si="9" t="shared"/>
        <v>0</v>
      </c>
      <c r="J103" s="84"/>
      <c r="K103" s="84"/>
    </row>
    <row r="104" spans="1:11" x14ac:dyDescent="0.25">
      <c r="A104">
        <f>TLFD!A78+0.5</f>
        <v>67.5</v>
      </c>
      <c r="B104" s="81">
        <f si="8" t="shared"/>
        <v>4.2268337452681797</v>
      </c>
      <c r="C104" s="78">
        <f>TLFD!C78/SUM(TLFD!$C$11:$C$100)</f>
        <v>0</v>
      </c>
      <c r="D104" s="78">
        <f>TLFD!I78/SUM(TLFD!$I$11:$I$100)</f>
        <v>1.1817736734590515E-4</v>
      </c>
      <c r="E104" s="78">
        <f>TLFD!D78/SUM(TLFD!$D$11:$D$101)</f>
        <v>0</v>
      </c>
      <c r="F104" s="78">
        <f>TLFD!J78/SUM(TLFD!$J$11:$J$100)</f>
        <v>0</v>
      </c>
      <c r="G104" s="141">
        <f si="7" t="shared"/>
        <v>0</v>
      </c>
      <c r="H104" s="141">
        <f si="9" t="shared"/>
        <v>0</v>
      </c>
      <c r="J104" s="84"/>
      <c r="K104" s="84"/>
    </row>
    <row r="105" spans="1:11" x14ac:dyDescent="0.25">
      <c r="A105">
        <f>TLFD!A79+0.5</f>
        <v>68.5</v>
      </c>
      <c r="B105" s="81">
        <f si="8" t="shared"/>
        <v>4.2413267525707461</v>
      </c>
      <c r="C105" s="78">
        <f>TLFD!C79/SUM(TLFD!$C$11:$C$100)</f>
        <v>0</v>
      </c>
      <c r="D105" s="78">
        <f>TLFD!I79/SUM(TLFD!$I$11:$I$100)</f>
        <v>1.0129488629649013E-4</v>
      </c>
      <c r="E105" s="78">
        <f>TLFD!D79/SUM(TLFD!$D$11:$D$101)</f>
        <v>0</v>
      </c>
      <c r="F105" s="78">
        <f>TLFD!J79/SUM(TLFD!$J$11:$J$100)</f>
        <v>0</v>
      </c>
      <c r="G105" s="141">
        <f si="7" t="shared"/>
        <v>0</v>
      </c>
      <c r="H105" s="141">
        <f si="9" t="shared"/>
        <v>0</v>
      </c>
      <c r="J105" s="84"/>
      <c r="K105" s="84"/>
    </row>
    <row r="106" spans="1:11" x14ac:dyDescent="0.25">
      <c r="A106">
        <f>TLFD!A80+0.5</f>
        <v>69.5</v>
      </c>
      <c r="B106" s="81">
        <f si="8" t="shared"/>
        <v>4.255612709818223</v>
      </c>
      <c r="C106" s="78">
        <f>TLFD!C80/SUM(TLFD!$C$11:$C$100)</f>
        <v>0</v>
      </c>
      <c r="D106" s="78">
        <f>TLFD!I80/SUM(TLFD!$I$11:$I$100)</f>
        <v>5.0647443148245067E-5</v>
      </c>
      <c r="E106" s="78">
        <f>TLFD!D80/SUM(TLFD!$D$11:$D$101)</f>
        <v>0</v>
      </c>
      <c r="F106" s="78">
        <f>TLFD!J80/SUM(TLFD!$J$11:$J$100)</f>
        <v>3.967309370784734E-5</v>
      </c>
      <c r="G106" s="141">
        <f si="7" t="shared"/>
        <v>0</v>
      </c>
      <c r="H106" s="141">
        <f si="9" t="shared"/>
        <v>0</v>
      </c>
      <c r="J106" s="84"/>
      <c r="K106" s="84"/>
    </row>
    <row r="107" spans="1:11" x14ac:dyDescent="0.25">
      <c r="A107">
        <f>TLFD!A81+0.5</f>
        <v>70.5</v>
      </c>
      <c r="B107" s="81">
        <f si="8" t="shared"/>
        <v>4.2696974496999616</v>
      </c>
      <c r="C107" s="78">
        <f>TLFD!C81/SUM(TLFD!$C$11:$C$100)</f>
        <v>0</v>
      </c>
      <c r="D107" s="78">
        <f>TLFD!I81/SUM(TLFD!$I$11:$I$100)</f>
        <v>6.7529924197660089E-5</v>
      </c>
      <c r="E107" s="78">
        <f>TLFD!D81/SUM(TLFD!$D$11:$D$101)</f>
        <v>0</v>
      </c>
      <c r="F107" s="78">
        <f>TLFD!J81/SUM(TLFD!$J$11:$J$100)</f>
        <v>0</v>
      </c>
      <c r="G107" s="141">
        <f si="7" t="shared"/>
        <v>0</v>
      </c>
      <c r="H107" s="141">
        <f si="9" t="shared"/>
        <v>0</v>
      </c>
      <c r="J107" s="84"/>
      <c r="K107" s="84"/>
    </row>
    <row r="108" spans="1:11" x14ac:dyDescent="0.25">
      <c r="A108">
        <f>TLFD!A82+0.5</f>
        <v>71.5</v>
      </c>
      <c r="B108" s="81">
        <f si="8" t="shared"/>
        <v>4.2835865618606288</v>
      </c>
      <c r="C108" s="78">
        <f>TLFD!C82/SUM(TLFD!$C$11:$C$100)</f>
        <v>0</v>
      </c>
      <c r="D108" s="78">
        <f>TLFD!I82/SUM(TLFD!$I$11:$I$100)</f>
        <v>5.0647443148245067E-5</v>
      </c>
      <c r="E108" s="78">
        <f>TLFD!D82/SUM(TLFD!$D$11:$D$101)</f>
        <v>0</v>
      </c>
      <c r="F108" s="78">
        <f>TLFD!J82/SUM(TLFD!$J$11:$J$100)</f>
        <v>0</v>
      </c>
      <c r="G108" s="141">
        <f si="7" t="shared"/>
        <v>0</v>
      </c>
      <c r="H108" s="141">
        <f si="9" t="shared"/>
        <v>0</v>
      </c>
      <c r="J108" s="84"/>
      <c r="K108" s="84"/>
    </row>
    <row r="109" spans="1:11" x14ac:dyDescent="0.25">
      <c r="A109">
        <f>TLFD!A83+0.5</f>
        <v>72.5</v>
      </c>
      <c r="B109" s="81">
        <f si="8" t="shared"/>
        <v>4.2972854062187906</v>
      </c>
      <c r="C109" s="78">
        <f>TLFD!C83/SUM(TLFD!$C$11:$C$100)</f>
        <v>0</v>
      </c>
      <c r="D109" s="78">
        <f>TLFD!I83/SUM(TLFD!$I$11:$I$100)</f>
        <v>1.6882481049415022E-5</v>
      </c>
      <c r="E109" s="78">
        <f>TLFD!D83/SUM(TLFD!$D$11:$D$101)</f>
        <v>0</v>
      </c>
      <c r="F109" s="78">
        <f>TLFD!J83/SUM(TLFD!$J$11:$J$100)</f>
        <v>0</v>
      </c>
      <c r="G109" s="141">
        <f si="7" t="shared"/>
        <v>0</v>
      </c>
      <c r="H109" s="141">
        <f si="9" t="shared"/>
        <v>0</v>
      </c>
      <c r="J109" s="84"/>
      <c r="K109" s="84"/>
    </row>
    <row r="110" spans="1:11" x14ac:dyDescent="0.25">
      <c r="A110">
        <f>TLFD!A84+0.5</f>
        <v>73.5</v>
      </c>
      <c r="B110" s="81">
        <f si="8" t="shared"/>
        <v>4.3107991253855138</v>
      </c>
      <c r="C110" s="78">
        <f>TLFD!C84/SUM(TLFD!$C$11:$C$100)</f>
        <v>0</v>
      </c>
      <c r="D110" s="78">
        <f>TLFD!I84/SUM(TLFD!$I$11:$I$100)</f>
        <v>0</v>
      </c>
      <c r="E110" s="78">
        <f>TLFD!D84/SUM(TLFD!$D$11:$D$101)</f>
        <v>0</v>
      </c>
      <c r="F110" s="78">
        <f>TLFD!J84/SUM(TLFD!$J$11:$J$100)</f>
        <v>0</v>
      </c>
      <c r="G110" s="141">
        <f si="7" t="shared"/>
        <v>0</v>
      </c>
      <c r="H110" s="141">
        <f si="9" t="shared"/>
        <v>0</v>
      </c>
      <c r="J110" s="84"/>
      <c r="K110" s="84"/>
    </row>
    <row r="111" spans="1:11" x14ac:dyDescent="0.25">
      <c r="A111">
        <f>TLFD!A85+0.5</f>
        <v>74.5</v>
      </c>
      <c r="B111" s="81">
        <f si="8" t="shared"/>
        <v>4.3241326562549789</v>
      </c>
      <c r="C111" s="78">
        <f>TLFD!C85/SUM(TLFD!$C$11:$C$100)</f>
        <v>0</v>
      </c>
      <c r="D111" s="78">
        <f>TLFD!I85/SUM(TLFD!$I$11:$I$100)</f>
        <v>5.0647443148245067E-5</v>
      </c>
      <c r="E111" s="78">
        <f>TLFD!D85/SUM(TLFD!$D$11:$D$101)</f>
        <v>0</v>
      </c>
      <c r="F111" s="78">
        <f>TLFD!J85/SUM(TLFD!$J$11:$J$100)</f>
        <v>0</v>
      </c>
      <c r="G111" s="141">
        <f si="7" t="shared"/>
        <v>0</v>
      </c>
      <c r="H111" s="141">
        <f si="9" t="shared"/>
        <v>0</v>
      </c>
      <c r="J111" s="84"/>
      <c r="K111" s="84"/>
    </row>
    <row r="112" spans="1:11" x14ac:dyDescent="0.25">
      <c r="A112">
        <f>TLFD!A86+0.5</f>
        <v>75.5</v>
      </c>
      <c r="B112" s="81">
        <f si="8" t="shared"/>
        <v>4.3372907408324899</v>
      </c>
      <c r="C112" s="78">
        <f>TLFD!C86/SUM(TLFD!$C$11:$C$100)</f>
        <v>0</v>
      </c>
      <c r="D112" s="78">
        <f>TLFD!I86/SUM(TLFD!$I$11:$I$100)</f>
        <v>1.6882481049415022E-5</v>
      </c>
      <c r="E112" s="78">
        <f>TLFD!D86/SUM(TLFD!$D$11:$D$101)</f>
        <v>0</v>
      </c>
      <c r="F112" s="78">
        <f>TLFD!J86/SUM(TLFD!$J$11:$J$100)</f>
        <v>0</v>
      </c>
      <c r="G112" s="141">
        <f si="7" t="shared"/>
        <v>0</v>
      </c>
      <c r="H112" s="141">
        <f si="9" t="shared"/>
        <v>0</v>
      </c>
      <c r="J112" s="84"/>
      <c r="K112" s="84"/>
    </row>
    <row r="113" spans="1:13" x14ac:dyDescent="0.25">
      <c r="A113">
        <f>TLFD!A87+0.5</f>
        <v>76.5</v>
      </c>
      <c r="B113" s="81">
        <f si="8" t="shared"/>
        <v>4.3502779363593014</v>
      </c>
      <c r="C113" s="78">
        <f>TLFD!C87/SUM(TLFD!$C$11:$C$100)</f>
        <v>0</v>
      </c>
      <c r="D113" s="78">
        <f>TLFD!I87/SUM(TLFD!$I$11:$I$100)</f>
        <v>1.6882481049415022E-5</v>
      </c>
      <c r="E113" s="78">
        <f>TLFD!D87/SUM(TLFD!$D$11:$D$101)</f>
        <v>0</v>
      </c>
      <c r="F113" s="78">
        <f>TLFD!J87/SUM(TLFD!$J$11:$J$100)</f>
        <v>0</v>
      </c>
      <c r="G113" s="141">
        <f si="7" t="shared"/>
        <v>0</v>
      </c>
      <c r="H113" s="141">
        <f si="9" t="shared"/>
        <v>0</v>
      </c>
      <c r="J113" s="84"/>
      <c r="K113" s="84"/>
    </row>
    <row r="114" spans="1:13" x14ac:dyDescent="0.25">
      <c r="A114">
        <f>TLFD!A88+0.5</f>
        <v>77.5</v>
      </c>
      <c r="B114" s="81">
        <f si="8" t="shared"/>
        <v>4.3630986247883632</v>
      </c>
      <c r="C114" s="78">
        <f>TLFD!C88/SUM(TLFD!$C$11:$C$100)</f>
        <v>0</v>
      </c>
      <c r="D114" s="78">
        <f>TLFD!I88/SUM(TLFD!$I$11:$I$100)</f>
        <v>3.3764962098830045E-5</v>
      </c>
      <c r="E114" s="78">
        <f>TLFD!D88/SUM(TLFD!$D$11:$D$101)</f>
        <v>0</v>
      </c>
      <c r="F114" s="78">
        <f>TLFD!J88/SUM(TLFD!$J$11:$J$100)</f>
        <v>0</v>
      </c>
      <c r="G114" s="141">
        <f si="7" t="shared"/>
        <v>0</v>
      </c>
      <c r="H114" s="141">
        <f si="9" t="shared"/>
        <v>0</v>
      </c>
      <c r="J114" s="84"/>
      <c r="K114" s="84"/>
    </row>
    <row r="115" spans="1:13" x14ac:dyDescent="0.25">
      <c r="A115">
        <f>TLFD!A89+0.5</f>
        <v>78.5</v>
      </c>
      <c r="B115" s="81">
        <f si="8" t="shared"/>
        <v>4.3757570216602861</v>
      </c>
      <c r="C115" s="78">
        <f>TLFD!C89/SUM(TLFD!$C$11:$C$100)</f>
        <v>0</v>
      </c>
      <c r="D115" s="78">
        <f>TLFD!I89/SUM(TLFD!$I$11:$I$100)</f>
        <v>0</v>
      </c>
      <c r="E115" s="78">
        <f>TLFD!D89/SUM(TLFD!$D$11:$D$101)</f>
        <v>0</v>
      </c>
      <c r="F115" s="78">
        <f>TLFD!J89/SUM(TLFD!$J$11:$J$100)</f>
        <v>0</v>
      </c>
      <c r="G115" s="141">
        <f si="7" t="shared"/>
        <v>0</v>
      </c>
      <c r="H115" s="141">
        <f si="9" t="shared"/>
        <v>0</v>
      </c>
      <c r="J115" s="84"/>
      <c r="K115" s="84"/>
    </row>
    <row r="116" spans="1:13" x14ac:dyDescent="0.25">
      <c r="A116">
        <f>TLFD!A90+0.5</f>
        <v>79.5</v>
      </c>
      <c r="B116" s="81">
        <f si="8" t="shared"/>
        <v>4.3882571844245177</v>
      </c>
      <c r="C116" s="78">
        <f>TLFD!C90/SUM(TLFD!$C$11:$C$100)</f>
        <v>0</v>
      </c>
      <c r="D116" s="78">
        <f>TLFD!I90/SUM(TLFD!$I$11:$I$100)</f>
        <v>0</v>
      </c>
      <c r="E116" s="78">
        <f>TLFD!D90/SUM(TLFD!$D$11:$D$101)</f>
        <v>0</v>
      </c>
      <c r="F116" s="78">
        <f>TLFD!J90/SUM(TLFD!$J$11:$J$100)</f>
        <v>0</v>
      </c>
      <c r="G116" s="141">
        <f si="7" t="shared"/>
        <v>0</v>
      </c>
      <c r="H116" s="141">
        <f si="9" t="shared"/>
        <v>0</v>
      </c>
      <c r="J116" s="84"/>
      <c r="K116" s="84"/>
    </row>
    <row r="117" spans="1:13" x14ac:dyDescent="0.25">
      <c r="A117">
        <f>TLFD!A91+0.5</f>
        <v>80.5</v>
      </c>
      <c r="B117" s="81">
        <f si="8" t="shared"/>
        <v>4.4006030202468169</v>
      </c>
      <c r="C117" s="78">
        <f>TLFD!C91/SUM(TLFD!$C$11:$C$100)</f>
        <v>0</v>
      </c>
      <c r="D117" s="78">
        <f>TLFD!I91/SUM(TLFD!$I$11:$I$100)</f>
        <v>0</v>
      </c>
      <c r="E117" s="78">
        <f>TLFD!D91/SUM(TLFD!$D$11:$D$101)</f>
        <v>0</v>
      </c>
      <c r="F117" s="78">
        <f>TLFD!J91/SUM(TLFD!$J$11:$J$100)</f>
        <v>0</v>
      </c>
      <c r="G117" s="141">
        <f si="7" t="shared"/>
        <v>0</v>
      </c>
      <c r="H117" s="141">
        <f si="9" t="shared"/>
        <v>0</v>
      </c>
      <c r="J117" s="84"/>
      <c r="K117" s="84"/>
    </row>
    <row r="118" spans="1:13" x14ac:dyDescent="0.25">
      <c r="A118">
        <f>TLFD!A92+0.5</f>
        <v>81.5</v>
      </c>
      <c r="B118" s="81">
        <f si="8" t="shared"/>
        <v>4.4127982933406349</v>
      </c>
      <c r="C118" s="78">
        <f>TLFD!C92/SUM(TLFD!$C$11:$C$100)</f>
        <v>0</v>
      </c>
      <c r="D118" s="78">
        <f>TLFD!I92/SUM(TLFD!$I$11:$I$100)</f>
        <v>0</v>
      </c>
      <c r="E118" s="78">
        <f>TLFD!D92/SUM(TLFD!$D$11:$D$101)</f>
        <v>0</v>
      </c>
      <c r="F118" s="78">
        <f>TLFD!J92/SUM(TLFD!$J$11:$J$100)</f>
        <v>0</v>
      </c>
      <c r="G118" s="141">
        <f si="7" t="shared"/>
        <v>0</v>
      </c>
      <c r="H118" s="141">
        <f si="9" t="shared"/>
        <v>0</v>
      </c>
      <c r="J118" s="84"/>
      <c r="K118" s="84"/>
    </row>
    <row r="119" spans="1:13" x14ac:dyDescent="0.25">
      <c r="A119">
        <f>TLFD!A93+0.5</f>
        <v>82.5</v>
      </c>
      <c r="B119" s="81">
        <f si="8" t="shared"/>
        <v>4.42484663185681</v>
      </c>
      <c r="C119" s="78">
        <f>TLFD!C93/SUM(TLFD!$C$11:$C$100)</f>
        <v>0</v>
      </c>
      <c r="D119" s="78">
        <f>TLFD!I93/SUM(TLFD!$I$11:$I$100)</f>
        <v>0</v>
      </c>
      <c r="E119" s="78">
        <f>TLFD!D93/SUM(TLFD!$D$11:$D$101)</f>
        <v>0</v>
      </c>
      <c r="F119" s="78">
        <f>TLFD!J93/SUM(TLFD!$J$11:$J$100)</f>
        <v>0</v>
      </c>
      <c r="G119" s="141">
        <f si="7" t="shared"/>
        <v>0</v>
      </c>
      <c r="H119" s="141">
        <f si="9" t="shared"/>
        <v>0</v>
      </c>
      <c r="J119" s="84"/>
      <c r="K119" s="84"/>
    </row>
    <row r="120" spans="1:13" x14ac:dyDescent="0.25">
      <c r="A120">
        <f>TLFD!A94+0.5</f>
        <v>83.5</v>
      </c>
      <c r="B120" s="81">
        <f si="8" t="shared"/>
        <v>4.4367515343631281</v>
      </c>
      <c r="C120" s="78">
        <f>TLFD!C94/SUM(TLFD!$C$11:$C$100)</f>
        <v>0</v>
      </c>
      <c r="D120" s="78">
        <f>TLFD!I94/SUM(TLFD!$I$11:$I$100)</f>
        <v>0</v>
      </c>
      <c r="E120" s="78">
        <f>TLFD!D94/SUM(TLFD!$D$11:$D$101)</f>
        <v>0</v>
      </c>
      <c r="F120" s="78">
        <f>TLFD!J94/SUM(TLFD!$J$11:$J$100)</f>
        <v>0</v>
      </c>
      <c r="G120" s="141">
        <f si="7" t="shared"/>
        <v>0</v>
      </c>
      <c r="H120" s="141">
        <f si="9" t="shared"/>
        <v>0</v>
      </c>
      <c r="J120" s="84"/>
      <c r="K120" s="84"/>
    </row>
    <row r="121" spans="1:13" x14ac:dyDescent="0.25">
      <c r="A121">
        <f>TLFD!A95+0.5</f>
        <v>84.5</v>
      </c>
      <c r="B121" s="81">
        <f si="8" t="shared"/>
        <v>4.4485163759427149</v>
      </c>
      <c r="C121" s="78">
        <f>TLFD!C95/SUM(TLFD!$C$11:$C$100)</f>
        <v>0</v>
      </c>
      <c r="D121" s="78">
        <f>TLFD!I95/SUM(TLFD!$I$11:$I$100)</f>
        <v>0</v>
      </c>
      <c r="E121" s="78">
        <f>TLFD!D95/SUM(TLFD!$D$11:$D$101)</f>
        <v>0</v>
      </c>
      <c r="F121" s="78">
        <f>TLFD!J95/SUM(TLFD!$J$11:$J$100)</f>
        <v>0</v>
      </c>
      <c r="G121" s="141">
        <f si="7" t="shared"/>
        <v>0</v>
      </c>
      <c r="H121" s="141">
        <f si="9" t="shared"/>
        <v>0</v>
      </c>
      <c r="J121" s="84"/>
      <c r="K121" s="84"/>
    </row>
    <row r="122" spans="1:13" x14ac:dyDescent="0.25">
      <c r="A122">
        <f>TLFD!A96+0.5</f>
        <v>85.5</v>
      </c>
      <c r="B122" s="81">
        <f si="8" t="shared"/>
        <v>4.4601444139378339</v>
      </c>
      <c r="C122" s="78">
        <f>TLFD!C96/SUM(TLFD!$C$11:$C$100)</f>
        <v>0</v>
      </c>
      <c r="D122" s="78">
        <f>TLFD!I96/SUM(TLFD!$I$11:$I$100)</f>
        <v>0</v>
      </c>
      <c r="E122" s="78">
        <f>TLFD!D96/SUM(TLFD!$D$11:$D$101)</f>
        <v>0</v>
      </c>
      <c r="F122" s="78">
        <f>TLFD!J96/SUM(TLFD!$J$11:$J$100)</f>
        <v>0</v>
      </c>
      <c r="G122" s="141">
        <f si="7" t="shared"/>
        <v>0</v>
      </c>
      <c r="H122" s="141">
        <f si="9" t="shared"/>
        <v>0</v>
      </c>
      <c r="J122" s="84"/>
      <c r="K122" s="84"/>
    </row>
    <row r="123" spans="1:13" x14ac:dyDescent="0.25">
      <c r="A123">
        <f>TLFD!A97+0.5</f>
        <v>86.5</v>
      </c>
      <c r="B123" s="81">
        <f si="8" t="shared"/>
        <v>4.4716387933635691</v>
      </c>
      <c r="C123" s="78">
        <f>TLFD!C97/SUM(TLFD!$C$11:$C$100)</f>
        <v>0</v>
      </c>
      <c r="D123" s="78">
        <f>TLFD!I97/SUM(TLFD!$I$11:$I$100)</f>
        <v>1.6882481049415022E-5</v>
      </c>
      <c r="E123" s="78">
        <f>TLFD!D97/SUM(TLFD!$D$11:$D$101)</f>
        <v>0</v>
      </c>
      <c r="F123" s="78">
        <f>TLFD!J97/SUM(TLFD!$J$11:$J$100)</f>
        <v>0</v>
      </c>
      <c r="G123" s="141">
        <f si="7" t="shared"/>
        <v>0</v>
      </c>
      <c r="H123" s="141">
        <f si="9" t="shared"/>
        <v>0</v>
      </c>
      <c r="J123" s="84"/>
      <c r="K123" s="84"/>
    </row>
    <row r="124" spans="1:13" x14ac:dyDescent="0.25">
      <c r="A124">
        <f>TLFD!A98+0.5</f>
        <v>87.5</v>
      </c>
      <c r="B124" s="81">
        <f si="8" t="shared"/>
        <v>4.4830025520138834</v>
      </c>
      <c r="C124" s="78">
        <f>TLFD!C98/SUM(TLFD!$C$11:$C$100)</f>
        <v>0</v>
      </c>
      <c r="D124" s="78">
        <f>TLFD!I98/SUM(TLFD!$I$11:$I$100)</f>
        <v>0</v>
      </c>
      <c r="E124" s="78">
        <f>TLFD!D98/SUM(TLFD!$D$11:$D$101)</f>
        <v>0</v>
      </c>
      <c r="F124" s="78">
        <f>TLFD!J98/SUM(TLFD!$J$11:$J$100)</f>
        <v>0</v>
      </c>
      <c r="G124" s="141">
        <f si="7" t="shared"/>
        <v>0</v>
      </c>
      <c r="H124" s="141">
        <f si="9" t="shared"/>
        <v>0</v>
      </c>
      <c r="J124" s="84"/>
      <c r="K124" s="84"/>
    </row>
    <row r="125" spans="1:13" x14ac:dyDescent="0.25">
      <c r="A125">
        <f>TLFD!A99+0.5</f>
        <v>88.5</v>
      </c>
      <c r="B125" s="81">
        <f si="8" t="shared"/>
        <v>4.4942386252808095</v>
      </c>
      <c r="C125" s="78">
        <f>TLFD!C99/SUM(TLFD!$C$11:$C$100)</f>
        <v>0</v>
      </c>
      <c r="D125" s="78">
        <f>TLFD!I99/SUM(TLFD!$I$11:$I$100)</f>
        <v>3.3764962098830045E-5</v>
      </c>
      <c r="E125" s="78">
        <f>TLFD!D99/SUM(TLFD!$D$11:$D$101)</f>
        <v>0</v>
      </c>
      <c r="F125" s="78">
        <f>TLFD!J99/SUM(TLFD!$J$11:$J$100)</f>
        <v>0</v>
      </c>
      <c r="G125" s="141">
        <f si="7" t="shared"/>
        <v>0</v>
      </c>
      <c r="H125" s="141">
        <f si="9" t="shared"/>
        <v>0</v>
      </c>
      <c r="J125" s="84"/>
      <c r="K125" s="84"/>
    </row>
    <row r="126" spans="1:13" x14ac:dyDescent="0.25">
      <c r="A126">
        <f>TLFD!A100+0.5</f>
        <v>89.5</v>
      </c>
      <c r="B126" s="81">
        <f si="8" t="shared"/>
        <v>4.5053498507058807</v>
      </c>
      <c r="C126" s="78">
        <f>TLFD!C100/SUM(TLFD!$C$11:$C$100)</f>
        <v>0</v>
      </c>
      <c r="D126" s="78">
        <f>TLFD!I100/SUM(TLFD!$I$11:$I$100)</f>
        <v>0</v>
      </c>
      <c r="E126" s="78">
        <f>TLFD!D100/SUM(TLFD!$D$11:$D$101)</f>
        <v>0</v>
      </c>
      <c r="F126" s="78">
        <f>TLFD!J100/SUM(TLFD!$J$11:$J$100)</f>
        <v>0</v>
      </c>
      <c r="G126" s="141">
        <f si="7" t="shared"/>
        <v>0</v>
      </c>
      <c r="H126" s="141">
        <f si="9" t="shared"/>
        <v>0</v>
      </c>
      <c r="J126" s="84"/>
      <c r="K126" s="84"/>
    </row>
    <row r="127" spans="1:13" x14ac:dyDescent="0.25">
      <c r="D127" s="81"/>
      <c r="E127" s="78"/>
      <c r="F127" s="78"/>
      <c r="G127" s="78"/>
      <c r="H127" s="78"/>
      <c r="L127" s="84"/>
      <c r="M127" s="84"/>
    </row>
  </sheetData>
  <conditionalFormatting sqref="X3:X95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13</vt:i4>
      </vt:variant>
      <vt:variant>
        <vt:lpstr>Named Ranges</vt:lpstr>
      </vt:variant>
      <vt:variant>
        <vt:i4>37</vt:i4>
      </vt:variant>
    </vt:vector>
  </HeadingPairs>
  <TitlesOfParts>
    <vt:vector baseType="lpstr" size="50">
      <vt:lpstr>TLFD</vt:lpstr>
      <vt:lpstr>TDFD</vt:lpstr>
      <vt:lpstr>TDFD_Agg</vt:lpstr>
      <vt:lpstr>County_Flow</vt:lpstr>
      <vt:lpstr>Flow_ODData</vt:lpstr>
      <vt:lpstr>WorkAtHome</vt:lpstr>
      <vt:lpstr>Telecommute</vt:lpstr>
      <vt:lpstr>Documentation</vt:lpstr>
      <vt:lpstr>CoeffDef</vt:lpstr>
      <vt:lpstr>County Codes</vt:lpstr>
      <vt:lpstr>WorkLocationCoefficients</vt:lpstr>
      <vt:lpstr>calibration_flow</vt:lpstr>
      <vt:lpstr>calibration_dist</vt:lpstr>
      <vt:lpstr>athm</vt:lpstr>
      <vt:lpstr>avgdist</vt:lpstr>
      <vt:lpstr>avgtime</vt:lpstr>
      <vt:lpstr>flows</vt:lpstr>
      <vt:lpstr>out_1</vt:lpstr>
      <vt:lpstr>out_10</vt:lpstr>
      <vt:lpstr>out_11</vt:lpstr>
      <vt:lpstr>out_12</vt:lpstr>
      <vt:lpstr>out_13</vt:lpstr>
      <vt:lpstr>out_14</vt:lpstr>
      <vt:lpstr>out_16</vt:lpstr>
      <vt:lpstr>out_18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tot</vt:lpstr>
      <vt:lpstr>Wrk_dist</vt:lpstr>
      <vt:lpstr>Wrk_time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Aditya Gore</cp:lastModifiedBy>
  <dcterms:modified xsi:type="dcterms:W3CDTF">2024-02-12T17:13:58Z</dcterms:modified>
</cp:coreProperties>
</file>