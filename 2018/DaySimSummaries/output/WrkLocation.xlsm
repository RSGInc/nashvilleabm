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Model\Calibration\2018\DaySimSummaries\output\"/>
    </mc:Choice>
  </mc:AlternateContent>
  <bookViews>
    <workbookView activeTab="11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Flow_ODData" r:id="rId5" sheetId="17"/>
    <sheet name="WorkAtHome" r:id="rId6" sheetId="8"/>
    <sheet name="Telecommute" r:id="rId7" sheetId="19"/>
    <sheet name="Documentation" r:id="rId8" sheetId="7"/>
    <sheet name="CoeffDef" r:id="rId9" sheetId="11"/>
    <sheet name="County Codes" r:id="rId10" sheetId="16"/>
    <sheet name="WorkLocationCoefficients" r:id="rId11" sheetId="13"/>
    <sheet name="calibration_flow" r:id="rId12" sheetId="18"/>
    <sheet name="calibration_dist" r:id="rId13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County_Flow!$AX$7:$AZ$12</definedName>
    <definedName name="out1">TLFD!$B$11:$D$101</definedName>
    <definedName name="out10">County_Flow!$AX$7:$BE$14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County_Flow!$B$7:$I$14</definedName>
    <definedName hidden="1" localSheetId="11" name="solver_adj">calibration_flow!$U$4:$U$23</definedName>
    <definedName hidden="1" localSheetId="11" name="solver_cvg">0.0001</definedName>
    <definedName hidden="1" localSheetId="11" name="solver_drv">1</definedName>
    <definedName hidden="1" localSheetId="11" name="solver_eng">1</definedName>
    <definedName hidden="1" localSheetId="11" name="solver_est">1</definedName>
    <definedName hidden="1" localSheetId="11" name="solver_itr">2147483647</definedName>
    <definedName hidden="1" localSheetId="11" name="solver_lhs1">calibration_flow!$AC$160</definedName>
    <definedName hidden="1" localSheetId="11" name="solver_lhs2">calibration_flow!$AC$4:$AC$23</definedName>
    <definedName hidden="1" localSheetId="11" name="solver_lhs3">calibration_flow!$AW$30:$AW$49</definedName>
    <definedName hidden="1" localSheetId="11" name="solver_lhs4">calibration_flow!$AW$30:$AW$49</definedName>
    <definedName hidden="1" localSheetId="11" name="solver_mip">2147483647</definedName>
    <definedName hidden="1" localSheetId="11" name="solver_mni">30</definedName>
    <definedName hidden="1" localSheetId="11" name="solver_mrt">0.075</definedName>
    <definedName hidden="1" localSheetId="11" name="solver_msl">2</definedName>
    <definedName hidden="1" localSheetId="11" name="solver_neg">1</definedName>
    <definedName hidden="1" localSheetId="11" name="solver_nod">2147483647</definedName>
    <definedName hidden="1" localSheetId="11" name="solver_num">3</definedName>
    <definedName hidden="1" localSheetId="11" name="solver_nwt">1</definedName>
    <definedName hidden="1" localSheetId="11" name="solver_opt">calibration_flow!$U$26</definedName>
    <definedName hidden="1" localSheetId="11" name="solver_pre">0.000001</definedName>
    <definedName hidden="1" localSheetId="11" name="solver_rbv">1</definedName>
    <definedName hidden="1" localSheetId="11" name="solver_rel1">1</definedName>
    <definedName hidden="1" localSheetId="11" name="solver_rel2">1</definedName>
    <definedName hidden="1" localSheetId="11" name="solver_rel3">1</definedName>
    <definedName hidden="1" localSheetId="11" name="solver_rel4">1</definedName>
    <definedName hidden="1" localSheetId="11" name="solver_rhs1">1.5</definedName>
    <definedName hidden="1" localSheetId="11" name="solver_rhs2">0.02</definedName>
    <definedName hidden="1" localSheetId="11" name="solver_rhs3">0.25</definedName>
    <definedName hidden="1" localSheetId="11" name="solver_rhs4">0.25</definedName>
    <definedName hidden="1" localSheetId="11" name="solver_rlx">2</definedName>
    <definedName hidden="1" localSheetId="11" name="solver_rsd">0</definedName>
    <definedName hidden="1" localSheetId="11" name="solver_scl">1</definedName>
    <definedName hidden="1" localSheetId="11" name="solver_sho">2</definedName>
    <definedName hidden="1" localSheetId="11" name="solver_ssz">100</definedName>
    <definedName hidden="1" localSheetId="11" name="solver_tim">2147483647</definedName>
    <definedName hidden="1" localSheetId="11" name="solver_tol">0.01</definedName>
    <definedName hidden="1" localSheetId="11" name="solver_typ">2</definedName>
    <definedName hidden="1" localSheetId="11" name="solver_val">0</definedName>
    <definedName hidden="1" localSheetId="11" name="solver_ver">3</definedName>
    <definedName name="tot">WorkAtHome!$I$18:$K$23</definedName>
    <definedName name="Wrk_dist">TLFD!$H$11:$J$101</definedName>
    <definedName name="Wrk_time">TDFD!$H$11:$J$101</definedName>
    <definedName name="out_1">TLFD!$B$11:$D$100</definedName>
    <definedName name="out_3">TDFD!$B$11:$D$100</definedName>
    <definedName name="out_5">TLFD!$N$11:$N$14</definedName>
    <definedName name="out_7">TDFD!$N$11:$N$14</definedName>
    <definedName name="out_9">County_Flow!$B$7:$U$26</definedName>
    <definedName name="out_11">WorkAtHome!$B$18:$D$24</definedName>
    <definedName name="out_13">WorkAtHome!$B$7:$D$13</definedName>
    <definedName name="out_2">TLFD!$H$11:$J$100</definedName>
    <definedName name="out_4">TDFD!$H$11:$J$100</definedName>
    <definedName name="out_6">TLFD!$O$11:$O$14</definedName>
    <definedName name="out_8">TDFD!$O$11:$O$14</definedName>
    <definedName name="out_10">County_Flow!$AX$7:$BQ$26</definedName>
    <definedName name="out_12">WorkAtHome!$I$18:$K$24</definedName>
    <definedName name="out_14">WorkAtHome!$I$7:$K$13</definedName>
    <definedName name="out_16">Telecommute!$I$22:$K$32</definedName>
    <definedName name="out_18">Telecommute!$I$7:$K$17</definedName>
  </definedNames>
  <calcPr calcId="162913"/>
</workbook>
</file>

<file path=xl/calcChain.xml><?xml version="1.0" encoding="utf-8"?>
<calcChain xmlns="http://schemas.openxmlformats.org/spreadsheetml/2006/main">
  <c i="12" l="1" r="R25"/>
  <c i="18" l="1" r="Q23"/>
  <c i="12" l="1" r="H30"/>
  <c i="12" r="I30"/>
  <c i="19" r="H6"/>
  <c i="19" r="O6"/>
  <c i="19" r="E7"/>
  <c i="19" r="H7"/>
  <c i="19" r="O7" s="1"/>
  <c i="19" r="L7"/>
  <c i="19" r="S7" s="1"/>
  <c i="19" r="E8"/>
  <c i="19" r="H8"/>
  <c i="19" r="O8" s="1"/>
  <c i="19" r="L8"/>
  <c i="19" r="E9"/>
  <c i="19" r="H9"/>
  <c i="19" r="O9" s="1"/>
  <c i="19" r="L9"/>
  <c i="19" r="S9" s="1"/>
  <c i="19" r="E10"/>
  <c i="19" r="H10"/>
  <c i="19" r="O10" s="1"/>
  <c i="19" r="L10"/>
  <c i="19" r="E11"/>
  <c i="19" r="H11"/>
  <c i="19" r="O11" s="1"/>
  <c i="19" r="L11"/>
  <c i="19" r="E12"/>
  <c i="19" r="H12"/>
  <c i="19" r="O12" s="1"/>
  <c i="19" r="L12"/>
  <c i="19" r="E13"/>
  <c i="19" r="H13"/>
  <c i="19" r="O13" s="1"/>
  <c i="19" r="L13"/>
  <c i="19" r="E14"/>
  <c i="19" r="H14"/>
  <c i="19" r="O14" s="1"/>
  <c i="19" r="L14"/>
  <c i="19" r="E15"/>
  <c i="19" r="H15"/>
  <c i="19" r="O15" s="1"/>
  <c i="19" r="L15"/>
  <c i="19" r="E16"/>
  <c i="19" r="H16"/>
  <c i="19" r="O16" s="1"/>
  <c i="19" r="L16"/>
  <c i="19" r="E17"/>
  <c i="19" r="H17"/>
  <c i="19" r="O17" s="1"/>
  <c i="19" r="L17"/>
  <c i="19" r="S17" s="1"/>
  <c i="19" r="B18"/>
  <c i="19" r="C18"/>
  <c i="19" r="D18"/>
  <c i="19" r="I18"/>
  <c i="19" r="J18"/>
  <c i="19" r="K18"/>
  <c i="19" r="A21"/>
  <c i="19" r="A36" s="1"/>
  <c i="19" r="H36" s="1"/>
  <c i="19" r="A22"/>
  <c i="19" r="H22" s="1"/>
  <c i="19" r="O22" s="1"/>
  <c i="19" r="E22"/>
  <c i="19" r="L22"/>
  <c i="19" r="A23"/>
  <c i="19" r="A38" s="1"/>
  <c i="19" r="H38" s="1"/>
  <c i="19" r="O38" s="1"/>
  <c i="19" r="E23"/>
  <c i="19" r="L23"/>
  <c i="19" r="A24"/>
  <c i="19" r="H24" s="1"/>
  <c i="19" r="O24" s="1"/>
  <c i="19" r="E24"/>
  <c i="19" r="L24"/>
  <c i="19" r="A25"/>
  <c i="19" r="A40" s="1"/>
  <c i="19" r="H40" s="1"/>
  <c i="19" r="O40" s="1"/>
  <c i="19" r="E25"/>
  <c i="19" r="L25"/>
  <c i="19" r="A26"/>
  <c i="19" r="H26" s="1"/>
  <c i="19" r="O26" s="1"/>
  <c i="19" r="E26"/>
  <c i="19" r="L26"/>
  <c i="19" r="S26" s="1"/>
  <c i="19" r="A27"/>
  <c i="19" r="H27" s="1"/>
  <c i="19" r="O27" s="1"/>
  <c i="19" r="E27"/>
  <c i="19" r="L27"/>
  <c i="19" r="S27" s="1"/>
  <c i="19" r="A28"/>
  <c i="19" r="A43" s="1"/>
  <c i="19" r="H43" s="1"/>
  <c i="19" r="O43" s="1"/>
  <c i="19" r="E28"/>
  <c i="19" r="L28"/>
  <c i="19" r="A29"/>
  <c i="19" r="A44" s="1"/>
  <c i="19" r="H44" s="1"/>
  <c i="19" r="O44" s="1"/>
  <c i="19" r="E29"/>
  <c i="19" r="L29"/>
  <c i="19" r="A30"/>
  <c i="19" r="H30" s="1"/>
  <c i="19" r="O30" s="1"/>
  <c i="19" r="E30"/>
  <c i="19" r="L30"/>
  <c i="19" r="A31"/>
  <c i="19" r="A46" s="1"/>
  <c i="19" r="H46" s="1"/>
  <c i="19" r="O46" s="1"/>
  <c i="19" r="E31"/>
  <c i="19" r="L31"/>
  <c i="19" r="A32"/>
  <c i="19" r="H32" s="1"/>
  <c i="19" r="O32" s="1"/>
  <c i="19" r="E32"/>
  <c i="19" r="L32"/>
  <c i="19" r="B33"/>
  <c i="19" r="C33"/>
  <c i="19" r="D33"/>
  <c i="19" r="I33"/>
  <c i="19" r="J33"/>
  <c i="19" r="K33"/>
  <c i="19" r="B37"/>
  <c i="19" r="C37"/>
  <c i="19" r="D37"/>
  <c i="19" r="I37"/>
  <c i="19" r="J37"/>
  <c i="19" r="K37"/>
  <c i="19" r="B38"/>
  <c i="19" r="C38"/>
  <c i="19" r="D38"/>
  <c i="19" r="I38"/>
  <c i="19" r="J38"/>
  <c i="19" r="K38"/>
  <c i="19" r="B39"/>
  <c i="19" r="C39"/>
  <c i="19" r="D39"/>
  <c i="19" r="I39"/>
  <c i="19" r="J39"/>
  <c i="19" r="K39"/>
  <c i="19" r="B40"/>
  <c i="19" r="C40"/>
  <c i="19" r="D40"/>
  <c i="19" r="I40"/>
  <c i="19" r="J40"/>
  <c i="19" r="K40"/>
  <c i="19" r="B41"/>
  <c i="19" r="C41"/>
  <c i="19" r="D41"/>
  <c i="19" r="I41"/>
  <c i="19" r="J41"/>
  <c i="19" r="K41"/>
  <c i="19" r="B42"/>
  <c i="19" r="C42"/>
  <c i="19" r="D42"/>
  <c i="19" r="I42"/>
  <c i="19" r="P42" s="1"/>
  <c i="19" r="J42"/>
  <c i="19" r="K42"/>
  <c i="19" r="B43"/>
  <c i="19" r="C43"/>
  <c i="19" r="D43"/>
  <c i="19" r="I43"/>
  <c i="19" r="J43"/>
  <c i="19" r="K43"/>
  <c i="19" r="B44"/>
  <c i="19" r="C44"/>
  <c i="19" r="D44"/>
  <c i="19" r="I44"/>
  <c i="19" r="J44"/>
  <c i="19" r="K44"/>
  <c i="19" r="B45"/>
  <c i="19" r="C45"/>
  <c i="19" r="D45"/>
  <c i="19" r="I45"/>
  <c i="19" r="J45"/>
  <c i="19" r="K45"/>
  <c i="19" r="B46"/>
  <c i="19" r="C46"/>
  <c i="19" r="D46"/>
  <c i="19" r="R46" s="1"/>
  <c i="19" r="I46"/>
  <c i="19" r="J46"/>
  <c i="19" r="K46"/>
  <c i="19" r="Q46"/>
  <c i="19" r="B47"/>
  <c i="19" r="C47"/>
  <c i="19" r="D47"/>
  <c i="19" r="I47"/>
  <c i="19" r="J47"/>
  <c i="19" r="K47"/>
  <c i="19" l="1" r="S10"/>
  <c i="19" r="S22"/>
  <c i="19" r="Q37"/>
  <c i="19" r="L42"/>
  <c i="19" r="P39"/>
  <c i="19" r="P43"/>
  <c i="19" r="R33"/>
  <c i="19" r="R18"/>
  <c i="19" r="S14"/>
  <c i="19" r="S13"/>
  <c i="19" r="S11"/>
  <c i="19" r="Q18"/>
  <c i="19" r="P18"/>
  <c i="19" r="R43"/>
  <c i="19" r="R39"/>
  <c i="19" r="S25"/>
  <c i="19" r="Q43"/>
  <c i="19" r="Q39"/>
  <c i="19" r="H25"/>
  <c i="19" r="O25" s="1"/>
  <c i="19" r="H31"/>
  <c i="19" r="O31" s="1"/>
  <c i="19" r="R42"/>
  <c i="19" r="Q42"/>
  <c i="19" r="S8"/>
  <c i="19" r="S15"/>
  <c i="19" r="L46"/>
  <c i="19" r="E37"/>
  <c i="19" r="S32"/>
  <c i="19" r="R45"/>
  <c i="19" r="P37"/>
  <c i="19" r="S12"/>
  <c i="19" r="E47"/>
  <c i="19" r="A42"/>
  <c i="19" r="H42" s="1"/>
  <c i="19" r="O42" s="1"/>
  <c i="19" r="A37"/>
  <c i="19" r="H37" s="1"/>
  <c i="19" r="O37" s="1"/>
  <c i="19" r="P45"/>
  <c i="19" r="A45"/>
  <c i="19" r="H45" s="1"/>
  <c i="19" r="O45" s="1"/>
  <c i="19" r="C48"/>
  <c i="19" r="L37"/>
  <c i="19" r="S37" s="1"/>
  <c i="19" r="S30"/>
  <c i="19" r="R37"/>
  <c i="19" r="R40"/>
  <c i="19" r="P44"/>
  <c i="19" r="E39"/>
  <c i="19" r="Q41"/>
  <c i="19" r="H29"/>
  <c i="19" r="O29" s="1"/>
  <c i="19" r="E33"/>
  <c i="12" r="H27" s="1"/>
  <c i="12" r="H32" s="1"/>
  <c i="19" r="Q40"/>
  <c i="19" r="S28"/>
  <c i="19" r="E38"/>
  <c i="19" r="P41"/>
  <c i="19" r="L44"/>
  <c i="19" r="A47"/>
  <c i="19" r="H47" s="1"/>
  <c i="19" r="O47" s="1"/>
  <c i="19" r="E44"/>
  <c i="19" r="P46"/>
  <c i="19" r="K48"/>
  <c i="19" r="R41"/>
  <c i="19" r="E42"/>
  <c i="19" r="S42" s="1"/>
  <c i="19" r="A39"/>
  <c i="19" r="H39" s="1"/>
  <c i="19" r="O39" s="1"/>
  <c i="19" r="L47"/>
  <c i="19" r="S29"/>
  <c i="19" r="L41"/>
  <c i="19" r="S24"/>
  <c i="19" r="Q38"/>
  <c i="19" r="P40"/>
  <c i="19" r="R38"/>
  <c i="19" r="Q45"/>
  <c i="19" r="P38"/>
  <c i="19" r="R44"/>
  <c i="19" r="B48"/>
  <c i="19" r="Q44"/>
  <c i="19" r="Q33"/>
  <c i="19" r="H21"/>
  <c i="19" r="L39"/>
  <c i="19" r="P33"/>
  <c i="19" r="L33"/>
  <c i="19" r="L43"/>
  <c i="19" r="H23"/>
  <c i="19" r="O23" s="1"/>
  <c i="19" r="S16"/>
  <c i="19" r="E41"/>
  <c i="19" r="A41"/>
  <c i="19" r="H41" s="1"/>
  <c i="19" r="O41" s="1"/>
  <c i="19" r="D48"/>
  <c i="19" r="R48" s="1"/>
  <c i="19" r="E43"/>
  <c i="19" r="E46"/>
  <c i="19" r="L40"/>
  <c i="19" r="L45"/>
  <c i="19" r="E40"/>
  <c i="19" r="R47"/>
  <c i="19" r="Q47"/>
  <c i="19" r="P47"/>
  <c i="19" r="O21"/>
  <c i="19" r="E45"/>
  <c i="19" r="L18"/>
  <c i="12" r="I26" s="1"/>
  <c i="19" r="H28"/>
  <c i="19" r="O28" s="1"/>
  <c i="19" r="E18"/>
  <c i="19" r="S31"/>
  <c i="19" r="S23"/>
  <c i="19" r="L38"/>
  <c i="19" r="J48"/>
  <c i="19" r="I48"/>
  <c i="18" r="CW30"/>
  <c i="18" r="CW31"/>
  <c i="18" r="CW32"/>
  <c i="18" r="CW33"/>
  <c i="18" r="CW34"/>
  <c i="18" r="CW35"/>
  <c i="18" r="CW36"/>
  <c i="18" r="CW37"/>
  <c i="18" r="CW38"/>
  <c i="18" r="CW39"/>
  <c i="18" r="CW40"/>
  <c i="18" r="CW41"/>
  <c i="18" r="CW42"/>
  <c i="18" r="CW43"/>
  <c i="18" r="CW44"/>
  <c i="18" r="CW45"/>
  <c i="18" r="CW46"/>
  <c i="18" r="CW47"/>
  <c i="18" r="CW48"/>
  <c i="18" r="CW49"/>
  <c i="18" r="CW50"/>
  <c i="18" r="CW51"/>
  <c i="18" r="CW52"/>
  <c i="18" r="CW53"/>
  <c i="18" r="CW54"/>
  <c i="18" r="CW55"/>
  <c i="18" r="CW56"/>
  <c i="18" r="CW57"/>
  <c i="18" r="CW58"/>
  <c i="18" r="CW59"/>
  <c i="18" r="CW60"/>
  <c i="18" r="CW61"/>
  <c i="18" r="CW62"/>
  <c i="18" r="CW63"/>
  <c i="18" r="CW64"/>
  <c i="18" r="CW65"/>
  <c i="18" r="CW66"/>
  <c i="18" r="CW67"/>
  <c i="18" r="CW68"/>
  <c i="18" r="CW69"/>
  <c i="18" r="CW70"/>
  <c i="18" r="CW71"/>
  <c i="18" r="CW72"/>
  <c i="18" r="CW73"/>
  <c i="18" r="CW74"/>
  <c i="18" r="CW75"/>
  <c i="18" r="CW76"/>
  <c i="18" r="CW77"/>
  <c i="18" r="CW78"/>
  <c i="18" r="CW79"/>
  <c i="18" r="CW80"/>
  <c i="18" r="CW81"/>
  <c i="18" r="CW82"/>
  <c i="18" r="CW83"/>
  <c i="18" r="CW84"/>
  <c i="18" r="CW85"/>
  <c i="18" r="CW86"/>
  <c i="18" r="CW87"/>
  <c i="18" r="CW88"/>
  <c i="18" r="CW89"/>
  <c i="18" r="CW90"/>
  <c i="18" r="CW91"/>
  <c i="18" r="CW92"/>
  <c i="18" r="CW93"/>
  <c i="18" r="CW94"/>
  <c i="18" r="CW95"/>
  <c i="18" r="CW96"/>
  <c i="18" r="CW97"/>
  <c i="18" r="CW98"/>
  <c i="18" r="CW99"/>
  <c i="18" r="CW100"/>
  <c i="18" r="CW101"/>
  <c i="18" r="CW102"/>
  <c i="18" r="CW103"/>
  <c i="18" r="CW104"/>
  <c i="18" r="CW105"/>
  <c i="18" r="CW106"/>
  <c i="18" r="CW107"/>
  <c i="18" r="CW108"/>
  <c i="18" r="CW109"/>
  <c i="18" r="CW110"/>
  <c i="18" r="CW111"/>
  <c i="18" r="CW112"/>
  <c i="18" r="CW113"/>
  <c i="18" r="CW114"/>
  <c i="18" r="CW115"/>
  <c i="18" r="CW116"/>
  <c i="18" r="CW117"/>
  <c i="18" r="CW118"/>
  <c i="18" r="CW119"/>
  <c i="18" r="CW120"/>
  <c i="18" r="CW121"/>
  <c i="18" r="CW122"/>
  <c i="18" r="CW123"/>
  <c i="18" r="CW124"/>
  <c i="18" r="CW125"/>
  <c i="18" r="CW126"/>
  <c i="18" r="CW127"/>
  <c i="18" r="CW128"/>
  <c i="18" r="CW129"/>
  <c i="18" r="CW130"/>
  <c i="18" r="CW131"/>
  <c i="18" r="CW132"/>
  <c i="18" r="CW133"/>
  <c i="18" r="CW134"/>
  <c i="18" r="CW135"/>
  <c i="18" r="CW136"/>
  <c i="18" r="CW137"/>
  <c i="18" r="CW138"/>
  <c i="18" r="CW139"/>
  <c i="18" r="CW140"/>
  <c i="18" r="CW141"/>
  <c i="18" r="CW142"/>
  <c i="18" r="CW143"/>
  <c i="18" r="CW144"/>
  <c i="18" r="CW145"/>
  <c i="18" r="CW146"/>
  <c i="18" r="CW147"/>
  <c i="18" r="CW148"/>
  <c i="18" r="CW149"/>
  <c i="18" r="CW150"/>
  <c i="18" r="CW151"/>
  <c i="18" r="CW152"/>
  <c i="18" r="CW153"/>
  <c i="18" r="CW154"/>
  <c i="18" r="CW155"/>
  <c i="18" r="CW156"/>
  <c i="18" r="CW157"/>
  <c i="18" r="CW158"/>
  <c i="18" r="CW159"/>
  <c i="18" r="CW160"/>
  <c i="18" r="CW161"/>
  <c i="18" r="CW162"/>
  <c i="18" r="CW163"/>
  <c i="18" r="CW164"/>
  <c i="18" r="CW165"/>
  <c i="18" r="CW166"/>
  <c i="18" r="CW167"/>
  <c i="18" r="CW168"/>
  <c i="18" r="CW169"/>
  <c i="18" r="CW170"/>
  <c i="18" r="CW171"/>
  <c i="18" r="CW172"/>
  <c i="18" r="CW173"/>
  <c i="18" r="CW174"/>
  <c i="18" r="CW175"/>
  <c i="18" r="CW176"/>
  <c i="18" r="CW177"/>
  <c i="18" r="CW178"/>
  <c i="18" r="CW179"/>
  <c i="18" r="CW180"/>
  <c i="18" r="CW181"/>
  <c i="18" r="CW182"/>
  <c i="18" r="CW183"/>
  <c i="18" r="CW184"/>
  <c i="18" r="CW185"/>
  <c i="18" r="CW186"/>
  <c i="18" r="CW187"/>
  <c i="18" r="CW188"/>
  <c i="18" r="CW189"/>
  <c i="18" r="CW190"/>
  <c i="18" r="CW191"/>
  <c i="18" r="CW192"/>
  <c i="18" r="CW193"/>
  <c i="18" r="CW194"/>
  <c i="18" r="CW195"/>
  <c i="18" r="CW196"/>
  <c i="18" r="CW197"/>
  <c i="18" r="CW198"/>
  <c i="18" r="CW199"/>
  <c i="18" r="CW200"/>
  <c i="18" r="CW201"/>
  <c i="18" r="CW202"/>
  <c i="18" r="CW203"/>
  <c i="18" r="CW204"/>
  <c i="18" r="CW205"/>
  <c i="18" r="CW206"/>
  <c i="18" r="CW207"/>
  <c i="18" r="CW208"/>
  <c i="18" r="CW209"/>
  <c i="18" r="CW210"/>
  <c i="18" r="CW211"/>
  <c i="18" r="CW212"/>
  <c i="18" r="CW213"/>
  <c i="18" r="CW214"/>
  <c i="18" r="CW215"/>
  <c i="18" r="CW216"/>
  <c i="18" r="CW217"/>
  <c i="18" r="CW218"/>
  <c i="18" r="CW219"/>
  <c i="18" r="CW220"/>
  <c i="18" r="CW221"/>
  <c i="18" r="CW222"/>
  <c i="18" r="CW223"/>
  <c i="18" r="CW224"/>
  <c i="18" r="CW225"/>
  <c i="18" r="CW226"/>
  <c i="18" r="CW227"/>
  <c i="18" r="CW228"/>
  <c i="18" r="CW229"/>
  <c i="18" r="CW230"/>
  <c i="18" r="CW231"/>
  <c i="18" r="CW232"/>
  <c i="18" r="CW233"/>
  <c i="18" r="CW234"/>
  <c i="18" r="CW235"/>
  <c i="18" r="CW236"/>
  <c i="18" r="CW237"/>
  <c i="18" r="CW238"/>
  <c i="18" r="CW239"/>
  <c i="18" r="CW240"/>
  <c i="18" r="CW241"/>
  <c i="18" r="CW242"/>
  <c i="18" r="CW243"/>
  <c i="18" r="CW244"/>
  <c i="18" r="CW245"/>
  <c i="18" r="CW246"/>
  <c i="18" r="CW247"/>
  <c i="18" r="CW248"/>
  <c i="18" r="CW249"/>
  <c i="18" r="CW250"/>
  <c i="18" r="CW251"/>
  <c i="18" r="CW252"/>
  <c i="18" r="CW253"/>
  <c i="18" r="CW254"/>
  <c i="18" r="CW255"/>
  <c i="18" r="CW256"/>
  <c i="18" r="CW257"/>
  <c i="18" r="CW258"/>
  <c i="18" r="CW259"/>
  <c i="18" r="CW260"/>
  <c i="18" r="CW261"/>
  <c i="18" r="CW262"/>
  <c i="18" r="CW263"/>
  <c i="18" r="CW264"/>
  <c i="18" r="CW265"/>
  <c i="18" r="CW266"/>
  <c i="18" r="CW267"/>
  <c i="18" r="CW268"/>
  <c i="18" r="CW269"/>
  <c i="18" r="CW270"/>
  <c i="18" r="CW271"/>
  <c i="18" r="CW272"/>
  <c i="18" r="CW273"/>
  <c i="18" r="CW274"/>
  <c i="18" r="CW275"/>
  <c i="18" r="CW276"/>
  <c i="18" r="CW277"/>
  <c i="18" r="CW278"/>
  <c i="18" r="CW279"/>
  <c i="18" r="CW280"/>
  <c i="18" r="CW281"/>
  <c i="18" r="CW282"/>
  <c i="18" r="CW283"/>
  <c i="18" r="CW284"/>
  <c i="18" r="CW285"/>
  <c i="18" r="CW286"/>
  <c i="18" r="CW287"/>
  <c i="18" r="CW288"/>
  <c i="18" r="CW289"/>
  <c i="18" r="CW290"/>
  <c i="18" r="CW291"/>
  <c i="18" r="CW292"/>
  <c i="18" r="CW293"/>
  <c i="18" r="CW294"/>
  <c i="18" r="CW295"/>
  <c i="18" r="CW296"/>
  <c i="18" r="CW297"/>
  <c i="18" r="CW298"/>
  <c i="18" r="CW299"/>
  <c i="18" r="CW300"/>
  <c i="18" r="CW301"/>
  <c i="18" r="CW302"/>
  <c i="18" r="CW303"/>
  <c i="18" r="CW304"/>
  <c i="18" r="CW305"/>
  <c i="18" r="CW306"/>
  <c i="18" r="CW307"/>
  <c i="18" r="CW308"/>
  <c i="18" r="CW309"/>
  <c i="18" r="CW310"/>
  <c i="18" r="CW311"/>
  <c i="18" r="CW312"/>
  <c i="18" r="CW313"/>
  <c i="18" r="CW314"/>
  <c i="18" r="CW315"/>
  <c i="18" r="CW316"/>
  <c i="18" r="CW317"/>
  <c i="18" r="CW318"/>
  <c i="18" r="CW319"/>
  <c i="18" r="CW320"/>
  <c i="18" r="CW321"/>
  <c i="18" r="CW322"/>
  <c i="18" r="CW323"/>
  <c i="18" r="CW324"/>
  <c i="18" r="CW325"/>
  <c i="18" r="CW326"/>
  <c i="18" r="CW327"/>
  <c i="18" r="CW328"/>
  <c i="18" r="CW329"/>
  <c i="18" r="CW330"/>
  <c i="18" r="CW331"/>
  <c i="18" r="CW332"/>
  <c i="18" r="CW333"/>
  <c i="18" r="CW334"/>
  <c i="18" r="CW335"/>
  <c i="18" r="CW336"/>
  <c i="18" r="CW337"/>
  <c i="18" r="CW338"/>
  <c i="18" r="CW339"/>
  <c i="18" r="CW340"/>
  <c i="18" r="CW341"/>
  <c i="18" r="CW342"/>
  <c i="18" r="CW343"/>
  <c i="18" r="CW344"/>
  <c i="18" r="CW345"/>
  <c i="18" r="CW346"/>
  <c i="18" r="CW347"/>
  <c i="18" r="CW348"/>
  <c i="18" r="CW349"/>
  <c i="18" r="CW350"/>
  <c i="18" r="CW351"/>
  <c i="18" r="CW352"/>
  <c i="18" r="CW353"/>
  <c i="18" r="CW354"/>
  <c i="18" r="CW355"/>
  <c i="18" r="CW356"/>
  <c i="18" r="CW357"/>
  <c i="18" r="CW358"/>
  <c i="18" r="CW359"/>
  <c i="18" r="CW360"/>
  <c i="18" r="CW361"/>
  <c i="18" r="CW362"/>
  <c i="18" r="CW363"/>
  <c i="18" r="CW364"/>
  <c i="18" r="CW365"/>
  <c i="18" r="CW366"/>
  <c i="18" r="CW367"/>
  <c i="18" r="CW368"/>
  <c i="18" r="CW369"/>
  <c i="18" r="CW370"/>
  <c i="18" r="CW371"/>
  <c i="18" r="CW372"/>
  <c i="18" r="CW373"/>
  <c i="18" r="CW374"/>
  <c i="18" r="CW375"/>
  <c i="18" r="CW376"/>
  <c i="18" r="CW377"/>
  <c i="18" r="CW378"/>
  <c i="18" r="CW379"/>
  <c i="18" r="CW380"/>
  <c i="18" r="CW381"/>
  <c i="18" r="CW382"/>
  <c i="18" r="CW383"/>
  <c i="18" r="CW384"/>
  <c i="18" r="CW385"/>
  <c i="18" r="CW386"/>
  <c i="18" r="CW387"/>
  <c i="18" r="CW388"/>
  <c i="18" r="CW389"/>
  <c i="18" r="CW390"/>
  <c i="18" r="CW391"/>
  <c i="18" r="CW392"/>
  <c i="18" r="CW393"/>
  <c i="18" r="CW394"/>
  <c i="18" r="CW395"/>
  <c i="18" r="CW396"/>
  <c i="18" r="CW397"/>
  <c i="18" r="CW398"/>
  <c i="18" r="CW399"/>
  <c i="18" r="CW400"/>
  <c i="18" r="CW401"/>
  <c i="18" r="CW3"/>
  <c i="18" r="CW4"/>
  <c i="18" r="CW5"/>
  <c i="18" r="CW6"/>
  <c i="18" r="CW7"/>
  <c i="18" r="CW8"/>
  <c i="18" r="CW9"/>
  <c i="18" r="CW10"/>
  <c i="18" r="CW11"/>
  <c i="18" r="CW12"/>
  <c i="18" r="CW13"/>
  <c i="18" r="CW14"/>
  <c i="18" r="CW15"/>
  <c i="18" r="CW16"/>
  <c i="18" r="CW17"/>
  <c i="18" r="CW18"/>
  <c i="18" r="CW19"/>
  <c i="18" r="CW20"/>
  <c i="18" r="CW21"/>
  <c i="18" r="CW22"/>
  <c i="18" r="CW23"/>
  <c i="18" r="CW24"/>
  <c i="18" r="CW25"/>
  <c i="18" r="CW26"/>
  <c i="18" r="CW27"/>
  <c i="18" r="CW28"/>
  <c i="18" r="CW29"/>
  <c i="18" r="CW2"/>
  <c i="19" l="1" r="S46"/>
  <c i="19" r="S47"/>
  <c i="19" r="S38"/>
  <c i="19" r="P48"/>
  <c i="19" r="Q48"/>
  <c i="19" r="S39"/>
  <c i="19" r="S44"/>
  <c i="19" r="S45"/>
  <c i="19" r="S41"/>
  <c i="19" r="S43"/>
  <c i="19" r="S40"/>
  <c i="19" r="E48"/>
  <c i="12" r="H26"/>
  <c i="12" r="H31" s="1"/>
  <c i="19" r="S33"/>
  <c i="12" r="I27"/>
  <c i="12" r="I32" s="1"/>
  <c i="19" r="S18"/>
  <c i="19" r="L48"/>
  <c i="19" r="S48" s="1"/>
  <c i="18" r="CV3"/>
  <c i="18" r="CV4" s="1"/>
  <c i="8" r="J17"/>
  <c i="8" r="K17"/>
  <c i="8" r="L17"/>
  <c i="8" r="I17"/>
  <c i="8" r="C17"/>
  <c i="8" r="D17"/>
  <c i="8" r="E17"/>
  <c i="8" r="B17"/>
  <c i="8" r="P8"/>
  <c i="8" r="Q8"/>
  <c i="8" r="R8"/>
  <c i="8" r="P9"/>
  <c i="8" r="Q9"/>
  <c i="8" r="R9"/>
  <c i="8" r="P10"/>
  <c i="8" r="Q10"/>
  <c i="8" r="R10"/>
  <c i="8" r="P11"/>
  <c i="8" r="Q11"/>
  <c i="8" r="R11"/>
  <c i="8" r="P12"/>
  <c i="8" r="Q12"/>
  <c i="8" r="R12"/>
  <c i="8" r="P13"/>
  <c i="8" r="Q13"/>
  <c i="8" r="R13"/>
  <c i="8" r="J14"/>
  <c i="8" r="K14"/>
  <c i="8" r="I14"/>
  <c i="8" r="L8"/>
  <c i="8" r="L9"/>
  <c i="8" r="L10"/>
  <c i="8" r="L11"/>
  <c i="8" r="L12"/>
  <c i="8" r="L13"/>
  <c i="8" r="C14"/>
  <c i="8" r="D14"/>
  <c i="8" r="B14"/>
  <c i="12" l="1" r="I31"/>
  <c i="18" r="CV5"/>
  <c i="8" r="I30"/>
  <c i="8" r="J30"/>
  <c i="8" r="K30"/>
  <c i="8" r="I31"/>
  <c i="8" r="J31"/>
  <c i="8" r="K31"/>
  <c i="8" r="I32"/>
  <c i="8" r="J32"/>
  <c i="8" r="K32"/>
  <c i="8" r="I33"/>
  <c i="8" r="J33"/>
  <c i="8" r="K33"/>
  <c i="8" r="I34"/>
  <c i="8" r="J34"/>
  <c i="8" r="K34"/>
  <c i="8" r="I35"/>
  <c i="8" r="J35"/>
  <c i="8" r="K35"/>
  <c i="8" r="J29"/>
  <c i="8" r="K29"/>
  <c i="8" r="I29"/>
  <c i="8" r="B30"/>
  <c i="8" r="C30"/>
  <c i="8" r="D30"/>
  <c i="8" r="B31"/>
  <c i="8" r="C31"/>
  <c i="8" r="D31"/>
  <c i="8" r="B32"/>
  <c i="8" r="C32"/>
  <c i="8" r="D32"/>
  <c i="8" r="B33"/>
  <c i="8" r="C33"/>
  <c i="8" r="D33"/>
  <c i="8" r="B34"/>
  <c i="8" r="C34"/>
  <c i="8" r="D34"/>
  <c i="8" r="B35"/>
  <c i="8" r="C35"/>
  <c i="8" r="D35"/>
  <c i="8" r="C29"/>
  <c i="8" r="D29"/>
  <c i="8" r="B29"/>
  <c i="18" l="1" r="CV6"/>
  <c i="12" r="T94"/>
  <c i="12" r="U94"/>
  <c i="12" r="V94"/>
  <c i="12" r="T95"/>
  <c i="12" r="U95"/>
  <c i="12" r="V95"/>
  <c i="18" l="1" r="CV7"/>
  <c i="12" r="T93"/>
  <c i="12" r="U93"/>
  <c i="12" r="V93"/>
  <c i="12" r="T90"/>
  <c i="12" r="U90"/>
  <c i="12" r="V90"/>
  <c i="12" r="T91"/>
  <c i="12" r="U91"/>
  <c i="12" r="V91"/>
  <c i="12" r="T92"/>
  <c i="12" r="U92"/>
  <c i="12" r="V92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81"/>
  <c i="12" r="U81"/>
  <c i="12" r="V81"/>
  <c i="12" r="T82"/>
  <c i="12" r="U82"/>
  <c i="12" r="V82"/>
  <c i="12" r="T83"/>
  <c i="12" r="U83"/>
  <c i="12" r="V83"/>
  <c i="12" r="T84"/>
  <c i="12" r="U84"/>
  <c i="12" r="V84"/>
  <c i="12" r="T85"/>
  <c i="12" r="U85"/>
  <c i="12" r="V85"/>
  <c i="12" r="T86"/>
  <c i="12" r="U86"/>
  <c i="12" r="V86"/>
  <c i="12" r="T87"/>
  <c i="12" r="U87"/>
  <c i="12" r="V87"/>
  <c i="12" r="T88"/>
  <c i="12" r="U88"/>
  <c i="12" r="V88"/>
  <c i="12" r="T89"/>
  <c i="12" r="U89"/>
  <c i="12" r="V89"/>
  <c i="18" l="1" r="CV8"/>
  <c i="18" r="AK11"/>
  <c i="18" r="AK10"/>
  <c i="18" r="AK6"/>
  <c i="18" l="1" r="CV9"/>
  <c i="17" r="X24"/>
  <c i="17" r="C51" s="1"/>
  <c i="18" r="C50" s="1"/>
  <c i="17" r="X23"/>
  <c i="17" r="X22"/>
  <c i="17" r="X21"/>
  <c i="17" r="X20"/>
  <c i="17" r="X19"/>
  <c i="17" r="X18"/>
  <c i="17" r="X17"/>
  <c i="17" r="X16"/>
  <c i="17" r="X15"/>
  <c i="17" r="X14"/>
  <c i="17" r="X13"/>
  <c i="17" r="X12"/>
  <c i="17" r="X11"/>
  <c i="17" r="X10"/>
  <c i="17" r="X9"/>
  <c i="17" r="X8"/>
  <c i="17" r="X7"/>
  <c i="17" r="X6"/>
  <c i="17" r="X5"/>
  <c i="17" r="X4"/>
  <c i="17" r="W25"/>
  <c i="1" r="CQ8" s="1"/>
  <c i="17" r="V25"/>
  <c i="1" r="CP8" s="1"/>
  <c i="1" r="BY41" s="1"/>
  <c i="18" r="E23" s="1"/>
  <c i="17" r="U25"/>
  <c i="1" r="CO8" s="1"/>
  <c i="1" r="BY40" s="1"/>
  <c i="18" r="E22" s="1"/>
  <c i="17" r="T25"/>
  <c i="1" r="CN8" s="1"/>
  <c i="1" r="BY39" s="1"/>
  <c i="18" r="E21" s="1"/>
  <c i="17" r="S25"/>
  <c i="1" r="CM8" s="1"/>
  <c i="1" r="BY38" s="1"/>
  <c i="18" r="E20" s="1"/>
  <c i="17" r="R25"/>
  <c i="1" r="CL8" s="1"/>
  <c i="1" r="BY37" s="1"/>
  <c i="18" r="E19" s="1"/>
  <c i="17" r="Q25"/>
  <c i="1" r="CK8" s="1"/>
  <c i="1" r="BY36" s="1"/>
  <c i="18" r="E18" s="1"/>
  <c i="17" r="P25"/>
  <c i="1" r="CJ8" s="1"/>
  <c i="1" r="BY35" s="1"/>
  <c i="18" r="E17" s="1"/>
  <c i="17" r="O25"/>
  <c i="1" r="CI8" s="1"/>
  <c i="1" r="BY34" s="1"/>
  <c i="18" r="E16" s="1"/>
  <c i="17" r="N25"/>
  <c i="1" r="CH8" s="1"/>
  <c i="1" r="BY33" s="1"/>
  <c i="18" r="E15" s="1"/>
  <c i="17" r="M25"/>
  <c i="1" r="CG8" s="1"/>
  <c i="1" r="BY32" s="1"/>
  <c i="18" r="E14" s="1"/>
  <c i="17" r="L25"/>
  <c i="1" r="CF8" s="1"/>
  <c i="1" r="BY31" s="1"/>
  <c i="18" r="E13" s="1"/>
  <c i="17" r="K25"/>
  <c i="1" r="CE8" s="1"/>
  <c i="1" r="BY30" s="1"/>
  <c i="18" r="E12" s="1"/>
  <c i="17" r="J25"/>
  <c i="1" r="CD8" s="1"/>
  <c i="1" r="BY29" s="1"/>
  <c i="18" r="E11" s="1"/>
  <c i="17" r="I25"/>
  <c i="1" r="CC8" s="1"/>
  <c i="1" r="BY28" s="1"/>
  <c i="18" r="E10" s="1"/>
  <c i="17" r="H25"/>
  <c i="1" r="CB8" s="1"/>
  <c i="1" r="BY27" s="1"/>
  <c i="18" r="E9" s="1"/>
  <c i="17" r="G25"/>
  <c i="1" r="CA8" s="1"/>
  <c i="1" r="BY26" s="1"/>
  <c i="18" r="E8" s="1"/>
  <c i="17" r="F25"/>
  <c i="1" r="BZ8" s="1"/>
  <c i="1" r="BY25" s="1"/>
  <c i="18" r="E7" s="1"/>
  <c i="17" r="E25"/>
  <c i="1" r="BY8" s="1"/>
  <c i="1" r="BY24" s="1"/>
  <c i="18" r="E6" s="1"/>
  <c i="17" r="D25"/>
  <c i="1" r="BX8" s="1"/>
  <c i="1" r="BY23" s="1"/>
  <c i="18" r="E5" s="1"/>
  <c i="17" r="C25"/>
  <c i="1" r="BW8" s="1"/>
  <c i="1" r="BY22" s="1"/>
  <c i="18" r="E4" s="1"/>
  <c i="18" l="1" r="CV10"/>
  <c i="17" r="J51"/>
  <c i="18" r="J50" s="1"/>
  <c i="1" r="BY42"/>
  <c i="18" r="E24" s="1"/>
  <c i="17" r="W51"/>
  <c i="18" r="W50" s="1"/>
  <c i="17" r="V51"/>
  <c i="18" r="V50" s="1"/>
  <c i="17" r="U51"/>
  <c i="18" r="U50" s="1"/>
  <c i="17" r="X51"/>
  <c i="17" r="T51"/>
  <c i="18" r="T50" s="1"/>
  <c i="17" r="R51"/>
  <c i="18" r="R50" s="1"/>
  <c i="17" r="Q51"/>
  <c i="18" r="Q50" s="1"/>
  <c i="17" r="P51"/>
  <c i="18" r="P50" s="1"/>
  <c i="17" r="X25"/>
  <c i="17" r="O51"/>
  <c i="18" r="O50" s="1"/>
  <c i="17" r="N51"/>
  <c i="18" r="N50" s="1"/>
  <c i="17" r="M51"/>
  <c i="18" r="M50" s="1"/>
  <c i="17" r="L51"/>
  <c i="18" r="L50" s="1"/>
  <c i="17" r="S51"/>
  <c i="18" r="S50" s="1"/>
  <c i="17" r="K51"/>
  <c i="18" r="K50" s="1"/>
  <c i="17" r="I51"/>
  <c i="18" r="I50" s="1"/>
  <c i="17" r="H51"/>
  <c i="18" r="H50" s="1"/>
  <c i="17" r="G51"/>
  <c i="18" r="G50" s="1"/>
  <c i="17" r="F51"/>
  <c i="18" r="F50" s="1"/>
  <c i="17" r="E51"/>
  <c i="18" r="E50" s="1"/>
  <c i="17" r="D51"/>
  <c i="18" r="D50" s="1"/>
  <c i="18" l="1" r="CV11"/>
  <c i="1" r="CR8"/>
  <c i="18" l="1" r="CV12"/>
  <c i="8" r="J25"/>
  <c i="8" r="J36" s="1"/>
  <c i="8" r="K25"/>
  <c i="8" r="K36" s="1"/>
  <c i="8" r="I25"/>
  <c i="8" r="I36" s="1"/>
  <c i="8" r="C25"/>
  <c i="8" r="C36" s="1"/>
  <c i="8" r="D25"/>
  <c i="8" r="D36" s="1"/>
  <c i="8" r="B25"/>
  <c i="8" r="B36" s="1"/>
  <c i="1" r="AT28"/>
  <c i="1" r="CQ9" s="1"/>
  <c i="1" r="AS28"/>
  <c i="1" r="CP9" s="1"/>
  <c i="1" r="BZ41" s="1"/>
  <c i="18" r="F23" s="1"/>
  <c i="1" r="AR28"/>
  <c i="1" r="CO9" s="1"/>
  <c i="1" r="BZ40" s="1"/>
  <c i="18" r="F22" s="1"/>
  <c i="1" r="AQ28"/>
  <c i="1" r="CN9" s="1"/>
  <c i="1" r="BZ39" s="1"/>
  <c i="18" r="F21" s="1"/>
  <c i="1" r="AP28"/>
  <c i="1" r="CM9" s="1"/>
  <c i="1" r="BZ38" s="1"/>
  <c i="18" r="F20" s="1"/>
  <c i="1" r="AO28"/>
  <c i="1" r="CL9" s="1"/>
  <c i="1" r="BZ37" s="1"/>
  <c i="18" r="F19" s="1"/>
  <c i="1" r="AN28"/>
  <c i="1" r="CK9" s="1"/>
  <c i="1" r="BZ36" s="1"/>
  <c i="18" r="F18" s="1"/>
  <c i="1" r="AM28"/>
  <c i="1" r="CJ9" s="1"/>
  <c i="1" r="BZ35" s="1"/>
  <c i="18" r="F17" s="1"/>
  <c i="1" r="AL28"/>
  <c i="1" r="CI9" s="1"/>
  <c i="1" r="BZ34" s="1"/>
  <c i="18" r="F16" s="1"/>
  <c i="1" r="AK28"/>
  <c i="1" r="CH9" s="1"/>
  <c i="1" r="BZ33" s="1"/>
  <c i="18" r="F15" s="1"/>
  <c i="1" r="AJ28"/>
  <c i="1" r="CG9" s="1"/>
  <c i="1" r="BZ32" s="1"/>
  <c i="18" r="F14" s="1"/>
  <c i="1" r="AI28"/>
  <c i="1" r="CF9" s="1"/>
  <c i="1" r="BZ31" s="1"/>
  <c i="18" r="F13" s="1"/>
  <c i="1" r="AH28"/>
  <c i="1" r="CE9" s="1"/>
  <c i="1" r="BZ30" s="1"/>
  <c i="18" r="F12" s="1"/>
  <c i="1" r="AG28"/>
  <c i="1" r="CD9" s="1"/>
  <c i="1" r="BZ29" s="1"/>
  <c i="18" r="F11" s="1"/>
  <c i="1" r="AF28"/>
  <c i="1" r="CC9" s="1"/>
  <c i="1" r="BZ28" s="1"/>
  <c i="18" r="F10" s="1"/>
  <c i="1" r="AE28"/>
  <c i="1" r="CB9" s="1"/>
  <c i="1" r="BZ27" s="1"/>
  <c i="18" r="F9" s="1"/>
  <c i="1" r="AD28"/>
  <c i="1" r="CA9" s="1"/>
  <c i="1" r="BZ26" s="1"/>
  <c i="18" r="F8" s="1"/>
  <c i="1" r="AC28"/>
  <c i="1" r="BZ9" s="1"/>
  <c i="1" r="BZ25" s="1"/>
  <c i="18" r="F7" s="1"/>
  <c i="1" r="AB28"/>
  <c i="1" r="BY9" s="1"/>
  <c i="1" r="BZ24" s="1"/>
  <c i="18" r="F6" s="1"/>
  <c i="1" r="AA28"/>
  <c i="1" r="BX9" s="1"/>
  <c i="1" r="BZ23" s="1"/>
  <c i="18" r="F5" s="1"/>
  <c i="1" r="Z28"/>
  <c i="1" r="BW9" s="1"/>
  <c i="1" r="BZ22" s="1"/>
  <c i="18" r="F4" s="1"/>
  <c i="1" r="AU27"/>
  <c i="1" r="AR54" s="1"/>
  <c i="1" r="AU26"/>
  <c i="1" r="AU25"/>
  <c i="1" r="AU24"/>
  <c i="1" r="AU23"/>
  <c i="1" r="AU22"/>
  <c i="1" r="AU21"/>
  <c i="1" r="AU20"/>
  <c i="1" r="AU19"/>
  <c i="1" r="AU18"/>
  <c i="1" r="AU17"/>
  <c i="1" r="AU16"/>
  <c i="1" r="AU15"/>
  <c i="1" r="AU14"/>
  <c i="1" r="AU13"/>
  <c i="1" r="AU12"/>
  <c i="1" r="AU11"/>
  <c i="1" r="AU10"/>
  <c i="1" r="AU9"/>
  <c i="1" r="AU8"/>
  <c i="1" r="AU7"/>
  <c i="18" l="1" r="CV13"/>
  <c i="1" r="AP54"/>
  <c i="18" r="AQ130" s="1"/>
  <c i="18" r="AQ156" s="1"/>
  <c i="1" r="AK54"/>
  <c i="18" r="AL130" s="1"/>
  <c i="18" r="AL156" s="1"/>
  <c i="1" r="AJ54"/>
  <c i="18" r="AK130" s="1"/>
  <c i="18" r="AK156" s="1"/>
  <c i="1" r="AQ54"/>
  <c i="18" r="AR130" s="1"/>
  <c i="18" r="AR156" s="1"/>
  <c i="1" r="AI54"/>
  <c i="18" r="AJ130" s="1"/>
  <c i="18" r="AJ156" s="1"/>
  <c i="1" r="AH54"/>
  <c i="18" r="AI130" s="1"/>
  <c i="18" r="AI156" s="1"/>
  <c i="1" r="AG54"/>
  <c i="18" r="AH130" s="1"/>
  <c i="18" r="AH156" s="1"/>
  <c i="1" r="AO54"/>
  <c i="18" r="AP130" s="1"/>
  <c i="18" r="AP156" s="1"/>
  <c i="1" r="AF54"/>
  <c i="18" r="AG130" s="1"/>
  <c i="18" r="AG156" s="1"/>
  <c i="1" r="AM54"/>
  <c i="18" r="AN130" s="1"/>
  <c i="18" r="AN156" s="1"/>
  <c i="1" r="AN54"/>
  <c i="18" r="AO130" s="1"/>
  <c i="18" r="AO156" s="1"/>
  <c i="1" r="AL54"/>
  <c i="18" r="AM130" s="1"/>
  <c i="18" r="AM156" s="1"/>
  <c i="1" r="AE54"/>
  <c i="18" r="AF130" s="1"/>
  <c i="18" r="AF156" s="1"/>
  <c i="1" r="AD54"/>
  <c i="18" r="AE130" s="1"/>
  <c i="18" r="AE156" s="1"/>
  <c i="18" r="AS130"/>
  <c i="18" r="AS156" s="1"/>
  <c i="1" r="AC54"/>
  <c i="18" r="AD130" s="1"/>
  <c i="18" r="AD156" s="1"/>
  <c i="1" r="AB54"/>
  <c i="18" r="AC130" s="1"/>
  <c i="18" r="AC156" s="1"/>
  <c i="1" r="AA54"/>
  <c i="18" r="AB130" s="1"/>
  <c i="18" r="AB156" s="1"/>
  <c i="1" r="Z54"/>
  <c i="18" r="AA130" s="1"/>
  <c i="18" r="AA156" s="1"/>
  <c i="1" r="AT54"/>
  <c i="18" r="AU130" s="1"/>
  <c i="18" r="AU156" s="1"/>
  <c i="1" r="AS54"/>
  <c i="18" r="AT130" s="1"/>
  <c i="18" r="AT156" s="1"/>
  <c i="1" r="BZ42"/>
  <c i="18" r="F24" s="1"/>
  <c i="1" r="AU28"/>
  <c i="1" r="AX35"/>
  <c i="18" r="AA31" s="1"/>
  <c i="1" r="AY35"/>
  <c i="18" r="AB31" s="1"/>
  <c i="1" r="AZ35"/>
  <c i="18" r="AC31" s="1"/>
  <c i="1" r="BA35"/>
  <c i="18" r="AD31" s="1"/>
  <c i="1" r="BB35"/>
  <c i="18" r="AE31" s="1"/>
  <c i="1" r="BC35"/>
  <c i="18" r="AF31" s="1"/>
  <c i="1" r="BD35"/>
  <c i="18" r="AG31" s="1"/>
  <c i="1" r="BE35"/>
  <c i="18" r="AH31" s="1"/>
  <c i="1" r="BF35"/>
  <c i="18" r="AI31" s="1"/>
  <c i="1" r="BG35"/>
  <c i="18" r="AJ31" s="1"/>
  <c i="1" r="BH35"/>
  <c i="18" r="AK31" s="1"/>
  <c i="1" r="BI35"/>
  <c i="18" r="AL31" s="1"/>
  <c i="1" r="BJ35"/>
  <c i="18" r="AM31" s="1"/>
  <c i="1" r="BK35"/>
  <c i="18" r="AN31" s="1"/>
  <c i="1" r="BL35"/>
  <c i="18" r="AO31" s="1"/>
  <c i="1" r="BM35"/>
  <c i="18" r="AP31" s="1"/>
  <c i="1" r="BN35"/>
  <c i="18" r="AQ31" s="1"/>
  <c i="1" r="BO35"/>
  <c i="18" r="AR31" s="1"/>
  <c i="1" r="BP35"/>
  <c i="18" r="AS31" s="1"/>
  <c i="1" r="BQ35"/>
  <c i="18" r="AT31" s="1"/>
  <c i="1" r="BR35"/>
  <c i="18" r="AU31" s="1"/>
  <c i="1" r="AX36"/>
  <c i="18" r="AA32" s="1"/>
  <c i="1" r="AY36"/>
  <c i="18" r="AB32" s="1"/>
  <c i="1" r="AZ36"/>
  <c i="18" r="AC32" s="1"/>
  <c i="1" r="BA36"/>
  <c i="18" r="AD32" s="1"/>
  <c i="1" r="BB36"/>
  <c i="18" r="AE32" s="1"/>
  <c i="1" r="BC36"/>
  <c i="18" r="AF32" s="1"/>
  <c i="1" r="BD36"/>
  <c i="18" r="AG32" s="1"/>
  <c i="1" r="BE36"/>
  <c i="18" r="AH32" s="1"/>
  <c i="1" r="BF36"/>
  <c i="18" r="AI32" s="1"/>
  <c i="1" r="BG36"/>
  <c i="18" r="AJ32" s="1"/>
  <c i="1" r="BH36"/>
  <c i="18" r="AK32" s="1"/>
  <c i="1" r="BI36"/>
  <c i="18" r="AL32" s="1"/>
  <c i="1" r="BJ36"/>
  <c i="18" r="AM32" s="1"/>
  <c i="1" r="BK36"/>
  <c i="18" r="AN32" s="1"/>
  <c i="1" r="BL36"/>
  <c i="18" r="AO32" s="1"/>
  <c i="1" r="BM36"/>
  <c i="18" r="AP32" s="1"/>
  <c i="1" r="BN36"/>
  <c i="18" r="AQ32" s="1"/>
  <c i="1" r="BO36"/>
  <c i="18" r="AR32" s="1"/>
  <c i="1" r="BP36"/>
  <c i="18" r="AS32" s="1"/>
  <c i="1" r="BQ36"/>
  <c i="18" r="AT32" s="1"/>
  <c i="1" r="BR36"/>
  <c i="18" r="AU32" s="1"/>
  <c i="1" r="AX37"/>
  <c i="18" r="AA33" s="1"/>
  <c i="1" r="AY37"/>
  <c i="18" r="AB33" s="1"/>
  <c i="1" r="AZ37"/>
  <c i="18" r="AC33" s="1"/>
  <c i="1" r="BA37"/>
  <c i="18" r="AD33" s="1"/>
  <c i="1" r="BB37"/>
  <c i="18" r="AE33" s="1"/>
  <c i="1" r="BC37"/>
  <c i="18" r="AF33" s="1"/>
  <c i="1" r="BD37"/>
  <c i="18" r="AG33" s="1"/>
  <c i="1" r="BE37"/>
  <c i="18" r="AH33" s="1"/>
  <c i="1" r="BF37"/>
  <c i="18" r="AI33" s="1"/>
  <c i="1" r="BG37"/>
  <c i="18" r="AJ33" s="1"/>
  <c i="1" r="BH37"/>
  <c i="18" r="AK33" s="1"/>
  <c i="1" r="BI37"/>
  <c i="18" r="AL33" s="1"/>
  <c i="1" r="BJ37"/>
  <c i="18" r="AM33" s="1"/>
  <c i="1" r="BK37"/>
  <c i="18" r="AN33" s="1"/>
  <c i="1" r="BL37"/>
  <c i="18" r="AO33" s="1"/>
  <c i="1" r="BM37"/>
  <c i="18" r="AP33" s="1"/>
  <c i="1" r="BN37"/>
  <c i="18" r="AQ33" s="1"/>
  <c i="1" r="BO37"/>
  <c i="18" r="AR33" s="1"/>
  <c i="1" r="BP37"/>
  <c i="18" r="AS33" s="1"/>
  <c i="1" r="BQ37"/>
  <c i="18" r="AT33" s="1"/>
  <c i="1" r="BR37"/>
  <c i="18" r="AU33" s="1"/>
  <c i="1" r="AX38"/>
  <c i="18" r="AA34" s="1"/>
  <c i="1" r="AY38"/>
  <c i="18" r="AB34" s="1"/>
  <c i="1" r="AZ38"/>
  <c i="18" r="AC34" s="1"/>
  <c i="1" r="BA38"/>
  <c i="18" r="AD34" s="1"/>
  <c i="1" r="BB38"/>
  <c i="18" r="AE34" s="1"/>
  <c i="1" r="BC38"/>
  <c i="18" r="AF34" s="1"/>
  <c i="1" r="BD38"/>
  <c i="18" r="AG34" s="1"/>
  <c i="1" r="BE38"/>
  <c i="18" r="AH34" s="1"/>
  <c i="1" r="BF38"/>
  <c i="18" r="AI34" s="1"/>
  <c i="1" r="BG38"/>
  <c i="18" r="AJ34" s="1"/>
  <c i="1" r="BH38"/>
  <c i="18" r="AK34" s="1"/>
  <c i="1" r="BI38"/>
  <c i="18" r="AL34" s="1"/>
  <c i="1" r="BJ38"/>
  <c i="18" r="AM34" s="1"/>
  <c i="1" r="BK38"/>
  <c i="18" r="AN34" s="1"/>
  <c i="1" r="BL38"/>
  <c i="18" r="AO34" s="1"/>
  <c i="1" r="BM38"/>
  <c i="18" r="AP34" s="1"/>
  <c i="1" r="BN38"/>
  <c i="18" r="AQ34" s="1"/>
  <c i="1" r="BO38"/>
  <c i="18" r="AR34" s="1"/>
  <c i="1" r="BP38"/>
  <c i="18" r="AS34" s="1"/>
  <c i="1" r="BQ38"/>
  <c i="18" r="AT34" s="1"/>
  <c i="1" r="BR38"/>
  <c i="18" r="AU34" s="1"/>
  <c i="1" r="AX39"/>
  <c i="18" r="AA35" s="1"/>
  <c i="1" r="AY39"/>
  <c i="18" r="AB35" s="1"/>
  <c i="1" r="AZ39"/>
  <c i="18" r="AC35" s="1"/>
  <c i="1" r="BA39"/>
  <c i="18" r="AD35" s="1"/>
  <c i="1" r="BB39"/>
  <c i="18" r="AE35" s="1"/>
  <c i="1" r="BC39"/>
  <c i="18" r="AF35" s="1"/>
  <c i="1" r="BD39"/>
  <c i="18" r="AG35" s="1"/>
  <c i="1" r="BE39"/>
  <c i="18" r="AH35" s="1"/>
  <c i="1" r="BF39"/>
  <c i="18" r="AI35" s="1"/>
  <c i="1" r="BG39"/>
  <c i="18" r="AJ35" s="1"/>
  <c i="1" r="BH39"/>
  <c i="18" r="AK35" s="1"/>
  <c i="1" r="BI39"/>
  <c i="18" r="AL35" s="1"/>
  <c i="1" r="BJ39"/>
  <c i="18" r="AM35" s="1"/>
  <c i="1" r="BK39"/>
  <c i="18" r="AN35" s="1"/>
  <c i="1" r="BL39"/>
  <c i="18" r="AO35" s="1"/>
  <c i="1" r="BM39"/>
  <c i="18" r="AP35" s="1"/>
  <c i="1" r="BN39"/>
  <c i="18" r="AQ35" s="1"/>
  <c i="1" r="BO39"/>
  <c i="18" r="AR35" s="1"/>
  <c i="1" r="BP39"/>
  <c i="18" r="AS35" s="1"/>
  <c i="1" r="BQ39"/>
  <c i="18" r="AT35" s="1"/>
  <c i="1" r="BR39"/>
  <c i="18" r="AU35" s="1"/>
  <c i="1" r="AX40"/>
  <c i="18" r="AA36" s="1"/>
  <c i="1" r="AY40"/>
  <c i="18" r="AB36" s="1"/>
  <c i="1" r="AZ40"/>
  <c i="18" r="AC36" s="1"/>
  <c i="1" r="BA40"/>
  <c i="18" r="AD36" s="1"/>
  <c i="1" r="BB40"/>
  <c i="18" r="AE36" s="1"/>
  <c i="1" r="BC40"/>
  <c i="18" r="AF36" s="1"/>
  <c i="1" r="BD40"/>
  <c i="18" r="AG36" s="1"/>
  <c i="1" r="BE40"/>
  <c i="18" r="AH36" s="1"/>
  <c i="1" r="BF40"/>
  <c i="18" r="AI36" s="1"/>
  <c i="1" r="BG40"/>
  <c i="18" r="AJ36" s="1"/>
  <c i="1" r="BH40"/>
  <c i="18" r="AK36" s="1"/>
  <c i="1" r="BI40"/>
  <c i="18" r="AL36" s="1"/>
  <c i="1" r="BJ40"/>
  <c i="18" r="AM36" s="1"/>
  <c i="1" r="BK40"/>
  <c i="18" r="AN36" s="1"/>
  <c i="1" r="BL40"/>
  <c i="18" r="AO36" s="1"/>
  <c i="1" r="BM40"/>
  <c i="18" r="AP36" s="1"/>
  <c i="1" r="BN40"/>
  <c i="18" r="AQ36" s="1"/>
  <c i="1" r="BO40"/>
  <c i="18" r="AR36" s="1"/>
  <c i="1" r="BP40"/>
  <c i="18" r="AS36" s="1"/>
  <c i="1" r="BQ40"/>
  <c i="18" r="AT36" s="1"/>
  <c i="1" r="BR40"/>
  <c i="18" r="AU36" s="1"/>
  <c i="1" r="AX41"/>
  <c i="18" r="AA37" s="1"/>
  <c i="1" r="AY41"/>
  <c i="18" r="AB37" s="1"/>
  <c i="1" r="AZ41"/>
  <c i="18" r="AC37" s="1"/>
  <c i="1" r="BA41"/>
  <c i="18" r="AD37" s="1"/>
  <c i="1" r="BB41"/>
  <c i="18" r="AE37" s="1"/>
  <c i="1" r="BC41"/>
  <c i="18" r="AF37" s="1"/>
  <c i="1" r="BD41"/>
  <c i="18" r="AG37" s="1"/>
  <c i="1" r="BE41"/>
  <c i="18" r="AH37" s="1"/>
  <c i="1" r="BF41"/>
  <c i="18" r="AI37" s="1"/>
  <c i="1" r="BG41"/>
  <c i="18" r="AJ37" s="1"/>
  <c i="1" r="BH41"/>
  <c i="18" r="AK37" s="1"/>
  <c i="1" r="BI41"/>
  <c i="18" r="AL37" s="1"/>
  <c i="1" r="BJ41"/>
  <c i="18" r="AM37" s="1"/>
  <c i="1" r="BK41"/>
  <c i="18" r="AN37" s="1"/>
  <c i="1" r="BL41"/>
  <c i="18" r="AO37" s="1"/>
  <c i="1" r="BM41"/>
  <c i="18" r="AP37" s="1"/>
  <c i="1" r="BN41"/>
  <c i="18" r="AQ37" s="1"/>
  <c i="1" r="BO41"/>
  <c i="18" r="AR37" s="1"/>
  <c i="1" r="BP41"/>
  <c i="18" r="AS37" s="1"/>
  <c i="1" r="BQ41"/>
  <c i="18" r="AT37" s="1"/>
  <c i="1" r="BR41"/>
  <c i="18" r="AU37" s="1"/>
  <c i="1" r="AX42"/>
  <c i="18" r="AA38" s="1"/>
  <c i="1" r="AY42"/>
  <c i="18" r="AB38" s="1"/>
  <c i="1" r="AZ42"/>
  <c i="18" r="AC38" s="1"/>
  <c i="1" r="BA42"/>
  <c i="18" r="AD38" s="1"/>
  <c i="1" r="BB42"/>
  <c i="18" r="AE38" s="1"/>
  <c i="1" r="BC42"/>
  <c i="18" r="AF38" s="1"/>
  <c i="1" r="BD42"/>
  <c i="18" r="AG38" s="1"/>
  <c i="1" r="BE42"/>
  <c i="18" r="AH38" s="1"/>
  <c i="1" r="BF42"/>
  <c i="18" r="AI38" s="1"/>
  <c i="1" r="BG42"/>
  <c i="18" r="AJ38" s="1"/>
  <c i="1" r="BH42"/>
  <c i="18" r="AK38" s="1"/>
  <c i="1" r="BI42"/>
  <c i="18" r="AL38" s="1"/>
  <c i="1" r="BJ42"/>
  <c i="18" r="AM38" s="1"/>
  <c i="1" r="BK42"/>
  <c i="18" r="AN38" s="1"/>
  <c i="1" r="BL42"/>
  <c i="18" r="AO38" s="1"/>
  <c i="1" r="BM42"/>
  <c i="18" r="AP38" s="1"/>
  <c i="1" r="BN42"/>
  <c i="18" r="AQ38" s="1"/>
  <c i="1" r="BO42"/>
  <c i="18" r="AR38" s="1"/>
  <c i="1" r="BP42"/>
  <c i="18" r="AS38" s="1"/>
  <c i="1" r="BQ42"/>
  <c i="18" r="AT38" s="1"/>
  <c i="1" r="BR42"/>
  <c i="18" r="AU38" s="1"/>
  <c i="1" r="AX43"/>
  <c i="18" r="AA39" s="1"/>
  <c i="1" r="AY43"/>
  <c i="18" r="AB39" s="1"/>
  <c i="1" r="AZ43"/>
  <c i="18" r="AC39" s="1"/>
  <c i="1" r="BA43"/>
  <c i="18" r="AD39" s="1"/>
  <c i="1" r="BB43"/>
  <c i="18" r="AE39" s="1"/>
  <c i="1" r="BC43"/>
  <c i="18" r="AF39" s="1"/>
  <c i="1" r="BD43"/>
  <c i="18" r="AG39" s="1"/>
  <c i="1" r="BE43"/>
  <c i="18" r="AH39" s="1"/>
  <c i="1" r="BF43"/>
  <c i="18" r="AI39" s="1"/>
  <c i="1" r="BG43"/>
  <c i="18" r="AJ39" s="1"/>
  <c i="1" r="BH43"/>
  <c i="18" r="AK39" s="1"/>
  <c i="1" r="BI43"/>
  <c i="18" r="AL39" s="1"/>
  <c i="1" r="BJ43"/>
  <c i="18" r="AM39" s="1"/>
  <c i="1" r="BK43"/>
  <c i="18" r="AN39" s="1"/>
  <c i="1" r="BL43"/>
  <c i="18" r="AO39" s="1"/>
  <c i="1" r="BM43"/>
  <c i="18" r="AP39" s="1"/>
  <c i="1" r="BN43"/>
  <c i="18" r="AQ39" s="1"/>
  <c i="1" r="BO43"/>
  <c i="18" r="AR39" s="1"/>
  <c i="1" r="BP43"/>
  <c i="18" r="AS39" s="1"/>
  <c i="1" r="BQ43"/>
  <c i="18" r="AT39" s="1"/>
  <c i="1" r="BR43"/>
  <c i="18" r="AU39" s="1"/>
  <c i="1" r="AX44"/>
  <c i="18" r="AA40" s="1"/>
  <c i="1" r="AY44"/>
  <c i="18" r="AB40" s="1"/>
  <c i="1" r="AZ44"/>
  <c i="18" r="AC40" s="1"/>
  <c i="1" r="BA44"/>
  <c i="18" r="AD40" s="1"/>
  <c i="1" r="BB44"/>
  <c i="18" r="AE40" s="1"/>
  <c i="1" r="BC44"/>
  <c i="18" r="AF40" s="1"/>
  <c i="1" r="BD44"/>
  <c i="18" r="AG40" s="1"/>
  <c i="1" r="BE44"/>
  <c i="18" r="AH40" s="1"/>
  <c i="1" r="BF44"/>
  <c i="18" r="AI40" s="1"/>
  <c i="1" r="BG44"/>
  <c i="18" r="AJ40" s="1"/>
  <c i="1" r="BH44"/>
  <c i="18" r="AK40" s="1"/>
  <c i="1" r="BI44"/>
  <c i="18" r="AL40" s="1"/>
  <c i="1" r="BJ44"/>
  <c i="18" r="AM40" s="1"/>
  <c i="1" r="BK44"/>
  <c i="18" r="AN40" s="1"/>
  <c i="1" r="BL44"/>
  <c i="18" r="AO40" s="1"/>
  <c i="1" r="BM44"/>
  <c i="18" r="AP40" s="1"/>
  <c i="1" r="BN44"/>
  <c i="18" r="AQ40" s="1"/>
  <c i="1" r="BO44"/>
  <c i="18" r="AR40" s="1"/>
  <c i="1" r="BP44"/>
  <c i="18" r="AS40" s="1"/>
  <c i="1" r="BQ44"/>
  <c i="18" r="AT40" s="1"/>
  <c i="1" r="BR44"/>
  <c i="18" r="AU40" s="1"/>
  <c i="1" r="AX45"/>
  <c i="18" r="AA41" s="1"/>
  <c i="1" r="AY45"/>
  <c i="18" r="AB41" s="1"/>
  <c i="1" r="AZ45"/>
  <c i="18" r="AC41" s="1"/>
  <c i="1" r="BA45"/>
  <c i="18" r="AD41" s="1"/>
  <c i="1" r="BB45"/>
  <c i="18" r="AE41" s="1"/>
  <c i="1" r="BC45"/>
  <c i="18" r="AF41" s="1"/>
  <c i="1" r="BD45"/>
  <c i="18" r="AG41" s="1"/>
  <c i="1" r="BE45"/>
  <c i="18" r="AH41" s="1"/>
  <c i="1" r="BF45"/>
  <c i="18" r="AI41" s="1"/>
  <c i="1" r="BG45"/>
  <c i="18" r="AJ41" s="1"/>
  <c i="1" r="BH45"/>
  <c i="18" r="AK41" s="1"/>
  <c i="1" r="BI45"/>
  <c i="18" r="AL41" s="1"/>
  <c i="1" r="BJ45"/>
  <c i="18" r="AM41" s="1"/>
  <c i="1" r="BK45"/>
  <c i="18" r="AN41" s="1"/>
  <c i="1" r="BL45"/>
  <c i="18" r="AO41" s="1"/>
  <c i="1" r="BM45"/>
  <c i="18" r="AP41" s="1"/>
  <c i="1" r="BN45"/>
  <c i="18" r="AQ41" s="1"/>
  <c i="1" r="BO45"/>
  <c i="18" r="AR41" s="1"/>
  <c i="1" r="BP45"/>
  <c i="18" r="AS41" s="1"/>
  <c i="1" r="BQ45"/>
  <c i="18" r="AT41" s="1"/>
  <c i="1" r="BR45"/>
  <c i="18" r="AU41" s="1"/>
  <c i="1" r="AX46"/>
  <c i="18" r="AA42" s="1"/>
  <c i="1" r="AY46"/>
  <c i="18" r="AB42" s="1"/>
  <c i="1" r="AZ46"/>
  <c i="18" r="AC42" s="1"/>
  <c i="1" r="BA46"/>
  <c i="18" r="AD42" s="1"/>
  <c i="1" r="BB46"/>
  <c i="18" r="AE42" s="1"/>
  <c i="1" r="BC46"/>
  <c i="18" r="AF42" s="1"/>
  <c i="1" r="BD46"/>
  <c i="18" r="AG42" s="1"/>
  <c i="1" r="BE46"/>
  <c i="18" r="AH42" s="1"/>
  <c i="1" r="BF46"/>
  <c i="18" r="AI42" s="1"/>
  <c i="1" r="BG46"/>
  <c i="18" r="AJ42" s="1"/>
  <c i="1" r="BH46"/>
  <c i="18" r="AK42" s="1"/>
  <c i="1" r="BI46"/>
  <c i="18" r="AL42" s="1"/>
  <c i="1" r="BJ46"/>
  <c i="18" r="AM42" s="1"/>
  <c i="1" r="BK46"/>
  <c i="18" r="AN42" s="1"/>
  <c i="1" r="BL46"/>
  <c i="18" r="AO42" s="1"/>
  <c i="1" r="BM46"/>
  <c i="18" r="AP42" s="1"/>
  <c i="1" r="BN46"/>
  <c i="18" r="AQ42" s="1"/>
  <c i="1" r="BO46"/>
  <c i="18" r="AR42" s="1"/>
  <c i="1" r="BP46"/>
  <c i="18" r="AS42" s="1"/>
  <c i="1" r="BQ46"/>
  <c i="18" r="AT42" s="1"/>
  <c i="1" r="BR46"/>
  <c i="18" r="AU42" s="1"/>
  <c i="1" r="AX47"/>
  <c i="18" r="AA43" s="1"/>
  <c i="1" r="AY47"/>
  <c i="18" r="AB43" s="1"/>
  <c i="1" r="AZ47"/>
  <c i="18" r="AC43" s="1"/>
  <c i="1" r="BA47"/>
  <c i="18" r="AD43" s="1"/>
  <c i="1" r="BB47"/>
  <c i="18" r="AE43" s="1"/>
  <c i="1" r="BC47"/>
  <c i="18" r="AF43" s="1"/>
  <c i="1" r="BD47"/>
  <c i="18" r="AG43" s="1"/>
  <c i="1" r="BE47"/>
  <c i="18" r="AH43" s="1"/>
  <c i="1" r="BF47"/>
  <c i="18" r="AI43" s="1"/>
  <c i="1" r="BG47"/>
  <c i="18" r="AJ43" s="1"/>
  <c i="1" r="BH47"/>
  <c i="18" r="AK43" s="1"/>
  <c i="1" r="BI47"/>
  <c i="18" r="AL43" s="1"/>
  <c i="1" r="BJ47"/>
  <c i="18" r="AM43" s="1"/>
  <c i="1" r="BK47"/>
  <c i="18" r="AN43" s="1"/>
  <c i="1" r="BL47"/>
  <c i="18" r="AO43" s="1"/>
  <c i="1" r="BM47"/>
  <c i="18" r="AP43" s="1"/>
  <c i="1" r="BN47"/>
  <c i="18" r="AQ43" s="1"/>
  <c i="1" r="BO47"/>
  <c i="18" r="AR43" s="1"/>
  <c i="1" r="BP47"/>
  <c i="18" r="AS43" s="1"/>
  <c i="1" r="BQ47"/>
  <c i="18" r="AT43" s="1"/>
  <c i="1" r="BR47"/>
  <c i="18" r="AU43" s="1"/>
  <c i="1" r="AX48"/>
  <c i="18" r="AA44" s="1"/>
  <c i="1" r="AY48"/>
  <c i="18" r="AB44" s="1"/>
  <c i="1" r="AZ48"/>
  <c i="18" r="AC44" s="1"/>
  <c i="1" r="BA48"/>
  <c i="18" r="AD44" s="1"/>
  <c i="1" r="BB48"/>
  <c i="18" r="AE44" s="1"/>
  <c i="1" r="BC48"/>
  <c i="18" r="AF44" s="1"/>
  <c i="1" r="BD48"/>
  <c i="18" r="AG44" s="1"/>
  <c i="1" r="BE48"/>
  <c i="18" r="AH44" s="1"/>
  <c i="1" r="BF48"/>
  <c i="18" r="AI44" s="1"/>
  <c i="1" r="BG48"/>
  <c i="18" r="AJ44" s="1"/>
  <c i="1" r="BH48"/>
  <c i="18" r="AK44" s="1"/>
  <c i="1" r="BI48"/>
  <c i="18" r="AL44" s="1"/>
  <c i="1" r="BJ48"/>
  <c i="18" r="AM44" s="1"/>
  <c i="1" r="BK48"/>
  <c i="18" r="AN44" s="1"/>
  <c i="1" r="BL48"/>
  <c i="18" r="AO44" s="1"/>
  <c i="1" r="BM48"/>
  <c i="18" r="AP44" s="1"/>
  <c i="1" r="BN48"/>
  <c i="18" r="AQ44" s="1"/>
  <c i="1" r="BO48"/>
  <c i="18" r="AR44" s="1"/>
  <c i="1" r="BP48"/>
  <c i="18" r="AS44" s="1"/>
  <c i="1" r="BQ48"/>
  <c i="18" r="AT44" s="1"/>
  <c i="1" r="BR48"/>
  <c i="18" r="AU44" s="1"/>
  <c i="1" r="AX49"/>
  <c i="18" r="AA45" s="1"/>
  <c i="1" r="AY49"/>
  <c i="18" r="AB45" s="1"/>
  <c i="1" r="AZ49"/>
  <c i="18" r="AC45" s="1"/>
  <c i="1" r="BA49"/>
  <c i="18" r="AD45" s="1"/>
  <c i="1" r="BB49"/>
  <c i="18" r="AE45" s="1"/>
  <c i="1" r="BC49"/>
  <c i="18" r="AF45" s="1"/>
  <c i="1" r="BD49"/>
  <c i="18" r="AG45" s="1"/>
  <c i="1" r="BE49"/>
  <c i="18" r="AH45" s="1"/>
  <c i="1" r="BF49"/>
  <c i="18" r="AI45" s="1"/>
  <c i="1" r="BG49"/>
  <c i="18" r="AJ45" s="1"/>
  <c i="1" r="BH49"/>
  <c i="18" r="AK45" s="1"/>
  <c i="1" r="BI49"/>
  <c i="18" r="AL45" s="1"/>
  <c i="1" r="BJ49"/>
  <c i="18" r="AM45" s="1"/>
  <c i="1" r="BK49"/>
  <c i="18" r="AN45" s="1"/>
  <c i="1" r="BL49"/>
  <c i="18" r="AO45" s="1"/>
  <c i="1" r="BM49"/>
  <c i="18" r="AP45" s="1"/>
  <c i="1" r="BN49"/>
  <c i="18" r="AQ45" s="1"/>
  <c i="1" r="BO49"/>
  <c i="18" r="AR45" s="1"/>
  <c i="1" r="BP49"/>
  <c i="18" r="AS45" s="1"/>
  <c i="1" r="BQ49"/>
  <c i="18" r="AT45" s="1"/>
  <c i="1" r="BR49"/>
  <c i="18" r="AU45" s="1"/>
  <c i="1" r="AX50"/>
  <c i="18" r="AA46" s="1"/>
  <c i="1" r="AY50"/>
  <c i="18" r="AB46" s="1"/>
  <c i="1" r="AZ50"/>
  <c i="18" r="AC46" s="1"/>
  <c i="1" r="BA50"/>
  <c i="18" r="AD46" s="1"/>
  <c i="1" r="BB50"/>
  <c i="18" r="AE46" s="1"/>
  <c i="1" r="BC50"/>
  <c i="18" r="AF46" s="1"/>
  <c i="1" r="BD50"/>
  <c i="18" r="AG46" s="1"/>
  <c i="1" r="BE50"/>
  <c i="18" r="AH46" s="1"/>
  <c i="1" r="BF50"/>
  <c i="18" r="AI46" s="1"/>
  <c i="1" r="BG50"/>
  <c i="18" r="AJ46" s="1"/>
  <c i="1" r="BH50"/>
  <c i="18" r="AK46" s="1"/>
  <c i="1" r="BI50"/>
  <c i="18" r="AL46" s="1"/>
  <c i="1" r="BJ50"/>
  <c i="18" r="AM46" s="1"/>
  <c i="1" r="BK50"/>
  <c i="18" r="AN46" s="1"/>
  <c i="1" r="BL50"/>
  <c i="18" r="AO46" s="1"/>
  <c i="1" r="BM50"/>
  <c i="18" r="AP46" s="1"/>
  <c i="1" r="BN50"/>
  <c i="18" r="AQ46" s="1"/>
  <c i="1" r="BO50"/>
  <c i="18" r="AR46" s="1"/>
  <c i="1" r="BP50"/>
  <c i="18" r="AS46" s="1"/>
  <c i="1" r="BQ50"/>
  <c i="18" r="AT46" s="1"/>
  <c i="1" r="BR50"/>
  <c i="18" r="AU46" s="1"/>
  <c i="1" r="AX51"/>
  <c i="18" r="AA47" s="1"/>
  <c i="1" r="AY51"/>
  <c i="18" r="AB47" s="1"/>
  <c i="1" r="AZ51"/>
  <c i="18" r="AC47" s="1"/>
  <c i="1" r="BA51"/>
  <c i="18" r="AD47" s="1"/>
  <c i="1" r="BB51"/>
  <c i="18" r="AE47" s="1"/>
  <c i="1" r="BC51"/>
  <c i="18" r="AF47" s="1"/>
  <c i="1" r="BD51"/>
  <c i="18" r="AG47" s="1"/>
  <c i="1" r="BE51"/>
  <c i="18" r="AH47" s="1"/>
  <c i="1" r="BF51"/>
  <c i="18" r="AI47" s="1"/>
  <c i="1" r="BG51"/>
  <c i="18" r="AJ47" s="1"/>
  <c i="1" r="BH51"/>
  <c i="18" r="AK47" s="1"/>
  <c i="1" r="BI51"/>
  <c i="18" r="AL47" s="1"/>
  <c i="1" r="BJ51"/>
  <c i="18" r="AM47" s="1"/>
  <c i="1" r="BK51"/>
  <c i="18" r="AN47" s="1"/>
  <c i="1" r="BL51"/>
  <c i="18" r="AO47" s="1"/>
  <c i="1" r="BM51"/>
  <c i="18" r="AP47" s="1"/>
  <c i="1" r="BN51"/>
  <c i="18" r="AQ47" s="1"/>
  <c i="1" r="BO51"/>
  <c i="18" r="AR47" s="1"/>
  <c i="1" r="BP51"/>
  <c i="18" r="AS47" s="1"/>
  <c i="1" r="BQ51"/>
  <c i="18" r="AT47" s="1"/>
  <c i="1" r="BR51"/>
  <c i="18" r="AU47" s="1"/>
  <c i="1" r="AX52"/>
  <c i="18" r="AA48" s="1"/>
  <c i="1" r="AY52"/>
  <c i="18" r="AB48" s="1"/>
  <c i="1" r="AZ52"/>
  <c i="18" r="AC48" s="1"/>
  <c i="1" r="BA52"/>
  <c i="18" r="AD48" s="1"/>
  <c i="1" r="BB52"/>
  <c i="18" r="AE48" s="1"/>
  <c i="1" r="BC52"/>
  <c i="18" r="AF48" s="1"/>
  <c i="1" r="BD52"/>
  <c i="18" r="AG48" s="1"/>
  <c i="1" r="BE52"/>
  <c i="18" r="AH48" s="1"/>
  <c i="1" r="BF52"/>
  <c i="18" r="AI48" s="1"/>
  <c i="1" r="BG52"/>
  <c i="18" r="AJ48" s="1"/>
  <c i="1" r="BH52"/>
  <c i="18" r="AK48" s="1"/>
  <c i="1" r="BI52"/>
  <c i="18" r="AL48" s="1"/>
  <c i="1" r="BJ52"/>
  <c i="18" r="AM48" s="1"/>
  <c i="1" r="BK52"/>
  <c i="18" r="AN48" s="1"/>
  <c i="1" r="BL52"/>
  <c i="18" r="AO48" s="1"/>
  <c i="1" r="BM52"/>
  <c i="18" r="AP48" s="1"/>
  <c i="1" r="BN52"/>
  <c i="18" r="AQ48" s="1"/>
  <c i="1" r="BO52"/>
  <c i="18" r="AR48" s="1"/>
  <c i="1" r="BP52"/>
  <c i="18" r="AS48" s="1"/>
  <c i="1" r="BQ52"/>
  <c i="18" r="AT48" s="1"/>
  <c i="1" r="BR52"/>
  <c i="18" r="AU48" s="1"/>
  <c i="1" r="AX53"/>
  <c i="18" r="AA49" s="1"/>
  <c i="1" r="AY53"/>
  <c i="18" r="AB49" s="1"/>
  <c i="1" r="AZ53"/>
  <c i="18" r="AC49" s="1"/>
  <c i="1" r="BA53"/>
  <c i="18" r="AD49" s="1"/>
  <c i="1" r="BB53"/>
  <c i="18" r="AE49" s="1"/>
  <c i="1" r="BC53"/>
  <c i="18" r="AF49" s="1"/>
  <c i="1" r="BD53"/>
  <c i="18" r="AG49" s="1"/>
  <c i="1" r="BE53"/>
  <c i="18" r="AH49" s="1"/>
  <c i="1" r="BF53"/>
  <c i="18" r="AI49" s="1"/>
  <c i="1" r="BG53"/>
  <c i="18" r="AJ49" s="1"/>
  <c i="1" r="BH53"/>
  <c i="18" r="AK49" s="1"/>
  <c i="1" r="BI53"/>
  <c i="18" r="AL49" s="1"/>
  <c i="1" r="BJ53"/>
  <c i="18" r="AM49" s="1"/>
  <c i="1" r="BK53"/>
  <c i="18" r="AN49" s="1"/>
  <c i="1" r="BL53"/>
  <c i="18" r="AO49" s="1"/>
  <c i="1" r="BM53"/>
  <c i="18" r="AP49" s="1"/>
  <c i="1" r="BN53"/>
  <c i="18" r="AQ49" s="1"/>
  <c i="1" r="BO53"/>
  <c i="18" r="AR49" s="1"/>
  <c i="1" r="BP53"/>
  <c i="18" r="AS49" s="1"/>
  <c i="1" r="BQ53"/>
  <c i="18" r="AT49" s="1"/>
  <c i="1" r="BR53"/>
  <c i="18" r="AU49" s="1"/>
  <c i="1" r="AX54"/>
  <c i="18" r="AA50" s="1"/>
  <c i="1" r="AY54"/>
  <c i="18" r="AB50" s="1"/>
  <c i="1" r="AZ54"/>
  <c i="18" r="AC50" s="1"/>
  <c i="1" r="BA54"/>
  <c i="18" r="AD50" s="1"/>
  <c i="1" r="BB54"/>
  <c i="18" r="AE50" s="1"/>
  <c i="18" r="BD50" s="1"/>
  <c i="18" r="CB50" s="1"/>
  <c i="1" r="BC54"/>
  <c i="18" r="AF50" s="1"/>
  <c i="18" r="BE50" s="1"/>
  <c i="18" r="CC50" s="1"/>
  <c i="1" r="BD54"/>
  <c i="18" r="AG50" s="1"/>
  <c i="18" r="BF50" s="1"/>
  <c i="18" r="CD50" s="1"/>
  <c i="1" r="BE54"/>
  <c i="18" r="AH50" s="1"/>
  <c i="18" r="BG50" s="1"/>
  <c i="18" r="CE50" s="1"/>
  <c i="1" r="BF54"/>
  <c i="18" r="AI50" s="1"/>
  <c i="18" r="BH50" s="1"/>
  <c i="18" r="CF50" s="1"/>
  <c i="1" r="BG54"/>
  <c i="18" r="AJ50" s="1"/>
  <c i="18" r="BI50" s="1"/>
  <c i="18" r="CG50" s="1"/>
  <c i="1" r="BH54"/>
  <c i="18" r="AK50" s="1"/>
  <c i="18" r="BJ50" s="1"/>
  <c i="18" r="CH50" s="1"/>
  <c i="1" r="BI54"/>
  <c i="18" r="AL50" s="1"/>
  <c i="18" r="BK50" s="1"/>
  <c i="18" r="CI50" s="1"/>
  <c i="1" r="BJ54"/>
  <c i="18" r="AM50" s="1"/>
  <c i="18" r="BL50" s="1"/>
  <c i="18" r="CJ50" s="1"/>
  <c i="1" r="BK54"/>
  <c i="18" r="AN50" s="1"/>
  <c i="18" r="BM50" s="1"/>
  <c i="18" r="CK50" s="1"/>
  <c i="1" r="BL54"/>
  <c i="18" r="AO50" s="1"/>
  <c i="18" r="BN50" s="1"/>
  <c i="18" r="CL50" s="1"/>
  <c i="1" r="BM54"/>
  <c i="18" r="AP50" s="1"/>
  <c i="18" r="BO50" s="1"/>
  <c i="18" r="CM50" s="1"/>
  <c i="1" r="BN54"/>
  <c i="18" r="AQ50" s="1"/>
  <c i="18" r="BP50" s="1"/>
  <c i="18" r="CN50" s="1"/>
  <c i="1" r="BO54"/>
  <c i="18" r="AR50" s="1"/>
  <c i="18" r="BQ50" s="1"/>
  <c i="18" r="CO50" s="1"/>
  <c i="1" r="BP54"/>
  <c i="18" r="AS50" s="1"/>
  <c i="18" r="BR50" s="1"/>
  <c i="18" r="CP50" s="1"/>
  <c i="1" r="BQ54"/>
  <c i="18" r="AT50" s="1"/>
  <c i="1" r="BR54"/>
  <c i="18" r="AU50" s="1"/>
  <c i="1" r="AY34"/>
  <c i="18" r="AB30" s="1"/>
  <c i="1" r="AZ34"/>
  <c i="18" r="AC30" s="1"/>
  <c i="1" r="BA34"/>
  <c i="18" r="AD30" s="1"/>
  <c i="1" r="BB34"/>
  <c i="18" r="AE30" s="1"/>
  <c i="1" r="BC34"/>
  <c i="18" r="AF30" s="1"/>
  <c i="1" r="BD34"/>
  <c i="18" r="AG30" s="1"/>
  <c i="1" r="BE34"/>
  <c i="18" r="AH30" s="1"/>
  <c i="1" r="BF34"/>
  <c i="18" r="AI30" s="1"/>
  <c i="1" r="BG34"/>
  <c i="18" r="AJ30" s="1"/>
  <c i="1" r="BH34"/>
  <c i="18" r="AK30" s="1"/>
  <c i="1" r="BI34"/>
  <c i="18" r="AL30" s="1"/>
  <c i="1" r="BJ34"/>
  <c i="18" r="AM30" s="1"/>
  <c i="1" r="BK34"/>
  <c i="18" r="AN30" s="1"/>
  <c i="1" r="BL34"/>
  <c i="18" r="AO30" s="1"/>
  <c i="1" r="BM34"/>
  <c i="18" r="AP30" s="1"/>
  <c i="1" r="BN34"/>
  <c i="18" r="AQ30" s="1"/>
  <c i="1" r="BO34"/>
  <c i="18" r="AR30" s="1"/>
  <c i="1" r="BP34"/>
  <c i="18" r="AS30" s="1"/>
  <c i="1" r="BQ34"/>
  <c i="18" r="AT30" s="1"/>
  <c i="1" r="BR34"/>
  <c i="18" r="AU30" s="1"/>
  <c i="1" r="AX34"/>
  <c i="18" r="AA30" s="1"/>
  <c i="1" r="BR28"/>
  <c i="1" r="CQ10" s="1"/>
  <c i="1" r="BQ28"/>
  <c i="1" r="CP10" s="1"/>
  <c i="1" r="CA41" s="1"/>
  <c i="18" r="G23" s="1"/>
  <c i="1" r="BP28"/>
  <c i="1" r="CO10" s="1"/>
  <c i="1" r="CA40" s="1"/>
  <c i="18" r="G22" s="1"/>
  <c i="1" r="BO28"/>
  <c i="1" r="CN10" s="1"/>
  <c i="1" r="CA39" s="1"/>
  <c i="18" r="G21" s="1"/>
  <c i="1" r="BN28"/>
  <c i="1" r="CM10" s="1"/>
  <c i="1" r="CA38" s="1"/>
  <c i="18" r="G20" s="1"/>
  <c i="1" r="BM28"/>
  <c i="1" r="CL10" s="1"/>
  <c i="1" r="CA37" s="1"/>
  <c i="18" r="G19" s="1"/>
  <c i="1" r="BL28"/>
  <c i="1" r="CK10" s="1"/>
  <c i="1" r="CA36" s="1"/>
  <c i="18" r="G18" s="1"/>
  <c i="1" r="BK28"/>
  <c i="1" r="CJ10" s="1"/>
  <c i="1" r="CA35" s="1"/>
  <c i="18" r="G17" s="1"/>
  <c i="1" r="BJ28"/>
  <c i="1" r="CI10" s="1"/>
  <c i="1" r="CA34" s="1"/>
  <c i="18" r="G16" s="1"/>
  <c i="1" r="BI28"/>
  <c i="1" r="CH10" s="1"/>
  <c i="1" r="CA33" s="1"/>
  <c i="18" r="G15" s="1"/>
  <c i="1" r="BH28"/>
  <c i="1" r="CG10" s="1"/>
  <c i="1" r="CA32" s="1"/>
  <c i="18" r="G14" s="1"/>
  <c i="1" r="BG28"/>
  <c i="1" r="CF10" s="1"/>
  <c i="1" r="CA31" s="1"/>
  <c i="18" r="G13" s="1"/>
  <c i="1" r="BF28"/>
  <c i="1" r="CE10" s="1"/>
  <c i="1" r="CA30" s="1"/>
  <c i="18" r="G12" s="1"/>
  <c i="1" r="BE28"/>
  <c i="1" r="CD10" s="1"/>
  <c i="1" r="CA29" s="1"/>
  <c i="18" r="G11" s="1"/>
  <c i="1" r="BD28"/>
  <c i="1" r="CC10" s="1"/>
  <c i="1" r="CA28" s="1"/>
  <c i="18" r="G10" s="1"/>
  <c i="1" r="BC28"/>
  <c i="1" r="CB10" s="1"/>
  <c i="1" r="CA27" s="1"/>
  <c i="18" r="G9" s="1"/>
  <c i="1" r="BB28"/>
  <c i="1" r="CA10" s="1"/>
  <c i="1" r="CA26" s="1"/>
  <c i="18" r="G8" s="1"/>
  <c i="1" r="BA28"/>
  <c i="1" r="BZ10" s="1"/>
  <c i="1" r="CA25" s="1"/>
  <c i="18" r="G7" s="1"/>
  <c i="1" r="AZ28"/>
  <c i="1" r="BY10" s="1"/>
  <c i="1" r="CA24" s="1"/>
  <c i="18" r="G6" s="1"/>
  <c i="1" r="AY28"/>
  <c i="1" r="BX10" s="1"/>
  <c i="1" r="CA23" s="1"/>
  <c i="18" r="G5" s="1"/>
  <c i="1" r="AX28"/>
  <c i="1" r="BW10" s="1"/>
  <c i="1" r="CA22" s="1"/>
  <c i="18" r="G4" s="1"/>
  <c i="1" r="BS27"/>
  <c i="1" r="BS26"/>
  <c i="1" r="BS25"/>
  <c i="1" r="BS24"/>
  <c i="1" r="BS23"/>
  <c i="1" r="BS22"/>
  <c i="1" r="BS21"/>
  <c i="1" r="BS20"/>
  <c i="1" r="BS19"/>
  <c i="1" r="BS18"/>
  <c i="1" r="BS17"/>
  <c i="1" r="BS16"/>
  <c i="1" r="BS15"/>
  <c i="1" r="BS14"/>
  <c i="1" r="BS13"/>
  <c i="1" r="BS12"/>
  <c i="1" r="BS11"/>
  <c i="1" r="BS10"/>
  <c i="1" r="BS9"/>
  <c i="1" r="BS8"/>
  <c i="1" r="BS7"/>
  <c i="1" r="W8"/>
  <c i="1" r="W9"/>
  <c i="1" r="K36" s="1"/>
  <c i="1" r="W10"/>
  <c i="1" r="W11"/>
  <c i="1" r="W12"/>
  <c i="1" r="W13"/>
  <c i="1" r="W14"/>
  <c i="1" r="W15"/>
  <c i="1" r="W16"/>
  <c i="1" r="W17"/>
  <c i="1" r="W18"/>
  <c i="1" r="W19"/>
  <c i="1" r="W20"/>
  <c i="1" r="W21"/>
  <c i="1" r="W22"/>
  <c i="1" r="W23"/>
  <c i="1" r="W24"/>
  <c i="1" r="W25"/>
  <c i="1" r="W26"/>
  <c i="1" r="W27"/>
  <c i="1" r="E54" s="1"/>
  <c i="1" r="W7"/>
  <c i="1" r="C28"/>
  <c i="1" r="BX7" s="1"/>
  <c i="1" r="BX23" s="1"/>
  <c i="18" r="D5" s="1"/>
  <c i="1" r="D28"/>
  <c i="1" r="BY7" s="1"/>
  <c i="1" r="BX24" s="1"/>
  <c i="18" r="D6" s="1"/>
  <c i="1" r="E28"/>
  <c i="1" r="BZ7" s="1"/>
  <c i="1" r="BX25" s="1"/>
  <c i="18" r="D7" s="1"/>
  <c i="1" r="F28"/>
  <c i="1" r="CA7" s="1"/>
  <c i="1" r="BX26" s="1"/>
  <c i="18" r="D8" s="1"/>
  <c i="1" r="G28"/>
  <c i="1" r="CB7" s="1"/>
  <c i="1" r="BX27" s="1"/>
  <c i="18" r="D9" s="1"/>
  <c i="1" r="H28"/>
  <c i="1" r="CC7" s="1"/>
  <c i="1" r="BX28" s="1"/>
  <c i="18" r="D10" s="1"/>
  <c i="1" r="I28"/>
  <c i="1" r="CD7" s="1"/>
  <c i="1" r="BX29" s="1"/>
  <c i="18" r="D11" s="1"/>
  <c i="1" r="J28"/>
  <c i="1" r="CE7" s="1"/>
  <c i="1" r="BX30" s="1"/>
  <c i="18" r="D12" s="1"/>
  <c i="1" r="K28"/>
  <c i="1" r="CF7" s="1"/>
  <c i="1" r="BX31" s="1"/>
  <c i="18" r="D13" s="1"/>
  <c i="1" r="L28"/>
  <c i="1" r="CG7" s="1"/>
  <c i="1" r="BX32" s="1"/>
  <c i="18" r="D14" s="1"/>
  <c i="1" r="M28"/>
  <c i="1" r="CH7" s="1"/>
  <c i="1" r="BX33" s="1"/>
  <c i="18" r="D15" s="1"/>
  <c i="1" r="N28"/>
  <c i="1" r="CI7" s="1"/>
  <c i="1" r="BX34" s="1"/>
  <c i="18" r="D16" s="1"/>
  <c i="1" r="O28"/>
  <c i="1" r="CJ7" s="1"/>
  <c i="1" r="BX35" s="1"/>
  <c i="18" r="D17" s="1"/>
  <c i="1" r="P28"/>
  <c i="1" r="CK7" s="1"/>
  <c i="1" r="BX36" s="1"/>
  <c i="18" r="D18" s="1"/>
  <c i="1" r="Q28"/>
  <c i="1" r="CL7" s="1"/>
  <c i="1" r="BX37" s="1"/>
  <c i="18" r="D19" s="1"/>
  <c i="1" r="R28"/>
  <c i="1" r="CM7" s="1"/>
  <c i="1" r="BX38" s="1"/>
  <c i="18" r="D20" s="1"/>
  <c i="1" r="S28"/>
  <c i="1" r="CN7" s="1"/>
  <c i="1" r="BX39" s="1"/>
  <c i="18" r="D21" s="1"/>
  <c i="1" r="T28"/>
  <c i="1" r="CO7" s="1"/>
  <c i="1" r="BX40" s="1"/>
  <c i="18" r="D22" s="1"/>
  <c i="1" r="U28"/>
  <c i="1" r="CP7" s="1"/>
  <c i="1" r="BX41" s="1"/>
  <c i="18" r="D23" s="1"/>
  <c i="1" r="V28"/>
  <c i="1" r="CQ7" s="1"/>
  <c i="1" r="B28"/>
  <c i="1" r="BW7" s="1"/>
  <c i="1" r="BX22" s="1"/>
  <c i="18" r="D4" s="1"/>
  <c i="18" l="1" r="BA50"/>
  <c i="18" r="BY50" s="1"/>
  <c i="1" r="T37"/>
  <c i="18" r="CV14"/>
  <c i="18" r="BB50"/>
  <c i="18" r="BZ50" s="1"/>
  <c i="18" r="BC50"/>
  <c i="18" r="CA50" s="1"/>
  <c i="18" r="BT50"/>
  <c i="18" r="CR50" s="1"/>
  <c i="18" r="BS50"/>
  <c i="18" r="CQ50" s="1"/>
  <c i="1" r="V35"/>
  <c i="18" r="AV38"/>
  <c i="18" r="AG51"/>
  <c i="18" r="AV36"/>
  <c i="18" r="AF51"/>
  <c i="18" r="AE51"/>
  <c i="18" r="AV34"/>
  <c i="18" r="AC51"/>
  <c i="18" r="AV32"/>
  <c i="18" r="AK51"/>
  <c i="18" r="AV49"/>
  <c i="18" r="AV47"/>
  <c i="18" r="AI51"/>
  <c i="18" r="AV43"/>
  <c i="18" r="AH51"/>
  <c i="18" r="AJ51"/>
  <c i="18" r="AV41"/>
  <c i="18" r="AV37"/>
  <c i="18" r="AV35"/>
  <c i="18" r="AV40"/>
  <c i="18" r="AV33"/>
  <c i="18" r="AV39"/>
  <c i="18" r="AB51"/>
  <c i="18" r="AV45"/>
  <c i="18" r="AV30"/>
  <c i="18" r="AA51"/>
  <c i="18" r="AV31"/>
  <c i="18" r="AZ50"/>
  <c i="18" r="BX50" s="1"/>
  <c i="18" r="AV50"/>
  <c i="18" r="AS51"/>
  <c i="18" r="AV48"/>
  <c i="18" r="AT51"/>
  <c i="18" r="AR51"/>
  <c i="18" r="AQ51"/>
  <c i="18" r="AV46"/>
  <c i="18" r="AP51"/>
  <c i="18" r="AO51"/>
  <c i="18" r="AV44"/>
  <c i="18" r="AD51"/>
  <c i="18" r="AU51"/>
  <c i="18" r="AN51"/>
  <c i="18" r="AM51"/>
  <c i="18" r="AV42"/>
  <c i="18" r="AL51"/>
  <c i="18" r="X50"/>
  <c i="1" r="AG47"/>
  <c i="17" r="O44"/>
  <c i="18" r="O43" s="1"/>
  <c i="17" r="I44"/>
  <c i="18" r="I43" s="1"/>
  <c i="17" r="G44"/>
  <c i="18" r="G43" s="1"/>
  <c i="17" r="U44"/>
  <c i="18" r="U43" s="1"/>
  <c i="17" r="H44"/>
  <c i="18" r="H43" s="1"/>
  <c i="17" r="L44"/>
  <c i="18" r="L43" s="1"/>
  <c i="17" r="T44"/>
  <c i="18" r="T43" s="1"/>
  <c i="17" r="J44"/>
  <c i="18" r="J43" s="1"/>
  <c i="17" r="S44"/>
  <c i="18" r="S43" s="1"/>
  <c i="17" r="Q44"/>
  <c i="18" r="Q43" s="1"/>
  <c i="17" r="D44"/>
  <c i="18" r="D43" s="1"/>
  <c i="17" r="N44"/>
  <c i="18" r="N43" s="1"/>
  <c i="17" r="F44"/>
  <c i="18" r="F43" s="1"/>
  <c i="17" r="R44"/>
  <c i="18" r="R43" s="1"/>
  <c i="17" r="P44"/>
  <c i="18" r="P43" s="1"/>
  <c i="17" r="W44"/>
  <c i="18" r="W43" s="1"/>
  <c i="17" r="X44"/>
  <c i="17" r="V44"/>
  <c i="18" r="V43" s="1"/>
  <c i="17" r="E44"/>
  <c i="18" r="E43" s="1"/>
  <c i="17" r="M44"/>
  <c i="18" r="M43" s="1"/>
  <c i="17" r="K44"/>
  <c i="18" r="K43" s="1"/>
  <c i="17" r="C44"/>
  <c i="18" r="C43" s="1"/>
  <c i="1" r="AL49"/>
  <c i="17" r="E46"/>
  <c i="18" r="E45" s="1"/>
  <c i="17" r="V46"/>
  <c i="18" r="V45" s="1"/>
  <c i="17" r="H46"/>
  <c i="18" r="H45" s="1"/>
  <c i="17" r="K46"/>
  <c i="18" r="K45" s="1"/>
  <c i="17" r="C46"/>
  <c i="18" r="C45" s="1"/>
  <c i="17" r="D46"/>
  <c i="18" r="D45" s="1"/>
  <c i="17" r="F46"/>
  <c i="18" r="F45" s="1"/>
  <c i="17" r="W46"/>
  <c i="18" r="W45" s="1"/>
  <c i="17" r="M46"/>
  <c i="18" r="M45" s="1"/>
  <c i="17" r="P46"/>
  <c i="18" r="P45" s="1"/>
  <c i="17" r="N46"/>
  <c i="18" r="N45" s="1"/>
  <c i="17" r="T46"/>
  <c i="18" r="T45" s="1"/>
  <c i="17" r="L46"/>
  <c i="18" r="L45" s="1"/>
  <c i="17" r="X46"/>
  <c i="17" r="S46"/>
  <c i="18" r="S45" s="1"/>
  <c i="17" r="R46"/>
  <c i="18" r="R45" s="1"/>
  <c i="17" r="G46"/>
  <c i="18" r="G45" s="1"/>
  <c i="17" r="I46"/>
  <c i="18" r="I45" s="1"/>
  <c i="17" r="J46"/>
  <c i="18" r="J45" s="1"/>
  <c i="17" r="Q46"/>
  <c i="18" r="Q45" s="1"/>
  <c i="17" r="O46"/>
  <c i="18" r="O45" s="1"/>
  <c i="17" r="U46"/>
  <c i="18" r="U45" s="1"/>
  <c i="1" r="AB52"/>
  <c i="17" r="H49"/>
  <c i="18" r="H48" s="1"/>
  <c i="17" r="J49"/>
  <c i="18" r="J48" s="1"/>
  <c i="17" r="K49"/>
  <c i="18" r="K48" s="1"/>
  <c i="17" r="N49"/>
  <c i="18" r="N48" s="1"/>
  <c i="17" r="D49"/>
  <c i="18" r="D48" s="1"/>
  <c i="17" r="I49"/>
  <c i="18" r="I48" s="1"/>
  <c i="17" r="L49"/>
  <c i="18" r="L48" s="1"/>
  <c i="17" r="X49"/>
  <c i="17" r="W49"/>
  <c i="18" r="W48" s="1"/>
  <c i="17" r="M49"/>
  <c i="18" r="M48" s="1"/>
  <c i="17" r="F49"/>
  <c i="18" r="F48" s="1"/>
  <c i="17" r="G49"/>
  <c i="18" r="G48" s="1"/>
  <c i="17" r="P49"/>
  <c i="18" r="P48" s="1"/>
  <c i="17" r="U49"/>
  <c i="18" r="U48" s="1"/>
  <c i="17" r="Q49"/>
  <c i="18" r="Q48" s="1"/>
  <c i="17" r="R49"/>
  <c i="18" r="R48" s="1"/>
  <c i="17" r="O49"/>
  <c i="18" r="O48" s="1"/>
  <c i="17" r="E49"/>
  <c i="18" r="E48" s="1"/>
  <c i="17" r="C49"/>
  <c i="18" r="C48" s="1"/>
  <c i="17" r="S49"/>
  <c i="18" r="S48" s="1"/>
  <c i="17" r="V49"/>
  <c i="18" r="V48" s="1"/>
  <c i="17" r="T49"/>
  <c i="18" r="T48" s="1"/>
  <c i="1" r="AF48"/>
  <c i="17" r="G45"/>
  <c i="18" r="G44" s="1"/>
  <c i="17" r="I45"/>
  <c i="18" r="I44" s="1"/>
  <c i="17" r="F45"/>
  <c i="18" r="F44" s="1"/>
  <c i="17" r="C45"/>
  <c i="18" r="C44" s="1"/>
  <c i="17" r="H45"/>
  <c i="18" r="H44" s="1"/>
  <c i="17" r="D45"/>
  <c i="18" r="D44" s="1"/>
  <c i="17" r="E45"/>
  <c i="18" r="E44" s="1"/>
  <c i="17" r="P45"/>
  <c i="18" r="P44" s="1"/>
  <c i="17" r="U45"/>
  <c i="18" r="U44" s="1"/>
  <c i="17" r="X45"/>
  <c i="17" r="S45"/>
  <c i="18" r="S44" s="1"/>
  <c i="17" r="T45"/>
  <c i="18" r="T44" s="1"/>
  <c i="17" r="V45"/>
  <c i="18" r="V44" s="1"/>
  <c i="17" r="K45"/>
  <c i="18" r="K44" s="1"/>
  <c i="17" r="L45"/>
  <c i="18" r="L44" s="1"/>
  <c i="17" r="O45"/>
  <c i="18" r="O44" s="1"/>
  <c i="17" r="N45"/>
  <c i="18" r="N44" s="1"/>
  <c i="17" r="M45"/>
  <c i="18" r="M44" s="1"/>
  <c i="17" r="R45"/>
  <c i="18" r="R44" s="1"/>
  <c i="17" r="J45"/>
  <c i="18" r="J44" s="1"/>
  <c i="17" r="W45"/>
  <c i="18" r="W44" s="1"/>
  <c i="17" r="Q45"/>
  <c i="18" r="Q44" s="1"/>
  <c i="1" r="AB51"/>
  <c i="17" r="J48"/>
  <c i="18" r="J47" s="1"/>
  <c i="17" r="G48"/>
  <c i="18" r="G47" s="1"/>
  <c i="17" r="C48"/>
  <c i="18" r="C47" s="1"/>
  <c i="17" r="K48"/>
  <c i="18" r="K47" s="1"/>
  <c i="17" r="H48"/>
  <c i="18" r="H47" s="1"/>
  <c i="17" r="D48"/>
  <c i="18" r="D47" s="1"/>
  <c i="17" r="E48"/>
  <c i="18" r="E47" s="1"/>
  <c i="17" r="I48"/>
  <c i="18" r="I47" s="1"/>
  <c i="17" r="L48"/>
  <c i="18" r="L47" s="1"/>
  <c i="17" r="M48"/>
  <c i="18" r="M47" s="1"/>
  <c i="17" r="F48"/>
  <c i="18" r="F47" s="1"/>
  <c i="17" r="U48"/>
  <c i="18" r="U47" s="1"/>
  <c i="17" r="T48"/>
  <c i="18" r="T47" s="1"/>
  <c i="17" r="N48"/>
  <c i="18" r="N47" s="1"/>
  <c i="17" r="S48"/>
  <c i="18" r="S47" s="1"/>
  <c i="17" r="R48"/>
  <c i="18" r="R47" s="1"/>
  <c i="17" r="V48"/>
  <c i="18" r="V47" s="1"/>
  <c i="17" r="Q48"/>
  <c i="18" r="Q47" s="1"/>
  <c i="17" r="O48"/>
  <c i="18" r="O47" s="1"/>
  <c i="17" r="P48"/>
  <c i="18" r="P47" s="1"/>
  <c i="17" r="W48"/>
  <c i="18" r="W47" s="1"/>
  <c i="17" r="X48"/>
  <c i="1" r="AE50"/>
  <c i="17" r="L47"/>
  <c i="18" r="L46" s="1"/>
  <c i="17" r="O47"/>
  <c i="18" r="O46" s="1"/>
  <c i="17" r="M47"/>
  <c i="18" r="M46" s="1"/>
  <c i="17" r="X47"/>
  <c i="17" r="R47"/>
  <c i="18" r="R46" s="1"/>
  <c i="17" r="N47"/>
  <c i="18" r="N46" s="1"/>
  <c i="17" r="U47"/>
  <c i="18" r="U46" s="1"/>
  <c i="17" r="T47"/>
  <c i="18" r="T46" s="1"/>
  <c i="17" r="V47"/>
  <c i="18" r="V46" s="1"/>
  <c i="17" r="F47"/>
  <c i="18" r="F46" s="1"/>
  <c i="17" r="S47"/>
  <c i="18" r="S46" s="1"/>
  <c i="17" r="D47"/>
  <c i="18" r="D46" s="1"/>
  <c i="17" r="H47"/>
  <c i="18" r="H46" s="1"/>
  <c i="17" r="K47"/>
  <c i="18" r="K46" s="1"/>
  <c i="17" r="Q47"/>
  <c i="18" r="Q46" s="1"/>
  <c i="17" r="P47"/>
  <c i="18" r="P46" s="1"/>
  <c i="17" r="C47"/>
  <c i="18" r="C46" s="1"/>
  <c i="17" r="G47"/>
  <c i="18" r="G46" s="1"/>
  <c i="17" r="J47"/>
  <c i="18" r="J46" s="1"/>
  <c i="17" r="W47"/>
  <c i="18" r="W46" s="1"/>
  <c i="17" r="E47"/>
  <c i="18" r="E46" s="1"/>
  <c i="17" r="I47"/>
  <c i="18" r="I46" s="1"/>
  <c i="1" r="AT34"/>
  <c i="17" r="P31"/>
  <c i="18" r="P30" s="1"/>
  <c i="17" r="I31"/>
  <c i="18" r="I30" s="1"/>
  <c i="17" r="G31"/>
  <c i="18" r="G30" s="1"/>
  <c i="17" r="H31"/>
  <c i="18" r="H30" s="1"/>
  <c i="17" r="L31"/>
  <c i="18" r="L30" s="1"/>
  <c i="17" r="J31"/>
  <c i="18" r="J30" s="1"/>
  <c i="17" r="O31"/>
  <c i="18" r="O30" s="1"/>
  <c i="17" r="N31"/>
  <c i="18" r="N30" s="1"/>
  <c i="17" r="Q31"/>
  <c i="18" r="Q30" s="1"/>
  <c i="17" r="M31"/>
  <c i="18" r="M30" s="1"/>
  <c i="17" r="K31"/>
  <c i="18" r="K30" s="1"/>
  <c i="17" r="V31"/>
  <c i="18" r="V30" s="1"/>
  <c i="17" r="C31"/>
  <c i="18" r="C30" s="1"/>
  <c i="17" r="S31"/>
  <c i="18" r="S30" s="1"/>
  <c i="17" r="F31"/>
  <c i="18" r="F30" s="1"/>
  <c i="17" r="X31"/>
  <c i="17" r="R31"/>
  <c i="18" r="R30" s="1"/>
  <c i="17" r="E31"/>
  <c i="18" r="E30" s="1"/>
  <c i="17" r="U31"/>
  <c i="18" r="U30" s="1"/>
  <c i="17" r="T31"/>
  <c i="18" r="T30" s="1"/>
  <c i="17" r="D31"/>
  <c i="18" r="D30" s="1"/>
  <c i="17" r="W31"/>
  <c i="18" r="W30" s="1"/>
  <c i="1" r="AA35"/>
  <c i="17" r="G32"/>
  <c i="18" r="G31" s="1"/>
  <c i="17" r="L32"/>
  <c i="18" r="L31" s="1"/>
  <c i="17" r="O32"/>
  <c i="18" r="O31" s="1"/>
  <c i="17" r="D32"/>
  <c i="18" r="D31" s="1"/>
  <c i="17" r="M32"/>
  <c i="18" r="M31" s="1"/>
  <c i="17" r="R32"/>
  <c i="18" r="R31" s="1"/>
  <c i="17" r="X32"/>
  <c i="17" r="F32"/>
  <c i="18" r="F31" s="1"/>
  <c i="17" r="P32"/>
  <c i="18" r="P31" s="1"/>
  <c i="17" r="S32"/>
  <c i="18" r="S31" s="1"/>
  <c i="17" r="C32"/>
  <c i="18" r="C31" s="1"/>
  <c i="17" r="H32"/>
  <c i="18" r="H31" s="1"/>
  <c i="17" r="K32"/>
  <c i="18" r="K31" s="1"/>
  <c i="17" r="N32"/>
  <c i="18" r="N31" s="1"/>
  <c i="17" r="V32"/>
  <c i="18" r="V31" s="1"/>
  <c i="17" r="E32"/>
  <c i="18" r="E31" s="1"/>
  <c i="17" r="I32"/>
  <c i="18" r="I31" s="1"/>
  <c i="17" r="Q32"/>
  <c i="18" r="Q31" s="1"/>
  <c i="17" r="U32"/>
  <c i="18" r="U31" s="1"/>
  <c i="17" r="J32"/>
  <c i="18" r="J31" s="1"/>
  <c i="17" r="W32"/>
  <c i="18" r="W31" s="1"/>
  <c i="17" r="T32"/>
  <c i="18" r="T31" s="1"/>
  <c i="1" r="AR36"/>
  <c i="17" r="U33"/>
  <c i="18" r="U32" s="1"/>
  <c i="17" r="F33"/>
  <c i="18" r="F32" s="1"/>
  <c i="17" r="S33"/>
  <c i="18" r="S32" s="1"/>
  <c i="17" r="C33"/>
  <c i="18" r="C32" s="1"/>
  <c i="17" r="T33"/>
  <c i="18" r="T32" s="1"/>
  <c i="17" r="O33"/>
  <c i="18" r="O32" s="1"/>
  <c i="17" r="G33"/>
  <c i="18" r="G32" s="1"/>
  <c i="17" r="R33"/>
  <c i="18" r="R32" s="1"/>
  <c i="17" r="J33"/>
  <c i="18" r="J32" s="1"/>
  <c i="17" r="M33"/>
  <c i="18" r="M32" s="1"/>
  <c i="17" r="W33"/>
  <c i="18" r="W32" s="1"/>
  <c i="17" r="H33"/>
  <c i="18" r="H32" s="1"/>
  <c i="17" r="N33"/>
  <c i="18" r="N32" s="1"/>
  <c i="17" r="Q33"/>
  <c i="18" r="Q32" s="1"/>
  <c i="17" r="I33"/>
  <c i="18" r="I32" s="1"/>
  <c i="17" r="K33"/>
  <c i="18" r="K32" s="1"/>
  <c i="17" r="E33"/>
  <c i="18" r="E32" s="1"/>
  <c i="17" r="P33"/>
  <c i="18" r="P32" s="1"/>
  <c i="17" r="X33"/>
  <c i="17" r="L33"/>
  <c i="18" r="L32" s="1"/>
  <c i="17" r="V33"/>
  <c i="18" r="V32" s="1"/>
  <c i="17" r="D33"/>
  <c i="18" r="D32" s="1"/>
  <c i="1" r="AI46"/>
  <c i="17" r="Q43"/>
  <c i="18" r="Q42" s="1"/>
  <c i="17" r="V43"/>
  <c i="18" r="V42" s="1"/>
  <c i="17" r="L43"/>
  <c i="18" r="L42" s="1"/>
  <c i="17" r="X43"/>
  <c i="17" r="M43"/>
  <c i="18" r="M42" s="1"/>
  <c i="17" r="C43"/>
  <c i="18" r="C42" s="1"/>
  <c i="17" r="E43"/>
  <c i="18" r="E42" s="1"/>
  <c i="17" r="T43"/>
  <c i="18" r="T42" s="1"/>
  <c i="17" r="G43"/>
  <c i="18" r="G42" s="1"/>
  <c i="17" r="W43"/>
  <c i="18" r="W42" s="1"/>
  <c i="17" r="P43"/>
  <c i="18" r="P42" s="1"/>
  <c i="17" r="N43"/>
  <c i="18" r="N42" s="1"/>
  <c i="17" r="R43"/>
  <c i="18" r="R42" s="1"/>
  <c i="17" r="K43"/>
  <c i="18" r="K42" s="1"/>
  <c i="17" r="I43"/>
  <c i="18" r="I42" s="1"/>
  <c i="17" r="F43"/>
  <c i="18" r="F42" s="1"/>
  <c i="17" r="O43"/>
  <c i="18" r="O42" s="1"/>
  <c i="17" r="S43"/>
  <c i="18" r="S42" s="1"/>
  <c i="17" r="D43"/>
  <c i="18" r="D42" s="1"/>
  <c i="17" r="H43"/>
  <c i="18" r="H42" s="1"/>
  <c i="17" r="J43"/>
  <c i="18" r="J42" s="1"/>
  <c i="17" r="U43"/>
  <c i="18" r="U42" s="1"/>
  <c i="1" r="AE37"/>
  <c i="17" r="K34"/>
  <c i="18" r="K33" s="1"/>
  <c i="17" r="D34"/>
  <c i="18" r="D33" s="1"/>
  <c i="17" r="E34"/>
  <c i="18" r="E33" s="1"/>
  <c i="17" r="L34"/>
  <c i="18" r="L33" s="1"/>
  <c i="17" r="F34"/>
  <c i="18" r="F33" s="1"/>
  <c i="17" r="G34"/>
  <c i="18" r="G33" s="1"/>
  <c i="17" r="H34"/>
  <c i="18" r="H33" s="1"/>
  <c i="17" r="I34"/>
  <c i="18" r="I33" s="1"/>
  <c i="17" r="J34"/>
  <c i="18" r="J33" s="1"/>
  <c i="17" r="N34"/>
  <c i="18" r="N33" s="1"/>
  <c i="17" r="R34"/>
  <c i="18" r="R33" s="1"/>
  <c i="17" r="T34"/>
  <c i="18" r="T33" s="1"/>
  <c i="17" r="O34"/>
  <c i="18" r="O33" s="1"/>
  <c i="17" r="Q34"/>
  <c i="18" r="Q33" s="1"/>
  <c i="17" r="V34"/>
  <c i="18" r="V33" s="1"/>
  <c i="17" r="U34"/>
  <c i="18" r="U33" s="1"/>
  <c i="17" r="X34"/>
  <c i="17" r="P34"/>
  <c i="18" r="P33" s="1"/>
  <c i="17" r="C34"/>
  <c i="18" r="C33" s="1"/>
  <c i="17" r="W34"/>
  <c i="18" r="W33" s="1"/>
  <c i="17" r="M34"/>
  <c i="18" r="M33" s="1"/>
  <c i="17" r="S34"/>
  <c i="18" r="S33" s="1"/>
  <c i="1" r="AM38"/>
  <c i="17" r="V35"/>
  <c i="18" r="V34" s="1"/>
  <c i="17" r="W35"/>
  <c i="18" r="W34" s="1"/>
  <c i="17" r="X35"/>
  <c i="17" r="I35"/>
  <c i="18" r="I34" s="1"/>
  <c i="17" r="O35"/>
  <c i="18" r="O34" s="1"/>
  <c i="17" r="K35"/>
  <c i="18" r="K34" s="1"/>
  <c i="17" r="C35"/>
  <c i="18" r="C34" s="1"/>
  <c i="17" r="U35"/>
  <c i="18" r="U34" s="1"/>
  <c i="17" r="H35"/>
  <c i="18" r="H34" s="1"/>
  <c i="17" r="N35"/>
  <c i="18" r="N34" s="1"/>
  <c i="17" r="J35"/>
  <c i="18" r="J34" s="1"/>
  <c i="17" r="R35"/>
  <c i="18" r="R34" s="1"/>
  <c i="17" r="F35"/>
  <c i="18" r="F34" s="1"/>
  <c i="17" r="G35"/>
  <c i="18" r="G34" s="1"/>
  <c i="17" r="T35"/>
  <c i="18" r="T34" s="1"/>
  <c i="17" r="S35"/>
  <c i="18" r="S34" s="1"/>
  <c i="17" r="M35"/>
  <c i="18" r="M34" s="1"/>
  <c i="17" r="L35"/>
  <c i="18" r="L34" s="1"/>
  <c i="17" r="P35"/>
  <c i="18" r="P34" s="1"/>
  <c i="17" r="E35"/>
  <c i="18" r="E34" s="1"/>
  <c i="17" r="D35"/>
  <c i="18" r="D34" s="1"/>
  <c i="17" r="Q35"/>
  <c i="18" r="Q34" s="1"/>
  <c i="1" r="Z39"/>
  <c i="17" r="E36"/>
  <c i="18" r="E35" s="1"/>
  <c i="17" r="G36"/>
  <c i="18" r="G35" s="1"/>
  <c i="17" r="D36"/>
  <c i="18" r="D35" s="1"/>
  <c i="17" r="C36"/>
  <c i="18" r="C35" s="1"/>
  <c i="17" r="F36"/>
  <c i="18" r="F35" s="1"/>
  <c i="17" r="H36"/>
  <c i="18" r="H35" s="1"/>
  <c i="17" r="Q36"/>
  <c i="18" r="Q35" s="1"/>
  <c i="17" r="K36"/>
  <c i="18" r="K35" s="1"/>
  <c i="17" r="O36"/>
  <c i="18" r="O35" s="1"/>
  <c i="17" r="N36"/>
  <c i="18" r="N35" s="1"/>
  <c i="17" r="P36"/>
  <c i="18" r="P35" s="1"/>
  <c i="17" r="M36"/>
  <c i="18" r="M35" s="1"/>
  <c i="17" r="R36"/>
  <c i="18" r="R35" s="1"/>
  <c i="17" r="X36"/>
  <c i="17" r="T36"/>
  <c i="18" r="T35" s="1"/>
  <c i="17" r="L36"/>
  <c i="18" r="L35" s="1"/>
  <c i="17" r="J36"/>
  <c i="18" r="J35" s="1"/>
  <c i="17" r="W36"/>
  <c i="18" r="W35" s="1"/>
  <c i="17" r="I36"/>
  <c i="18" r="I35" s="1"/>
  <c i="17" r="V36"/>
  <c i="18" r="V35" s="1"/>
  <c i="17" r="S36"/>
  <c i="18" r="S35" s="1"/>
  <c i="17" r="U36"/>
  <c i="18" r="U35" s="1"/>
  <c i="1" r="AJ45"/>
  <c i="17" r="R42"/>
  <c i="18" r="R41" s="1"/>
  <c i="17" r="P42"/>
  <c i="18" r="P41" s="1"/>
  <c i="17" r="S42"/>
  <c i="18" r="S41" s="1"/>
  <c i="17" r="Q42"/>
  <c i="18" r="Q41" s="1"/>
  <c i="17" r="X42"/>
  <c i="17" r="U42"/>
  <c i="18" r="U41" s="1"/>
  <c i="17" r="D42"/>
  <c i="18" r="D41" s="1"/>
  <c i="17" r="T42"/>
  <c i="18" r="T41" s="1"/>
  <c i="17" r="N42"/>
  <c i="18" r="N41" s="1"/>
  <c i="17" r="M42"/>
  <c i="18" r="M41" s="1"/>
  <c i="17" r="L42"/>
  <c i="18" r="L41" s="1"/>
  <c i="17" r="E42"/>
  <c i="18" r="E41" s="1"/>
  <c i="17" r="H42"/>
  <c i="18" r="H41" s="1"/>
  <c i="17" r="I42"/>
  <c i="18" r="I41" s="1"/>
  <c i="17" r="G42"/>
  <c i="18" r="G41" s="1"/>
  <c i="17" r="F42"/>
  <c i="18" r="F41" s="1"/>
  <c i="17" r="K42"/>
  <c i="18" r="K41" s="1"/>
  <c i="17" r="O42"/>
  <c i="18" r="O41" s="1"/>
  <c i="17" r="W42"/>
  <c i="18" r="W41" s="1"/>
  <c i="17" r="J42"/>
  <c i="18" r="J41" s="1"/>
  <c i="17" r="V42"/>
  <c i="18" r="V41" s="1"/>
  <c i="17" r="C42"/>
  <c i="18" r="C41" s="1"/>
  <c i="1" r="AS53"/>
  <c i="17" r="K50"/>
  <c i="18" r="K49" s="1"/>
  <c i="17" r="M50"/>
  <c i="18" r="M49" s="1"/>
  <c i="17" r="J50"/>
  <c i="18" r="J49" s="1"/>
  <c i="17" r="L50"/>
  <c i="18" r="L49" s="1"/>
  <c i="17" r="P50"/>
  <c i="18" r="P49" s="1"/>
  <c i="17" r="S50"/>
  <c i="18" r="S49" s="1"/>
  <c i="17" r="O50"/>
  <c i="18" r="O49" s="1"/>
  <c i="17" r="Q50"/>
  <c i="18" r="Q49" s="1"/>
  <c i="17" r="R50"/>
  <c i="18" r="R49" s="1"/>
  <c i="17" r="N50"/>
  <c i="18" r="N49" s="1"/>
  <c i="17" r="T50"/>
  <c i="18" r="T49" s="1"/>
  <c i="17" r="V50"/>
  <c i="18" r="V49" s="1"/>
  <c i="17" r="U50"/>
  <c i="18" r="U49" s="1"/>
  <c i="17" r="E50"/>
  <c i="18" r="E49" s="1"/>
  <c i="17" r="I50"/>
  <c i="18" r="I49" s="1"/>
  <c i="17" r="C50"/>
  <c i="18" r="C49" s="1"/>
  <c i="17" r="F50"/>
  <c i="18" r="F49" s="1"/>
  <c i="17" r="H50"/>
  <c i="18" r="H49" s="1"/>
  <c i="17" r="G50"/>
  <c i="18" r="G49" s="1"/>
  <c i="17" r="X50"/>
  <c i="17" r="D50"/>
  <c i="18" r="D49" s="1"/>
  <c i="17" r="W50"/>
  <c i="18" r="W49" s="1"/>
  <c i="1" r="Z40"/>
  <c i="17" r="K37"/>
  <c i="18" r="K36" s="1"/>
  <c i="17" r="W37"/>
  <c i="18" r="W36" s="1"/>
  <c i="17" r="H37"/>
  <c i="18" r="H36" s="1"/>
  <c i="17" r="Q37"/>
  <c i="18" r="Q36" s="1"/>
  <c i="17" r="P37"/>
  <c i="18" r="P36" s="1"/>
  <c i="17" r="J37"/>
  <c i="18" r="J36" s="1"/>
  <c i="17" r="N37"/>
  <c i="18" r="N36" s="1"/>
  <c i="17" r="L37"/>
  <c i="18" r="L36" s="1"/>
  <c i="17" r="E37"/>
  <c i="18" r="E36" s="1"/>
  <c i="17" r="I37"/>
  <c i="18" r="I36" s="1"/>
  <c i="17" r="F37"/>
  <c i="18" r="F36" s="1"/>
  <c i="17" r="U37"/>
  <c i="18" r="U36" s="1"/>
  <c i="17" r="X37"/>
  <c i="17" r="S37"/>
  <c i="18" r="S36" s="1"/>
  <c i="17" r="T37"/>
  <c i="18" r="T36" s="1"/>
  <c i="17" r="V37"/>
  <c i="18" r="V36" s="1"/>
  <c i="17" r="G37"/>
  <c i="18" r="G36" s="1"/>
  <c i="17" r="R37"/>
  <c i="18" r="R36" s="1"/>
  <c i="17" r="M37"/>
  <c i="18" r="M36" s="1"/>
  <c i="17" r="C37"/>
  <c i="18" r="C36" s="1"/>
  <c i="17" r="D37"/>
  <c i="18" r="D36" s="1"/>
  <c i="17" r="O37"/>
  <c i="18" r="O36" s="1"/>
  <c i="1" r="AS41"/>
  <c i="17" r="P38"/>
  <c i="18" r="P37" s="1"/>
  <c i="17" r="G38"/>
  <c i="18" r="G37" s="1"/>
  <c i="17" r="S38"/>
  <c i="18" r="S37" s="1"/>
  <c i="17" r="U38"/>
  <c i="18" r="U37" s="1"/>
  <c i="17" r="T38"/>
  <c i="18" r="T37" s="1"/>
  <c i="17" r="J38"/>
  <c i="18" r="J37" s="1"/>
  <c i="17" r="M38"/>
  <c i="18" r="M37" s="1"/>
  <c i="17" r="I38"/>
  <c i="18" r="I37" s="1"/>
  <c i="17" r="F38"/>
  <c i="18" r="F37" s="1"/>
  <c i="17" r="C38"/>
  <c i="18" r="C37" s="1"/>
  <c i="17" r="R38"/>
  <c i="18" r="R37" s="1"/>
  <c i="17" r="W38"/>
  <c i="18" r="W37" s="1"/>
  <c i="17" r="V38"/>
  <c i="18" r="V37" s="1"/>
  <c i="17" r="L38"/>
  <c i="18" r="L37" s="1"/>
  <c i="17" r="O38"/>
  <c i="18" r="O37" s="1"/>
  <c i="17" r="H38"/>
  <c i="18" r="H37" s="1"/>
  <c i="17" r="N38"/>
  <c i="18" r="N37" s="1"/>
  <c i="17" r="X38"/>
  <c i="17" r="D38"/>
  <c i="18" r="D37" s="1"/>
  <c i="17" r="K38"/>
  <c i="18" r="K37" s="1"/>
  <c i="17" r="E38"/>
  <c i="18" r="E37" s="1"/>
  <c i="17" r="Q38"/>
  <c i="18" r="Q37" s="1"/>
  <c i="1" r="AM42"/>
  <c i="17" r="G39"/>
  <c i="18" r="G38" s="1"/>
  <c i="17" r="C39"/>
  <c i="18" r="C38" s="1"/>
  <c i="17" r="L39"/>
  <c i="18" r="L38" s="1"/>
  <c i="17" r="I39"/>
  <c i="18" r="I38" s="1"/>
  <c i="17" r="N39"/>
  <c i="18" r="N38" s="1"/>
  <c i="17" r="O39"/>
  <c i="18" r="O38" s="1"/>
  <c i="17" r="S39"/>
  <c i="18" r="S38" s="1"/>
  <c i="17" r="F39"/>
  <c i="18" r="F38" s="1"/>
  <c i="17" r="H39"/>
  <c i="18" r="H38" s="1"/>
  <c i="17" r="D39"/>
  <c i="18" r="D38" s="1"/>
  <c i="17" r="V39"/>
  <c i="18" r="V38" s="1"/>
  <c i="17" r="X39"/>
  <c i="17" r="Q39"/>
  <c i="18" r="Q38" s="1"/>
  <c i="17" r="E39"/>
  <c i="18" r="E38" s="1"/>
  <c i="17" r="M39"/>
  <c i="18" r="M38" s="1"/>
  <c i="17" r="T39"/>
  <c i="18" r="T38" s="1"/>
  <c i="17" r="R39"/>
  <c i="18" r="R38" s="1"/>
  <c i="17" r="W39"/>
  <c i="18" r="W38" s="1"/>
  <c i="17" r="K39"/>
  <c i="18" r="K38" s="1"/>
  <c i="17" r="J39"/>
  <c i="18" r="J38" s="1"/>
  <c i="17" r="P39"/>
  <c i="18" r="P38" s="1"/>
  <c i="17" r="U39"/>
  <c i="18" r="U38" s="1"/>
  <c i="1" r="AT43"/>
  <c i="17" r="K40"/>
  <c i="18" r="K39" s="1"/>
  <c i="17" r="T40"/>
  <c i="18" r="T39" s="1"/>
  <c i="17" r="V40"/>
  <c i="18" r="V39" s="1"/>
  <c i="17" r="N40"/>
  <c i="18" r="N39" s="1"/>
  <c i="17" r="P40"/>
  <c i="18" r="P39" s="1"/>
  <c i="17" r="F40"/>
  <c i="18" r="F39" s="1"/>
  <c i="17" r="I40"/>
  <c i="18" r="I39" s="1"/>
  <c i="17" r="S40"/>
  <c i="18" r="S39" s="1"/>
  <c i="17" r="L40"/>
  <c i="18" r="L39" s="1"/>
  <c i="17" r="E40"/>
  <c i="18" r="E39" s="1"/>
  <c i="17" r="W40"/>
  <c i="18" r="W39" s="1"/>
  <c i="17" r="O40"/>
  <c i="18" r="O39" s="1"/>
  <c i="17" r="H40"/>
  <c i="18" r="H39" s="1"/>
  <c i="17" r="X40"/>
  <c i="17" r="G40"/>
  <c i="18" r="G39" s="1"/>
  <c i="17" r="C40"/>
  <c i="18" r="C39" s="1"/>
  <c i="17" r="J40"/>
  <c i="18" r="J39" s="1"/>
  <c i="17" r="D40"/>
  <c i="18" r="D39" s="1"/>
  <c i="17" r="Q40"/>
  <c i="18" r="Q39" s="1"/>
  <c i="17" r="U40"/>
  <c i="18" r="U39" s="1"/>
  <c i="17" r="M40"/>
  <c i="18" r="M39" s="1"/>
  <c i="17" r="R40"/>
  <c i="18" r="R39" s="1"/>
  <c i="1" r="AO44"/>
  <c i="17" r="U41"/>
  <c i="18" r="U40" s="1"/>
  <c i="17" r="W41"/>
  <c i="18" r="W40" s="1"/>
  <c i="17" r="F41"/>
  <c i="18" r="F40" s="1"/>
  <c i="17" r="J41"/>
  <c i="18" r="J40" s="1"/>
  <c i="17" r="X41"/>
  <c i="17" r="R41"/>
  <c i="18" r="R40" s="1"/>
  <c i="17" r="O41"/>
  <c i="18" r="O40" s="1"/>
  <c i="17" r="P41"/>
  <c i="18" r="P40" s="1"/>
  <c i="17" r="C41"/>
  <c i="18" r="C40" s="1"/>
  <c i="17" r="T41"/>
  <c i="18" r="T40" s="1"/>
  <c i="17" r="L41"/>
  <c i="18" r="L40" s="1"/>
  <c i="17" r="S41"/>
  <c i="18" r="S40" s="1"/>
  <c i="17" r="V41"/>
  <c i="18" r="V40" s="1"/>
  <c i="17" r="D41"/>
  <c i="18" r="D40" s="1"/>
  <c i="17" r="G41"/>
  <c i="18" r="G40" s="1"/>
  <c i="17" r="N41"/>
  <c i="18" r="N40" s="1"/>
  <c i="17" r="M41"/>
  <c i="18" r="M40" s="1"/>
  <c i="17" r="H41"/>
  <c i="18" r="H40" s="1"/>
  <c i="17" r="I41"/>
  <c i="18" r="I40" s="1"/>
  <c i="17" r="K41"/>
  <c i="18" r="K40" s="1"/>
  <c i="17" r="E41"/>
  <c i="18" r="E40" s="1"/>
  <c i="17" r="Q41"/>
  <c i="18" r="Q40" s="1"/>
  <c i="1" r="AE49"/>
  <c i="1" r="AM47"/>
  <c i="1" r="AJ49"/>
  <c i="1" r="AS43"/>
  <c i="1" r="AQ45"/>
  <c i="1" r="AN47"/>
  <c i="1" r="AK49"/>
  <c i="1" r="AM49"/>
  <c i="1" r="AC48"/>
  <c i="1" r="AB35"/>
  <c i="1" r="AQ38"/>
  <c i="1" r="AG46"/>
  <c i="1" r="AD48"/>
  <c i="1" r="AT36"/>
  <c i="1" r="AK42"/>
  <c i="1" r="AI44"/>
  <c i="1" r="AR45"/>
  <c i="1" r="AO47"/>
  <c i="1" r="AE40"/>
  <c i="1" r="AH46"/>
  <c i="1" r="AM43"/>
  <c i="1" r="AB42"/>
  <c i="1" r="AE48"/>
  <c i="1" r="AK45"/>
  <c i="18" r="V24" s="1"/>
  <c i="1" r="AS45"/>
  <c i="1" r="AT38"/>
  <c i="1" r="AH47"/>
  <c i="1" r="AP47"/>
  <c i="1" r="AQ40"/>
  <c i="1" r="AN42"/>
  <c i="1" r="AL36"/>
  <c i="1" r="AL44"/>
  <c i="1" r="AQ34"/>
  <c i="1" r="AF40"/>
  <c i="1" r="AJ46"/>
  <c i="1" r="AD36"/>
  <c i="1" r="AC42"/>
  <c i="1" r="AG48"/>
  <c i="1" r="AT39"/>
  <c i="1" r="AA44"/>
  <c i="1" r="AF35"/>
  <c i="1" r="AQ41"/>
  <c i="1" r="AT45"/>
  <c i="1" r="AC37"/>
  <c i="1" r="AL45"/>
  <c i="1" r="AQ47"/>
  <c i="1" r="AR40"/>
  <c i="1" r="AI47"/>
  <c i="1" r="AN49"/>
  <c i="1" r="AK46"/>
  <c i="1" r="AF49"/>
  <c i="1" r="AR47"/>
  <c i="1" r="AH48"/>
  <c i="1" r="AO49"/>
  <c i="1" r="AU54"/>
  <c i="1" r="AO43"/>
  <c i="1" r="AA46"/>
  <c i="1" r="AD37"/>
  <c i="1" r="AM45"/>
  <c i="1" r="AS47"/>
  <c i="1" r="AA39"/>
  <c i="1" r="AJ47"/>
  <c i="1" r="AP49"/>
  <c i="1" r="AG49"/>
  <c i="1" r="AD44"/>
  <c i="1" r="AG50"/>
  <c i="1" r="AN45"/>
  <c i="1" r="AB46"/>
  <c i="1" r="AD52"/>
  <c i="1" r="AK47"/>
  <c i="1" r="AT47"/>
  <c i="1" r="AD38"/>
  <c i="1" r="AQ49"/>
  <c i="1" r="AI35"/>
  <c i="1" r="J49"/>
  <c i="1" r="AA40"/>
  <c i="1" r="AP36"/>
  <c i="1" r="AF37"/>
  <c i="1" r="AT41"/>
  <c i="1" r="AC39"/>
  <c i="1" r="CA42"/>
  <c i="18" r="G24" s="1"/>
  <c i="1" r="AQ43"/>
  <c i="1" r="AG42"/>
  <c i="1" r="Z41"/>
  <c i="1" r="D38"/>
  <c i="1" r="AO45"/>
  <c i="1" r="AE44"/>
  <c i="1" r="AR42"/>
  <c i="1" r="AL47"/>
  <c i="1" r="AC46"/>
  <c i="1" r="AP44"/>
  <c i="1" r="T44"/>
  <c i="1" r="AI49"/>
  <c i="1" r="AR49"/>
  <c i="1" r="AN46"/>
  <c i="1" r="Z34"/>
  <c i="1" r="AD46"/>
  <c i="1" r="AK48"/>
  <c i="1" r="AH36"/>
  <c i="1" r="AA48"/>
  <c i="1" r="AB40"/>
  <c i="1" r="AS49"/>
  <c i="1" r="AR43"/>
  <c i="1" r="AH44"/>
  <c i="1" r="Z42"/>
  <c i="1" r="AP45"/>
  <c i="1" r="AF46"/>
  <c i="1" r="AB36"/>
  <c i="1" r="AD50"/>
  <c i="1" r="AF51"/>
  <c i="1" r="AA52"/>
  <c i="1" r="AA38"/>
  <c i="1" r="AD53"/>
  <c i="1" r="AI38"/>
  <c i="1" r="AJ40"/>
  <c i="1" r="AN40"/>
  <c i="1" r="AT53"/>
  <c i="1" r="AN43"/>
  <c i="1" r="AE38"/>
  <c i="1" r="AH50"/>
  <c i="1" r="AE52"/>
  <c i="1" r="AJ51"/>
  <c i="1" r="AO51"/>
  <c i="1" r="AA50"/>
  <c i="1" r="AO42"/>
  <c i="1" r="AM53"/>
  <c i="1" r="AS51"/>
  <c i="1" r="AM44"/>
  <c i="1" r="AA34"/>
  <c i="1" r="AN51"/>
  <c i="1" r="AC51"/>
  <c i="1" r="AK51"/>
  <c i="1" r="AQ36"/>
  <c i="1" r="AQ53"/>
  <c i="1" r="AB34"/>
  <c i="1" r="AA53"/>
  <c i="1" r="AI53"/>
  <c i="1" r="AN38"/>
  <c i="1" r="AC35"/>
  <c i="1" r="AO35"/>
  <c i="1" r="B51"/>
  <c i="1" r="Z51"/>
  <c i="1" r="AG51"/>
  <c i="1" r="AM36"/>
  <c i="1" r="AK40"/>
  <c i="1" r="AR38"/>
  <c i="1" r="AL37"/>
  <c i="1" r="AR34"/>
  <c i="1" r="AE53"/>
  <c i="1" r="AJ38"/>
  <c i="1" r="AH42"/>
  <c i="1" r="AO40"/>
  <c i="1" r="AP53"/>
  <c i="1" r="AE36"/>
  <c i="1" r="AI36"/>
  <c i="1" r="AG40"/>
  <c i="1" r="AF44"/>
  <c i="1" r="AL42"/>
  <c i="1" r="AQ35"/>
  <c i="1" r="AB38"/>
  <c i="1" r="AF38"/>
  <c i="1" r="AD42"/>
  <c i="1" r="AJ44"/>
  <c i="1" r="AC34"/>
  <c i="1" r="AA51"/>
  <c i="1" r="U50"/>
  <c i="1" r="AO50"/>
  <c i="1" r="AS50"/>
  <c i="1" r="AK50"/>
  <c i="1" r="AJ50"/>
  <c i="1" r="AM50"/>
  <c i="1" r="AQ50"/>
  <c i="1" r="AI50"/>
  <c i="1" r="AL50"/>
  <c i="1" r="AT50"/>
  <c i="1" r="AN50"/>
  <c i="1" r="AP50"/>
  <c i="1" r="AR50"/>
  <c i="1" r="AR41"/>
  <c i="1" r="AC40"/>
  <c i="1" r="AB44"/>
  <c i="1" r="AG35"/>
  <c i="1" r="R52"/>
  <c i="1" r="AP52"/>
  <c i="1" r="AG52"/>
  <c i="1" r="AN52"/>
  <c i="1" r="AJ52"/>
  <c i="1" r="AH52"/>
  <c i="1" r="AF52"/>
  <c i="1" r="AQ52"/>
  <c i="1" r="AL52"/>
  <c i="1" r="AR52"/>
  <c i="1" r="AI52"/>
  <c i="1" r="AS52"/>
  <c i="1" r="AK52"/>
  <c i="1" r="AM52"/>
  <c i="1" r="AO52"/>
  <c i="1" r="BX42"/>
  <c i="18" r="D24" s="1"/>
  <c i="1" r="AL51"/>
  <c i="1" r="AN53"/>
  <c i="1" r="AT51"/>
  <c i="1" r="AS40"/>
  <c i="1" r="Z53"/>
  <c i="1" r="AP51"/>
  <c i="1" r="AJ53"/>
  <c i="1" r="AR53"/>
  <c i="1" r="AP42"/>
  <c i="1" r="Z48"/>
  <c i="1" r="AB50"/>
  <c i="1" r="Z36"/>
  <c i="1" r="AA36"/>
  <c i="1" r="J54"/>
  <c i="1" r="AD51"/>
  <c i="1" r="AH51"/>
  <c i="1" r="AN36"/>
  <c i="1" r="AO38"/>
  <c i="1" r="AJ35"/>
  <c i="1" r="AN44"/>
  <c i="1" r="AL53"/>
  <c i="1" r="AB53"/>
  <c i="1" r="AF53"/>
  <c i="1" r="AK38"/>
  <c i="1" r="AL40"/>
  <c i="1" r="AD35"/>
  <c i="1" r="AL46"/>
  <c i="1" r="AL43"/>
  <c i="1" r="D54"/>
  <c i="1" r="AS34"/>
  <c i="1" r="AJ36"/>
  <c i="1" r="AH40"/>
  <c i="1" r="AI42"/>
  <c i="1" r="AA37"/>
  <c i="1" r="AI48"/>
  <c i="1" r="AT52"/>
  <c i="1" r="C39"/>
  <c i="1" r="AE39"/>
  <c i="1" r="AO39"/>
  <c i="1" r="AH39"/>
  <c i="1" r="AP39"/>
  <c i="1" r="AG39"/>
  <c i="1" r="AF39"/>
  <c i="1" r="AN39"/>
  <c i="1" r="AD39"/>
  <c i="1" r="AJ39"/>
  <c i="1" r="AI39"/>
  <c i="1" r="AQ39"/>
  <c i="1" r="AK39"/>
  <c i="1" r="AL39"/>
  <c i="1" r="AM39"/>
  <c i="1" r="AF36"/>
  <c i="1" r="AG38"/>
  <c i="1" r="AE42"/>
  <c i="1" r="AG44"/>
  <c i="1" r="AS38"/>
  <c i="1" r="AF50"/>
  <c i="1" r="Z46"/>
  <c i="1" r="AC38"/>
  <c i="1" r="AD40"/>
  <c i="1" r="AC44"/>
  <c i="1" r="AE46"/>
  <c i="1" r="AP40"/>
  <c i="1" r="AC52"/>
  <c i="1" r="Z37"/>
  <c i="1" r="AH53"/>
  <c i="1" r="AA42"/>
  <c i="1" r="AB48"/>
  <c i="1" r="AD49"/>
  <c i="1" r="AP43"/>
  <c i="1" r="AT49"/>
  <c i="1" r="AK44"/>
  <c i="1" r="AH35"/>
  <c i="1" r="Z44"/>
  <c i="1" r="AQ51"/>
  <c i="1" r="AR39"/>
  <c i="1" r="P41"/>
  <c i="1" r="AL41"/>
  <c i="1" r="AB41"/>
  <c i="1" r="AM41"/>
  <c i="1" r="AI41"/>
  <c i="1" r="AK41"/>
  <c i="1" r="AE41"/>
  <c i="1" r="AA41"/>
  <c i="1" r="AG41"/>
  <c i="1" r="AN41"/>
  <c i="1" r="AC41"/>
  <c i="1" r="AD41"/>
  <c i="1" r="AF41"/>
  <c i="1" r="AH41"/>
  <c i="1" r="AJ41"/>
  <c i="1" r="AM51"/>
  <c i="1" r="AO53"/>
  <c i="1" r="AB39"/>
  <c i="1" r="Z50"/>
  <c i="1" r="AR51"/>
  <c i="1" r="S44"/>
  <c i="1" r="J43"/>
  <c i="1" r="AJ43"/>
  <c i="1" r="AA43"/>
  <c i="1" r="AF43"/>
  <c i="1" r="AH43"/>
  <c i="1" r="Z43"/>
  <c i="1" r="AB43"/>
  <c i="1" r="AD43"/>
  <c i="1" r="AC43"/>
  <c i="1" r="AI43"/>
  <c i="1" r="AK43"/>
  <c i="1" r="AE43"/>
  <c i="1" r="AG43"/>
  <c i="1" r="AD45"/>
  <c i="1" r="AH45"/>
  <c i="1" r="Z45"/>
  <c i="1" r="AI45"/>
  <c i="1" r="AB45"/>
  <c i="1" r="AG45"/>
  <c i="1" r="AA45"/>
  <c i="1" r="AC45"/>
  <c i="1" r="AE45"/>
  <c i="1" r="AF45"/>
  <c i="1" r="CR9"/>
  <c i="1" r="AH49"/>
  <c i="1" r="AK53"/>
  <c i="1" r="AC50"/>
  <c i="1" r="AT40"/>
  <c i="1" r="AO41"/>
  <c i="1" r="U44"/>
  <c i="1" r="AS42"/>
  <c i="1" r="AT42"/>
  <c i="1" r="O44"/>
  <c i="1" r="AP46"/>
  <c i="1" r="AO46"/>
  <c i="1" r="AR46"/>
  <c i="1" r="AS46"/>
  <c i="1" r="AQ46"/>
  <c i="1" r="AT46"/>
  <c i="1" r="AE51"/>
  <c i="1" r="AI51"/>
  <c i="1" r="AO36"/>
  <c i="1" r="AS36"/>
  <c i="1" r="Z52"/>
  <c i="1" r="AQ42"/>
  <c i="1" r="Z38"/>
  <c i="1" r="AN35"/>
  <c i="1" r="AK35"/>
  <c i="1" r="AR35"/>
  <c i="1" r="AM35"/>
  <c i="1" r="AT35"/>
  <c i="1" r="AL35"/>
  <c i="1" r="AP35"/>
  <c i="1" r="AS35"/>
  <c i="1" r="AE47"/>
  <c i="1" r="AC47"/>
  <c i="1" r="AF47"/>
  <c i="1" r="AA47"/>
  <c i="1" r="AD47"/>
  <c i="1" r="Z47"/>
  <c i="1" r="AB47"/>
  <c i="1" r="AC36"/>
  <c i="1" r="AC53"/>
  <c i="1" r="AG53"/>
  <c i="1" r="AL38"/>
  <c i="1" r="AP38"/>
  <c i="1" r="AP34"/>
  <c i="1" r="P44"/>
  <c i="1" r="AR44"/>
  <c i="1" r="AT44"/>
  <c i="1" r="AQ44"/>
  <c i="1" r="AS44"/>
  <c i="1" r="AP48"/>
  <c i="1" r="AN48"/>
  <c i="1" r="AO48"/>
  <c i="1" r="AL48"/>
  <c i="1" r="AR48"/>
  <c i="1" r="AM48"/>
  <c i="1" r="AQ48"/>
  <c i="1" r="AT48"/>
  <c i="1" r="AS48"/>
  <c i="1" r="AS39"/>
  <c i="1" r="AK36"/>
  <c i="1" r="AI40"/>
  <c i="1" r="AM40"/>
  <c i="1" r="AE35"/>
  <c i="1" r="AM46"/>
  <c i="1" r="AJ34"/>
  <c i="1" r="AM34"/>
  <c i="1" r="AE34"/>
  <c i="1" r="AF34"/>
  <c i="1" r="AD34"/>
  <c i="1" r="AL34"/>
  <c i="1" r="AH34"/>
  <c i="1" r="AN34"/>
  <c i="1" r="AO34"/>
  <c i="1" r="AG34"/>
  <c i="1" r="AI34"/>
  <c i="1" r="AK34"/>
  <c i="1" r="W37"/>
  <c i="1" r="AM37"/>
  <c i="1" r="AK37"/>
  <c i="1" r="AS37"/>
  <c i="1" r="AH37"/>
  <c i="1" r="AQ37"/>
  <c i="1" r="AJ37"/>
  <c i="1" r="AI37"/>
  <c i="1" r="AG37"/>
  <c i="1" r="AO37"/>
  <c i="1" r="AR37"/>
  <c i="1" r="AN37"/>
  <c i="1" r="AT37"/>
  <c i="1" r="AP37"/>
  <c i="1" r="C49"/>
  <c i="1" r="AB49"/>
  <c i="1" r="AA49"/>
  <c i="1" r="Z49"/>
  <c i="1" r="AC49"/>
  <c i="1" r="AP41"/>
  <c i="1" r="AG36"/>
  <c i="1" r="AH38"/>
  <c i="1" r="AF42"/>
  <c i="1" r="AJ42"/>
  <c i="1" r="AB37"/>
  <c i="1" r="AJ48"/>
  <c i="1" r="Z35"/>
  <c i="1" r="R44"/>
  <c i="1" r="V43"/>
  <c i="1" r="U43"/>
  <c i="1" r="T43"/>
  <c i="1" r="S43"/>
  <c i="1" r="N43"/>
  <c i="1" r="M43"/>
  <c i="1" r="G39"/>
  <c i="1" r="F39"/>
  <c i="1" r="D39"/>
  <c i="1" r="G43"/>
  <c i="1" r="V37"/>
  <c i="1" r="G38"/>
  <c i="1" r="F43"/>
  <c i="1" r="E39"/>
  <c i="1" r="H38"/>
  <c i="1" r="P36"/>
  <c i="1" r="T41"/>
  <c i="1" r="O36"/>
  <c i="1" r="N36"/>
  <c i="1" r="M36"/>
  <c i="1" r="L36"/>
  <c i="1" r="C36"/>
  <c i="1" r="J36"/>
  <c i="1" r="B36"/>
  <c i="1" r="R34"/>
  <c i="1" r="BE55"/>
  <c i="1" r="CD14" s="1"/>
  <c i="1" r="CE29" s="1"/>
  <c i="1" r="I36"/>
  <c i="1" r="Q44"/>
  <c i="1" r="V41"/>
  <c i="1" r="H36"/>
  <c i="1" r="W43"/>
  <c i="1" r="U41"/>
  <c i="1" r="G36"/>
  <c i="1" r="E42"/>
  <c i="1" r="F36"/>
  <c i="1" r="BS42"/>
  <c i="1" r="W41"/>
  <c i="1" r="S41"/>
  <c i="1" r="E36"/>
  <c i="1" r="I40"/>
  <c i="1" r="R41"/>
  <c i="1" r="D36"/>
  <c i="1" r="B39"/>
  <c i="1" r="Q41"/>
  <c i="1" r="B37"/>
  <c i="1" r="O41"/>
  <c i="1" r="W35"/>
  <c i="1" r="Q36"/>
  <c i="1" r="N41"/>
  <c i="1" r="B35"/>
  <c i="1" r="M41"/>
  <c i="1" r="U35"/>
  <c i="1" r="K41"/>
  <c i="1" r="T35"/>
  <c i="1" r="F41"/>
  <c i="1" r="S35"/>
  <c i="1" r="U54"/>
  <c i="1" r="BF55"/>
  <c i="1" r="CE14" s="1"/>
  <c i="1" r="CE30" s="1"/>
  <c i="1" r="T54"/>
  <c i="1" r="B41"/>
  <c i="1" r="R35"/>
  <c i="1" r="S54"/>
  <c i="1" r="U40"/>
  <c i="1" r="Q35"/>
  <c i="1" r="R54"/>
  <c i="1" r="N39"/>
  <c i="1" r="P35"/>
  <c i="1" r="Q54"/>
  <c i="1" r="M39"/>
  <c i="1" r="O35"/>
  <c i="1" r="P54"/>
  <c i="1" r="L39"/>
  <c i="1" r="N35"/>
  <c i="1" r="O54"/>
  <c i="1" r="K39"/>
  <c i="1" r="L35"/>
  <c i="1" r="N54"/>
  <c i="1" r="J39"/>
  <c i="1" r="K35"/>
  <c i="1" r="C53"/>
  <c i="1" r="M38"/>
  <c i="1" r="M54"/>
  <c i="1" r="I39"/>
  <c i="1" r="L54"/>
  <c i="1" r="H39"/>
  <c i="1" r="D47"/>
  <c i="1" r="H47"/>
  <c i="1" r="W50"/>
  <c i="1" r="V50"/>
  <c i="1" r="R50"/>
  <c i="1" r="Q50"/>
  <c i="1" r="F47"/>
  <c i="1" r="I47"/>
  <c i="1" r="K50"/>
  <c i="1" r="E47"/>
  <c i="1" r="P50"/>
  <c i="1" r="I50"/>
  <c i="1" r="M50"/>
  <c i="1" r="N50"/>
  <c i="1" r="O50"/>
  <c i="1" r="S50"/>
  <c i="1" r="T50"/>
  <c i="1" r="S46"/>
  <c i="1" r="BS40"/>
  <c i="1" r="P45"/>
  <c i="1" r="Q45"/>
  <c i="1" r="B47"/>
  <c i="1" r="J47"/>
  <c i="1" r="K47"/>
  <c i="1" r="R46"/>
  <c i="1" r="N46"/>
  <c i="1" r="Q46"/>
  <c i="1" r="W46"/>
  <c i="1" r="BD55"/>
  <c i="1" r="CC14" s="1"/>
  <c i="1" r="CE28" s="1"/>
  <c i="1" r="G34"/>
  <c i="1" r="L47"/>
  <c i="1" r="V44"/>
  <c i="1" r="BG55"/>
  <c i="1" r="CF14" s="1"/>
  <c i="1" r="CE31" s="1"/>
  <c i="1" r="BC55"/>
  <c i="1" r="CB14" s="1"/>
  <c i="1" r="CE27" s="1"/>
  <c i="1" r="G47"/>
  <c i="1" r="BB55"/>
  <c i="1" r="CA14" s="1"/>
  <c i="1" r="CE26" s="1"/>
  <c i="1" r="BS38"/>
  <c i="1" r="BA55"/>
  <c i="1" r="BZ14" s="1"/>
  <c i="1" r="CE25" s="1"/>
  <c i="1" r="C47"/>
  <c i="1" r="K54"/>
  <c i="1" r="L41"/>
  <c i="1" r="BS53"/>
  <c i="1" r="AZ55"/>
  <c i="1" r="BY14" s="1"/>
  <c i="1" r="CE24" s="1"/>
  <c i="1" r="B52"/>
  <c i="1" r="I54"/>
  <c i="1" r="L50"/>
  <c i="1" r="V46"/>
  <c i="1" r="R43"/>
  <c i="1" r="J41"/>
  <c i="1" r="L38"/>
  <c i="1" r="BS51"/>
  <c i="1" r="BS36"/>
  <c i="1" r="G51"/>
  <c i="1" r="H54"/>
  <c i="1" r="U46"/>
  <c i="1" r="Q43"/>
  <c i="1" r="I41"/>
  <c i="1" r="K38"/>
  <c i="1" r="C50"/>
  <c i="1" r="G54"/>
  <c i="1" r="J50"/>
  <c i="1" r="T46"/>
  <c i="1" r="P43"/>
  <c i="1" r="H41"/>
  <c i="1" r="J38"/>
  <c i="1" r="BS49"/>
  <c i="1" r="K49"/>
  <c i="1" r="F54"/>
  <c i="1" r="O43"/>
  <c i="1" r="G41"/>
  <c i="1" r="I38"/>
  <c i="1" r="E48"/>
  <c i="1" r="BS47"/>
  <c i="1" r="O47"/>
  <c i="1" r="I49"/>
  <c i="1" r="E41"/>
  <c i="1" r="K46"/>
  <c i="1" r="B53"/>
  <c i="1" r="H49"/>
  <c i="1" r="P46"/>
  <c i="1" r="L43"/>
  <c i="1" r="D41"/>
  <c i="1" r="F38"/>
  <c i="1" r="BS45"/>
  <c i="1" r="S45"/>
  <c i="1" r="W52"/>
  <c i="1" r="G49"/>
  <c i="1" r="O46"/>
  <c i="1" r="K43"/>
  <c i="1" r="C41"/>
  <c i="1" r="E38"/>
  <c i="1" r="B44"/>
  <c i="1" r="F49"/>
  <c i="1" r="U52"/>
  <c i="1" r="E49"/>
  <c i="1" r="M46"/>
  <c i="1" r="I43"/>
  <c i="1" r="W40"/>
  <c i="1" r="C38"/>
  <c i="1" r="T52"/>
  <c i="1" r="D49"/>
  <c i="1" r="R45"/>
  <c i="1" r="H43"/>
  <c i="1" r="V40"/>
  <c i="1" r="B38"/>
  <c i="1" r="BS41"/>
  <c i="1" r="S52"/>
  <c i="1" r="B49"/>
  <c i="1" r="H40"/>
  <c i="1" r="BS39"/>
  <c i="1" r="Q52"/>
  <c i="1" r="W48"/>
  <c i="1" r="O45"/>
  <c i="1" r="E43"/>
  <c i="1" r="G40"/>
  <c i="1" r="U37"/>
  <c i="1" r="M35"/>
  <c i="1" r="V52"/>
  <c i="1" r="N45"/>
  <c i="1" r="S37"/>
  <c i="1" r="N52"/>
  <c i="1" r="T48"/>
  <c i="1" r="L45"/>
  <c i="1" r="B43"/>
  <c i="1" r="D40"/>
  <c i="1" r="R37"/>
  <c i="1" r="AX55"/>
  <c i="1" r="BW14" s="1"/>
  <c i="1" r="CE22" s="1"/>
  <c i="1" r="BS35"/>
  <c i="1" r="C43"/>
  <c i="1" r="M52"/>
  <c i="1" r="S48"/>
  <c i="1" r="K45"/>
  <c i="1" r="W42"/>
  <c i="1" r="C40"/>
  <c i="1" r="Q37"/>
  <c i="1" r="BR55"/>
  <c i="1" r="CQ14" s="1"/>
  <c i="1" r="BS54"/>
  <c i="1" r="L52"/>
  <c i="1" r="R48"/>
  <c i="1" r="J45"/>
  <c i="1" r="V42"/>
  <c i="1" r="B40"/>
  <c i="1" r="P37"/>
  <c i="1" r="O52"/>
  <c i="1" r="K52"/>
  <c i="1" r="Q48"/>
  <c i="1" r="I45"/>
  <c i="1" r="U42"/>
  <c i="1" r="W39"/>
  <c i="1" r="O37"/>
  <c i="1" r="BP55"/>
  <c i="1" r="CO14" s="1"/>
  <c i="1" r="CE40" s="1"/>
  <c i="1" r="BQ55"/>
  <c i="1" r="CP14" s="1"/>
  <c i="1" r="CE41" s="1"/>
  <c i="1" r="BS52"/>
  <c i="1" r="Q34"/>
  <c i="1" r="J52"/>
  <c i="1" r="P48"/>
  <c i="1" r="H45"/>
  <c i="1" r="T42"/>
  <c i="1" r="V39"/>
  <c i="1" r="N37"/>
  <c i="1" r="BO55"/>
  <c i="1" r="CN14" s="1"/>
  <c i="1" r="CE39" s="1"/>
  <c i="1" r="V48"/>
  <c i="1" r="P34"/>
  <c i="1" r="I52"/>
  <c i="1" r="O48"/>
  <c i="1" r="G45"/>
  <c i="1" r="S42"/>
  <c i="1" r="U39"/>
  <c i="1" r="M37"/>
  <c i="1" r="BN55"/>
  <c i="1" r="CM14" s="1"/>
  <c i="1" r="CE38" s="1"/>
  <c i="1" r="BS50"/>
  <c i="1" r="BS34"/>
  <c i="1" r="F40"/>
  <c i="1" r="U48"/>
  <c i="1" r="O34"/>
  <c i="1" r="H52"/>
  <c i="1" r="N48"/>
  <c i="1" r="F45"/>
  <c i="1" r="R42"/>
  <c i="1" r="T39"/>
  <c i="1" r="L37"/>
  <c i="1" r="BM55"/>
  <c i="1" r="CL14" s="1"/>
  <c i="1" r="CE37" s="1"/>
  <c i="1" r="N34"/>
  <c i="1" r="G52"/>
  <c i="1" r="M48"/>
  <c i="1" r="E45"/>
  <c i="1" r="Q42"/>
  <c i="1" r="S39"/>
  <c i="1" r="K37"/>
  <c i="1" r="BL55"/>
  <c i="1" r="CK14" s="1"/>
  <c i="1" r="CE36" s="1"/>
  <c i="1" r="BS48"/>
  <c i="1" r="BS43"/>
  <c i="1" r="M45"/>
  <c i="1" r="M34"/>
  <c i="1" r="F51"/>
  <c i="1" r="L48"/>
  <c i="1" r="D45"/>
  <c i="1" r="D42"/>
  <c i="1" r="R39"/>
  <c i="1" r="J37"/>
  <c i="1" r="BK55"/>
  <c i="1" r="CJ14" s="1"/>
  <c i="1" r="CE35" s="1"/>
  <c i="1" r="P52"/>
  <c i="1" r="BS37"/>
  <c i="1" r="E40"/>
  <c i="1" r="L34"/>
  <c i="1" r="E51"/>
  <c i="1" r="K48"/>
  <c i="1" r="C45"/>
  <c i="1" r="C42"/>
  <c i="1" r="Q39"/>
  <c i="1" r="I37"/>
  <c i="1" r="BJ55"/>
  <c i="1" r="CI14" s="1"/>
  <c i="1" r="CE34" s="1"/>
  <c i="1" r="BS46"/>
  <c i="1" r="K34"/>
  <c i="1" r="D51"/>
  <c i="1" r="N47"/>
  <c i="1" r="B45"/>
  <c i="1" r="B42"/>
  <c i="1" r="P39"/>
  <c i="1" r="H37"/>
  <c i="1" r="BI55"/>
  <c i="1" r="CH14" s="1"/>
  <c i="1" r="CE33" s="1"/>
  <c i="1" r="D43"/>
  <c i="1" r="H34"/>
  <c i="1" r="C51"/>
  <c i="1" r="M47"/>
  <c i="1" r="W44"/>
  <c i="1" r="O39"/>
  <c i="1" r="G37"/>
  <c i="1" r="BH55"/>
  <c i="1" r="CG14" s="1"/>
  <c i="1" r="CE32" s="1"/>
  <c i="1" r="BS44"/>
  <c i="1" r="J34"/>
  <c i="1" r="I34"/>
  <c i="1" r="AY55"/>
  <c i="1" r="BX14" s="1"/>
  <c i="1" r="CE23" s="1"/>
  <c i="1" r="J48"/>
  <c i="1" r="R53"/>
  <c i="1" r="U51"/>
  <c i="1" r="F34"/>
  <c i="1" r="Q53"/>
  <c i="1" r="J46"/>
  <c i="1" r="V53"/>
  <c i="1" r="U53"/>
  <c i="1" r="F50"/>
  <c i="1" r="B50"/>
  <c i="1" r="S51"/>
  <c i="1" r="R51"/>
  <c i="1" r="V49"/>
  <c i="1" r="D48"/>
  <c i="1" r="H46"/>
  <c i="1" r="L44"/>
  <c i="1" r="P42"/>
  <c i="1" r="T40"/>
  <c i="1" r="F37"/>
  <c i="1" r="J35"/>
  <c i="1" r="D34"/>
  <c i="1" r="C54"/>
  <c i="1" r="C52"/>
  <c i="1" r="M44"/>
  <c i="1" r="M53"/>
  <c i="1" r="Q51"/>
  <c i="1" r="U49"/>
  <c i="1" r="C48"/>
  <c i="1" r="G46"/>
  <c i="1" r="K44"/>
  <c i="1" r="O42"/>
  <c i="1" r="S40"/>
  <c i="1" r="W38"/>
  <c i="1" r="E37"/>
  <c i="1" r="I35"/>
  <c i="1" r="C34"/>
  <c i="1" r="F52"/>
  <c i="1" r="E52"/>
  <c i="1" r="I48"/>
  <c i="1" r="G48"/>
  <c i="1" r="N44"/>
  <c i="1" r="O53"/>
  <c i="1" r="L53"/>
  <c i="1" r="P51"/>
  <c i="1" r="T49"/>
  <c i="1" r="B48"/>
  <c i="1" r="F46"/>
  <c i="1" r="J44"/>
  <c i="1" r="N42"/>
  <c i="1" r="R40"/>
  <c i="1" r="V38"/>
  <c i="1" r="D37"/>
  <c i="1" r="H35"/>
  <c i="1" r="D52"/>
  <c i="1" r="S53"/>
  <c i="1" r="W49"/>
  <c i="1" r="K53"/>
  <c i="1" r="O51"/>
  <c i="1" r="S49"/>
  <c i="1" r="W47"/>
  <c i="1" r="E46"/>
  <c i="1" r="I44"/>
  <c i="1" r="M42"/>
  <c i="1" r="Q40"/>
  <c i="1" r="U38"/>
  <c i="1" r="C37"/>
  <c i="1" r="G35"/>
  <c i="1" r="B54"/>
  <c i="1" r="L46"/>
  <c i="1" r="J53"/>
  <c i="1" r="N51"/>
  <c i="1" r="R49"/>
  <c i="1" r="V47"/>
  <c i="1" r="D46"/>
  <c i="1" r="H44"/>
  <c i="1" r="L42"/>
  <c i="1" r="P40"/>
  <c i="1" r="T38"/>
  <c i="1" r="F35"/>
  <c i="1" r="H48"/>
  <c i="1" r="F48"/>
  <c i="1" r="B34"/>
  <c i="1" r="I53"/>
  <c i="1" r="M51"/>
  <c i="1" r="Q49"/>
  <c i="1" r="U47"/>
  <c i="1" r="C46"/>
  <c i="1" r="G44"/>
  <c i="1" r="K42"/>
  <c i="1" r="O40"/>
  <c i="1" r="S38"/>
  <c i="1" r="W36"/>
  <c i="1" r="E35"/>
  <c i="1" r="H50"/>
  <c i="1" r="E50"/>
  <c i="1" r="D50"/>
  <c i="1" r="W34"/>
  <c i="1" r="H53"/>
  <c i="1" r="L51"/>
  <c i="1" r="P49"/>
  <c i="1" r="T47"/>
  <c i="1" r="B46"/>
  <c i="1" r="F44"/>
  <c i="1" r="J42"/>
  <c i="1" r="N40"/>
  <c i="1" r="R38"/>
  <c i="1" r="V36"/>
  <c i="1" r="D35"/>
  <c i="1" r="V34"/>
  <c i="1" r="G53"/>
  <c i="1" r="K51"/>
  <c i="1" r="O49"/>
  <c i="1" r="S47"/>
  <c i="1" r="W45"/>
  <c i="1" r="E44"/>
  <c i="1" r="I42"/>
  <c i="1" r="M40"/>
  <c i="1" r="Q38"/>
  <c i="1" r="U36"/>
  <c i="1" r="C35"/>
  <c i="1" r="G50"/>
  <c i="1" r="W51"/>
  <c i="1" r="V51"/>
  <c i="1" r="T51"/>
  <c i="1" r="N53"/>
  <c i="1" r="U34"/>
  <c i="1" r="F53"/>
  <c i="1" r="J51"/>
  <c i="1" r="N49"/>
  <c i="1" r="R47"/>
  <c i="1" r="V45"/>
  <c i="1" r="D44"/>
  <c i="1" r="H42"/>
  <c i="1" r="L40"/>
  <c i="1" r="P38"/>
  <c i="1" r="T36"/>
  <c i="1" r="W53"/>
  <c i="1" r="T53"/>
  <c i="1" r="I46"/>
  <c i="1" r="T34"/>
  <c i="1" r="W54"/>
  <c i="1" r="E53"/>
  <c i="1" r="I51"/>
  <c i="1" r="M49"/>
  <c i="1" r="Q47"/>
  <c i="1" r="U45"/>
  <c i="1" r="C44"/>
  <c i="1" r="G42"/>
  <c i="1" r="K40"/>
  <c i="1" r="O38"/>
  <c i="1" r="S36"/>
  <c i="1" r="S34"/>
  <c i="1" r="V54"/>
  <c i="1" r="D53"/>
  <c i="1" r="H51"/>
  <c i="1" r="L49"/>
  <c i="1" r="P47"/>
  <c i="1" r="T45"/>
  <c i="1" r="F42"/>
  <c i="1" r="J40"/>
  <c i="1" r="N38"/>
  <c i="1" r="R36"/>
  <c i="1" r="E34"/>
  <c i="1" r="P53"/>
  <c i="1" r="BS28"/>
  <c i="1" r="AT55" s="1"/>
  <c i="1" r="CQ13" s="1"/>
  <c i="1" r="W28"/>
  <c i="1" r="CR7" s="1"/>
  <c i="8" r="Q24"/>
  <c i="8" r="R24"/>
  <c i="8" r="P24"/>
  <c i="8" r="L24"/>
  <c i="8" r="E24"/>
  <c i="8" r="E18"/>
  <c i="8" r="E19"/>
  <c i="8" r="E20"/>
  <c i="8" r="E21"/>
  <c i="8" r="E22"/>
  <c i="8" r="E23"/>
  <c i="8" r="P7"/>
  <c i="8" r="Q7"/>
  <c i="8" r="R7"/>
  <c i="8" r="E13"/>
  <c i="8" r="S13" s="1"/>
  <c i="8" r="H13"/>
  <c i="8" r="O13" s="1"/>
  <c i="18" l="1" r="V25"/>
  <c i="18" r="K23"/>
  <c i="18" r="K13"/>
  <c i="18" r="K20"/>
  <c i="18" r="K22"/>
  <c i="18" r="K15"/>
  <c i="18" r="K12"/>
  <c i="18" r="K8"/>
  <c i="18" r="K16"/>
  <c i="18" r="K9"/>
  <c i="18" r="K17"/>
  <c i="18" r="K6"/>
  <c i="18" r="K10"/>
  <c i="18" r="K4"/>
  <c i="18" r="K5"/>
  <c i="18" r="K21"/>
  <c i="18" r="K11"/>
  <c i="18" r="K18"/>
  <c i="18" r="K14"/>
  <c i="18" r="K19"/>
  <c i="18" r="K7"/>
  <c i="18" r="AU123"/>
  <c i="18" r="AU149" s="1"/>
  <c i="18" r="AU129"/>
  <c i="18" r="AU155" s="1"/>
  <c i="18" r="AU128"/>
  <c i="18" r="AU154" s="1"/>
  <c i="18" r="CV15"/>
  <c i="8" r="E35"/>
  <c i="8" r="L35"/>
  <c i="18" r="CX4"/>
  <c i="1" r="AB55"/>
  <c i="1" r="BY13" s="1"/>
  <c i="1" r="CD24" s="1"/>
  <c i="1" r="AA55"/>
  <c i="1" r="BX13" s="1"/>
  <c i="1" r="CD23" s="1"/>
  <c i="18" r="CX5"/>
  <c i="1" r="AC55"/>
  <c i="1" r="BZ13" s="1"/>
  <c i="1" r="CD25" s="1"/>
  <c i="18" r="S51"/>
  <c i="1" r="AP55"/>
  <c i="1" r="CM13" s="1"/>
  <c i="1" r="CD38" s="1"/>
  <c i="1" r="AK55"/>
  <c i="1" r="CH13" s="1"/>
  <c i="1" r="CD33" s="1"/>
  <c i="1" r="AI55"/>
  <c i="1" r="CF13" s="1"/>
  <c i="1" r="CD31" s="1"/>
  <c i="18" r="T51"/>
  <c i="1" r="AQ55"/>
  <c i="1" r="CN13" s="1"/>
  <c i="1" r="CD39" s="1"/>
  <c i="1" r="AG55"/>
  <c i="1" r="CD13" s="1"/>
  <c i="1" r="CD29" s="1"/>
  <c i="18" r="R51"/>
  <c i="1" r="AO55"/>
  <c i="1" r="CL13" s="1"/>
  <c i="1" r="CD37" s="1"/>
  <c i="18" r="Q51"/>
  <c i="1" r="AN55"/>
  <c i="1" r="CK13" s="1"/>
  <c i="1" r="CD36" s="1"/>
  <c i="1" r="Z55"/>
  <c i="1" r="BW13" s="1"/>
  <c i="1" r="CD22" s="1"/>
  <c i="1" r="AH55"/>
  <c i="1" r="CE13" s="1"/>
  <c i="1" r="CD30" s="1"/>
  <c i="18" r="O51"/>
  <c i="1" r="AL55"/>
  <c i="1" r="CI13" s="1"/>
  <c i="1" r="CD34" s="1"/>
  <c i="18" r="V51"/>
  <c i="1" r="AS55"/>
  <c i="1" r="CP13" s="1"/>
  <c i="1" r="CD41" s="1"/>
  <c i="18" r="U51"/>
  <c i="1" r="AR55"/>
  <c i="1" r="CO13" s="1"/>
  <c i="1" r="CD40" s="1"/>
  <c i="1" r="AD55"/>
  <c i="1" r="CA13" s="1"/>
  <c i="1" r="CD26" s="1"/>
  <c i="1" r="AF55"/>
  <c i="1" r="CC13" s="1"/>
  <c i="1" r="CD28" s="1"/>
  <c i="1" r="AE55"/>
  <c i="1" r="CB13" s="1"/>
  <c i="1" r="CD27" s="1"/>
  <c i="18" r="P51"/>
  <c i="1" r="AM55"/>
  <c i="1" r="CJ13" s="1"/>
  <c i="1" r="CD35" s="1"/>
  <c i="1" r="AJ55"/>
  <c i="1" r="CG13" s="1"/>
  <c i="1" r="CD32" s="1"/>
  <c i="18" r="BT47"/>
  <c i="18" r="CR47" s="1"/>
  <c i="18" r="BT46"/>
  <c i="18" r="CR46" s="1"/>
  <c i="18" r="X41"/>
  <c i="18" r="BU41" s="1"/>
  <c i="18" r="CS41" s="1"/>
  <c i="18" r="BT33"/>
  <c i="18" r="CR33" s="1"/>
  <c i="18" r="BT42"/>
  <c i="18" r="CR42" s="1"/>
  <c i="18" r="X32"/>
  <c i="18" r="AW32" s="1"/>
  <c i="18" r="BT44"/>
  <c i="18" r="CR44" s="1"/>
  <c i="18" r="BT45"/>
  <c i="18" r="CR45" s="1"/>
  <c i="18" r="BT36"/>
  <c i="18" r="CR36" s="1"/>
  <c i="18" r="X33"/>
  <c i="18" r="BT43"/>
  <c i="18" r="CR43" s="1"/>
  <c i="18" r="X31"/>
  <c i="18" r="BU31" s="1"/>
  <c i="18" r="CS31" s="1"/>
  <c i="18" r="X39"/>
  <c i="18" r="X36"/>
  <c i="18" r="AV130"/>
  <c i="18" r="AV156" s="1"/>
  <c i="18" r="CS50"/>
  <c i="18" r="X48"/>
  <c i="18" r="BT37"/>
  <c i="18" r="CR37" s="1"/>
  <c i="18" r="X35"/>
  <c i="18" r="AW35" s="1"/>
  <c i="18" r="BT34"/>
  <c i="18" r="CR34" s="1"/>
  <c i="18" r="BT31"/>
  <c i="18" r="CR31" s="1"/>
  <c i="18" r="X47"/>
  <c i="18" r="BU47" s="1"/>
  <c i="18" r="CS47" s="1"/>
  <c i="18" r="X45"/>
  <c i="18" r="BU45" s="1"/>
  <c i="18" r="CS45" s="1"/>
  <c i="18" r="BT41"/>
  <c i="18" r="CR41" s="1"/>
  <c i="18" r="X46"/>
  <c i="18" r="BU46" s="1"/>
  <c i="18" r="CS46" s="1"/>
  <c i="18" r="AV51"/>
  <c i="18" r="X43"/>
  <c i="18" r="X42"/>
  <c i="18" r="BU42" s="1"/>
  <c i="18" r="CS42" s="1"/>
  <c i="18" r="X40"/>
  <c i="18" r="BU40" s="1"/>
  <c i="18" r="CS40" s="1"/>
  <c i="18" r="X38"/>
  <c i="18" r="BT35"/>
  <c i="18" r="CR35" s="1"/>
  <c i="18" r="X44"/>
  <c i="18" r="BT32"/>
  <c i="18" r="CR32" s="1"/>
  <c i="18" r="X37"/>
  <c i="18" r="AW37" s="1"/>
  <c i="18" r="X49"/>
  <c i="18" r="BU49" s="1"/>
  <c i="18" r="CS49" s="1"/>
  <c i="18" r="BT49"/>
  <c i="18" r="CR49" s="1"/>
  <c i="18" r="X34"/>
  <c i="18" r="W51"/>
  <c i="18" r="BT39"/>
  <c i="18" r="CR39" s="1"/>
  <c i="18" r="BT40"/>
  <c i="18" r="CR40" s="1"/>
  <c i="18" r="BT38"/>
  <c i="18" r="CR38" s="1"/>
  <c i="18" r="BT48"/>
  <c i="18" r="CR48" s="1"/>
  <c i="1" r="CR10"/>
  <c i="17" r="Q52"/>
  <c i="1" r="CK12" s="1"/>
  <c i="1" r="CC36" s="1"/>
  <c i="18" r="I18" s="1"/>
  <c i="17" r="H52"/>
  <c i="1" r="CB12" s="1"/>
  <c i="1" r="CC27" s="1"/>
  <c i="18" r="I9" s="1"/>
  <c i="17" r="V52"/>
  <c i="1" r="CP12" s="1"/>
  <c i="1" r="CC41" s="1"/>
  <c i="18" r="I23" s="1"/>
  <c i="17" r="S52"/>
  <c i="1" r="CM12" s="1"/>
  <c i="1" r="CC38" s="1"/>
  <c i="18" r="I20" s="1"/>
  <c i="17" r="T52"/>
  <c i="1" r="CN12" s="1"/>
  <c i="1" r="CC39" s="1"/>
  <c i="18" r="I21" s="1"/>
  <c i="17" r="U52"/>
  <c i="1" r="CO12" s="1"/>
  <c i="1" r="CC40" s="1"/>
  <c i="18" r="I22" s="1"/>
  <c i="17" r="E52"/>
  <c i="1" r="BY12" s="1"/>
  <c i="1" r="CC24" s="1"/>
  <c i="18" r="I6" s="1"/>
  <c i="17" r="M52"/>
  <c i="1" r="CG12" s="1"/>
  <c i="1" r="CC32" s="1"/>
  <c i="18" r="I14" s="1"/>
  <c i="17" r="N52"/>
  <c i="1" r="CH12" s="1"/>
  <c i="1" r="CC33" s="1"/>
  <c i="18" r="I15" s="1"/>
  <c i="17" r="R52"/>
  <c i="1" r="CL12" s="1"/>
  <c i="1" r="CC37" s="1"/>
  <c i="18" r="I19" s="1"/>
  <c i="17" r="G52"/>
  <c i="1" r="CA12" s="1"/>
  <c i="1" r="CC26" s="1"/>
  <c i="18" r="I8" s="1"/>
  <c i="17" r="C52"/>
  <c i="1" r="BW12" s="1"/>
  <c i="1" r="CC22" s="1"/>
  <c i="18" r="I4" s="1"/>
  <c i="17" r="J52"/>
  <c i="1" r="CD12" s="1"/>
  <c i="1" r="CC29" s="1"/>
  <c i="18" r="I11" s="1"/>
  <c i="17" r="P52"/>
  <c i="1" r="CJ12" s="1"/>
  <c i="1" r="CC35" s="1"/>
  <c i="18" r="I17" s="1"/>
  <c i="17" r="D52"/>
  <c i="1" r="BX12" s="1"/>
  <c i="1" r="CC23" s="1"/>
  <c i="18" r="I5" s="1"/>
  <c i="17" r="W52"/>
  <c i="1" r="CQ12" s="1"/>
  <c i="17" r="L52"/>
  <c i="1" r="CF12" s="1"/>
  <c i="1" r="CC31" s="1"/>
  <c i="18" r="I13" s="1"/>
  <c i="17" r="I52"/>
  <c i="1" r="CC12" s="1"/>
  <c i="1" r="CC28" s="1"/>
  <c i="18" r="I10" s="1"/>
  <c i="17" r="F52"/>
  <c i="1" r="BZ12" s="1"/>
  <c i="1" r="CC25" s="1"/>
  <c i="18" r="I7" s="1"/>
  <c i="17" r="K52"/>
  <c i="1" r="CE12" s="1"/>
  <c i="1" r="CC30" s="1"/>
  <c i="18" r="I12" s="1"/>
  <c i="17" r="O52"/>
  <c i="1" r="CI12" s="1"/>
  <c i="1" r="CC34" s="1"/>
  <c i="18" r="I16" s="1"/>
  <c i="17" r="X52"/>
  <c i="17" r="G71" s="1"/>
  <c i="1" r="AU39"/>
  <c i="1" r="AU42"/>
  <c i="1" r="AU34"/>
  <c i="1" r="AU41"/>
  <c i="1" r="AU37"/>
  <c i="1" r="AU51"/>
  <c i="1" r="AU40"/>
  <c i="1" r="CE42"/>
  <c i="1" r="CI30" s="1"/>
  <c i="1" r="AU47"/>
  <c i="1" r="AU46"/>
  <c i="1" r="AU50"/>
  <c i="1" r="AU48"/>
  <c i="1" r="AU35"/>
  <c i="1" r="AU53"/>
  <c i="1" r="AU49"/>
  <c i="1" r="AU44"/>
  <c i="1" r="AU45"/>
  <c i="1" r="AU52"/>
  <c i="1" r="AU36"/>
  <c i="1" r="AU38"/>
  <c i="1" r="AU43"/>
  <c i="1" r="BS55"/>
  <c i="1" r="CR14" s="1"/>
  <c i="1" r="I55"/>
  <c i="1" r="CD11" s="1"/>
  <c i="1" r="CB29" s="1"/>
  <c i="18" r="H11" s="1"/>
  <c i="1" r="N55"/>
  <c i="1" r="CI11" s="1"/>
  <c i="1" r="CB34" s="1"/>
  <c i="18" r="H16" s="1"/>
  <c i="1" r="Q55"/>
  <c i="1" r="CL11" s="1"/>
  <c i="1" r="CB37" s="1"/>
  <c i="18" r="H19" s="1"/>
  <c i="1" r="U55"/>
  <c i="1" r="CP11" s="1"/>
  <c i="1" r="CB41" s="1"/>
  <c i="18" r="H23" s="1"/>
  <c i="1" r="B55"/>
  <c i="1" r="BW11" s="1"/>
  <c i="1" r="CB22" s="1"/>
  <c i="18" r="H4" s="1"/>
  <c i="1" r="C55"/>
  <c i="1" r="BX11" s="1"/>
  <c i="1" r="CB23" s="1"/>
  <c i="18" r="H5" s="1"/>
  <c i="1" r="M55"/>
  <c i="1" r="CH11" s="1"/>
  <c i="1" r="CB33" s="1"/>
  <c i="18" r="H15" s="1"/>
  <c i="1" r="D55"/>
  <c i="1" r="BY11" s="1"/>
  <c i="1" r="CB24" s="1"/>
  <c i="18" r="H6" s="1"/>
  <c i="1" r="V55"/>
  <c i="1" r="CQ11" s="1"/>
  <c i="1" r="E55"/>
  <c i="1" r="BZ11" s="1"/>
  <c i="1" r="CB25" s="1"/>
  <c i="18" r="H7" s="1"/>
  <c i="1" r="J55"/>
  <c i="1" r="CE11" s="1"/>
  <c i="1" r="CB30" s="1"/>
  <c i="18" r="H12" s="1"/>
  <c i="1" r="K55"/>
  <c i="1" r="CF11" s="1"/>
  <c i="1" r="CB31" s="1"/>
  <c i="18" r="H13" s="1"/>
  <c i="1" r="P55"/>
  <c i="1" r="CK11" s="1"/>
  <c i="1" r="CB36" s="1"/>
  <c i="18" r="H18" s="1"/>
  <c i="1" r="T55"/>
  <c i="1" r="CO11" s="1"/>
  <c i="1" r="CB40" s="1"/>
  <c i="18" r="H22" s="1"/>
  <c i="1" r="F55"/>
  <c i="1" r="CA11" s="1"/>
  <c i="1" r="CB26" s="1"/>
  <c i="18" r="H8" s="1"/>
  <c i="1" r="H55"/>
  <c i="1" r="CC11" s="1"/>
  <c i="1" r="CB28" s="1"/>
  <c i="18" r="H10" s="1"/>
  <c i="1" r="G55"/>
  <c i="1" r="CB11" s="1"/>
  <c i="1" r="CB27" s="1"/>
  <c i="18" r="H9" s="1"/>
  <c i="1" r="R55"/>
  <c i="1" r="CM11" s="1"/>
  <c i="1" r="CB38" s="1"/>
  <c i="18" r="H20" s="1"/>
  <c i="1" r="L55"/>
  <c i="1" r="CG11" s="1"/>
  <c i="1" r="CB32" s="1"/>
  <c i="18" r="H14" s="1"/>
  <c i="1" r="S55"/>
  <c i="1" r="CN11" s="1"/>
  <c i="1" r="CB39" s="1"/>
  <c i="18" r="H21" s="1"/>
  <c i="1" r="W55"/>
  <c i="1" r="CR11" s="1"/>
  <c i="1" r="O55"/>
  <c i="1" r="CJ11" s="1"/>
  <c i="1" r="CB35" s="1"/>
  <c i="18" r="H17" s="1"/>
  <c i="8" r="S24"/>
  <c i="8" r="P35"/>
  <c i="8" r="R35"/>
  <c i="8" r="Q35"/>
  <c i="8" r="E7"/>
  <c i="10" r="H11"/>
  <c i="1" l="1" r="CK28"/>
  <c i="18" r="Q10" s="1"/>
  <c i="1" r="CK24"/>
  <c i="18" r="Q6" s="1"/>
  <c i="1" r="CK27"/>
  <c i="18" r="Q9" s="1"/>
  <c i="1" r="CK34"/>
  <c i="18" r="Q16" s="1"/>
  <c i="1" r="CK26"/>
  <c i="18" r="Q8" s="1"/>
  <c i="1" r="CK25"/>
  <c i="18" r="Q7" s="1"/>
  <c i="1" r="CK37"/>
  <c i="18" r="Q19" s="1"/>
  <c i="1" r="CK35"/>
  <c i="18" r="Q17" s="1"/>
  <c i="1" r="CK32"/>
  <c i="18" r="Q14" s="1"/>
  <c i="1" r="CK30"/>
  <c i="18" r="Q12" s="1"/>
  <c i="1" r="CK36"/>
  <c i="18" r="Q18" s="1"/>
  <c i="1" r="CK33"/>
  <c i="18" r="Q15" s="1"/>
  <c i="1" r="CK29"/>
  <c i="18" r="Q11" s="1"/>
  <c i="1" r="CK40"/>
  <c i="18" r="Q22" s="1"/>
  <c i="1" r="CK39"/>
  <c i="18" r="Q21" s="1"/>
  <c i="1" r="CK38"/>
  <c i="18" r="Q20" s="1"/>
  <c i="18" r="O12"/>
  <c i="1" r="CK23"/>
  <c i="18" r="Q5" s="1"/>
  <c i="1" r="CK31"/>
  <c i="18" r="Q13" s="1"/>
  <c i="1" r="CK22"/>
  <c i="18" r="Q4" s="1"/>
  <c i="1" r="CK41"/>
  <c i="18" r="AU121"/>
  <c i="18" r="AU147" s="1"/>
  <c i="18" r="AU122"/>
  <c i="18" r="AU148" s="1"/>
  <c i="18" r="AU113"/>
  <c i="18" r="AU139" s="1"/>
  <c i="18" r="E51"/>
  <c i="18" r="BB57" s="1"/>
  <c i="18" r="AU114"/>
  <c i="18" r="AU140" s="1"/>
  <c i="18" r="AU119"/>
  <c i="18" r="AU145" s="1"/>
  <c i="18" r="AU125"/>
  <c i="18" r="AU151" s="1"/>
  <c i="18" r="AU120"/>
  <c i="18" r="AU146" s="1"/>
  <c i="18" r="AU117"/>
  <c i="18" r="AU143" s="1"/>
  <c i="18" r="AU126"/>
  <c i="18" r="AU152" s="1"/>
  <c i="18" r="AU127"/>
  <c i="18" r="AU153" s="1"/>
  <c i="18" r="AU111"/>
  <c i="18" r="AU137" s="1"/>
  <c i="18" r="AU116"/>
  <c i="18" r="AU142" s="1"/>
  <c i="18" r="AU112"/>
  <c i="18" r="AU138" s="1"/>
  <c i="18" r="AU115"/>
  <c i="18" r="AU141" s="1"/>
  <c i="18" r="AU118"/>
  <c i="18" r="AU144" s="1"/>
  <c i="18" r="AU124"/>
  <c i="18" r="AU150" s="1"/>
  <c i="18" r="AW46"/>
  <c i="1" r="BH80"/>
  <c i="18" r="H51"/>
  <c i="18" r="CX7"/>
  <c i="18" r="K51"/>
  <c i="18" r="BH57" s="1"/>
  <c i="18" r="CX10"/>
  <c i="18" r="L51"/>
  <c i="18" r="BI57" s="1"/>
  <c i="18" r="CX11"/>
  <c i="18" r="G51"/>
  <c i="18" r="BD57" s="1"/>
  <c i="18" r="CX6"/>
  <c i="18" r="N51"/>
  <c i="18" r="BK57" s="1"/>
  <c i="18" r="CX13"/>
  <c i="18" r="D51"/>
  <c i="18" r="BA57" s="1"/>
  <c i="18" r="CX3"/>
  <c i="18" r="I51"/>
  <c i="18" r="BF57" s="1"/>
  <c i="18" r="CX8"/>
  <c i="18" r="M51"/>
  <c i="18" r="BJ57" s="1"/>
  <c i="18" r="CX12"/>
  <c i="18" r="CX14"/>
  <c i="18" r="C51"/>
  <c i="18" r="AZ57" s="1"/>
  <c i="18" r="CX2"/>
  <c i="18" r="F51"/>
  <c i="18" r="J51"/>
  <c i="18" r="BG57" s="1"/>
  <c i="18" r="CX9"/>
  <c i="18" r="CV16"/>
  <c i="18" r="CX15"/>
  <c i="1" r="BL78"/>
  <c i="1" r="BC82"/>
  <c i="18" r="AW41"/>
  <c i="18" r="BU32"/>
  <c i="18" r="CS32" s="1"/>
  <c i="8" r="E29"/>
  <c i="18" r="AW40"/>
  <c i="18" r="AW42"/>
  <c i="18" r="X30"/>
  <c i="18" r="BU30" s="1"/>
  <c i="18" r="CS30" s="1"/>
  <c i="1" r="CI40"/>
  <c i="18" r="AW47"/>
  <c i="1" r="CI27"/>
  <c i="1" r="CI24"/>
  <c i="1" r="CI26"/>
  <c i="1" r="CI25"/>
  <c i="1" r="BC76"/>
  <c i="18" r="AW31"/>
  <c i="1" r="AX69"/>
  <c i="1" r="BR62"/>
  <c i="18" r="AW49"/>
  <c i="1" r="BI79"/>
  <c i="1" r="BC74"/>
  <c i="1" r="BF72"/>
  <c i="1" r="BH70"/>
  <c i="1" r="AY78"/>
  <c i="1" r="BO62"/>
  <c i="1" r="BN82"/>
  <c i="1" r="BP66"/>
  <c i="1" r="AY63"/>
  <c i="1" r="AZ79"/>
  <c i="18" r="BU35"/>
  <c i="18" r="CS35" s="1"/>
  <c i="1" r="BD72"/>
  <c i="1" r="AY61"/>
  <c i="1" r="AZ65"/>
  <c i="1" r="BH75"/>
  <c i="1" r="BQ82"/>
  <c i="1" r="BK82"/>
  <c i="1" r="BF79"/>
  <c i="1" r="BO80"/>
  <c i="1" r="BM70"/>
  <c i="1" r="BL68"/>
  <c i="1" r="BB63"/>
  <c i="1" r="BS78"/>
  <c i="1" r="BE74"/>
  <c i="1" r="BN64"/>
  <c i="1" r="BC79"/>
  <c i="1" r="BA77"/>
  <c i="1" r="BO79"/>
  <c i="1" r="BI73"/>
  <c i="1" r="BD82"/>
  <c i="18" r="J23"/>
  <c i="18" r="J19"/>
  <c i="18" r="J21"/>
  <c i="18" r="BR32"/>
  <c i="18" r="BG32"/>
  <c i="18" r="BJ32"/>
  <c i="18" r="BO32"/>
  <c i="18" r="AZ32"/>
  <c i="18" r="BC32"/>
  <c i="18" r="BL32"/>
  <c i="18" r="BF32"/>
  <c i="18" r="BQ32"/>
  <c i="18" r="BN32"/>
  <c i="18" r="BI32"/>
  <c i="18" r="BB32"/>
  <c i="18" r="BE32"/>
  <c i="18" r="BH32"/>
  <c i="18" r="BS32"/>
  <c i="18" r="BP32"/>
  <c i="18" r="BK32"/>
  <c i="18" r="BA32"/>
  <c i="18" r="BD32"/>
  <c i="18" r="BM32"/>
  <c i="18" r="AV122"/>
  <c i="18" r="AV148" s="1"/>
  <c i="18" r="BM42"/>
  <c i="18" r="AZ42"/>
  <c i="18" r="BE42"/>
  <c i="18" r="BJ42"/>
  <c i="18" r="BB42"/>
  <c i="18" r="BG42"/>
  <c i="18" r="BO42"/>
  <c i="18" r="BQ42"/>
  <c i="18" r="BL42"/>
  <c i="18" r="W25" s="1"/>
  <c i="18" r="R25" s="1"/>
  <c i="18" r="BS42"/>
  <c i="18" r="BD42"/>
  <c i="18" r="BI42"/>
  <c i="18" r="BF42"/>
  <c i="18" r="BA42"/>
  <c i="18" r="BN42"/>
  <c i="18" r="BK42"/>
  <c i="18" r="BC42"/>
  <c i="18" r="BR42"/>
  <c i="18" r="BP42"/>
  <c i="18" r="BH42"/>
  <c i="18" r="AW45"/>
  <c i="18" r="BD48"/>
  <c i="18" r="BA48"/>
  <c i="18" r="BQ48"/>
  <c i="18" r="BI48"/>
  <c i="18" r="BS48"/>
  <c i="18" r="BP48"/>
  <c i="18" r="BM48"/>
  <c i="18" r="BF48"/>
  <c i="18" r="BO48"/>
  <c i="18" r="BC48"/>
  <c i="18" r="BR48"/>
  <c i="18" r="AZ48"/>
  <c i="18" r="BH48"/>
  <c i="18" r="BL48"/>
  <c i="18" r="BE48"/>
  <c i="18" r="BK48"/>
  <c i="18" r="BJ48"/>
  <c i="18" r="BN48"/>
  <c i="18" r="BB48"/>
  <c i="18" r="BG48"/>
  <c i="18" r="AV127"/>
  <c i="18" r="AV153" s="1"/>
  <c i="18" r="BH47"/>
  <c i="18" r="BE47"/>
  <c i="18" r="BQ47"/>
  <c i="18" r="BK47"/>
  <c i="18" r="BM47"/>
  <c i="18" r="BD47"/>
  <c i="18" r="AZ47"/>
  <c i="18" r="BS47"/>
  <c i="18" r="BN47"/>
  <c i="18" r="BG47"/>
  <c i="18" r="BJ47"/>
  <c i="18" r="BC47"/>
  <c i="18" r="BL47"/>
  <c i="18" r="BP47"/>
  <c i="18" r="BA47"/>
  <c i="18" r="BF47"/>
  <c i="18" r="BI47"/>
  <c i="18" r="BR47"/>
  <c i="18" r="BB47"/>
  <c i="18" r="BO47"/>
  <c i="17" r="O72"/>
  <c i="18" r="BU37"/>
  <c i="18" r="CS37" s="1"/>
  <c i="18" r="BQ57"/>
  <c i="18" r="BP33"/>
  <c i="18" r="BE33"/>
  <c i="18" r="BK33"/>
  <c i="18" r="BS33"/>
  <c i="18" r="BB33"/>
  <c i="18" r="BO33"/>
  <c i="18" r="BJ33"/>
  <c i="18" r="BR33"/>
  <c i="18" r="BI33"/>
  <c i="18" r="BD33"/>
  <c i="18" r="BN33"/>
  <c i="18" r="BH33"/>
  <c i="18" r="BA33"/>
  <c i="18" r="BG33"/>
  <c i="18" r="BQ33"/>
  <c i="18" r="BM33"/>
  <c i="18" r="BF33"/>
  <c i="18" r="BC33"/>
  <c i="18" r="AZ33"/>
  <c i="18" r="BL33"/>
  <c i="18" r="BI43"/>
  <c i="18" r="BL43"/>
  <c i="18" r="BE43"/>
  <c i="18" r="BO43"/>
  <c i="18" r="AZ43"/>
  <c i="18" r="BH43"/>
  <c i="18" r="BD43"/>
  <c i="18" r="BR43"/>
  <c i="18" r="BK43"/>
  <c i="18" r="BN43"/>
  <c i="18" r="BP43"/>
  <c i="18" r="BB43"/>
  <c i="18" r="BQ43"/>
  <c i="18" r="BG43"/>
  <c i="18" r="BC43"/>
  <c i="18" r="BJ43"/>
  <c i="18" r="BM43"/>
  <c i="18" r="BA43"/>
  <c i="18" r="BF43"/>
  <c i="18" r="BS43"/>
  <c i="18" r="BN57"/>
  <c i="18" r="J10"/>
  <c i="18" r="BP34"/>
  <c i="18" r="BE34"/>
  <c i="18" r="BH34"/>
  <c i="18" r="BM34"/>
  <c i="18" r="BR34"/>
  <c i="18" r="BF34"/>
  <c i="18" r="BA34"/>
  <c i="18" r="BJ34"/>
  <c i="18" r="BD34"/>
  <c i="18" r="BO34"/>
  <c i="18" r="BL34"/>
  <c i="18" r="BG34"/>
  <c i="18" r="AZ34"/>
  <c i="18" r="BC34"/>
  <c i="18" r="BQ34"/>
  <c i="18" r="BN34"/>
  <c i="18" r="BI34"/>
  <c i="18" r="BS34"/>
  <c i="18" r="BB34"/>
  <c i="18" r="BK34"/>
  <c i="18" r="BL38"/>
  <c i="18" r="BA38"/>
  <c i="18" r="BQ38"/>
  <c i="18" r="BD38"/>
  <c i="18" r="BI38"/>
  <c i="18" r="BN38"/>
  <c i="18" r="BF38"/>
  <c i="18" r="AZ38"/>
  <c i="18" r="BK38"/>
  <c i="18" r="BS38"/>
  <c i="18" r="BP38"/>
  <c i="18" r="BH38"/>
  <c i="18" r="BC38"/>
  <c i="18" r="BB38"/>
  <c i="18" r="BM38"/>
  <c i="18" r="BJ38"/>
  <c i="18" r="BE38"/>
  <c i="18" r="BR38"/>
  <c i="18" r="BO38"/>
  <c i="18" r="BG38"/>
  <c i="18" r="BU33"/>
  <c i="18" r="CS33" s="1"/>
  <c i="18" r="J17"/>
  <c i="18" r="AW33"/>
  <c i="18" r="AW43"/>
  <c i="18" r="J16"/>
  <c i="18" r="J18"/>
  <c i="18" r="BU43"/>
  <c i="18" r="CS43" s="1"/>
  <c i="18" r="BR57"/>
  <c i="18" r="BC44"/>
  <c i="18" r="BH44"/>
  <c i="18" r="AZ44"/>
  <c i="18" r="BS44"/>
  <c i="18" r="BE44"/>
  <c i="18" r="BQ44"/>
  <c i="18" r="BP44"/>
  <c i="18" r="BM44"/>
  <c i="18" r="BJ44"/>
  <c i="18" r="BB44"/>
  <c i="18" r="BO44"/>
  <c i="18" r="BG44"/>
  <c i="18" r="BR44"/>
  <c i="18" r="BD44"/>
  <c i="18" r="BL44"/>
  <c i="18" r="BI44"/>
  <c i="18" r="BA44"/>
  <c i="18" r="BK44"/>
  <c i="18" r="BN44"/>
  <c i="18" r="BF44"/>
  <c i="18" r="J11"/>
  <c i="18" r="BP57"/>
  <c i="18" r="BN36"/>
  <c i="18" r="BC36"/>
  <c i="18" r="BS36"/>
  <c i="18" r="BF36"/>
  <c i="18" r="BK36"/>
  <c i="18" r="BP36"/>
  <c i="18" r="BD36"/>
  <c i="18" r="BH36"/>
  <c i="18" r="BB36"/>
  <c i="18" r="BM36"/>
  <c i="18" r="BR36"/>
  <c i="18" r="BJ36"/>
  <c i="18" r="BE36"/>
  <c i="18" r="BA36"/>
  <c i="18" r="BO36"/>
  <c i="18" r="BL36"/>
  <c i="18" r="BG36"/>
  <c i="18" r="BQ36"/>
  <c i="18" r="AZ36"/>
  <c i="18" r="BI36"/>
  <c i="18" r="BM57"/>
  <c i="18" r="J12"/>
  <c i="18" r="BS57"/>
  <c i="18" r="BN35"/>
  <c i="18" r="BC35"/>
  <c i="18" r="BI35"/>
  <c i="18" r="BQ35"/>
  <c i="18" r="AZ35"/>
  <c i="18" r="BM35"/>
  <c i="18" r="BH35"/>
  <c i="18" r="BF35"/>
  <c i="18" r="BP35"/>
  <c i="18" r="BG35"/>
  <c i="18" r="BB35"/>
  <c i="18" r="BL35"/>
  <c i="18" r="BS35"/>
  <c i="18" r="BE35"/>
  <c i="18" r="BO35"/>
  <c i="18" r="BK35"/>
  <c i="18" r="BD35"/>
  <c i="18" r="BA35"/>
  <c i="18" r="BR35"/>
  <c i="18" r="BJ35"/>
  <c i="18" r="AW38"/>
  <c i="18" r="BE39"/>
  <c i="18" r="BM39"/>
  <c i="18" r="BB39"/>
  <c i="18" r="BP39"/>
  <c i="18" r="BI39"/>
  <c i="18" r="BS39"/>
  <c i="18" r="BD39"/>
  <c i="18" r="BL39"/>
  <c i="18" r="AZ39"/>
  <c i="18" r="BH39"/>
  <c i="18" r="BO39"/>
  <c i="18" r="BR39"/>
  <c i="18" r="BA39"/>
  <c i="18" r="BK39"/>
  <c i="18" r="BG39"/>
  <c i="18" r="BJ39"/>
  <c i="18" r="BN39"/>
  <c i="18" r="BQ39"/>
  <c i="18" r="BF39"/>
  <c i="18" r="BC39"/>
  <c i="18" r="J4"/>
  <c i="18" r="J7"/>
  <c i="1" r="BP76"/>
  <c i="1" r="CI42"/>
  <c i="18" r="O24" s="1"/>
  <c i="18" r="K24"/>
  <c i="18" r="BU38"/>
  <c i="18" r="CS38" s="1"/>
  <c i="18" r="J22"/>
  <c i="18" r="BT57"/>
  <c i="18" r="J5"/>
  <c i="18" r="AW44"/>
  <c i="18" r="AW34"/>
  <c i="18" r="AV121"/>
  <c i="18" r="AV147" s="1"/>
  <c i="18" r="BR41"/>
  <c i="18" r="BC41"/>
  <c i="18" r="BK41"/>
  <c i="18" r="W24" s="1"/>
  <c i="18" r="R24" s="1"/>
  <c i="18" r="BN41"/>
  <c i="18" r="BG41"/>
  <c i="18" r="AZ41"/>
  <c i="18" r="BQ41"/>
  <c i="18" r="BJ41"/>
  <c i="18" r="BF41"/>
  <c i="18" r="BB41"/>
  <c i="18" r="BM41"/>
  <c i="18" r="BP41"/>
  <c i="18" r="BA41"/>
  <c i="18" r="BI41"/>
  <c i="18" r="BE41"/>
  <c i="18" r="BL41"/>
  <c i="18" r="BS41"/>
  <c i="18" r="BO41"/>
  <c i="18" r="BD41"/>
  <c i="18" r="BH41"/>
  <c i="18" r="AW39"/>
  <c i="18" r="J13"/>
  <c i="18" r="BU44"/>
  <c i="18" r="CS44" s="1"/>
  <c i="18" r="AV126"/>
  <c i="18" r="AV152" s="1"/>
  <c i="18" r="BA46"/>
  <c i="18" r="BF46"/>
  <c i="18" r="BQ46"/>
  <c i="18" r="BC46"/>
  <c i="18" r="BK46"/>
  <c i="18" r="BH46"/>
  <c i="18" r="BP46"/>
  <c i="18" r="AZ46"/>
  <c i="18" r="BM46"/>
  <c i="18" r="BE46"/>
  <c i="18" r="BB46"/>
  <c i="18" r="BJ46"/>
  <c i="18" r="BR46"/>
  <c i="18" r="BO46"/>
  <c i="18" r="BG46"/>
  <c i="18" r="BS46"/>
  <c i="18" r="BN46"/>
  <c i="18" r="BL46"/>
  <c i="18" r="BD46"/>
  <c i="18" r="BI46"/>
  <c i="18" r="BU34"/>
  <c i="18" r="CS34" s="1"/>
  <c i="18" r="AV111"/>
  <c i="18" r="AV137" s="1"/>
  <c i="18" r="BR31"/>
  <c i="18" r="BG31"/>
  <c i="18" r="BM31"/>
  <c i="18" r="BD31"/>
  <c i="18" r="BA31"/>
  <c i="18" r="BQ31"/>
  <c i="18" r="BL31"/>
  <c i="18" r="BK31"/>
  <c i="18" r="BF31"/>
  <c i="18" r="BP31"/>
  <c i="18" r="BJ31"/>
  <c i="18" r="BC31"/>
  <c i="18" r="BI31"/>
  <c i="18" r="AZ31"/>
  <c i="18" r="BS31"/>
  <c i="18" r="BO31"/>
  <c i="18" r="BH31"/>
  <c i="18" r="BE31"/>
  <c i="18" r="BB31"/>
  <c i="18" r="BN31"/>
  <c i="18" r="BL57"/>
  <c i="18" r="BU39"/>
  <c i="18" r="CS39" s="1"/>
  <c i="18" r="J14"/>
  <c i="18" r="AW48"/>
  <c i="18" r="J20"/>
  <c i="1" r="BS68"/>
  <c i="18" r="J6"/>
  <c i="18" r="BU48"/>
  <c i="18" r="CS48" s="1"/>
  <c i="18" r="BO57"/>
  <c i="18" r="J15"/>
  <c i="1" r="BB67"/>
  <c i="18" r="J8"/>
  <c i="18" r="AW36"/>
  <c i="18" r="J9"/>
  <c i="18" r="AV120"/>
  <c i="18" r="AV146" s="1"/>
  <c i="18" r="BO40"/>
  <c i="18" r="BB40"/>
  <c i="18" r="BG40"/>
  <c i="18" r="BL40"/>
  <c i="18" r="AZ40"/>
  <c i="18" r="BD40"/>
  <c i="18" r="BJ40"/>
  <c i="18" r="BI40"/>
  <c i="18" r="BQ40"/>
  <c i="18" r="BS40"/>
  <c i="18" r="BN40"/>
  <c i="18" r="BR40"/>
  <c i="18" r="BF40"/>
  <c i="18" r="BA40"/>
  <c i="18" r="BK40"/>
  <c i="18" r="BH40"/>
  <c i="18" r="BC40"/>
  <c i="18" r="BP40"/>
  <c i="18" r="BM40"/>
  <c i="18" r="BE40"/>
  <c i="18" r="BU36"/>
  <c i="18" r="CS36" s="1"/>
  <c i="18" r="AV125"/>
  <c i="18" r="AV151" s="1"/>
  <c i="18" r="BG45"/>
  <c i="18" r="BJ45"/>
  <c i="18" r="BC45"/>
  <c i="18" r="BS45"/>
  <c i="18" r="BM45"/>
  <c i="18" r="BF45"/>
  <c i="18" r="AZ45"/>
  <c i="18" r="BB45"/>
  <c i="18" r="BP45"/>
  <c i="18" r="BI45"/>
  <c i="18" r="BL45"/>
  <c i="18" r="BN45"/>
  <c i="18" r="BE45"/>
  <c i="18" r="BA45"/>
  <c i="18" r="BR45"/>
  <c i="18" r="BH45"/>
  <c i="18" r="BK45"/>
  <c i="18" r="BO45"/>
  <c i="18" r="BD45"/>
  <c i="18" r="BQ45"/>
  <c i="18" r="AV117"/>
  <c i="18" r="AV143" s="1"/>
  <c i="18" r="BL37"/>
  <c i="18" r="BA37"/>
  <c i="18" r="BG37"/>
  <c i="18" r="BO37"/>
  <c i="18" r="BR37"/>
  <c i="18" r="BK37"/>
  <c i="18" r="BF37"/>
  <c i="18" r="BN37"/>
  <c i="18" r="BE37"/>
  <c i="18" r="AZ37"/>
  <c i="18" r="BJ37"/>
  <c i="18" r="BQ37"/>
  <c i="18" r="BC37"/>
  <c i="18" r="BM37"/>
  <c i="18" r="BI37"/>
  <c i="18" r="BD37"/>
  <c i="18" r="BP37"/>
  <c i="18" r="BB37"/>
  <c i="18" r="BS37"/>
  <c i="18" r="BH37"/>
  <c i="1" r="BS77"/>
  <c i="18" r="BE57"/>
  <c i="1" r="BA76"/>
  <c i="18" r="AV129"/>
  <c i="18" r="AV155" s="1"/>
  <c i="18" r="BF49"/>
  <c i="18" r="BO49"/>
  <c i="18" r="BI49"/>
  <c i="18" r="BK49"/>
  <c i="18" r="BB49"/>
  <c i="18" r="BQ49"/>
  <c i="18" r="BL49"/>
  <c i="18" r="BE49"/>
  <c i="18" r="BH49"/>
  <c i="18" r="BA49"/>
  <c i="18" r="BS49"/>
  <c i="18" r="BN49"/>
  <c i="18" r="BD49"/>
  <c i="18" r="BG49"/>
  <c i="18" r="BP49"/>
  <c i="18" r="BJ49"/>
  <c i="18" r="AZ49"/>
  <c i="18" r="BM49"/>
  <c i="18" r="BC49"/>
  <c i="18" r="BR49"/>
  <c i="1" r="BC67"/>
  <c i="1" r="BI72"/>
  <c i="1" r="AX65"/>
  <c i="1" r="BB81"/>
  <c i="1" r="AY81"/>
  <c i="1" r="BD77"/>
  <c i="1" r="BE75"/>
  <c i="1" r="AX75"/>
  <c i="1" r="BJ61"/>
  <c i="1" r="BQ80"/>
  <c i="1" r="BQ68"/>
  <c i="1" r="BE76"/>
  <c i="1" r="AX76"/>
  <c i="1" r="BL71"/>
  <c i="1" r="BS61"/>
  <c i="1" r="BR73"/>
  <c i="1" r="BA61"/>
  <c i="1" r="BS82"/>
  <c i="1" r="BP82"/>
  <c i="1" r="BC77"/>
  <c i="1" r="BP69"/>
  <c i="1" r="AZ82"/>
  <c i="1" r="BC72"/>
  <c i="1" r="BD80"/>
  <c i="1" r="BE81"/>
  <c i="1" r="BA67"/>
  <c i="1" r="AY74"/>
  <c i="1" r="BE79"/>
  <c i="1" r="BB79"/>
  <c i="1" r="BK73"/>
  <c i="1" r="BB66"/>
  <c i="1" r="BH78"/>
  <c i="1" r="BB61"/>
  <c i="1" r="BO68"/>
  <c i="1" r="BJ81"/>
  <c i="1" r="BL66"/>
  <c i="1" r="BL77"/>
  <c i="1" r="BF77"/>
  <c i="1" r="BO71"/>
  <c i="1" r="BF64"/>
  <c i="1" r="BL76"/>
  <c i="1" r="BP71"/>
  <c i="1" r="AZ72"/>
  <c i="1" r="BN81"/>
  <c i="1" r="BR70"/>
  <c i="1" r="BS69"/>
  <c i="1" r="BJ62"/>
  <c i="1" r="AX82"/>
  <c i="1" r="BG63"/>
  <c i="1" r="BH68"/>
  <c i="1" r="AX74"/>
  <c i="1" r="BB80"/>
  <c i="1" r="BK75"/>
  <c i="1" r="BM77"/>
  <c i="1" r="BE66"/>
  <c i="1" r="BM80"/>
  <c i="1" r="BP63"/>
  <c i="1" r="BG64"/>
  <c i="1" r="BD70"/>
  <c i="1" r="BI64"/>
  <c i="1" r="BQ78"/>
  <c i="1" r="AX62"/>
  <c i="1" r="BC65"/>
  <c i="1" r="BL63"/>
  <c i="1" r="AY77"/>
  <c i="1" r="BB74"/>
  <c i="1" r="BR66"/>
  <c i="1" r="AY67"/>
  <c i="1" r="BN66"/>
  <c i="1" r="BC75"/>
  <c i="1" r="BQ72"/>
  <c i="1" r="BB68"/>
  <c i="1" r="BQ75"/>
  <c i="1" r="BG73"/>
  <c i="1" r="AY71"/>
  <c i="1" r="BE80"/>
  <c i="1" r="AZ77"/>
  <c i="1" r="BM61"/>
  <c i="1" r="BA63"/>
  <c i="1" r="BB65"/>
  <c i="1" r="BN73"/>
  <c i="1" r="BS79"/>
  <c i="1" r="BG68"/>
  <c i="1" r="BO81"/>
  <c i="1" r="BE72"/>
  <c i="1" r="AZ63"/>
  <c i="1" r="BS62"/>
  <c i="1" r="BP62"/>
  <c i="1" r="BL82"/>
  <c i="1" r="AX66"/>
  <c i="1" r="BG67"/>
  <c i="1" r="BB82"/>
  <c i="1" r="BM76"/>
  <c i="1" r="BQ62"/>
  <c i="1" r="BD74"/>
  <c i="1" r="BF76"/>
  <c i="1" r="AX67"/>
  <c i="1" r="BD61"/>
  <c i="1" r="AZ70"/>
  <c i="1" r="BS75"/>
  <c i="1" r="BD63"/>
  <c i="1" r="BH74"/>
  <c i="1" r="AX78"/>
  <c i="1" r="BI70"/>
  <c i="1" r="AZ61"/>
  <c i="1" r="BP77"/>
  <c i="1" r="BO82"/>
  <c i="1" r="BP80"/>
  <c i="1" r="BB64"/>
  <c i="1" r="BC78"/>
  <c i="1" r="BF80"/>
  <c i="1" r="BJ82"/>
  <c i="1" r="BH72"/>
  <c i="1" r="BA81"/>
  <c i="1" r="BH79"/>
  <c i="1" r="BM75"/>
  <c i="1" r="BD67"/>
  <c i="1" r="BR71"/>
  <c i="1" r="BM62"/>
  <c i="1" r="BA74"/>
  <c i="1" r="BG74"/>
  <c i="1" r="BB76"/>
  <c i="1" r="BM68"/>
  <c i="1" r="BC81"/>
  <c i="1" r="BR82"/>
  <c i="1" r="BS80"/>
  <c i="1" r="AX79"/>
  <c i="1" r="BF62"/>
  <c i="1" r="BG76"/>
  <c i="1" r="AZ78"/>
  <c i="1" r="BE68"/>
  <c i="1" r="BH73"/>
  <c i="1" r="BK63"/>
  <c i="1" r="BN72"/>
  <c i="1" r="AZ69"/>
  <c i="1" r="BC70"/>
  <c i="1" r="BI61"/>
  <c i="1" r="BH66"/>
  <c i="1" r="BP79"/>
  <c i="1" r="BD76"/>
  <c i="1" r="BF74"/>
  <c i="1" r="BQ66"/>
  <c i="1" r="BG79"/>
  <c i="1" r="AZ81"/>
  <c i="1" r="BA79"/>
  <c i="1" r="BB77"/>
  <c i="1" r="BH81"/>
  <c i="1" r="BK74"/>
  <c i="1" r="BF66"/>
  <c i="1" r="BN62"/>
  <c i="1" r="BN79"/>
  <c i="1" r="BP64"/>
  <c i="1" r="AZ76"/>
  <c i="1" r="BA65"/>
  <c i="1" r="AX68"/>
  <c i="1" r="BF63"/>
  <c i="1" r="AY72"/>
  <c i="1" r="BO77"/>
  <c i="1" r="BA78"/>
  <c i="1" r="BM72"/>
  <c i="1" r="BJ72"/>
  <c i="1" r="AY65"/>
  <c i="1" r="BK77"/>
  <c i="1" r="BD79"/>
  <c i="1" r="BE77"/>
  <c i="1" r="BF75"/>
  <c i="1" r="AY75"/>
  <c i="1" r="BO72"/>
  <c i="1" r="BJ77"/>
  <c i="1" r="BL73"/>
  <c i="1" r="BK62"/>
  <c i="1" r="BA82"/>
  <c i="1" r="BG65"/>
  <c i="1" r="BR80"/>
  <c i="1" r="AX63"/>
  <c i="1" r="BS64"/>
  <c i="1" r="BD81"/>
  <c i="1" r="BI77"/>
  <c i="1" r="BQ73"/>
  <c i="1" r="BK79"/>
  <c i="1" r="BR64"/>
  <c i="8" r="S35"/>
  <c i="1" r="BL72"/>
  <c i="1" r="BN70"/>
  <c i="1" r="BC63"/>
  <c i="1" r="BO75"/>
  <c i="1" r="BH77"/>
  <c i="1" r="BI75"/>
  <c i="1" r="BJ73"/>
  <c i="1" r="BC73"/>
  <c i="1" r="BS70"/>
  <c i="1" r="BG80"/>
  <c i="1" r="BI74"/>
  <c i="1" r="AX61"/>
  <c i="1" r="BN80"/>
  <c i="1" r="BI66"/>
  <c i="1" r="BG70"/>
  <c i="1" r="BK68"/>
  <c i="1" r="BE61"/>
  <c i="1" r="BB78"/>
  <c i="1" r="BJ74"/>
  <c i="1" r="BA68"/>
  <c i="1" r="BK66"/>
  <c i="1" r="BJ63"/>
  <c i="1" r="BR68"/>
  <c i="1" r="BC61"/>
  <c i="1" r="BS73"/>
  <c i="1" r="BL75"/>
  <c i="1" r="BM73"/>
  <c i="1" r="BN71"/>
  <c i="1" r="BG71"/>
  <c i="1" r="BA69"/>
  <c i="1" r="BG77"/>
  <c i="1" r="BI78"/>
  <c i="1" r="BF65"/>
  <c i="1" r="BM82"/>
  <c i="1" r="AY79"/>
  <c i="1" r="AX81"/>
  <c i="1" r="BL61"/>
  <c i="1" r="BI82"/>
  <c i="1" r="BH65"/>
  <c i="1" r="AX70"/>
  <c i="1" r="BK72"/>
  <c i="1" r="AZ67"/>
  <c i="1" r="BF81"/>
  <c i="1" r="BA72"/>
  <c i="1" r="BP73"/>
  <c i="1" r="BQ71"/>
  <c i="1" r="BR69"/>
  <c i="1" r="BK69"/>
  <c i="1" r="BE67"/>
  <c i="1" r="BA70"/>
  <c i="1" r="BM64"/>
  <c i="1" r="BQ74"/>
  <c i="1" r="BO66"/>
  <c i="1" r="BP75"/>
  <c i="1" r="BF70"/>
  <c i="1" r="BQ79"/>
  <c i="1" r="BO64"/>
  <c i="1" r="BQ70"/>
  <c i="1" r="BD65"/>
  <c i="1" r="BJ79"/>
  <c i="1" r="BE70"/>
  <c i="1" r="AX72"/>
  <c i="1" r="AY70"/>
  <c i="1" r="AZ68"/>
  <c i="1" r="BO67"/>
  <c i="1" r="BI65"/>
  <c i="1" r="BJ64"/>
  <c i="1" r="BI81"/>
  <c i="1" r="BG75"/>
  <c i="1" r="BJ75"/>
  <c i="1" r="BB72"/>
  <c i="1" r="BD68"/>
  <c i="1" r="BL64"/>
  <c i="1" r="BP70"/>
  <c i="1" r="BH63"/>
  <c i="1" r="BN77"/>
  <c i="1" r="BI68"/>
  <c i="1" r="BB70"/>
  <c i="1" r="BC68"/>
  <c i="1" r="BD66"/>
  <c i="1" r="BS65"/>
  <c i="1" r="BM63"/>
  <c i="1" r="BC66"/>
  <c i="1" r="BO73"/>
  <c i="1" r="BG61"/>
  <c i="1" r="BD75"/>
  <c i="1" r="BP81"/>
  <c i="1" r="AX80"/>
  <c i="1" r="BL70"/>
  <c i="1" r="BG81"/>
  <c i="1" r="BE65"/>
  <c i="1" r="BR79"/>
  <c i="1" r="BL81"/>
  <c i="1" r="BO70"/>
  <c i="1" r="BH61"/>
  <c i="1" r="BR75"/>
  <c i="1" r="BM66"/>
  <c i="1" r="BF68"/>
  <c i="1" r="BG66"/>
  <c i="1" r="BH64"/>
  <c i="1" r="BA64"/>
  <c i="1" r="BN75"/>
  <c i="1" r="BS71"/>
  <c i="1" r="BR78"/>
  <c i="1" r="BR77"/>
  <c i="1" r="BH82"/>
  <c i="1" r="BP68"/>
  <c i="1" r="BI63"/>
  <c i="1" r="BK61"/>
  <c i="1" r="BM81"/>
  <c i="1" r="BJ68"/>
  <c i="1" r="AY69"/>
  <c i="1" r="BK81"/>
  <c i="1" r="AZ74"/>
  <c i="1" r="BQ64"/>
  <c i="1" r="BJ66"/>
  <c i="1" r="BK64"/>
  <c i="1" r="BL62"/>
  <c i="1" r="BE62"/>
  <c i="1" r="CR12"/>
  <c i="17" r="X64"/>
  <c i="17" r="J62"/>
  <c i="17" r="I76"/>
  <c i="17" r="H77"/>
  <c i="17" r="U72"/>
  <c i="17" r="F79"/>
  <c i="17" r="K73"/>
  <c i="17" r="F67"/>
  <c i="17" r="U71"/>
  <c i="17" r="H61"/>
  <c i="17" r="I66"/>
  <c i="17" r="I74"/>
  <c i="17" r="O61"/>
  <c i="17" r="L66"/>
  <c i="17" r="O63"/>
  <c i="17" r="X70"/>
  <c i="17" r="W59"/>
  <c i="17" r="E59"/>
  <c i="17" r="I72"/>
  <c i="17" r="Q67"/>
  <c i="17" r="Q60"/>
  <c i="17" r="L77"/>
  <c i="17" r="O70"/>
  <c i="17" r="T64"/>
  <c i="17" r="Q75"/>
  <c i="17" r="E78"/>
  <c i="17" r="I60"/>
  <c i="17" r="F68"/>
  <c i="17" r="N61"/>
  <c i="17" r="J75"/>
  <c i="17" r="T78"/>
  <c i="17" r="S79"/>
  <c i="17" r="N69"/>
  <c i="17" r="O74"/>
  <c i="17" r="Q73"/>
  <c i="17" r="I75"/>
  <c i="17" r="C77"/>
  <c i="17" r="R66"/>
  <c i="17" r="N79"/>
  <c i="17" r="W71"/>
  <c i="17" r="C62"/>
  <c i="17" r="L73"/>
  <c i="17" r="N72"/>
  <c i="17" r="G79"/>
  <c i="17" r="E76"/>
  <c i="17" r="P66"/>
  <c i="17" r="O71"/>
  <c i="17" r="R76"/>
  <c i="17" r="R65"/>
  <c i="17" r="I65"/>
  <c i="17" r="W68"/>
  <c i="17" r="X79"/>
  <c i="17" r="K64"/>
  <c i="17" r="K70"/>
  <c i="17" r="K71"/>
  <c i="17" r="G60"/>
  <c i="17" r="P72"/>
  <c i="17" r="W75"/>
  <c i="17" r="C72"/>
  <c i="17" r="S74"/>
  <c i="17" r="I59"/>
  <c i="17" r="D77"/>
  <c i="17" r="R77"/>
  <c i="17" r="W58"/>
  <c i="17" r="V65"/>
  <c i="17" r="L69"/>
  <c i="17" r="M72"/>
  <c i="17" r="E79"/>
  <c i="17" r="O64"/>
  <c i="17" r="N75"/>
  <c i="17" r="O66"/>
  <c i="17" r="U68"/>
  <c i="17" r="F74"/>
  <c i="17" r="W69"/>
  <c i="17" r="V64"/>
  <c i="17" r="F71"/>
  <c i="17" r="L62"/>
  <c i="17" r="R72"/>
  <c i="17" r="S76"/>
  <c i="17" r="W66"/>
  <c i="17" r="O75"/>
  <c i="17" r="S75"/>
  <c i="17" r="D73"/>
  <c i="17" r="D58"/>
  <c i="17" r="T62"/>
  <c i="17" r="L79"/>
  <c i="17" r="K78"/>
  <c i="17" r="C70"/>
  <c i="17" r="W63"/>
  <c i="17" r="K79"/>
  <c i="17" r="K58"/>
  <c i="17" r="X77"/>
  <c i="17" r="K77"/>
  <c i="17" r="T79"/>
  <c i="17" r="P64"/>
  <c i="17" r="F65"/>
  <c i="17" r="G58"/>
  <c i="17" r="S60"/>
  <c i="17" r="F62"/>
  <c i="17" r="C74"/>
  <c i="17" r="I58"/>
  <c i="17" r="S77"/>
  <c i="17" r="S68"/>
  <c i="17" r="V66"/>
  <c i="17" r="X65"/>
  <c i="17" r="V60"/>
  <c i="17" r="M76"/>
  <c i="17" r="I63"/>
  <c i="17" r="L76"/>
  <c i="17" r="J61"/>
  <c i="17" r="T68"/>
  <c i="17" r="T67"/>
  <c i="17" r="Q65"/>
  <c i="17" r="K68"/>
  <c i="17" r="H63"/>
  <c i="17" r="H66"/>
  <c i="17" r="N78"/>
  <c i="17" r="D79"/>
  <c i="17" r="L74"/>
  <c i="17" r="W79"/>
  <c i="17" r="Q71"/>
  <c i="17" r="F63"/>
  <c i="17" r="F76"/>
  <c i="17" r="M64"/>
  <c i="17" r="W64"/>
  <c i="17" r="V74"/>
  <c i="17" r="N58"/>
  <c i="17" r="X73"/>
  <c i="17" r="V79"/>
  <c i="17" r="J71"/>
  <c i="17" r="O79"/>
  <c i="17" r="W72"/>
  <c i="17" r="E77"/>
  <c i="17" r="P69"/>
  <c i="17" r="X59"/>
  <c i="17" r="N64"/>
  <c i="17" r="O67"/>
  <c i="17" r="F64"/>
  <c i="17" r="R59"/>
  <c i="17" r="R70"/>
  <c i="17" r="L59"/>
  <c i="17" r="F75"/>
  <c i="17" r="O60"/>
  <c i="17" r="T75"/>
  <c i="17" r="Q70"/>
  <c i="17" r="V67"/>
  <c i="17" r="P78"/>
  <c i="17" r="F72"/>
  <c i="17" r="G73"/>
  <c i="17" r="E60"/>
  <c i="17" r="G62"/>
  <c i="17" r="O78"/>
  <c i="17" r="F60"/>
  <c i="17" r="X63"/>
  <c i="17" r="D62"/>
  <c i="17" r="H70"/>
  <c i="17" r="F77"/>
  <c i="17" r="X69"/>
  <c i="17" r="E58"/>
  <c i="17" r="K67"/>
  <c i="17" r="Q77"/>
  <c i="17" r="H60"/>
  <c i="17" r="E69"/>
  <c i="17" r="X76"/>
  <c i="17" r="P58"/>
  <c i="17" r="P59"/>
  <c i="17" r="P75"/>
  <c i="17" r="H78"/>
  <c i="17" r="T77"/>
  <c i="17" r="C65"/>
  <c i="17" r="C63"/>
  <c i="17" r="M65"/>
  <c i="17" r="C58"/>
  <c i="17" r="P67"/>
  <c i="17" r="L61"/>
  <c i="17" r="J72"/>
  <c i="17" r="C64"/>
  <c i="17" r="I67"/>
  <c i="17" r="F78"/>
  <c i="17" r="V63"/>
  <c i="17" r="E67"/>
  <c i="17" r="E65"/>
  <c i="17" r="P63"/>
  <c i="17" r="H65"/>
  <c i="17" r="J73"/>
  <c i="17" r="N76"/>
  <c i="17" r="S62"/>
  <c i="17" r="G75"/>
  <c i="17" r="C67"/>
  <c i="17" r="J67"/>
  <c i="17" r="D78"/>
  <c i="17" r="C59"/>
  <c i="17" r="W60"/>
  <c i="17" r="M67"/>
  <c i="17" r="C68"/>
  <c i="17" r="U73"/>
  <c i="17" r="R60"/>
  <c i="17" r="U69"/>
  <c i="17" r="D66"/>
  <c i="17" r="V69"/>
  <c i="17" r="J69"/>
  <c i="17" r="D68"/>
  <c i="17" r="F73"/>
  <c i="17" r="H67"/>
  <c i="17" r="Q74"/>
  <c i="17" r="K59"/>
  <c i="17" r="O59"/>
  <c i="17" r="J78"/>
  <c i="17" r="K76"/>
  <c i="17" r="G74"/>
  <c i="17" r="T60"/>
  <c i="17" r="Q62"/>
  <c i="17" r="R62"/>
  <c i="17" r="C78"/>
  <c i="17" r="P71"/>
  <c i="17" r="H59"/>
  <c i="17" r="D69"/>
  <c i="17" r="U77"/>
  <c i="17" r="M58"/>
  <c i="17" r="E64"/>
  <c i="17" r="V78"/>
  <c i="17" r="R74"/>
  <c i="17" r="M60"/>
  <c i="17" r="R63"/>
  <c i="17" r="W74"/>
  <c i="17" r="G63"/>
  <c i="17" r="Q58"/>
  <c i="17" r="U66"/>
  <c i="17" r="Q63"/>
  <c i="17" r="R79"/>
  <c i="17" r="H71"/>
  <c i="17" r="V62"/>
  <c i="17" r="U76"/>
  <c i="17" r="C75"/>
  <c i="17" r="P79"/>
  <c i="17" r="P60"/>
  <c i="17" r="J59"/>
  <c i="17" r="L60"/>
  <c i="17" r="K65"/>
  <c i="17" r="L65"/>
  <c i="17" r="Q79"/>
  <c i="17" r="I71"/>
  <c i="17" r="L75"/>
  <c i="17" r="E75"/>
  <c i="17" r="H74"/>
  <c i="17" r="E71"/>
  <c i="17" r="D64"/>
  <c i="17" r="V70"/>
  <c i="17" r="D60"/>
  <c i="17" r="X68"/>
  <c i="17" r="G66"/>
  <c i="17" r="E61"/>
  <c i="17" r="D67"/>
  <c i="17" r="H68"/>
  <c i="17" r="W67"/>
  <c i="17" r="N66"/>
  <c i="17" r="S69"/>
  <c i="17" r="S61"/>
  <c i="17" r="W73"/>
  <c i="17" r="X60"/>
  <c i="17" r="H73"/>
  <c i="17" r="O69"/>
  <c i="17" r="L71"/>
  <c i="17" r="N65"/>
  <c i="17" r="G65"/>
  <c i="17" r="E73"/>
  <c i="17" r="H79"/>
  <c i="17" r="S78"/>
  <c i="17" r="C73"/>
  <c i="17" r="X72"/>
  <c i="17" r="X74"/>
  <c i="17" r="J58"/>
  <c i="17" r="J64"/>
  <c i="17" r="G61"/>
  <c i="17" r="Q78"/>
  <c i="17" r="W76"/>
  <c i="17" r="I77"/>
  <c i="17" r="E72"/>
  <c i="17" r="J68"/>
  <c i="17" r="K63"/>
  <c i="17" r="G68"/>
  <c i="17" r="I70"/>
  <c i="17" r="U65"/>
  <c i="17" r="N63"/>
  <c i="17" r="S72"/>
  <c i="17" r="N73"/>
  <c i="17" r="D71"/>
  <c i="17" r="I78"/>
  <c i="17" r="R58"/>
  <c i="17" r="P76"/>
  <c i="17" r="Q64"/>
  <c i="17" r="T69"/>
  <c i="17" r="M73"/>
  <c i="17" r="N62"/>
  <c i="17" r="C61"/>
  <c i="17" r="O73"/>
  <c i="17" r="V58"/>
  <c i="17" r="U78"/>
  <c i="17" r="F61"/>
  <c i="17" r="J70"/>
  <c i="17" r="H69"/>
  <c i="17" r="R68"/>
  <c i="17" r="D59"/>
  <c i="17" r="G64"/>
  <c i="17" r="G72"/>
  <c i="17" r="T72"/>
  <c i="17" r="Q69"/>
  <c i="17" r="O65"/>
  <c i="17" r="P73"/>
  <c i="17" r="C69"/>
  <c i="17" r="Q68"/>
  <c i="17" r="J65"/>
  <c i="17" r="G70"/>
  <c i="17" r="W62"/>
  <c i="17" r="W61"/>
  <c i="17" r="N77"/>
  <c i="17" r="M69"/>
  <c i="17" r="D70"/>
  <c i="17" r="V59"/>
  <c i="17" r="N70"/>
  <c i="17" r="D61"/>
  <c i="17" r="Q76"/>
  <c i="17" r="T59"/>
  <c i="17" r="T65"/>
  <c i="17" r="O77"/>
  <c i="17" r="K66"/>
  <c i="17" r="E68"/>
  <c i="17" r="U62"/>
  <c i="17" r="X58"/>
  <c i="17" r="P74"/>
  <c i="17" r="R64"/>
  <c i="17" r="C76"/>
  <c i="17" r="P77"/>
  <c i="17" r="F66"/>
  <c i="17" r="J77"/>
  <c i="17" r="E74"/>
  <c i="17" r="H62"/>
  <c i="17" r="E70"/>
  <c i="17" r="S67"/>
  <c i="17" r="S71"/>
  <c i="17" r="D74"/>
  <c i="17" r="G67"/>
  <c i="17" r="H64"/>
  <c i="17" r="G69"/>
  <c i="17" r="U61"/>
  <c i="17" r="O58"/>
  <c i="17" r="M79"/>
  <c i="17" r="S64"/>
  <c i="17" r="U64"/>
  <c i="17" r="D65"/>
  <c i="17" r="U59"/>
  <c i="17" r="V71"/>
  <c i="17" r="U79"/>
  <c i="17" r="M66"/>
  <c i="17" r="W65"/>
  <c i="17" r="R69"/>
  <c i="17" r="M71"/>
  <c i="17" r="M70"/>
  <c i="17" r="U60"/>
  <c i="17" r="G77"/>
  <c i="17" r="R71"/>
  <c i="17" r="N71"/>
  <c i="17" r="D76"/>
  <c i="17" r="Q66"/>
  <c i="17" r="X67"/>
  <c i="17" r="T73"/>
  <c i="17" r="L68"/>
  <c i="17" r="U70"/>
  <c i="17" r="F69"/>
  <c i="17" r="F59"/>
  <c i="17" r="K72"/>
  <c i="17" r="O76"/>
  <c i="17" r="R61"/>
  <c i="17" r="T58"/>
  <c i="17" r="L58"/>
  <c i="17" r="N68"/>
  <c i="17" r="U67"/>
  <c i="17" r="V77"/>
  <c i="17" r="X62"/>
  <c i="17" r="L78"/>
  <c i="17" r="M61"/>
  <c i="17" r="P61"/>
  <c i="17" r="S59"/>
  <c i="17" r="X78"/>
  <c i="17" r="V73"/>
  <c i="17" r="K75"/>
  <c i="17" r="M77"/>
  <c i="17" r="M68"/>
  <c i="17" r="C71"/>
  <c i="17" r="S73"/>
  <c i="17" r="E62"/>
  <c i="17" r="X66"/>
  <c i="17" r="T70"/>
  <c i="17" r="V76"/>
  <c i="17" r="H72"/>
  <c i="17" r="X75"/>
  <c i="17" r="Q72"/>
  <c i="17" r="R73"/>
  <c i="17" r="I73"/>
  <c i="17" r="N59"/>
  <c i="17" r="G76"/>
  <c i="17" r="F70"/>
  <c i="17" r="G78"/>
  <c i="17" r="H76"/>
  <c i="17" r="P70"/>
  <c i="17" r="D75"/>
  <c i="17" r="L63"/>
  <c i="17" r="T66"/>
  <c i="17" r="C79"/>
  <c i="17" r="Q59"/>
  <c i="17" r="R78"/>
  <c i="17" r="T76"/>
  <c i="17" r="V68"/>
  <c i="17" r="K61"/>
  <c i="17" r="X71"/>
  <c i="17" r="U63"/>
  <c i="17" r="V61"/>
  <c i="17" r="W70"/>
  <c i="17" r="M59"/>
  <c i="17" r="T61"/>
  <c i="17" r="S58"/>
  <c i="17" r="I79"/>
  <c i="17" r="I61"/>
  <c i="17" r="T71"/>
  <c i="17" r="H58"/>
  <c i="17" r="V72"/>
  <c i="17" r="L72"/>
  <c i="17" r="U58"/>
  <c i="17" r="I69"/>
  <c i="17" r="H75"/>
  <c i="17" r="R75"/>
  <c i="17" r="Q61"/>
  <c i="17" r="M74"/>
  <c i="17" r="G59"/>
  <c i="17" r="E63"/>
  <c i="17" r="R67"/>
  <c i="17" r="E66"/>
  <c i="17" r="D63"/>
  <c i="17" r="W78"/>
  <c i="17" r="N67"/>
  <c i="17" r="J66"/>
  <c i="17" r="C66"/>
  <c i="17" r="S66"/>
  <c i="17" r="O68"/>
  <c i="17" r="L64"/>
  <c i="17" r="M75"/>
  <c i="17" r="D72"/>
  <c i="17" r="M63"/>
  <c i="17" r="V75"/>
  <c i="17" r="W77"/>
  <c i="17" r="J74"/>
  <c i="17" r="J79"/>
  <c i="17" r="P62"/>
  <c i="17" r="N60"/>
  <c i="17" r="P68"/>
  <c i="17" r="K62"/>
  <c i="17" r="I62"/>
  <c i="17" r="S63"/>
  <c i="17" r="I68"/>
  <c i="17" r="M78"/>
  <c i="17" r="S65"/>
  <c i="17" r="L70"/>
  <c i="17" r="K60"/>
  <c i="17" r="T74"/>
  <c i="17" r="U75"/>
  <c i="1" r="CC42"/>
  <c i="17" r="X61"/>
  <c i="17" r="J76"/>
  <c i="17" r="K74"/>
  <c i="17" r="P65"/>
  <c i="1" r="BP74"/>
  <c i="17" r="T63"/>
  <c i="1" r="AX73"/>
  <c i="17" r="J63"/>
  <c i="1" r="BP78"/>
  <c i="1" r="BB71"/>
  <c i="17" r="O62"/>
  <c i="1" r="BN69"/>
  <c i="1" r="BF69"/>
  <c i="17" r="L67"/>
  <c i="1" r="BD64"/>
  <c i="1" r="BA71"/>
  <c i="17" r="S70"/>
  <c i="1" r="BK80"/>
  <c i="1" r="BE69"/>
  <c i="17" r="C60"/>
  <c i="1" r="BG62"/>
  <c i="1" r="BI67"/>
  <c i="17" r="M62"/>
  <c i="1" r="BE82"/>
  <c i="1" r="BM65"/>
  <c i="17" r="F58"/>
  <c i="1" r="BI80"/>
  <c i="1" r="BQ63"/>
  <c i="17" r="J60"/>
  <c i="1" r="BM78"/>
  <c i="1" r="AY62"/>
  <c i="1" r="CI36"/>
  <c i="17" r="N74"/>
  <c i="17" r="I64"/>
  <c i="1" r="BQ76"/>
  <c i="1" r="BJ71"/>
  <c i="17" r="U74"/>
  <c i="17" r="K69"/>
  <c i="1" r="BE63"/>
  <c i="1" r="CI33"/>
  <c i="1" r="BL80"/>
  <c i="1" r="BJ78"/>
  <c i="1" r="BF73"/>
  <c i="1" r="BN76"/>
  <c i="1" r="BR67"/>
  <c i="1" r="BK71"/>
  <c i="1" r="BR74"/>
  <c i="1" r="AZ66"/>
  <c i="1" r="BO69"/>
  <c i="1" r="AZ73"/>
  <c i="1" r="BH62"/>
  <c i="1" r="BS67"/>
  <c i="1" r="BD71"/>
  <c i="1" r="BP61"/>
  <c i="1" r="BA66"/>
  <c i="1" r="BH69"/>
  <c i="1" r="BS81"/>
  <c i="1" r="BE64"/>
  <c i="1" r="BL67"/>
  <c i="1" r="BA80"/>
  <c i="1" r="BI62"/>
  <c i="1" r="BP65"/>
  <c i="1" r="BE78"/>
  <c i="1" r="CI35"/>
  <c i="1" r="AY76"/>
  <c i="1" r="AX64"/>
  <c i="1" r="BI76"/>
  <c i="1" r="CI28"/>
  <c i="1" r="BS76"/>
  <c i="1" r="BB62"/>
  <c i="1" r="BM74"/>
  <c i="1" r="CI23"/>
  <c i="1" r="BC69"/>
  <c i="1" r="BA75"/>
  <c i="1" r="BK78"/>
  <c i="1" r="BJ67"/>
  <c i="1" r="BK65"/>
  <c i="1" r="BE73"/>
  <c i="1" r="BO76"/>
  <c i="1" r="BN65"/>
  <c i="1" r="BO63"/>
  <c i="1" r="BI71"/>
  <c i="1" r="BS74"/>
  <c i="1" r="BR63"/>
  <c i="1" r="BS66"/>
  <c i="1" r="BM69"/>
  <c i="1" r="BA73"/>
  <c i="1" r="AZ62"/>
  <c i="1" r="BO61"/>
  <c i="1" r="BQ67"/>
  <c i="1" r="BE71"/>
  <c i="1" r="BL79"/>
  <c i="1" r="BR81"/>
  <c i="1" r="AY66"/>
  <c i="1" r="BI69"/>
  <c i="1" r="BR61"/>
  <c i="1" r="AZ80"/>
  <c i="1" r="CI32"/>
  <c i="1" r="BR76"/>
  <c i="1" r="BM67"/>
  <c i="1" r="AY82"/>
  <c i="1" r="BD78"/>
  <c i="1" r="BM71"/>
  <c i="1" r="AZ75"/>
  <c i="1" r="BQ65"/>
  <c i="1" r="BC80"/>
  <c i="1" r="BH76"/>
  <c i="1" r="CI37"/>
  <c i="1" r="BQ69"/>
  <c i="1" r="BD73"/>
  <c i="1" r="AY64"/>
  <c i="1" r="BG78"/>
  <c i="1" r="BL74"/>
  <c i="1" r="AY68"/>
  <c i="1" r="BH71"/>
  <c i="1" r="BC62"/>
  <c i="1" r="BK76"/>
  <c i="1" r="BP72"/>
  <c i="1" r="CI31"/>
  <c i="1" r="BL69"/>
  <c i="1" r="BF61"/>
  <c i="1" r="BO74"/>
  <c i="1" r="BB69"/>
  <c i="1" r="BP67"/>
  <c i="1" r="BN68"/>
  <c i="1" r="BS72"/>
  <c i="1" r="BF67"/>
  <c i="1" r="CI41"/>
  <c i="1" r="BQ61"/>
  <c i="1" r="AX71"/>
  <c i="1" r="CB42"/>
  <c i="1" r="CF30" s="1"/>
  <c i="18" r="L12" s="1"/>
  <c i="1" r="BC64"/>
  <c i="1" r="BB73"/>
  <c i="1" r="AY73"/>
  <c i="1" r="BF78"/>
  <c i="1" r="BJ65"/>
  <c i="1" r="BQ77"/>
  <c i="1" r="BF71"/>
  <c i="1" r="BC71"/>
  <c i="1" r="BJ76"/>
  <c i="1" r="BN63"/>
  <c i="1" r="BJ70"/>
  <c i="1" r="BJ69"/>
  <c i="1" r="BG69"/>
  <c i="1" r="BN74"/>
  <c i="1" r="BK70"/>
  <c i="1" r="AX77"/>
  <c i="1" r="BN67"/>
  <c i="1" r="BK67"/>
  <c i="1" r="BR72"/>
  <c i="1" r="BB75"/>
  <c i="1" r="BO78"/>
  <c i="1" r="BR65"/>
  <c i="1" r="BO65"/>
  <c i="1" r="AZ71"/>
  <c i="1" r="BG82"/>
  <c i="1" r="CI39"/>
  <c i="1" r="CI22"/>
  <c i="1" r="BF82"/>
  <c i="1" r="AZ64"/>
  <c i="1" r="BS63"/>
  <c i="1" r="BD69"/>
  <c i="1" r="BN61"/>
  <c i="1" r="AU55"/>
  <c i="1" r="CR13" s="1"/>
  <c i="1" r="BJ80"/>
  <c i="1" r="BD62"/>
  <c i="1" r="BA62"/>
  <c i="1" r="BH67"/>
  <c i="1" r="BQ81"/>
  <c i="1" r="CI38"/>
  <c i="1" r="BN78"/>
  <c i="1" r="BG72"/>
  <c i="1" r="BM79"/>
  <c i="1" r="BL65"/>
  <c i="1" r="AY80"/>
  <c i="1" r="CI29"/>
  <c i="1" r="CI34"/>
  <c i="1" r="CD42"/>
  <c i="1" r="AC81"/>
  <c i="1" r="AG79"/>
  <c i="1" r="AK77"/>
  <c i="1" r="AO75"/>
  <c i="1" r="AS73"/>
  <c i="1" r="AA72"/>
  <c i="1" r="AE70"/>
  <c i="1" r="AI68"/>
  <c i="1" r="AM66"/>
  <c i="1" r="AQ64"/>
  <c i="1" r="AU62"/>
  <c i="1" r="AC61"/>
  <c i="1" r="AU61"/>
  <c i="1" r="AP70"/>
  <c i="1" r="AJ72"/>
  <c i="1" r="AE81"/>
  <c i="1" r="AT82"/>
  <c i="1" r="AB81"/>
  <c i="1" r="AF79"/>
  <c i="1" r="AJ77"/>
  <c i="1" r="AN75"/>
  <c i="1" r="AR73"/>
  <c i="1" r="Z72"/>
  <c i="1" r="AD70"/>
  <c i="1" r="AH68"/>
  <c i="1" r="AL66"/>
  <c i="1" r="AP64"/>
  <c i="1" r="AT62"/>
  <c i="1" r="AB61"/>
  <c i="1" r="AR72"/>
  <c i="1" r="AR70"/>
  <c i="1" r="AR79"/>
  <c i="1" r="AL81"/>
  <c i="1" r="AH61"/>
  <c i="1" r="AS82"/>
  <c i="1" r="AA81"/>
  <c i="1" r="AE79"/>
  <c i="1" r="AI77"/>
  <c i="1" r="AM75"/>
  <c i="1" r="AQ73"/>
  <c i="1" r="AU71"/>
  <c i="1" r="AC70"/>
  <c i="1" r="AG68"/>
  <c i="1" r="AK66"/>
  <c i="1" r="AO64"/>
  <c i="1" r="AS62"/>
  <c i="1" r="AA61"/>
  <c i="1" r="AJ65"/>
  <c i="1" r="AP61"/>
  <c i="1" r="AO61"/>
  <c i="1" r="AJ63"/>
  <c i="1" r="AE65"/>
  <c i="1" r="AR82"/>
  <c i="1" r="Z81"/>
  <c i="1" r="AD79"/>
  <c i="1" r="AH77"/>
  <c i="1" r="AL75"/>
  <c i="1" r="AP73"/>
  <c i="1" r="AT71"/>
  <c i="1" r="AB70"/>
  <c i="1" r="AF68"/>
  <c i="1" r="AJ66"/>
  <c i="1" r="AN64"/>
  <c i="1" r="AR62"/>
  <c i="1" r="Z61"/>
  <c i="1" r="AR65"/>
  <c i="1" r="AR63"/>
  <c i="1" r="AJ76"/>
  <c i="1" r="AL74"/>
  <c i="1" r="AC67"/>
  <c i="1" r="AU66"/>
  <c i="1" r="AR66"/>
  <c i="1" r="AQ82"/>
  <c i="1" r="AU80"/>
  <c i="1" r="AC79"/>
  <c i="1" r="AG77"/>
  <c i="1" r="AK75"/>
  <c i="1" r="AO73"/>
  <c i="1" r="AS71"/>
  <c i="1" r="AA70"/>
  <c i="1" r="AE68"/>
  <c i="1" r="AI66"/>
  <c i="1" r="AM64"/>
  <c i="1" r="AQ62"/>
  <c i="1" r="AS63"/>
  <c i="1" r="AH67"/>
  <c i="1" r="AD78"/>
  <c i="1" r="AN72"/>
  <c i="1" r="AD76"/>
  <c i="1" r="AB76"/>
  <c i="1" r="AL79"/>
  <c i="1" r="AP82"/>
  <c i="1" r="BN109" s="1"/>
  <c i="1" r="AT80"/>
  <c i="1" r="AB79"/>
  <c i="1" r="AF77"/>
  <c i="1" r="AJ75"/>
  <c i="1" r="AN73"/>
  <c i="1" r="AR71"/>
  <c i="1" r="Z70"/>
  <c i="1" r="AD68"/>
  <c i="1" r="AH66"/>
  <c i="1" r="AL64"/>
  <c i="1" r="AP62"/>
  <c i="1" r="AM67"/>
  <c i="1" r="Z71"/>
  <c i="1" r="AP72"/>
  <c i="1" r="AA78"/>
  <c i="1" r="AC76"/>
  <c i="1" r="AQ68"/>
  <c i="1" r="AF72"/>
  <c i="1" r="AO82"/>
  <c i="1" r="AS80"/>
  <c i="1" r="AA79"/>
  <c i="1" r="AE77"/>
  <c i="1" r="AI75"/>
  <c i="1" r="AM73"/>
  <c i="1" r="AQ71"/>
  <c i="1" r="AU69"/>
  <c i="1" r="AC68"/>
  <c i="1" r="AG66"/>
  <c i="1" r="AK64"/>
  <c i="1" r="AO62"/>
  <c i="1" r="AN74"/>
  <c i="1" r="AB78"/>
  <c i="1" r="AP79"/>
  <c i="1" r="Z65"/>
  <c i="1" r="AN82"/>
  <c i="1" r="AR80"/>
  <c i="1" r="Z79"/>
  <c i="1" r="AD77"/>
  <c i="1" r="AH75"/>
  <c i="1" r="AL73"/>
  <c i="1" r="AP71"/>
  <c i="1" r="AT69"/>
  <c i="1" r="AB68"/>
  <c i="1" r="AF66"/>
  <c i="1" r="AJ64"/>
  <c i="1" r="AN62"/>
  <c i="1" r="Z62"/>
  <c i="1" r="AD69"/>
  <c i="1" r="AH76"/>
  <c i="1" r="AE76"/>
  <c i="1" r="AG74"/>
  <c i="1" r="AE74"/>
  <c i="1" r="AM82"/>
  <c i="1" r="AQ80"/>
  <c i="1" r="AU78"/>
  <c i="1" r="AC77"/>
  <c i="1" r="AG75"/>
  <c i="1" r="AK73"/>
  <c i="1" r="AO71"/>
  <c i="1" r="AS69"/>
  <c i="1" r="AA68"/>
  <c i="1" r="AE66"/>
  <c i="1" r="AI64"/>
  <c i="1" r="AM62"/>
  <c i="1" r="AU63"/>
  <c i="1" r="AR81"/>
  <c i="1" r="AM72"/>
  <c i="1" r="AM81"/>
  <c i="1" r="AA76"/>
  <c i="1" r="AL82"/>
  <c i="1" r="AP80"/>
  <c i="1" r="AT78"/>
  <c i="1" r="AB77"/>
  <c i="1" r="AF75"/>
  <c i="1" r="AJ73"/>
  <c i="1" r="AN71"/>
  <c i="1" r="AR69"/>
  <c i="1" r="Z68"/>
  <c i="1" r="AX95" s="1"/>
  <c i="1" r="AD66"/>
  <c i="1" r="AH64"/>
  <c i="1" r="AL62"/>
  <c i="1" r="AC62"/>
  <c i="1" r="AP81"/>
  <c i="1" r="AH74"/>
  <c i="1" r="AD63"/>
  <c i="1" r="AK82"/>
  <c i="1" r="AO80"/>
  <c i="1" r="AS78"/>
  <c i="1" r="AA77"/>
  <c i="1" r="AE75"/>
  <c i="1" r="AI73"/>
  <c i="1" r="AM71"/>
  <c i="1" r="AQ69"/>
  <c i="1" r="AU67"/>
  <c i="1" r="AC66"/>
  <c i="1" r="AG64"/>
  <c i="1" r="AK62"/>
  <c i="1" r="AS61"/>
  <c i="1" r="AI74"/>
  <c i="1" r="AU77"/>
  <c i="1" r="AS77"/>
  <c i="1" r="AC72"/>
  <c i="1" r="AJ82"/>
  <c i="1" r="AN80"/>
  <c i="1" r="AR78"/>
  <c i="1" r="Z77"/>
  <c i="1" r="AD75"/>
  <c i="1" r="AH73"/>
  <c i="1" r="AL71"/>
  <c i="1" r="AP69"/>
  <c i="1" r="AT67"/>
  <c i="1" r="AB66"/>
  <c i="1" r="AF64"/>
  <c i="1" r="AJ62"/>
  <c i="1" r="AP63"/>
  <c i="1" r="AR61"/>
  <c i="1" r="AD67"/>
  <c i="1" r="BB94" s="1"/>
  <c i="1" r="AT68"/>
  <c i="1" r="AL61"/>
  <c i="1" r="AG63"/>
  <c i="1" r="AJ70"/>
  <c i="1" r="BH97" s="1"/>
  <c i="1" r="AI82"/>
  <c i="1" r="AM80"/>
  <c i="1" r="AQ78"/>
  <c i="1" r="AU76"/>
  <c i="1" r="AC75"/>
  <c i="1" r="AG73"/>
  <c i="1" r="AK71"/>
  <c i="1" r="AO69"/>
  <c i="1" r="AS67"/>
  <c i="1" r="AA66"/>
  <c i="1" r="AE64"/>
  <c i="1" r="AI62"/>
  <c i="1" r="AQ63"/>
  <c i="1" r="AF67"/>
  <c i="1" r="AU68"/>
  <c i="1" r="AA67"/>
  <c i="1" r="AA63"/>
  <c i="1" r="AH82"/>
  <c i="1" r="AL80"/>
  <c i="1" r="AP78"/>
  <c i="1" r="AT76"/>
  <c i="1" r="AB75"/>
  <c i="1" r="AF73"/>
  <c i="1" r="AJ71"/>
  <c i="1" r="AN69"/>
  <c i="1" r="AR67"/>
  <c i="1" r="Z66"/>
  <c i="1" r="AD64"/>
  <c i="1" r="AH62"/>
  <c i="1" r="Z64"/>
  <c i="1" r="AN65"/>
  <c i="1" r="AF78"/>
  <c i="1" r="AT70"/>
  <c i="1" r="AG65"/>
  <c i="1" r="AM61"/>
  <c i="1" r="AC65"/>
  <c i="1" r="AM77"/>
  <c i="1" r="AG82"/>
  <c i="1" r="AK80"/>
  <c i="1" r="AO78"/>
  <c i="1" r="AS76"/>
  <c i="1" r="AA75"/>
  <c i="1" r="AE73"/>
  <c i="1" r="AI71"/>
  <c i="1" r="AM69"/>
  <c i="1" r="AQ67"/>
  <c i="1" r="AU65"/>
  <c i="1" r="AC64"/>
  <c i="1" r="AG62"/>
  <c i="1" r="AF71"/>
  <c i="1" r="AA62"/>
  <c i="1" r="AT61"/>
  <c i="1" r="Z80"/>
  <c i="1" r="AJ74"/>
  <c i="1" r="AN81"/>
  <c i="1" r="AT77"/>
  <c i="1" r="AH81"/>
  <c i="1" r="AF82"/>
  <c i="1" r="AJ80"/>
  <c i="1" r="AN78"/>
  <c i="1" r="BL105" s="1"/>
  <c i="1" r="AR76"/>
  <c i="1" r="Z75"/>
  <c i="1" r="AD73"/>
  <c i="1" r="AH71"/>
  <c i="1" r="AL69"/>
  <c i="1" r="AP67"/>
  <c i="1" r="AT65"/>
  <c i="1" r="AB64"/>
  <c i="1" r="AF62"/>
  <c i="1" r="AD62"/>
  <c i="1" r="AB80"/>
  <c i="1" r="AT79"/>
  <c i="1" r="AB67"/>
  <c i="1" r="AD65"/>
  <c i="1" r="AN68"/>
  <c i="1" r="AE82"/>
  <c i="1" r="AI80"/>
  <c i="1" r="AM78"/>
  <c i="1" r="AQ76"/>
  <c i="1" r="AU74"/>
  <c i="1" r="AC73"/>
  <c i="1" r="AG71"/>
  <c i="1" r="AK69"/>
  <c i="1" r="AO67"/>
  <c i="1" r="AS65"/>
  <c i="1" r="AA64"/>
  <c i="1" r="AE62"/>
  <c i="1" r="AN67"/>
  <c i="1" r="AK72"/>
  <c i="1" r="AO79"/>
  <c i="1" r="AG70"/>
  <c i="1" r="AD82"/>
  <c i="1" r="AH80"/>
  <c i="1" r="AL78"/>
  <c i="1" r="AP76"/>
  <c i="1" r="AT74"/>
  <c i="1" r="AB73"/>
  <c i="1" r="AJ69"/>
  <c i="1" r="AB69"/>
  <c i="1" r="AK63"/>
  <c i="1" r="AN61"/>
  <c i="1" r="AS68"/>
  <c i="1" r="Z67"/>
  <c i="1" r="AO66"/>
  <c i="1" r="AC82"/>
  <c i="1" r="AG80"/>
  <c i="1" r="AK78"/>
  <c i="1" r="AO76"/>
  <c i="1" r="AS74"/>
  <c i="1" r="AA73"/>
  <c i="1" r="AE71"/>
  <c i="1" r="AI69"/>
  <c i="1" r="AQ65"/>
  <c i="1" r="AH65"/>
  <c i="1" r="AF65"/>
  <c i="1" r="AN70"/>
  <c i="1" r="AP77"/>
  <c i="1" r="AB82"/>
  <c i="1" r="AF80"/>
  <c i="1" r="AJ78"/>
  <c i="1" r="AN76"/>
  <c i="1" r="AR74"/>
  <c i="1" r="Z73"/>
  <c i="1" r="AD71"/>
  <c i="1" r="AH69"/>
  <c i="1" r="AL67"/>
  <c i="1" r="AP65"/>
  <c i="1" r="AT63"/>
  <c i="1" r="AB62"/>
  <c i="1" r="AT81"/>
  <c i="1" r="AQ70"/>
  <c i="1" r="AQ79"/>
  <c i="1" r="AI72"/>
  <c i="1" r="AE61"/>
  <c i="1" r="AA82"/>
  <c i="1" r="AE80"/>
  <c i="1" r="AI78"/>
  <c i="1" r="AM76"/>
  <c i="1" r="AQ74"/>
  <c i="1" r="AU72"/>
  <c i="1" r="AC71"/>
  <c i="1" r="AG69"/>
  <c i="1" r="AK67"/>
  <c i="1" r="AO65"/>
  <c i="1" r="AF76"/>
  <c i="1" r="Z78"/>
  <c i="1" r="AF74"/>
  <c i="1" r="AT75"/>
  <c i="1" r="Z82"/>
  <c i="1" r="AD80"/>
  <c i="1" r="AH78"/>
  <c i="1" r="AL76"/>
  <c i="1" r="AP74"/>
  <c i="1" r="AT72"/>
  <c i="1" r="AB71"/>
  <c i="1" r="AF69"/>
  <c i="1" r="AJ67"/>
  <c i="1" r="AL65"/>
  <c i="1" r="AN63"/>
  <c i="1" r="Z69"/>
  <c i="1" r="AX96" s="1"/>
  <c i="1" r="AH63"/>
  <c i="1" r="AK61"/>
  <c i="1" r="AQ75"/>
  <c i="1" r="AU81"/>
  <c i="1" r="AC80"/>
  <c i="1" r="AG78"/>
  <c i="1" r="AK76"/>
  <c i="1" r="AO74"/>
  <c i="1" r="AS72"/>
  <c i="1" r="AA71"/>
  <c i="1" r="AE69"/>
  <c i="1" r="AI67"/>
  <c i="1" r="BG94" s="1"/>
  <c i="1" r="AM65"/>
  <c i="1" r="AS79"/>
  <c i="1" r="AO70"/>
  <c i="1" r="AM70"/>
  <c i="1" r="AB74"/>
  <c i="1" r="AS81"/>
  <c i="1" r="AA80"/>
  <c i="1" r="AE78"/>
  <c i="1" r="AI76"/>
  <c i="1" r="AM74"/>
  <c i="1" r="AQ72"/>
  <c i="1" r="AU70"/>
  <c i="1" r="AC69"/>
  <c i="1" r="AG67"/>
  <c i="1" r="AK65"/>
  <c i="1" r="AO63"/>
  <c i="1" r="AL63"/>
  <c i="1" r="AL72"/>
  <c i="1" r="AR68"/>
  <c i="1" r="AQ81"/>
  <c i="1" r="AU79"/>
  <c i="1" r="AC78"/>
  <c i="1" r="AG76"/>
  <c i="1" r="AK74"/>
  <c i="1" r="BI101" s="1"/>
  <c i="1" r="AO72"/>
  <c i="1" r="AS70"/>
  <c i="1" r="AA69"/>
  <c i="1" r="AE67"/>
  <c i="1" r="AI65"/>
  <c i="1" r="AM63"/>
  <c i="1" r="AQ61"/>
  <c i="1" r="AO81"/>
  <c i="1" r="AI63"/>
  <c i="1" r="AK81"/>
  <c i="1" r="AK68"/>
  <c i="1" r="AJ81"/>
  <c i="1" r="AN79"/>
  <c i="1" r="AR77"/>
  <c i="1" r="Z76"/>
  <c i="1" r="AD74"/>
  <c i="1" r="AH72"/>
  <c i="1" r="AL70"/>
  <c i="1" r="AP68"/>
  <c i="1" r="AT66"/>
  <c i="1" r="AB65"/>
  <c i="1" r="AF63"/>
  <c i="1" r="AJ61"/>
  <c i="1" r="AU73"/>
  <c i="1" r="AI81"/>
  <c i="1" r="AM79"/>
  <c i="1" r="BK106" s="1"/>
  <c i="1" r="AQ77"/>
  <c i="1" r="AU75"/>
  <c i="1" r="AC74"/>
  <c i="1" r="AG72"/>
  <c i="1" r="AK70"/>
  <c i="1" r="AO68"/>
  <c i="1" r="AS66"/>
  <c i="1" r="AA65"/>
  <c i="1" r="AE63"/>
  <c i="1" r="AI61"/>
  <c i="1" r="AS64"/>
  <c i="1" r="AG81"/>
  <c i="1" r="AK79"/>
  <c i="1" r="BI106" s="1"/>
  <c i="1" r="AO77"/>
  <c i="1" r="AS75"/>
  <c i="1" r="AA74"/>
  <c i="1" r="AE72"/>
  <c i="1" r="AI70"/>
  <c i="1" r="AM68"/>
  <c i="1" r="AQ66"/>
  <c i="1" r="AU64"/>
  <c i="1" r="AC63"/>
  <c i="1" r="AG61"/>
  <c i="1" r="AI79"/>
  <c i="1" r="AF81"/>
  <c i="1" r="AJ79"/>
  <c i="1" r="AN77"/>
  <c i="1" r="AR75"/>
  <c i="1" r="Z74"/>
  <c i="1" r="AD72"/>
  <c i="1" r="AH70"/>
  <c i="1" r="AL68"/>
  <c i="1" r="AP66"/>
  <c i="1" r="AT64"/>
  <c i="1" r="AB63"/>
  <c i="1" r="AF61"/>
  <c i="1" r="AD81"/>
  <c i="1" r="AH79"/>
  <c i="1" r="AL77"/>
  <c i="1" r="AP75"/>
  <c i="1" r="AT73"/>
  <c i="1" r="AB72"/>
  <c i="1" r="AF70"/>
  <c i="1" r="BD97" s="1"/>
  <c i="1" r="AJ68"/>
  <c i="1" r="AN66"/>
  <c i="1" r="AR64"/>
  <c i="1" r="Z63"/>
  <c i="1" r="AD61"/>
  <c i="1" r="M63"/>
  <c i="1" r="I65"/>
  <c i="1" r="E67"/>
  <c i="1" r="W68"/>
  <c i="1" r="S70"/>
  <c i="1" r="O72"/>
  <c i="1" r="K74"/>
  <c i="1" r="G76"/>
  <c i="1" r="C78"/>
  <c i="1" r="U79"/>
  <c i="1" r="Q81"/>
  <c i="1" r="N61"/>
  <c i="1" r="K80"/>
  <c i="1" r="B75"/>
  <c i="1" r="I81"/>
  <c i="1" r="N63"/>
  <c i="1" r="J65"/>
  <c i="1" r="F67"/>
  <c i="1" r="B69"/>
  <c i="1" r="T70"/>
  <c i="1" r="P72"/>
  <c i="1" r="L74"/>
  <c i="1" r="H76"/>
  <c i="1" r="D78"/>
  <c i="1" r="V79"/>
  <c i="1" r="R81"/>
  <c i="1" r="O61"/>
  <c i="1" r="M69"/>
  <c i="1" r="F61"/>
  <c i="1" r="O63"/>
  <c i="1" r="K65"/>
  <c i="1" r="G67"/>
  <c i="1" r="C69"/>
  <c i="1" r="U70"/>
  <c i="1" r="Q72"/>
  <c i="1" r="M74"/>
  <c i="1" r="I76"/>
  <c i="1" r="E78"/>
  <c i="1" r="W79"/>
  <c i="1" r="S81"/>
  <c i="1" r="P61"/>
  <c i="1" r="C64"/>
  <c i="1" r="H62"/>
  <c i="1" r="V65"/>
  <c i="1" r="N69"/>
  <c i="1" r="T76"/>
  <c i="1" r="P63"/>
  <c i="1" r="L65"/>
  <c i="1" r="H67"/>
  <c i="1" r="D69"/>
  <c i="1" r="V70"/>
  <c i="1" r="R72"/>
  <c i="1" r="N74"/>
  <c i="1" r="J76"/>
  <c i="1" r="F78"/>
  <c i="1" r="B80"/>
  <c i="1" r="T81"/>
  <c i="1" r="Q61"/>
  <c i="1" r="U65"/>
  <c i="1" r="R67"/>
  <c i="1" r="H82"/>
  <c i="1" r="V64"/>
  <c i="1" r="H81"/>
  <c i="1" r="Q63"/>
  <c i="1" r="M65"/>
  <c i="1" r="I67"/>
  <c i="1" r="E69"/>
  <c i="1" r="W70"/>
  <c i="1" r="S72"/>
  <c i="1" r="O74"/>
  <c i="1" r="K76"/>
  <c i="1" r="G78"/>
  <c i="1" r="C80"/>
  <c i="1" r="U81"/>
  <c i="1" r="R61"/>
  <c i="1" r="I71"/>
  <c i="1" r="Q77"/>
  <c i="1" r="R63"/>
  <c i="1" r="N65"/>
  <c i="1" r="J67"/>
  <c i="1" r="F69"/>
  <c i="1" r="B71"/>
  <c i="1" r="T72"/>
  <c i="1" r="P74"/>
  <c i="1" r="L76"/>
  <c i="1" r="H78"/>
  <c i="1" r="D80"/>
  <c i="1" r="V81"/>
  <c i="1" r="S61"/>
  <c i="1" r="Q67"/>
  <c i="1" r="S63"/>
  <c i="1" r="O65"/>
  <c i="1" r="K67"/>
  <c i="1" r="G69"/>
  <c i="1" r="C71"/>
  <c i="1" r="U72"/>
  <c i="1" r="Q74"/>
  <c i="1" r="M76"/>
  <c i="1" r="I78"/>
  <c i="1" r="E80"/>
  <c i="1" r="W81"/>
  <c i="1" r="T61"/>
  <c i="1" r="N68"/>
  <c i="1" r="B62"/>
  <c i="1" r="T63"/>
  <c i="1" r="P65"/>
  <c i="1" r="L67"/>
  <c i="1" r="H69"/>
  <c i="1" r="D71"/>
  <c i="1" r="V72"/>
  <c i="1" r="R74"/>
  <c i="1" r="N76"/>
  <c i="1" r="J78"/>
  <c i="1" r="F80"/>
  <c i="1" r="B82"/>
  <c i="1" r="U61"/>
  <c i="1" r="G82"/>
  <c i="1" r="C62"/>
  <c i="1" r="U63"/>
  <c i="1" r="Q65"/>
  <c i="1" r="M67"/>
  <c i="1" r="I69"/>
  <c i="1" r="E71"/>
  <c i="1" r="W72"/>
  <c i="1" r="S74"/>
  <c i="1" r="O76"/>
  <c i="1" r="K78"/>
  <c i="1" r="G80"/>
  <c i="1" r="C82"/>
  <c i="1" r="V61"/>
  <c i="1" r="W74"/>
  <c i="1" r="M79"/>
  <c i="1" r="D62"/>
  <c i="1" r="V63"/>
  <c i="1" r="R65"/>
  <c i="1" r="N67"/>
  <c i="1" r="J69"/>
  <c i="1" r="F71"/>
  <c i="1" r="B73"/>
  <c i="1" r="T74"/>
  <c i="1" r="P76"/>
  <c i="1" r="L78"/>
  <c i="1" r="H80"/>
  <c i="1" r="D82"/>
  <c i="1" r="W61"/>
  <c i="1" r="R66"/>
  <c i="1" r="E62"/>
  <c i="1" r="W63"/>
  <c i="1" r="S65"/>
  <c i="1" r="O67"/>
  <c i="1" r="K69"/>
  <c i="1" r="G71"/>
  <c i="1" r="C73"/>
  <c i="1" r="U74"/>
  <c i="1" r="Q76"/>
  <c i="1" r="M78"/>
  <c i="1" r="I80"/>
  <c i="1" r="E82"/>
  <c i="1" r="B61"/>
  <c i="1" r="S76"/>
  <c i="1" r="D64"/>
  <c i="1" r="J71"/>
  <c i="1" r="P78"/>
  <c i="1" r="F62"/>
  <c i="1" r="B64"/>
  <c i="1" r="T65"/>
  <c i="1" r="P67"/>
  <c i="1" r="L69"/>
  <c i="1" r="H71"/>
  <c i="1" r="D73"/>
  <c i="1" r="V74"/>
  <c i="1" r="R76"/>
  <c i="1" r="N78"/>
  <c i="1" r="J80"/>
  <c i="1" r="F82"/>
  <c i="1" r="E73"/>
  <c i="1" r="F73"/>
  <c i="1" r="G62"/>
  <c i="1" r="O78"/>
  <c i="1" r="L80"/>
  <c i="1" r="I62"/>
  <c i="1" r="E64"/>
  <c i="1" r="W65"/>
  <c i="1" r="S67"/>
  <c i="1" r="O69"/>
  <c i="1" r="K71"/>
  <c i="1" r="G73"/>
  <c i="1" r="C75"/>
  <c i="1" r="U76"/>
  <c i="1" r="Q78"/>
  <c i="1" r="M80"/>
  <c i="1" r="I82"/>
  <c i="1" r="J62"/>
  <c i="1" r="F64"/>
  <c i="1" r="B66"/>
  <c i="1" r="T67"/>
  <c i="1" r="P69"/>
  <c i="1" r="L71"/>
  <c i="1" r="H73"/>
  <c i="1" r="D75"/>
  <c i="1" r="V76"/>
  <c i="1" r="R78"/>
  <c i="1" r="N80"/>
  <c i="1" r="J82"/>
  <c i="1" r="D63"/>
  <c i="1" r="K62"/>
  <c i="1" r="G64"/>
  <c i="1" r="C66"/>
  <c i="1" r="U67"/>
  <c i="1" r="Q69"/>
  <c i="1" r="M71"/>
  <c i="1" r="I73"/>
  <c i="1" r="E75"/>
  <c i="1" r="W76"/>
  <c i="1" r="S78"/>
  <c i="1" r="O80"/>
  <c i="1" r="K82"/>
  <c i="1" r="S66"/>
  <c i="1" r="L62"/>
  <c i="1" r="H64"/>
  <c i="1" r="D66"/>
  <c i="1" r="V67"/>
  <c i="1" r="R69"/>
  <c i="1" r="N71"/>
  <c i="1" r="J73"/>
  <c i="1" r="F75"/>
  <c i="1" r="B77"/>
  <c i="1" r="T78"/>
  <c i="1" r="P80"/>
  <c i="1" r="L82"/>
  <c i="1" r="P77"/>
  <c i="1" r="C74"/>
  <c i="1" r="M62"/>
  <c i="1" r="I64"/>
  <c i="1" r="E66"/>
  <c i="1" r="W67"/>
  <c i="1" r="S69"/>
  <c i="1" r="O71"/>
  <c i="1" r="K73"/>
  <c i="1" r="G75"/>
  <c i="1" r="C77"/>
  <c i="1" r="U78"/>
  <c i="1" r="Q80"/>
  <c i="1" r="M82"/>
  <c i="1" r="N62"/>
  <c i="1" r="J64"/>
  <c i="1" r="F66"/>
  <c i="1" r="B68"/>
  <c i="1" r="T69"/>
  <c i="1" r="P71"/>
  <c i="1" r="L73"/>
  <c i="1" r="H75"/>
  <c i="1" r="D77"/>
  <c i="1" r="V78"/>
  <c i="1" r="R80"/>
  <c i="1" r="N82"/>
  <c i="1" r="T75"/>
  <c i="1" r="O62"/>
  <c i="1" r="K64"/>
  <c i="1" r="G66"/>
  <c i="1" r="C68"/>
  <c i="1" r="U69"/>
  <c i="1" r="Q71"/>
  <c i="1" r="M73"/>
  <c i="1" r="I75"/>
  <c i="1" r="E77"/>
  <c i="1" r="W78"/>
  <c i="1" r="S80"/>
  <c i="1" r="O82"/>
  <c i="1" r="O68"/>
  <c i="1" r="P62"/>
  <c i="1" r="L64"/>
  <c i="1" r="H66"/>
  <c i="1" r="D68"/>
  <c i="1" r="V69"/>
  <c i="1" r="R71"/>
  <c i="1" r="N73"/>
  <c i="1" r="J75"/>
  <c i="1" r="F77"/>
  <c i="1" r="B79"/>
  <c i="1" r="T80"/>
  <c i="1" r="P82"/>
  <c i="1" r="Q62"/>
  <c i="1" r="M64"/>
  <c i="1" r="I66"/>
  <c i="1" r="E68"/>
  <c i="1" r="W69"/>
  <c i="1" r="S71"/>
  <c i="1" r="O73"/>
  <c i="1" r="K75"/>
  <c i="1" r="G77"/>
  <c i="1" r="C79"/>
  <c i="1" r="U80"/>
  <c i="1" r="Q82"/>
  <c i="1" r="R62"/>
  <c i="1" r="N64"/>
  <c i="1" r="J66"/>
  <c i="1" r="F68"/>
  <c i="1" r="B70"/>
  <c i="1" r="T71"/>
  <c i="1" r="P73"/>
  <c i="1" r="L75"/>
  <c i="1" r="H77"/>
  <c i="1" r="D79"/>
  <c i="1" r="V80"/>
  <c i="1" r="R82"/>
  <c i="1" r="G72"/>
  <c i="1" r="S62"/>
  <c i="1" r="O64"/>
  <c i="1" r="K66"/>
  <c i="1" r="G68"/>
  <c i="1" r="C70"/>
  <c i="1" r="U71"/>
  <c i="1" r="Q73"/>
  <c i="1" r="M75"/>
  <c i="1" r="I77"/>
  <c i="1" r="E79"/>
  <c i="1" r="W80"/>
  <c i="1" r="S82"/>
  <c i="1" r="B74"/>
  <c i="1" r="E63"/>
  <c i="1" r="T62"/>
  <c i="1" r="P64"/>
  <c i="1" r="L66"/>
  <c i="1" r="H68"/>
  <c i="1" r="D70"/>
  <c i="1" r="V71"/>
  <c i="1" r="R73"/>
  <c i="1" r="N75"/>
  <c i="1" r="J77"/>
  <c i="1" r="F79"/>
  <c i="1" r="B81"/>
  <c i="1" r="T82"/>
  <c i="1" r="Q75"/>
  <c i="1" r="E61"/>
  <c i="1" r="U62"/>
  <c i="1" r="Q64"/>
  <c i="1" r="M66"/>
  <c i="1" r="I68"/>
  <c i="1" r="E70"/>
  <c i="1" r="W71"/>
  <c i="1" r="S73"/>
  <c i="1" r="O75"/>
  <c i="1" r="K77"/>
  <c i="1" r="G79"/>
  <c i="1" r="C81"/>
  <c i="1" r="U82"/>
  <c i="1" r="S64"/>
  <c i="1" r="W82"/>
  <c i="1" r="F72"/>
  <c i="1" r="V62"/>
  <c i="1" r="R64"/>
  <c i="1" r="N66"/>
  <c i="1" r="J68"/>
  <c i="1" r="F70"/>
  <c i="1" r="B72"/>
  <c i="1" r="T73"/>
  <c i="1" r="P75"/>
  <c i="1" r="L77"/>
  <c i="1" r="H79"/>
  <c i="1" r="D81"/>
  <c i="1" r="V82"/>
  <c i="1" r="W62"/>
  <c i="1" r="O66"/>
  <c i="1" r="K68"/>
  <c i="1" r="G70"/>
  <c i="1" r="C72"/>
  <c i="1" r="U73"/>
  <c i="1" r="M77"/>
  <c i="1" r="I79"/>
  <c i="1" r="E81"/>
  <c i="1" r="L79"/>
  <c i="1" r="U75"/>
  <c i="1" r="B63"/>
  <c i="1" r="T64"/>
  <c i="1" r="P66"/>
  <c i="1" r="L68"/>
  <c i="1" r="H70"/>
  <c i="1" r="D72"/>
  <c i="1" r="V73"/>
  <c i="1" r="R75"/>
  <c i="1" r="N77"/>
  <c i="1" r="J79"/>
  <c i="1" r="F81"/>
  <c i="1" r="C61"/>
  <c i="1" r="W64"/>
  <c i="1" r="C63"/>
  <c i="1" r="U64"/>
  <c i="1" r="Q66"/>
  <c i="1" r="M68"/>
  <c i="1" r="I70"/>
  <c i="1" r="E72"/>
  <c i="1" r="W73"/>
  <c i="1" r="S75"/>
  <c i="1" r="O77"/>
  <c i="1" r="K79"/>
  <c i="1" r="G81"/>
  <c i="1" r="D61"/>
  <c i="1" r="J70"/>
  <c i="1" r="F63"/>
  <c i="1" r="B65"/>
  <c i="1" r="T66"/>
  <c i="1" r="P68"/>
  <c i="1" r="L70"/>
  <c i="1" r="H72"/>
  <c i="1" r="D74"/>
  <c i="1" r="V75"/>
  <c i="1" r="R77"/>
  <c i="1" r="N79"/>
  <c i="1" r="J81"/>
  <c i="1" r="G61"/>
  <c i="1" r="G63"/>
  <c i="1" r="C65"/>
  <c i="1" r="U66"/>
  <c i="1" r="Q68"/>
  <c i="1" r="M70"/>
  <c i="1" r="I72"/>
  <c i="1" r="E74"/>
  <c i="1" r="W75"/>
  <c i="1" r="S77"/>
  <c i="1" r="O79"/>
  <c i="1" r="K81"/>
  <c i="1" r="H61"/>
  <c i="1" r="H63"/>
  <c i="1" r="D65"/>
  <c i="1" r="V66"/>
  <c i="1" r="R68"/>
  <c i="1" r="N70"/>
  <c i="1" r="J72"/>
  <c i="1" r="F74"/>
  <c i="1" r="B76"/>
  <c i="1" r="T77"/>
  <c i="1" r="P79"/>
  <c i="1" r="L81"/>
  <c i="1" r="I61"/>
  <c i="1" r="L63"/>
  <c i="1" r="H65"/>
  <c i="1" r="D67"/>
  <c i="1" r="V68"/>
  <c i="1" r="R70"/>
  <c i="1" r="N72"/>
  <c i="1" r="J74"/>
  <c i="1" r="F76"/>
  <c i="1" r="B78"/>
  <c i="1" r="T79"/>
  <c i="1" r="P81"/>
  <c i="1" r="M61"/>
  <c i="1" r="K70"/>
  <c i="1" r="C67"/>
  <c i="1" r="V77"/>
  <c i="1" r="Q79"/>
  <c i="1" r="S68"/>
  <c i="1" r="E65"/>
  <c i="1" r="T68"/>
  <c i="1" r="U68"/>
  <c i="1" r="O70"/>
  <c i="1" r="P70"/>
  <c i="1" r="Q70"/>
  <c i="1" r="G65"/>
  <c i="1" r="K72"/>
  <c i="1" r="U77"/>
  <c i="1" r="F65"/>
  <c i="1" r="L72"/>
  <c i="1" r="R79"/>
  <c i="1" r="M72"/>
  <c i="1" r="G74"/>
  <c i="1" r="H74"/>
  <c i="1" r="L61"/>
  <c i="1" r="I74"/>
  <c i="1" r="C76"/>
  <c i="1" r="D76"/>
  <c i="1" r="W77"/>
  <c i="1" r="E76"/>
  <c i="1" r="S79"/>
  <c i="1" r="M81"/>
  <c i="1" r="N81"/>
  <c i="1" r="O81"/>
  <c i="1" r="K61"/>
  <c i="1" r="J61"/>
  <c i="1" r="I63"/>
  <c i="1" r="J63"/>
  <c i="1" r="K63"/>
  <c i="1" r="B67"/>
  <c i="1" r="W66"/>
  <c i="1" l="1" r="BP106"/>
  <c i="1" r="BP98"/>
  <c i="1" r="BN100"/>
  <c i="1" r="BA92"/>
  <c i="18" r="O6"/>
  <c i="18" r="O10"/>
  <c i="1" r="BH107"/>
  <c i="18" r="O9"/>
  <c i="18" r="O8"/>
  <c i="18" r="O17"/>
  <c i="18" r="O15"/>
  <c i="18" r="O22"/>
  <c i="18" r="O4"/>
  <c i="18" r="O19"/>
  <c i="18" r="O21"/>
  <c i="18" r="O16"/>
  <c i="18" r="O11"/>
  <c i="18" r="O23"/>
  <c i="18" r="O18"/>
  <c i="1" r="BC104"/>
  <c i="18" r="O20"/>
  <c i="18" r="O14"/>
  <c i="18" r="O5"/>
  <c i="18" r="O13"/>
  <c i="18" r="O7"/>
  <c i="1" r="AY101"/>
  <c i="1" r="BA103"/>
  <c i="1" r="BQ108"/>
  <c i="1" r="BR89"/>
  <c i="1" r="BF99"/>
  <c i="1" r="BE106"/>
  <c i="1" r="BC101"/>
  <c i="1" r="BI99"/>
  <c i="18" r="BN30"/>
  <c i="18" r="CY16" s="1"/>
  <c i="18" r="BE30"/>
  <c i="18" r="CY7" s="1"/>
  <c i="18" r="CZ7" s="1"/>
  <c i="18" r="DA7" s="1"/>
  <c i="1" r="BA91"/>
  <c i="1" r="BC109"/>
  <c i="1" r="BN95"/>
  <c i="18" r="AV110"/>
  <c i="18" r="AV136" s="1"/>
  <c i="1" r="AZ106"/>
  <c i="1" r="BB100"/>
  <c i="1" r="BA106"/>
  <c i="1" r="BA98"/>
  <c i="1" r="BL88"/>
  <c i="1" r="BC93"/>
  <c i="1" r="BH96"/>
  <c i="1" r="BD109"/>
  <c i="1" r="BF108"/>
  <c i="1" r="AZ88"/>
  <c i="18" r="X51"/>
  <c i="18" r="V61" s="1"/>
  <c i="1" r="BC103"/>
  <c i="18" r="BC57"/>
  <c i="1" r="BQ98"/>
  <c i="1" r="BI102"/>
  <c i="1" r="BK101"/>
  <c i="1" r="BP103"/>
  <c i="1" r="AY94"/>
  <c i="1" r="BE97"/>
  <c i="1" r="AX99"/>
  <c i="1" r="BP89"/>
  <c i="18" r="CV17"/>
  <c i="18" r="CX16"/>
  <c i="18" r="BQ30"/>
  <c i="18" r="BQ51" s="1"/>
  <c i="18" r="BB30"/>
  <c i="18" r="CY4" s="1"/>
  <c i="18" r="CZ4" s="1"/>
  <c i="18" r="DA4" s="1"/>
  <c i="18" r="BS30"/>
  <c i="18" r="BS51" s="1"/>
  <c i="18" r="AW30"/>
  <c a="1" i="18" r="AK9" s="1"/>
  <c i="18" r="AK9" s="1"/>
  <c i="18" r="BL30"/>
  <c i="18" r="CY14" s="1"/>
  <c i="18" r="CZ14" s="1"/>
  <c i="18" r="DA14" s="1"/>
  <c i="18" r="BJ30"/>
  <c i="18" r="CY12" s="1"/>
  <c i="18" r="CZ12" s="1"/>
  <c i="18" r="DA12" s="1"/>
  <c i="18" r="BO30"/>
  <c i="18" r="CM30" s="1"/>
  <c i="1" r="BL90"/>
  <c i="1" r="BD107"/>
  <c i="18" r="BG30"/>
  <c i="18" r="CY9" s="1"/>
  <c i="18" r="CZ9" s="1"/>
  <c i="18" r="DA9" s="1"/>
  <c i="18" r="BF30"/>
  <c i="18" r="CY8" s="1"/>
  <c i="18" r="CZ8" s="1"/>
  <c i="18" r="DA8" s="1"/>
  <c i="18" r="BM30"/>
  <c i="18" r="CY15" s="1"/>
  <c i="18" r="CZ15" s="1"/>
  <c i="18" r="DA15" s="1"/>
  <c i="18" r="BR30"/>
  <c i="18" r="BR51" s="1"/>
  <c i="18" r="BT30"/>
  <c i="18" r="AZ30"/>
  <c i="18" r="CY2" s="1"/>
  <c i="18" r="CZ2" s="1"/>
  <c i="18" r="DA2" s="1"/>
  <c i="18" r="BC30"/>
  <c i="18" r="CY5" s="1"/>
  <c i="18" r="CZ5" s="1"/>
  <c i="18" r="DA5" s="1"/>
  <c i="18" r="BD30"/>
  <c i="18" r="CY6" s="1"/>
  <c i="18" r="CZ6" s="1"/>
  <c i="18" r="DA6" s="1"/>
  <c i="1" r="BC90"/>
  <c i="18" r="BK30"/>
  <c i="18" r="CY13" s="1"/>
  <c i="18" r="CZ13" s="1"/>
  <c i="18" r="DA13" s="1"/>
  <c i="18" r="BP30"/>
  <c i="18" r="BP51" s="1"/>
  <c i="18" r="BA30"/>
  <c i="18" r="CY3" s="1"/>
  <c i="18" r="CZ3" s="1"/>
  <c i="18" r="DA3" s="1"/>
  <c i="1" r="BM90"/>
  <c i="18" r="BI30"/>
  <c i="18" r="CY11" s="1"/>
  <c i="18" r="CZ11" s="1"/>
  <c i="18" r="DA11" s="1"/>
  <c i="18" r="AV112"/>
  <c i="18" r="AV138" s="1"/>
  <c i="1" r="BI97"/>
  <c i="18" r="BH30"/>
  <c i="18" r="CY10" s="1"/>
  <c i="18" r="CZ10" s="1"/>
  <c i="18" r="DA10" s="1"/>
  <c i="1" r="BE96"/>
  <c i="1" r="BH91"/>
  <c i="1" r="BB91"/>
  <c i="1" r="BP108"/>
  <c i="1" r="BR103"/>
  <c i="1" r="BN93"/>
  <c i="1" r="BR88"/>
  <c i="1" r="BD106"/>
  <c i="1" r="BO90"/>
  <c i="1" r="BO107"/>
  <c i="1" r="BK109"/>
  <c i="1" r="AX88"/>
  <c i="1" r="BO89"/>
  <c i="1" r="AZ92"/>
  <c i="1" r="AY90"/>
  <c i="1" r="BD99"/>
  <c i="1" r="BM97"/>
  <c i="1" r="AY105"/>
  <c i="1" r="BR106"/>
  <c i="1" r="BM91"/>
  <c i="1" r="AX91"/>
  <c i="1" r="BN107"/>
  <c i="1" r="BQ101"/>
  <c i="1" r="BA108"/>
  <c i="1" r="BM92"/>
  <c i="1" r="AZ90"/>
  <c i="1" r="BO95"/>
  <c i="1" r="BJ101"/>
  <c i="1" r="BC88"/>
  <c i="1" r="BR104"/>
  <c i="1" r="BE102"/>
  <c i="1" r="BN103"/>
  <c i="1" r="BJ105"/>
  <c i="1" r="BS105"/>
  <c i="1" r="BJ95"/>
  <c i="1" r="AZ95"/>
  <c i="1" r="BJ89"/>
  <c i="1" r="BL95"/>
  <c i="1" r="AY88"/>
  <c i="1" r="BR109"/>
  <c i="1" r="BB109"/>
  <c i="1" r="BJ91"/>
  <c i="1" r="BB90"/>
  <c i="1" r="AX103"/>
  <c i="1" r="BL102"/>
  <c i="1" r="BN92"/>
  <c i="1" r="BN108"/>
  <c i="1" r="BO94"/>
  <c i="1" r="AY102"/>
  <c i="1" r="BN91"/>
  <c i="1" r="BC108"/>
  <c i="1" r="BN99"/>
  <c i="1" r="BD104"/>
  <c i="1" r="BQ103"/>
  <c i="1" r="BB99"/>
  <c i="1" r="BC106"/>
  <c i="1" r="BR101"/>
  <c i="1" r="BL91"/>
  <c i="1" r="BG109"/>
  <c i="1" r="BC94"/>
  <c i="1" r="BQ109"/>
  <c i="1" r="AX101"/>
  <c i="1" r="BG90"/>
  <c i="1" r="BL103"/>
  <c i="1" r="BF106"/>
  <c i="1" r="BE101"/>
  <c i="1" r="BH102"/>
  <c i="1" r="BP93"/>
  <c i="1" r="BF109"/>
  <c i="1" r="BG101"/>
  <c i="1" r="BM109"/>
  <c i="1" r="BS93"/>
  <c i="1" r="BP97"/>
  <c i="1" r="BA104"/>
  <c i="1" r="AZ100"/>
  <c i="1" r="BJ93"/>
  <c i="1" r="BD88"/>
  <c i="1" r="AX98"/>
  <c i="1" r="BJ88"/>
  <c i="1" r="BF102"/>
  <c i="1" r="BJ106"/>
  <c i="1" r="BS89"/>
  <c i="1" r="BG91"/>
  <c i="1" r="BP90"/>
  <c i="1" r="BO106"/>
  <c i="1" r="BO96"/>
  <c i="1" r="AZ101"/>
  <c i="1" r="BI100"/>
  <c i="1" r="BQ88"/>
  <c i="1" r="BK104"/>
  <c i="1" r="BR95"/>
  <c i="1" r="BM88"/>
  <c i="1" r="BM104"/>
  <c i="1" r="AX106"/>
  <c i="1" r="BB103"/>
  <c i="1" r="BE103"/>
  <c i="1" r="BD92"/>
  <c i="1" r="BG95"/>
  <c i="1" r="BL109"/>
  <c i="1" r="BS106"/>
  <c i="1" r="BR97"/>
  <c i="1" r="AX92"/>
  <c i="1" r="BO108"/>
  <c i="1" r="BP95"/>
  <c i="1" r="BR105"/>
  <c i="1" r="AZ105"/>
  <c i="1" r="AY92"/>
  <c i="1" r="BJ99"/>
  <c i="1" r="BB107"/>
  <c i="1" r="BE95"/>
  <c i="1" r="AX90"/>
  <c i="1" r="BJ90"/>
  <c i="1" r="AX109"/>
  <c i="1" r="BF89"/>
  <c i="1" r="BM95"/>
  <c i="1" r="BM103"/>
  <c i="1" r="BI92"/>
  <c i="1" r="BD101"/>
  <c i="1" r="BI105"/>
  <c i="1" r="AX93"/>
  <c i="1" r="BK108"/>
  <c i="1" r="BE93"/>
  <c i="1" r="BS91"/>
  <c i="1" r="BH95"/>
  <c i="1" r="BE99"/>
  <c i="1" r="BA95"/>
  <c i="1" r="BK102"/>
  <c i="1" r="BA96"/>
  <c i="1" r="BA109"/>
  <c i="1" r="BS96"/>
  <c i="1" r="BM100"/>
  <c i="1" r="AZ99"/>
  <c i="1" r="BR100"/>
  <c i="1" r="BO99"/>
  <c i="1" r="AX94"/>
  <c i="1" r="BL107"/>
  <c i="1" r="BK89"/>
  <c i="1" r="BE104"/>
  <c i="1" r="AY108"/>
  <c i="1" r="BN102"/>
  <c i="1" r="BQ95"/>
  <c i="1" r="AX102"/>
  <c i="1" r="BH109"/>
  <c i="1" r="BG102"/>
  <c i="18" r="AV115"/>
  <c i="18" r="AV141" s="1"/>
  <c i="1" r="BJ104"/>
  <c i="1" r="BG103"/>
  <c i="1" r="BS107"/>
  <c i="1" r="BF88"/>
  <c i="1" r="BS100"/>
  <c i="1" r="BS99"/>
  <c i="1" r="BI90"/>
  <c i="1" r="AY106"/>
  <c i="1" r="BB108"/>
  <c i="1" r="BO101"/>
  <c i="1" r="AZ96"/>
  <c i="1" r="BS104"/>
  <c i="1" r="BQ107"/>
  <c i="1" r="BD90"/>
  <c i="1" r="BR91"/>
  <c i="1" r="BS95"/>
  <c i="1" r="BH101"/>
  <c i="1" r="BA93"/>
  <c i="1" r="BG99"/>
  <c i="1" r="BS94"/>
  <c i="1" r="BB97"/>
  <c i="1" r="BC99"/>
  <c i="1" r="BO103"/>
  <c i="1" r="BE90"/>
  <c i="1" r="AZ109"/>
  <c i="1" r="BK93"/>
  <c i="1" r="AZ98"/>
  <c i="1" r="BO92"/>
  <c i="1" r="AZ93"/>
  <c i="1" r="BR94"/>
  <c i="1" r="BL101"/>
  <c i="1" r="BK91"/>
  <c i="1" r="BI104"/>
  <c i="1" r="BQ93"/>
  <c i="1" r="BN96"/>
  <c i="1" r="BG93"/>
  <c i="1" r="AZ91"/>
  <c i="1" r="BJ98"/>
  <c i="1" r="BI91"/>
  <c i="1" r="BC95"/>
  <c i="1" r="BS98"/>
  <c i="1" r="BF100"/>
  <c i="1" r="AY97"/>
  <c i="1" r="AX105"/>
  <c i="1" r="BP94"/>
  <c i="1" r="BK99"/>
  <c i="1" r="BD103"/>
  <c i="1" r="BL96"/>
  <c i="1" r="BG104"/>
  <c i="1" r="BS102"/>
  <c i="1" r="BP105"/>
  <c i="18" r="CQ42"/>
  <c i="18" r="AT122"/>
  <c i="18" r="AT148" s="1"/>
  <c i="18" r="BY49"/>
  <c i="18" r="AB129"/>
  <c i="18" r="AB155" s="1"/>
  <c i="18" r="CF45"/>
  <c i="18" r="AI125"/>
  <c i="18" r="AI151" s="1"/>
  <c i="18" r="CB31"/>
  <c i="18" r="AE111"/>
  <c i="18" r="AE137" s="1"/>
  <c i="18" r="CI35"/>
  <c i="18" r="AL115"/>
  <c i="18" r="AL141" s="1"/>
  <c i="18" r="CQ36"/>
  <c i="18" r="AT116"/>
  <c i="18" r="AT142" s="1"/>
  <c i="18" r="CK34"/>
  <c i="18" r="AN114"/>
  <c i="18" r="AN140" s="1"/>
  <c i="18" r="CD33"/>
  <c i="18" r="AG113"/>
  <c i="18" r="AG139" s="1"/>
  <c i="18" r="CB47"/>
  <c i="18" r="AE127"/>
  <c i="18" r="AE153" s="1"/>
  <c i="18" r="CJ42"/>
  <c i="18" r="AM122"/>
  <c i="18" r="AM148" s="1"/>
  <c i="18" r="CF49"/>
  <c i="18" r="AI129"/>
  <c i="18" r="AI155" s="1"/>
  <c i="18" r="CP45"/>
  <c i="18" r="AS125"/>
  <c i="18" r="AS151" s="1"/>
  <c i="18" r="AN111"/>
  <c i="18" r="AN137" s="1"/>
  <c i="18" r="CK31"/>
  <c i="18" r="CM35"/>
  <c i="18" r="AP115"/>
  <c i="18" r="AP141" s="1"/>
  <c i="18" r="CA36"/>
  <c i="18" r="AD116"/>
  <c i="18" r="AD142" s="1"/>
  <c i="18" r="CF34"/>
  <c i="18" r="AI114"/>
  <c i="18" r="AI140" s="1"/>
  <c i="18" r="CK33"/>
  <c i="18" r="AN113"/>
  <c i="18" r="AN139" s="1"/>
  <c i="18" r="CK47"/>
  <c i="18" r="AN127"/>
  <c i="18" r="AN153" s="1"/>
  <c i="18" r="CO42"/>
  <c i="18" r="AR122"/>
  <c i="18" r="AR148" s="1"/>
  <c i="18" r="CC49"/>
  <c i="18" r="AF129"/>
  <c i="18" r="AF155" s="1"/>
  <c i="18" r="BY45"/>
  <c i="18" r="AB125"/>
  <c i="18" r="AB151" s="1"/>
  <c i="18" r="CE31"/>
  <c i="18" r="AH111"/>
  <c i="18" r="AH137" s="1"/>
  <c i="18" r="CC35"/>
  <c i="18" r="AF115"/>
  <c i="18" r="AF141" s="1"/>
  <c i="18" r="CL36"/>
  <c i="18" r="AO116"/>
  <c i="18" r="AO142" s="1"/>
  <c i="18" r="CC34"/>
  <c i="18" r="AF114"/>
  <c i="18" r="AF140" s="1"/>
  <c i="18" r="CO33"/>
  <c i="18" r="AR113"/>
  <c i="18" r="AR139" s="1"/>
  <c i="18" r="CI47"/>
  <c i="18" r="AL127"/>
  <c i="18" r="AL153" s="1"/>
  <c i="18" r="CM42"/>
  <c i="18" r="AP122"/>
  <c i="18" r="AP148" s="1"/>
  <c i="18" r="CB35"/>
  <c i="18" r="AE115"/>
  <c i="18" r="AE141" s="1"/>
  <c i="1" r="CH28"/>
  <c i="18" r="N10" s="1"/>
  <c i="18" r="J24"/>
  <c i="18" r="CJ49"/>
  <c i="18" r="AM129"/>
  <c i="18" r="AM155" s="1"/>
  <c i="18" r="CC45"/>
  <c i="18" r="AF125"/>
  <c i="18" r="AF151" s="1"/>
  <c i="18" r="CP31"/>
  <c i="18" r="AS111"/>
  <c i="18" r="AS137" s="1"/>
  <c i="18" r="CQ35"/>
  <c i="18" r="AT115"/>
  <c i="18" r="AT141" s="1"/>
  <c i="18" r="AV116"/>
  <c i="18" r="AV142" s="1"/>
  <c i="18" r="CE38"/>
  <c i="18" r="AH118"/>
  <c i="18" r="AH144" s="1"/>
  <c i="18" r="CN34"/>
  <c i="18" r="AQ114"/>
  <c i="18" r="AQ140" s="1"/>
  <c i="18" r="CE33"/>
  <c i="18" r="AH113"/>
  <c i="18" r="AH139" s="1"/>
  <c i="18" r="CO47"/>
  <c i="18" r="AR127"/>
  <c i="18" r="AR153" s="1"/>
  <c i="18" r="CE42"/>
  <c i="18" r="AH122"/>
  <c i="18" r="AH148" s="1"/>
  <c i="18" r="CQ49"/>
  <c i="18" r="AT129"/>
  <c i="18" r="AT155" s="1"/>
  <c i="18" r="CO49"/>
  <c i="18" r="AR129"/>
  <c i="18" r="AR155" s="1"/>
  <c i="18" r="CL45"/>
  <c i="18" r="AO125"/>
  <c i="18" r="AO151" s="1"/>
  <c i="18" r="CJ35"/>
  <c i="18" r="AM115"/>
  <c i="18" r="AM141" s="1"/>
  <c i="18" r="CM38"/>
  <c i="18" r="AP118"/>
  <c i="18" r="AP144" s="1"/>
  <c i="18" r="AV114"/>
  <c i="18" r="AV140" s="1"/>
  <c i="18" r="BY33"/>
  <c i="18" r="AB113"/>
  <c i="18" r="AB139" s="1"/>
  <c i="18" r="CC47"/>
  <c i="18" r="AF127"/>
  <c i="18" r="AF153" s="1"/>
  <c i="18" r="BZ42"/>
  <c i="18" r="AC122"/>
  <c i="18" r="AC148" s="1"/>
  <c i="18" r="BZ49"/>
  <c i="18" r="AC129"/>
  <c i="18" r="AC155" s="1"/>
  <c i="18" r="CJ45"/>
  <c i="18" r="AM125"/>
  <c i="18" r="AM151" s="1"/>
  <c i="18" r="CN30"/>
  <c i="18" r="AQ110"/>
  <c i="18" r="AQ136" s="1"/>
  <c i="18" r="BZ35"/>
  <c i="18" r="AC115"/>
  <c i="18" r="AC141" s="1"/>
  <c i="18" r="CP38"/>
  <c i="18" r="AS118"/>
  <c i="18" r="AS144" s="1"/>
  <c i="18" r="CF33"/>
  <c i="18" r="AI113"/>
  <c i="18" r="AI139" s="1"/>
  <c i="18" r="CF47"/>
  <c i="18" r="AI127"/>
  <c i="18" r="AI153" s="1"/>
  <c i="18" r="CH42"/>
  <c i="18" r="AK122"/>
  <c i="18" r="AK148" s="1"/>
  <c i="18" r="CP34"/>
  <c i="18" r="AS114"/>
  <c i="18" r="AS140" s="1"/>
  <c i="18" r="CI49"/>
  <c i="18" r="AL129"/>
  <c i="18" r="AL155" s="1"/>
  <c i="18" r="CG45"/>
  <c i="18" r="AJ125"/>
  <c i="18" r="AJ151" s="1"/>
  <c i="18" r="CG46"/>
  <c i="18" r="AJ126"/>
  <c i="18" r="AJ152" s="1"/>
  <c i="18" r="CE35"/>
  <c i="18" r="AH115"/>
  <c i="18" r="AH141" s="1"/>
  <c i="18" r="CC38"/>
  <c i="18" r="AF118"/>
  <c i="18" r="AF144" s="1"/>
  <c i="18" r="CL33"/>
  <c i="18" r="AO113"/>
  <c i="18" r="AO139" s="1"/>
  <c i="18" r="CC42"/>
  <c i="18" r="AF122"/>
  <c i="18" r="AF148" s="1"/>
  <c i="18" r="CG49"/>
  <c i="18" r="AJ129"/>
  <c i="18" r="AJ155" s="1"/>
  <c i="18" r="CN45"/>
  <c i="18" r="AQ125"/>
  <c i="18" r="AQ151" s="1"/>
  <c i="18" r="CB46"/>
  <c i="18" r="AE126"/>
  <c i="18" r="AE152" s="1"/>
  <c i="18" r="CN35"/>
  <c i="18" r="AQ115"/>
  <c i="18" r="AQ141" s="1"/>
  <c i="18" r="CH38"/>
  <c i="18" r="AK118"/>
  <c i="18" r="AK144" s="1"/>
  <c i="18" r="CB33"/>
  <c i="18" r="AE113"/>
  <c i="18" r="AE139" s="1"/>
  <c i="18" r="CE48"/>
  <c i="18" r="AH128"/>
  <c i="18" r="AH154" s="1"/>
  <c i="18" r="BX42"/>
  <c i="18" r="AA122"/>
  <c i="18" r="AA148" s="1"/>
  <c i="18" r="CM49"/>
  <c i="18" r="AP129"/>
  <c i="18" r="AP155" s="1"/>
  <c i="18" r="BZ45"/>
  <c i="18" r="AC125"/>
  <c i="18" r="AC151" s="1"/>
  <c i="18" r="CJ46"/>
  <c i="18" r="AM126"/>
  <c i="18" r="AM152" s="1"/>
  <c i="18" r="CD35"/>
  <c i="18" r="AG115"/>
  <c i="18" r="AG141" s="1"/>
  <c i="18" r="CD44"/>
  <c i="18" r="AG124"/>
  <c i="18" r="AG150" s="1"/>
  <c i="18" r="CK38"/>
  <c i="18" r="AN118"/>
  <c i="18" r="AN144" s="1"/>
  <c i="18" r="CG33"/>
  <c i="18" r="AJ113"/>
  <c i="18" r="AJ139" s="1"/>
  <c i="18" r="BZ48"/>
  <c i="18" r="AC128"/>
  <c i="18" r="AC154" s="1"/>
  <c i="18" r="CK42"/>
  <c i="18" r="AN122"/>
  <c i="18" r="AN148" s="1"/>
  <c i="18" r="BX47"/>
  <c i="18" r="AA127"/>
  <c i="18" r="AA153" s="1"/>
  <c i="18" r="CD49"/>
  <c i="18" r="AG129"/>
  <c i="18" r="AG155" s="1"/>
  <c i="18" r="BX45"/>
  <c i="18" r="AA125"/>
  <c i="18" r="AA151" s="1"/>
  <c i="18" r="CL46"/>
  <c i="18" r="AO126"/>
  <c i="18" r="AO152" s="1"/>
  <c i="18" r="CF35"/>
  <c i="18" r="AI115"/>
  <c i="18" r="AI141" s="1"/>
  <c i="18" r="CL44"/>
  <c i="18" r="AO124"/>
  <c i="18" r="AO150" s="1"/>
  <c i="18" r="BZ38"/>
  <c i="18" r="AC118"/>
  <c i="18" r="AC144" s="1"/>
  <c i="18" r="CP33"/>
  <c i="18" r="AS113"/>
  <c i="18" r="AS139" s="1"/>
  <c i="18" r="CL48"/>
  <c i="18" r="AO128"/>
  <c i="18" r="AO154" s="1"/>
  <c i="18" r="CD45"/>
  <c i="18" r="AG125"/>
  <c i="18" r="AG151" s="1"/>
  <c i="18" r="CQ46"/>
  <c i="18" r="AT126"/>
  <c i="18" r="AT152" s="1"/>
  <c i="18" r="CK35"/>
  <c i="18" r="AN115"/>
  <c i="18" r="AN141" s="1"/>
  <c i="18" r="CI44"/>
  <c i="18" r="AL124"/>
  <c i="18" r="AL150" s="1"/>
  <c i="18" r="CA38"/>
  <c i="18" r="AD118"/>
  <c i="18" r="AD144" s="1"/>
  <c i="18" r="CH33"/>
  <c i="18" r="AK113"/>
  <c i="18" r="AK139" s="1"/>
  <c i="18" r="CH48"/>
  <c i="18" r="AK128"/>
  <c i="18" r="AK154" s="1"/>
  <c i="18" r="CK32"/>
  <c i="18" r="AN112"/>
  <c i="18" r="AN138" s="1"/>
  <c i="1" r="CF42"/>
  <c i="18" r="L24" s="1"/>
  <c i="18" r="H24"/>
  <c i="18" r="CK45"/>
  <c i="18" r="AN125"/>
  <c i="18" r="AN151" s="1"/>
  <c i="18" r="CE46"/>
  <c i="18" r="AH126"/>
  <c i="18" r="AH152" s="1"/>
  <c i="18" r="BX35"/>
  <c i="18" r="AA115"/>
  <c i="18" r="AA141" s="1"/>
  <c i="18" r="BY44"/>
  <c i="18" r="AB124"/>
  <c i="18" r="AB150" s="1"/>
  <c i="18" r="CF38"/>
  <c i="18" r="AI118"/>
  <c i="18" r="AI144" s="1"/>
  <c i="18" r="CM33"/>
  <c i="18" r="AP113"/>
  <c i="18" r="AP139" s="1"/>
  <c i="18" r="CI48"/>
  <c i="18" r="AL128"/>
  <c i="18" r="AL154" s="1"/>
  <c i="18" r="CB32"/>
  <c i="18" r="AE112"/>
  <c i="18" r="AE138" s="1"/>
  <c i="18" r="CQ45"/>
  <c i="18" r="AT125"/>
  <c i="18" r="AT151" s="1"/>
  <c i="18" r="CM46"/>
  <c i="18" r="AP126"/>
  <c i="18" r="AP152" s="1"/>
  <c i="18" r="CA39"/>
  <c i="18" r="AD119"/>
  <c i="18" r="AD145" s="1"/>
  <c i="18" r="CO35"/>
  <c i="18" r="AR115"/>
  <c i="18" r="AR141" s="1"/>
  <c i="18" r="CG44"/>
  <c i="18" r="AJ124"/>
  <c i="18" r="AJ150" s="1"/>
  <c i="18" r="CN38"/>
  <c i="18" r="AQ118"/>
  <c i="18" r="AQ144" s="1"/>
  <c i="18" r="BZ33"/>
  <c i="18" r="AC113"/>
  <c i="18" r="AC139" s="1"/>
  <c i="18" r="CC48"/>
  <c i="18" r="AF128"/>
  <c i="18" r="AF154" s="1"/>
  <c i="18" r="BY32"/>
  <c i="18" r="AB112"/>
  <c i="18" r="AB138" s="1"/>
  <c i="18" r="CA33"/>
  <c i="18" r="AD113"/>
  <c i="18" r="AD139" s="1"/>
  <c i="18" r="CA45"/>
  <c i="18" r="AD125"/>
  <c i="18" r="AD151" s="1"/>
  <c i="18" r="CP46"/>
  <c i="18" r="AS126"/>
  <c i="18" r="AS152" s="1"/>
  <c i="18" r="CF41"/>
  <c i="18" r="AI121"/>
  <c i="18" r="AI147" s="1"/>
  <c i="18" r="CD39"/>
  <c i="18" r="AG119"/>
  <c i="18" r="AG145" s="1"/>
  <c i="18" r="CG35"/>
  <c i="18" r="AJ115"/>
  <c i="18" r="AJ141" s="1"/>
  <c i="18" r="CJ44"/>
  <c i="18" r="AM124"/>
  <c i="18" r="AM150" s="1"/>
  <c i="18" r="CQ38"/>
  <c i="18" r="AT118"/>
  <c i="18" r="AT144" s="1"/>
  <c i="18" r="CQ33"/>
  <c i="18" r="AT113"/>
  <c i="18" r="AT139" s="1"/>
  <c i="18" r="CJ48"/>
  <c i="18" r="AM128"/>
  <c i="18" r="AM154" s="1"/>
  <c i="18" r="CI32"/>
  <c i="18" r="AL112"/>
  <c i="18" r="AL138" s="1"/>
  <c i="18" r="CI45"/>
  <c i="18" r="AL125"/>
  <c i="18" r="AL151" s="1"/>
  <c i="18" r="CH45"/>
  <c i="18" r="AK125"/>
  <c i="18" r="AK151" s="1"/>
  <c i="18" r="CH46"/>
  <c i="18" r="AK126"/>
  <c i="18" r="AK152" s="1"/>
  <c i="18" r="CB41"/>
  <c i="18" r="AE121"/>
  <c i="18" r="AE147" s="1"/>
  <c i="18" r="CO39"/>
  <c i="18" r="AR119"/>
  <c i="18" r="AR145" s="1"/>
  <c i="18" r="CA35"/>
  <c i="18" r="AD115"/>
  <c i="18" r="AD141" s="1"/>
  <c i="18" r="CB44"/>
  <c i="18" r="AE124"/>
  <c i="18" r="AE150" s="1"/>
  <c i="18" r="CI38"/>
  <c i="18" r="AL118"/>
  <c i="18" r="AL144" s="1"/>
  <c i="18" r="CI33"/>
  <c i="18" r="AL113"/>
  <c i="18" r="AL139" s="1"/>
  <c i="18" r="CF48"/>
  <c i="18" r="AI128"/>
  <c i="18" r="AI154" s="1"/>
  <c i="18" r="CN32"/>
  <c i="18" r="AQ112"/>
  <c i="18" r="AQ138" s="1"/>
  <c i="18" r="CF37"/>
  <c i="18" r="AI117"/>
  <c i="18" r="AI143" s="1"/>
  <c i="18" r="CE45"/>
  <c i="18" r="AH125"/>
  <c i="18" r="AH151" s="1"/>
  <c i="18" r="BZ46"/>
  <c i="18" r="AC126"/>
  <c i="18" r="AC152" s="1"/>
  <c i="18" r="CM41"/>
  <c i="18" r="AP121"/>
  <c i="18" r="AP147" s="1"/>
  <c i="18" r="CL39"/>
  <c i="18" r="AO119"/>
  <c i="18" r="AO145" s="1"/>
  <c i="18" r="CL35"/>
  <c i="18" r="AO115"/>
  <c i="18" r="AO141" s="1"/>
  <c i="18" r="CP44"/>
  <c i="18" r="AS124"/>
  <c i="18" r="AS150" s="1"/>
  <c i="18" r="BX38"/>
  <c i="18" r="AA118"/>
  <c i="18" r="AA144" s="1"/>
  <c i="18" r="CC33"/>
  <c i="18" r="AF113"/>
  <c i="18" r="AF139" s="1"/>
  <c i="18" r="BX48"/>
  <c i="18" r="AA128"/>
  <c i="18" r="AA154" s="1"/>
  <c i="18" r="CQ32"/>
  <c i="18" r="AT112"/>
  <c i="18" r="AT138" s="1"/>
  <c i="18" r="CD36"/>
  <c i="18" r="AG116"/>
  <c i="18" r="AG142" s="1"/>
  <c i="18" r="CQ37"/>
  <c i="18" r="AT117"/>
  <c i="18" r="AT143" s="1"/>
  <c i="18" r="S64"/>
  <c i="18" r="X75"/>
  <c i="18" r="E76"/>
  <c i="18" r="W57"/>
  <c i="18" r="D60"/>
  <c i="18" r="M67"/>
  <c i="18" r="V74"/>
  <c i="18" r="N60"/>
  <c i="18" r="G62"/>
  <c i="18" r="P69"/>
  <c i="18" r="G57"/>
  <c i="18" r="M63"/>
  <c i="18" r="O75"/>
  <c i="18" r="D66"/>
  <c i="18" r="R69"/>
  <c i="18" r="Q66"/>
  <c i="18" r="P59"/>
  <c i="18" r="R61"/>
  <c i="18" r="M78"/>
  <c i="18" r="BJ59" s="1"/>
  <c i="18" r="N58"/>
  <c i="18" r="R74"/>
  <c i="18" r="N76"/>
  <c i="18" r="K71"/>
  <c i="18" r="K58"/>
  <c i="18" r="U78"/>
  <c i="18" r="BR59" s="1"/>
  <c i="18" r="Q62"/>
  <c i="18" r="X60"/>
  <c i="18" r="O66"/>
  <c i="18" r="Q57"/>
  <c i="18" r="R77"/>
  <c i="18" r="W77"/>
  <c i="18" r="E58"/>
  <c i="18" r="I58"/>
  <c i="18" r="R59"/>
  <c i="18" r="BU57"/>
  <c i="18" r="E72"/>
  <c i="18" r="D78"/>
  <c i="18" r="BA59" s="1"/>
  <c i="18" r="V58"/>
  <c i="18" r="T62"/>
  <c i="18" r="K68"/>
  <c i="18" r="R57"/>
  <c i="18" r="O57"/>
  <c i="18" r="T57"/>
  <c i="18" r="W59"/>
  <c i="18" r="R63"/>
  <c i="18" r="E71"/>
  <c i="18" r="N78"/>
  <c i="18" r="BK59" s="1"/>
  <c i="18" r="F64"/>
  <c i="18" r="K60"/>
  <c i="18" r="H60"/>
  <c i="18" r="E74"/>
  <c i="18" r="C76"/>
  <c i="18" r="P60"/>
  <c i="18" r="T71"/>
  <c i="18" r="N61"/>
  <c i="18" r="E57"/>
  <c i="18" r="W78"/>
  <c i="18" r="BT59" s="1"/>
  <c i="18" r="R60"/>
  <c i="18" r="I66"/>
  <c i="18" r="P64"/>
  <c i="18" r="G70"/>
  <c i="18" r="L59"/>
  <c i="18" r="O59"/>
  <c i="18" r="X65"/>
  <c i="18" r="Q67"/>
  <c i="18" r="X73"/>
  <c i="18" r="I60"/>
  <c i="18" r="M76"/>
  <c i="18" r="N62"/>
  <c i="18" r="E68"/>
  <c i="18" r="L66"/>
  <c i="18" r="C72"/>
  <c i="18" r="H61"/>
  <c i="18" r="K61"/>
  <c i="18" r="P61"/>
  <c i="18" r="O63"/>
  <c i="18" r="J67"/>
  <c i="18" r="S74"/>
  <c i="18" r="F61"/>
  <c i="18" r="L78"/>
  <c i="18" r="BI59" s="1"/>
  <c i="18" r="W64"/>
  <c i="18" r="R67"/>
  <c i="18" r="U69"/>
  <c i="18" r="K70"/>
  <c i="18" r="N74"/>
  <c i="18" r="C63"/>
  <c i="18" r="T76"/>
  <c i="18" r="C78"/>
  <c i="18" r="AZ59" s="1"/>
  <c i="18" r="I70"/>
  <c i="18" r="O61"/>
  <c i="18" r="J64"/>
  <c i="18" r="W69"/>
  <c i="18" r="H68"/>
  <c i="18" r="U73"/>
  <c i="18" r="D63"/>
  <c i="18" r="G63"/>
  <c i="18" r="L63"/>
  <c i="18" r="K65"/>
  <c i="18" r="F69"/>
  <c i="18" r="O76"/>
  <c i="18" r="E70"/>
  <c i="18" r="I65"/>
  <c i="18" r="J63"/>
  <c i="18" r="Q71"/>
  <c i="18" r="I78"/>
  <c i="18" r="BF59" s="1"/>
  <c i="18" r="F73"/>
  <c i="18" r="H59"/>
  <c i="18" r="K69"/>
  <c i="18" r="Q77"/>
  <c i="18" r="C73"/>
  <c i="18" r="D58"/>
  <c i="18" r="I62"/>
  <c i="18" r="D71"/>
  <c i="18" r="J65"/>
  <c i="18" r="G73"/>
  <c i="18" r="U76"/>
  <c i="18" r="S58"/>
  <c i="18" r="F66"/>
  <c i="18" r="S71"/>
  <c i="18" r="D70"/>
  <c i="18" r="Q75"/>
  <c i="18" r="V64"/>
  <c i="18" r="C65"/>
  <c i="18" r="H65"/>
  <c i="18" r="G67"/>
  <c i="18" r="X70"/>
  <c i="18" r="K78"/>
  <c i="18" r="BH59" s="1"/>
  <c i="18" r="C64"/>
  <c i="18" r="L71"/>
  <c i="18" r="U70"/>
  <c i="18" r="R65"/>
  <c i="18" r="V73"/>
  <c i="18" r="X69"/>
  <c i="18" r="V65"/>
  <c i="18" r="N77"/>
  <c i="18" r="N69"/>
  <c i="18" r="R72"/>
  <c i="18" r="G72"/>
  <c i="18" r="U64"/>
  <c i="18" r="V57"/>
  <c i="18" r="M60"/>
  <c i="18" r="F74"/>
  <c i="18" r="N63"/>
  <c i="18" r="Q78"/>
  <c i="18" r="BN59" s="1"/>
  <c i="18" r="O60"/>
  <c i="18" r="X67"/>
  <c i="18" r="O73"/>
  <c i="18" r="V71"/>
  <c i="18" r="M77"/>
  <c i="18" r="R66"/>
  <c i="18" r="U66"/>
  <c i="18" r="D67"/>
  <c i="18" r="C69"/>
  <c i="18" r="T72"/>
  <c i="18" r="L58"/>
  <c i="18" r="U65"/>
  <c i="18" r="H73"/>
  <c i="18" r="V68"/>
  <c i="18" r="E73"/>
  <c i="18" r="H67"/>
  <c i="18" r="Q74"/>
  <c i="18" r="H64"/>
  <c i="18" r="K77"/>
  <c i="18" r="J71"/>
  <c i="18" r="X66"/>
  <c i="18" r="O67"/>
  <c i="18" r="D61"/>
  <c i="18" r="P65"/>
  <c i="18" r="L67"/>
  <c i="18" r="V59"/>
  <c i="18" r="Q76"/>
  <c i="18" r="N59"/>
  <c i="18" r="G75"/>
  <c i="18" r="K62"/>
  <c i="18" r="T69"/>
  <c i="18" r="K75"/>
  <c i="18" r="R73"/>
  <c i="18" r="J57"/>
  <c i="18" r="N68"/>
  <c i="18" r="Q68"/>
  <c i="18" r="D75"/>
  <c i="18" r="K64"/>
  <c i="18" r="S65"/>
  <c i="18" r="T68"/>
  <c i="18" r="G76"/>
  <c i="18" r="G71"/>
  <c i="18" r="R64"/>
  <c i="18" r="G64"/>
  <c i="18" r="P71"/>
  <c i="18" r="G77"/>
  <c i="18" r="N75"/>
  <c i="18" r="U77"/>
  <c i="18" r="J70"/>
  <c i="18" r="M70"/>
  <c i="18" r="R70"/>
  <c i="18" r="Q72"/>
  <c i="18" r="L76"/>
  <c i="18" r="D62"/>
  <c i="18" r="M69"/>
  <c i="18" r="X25" s="1"/>
  <c i="18" r="V76"/>
  <c i="18" r="H75"/>
  <c i="18" r="J74"/>
  <c i="18" r="C71"/>
  <c i="18" r="W71"/>
  <c i="18" r="E67"/>
  <c i="18" r="P73"/>
  <c i="18" r="E62"/>
  <c i="18" r="K59"/>
  <c i="18" r="S70"/>
  <c i="18" r="H57"/>
  <c i="18" r="F60"/>
  <c i="18" r="P70"/>
  <c i="18" r="P78"/>
  <c i="18" r="BM59" s="1"/>
  <c i="18" r="H74"/>
  <c i="18" r="H69"/>
  <c i="18" r="S57"/>
  <c i="18" r="M65"/>
  <c i="18" r="X68"/>
  <c i="18" r="C66"/>
  <c i="18" r="L73"/>
  <c i="18" r="D57"/>
  <c i="18" r="J77"/>
  <c i="18" r="J59"/>
  <c i="18" r="F72"/>
  <c i="18" r="I72"/>
  <c i="18" r="N72"/>
  <c i="18" r="M74"/>
  <c i="18" r="H78"/>
  <c i="18" r="BE59" s="1"/>
  <c i="18" r="V63"/>
  <c i="18" r="I71"/>
  <c i="18" r="R78"/>
  <c i="18" r="BO59" s="1"/>
  <c i="18" r="U67"/>
  <c i="18" r="I76"/>
  <c i="18" r="T58"/>
  <c i="18" r="F68"/>
  <c i="18" r="E63"/>
  <c i="18" r="D64"/>
  <c i="18" r="K57"/>
  <c i="18" r="V70"/>
  <c i="18" r="I75"/>
  <c i="18" r="X74"/>
  <c i="18" r="L72"/>
  <c i="18" r="N66"/>
  <c i="18" r="D74"/>
  <c i="18" r="T77"/>
  <c i="18" r="M58"/>
  <c i="18" r="L75"/>
  <c i="18" r="J58"/>
  <c i="18" r="C74"/>
  <c i="18" r="U75"/>
  <c i="18" r="M68"/>
  <c i="18" r="X24" s="1"/>
  <c i="18" r="W65"/>
  <c i="18" r="J60"/>
  <c i="18" r="E69"/>
  <c i="18" r="O69"/>
  <c i="18" r="S72"/>
  <c i="18" r="Q69"/>
  <c i="18" r="D77"/>
  <c i="18" r="S68"/>
  <c i="18" r="G59"/>
  <c i="18" r="X62"/>
  <c i="18" r="T75"/>
  <c i="18" r="W75"/>
  <c i="18" r="F76"/>
  <c i="18" r="E78"/>
  <c i="18" r="BB59" s="1"/>
  <c i="18" r="E60"/>
  <c i="18" r="N67"/>
  <c i="18" r="W74"/>
  <c i="18" r="P76"/>
  <c i="18" r="O72"/>
  <c i="18" r="K74"/>
  <c i="18" r="F78"/>
  <c i="18" r="BC59" s="1"/>
  <c i="18" r="T63"/>
  <c i="18" r="G58"/>
  <c i="18" r="C60"/>
  <c i="18" r="V77"/>
  <c i="18" r="Q63"/>
  <c i="18" r="I67"/>
  <c i="18" r="S67"/>
  <c i="18" r="F62"/>
  <c i="18" r="W70"/>
  <c i="18" r="M71"/>
  <c i="18" r="V78"/>
  <c i="18" r="BS59" s="1"/>
  <c i="18" r="D59"/>
  <c i="18" r="C61"/>
  <c i="18" r="T64"/>
  <c i="18" r="P77"/>
  <c i="18" r="S77"/>
  <c i="18" r="X77"/>
  <c i="18" r="X57"/>
  <c i="18" r="W61"/>
  <c i="18" r="J69"/>
  <c i="18" r="S76"/>
  <c i="18" r="Q61"/>
  <c i="18" r="R75"/>
  <c i="18" r="I73"/>
  <c i="18" r="E65"/>
  <c i="18" r="V60"/>
  <c i="18" r="U62"/>
  <c i="18" r="P66"/>
  <c i="18" r="M57"/>
  <c i="18" r="P57"/>
  <c i="18" r="U57"/>
  <c i="18" r="F58"/>
  <c i="18" r="S63"/>
  <c i="18" r="F71"/>
  <c i="18" r="O78"/>
  <c i="18" r="BL59" s="1"/>
  <c i="18" r="L60"/>
  <c i="18" r="G69"/>
  <c i="18" r="U72"/>
  <c i="18" r="H77"/>
  <c i="18" r="N71"/>
  <c i="18" r="E75"/>
  <c i="18" r="W58"/>
  <c i="18" r="R62"/>
  <c i="18" r="Q64"/>
  <c i="18" r="L68"/>
  <c i="18" r="I63"/>
  <c i="18" r="O70"/>
  <c i="18" r="C58"/>
  <c i="18" r="X59"/>
  <c i="18" r="O65"/>
  <c i="18" r="X72"/>
  <c i="18" r="P58"/>
  <c i="18" r="H62"/>
  <c i="18" r="S73"/>
  <c i="18" r="W63"/>
  <c i="18" r="V67"/>
  <c i="18" r="X61"/>
  <c i="18" r="C57"/>
  <c i="18" r="Q58"/>
  <c i="18" r="D76"/>
  <c i="18" r="Q59"/>
  <c i="18" r="X63"/>
  <c i="18" r="P67"/>
  <c i="18" r="W76"/>
  <c i="18" r="S60"/>
  <c i="18" r="N64"/>
  <c i="18" r="M66"/>
  <c i="18" r="H70"/>
  <c i="18" r="M59"/>
  <c i="18" r="H63"/>
  <c i="18" r="U59"/>
  <c i="18" r="T61"/>
  <c i="18" r="K67"/>
  <c i="18" r="T74"/>
  <c i="18" r="L62"/>
  <c i="18" r="S66"/>
  <c i="18" r="M73"/>
  <c i="18" r="M61"/>
  <c i="18" r="N57"/>
  <c i="18" r="U61"/>
  <c i="18" r="E64"/>
  <c i="18" r="V72"/>
  <c i="18" r="K63"/>
  <c i="18" r="S78"/>
  <c i="18" r="BP59" s="1"/>
  <c i="18" r="O62"/>
  <c i="18" r="J66"/>
  <c i="18" r="I68"/>
  <c i="18" r="D72"/>
  <c i="18" r="I61"/>
  <c i="18" r="W66"/>
  <c i="18" r="P63"/>
  <c i="18" r="W68"/>
  <c i="18" r="W62"/>
  <c i="18" r="R58"/>
  <c i="18" r="H58"/>
  <c i="18" r="O68"/>
  <c i="18" r="F65"/>
  <c i="18" r="Q65"/>
  <c i="18" r="G61"/>
  <c i="18" r="J76"/>
  <c i="18" r="E77"/>
  <c i="18" r="D73"/>
  <c i="18" r="J73"/>
  <c i="18" r="V62"/>
  <c i="18" r="I74"/>
  <c i="18" r="F75"/>
  <c i="18" r="X58"/>
  <c i="18" r="E59"/>
  <c i="18" r="X76"/>
  <c i="18" r="T60"/>
  <c i="18" r="W60"/>
  <c i="18" r="U74"/>
  <c i="18" r="J72"/>
  <c i="18" r="T78"/>
  <c i="18" r="BQ59" s="1"/>
  <c i="18" r="P62"/>
  <c i="18" r="S62"/>
  <c i="18" r="J68"/>
  <c i="18" r="C59"/>
  <c i="18" r="U58"/>
  <c i="18" r="L64"/>
  <c i="18" r="O64"/>
  <c i="18" r="F70"/>
  <c i="18" r="W73"/>
  <c i="18" r="K72"/>
  <c i="18" r="Q60"/>
  <c i="18" r="H66"/>
  <c i="18" r="K66"/>
  <c i="18" r="X71"/>
  <c i="18" r="S75"/>
  <c i="18" r="S59"/>
  <c i="18" r="M62"/>
  <c i="18" r="D68"/>
  <c i="18" r="G68"/>
  <c i="18" r="T73"/>
  <c i="18" r="O77"/>
  <c i="18" r="J61"/>
  <c i="18" r="I64"/>
  <c i="18" r="V69"/>
  <c i="18" r="C70"/>
  <c i="18" r="P75"/>
  <c i="18" r="L57"/>
  <c i="18" r="F63"/>
  <c i="18" r="F67"/>
  <c i="18" r="E66"/>
  <c i="18" r="R71"/>
  <c i="18" r="U71"/>
  <c i="18" r="L77"/>
  <c i="18" r="L61"/>
  <c i="18" r="X64"/>
  <c i="18" r="G65"/>
  <c i="18" r="J78"/>
  <c i="18" r="BG59" s="1"/>
  <c i="18" r="W67"/>
  <c i="18" r="N73"/>
  <c i="18" r="Q73"/>
  <c i="18" r="I57"/>
  <c i="18" r="D65"/>
  <c i="18" r="T66"/>
  <c i="18" r="C67"/>
  <c i="18" r="T70"/>
  <c i="18" r="T65"/>
  <c i="18" r="S69"/>
  <c i="18" r="J75"/>
  <c i="18" r="M75"/>
  <c i="18" r="G74"/>
  <c i="18" r="V66"/>
  <c i="18" r="P68"/>
  <c i="18" r="U68"/>
  <c i="18" r="P72"/>
  <c i="18" r="O74"/>
  <c i="18" r="G60"/>
  <c i="18" r="C75"/>
  <c i="18" r="O71"/>
  <c i="18" r="F77"/>
  <c i="18" r="I77"/>
  <c i="18" r="I59"/>
  <c i="18" r="R68"/>
  <c i="18" r="L70"/>
  <c i="18" r="Q70"/>
  <c i="18" r="L74"/>
  <c i="18" r="K76"/>
  <c i="18" r="C62"/>
  <c i="18" r="L69"/>
  <c i="18" r="K73"/>
  <c i="18" r="X78"/>
  <c i="18" r="BU59" s="1"/>
  <c i="18" r="F57"/>
  <c i="18" r="E61"/>
  <c i="18" r="N70"/>
  <c i="18" r="H72"/>
  <c i="18" r="M72"/>
  <c i="18" r="H76"/>
  <c i="18" r="G78"/>
  <c i="18" r="BD59" s="1"/>
  <c i="18" r="U63"/>
  <c i="18" r="H71"/>
  <c i="18" r="CC46"/>
  <c i="18" r="AF126"/>
  <c i="18" r="AF152" s="1"/>
  <c i="18" r="CQ41"/>
  <c i="18" r="AT121"/>
  <c i="18" r="AT147" s="1"/>
  <c i="18" r="CH39"/>
  <c i="18" r="AK119"/>
  <c i="18" r="AK145" s="1"/>
  <c i="18" r="CE44"/>
  <c i="18" r="AH124"/>
  <c i="18" r="AH150" s="1"/>
  <c i="18" r="CD38"/>
  <c i="18" r="AG118"/>
  <c i="18" r="AG144" s="1"/>
  <c i="18" r="CQ43"/>
  <c i="18" r="AT123"/>
  <c i="18" r="AT149" s="1"/>
  <c i="18" r="CN33"/>
  <c i="18" r="AQ113"/>
  <c i="18" r="AQ139" s="1"/>
  <c i="18" r="CP48"/>
  <c i="18" r="AS128"/>
  <c i="18" r="AS154" s="1"/>
  <c i="18" r="CF32"/>
  <c i="18" r="AI112"/>
  <c i="18" r="AI138" s="1"/>
  <c i="18" r="BZ37"/>
  <c i="18" r="AC117"/>
  <c i="18" r="AC143" s="1"/>
  <c i="18" r="CK46"/>
  <c i="18" r="AN126"/>
  <c i="18" r="AN152" s="1"/>
  <c i="18" r="CJ41"/>
  <c i="18" r="AM121"/>
  <c i="18" r="AM147" s="1"/>
  <c i="18" r="CE39"/>
  <c i="18" r="AH119"/>
  <c i="18" r="AH145" s="1"/>
  <c i="18" r="CM44"/>
  <c i="18" r="AP124"/>
  <c i="18" r="AP150" s="1"/>
  <c i="18" r="CL38"/>
  <c i="18" r="AO118"/>
  <c i="18" r="AO144" s="1"/>
  <c i="18" r="CD43"/>
  <c i="18" r="AG123"/>
  <c i="18" r="AG149" s="1"/>
  <c i="18" r="AV113"/>
  <c i="18" r="AV139" s="1"/>
  <c i="18" r="CA48"/>
  <c i="18" r="AD128"/>
  <c i="18" r="AD154" s="1"/>
  <c i="18" r="CC32"/>
  <c i="18" r="AF112"/>
  <c i="18" r="AF138" s="1"/>
  <c i="18" r="CN37"/>
  <c i="18" r="AQ117"/>
  <c i="18" r="AQ143" s="1"/>
  <c i="18" r="CC40"/>
  <c i="18" r="AF120"/>
  <c i="18" r="AF146" s="1"/>
  <c i="18" r="BX46"/>
  <c i="18" r="AA126"/>
  <c i="18" r="AA152" s="1"/>
  <c i="18" r="CC41"/>
  <c i="18" r="AF121"/>
  <c i="18" r="AF147" s="1"/>
  <c i="18" r="CI39"/>
  <c i="18" r="AL119"/>
  <c i="18" r="AL145" s="1"/>
  <c i="18" r="BZ44"/>
  <c i="18" r="AC124"/>
  <c i="18" r="AC150" s="1"/>
  <c i="18" r="CG38"/>
  <c i="18" r="AJ118"/>
  <c i="18" r="AJ144" s="1"/>
  <c i="18" r="BY43"/>
  <c i="18" r="AB123"/>
  <c i="18" r="AB149" s="1"/>
  <c i="18" r="CM48"/>
  <c i="18" r="AP128"/>
  <c i="18" r="AP154" s="1"/>
  <c i="18" r="BZ32"/>
  <c i="18" r="AC112"/>
  <c i="18" r="AC138" s="1"/>
  <c i="18" r="BY31"/>
  <c i="18" r="AB111"/>
  <c i="18" r="AB137" s="1"/>
  <c i="18" r="CB37"/>
  <c i="18" r="AE117"/>
  <c i="18" r="AE143" s="1"/>
  <c i="18" r="CK40"/>
  <c i="18" r="AN120"/>
  <c i="18" r="AN146" s="1"/>
  <c i="18" r="CN46"/>
  <c i="18" r="AQ126"/>
  <c i="18" r="AQ152" s="1"/>
  <c i="18" r="CG41"/>
  <c i="18" r="AJ121"/>
  <c i="18" r="AJ147" s="1"/>
  <c i="18" r="BY39"/>
  <c i="18" r="AB119"/>
  <c i="18" r="AB145" s="1"/>
  <c i="18" r="CH44"/>
  <c i="18" r="AK124"/>
  <c i="18" r="AK150" s="1"/>
  <c i="18" r="CB38"/>
  <c i="18" r="AE118"/>
  <c i="18" r="AE144" s="1"/>
  <c i="18" r="CK43"/>
  <c i="18" r="AN123"/>
  <c i="18" r="AN149" s="1"/>
  <c i="18" r="CD48"/>
  <c i="18" r="AG128"/>
  <c i="18" r="AG154" s="1"/>
  <c i="18" r="CG32"/>
  <c i="18" r="AJ112"/>
  <c i="18" r="AJ138" s="1"/>
  <c i="18" r="CG37"/>
  <c i="18" r="AJ117"/>
  <c i="18" r="AJ143" s="1"/>
  <c i="18" r="CN40"/>
  <c i="18" r="AQ120"/>
  <c i="18" r="AQ146" s="1"/>
  <c i="18" r="CF46"/>
  <c i="18" r="AI126"/>
  <c i="18" r="AI152" s="1"/>
  <c i="18" r="BY41"/>
  <c i="18" r="AB121"/>
  <c i="18" r="AB147" s="1"/>
  <c i="18" r="CP39"/>
  <c i="18" r="AS119"/>
  <c i="18" r="AS145" s="1"/>
  <c i="18" r="CK44"/>
  <c i="18" r="AN124"/>
  <c i="18" r="AN150" s="1"/>
  <c i="18" r="CO38"/>
  <c i="18" r="AR118"/>
  <c i="18" r="AR144" s="1"/>
  <c i="18" r="CH43"/>
  <c i="18" r="AK123"/>
  <c i="18" r="AK149" s="1"/>
  <c i="18" r="CK48"/>
  <c i="18" r="AN128"/>
  <c i="18" r="AN154" s="1"/>
  <c i="18" r="CL32"/>
  <c i="18" r="AO112"/>
  <c i="18" r="AO138" s="1"/>
  <c i="1" r="BE89"/>
  <c i="1" r="BH93"/>
  <c i="18" r="CK37"/>
  <c i="18" r="AN117"/>
  <c i="18" r="AN143" s="1"/>
  <c i="18" r="CA40"/>
  <c i="18" r="AD120"/>
  <c i="18" r="AD146" s="1"/>
  <c i="18" r="CI46"/>
  <c i="18" r="AL126"/>
  <c i="18" r="AL152" s="1"/>
  <c i="18" r="CN41"/>
  <c i="18" r="AQ121"/>
  <c i="18" r="AQ147" s="1"/>
  <c i="18" r="CM39"/>
  <c i="18" r="AP119"/>
  <c i="18" r="AP145" s="1"/>
  <c i="18" r="CN44"/>
  <c i="18" r="AQ124"/>
  <c i="18" r="AQ150" s="1"/>
  <c i="18" r="BY38"/>
  <c i="18" r="AB118"/>
  <c i="18" r="AB144" s="1"/>
  <c i="18" r="CA43"/>
  <c i="18" r="AD123"/>
  <c i="18" r="AD149" s="1"/>
  <c i="18" r="CN48"/>
  <c i="18" r="AQ128"/>
  <c i="18" r="AQ154" s="1"/>
  <c i="18" r="CO32"/>
  <c i="18" r="AR112"/>
  <c i="18" r="AR138" s="1"/>
  <c i="1" r="AY104"/>
  <c i="1" r="BF103"/>
  <c i="1" r="BF93"/>
  <c i="1" r="BD95"/>
  <c i="1" r="CG22"/>
  <c i="18" r="M4" s="1"/>
  <c i="18" r="I24"/>
  <c i="18" r="CA37"/>
  <c i="18" r="AD117"/>
  <c i="18" r="AD143" s="1"/>
  <c i="18" r="CF40"/>
  <c i="18" r="AI120"/>
  <c i="18" r="AI146" s="1"/>
  <c i="18" r="CA46"/>
  <c i="18" r="AD126"/>
  <c i="18" r="AD152" s="1"/>
  <c i="18" r="CK41"/>
  <c i="18" r="AN121"/>
  <c i="18" r="AN147" s="1"/>
  <c i="18" r="CF39"/>
  <c i="18" r="AI119"/>
  <c i="18" r="AI145" s="1"/>
  <c i="18" r="CO44"/>
  <c i="18" r="AR124"/>
  <c i="18" r="AR150" s="1"/>
  <c i="18" r="CJ38"/>
  <c i="18" r="AM118"/>
  <c i="18" r="AM144" s="1"/>
  <c i="18" r="CE43"/>
  <c i="18" r="AH123"/>
  <c i="18" r="AH149" s="1"/>
  <c i="18" r="CQ48"/>
  <c i="18" r="AT128"/>
  <c i="18" r="AT154" s="1"/>
  <c i="18" r="CD32"/>
  <c i="18" r="AG112"/>
  <c i="18" r="AG138" s="1"/>
  <c i="1" r="BD108"/>
  <c i="1" r="BI95"/>
  <c i="1" r="BS92"/>
  <c i="1" r="BI98"/>
  <c i="1" r="BQ105"/>
  <c i="1" r="BB96"/>
  <c i="1" r="AZ97"/>
  <c i="18" r="CO37"/>
  <c i="18" r="AR117"/>
  <c i="18" r="AR143" s="1"/>
  <c i="18" r="CI40"/>
  <c i="18" r="AL120"/>
  <c i="18" r="AL146" s="1"/>
  <c i="18" r="CO46"/>
  <c i="18" r="AR126"/>
  <c i="18" r="AR152" s="1"/>
  <c i="18" r="BZ41"/>
  <c i="18" r="AC121"/>
  <c i="18" r="AC147" s="1"/>
  <c i="18" r="BX39"/>
  <c i="18" r="AA119"/>
  <c i="18" r="AA145" s="1"/>
  <c i="18" r="CG36"/>
  <c i="18" r="AJ116"/>
  <c i="18" r="AJ142" s="1"/>
  <c i="18" r="CC44"/>
  <c i="18" r="AF124"/>
  <c i="18" r="AF150" s="1"/>
  <c i="18" r="AV118"/>
  <c i="18" r="AV144" s="1"/>
  <c i="18" r="CO43"/>
  <c i="18" r="AR123"/>
  <c i="18" r="AR149" s="1"/>
  <c i="18" r="CG48"/>
  <c i="18" r="AJ128"/>
  <c i="18" r="AJ154" s="1"/>
  <c i="18" r="CJ32"/>
  <c i="18" r="AM112"/>
  <c i="18" r="AM138" s="1"/>
  <c i="1" r="BG106"/>
  <c i="1" r="BI108"/>
  <c i="1" r="BM107"/>
  <c i="1" r="AX89"/>
  <c i="1" r="AX97"/>
  <c i="18" r="CH37"/>
  <c i="18" r="AK117"/>
  <c i="18" r="AK143" s="1"/>
  <c i="18" r="BY40"/>
  <c i="18" r="AB120"/>
  <c i="18" r="AB146" s="1"/>
  <c i="18" r="AO111"/>
  <c i="18" r="AO137" s="1"/>
  <c i="18" r="CL31"/>
  <c i="18" r="CD46"/>
  <c i="18" r="AG126"/>
  <c i="18" r="AG152" s="1"/>
  <c i="18" r="CD41"/>
  <c i="18" r="AG121"/>
  <c i="18" r="AG147" s="1"/>
  <c i="18" r="CJ39"/>
  <c i="18" r="AM119"/>
  <c i="18" r="AM145" s="1"/>
  <c i="18" r="BX36"/>
  <c i="18" r="AA116"/>
  <c i="18" r="AA142" s="1"/>
  <c i="18" r="CQ44"/>
  <c i="18" r="AT124"/>
  <c i="18" r="AT150" s="1"/>
  <c i="18" r="CI34"/>
  <c i="18" r="AL114"/>
  <c i="18" r="AL140" s="1"/>
  <c i="18" r="BZ43"/>
  <c i="18" r="AC123"/>
  <c i="18" r="AC149" s="1"/>
  <c i="18" r="CO48"/>
  <c i="18" r="AR128"/>
  <c i="18" r="AR154" s="1"/>
  <c i="18" r="CA32"/>
  <c i="18" r="AD112"/>
  <c i="18" r="AD138" s="1"/>
  <c i="1" r="BI109"/>
  <c i="1" r="BL89"/>
  <c i="1" r="AZ108"/>
  <c i="18" r="BX37"/>
  <c i="18" r="AA117"/>
  <c i="18" r="AA143" s="1"/>
  <c i="18" r="CD40"/>
  <c i="18" r="AG120"/>
  <c i="18" r="AG146" s="1"/>
  <c i="18" r="BZ31"/>
  <c i="18" r="AC111"/>
  <c i="18" r="AC137" s="1"/>
  <c i="18" r="BY46"/>
  <c i="18" r="AB126"/>
  <c i="18" r="AB152" s="1"/>
  <c i="18" r="CH41"/>
  <c i="18" r="AK121"/>
  <c i="18" r="AK147" s="1"/>
  <c i="18" r="CB39"/>
  <c i="18" r="AE119"/>
  <c i="18" r="AE145" s="1"/>
  <c i="18" r="CO36"/>
  <c i="18" r="AR116"/>
  <c i="18" r="AR142" s="1"/>
  <c i="18" r="BX44"/>
  <c i="18" r="AA124"/>
  <c i="18" r="AA150" s="1"/>
  <c i="18" r="BZ34"/>
  <c i="18" r="AC114"/>
  <c i="18" r="AC140" s="1"/>
  <c i="18" r="CN43"/>
  <c i="18" r="AQ123"/>
  <c i="18" r="AQ149" s="1"/>
  <c i="18" r="BY48"/>
  <c i="18" r="AB128"/>
  <c i="18" r="AB154" s="1"/>
  <c i="18" r="BX32"/>
  <c i="18" r="AA112"/>
  <c i="18" r="AA138" s="1"/>
  <c i="1" r="BM108"/>
  <c i="1" r="BG98"/>
  <c i="1" r="BL100"/>
  <c i="1" r="BJ102"/>
  <c i="18" r="CC37"/>
  <c i="18" r="AF117"/>
  <c i="18" r="AF143" s="1"/>
  <c i="18" r="CP40"/>
  <c i="18" r="AS120"/>
  <c i="18" r="AS146" s="1"/>
  <c i="18" r="CC31"/>
  <c i="18" r="AF111"/>
  <c i="18" r="AF137" s="1"/>
  <c i="18" r="CO41"/>
  <c i="18" r="AR121"/>
  <c i="18" r="AR147" s="1"/>
  <c i="18" r="CQ39"/>
  <c i="18" r="AT119"/>
  <c i="18" r="AT145" s="1"/>
  <c i="18" r="CE36"/>
  <c i="18" r="AH116"/>
  <c i="18" r="AH142" s="1"/>
  <c i="18" r="CF44"/>
  <c i="18" r="AI124"/>
  <c i="18" r="AI150" s="1"/>
  <c i="18" r="CQ34"/>
  <c i="18" r="AT114"/>
  <c i="18" r="AT140" s="1"/>
  <c i="18" r="CL43"/>
  <c i="18" r="AO123"/>
  <c i="18" r="AO149" s="1"/>
  <c i="18" r="CM47"/>
  <c i="18" r="AP127"/>
  <c i="18" r="AP153" s="1"/>
  <c i="18" r="CB48"/>
  <c i="18" r="AE128"/>
  <c i="18" r="AE154" s="1"/>
  <c i="18" r="CM32"/>
  <c i="18" r="AP112"/>
  <c i="18" r="AP138" s="1"/>
  <c i="1" r="AX100"/>
  <c i="1" r="BF101"/>
  <c i="1" r="BD93"/>
  <c i="18" r="CL37"/>
  <c i="18" r="AO117"/>
  <c i="18" r="AO143" s="1"/>
  <c i="18" r="CL40"/>
  <c i="18" r="AO120"/>
  <c i="18" r="AO146" s="1"/>
  <c i="18" r="CF31"/>
  <c i="18" r="AI111"/>
  <c i="18" r="AI137" s="1"/>
  <c i="18" r="BX41"/>
  <c i="18" r="AA121"/>
  <c i="18" r="AA147" s="1"/>
  <c i="18" r="CG39"/>
  <c i="18" r="AJ119"/>
  <c i="18" r="AJ145" s="1"/>
  <c i="18" r="CJ36"/>
  <c i="18" r="AM116"/>
  <c i="18" r="AM142" s="1"/>
  <c i="18" r="CA44"/>
  <c i="18" r="AD124"/>
  <c i="18" r="AD150" s="1"/>
  <c i="18" r="CG34"/>
  <c i="18" r="AJ114"/>
  <c i="18" r="AJ140" s="1"/>
  <c i="18" r="CI43"/>
  <c i="18" r="AL123"/>
  <c i="18" r="AL149" s="1"/>
  <c i="18" r="BZ47"/>
  <c i="18" r="AC127"/>
  <c i="18" r="AC153" s="1"/>
  <c i="18" r="AV128"/>
  <c i="18" r="AV154" s="1"/>
  <c i="18" r="CH32"/>
  <c i="18" r="AK112"/>
  <c i="18" r="AK138" s="1"/>
  <c i="1" r="BK90"/>
  <c i="1" r="BI88"/>
  <c i="1" r="BP101"/>
  <c i="1" r="BB106"/>
  <c i="18" r="CD37"/>
  <c i="18" r="AG117"/>
  <c i="18" r="AG143" s="1"/>
  <c i="18" r="CQ40"/>
  <c i="18" r="AT120"/>
  <c i="18" r="AT146" s="1"/>
  <c i="18" r="AP111"/>
  <c i="18" r="AP137" s="1"/>
  <c i="18" r="CM31"/>
  <c i="18" r="CE41"/>
  <c i="18" r="AH121"/>
  <c i="18" r="AH147" s="1"/>
  <c i="18" r="CN39"/>
  <c i="18" r="AQ119"/>
  <c i="18" r="AQ145" s="1"/>
  <c i="18" r="CM36"/>
  <c i="18" r="AP116"/>
  <c i="18" r="AP142" s="1"/>
  <c i="18" r="AV124"/>
  <c i="18" r="AV150" s="1"/>
  <c i="18" r="CL34"/>
  <c i="18" r="AO114"/>
  <c i="18" r="AO140" s="1"/>
  <c i="18" r="CP43"/>
  <c i="18" r="AS123"/>
  <c i="18" r="AS149" s="1"/>
  <c i="18" r="CP47"/>
  <c i="18" r="AS127"/>
  <c i="18" r="AS153" s="1"/>
  <c i="18" r="CE32"/>
  <c i="18" r="AH112"/>
  <c i="18" r="AH138" s="1"/>
  <c i="1" r="BG92"/>
  <c i="1" r="BR96"/>
  <c i="1" r="AX108"/>
  <c i="1" r="BN97"/>
  <c i="18" r="CI37"/>
  <c i="18" r="AL117"/>
  <c i="18" r="AL143" s="1"/>
  <c i="18" r="CO40"/>
  <c i="18" r="AR120"/>
  <c i="18" r="AR146" s="1"/>
  <c i="18" r="CQ31"/>
  <c i="18" r="AT111"/>
  <c i="18" r="AT137" s="1"/>
  <c i="18" r="CL41"/>
  <c i="18" r="AO121"/>
  <c i="18" r="AO147" s="1"/>
  <c i="18" r="BZ39"/>
  <c i="18" r="AC119"/>
  <c i="18" r="AC145" s="1"/>
  <c i="18" r="BY36"/>
  <c i="18" r="AB116"/>
  <c i="18" r="AB142" s="1"/>
  <c i="18" r="CO34"/>
  <c i="18" r="AR114"/>
  <c i="18" r="AR140" s="1"/>
  <c i="18" r="CB43"/>
  <c i="18" r="AE123"/>
  <c i="18" r="AE149" s="1"/>
  <c i="18" r="CG47"/>
  <c i="18" r="AJ127"/>
  <c i="18" r="AJ153" s="1"/>
  <c i="18" r="CF42"/>
  <c i="18" r="AI122"/>
  <c i="18" r="AI148" s="1"/>
  <c i="18" r="CP32"/>
  <c i="18" r="AS112"/>
  <c i="18" r="AS138" s="1"/>
  <c i="1" r="BS101"/>
  <c i="1" r="BN98"/>
  <c i="1" r="BR107"/>
  <c i="1" r="BP109"/>
  <c i="1" r="BS88"/>
  <c i="18" r="CP49"/>
  <c i="18" r="AS129"/>
  <c i="18" r="AS155" s="1"/>
  <c i="18" r="CP37"/>
  <c i="18" r="AS117"/>
  <c i="18" r="AS143" s="1"/>
  <c i="18" r="CG40"/>
  <c i="18" r="AJ120"/>
  <c i="18" r="AJ146" s="1"/>
  <c i="18" r="BX31"/>
  <c i="18" r="AA111"/>
  <c i="18" r="AA137" s="1"/>
  <c i="18" r="CI41"/>
  <c i="18" r="AL121"/>
  <c i="18" r="AL147" s="1"/>
  <c i="18" r="CK39"/>
  <c i="18" r="AN119"/>
  <c i="18" r="AN145" s="1"/>
  <c i="18" r="CC36"/>
  <c i="18" r="AF116"/>
  <c i="18" r="AF142" s="1"/>
  <c i="18" r="CA34"/>
  <c i="18" r="AD114"/>
  <c i="18" r="AD140" s="1"/>
  <c i="18" r="CF43"/>
  <c i="18" r="AI123"/>
  <c i="18" r="AI149" s="1"/>
  <c i="18" r="CD47"/>
  <c i="18" r="AG127"/>
  <c i="18" r="AG153" s="1"/>
  <c i="18" r="CN42"/>
  <c i="18" r="AQ122"/>
  <c i="18" r="AQ148" s="1"/>
  <c i="1" r="AY96"/>
  <c i="1" r="BJ100"/>
  <c i="1" r="BC92"/>
  <c i="1" r="BA88"/>
  <c i="18" r="CA49"/>
  <c i="18" r="AD129"/>
  <c i="18" r="AD155" s="1"/>
  <c i="18" r="CM37"/>
  <c i="18" r="AP117"/>
  <c i="18" r="AP143" s="1"/>
  <c i="18" r="CH40"/>
  <c i="18" r="AK120"/>
  <c i="18" r="AK146" s="1"/>
  <c i="18" r="CG31"/>
  <c i="18" r="AJ111"/>
  <c i="18" r="AJ137" s="1"/>
  <c i="18" r="BZ30"/>
  <c i="18" r="BB51"/>
  <c i="18" r="CA41"/>
  <c i="18" r="AD121"/>
  <c i="18" r="AD147" s="1"/>
  <c i="18" r="CC39"/>
  <c i="18" r="AF119"/>
  <c i="18" r="AF145" s="1"/>
  <c i="18" r="CH36"/>
  <c i="18" r="AK116"/>
  <c i="18" r="AK142" s="1"/>
  <c i="18" r="BX34"/>
  <c i="18" r="AA114"/>
  <c i="18" r="AA140" s="1"/>
  <c i="18" r="BX43"/>
  <c i="18" r="AA123"/>
  <c i="18" r="AA149" s="1"/>
  <c i="18" r="BY47"/>
  <c i="18" r="AB127"/>
  <c i="18" r="AB153" s="1"/>
  <c i="18" r="CP42"/>
  <c i="18" r="AS122"/>
  <c i="18" r="AS148" s="1"/>
  <c i="1" r="BB93"/>
  <c i="1" r="BH90"/>
  <c i="18" r="CK49"/>
  <c i="18" r="AN129"/>
  <c i="18" r="AN155" s="1"/>
  <c i="18" r="CE37"/>
  <c i="18" r="AH117"/>
  <c i="18" r="AH143" s="1"/>
  <c i="18" r="CB40"/>
  <c i="18" r="AE120"/>
  <c i="18" r="AE146" s="1"/>
  <c i="18" r="CA31"/>
  <c i="18" r="AD111"/>
  <c i="18" r="AD137" s="1"/>
  <c i="18" r="CP41"/>
  <c i="18" r="AS121"/>
  <c i="18" r="AS147" s="1"/>
  <c i="18" r="AV119"/>
  <c i="18" r="AV145" s="1"/>
  <c i="18" r="CP36"/>
  <c i="18" r="AS116"/>
  <c i="18" r="AS142" s="1"/>
  <c i="18" r="CE34"/>
  <c i="18" r="AH114"/>
  <c i="18" r="AH140" s="1"/>
  <c i="18" r="CM43"/>
  <c i="18" r="AP123"/>
  <c i="18" r="AP149" s="1"/>
  <c i="18" r="CN47"/>
  <c i="18" r="AQ127"/>
  <c i="18" r="AQ153" s="1"/>
  <c i="18" r="CA42"/>
  <c i="18" r="AD122"/>
  <c i="18" r="AD148" s="1"/>
  <c i="1" r="BN104"/>
  <c i="1" r="BB104"/>
  <c i="18" r="BX49"/>
  <c i="18" r="AA129"/>
  <c i="18" r="AA155" s="1"/>
  <c i="18" r="BY37"/>
  <c i="18" r="AB117"/>
  <c i="18" r="AB143" s="1"/>
  <c i="18" r="BX40"/>
  <c i="18" r="AA120"/>
  <c i="18" r="AA146" s="1"/>
  <c i="18" r="CH31"/>
  <c i="18" r="AK111"/>
  <c i="18" r="AK137" s="1"/>
  <c i="18" r="CK36"/>
  <c i="18" r="AN116"/>
  <c i="18" r="AN142" s="1"/>
  <c i="18" r="CJ34"/>
  <c i="18" r="AM114"/>
  <c i="18" r="AM140" s="1"/>
  <c i="18" r="CC43"/>
  <c i="18" r="AF123"/>
  <c i="18" r="AF149" s="1"/>
  <c i="18" r="CJ47"/>
  <c i="18" r="AM127"/>
  <c i="18" r="AM153" s="1"/>
  <c i="18" r="CI42"/>
  <c i="18" r="AL122"/>
  <c i="18" r="AL148" s="1"/>
  <c i="1" r="BD96"/>
  <c i="1" r="BL97"/>
  <c i="1" r="BP96"/>
  <c i="18" r="CH49"/>
  <c i="18" r="AK129"/>
  <c i="18" r="AK155" s="1"/>
  <c i="18" r="CJ37"/>
  <c i="18" r="AM117"/>
  <c i="18" r="AM143" s="1"/>
  <c i="18" r="CJ40"/>
  <c i="18" r="AM120"/>
  <c i="18" r="AM146" s="1"/>
  <c i="18" r="CN31"/>
  <c i="18" r="AQ111"/>
  <c i="18" r="AQ137" s="1"/>
  <c i="18" r="BZ36"/>
  <c i="18" r="AC116"/>
  <c i="18" r="AC142" s="1"/>
  <c i="18" r="CM34"/>
  <c i="18" r="AP114"/>
  <c i="18" r="AP140" s="1"/>
  <c i="18" r="CJ43"/>
  <c i="18" r="AM123"/>
  <c i="18" r="AM149" s="1"/>
  <c i="18" r="CA47"/>
  <c i="18" r="AD127"/>
  <c i="18" r="AD153" s="1"/>
  <c i="18" r="CL42"/>
  <c i="18" r="AO122"/>
  <c i="18" r="AO148" s="1"/>
  <c i="1" r="BK88"/>
  <c i="1" r="BL98"/>
  <c i="1" r="BP107"/>
  <c i="1" r="BL99"/>
  <c i="1" r="BH92"/>
  <c i="18" r="CN49"/>
  <c i="18" r="AQ129"/>
  <c i="18" r="AQ155" s="1"/>
  <c i="18" r="CE40"/>
  <c i="18" r="AH120"/>
  <c i="18" r="AH146" s="1"/>
  <c i="18" r="CD31"/>
  <c i="18" r="AG111"/>
  <c i="18" r="AG137" s="1"/>
  <c i="18" r="CF36"/>
  <c i="18" r="AI116"/>
  <c i="18" r="AI142" s="1"/>
  <c i="18" r="CB34"/>
  <c i="18" r="AE114"/>
  <c i="18" r="AE140" s="1"/>
  <c i="18" r="CG43"/>
  <c i="18" r="AJ123"/>
  <c i="18" r="AJ149" s="1"/>
  <c i="18" r="CH47"/>
  <c i="18" r="AK127"/>
  <c i="18" r="AK153" s="1"/>
  <c i="18" r="BY42"/>
  <c i="18" r="AB122"/>
  <c i="18" r="AB148" s="1"/>
  <c i="18" r="BU51"/>
  <c i="1" r="BE108"/>
  <c i="1" r="BF92"/>
  <c i="1" r="BH100"/>
  <c i="1" r="BC97"/>
  <c i="18" r="CE49"/>
  <c i="18" r="AH129"/>
  <c i="18" r="AH155" s="1"/>
  <c i="18" r="CO45"/>
  <c i="18" r="AR125"/>
  <c i="18" r="AR151" s="1"/>
  <c i="18" r="BZ40"/>
  <c i="18" r="AC120"/>
  <c i="18" r="AC146" s="1"/>
  <c i="18" r="CI31"/>
  <c i="18" r="AL111"/>
  <c i="18" r="AL137" s="1"/>
  <c i="18" r="CH35"/>
  <c i="18" r="AK115"/>
  <c i="18" r="AK141" s="1"/>
  <c i="18" r="CB36"/>
  <c i="18" r="AE116"/>
  <c i="18" r="AE142" s="1"/>
  <c i="18" r="CH34"/>
  <c i="18" r="AK114"/>
  <c i="18" r="AK140" s="1"/>
  <c i="18" r="AV123"/>
  <c i="18" r="AV149" s="1"/>
  <c i="18" r="CE47"/>
  <c i="18" r="AH127"/>
  <c i="18" r="AH153" s="1"/>
  <c i="18" r="CD42"/>
  <c i="18" r="AG122"/>
  <c i="18" r="AG148" s="1"/>
  <c i="1" r="BQ91"/>
  <c i="1" r="AZ94"/>
  <c i="1" r="BD102"/>
  <c i="1" r="BQ89"/>
  <c i="18" r="CB49"/>
  <c i="18" r="AE129"/>
  <c i="18" r="AE155" s="1"/>
  <c i="18" r="CB45"/>
  <c i="18" r="AE125"/>
  <c i="18" r="AE151" s="1"/>
  <c i="18" r="CM40"/>
  <c i="18" r="AP120"/>
  <c i="18" r="AP146" s="1"/>
  <c i="18" r="CJ31"/>
  <c i="18" r="AM111"/>
  <c i="18" r="AM137" s="1"/>
  <c i="18" r="CP35"/>
  <c i="18" r="AS115"/>
  <c i="18" r="AS141" s="1"/>
  <c i="18" r="CN36"/>
  <c i="18" r="AQ116"/>
  <c i="18" r="AQ142" s="1"/>
  <c i="18" r="BY34"/>
  <c i="18" r="AB114"/>
  <c i="18" r="AB140" s="1"/>
  <c i="18" r="CJ33"/>
  <c i="18" r="AM113"/>
  <c i="18" r="AM139" s="1"/>
  <c i="18" r="CL47"/>
  <c i="18" r="AO127"/>
  <c i="18" r="AO153" s="1"/>
  <c i="18" r="CG42"/>
  <c i="18" r="AJ122"/>
  <c i="18" r="AJ148" s="1"/>
  <c i="1" r="BG88"/>
  <c i="1" r="BD91"/>
  <c i="1" r="BN106"/>
  <c i="1" r="BQ100"/>
  <c i="18" r="CL49"/>
  <c i="18" r="AO129"/>
  <c i="18" r="AO155" s="1"/>
  <c i="18" r="CM45"/>
  <c i="18" r="AP125"/>
  <c i="18" r="AP151" s="1"/>
  <c i="18" r="CO31"/>
  <c i="18" r="AR111"/>
  <c i="18" r="AR137" s="1"/>
  <c i="18" r="BY35"/>
  <c i="18" r="AB115"/>
  <c i="18" r="AB141" s="1"/>
  <c i="18" r="CI36"/>
  <c i="18" r="AL116"/>
  <c i="18" r="AL142" s="1"/>
  <c i="18" r="CD34"/>
  <c i="18" r="AG114"/>
  <c i="18" r="AG140" s="1"/>
  <c i="18" r="BX33"/>
  <c i="18" r="AA113"/>
  <c i="18" r="AA139" s="1"/>
  <c i="18" r="CQ47"/>
  <c i="18" r="AT127"/>
  <c i="18" r="AT153" s="1"/>
  <c i="18" r="CB42"/>
  <c i="18" r="AE122"/>
  <c i="18" r="AE148" s="1"/>
  <c i="1" r="BQ97"/>
  <c i="1" r="BQ102"/>
  <c i="1" r="BM99"/>
  <c i="1" r="BG107"/>
  <c i="1" r="AZ103"/>
  <c i="1" r="BO91"/>
  <c i="1" r="BA105"/>
  <c i="1" r="BB92"/>
  <c i="1" r="BE92"/>
  <c i="1" r="BB105"/>
  <c i="1" r="AY99"/>
  <c i="1" r="BP91"/>
  <c i="1" r="BR102"/>
  <c i="1" r="AY103"/>
  <c i="1" r="BL93"/>
  <c i="1" r="BO100"/>
  <c i="1" r="BS97"/>
  <c i="1" r="BM93"/>
  <c i="1" r="BO98"/>
  <c i="1" r="BO104"/>
  <c i="1" r="BI94"/>
  <c i="1" r="BK100"/>
  <c i="1" r="BA97"/>
  <c i="1" r="BG108"/>
  <c i="1" r="BA99"/>
  <c i="1" r="BC105"/>
  <c i="1" r="BO109"/>
  <c i="1" r="BJ108"/>
  <c i="1" r="BM102"/>
  <c i="1" r="BH88"/>
  <c i="1" r="BB88"/>
  <c i="1" r="BM98"/>
  <c i="1" r="BA94"/>
  <c i="1" r="AZ104"/>
  <c i="1" r="BE94"/>
  <c i="1" r="BA101"/>
  <c i="1" r="BI89"/>
  <c i="1" r="AY109"/>
  <c i="1" r="BL108"/>
  <c i="1" r="BE91"/>
  <c i="1" r="BD94"/>
  <c i="1" r="BF107"/>
  <c i="1" r="AX107"/>
  <c i="1" r="BP92"/>
  <c i="1" r="BG89"/>
  <c i="1" r="BF95"/>
  <c i="1" r="BB89"/>
  <c i="1" r="BO97"/>
  <c i="1" r="AY89"/>
  <c i="1" r="BK98"/>
  <c i="1" r="BP102"/>
  <c i="1" r="BP104"/>
  <c i="1" r="AY98"/>
  <c i="1" r="BG100"/>
  <c i="1" r="BN89"/>
  <c i="1" r="BL104"/>
  <c i="1" r="BQ99"/>
  <c i="1" r="BC102"/>
  <c i="1" r="BP100"/>
  <c i="1" r="BQ90"/>
  <c i="1" r="BI93"/>
  <c i="1" r="BB101"/>
  <c i="1" r="BH106"/>
  <c i="1" r="BH108"/>
  <c i="1" r="BR90"/>
  <c i="1" r="BM96"/>
  <c i="1" r="BB95"/>
  <c i="1" r="BH104"/>
  <c i="1" r="BR98"/>
  <c i="1" r="BE88"/>
  <c i="1" r="BK96"/>
  <c i="1" r="BA90"/>
  <c i="1" r="BQ106"/>
  <c i="1" r="BO102"/>
  <c i="1" r="BC100"/>
  <c i="1" r="BF104"/>
  <c i="1" r="BF91"/>
  <c i="1" r="BJ109"/>
  <c i="1" r="BO93"/>
  <c i="1" r="BH99"/>
  <c i="1" r="BK95"/>
  <c i="1" r="BF90"/>
  <c i="1" r="BA100"/>
  <c i="1" r="BM89"/>
  <c i="1" r="BE107"/>
  <c i="1" r="BR93"/>
  <c i="1" r="BF97"/>
  <c i="1" r="BG97"/>
  <c i="1" r="BH105"/>
  <c i="1" r="BM105"/>
  <c i="1" r="CG37"/>
  <c i="1" r="CJ37" s="1"/>
  <c i="18" r="P19" s="1"/>
  <c i="1" r="CG42"/>
  <c i="18" r="M24" s="1"/>
  <c i="1" r="CG29"/>
  <c i="1" r="CJ29" s="1"/>
  <c i="18" r="P11" s="1"/>
  <c i="1" r="CG35"/>
  <c i="1" r="CJ35" s="1"/>
  <c i="18" r="P17" s="1"/>
  <c i="1" r="CG23"/>
  <c i="18" r="M5" s="1"/>
  <c i="18" r="R5" s="1"/>
  <c i="1" r="CG31"/>
  <c i="1" r="CJ31" s="1"/>
  <c i="18" r="P13" s="1"/>
  <c i="1" r="CG28"/>
  <c i="1" r="CJ28" s="1"/>
  <c i="18" r="P10" s="1"/>
  <c i="1" r="CG25"/>
  <c i="1" r="CJ25" s="1"/>
  <c i="18" r="P7" s="1"/>
  <c i="1" r="CG30"/>
  <c i="1" r="CJ30" s="1"/>
  <c i="18" r="P12" s="1"/>
  <c i="1" r="CF31"/>
  <c i="18" r="L13" s="1"/>
  <c i="1" r="CG34"/>
  <c i="1" r="CJ34" s="1"/>
  <c i="18" r="P16" s="1"/>
  <c i="1" r="CF23"/>
  <c i="18" r="L5" s="1"/>
  <c i="1" r="CF32"/>
  <c i="18" r="L14" s="1"/>
  <c i="1" r="BC91"/>
  <c i="1" r="BR108"/>
  <c i="1" r="BD98"/>
  <c i="1" r="AY93"/>
  <c i="1" r="BL106"/>
  <c i="1" r="AZ89"/>
  <c i="1" r="BQ94"/>
  <c i="1" r="BL94"/>
  <c i="1" r="BE105"/>
  <c i="1" r="BA107"/>
  <c i="1" r="BF96"/>
  <c i="1" r="BS108"/>
  <c i="1" r="BB98"/>
  <c i="1" r="CG36"/>
  <c i="1" r="CJ36" s="1"/>
  <c i="18" r="P18" s="1"/>
  <c i="1" r="BO88"/>
  <c i="1" r="BI96"/>
  <c i="1" r="CG27"/>
  <c i="1" r="CJ27" s="1"/>
  <c i="18" r="P9" s="1"/>
  <c i="1" r="BE98"/>
  <c i="1" r="BK107"/>
  <c i="1" r="CG41"/>
  <c i="18" r="M23" s="1"/>
  <c i="18" r="R23" s="1"/>
  <c i="1" r="CG38"/>
  <c i="18" r="M20" s="1"/>
  <c i="18" r="R20" s="1"/>
  <c i="1" r="CG39"/>
  <c i="1" r="CJ39" s="1"/>
  <c i="18" r="P21" s="1"/>
  <c i="1" r="BI107"/>
  <c i="1" r="CG40"/>
  <c i="1" r="CJ40" s="1"/>
  <c i="18" r="P22" s="1"/>
  <c i="1" r="BE109"/>
  <c i="1" r="CG24"/>
  <c i="1" r="CJ24" s="1"/>
  <c i="18" r="P6" s="1"/>
  <c i="1" r="CG32"/>
  <c i="1" r="CJ32" s="1"/>
  <c i="18" r="P14" s="1"/>
  <c i="1" r="BP88"/>
  <c i="1" r="CG33"/>
  <c i="1" r="CJ33" s="1"/>
  <c i="18" r="P15" s="1"/>
  <c i="1" r="BH89"/>
  <c i="1" r="CF25"/>
  <c i="18" r="L7" s="1"/>
  <c i="1" r="CG26"/>
  <c i="1" r="CJ26" s="1"/>
  <c i="18" r="P8" s="1"/>
  <c i="1" r="CH34"/>
  <c i="1" r="CL34" s="1"/>
  <c i="1" r="CH33"/>
  <c i="1" r="CL33" s="1"/>
  <c i="1" r="CH32"/>
  <c i="1" r="CL32" s="1"/>
  <c i="1" r="AZ102"/>
  <c i="1" r="AY95"/>
  <c i="1" r="BQ96"/>
  <c i="1" r="BK103"/>
  <c i="1" r="BP99"/>
  <c i="1" r="BC107"/>
  <c i="1" r="BC96"/>
  <c i="1" r="BK94"/>
  <c i="1" r="CF36"/>
  <c i="18" r="L18" s="1"/>
  <c i="1" r="BM106"/>
  <c i="1" r="BM101"/>
  <c i="1" r="CF33"/>
  <c i="18" r="L15" s="1"/>
  <c i="1" r="BI103"/>
  <c i="1" r="BC89"/>
  <c i="1" r="BJ94"/>
  <c i="1" r="BE100"/>
  <c i="1" r="BH98"/>
  <c i="1" r="BQ92"/>
  <c i="1" r="BA102"/>
  <c i="1" r="BM94"/>
  <c i="1" r="BS103"/>
  <c i="1" r="BK92"/>
  <c i="1" r="BJ97"/>
  <c i="1" r="BK105"/>
  <c i="1" r="CH29"/>
  <c i="1" r="CL29" s="1"/>
  <c i="1" r="CH26"/>
  <c i="1" r="CL26" s="1"/>
  <c i="1" r="BG105"/>
  <c i="1" r="BK97"/>
  <c i="1" r="BH103"/>
  <c i="1" r="AY91"/>
  <c i="1" r="CF38"/>
  <c i="18" r="L20" s="1"/>
  <c i="1" r="CF27"/>
  <c i="18" r="L9" s="1"/>
  <c i="1" r="BJ92"/>
  <c i="1" r="BH94"/>
  <c i="1" r="BN88"/>
  <c i="1" r="BF94"/>
  <c i="1" r="BJ103"/>
  <c i="1" r="BD105"/>
  <c i="1" r="BF105"/>
  <c i="1" r="AZ107"/>
  <c i="1" r="BL92"/>
  <c i="1" r="BD100"/>
  <c i="1" r="BD89"/>
  <c i="1" r="CH36"/>
  <c i="1" r="CL36" s="1"/>
  <c i="1" r="CH35"/>
  <c i="1" r="CL35" s="1"/>
  <c i="1" r="CH31"/>
  <c i="1" r="CL31" s="1"/>
  <c i="1" r="CH23"/>
  <c i="1" r="CL23" s="1"/>
  <c i="1" r="BO105"/>
  <c i="1" r="BA89"/>
  <c i="1" r="BR99"/>
  <c i="1" r="BN90"/>
  <c i="1" r="BC98"/>
  <c i="1" r="CF40"/>
  <c i="18" r="L22" s="1"/>
  <c i="1" r="BG96"/>
  <c i="1" r="AY100"/>
  <c i="1" r="CF26"/>
  <c i="18" r="L8" s="1"/>
  <c i="1" r="CF22"/>
  <c i="18" r="L4" s="1"/>
  <c i="1" r="AU82"/>
  <c i="1" r="BS109" s="1"/>
  <c i="1" r="BR92"/>
  <c i="1" r="BN94"/>
  <c i="1" r="BB102"/>
  <c i="1" r="CH30"/>
  <c i="1" r="CL30" s="1"/>
  <c i="1" r="BN101"/>
  <c i="1" r="BJ96"/>
  <c i="1" r="AX104"/>
  <c i="1" r="CH41"/>
  <c i="1" r="CL41" s="1"/>
  <c i="1" r="CF24"/>
  <c i="18" r="L6" s="1"/>
  <c i="1" r="CF28"/>
  <c i="18" r="L10" s="1"/>
  <c i="1" r="BF98"/>
  <c i="1" r="BS90"/>
  <c i="1" r="CH40"/>
  <c i="1" r="CL40" s="1"/>
  <c i="1" r="CF35"/>
  <c i="18" r="L17" s="1"/>
  <c i="1" r="CF39"/>
  <c i="18" r="L21" s="1"/>
  <c i="1" r="CH39"/>
  <c i="1" r="CL39" s="1"/>
  <c i="1" r="CF29"/>
  <c i="18" r="L11" s="1"/>
  <c i="1" r="CH38"/>
  <c i="1" r="CL38" s="1"/>
  <c i="1" r="CH27"/>
  <c i="1" r="CL27" s="1"/>
  <c i="1" r="CF34"/>
  <c i="18" r="L16" s="1"/>
  <c i="1" r="BN105"/>
  <c i="1" r="BQ104"/>
  <c i="1" r="CH25"/>
  <c i="1" r="CL25" s="1"/>
  <c i="1" r="CF37"/>
  <c i="18" r="L19" s="1"/>
  <c i="1" r="AY107"/>
  <c i="1" r="BJ107"/>
  <c i="1" r="CH37"/>
  <c i="1" r="CL37" s="1"/>
  <c i="1" r="CF41"/>
  <c i="18" r="L23" s="1"/>
  <c i="1" r="CH24"/>
  <c i="1" r="CL24" s="1"/>
  <c i="1" r="CH42"/>
  <c i="1" r="CK42"/>
  <c i="1" r="CH22"/>
  <c i="1" r="CL22" s="1"/>
  <c i="12" r="O39"/>
  <c i="12" r="O38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59"/>
  <c i="12" r="F60"/>
  <c i="12" r="F61"/>
  <c i="12" r="F62"/>
  <c i="12" r="F63"/>
  <c i="12" r="F64"/>
  <c i="12" r="F65"/>
  <c i="12" r="F66"/>
  <c i="12" r="F67"/>
  <c i="12" r="F68"/>
  <c i="12" r="F69"/>
  <c i="12" r="F70"/>
  <c i="12" r="F71"/>
  <c i="12" r="F72"/>
  <c i="12" r="F73"/>
  <c i="12" r="F74"/>
  <c i="12" r="F75"/>
  <c i="12" r="F76"/>
  <c i="12" r="F77"/>
  <c i="12" r="F78"/>
  <c i="12" r="F79"/>
  <c i="12" r="F80"/>
  <c i="12" r="F81"/>
  <c i="12" r="F82"/>
  <c i="12" r="F83"/>
  <c i="12" r="F84"/>
  <c i="12" r="F85"/>
  <c i="12" r="F86"/>
  <c i="12" r="F87"/>
  <c i="12" r="F88"/>
  <c i="12" r="F89"/>
  <c i="12" r="F90"/>
  <c i="12" r="F91"/>
  <c i="12" r="F92"/>
  <c i="12" r="F93"/>
  <c i="12" r="F94"/>
  <c i="12" r="F95"/>
  <c i="12" r="F96"/>
  <c i="12" r="F97"/>
  <c i="12" r="F98"/>
  <c i="12" r="F99"/>
  <c i="12" r="F100"/>
  <c i="12" r="F101"/>
  <c i="12" r="F102"/>
  <c i="12" r="F103"/>
  <c i="12" r="F104"/>
  <c i="12" r="F105"/>
  <c i="12" r="F106"/>
  <c i="12" r="F107"/>
  <c i="12" r="F108"/>
  <c i="12" r="F109"/>
  <c i="12" r="F110"/>
  <c i="12" r="F111"/>
  <c i="12" r="F112"/>
  <c i="12" r="F113"/>
  <c i="12" r="F114"/>
  <c i="12" r="F115"/>
  <c i="12" r="F116"/>
  <c i="12" r="F117"/>
  <c i="12" r="F118"/>
  <c i="12" r="F119"/>
  <c i="12" r="F120"/>
  <c i="12" r="F121"/>
  <c i="12" r="F122"/>
  <c i="12" r="F123"/>
  <c i="12" r="F124"/>
  <c i="12" r="F125"/>
  <c i="12" r="F126"/>
  <c i="12" r="F37"/>
  <c i="12" r="E37"/>
  <c i="12" r="A37"/>
  <c i="12" r="B37" s="1"/>
  <c i="12" r="E38"/>
  <c i="12" r="E39"/>
  <c i="12" r="E40"/>
  <c i="12" r="E41"/>
  <c i="12" r="E42"/>
  <c i="12" r="E43"/>
  <c i="12" r="E44"/>
  <c i="12" r="E45"/>
  <c i="12" r="E46"/>
  <c i="12" r="E47"/>
  <c i="12" r="E48"/>
  <c i="12" r="E49"/>
  <c i="12" r="E50"/>
  <c i="12" r="E51"/>
  <c i="12" r="E52"/>
  <c i="12" r="E53"/>
  <c i="12" r="E54"/>
  <c i="12" r="E55"/>
  <c i="12" r="E56"/>
  <c i="12" r="E57"/>
  <c i="12" r="E58"/>
  <c i="12" r="E59"/>
  <c i="12" r="E60"/>
  <c i="12" r="E61"/>
  <c i="12" r="E62"/>
  <c i="12" r="E63"/>
  <c i="12" r="E64"/>
  <c i="12" r="E65"/>
  <c i="12" r="E66"/>
  <c i="12" r="E67"/>
  <c i="12" r="E68"/>
  <c i="12" r="E69"/>
  <c i="12" r="E70"/>
  <c i="12" r="E71"/>
  <c i="12" r="E72"/>
  <c i="12" r="E73"/>
  <c i="12" r="E74"/>
  <c i="12" r="E75"/>
  <c i="12" r="E76"/>
  <c i="12" r="E77"/>
  <c i="12" r="E78"/>
  <c i="12" r="E79"/>
  <c i="12" r="E80"/>
  <c i="12" r="E81"/>
  <c i="12" r="E82"/>
  <c i="12" r="E83"/>
  <c i="12" r="E84"/>
  <c i="12" r="E85"/>
  <c i="12" r="E86"/>
  <c i="12" r="E87"/>
  <c i="12" r="E88"/>
  <c i="12" r="E89"/>
  <c i="12" r="E90"/>
  <c i="12" r="E91"/>
  <c i="12" r="E92"/>
  <c i="12" r="E93"/>
  <c i="12" r="E94"/>
  <c i="12" r="E95"/>
  <c i="12" r="E96"/>
  <c i="12" r="E97"/>
  <c i="12" r="E98"/>
  <c i="12" r="E99"/>
  <c i="12" r="E100"/>
  <c i="12" r="E101"/>
  <c i="12" r="E102"/>
  <c i="12" r="E103"/>
  <c i="12" r="E104"/>
  <c i="12" r="E105"/>
  <c i="12" r="E106"/>
  <c i="12" r="E107"/>
  <c i="12" r="E108"/>
  <c i="12" r="E109"/>
  <c i="12" r="E110"/>
  <c i="12" r="E111"/>
  <c i="12" r="E112"/>
  <c i="12" r="E113"/>
  <c i="12" r="E114"/>
  <c i="12" r="E115"/>
  <c i="12" r="E116"/>
  <c i="12" r="E117"/>
  <c i="12" r="E118"/>
  <c i="12" r="E119"/>
  <c i="12" r="E120"/>
  <c i="12" r="E121"/>
  <c i="12" r="E122"/>
  <c i="12" r="E123"/>
  <c i="12" r="E124"/>
  <c i="12" r="E125"/>
  <c i="12" r="E126"/>
  <c i="12" r="D38"/>
  <c i="12" r="D39"/>
  <c i="12" r="D40"/>
  <c i="12" r="D41"/>
  <c i="12" r="D42"/>
  <c i="12" r="D43"/>
  <c i="12" r="D44"/>
  <c i="12" r="D45"/>
  <c i="12" r="D46"/>
  <c i="12" r="D47"/>
  <c i="12" r="D48"/>
  <c i="12" r="D49"/>
  <c i="12" r="D50"/>
  <c i="12" r="D51"/>
  <c i="12" r="D52"/>
  <c i="12" r="D53"/>
  <c i="12" r="D54"/>
  <c i="12" r="D55"/>
  <c i="12" r="D56"/>
  <c i="12" r="D57"/>
  <c i="12" r="D58"/>
  <c i="12" r="D59"/>
  <c i="12" r="D60"/>
  <c i="12" r="D61"/>
  <c i="12" r="D62"/>
  <c i="12" r="D63"/>
  <c i="12" r="D64"/>
  <c i="12" r="D65"/>
  <c i="12" r="D66"/>
  <c i="12" r="D67"/>
  <c i="12" r="D68"/>
  <c i="12" r="D69"/>
  <c i="12" r="D70"/>
  <c i="12" r="D71"/>
  <c i="12" r="D72"/>
  <c i="12" r="D73"/>
  <c i="12" r="D74"/>
  <c i="12" r="D75"/>
  <c i="12" r="D76"/>
  <c i="12" r="D77"/>
  <c i="12" r="D78"/>
  <c i="12" r="D79"/>
  <c i="12" r="D80"/>
  <c i="12" r="D81"/>
  <c i="12" r="D82"/>
  <c i="12" r="D83"/>
  <c i="12" r="D84"/>
  <c i="12" r="D85"/>
  <c i="12" r="D86"/>
  <c i="12" r="D87"/>
  <c i="12" r="D88"/>
  <c i="12" r="D89"/>
  <c i="12" r="D90"/>
  <c i="12" r="D91"/>
  <c i="12" r="D92"/>
  <c i="12" r="D93"/>
  <c i="12" r="D94"/>
  <c i="12" r="D95"/>
  <c i="12" r="D96"/>
  <c i="12" r="D97"/>
  <c i="12" r="D98"/>
  <c i="12" r="D99"/>
  <c i="12" r="D100"/>
  <c i="12" r="D101"/>
  <c i="12" r="D102"/>
  <c i="12" r="D103"/>
  <c i="12" r="D104"/>
  <c i="12" r="D105"/>
  <c i="12" r="D106"/>
  <c i="12" r="D107"/>
  <c i="12" r="D108"/>
  <c i="12" r="D109"/>
  <c i="12" r="D110"/>
  <c i="12" r="D111"/>
  <c i="12" r="D112"/>
  <c i="12" r="D113"/>
  <c i="12" r="D114"/>
  <c i="12" r="D115"/>
  <c i="12" r="D116"/>
  <c i="12" r="D117"/>
  <c i="12" r="D118"/>
  <c i="12" r="D119"/>
  <c i="12" r="D120"/>
  <c i="12" r="D121"/>
  <c i="12" r="D122"/>
  <c i="12" r="D123"/>
  <c i="12" r="D124"/>
  <c i="12" r="D125"/>
  <c i="12" r="D126"/>
  <c i="12" r="D37"/>
  <c i="12" r="C38"/>
  <c i="12" r="C39"/>
  <c i="12" r="C40"/>
  <c i="12" r="C41"/>
  <c i="12" r="C42"/>
  <c i="12" r="C43"/>
  <c i="12" r="C44"/>
  <c i="12" r="C45"/>
  <c i="12" r="C46"/>
  <c i="12" r="C47"/>
  <c i="12" r="C48"/>
  <c i="12" r="C49"/>
  <c i="12" r="C50"/>
  <c i="12" r="C51"/>
  <c i="12" r="C52"/>
  <c i="12" r="C53"/>
  <c i="12" r="C54"/>
  <c i="12" r="C55"/>
  <c i="12" r="C56"/>
  <c i="12" r="C57"/>
  <c i="12" r="C58"/>
  <c i="12" r="C59"/>
  <c i="12" r="C60"/>
  <c i="12" r="C61"/>
  <c i="12" r="C62"/>
  <c i="12" r="C63"/>
  <c i="12" r="C64"/>
  <c i="12" r="C65"/>
  <c i="12" r="C66"/>
  <c i="12" r="C67"/>
  <c i="12" r="C68"/>
  <c i="12" r="C69"/>
  <c i="12" r="C70"/>
  <c i="12" r="C71"/>
  <c i="12" r="C72"/>
  <c i="12" r="C73"/>
  <c i="12" r="C74"/>
  <c i="12" r="C75"/>
  <c i="12" r="C76"/>
  <c i="12" r="C77"/>
  <c i="12" r="C78"/>
  <c i="12" r="C79"/>
  <c i="12" r="C80"/>
  <c i="12" r="C81"/>
  <c i="12" r="C82"/>
  <c i="12" r="C83"/>
  <c i="12" r="C84"/>
  <c i="12" r="C85"/>
  <c i="12" r="C86"/>
  <c i="12" r="C87"/>
  <c i="12" r="C88"/>
  <c i="12" r="C89"/>
  <c i="12" r="C90"/>
  <c i="12" r="C91"/>
  <c i="12" r="C92"/>
  <c i="12" r="C93"/>
  <c i="12" r="C94"/>
  <c i="12" r="C95"/>
  <c i="12" r="C96"/>
  <c i="12" r="C97"/>
  <c i="12" r="C98"/>
  <c i="12" r="C99"/>
  <c i="12" r="C100"/>
  <c i="12" r="C101"/>
  <c i="12" r="C102"/>
  <c i="12" r="C103"/>
  <c i="12" r="C104"/>
  <c i="12" r="C105"/>
  <c i="12" r="C106"/>
  <c i="12" r="C107"/>
  <c i="12" r="C108"/>
  <c i="12" r="C109"/>
  <c i="12" r="C110"/>
  <c i="12" r="C111"/>
  <c i="12" r="C112"/>
  <c i="12" r="C113"/>
  <c i="12" r="C114"/>
  <c i="12" r="C115"/>
  <c i="12" r="C116"/>
  <c i="12" r="C117"/>
  <c i="12" r="C118"/>
  <c i="12" r="C119"/>
  <c i="12" r="C120"/>
  <c i="12" r="C121"/>
  <c i="12" r="C122"/>
  <c i="12" r="C123"/>
  <c i="12" r="C124"/>
  <c i="12" r="C125"/>
  <c i="12" r="C126"/>
  <c i="12" r="C37"/>
  <c i="12" r="A38"/>
  <c i="12" r="B38" s="1"/>
  <c i="12" r="A39"/>
  <c i="12" r="B39" s="1"/>
  <c i="12" r="A40"/>
  <c i="12" r="B40" s="1"/>
  <c i="12" r="A41"/>
  <c i="12" r="B41" s="1"/>
  <c i="12" r="A42"/>
  <c i="12" r="B42" s="1"/>
  <c i="12" r="A43"/>
  <c i="12" r="B43" s="1"/>
  <c i="12" r="A44"/>
  <c i="12" r="B44" s="1"/>
  <c i="12" r="A45"/>
  <c i="12" r="B45" s="1"/>
  <c i="12" r="A46"/>
  <c i="12" r="B46" s="1"/>
  <c i="12" r="A47"/>
  <c i="12" r="B47" s="1"/>
  <c i="12" r="A48"/>
  <c i="12" r="B48" s="1"/>
  <c i="12" r="A49"/>
  <c i="12" r="B49" s="1"/>
  <c i="12" r="A50"/>
  <c i="12" r="B50" s="1"/>
  <c i="12" r="A51"/>
  <c i="12" r="B51" s="1"/>
  <c i="12" r="A52"/>
  <c i="12" r="B52" s="1"/>
  <c i="12" r="A53"/>
  <c i="12" r="B53" s="1"/>
  <c i="12" r="A54"/>
  <c i="12" r="B54" s="1"/>
  <c i="12" r="A55"/>
  <c i="12" r="B55" s="1"/>
  <c i="12" r="A56"/>
  <c i="12" r="B56" s="1"/>
  <c i="12" r="A57"/>
  <c i="12" r="B57" s="1"/>
  <c i="12" r="A58"/>
  <c i="12" r="B58" s="1"/>
  <c i="12" r="A59"/>
  <c i="12" r="B59" s="1"/>
  <c i="12" r="A60"/>
  <c i="12" r="B60" s="1"/>
  <c i="12" r="A61"/>
  <c i="12" r="B61" s="1"/>
  <c i="12" r="A62"/>
  <c i="12" r="B62" s="1"/>
  <c i="12" r="A63"/>
  <c i="12" r="B63" s="1"/>
  <c i="12" r="A64"/>
  <c i="12" r="B64" s="1"/>
  <c i="12" r="A65"/>
  <c i="12" r="B65" s="1"/>
  <c i="12" r="A66"/>
  <c i="12" r="B66" s="1"/>
  <c i="12" r="A67"/>
  <c i="12" r="B67" s="1"/>
  <c i="12" r="A68"/>
  <c i="12" r="B68" s="1"/>
  <c i="12" r="A69"/>
  <c i="12" r="B69" s="1"/>
  <c i="12" r="A70"/>
  <c i="12" r="B70" s="1"/>
  <c i="12" r="A71"/>
  <c i="12" r="B71" s="1"/>
  <c i="12" r="A72"/>
  <c i="12" r="B72" s="1"/>
  <c i="12" r="A73"/>
  <c i="12" r="B73" s="1"/>
  <c i="12" r="A74"/>
  <c i="12" r="B74" s="1"/>
  <c i="12" r="A75"/>
  <c i="12" r="B75" s="1"/>
  <c i="12" r="A76"/>
  <c i="12" r="B76" s="1"/>
  <c i="12" r="A77"/>
  <c i="12" r="B77" s="1"/>
  <c i="12" r="A78"/>
  <c i="12" r="B78" s="1"/>
  <c i="12" r="A79"/>
  <c i="12" r="B79" s="1"/>
  <c i="12" r="A80"/>
  <c i="12" r="B80" s="1"/>
  <c i="12" r="A81"/>
  <c i="12" r="B81" s="1"/>
  <c i="12" r="A82"/>
  <c i="12" r="B82" s="1"/>
  <c i="12" r="A83"/>
  <c i="12" r="B83" s="1"/>
  <c i="12" r="A84"/>
  <c i="12" r="B84" s="1"/>
  <c i="12" r="A85"/>
  <c i="12" r="B85" s="1"/>
  <c i="12" r="A86"/>
  <c i="12" r="B86" s="1"/>
  <c i="12" r="A87"/>
  <c i="12" r="B87" s="1"/>
  <c i="12" r="A88"/>
  <c i="12" r="B88" s="1"/>
  <c i="12" r="A89"/>
  <c i="12" r="B89" s="1"/>
  <c i="12" r="A90"/>
  <c i="12" r="B90" s="1"/>
  <c i="12" r="A91"/>
  <c i="12" r="B91" s="1"/>
  <c i="12" r="A92"/>
  <c i="12" r="B92" s="1"/>
  <c i="12" r="A93"/>
  <c i="12" r="B93" s="1"/>
  <c i="12" r="A94"/>
  <c i="12" r="B94" s="1"/>
  <c i="12" r="A95"/>
  <c i="12" r="B95" s="1"/>
  <c i="12" r="A96"/>
  <c i="12" r="B96" s="1"/>
  <c i="12" r="A97"/>
  <c i="12" r="B97" s="1"/>
  <c i="12" r="A98"/>
  <c i="12" r="B98" s="1"/>
  <c i="12" r="A99"/>
  <c i="12" r="B99" s="1"/>
  <c i="12" r="A100"/>
  <c i="12" r="B100" s="1"/>
  <c i="12" r="A101"/>
  <c i="12" r="B101" s="1"/>
  <c i="12" r="A102"/>
  <c i="12" r="B102" s="1"/>
  <c i="12" r="A103"/>
  <c i="12" r="B103" s="1"/>
  <c i="12" r="A104"/>
  <c i="12" r="B104" s="1"/>
  <c i="12" r="A105"/>
  <c i="12" r="B105" s="1"/>
  <c i="12" r="A106"/>
  <c i="12" r="B106" s="1"/>
  <c i="12" r="A107"/>
  <c i="12" r="B107" s="1"/>
  <c i="12" r="A108"/>
  <c i="12" r="B108" s="1"/>
  <c i="12" r="A109"/>
  <c i="12" r="B109" s="1"/>
  <c i="12" r="A110"/>
  <c i="12" r="B110" s="1"/>
  <c i="12" r="A111"/>
  <c i="12" r="B111" s="1"/>
  <c i="12" r="A112"/>
  <c i="12" r="B112" s="1"/>
  <c i="12" r="A113"/>
  <c i="12" r="B113" s="1"/>
  <c i="12" r="A114"/>
  <c i="12" r="B114" s="1"/>
  <c i="12" r="A115"/>
  <c i="12" r="B115" s="1"/>
  <c i="12" r="A116"/>
  <c i="12" r="B116" s="1"/>
  <c i="12" r="A117"/>
  <c i="12" r="B117" s="1"/>
  <c i="12" r="A118"/>
  <c i="12" r="B118" s="1"/>
  <c i="12" r="A119"/>
  <c i="12" r="B119" s="1"/>
  <c i="12" r="A120"/>
  <c i="12" r="B120" s="1"/>
  <c i="12" r="A121"/>
  <c i="12" r="B121" s="1"/>
  <c i="12" r="A122"/>
  <c i="12" r="B122" s="1"/>
  <c i="12" r="A123"/>
  <c i="12" r="B123" s="1"/>
  <c i="12" r="A124"/>
  <c i="12" r="B124" s="1"/>
  <c i="12" r="A125"/>
  <c i="12" r="B125" s="1"/>
  <c i="12" r="A126"/>
  <c i="12" r="B126" s="1"/>
  <c i="12" r="T34"/>
  <c i="12" r="T35"/>
  <c i="12" r="T36"/>
  <c i="12" r="T37"/>
  <c i="12" r="T38"/>
  <c i="12" r="T39"/>
  <c i="12" r="T40"/>
  <c i="12" r="T41"/>
  <c i="12" r="T42"/>
  <c i="12" r="T43"/>
  <c i="12" r="T44"/>
  <c i="12" r="T45"/>
  <c i="12" r="T46"/>
  <c i="12" r="T47"/>
  <c i="12" r="T48"/>
  <c i="12" r="T49"/>
  <c i="12" r="T50"/>
  <c i="12" r="T51"/>
  <c i="12" r="T52"/>
  <c i="12" r="T53"/>
  <c i="12" r="T54"/>
  <c i="12" r="T55"/>
  <c i="12" r="T56"/>
  <c i="12" r="T57"/>
  <c i="12" r="T58"/>
  <c i="12" r="T59"/>
  <c i="12" r="T60"/>
  <c i="12" r="T61"/>
  <c i="12" r="T62"/>
  <c i="12" r="T63"/>
  <c i="12" r="T64"/>
  <c i="12" r="T65"/>
  <c i="12" r="T66"/>
  <c i="12" r="T67"/>
  <c i="12" r="T68"/>
  <c i="12" r="T69"/>
  <c i="12" r="T70"/>
  <c i="12" r="T71"/>
  <c i="12" r="T72"/>
  <c i="12" r="T73"/>
  <c i="12" r="T74"/>
  <c i="12" r="T75"/>
  <c i="12" r="T76"/>
  <c i="18" l="1" r="BE51"/>
  <c i="18" r="AO110"/>
  <c i="18" r="AO136" s="1"/>
  <c i="18" r="CL30"/>
  <c i="18" r="BN51"/>
  <c i="18" r="AC110"/>
  <c i="18" r="AC136" s="1"/>
  <c i="1" r="CJ41"/>
  <c i="18" r="P23" s="1"/>
  <c i="1" r="CJ38"/>
  <c i="18" r="P20" s="1"/>
  <c i="18" r="CC30"/>
  <c i="18" r="AZ51"/>
  <c i="18" r="AF110"/>
  <c i="18" r="AF136" s="1"/>
  <c i="18" r="BX30"/>
  <c i="18" r="AA110"/>
  <c i="18" r="AA136" s="1"/>
  <c i="18" r="BD51"/>
  <c i="18" r="BD58" s="1"/>
  <c i="18" r="AS110"/>
  <c i="18" r="AS136" s="1"/>
  <c i="18" r="CB30"/>
  <c i="18" r="CB51" s="1"/>
  <c i="18" r="CP30"/>
  <c i="18" r="AE110"/>
  <c i="18" r="AE136" s="1"/>
  <c i="1" r="CL28"/>
  <c i="1" r="CJ23"/>
  <c i="18" r="P5" s="1"/>
  <c i="18" r="R4"/>
  <c i="1" r="CJ22"/>
  <c i="18" r="P4" s="1"/>
  <c i="18" r="BT51"/>
  <c i="18" r="AU131" s="1"/>
  <c i="18" r="AU157" s="1"/>
  <c i="18" r="AU110"/>
  <c i="18" r="AU136" s="1"/>
  <c i="18" r="AR110"/>
  <c i="18" r="AR136" s="1"/>
  <c i="18" r="CO30"/>
  <c i="18" r="CO51" s="1"/>
  <c i="18" r="M64"/>
  <c i="18" r="C68"/>
  <c i="18" r="AT110"/>
  <c i="18" r="AT136" s="1"/>
  <c i="18" r="CQ30"/>
  <c i="18" r="CQ51" s="1"/>
  <c i="18" r="BL51"/>
  <c i="18" r="BL58" s="1"/>
  <c i="18" r="CE30"/>
  <c i="18" r="CE51" s="1"/>
  <c i="18" r="BG51"/>
  <c i="18" r="AH78" s="1"/>
  <c i="18" r="AH110"/>
  <c i="18" r="AH136" s="1"/>
  <c i="18" r="AK110"/>
  <c i="18" r="AK136" s="1"/>
  <c i="18" r="BJ51"/>
  <c i="18" r="AK78" s="1"/>
  <c i="18" r="CH30"/>
  <c i="18" r="CH51" s="1"/>
  <c i="18" r="BF51"/>
  <c i="18" r="BF58" s="1"/>
  <c i="18" r="CD30"/>
  <c i="18" r="CD51" s="1"/>
  <c i="18" r="AG110"/>
  <c i="18" r="AG136" s="1"/>
  <c i="18" r="AP110"/>
  <c i="18" r="AP136" s="1"/>
  <c i="18" r="BO51"/>
  <c i="18" r="G66"/>
  <c i="18" r="D69"/>
  <c i="18" r="V75"/>
  <c i="18" r="AN110"/>
  <c i="18" r="AN136" s="1"/>
  <c i="18" r="CK30"/>
  <c i="18" r="CK51" s="1"/>
  <c i="18" r="T67"/>
  <c i="18" r="L65"/>
  <c i="18" r="F59"/>
  <c i="18" r="U60"/>
  <c i="18" r="O58"/>
  <c i="18" r="P74"/>
  <c i="18" r="C77"/>
  <c i="18" r="BM51"/>
  <c i="18" r="AN78" s="1"/>
  <c i="18" r="W72"/>
  <c i="18" r="J62"/>
  <c i="18" r="AM110"/>
  <c i="18" r="AM136" s="1"/>
  <c i="18" r="N65"/>
  <c i="18" r="R76"/>
  <c i="18" r="CJ30"/>
  <c i="18" r="CJ51" s="1"/>
  <c i="18" r="S61"/>
  <c i="18" r="I69"/>
  <c i="18" r="T59"/>
  <c i="18" r="BH51"/>
  <c i="18" r="AI78" s="1"/>
  <c i="18" r="CF30"/>
  <c i="18" r="CF51" s="1"/>
  <c i="18" r="AI110"/>
  <c i="18" r="AI136" s="1"/>
  <c i="18" r="BC51"/>
  <c i="18" r="BC58" s="1"/>
  <c i="18" r="CA30"/>
  <c i="18" r="CA51" s="1"/>
  <c i="18" r="AD110"/>
  <c i="18" r="AD136" s="1"/>
  <c i="18" r="CR30"/>
  <c i="18" r="BI51"/>
  <c i="18" r="AJ78" s="1"/>
  <c i="18" r="CG30"/>
  <c i="18" r="CG51" s="1"/>
  <c i="18" r="AJ110"/>
  <c i="18" r="AJ136" s="1"/>
  <c i="18" r="BK51"/>
  <c i="18" r="AL78" s="1"/>
  <c i="18" r="BA51"/>
  <c i="18" r="AB78" s="1"/>
  <c i="18" r="CI30"/>
  <c i="18" r="CI51" s="1"/>
  <c i="18" r="BY30"/>
  <c i="18" r="BY51" s="1"/>
  <c i="18" r="AL110"/>
  <c i="18" r="AL136" s="1"/>
  <c i="18" r="CZ16"/>
  <c i="18" r="DA16" s="1"/>
  <c i="18" r="AB110"/>
  <c i="18" r="AB136" s="1"/>
  <c i="18" r="CV18"/>
  <c i="18" r="CY17"/>
  <c i="18" r="CX17"/>
  <c i="12" r="G72"/>
  <c i="12" r="H91"/>
  <c i="18" r="N12"/>
  <c i="18" r="CL51"/>
  <c i="18" r="CN51"/>
  <c i="18" r="M9"/>
  <c i="18" r="R9" s="1"/>
  <c i="18" r="BN58"/>
  <c i="18" r="AO131"/>
  <c i="18" r="AO157" s="1"/>
  <c i="18" r="BP58"/>
  <c i="18" r="AQ131"/>
  <c i="18" r="AQ157" s="1"/>
  <c i="18" r="AJ73"/>
  <c i="18" r="AJ100" s="1"/>
  <c i="18" r="AU67"/>
  <c i="18" r="AU94" s="1"/>
  <c i="18" r="AF71"/>
  <c i="18" r="AF98" s="1"/>
  <c i="18" r="AE76"/>
  <c i="18" r="AE103" s="1"/>
  <c i="18" r="AH73"/>
  <c i="18" r="AH100" s="1"/>
  <c i="18" r="AM70"/>
  <c i="18" r="AM97" s="1"/>
  <c i="18" r="AO65"/>
  <c i="18" r="AO92" s="1"/>
  <c i="18" r="AN64"/>
  <c i="18" r="AN91" s="1"/>
  <c i="18" r="AI63"/>
  <c i="18" r="AI90" s="1"/>
  <c i="18" r="AC77"/>
  <c i="18" r="AC104" s="1"/>
  <c i="18" r="AF78"/>
  <c i="18" r="AP66"/>
  <c i="18" r="AP93" s="1"/>
  <c i="18" r="AA73"/>
  <c i="18" r="AA100" s="1"/>
  <c i="18" r="AB57"/>
  <c i="18" r="AB84" s="1"/>
  <c i="18" r="AH57"/>
  <c i="18" r="AH84" s="1"/>
  <c i="18" r="AS71"/>
  <c i="18" r="AS98" s="1"/>
  <c i="18" r="AB66"/>
  <c i="18" r="AB93" s="1"/>
  <c i="18" r="AH71"/>
  <c i="18" r="AH98" s="1"/>
  <c i="18" r="AR72"/>
  <c i="18" r="AR99" s="1"/>
  <c i="18" r="AB71"/>
  <c i="18" r="AB98" s="1"/>
  <c i="18" r="AV73"/>
  <c i="18" r="AV100" s="1"/>
  <c i="18" r="AH75"/>
  <c i="18" r="AH102" s="1"/>
  <c i="18" r="AQ59"/>
  <c i="18" r="AQ86" s="1"/>
  <c i="18" r="AQ64"/>
  <c i="18" r="AQ91" s="1"/>
  <c i="18" r="AH67"/>
  <c i="18" r="AH94" s="1"/>
  <c i="18" r="AA57"/>
  <c i="18" r="AA84" s="1"/>
  <c i="18" r="AO68"/>
  <c i="18" r="AO95" s="1"/>
  <c i="18" r="AM57"/>
  <c i="18" r="AM84" s="1"/>
  <c i="18" r="AA63"/>
  <c i="18" r="AA90" s="1"/>
  <c i="18" r="AP64"/>
  <c i="18" r="AP91" s="1"/>
  <c i="18" r="AT74"/>
  <c i="18" r="AT101" s="1"/>
  <c i="18" r="AC66"/>
  <c i="18" r="AC93" s="1"/>
  <c i="18" r="AN77"/>
  <c i="18" r="AN104" s="1"/>
  <c i="18" r="AF59"/>
  <c i="18" r="AF86" s="1"/>
  <c i="18" r="AN68"/>
  <c i="18" r="AN95" s="1"/>
  <c i="18" r="AI59"/>
  <c i="18" r="AI86" s="1"/>
  <c i="18" r="AT67"/>
  <c i="18" r="AT94" s="1"/>
  <c i="18" r="AF66"/>
  <c i="18" r="AF93" s="1"/>
  <c i="18" r="AS75"/>
  <c i="18" r="AS102" s="1"/>
  <c i="18" r="AN58"/>
  <c i="18" r="AN85" s="1"/>
  <c i="18" r="AS73"/>
  <c i="18" r="AS100" s="1"/>
  <c i="18" r="AT72"/>
  <c i="18" r="AT99" s="1"/>
  <c i="18" r="AK66"/>
  <c i="18" r="AK93" s="1"/>
  <c i="18" r="AJ59"/>
  <c i="18" r="AJ86" s="1"/>
  <c i="18" r="AD75"/>
  <c i="18" r="AD102" s="1"/>
  <c i="18" r="AB72"/>
  <c i="18" r="AB99" s="1"/>
  <c i="18" r="AH69"/>
  <c i="18" r="AH96" s="1"/>
  <c i="18" r="AD67"/>
  <c i="18" r="AD94" s="1"/>
  <c i="18" r="AQ68"/>
  <c i="18" r="AQ95" s="1"/>
  <c i="18" r="AC61"/>
  <c i="18" r="AC88" s="1"/>
  <c i="18" r="AE70"/>
  <c i="18" r="AE97" s="1"/>
  <c i="18" r="AA66"/>
  <c i="18" r="AA93" s="1"/>
  <c i="18" r="AJ68"/>
  <c i="18" r="AJ95" s="1"/>
  <c i="18" r="AL70"/>
  <c i="18" r="AL97" s="1"/>
  <c i="18" r="AP58"/>
  <c i="18" r="AP85" s="1"/>
  <c i="18" r="AB58"/>
  <c i="18" r="AB85" s="1"/>
  <c i="18" r="AC59"/>
  <c i="18" r="AC86" s="1"/>
  <c i="18" r="AG64"/>
  <c i="18" r="AG91" s="1"/>
  <c i="18" r="AJ69"/>
  <c i="18" r="AJ96" s="1"/>
  <c i="18" r="AM58"/>
  <c i="18" r="AR58"/>
  <c i="18" r="AR85" s="1"/>
  <c i="18" r="AH66"/>
  <c i="18" r="AH93" s="1"/>
  <c i="18" r="AQ77"/>
  <c i="18" r="AQ104" s="1"/>
  <c i="18" r="AK60"/>
  <c i="18" r="AK87" s="1"/>
  <c i="18" r="AR64"/>
  <c i="18" r="AR91" s="1"/>
  <c i="18" r="AD71"/>
  <c i="18" r="AD98" s="1"/>
  <c i="18" r="AC78"/>
  <c i="18" r="AH77"/>
  <c i="18" r="AH104" s="1"/>
  <c i="18" r="AU70"/>
  <c i="18" r="AU97" s="1"/>
  <c i="18" r="AC60"/>
  <c i="18" r="AC87" s="1"/>
  <c i="18" r="AA68"/>
  <c i="18" r="AA74"/>
  <c i="18" r="AA101" s="1"/>
  <c i="18" r="AI67"/>
  <c i="18" r="AI94" s="1"/>
  <c i="18" r="AS68"/>
  <c i="18" r="AS95" s="1"/>
  <c i="18" r="AG74"/>
  <c i="18" r="AG101" s="1"/>
  <c i="18" r="AA70"/>
  <c i="18" r="AA97" s="1"/>
  <c i="18" r="AE58"/>
  <c i="18" r="AE85" s="1"/>
  <c i="18" r="AF68"/>
  <c i="18" r="AF95" s="1"/>
  <c i="18" r="AV71"/>
  <c i="18" r="AV98" s="1"/>
  <c i="18" r="AS66"/>
  <c i="18" r="AS93" s="1"/>
  <c i="18" r="AR61"/>
  <c i="18" r="AR88" s="1"/>
  <c i="18" r="AS59"/>
  <c i="18" r="AS86" s="1"/>
  <c i="18" r="AN71"/>
  <c i="18" r="AN98" s="1"/>
  <c i="18" r="AJ63"/>
  <c i="18" r="AJ90" s="1"/>
  <c i="18" r="AV59"/>
  <c i="18" r="AV86" s="1"/>
  <c i="18" r="AQ60"/>
  <c i="18" r="AQ87" s="1"/>
  <c i="18" r="AQ78"/>
  <c i="18" r="AE78"/>
  <c i="18" r="AI71"/>
  <c i="18" r="AI98" s="1"/>
  <c i="18" r="AT78"/>
  <c i="18" r="AO73"/>
  <c i="18" r="AO100" s="1"/>
  <c i="18" r="AK62"/>
  <c i="18" r="AK89" s="1"/>
  <c i="18" r="AR75"/>
  <c i="18" r="AR102" s="1"/>
  <c i="18" r="AI74"/>
  <c i="18" r="AI101" s="1"/>
  <c i="18" r="AO67"/>
  <c i="18" r="AO94" s="1"/>
  <c i="18" r="AM69"/>
  <c i="18" r="AM96" s="1"/>
  <c i="18" r="AJ77"/>
  <c i="18" r="AJ104" s="1"/>
  <c i="18" r="AU63"/>
  <c i="18" r="AU90" s="1"/>
  <c i="18" r="AR77"/>
  <c i="18" r="AR104" s="1"/>
  <c i="18" r="AN74"/>
  <c i="18" r="AA69"/>
  <c i="18" r="AA96" s="1"/>
  <c i="18" r="AJ65"/>
  <c i="18" r="AR73"/>
  <c i="18" r="AR100" s="1"/>
  <c i="18" r="AL76"/>
  <c i="18" r="AL103" s="1"/>
  <c i="18" r="AE66"/>
  <c i="18" r="AE93" s="1"/>
  <c i="18" r="AT60"/>
  <c i="18" r="AT87" s="1"/>
  <c i="18" r="AG72"/>
  <c i="18" r="AG99" s="1"/>
  <c i="18" r="AM59"/>
  <c i="18" r="AM86" s="1"/>
  <c i="18" r="AL61"/>
  <c i="18" r="AL88" s="1"/>
  <c i="18" r="AI69"/>
  <c i="18" r="AI96" s="1"/>
  <c i="18" r="AO61"/>
  <c i="18" r="AO88" s="1"/>
  <c i="18" r="AB59"/>
  <c i="18" r="AB86" s="1"/>
  <c i="18" r="AR60"/>
  <c i="18" r="AR87" s="1"/>
  <c i="18" r="AT61"/>
  <c i="18" r="AT88" s="1"/>
  <c i="18" r="AU60"/>
  <c i="18" r="AU87" s="1"/>
  <c i="18" r="AI66"/>
  <c i="18" r="AI93" s="1"/>
  <c i="18" r="AU76"/>
  <c i="18" r="AU103" s="1"/>
  <c i="18" r="AO60"/>
  <c i="18" r="AO87" s="1"/>
  <c i="18" r="AN67"/>
  <c i="18" r="AN94" s="1"/>
  <c i="18" r="AN60"/>
  <c i="18" r="AN87" s="1"/>
  <c i="18" r="AT76"/>
  <c i="18" r="AT103" s="1"/>
  <c i="18" r="AM76"/>
  <c i="18" r="AM103" s="1"/>
  <c i="18" r="AV78"/>
  <c i="18" r="AE69"/>
  <c i="18" r="AE96" s="1"/>
  <c i="18" r="AO69"/>
  <c i="18" r="AO96" s="1"/>
  <c i="18" r="AU59"/>
  <c i="18" r="AU86" s="1"/>
  <c i="18" r="AD68"/>
  <c i="18" r="AD95" s="1"/>
  <c i="18" r="AU58"/>
  <c i="18" r="AU85" s="1"/>
  <c i="18" r="AC76"/>
  <c i="18" r="AC103" s="1"/>
  <c i="18" r="AI76"/>
  <c i="18" r="AI103" s="1"/>
  <c i="18" r="AL64"/>
  <c i="18" r="AL91" s="1"/>
  <c i="18" r="AU75"/>
  <c i="18" r="AU102" s="1"/>
  <c i="18" r="AV62"/>
  <c i="18" r="AV89" s="1"/>
  <c i="18" r="AN72"/>
  <c i="18" r="AN99" s="1"/>
  <c i="18" r="AU64"/>
  <c i="18" r="AU91" s="1"/>
  <c i="18" r="AF64"/>
  <c i="18" r="AF91" s="1"/>
  <c i="18" r="AI57"/>
  <c i="18" r="AI84" s="1"/>
  <c i="18" r="AG77"/>
  <c i="18" r="AG104" s="1"/>
  <c i="18" r="AS77"/>
  <c i="18" r="AS104" s="1"/>
  <c i="18" r="AF62"/>
  <c i="18" r="AF89" s="1"/>
  <c i="18" r="AR74"/>
  <c i="18" r="AR101" s="1"/>
  <c i="18" r="AB75"/>
  <c i="18" r="AB102" s="1"/>
  <c i="18" r="AJ74"/>
  <c i="18" r="AJ101" s="1"/>
  <c i="18" r="AD70"/>
  <c i="18" r="AD97" s="1"/>
  <c i="18" r="AI70"/>
  <c i="18" r="AI97" s="1"/>
  <c i="18" r="AP65"/>
  <c i="18" r="AP92" s="1"/>
  <c i="18" r="AJ60"/>
  <c i="18" r="AJ87" s="1"/>
  <c i="18" r="AA77"/>
  <c i="18" r="AV69"/>
  <c i="18" r="AV96" s="1"/>
  <c i="18" r="AN61"/>
  <c i="18" r="AN88" s="1"/>
  <c i="18" r="AS58"/>
  <c i="18" r="AS85" s="1"/>
  <c i="18" r="AD72"/>
  <c i="18" r="AD99" s="1"/>
  <c i="18" r="AV76"/>
  <c i="18" r="AV103" s="1"/>
  <c i="18" r="AR66"/>
  <c i="18" r="AR93" s="1"/>
  <c i="18" r="AF67"/>
  <c i="18" r="AF94" s="1"/>
  <c i="18" r="AQ76"/>
  <c i="18" r="AQ103" s="1"/>
  <c i="18" r="AV57"/>
  <c i="18" r="AV84" s="1"/>
  <c i="18" r="AT65"/>
  <c i="18" r="AT92" s="1"/>
  <c i="18" r="AJ72"/>
  <c i="18" r="AJ99" s="1"/>
  <c i="18" r="AO71"/>
  <c i="18" r="AO98" s="1"/>
  <c i="18" r="AF73"/>
  <c i="18" r="AF100" s="1"/>
  <c i="18" r="AG66"/>
  <c i="18" r="AG93" s="1"/>
  <c i="18" r="AU74"/>
  <c i="18" r="AU101" s="1"/>
  <c i="18" r="AK70"/>
  <c i="18" r="AK97" s="1"/>
  <c i="18" r="AN76"/>
  <c i="18" r="AN103" s="1"/>
  <c i="18" r="AE67"/>
  <c i="18" r="AE94" s="1"/>
  <c i="18" r="AG68"/>
  <c i="18" r="AG95" s="1"/>
  <c i="18" r="AO62"/>
  <c i="18" r="AO89" s="1"/>
  <c i="18" r="AG65"/>
  <c i="18" r="AG92" s="1"/>
  <c i="18" r="AD59"/>
  <c i="18" r="AJ62"/>
  <c i="18" r="AJ89" s="1"/>
  <c i="18" r="AP70"/>
  <c i="18" r="AP97" s="1"/>
  <c i="18" r="AB68"/>
  <c i="18" r="AB95" s="1"/>
  <c i="18" r="AE63"/>
  <c i="18" r="AE90" s="1"/>
  <c i="18" r="AR65"/>
  <c i="18" r="AR92" s="1"/>
  <c i="18" r="AM72"/>
  <c i="18" r="AM99" s="1"/>
  <c i="18" r="AT66"/>
  <c i="18" r="AT93" s="1"/>
  <c i="18" r="AC65"/>
  <c i="18" r="AC92" s="1"/>
  <c i="18" r="AS63"/>
  <c i="18" r="AS90" s="1"/>
  <c i="18" r="AO70"/>
  <c i="18" r="AO97" s="1"/>
  <c i="18" r="AQ66"/>
  <c i="18" r="AQ93" s="1"/>
  <c i="18" r="AS69"/>
  <c i="18" r="AS96" s="1"/>
  <c i="18" r="AB70"/>
  <c i="18" r="AB97" s="1"/>
  <c i="18" r="AQ71"/>
  <c i="18" r="AQ98" s="1"/>
  <c i="18" r="AT64"/>
  <c i="18" r="AT91" s="1"/>
  <c i="18" r="AI65"/>
  <c i="18" r="AI92" s="1"/>
  <c i="18" r="AE71"/>
  <c i="18" r="AE98" s="1"/>
  <c i="18" r="AQ57"/>
  <c i="18" r="AQ84" s="1"/>
  <c i="18" r="AF76"/>
  <c i="18" r="AF103" s="1"/>
  <c i="18" r="AG58"/>
  <c i="18" r="AG85" s="1"/>
  <c i="18" r="AJ75"/>
  <c i="18" r="AJ102" s="1"/>
  <c i="18" r="AK71"/>
  <c i="18" r="AK98" s="1"/>
  <c i="18" r="AK74"/>
  <c i="18" r="AK101" s="1"/>
  <c i="18" r="AA67"/>
  <c i="18" r="AA94" s="1"/>
  <c i="18" r="AK77"/>
  <c i="18" r="AK104" s="1"/>
  <c i="18" r="AF69"/>
  <c i="18" r="AF96" s="1"/>
  <c i="18" r="AA75"/>
  <c i="18" r="AA102" s="1"/>
  <c i="18" r="AT59"/>
  <c i="18" r="AT86" s="1"/>
  <c i="18" r="AB76"/>
  <c i="18" r="AB103" s="1"/>
  <c i="18" r="AH64"/>
  <c i="18" r="AH91" s="1"/>
  <c i="18" r="AO78"/>
  <c i="18" r="AC58"/>
  <c i="18" r="AC85" s="1"/>
  <c i="18" r="AM67"/>
  <c i="18" r="AM94" s="1"/>
  <c i="18" r="AP57"/>
  <c i="18" r="AP84" s="1"/>
  <c i="18" r="AH72"/>
  <c i="18" r="AH99" s="1"/>
  <c i="18" r="AS65"/>
  <c i="18" r="AS92" s="1"/>
  <c i="18" r="AR78"/>
  <c i="18" r="AR67"/>
  <c i="18" r="AL59"/>
  <c i="18" r="AL86" s="1"/>
  <c i="18" r="AM66"/>
  <c i="18" r="AM93" s="1"/>
  <c i="18" r="AA64"/>
  <c i="18" r="AA91" s="1"/>
  <c i="18" r="AM60"/>
  <c i="18" r="AM87" s="1"/>
  <c i="18" r="AU72"/>
  <c i="18" r="AK73"/>
  <c i="18" r="AK100" s="1"/>
  <c i="18" r="AV65"/>
  <c i="18" r="AV92" s="1"/>
  <c i="18" r="AF60"/>
  <c i="18" r="AF87" s="1"/>
  <c i="18" r="AP61"/>
  <c i="18" r="AP88" s="1"/>
  <c i="18" r="AL66"/>
  <c i="18" r="AL93" s="1"/>
  <c i="18" r="AN66"/>
  <c i="18" r="AN93" s="1"/>
  <c i="18" r="AG61"/>
  <c i="18" r="AG88" s="1"/>
  <c i="18" r="AI73"/>
  <c i="18" r="AI100" s="1"/>
  <c i="18" r="AI60"/>
  <c i="18" r="AI87" s="1"/>
  <c i="18" r="AQ65"/>
  <c i="18" r="AQ92" s="1"/>
  <c i="18" r="AV63"/>
  <c i="18" r="AV90" s="1"/>
  <c i="18" r="AJ71"/>
  <c i="18" r="AJ98" s="1"/>
  <c i="18" r="AK65"/>
  <c i="18" r="AK92" s="1"/>
  <c i="18" r="AR59"/>
  <c i="18" r="AO74"/>
  <c i="18" r="AO101" s="1"/>
  <c i="18" r="AL74"/>
  <c i="18" r="AL101" s="1"/>
  <c i="18" r="AH68"/>
  <c i="18" r="AH95" s="1"/>
  <c i="18" r="AU62"/>
  <c i="18" r="AU89" s="1"/>
  <c i="18" r="AE73"/>
  <c i="18" r="AE100" s="1"/>
  <c i="18" r="AP69"/>
  <c i="18" r="AP96" s="1"/>
  <c i="18" r="AD65"/>
  <c i="18" r="AD92" s="1"/>
  <c i="18" r="AB67"/>
  <c i="18" r="AB94" s="1"/>
  <c i="18" r="AI62"/>
  <c i="18" r="AI89" s="1"/>
  <c i="18" r="AT63"/>
  <c i="18" r="AT90" s="1"/>
  <c i="18" r="AD74"/>
  <c i="18" r="AD101" s="1"/>
  <c i="18" r="AQ70"/>
  <c i="18" r="AQ97" s="1"/>
  <c i="18" r="AD63"/>
  <c i="18" r="AD90" s="1"/>
  <c i="18" r="AQ67"/>
  <c i="18" r="AQ94" s="1"/>
  <c i="18" r="AN75"/>
  <c i="18" r="AN102" s="1"/>
  <c i="18" r="AR62"/>
  <c i="18" r="AR89" s="1"/>
  <c i="18" r="AM61"/>
  <c i="18" r="AM88" s="1"/>
  <c i="18" r="AG75"/>
  <c i="18" r="AG102" s="1"/>
  <c i="18" r="AA62"/>
  <c i="18" r="AA89" s="1"/>
  <c i="18" r="AI61"/>
  <c i="18" r="AI88" s="1"/>
  <c i="18" r="AB77"/>
  <c i="18" r="AB104" s="1"/>
  <c i="18" r="AA72"/>
  <c i="18" r="AA99" s="1"/>
  <c i="18" r="AT68"/>
  <c i="18" r="AT95" s="1"/>
  <c i="18" r="AE77"/>
  <c i="18" r="AE104" s="1"/>
  <c i="18" r="AC69"/>
  <c i="18" r="AC96" s="1"/>
  <c i="18" r="AS61"/>
  <c i="18" r="AS88" s="1"/>
  <c i="18" r="AH65"/>
  <c i="18" r="AH92" s="1"/>
  <c i="18" r="AR57"/>
  <c i="18" r="AR84" s="1"/>
  <c i="18" r="AC67"/>
  <c i="18" r="AC94" s="1"/>
  <c i="18" r="AR68"/>
  <c i="18" r="AR95" s="1"/>
  <c i="18" r="AO59"/>
  <c i="18" r="AO86" s="1"/>
  <c i="18" r="AG59"/>
  <c i="18" r="AG86" s="1"/>
  <c i="18" r="AM63"/>
  <c i="18" r="AM90" s="1"/>
  <c i="18" r="AP63"/>
  <c i="18" r="AP90" s="1"/>
  <c i="18" r="AH59"/>
  <c i="18" r="AH86" s="1"/>
  <c i="18" r="AU57"/>
  <c i="18" r="AU84" s="1"/>
  <c i="18" r="AV72"/>
  <c i="18" r="AV99" s="1"/>
  <c i="18" r="AJ76"/>
  <c i="18" r="AJ103" s="1"/>
  <c i="18" r="AD64"/>
  <c i="18" r="AD91" s="1"/>
  <c i="18" r="AK57"/>
  <c i="18" r="AK84" s="1"/>
  <c i="18" r="AB62"/>
  <c i="18" r="AB89" s="1"/>
  <c i="18" r="AD62"/>
  <c i="18" r="AD89" s="1"/>
  <c i="18" r="AF57"/>
  <c i="18" r="AF84" s="1"/>
  <c i="18" r="AC57"/>
  <c i="18" r="AC84" s="1"/>
  <c i="18" r="AQ74"/>
  <c i="18" r="AQ101" s="1"/>
  <c i="18" r="AD77"/>
  <c i="18" r="AD104" s="1"/>
  <c i="18" r="AJ64"/>
  <c i="18" r="AJ91" s="1"/>
  <c i="18" r="AB60"/>
  <c i="18" r="AB87" s="1"/>
  <c i="18" r="AD57"/>
  <c i="18" r="AD84" s="1"/>
  <c i="18" r="AB64"/>
  <c i="18" r="AB91" s="1"/>
  <c i="18" r="AA61"/>
  <c i="18" r="AA88" s="1"/>
  <c i="18" r="AJ61"/>
  <c i="18" r="AJ88" s="1"/>
  <c i="18" r="AN62"/>
  <c i="18" r="AN89" s="1"/>
  <c i="18" r="AN69"/>
  <c i="18" r="AN96" s="1"/>
  <c i="18" r="AD61"/>
  <c i="18" r="AD88" s="1"/>
  <c i="18" r="AU69"/>
  <c i="18" r="AU96" s="1"/>
  <c i="18" r="AO64"/>
  <c i="18" r="AO91" s="1"/>
  <c i="18" r="AH70"/>
  <c i="18" r="AH97" s="1"/>
  <c i="18" r="AL57"/>
  <c i="18" r="AL84" s="1"/>
  <c i="18" r="AL63"/>
  <c i="18" r="AL90" s="1"/>
  <c i="18" r="AI75"/>
  <c i="18" r="AI102" s="1"/>
  <c i="18" r="AE68"/>
  <c i="18" r="AE95" s="1"/>
  <c i="18" r="AE64"/>
  <c i="18" r="AE91" s="1"/>
  <c i="18" r="AP74"/>
  <c i="18" r="AP101" s="1"/>
  <c i="18" r="AO72"/>
  <c i="18" r="AO99" s="1"/>
  <c i="18" r="AO77"/>
  <c i="18" r="AO104" s="1"/>
  <c i="18" r="AF63"/>
  <c i="18" r="AF90" s="1"/>
  <c i="18" r="AE61"/>
  <c i="18" r="AE88" s="1"/>
  <c i="18" r="CS51"/>
  <c i="18" r="AM71"/>
  <c i="18" r="AM98" s="1"/>
  <c i="18" r="AJ67"/>
  <c i="18" r="AJ94" s="1"/>
  <c i="18" r="AJ57"/>
  <c i="18" r="AJ84" s="1"/>
  <c i="18" r="AP76"/>
  <c i="18" r="AC62"/>
  <c i="18" r="AC89" s="1"/>
  <c i="18" r="AS72"/>
  <c i="18" r="AS99" s="1"/>
  <c i="18" r="AM65"/>
  <c i="18" r="AM92" s="1"/>
  <c i="18" r="AL73"/>
  <c i="18" r="AL100" s="1"/>
  <c i="18" r="AK58"/>
  <c i="18" r="AK85" s="1"/>
  <c i="18" r="AI72"/>
  <c i="18" r="AI99" s="1"/>
  <c i="18" r="AV68"/>
  <c i="18" r="AV95" s="1"/>
  <c i="18" r="AV66"/>
  <c i="18" r="AV93" s="1"/>
  <c i="18" r="AT57"/>
  <c i="18" r="AT84" s="1"/>
  <c i="18" r="AN65"/>
  <c i="18" r="AN92" s="1"/>
  <c i="18" r="AH60"/>
  <c i="18" r="AH87" s="1"/>
  <c i="18" r="AU68"/>
  <c i="18" r="AU95" s="1"/>
  <c i="18" r="AO63"/>
  <c i="18" r="AO90" s="1"/>
  <c i="18" r="AG63"/>
  <c i="18" r="AG90" s="1"/>
  <c i="18" r="AE60"/>
  <c i="18" r="AE87" s="1"/>
  <c i="18" r="AL75"/>
  <c i="18" r="AL102" s="1"/>
  <c i="18" r="AE74"/>
  <c i="18" r="AE101" s="1"/>
  <c i="18" r="AC73"/>
  <c i="18" r="AC100" s="1"/>
  <c i="18" r="AQ58"/>
  <c i="18" r="AQ85" s="1"/>
  <c i="18" r="AS76"/>
  <c i="18" r="AS103" s="1"/>
  <c i="18" r="AP77"/>
  <c i="18" r="AP104" s="1"/>
  <c i="18" r="AS64"/>
  <c i="18" r="AS91" s="1"/>
  <c i="18" r="AO66"/>
  <c i="18" r="AO93" s="1"/>
  <c i="18" r="AV74"/>
  <c i="18" r="AV101" s="1"/>
  <c i="18" r="AP59"/>
  <c i="18" r="AP86" s="1"/>
  <c i="18" r="AQ72"/>
  <c i="18" r="AQ99" s="1"/>
  <c i="18" r="AS67"/>
  <c i="18" r="AS94" s="1"/>
  <c i="18" r="AP75"/>
  <c i="18" r="AP102" s="1"/>
  <c i="18" r="AU61"/>
  <c i="18" r="AU88" s="1"/>
  <c i="18" r="AD73"/>
  <c i="18" r="AD100" s="1"/>
  <c i="18" r="AR63"/>
  <c i="18" r="AR90" s="1"/>
  <c i="18" r="AM77"/>
  <c i="18" r="AM104" s="1"/>
  <c i="18" r="AM75"/>
  <c i="18" r="AM102" s="1"/>
  <c i="18" r="AK59"/>
  <c i="18" r="AK86" s="1"/>
  <c i="18" r="AN59"/>
  <c i="18" r="AN86" s="1"/>
  <c i="18" r="AG76"/>
  <c i="18" r="AG103" s="1"/>
  <c i="18" r="AR76"/>
  <c i="18" r="AR103" s="1"/>
  <c i="18" r="AN63"/>
  <c i="18" r="AN90" s="1"/>
  <c i="18" r="AC72"/>
  <c i="18" r="AC99" s="1"/>
  <c i="18" r="AC64"/>
  <c i="18" r="AC91" s="1"/>
  <c i="18" r="AF75"/>
  <c i="18" r="AF102" s="1"/>
  <c i="18" r="AK63"/>
  <c i="18" r="AK90" s="1"/>
  <c i="18" r="AM64"/>
  <c i="18" r="AM91" s="1"/>
  <c i="18" r="AV77"/>
  <c i="18" r="AV104" s="1"/>
  <c i="18" r="AO58"/>
  <c i="18" r="AO85" s="1"/>
  <c i="18" r="AV61"/>
  <c i="18" r="AV88" s="1"/>
  <c i="18" r="AL58"/>
  <c i="18" r="AL85" s="1"/>
  <c i="18" r="AI77"/>
  <c i="18" r="AI104" s="1"/>
  <c i="18" r="AF77"/>
  <c i="18" r="AF104" s="1"/>
  <c i="18" r="AK64"/>
  <c i="18" r="AC74"/>
  <c i="18" r="AC101" s="1"/>
  <c i="18" r="AN70"/>
  <c i="18" r="AN97" s="1"/>
  <c i="18" r="AO76"/>
  <c i="18" r="AO103" s="1"/>
  <c i="18" r="AP62"/>
  <c i="18" r="AP89" s="1"/>
  <c i="18" r="AK61"/>
  <c i="18" r="AK88" s="1"/>
  <c i="18" r="AA71"/>
  <c i="18" r="AA98" s="1"/>
  <c i="18" r="AR70"/>
  <c i="18" r="AR97" s="1"/>
  <c i="18" r="AG71"/>
  <c i="18" r="AG98" s="1"/>
  <c i="18" r="AC63"/>
  <c i="18" r="AC90" s="1"/>
  <c i="18" r="AP73"/>
  <c i="18" r="AP100" s="1"/>
  <c i="18" r="AT77"/>
  <c i="18" r="AT104" s="1"/>
  <c i="18" r="AG67"/>
  <c i="18" r="AG94" s="1"/>
  <c i="18" r="AG62"/>
  <c i="18" r="AG89" s="1"/>
  <c i="18" r="AK72"/>
  <c i="18" r="AK99" s="1"/>
  <c i="18" r="AQ63"/>
  <c i="18" r="AQ90" s="1"/>
  <c i="18" r="AO57"/>
  <c i="18" r="AO84" s="1"/>
  <c i="18" r="AD60"/>
  <c i="18" r="AD87" s="1"/>
  <c i="18" r="AQ75"/>
  <c i="18" r="AQ102" s="1"/>
  <c i="18" r="AQ73"/>
  <c i="18" r="AQ100" s="1"/>
  <c i="18" r="AE62"/>
  <c i="18" r="AE89" s="1"/>
  <c i="18" r="AU65"/>
  <c i="18" r="AU92" s="1"/>
  <c i="18" r="AM74"/>
  <c i="18" r="AM101" s="1"/>
  <c i="18" r="AI64"/>
  <c i="18" r="AI91" s="1"/>
  <c i="18" r="AV70"/>
  <c i="18" r="AV97" s="1"/>
  <c i="18" r="AB63"/>
  <c i="18" r="AB90" s="1"/>
  <c i="18" r="AL60"/>
  <c i="18" r="AL87" s="1"/>
  <c i="18" r="AJ58"/>
  <c i="18" r="AJ85" s="1"/>
  <c i="18" r="AS74"/>
  <c i="18" r="AS101" s="1"/>
  <c i="18" r="AO75"/>
  <c i="18" r="AO102" s="1"/>
  <c i="18" r="AS62"/>
  <c i="18" r="AS89" s="1"/>
  <c i="18" r="AA76"/>
  <c i="18" r="AA103" s="1"/>
  <c i="18" r="AB65"/>
  <c i="18" r="AB92" s="1"/>
  <c i="18" r="AT73"/>
  <c i="18" r="AT100" s="1"/>
  <c i="18" r="AH58"/>
  <c i="18" r="AH85" s="1"/>
  <c i="18" r="AA60"/>
  <c i="18" r="AA87" s="1"/>
  <c i="18" r="AU71"/>
  <c i="18" r="AU98" s="1"/>
  <c i="18" r="AF70"/>
  <c i="18" r="AF97" s="1"/>
  <c i="18" r="AN73"/>
  <c i="18" r="AN100" s="1"/>
  <c i="18" r="AU66"/>
  <c i="18" r="AU93" s="1"/>
  <c i="18" r="AM62"/>
  <c i="18" r="AM89" s="1"/>
  <c i="18" r="AG69"/>
  <c i="18" r="AA65"/>
  <c i="18" r="AA92" s="1"/>
  <c i="18" r="AK75"/>
  <c i="18" r="AK102" s="1"/>
  <c i="18" r="BU58"/>
  <c i="18" r="AQ61"/>
  <c i="18" r="AF74"/>
  <c i="18" r="AF101" s="1"/>
  <c i="18" r="AR69"/>
  <c i="18" r="AR96" s="1"/>
  <c i="18" r="AH61"/>
  <c i="18" r="AH88" s="1"/>
  <c i="18" r="AK76"/>
  <c i="18" r="AK103" s="1"/>
  <c i="18" r="AU73"/>
  <c i="18" r="AU100" s="1"/>
  <c i="18" r="AC70"/>
  <c i="18" r="AC97" s="1"/>
  <c i="18" r="AV60"/>
  <c i="18" r="AV87" s="1"/>
  <c i="18" r="AE72"/>
  <c i="18" r="AE99" s="1"/>
  <c i="18" r="AG60"/>
  <c i="18" r="AG87" s="1"/>
  <c i="18" r="AF65"/>
  <c i="18" r="AF92" s="1"/>
  <c i="18" r="AC71"/>
  <c i="18" r="AC98" s="1"/>
  <c i="18" r="AH76"/>
  <c i="18" r="AH103" s="1"/>
  <c i="18" r="AA58"/>
  <c i="18" r="AA85" s="1"/>
  <c i="18" r="AR71"/>
  <c i="18" r="AR98" s="1"/>
  <c i="18" r="AP78"/>
  <c i="18" r="AI68"/>
  <c i="18" r="AI95" s="1"/>
  <c i="18" r="AP67"/>
  <c i="18" r="AP94" s="1"/>
  <c i="18" r="AB61"/>
  <c i="18" r="AB88" s="1"/>
  <c i="18" r="AI58"/>
  <c i="18" r="AI85" s="1"/>
  <c i="18" r="AP68"/>
  <c i="18" r="AP95" s="1"/>
  <c i="18" r="AH63"/>
  <c i="18" r="AH90" s="1"/>
  <c i="18" r="AH62"/>
  <c i="18" r="AV64"/>
  <c i="18" r="AV91" s="1"/>
  <c i="18" r="AC68"/>
  <c i="18" r="AC95" s="1"/>
  <c i="18" r="AK67"/>
  <c i="18" r="AK94" s="1"/>
  <c i="18" r="AV67"/>
  <c i="18" r="AV94" s="1"/>
  <c i="18" r="AL67"/>
  <c i="18" r="AL94" s="1"/>
  <c i="18" r="AV75"/>
  <c i="18" r="AV102" s="1"/>
  <c i="18" r="AS78"/>
  <c i="18" r="AG70"/>
  <c i="18" r="AG97" s="1"/>
  <c i="18" r="AA59"/>
  <c i="18" r="AA86" s="1"/>
  <c i="18" r="AM68"/>
  <c i="18" r="AM95" s="1"/>
  <c i="18" r="AL69"/>
  <c i="18" r="AL96" s="1"/>
  <c i="18" r="AQ62"/>
  <c i="18" r="AQ89" s="1"/>
  <c i="18" r="AF61"/>
  <c i="18" r="AF88" s="1"/>
  <c i="18" r="AT62"/>
  <c i="18" r="AT89" s="1"/>
  <c i="18" r="AJ70"/>
  <c i="18" r="AJ97" s="1"/>
  <c i="18" r="AK69"/>
  <c i="18" r="AK68"/>
  <c i="18" r="AL68"/>
  <c i="18" r="AL95" s="1"/>
  <c i="18" r="AG73"/>
  <c i="18" r="AG100" s="1"/>
  <c i="18" r="AL65"/>
  <c i="18" r="AD69"/>
  <c i="18" r="AD96" s="1"/>
  <c i="18" r="AT69"/>
  <c i="18" r="AT96" s="1"/>
  <c i="18" r="AN57"/>
  <c i="18" r="AN84" s="1"/>
  <c i="18" r="AT75"/>
  <c i="18" r="AH74"/>
  <c i="18" r="AH101" s="1"/>
  <c i="18" r="AV58"/>
  <c i="18" r="AV85" s="1"/>
  <c i="18" r="AG57"/>
  <c i="18" r="AG84" s="1"/>
  <c i="18" r="AS70"/>
  <c i="18" r="AS97" s="1"/>
  <c i="18" r="AS60"/>
  <c i="18" r="AJ66"/>
  <c i="18" r="AJ93" s="1"/>
  <c i="18" r="AD58"/>
  <c i="18" r="AD85" s="1"/>
  <c i="18" r="AQ69"/>
  <c i="18" r="AQ96" s="1"/>
  <c i="18" r="AL62"/>
  <c i="18" r="AL89" s="1"/>
  <c i="18" r="AC75"/>
  <c i="18" r="AC102" s="1"/>
  <c i="18" r="AP72"/>
  <c i="18" r="AP99" s="1"/>
  <c i="18" r="AF72"/>
  <c i="18" r="AF99" s="1"/>
  <c i="18" r="AL71"/>
  <c i="18" r="AL98" s="1"/>
  <c i="18" r="AB73"/>
  <c i="18" r="AB100" s="1"/>
  <c i="18" r="AD66"/>
  <c i="18" r="AD93" s="1"/>
  <c i="18" r="AS57"/>
  <c i="18" r="AS84" s="1"/>
  <c i="18" r="AP71"/>
  <c i="18" r="AP98" s="1"/>
  <c i="18" r="AL77"/>
  <c i="18" r="AL104" s="1"/>
  <c i="18" r="AE57"/>
  <c i="18" r="AE84" s="1"/>
  <c i="18" r="AE75"/>
  <c i="18" r="AE102" s="1"/>
  <c i="18" r="AT58"/>
  <c i="18" r="AT85" s="1"/>
  <c i="18" r="AB74"/>
  <c i="18" r="AB101" s="1"/>
  <c i="18" r="AU77"/>
  <c i="18" r="AU104" s="1"/>
  <c i="18" r="AP60"/>
  <c i="18" r="AP87" s="1"/>
  <c i="18" r="AD76"/>
  <c i="18" r="AD103" s="1"/>
  <c i="18" r="AT71"/>
  <c i="18" r="AT98" s="1"/>
  <c i="18" r="AA78"/>
  <c i="18" r="AE65"/>
  <c i="18" r="AE92" s="1"/>
  <c i="18" r="AE59"/>
  <c i="18" r="AE86" s="1"/>
  <c i="18" r="AB69"/>
  <c i="18" r="AL72"/>
  <c i="18" r="AL99" s="1"/>
  <c i="18" r="AF58"/>
  <c i="18" r="AF85" s="1"/>
  <c i="18" r="AM73"/>
  <c i="18" r="AM100" s="1"/>
  <c i="18" r="AT70"/>
  <c i="18" r="AT97" s="1"/>
  <c i="18" r="M18"/>
  <c i="18" r="R18" s="1"/>
  <c i="18" r="AZ58"/>
  <c a="1" i="18" r="AK8" s="1"/>
  <c i="18" r="AK8" s="1"/>
  <c i="18" r="AA131"/>
  <c i="18" r="AA157" s="1"/>
  <c i="18" r="BX51"/>
  <c i="18" r="BS58"/>
  <c i="18" r="AT131"/>
  <c i="18" r="AT157" s="1"/>
  <c i="18" r="N4"/>
  <c i="1" r="CJ42"/>
  <c i="18" r="N24"/>
  <c i="18" r="N6"/>
  <c i="18" r="BO58"/>
  <c i="18" r="AP131"/>
  <c i="18" r="AP157" s="1"/>
  <c i="18" r="CM51"/>
  <c i="18" r="AV131"/>
  <c i="18" r="AV157" s="1"/>
  <c i="18" r="M21"/>
  <c i="18" r="R21" s="1"/>
  <c i="18" r="N5"/>
  <c i="18" r="AE5" s="1"/>
  <c i="18" r="BE58"/>
  <c i="18" r="AF131"/>
  <c i="18" r="AF157" s="1"/>
  <c i="18" r="AK131"/>
  <c i="18" r="AK157" s="1"/>
  <c i="18" r="N18"/>
  <c i="18" r="AE18" s="1"/>
  <c i="18" r="N7"/>
  <c i="18" r="CC51"/>
  <c i="18" r="N14"/>
  <c i="18" r="N15"/>
  <c i="18" r="M16"/>
  <c i="18" r="R16" s="1"/>
  <c i="18" r="AM131"/>
  <c i="18" r="AM157" s="1"/>
  <c i="18" r="N19"/>
  <c i="12" r="H90"/>
  <c i="18" r="N9"/>
  <c i="18" r="N16"/>
  <c i="18" r="N13"/>
  <c i="18" r="N20"/>
  <c i="18" r="AE20" s="1"/>
  <c i="18" r="M8"/>
  <c i="18" r="R8" s="1"/>
  <c i="18" r="M12"/>
  <c i="18" r="R12" s="1"/>
  <c i="18" r="BQ58"/>
  <c i="18" r="AR131"/>
  <c i="18" r="AR157" s="1"/>
  <c i="18" r="N11"/>
  <c i="18" r="M7"/>
  <c i="18" r="R7" s="1"/>
  <c i="18" r="N17"/>
  <c i="18" r="N21"/>
  <c i="18" r="M10"/>
  <c i="18" r="R10" s="1"/>
  <c i="18" r="AE10" s="1"/>
  <c i="18" r="CP51"/>
  <c i="18" r="M15"/>
  <c i="18" r="R15" s="1"/>
  <c i="18" r="M13"/>
  <c i="18" r="R13" s="1"/>
  <c i="18" r="BR58"/>
  <c i="18" r="AS131"/>
  <c i="18" r="AS157" s="1"/>
  <c i="18" r="N22"/>
  <c i="18" r="M14"/>
  <c i="18" r="R14" s="1"/>
  <c i="18" r="M17"/>
  <c i="18" r="R17" s="1"/>
  <c i="18" r="M11"/>
  <c i="18" r="R11" s="1"/>
  <c i="18" r="M6"/>
  <c i="18" r="R6" s="1"/>
  <c i="18" r="M19"/>
  <c i="18" r="R19" s="1"/>
  <c i="18" r="M22"/>
  <c i="18" r="R22" s="1"/>
  <c i="18" r="BB58"/>
  <c i="18" r="AC131"/>
  <c i="18" r="AC157" s="1"/>
  <c i="18" r="N23"/>
  <c i="18" r="AE23" s="1"/>
  <c i="18" r="N8"/>
  <c i="18" r="AE8" s="1"/>
  <c i="18" r="BZ51"/>
  <c i="12" r="G58"/>
  <c i="12" r="H117"/>
  <c i="12" r="G96"/>
  <c i="12" r="G56"/>
  <c i="12" r="G55"/>
  <c i="12" r="H97"/>
  <c i="12" r="H96"/>
  <c i="12" r="H56"/>
  <c i="12" r="H95"/>
  <c i="12" r="G75"/>
  <c i="12" r="G108"/>
  <c i="12" r="H87"/>
  <c i="12" r="H47"/>
  <c i="12" r="H86"/>
  <c i="12" r="H46"/>
  <c i="12" r="G106"/>
  <c i="12" r="H85"/>
  <c i="12" r="H45"/>
  <c i="12" r="G104"/>
  <c i="12" r="H123"/>
  <c i="12" r="H83"/>
  <c i="12" r="H43"/>
  <c i="12" r="G103"/>
  <c i="12" r="H42"/>
  <c i="12" r="G62"/>
  <c i="12" r="H121"/>
  <c i="12" r="G61"/>
  <c i="12" r="H120"/>
  <c i="12" r="H80"/>
  <c i="12" r="H40"/>
  <c i="12" r="G60"/>
  <c i="12" r="H119"/>
  <c i="12" r="H39"/>
  <c i="12" r="G99"/>
  <c i="12" r="G59"/>
  <c i="12" r="H118"/>
  <c i="12" r="G109"/>
  <c i="12" r="H88"/>
  <c i="12" r="H48"/>
  <c i="12" r="G107"/>
  <c i="12" r="G123"/>
  <c i="12" r="G83"/>
  <c i="12" r="H99"/>
  <c i="12" r="H59"/>
  <c i="12" r="G110"/>
  <c i="12" r="H49"/>
  <c i="12" r="G84"/>
  <c i="12" r="H63"/>
  <c i="12" r="H61"/>
  <c i="12" r="H62"/>
  <c i="12" r="G82"/>
  <c i="12" r="G80"/>
  <c i="12" r="G120"/>
  <c i="12" r="G79"/>
  <c i="12" r="G38"/>
  <c i="12" r="H94"/>
  <c i="12" r="H93"/>
  <c i="12" r="H51"/>
  <c i="12" r="H115"/>
  <c i="12" r="H75"/>
  <c i="12" r="H114"/>
  <c i="12" r="H73"/>
  <c i="12" r="H112"/>
  <c i="12" r="H72"/>
  <c i="12" r="H111"/>
  <c i="12" r="H71"/>
  <c i="12" r="G51"/>
  <c i="12" r="H110"/>
  <c i="12" r="H70"/>
  <c i="12" r="H109"/>
  <c i="12" r="H69"/>
  <c i="12" r="G48"/>
  <c i="12" r="H107"/>
  <c i="12" r="H67"/>
  <c i="12" r="H66"/>
  <c i="12" r="G86"/>
  <c i="12" r="G85"/>
  <c i="12" r="H104"/>
  <c i="12" r="H64"/>
  <c i="12" r="G53"/>
  <c i="12" r="G77"/>
  <c i="12" r="G101"/>
  <c i="12" r="G125"/>
  <c i="12" r="G52"/>
  <c i="12" r="H38"/>
  <c i="12" r="G122"/>
  <c i="12" r="G74"/>
  <c i="12" r="G100"/>
  <c i="12" r="G98"/>
  <c i="12" r="G121"/>
  <c i="12" r="G97"/>
  <c i="12" r="G73"/>
  <c i="12" r="G49"/>
  <c i="12" r="H108"/>
  <c i="12" r="H84"/>
  <c i="12" r="H60"/>
  <c i="12" r="G76"/>
  <c i="12" r="G124"/>
  <c i="12" r="H122"/>
  <c i="12" r="H98"/>
  <c i="12" r="H74"/>
  <c i="12" r="H50"/>
  <c i="12" r="G105"/>
  <c i="12" r="G81"/>
  <c i="12" r="G57"/>
  <c i="12" r="H116"/>
  <c i="12" r="H92"/>
  <c i="12" r="H68"/>
  <c i="12" r="H44"/>
  <c i="12" r="G126"/>
  <c i="12" r="G102"/>
  <c i="12" r="G78"/>
  <c i="12" r="G54"/>
  <c i="12" r="H113"/>
  <c i="12" r="H89"/>
  <c i="12" r="H65"/>
  <c i="12" r="H41"/>
  <c i="12" r="G118"/>
  <c i="12" r="G94"/>
  <c i="12" r="G70"/>
  <c i="12" r="G46"/>
  <c i="12" r="H106"/>
  <c i="12" r="H82"/>
  <c i="12" r="H58"/>
  <c i="12" r="H105"/>
  <c i="12" r="H81"/>
  <c i="12" r="H57"/>
  <c i="12" r="G93"/>
  <c i="12" r="G69"/>
  <c i="12" r="G45"/>
  <c i="12" r="G50"/>
  <c i="12" r="H103"/>
  <c i="12" r="H79"/>
  <c i="12" r="H55"/>
  <c i="12" r="H126"/>
  <c i="12" r="H102"/>
  <c i="12" r="H78"/>
  <c i="12" r="H54"/>
  <c i="12" r="H125"/>
  <c i="12" r="H101"/>
  <c i="12" r="H77"/>
  <c i="12" r="H53"/>
  <c i="12" r="H37"/>
  <c i="12" r="G47"/>
  <c i="12" r="H124"/>
  <c i="12" r="H100"/>
  <c i="12" r="H76"/>
  <c i="12" r="H52"/>
  <c i="12" r="G116"/>
  <c i="12" r="G92"/>
  <c i="12" r="G68"/>
  <c i="12" r="G44"/>
  <c i="12" r="G71"/>
  <c i="12" r="G115"/>
  <c i="12" r="G91"/>
  <c i="12" r="G67"/>
  <c i="12" r="G43"/>
  <c i="12" r="G114"/>
  <c i="12" r="G90"/>
  <c i="12" r="G66"/>
  <c i="12" r="G42"/>
  <c i="12" r="G113"/>
  <c i="12" r="G89"/>
  <c i="12" r="G65"/>
  <c i="12" r="G41"/>
  <c i="12" r="G119"/>
  <c i="12" r="G112"/>
  <c i="12" r="G88"/>
  <c i="12" r="G64"/>
  <c i="12" r="G40"/>
  <c i="12" r="G111"/>
  <c i="12" r="G87"/>
  <c i="12" r="G63"/>
  <c i="12" r="G39"/>
  <c i="12" r="G117"/>
  <c i="12" r="G95"/>
  <c i="12" r="G37"/>
  <c i="18" l="1" r="BJ58"/>
  <c i="18" r="AM78"/>
  <c i="18" r="AH131"/>
  <c i="18" r="AH157" s="1"/>
  <c i="18" r="BG58"/>
  <c i="18" r="AG78"/>
  <c i="18" r="AE131"/>
  <c i="18" r="AE157" s="1"/>
  <c i="18" r="AE17"/>
  <c i="18" r="AE11"/>
  <c i="18" r="AE13"/>
  <c i="18" r="AE16"/>
  <c i="18" r="AE19"/>
  <c i="18" r="AE7"/>
  <c i="18" r="AE21"/>
  <c i="18" r="AA95"/>
  <c i="18" r="AK91"/>
  <c i="18" r="AB131"/>
  <c i="18" r="AB157" s="1"/>
  <c i="18" r="BA58"/>
  <c i="18" r="AE12"/>
  <c i="18" r="AU78"/>
  <c i="18" r="BT60" s="1"/>
  <c i="18" r="AE6"/>
  <c i="18" r="AE22"/>
  <c i="18" r="AE4"/>
  <c i="18" r="AF4" s="1"/>
  <c i="18" r="AE15"/>
  <c i="18" r="AF15" s="1"/>
  <c i="18" r="AE9"/>
  <c i="18" r="BT58"/>
  <c i="18" r="AE14"/>
  <c i="18" r="AF14" s="1"/>
  <c i="18" r="CR51"/>
  <c i="18" r="AF16"/>
  <c i="18" r="AF9"/>
  <c i="18" r="AB161"/>
  <c i="18" r="AB96"/>
  <c i="18" r="AG131"/>
  <c i="18" r="AG157" s="1"/>
  <c i="18" r="AQ88"/>
  <c i="18" r="AG96"/>
  <c i="18" r="AP103"/>
  <c i="18" r="BH58"/>
  <c i="18" r="AL92"/>
  <c i="18" r="AD78"/>
  <c i="18" r="BC60" s="1"/>
  <c i="18" r="AH89"/>
  <c i="18" r="AM85"/>
  <c i="18" r="AU99"/>
  <c i="18" r="AD131"/>
  <c i="18" r="AD157" s="1"/>
  <c i="18" r="AC160"/>
  <c i="18" r="AK7" s="1"/>
  <c i="18" r="AI131"/>
  <c i="18" r="AI157" s="1"/>
  <c i="18" r="AJ131"/>
  <c i="18" r="AJ157" s="1"/>
  <c i="18" r="BI58"/>
  <c i="18" r="AR86"/>
  <c i="18" r="AA104"/>
  <c i="18" r="AN131"/>
  <c i="18" r="AN157" s="1"/>
  <c i="18" r="BM58"/>
  <c i="18" r="AL131"/>
  <c i="18" r="AL157" s="1"/>
  <c i="18" r="AJ92"/>
  <c i="18" r="AA160"/>
  <c i="18" r="AB160"/>
  <c i="18" r="AR94"/>
  <c i="18" r="AN101"/>
  <c i="18" r="AS87"/>
  <c i="18" r="AD86"/>
  <c i="18" r="AA161"/>
  <c i="18" r="AC161"/>
  <c i="18" r="BK58"/>
  <c i="18" r="AT102"/>
  <c i="18" r="CZ17"/>
  <c i="18" r="DA17" s="1"/>
  <c i="18" r="AF7"/>
  <c i="18" r="AF18"/>
  <c i="18" r="CV19"/>
  <c i="18" r="CX18"/>
  <c i="18" r="CY18"/>
  <c i="18" r="AK96"/>
  <c i="18" r="Y25"/>
  <c i="18" r="AE25" s="1"/>
  <c i="18" r="AK95"/>
  <c i="18" r="Y24"/>
  <c i="18" r="AE24" s="1"/>
  <c i="18" r="AN105"/>
  <c i="18" r="BM60"/>
  <c i="18" r="AK105"/>
  <c i="18" r="BJ60"/>
  <c i="18" r="AP105"/>
  <c i="18" r="BO60"/>
  <c i="18" r="AM105"/>
  <c i="18" r="BL60"/>
  <c i="18" r="BQ60"/>
  <c i="18" r="AR105"/>
  <c i="18" r="BS60"/>
  <c i="18" r="AT105"/>
  <c i="18" r="AK5"/>
  <c i="18" r="AE105"/>
  <c i="18" r="BD60"/>
  <c i="18" r="BE60"/>
  <c i="18" r="AF105"/>
  <c i="18" r="AI105"/>
  <c i="18" r="BH60"/>
  <c i="18" r="BP60"/>
  <c i="18" r="AQ105"/>
  <c i="18" r="BN60"/>
  <c i="18" r="AO105"/>
  <c i="18" r="BU60"/>
  <c i="18" r="AV105"/>
  <c i="18" r="AL105"/>
  <c i="18" r="BK60"/>
  <c i="18" r="AZ60"/>
  <c i="18" r="AA105"/>
  <c i="18" r="BR60"/>
  <c i="18" r="AS105"/>
  <c i="18" r="BG60"/>
  <c i="18" r="AH105"/>
  <c i="18" r="BB60"/>
  <c i="18" r="AC105"/>
  <c i="18" r="AJ105"/>
  <c i="18" r="BI60"/>
  <c i="18" r="BF60"/>
  <c i="18" r="AG105"/>
  <c i="18" r="BA60"/>
  <c i="18" r="AB105"/>
  <c i="12" r="B7"/>
  <c i="18" l="1" r="AF22"/>
  <c i="18" r="AF20"/>
  <c i="18" r="AF6"/>
  <c i="18" r="AF12"/>
  <c i="18" r="AF8"/>
  <c i="18" r="AF23"/>
  <c i="18" r="AF21"/>
  <c i="18" r="AF11"/>
  <c i="18" r="AU105"/>
  <c i="18" r="AF19"/>
  <c i="18" r="AF5"/>
  <c i="18" r="AF17"/>
  <c i="18" r="AF13"/>
  <c i="18" r="AF10"/>
  <c i="18" r="AD105"/>
  <c i="18" r="AF24"/>
  <c i="18" r="AF25"/>
  <c i="18" r="CZ18"/>
  <c i="18" r="DA18" s="1"/>
  <c i="18" r="CV20"/>
  <c i="18" r="CY19"/>
  <c i="18" r="CX19"/>
  <c i="8" r="P19"/>
  <c i="8" r="Q19"/>
  <c i="8" r="R19"/>
  <c i="8" r="P20"/>
  <c i="8" r="Q20"/>
  <c i="8" r="R20"/>
  <c i="8" r="P21"/>
  <c i="8" r="Q21"/>
  <c i="8" r="R21"/>
  <c i="8" r="P22"/>
  <c i="8" r="Q22"/>
  <c i="8" r="R22"/>
  <c i="8" r="P23"/>
  <c i="8" r="Q23"/>
  <c i="8" r="R23"/>
  <c i="8" r="L19"/>
  <c i="8" r="L20"/>
  <c i="8" r="L21"/>
  <c i="8" r="L22"/>
  <c i="8" r="L23"/>
  <c i="8" r="E25"/>
  <c i="18" l="1" r="CZ19"/>
  <c i="18" r="DA19" s="1"/>
  <c i="18" r="CV21"/>
  <c i="18" r="CY20"/>
  <c i="18" r="CX20"/>
  <c i="8" r="P33"/>
  <c i="8" r="R30"/>
  <c i="8" r="R34"/>
  <c i="8" r="Q34"/>
  <c i="8" r="P34"/>
  <c i="8" r="R33"/>
  <c i="8" r="Q33"/>
  <c i="8" r="R32"/>
  <c i="8" r="Q32"/>
  <c i="8" r="P32"/>
  <c i="8" r="S22"/>
  <c i="8" r="S21"/>
  <c i="8" r="Q30"/>
  <c i="8" r="P30"/>
  <c i="8" r="R29"/>
  <c i="8" r="Q29"/>
  <c i="8" r="R31"/>
  <c i="8" r="Q31"/>
  <c i="8" r="P31"/>
  <c i="8" r="S19"/>
  <c i="8" r="S20"/>
  <c i="8" r="S23"/>
  <c i="18" l="1" r="CZ20"/>
  <c i="18" r="DA20" s="1"/>
  <c i="18" r="CV22"/>
  <c i="18" r="CY21"/>
  <c i="18" r="CX21"/>
  <c i="8" r="A19"/>
  <c i="8" r="A30" s="1"/>
  <c i="8" r="A20"/>
  <c i="8" r="A31" s="1"/>
  <c i="8" r="A21"/>
  <c i="8" r="A32" s="1"/>
  <c i="8" r="A22"/>
  <c i="8" r="A33" s="1"/>
  <c i="8" r="A23"/>
  <c i="8" r="A34" s="1"/>
  <c i="8" r="A18"/>
  <c i="8" r="A29" s="1"/>
  <c i="8" r="H8"/>
  <c i="8" r="H9"/>
  <c i="8" r="H10"/>
  <c i="8" r="H11"/>
  <c i="8" r="H12"/>
  <c i="8" r="H7"/>
  <c i="18" l="1" r="CV23"/>
  <c i="18" r="CY22"/>
  <c i="18" r="CX22"/>
  <c i="18" r="CZ21"/>
  <c i="18" r="DA21" s="1"/>
  <c i="8" r="O7"/>
  <c i="8" r="O18" s="1"/>
  <c i="8" r="O29" s="1"/>
  <c i="8" r="H18"/>
  <c i="8" r="H29" s="1"/>
  <c i="8" r="O12"/>
  <c i="8" r="O23" s="1"/>
  <c i="8" r="O34" s="1"/>
  <c i="8" r="H23"/>
  <c i="8" r="H34" s="1"/>
  <c i="8" r="O9"/>
  <c i="8" r="O20" s="1"/>
  <c i="8" r="O31" s="1"/>
  <c i="8" r="H20"/>
  <c i="8" r="H31" s="1"/>
  <c i="8" r="O10"/>
  <c i="8" r="O21" s="1"/>
  <c i="8" r="O32" s="1"/>
  <c i="8" r="H21"/>
  <c i="8" r="H32" s="1"/>
  <c i="8" r="O11"/>
  <c i="8" r="O22" s="1"/>
  <c i="8" r="O33" s="1"/>
  <c i="8" r="H22"/>
  <c i="8" r="H33" s="1"/>
  <c i="8" r="O8"/>
  <c i="8" r="O19" s="1"/>
  <c i="8" r="O30" s="1"/>
  <c i="8" r="H19"/>
  <c i="8" r="H30" s="1"/>
  <c i="12" r="D9"/>
  <c i="12" r="C9"/>
  <c i="12" r="B9"/>
  <c i="3" r="E101"/>
  <c i="18" l="1" r="CZ22"/>
  <c i="18" r="DA22" s="1"/>
  <c i="18" r="CV24"/>
  <c i="18" r="CY23"/>
  <c i="18" r="CX23"/>
  <c i="12" r="U76"/>
  <c i="12" r="V76"/>
  <c i="12" r="U75"/>
  <c i="12" r="V75"/>
  <c i="12" r="T4"/>
  <c i="12" r="W4" s="1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N14" s="1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W29" s="1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U34"/>
  <c i="12" r="V34"/>
  <c i="12" r="W34" s="1"/>
  <c i="12" r="U35"/>
  <c i="12" r="V35"/>
  <c i="12" r="W35" s="1"/>
  <c i="12" r="U36"/>
  <c i="12" r="V36"/>
  <c i="12" r="W36" s="1"/>
  <c i="12" r="U37"/>
  <c i="12" r="V37"/>
  <c i="12" r="W37" s="1"/>
  <c i="12" r="U38"/>
  <c i="12" r="V38"/>
  <c i="12" r="W38" s="1"/>
  <c i="12" r="U39"/>
  <c i="12" r="V39"/>
  <c i="12" r="U40"/>
  <c i="12" r="V40"/>
  <c i="12" r="W40" s="1"/>
  <c i="12" r="U41"/>
  <c i="12" r="V41"/>
  <c i="12" r="W41" s="1"/>
  <c i="12" r="U42"/>
  <c i="12" r="V42"/>
  <c i="12" r="W42" s="1"/>
  <c i="12" r="U43"/>
  <c i="12" r="V43"/>
  <c i="12" r="W43" s="1"/>
  <c i="12" r="U44"/>
  <c i="12" r="V44"/>
  <c i="12" r="W44" s="1"/>
  <c i="12" r="U45"/>
  <c i="12" r="V45"/>
  <c i="12" r="W45" s="1"/>
  <c i="12" r="U46"/>
  <c i="12" r="V46"/>
  <c i="12" r="W46" s="1"/>
  <c i="12" r="U47"/>
  <c i="12" r="V47"/>
  <c i="12" r="W47" s="1"/>
  <c i="12" r="U48"/>
  <c i="12" r="V48"/>
  <c i="12" r="W48" s="1"/>
  <c i="12" r="U49"/>
  <c i="12" r="V49"/>
  <c i="12" r="W49" s="1"/>
  <c i="12" r="U50"/>
  <c i="12" r="V50"/>
  <c i="12" r="W50" s="1"/>
  <c i="12" r="U51"/>
  <c i="12" r="V51"/>
  <c i="12" r="W51" s="1"/>
  <c i="12" r="U52"/>
  <c i="12" r="V52"/>
  <c i="12" r="W52" s="1"/>
  <c i="12" r="U53"/>
  <c i="12" r="V53"/>
  <c i="12" r="W53" s="1"/>
  <c i="12" r="U54"/>
  <c i="12" r="V54"/>
  <c i="12" r="W54" s="1"/>
  <c i="12" r="U55"/>
  <c i="12" r="V55"/>
  <c i="12" r="W55" s="1"/>
  <c i="12" r="U56"/>
  <c i="12" r="V56"/>
  <c i="12" r="W56" s="1"/>
  <c i="12" r="U57"/>
  <c i="12" r="V57"/>
  <c i="12" r="W57" s="1"/>
  <c i="12" r="U58"/>
  <c i="12" r="V58"/>
  <c i="12" r="W58" s="1"/>
  <c i="12" r="U59"/>
  <c i="12" r="V59"/>
  <c i="12" r="W59" s="1"/>
  <c i="12" r="U60"/>
  <c i="12" r="V60"/>
  <c i="12" r="W60" s="1"/>
  <c i="12" r="U61"/>
  <c i="12" r="V61"/>
  <c i="12" r="W61" s="1"/>
  <c i="12" r="U62"/>
  <c i="12" r="V62"/>
  <c i="12" r="W62" s="1"/>
  <c i="12" r="U63"/>
  <c i="12" r="V63"/>
  <c i="12" r="W63" s="1"/>
  <c i="12" r="U64"/>
  <c i="12" r="V64"/>
  <c i="12" r="W64" s="1"/>
  <c i="12" r="U65"/>
  <c i="12" r="V65"/>
  <c i="12" r="W65" s="1"/>
  <c i="12" r="U66"/>
  <c i="12" r="V66"/>
  <c i="12" r="W66" s="1"/>
  <c i="12" r="U67"/>
  <c i="12" r="V67"/>
  <c i="12" r="W67" s="1"/>
  <c i="12" r="U68"/>
  <c i="12" r="V68"/>
  <c i="12" r="W68" s="1"/>
  <c i="12" r="U69"/>
  <c i="12" r="V69"/>
  <c i="12" r="W69" s="1"/>
  <c i="12" r="U70"/>
  <c i="12" r="V70"/>
  <c i="12" r="W70" s="1"/>
  <c i="12" r="U71"/>
  <c i="12" r="V71"/>
  <c i="12" r="W71" s="1"/>
  <c i="12" r="U72"/>
  <c i="12" r="V72"/>
  <c i="12" r="W72" s="1"/>
  <c i="12" r="U73"/>
  <c i="12" r="V73"/>
  <c i="12" r="W73" s="1"/>
  <c i="12" r="U74"/>
  <c i="12" r="V74"/>
  <c i="12" r="V3"/>
  <c i="12" r="U3"/>
  <c i="12" r="T3"/>
  <c i="12" l="1" r="W3"/>
  <c i="12" r="W16"/>
  <c i="12" r="W32"/>
  <c i="12" r="W5"/>
  <c i="12" r="W17"/>
  <c i="18" r="CZ23"/>
  <c i="18" r="DA23" s="1"/>
  <c i="18" r="CV25"/>
  <c i="18" r="CY24"/>
  <c i="18" r="CX24"/>
  <c i="12" r="W23"/>
  <c i="12" r="X23" s="1"/>
  <c i="12" r="W15"/>
  <c i="12" r="X15" s="1"/>
  <c i="12" r="W26"/>
  <c i="12" r="X26" s="1"/>
  <c i="12" r="W20"/>
  <c i="12" r="X20" s="1"/>
  <c i="12" r="W27"/>
  <c i="12" r="X27" s="1"/>
  <c i="12" r="W14"/>
  <c i="12" r="X14" s="1"/>
  <c i="12" r="W19"/>
  <c i="12" r="X19" s="1"/>
  <c i="12" r="W13"/>
  <c i="12" r="X13" s="1"/>
  <c i="12" r="W25"/>
  <c i="12" r="X25" s="1"/>
  <c i="12" r="W7"/>
  <c i="12" r="X7" s="1"/>
  <c i="12" r="W28"/>
  <c i="12" r="X28" s="1"/>
  <c i="12" r="W24"/>
  <c i="12" r="X24" s="1"/>
  <c i="12" r="W22"/>
  <c i="12" r="X22" s="1"/>
  <c i="12" r="W21"/>
  <c i="12" r="X21" s="1"/>
  <c i="12" r="W33"/>
  <c i="12" r="X33" s="1"/>
  <c i="12" r="W6"/>
  <c i="12" r="X6" s="1"/>
  <c i="12" r="W18"/>
  <c i="12" r="X18" s="1"/>
  <c i="12" r="W31"/>
  <c i="12" r="X31" s="1"/>
  <c i="12" r="W30"/>
  <c i="12" r="X30" s="1"/>
  <c i="18" r="AG25"/>
  <c i="18" r="AH25" s="1"/>
  <c i="18" r="AG24"/>
  <c i="18" r="AH24" s="1"/>
  <c i="12" r="X46"/>
  <c i="12" r="X61"/>
  <c i="12" r="X42"/>
  <c i="12" r="X66"/>
  <c i="12" r="X65"/>
  <c i="12" r="X35"/>
  <c i="12" r="X41"/>
  <c i="12" r="X60"/>
  <c i="12" r="X40"/>
  <c i="12" r="X59"/>
  <c i="12" r="X58"/>
  <c i="12" r="X55"/>
  <c i="12" r="X36"/>
  <c i="12" r="X54"/>
  <c i="12" r="X37"/>
  <c i="12" r="X56"/>
  <c i="12" r="X34"/>
  <c i="12" r="X45"/>
  <c i="12" r="X32"/>
  <c i="12" r="X63"/>
  <c i="12" r="X73"/>
  <c i="12" r="X52"/>
  <c i="12" r="X57"/>
  <c i="12" r="X71"/>
  <c i="12" r="X44"/>
  <c i="12" r="X51"/>
  <c i="12" r="X64"/>
  <c i="12" r="X38"/>
  <c i="12" r="X53"/>
  <c i="12" r="X72"/>
  <c i="12" r="X50"/>
  <c i="12" r="X43"/>
  <c i="12" r="X62"/>
  <c i="12" r="X70"/>
  <c i="12" r="X49"/>
  <c i="12" r="X68"/>
  <c i="12" r="X48"/>
  <c i="12" r="X67"/>
  <c i="12" r="X47"/>
  <c i="18" r="AG10"/>
  <c i="18" r="AH10" s="1"/>
  <c i="18" r="AG23"/>
  <c i="18" r="AH23" s="1"/>
  <c i="18" r="AG7"/>
  <c i="18" r="AH7" s="1"/>
  <c i="18" r="AG17"/>
  <c i="18" r="AH17" s="1"/>
  <c i="18" r="AG5"/>
  <c i="18" r="AH5" s="1"/>
  <c i="18" r="AG9"/>
  <c i="18" r="AH9" s="1"/>
  <c i="18" r="AG11"/>
  <c i="18" r="AH11" s="1"/>
  <c i="18" r="AG4"/>
  <c i="18" r="AH4" s="1"/>
  <c i="18" r="AG6"/>
  <c i="18" r="AH6" s="1"/>
  <c i="18" r="AG14"/>
  <c i="18" r="AH14" s="1"/>
  <c i="18" r="AG13"/>
  <c i="18" r="AH13" s="1"/>
  <c i="18" r="AG8"/>
  <c i="18" r="AH8" s="1"/>
  <c i="18" r="AG18"/>
  <c i="18" r="AH18" s="1"/>
  <c i="18" r="AG15"/>
  <c i="18" r="AH15" s="1"/>
  <c i="18" r="AG19"/>
  <c i="18" r="AH19" s="1"/>
  <c i="18" r="AG12"/>
  <c i="18" r="AH12" s="1"/>
  <c i="18" r="AG22"/>
  <c i="18" r="AH22" s="1"/>
  <c i="12" r="X3"/>
  <c i="18" r="AG21"/>
  <c i="18" r="AH21" s="1"/>
  <c i="18" r="AG16"/>
  <c i="18" r="AH16" s="1"/>
  <c i="18" r="AG20"/>
  <c i="18" r="AH20" s="1"/>
  <c i="12" r="X69"/>
  <c i="12" r="X16"/>
  <c i="12" r="X17"/>
  <c i="12" r="X29"/>
  <c i="12" r="X4"/>
  <c i="12" r="X5"/>
  <c i="12" r="P39"/>
  <c i="12" r="P38"/>
  <c i="12" l="1" r="W94"/>
  <c i="12" r="X94" s="1"/>
  <c i="12" r="W95"/>
  <c i="12" r="X95" s="1"/>
  <c i="18" r="CZ24"/>
  <c i="18" r="DA24" s="1"/>
  <c i="18" r="CV26"/>
  <c i="18" r="CY25"/>
  <c i="18" r="CX25"/>
  <c i="12" r="W91"/>
  <c i="12" r="X91" s="1"/>
  <c i="12" r="W92"/>
  <c i="12" r="X92" s="1"/>
  <c i="12" r="W86"/>
  <c i="12" r="X86" s="1"/>
  <c i="12" r="W76"/>
  <c i="12" r="X76" s="1"/>
  <c i="12" r="W88"/>
  <c i="12" r="X88" s="1"/>
  <c i="12" r="W79"/>
  <c i="12" r="X79" s="1"/>
  <c i="12" r="W81"/>
  <c i="12" r="X81" s="1"/>
  <c i="12" r="W85"/>
  <c i="12" r="X85" s="1"/>
  <c i="12" r="W74"/>
  <c i="12" r="X74" s="1"/>
  <c i="12" r="W84"/>
  <c i="12" r="X84" s="1"/>
  <c i="12" r="W82"/>
  <c i="12" r="X82" s="1"/>
  <c i="12" r="W77"/>
  <c i="12" r="X77" s="1"/>
  <c i="12" r="W93"/>
  <c i="12" r="X93" s="1"/>
  <c i="12" r="W75"/>
  <c i="12" r="X75" s="1"/>
  <c i="12" r="W89"/>
  <c i="12" r="X89" s="1"/>
  <c i="12" r="W80"/>
  <c i="12" r="X80" s="1"/>
  <c i="12" r="W87"/>
  <c i="12" r="X87" s="1"/>
  <c i="12" r="W90"/>
  <c i="12" r="X90" s="1"/>
  <c i="12" r="W78"/>
  <c i="12" r="X78" s="1"/>
  <c i="12" r="W83"/>
  <c i="12" r="X83" s="1"/>
  <c i="12" r="Q39"/>
  <c i="12" r="W12" s="1"/>
  <c i="12" r="Q38"/>
  <c i="12" r="W11" s="1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8" l="1" r="CZ25"/>
  <c i="18" r="DA25" s="1"/>
  <c i="18" r="CV27"/>
  <c i="18" r="CY26"/>
  <c i="18" r="CX26"/>
  <c i="12" r="X11"/>
  <c i="12" r="X12"/>
  <c i="12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8" l="1" r="CV28"/>
  <c i="18" r="CY27"/>
  <c i="18" r="CX27"/>
  <c i="18" r="CZ26"/>
  <c i="18" r="DA26" s="1"/>
  <c i="12" r="J1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4"/>
  <c i="12" r="B17" s="1"/>
  <c i="12" r="I15"/>
  <c i="18" l="1" r="CZ27"/>
  <c i="18" r="DA27" s="1"/>
  <c i="18" r="CV29"/>
  <c i="18" r="CY28"/>
  <c i="18" r="CX28"/>
  <c i="12" r="K16"/>
  <c i="12" r="I17"/>
  <c i="12" r="H17"/>
  <c i="12" r="O14"/>
  <c i="12" r="P14" s="1"/>
  <c i="12" r="E16"/>
  <c i="12" r="C17"/>
  <c i="12" r="K14"/>
  <c i="12" r="E15"/>
  <c i="12" r="D17"/>
  <c i="18" l="1" r="CV30"/>
  <c i="18" r="CY29"/>
  <c i="18" r="CX29"/>
  <c i="18" r="CZ28"/>
  <c i="18" r="DA28" s="1"/>
  <c i="12" r="E17"/>
  <c i="12" r="K17"/>
  <c i="12" r="P16"/>
  <c i="12" r="Q16" s="1"/>
  <c i="12" r="W10" s="1"/>
  <c i="12" r="P15"/>
  <c i="12" r="Q15" s="1"/>
  <c i="12" r="W9" s="1"/>
  <c i="12" r="Q14"/>
  <c i="12" r="W8" s="1"/>
  <c i="18" l="1" r="CZ29"/>
  <c i="18" r="DA29" s="1"/>
  <c i="18" r="CV31"/>
  <c i="18" r="CY30"/>
  <c i="18" r="CX30"/>
  <c i="12" r="X8"/>
  <c i="12" r="X9"/>
  <c i="12" r="X10"/>
  <c i="8" r="Q36"/>
  <c i="8" r="R25"/>
  <c i="8" r="P25"/>
  <c i="8" r="Q25"/>
  <c i="8" r="P14"/>
  <c i="8" r="R14"/>
  <c i="8" r="Q14"/>
  <c i="18" l="1" r="CZ30"/>
  <c i="18" r="DA30" s="1"/>
  <c i="18" r="CV32"/>
  <c i="18" r="CY31"/>
  <c i="18" r="CX31"/>
  <c i="8" r="P36"/>
  <c i="8" r="R36"/>
  <c i="8" r="L31"/>
  <c i="8" r="L32"/>
  <c i="8" r="L33"/>
  <c i="8" r="E8"/>
  <c i="8" r="E9"/>
  <c i="8" r="E10"/>
  <c i="8" r="E11"/>
  <c i="18" l="1" r="CV33"/>
  <c i="18" r="CY32"/>
  <c i="18" r="CX32"/>
  <c i="18" r="CZ31"/>
  <c i="18" r="DA31" s="1"/>
  <c i="8" r="E32"/>
  <c i="8" r="S10"/>
  <c i="8" r="E31"/>
  <c i="8" r="S9"/>
  <c i="8" r="E33"/>
  <c i="8" r="S33" s="1"/>
  <c i="8" r="S11"/>
  <c i="8" r="E30"/>
  <c i="8" r="S8"/>
  <c i="8" r="S32"/>
  <c i="8" r="S31"/>
  <c i="18" l="1" r="CZ32"/>
  <c i="18" r="DA32" s="1"/>
  <c i="18" r="CV34"/>
  <c i="18" r="CY33"/>
  <c i="18" r="CX33"/>
  <c i="4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2"/>
  <c i="12" r="B27"/>
  <c i="12" r="B32" s="1"/>
  <c i="8" r="P18"/>
  <c i="8" r="Q18"/>
  <c i="8" r="R18"/>
  <c i="3" l="1" r="F32"/>
  <c i="18" r="CZ33"/>
  <c i="18" r="DA33" s="1"/>
  <c i="18" r="CV35"/>
  <c i="18" r="CY34"/>
  <c i="18" r="CX34"/>
  <c i="3" r="F72"/>
  <c i="4" r="F23"/>
  <c i="4" r="F62"/>
  <c i="3" r="F73"/>
  <c i="3" r="F36"/>
  <c i="3" r="F41"/>
  <c i="3" r="F76"/>
  <c i="4" r="F64"/>
  <c i="3" r="F38"/>
  <c i="3" r="F83"/>
  <c i="3" r="F47"/>
  <c i="3" r="F74"/>
  <c i="3" r="F78"/>
  <c i="3" r="F48"/>
  <c i="3" r="F75"/>
  <c i="3" r="F39"/>
  <c i="3" r="F84"/>
  <c i="3" r="F13"/>
  <c i="3" r="F86"/>
  <c i="3" r="F55"/>
  <c i="3" r="F80"/>
  <c i="3" r="F45"/>
  <c i="3" r="F11"/>
  <c i="3" r="F101"/>
  <c i="3" r="F54"/>
  <c i="3" r="F16"/>
  <c i="3" r="F77"/>
  <c i="3" r="F81"/>
  <c i="3" r="F49"/>
  <c i="3" r="F15"/>
  <c i="3" r="F18"/>
  <c i="3" r="F87"/>
  <c i="3" r="F61"/>
  <c i="3" r="F37"/>
  <c i="3" r="F82"/>
  <c i="3" r="F88"/>
  <c i="3" r="F92"/>
  <c i="3" r="F57"/>
  <c i="3" r="F93"/>
  <c i="3" r="F97"/>
  <c i="3" r="F63"/>
  <c i="3" r="F44"/>
  <c i="3" r="F89"/>
  <c i="3" r="F52"/>
  <c i="3" r="F95"/>
  <c i="3" r="F98"/>
  <c i="3" r="F24"/>
  <c i="3" r="F20"/>
  <c i="3" r="F65"/>
  <c i="3" r="F33"/>
  <c i="3" r="F35"/>
  <c i="3" r="F79"/>
  <c i="3" r="F58"/>
  <c i="3" r="F66"/>
  <c i="4" r="F25"/>
  <c i="3" r="F50"/>
  <c i="3" r="F12"/>
  <c i="3" r="F19"/>
  <c i="3" r="F60"/>
  <c i="3" r="F62"/>
  <c i="3" r="F67"/>
  <c i="3" r="F34"/>
  <c i="3" r="F40"/>
  <c i="3" r="F85"/>
  <c i="3" r="F51"/>
  <c i="3" r="F17"/>
  <c i="3" r="F100"/>
  <c i="3" r="F28"/>
  <c i="3" r="F68"/>
  <c i="3" r="F43"/>
  <c i="3" r="F46"/>
  <c i="3" r="F91"/>
  <c i="3" r="F94"/>
  <c i="3" r="F56"/>
  <c i="3" r="F22"/>
  <c i="3" r="F64"/>
  <c i="3" r="F29"/>
  <c i="3" r="F69"/>
  <c i="3" r="F42"/>
  <c i="3" r="F90"/>
  <c i="3" r="F53"/>
  <c i="3" r="F96"/>
  <c i="3" r="F99"/>
  <c i="3" r="F26"/>
  <c i="3" r="F70"/>
  <c i="3" r="F14"/>
  <c i="3" r="F59"/>
  <c i="3" r="F21"/>
  <c i="3" r="F23"/>
  <c i="3" r="F25"/>
  <c i="3" r="F27"/>
  <c i="3" r="F30"/>
  <c i="3" r="F31"/>
  <c i="3" r="F71"/>
  <c i="4" r="F85"/>
  <c i="4" r="F65"/>
  <c i="4" r="F70"/>
  <c i="4" r="F86"/>
  <c i="4" r="F26"/>
  <c i="4" r="F61"/>
  <c i="4" r="F31"/>
  <c i="4" r="F67"/>
  <c i="4" r="F29"/>
  <c i="4" r="F33"/>
  <c i="4" r="F46"/>
  <c i="4" r="F28"/>
  <c i="4" r="F30"/>
  <c i="4" r="F71"/>
  <c i="8" r="E34"/>
  <c i="8" r="S12"/>
  <c i="8" r="E14"/>
  <c i="8" r="E36" s="1"/>
  <c i="4" r="F72"/>
  <c i="4" r="F41"/>
  <c i="4" r="F63"/>
  <c i="4" r="F73"/>
  <c i="4" r="F38"/>
  <c i="4" r="F24"/>
  <c i="4" r="F27"/>
  <c i="4" r="F40"/>
  <c i="4" r="F66"/>
  <c i="4" r="F74"/>
  <c i="4" r="F39"/>
  <c i="4" r="F21"/>
  <c i="4" r="F32"/>
  <c i="4" r="F91"/>
  <c i="4" r="F53"/>
  <c i="4" r="F93"/>
  <c i="4" r="F36"/>
  <c i="4" r="F98"/>
  <c i="4" r="F69"/>
  <c i="4" r="F77"/>
  <c i="4" r="F75"/>
  <c i="4" r="F45"/>
  <c i="4" r="F54"/>
  <c i="4" r="F59"/>
  <c i="4" r="F90"/>
  <c i="4" r="F37"/>
  <c i="4" r="F35"/>
  <c i="4" r="F55"/>
  <c i="4" r="F43"/>
  <c i="4" r="F49"/>
  <c i="4" r="F11"/>
  <c i="4" r="F16"/>
  <c i="4" r="F100"/>
  <c i="4" r="F57"/>
  <c i="4" r="F83"/>
  <c i="4" r="F99"/>
  <c i="4" r="F51"/>
  <c i="4" r="F48"/>
  <c i="4" r="F87"/>
  <c i="4" r="F76"/>
  <c i="4" r="F52"/>
  <c i="4" r="F13"/>
  <c i="4" r="F79"/>
  <c i="4" r="F56"/>
  <c i="4" r="F42"/>
  <c i="4" r="F95"/>
  <c i="4" r="F15"/>
  <c i="4" r="F20"/>
  <c i="4" r="F88"/>
  <c i="4" r="F58"/>
  <c i="4" r="F92"/>
  <c i="4" r="F78"/>
  <c i="4" r="F47"/>
  <c i="4" r="F68"/>
  <c i="4" r="F18"/>
  <c i="4" r="F89"/>
  <c i="4" r="F82"/>
  <c i="4" r="F97"/>
  <c i="4" r="F19"/>
  <c i="4" r="F44"/>
  <c i="4" r="F17"/>
  <c i="4" r="F94"/>
  <c i="4" r="F14"/>
  <c i="4" r="F84"/>
  <c i="4" r="F101"/>
  <c i="4" r="F12"/>
  <c i="4" r="F50"/>
  <c i="4" r="F96"/>
  <c i="4" r="F81"/>
  <c i="4" r="F34"/>
  <c i="4" r="F60"/>
  <c i="4" r="F80"/>
  <c i="4" r="F22"/>
  <c i="18" l="1" r="CZ34"/>
  <c i="18" r="DA34" s="1"/>
  <c i="18" r="CV36"/>
  <c i="18" r="CX35"/>
  <c i="18" r="CY35"/>
  <c i="12" r="B26"/>
  <c i="12" r="B31" s="1"/>
  <c i="8" r="L18"/>
  <c i="8" r="L30"/>
  <c i="8" r="S30" s="1"/>
  <c i="8" r="L34"/>
  <c i="8" r="L7"/>
  <c i="8" r="L14" s="1"/>
  <c i="8" r="S18"/>
  <c i="18" l="1" r="CZ35"/>
  <c i="18" r="DA35" s="1"/>
  <c i="18" r="CV37"/>
  <c i="18" r="CY36"/>
  <c i="18" r="CX36"/>
  <c i="8" r="S7"/>
  <c i="8" r="S34"/>
  <c i="8" r="L25"/>
  <c i="8" r="L29"/>
  <c i="8" r="S29" s="1"/>
  <c i="12" r="C26"/>
  <c i="12" r="D31" s="1"/>
  <c i="12" r="C27"/>
  <c i="12" r="C32" s="1"/>
  <c i="8" r="S14"/>
  <c i="18" l="1" r="CZ36"/>
  <c i="18" r="DA36" s="1"/>
  <c i="18" r="CV38"/>
  <c i="18" r="CX37"/>
  <c i="18" r="CY37"/>
  <c i="8" r="L36"/>
  <c i="8" r="S36" s="1"/>
  <c i="8" r="S25"/>
  <c i="12" r="C31"/>
  <c i="10" r="B11"/>
  <c i="10" r="I22"/>
  <c i="10" r="J22"/>
  <c i="10" r="H22"/>
  <c i="10" r="C22"/>
  <c i="10" r="D22"/>
  <c i="10" r="B22"/>
  <c i="10" r="I21"/>
  <c i="10" r="J21"/>
  <c i="10" r="H21"/>
  <c i="10" r="C21"/>
  <c i="10" r="D21"/>
  <c i="10" r="B21"/>
  <c i="10" r="I20"/>
  <c i="10" r="J20"/>
  <c i="10" r="H20"/>
  <c i="10" r="C20"/>
  <c i="10" r="D20"/>
  <c i="10" r="B20"/>
  <c i="10" r="I19"/>
  <c i="10" r="J19"/>
  <c i="10" r="H19"/>
  <c i="10" r="C19"/>
  <c i="10" r="D19"/>
  <c i="10" r="B19"/>
  <c i="10" r="I18"/>
  <c i="10" r="J18"/>
  <c i="10" r="H18"/>
  <c i="10" r="C18"/>
  <c i="10" r="D18"/>
  <c i="10" r="B18"/>
  <c i="10" r="I17"/>
  <c i="10" r="J17"/>
  <c i="10" r="H17"/>
  <c i="10" r="C17"/>
  <c i="10" r="D17"/>
  <c i="10" r="B17"/>
  <c i="10" r="I16"/>
  <c i="10" r="J16"/>
  <c i="10" r="H16"/>
  <c i="10" r="C16"/>
  <c i="10" r="D16"/>
  <c i="10" r="B16"/>
  <c i="10" r="I15"/>
  <c i="10" r="J15"/>
  <c i="10" r="H15"/>
  <c i="10" r="C15"/>
  <c i="10" r="D15"/>
  <c i="10" r="B15"/>
  <c i="10" r="I14"/>
  <c i="10" r="J14"/>
  <c i="10" r="H14"/>
  <c i="10" r="C14"/>
  <c i="10" r="D14"/>
  <c i="10" r="B14"/>
  <c i="10" r="I13"/>
  <c i="10" r="J13"/>
  <c i="10" r="H13"/>
  <c i="10" r="C13"/>
  <c i="10" r="D13"/>
  <c i="10" r="B13"/>
  <c i="10" r="I12"/>
  <c i="10" r="J12"/>
  <c i="10" r="H12"/>
  <c i="10" r="C12"/>
  <c i="10" r="D12"/>
  <c i="10" r="B12"/>
  <c i="10" r="I11"/>
  <c i="10" r="J11"/>
  <c i="10" r="D11"/>
  <c i="10" r="C11"/>
  <c i="8" r="P29"/>
  <c i="4" r="K10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12" l="1" r="O31"/>
  <c i="12" r="J31"/>
  <c i="12" r="O26" s="1"/>
  <c i="12" r="P26" s="1"/>
  <c i="12" r="Q26" s="1"/>
  <c i="18" r="CZ37"/>
  <c i="18" r="DA37" s="1"/>
  <c i="18" r="CV39"/>
  <c i="18" r="CX38"/>
  <c i="18" r="CY38"/>
  <c i="10" r="D23"/>
  <c i="10" r="D39" s="1"/>
  <c i="10" r="H23"/>
  <c i="10" r="H30" s="1"/>
  <c i="10" r="J23"/>
  <c i="10" r="J39" s="1"/>
  <c i="10" r="I23"/>
  <c i="10" r="I39" s="1"/>
  <c i="10" r="B23"/>
  <c i="10" r="B39" s="1"/>
  <c i="10" r="I29"/>
  <c i="10" r="C23"/>
  <c i="10" r="C39" s="1"/>
  <c i="10" r="J30"/>
  <c i="10" r="J32"/>
  <c i="10" r="J28"/>
  <c i="3" r="L84"/>
  <c i="3" r="L42"/>
  <c i="3" r="L44"/>
  <c i="3" r="L80"/>
  <c i="3" r="L81"/>
  <c i="3" r="L40"/>
  <c i="3" r="L82"/>
  <c i="3" r="L67"/>
  <c i="3" r="L11"/>
  <c i="3" r="L65"/>
  <c i="3" r="L43"/>
  <c i="3" r="L77"/>
  <c i="3" r="L26"/>
  <c i="3" r="L99"/>
  <c i="3" r="L32"/>
  <c i="3" r="L30"/>
  <c i="3" r="L24"/>
  <c i="3" r="L62"/>
  <c i="3" r="L18"/>
  <c i="3" r="L73"/>
  <c i="3" r="L31"/>
  <c i="3" r="L69"/>
  <c i="3" r="L59"/>
  <c i="3" r="L23"/>
  <c i="3" r="L41"/>
  <c i="3" r="L22"/>
  <c i="3" r="L95"/>
  <c i="3" r="L36"/>
  <c i="3" r="L66"/>
  <c i="3" r="L64"/>
  <c i="3" r="L100"/>
  <c i="3" r="L54"/>
  <c i="3" r="L76"/>
  <c i="3" r="L56"/>
  <c i="3" r="L13"/>
  <c i="3" r="L78"/>
  <c i="3" r="L20"/>
  <c i="3" r="L58"/>
  <c i="3" r="L16"/>
  <c i="3" r="L12"/>
  <c i="3" r="L72"/>
  <c i="3" r="L28"/>
  <c i="3" r="L101"/>
  <c i="3" r="L60"/>
  <c i="3" r="L98"/>
  <c i="3" r="L97"/>
  <c i="3" r="L14"/>
  <c i="3" r="L51"/>
  <c i="3" r="L38"/>
  <c i="3" r="L37"/>
  <c i="3" r="L50"/>
  <c i="3" r="L83"/>
  <c i="3" r="L39"/>
  <c i="3" r="L75"/>
  <c i="3" r="L34"/>
  <c i="3" r="L71"/>
  <c i="3" r="L96"/>
  <c i="3" r="L55"/>
  <c i="3" r="L53"/>
  <c i="3" r="L89"/>
  <c i="3" r="L49"/>
  <c i="3" r="L70"/>
  <c i="3" r="L27"/>
  <c i="3" r="L61"/>
  <c i="3" r="L19"/>
  <c i="3" r="L57"/>
  <c i="3" r="L15"/>
  <c i="3" r="L92"/>
  <c i="3" r="L48"/>
  <c i="3" r="L79"/>
  <c i="3" r="L63"/>
  <c i="3" r="L94"/>
  <c i="3" r="L93"/>
  <c i="3" r="L90"/>
  <c i="3" r="L87"/>
  <c i="3" r="L47"/>
  <c i="3" r="L35"/>
  <c i="3" r="L74"/>
  <c i="3" r="L33"/>
  <c i="3" r="L29"/>
  <c i="3" r="L21"/>
  <c i="3" r="L91"/>
  <c i="3" r="L86"/>
  <c i="3" r="L46"/>
  <c i="3" r="L68"/>
  <c i="3" r="L25"/>
  <c i="3" r="L17"/>
  <c i="3" r="L52"/>
  <c i="3" r="L88"/>
  <c i="3" r="L85"/>
  <c i="3" r="L45"/>
  <c i="4" r="L42"/>
  <c i="4" r="L66"/>
  <c i="4" r="L90"/>
  <c i="4" r="L18"/>
  <c i="4" r="L40"/>
  <c i="4" r="L61"/>
  <c i="4" r="L37"/>
  <c i="4" r="L13"/>
  <c i="4" r="L16"/>
  <c i="4" r="L60"/>
  <c i="4" r="L36"/>
  <c i="4" r="L12"/>
  <c i="4" r="L89"/>
  <c i="4" r="L88"/>
  <c i="4" r="L38"/>
  <c i="4" r="L59"/>
  <c i="4" r="L35"/>
  <c i="4" r="L100"/>
  <c i="4" r="L82"/>
  <c i="4" r="L58"/>
  <c i="4" r="L34"/>
  <c i="4" r="L99"/>
  <c i="4" r="L81"/>
  <c i="4" r="L57"/>
  <c i="4" r="L33"/>
  <c i="4" r="L98"/>
  <c i="4" r="L80"/>
  <c i="4" r="L56"/>
  <c i="4" r="L32"/>
  <c i="4" r="L97"/>
  <c i="4" r="L65"/>
  <c i="4" r="L15"/>
  <c i="4" r="L83"/>
  <c i="4" r="L79"/>
  <c i="4" r="L55"/>
  <c i="4" r="L31"/>
  <c i="4" r="L96"/>
  <c i="4" r="L62"/>
  <c i="4" r="L78"/>
  <c i="4" r="L54"/>
  <c i="4" r="L30"/>
  <c i="4" r="L95"/>
  <c i="4" r="L17"/>
  <c i="4" r="L14"/>
  <c i="4" r="L77"/>
  <c i="4" r="L53"/>
  <c i="4" r="L29"/>
  <c i="10" r="K22"/>
  <c i="4" r="L101"/>
  <c i="4" r="L76"/>
  <c i="4" r="L52"/>
  <c i="4" r="L28"/>
  <c i="4" r="L39"/>
  <c i="4" r="L75"/>
  <c i="4" r="L51"/>
  <c i="4" r="L27"/>
  <c i="4" r="L74"/>
  <c i="4" r="L50"/>
  <c i="4" r="L26"/>
  <c i="4" r="L73"/>
  <c i="4" r="L49"/>
  <c i="4" r="L25"/>
  <c i="4" r="L85"/>
  <c i="4" r="L72"/>
  <c i="4" r="L48"/>
  <c i="4" r="L24"/>
  <c i="4" r="L87"/>
  <c i="4" r="L84"/>
  <c i="4" r="L11"/>
  <c i="4" r="L71"/>
  <c i="4" r="L47"/>
  <c i="4" r="L23"/>
  <c i="4" r="L63"/>
  <c i="4" r="L94"/>
  <c i="4" r="L70"/>
  <c i="4" r="L46"/>
  <c i="4" r="L22"/>
  <c i="4" r="L64"/>
  <c i="4" r="L86"/>
  <c i="4" r="L93"/>
  <c i="4" r="L69"/>
  <c i="4" r="L45"/>
  <c i="4" r="L21"/>
  <c i="4" r="L92"/>
  <c i="4" r="L68"/>
  <c i="4" r="L44"/>
  <c i="4" r="L20"/>
  <c i="4" r="L41"/>
  <c i="4" r="L91"/>
  <c i="4" r="L67"/>
  <c i="4" r="L43"/>
  <c i="4" r="L19"/>
  <c i="12" r="P31"/>
  <c i="12" r="Q31" s="1"/>
  <c i="12" r="W39" s="1"/>
  <c i="10" r="K11"/>
  <c i="10" r="K15"/>
  <c i="10" r="K21"/>
  <c i="10" r="K19"/>
  <c i="10" r="K20"/>
  <c i="10" r="K17"/>
  <c i="10" r="K16"/>
  <c i="10" r="K13"/>
  <c i="10" r="K12"/>
  <c i="10" r="K18"/>
  <c i="10" r="K14"/>
  <c i="10" r="E22"/>
  <c i="18" l="1" r="CZ38"/>
  <c i="18" r="DA38" s="1"/>
  <c i="10" r="B29"/>
  <c i="10" r="D32"/>
  <c i="10" r="J38"/>
  <c i="10" r="J35"/>
  <c i="10" r="D31"/>
  <c i="10" r="D33"/>
  <c i="10" r="D30"/>
  <c i="18" r="CV40"/>
  <c i="18" r="CX39"/>
  <c i="18" r="CY39"/>
  <c i="10" r="I28"/>
  <c i="10" r="D29"/>
  <c i="10" r="D35"/>
  <c i="10" r="D37"/>
  <c i="10" r="D36"/>
  <c i="10" r="J31"/>
  <c i="10" r="C27"/>
  <c i="10" r="D28"/>
  <c i="10" r="B27"/>
  <c i="10" r="B38"/>
  <c i="10" r="C31"/>
  <c i="10" r="B31"/>
  <c i="10" r="C29"/>
  <c i="10" r="I34"/>
  <c i="10" r="I33"/>
  <c i="10" r="I37"/>
  <c i="10" r="I35"/>
  <c i="10" r="J37"/>
  <c i="10" r="J29"/>
  <c i="10" r="J34"/>
  <c i="10" r="J36"/>
  <c i="10" r="D27"/>
  <c i="10" r="I32"/>
  <c i="10" r="H39"/>
  <c i="10" r="H27"/>
  <c i="10" r="H37"/>
  <c i="10" r="H31"/>
  <c i="10" r="H36"/>
  <c i="10" r="H34"/>
  <c i="10" r="C37"/>
  <c i="10" r="B28"/>
  <c i="10" r="I38"/>
  <c i="10" r="B35"/>
  <c i="10" r="B32"/>
  <c i="10" r="H35"/>
  <c i="10" r="B37"/>
  <c i="10" r="C34"/>
  <c i="10" r="H38"/>
  <c i="10" r="I31"/>
  <c i="10" r="I36"/>
  <c i="10" r="C30"/>
  <c i="10" r="H33"/>
  <c i="10" r="C36"/>
  <c i="10" r="H28"/>
  <c i="10" r="C28"/>
  <c i="10" r="C35"/>
  <c i="10" r="H29"/>
  <c i="10" r="I27"/>
  <c i="10" r="C38"/>
  <c i="10" r="H32"/>
  <c i="10" r="C32"/>
  <c i="10" r="B30"/>
  <c i="10" r="I30"/>
  <c i="10" r="B33"/>
  <c i="10" r="B36"/>
  <c i="10" r="C33"/>
  <c i="10" r="K23"/>
  <c i="10" r="K39" s="1"/>
  <c i="10" r="B34"/>
  <c i="10" r="J27"/>
  <c i="10" r="J33"/>
  <c i="10" r="D38"/>
  <c i="10" r="D34"/>
  <c i="12" r="X39"/>
  <c i="10" r="E21"/>
  <c i="10" r="E19"/>
  <c i="10" r="E15"/>
  <c i="10" r="E20"/>
  <c i="10" r="E16"/>
  <c i="10" r="E12"/>
  <c i="10" r="E11"/>
  <c i="10" r="E17"/>
  <c i="10" r="E13"/>
  <c i="10" r="E18"/>
  <c i="10" r="E14"/>
  <c i="10" l="1" r="K30"/>
  <c i="18" r="CZ39"/>
  <c i="18" r="DA39" s="1"/>
  <c i="10" r="K28"/>
  <c i="10" r="K29"/>
  <c i="18" r="CV41"/>
  <c i="18" r="CX40"/>
  <c i="18" r="CY40"/>
  <c i="10" r="K31"/>
  <c i="10" r="K35"/>
  <c i="10" r="K38"/>
  <c i="10" r="K34"/>
  <c i="10" r="K36"/>
  <c i="10" r="K27"/>
  <c i="10" r="K33"/>
  <c i="10" r="K32"/>
  <c i="10" r="E23"/>
  <c i="10" r="K37"/>
  <c i="18" l="1" r="CZ40"/>
  <c i="18" r="DA40" s="1"/>
  <c i="18" r="CV42"/>
  <c i="18" r="CY41"/>
  <c i="18" r="CX41"/>
  <c i="10" r="E39"/>
  <c i="10" r="E38"/>
  <c i="10" r="E27"/>
  <c i="10" r="E32"/>
  <c i="10" r="E37"/>
  <c i="10" r="E34"/>
  <c i="10" r="E28"/>
  <c i="10" r="E29"/>
  <c i="10" r="E31"/>
  <c i="10" r="E30"/>
  <c i="10" r="E35"/>
  <c i="10" r="E33"/>
  <c i="10" r="E36"/>
  <c i="18" l="1" r="CZ41"/>
  <c i="18" r="DA41" s="1"/>
  <c i="18" r="CV43"/>
  <c i="18" r="CY42"/>
  <c i="18" r="CX42"/>
  <c i="18" l="1" r="CZ42"/>
  <c i="18" r="DA42" s="1"/>
  <c i="18" r="CV44"/>
  <c i="18" r="CY43"/>
  <c i="18" r="CX43"/>
  <c i="18" l="1" r="CZ43"/>
  <c i="18" r="DA43" s="1"/>
  <c i="18" r="CV45"/>
  <c i="18" r="CY44"/>
  <c i="18" r="CX44"/>
  <c i="18" l="1" r="CV46"/>
  <c i="18" r="CY45"/>
  <c i="18" r="CX45"/>
  <c i="18" r="CZ44"/>
  <c i="18" r="DA44" s="1"/>
  <c i="18" l="1" r="CZ45"/>
  <c i="18" r="DA45" s="1"/>
  <c i="18" r="CV47"/>
  <c i="18" r="CY46"/>
  <c i="18" r="CX46"/>
  <c i="18" l="1" r="CV48"/>
  <c i="18" r="CY47"/>
  <c i="18" r="CX47"/>
  <c i="18" r="CZ46"/>
  <c i="18" r="DA46" s="1"/>
  <c i="18" l="1" r="CZ47"/>
  <c i="18" r="DA47" s="1"/>
  <c i="18" r="CV49"/>
  <c i="18" r="CY48"/>
  <c i="18" r="CX48"/>
  <c i="18" l="1" r="CZ48"/>
  <c i="18" r="DA48" s="1"/>
  <c i="18" r="CV50"/>
  <c i="18" r="CY49"/>
  <c i="18" r="CX49"/>
  <c i="18" l="1" r="CZ49"/>
  <c i="18" r="DA49" s="1"/>
  <c i="18" r="CV51"/>
  <c i="18" r="CY50"/>
  <c i="18" r="CX50"/>
  <c i="18" l="1" r="CZ50"/>
  <c i="18" r="DA50" s="1"/>
  <c i="18" r="CV52"/>
  <c i="18" r="CY51"/>
  <c i="18" r="CX51"/>
  <c i="18" l="1" r="CZ51"/>
  <c i="18" r="DA51" s="1"/>
  <c i="18" r="CV53"/>
  <c i="18" r="CY52"/>
  <c i="18" r="CX52"/>
  <c i="18" l="1" r="CZ52"/>
  <c i="18" r="DA52" s="1"/>
  <c i="18" r="CV54"/>
  <c i="18" r="CY53"/>
  <c i="18" r="CX53"/>
  <c i="18" l="1" r="CZ53"/>
  <c i="18" r="DA53" s="1"/>
  <c i="18" r="CV55"/>
  <c i="18" r="CY54"/>
  <c i="18" r="CX54"/>
  <c i="18" l="1" r="CZ54"/>
  <c i="18" r="DA54" s="1"/>
  <c i="18" r="CV56"/>
  <c i="18" r="CX55"/>
  <c i="18" r="CY55"/>
  <c i="18" l="1" r="CZ55"/>
  <c i="18" r="DA55" s="1"/>
  <c i="18" r="CV57"/>
  <c i="18" r="CY56"/>
  <c i="18" r="CX56"/>
  <c i="18" l="1" r="CZ56"/>
  <c i="18" r="DA56" s="1"/>
  <c i="18" r="CV58"/>
  <c i="18" r="CY57"/>
  <c i="18" r="CX57"/>
  <c i="18" l="1" r="CZ57"/>
  <c i="18" r="DA57" s="1"/>
  <c i="18" r="CV59"/>
  <c i="18" r="CX58"/>
  <c i="18" r="CY58"/>
  <c i="18" l="1" r="CZ58"/>
  <c i="18" r="DA58" s="1"/>
  <c i="18" r="CV60"/>
  <c i="18" r="CY59"/>
  <c i="18" r="CX59"/>
  <c i="18" l="1" r="CZ59"/>
  <c i="18" r="DA59" s="1"/>
  <c i="18" r="CV61"/>
  <c i="18" r="CY60"/>
  <c i="18" r="CX60"/>
  <c i="18" l="1" r="CZ60"/>
  <c i="18" r="DA60" s="1"/>
  <c i="18" r="CV62"/>
  <c i="18" r="CY61"/>
  <c i="18" r="CX61"/>
  <c i="18" l="1" r="CZ61"/>
  <c i="18" r="DA61" s="1"/>
  <c i="18" r="CV63"/>
  <c i="18" r="CY62"/>
  <c i="18" r="CX62"/>
  <c i="18" l="1" r="CZ62"/>
  <c i="18" r="DA62" s="1"/>
  <c i="18" r="CV64"/>
  <c i="18" r="CY63"/>
  <c i="18" r="CX63"/>
  <c i="18" l="1" r="CZ63"/>
  <c i="18" r="DA63" s="1"/>
  <c i="18" r="CV65"/>
  <c i="18" r="CY64"/>
  <c i="18" r="CX64"/>
  <c i="18" l="1" r="CZ64"/>
  <c i="18" r="DA64" s="1"/>
  <c i="18" r="CV66"/>
  <c i="18" r="CY65"/>
  <c i="18" r="CX65"/>
  <c i="18" l="1" r="CZ65"/>
  <c i="18" r="DA65" s="1"/>
  <c i="18" r="CV67"/>
  <c i="18" r="CY66"/>
  <c i="18" r="CX66"/>
  <c i="18" l="1" r="CZ66"/>
  <c i="18" r="DA66" s="1"/>
  <c i="18" r="CV68"/>
  <c i="18" r="CY67"/>
  <c i="18" r="CX67"/>
  <c i="18" l="1" r="CV69"/>
  <c i="18" r="CY68"/>
  <c i="18" r="CX68"/>
  <c i="18" r="CZ67"/>
  <c i="18" r="DA67" s="1"/>
  <c i="18" l="1" r="CZ68"/>
  <c i="18" r="DA68" s="1"/>
  <c i="18" r="CV70"/>
  <c i="18" r="CY69"/>
  <c i="18" r="CX69"/>
  <c i="18" l="1" r="CV71"/>
  <c i="18" r="CY70"/>
  <c i="18" r="CX70"/>
  <c i="18" r="CZ69"/>
  <c i="18" r="DA69" s="1"/>
  <c i="18" l="1" r="CZ70"/>
  <c i="18" r="DA70" s="1"/>
  <c i="18" r="CV72"/>
  <c i="18" r="CY71"/>
  <c i="18" r="CX71"/>
  <c i="18" l="1" r="CV73"/>
  <c i="18" r="CY72"/>
  <c i="18" r="CX72"/>
  <c i="18" r="CZ71"/>
  <c i="18" r="DA71" s="1"/>
  <c i="18" l="1" r="CZ72"/>
  <c i="18" r="DA72" s="1"/>
  <c i="18" r="CV74"/>
  <c i="18" r="CY73"/>
  <c i="18" r="CX73"/>
  <c i="18" l="1" r="CZ73"/>
  <c i="18" r="DA73" s="1"/>
  <c i="18" r="CV75"/>
  <c i="18" r="CY74"/>
  <c i="18" r="CX74"/>
  <c i="18" l="1" r="CV76"/>
  <c i="18" r="CX75"/>
  <c i="18" r="CY75"/>
  <c i="18" r="CZ74"/>
  <c i="18" r="DA74" s="1"/>
  <c i="18" l="1" r="CZ75"/>
  <c i="18" r="DA75" s="1"/>
  <c i="18" r="CV77"/>
  <c i="18" r="CY76"/>
  <c i="18" r="CX76"/>
  <c i="18" l="1" r="CZ76"/>
  <c i="18" r="DA76" s="1"/>
  <c i="18" r="CV78"/>
  <c i="18" r="CY77"/>
  <c i="18" r="CX77"/>
  <c i="18" l="1" r="CZ77"/>
  <c i="18" r="DA77" s="1"/>
  <c i="18" r="CV79"/>
  <c i="18" r="CY78"/>
  <c i="18" r="CX78"/>
  <c i="18" l="1" r="CZ78"/>
  <c i="18" r="DA78" s="1"/>
  <c i="18" r="CV80"/>
  <c i="18" r="CX79"/>
  <c i="18" r="CY79"/>
  <c i="18" l="1" r="CZ79"/>
  <c i="18" r="DA79" s="1"/>
  <c i="18" r="CV81"/>
  <c i="18" r="CX80"/>
  <c i="18" r="CY80"/>
  <c i="18" l="1" r="CZ80"/>
  <c i="18" r="DA80" s="1"/>
  <c i="18" r="CV82"/>
  <c i="18" r="CY81"/>
  <c i="18" r="CX81"/>
  <c i="18" l="1" r="CZ81"/>
  <c i="18" r="DA81" s="1"/>
  <c i="18" r="CV83"/>
  <c i="18" r="CY82"/>
  <c i="18" r="CX82"/>
  <c i="18" l="1" r="CZ82"/>
  <c i="18" r="DA82" s="1"/>
  <c i="18" r="CV84"/>
  <c i="18" r="CY83"/>
  <c i="18" r="CX83"/>
  <c i="18" l="1" r="CZ83"/>
  <c i="18" r="DA83" s="1"/>
  <c i="18" r="CV85"/>
  <c i="18" r="CY84"/>
  <c i="18" r="CX84"/>
  <c i="18" l="1" r="CV86"/>
  <c i="18" r="CY85"/>
  <c i="18" r="CX85"/>
  <c i="18" r="CZ84"/>
  <c i="18" r="DA84" s="1"/>
  <c i="18" l="1" r="CZ85"/>
  <c i="18" r="DA85" s="1"/>
  <c i="18" r="CV87"/>
  <c i="18" r="CY86"/>
  <c i="18" r="CX86"/>
  <c i="18" l="1" r="CZ86"/>
  <c i="18" r="DA86" s="1"/>
  <c i="18" r="CV88"/>
  <c i="18" r="CY87"/>
  <c i="18" r="CX87"/>
  <c i="18" l="1" r="CV89"/>
  <c i="18" r="CY88"/>
  <c i="18" r="CX88"/>
  <c i="18" r="CZ87"/>
  <c i="18" r="DA87" s="1"/>
  <c i="18" l="1" r="CZ88"/>
  <c i="18" r="DA88" s="1"/>
  <c i="18" r="CV90"/>
  <c i="18" r="CY89"/>
  <c i="18" r="CX89"/>
  <c i="18" l="1" r="CZ89"/>
  <c i="18" r="DA89" s="1"/>
  <c i="18" r="CV91"/>
  <c i="18" r="CY90"/>
  <c i="18" r="CX90"/>
  <c i="18" l="1" r="CZ90"/>
  <c i="18" r="DA90" s="1"/>
  <c i="18" r="CV92"/>
  <c i="18" r="CY91"/>
  <c i="18" r="CX91"/>
  <c i="18" l="1" r="CZ91"/>
  <c i="18" r="DA91" s="1"/>
  <c i="18" r="CV93"/>
  <c i="18" r="CY92"/>
  <c i="18" r="CX92"/>
  <c i="18" l="1" r="CZ92"/>
  <c i="18" r="DA92" s="1"/>
  <c i="18" r="CV94"/>
  <c i="18" r="CY93"/>
  <c i="18" r="CX93"/>
  <c i="18" l="1" r="CZ93"/>
  <c i="18" r="DA93" s="1"/>
  <c i="18" r="CV95"/>
  <c i="18" r="CY94"/>
  <c i="18" r="CX94"/>
  <c i="18" l="1" r="CZ94"/>
  <c i="18" r="DA94" s="1"/>
  <c i="18" r="CV96"/>
  <c i="18" r="CX95"/>
  <c i="18" r="CY95"/>
  <c i="18" r="CZ95" s="1"/>
  <c i="18" r="DA95" s="1"/>
  <c i="18" l="1" r="CV97"/>
  <c i="18" r="CY96"/>
  <c i="18" r="CX96"/>
  <c i="18" l="1" r="CZ96"/>
  <c i="18" r="DA96" s="1"/>
  <c i="18" r="CV98"/>
  <c i="18" r="CY97"/>
  <c i="18" r="CX97"/>
  <c i="18" l="1" r="CZ97"/>
  <c i="18" r="DA97" s="1"/>
  <c i="18" r="CV99"/>
  <c i="18" r="CX98"/>
  <c i="18" r="CY98"/>
  <c i="18" l="1" r="CZ98"/>
  <c i="18" r="DA98" s="1"/>
  <c i="18" r="CV100"/>
  <c i="18" r="CY99"/>
  <c i="18" r="CX99"/>
  <c i="18" l="1" r="CZ99"/>
  <c i="18" r="DA99" s="1"/>
  <c i="18" r="CV101"/>
  <c i="18" r="CY100"/>
  <c i="18" r="CX100"/>
  <c i="18" l="1" r="CV102"/>
  <c i="18" r="CY101"/>
  <c i="18" r="CX101"/>
  <c i="18" r="CZ100"/>
  <c i="18" r="DA100" s="1"/>
  <c i="18" l="1" r="CZ101"/>
  <c i="18" r="DA101" s="1"/>
  <c i="18" r="CV103"/>
  <c i="18" r="CY102"/>
  <c i="18" r="CX102"/>
  <c i="18" l="1" r="CZ102"/>
  <c i="18" r="DA102" s="1"/>
  <c i="18" r="CV104"/>
  <c i="18" r="CY103"/>
  <c i="18" r="CX103"/>
  <c i="18" l="1" r="CZ103"/>
  <c i="18" r="DA103" s="1"/>
  <c i="18" r="CV105"/>
  <c i="18" r="CY104"/>
  <c i="18" r="CX104"/>
  <c i="18" l="1" r="CZ104"/>
  <c i="18" r="DA104" s="1"/>
  <c i="18" r="CV106"/>
  <c i="18" r="CY105"/>
  <c i="18" r="CX105"/>
  <c i="18" l="1" r="CZ105"/>
  <c i="18" r="DA105" s="1"/>
  <c i="18" r="CV107"/>
  <c i="18" r="CY106"/>
  <c i="18" r="CX106"/>
  <c i="18" l="1" r="CZ106"/>
  <c i="18" r="DA106" s="1"/>
  <c i="18" r="CV108"/>
  <c i="18" r="CY107"/>
  <c i="18" r="CX107"/>
  <c i="18" l="1" r="CZ107"/>
  <c i="18" r="DA107" s="1"/>
  <c i="18" r="CV109"/>
  <c i="18" r="CY108"/>
  <c i="18" r="CX108"/>
  <c i="18" l="1" r="CZ108"/>
  <c i="18" r="DA108" s="1"/>
  <c i="18" r="CV110"/>
  <c i="18" r="CY109"/>
  <c i="18" r="CX109"/>
  <c i="18" l="1" r="CZ109"/>
  <c i="18" r="DA109" s="1"/>
  <c i="18" r="CV111"/>
  <c i="18" r="CY110"/>
  <c i="18" r="CX110"/>
  <c i="18" l="1" r="CZ110"/>
  <c i="18" r="DA110" s="1"/>
  <c i="18" r="CV112"/>
  <c i="18" r="CY111"/>
  <c i="18" r="CX111"/>
  <c i="18" l="1" r="CZ111"/>
  <c i="18" r="DA111" s="1"/>
  <c i="18" r="CV113"/>
  <c i="18" r="CY112"/>
  <c i="18" r="CX112"/>
  <c i="18" l="1" r="CZ112"/>
  <c i="18" r="DA112" s="1"/>
  <c i="18" r="CV114"/>
  <c i="18" r="CX113"/>
  <c i="18" r="CY113"/>
  <c i="18" l="1" r="CZ113"/>
  <c i="18" r="DA113" s="1"/>
  <c i="18" r="CV115"/>
  <c i="18" r="CY114"/>
  <c i="18" r="CX114"/>
  <c i="18" l="1" r="CZ114"/>
  <c i="18" r="DA114" s="1"/>
  <c i="18" r="CV116"/>
  <c i="18" r="CX115"/>
  <c i="18" r="CY115"/>
  <c i="18" l="1" r="CZ115"/>
  <c i="18" r="DA115" s="1"/>
  <c i="18" r="CV117"/>
  <c i="18" r="CX116"/>
  <c i="18" r="CY116"/>
  <c i="18" l="1" r="CZ116"/>
  <c i="18" r="DA116" s="1"/>
  <c i="18" r="CV118"/>
  <c i="18" r="CX117"/>
  <c i="18" r="CY117"/>
  <c i="18" l="1" r="CZ117"/>
  <c i="18" r="DA117" s="1"/>
  <c i="18" r="CV119"/>
  <c i="18" r="CX118"/>
  <c i="18" r="CY118"/>
  <c i="18" l="1" r="CZ118"/>
  <c i="18" r="DA118" s="1"/>
  <c i="18" r="CV120"/>
  <c i="18" r="CY119"/>
  <c i="18" r="CX119"/>
  <c i="18" l="1" r="CZ119"/>
  <c i="18" r="DA119" s="1"/>
  <c i="18" r="CV121"/>
  <c i="18" r="CY120"/>
  <c i="18" r="CX120"/>
  <c i="18" l="1" r="CV122"/>
  <c i="18" r="CY121"/>
  <c i="18" r="CX121"/>
  <c i="18" r="CZ120"/>
  <c i="18" r="DA120" s="1"/>
  <c i="18" l="1" r="CZ121"/>
  <c i="18" r="DA121" s="1"/>
  <c i="18" r="CV123"/>
  <c i="18" r="CY122"/>
  <c i="18" r="CX122"/>
  <c i="18" l="1" r="CZ122"/>
  <c i="18" r="DA122" s="1"/>
  <c i="18" r="CV124"/>
  <c i="18" r="CY123"/>
  <c i="18" r="CX123"/>
  <c i="18" l="1" r="CZ123"/>
  <c i="18" r="DA123" s="1"/>
  <c i="18" r="CV125"/>
  <c i="18" r="CY124"/>
  <c i="18" r="CX124"/>
  <c i="18" l="1" r="CZ124"/>
  <c i="18" r="DA124" s="1"/>
  <c i="18" r="CV126"/>
  <c i="18" r="CY125"/>
  <c i="18" r="CX125"/>
  <c i="18" l="1" r="CZ125"/>
  <c i="18" r="DA125" s="1"/>
  <c i="18" r="CV127"/>
  <c i="18" r="CY126"/>
  <c i="18" r="CX126"/>
  <c i="18" l="1" r="CZ126"/>
  <c i="18" r="DA126" s="1"/>
  <c i="18" r="CV128"/>
  <c i="18" r="CY127"/>
  <c i="18" r="CX127"/>
  <c i="18" l="1" r="CZ127"/>
  <c i="18" r="DA127" s="1"/>
  <c i="18" r="CV129"/>
  <c i="18" r="CY128"/>
  <c i="18" r="CX128"/>
  <c i="18" l="1" r="CV130"/>
  <c i="18" r="CY129"/>
  <c i="18" r="CX129"/>
  <c i="18" r="CZ128"/>
  <c i="18" r="DA128" s="1"/>
  <c i="18" l="1" r="CZ129"/>
  <c i="18" r="DA129" s="1"/>
  <c i="18" r="CV131"/>
  <c i="18" r="CY130"/>
  <c i="18" r="CX130"/>
  <c i="18" l="1" r="CZ130"/>
  <c i="18" r="DA130" s="1"/>
  <c i="18" r="CV132"/>
  <c i="18" r="CY131"/>
  <c i="18" r="CX131"/>
  <c i="18" l="1" r="CZ131"/>
  <c i="18" r="DA131" s="1"/>
  <c i="18" r="CV133"/>
  <c i="18" r="CY132"/>
  <c i="18" r="CX132"/>
  <c i="18" l="1" r="CZ132"/>
  <c i="18" r="DA132" s="1"/>
  <c i="18" r="CV134"/>
  <c i="18" r="CY133"/>
  <c i="18" r="CX133"/>
  <c i="18" l="1" r="CV135"/>
  <c i="18" r="CY134"/>
  <c i="18" r="CX134"/>
  <c i="18" r="CZ133"/>
  <c i="18" r="DA133" s="1"/>
  <c i="18" l="1" r="CZ134"/>
  <c i="18" r="DA134" s="1"/>
  <c i="18" r="CV136"/>
  <c i="18" r="CY135"/>
  <c i="18" r="CX135"/>
  <c i="18" l="1" r="CZ135"/>
  <c i="18" r="DA135" s="1"/>
  <c i="18" r="CV137"/>
  <c i="18" r="CY136"/>
  <c i="18" r="CX136"/>
  <c i="18" l="1" r="CZ136"/>
  <c i="18" r="DA136" s="1"/>
  <c i="18" r="CV138"/>
  <c i="18" r="CY137"/>
  <c i="18" r="CX137"/>
  <c i="18" l="1" r="CZ137"/>
  <c i="18" r="DA137" s="1"/>
  <c i="18" r="CV139"/>
  <c i="18" r="CX138"/>
  <c i="18" r="CY138"/>
  <c i="18" l="1" r="CZ138"/>
  <c i="18" r="DA138" s="1"/>
  <c i="18" r="CV140"/>
  <c i="18" r="CY139"/>
  <c i="18" r="CX139"/>
  <c i="18" l="1" r="CZ139"/>
  <c i="18" r="DA139" s="1"/>
  <c i="18" r="CV141"/>
  <c i="18" r="CY140"/>
  <c i="18" r="CX140"/>
  <c i="18" l="1" r="CZ140"/>
  <c i="18" r="DA140" s="1"/>
  <c i="18" r="CV142"/>
  <c i="18" r="CY141"/>
  <c i="18" r="CX141"/>
  <c i="18" l="1" r="CV143"/>
  <c i="18" r="CY142"/>
  <c i="18" r="CX142"/>
  <c i="18" r="CZ141"/>
  <c i="18" r="DA141" s="1"/>
  <c i="18" l="1" r="CZ142"/>
  <c i="18" r="DA142" s="1"/>
  <c i="18" r="CV144"/>
  <c i="18" r="CY143"/>
  <c i="18" r="CX143"/>
  <c i="18" l="1" r="CZ143"/>
  <c i="18" r="DA143" s="1"/>
  <c i="18" r="CV145"/>
  <c i="18" r="CY144"/>
  <c i="18" r="CX144"/>
  <c i="18" l="1" r="CZ144"/>
  <c i="18" r="DA144" s="1"/>
  <c i="18" r="CV146"/>
  <c i="18" r="CY145"/>
  <c i="18" r="CX145"/>
  <c i="18" l="1" r="CZ145"/>
  <c i="18" r="DA145" s="1"/>
  <c i="18" r="CV147"/>
  <c i="18" r="CY146"/>
  <c i="18" r="CX146"/>
  <c i="18" l="1" r="CV148"/>
  <c i="18" r="CY147"/>
  <c i="18" r="CX147"/>
  <c i="18" r="CZ146"/>
  <c i="18" r="DA146" s="1"/>
  <c i="18" l="1" r="CZ147"/>
  <c i="18" r="DA147" s="1"/>
  <c i="18" r="CV149"/>
  <c i="18" r="CX148"/>
  <c i="18" r="CY148"/>
  <c i="18" l="1" r="CZ148"/>
  <c i="18" r="DA148" s="1"/>
  <c i="18" r="CV150"/>
  <c i="18" r="CY149"/>
  <c i="18" r="CX149"/>
  <c i="18" l="1" r="CZ149"/>
  <c i="18" r="DA149" s="1"/>
  <c i="18" r="CV151"/>
  <c i="18" r="CY150"/>
  <c i="18" r="CX150"/>
  <c i="18" l="1" r="CZ150"/>
  <c i="18" r="DA150" s="1"/>
  <c i="18" r="CV152"/>
  <c i="18" r="CY151"/>
  <c i="18" r="CX151"/>
  <c i="18" l="1" r="CZ151"/>
  <c i="18" r="DA151" s="1"/>
  <c i="18" r="CV153"/>
  <c i="18" r="CY152"/>
  <c i="18" r="CX152"/>
  <c i="18" l="1" r="CZ152"/>
  <c i="18" r="DA152" s="1"/>
  <c i="18" r="CV154"/>
  <c i="18" r="CX153"/>
  <c i="18" r="CY153"/>
  <c i="18" l="1" r="CZ153"/>
  <c i="18" r="DA153" s="1"/>
  <c i="18" r="CV155"/>
  <c i="18" r="CX154"/>
  <c i="18" r="CY154"/>
  <c i="18" l="1" r="CZ154"/>
  <c i="18" r="DA154" s="1"/>
  <c i="18" r="CV156"/>
  <c i="18" r="CY155"/>
  <c i="18" r="CX155"/>
  <c i="18" l="1" r="CZ155"/>
  <c i="18" r="DA155" s="1"/>
  <c i="18" r="CV157"/>
  <c i="18" r="CX156"/>
  <c i="18" r="CY156"/>
  <c i="18" r="CZ156" s="1"/>
  <c i="18" r="DA156" s="1"/>
  <c i="18" l="1" r="CV158"/>
  <c i="18" r="CX157"/>
  <c i="18" r="CY157"/>
  <c i="18" l="1" r="CZ157"/>
  <c i="18" r="DA157" s="1"/>
  <c i="18" r="CV159"/>
  <c i="18" r="CY158"/>
  <c i="18" r="CX158"/>
  <c i="18" l="1" r="CZ158"/>
  <c i="18" r="DA158" s="1"/>
  <c i="18" r="CV160"/>
  <c i="18" r="CY159"/>
  <c i="18" r="CX159"/>
  <c i="18" l="1" r="CZ159"/>
  <c i="18" r="DA159" s="1"/>
  <c i="18" r="CV161"/>
  <c i="18" r="CY160"/>
  <c i="18" r="CX160"/>
  <c i="18" l="1" r="CZ160"/>
  <c i="18" r="DA160" s="1"/>
  <c i="18" r="CV162"/>
  <c i="18" r="CY161"/>
  <c i="18" r="CX161"/>
  <c i="18" l="1" r="CZ161"/>
  <c i="18" r="DA161" s="1"/>
  <c i="18" r="CV163"/>
  <c i="18" r="CY162"/>
  <c i="18" r="CX162"/>
  <c i="18" l="1" r="CZ162"/>
  <c i="18" r="DA162" s="1"/>
  <c i="18" r="CV164"/>
  <c i="18" r="CY163"/>
  <c i="18" r="CX163"/>
  <c i="18" l="1" r="CZ163"/>
  <c i="18" r="DA163" s="1"/>
  <c i="18" r="CV165"/>
  <c i="18" r="CY164"/>
  <c i="18" r="CX164"/>
  <c i="18" l="1" r="CZ164"/>
  <c i="18" r="DA164" s="1"/>
  <c i="18" r="CV166"/>
  <c i="18" r="CY165"/>
  <c i="18" r="CX165"/>
  <c i="18" l="1" r="CZ165"/>
  <c i="18" r="DA165" s="1"/>
  <c i="18" r="CV167"/>
  <c i="18" r="CY166"/>
  <c i="18" r="CX166"/>
  <c i="18" l="1" r="CZ166"/>
  <c i="18" r="DA166" s="1"/>
  <c i="18" r="CV168"/>
  <c i="18" r="CY167"/>
  <c i="18" r="CX167"/>
  <c i="18" l="1" r="CZ167"/>
  <c i="18" r="DA167" s="1"/>
  <c i="18" r="CV169"/>
  <c i="18" r="CY168"/>
  <c i="18" r="CX168"/>
  <c i="18" l="1" r="CZ168"/>
  <c i="18" r="DA168" s="1"/>
  <c i="18" r="CV170"/>
  <c i="18" r="CY169"/>
  <c i="18" r="CX169"/>
  <c i="18" l="1" r="CZ169"/>
  <c i="18" r="DA169" s="1"/>
  <c i="18" r="CV171"/>
  <c i="18" r="CY170"/>
  <c i="18" r="CX170"/>
  <c i="18" l="1" r="CZ170"/>
  <c i="18" r="DA170" s="1"/>
  <c i="18" r="CV172"/>
  <c i="18" r="CY171"/>
  <c i="18" r="CX171"/>
  <c i="18" l="1" r="CZ171"/>
  <c i="18" r="DA171" s="1"/>
  <c i="18" r="CV173"/>
  <c i="18" r="CY172"/>
  <c i="18" r="CX172"/>
  <c i="18" l="1" r="CZ172"/>
  <c i="18" r="DA172" s="1"/>
  <c i="18" r="CV174"/>
  <c i="18" r="CY173"/>
  <c i="18" r="CX173"/>
  <c i="18" l="1" r="CZ173"/>
  <c i="18" r="DA173" s="1"/>
  <c i="18" r="CV175"/>
  <c i="18" r="CY174"/>
  <c i="18" r="CX174"/>
  <c i="18" l="1" r="CZ174"/>
  <c i="18" r="DA174" s="1"/>
  <c i="18" r="CV176"/>
  <c i="18" r="CX175"/>
  <c i="18" r="CY175"/>
  <c i="18" l="1" r="CZ175"/>
  <c i="18" r="DA175" s="1"/>
  <c i="18" r="CV177"/>
  <c i="18" r="CY176"/>
  <c i="18" r="CX176"/>
  <c i="18" l="1" r="CZ176"/>
  <c i="18" r="DA176" s="1"/>
  <c i="18" r="CV178"/>
  <c i="18" r="CY177"/>
  <c i="18" r="CX177"/>
  <c i="18" l="1" r="CZ177"/>
  <c i="18" r="DA177" s="1"/>
  <c i="18" r="CV179"/>
  <c i="18" r="CY178"/>
  <c i="18" r="CX178"/>
  <c i="18" l="1" r="CZ178"/>
  <c i="18" r="DA178" s="1"/>
  <c i="18" r="CV180"/>
  <c i="18" r="CY179"/>
  <c i="18" r="CX179"/>
  <c i="18" l="1" r="CZ179"/>
  <c i="18" r="DA179" s="1"/>
  <c i="18" r="CV181"/>
  <c i="18" r="CY180"/>
  <c i="18" r="CX180"/>
  <c i="18" l="1" r="CZ180"/>
  <c i="18" r="DA180" s="1"/>
  <c i="18" r="CV182"/>
  <c i="18" r="CY181"/>
  <c i="18" r="CX181"/>
  <c i="18" l="1" r="CZ181"/>
  <c i="18" r="DA181" s="1"/>
  <c i="18" r="CV183"/>
  <c i="18" r="CY182"/>
  <c i="18" r="CX182"/>
  <c i="18" l="1" r="CZ182"/>
  <c i="18" r="DA182" s="1"/>
  <c i="18" r="CV184"/>
  <c i="18" r="CY183"/>
  <c i="18" r="CX183"/>
  <c i="18" l="1" r="CZ183"/>
  <c i="18" r="DA183" s="1"/>
  <c i="18" r="CV185"/>
  <c i="18" r="CY184"/>
  <c i="18" r="CX184"/>
  <c i="18" l="1" r="CZ184"/>
  <c i="18" r="DA184" s="1"/>
  <c i="18" r="CV186"/>
  <c i="18" r="CY185"/>
  <c i="18" r="CX185"/>
  <c i="18" l="1" r="CZ185"/>
  <c i="18" r="DA185" s="1"/>
  <c i="18" r="CV187"/>
  <c i="18" r="CY186"/>
  <c i="18" r="CX186"/>
  <c i="18" l="1" r="CZ186"/>
  <c i="18" r="DA186" s="1"/>
  <c i="18" r="CV188"/>
  <c i="18" r="CY187"/>
  <c i="18" r="CX187"/>
  <c i="18" l="1" r="CZ187"/>
  <c i="18" r="DA187" s="1"/>
  <c i="18" r="CV189"/>
  <c i="18" r="CX188"/>
  <c i="18" r="CY188"/>
  <c i="18" l="1" r="CZ188"/>
  <c i="18" r="DA188" s="1"/>
  <c i="18" r="CV190"/>
  <c i="18" r="CY189"/>
  <c i="18" r="CX189"/>
  <c i="18" l="1" r="CZ189"/>
  <c i="18" r="DA189" s="1"/>
  <c i="18" r="CV191"/>
  <c i="18" r="CY190"/>
  <c i="18" r="CX190"/>
  <c i="18" l="1" r="CZ190"/>
  <c i="18" r="DA190" s="1"/>
  <c i="18" r="CV192"/>
  <c i="18" r="CY191"/>
  <c i="18" r="CX191"/>
  <c i="18" l="1" r="CZ191"/>
  <c i="18" r="DA191" s="1"/>
  <c i="18" r="CV193"/>
  <c i="18" r="CY192"/>
  <c i="18" r="CX192"/>
  <c i="18" l="1" r="CZ192"/>
  <c i="18" r="DA192" s="1"/>
  <c i="18" r="CV194"/>
  <c i="18" r="CX193"/>
  <c i="18" r="CY193"/>
  <c i="18" l="1" r="CZ193"/>
  <c i="18" r="DA193" s="1"/>
  <c i="18" r="CV195"/>
  <c i="18" r="CX194"/>
  <c i="18" r="CY194"/>
  <c i="18" l="1" r="CZ194"/>
  <c i="18" r="DA194" s="1"/>
  <c i="18" r="CV196"/>
  <c i="18" r="CX195"/>
  <c i="18" r="CY195"/>
  <c i="18" l="1" r="CZ195"/>
  <c i="18" r="DA195" s="1"/>
  <c i="18" r="CV197"/>
  <c i="18" r="CX196"/>
  <c i="18" r="CY196"/>
  <c i="18" l="1" r="CZ196"/>
  <c i="18" r="DA196" s="1"/>
  <c i="18" r="CV198"/>
  <c i="18" r="CX197"/>
  <c i="18" r="CY197"/>
  <c i="18" l="1" r="CZ197"/>
  <c i="18" r="DA197" s="1"/>
  <c i="18" r="CV199"/>
  <c i="18" r="CX198"/>
  <c i="18" r="CY198"/>
  <c i="18" l="1" r="CZ198"/>
  <c i="18" r="DA198" s="1"/>
  <c i="18" r="CV200"/>
  <c i="18" r="CX199"/>
  <c i="18" r="CY199"/>
  <c i="18" l="1" r="CZ199"/>
  <c i="18" r="DA199" s="1"/>
  <c i="18" r="CV201"/>
  <c i="18" r="CX200"/>
  <c i="18" r="CY200"/>
  <c i="18" l="1" r="CZ200"/>
  <c i="18" r="DA200" s="1"/>
  <c i="18" r="CV202"/>
  <c i="18" r="CY201"/>
  <c i="18" r="CX201"/>
  <c i="18" l="1" r="CZ201"/>
  <c i="18" r="DA201" s="1"/>
  <c i="18" r="CV203"/>
  <c i="18" r="CY202"/>
  <c i="18" r="CX202"/>
  <c i="18" l="1" r="CZ202"/>
  <c i="18" r="DA202" s="1"/>
  <c i="18" r="CV204"/>
  <c i="18" r="CY203"/>
  <c i="18" r="CX203"/>
  <c i="18" l="1" r="CZ203"/>
  <c i="18" r="DA203" s="1"/>
  <c i="18" r="CV205"/>
  <c i="18" r="CY204"/>
  <c i="18" r="CX204"/>
  <c i="18" l="1" r="CZ204"/>
  <c i="18" r="DA204" s="1"/>
  <c i="18" r="CV206"/>
  <c i="18" r="CY205"/>
  <c i="18" r="CX205"/>
  <c i="18" l="1" r="CZ205"/>
  <c i="18" r="DA205" s="1"/>
  <c i="18" r="CV207"/>
  <c i="18" r="CY206"/>
  <c i="18" r="CX206"/>
  <c i="18" l="1" r="CZ206"/>
  <c i="18" r="DA206" s="1"/>
  <c i="18" r="CV208"/>
  <c i="18" r="CY207"/>
  <c i="18" r="CX207"/>
  <c i="18" l="1" r="CZ207"/>
  <c i="18" r="DA207" s="1"/>
  <c i="18" r="CV209"/>
  <c i="18" r="CY208"/>
  <c i="18" r="CX208"/>
  <c i="18" l="1" r="CZ208"/>
  <c i="18" r="DA208" s="1"/>
  <c i="18" r="CV210"/>
  <c i="18" r="CY209"/>
  <c i="18" r="CX209"/>
  <c i="18" l="1" r="CZ209"/>
  <c i="18" r="DA209" s="1"/>
  <c i="18" r="CV211"/>
  <c i="18" r="CY210"/>
  <c i="18" r="CX210"/>
  <c i="18" l="1" r="CZ210"/>
  <c i="18" r="DA210" s="1"/>
  <c i="18" r="CV212"/>
  <c i="18" r="CY211"/>
  <c i="18" r="CX211"/>
  <c i="18" l="1" r="CZ211"/>
  <c i="18" r="DA211" s="1"/>
  <c i="18" r="CV213"/>
  <c i="18" r="CX212"/>
  <c i="18" r="CY212"/>
  <c i="18" l="1" r="CZ212"/>
  <c i="18" r="DA212" s="1"/>
  <c i="18" r="CV214"/>
  <c i="18" r="CX213"/>
  <c i="18" r="CY213"/>
  <c i="18" l="1" r="CZ213"/>
  <c i="18" r="DA213" s="1"/>
  <c i="18" r="CV215"/>
  <c i="18" r="CY214"/>
  <c i="18" r="CX214"/>
  <c i="18" l="1" r="CZ214"/>
  <c i="18" r="DA214" s="1"/>
  <c i="18" r="CV216"/>
  <c i="18" r="CX215"/>
  <c i="18" r="CY215"/>
  <c i="18" l="1" r="CZ215"/>
  <c i="18" r="DA215" s="1"/>
  <c i="18" r="CV217"/>
  <c i="18" r="CY216"/>
  <c i="18" r="CX216"/>
  <c i="18" l="1" r="CZ216"/>
  <c i="18" r="DA216" s="1"/>
  <c i="18" r="CV218"/>
  <c i="18" r="CY217"/>
  <c i="18" r="CX217"/>
  <c i="18" l="1" r="CZ217"/>
  <c i="18" r="DA217" s="1"/>
  <c i="18" r="CV219"/>
  <c i="18" r="CX218"/>
  <c i="18" r="CY218"/>
  <c i="18" l="1" r="CZ218"/>
  <c i="18" r="DA218" s="1"/>
  <c i="18" r="CV220"/>
  <c i="18" r="CY219"/>
  <c i="18" r="CX219"/>
  <c i="18" l="1" r="CZ219"/>
  <c i="18" r="DA219" s="1"/>
  <c i="18" r="CV221"/>
  <c i="18" r="CY220"/>
  <c i="18" r="CX220"/>
  <c i="18" l="1" r="CZ220"/>
  <c i="18" r="DA220" s="1"/>
  <c i="18" r="CV222"/>
  <c i="18" r="CY221"/>
  <c i="18" r="CX221"/>
  <c i="18" l="1" r="CZ221"/>
  <c i="18" r="DA221" s="1"/>
  <c i="18" r="CV223"/>
  <c i="18" r="CY222"/>
  <c i="18" r="CX222"/>
  <c i="18" l="1" r="CZ222"/>
  <c i="18" r="DA222" s="1"/>
  <c i="18" r="CV224"/>
  <c i="18" r="CY223"/>
  <c i="18" r="CX223"/>
  <c i="18" l="1" r="CZ223"/>
  <c i="18" r="DA223" s="1"/>
  <c i="18" r="CV225"/>
  <c i="18" r="CY224"/>
  <c i="18" r="CX224"/>
  <c i="18" l="1" r="CZ224"/>
  <c i="18" r="DA224" s="1"/>
  <c i="18" r="CV226"/>
  <c i="18" r="CY225"/>
  <c i="18" r="CX225"/>
  <c i="18" l="1" r="CZ225"/>
  <c i="18" r="DA225" s="1"/>
  <c i="18" r="CV227"/>
  <c i="18" r="CY226"/>
  <c i="18" r="CX226"/>
  <c i="18" l="1" r="CZ226"/>
  <c i="18" r="DA226" s="1"/>
  <c i="18" r="CV228"/>
  <c i="18" r="CY227"/>
  <c i="18" r="CX227"/>
  <c i="18" l="1" r="CZ227"/>
  <c i="18" r="DA227" s="1"/>
  <c i="18" r="CV229"/>
  <c i="18" r="CX228"/>
  <c i="18" r="CY228"/>
  <c i="18" l="1" r="CZ228"/>
  <c i="18" r="DA228" s="1"/>
  <c i="18" r="CV230"/>
  <c i="18" r="CX229"/>
  <c i="18" r="CY229"/>
  <c i="18" l="1" r="CZ229"/>
  <c i="18" r="DA229" s="1"/>
  <c i="18" r="CV231"/>
  <c i="18" r="CY230"/>
  <c i="18" r="CX230"/>
  <c i="18" l="1" r="CZ230"/>
  <c i="18" r="DA230" s="1"/>
  <c i="18" r="CV232"/>
  <c i="18" r="CY231"/>
  <c i="18" r="CX231"/>
  <c i="18" l="1" r="CV233"/>
  <c i="18" r="CY232"/>
  <c i="18" r="CX232"/>
  <c i="18" r="CZ231"/>
  <c i="18" r="DA231" s="1"/>
  <c i="18" l="1" r="CZ232"/>
  <c i="18" r="DA232" s="1"/>
  <c i="18" r="CV234"/>
  <c i="18" r="CX233"/>
  <c i="18" r="CY233"/>
  <c i="18" l="1" r="CZ233"/>
  <c i="18" r="DA233" s="1"/>
  <c i="18" r="CV235"/>
  <c i="18" r="CX234"/>
  <c i="18" r="CY234"/>
  <c i="18" l="1" r="CZ234"/>
  <c i="18" r="DA234" s="1"/>
  <c i="18" r="CV236"/>
  <c i="18" r="CX235"/>
  <c i="18" r="CY235"/>
  <c i="18" l="1" r="CZ235"/>
  <c i="18" r="DA235" s="1"/>
  <c i="18" r="CV237"/>
  <c i="18" r="CX236"/>
  <c i="18" r="CY236"/>
  <c i="18" l="1" r="CZ236"/>
  <c i="18" r="DA236" s="1"/>
  <c i="18" r="CV238"/>
  <c i="18" r="CX237"/>
  <c i="18" r="CY237"/>
  <c i="18" l="1" r="CZ237"/>
  <c i="18" r="DA237" s="1"/>
  <c i="18" r="CV239"/>
  <c i="18" r="CX238"/>
  <c i="18" r="CY238"/>
  <c i="18" l="1" r="CZ238"/>
  <c i="18" r="DA238" s="1"/>
  <c i="18" r="CV240"/>
  <c i="18" r="CY239"/>
  <c i="18" r="CX239"/>
  <c i="18" l="1" r="CZ239"/>
  <c i="18" r="DA239" s="1"/>
  <c i="18" r="CV241"/>
  <c i="18" r="CY240"/>
  <c i="18" r="CX240"/>
  <c i="18" l="1" r="CV242"/>
  <c i="18" r="CY241"/>
  <c i="18" r="CX241"/>
  <c i="18" r="CZ240"/>
  <c i="18" r="DA240" s="1"/>
  <c i="18" l="1" r="CZ241"/>
  <c i="18" r="DA241" s="1"/>
  <c i="18" r="CV243"/>
  <c i="18" r="CY242"/>
  <c i="18" r="CX242"/>
  <c i="18" l="1" r="CZ242"/>
  <c i="18" r="DA242" s="1"/>
  <c i="18" r="CV244"/>
  <c i="18" r="CY243"/>
  <c i="18" r="CX243"/>
  <c i="18" l="1" r="CZ243"/>
  <c i="18" r="DA243" s="1"/>
  <c i="18" r="CV245"/>
  <c i="18" r="CY244"/>
  <c i="18" r="CX244"/>
  <c i="18" l="1" r="CZ244"/>
  <c i="18" r="DA244" s="1"/>
  <c i="18" r="CV246"/>
  <c i="18" r="CY245"/>
  <c i="18" r="CX245"/>
  <c i="18" l="1" r="CZ245"/>
  <c i="18" r="DA245" s="1"/>
  <c i="18" r="CV247"/>
  <c i="18" r="CY246"/>
  <c i="18" r="CX246"/>
  <c i="18" l="1" r="CZ246"/>
  <c i="18" r="DA246" s="1"/>
  <c i="18" r="CV248"/>
  <c i="18" r="CY247"/>
  <c i="18" r="CX247"/>
  <c i="18" l="1" r="CZ247"/>
  <c i="18" r="DA247" s="1"/>
  <c i="18" r="CV249"/>
  <c i="18" r="CY248"/>
  <c i="18" r="CX248"/>
  <c i="18" l="1" r="CZ248"/>
  <c i="18" r="DA248" s="1"/>
  <c i="18" r="CV250"/>
  <c i="18" r="CY249"/>
  <c i="18" r="CX249"/>
  <c i="18" l="1" r="CZ249"/>
  <c i="18" r="DA249" s="1"/>
  <c i="18" r="CV251"/>
  <c i="18" r="CY250"/>
  <c i="18" r="CX250"/>
  <c i="18" l="1" r="CZ250"/>
  <c i="18" r="DA250" s="1"/>
  <c i="18" r="CV252"/>
  <c i="18" r="CY251"/>
  <c i="18" r="CX251"/>
  <c i="18" l="1" r="CZ251"/>
  <c i="18" r="DA251" s="1"/>
  <c i="18" r="CV253"/>
  <c i="18" r="CX252"/>
  <c i="18" r="CY252"/>
  <c i="18" l="1" r="CZ252"/>
  <c i="18" r="DA252" s="1"/>
  <c i="18" r="CV254"/>
  <c i="18" r="CY253"/>
  <c i="18" r="CX253"/>
  <c i="18" l="1" r="CZ253"/>
  <c i="18" r="DA253" s="1"/>
  <c i="18" r="CV255"/>
  <c i="18" r="CX254"/>
  <c i="18" r="CY254"/>
  <c i="18" l="1" r="CZ254"/>
  <c i="18" r="DA254" s="1"/>
  <c i="18" r="CV256"/>
  <c i="18" r="CX255"/>
  <c i="18" r="CY255"/>
  <c i="18" l="1" r="CZ255"/>
  <c i="18" r="DA255" s="1"/>
  <c i="18" r="CV257"/>
  <c i="18" r="CY256"/>
  <c i="18" r="CX256"/>
  <c i="18" l="1" r="CZ256"/>
  <c i="18" r="DA256" s="1"/>
  <c i="18" r="CV258"/>
  <c i="18" r="CY257"/>
  <c i="18" r="CX257"/>
  <c i="18" l="1" r="CZ257"/>
  <c i="18" r="DA257" s="1"/>
  <c i="18" r="CV259"/>
  <c i="18" r="CX258"/>
  <c i="18" r="CY258"/>
  <c i="18" l="1" r="CZ258"/>
  <c i="18" r="DA258" s="1"/>
  <c i="18" r="CV260"/>
  <c i="18" r="CY259"/>
  <c i="18" r="CX259"/>
  <c i="18" l="1" r="CZ259"/>
  <c i="18" r="DA259" s="1"/>
  <c i="18" r="CV261"/>
  <c i="18" r="CY260"/>
  <c i="18" r="CX260"/>
  <c i="18" l="1" r="CZ260"/>
  <c i="18" r="DA260" s="1"/>
  <c i="18" r="CV262"/>
  <c i="18" r="CY261"/>
  <c i="18" r="CX261"/>
  <c i="18" l="1" r="CZ261"/>
  <c i="18" r="DA261" s="1"/>
  <c i="18" r="CV263"/>
  <c i="18" r="CY262"/>
  <c i="18" r="CX262"/>
  <c i="18" l="1" r="CZ262"/>
  <c i="18" r="DA262" s="1"/>
  <c i="18" r="CV264"/>
  <c i="18" r="CY263"/>
  <c i="18" r="CX263"/>
  <c i="18" l="1" r="CZ263"/>
  <c i="18" r="DA263" s="1"/>
  <c i="18" r="CV265"/>
  <c i="18" r="CY264"/>
  <c i="18" r="CX264"/>
  <c i="18" l="1" r="CZ264"/>
  <c i="18" r="DA264" s="1"/>
  <c i="18" r="CV266"/>
  <c i="18" r="CY265"/>
  <c i="18" r="CX265"/>
  <c i="18" l="1" r="CZ265"/>
  <c i="18" r="DA265" s="1"/>
  <c i="18" r="CV267"/>
  <c i="18" r="CY266"/>
  <c i="18" r="CX266"/>
  <c i="18" l="1" r="CZ266"/>
  <c i="18" r="DA266" s="1"/>
  <c i="18" r="CV268"/>
  <c i="18" r="CY267"/>
  <c i="18" r="CX267"/>
  <c i="18" l="1" r="CZ267"/>
  <c i="18" r="DA267" s="1"/>
  <c i="18" r="CV269"/>
  <c i="18" r="CX268"/>
  <c i="18" r="CY268"/>
  <c i="18" l="1" r="CZ268"/>
  <c i="18" r="DA268" s="1"/>
  <c i="18" r="CV270"/>
  <c i="18" r="CX269"/>
  <c i="18" r="CY269"/>
  <c i="18" l="1" r="CZ269"/>
  <c i="18" r="DA269" s="1"/>
  <c i="18" r="CV271"/>
  <c i="18" r="CY270"/>
  <c i="18" r="CX270"/>
  <c i="18" l="1" r="CZ270"/>
  <c i="18" r="DA270" s="1"/>
  <c i="18" r="CV272"/>
  <c i="18" r="CX271"/>
  <c i="18" r="CY271"/>
  <c i="18" r="CZ271" s="1"/>
  <c i="18" r="DA271" s="1"/>
  <c i="18" l="1" r="CV273"/>
  <c i="18" r="CY272"/>
  <c i="18" r="CX272"/>
  <c i="18" l="1" r="CZ272"/>
  <c i="18" r="DA272" s="1"/>
  <c i="18" r="CV274"/>
  <c i="18" r="CX273"/>
  <c i="18" r="CY273"/>
  <c i="18" l="1" r="CZ273"/>
  <c i="18" r="DA273" s="1"/>
  <c i="18" r="CV275"/>
  <c i="18" r="CX274"/>
  <c i="18" r="CY274"/>
  <c i="18" l="1" r="CZ274"/>
  <c i="18" r="DA274" s="1"/>
  <c i="18" r="CV276"/>
  <c i="18" r="CX275"/>
  <c i="18" r="CY275"/>
  <c i="18" l="1" r="CZ275"/>
  <c i="18" r="DA275" s="1"/>
  <c i="18" r="CV277"/>
  <c i="18" r="CX276"/>
  <c i="18" r="CY276"/>
  <c i="18" l="1" r="CZ276"/>
  <c i="18" r="DA276" s="1"/>
  <c i="18" r="CV278"/>
  <c i="18" r="CX277"/>
  <c i="18" r="CY277"/>
  <c i="18" l="1" r="CZ277"/>
  <c i="18" r="DA277" s="1"/>
  <c i="18" r="CV279"/>
  <c i="18" r="CX278"/>
  <c i="18" r="CY278"/>
  <c i="18" l="1" r="CZ278"/>
  <c i="18" r="DA278" s="1"/>
  <c i="18" r="CV280"/>
  <c i="18" r="CY279"/>
  <c i="18" r="CX279"/>
  <c i="18" l="1" r="CZ279"/>
  <c i="18" r="DA279" s="1"/>
  <c i="18" r="CV281"/>
  <c i="18" r="CX280"/>
  <c i="18" r="CY280"/>
  <c i="18" l="1" r="CZ280"/>
  <c i="18" r="DA280" s="1"/>
  <c i="18" r="CV282"/>
  <c i="18" r="CY281"/>
  <c i="18" r="CX281"/>
  <c i="18" l="1" r="CV283"/>
  <c i="18" r="CY282"/>
  <c i="18" r="CX282"/>
  <c i="18" r="CZ281"/>
  <c i="18" r="DA281" s="1"/>
  <c i="18" l="1" r="CZ282"/>
  <c i="18" r="DA282" s="1"/>
  <c i="18" r="CV284"/>
  <c i="18" r="CY283"/>
  <c i="18" r="CX283"/>
  <c i="18" l="1" r="CZ283"/>
  <c i="18" r="DA283" s="1"/>
  <c i="18" r="CV285"/>
  <c i="18" r="CY284"/>
  <c i="18" r="CX284"/>
  <c i="18" l="1" r="CV286"/>
  <c i="18" r="CY285"/>
  <c i="18" r="CX285"/>
  <c i="18" r="CZ284"/>
  <c i="18" r="DA284" s="1"/>
  <c i="18" l="1" r="CZ285"/>
  <c i="18" r="DA285" s="1"/>
  <c i="18" r="CV287"/>
  <c i="18" r="CY286"/>
  <c i="18" r="CX286"/>
  <c i="18" l="1" r="CZ286"/>
  <c i="18" r="DA286" s="1"/>
  <c i="18" r="CV288"/>
  <c i="18" r="CY287"/>
  <c i="18" r="CX287"/>
  <c i="18" l="1" r="CV289"/>
  <c i="18" r="CY288"/>
  <c i="18" r="CX288"/>
  <c i="18" r="CZ287"/>
  <c i="18" r="DA287" s="1"/>
  <c i="18" l="1" r="CZ288"/>
  <c i="18" r="DA288" s="1"/>
  <c i="18" r="CV290"/>
  <c i="18" r="CY289"/>
  <c i="18" r="CX289"/>
  <c i="18" l="1" r="CZ289"/>
  <c i="18" r="DA289" s="1"/>
  <c i="18" r="CV291"/>
  <c i="18" r="CY290"/>
  <c i="18" r="CX290"/>
  <c i="18" l="1" r="CZ290"/>
  <c i="18" r="DA290" s="1"/>
  <c i="18" r="CV292"/>
  <c i="18" r="CY291"/>
  <c i="18" r="CX291"/>
  <c i="18" l="1" r="CZ291"/>
  <c i="18" r="DA291" s="1"/>
  <c i="18" r="CV293"/>
  <c i="18" r="CX292"/>
  <c i="18" r="CY292"/>
  <c i="18" l="1" r="CZ292"/>
  <c i="18" r="DA292" s="1"/>
  <c i="18" r="CV294"/>
  <c i="18" r="CX293"/>
  <c i="18" r="CY293"/>
  <c i="18" l="1" r="CZ293"/>
  <c i="18" r="DA293" s="1"/>
  <c i="18" r="CV295"/>
  <c i="18" r="CX294"/>
  <c i="18" r="CY294"/>
  <c i="18" l="1" r="CZ294"/>
  <c i="18" r="DA294" s="1"/>
  <c i="18" r="CV296"/>
  <c i="18" r="CX295"/>
  <c i="18" r="CY295"/>
  <c i="18" l="1" r="CZ295"/>
  <c i="18" r="DA295" s="1"/>
  <c i="18" r="CV297"/>
  <c i="18" r="CY296"/>
  <c i="18" r="CX296"/>
  <c i="18" l="1" r="CV298"/>
  <c i="18" r="CY297"/>
  <c i="18" r="CX297"/>
  <c i="18" r="CZ296"/>
  <c i="18" r="DA296" s="1"/>
  <c i="18" l="1" r="CZ297"/>
  <c i="18" r="DA297" s="1"/>
  <c i="18" r="CV299"/>
  <c i="18" r="CX298"/>
  <c i="18" r="CY298"/>
  <c i="18" l="1" r="CZ298"/>
  <c i="18" r="DA298" s="1"/>
  <c i="18" r="CV300"/>
  <c i="18" r="CY299"/>
  <c i="18" r="CX299"/>
  <c i="18" l="1" r="CZ299"/>
  <c i="18" r="DA299" s="1"/>
  <c i="18" r="CV301"/>
  <c i="18" r="CY300"/>
  <c i="18" r="CX300"/>
  <c i="18" l="1" r="CZ300"/>
  <c i="18" r="DA300" s="1"/>
  <c i="18" r="CV302"/>
  <c i="18" r="CY301"/>
  <c i="18" r="CX301"/>
  <c i="18" l="1" r="CZ301"/>
  <c i="18" r="DA301" s="1"/>
  <c i="18" r="CV303"/>
  <c i="18" r="CY302"/>
  <c i="18" r="CX302"/>
  <c i="18" l="1" r="CZ302"/>
  <c i="18" r="DA302" s="1"/>
  <c i="18" r="CV304"/>
  <c i="18" r="CY303"/>
  <c i="18" r="CX303"/>
  <c i="18" l="1" r="CZ303"/>
  <c i="18" r="DA303" s="1"/>
  <c i="18" r="CV305"/>
  <c i="18" r="CY304"/>
  <c i="18" r="CX304"/>
  <c i="18" l="1" r="CZ304"/>
  <c i="18" r="DA304" s="1"/>
  <c i="18" r="CV306"/>
  <c i="18" r="CY305"/>
  <c i="18" r="CX305"/>
  <c i="18" l="1" r="CZ305"/>
  <c i="18" r="DA305" s="1"/>
  <c i="18" r="CV307"/>
  <c i="18" r="CY306"/>
  <c i="18" r="CX306"/>
  <c i="18" l="1" r="CZ306"/>
  <c i="18" r="DA306" s="1"/>
  <c i="18" r="CV308"/>
  <c i="18" r="CY307"/>
  <c i="18" r="CX307"/>
  <c i="18" l="1" r="CZ307"/>
  <c i="18" r="DA307" s="1"/>
  <c i="18" r="CV309"/>
  <c i="18" r="CX308"/>
  <c i="18" r="CY308"/>
  <c i="18" l="1" r="CZ308"/>
  <c i="18" r="DA308" s="1"/>
  <c i="18" r="CV310"/>
  <c i="18" r="CX309"/>
  <c i="18" r="CY309"/>
  <c i="18" l="1" r="CZ309"/>
  <c i="18" r="DA309" s="1"/>
  <c i="18" r="CV311"/>
  <c i="18" r="CX310"/>
  <c i="18" r="CY310"/>
  <c i="18" l="1" r="CZ310"/>
  <c i="18" r="DA310" s="1"/>
  <c i="18" r="CV312"/>
  <c i="18" r="CX311"/>
  <c i="18" r="CY311"/>
  <c i="18" l="1" r="CZ311"/>
  <c i="18" r="DA311" s="1"/>
  <c i="18" r="CV313"/>
  <c i="18" r="CX312"/>
  <c i="18" r="CY312"/>
  <c i="18" l="1" r="CZ312"/>
  <c i="18" r="DA312" s="1"/>
  <c i="18" r="CV314"/>
  <c i="18" r="CX313"/>
  <c i="18" r="CY313"/>
  <c i="18" l="1" r="CZ313"/>
  <c i="18" r="DA313" s="1"/>
  <c i="18" r="CV315"/>
  <c i="18" r="CX314"/>
  <c i="18" r="CY314"/>
  <c i="18" l="1" r="CZ314"/>
  <c i="18" r="DA314" s="1"/>
  <c i="18" r="CV316"/>
  <c i="18" r="CX315"/>
  <c i="18" r="CY315"/>
  <c i="18" l="1" r="CZ315"/>
  <c i="18" r="DA315" s="1"/>
  <c i="18" r="CV317"/>
  <c i="18" r="CX316"/>
  <c i="18" r="CY316"/>
  <c i="18" l="1" r="CZ316"/>
  <c i="18" r="DA316" s="1"/>
  <c i="18" r="CV318"/>
  <c i="18" r="CY317"/>
  <c i="18" r="CX317"/>
  <c i="18" l="1" r="CZ317"/>
  <c i="18" r="DA317" s="1"/>
  <c i="18" r="CV319"/>
  <c i="18" r="CY318"/>
  <c i="18" r="CX318"/>
  <c i="18" l="1" r="CZ318"/>
  <c i="18" r="DA318" s="1"/>
  <c i="18" r="CV320"/>
  <c i="18" r="CY319"/>
  <c i="18" r="CX319"/>
  <c i="18" l="1" r="CZ319"/>
  <c i="18" r="DA319" s="1"/>
  <c i="18" r="CV321"/>
  <c i="18" r="CY320"/>
  <c i="18" r="CX320"/>
  <c i="18" l="1" r="CZ320"/>
  <c i="18" r="DA320" s="1"/>
  <c i="18" r="CV322"/>
  <c i="18" r="CX321"/>
  <c i="18" r="CY321"/>
  <c i="18" l="1" r="CZ321"/>
  <c i="18" r="DA321" s="1"/>
  <c i="18" r="CV323"/>
  <c i="18" r="CY322"/>
  <c i="18" r="CX322"/>
  <c i="18" l="1" r="CV324"/>
  <c i="18" r="CY323"/>
  <c i="18" r="CX323"/>
  <c i="18" r="CZ322"/>
  <c i="18" r="DA322" s="1"/>
  <c i="18" l="1" r="CZ323"/>
  <c i="18" r="DA323" s="1"/>
  <c i="18" r="CV325"/>
  <c i="18" r="CY324"/>
  <c i="18" r="CX324"/>
  <c i="18" l="1" r="CZ324"/>
  <c i="18" r="DA324" s="1"/>
  <c i="18" r="CV326"/>
  <c i="18" r="CY325"/>
  <c i="18" r="CX325"/>
  <c i="18" l="1" r="CZ325"/>
  <c i="18" r="DA325" s="1"/>
  <c i="18" r="CV327"/>
  <c i="18" r="CY326"/>
  <c i="18" r="CX326"/>
  <c i="18" l="1" r="CZ326"/>
  <c i="18" r="DA326" s="1"/>
  <c i="18" r="CV328"/>
  <c i="18" r="CY327"/>
  <c i="18" r="CX327"/>
  <c i="18" l="1" r="CZ327"/>
  <c i="18" r="DA327" s="1"/>
  <c i="18" r="CV329"/>
  <c i="18" r="CY328"/>
  <c i="18" r="CX328"/>
  <c i="18" l="1" r="CZ328"/>
  <c i="18" r="DA328" s="1"/>
  <c i="18" r="CV330"/>
  <c i="18" r="CY329"/>
  <c i="18" r="CX329"/>
  <c i="18" l="1" r="CZ329"/>
  <c i="18" r="DA329" s="1"/>
  <c i="18" r="CV331"/>
  <c i="18" r="CY330"/>
  <c i="18" r="CX330"/>
  <c i="18" l="1" r="CV332"/>
  <c i="18" r="CY331"/>
  <c i="18" r="CX331"/>
  <c i="18" r="CZ330"/>
  <c i="18" r="DA330" s="1"/>
  <c i="18" l="1" r="CZ331"/>
  <c i="18" r="DA331" s="1"/>
  <c i="18" r="CV333"/>
  <c i="18" r="CY332"/>
  <c i="18" r="CX332"/>
  <c i="18" l="1" r="CZ332"/>
  <c i="18" r="DA332" s="1"/>
  <c i="18" r="CV334"/>
  <c i="18" r="CX333"/>
  <c i="18" r="CY333"/>
  <c i="18" l="1" r="CZ333"/>
  <c i="18" r="DA333" s="1"/>
  <c i="18" r="CV335"/>
  <c i="18" r="CY334"/>
  <c i="18" r="CX334"/>
  <c i="18" l="1" r="CZ334"/>
  <c i="18" r="DA334" s="1"/>
  <c i="18" r="CV336"/>
  <c i="18" r="CX335"/>
  <c i="18" r="CY335"/>
  <c i="18" l="1" r="CZ335"/>
  <c i="18" r="DA335" s="1"/>
  <c i="18" r="CV337"/>
  <c i="18" r="CY336"/>
  <c i="18" r="CX336"/>
  <c i="18" l="1" r="CZ336"/>
  <c i="18" r="DA336" s="1"/>
  <c i="18" r="CV338"/>
  <c i="18" r="CY337"/>
  <c i="18" r="CX337"/>
  <c i="18" l="1" r="CZ337"/>
  <c i="18" r="DA337" s="1"/>
  <c i="18" r="CV339"/>
  <c i="18" r="CY338"/>
  <c i="18" r="CX338"/>
  <c i="18" l="1" r="CZ338"/>
  <c i="18" r="DA338" s="1"/>
  <c i="18" r="CV340"/>
  <c i="18" r="CY339"/>
  <c i="18" r="CX339"/>
  <c i="18" l="1" r="CZ339"/>
  <c i="18" r="DA339" s="1"/>
  <c i="18" r="CV341"/>
  <c i="18" r="CY340"/>
  <c i="18" r="CX340"/>
  <c i="18" l="1" r="CZ340"/>
  <c i="18" r="DA340" s="1"/>
  <c i="18" r="CV342"/>
  <c i="18" r="CY341"/>
  <c i="18" r="CX341"/>
  <c i="18" l="1" r="CZ341"/>
  <c i="18" r="DA341" s="1"/>
  <c i="18" r="CV343"/>
  <c i="18" r="CY342"/>
  <c i="18" r="CX342"/>
  <c i="18" l="1" r="CZ342"/>
  <c i="18" r="DA342" s="1"/>
  <c i="18" r="CV344"/>
  <c i="18" r="CY343"/>
  <c i="18" r="CX343"/>
  <c i="18" l="1" r="CZ343"/>
  <c i="18" r="DA343" s="1"/>
  <c i="18" r="CV345"/>
  <c i="18" r="CY344"/>
  <c i="18" r="CX344"/>
  <c i="18" l="1" r="CZ344"/>
  <c i="18" r="DA344" s="1"/>
  <c i="18" r="CV346"/>
  <c i="18" r="CX345"/>
  <c i="18" r="CY345"/>
  <c i="18" l="1" r="CZ345"/>
  <c i="18" r="DA345" s="1"/>
  <c i="18" r="CV347"/>
  <c i="18" r="CY346"/>
  <c i="18" r="CX346"/>
  <c i="18" l="1" r="CZ346"/>
  <c i="18" r="DA346" s="1"/>
  <c i="18" r="CV348"/>
  <c i="18" r="CX347"/>
  <c i="18" r="CY347"/>
  <c i="18" l="1" r="CZ347"/>
  <c i="18" r="DA347" s="1"/>
  <c i="18" r="CV349"/>
  <c i="18" r="CY348"/>
  <c i="18" r="CX348"/>
  <c i="18" l="1" r="CZ348"/>
  <c i="18" r="DA348" s="1"/>
  <c i="18" r="CV350"/>
  <c i="18" r="CX349"/>
  <c i="18" r="CY349"/>
  <c i="18" l="1" r="CZ349"/>
  <c i="18" r="DA349" s="1"/>
  <c i="18" r="CV351"/>
  <c i="18" r="CX350"/>
  <c i="18" r="CY350"/>
  <c i="18" l="1" r="CZ350"/>
  <c i="18" r="DA350" s="1"/>
  <c i="18" r="CV352"/>
  <c i="18" r="CX351"/>
  <c i="18" r="CY351"/>
  <c i="18" l="1" r="CZ351"/>
  <c i="18" r="DA351" s="1"/>
  <c i="18" r="CV353"/>
  <c i="18" r="CX352"/>
  <c i="18" r="CY352"/>
  <c i="18" l="1" r="CZ352"/>
  <c i="18" r="DA352" s="1"/>
  <c i="18" r="CV354"/>
  <c i="18" r="CX353"/>
  <c i="18" r="CY353"/>
  <c i="18" l="1" r="CZ353"/>
  <c i="18" r="DA353" s="1"/>
  <c i="18" r="CV355"/>
  <c i="18" r="CY354"/>
  <c i="18" r="CX354"/>
  <c i="18" l="1" r="CV356"/>
  <c i="18" r="CX355"/>
  <c i="18" r="CY355"/>
  <c i="18" r="CZ354"/>
  <c i="18" r="DA354" s="1"/>
  <c i="18" l="1" r="CZ355"/>
  <c i="18" r="DA355" s="1"/>
  <c i="18" r="CV357"/>
  <c i="18" r="CY356"/>
  <c i="18" r="CX356"/>
  <c i="18" l="1" r="CV358"/>
  <c i="18" r="CY357"/>
  <c i="18" r="CX357"/>
  <c i="18" r="CZ356"/>
  <c i="18" r="DA356" s="1"/>
  <c i="18" l="1" r="CZ357"/>
  <c i="18" r="DA357" s="1"/>
  <c i="18" r="CV359"/>
  <c i="18" r="CX358"/>
  <c i="18" r="CY358"/>
  <c i="18" l="1" r="CZ358"/>
  <c i="18" r="DA358" s="1"/>
  <c i="18" r="CV360"/>
  <c i="18" r="CX359"/>
  <c i="18" r="CY359"/>
  <c i="18" l="1" r="CZ359"/>
  <c i="18" r="DA359" s="1"/>
  <c i="18" r="CV361"/>
  <c i="18" r="CX360"/>
  <c i="18" r="CY360"/>
  <c i="18" l="1" r="CZ360"/>
  <c i="18" r="DA360" s="1"/>
  <c i="18" r="CV362"/>
  <c i="18" r="CY361"/>
  <c i="18" r="CX361"/>
  <c i="18" l="1" r="CV363"/>
  <c i="18" r="CX362"/>
  <c i="18" r="CY362"/>
  <c i="18" r="CZ361"/>
  <c i="18" r="DA361" s="1"/>
  <c i="18" l="1" r="CZ362"/>
  <c i="18" r="DA362" s="1"/>
  <c i="18" r="CV364"/>
  <c i="18" r="CY363"/>
  <c i="18" r="CX363"/>
  <c i="18" l="1" r="CZ363"/>
  <c i="18" r="DA363" s="1"/>
  <c i="18" r="CV365"/>
  <c i="18" r="CY364"/>
  <c i="18" r="CX364"/>
  <c i="18" l="1" r="CZ364"/>
  <c i="18" r="DA364" s="1"/>
  <c i="18" r="CV366"/>
  <c i="18" r="CY365"/>
  <c i="18" r="CX365"/>
  <c i="18" l="1" r="CZ365"/>
  <c i="18" r="DA365" s="1"/>
  <c i="18" r="CV367"/>
  <c i="18" r="CY366"/>
  <c i="18" r="CX366"/>
  <c i="18" l="1" r="CZ366"/>
  <c i="18" r="DA366" s="1"/>
  <c i="18" r="CV368"/>
  <c i="18" r="CY367"/>
  <c i="18" r="CX367"/>
  <c i="18" l="1" r="CZ367"/>
  <c i="18" r="DA367" s="1"/>
  <c i="18" r="CV369"/>
  <c i="18" r="CY368"/>
  <c i="18" r="CX368"/>
  <c i="18" l="1" r="CZ368"/>
  <c i="18" r="DA368" s="1"/>
  <c i="18" r="CV370"/>
  <c i="18" r="CY369"/>
  <c i="18" r="CX369"/>
  <c i="18" l="1" r="CZ369"/>
  <c i="18" r="DA369" s="1"/>
  <c i="18" r="CV371"/>
  <c i="18" r="CX370"/>
  <c i="18" r="CY370"/>
  <c i="18" l="1" r="CZ370"/>
  <c i="18" r="DA370" s="1"/>
  <c i="18" r="CV372"/>
  <c i="18" r="CY371"/>
  <c i="18" r="CX371"/>
  <c i="18" l="1" r="CZ371"/>
  <c i="18" r="DA371" s="1"/>
  <c i="18" r="CV373"/>
  <c i="18" r="CX372"/>
  <c i="18" r="CY372"/>
  <c i="18" l="1" r="CZ372"/>
  <c i="18" r="DA372" s="1"/>
  <c i="18" r="CV374"/>
  <c i="18" r="CX373"/>
  <c i="18" r="CY373"/>
  <c i="18" l="1" r="CZ373"/>
  <c i="18" r="DA373" s="1"/>
  <c i="18" r="CV375"/>
  <c i="18" r="CX374"/>
  <c i="18" r="CY374"/>
  <c i="18" l="1" r="CZ374"/>
  <c i="18" r="DA374" s="1"/>
  <c i="18" r="CV376"/>
  <c i="18" r="CY375"/>
  <c i="18" r="CX375"/>
  <c i="18" l="1" r="CZ375"/>
  <c i="18" r="DA375" s="1"/>
  <c i="18" r="CV377"/>
  <c i="18" r="CY376"/>
  <c i="18" r="CX376"/>
  <c i="18" l="1" r="CZ376"/>
  <c i="18" r="DA376" s="1"/>
  <c i="18" r="CV378"/>
  <c i="18" r="CY377"/>
  <c i="18" r="CX377"/>
  <c i="18" l="1" r="CZ377"/>
  <c i="18" r="DA377" s="1"/>
  <c i="18" r="CV379"/>
  <c i="18" r="CY378"/>
  <c i="18" r="CX378"/>
  <c i="18" l="1" r="CZ378"/>
  <c i="18" r="DA378" s="1"/>
  <c i="18" r="CV380"/>
  <c i="18" r="CY379"/>
  <c i="18" r="CX379"/>
  <c i="18" l="1" r="CZ379"/>
  <c i="18" r="DA379" s="1"/>
  <c i="18" r="CV381"/>
  <c i="18" r="CY380"/>
  <c i="18" r="CX380"/>
  <c i="18" l="1" r="CZ380"/>
  <c i="18" r="DA380" s="1"/>
  <c i="18" r="CV382"/>
  <c i="18" r="CY381"/>
  <c i="18" r="CX381"/>
  <c i="18" l="1" r="CZ381"/>
  <c i="18" r="DA381" s="1"/>
  <c i="18" r="CV383"/>
  <c i="18" r="CY382"/>
  <c i="18" r="CX382"/>
  <c i="18" l="1" r="CZ382"/>
  <c i="18" r="DA382" s="1"/>
  <c i="18" r="CV384"/>
  <c i="18" r="CY383"/>
  <c i="18" r="CX383"/>
  <c i="18" l="1" r="CZ383"/>
  <c i="18" r="DA383" s="1"/>
  <c i="18" r="CV385"/>
  <c i="18" r="CY384"/>
  <c i="18" r="CX384"/>
  <c i="18" l="1" r="CZ384"/>
  <c i="18" r="DA384" s="1"/>
  <c i="18" r="CV386"/>
  <c i="18" r="CX385"/>
  <c i="18" r="CY385"/>
  <c i="18" l="1" r="CZ385"/>
  <c i="18" r="DA385" s="1"/>
  <c i="18" r="CV387"/>
  <c i="18" r="CX386"/>
  <c i="18" r="CY386"/>
  <c i="18" l="1" r="CZ386"/>
  <c i="18" r="DA386" s="1"/>
  <c i="18" r="CV388"/>
  <c i="18" r="CY387"/>
  <c i="18" r="CX387"/>
  <c i="18" l="1" r="CZ387"/>
  <c i="18" r="DA387" s="1"/>
  <c i="18" r="CV389"/>
  <c i="18" r="CX388"/>
  <c i="18" r="CY388"/>
  <c i="18" l="1" r="CZ388"/>
  <c i="18" r="DA388" s="1"/>
  <c i="18" r="CV390"/>
  <c i="18" r="CY389"/>
  <c i="18" r="CX389"/>
  <c i="18" l="1" r="CZ389"/>
  <c i="18" r="DA389" s="1"/>
  <c i="18" r="CV391"/>
  <c i="18" r="CX390"/>
  <c i="18" r="CY390"/>
  <c i="18" l="1" r="CZ390"/>
  <c i="18" r="DA390" s="1"/>
  <c i="18" r="CV392"/>
  <c i="18" r="CY391"/>
  <c i="18" r="CX391"/>
  <c i="18" l="1" r="CZ391"/>
  <c i="18" r="DA391" s="1"/>
  <c i="18" r="CV393"/>
  <c i="18" r="CX392"/>
  <c i="18" r="CY392"/>
  <c i="18" l="1" r="CZ392"/>
  <c i="18" r="DA392" s="1"/>
  <c i="18" r="CV394"/>
  <c i="18" r="CY393"/>
  <c i="18" r="CX393"/>
  <c i="18" l="1" r="CZ393"/>
  <c i="18" r="DA393" s="1"/>
  <c i="18" r="CV395"/>
  <c i="18" r="CX394"/>
  <c i="18" r="CY394"/>
  <c i="18" l="1" r="CZ394"/>
  <c i="18" r="DA394" s="1"/>
  <c i="18" r="CV396"/>
  <c i="18" r="CY395"/>
  <c i="18" r="CX395"/>
  <c i="18" l="1" r="CZ395"/>
  <c i="18" r="DA395" s="1"/>
  <c i="18" r="CV397"/>
  <c i="18" r="CX396"/>
  <c i="18" r="CY396"/>
  <c i="18" l="1" r="CZ396"/>
  <c i="18" r="DA396" s="1"/>
  <c i="18" r="CV398"/>
  <c i="18" r="CY397"/>
  <c i="18" r="CX397"/>
  <c i="18" l="1" r="CZ397"/>
  <c i="18" r="DA397" s="1"/>
  <c i="18" r="CV399"/>
  <c i="18" r="CY398"/>
  <c i="18" r="CX398"/>
  <c i="18" l="1" r="CZ398"/>
  <c i="18" r="DA398" s="1"/>
  <c i="18" r="CV400"/>
  <c i="18" r="CY399"/>
  <c i="18" r="CX399"/>
  <c i="18" l="1" r="CZ399"/>
  <c i="18" r="DA399" s="1"/>
  <c i="18" r="CV401"/>
  <c i="18" r="CY400"/>
  <c i="18" r="CX400"/>
  <c i="18" l="1" r="CZ400"/>
  <c i="18" r="DA400" s="1"/>
  <c i="18" r="CX401"/>
  <c i="18" r="CY401"/>
  <c i="18" l="1" r="CZ401"/>
  <c i="18" r="DA401" s="1"/>
</calcChain>
</file>

<file path=xl/sharedStrings.xml><?xml version="1.0" encoding="utf-8"?>
<sst xmlns="http://schemas.openxmlformats.org/spreadsheetml/2006/main" count="1152" uniqueCount="436">
  <si>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</si>
  <si>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</si>
  <si>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</si>
  <si>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</si>
  <si>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</si>
  <si>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</si>
  <si>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</si>
  <si>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</si>
  <si>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</si>
  <si>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</si>
  <si>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</si>
  <si>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</si>
  <si>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</si>
  <si>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</si>
  <si>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</si>
  <si>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</si>
  <si>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</si>
  <si>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</si>
  <si>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</si>
  <si>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</si>
  <si>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</si>
  <si>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</si>
  <si>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</si>
  <si>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</si>
  <si>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</si>
  <si>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</si>
  <si>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</si>
  <si>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</si>
  <si>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</si>
  <si>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</si>
  <si>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</si>
  <si>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</si>
  <si>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</si>
  <si>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</si>
  <si>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</si>
  <si>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</si>
  <si>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</si>
  <si>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</si>
  <si>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</si>
  <si>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</si>
  <si>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</si>
  <si>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</si>
  <si>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</si>
  <si>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</si>
  <si>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</si>
  <si>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</si>
  <si>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</si>
  <si>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</si>
  <si>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</si>
  <si>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</si>
  <si>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</si>
  <si>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</si>
  <si>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</si>
  <si>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Difference Work at Home Counts by County</t>
  </si>
  <si>
    <t>Table X. Difference Counts by County</t>
  </si>
  <si>
    <t>Table X. Difference Work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</si>
  <si>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</si>
  <si>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</si>
  <si>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</si>
  <si>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</si>
  <si>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</si>
  <si>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</si>
  <si>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</si>
  <si>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</si>
  <si>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</si>
  <si>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</si>
  <si>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</si>
  <si>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</si>
  <si>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</si>
  <si>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</si>
  <si>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</si>
  <si>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</si>
  <si>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</si>
  <si>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</si>
  <si>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</si>
  <si>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</si>
  <si>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</si>
  <si>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</si>
  <si>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</si>
  <si>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</si>
  <si>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</si>
  <si>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</si>
  <si>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</si>
  <si>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</si>
  <si>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</si>
  <si>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</si>
  <si>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</si>
  <si>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</si>
  <si>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</si>
  <si>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</si>
  <si>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</si>
  <si>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</si>
  <si>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</si>
  <si>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</si>
  <si>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</si>
  <si>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</si>
  <si>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</si>
  <si>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</si>
  <si>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</si>
  <si>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</si>
  <si>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</si>
  <si>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</si>
  <si>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</si>
  <si>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</si>
  <si>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</si>
  <si>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</si>
  <si>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</si>
  <si>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</si>
  <si>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</si>
  <si>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</si>
  <si>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</si>
  <si>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</si>
  <si>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</si>
  <si>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</si>
  <si>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</si>
  <si>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</si>
  <si>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</si>
  <si>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</si>
  <si>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</si>
  <si>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</si>
  <si>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</si>
  <si>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</si>
  <si>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</si>
  <si>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</si>
  <si>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</si>
  <si>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</si>
  <si>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</si>
  <si>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</si>
  <si>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</si>
  <si>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</si>
  <si>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</si>
  <si>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</si>
  <si>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</si>
  <si>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</si>
  <si>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</si>
  <si>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</si>
  <si>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</si>
  <si>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</si>
  <si>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</si>
  <si>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</si>
  <si>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</si>
  <si>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</si>
  <si>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</si>
  <si>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</si>
  <si>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</si>
  <si>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</si>
  <si>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</si>
  <si>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</si>
  <si>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</si>
  <si>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</si>
  <si>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</si>
  <si>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</si>
  <si>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</si>
  <si>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</si>
  <si>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</si>
  <si>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</si>
  <si>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</si>
  <si>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</si>
  <si>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</si>
  <si>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</si>
  <si>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</si>
  <si>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</si>
  <si>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</si>
  <si>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</si>
  <si>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</si>
  <si>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</si>
  <si>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</si>
  <si>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</si>
  <si>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</si>
  <si>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</si>
  <si>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</si>
  <si>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</si>
  <si>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</si>
  <si>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</si>
  <si>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</si>
  <si>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</si>
  <si>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</si>
  <si>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</si>
  <si>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</si>
  <si>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</si>
  <si>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</si>
  <si>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</si>
  <si>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</si>
  <si>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</si>
  <si>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</si>
  <si>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</si>
  <si>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</si>
  <si>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</si>
  <si>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</si>
  <si>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</si>
  <si>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</si>
  <si>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</si>
  <si>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</si>
  <si>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</si>
  <si>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</si>
  <si>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</si>
  <si>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</si>
  <si>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</si>
  <si>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</si>
  <si>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</si>
  <si>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</si>
  <si>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</si>
  <si>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</si>
  <si>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</si>
  <si>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</si>
  <si>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</si>
  <si>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</si>
  <si>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</si>
  <si>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</si>
  <si>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</si>
  <si>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</si>
  <si>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</si>
  <si>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</si>
  <si>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</si>
  <si>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</si>
  <si>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</si>
  <si>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</si>
  <si>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</si>
  <si>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</si>
  <si>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</si>
  <si>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</si>
  <si>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</si>
  <si>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</si>
  <si>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</si>
  <si>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</si>
  <si>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</si>
  <si>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</si>
  <si>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</si>
  <si>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</si>
  <si>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</si>
  <si>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</si>
  <si>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</si>
  <si>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</si>
  <si>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</si>
  <si>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</si>
  <si>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</si>
  <si>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</si>
  <si>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</si>
  <si>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</si>
  <si>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</si>
  <si>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</si>
  <si>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</si>
  <si>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</si>
  <si>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</si>
  <si>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Calibration:</t>
  </si>
  <si>
    <t>Calibrate work at home shares first</t>
  </si>
  <si>
    <t>Then distance segmented coefficients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</si>
  <si>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</si>
  <si>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</si>
  <si>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</si>
  <si>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</si>
  <si>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</si>
  <si>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Open "WorkLocationModel.F12" ini Notepad+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</si>
  <si>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</si>
  <si>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</si>
  <si>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</si>
  <si>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</si>
  <si>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</si>
  <si>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</si>
  <si>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</si>
  <si>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</si>
  <si>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</si>
  <si>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</si>
  <si>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</si>
  <si>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</si>
  <si>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</si>
  <si>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</si>
  <si>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</si>
  <si>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damp</t>
  </si>
  <si>
    <t>Adjust</t>
  </si>
  <si>
    <t>Distance</t>
  </si>
  <si>
    <t>LN(Distance)</t>
  </si>
  <si>
    <t>Coeff. Index</t>
  </si>
  <si>
    <t>Ratio</t>
  </si>
  <si>
    <t>Use Regression under Data Analysis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</si>
  <si>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</si>
  <si>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</si>
  <si>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</si>
  <si>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</si>
  <si>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</si>
  <si>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</si>
  <si>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</si>
  <si>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</si>
  <si>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</si>
  <si>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</si>
  <si>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</si>
  <si>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</si>
  <si>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</si>
  <si>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</si>
  <si>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</si>
  <si>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</si>
  <si>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</si>
  <si>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</si>
  <si>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</si>
  <si>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</si>
  <si>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</si>
  <si>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</si>
  <si>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</si>
  <si>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NHTS (NFTPO) Survey</t>
  </si>
  <si>
    <t>Note: choose J47 as output cell</t>
  </si>
  <si>
    <t>Note: choose J73 as output cell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</si>
  <si>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</si>
  <si>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</si>
  <si>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</si>
  <si>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</si>
  <si>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</si>
  <si>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</si>
  <si>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</si>
  <si>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</si>
  <si>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Copy (Ctrl-c) cells W3:W76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</si>
  <si>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</si>
  <si>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</si>
  <si>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</si>
  <si>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</si>
  <si>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</si>
  <si>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</si>
  <si>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</si>
  <si>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</si>
  <si>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</si>
  <si>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District-level Commuter Flows</t>
  </si>
  <si>
    <t>Table X. Observed Worker Flows by District: Survey</t>
  </si>
  <si>
    <t>Table X. Estimated Worker Flows by District: DaySim</t>
  </si>
  <si>
    <t>WORKER FLOWS BY District: EST-OBS (DaySim - LEHD)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</si>
  <si>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</si>
  <si>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</si>
  <si>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</si>
  <si>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</si>
  <si>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</si>
  <si>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</si>
  <si>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</si>
  <si>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</si>
  <si>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</si>
  <si>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</si>
  <si>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</si>
  <si>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</si>
  <si>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</si>
  <si>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</si>
  <si>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</si>
  <si>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</si>
  <si>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</si>
  <si>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</si>
  <si>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</si>
  <si>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</si>
  <si>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SURVEY</t>
  </si>
  <si>
    <t>217 LEHD</t>
  </si>
  <si>
    <t>ABM</t>
  </si>
  <si>
    <t>Raw</t>
  </si>
  <si>
    <t>Scaled</t>
  </si>
  <si>
    <t>RAW</t>
  </si>
  <si>
    <t>SCALED</t>
  </si>
  <si>
    <t>District</t>
  </si>
  <si>
    <t>ID</t>
  </si>
  <si>
    <t>ABM-LEHD</t>
  </si>
  <si>
    <t>DIFF</t>
  </si>
  <si>
    <t>Table X. Observed Worker Flows by District: OD Data</t>
  </si>
  <si>
    <t>Table X. Adjusted Worker Flows by District: OD Data</t>
  </si>
  <si>
    <t>OD Data</t>
  </si>
  <si>
    <t>%</t>
  </si>
  <si>
    <t>ABM-OD Data</t>
  </si>
  <si>
    <t>Data</t>
  </si>
  <si>
    <t>Description</t>
  </si>
  <si>
    <t>RATIO</t>
  </si>
  <si>
    <t>LN(RATIO)</t>
  </si>
  <si>
    <t>CALIBRATION</t>
  </si>
  <si>
    <t>ADJ</t>
  </si>
  <si>
    <t>OBS</t>
  </si>
  <si>
    <t>% Workers by Work Locatioin District</t>
  </si>
  <si>
    <t>District 1-12</t>
  </si>
  <si>
    <t>SUM</t>
  </si>
  <si>
    <t>MIN</t>
  </si>
  <si>
    <t>MAX</t>
  </si>
  <si>
    <t>District 13-20</t>
  </si>
  <si>
    <t>DestD_1</t>
  </si>
  <si>
    <t>DestD_2</t>
  </si>
  <si>
    <t>DestD_3</t>
  </si>
  <si>
    <t>DestD_4</t>
  </si>
  <si>
    <t>DestD_5</t>
  </si>
  <si>
    <t>DestD_6</t>
  </si>
  <si>
    <t>DestD_7</t>
  </si>
  <si>
    <t>DestD_8</t>
  </si>
  <si>
    <t>DestD_9</t>
  </si>
  <si>
    <t>DestD_10</t>
  </si>
  <si>
    <t>DestD_11</t>
  </si>
  <si>
    <t>DestD_12</t>
  </si>
  <si>
    <t>DestD_13</t>
  </si>
  <si>
    <t>DestD_14</t>
  </si>
  <si>
    <t>DestD_15</t>
  </si>
  <si>
    <t>DestD_16</t>
  </si>
  <si>
    <t>DestD_17</t>
  </si>
  <si>
    <t>DestD_18</t>
  </si>
  <si>
    <t>DestD_19</t>
  </si>
  <si>
    <t>DestD_20</t>
  </si>
  <si>
    <t>1. Adjustments (Work from Home)</t>
  </si>
  <si>
    <t>2. Adjustments (Trip Length - FT)</t>
  </si>
  <si>
    <t>3. Adjustments (Trip Length - PT and NotFTPT)</t>
  </si>
  <si>
    <t>Change Flag</t>
  </si>
  <si>
    <t>COEF INDEX</t>
  </si>
  <si>
    <t>OLD COEFF</t>
  </si>
  <si>
    <t>NEW COEFF</t>
  </si>
  <si>
    <t>Solver Load</t>
  </si>
  <si>
    <t>% DIFF</t>
  </si>
  <si>
    <t>Table X. Scaled Estimated Worker Flows by District: DaySim</t>
  </si>
  <si>
    <t>Table X. ABS(DaySim - LEHD)</t>
  </si>
  <si>
    <t>New Ratio</t>
  </si>
  <si>
    <t>usual wsloc</t>
  </si>
  <si>
    <t>Origin</t>
  </si>
  <si>
    <t>Max Dist</t>
  </si>
  <si>
    <t>id</t>
  </si>
  <si>
    <t>Diff</t>
  </si>
  <si>
    <t>% Diff</t>
  </si>
  <si>
    <t>Ref</t>
  </si>
  <si>
    <t>origin_12_dest_12</t>
  </si>
  <si>
    <t>origin_13_dest_13</t>
  </si>
  <si>
    <t>O12_D12</t>
  </si>
  <si>
    <t>O13_D13</t>
  </si>
  <si>
    <t>County-level Work from Home Shares</t>
  </si>
  <si>
    <t>A worker is assumed to telework if not work from home and work hours &gt; 2.5hrs</t>
  </si>
  <si>
    <t>Table X. Weighted Work from Home Counts by County: Survey</t>
  </si>
  <si>
    <t>Table X. Estimated Work from Home Counts by County</t>
  </si>
  <si>
    <t>Table X. Difference Work from Home Counts by County</t>
  </si>
  <si>
    <t>County/District</t>
  </si>
  <si>
    <t>Rest</t>
  </si>
  <si>
    <t>Table X. Weighted Work from Home Shares by County: Survey</t>
  </si>
  <si>
    <t>Table X. Estimated Work from Home Shares by County</t>
  </si>
  <si>
    <t>Table X. Difference Work from Home Shares by County</t>
  </si>
  <si>
    <t>Telecommute</t>
  </si>
  <si>
    <t>Table X. Observed Worker Flows by District: LEHD (2021)</t>
  </si>
  <si>
    <t>Table X. Adjusted Worker Flows by District: LEHD (2021)</t>
  </si>
  <si>
    <t>2021 LEHD</t>
  </si>
  <si>
    <t>ABM-OD Data/OD Data</t>
  </si>
  <si>
    <t>WorkAtHome_AlternativeSpecificConstant</t>
  </si>
  <si>
    <t>4. Adjustments (Telecommute)</t>
  </si>
  <si>
    <t>TeleCommute
Target</t>
  </si>
  <si>
    <t>Overall
Target</t>
  </si>
  <si>
    <t>WORKER FLOWS BY District: EST-OBS (DaySim -OD Data)</t>
  </si>
  <si>
    <t>WORKER FLOWS BY District: (DaySim - OD Data)/OD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</si>
</sst>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"/>
    <numFmt numFmtId="170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51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  <xf applyAlignment="0" applyBorder="0" applyFill="0" applyNumberFormat="0" applyProtection="0" borderId="0" fillId="0" fontId="9" numFmtId="0"/>
    <xf applyAlignment="0" applyFill="0" applyNumberFormat="0" applyProtection="0" borderId="8" fillId="0" fontId="10" numFmtId="0"/>
    <xf applyAlignment="0" applyFill="0" applyNumberFormat="0" applyProtection="0" borderId="9" fillId="0" fontId="11" numFmtId="0"/>
    <xf applyAlignment="0" applyFill="0" applyNumberFormat="0" applyProtection="0" borderId="10" fillId="0" fontId="12" numFmtId="0"/>
    <xf applyAlignment="0" applyBorder="0" applyFill="0" applyNumberFormat="0" applyProtection="0" borderId="0" fillId="0" fontId="12" numFmtId="0"/>
    <xf applyAlignment="0" applyBorder="0" applyNumberFormat="0" applyProtection="0" borderId="0" fillId="9" fontId="13" numFmtId="0"/>
    <xf applyAlignment="0" applyBorder="0" applyNumberFormat="0" applyProtection="0" borderId="0" fillId="10" fontId="14" numFmtId="0"/>
    <xf applyAlignment="0" applyNumberFormat="0" applyProtection="0" borderId="11" fillId="12" fontId="15" numFmtId="0"/>
    <xf applyAlignment="0" applyNumberFormat="0" applyProtection="0" borderId="12" fillId="13" fontId="16" numFmtId="0"/>
    <xf applyAlignment="0" applyNumberFormat="0" applyProtection="0" borderId="11" fillId="13" fontId="17" numFmtId="0"/>
    <xf applyAlignment="0" applyFill="0" applyNumberFormat="0" applyProtection="0" borderId="13" fillId="0" fontId="18" numFmtId="0"/>
    <xf applyAlignment="0" applyNumberFormat="0" applyProtection="0" borderId="14" fillId="14" fontId="19" numFmtId="0"/>
    <xf applyAlignment="0" applyBorder="0" applyFill="0" applyNumberFormat="0" applyProtection="0" borderId="0" fillId="0" fontId="20" numFmtId="0"/>
    <xf applyAlignment="0" applyFont="0" applyNumberFormat="0" applyProtection="0" borderId="15" fillId="15" fontId="3" numFmtId="0"/>
    <xf applyAlignment="0" applyBorder="0" applyFill="0" applyNumberFormat="0" applyProtection="0" borderId="0" fillId="0" fontId="21" numFmtId="0"/>
    <xf applyAlignment="0" applyFill="0" applyNumberFormat="0" applyProtection="0" borderId="16" fillId="0" fontId="1" numFmtId="0"/>
    <xf applyAlignment="0" applyBorder="0" applyNumberFormat="0" applyProtection="0" borderId="0" fillId="16" fontId="22" numFmtId="0"/>
    <xf applyAlignment="0" applyBorder="0" applyNumberFormat="0" applyProtection="0" borderId="0" fillId="17" fontId="3" numFmtId="0"/>
    <xf applyAlignment="0" applyBorder="0" applyNumberFormat="0" applyProtection="0" borderId="0" fillId="18" fontId="3" numFmtId="0"/>
    <xf applyAlignment="0" applyBorder="0" applyNumberFormat="0" applyProtection="0" borderId="0" fillId="20" fontId="22" numFmtId="0"/>
    <xf applyAlignment="0" applyBorder="0" applyNumberFormat="0" applyProtection="0" borderId="0" fillId="21" fontId="3" numFmtId="0"/>
    <xf applyAlignment="0" applyBorder="0" applyNumberFormat="0" applyProtection="0" borderId="0" fillId="22" fontId="3" numFmtId="0"/>
    <xf applyAlignment="0" applyBorder="0" applyNumberFormat="0" applyProtection="0" borderId="0" fillId="24" fontId="22" numFmtId="0"/>
    <xf applyAlignment="0" applyBorder="0" applyNumberFormat="0" applyProtection="0" borderId="0" fillId="25" fontId="3" numFmtId="0"/>
    <xf applyAlignment="0" applyBorder="0" applyNumberFormat="0" applyProtection="0" borderId="0" fillId="26" fontId="3" numFmtId="0"/>
    <xf applyAlignment="0" applyBorder="0" applyNumberFormat="0" applyProtection="0" borderId="0" fillId="28" fontId="22" numFmtId="0"/>
    <xf applyAlignment="0" applyBorder="0" applyNumberFormat="0" applyProtection="0" borderId="0" fillId="29" fontId="3" numFmtId="0"/>
    <xf applyAlignment="0" applyBorder="0" applyNumberFormat="0" applyProtection="0" borderId="0" fillId="30" fontId="3" numFmtId="0"/>
    <xf applyAlignment="0" applyBorder="0" applyNumberFormat="0" applyProtection="0" borderId="0" fillId="32" fontId="22" numFmtId="0"/>
    <xf applyAlignment="0" applyBorder="0" applyNumberFormat="0" applyProtection="0" borderId="0" fillId="33" fontId="3" numFmtId="0"/>
    <xf applyAlignment="0" applyBorder="0" applyNumberFormat="0" applyProtection="0" borderId="0" fillId="34" fontId="3" numFmtId="0"/>
    <xf applyAlignment="0" applyBorder="0" applyNumberFormat="0" applyProtection="0" borderId="0" fillId="36" fontId="22" numFmtId="0"/>
    <xf applyAlignment="0" applyBorder="0" applyNumberFormat="0" applyProtection="0" borderId="0" fillId="37" fontId="3" numFmtId="0"/>
    <xf applyAlignment="0" applyBorder="0" applyNumberFormat="0" applyProtection="0" borderId="0" fillId="38" fontId="3" numFmtId="0"/>
    <xf applyAlignment="0" applyBorder="0" applyNumberFormat="0" applyProtection="0" borderId="0" fillId="11" fontId="23" numFmtId="0"/>
    <xf applyAlignment="0" applyBorder="0" applyNumberFormat="0" applyProtection="0" borderId="0" fillId="19" fontId="22" numFmtId="0"/>
    <xf applyAlignment="0" applyBorder="0" applyNumberFormat="0" applyProtection="0" borderId="0" fillId="23" fontId="22" numFmtId="0"/>
    <xf applyAlignment="0" applyBorder="0" applyNumberFormat="0" applyProtection="0" borderId="0" fillId="27" fontId="22" numFmtId="0"/>
    <xf applyAlignment="0" applyBorder="0" applyNumberFormat="0" applyProtection="0" borderId="0" fillId="31" fontId="22" numFmtId="0"/>
    <xf applyAlignment="0" applyBorder="0" applyNumberFormat="0" applyProtection="0" borderId="0" fillId="35" fontId="22" numFmtId="0"/>
    <xf applyAlignment="0" applyBorder="0" applyNumberFormat="0" applyProtection="0" borderId="0" fillId="39" fontId="22" numFmtId="0"/>
  </cellStyleXfs>
  <cellXfs count="24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1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Border="1" applyNumberFormat="1" borderId="0" fillId="0" fontId="0" numFmtId="164" xfId="0"/>
    <xf applyFont="1" borderId="0" fillId="0" fontId="4" numFmtId="0" xfId="0"/>
    <xf applyBorder="1" applyFill="1" borderId="0" fillId="0" fontId="0" numFmtId="0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Font="1" borderId="0" fillId="0" fontId="0" numFmtId="9" xfId="9"/>
    <xf applyAlignment="1" applyBorder="1" borderId="0" fillId="0" fontId="0" numFmtId="0" xfId="0">
      <alignment horizontal="center"/>
    </xf>
    <xf applyAlignment="1" applyBorder="1" borderId="3" fillId="0" fontId="0" numFmtId="0" xfId="0">
      <alignment horizontal="center" vertical="top"/>
    </xf>
    <xf applyNumberFormat="1" borderId="0" fillId="0" fontId="0" numFmtId="169" xfId="0"/>
    <xf applyAlignment="1" applyBorder="1" borderId="7" fillId="0" fontId="0" numFmtId="0" xfId="0">
      <alignment horizontal="center" vertical="top"/>
    </xf>
    <xf applyBorder="1" applyNumberFormat="1" borderId="6" fillId="0" fontId="0" numFmtId="2" xfId="0"/>
    <xf applyAlignment="1" applyBorder="1" applyFill="1" borderId="0" fillId="0" fontId="0" numFmtId="0" xfId="0"/>
    <xf applyBorder="1" applyFont="1" borderId="0" fillId="0" fontId="5" numFmtId="0" xfId="0"/>
    <xf applyAlignment="1" applyBorder="1" applyFill="1" applyFont="1" borderId="2" fillId="0" fontId="8" numFmtId="0" xfId="0">
      <alignment horizontal="centerContinuous"/>
    </xf>
    <xf applyAlignment="1" applyBorder="1" applyFill="1" applyFont="1" borderId="0" fillId="0" fontId="8" numFmtId="0" xfId="0">
      <alignment horizontal="center"/>
    </xf>
    <xf applyAlignment="1" applyBorder="1" applyFill="1" borderId="1" fillId="0" fontId="0" numFmtId="0" xfId="0"/>
    <xf applyAlignment="1" applyBorder="1" applyFill="1" applyFont="1" borderId="2" fillId="0" fontId="8" numFmtId="0" xfId="0">
      <alignment horizontal="center"/>
    </xf>
    <xf applyAlignment="1" applyBorder="1" applyFill="1" applyFont="1" borderId="0" fillId="0" fontId="5" numFmtId="0" xfId="0">
      <alignment horizontal="left"/>
    </xf>
    <xf applyFill="1" borderId="0" fillId="8" fontId="0" numFmtId="0" xfId="0"/>
    <xf applyBorder="1" applyFill="1" borderId="6" fillId="8" fontId="0" numFmtId="0" xfId="0"/>
    <xf applyBorder="1" applyFill="1" borderId="3" fillId="8" fontId="0" numFmtId="0" xfId="0"/>
    <xf applyBorder="1" applyNumberFormat="1" borderId="3" fillId="0" fontId="0" numFmtId="164" xfId="0"/>
    <xf borderId="0" fillId="0" fontId="0" numFmtId="0" xfId="0"/>
    <xf applyBorder="1" applyNumberFormat="1" borderId="4" fillId="0" fontId="0" numFmtId="3" xfId="0"/>
    <xf applyBorder="1" applyNumberFormat="1" borderId="6" fillId="0" fontId="0" numFmtId="3" xfId="0"/>
    <xf applyAlignment="1" applyBorder="1" applyFill="1" applyFont="1" applyNumberFormat="1" applyProtection="1" borderId="0" fillId="0" fontId="24" numFmtId="0" xfId="0"/>
    <xf applyAlignment="1" applyBorder="1" applyFill="1" applyFont="1" applyNumberFormat="1" applyProtection="1" borderId="0" fillId="0" fontId="4" numFmtId="0" xfId="0"/>
    <xf applyBorder="1" applyFont="1" borderId="0" fillId="0" fontId="0" numFmtId="9" xfId="9"/>
    <xf applyAlignment="1" applyBorder="1" borderId="3" fillId="0" fontId="0" numFmtId="0" xfId="0">
      <alignment horizontal="right"/>
    </xf>
    <xf applyFont="1" applyNumberFormat="1" borderId="0" fillId="0" fontId="0" numFmtId="164" xfId="9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ont="1" applyNumberFormat="1" borderId="4" fillId="0" fontId="0" numFmtId="167" xfId="8"/>
    <xf applyNumberFormat="1" borderId="0" fillId="0" fontId="0" numFmtId="167" xfId="0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4" fillId="0" fontId="1" numFmtId="167" xfId="0"/>
    <xf applyBorder="1" borderId="5" fillId="0" fontId="0" numFmtId="0" xfId="0"/>
    <xf applyAlignment="1" applyBorder="1" borderId="5" fillId="0" fontId="0" numFmtId="0" xfId="0">
      <alignment horizontal="right"/>
    </xf>
    <xf applyAlignment="1" applyBorder="1" borderId="17" fillId="0" fontId="0" numFmtId="0" xfId="0">
      <alignment horizontal="right"/>
    </xf>
    <xf applyBorder="1" applyNumberFormat="1" borderId="18" fillId="0" fontId="0" numFmtId="167" xfId="0"/>
    <xf applyBorder="1" applyNumberFormat="1" borderId="0" fillId="0" fontId="0" numFmtId="167" xfId="0"/>
    <xf applyBorder="1" applyFont="1" applyNumberFormat="1" borderId="19" fillId="0" fontId="1" numFmtId="167" xfId="0"/>
    <xf applyAlignment="1" applyBorder="1" applyFill="1" borderId="17" fillId="0" fontId="0" numFmtId="0" xfId="0">
      <alignment horizontal="right"/>
    </xf>
    <xf applyBorder="1" applyNumberFormat="1" borderId="20" fillId="0" fontId="0" numFmtId="9" xfId="0"/>
    <xf applyAlignment="1" applyBorder="1" borderId="23" fillId="0" fontId="0" numFmtId="0" xfId="0">
      <alignment horizontal="right"/>
    </xf>
    <xf applyBorder="1" applyFont="1" borderId="22" fillId="0" fontId="0" numFmtId="9" xfId="9"/>
    <xf applyBorder="1" applyFont="1" borderId="26" fillId="0" fontId="0" numFmtId="9" xfId="9"/>
    <xf applyBorder="1" applyNumberFormat="1" borderId="22" fillId="0" fontId="0" numFmtId="167" xfId="0"/>
    <xf applyBorder="1" applyFont="1" applyNumberFormat="1" borderId="28" fillId="0" fontId="1" numFmtId="167" xfId="0"/>
    <xf applyBorder="1" applyNumberFormat="1" borderId="18" fillId="0" fontId="0" numFmtId="164" xfId="0"/>
    <xf applyBorder="1" applyNumberFormat="1" borderId="21" fillId="0" fontId="0" numFmtId="164" xfId="0"/>
    <xf applyAlignment="1" borderId="0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6" fillId="0" fontId="0" numFmtId="0" xfId="0">
      <alignment horizontal="right"/>
    </xf>
    <xf applyBorder="1" applyFont="1" borderId="4" fillId="0" fontId="1" numFmtId="9" xfId="9"/>
    <xf applyBorder="1" applyFont="1" borderId="28" fillId="0" fontId="1" numFmtId="9" xfId="9"/>
    <xf applyBorder="1" applyNumberFormat="1" borderId="24" fillId="0" fontId="0" numFmtId="167" xfId="0"/>
    <xf applyBorder="1" applyNumberFormat="1" borderId="6" fillId="0" fontId="0" numFmtId="167" xfId="0"/>
    <xf applyBorder="1" applyNumberFormat="1" borderId="25" fillId="0" fontId="0" numFmtId="167" xfId="0"/>
    <xf applyBorder="1" applyNumberFormat="1" borderId="3" fillId="0" fontId="0" numFmtId="167" xfId="0"/>
    <xf applyAlignment="1" applyBorder="1" applyFill="1" borderId="26" fillId="0" fontId="0" numFmtId="0" xfId="0">
      <alignment horizontal="right"/>
    </xf>
    <xf applyBorder="1" applyNumberFormat="1" borderId="27" fillId="0" fontId="0" numFmtId="9" xfId="0"/>
    <xf applyAlignment="1" applyBorder="1" applyFill="1" borderId="0" fillId="0" fontId="0" numFmtId="0" xfId="0">
      <alignment horizontal="right"/>
    </xf>
    <xf applyFont="1" applyNumberFormat="1" borderId="0" fillId="0" fontId="0" numFmtId="169" xfId="8"/>
    <xf applyFont="1" applyNumberFormat="1" borderId="0" fillId="0" fontId="0" numFmtId="170" xfId="8"/>
    <xf applyNumberFormat="1" borderId="0" fillId="0" fontId="0" numFmtId="170" xfId="0"/>
    <xf applyBorder="1" applyFont="1" borderId="0" fillId="0" fontId="1" numFmtId="0" xfId="0"/>
    <xf applyFont="1" applyNumberFormat="1" borderId="0" fillId="0" fontId="1" numFmtId="167" xfId="8"/>
    <xf applyBorder="1" borderId="31" fillId="0" fontId="0" numFmtId="0" xfId="0"/>
    <xf applyBorder="1" applyFont="1" applyNumberFormat="1" borderId="32" fillId="0" fontId="0" numFmtId="164" xfId="9"/>
    <xf applyBorder="1" borderId="33" fillId="0" fontId="0" numFmtId="0" xfId="0"/>
    <xf applyBorder="1" applyFont="1" applyNumberFormat="1" borderId="34" fillId="0" fontId="0" numFmtId="164" xfId="9"/>
    <xf applyBorder="1" borderId="35" fillId="0" fontId="0" numFmtId="0" xfId="0"/>
    <xf applyAlignment="1" applyBorder="1" borderId="36" fillId="0" fontId="0" numFmtId="0" xfId="0">
      <alignment horizontal="center"/>
    </xf>
    <xf applyBorder="1" applyFont="1" applyNumberFormat="1" borderId="22" fillId="0" fontId="0" numFmtId="164" xfId="9"/>
    <xf applyBorder="1" borderId="37" fillId="0" fontId="0" numFmtId="0" xfId="0"/>
    <xf applyBorder="1" applyNumberFormat="1" borderId="32" fillId="0" fontId="0" numFmtId="167" xfId="0"/>
    <xf applyBorder="1" applyFont="1" applyNumberFormat="1" borderId="38" fillId="0" fontId="0" numFmtId="167" xfId="8"/>
    <xf applyAlignment="1" borderId="0" fillId="0" fontId="0" numFmtId="0" xfId="0"/>
    <xf applyFill="1" applyNumberFormat="1" borderId="0" fillId="5" fontId="0" numFmtId="170" xfId="0"/>
    <xf applyBorder="1" applyFill="1" applyNumberFormat="1" borderId="3" fillId="5" fontId="0" numFmtId="170" xfId="0"/>
    <xf applyFill="1" applyNumberFormat="1" borderId="0" fillId="4" fontId="0" numFmtId="170" xfId="0"/>
    <xf applyBorder="1" applyFill="1" applyNumberFormat="1" borderId="3" fillId="4" fontId="0" numFmtId="170" xfId="0"/>
    <xf applyBorder="1" applyNumberFormat="1" borderId="3" fillId="0" fontId="0" numFmtId="170" xfId="0"/>
    <xf applyBorder="1" applyFill="1" applyNumberFormat="1" borderId="3" fillId="5" fontId="0" numFmtId="169" xfId="0"/>
    <xf applyBorder="1" applyNumberFormat="1" borderId="6" fillId="0" fontId="0" numFmtId="170" xfId="0"/>
    <xf applyFill="1" applyFont="1" applyNumberFormat="1" borderId="0" fillId="6" fontId="22" numFmtId="166" xfId="0"/>
    <xf applyBorder="1" applyFont="1" applyNumberFormat="1" borderId="0" fillId="0" fontId="0" numFmtId="170" xfId="8"/>
    <xf applyBorder="1" applyNumberFormat="1" borderId="0" fillId="0" fontId="0" numFmtId="170" xfId="0"/>
    <xf applyBorder="1" applyNumberFormat="1" borderId="0" fillId="0" fontId="0" numFmtId="169" xfId="0"/>
    <xf applyBorder="1" applyNumberFormat="1" borderId="0" fillId="0" fontId="0" numFmtId="9" xfId="0"/>
    <xf applyBorder="1" applyFill="1" applyNumberFormat="1" borderId="0" fillId="5" fontId="0" numFmtId="170" xfId="0"/>
    <xf applyAlignment="1" applyBorder="1" borderId="39" fillId="0" fontId="0" numFmtId="0" xfId="0"/>
    <xf applyBorder="1" applyFont="1" borderId="31" fillId="0" fontId="4" numFmtId="0" xfId="0"/>
    <xf applyAlignment="1" applyBorder="1" borderId="0" fillId="0" fontId="0" numFmtId="0" xfId="0">
      <alignment horizontal="left"/>
    </xf>
    <xf applyBorder="1" applyFont="1" borderId="41" fillId="0" fontId="0" numFmtId="43" xfId="8"/>
    <xf applyBorder="1" applyFont="1" borderId="42" fillId="0" fontId="0" numFmtId="43" xfId="8"/>
    <xf applyBorder="1" applyFont="1" borderId="43" fillId="0" fontId="1" numFmtId="0" xfId="0"/>
    <xf applyBorder="1" applyFill="1" borderId="32" fillId="8" fontId="0" numFmtId="0" xfId="0"/>
    <xf applyBorder="1" applyFont="1" applyNumberFormat="1" borderId="1" fillId="0" fontId="0" numFmtId="170" xfId="8"/>
    <xf applyBorder="1" applyNumberFormat="1" borderId="1" fillId="0" fontId="0" numFmtId="170" xfId="0"/>
    <xf applyBorder="1" applyFill="1" applyNumberFormat="1" borderId="1" fillId="5" fontId="0" numFmtId="170" xfId="0"/>
    <xf applyBorder="1" applyFill="1" borderId="34" fillId="8" fontId="0" numFmtId="0" xfId="0"/>
    <xf applyAlignment="1" applyBorder="1" applyFont="1" borderId="40" fillId="0" fontId="8" numFmtId="0" xfId="0">
      <alignment horizontal="right"/>
    </xf>
    <xf applyBorder="1" applyFont="1" borderId="5" fillId="0" fontId="8" numFmtId="0" xfId="0"/>
    <xf applyAlignment="1" applyBorder="1" applyFont="1" borderId="24" fillId="0" fontId="8" numFmtId="0" xfId="0">
      <alignment horizontal="right"/>
    </xf>
    <xf applyAlignment="1" applyBorder="1" applyFont="1" borderId="6" fillId="0" fontId="8" numFmtId="0" xfId="0">
      <alignment horizontal="right"/>
    </xf>
    <xf applyAlignment="1" applyBorder="1" applyFont="1" borderId="17" fillId="0" fontId="8" numFmtId="0" xfId="0">
      <alignment horizontal="right"/>
    </xf>
    <xf applyAlignment="1" applyBorder="1" applyFont="1" borderId="5" fillId="0" fontId="8" numFmtId="0" xfId="0">
      <alignment horizontal="right"/>
    </xf>
    <xf applyAlignment="1" applyBorder="1" applyFont="1" borderId="23" fillId="0" fontId="8" numFmtId="0" xfId="0">
      <alignment horizontal="right"/>
    </xf>
    <xf applyAlignment="1" applyBorder="1" applyFill="1" applyFont="1" borderId="17" fillId="0" fontId="8" numFmtId="0" xfId="0">
      <alignment horizontal="right"/>
    </xf>
    <xf applyAlignment="1" applyBorder="1" applyFill="1" applyFont="1" borderId="26" fillId="0" fontId="8" numFmtId="0" xfId="0">
      <alignment horizontal="right"/>
    </xf>
    <xf applyBorder="1" applyFont="1" borderId="45" fillId="0" fontId="8" numFmtId="0" xfId="0"/>
    <xf applyAlignment="1" applyBorder="1" applyFill="1" applyFont="1" borderId="5" fillId="0" fontId="8" numFmtId="0" xfId="0">
      <alignment horizontal="right"/>
    </xf>
    <xf applyAlignment="1" applyBorder="1" applyFill="1" applyFont="1" borderId="44" fillId="0" fontId="8" numFmtId="0" xfId="0">
      <alignment horizontal="right"/>
    </xf>
    <xf applyBorder="1" applyFill="1" applyNumberFormat="1" borderId="1" fillId="4" fontId="0" numFmtId="43" xfId="0"/>
    <xf applyBorder="1" applyFont="1" applyNumberFormat="1" borderId="6" fillId="0" fontId="0" numFmtId="170" xfId="8"/>
    <xf applyAlignment="1" applyBorder="1" applyFill="1" applyFont="1" borderId="40" fillId="0" fontId="8" numFmtId="0" xfId="0">
      <alignment horizontal="right"/>
    </xf>
    <xf applyBorder="1" applyFill="1" borderId="31" fillId="4" fontId="0" numFmtId="0" xfId="0"/>
    <xf applyBorder="1" applyFill="1" borderId="33" fillId="4" fontId="0" numFmtId="0" xfId="0"/>
    <xf applyAlignment="1" applyBorder="1" borderId="2" fillId="0" fontId="0" numFmtId="0" xfId="0">
      <alignment horizontal="center"/>
    </xf>
    <xf applyBorder="1" applyFont="1" borderId="3" fillId="0" fontId="0" numFmtId="9" xfId="9"/>
    <xf applyFont="1" borderId="0" fillId="0" fontId="1" numFmtId="9" xfId="9"/>
    <xf applyAlignment="1" applyBorder="1" applyFill="1" applyFont="1" borderId="0" fillId="0" fontId="8" numFmtId="0" xfId="0">
      <alignment horizontal="right"/>
    </xf>
    <xf applyAlignment="1" applyBorder="1" applyFont="1" borderId="0" fillId="0" fontId="8" numFmtId="0" xfId="0">
      <alignment horizontal="right"/>
    </xf>
    <xf applyFill="1" applyNumberFormat="1" borderId="0" fillId="0" fontId="0" numFmtId="170" xfId="0"/>
    <xf applyBorder="1" applyFill="1" applyNumberFormat="1" borderId="0" fillId="0" fontId="0" numFmtId="43" xfId="0"/>
    <xf applyBorder="1" applyFill="1" applyFont="1" applyNumberFormat="1" borderId="0" fillId="0" fontId="0" numFmtId="167" xfId="8"/>
    <xf applyBorder="1" applyFill="1" applyNumberFormat="1" borderId="0" fillId="0" fontId="0" numFmtId="164" xfId="0"/>
    <xf applyAlignment="1" applyBorder="1" applyFill="1" applyFont="1" applyNumberFormat="1" applyProtection="1" borderId="46" fillId="0" fontId="25" numFmtId="0" xfId="0"/>
    <xf applyAlignment="1" applyBorder="1" applyFill="1" applyFont="1" applyNumberFormat="1" applyProtection="1" borderId="46" fillId="0" fontId="24" numFmtId="0" xfId="0"/>
    <xf applyAlignment="1" applyBorder="1" applyFill="1" applyFont="1" applyNumberFormat="1" applyProtection="1" borderId="47" fillId="0" fontId="24" numFmtId="0" xfId="0"/>
    <xf applyAlignment="1" applyBorder="1" applyFill="1" applyFont="1" applyNumberFormat="1" applyProtection="1" borderId="47" fillId="0" fontId="24" numFmtId="0" xfId="0">
      <alignment horizontal="center"/>
    </xf>
    <xf applyAlignment="1" applyBorder="1" applyFill="1" applyFont="1" applyNumberFormat="1" applyProtection="1" borderId="0" fillId="0" fontId="24" numFmtId="3" xfId="0"/>
    <xf applyAlignment="1" applyBorder="1" applyFill="1" applyFont="1" applyNumberFormat="1" applyProtection="1" borderId="48" fillId="0" fontId="24" numFmtId="0" xfId="0"/>
    <xf applyAlignment="1" applyBorder="1" applyFill="1" applyFont="1" applyNumberFormat="1" applyProtection="1" borderId="48" fillId="0" fontId="24" numFmtId="3" xfId="0"/>
    <xf applyAlignment="1" applyBorder="1" applyFill="1" applyFont="1" applyNumberFormat="1" applyProtection="1" borderId="46" fillId="0" fontId="24" numFmtId="3" xfId="0"/>
    <xf applyAlignment="1" applyBorder="1" applyFill="1" applyFont="1" applyNumberFormat="1" applyProtection="1" borderId="46" fillId="0" fontId="25" numFmtId="3" xfId="0"/>
    <xf applyAlignment="1" applyBorder="1" applyFill="1" applyFont="1" applyNumberFormat="1" applyProtection="1" borderId="47" fillId="0" fontId="24" numFmtId="3" xfId="0"/>
    <xf applyAlignment="1" applyBorder="1" applyFill="1" applyFont="1" applyNumberFormat="1" applyProtection="1" borderId="47" fillId="0" fontId="24" numFmtId="3" xfId="0">
      <alignment horizontal="center"/>
    </xf>
    <xf applyAlignment="1" applyBorder="1" applyFill="1" applyFont="1" applyNumberFormat="1" applyProtection="1" borderId="49" fillId="0" fontId="24" numFmtId="164" xfId="0"/>
    <xf applyAlignment="1" applyBorder="1" applyFill="1" applyFont="1" applyNumberFormat="1" applyProtection="1" borderId="0" fillId="0" fontId="24" numFmtId="164" xfId="0"/>
    <xf applyAlignment="1" applyBorder="1" applyFill="1" applyFont="1" applyNumberFormat="1" applyProtection="1" borderId="48" fillId="0" fontId="24" numFmtId="164" xfId="0"/>
    <xf applyAlignment="1" applyBorder="1" applyFill="1" applyFont="1" applyNumberFormat="1" applyProtection="1" borderId="46" fillId="0" fontId="24" numFmtId="164" xfId="0"/>
    <xf applyAlignment="1" applyBorder="1" applyFill="1" applyFont="1" applyNumberFormat="1" applyProtection="1" borderId="0" fillId="0" fontId="26" numFmtId="0" xfId="0"/>
    <xf applyAlignment="1" applyBorder="1" applyFill="1" applyFont="1" applyNumberFormat="1" applyProtection="1" borderId="47" fillId="0" fontId="24" numFmtId="0" xfId="0">
      <alignment horizontal="center" vertical="top"/>
    </xf>
    <xf applyAlignment="1" applyBorder="1" applyFill="1" applyFont="1" applyNumberFormat="1" applyProtection="1" borderId="50" fillId="0" fontId="24" numFmtId="3" xfId="0"/>
    <xf applyAlignment="1" applyBorder="1" applyFill="1" applyFont="1" applyNumberFormat="1" applyProtection="1" borderId="50" fillId="0" fontId="24" numFmtId="167" xfId="0"/>
    <xf applyAlignment="1" applyBorder="1" applyFill="1" applyFont="1" applyNumberFormat="1" applyProtection="1" borderId="51" fillId="0" fontId="24" numFmtId="3" xfId="0"/>
    <xf applyAlignment="1" applyBorder="1" applyFill="1" applyFont="1" applyNumberFormat="1" applyProtection="1" borderId="51" fillId="0" fontId="24" numFmtId="167" xfId="0"/>
    <xf applyAlignment="1" applyBorder="1" applyFill="1" applyFont="1" applyNumberFormat="1" applyProtection="1" borderId="50" fillId="0" fontId="24" numFmtId="10" xfId="0"/>
    <xf applyAlignment="1" applyBorder="1" applyFill="1" applyFont="1" applyNumberFormat="1" applyProtection="1" borderId="51" fillId="0" fontId="24" numFmtId="9" xfId="0"/>
    <xf applyAlignment="1" applyBorder="1" borderId="47" fillId="0" fontId="0" numFmtId="0" xfId="0">
      <alignment horizontal="center" vertical="top"/>
    </xf>
    <xf applyAlignment="1" borderId="0" fillId="0" fontId="0" numFmtId="0" xfId="0">
      <alignment horizontal="center" vertical="top"/>
    </xf>
    <xf applyAlignment="1" applyBorder="1" borderId="50" fillId="0" fontId="0" numFmtId="0" xfId="0">
      <alignment horizontal="left" vertical="top"/>
    </xf>
    <xf applyBorder="1" applyFill="1" applyNumberFormat="1" borderId="48" fillId="4" fontId="0" numFmtId="166" xfId="0"/>
    <xf applyBorder="1" applyNumberFormat="1" borderId="48" fillId="0" fontId="0" numFmtId="2" xfId="0"/>
    <xf applyBorder="1" applyFill="1" applyNumberFormat="1" borderId="48" fillId="5" fontId="0" numFmtId="166" xfId="0"/>
    <xf applyAlignment="1" applyBorder="1" borderId="0" fillId="0" fontId="0" numFmtId="0" xfId="0">
      <alignment horizontal="center" vertical="top" wrapText="1"/>
    </xf>
    <xf applyAlignment="1" applyBorder="1" applyFill="1" applyFont="1" applyNumberFormat="1" applyProtection="1" borderId="50" fillId="0" fontId="24" numFmtId="164" xfId="0"/>
    <xf applyAlignment="1" applyBorder="1" borderId="2" fillId="0" fontId="0" numFmtId="0" xfId="0">
      <alignment horizontal="center"/>
    </xf>
    <xf applyAlignment="1" applyBorder="1" borderId="3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21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26" fillId="0" fontId="0" numFmtId="0" xfId="0">
      <alignment horizontal="center"/>
    </xf>
    <xf applyAlignment="1" applyBorder="1" applyFont="1" borderId="3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6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ont="1" borderId="30" fillId="0" fontId="1" numFmtId="0" xfId="0">
      <alignment horizontal="center"/>
    </xf>
    <xf applyAlignment="1" applyBorder="1" applyFont="1" borderId="29" fillId="0" fontId="1" numFmtId="0" xfId="0">
      <alignment horizontal="center"/>
    </xf>
  </cellXfs>
  <cellStyles count="51">
    <cellStyle builtinId="30" customBuiltin="1" name="20% - Accent1" xfId="27"/>
    <cellStyle builtinId="34" customBuiltin="1" name="20% - Accent2" xfId="30"/>
    <cellStyle builtinId="38" customBuiltin="1" name="20% - Accent3" xfId="33"/>
    <cellStyle builtinId="42" customBuiltin="1" name="20% - Accent4" xfId="36"/>
    <cellStyle builtinId="46" customBuiltin="1" name="20% - Accent5" xfId="39"/>
    <cellStyle builtinId="50" customBuiltin="1" name="20% - Accent6" xfId="42"/>
    <cellStyle builtinId="31" customBuiltin="1" name="40% - Accent1" xfId="28"/>
    <cellStyle builtinId="35" customBuiltin="1" name="40% - Accent2" xfId="31"/>
    <cellStyle builtinId="39" customBuiltin="1" name="40% - Accent3" xfId="34"/>
    <cellStyle builtinId="43" customBuiltin="1" name="40% - Accent4" xfId="37"/>
    <cellStyle builtinId="47" customBuiltin="1" name="40% - Accent5" xfId="40"/>
    <cellStyle builtinId="51" customBuiltin="1" name="40% - Accent6" xfId="43"/>
    <cellStyle name="60% - Accent1 2" xfId="45"/>
    <cellStyle name="60% - Accent2 2" xfId="46"/>
    <cellStyle name="60% - Accent3 2" xfId="47"/>
    <cellStyle name="60% - Accent4 2" xfId="48"/>
    <cellStyle name="60% - Accent5 2" xfId="49"/>
    <cellStyle name="60% - Accent6 2" xfId="50"/>
    <cellStyle builtinId="29" customBuiltin="1" name="Accent1" xfId="26"/>
    <cellStyle builtinId="33" customBuiltin="1" name="Accent2" xfId="29"/>
    <cellStyle builtinId="37" customBuiltin="1" name="Accent3" xfId="32"/>
    <cellStyle builtinId="41" customBuiltin="1" name="Accent4" xfId="35"/>
    <cellStyle builtinId="45" customBuiltin="1" name="Accent5" xfId="38"/>
    <cellStyle builtinId="49" customBuiltin="1" name="Accent6" xfId="41"/>
    <cellStyle builtinId="27" customBuiltin="1" name="Bad" xfId="16"/>
    <cellStyle builtinId="22" customBuiltin="1" name="Calculation" xfId="19"/>
    <cellStyle builtinId="23" customBuiltin="1" name="Check Cell" xfId="21"/>
    <cellStyle builtinId="3" name="Comma" xfId="8"/>
    <cellStyle builtinId="53" customBuiltin="1" name="Explanatory Text" xfId="24"/>
    <cellStyle builtinId="26" customBuiltin="1" name="Good" xfId="15"/>
    <cellStyle builtinId="16" customBuiltin="1" name="Heading 1" xfId="11"/>
    <cellStyle builtinId="17" customBuiltin="1" name="Heading 2" xfId="12"/>
    <cellStyle builtinId="18" customBuiltin="1" name="Heading 3" xfId="13"/>
    <cellStyle builtinId="19" customBuiltin="1" name="Heading 4" xfId="14"/>
    <cellStyle builtinId="20" customBuiltin="1" name="Input" xfId="17"/>
    <cellStyle builtinId="24" customBuiltin="1" name="Linked Cell" xfId="20"/>
    <cellStyle name="Neutral 2" xfId="44"/>
    <cellStyle builtinId="0" name="Normal" xfId="0"/>
    <cellStyle builtinId="10" customBuiltin="1" name="Note" xfId="23"/>
    <cellStyle builtinId="21" customBuiltin="1" name="Output" xfId="18"/>
    <cellStyle builtinId="5" name="Percent" xfId="9"/>
    <cellStyle builtinId="15" customBuiltin="1" name="Title" xfId="10"/>
    <cellStyle builtinId="25" customBuiltin="1" name="Total" xfId="25"/>
    <cellStyle builtinId="11" customBuiltin="1" name="Warning Text" xfId="22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PivotStyle="PivotStyleLight16" defaultTableStyle="TableStyleMedium9">
    <tableStyle count="2" name="MySqlDefault" pivot="0" table="0">
      <tableStyleElement dxfId="1" type="wholeTable"/>
      <tableStyleElement dxfId="0" type="headerRow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theme/theme1.xml" Type="http://schemas.openxmlformats.org/officeDocument/2006/relationships/theme"/>
<Relationship Id="rId15" Target="styles.xml" Type="http://schemas.openxmlformats.org/officeDocument/2006/relationships/styles"/>
<Relationship Id="rId16" Target="sharedStrings.xml" Type="http://schemas.openxmlformats.org/officeDocument/2006/relationships/sharedStrings"/>
<Relationship Id="rId17" Target="calcChain.xml" Type="http://schemas.openxmlformats.org/officeDocument/2006/relationships/calcChain"/>
<Relationship Id="rId18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1.9977860523408449E-2</c:v>
                </c:pt>
                <c:pt idx="1">
                  <c:v>4.647892041313325E-2</c:v>
                </c:pt>
                <c:pt idx="2">
                  <c:v>5.3883262055653365E-2</c:v>
                </c:pt>
                <c:pt idx="3">
                  <c:v>6.1715207187639565E-2</c:v>
                </c:pt>
                <c:pt idx="4">
                  <c:v>5.614030356507687E-2</c:v>
                </c:pt>
                <c:pt idx="5">
                  <c:v>4.269422226959671E-2</c:v>
                </c:pt>
                <c:pt idx="6">
                  <c:v>5.2415902052596899E-2</c:v>
                </c:pt>
                <c:pt idx="7">
                  <c:v>4.970511826104565E-2</c:v>
                </c:pt>
                <c:pt idx="8">
                  <c:v>4.8214551499884711E-2</c:v>
                </c:pt>
                <c:pt idx="9">
                  <c:v>4.2638881985844E-2</c:v>
                </c:pt>
                <c:pt idx="10">
                  <c:v>4.4521775263031679E-2</c:v>
                </c:pt>
                <c:pt idx="11">
                  <c:v>5.3106002505919223E-2</c:v>
                </c:pt>
                <c:pt idx="12">
                  <c:v>3.6403990678936786E-2</c:v>
                </c:pt>
                <c:pt idx="13">
                  <c:v>3.2811918453533831E-2</c:v>
                </c:pt>
                <c:pt idx="14">
                  <c:v>3.5854979724962766E-2</c:v>
                </c:pt>
                <c:pt idx="15">
                  <c:v>3.4151935402510603E-2</c:v>
                </c:pt>
                <c:pt idx="16">
                  <c:v>2.4053174250995554E-2</c:v>
                </c:pt>
                <c:pt idx="17">
                  <c:v>2.1252312436543842E-2</c:v>
                </c:pt>
                <c:pt idx="18">
                  <c:v>3.1228521420253681E-2</c:v>
                </c:pt>
                <c:pt idx="19">
                  <c:v>1.9334239901250893E-2</c:v>
                </c:pt>
                <c:pt idx="20">
                  <c:v>1.7427986993545381E-2</c:v>
                </c:pt>
                <c:pt idx="21">
                  <c:v>1.7408551211854157E-2</c:v>
                </c:pt>
                <c:pt idx="22">
                  <c:v>1.2759031003830811E-2</c:v>
                </c:pt>
                <c:pt idx="23">
                  <c:v>1.5414863664755222E-2</c:v>
                </c:pt>
                <c:pt idx="24">
                  <c:v>1.4567063997588132E-2</c:v>
                </c:pt>
                <c:pt idx="25">
                  <c:v>1.0603935511260829E-2</c:v>
                </c:pt>
                <c:pt idx="26">
                  <c:v>1.1667324176111989E-2</c:v>
                </c:pt>
                <c:pt idx="27">
                  <c:v>8.7253918299086547E-3</c:v>
                </c:pt>
                <c:pt idx="28">
                  <c:v>1.0658688449343205E-2</c:v>
                </c:pt>
                <c:pt idx="29">
                  <c:v>9.5316932195952195E-3</c:v>
                </c:pt>
                <c:pt idx="30">
                  <c:v>8.0717554521922454E-3</c:v>
                </c:pt>
                <c:pt idx="31">
                  <c:v>9.4862735922782299E-3</c:v>
                </c:pt>
                <c:pt idx="32">
                  <c:v>4.5572441061816861E-3</c:v>
                </c:pt>
                <c:pt idx="33">
                  <c:v>5.0108551075369922E-3</c:v>
                </c:pt>
                <c:pt idx="34">
                  <c:v>4.2010541172084158E-3</c:v>
                </c:pt>
                <c:pt idx="35">
                  <c:v>2.8236294415561508E-3</c:v>
                </c:pt>
                <c:pt idx="36">
                  <c:v>5.4402319831887945E-3</c:v>
                </c:pt>
                <c:pt idx="37">
                  <c:v>1.597312023872802E-3</c:v>
                </c:pt>
                <c:pt idx="38">
                  <c:v>1.9985761577946941E-3</c:v>
                </c:pt>
                <c:pt idx="39">
                  <c:v>1.9963264674396223E-3</c:v>
                </c:pt>
                <c:pt idx="40">
                  <c:v>2.6743908668522567E-3</c:v>
                </c:pt>
                <c:pt idx="41">
                  <c:v>1.88531092873697E-3</c:v>
                </c:pt>
                <c:pt idx="42">
                  <c:v>5.9723549175360615E-4</c:v>
                </c:pt>
                <c:pt idx="43">
                  <c:v>3.0414466690405597E-3</c:v>
                </c:pt>
                <c:pt idx="44">
                  <c:v>1.0265801679121798E-3</c:v>
                </c:pt>
                <c:pt idx="45">
                  <c:v>1.4979386820956472E-3</c:v>
                </c:pt>
                <c:pt idx="46">
                  <c:v>1.8210042128546215E-3</c:v>
                </c:pt>
                <c:pt idx="47">
                  <c:v>3.8167859808401307E-4</c:v>
                </c:pt>
                <c:pt idx="48">
                  <c:v>8.5410560434891051E-4</c:v>
                </c:pt>
                <c:pt idx="49">
                  <c:v>4.3931245534318273E-4</c:v>
                </c:pt>
                <c:pt idx="50">
                  <c:v>6.449709806497472E-4</c:v>
                </c:pt>
                <c:pt idx="51">
                  <c:v>1.4212559564569895E-3</c:v>
                </c:pt>
                <c:pt idx="52">
                  <c:v>1.541125021949102E-3</c:v>
                </c:pt>
                <c:pt idx="53">
                  <c:v>2.5304238560515244E-4</c:v>
                </c:pt>
                <c:pt idx="54">
                  <c:v>0</c:v>
                </c:pt>
                <c:pt idx="55">
                  <c:v>6.560209157851246E-4</c:v>
                </c:pt>
                <c:pt idx="56">
                  <c:v>3.7665698938228753E-4</c:v>
                </c:pt>
                <c:pt idx="57">
                  <c:v>0</c:v>
                </c:pt>
                <c:pt idx="58">
                  <c:v>0</c:v>
                </c:pt>
                <c:pt idx="59">
                  <c:v>5.1448154433229449E-5</c:v>
                </c:pt>
                <c:pt idx="60">
                  <c:v>1.5956445130441003E-4</c:v>
                </c:pt>
                <c:pt idx="61">
                  <c:v>0</c:v>
                </c:pt>
                <c:pt idx="62">
                  <c:v>0</c:v>
                </c:pt>
                <c:pt idx="63">
                  <c:v>1.4604310855067805E-4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2.538413371224893E-2</c:v>
                </c:pt>
                <c:pt idx="1">
                  <c:v>5.6716921150233614E-2</c:v>
                </c:pt>
                <c:pt idx="2">
                  <c:v>5.7945185684697267E-2</c:v>
                </c:pt>
                <c:pt idx="3">
                  <c:v>5.0334762294687155E-2</c:v>
                </c:pt>
                <c:pt idx="4">
                  <c:v>5.2478204325417853E-2</c:v>
                </c:pt>
                <c:pt idx="5">
                  <c:v>5.2935793073551368E-2</c:v>
                </c:pt>
                <c:pt idx="6">
                  <c:v>4.664996869129618E-2</c:v>
                </c:pt>
                <c:pt idx="7">
                  <c:v>4.5999710996580123E-2</c:v>
                </c:pt>
                <c:pt idx="8">
                  <c:v>4.5686623958383507E-2</c:v>
                </c:pt>
                <c:pt idx="9">
                  <c:v>4.6770386782910262E-2</c:v>
                </c:pt>
                <c:pt idx="10">
                  <c:v>4.4651028370502381E-2</c:v>
                </c:pt>
                <c:pt idx="11">
                  <c:v>4.2676171668031407E-2</c:v>
                </c:pt>
                <c:pt idx="12">
                  <c:v>4.2194499301575067E-2</c:v>
                </c:pt>
                <c:pt idx="13">
                  <c:v>3.7353692018688885E-2</c:v>
                </c:pt>
                <c:pt idx="14">
                  <c:v>3.4415490583305237E-2</c:v>
                </c:pt>
                <c:pt idx="15">
                  <c:v>3.2898222628967778E-2</c:v>
                </c:pt>
                <c:pt idx="16">
                  <c:v>2.8201917056018495E-2</c:v>
                </c:pt>
                <c:pt idx="17">
                  <c:v>2.6034391406964983E-2</c:v>
                </c:pt>
                <c:pt idx="18">
                  <c:v>2.4517123452627524E-2</c:v>
                </c:pt>
                <c:pt idx="19">
                  <c:v>2.0639660902654015E-2</c:v>
                </c:pt>
                <c:pt idx="20">
                  <c:v>1.931506189489909E-2</c:v>
                </c:pt>
                <c:pt idx="21">
                  <c:v>1.7075285390877125E-2</c:v>
                </c:pt>
                <c:pt idx="22">
                  <c:v>1.6280525986224169E-2</c:v>
                </c:pt>
                <c:pt idx="23">
                  <c:v>1.4570589085304175E-2</c:v>
                </c:pt>
                <c:pt idx="24">
                  <c:v>1.2812484947738548E-2</c:v>
                </c:pt>
                <c:pt idx="25">
                  <c:v>1.0837628245267569E-2</c:v>
                </c:pt>
                <c:pt idx="26">
                  <c:v>9.7056981840951788E-3</c:v>
                </c:pt>
                <c:pt idx="27">
                  <c:v>1.0644959298685034E-2</c:v>
                </c:pt>
                <c:pt idx="28">
                  <c:v>9.272193054284476E-3</c:v>
                </c:pt>
                <c:pt idx="29">
                  <c:v>9.151774962670391E-3</c:v>
                </c:pt>
                <c:pt idx="30">
                  <c:v>8.1884302297577181E-3</c:v>
                </c:pt>
                <c:pt idx="31">
                  <c:v>7.7067578633013825E-3</c:v>
                </c:pt>
                <c:pt idx="32">
                  <c:v>6.2376571456095563E-3</c:v>
                </c:pt>
                <c:pt idx="33">
                  <c:v>4.913058137854631E-3</c:v>
                </c:pt>
                <c:pt idx="34">
                  <c:v>5.057559847791532E-3</c:v>
                </c:pt>
                <c:pt idx="35">
                  <c:v>3.9015461682963249E-3</c:v>
                </c:pt>
                <c:pt idx="36">
                  <c:v>3.1790376186118202E-3</c:v>
                </c:pt>
                <c:pt idx="37">
                  <c:v>2.5528635422185828E-3</c:v>
                </c:pt>
                <c:pt idx="38">
                  <c:v>2.2397765040219641E-3</c:v>
                </c:pt>
                <c:pt idx="39">
                  <c:v>1.878522229179712E-3</c:v>
                </c:pt>
                <c:pt idx="40">
                  <c:v>1.5654351909830933E-3</c:v>
                </c:pt>
                <c:pt idx="41">
                  <c:v>1.1319300611723905E-3</c:v>
                </c:pt>
                <c:pt idx="42">
                  <c:v>1.0115119695583063E-3</c:v>
                </c:pt>
                <c:pt idx="43">
                  <c:v>1.1800972978180241E-3</c:v>
                </c:pt>
                <c:pt idx="44">
                  <c:v>7.9475940465295505E-4</c:v>
                </c:pt>
                <c:pt idx="45">
                  <c:v>5.0575598477915317E-4</c:v>
                </c:pt>
                <c:pt idx="46">
                  <c:v>7.465921680073214E-4</c:v>
                </c:pt>
                <c:pt idx="47">
                  <c:v>4.0942151148788594E-4</c:v>
                </c:pt>
                <c:pt idx="48">
                  <c:v>5.2983960310197E-4</c:v>
                </c:pt>
                <c:pt idx="49">
                  <c:v>3.3717065651943547E-4</c:v>
                </c:pt>
                <c:pt idx="50">
                  <c:v>3.8533789316506911E-4</c:v>
                </c:pt>
                <c:pt idx="51">
                  <c:v>2.8900341987380182E-4</c:v>
                </c:pt>
                <c:pt idx="52">
                  <c:v>2.1675256490535138E-4</c:v>
                </c:pt>
                <c:pt idx="53">
                  <c:v>1.9266894658253456E-4</c:v>
                </c:pt>
                <c:pt idx="54">
                  <c:v>7.2250854968450455E-5</c:v>
                </c:pt>
                <c:pt idx="55">
                  <c:v>9.6334473291267278E-5</c:v>
                </c:pt>
                <c:pt idx="56">
                  <c:v>1.4450170993690091E-4</c:v>
                </c:pt>
                <c:pt idx="57">
                  <c:v>1.204180916140841E-4</c:v>
                </c:pt>
                <c:pt idx="58">
                  <c:v>0</c:v>
                </c:pt>
                <c:pt idx="59">
                  <c:v>4.8167236645633639E-5</c:v>
                </c:pt>
                <c:pt idx="60">
                  <c:v>4.8167236645633639E-5</c:v>
                </c:pt>
                <c:pt idx="61">
                  <c:v>2.408361832281682E-5</c:v>
                </c:pt>
                <c:pt idx="62">
                  <c:v>2.408361832281682E-5</c:v>
                </c:pt>
                <c:pt idx="63">
                  <c:v>4.8167236645633639E-5</c:v>
                </c:pt>
                <c:pt idx="64">
                  <c:v>2.408361832281682E-5</c:v>
                </c:pt>
                <c:pt idx="65">
                  <c:v>4.8167236645633639E-5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767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5.7350324014607496E-4</c:v>
                </c:pt>
                <c:pt idx="3">
                  <c:v>7.2667710484545182E-3</c:v>
                </c:pt>
                <c:pt idx="4">
                  <c:v>1.4440639350750406E-2</c:v>
                </c:pt>
                <c:pt idx="5">
                  <c:v>1.9759045957904047E-2</c:v>
                </c:pt>
                <c:pt idx="6">
                  <c:v>2.4254657348750517E-2</c:v>
                </c:pt>
                <c:pt idx="7">
                  <c:v>2.5863823063936815E-2</c:v>
                </c:pt>
                <c:pt idx="8">
                  <c:v>3.0469480437082093E-2</c:v>
                </c:pt>
                <c:pt idx="9">
                  <c:v>2.4952060885186009E-2</c:v>
                </c:pt>
                <c:pt idx="10">
                  <c:v>3.0214009439116413E-2</c:v>
                </c:pt>
                <c:pt idx="11">
                  <c:v>3.1620552506830775E-2</c:v>
                </c:pt>
                <c:pt idx="12">
                  <c:v>3.0019272644212194E-2</c:v>
                </c:pt>
                <c:pt idx="13">
                  <c:v>2.7533012254889088E-2</c:v>
                </c:pt>
                <c:pt idx="14">
                  <c:v>2.2761234550755079E-2</c:v>
                </c:pt>
                <c:pt idx="15">
                  <c:v>2.6388942899590553E-2</c:v>
                </c:pt>
                <c:pt idx="16">
                  <c:v>3.3090666226390557E-2</c:v>
                </c:pt>
                <c:pt idx="17">
                  <c:v>3.1600543633002139E-2</c:v>
                </c:pt>
                <c:pt idx="18">
                  <c:v>2.8175144655939247E-2</c:v>
                </c:pt>
                <c:pt idx="19">
                  <c:v>2.6683592788208733E-2</c:v>
                </c:pt>
                <c:pt idx="20">
                  <c:v>2.8986907999561384E-2</c:v>
                </c:pt>
                <c:pt idx="21">
                  <c:v>2.1495743168491361E-2</c:v>
                </c:pt>
                <c:pt idx="22">
                  <c:v>2.4153728567688455E-2</c:v>
                </c:pt>
                <c:pt idx="23">
                  <c:v>1.8804393413255224E-2</c:v>
                </c:pt>
                <c:pt idx="24">
                  <c:v>2.1842618884195107E-2</c:v>
                </c:pt>
                <c:pt idx="25">
                  <c:v>2.458838922326886E-2</c:v>
                </c:pt>
                <c:pt idx="26">
                  <c:v>2.2052236539693962E-2</c:v>
                </c:pt>
                <c:pt idx="27">
                  <c:v>1.9044261381142367E-2</c:v>
                </c:pt>
                <c:pt idx="28">
                  <c:v>1.5448958192305136E-2</c:v>
                </c:pt>
                <c:pt idx="29">
                  <c:v>1.9625034079065538E-2</c:v>
                </c:pt>
                <c:pt idx="30">
                  <c:v>2.0714664066077589E-2</c:v>
                </c:pt>
                <c:pt idx="31">
                  <c:v>1.9793400091240681E-2</c:v>
                </c:pt>
                <c:pt idx="32">
                  <c:v>1.0120197357156788E-2</c:v>
                </c:pt>
                <c:pt idx="33">
                  <c:v>2.069426848283195E-2</c:v>
                </c:pt>
                <c:pt idx="34">
                  <c:v>1.4040305169590983E-2</c:v>
                </c:pt>
                <c:pt idx="35">
                  <c:v>9.1656558432056771E-3</c:v>
                </c:pt>
                <c:pt idx="36">
                  <c:v>1.1938083170661329E-2</c:v>
                </c:pt>
                <c:pt idx="37">
                  <c:v>1.2742689110894068E-2</c:v>
                </c:pt>
                <c:pt idx="38">
                  <c:v>1.188045939274303E-2</c:v>
                </c:pt>
                <c:pt idx="39">
                  <c:v>1.6646854591285169E-2</c:v>
                </c:pt>
                <c:pt idx="40">
                  <c:v>1.1569655623609568E-2</c:v>
                </c:pt>
                <c:pt idx="41">
                  <c:v>1.4469911474389268E-2</c:v>
                </c:pt>
                <c:pt idx="42">
                  <c:v>1.2329872748764559E-2</c:v>
                </c:pt>
                <c:pt idx="43">
                  <c:v>1.230643619735091E-2</c:v>
                </c:pt>
                <c:pt idx="44">
                  <c:v>1.0062511232511553E-2</c:v>
                </c:pt>
                <c:pt idx="45">
                  <c:v>1.0564856777518297E-2</c:v>
                </c:pt>
                <c:pt idx="46">
                  <c:v>9.6960519182035382E-3</c:v>
                </c:pt>
                <c:pt idx="47">
                  <c:v>8.4114957776387275E-3</c:v>
                </c:pt>
                <c:pt idx="48">
                  <c:v>5.847995638615191E-3</c:v>
                </c:pt>
                <c:pt idx="49">
                  <c:v>6.5022882664993635E-3</c:v>
                </c:pt>
                <c:pt idx="50">
                  <c:v>8.8841430143879845E-3</c:v>
                </c:pt>
                <c:pt idx="51">
                  <c:v>5.3671664059374664E-3</c:v>
                </c:pt>
                <c:pt idx="52">
                  <c:v>4.3678989772297895E-3</c:v>
                </c:pt>
                <c:pt idx="53">
                  <c:v>3.5163798221683903E-3</c:v>
                </c:pt>
                <c:pt idx="54">
                  <c:v>3.8923366391804119E-3</c:v>
                </c:pt>
                <c:pt idx="55">
                  <c:v>4.4795496094566E-3</c:v>
                </c:pt>
                <c:pt idx="56">
                  <c:v>4.3849196741716319E-3</c:v>
                </c:pt>
                <c:pt idx="57">
                  <c:v>4.1169936853290212E-3</c:v>
                </c:pt>
                <c:pt idx="58">
                  <c:v>3.1994708074732821E-3</c:v>
                </c:pt>
                <c:pt idx="59">
                  <c:v>3.6848706896161305E-3</c:v>
                </c:pt>
                <c:pt idx="60">
                  <c:v>1.869083910025119E-3</c:v>
                </c:pt>
                <c:pt idx="61">
                  <c:v>3.6046874750983223E-3</c:v>
                </c:pt>
                <c:pt idx="62">
                  <c:v>5.2436733795321738E-3</c:v>
                </c:pt>
                <c:pt idx="63">
                  <c:v>2.6592045681432669E-3</c:v>
                </c:pt>
                <c:pt idx="64">
                  <c:v>2.281455980728625E-3</c:v>
                </c:pt>
                <c:pt idx="65">
                  <c:v>2.4301615962116006E-3</c:v>
                </c:pt>
                <c:pt idx="66">
                  <c:v>1.8422155326532979E-3</c:v>
                </c:pt>
                <c:pt idx="67">
                  <c:v>1.4724577681295189E-3</c:v>
                </c:pt>
                <c:pt idx="68">
                  <c:v>2.0361810250872836E-3</c:v>
                </c:pt>
                <c:pt idx="69">
                  <c:v>1.6267039560945709E-3</c:v>
                </c:pt>
                <c:pt idx="70">
                  <c:v>2.3852895533331125E-3</c:v>
                </c:pt>
                <c:pt idx="71">
                  <c:v>1.6901058426320862E-3</c:v>
                </c:pt>
                <c:pt idx="72">
                  <c:v>2.1735863013543589E-3</c:v>
                </c:pt>
                <c:pt idx="73">
                  <c:v>1.3032214498325406E-3</c:v>
                </c:pt>
                <c:pt idx="74">
                  <c:v>6.3178478362060453E-4</c:v>
                </c:pt>
                <c:pt idx="75">
                  <c:v>2.3270288750185785E-3</c:v>
                </c:pt>
                <c:pt idx="76">
                  <c:v>2.8499113140219661E-3</c:v>
                </c:pt>
                <c:pt idx="77">
                  <c:v>1.4690376141702096E-3</c:v>
                </c:pt>
                <c:pt idx="78">
                  <c:v>1.9291597745404669E-3</c:v>
                </c:pt>
                <c:pt idx="79">
                  <c:v>1.3006642332961317E-3</c:v>
                </c:pt>
                <c:pt idx="80">
                  <c:v>8.0432950311376745E-4</c:v>
                </c:pt>
                <c:pt idx="81">
                  <c:v>8.0222219307861701E-4</c:v>
                </c:pt>
                <c:pt idx="82">
                  <c:v>8.3580130301018222E-4</c:v>
                </c:pt>
                <c:pt idx="83">
                  <c:v>1.6410296259819774E-3</c:v>
                </c:pt>
                <c:pt idx="84">
                  <c:v>1.5418473884795485E-4</c:v>
                </c:pt>
                <c:pt idx="85">
                  <c:v>3.1519637298596488E-4</c:v>
                </c:pt>
                <c:pt idx="86">
                  <c:v>1.6299927498719345E-3</c:v>
                </c:pt>
                <c:pt idx="87">
                  <c:v>9.1770617817950664E-4</c:v>
                </c:pt>
                <c:pt idx="88">
                  <c:v>5.519140300825335E-4</c:v>
                </c:pt>
                <c:pt idx="89">
                  <c:v>2.1214017357725039E-3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1.2764317711092914E-3</c:v>
                </c:pt>
                <c:pt idx="1">
                  <c:v>2.528779923895766E-3</c:v>
                </c:pt>
                <c:pt idx="2">
                  <c:v>3.6847936033909735E-3</c:v>
                </c:pt>
                <c:pt idx="3">
                  <c:v>5.9968209623813881E-3</c:v>
                </c:pt>
                <c:pt idx="4">
                  <c:v>1.1632387649920525E-2</c:v>
                </c:pt>
                <c:pt idx="5">
                  <c:v>1.6087857039641634E-2</c:v>
                </c:pt>
                <c:pt idx="6">
                  <c:v>1.8423968016954867E-2</c:v>
                </c:pt>
                <c:pt idx="7">
                  <c:v>1.9266894658253455E-2</c:v>
                </c:pt>
                <c:pt idx="8">
                  <c:v>1.9435479986513175E-2</c:v>
                </c:pt>
                <c:pt idx="9">
                  <c:v>1.8737055055151487E-2</c:v>
                </c:pt>
                <c:pt idx="10">
                  <c:v>1.8375800780309235E-2</c:v>
                </c:pt>
                <c:pt idx="11">
                  <c:v>1.9411396368190358E-2</c:v>
                </c:pt>
                <c:pt idx="12">
                  <c:v>1.9459563604835989E-2</c:v>
                </c:pt>
                <c:pt idx="13">
                  <c:v>1.9146476566639373E-2</c:v>
                </c:pt>
                <c:pt idx="14">
                  <c:v>2.0254323009488946E-2</c:v>
                </c:pt>
                <c:pt idx="15">
                  <c:v>2.1627089253889505E-2</c:v>
                </c:pt>
                <c:pt idx="16">
                  <c:v>2.0278406627811763E-2</c:v>
                </c:pt>
                <c:pt idx="17">
                  <c:v>1.9242811039930641E-2</c:v>
                </c:pt>
                <c:pt idx="18">
                  <c:v>2.1097249650787533E-2</c:v>
                </c:pt>
                <c:pt idx="19">
                  <c:v>1.9459563604835989E-2</c:v>
                </c:pt>
                <c:pt idx="20">
                  <c:v>1.9266894658253455E-2</c:v>
                </c:pt>
                <c:pt idx="21">
                  <c:v>2.037474110110303E-2</c:v>
                </c:pt>
                <c:pt idx="22">
                  <c:v>2.0398824719425848E-2</c:v>
                </c:pt>
                <c:pt idx="23">
                  <c:v>2.044699195607148E-2</c:v>
                </c:pt>
                <c:pt idx="24">
                  <c:v>2.0302490246134581E-2</c:v>
                </c:pt>
                <c:pt idx="25">
                  <c:v>2.0663744520976832E-2</c:v>
                </c:pt>
                <c:pt idx="26">
                  <c:v>1.9796734261355427E-2</c:v>
                </c:pt>
                <c:pt idx="27">
                  <c:v>1.938731274986754E-2</c:v>
                </c:pt>
                <c:pt idx="28">
                  <c:v>1.8881556765088386E-2</c:v>
                </c:pt>
                <c:pt idx="29">
                  <c:v>1.9194643803285005E-2</c:v>
                </c:pt>
                <c:pt idx="30">
                  <c:v>1.9965319589615144E-2</c:v>
                </c:pt>
                <c:pt idx="31">
                  <c:v>1.7508790520687829E-2</c:v>
                </c:pt>
                <c:pt idx="32">
                  <c:v>1.7484706902365012E-2</c:v>
                </c:pt>
                <c:pt idx="33">
                  <c:v>1.6521362169452339E-2</c:v>
                </c:pt>
                <c:pt idx="34">
                  <c:v>1.7243870719136842E-2</c:v>
                </c:pt>
                <c:pt idx="35">
                  <c:v>1.7292037955782477E-2</c:v>
                </c:pt>
                <c:pt idx="36">
                  <c:v>1.5582101054862482E-2</c:v>
                </c:pt>
                <c:pt idx="37">
                  <c:v>1.5317181253311498E-2</c:v>
                </c:pt>
                <c:pt idx="38">
                  <c:v>1.522084678002023E-2</c:v>
                </c:pt>
                <c:pt idx="39">
                  <c:v>1.3799913298974039E-2</c:v>
                </c:pt>
                <c:pt idx="40">
                  <c:v>1.3390491787486152E-2</c:v>
                </c:pt>
                <c:pt idx="41">
                  <c:v>1.3245990077549251E-2</c:v>
                </c:pt>
                <c:pt idx="42">
                  <c:v>1.2595732382833198E-2</c:v>
                </c:pt>
                <c:pt idx="43">
                  <c:v>1.249939790954193E-2</c:v>
                </c:pt>
                <c:pt idx="44">
                  <c:v>1.3053321130966716E-2</c:v>
                </c:pt>
                <c:pt idx="45">
                  <c:v>1.1680554886566158E-2</c:v>
                </c:pt>
                <c:pt idx="46">
                  <c:v>1.204180916140841E-2</c:v>
                </c:pt>
                <c:pt idx="47">
                  <c:v>1.090987910023602E-2</c:v>
                </c:pt>
                <c:pt idx="48">
                  <c:v>9.7056981840951788E-3</c:v>
                </c:pt>
                <c:pt idx="49">
                  <c:v>9.7779490390636284E-3</c:v>
                </c:pt>
                <c:pt idx="50">
                  <c:v>9.9224507490005293E-3</c:v>
                </c:pt>
                <c:pt idx="51">
                  <c:v>9.3926111458985592E-3</c:v>
                </c:pt>
                <c:pt idx="52">
                  <c:v>8.7664370695053218E-3</c:v>
                </c:pt>
                <c:pt idx="53">
                  <c:v>8.6701025962140545E-3</c:v>
                </c:pt>
                <c:pt idx="54">
                  <c:v>8.3810991763402527E-3</c:v>
                </c:pt>
                <c:pt idx="55">
                  <c:v>9.3203602909301096E-3</c:v>
                </c:pt>
                <c:pt idx="56">
                  <c:v>7.3936708251047638E-3</c:v>
                </c:pt>
                <c:pt idx="57">
                  <c:v>7.7067578633013825E-3</c:v>
                </c:pt>
                <c:pt idx="58">
                  <c:v>8.3088483213718031E-3</c:v>
                </c:pt>
                <c:pt idx="59">
                  <c:v>7.2010018785222292E-3</c:v>
                </c:pt>
                <c:pt idx="60">
                  <c:v>7.4900052983960311E-3</c:v>
                </c:pt>
                <c:pt idx="61">
                  <c:v>7.2732527334906797E-3</c:v>
                </c:pt>
                <c:pt idx="62">
                  <c:v>7.3455035884591301E-3</c:v>
                </c:pt>
                <c:pt idx="63">
                  <c:v>6.5989114204518086E-3</c:v>
                </c:pt>
                <c:pt idx="64">
                  <c:v>5.8523192524444871E-3</c:v>
                </c:pt>
                <c:pt idx="65">
                  <c:v>5.057559847791532E-3</c:v>
                </c:pt>
                <c:pt idx="66">
                  <c:v>5.4188141226337843E-3</c:v>
                </c:pt>
                <c:pt idx="67">
                  <c:v>4.7685564279177301E-3</c:v>
                </c:pt>
                <c:pt idx="68">
                  <c:v>4.6722219546264628E-3</c:v>
                </c:pt>
                <c:pt idx="69">
                  <c:v>3.9015461682963249E-3</c:v>
                </c:pt>
                <c:pt idx="70">
                  <c:v>3.8292953133278744E-3</c:v>
                </c:pt>
                <c:pt idx="71">
                  <c:v>3.9978806415875917E-3</c:v>
                </c:pt>
                <c:pt idx="72">
                  <c:v>3.8052116950050576E-3</c:v>
                </c:pt>
                <c:pt idx="73">
                  <c:v>4.0219642599104086E-3</c:v>
                </c:pt>
                <c:pt idx="74">
                  <c:v>3.347622946871538E-3</c:v>
                </c:pt>
                <c:pt idx="75">
                  <c:v>2.6251143971870333E-3</c:v>
                </c:pt>
                <c:pt idx="76">
                  <c:v>2.8177833437695679E-3</c:v>
                </c:pt>
                <c:pt idx="77">
                  <c:v>3.3717065651943548E-3</c:v>
                </c:pt>
                <c:pt idx="78">
                  <c:v>2.4565290689273155E-3</c:v>
                </c:pt>
                <c:pt idx="79">
                  <c:v>1.734020519242811E-3</c:v>
                </c:pt>
                <c:pt idx="80">
                  <c:v>2.2879437406675977E-3</c:v>
                </c:pt>
                <c:pt idx="81">
                  <c:v>2.1916092673763305E-3</c:v>
                </c:pt>
                <c:pt idx="82">
                  <c:v>1.5654351909830933E-3</c:v>
                </c:pt>
                <c:pt idx="83">
                  <c:v>1.5413515726602765E-3</c:v>
                </c:pt>
                <c:pt idx="84">
                  <c:v>1.5895188093059101E-3</c:v>
                </c:pt>
                <c:pt idx="85">
                  <c:v>1.5172679543374596E-3</c:v>
                </c:pt>
                <c:pt idx="86">
                  <c:v>7.7067578633013823E-4</c:v>
                </c:pt>
                <c:pt idx="87">
                  <c:v>1.1560136794952073E-3</c:v>
                </c:pt>
                <c:pt idx="88">
                  <c:v>1.0355955878811232E-3</c:v>
                </c:pt>
                <c:pt idx="89">
                  <c:v>1.1921391069794327E-2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County_Flow!$CG$21</c:f>
              <c:strCache>
                <c:ptCount val="1"/>
                <c:pt idx="0">
                  <c:v>OD Data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County_Flow!$CG$22:$CG$41</c:f>
              <c:numCache>
                <c:formatCode>0%</c:formatCode>
                <c:ptCount val="20"/>
                <c:pt idx="0">
                  <c:v>5.582948801488638E-2</c:v>
                </c:pt>
                <c:pt idx="1">
                  <c:v>4.6297597224511641E-2</c:v>
                </c:pt>
                <c:pt idx="2">
                  <c:v>2.9571429993815773E-2</c:v>
                </c:pt>
                <c:pt idx="3">
                  <c:v>2.0644685937695327E-2</c:v>
                </c:pt>
                <c:pt idx="4">
                  <c:v>2.6714960399949993E-2</c:v>
                </c:pt>
                <c:pt idx="5">
                  <c:v>0.11777128993608897</c:v>
                </c:pt>
                <c:pt idx="6">
                  <c:v>9.5560081556521459E-2</c:v>
                </c:pt>
                <c:pt idx="7">
                  <c:v>5.6399233112036217E-3</c:v>
                </c:pt>
                <c:pt idx="8">
                  <c:v>5.7969074457386929E-2</c:v>
                </c:pt>
                <c:pt idx="9">
                  <c:v>2.2579606665685745E-2</c:v>
                </c:pt>
                <c:pt idx="10">
                  <c:v>6.4121215205445642E-2</c:v>
                </c:pt>
                <c:pt idx="11">
                  <c:v>0.16397927676667995</c:v>
                </c:pt>
                <c:pt idx="12">
                  <c:v>0.11157268453933065</c:v>
                </c:pt>
                <c:pt idx="13">
                  <c:v>1.696844718462949E-2</c:v>
                </c:pt>
                <c:pt idx="14">
                  <c:v>4.2025062146467632E-2</c:v>
                </c:pt>
                <c:pt idx="15">
                  <c:v>5.6012027706206233E-3</c:v>
                </c:pt>
                <c:pt idx="16">
                  <c:v>1.6910919524334749E-2</c:v>
                </c:pt>
                <c:pt idx="17">
                  <c:v>2.6178404337585583E-2</c:v>
                </c:pt>
                <c:pt idx="18">
                  <c:v>4.0673162129541224E-2</c:v>
                </c:pt>
                <c:pt idx="19">
                  <c:v>3.3391487897618456E-2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22B-4BAE-807C-AE39524602D7}"/>
            </c:ext>
          </c:extLst>
        </c:ser>
        <c:ser>
          <c:idx val="3"/>
          <c:order val="3"/>
          <c:tx>
            <c:strRef>
              <c:f>County_Flow!$CI$21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County_Flow!$CI$22:$CI$41</c:f>
              <c:numCache>
                <c:formatCode>0%</c:formatCode>
                <c:ptCount val="20"/>
                <c:pt idx="0">
                  <c:v>5.4958817012667985E-2</c:v>
                </c:pt>
                <c:pt idx="1">
                  <c:v>4.5975627378257312E-2</c:v>
                </c:pt>
                <c:pt idx="2">
                  <c:v>2.9020760078994269E-2</c:v>
                </c:pt>
                <c:pt idx="3">
                  <c:v>2.1097249650787533E-2</c:v>
                </c:pt>
                <c:pt idx="4">
                  <c:v>2.6178893116901882E-2</c:v>
                </c:pt>
                <c:pt idx="5">
                  <c:v>0.11574586965945764</c:v>
                </c:pt>
                <c:pt idx="6">
                  <c:v>9.4239198497182222E-2</c:v>
                </c:pt>
                <c:pt idx="7">
                  <c:v>5.5392322142478684E-3</c:v>
                </c:pt>
                <c:pt idx="8">
                  <c:v>5.6524252203651079E-2</c:v>
                </c:pt>
                <c:pt idx="9">
                  <c:v>2.157892201724387E-2</c:v>
                </c:pt>
                <c:pt idx="10">
                  <c:v>6.1389143104860072E-2</c:v>
                </c:pt>
                <c:pt idx="11">
                  <c:v>0.17891720052020615</c:v>
                </c:pt>
                <c:pt idx="12">
                  <c:v>0.11047155724676075</c:v>
                </c:pt>
                <c:pt idx="13">
                  <c:v>1.6569529406097971E-2</c:v>
                </c:pt>
                <c:pt idx="14">
                  <c:v>4.1905495881701268E-2</c:v>
                </c:pt>
                <c:pt idx="15">
                  <c:v>5.4910649776022348E-3</c:v>
                </c:pt>
                <c:pt idx="16">
                  <c:v>1.6786281971003323E-2</c:v>
                </c:pt>
                <c:pt idx="17">
                  <c:v>2.5456384567217379E-2</c:v>
                </c:pt>
                <c:pt idx="18">
                  <c:v>4.0243726217426903E-2</c:v>
                </c:pt>
                <c:pt idx="19">
                  <c:v>3.1910794277732288E-2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B-4BAE-807C-AE3952460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County_Flow!$CF$21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County_Flow!$CF$22:$CF$41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0.10607114543036794</c:v>
                      </c:pt>
                      <c:pt idx="1">
                        <c:v>4.2565039292987043E-2</c:v>
                      </c:pt>
                      <c:pt idx="2">
                        <c:v>2.5834030338304958E-2</c:v>
                      </c:pt>
                      <c:pt idx="3">
                        <c:v>3.1568367384815173E-2</c:v>
                      </c:pt>
                      <c:pt idx="4">
                        <c:v>2.9254671879266961E-2</c:v>
                      </c:pt>
                      <c:pt idx="5">
                        <c:v>0.14759129186688869</c:v>
                      </c:pt>
                      <c:pt idx="6">
                        <c:v>9.4358250853979989E-2</c:v>
                      </c:pt>
                      <c:pt idx="7">
                        <c:v>4.6765153020838866E-3</c:v>
                      </c:pt>
                      <c:pt idx="8">
                        <c:v>6.9693050279634058E-2</c:v>
                      </c:pt>
                      <c:pt idx="9">
                        <c:v>1.7806081092571962E-2</c:v>
                      </c:pt>
                      <c:pt idx="10">
                        <c:v>5.0840020067547474E-2</c:v>
                      </c:pt>
                      <c:pt idx="11">
                        <c:v>0.19055587108624383</c:v>
                      </c:pt>
                      <c:pt idx="12">
                        <c:v>7.4544139326292141E-2</c:v>
                      </c:pt>
                      <c:pt idx="13">
                        <c:v>1.6894512037031597E-2</c:v>
                      </c:pt>
                      <c:pt idx="14">
                        <c:v>2.3533105305197477E-2</c:v>
                      </c:pt>
                      <c:pt idx="15">
                        <c:v>2.6158031032037883E-3</c:v>
                      </c:pt>
                      <c:pt idx="16">
                        <c:v>1.1601234173801806E-2</c:v>
                      </c:pt>
                      <c:pt idx="17">
                        <c:v>1.6603372039868326E-2</c:v>
                      </c:pt>
                      <c:pt idx="18">
                        <c:v>2.14779877816361E-2</c:v>
                      </c:pt>
                      <c:pt idx="19">
                        <c:v>2.1915511358276425E-2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22B-4BAE-807C-AE39524602D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County_Flow!$CH$21</c15:sqref>
                        </c15:formulaRef>
                      </c:ext>
                    </c:extLst>
                    <c:strCache>
                      <c:ptCount val="1"/>
                      <c:pt idx="0">
                        <c:v>2021 LEHD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County_Flow!$CH$22:$CH$41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7.3664581210899999E-2</c:v>
                      </c:pt>
                      <c:pt idx="1">
                        <c:v>7.7329616037015936E-2</c:v>
                      </c:pt>
                      <c:pt idx="2">
                        <c:v>2.5057683524028689E-2</c:v>
                      </c:pt>
                      <c:pt idx="3">
                        <c:v>2.3869597211809628E-2</c:v>
                      </c:pt>
                      <c:pt idx="4">
                        <c:v>2.8196879283034274E-2</c:v>
                      </c:pt>
                      <c:pt idx="5">
                        <c:v>0.15908035159590861</c:v>
                      </c:pt>
                      <c:pt idx="6">
                        <c:v>8.9973232329588912E-2</c:v>
                      </c:pt>
                      <c:pt idx="7">
                        <c:v>7.2504370198506482E-3</c:v>
                      </c:pt>
                      <c:pt idx="8">
                        <c:v>5.9645640750656911E-2</c:v>
                      </c:pt>
                      <c:pt idx="9">
                        <c:v>2.2151694748741204E-2</c:v>
                      </c:pt>
                      <c:pt idx="10">
                        <c:v>5.202641815054642E-2</c:v>
                      </c:pt>
                      <c:pt idx="11">
                        <c:v>0.17118490467747194</c:v>
                      </c:pt>
                      <c:pt idx="12">
                        <c:v>7.2130533443660008E-2</c:v>
                      </c:pt>
                      <c:pt idx="13">
                        <c:v>1.1162688153553068E-2</c:v>
                      </c:pt>
                      <c:pt idx="14">
                        <c:v>3.2916304967301184E-2</c:v>
                      </c:pt>
                      <c:pt idx="15">
                        <c:v>5.52996304546535E-3</c:v>
                      </c:pt>
                      <c:pt idx="16">
                        <c:v>1.2016947648905171E-2</c:v>
                      </c:pt>
                      <c:pt idx="17">
                        <c:v>2.4412258868972591E-2</c:v>
                      </c:pt>
                      <c:pt idx="18">
                        <c:v>3.0433872383344579E-2</c:v>
                      </c:pt>
                      <c:pt idx="19">
                        <c:v>2.1966394949244877E-2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22B-4BAE-807C-AE39524602D7}"/>
                  </c:ext>
                </c:extLst>
              </c15:ser>
            </c15:filteredBarSeries>
          </c:ext>
        </c:extLst>
      </c:barChart>
      <c:catAx>
        <c:axId val="8090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Location 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calibration_flow!$M$3</c:f>
              <c:strCache>
                <c:ptCount val="1"/>
                <c:pt idx="0">
                  <c:v>OD Data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calibration_flow!$M$4:$M$23</c:f>
              <c:numCache>
                <c:formatCode>0%</c:formatCode>
                <c:ptCount val="20"/>
                <c:pt idx="0">
                  <c:v>5.582948801488638E-2</c:v>
                </c:pt>
                <c:pt idx="1">
                  <c:v>4.6297597224511641E-2</c:v>
                </c:pt>
                <c:pt idx="2">
                  <c:v>2.9571429993815773E-2</c:v>
                </c:pt>
                <c:pt idx="3">
                  <c:v>2.0644685937695327E-2</c:v>
                </c:pt>
                <c:pt idx="4">
                  <c:v>2.6714960399949993E-2</c:v>
                </c:pt>
                <c:pt idx="5">
                  <c:v>0.11777128993608897</c:v>
                </c:pt>
                <c:pt idx="6">
                  <c:v>9.5560081556521459E-2</c:v>
                </c:pt>
                <c:pt idx="7">
                  <c:v>5.6399233112036217E-3</c:v>
                </c:pt>
                <c:pt idx="8">
                  <c:v>5.7969074457386929E-2</c:v>
                </c:pt>
                <c:pt idx="9">
                  <c:v>2.2579606665685745E-2</c:v>
                </c:pt>
                <c:pt idx="10">
                  <c:v>6.4121215205445642E-2</c:v>
                </c:pt>
                <c:pt idx="11">
                  <c:v>0.16397927676667995</c:v>
                </c:pt>
                <c:pt idx="12">
                  <c:v>0.11157268453933065</c:v>
                </c:pt>
                <c:pt idx="13">
                  <c:v>1.696844718462949E-2</c:v>
                </c:pt>
                <c:pt idx="14">
                  <c:v>4.2025062146467632E-2</c:v>
                </c:pt>
                <c:pt idx="15">
                  <c:v>5.6012027706206233E-3</c:v>
                </c:pt>
                <c:pt idx="16">
                  <c:v>1.6910919524334749E-2</c:v>
                </c:pt>
                <c:pt idx="17">
                  <c:v>2.6178404337585583E-2</c:v>
                </c:pt>
                <c:pt idx="18">
                  <c:v>4.0673162129541224E-2</c:v>
                </c:pt>
                <c:pt idx="19">
                  <c:v>3.3391487897618456E-2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E-4DDD-A9D1-E7124230E860}"/>
            </c:ext>
          </c:extLst>
        </c:ser>
        <c:ser>
          <c:idx val="3"/>
          <c:order val="3"/>
          <c:tx>
            <c:strRef>
              <c:f>calibration_flow!$O$3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calibration_flow!$O$4:$O$23</c:f>
              <c:numCache>
                <c:formatCode>0.0%</c:formatCode>
                <c:ptCount val="20"/>
                <c:pt idx="0">
                  <c:v>5.4958817012667985E-2</c:v>
                </c:pt>
                <c:pt idx="1">
                  <c:v>4.5975627378257312E-2</c:v>
                </c:pt>
                <c:pt idx="2">
                  <c:v>2.9020760078994269E-2</c:v>
                </c:pt>
                <c:pt idx="3">
                  <c:v>2.1097249650787533E-2</c:v>
                </c:pt>
                <c:pt idx="4">
                  <c:v>2.6178893116901882E-2</c:v>
                </c:pt>
                <c:pt idx="5">
                  <c:v>0.11574586965945764</c:v>
                </c:pt>
                <c:pt idx="6">
                  <c:v>9.4239198497182222E-2</c:v>
                </c:pt>
                <c:pt idx="7">
                  <c:v>5.5392322142478684E-3</c:v>
                </c:pt>
                <c:pt idx="8">
                  <c:v>5.6524252203651079E-2</c:v>
                </c:pt>
                <c:pt idx="9">
                  <c:v>2.157892201724387E-2</c:v>
                </c:pt>
                <c:pt idx="10">
                  <c:v>6.1389143104860072E-2</c:v>
                </c:pt>
                <c:pt idx="11">
                  <c:v>0.17891720052020615</c:v>
                </c:pt>
                <c:pt idx="12">
                  <c:v>0.11047155724676075</c:v>
                </c:pt>
                <c:pt idx="13">
                  <c:v>1.6569529406097971E-2</c:v>
                </c:pt>
                <c:pt idx="14">
                  <c:v>4.1905495881701268E-2</c:v>
                </c:pt>
                <c:pt idx="15">
                  <c:v>5.4910649776022348E-3</c:v>
                </c:pt>
                <c:pt idx="16">
                  <c:v>1.6786281971003323E-2</c:v>
                </c:pt>
                <c:pt idx="17">
                  <c:v>2.5456384567217379E-2</c:v>
                </c:pt>
                <c:pt idx="18">
                  <c:v>4.0243726217426903E-2</c:v>
                </c:pt>
                <c:pt idx="19">
                  <c:v>3.1910794277732288E-2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CD-4009-9A9A-38BB454F9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calibration_flow!$L$3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calibration_flow!$L$4:$L$23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0.10607114543036794</c:v>
                      </c:pt>
                      <c:pt idx="1">
                        <c:v>4.2565039292987043E-2</c:v>
                      </c:pt>
                      <c:pt idx="2">
                        <c:v>2.5834030338304958E-2</c:v>
                      </c:pt>
                      <c:pt idx="3">
                        <c:v>3.1568367384815173E-2</c:v>
                      </c:pt>
                      <c:pt idx="4">
                        <c:v>2.9254671879266961E-2</c:v>
                      </c:pt>
                      <c:pt idx="5">
                        <c:v>0.14759129186688869</c:v>
                      </c:pt>
                      <c:pt idx="6">
                        <c:v>9.4358250853979989E-2</c:v>
                      </c:pt>
                      <c:pt idx="7">
                        <c:v>4.6765153020838866E-3</c:v>
                      </c:pt>
                      <c:pt idx="8">
                        <c:v>6.9693050279634058E-2</c:v>
                      </c:pt>
                      <c:pt idx="9">
                        <c:v>1.7806081092571962E-2</c:v>
                      </c:pt>
                      <c:pt idx="10">
                        <c:v>5.0840020067547474E-2</c:v>
                      </c:pt>
                      <c:pt idx="11">
                        <c:v>0.19055587108624383</c:v>
                      </c:pt>
                      <c:pt idx="12">
                        <c:v>7.4544139326292141E-2</c:v>
                      </c:pt>
                      <c:pt idx="13">
                        <c:v>1.6894512037031597E-2</c:v>
                      </c:pt>
                      <c:pt idx="14">
                        <c:v>2.3533105305197477E-2</c:v>
                      </c:pt>
                      <c:pt idx="15">
                        <c:v>2.6158031032037883E-3</c:v>
                      </c:pt>
                      <c:pt idx="16">
                        <c:v>1.1601234173801806E-2</c:v>
                      </c:pt>
                      <c:pt idx="17">
                        <c:v>1.6603372039868326E-2</c:v>
                      </c:pt>
                      <c:pt idx="18">
                        <c:v>2.14779877816361E-2</c:v>
                      </c:pt>
                      <c:pt idx="19">
                        <c:v>2.1915511358276425E-2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EBE-4DDD-A9D1-E7124230E86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calibration_flow!$N$3</c15:sqref>
                        </c15:formulaRef>
                      </c:ext>
                    </c:extLst>
                    <c:strCache>
                      <c:ptCount val="1"/>
                      <c:pt idx="0">
                        <c:v>2021 LEHD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calibration_flow!$N$4:$N$23</c15:sqref>
                        </c15:formulaRef>
                      </c:ext>
                    </c:extLst>
                    <c:numCache>
                      <c:formatCode>0.0%</c:formatCode>
                      <c:ptCount val="20"/>
                      <c:pt idx="0">
                        <c:v>7.3664581210899999E-2</c:v>
                      </c:pt>
                      <c:pt idx="1">
                        <c:v>7.7329616037015936E-2</c:v>
                      </c:pt>
                      <c:pt idx="2">
                        <c:v>2.5057683524028689E-2</c:v>
                      </c:pt>
                      <c:pt idx="3">
                        <c:v>2.3869597211809628E-2</c:v>
                      </c:pt>
                      <c:pt idx="4">
                        <c:v>2.8196879283034274E-2</c:v>
                      </c:pt>
                      <c:pt idx="5">
                        <c:v>0.15908035159590861</c:v>
                      </c:pt>
                      <c:pt idx="6">
                        <c:v>8.9973232329588912E-2</c:v>
                      </c:pt>
                      <c:pt idx="7">
                        <c:v>7.2504370198506482E-3</c:v>
                      </c:pt>
                      <c:pt idx="8">
                        <c:v>5.9645640750656911E-2</c:v>
                      </c:pt>
                      <c:pt idx="9">
                        <c:v>2.2151694748741204E-2</c:v>
                      </c:pt>
                      <c:pt idx="10">
                        <c:v>5.202641815054642E-2</c:v>
                      </c:pt>
                      <c:pt idx="11">
                        <c:v>0.17118490467747194</c:v>
                      </c:pt>
                      <c:pt idx="12">
                        <c:v>7.2130533443660008E-2</c:v>
                      </c:pt>
                      <c:pt idx="13">
                        <c:v>1.1162688153553068E-2</c:v>
                      </c:pt>
                      <c:pt idx="14">
                        <c:v>3.2916304967301184E-2</c:v>
                      </c:pt>
                      <c:pt idx="15">
                        <c:v>5.52996304546535E-3</c:v>
                      </c:pt>
                      <c:pt idx="16">
                        <c:v>1.2016947648905171E-2</c:v>
                      </c:pt>
                      <c:pt idx="17">
                        <c:v>2.4412258868972591E-2</c:v>
                      </c:pt>
                      <c:pt idx="18">
                        <c:v>3.0433872383344579E-2</c:v>
                      </c:pt>
                      <c:pt idx="19">
                        <c:v>2.1966394949244877E-2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9CD-4009-9A9A-38BB454F9CCA}"/>
                  </c:ext>
                </c:extLst>
              </c15:ser>
            </c15:filteredBarSeries>
          </c:ext>
        </c:extLst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8343200955488635E-2"/>
                  <c:y val="-2.5423723158565071E-4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4240.0203316602074</c:v>
                </c:pt>
                <c:pt idx="1">
                  <c:v>536.1458796619861</c:v>
                </c:pt>
                <c:pt idx="2">
                  <c:v>296.36952792426456</c:v>
                </c:pt>
                <c:pt idx="3">
                  <c:v>396.15223330580091</c:v>
                </c:pt>
                <c:pt idx="4">
                  <c:v>503.38140923819816</c:v>
                </c:pt>
                <c:pt idx="5">
                  <c:v>2767.8531037550033</c:v>
                </c:pt>
                <c:pt idx="6">
                  <c:v>449.02217421691341</c:v>
                </c:pt>
                <c:pt idx="7">
                  <c:v>43.934176250079418</c:v>
                </c:pt>
                <c:pt idx="8">
                  <c:v>355.19664527606585</c:v>
                </c:pt>
                <c:pt idx="9">
                  <c:v>155.63123451299322</c:v>
                </c:pt>
                <c:pt idx="10">
                  <c:v>349.23946883537707</c:v>
                </c:pt>
                <c:pt idx="11">
                  <c:v>1224.9444056166212</c:v>
                </c:pt>
                <c:pt idx="12">
                  <c:v>154.8865874579071</c:v>
                </c:pt>
                <c:pt idx="13">
                  <c:v>34.253764533960222</c:v>
                </c:pt>
                <c:pt idx="14">
                  <c:v>34.99841158904632</c:v>
                </c:pt>
                <c:pt idx="15">
                  <c:v>9.6804117161191936</c:v>
                </c:pt>
                <c:pt idx="16">
                  <c:v>15.637588156807929</c:v>
                </c:pt>
                <c:pt idx="17">
                  <c:v>29.785882203443673</c:v>
                </c:pt>
                <c:pt idx="18">
                  <c:v>111.69705826291377</c:v>
                </c:pt>
                <c:pt idx="19">
                  <c:v>11.169705826291377</c:v>
                </c:pt>
                <c:pt idx="20">
                  <c:v>1269.0474980949962</c:v>
                </c:pt>
                <c:pt idx="21">
                  <c:v>4605.248666497333</c:v>
                </c:pt>
                <c:pt idx="22">
                  <c:v>417.39192278384553</c:v>
                </c:pt>
                <c:pt idx="23">
                  <c:v>323.49707899415796</c:v>
                </c:pt>
                <c:pt idx="24">
                  <c:v>382.18135636271273</c:v>
                </c:pt>
                <c:pt idx="25">
                  <c:v>2309.9598679197356</c:v>
                </c:pt>
                <c:pt idx="26">
                  <c:v>1318.1955803911608</c:v>
                </c:pt>
                <c:pt idx="27">
                  <c:v>79.223774447548905</c:v>
                </c:pt>
                <c:pt idx="28">
                  <c:v>1009.3695707391414</c:v>
                </c:pt>
                <c:pt idx="29">
                  <c:v>263.34569469138938</c:v>
                </c:pt>
                <c:pt idx="30">
                  <c:v>505.41833883667766</c:v>
                </c:pt>
                <c:pt idx="31">
                  <c:v>1470.0411480822961</c:v>
                </c:pt>
                <c:pt idx="32">
                  <c:v>201.72720345440692</c:v>
                </c:pt>
                <c:pt idx="33">
                  <c:v>30.075692151384299</c:v>
                </c:pt>
                <c:pt idx="34">
                  <c:v>125.43764287528576</c:v>
                </c:pt>
                <c:pt idx="35">
                  <c:v>16.138176276352553</c:v>
                </c:pt>
                <c:pt idx="36">
                  <c:v>17.605283210566419</c:v>
                </c:pt>
                <c:pt idx="37">
                  <c:v>30.809245618491236</c:v>
                </c:pt>
                <c:pt idx="38">
                  <c:v>57.217170434340872</c:v>
                </c:pt>
                <c:pt idx="39">
                  <c:v>8.0690881381762765</c:v>
                </c:pt>
                <c:pt idx="40">
                  <c:v>4174.0111207737109</c:v>
                </c:pt>
                <c:pt idx="41">
                  <c:v>2525.3242680580811</c:v>
                </c:pt>
                <c:pt idx="42">
                  <c:v>7632.0699923577622</c:v>
                </c:pt>
                <c:pt idx="43">
                  <c:v>1645.8344533164677</c:v>
                </c:pt>
                <c:pt idx="44">
                  <c:v>1704.7840408991487</c:v>
                </c:pt>
                <c:pt idx="45">
                  <c:v>6103.1839144069354</c:v>
                </c:pt>
                <c:pt idx="46">
                  <c:v>1356.7913142013861</c:v>
                </c:pt>
                <c:pt idx="47">
                  <c:v>616.11827021898966</c:v>
                </c:pt>
                <c:pt idx="48">
                  <c:v>2293.3291169262393</c:v>
                </c:pt>
                <c:pt idx="49">
                  <c:v>1277.874930824571</c:v>
                </c:pt>
                <c:pt idx="50">
                  <c:v>2630.8630458270745</c:v>
                </c:pt>
                <c:pt idx="51">
                  <c:v>3014.0353651145019</c:v>
                </c:pt>
                <c:pt idx="52">
                  <c:v>325.17353150446672</c:v>
                </c:pt>
                <c:pt idx="53">
                  <c:v>99.833978970669605</c:v>
                </c:pt>
                <c:pt idx="54">
                  <c:v>181.60276174664665</c:v>
                </c:pt>
                <c:pt idx="55">
                  <c:v>112.19437636703825</c:v>
                </c:pt>
                <c:pt idx="56">
                  <c:v>136.91517115977547</c:v>
                </c:pt>
                <c:pt idx="57">
                  <c:v>35.17959258966453</c:v>
                </c:pt>
                <c:pt idx="58">
                  <c:v>191.11075974385327</c:v>
                </c:pt>
                <c:pt idx="59">
                  <c:v>23.769994993016578</c:v>
                </c:pt>
                <c:pt idx="60">
                  <c:v>1279.9784787141032</c:v>
                </c:pt>
                <c:pt idx="61">
                  <c:v>764.14015737440309</c:v>
                </c:pt>
                <c:pt idx="62">
                  <c:v>980.09281054542998</c:v>
                </c:pt>
                <c:pt idx="63">
                  <c:v>2846.7280920034973</c:v>
                </c:pt>
                <c:pt idx="64">
                  <c:v>1168.9420942901338</c:v>
                </c:pt>
                <c:pt idx="65">
                  <c:v>2156.9036249915935</c:v>
                </c:pt>
                <c:pt idx="66">
                  <c:v>526.32994821440582</c:v>
                </c:pt>
                <c:pt idx="67">
                  <c:v>451.13995561234788</c:v>
                </c:pt>
                <c:pt idx="68">
                  <c:v>317.37171295984933</c:v>
                </c:pt>
                <c:pt idx="69">
                  <c:v>624.25179904499294</c:v>
                </c:pt>
                <c:pt idx="70">
                  <c:v>547.31320196381739</c:v>
                </c:pt>
                <c:pt idx="71">
                  <c:v>1054.4085009079292</c:v>
                </c:pt>
                <c:pt idx="72">
                  <c:v>103.16766426794</c:v>
                </c:pt>
                <c:pt idx="73">
                  <c:v>24.48046270764678</c:v>
                </c:pt>
                <c:pt idx="74">
                  <c:v>54.206738852646446</c:v>
                </c:pt>
                <c:pt idx="75">
                  <c:v>20.983253749411528</c:v>
                </c:pt>
                <c:pt idx="76">
                  <c:v>20.108951509852712</c:v>
                </c:pt>
                <c:pt idx="77">
                  <c:v>25.354764947205595</c:v>
                </c:pt>
                <c:pt idx="78">
                  <c:v>30.600578384558478</c:v>
                </c:pt>
                <c:pt idx="79">
                  <c:v>3.4972089582352548</c:v>
                </c:pt>
                <c:pt idx="80">
                  <c:v>1594.7656503932913</c:v>
                </c:pt>
                <c:pt idx="81">
                  <c:v>517.87817720860687</c:v>
                </c:pt>
                <c:pt idx="82">
                  <c:v>558.07449782227138</c:v>
                </c:pt>
                <c:pt idx="83">
                  <c:v>731.01215627640897</c:v>
                </c:pt>
                <c:pt idx="84">
                  <c:v>3160.5525580185918</c:v>
                </c:pt>
                <c:pt idx="85">
                  <c:v>3764.432165377365</c:v>
                </c:pt>
                <c:pt idx="86">
                  <c:v>443.09432490411496</c:v>
                </c:pt>
                <c:pt idx="87">
                  <c:v>128.0673470714425</c:v>
                </c:pt>
                <c:pt idx="88">
                  <c:v>336.5273353702139</c:v>
                </c:pt>
                <c:pt idx="89">
                  <c:v>903.01501657674066</c:v>
                </c:pt>
                <c:pt idx="90">
                  <c:v>373.91926152245986</c:v>
                </c:pt>
                <c:pt idx="91">
                  <c:v>1555.5041279334332</c:v>
                </c:pt>
                <c:pt idx="92">
                  <c:v>80.392641227328866</c:v>
                </c:pt>
                <c:pt idx="93">
                  <c:v>12.152375999479947</c:v>
                </c:pt>
                <c:pt idx="94">
                  <c:v>20.565559383735291</c:v>
                </c:pt>
                <c:pt idx="95">
                  <c:v>114.04537476435026</c:v>
                </c:pt>
                <c:pt idx="96">
                  <c:v>16.826366768510692</c:v>
                </c:pt>
                <c:pt idx="97">
                  <c:v>14.956770460898394</c:v>
                </c:pt>
                <c:pt idx="98">
                  <c:v>46.739907690307483</c:v>
                </c:pt>
                <c:pt idx="99">
                  <c:v>7.4783852304491969</c:v>
                </c:pt>
                <c:pt idx="100">
                  <c:v>3121.3529716527278</c:v>
                </c:pt>
                <c:pt idx="101">
                  <c:v>1511.2737769225075</c:v>
                </c:pt>
                <c:pt idx="102">
                  <c:v>786.70071299928452</c:v>
                </c:pt>
                <c:pt idx="103">
                  <c:v>814.39617102114323</c:v>
                </c:pt>
                <c:pt idx="104">
                  <c:v>1326.3878814792886</c:v>
                </c:pt>
                <c:pt idx="105">
                  <c:v>14906.893148792342</c:v>
                </c:pt>
                <c:pt idx="106">
                  <c:v>869.78708706486077</c:v>
                </c:pt>
                <c:pt idx="107">
                  <c:v>72.607011570818841</c:v>
                </c:pt>
                <c:pt idx="108">
                  <c:v>733.55537463301505</c:v>
                </c:pt>
                <c:pt idx="109">
                  <c:v>770.9816692571485</c:v>
                </c:pt>
                <c:pt idx="110">
                  <c:v>475.31394172649448</c:v>
                </c:pt>
                <c:pt idx="111">
                  <c:v>4232.9139219894905</c:v>
                </c:pt>
                <c:pt idx="112">
                  <c:v>220.06661238990452</c:v>
                </c:pt>
                <c:pt idx="113">
                  <c:v>41.168924086546767</c:v>
                </c:pt>
                <c:pt idx="114">
                  <c:v>112.27888387240027</c:v>
                </c:pt>
                <c:pt idx="115">
                  <c:v>81.589322280610858</c:v>
                </c:pt>
                <c:pt idx="116">
                  <c:v>58.38501961364814</c:v>
                </c:pt>
                <c:pt idx="117">
                  <c:v>71.858485678336166</c:v>
                </c:pt>
                <c:pt idx="118">
                  <c:v>107.78772851750425</c:v>
                </c:pt>
                <c:pt idx="119">
                  <c:v>24.701354451928058</c:v>
                </c:pt>
                <c:pt idx="120">
                  <c:v>4259.497615134067</c:v>
                </c:pt>
                <c:pt idx="121">
                  <c:v>5823.5025764619286</c:v>
                </c:pt>
                <c:pt idx="122">
                  <c:v>2257.3460929543094</c:v>
                </c:pt>
                <c:pt idx="123">
                  <c:v>1375.423679248137</c:v>
                </c:pt>
                <c:pt idx="124">
                  <c:v>2304.2568596408078</c:v>
                </c:pt>
                <c:pt idx="125">
                  <c:v>7978.5831980396706</c:v>
                </c:pt>
                <c:pt idx="126">
                  <c:v>36322.068430022082</c:v>
                </c:pt>
                <c:pt idx="127">
                  <c:v>257.07100144201195</c:v>
                </c:pt>
                <c:pt idx="128">
                  <c:v>4662.9302086379539</c:v>
                </c:pt>
                <c:pt idx="129">
                  <c:v>1466.4305666199441</c:v>
                </c:pt>
                <c:pt idx="130">
                  <c:v>1944.9203868222291</c:v>
                </c:pt>
                <c:pt idx="131">
                  <c:v>11746.455978299233</c:v>
                </c:pt>
                <c:pt idx="132">
                  <c:v>10159.933848961853</c:v>
                </c:pt>
                <c:pt idx="133">
                  <c:v>69.427934696017829</c:v>
                </c:pt>
                <c:pt idx="134">
                  <c:v>1031.0986517692377</c:v>
                </c:pt>
                <c:pt idx="135">
                  <c:v>91.94510270553711</c:v>
                </c:pt>
                <c:pt idx="136">
                  <c:v>106.01833271148668</c:v>
                </c:pt>
                <c:pt idx="137">
                  <c:v>739.31368297921688</c:v>
                </c:pt>
                <c:pt idx="138">
                  <c:v>198.90165075075379</c:v>
                </c:pt>
                <c:pt idx="139">
                  <c:v>244.87420210352232</c:v>
                </c:pt>
                <c:pt idx="140">
                  <c:v>454.72178060413353</c:v>
                </c:pt>
                <c:pt idx="141">
                  <c:v>350.55643879173289</c:v>
                </c:pt>
                <c:pt idx="142">
                  <c:v>523.83147853736091</c:v>
                </c:pt>
                <c:pt idx="143">
                  <c:v>256.40699523052467</c:v>
                </c:pt>
                <c:pt idx="144">
                  <c:v>284.45151033386327</c:v>
                </c:pt>
                <c:pt idx="145">
                  <c:v>827.31319554848972</c:v>
                </c:pt>
                <c:pt idx="146">
                  <c:v>170.27027027027029</c:v>
                </c:pt>
                <c:pt idx="147">
                  <c:v>508.80763116057238</c:v>
                </c:pt>
                <c:pt idx="148">
                  <c:v>171.27186009538951</c:v>
                </c:pt>
                <c:pt idx="149">
                  <c:v>224.35612082670906</c:v>
                </c:pt>
                <c:pt idx="150">
                  <c:v>646.02543720190783</c:v>
                </c:pt>
                <c:pt idx="151">
                  <c:v>285.45310015898252</c:v>
                </c:pt>
                <c:pt idx="152">
                  <c:v>29.046104928457869</c:v>
                </c:pt>
                <c:pt idx="153">
                  <c:v>132.20985691573927</c:v>
                </c:pt>
                <c:pt idx="154">
                  <c:v>14.022257551669316</c:v>
                </c:pt>
                <c:pt idx="155">
                  <c:v>23.036565977742448</c:v>
                </c:pt>
                <c:pt idx="156">
                  <c:v>78.124006359300481</c:v>
                </c:pt>
                <c:pt idx="157">
                  <c:v>8.012718600953896</c:v>
                </c:pt>
                <c:pt idx="158">
                  <c:v>31.049284578696344</c:v>
                </c:pt>
                <c:pt idx="159">
                  <c:v>21.033386327503976</c:v>
                </c:pt>
                <c:pt idx="160">
                  <c:v>4026.4930531313275</c:v>
                </c:pt>
                <c:pt idx="161">
                  <c:v>5600.8992529498018</c:v>
                </c:pt>
                <c:pt idx="162">
                  <c:v>2151.1401242756406</c:v>
                </c:pt>
                <c:pt idx="163">
                  <c:v>1306.3603993576764</c:v>
                </c:pt>
                <c:pt idx="164">
                  <c:v>1506.6689939258536</c:v>
                </c:pt>
                <c:pt idx="165">
                  <c:v>6680.823849752147</c:v>
                </c:pt>
                <c:pt idx="166">
                  <c:v>6807.5891922083365</c:v>
                </c:pt>
                <c:pt idx="167">
                  <c:v>164.50464288207777</c:v>
                </c:pt>
                <c:pt idx="168">
                  <c:v>22233.286322697757</c:v>
                </c:pt>
                <c:pt idx="169">
                  <c:v>997.67227536130702</c:v>
                </c:pt>
                <c:pt idx="170">
                  <c:v>3623.940515255184</c:v>
                </c:pt>
                <c:pt idx="171">
                  <c:v>5461.5541436849817</c:v>
                </c:pt>
                <c:pt idx="172">
                  <c:v>2314.6770927878238</c:v>
                </c:pt>
                <c:pt idx="173">
                  <c:v>162.56929414228861</c:v>
                </c:pt>
                <c:pt idx="174">
                  <c:v>5006.747189834532</c:v>
                </c:pt>
                <c:pt idx="175">
                  <c:v>76.446275221671442</c:v>
                </c:pt>
                <c:pt idx="176">
                  <c:v>106.44418068840326</c:v>
                </c:pt>
                <c:pt idx="177">
                  <c:v>206.11464078754449</c:v>
                </c:pt>
                <c:pt idx="178">
                  <c:v>836.07065558891293</c:v>
                </c:pt>
                <c:pt idx="179">
                  <c:v>29.997905466731829</c:v>
                </c:pt>
                <c:pt idx="180">
                  <c:v>2325.9825259136314</c:v>
                </c:pt>
                <c:pt idx="181">
                  <c:v>949.08715122287288</c:v>
                </c:pt>
                <c:pt idx="182">
                  <c:v>673.16882222152628</c:v>
                </c:pt>
                <c:pt idx="183">
                  <c:v>960.77098925876055</c:v>
                </c:pt>
                <c:pt idx="184">
                  <c:v>1685.1689474837942</c:v>
                </c:pt>
                <c:pt idx="185">
                  <c:v>7483.94764037203</c:v>
                </c:pt>
                <c:pt idx="186">
                  <c:v>771.13331036858426</c:v>
                </c:pt>
                <c:pt idx="187">
                  <c:v>75.495568847273987</c:v>
                </c:pt>
                <c:pt idx="188">
                  <c:v>773.82958068455832</c:v>
                </c:pt>
                <c:pt idx="189">
                  <c:v>5865.2866940155955</c:v>
                </c:pt>
                <c:pt idx="190">
                  <c:v>836.74255472395328</c:v>
                </c:pt>
                <c:pt idx="191">
                  <c:v>4905.414461528826</c:v>
                </c:pt>
                <c:pt idx="192">
                  <c:v>203.11903047004665</c:v>
                </c:pt>
                <c:pt idx="193">
                  <c:v>46.735352143550557</c:v>
                </c:pt>
                <c:pt idx="194">
                  <c:v>87.179406883161619</c:v>
                </c:pt>
                <c:pt idx="195">
                  <c:v>811.57736510819529</c:v>
                </c:pt>
                <c:pt idx="196">
                  <c:v>75.495568847273987</c:v>
                </c:pt>
                <c:pt idx="197">
                  <c:v>55.722919863464128</c:v>
                </c:pt>
                <c:pt idx="198">
                  <c:v>71.001784987317194</c:v>
                </c:pt>
                <c:pt idx="199">
                  <c:v>43.14032505558513</c:v>
                </c:pt>
                <c:pt idx="200">
                  <c:v>3421.7873638713504</c:v>
                </c:pt>
                <c:pt idx="201">
                  <c:v>2445.5765074791307</c:v>
                </c:pt>
                <c:pt idx="202">
                  <c:v>3694.4531547946949</c:v>
                </c:pt>
                <c:pt idx="203">
                  <c:v>1901.9280477986354</c:v>
                </c:pt>
                <c:pt idx="204">
                  <c:v>1799.257595660833</c:v>
                </c:pt>
                <c:pt idx="205">
                  <c:v>5852.2157718547396</c:v>
                </c:pt>
                <c:pt idx="206">
                  <c:v>1776.535446417221</c:v>
                </c:pt>
                <c:pt idx="207">
                  <c:v>1088.9800415271834</c:v>
                </c:pt>
                <c:pt idx="208">
                  <c:v>3743.2636976143053</c:v>
                </c:pt>
                <c:pt idx="209">
                  <c:v>738.89063095893891</c:v>
                </c:pt>
                <c:pt idx="210">
                  <c:v>22754.128564769693</c:v>
                </c:pt>
                <c:pt idx="211">
                  <c:v>2568.4444256112547</c:v>
                </c:pt>
                <c:pt idx="212">
                  <c:v>581.51870841984828</c:v>
                </c:pt>
                <c:pt idx="213">
                  <c:v>485.58074494681978</c:v>
                </c:pt>
                <c:pt idx="214">
                  <c:v>695.12945463790834</c:v>
                </c:pt>
                <c:pt idx="215">
                  <c:v>69.849569897029539</c:v>
                </c:pt>
                <c:pt idx="216">
                  <c:v>1309.4690452985296</c:v>
                </c:pt>
                <c:pt idx="217">
                  <c:v>69.849569897029539</c:v>
                </c:pt>
                <c:pt idx="218">
                  <c:v>4541.9051654731129</c:v>
                </c:pt>
                <c:pt idx="219">
                  <c:v>41.236493071740327</c:v>
                </c:pt>
                <c:pt idx="220">
                  <c:v>6993.8964528708611</c:v>
                </c:pt>
                <c:pt idx="221">
                  <c:v>4084.6592465625258</c:v>
                </c:pt>
                <c:pt idx="222">
                  <c:v>1888.9744837239241</c:v>
                </c:pt>
                <c:pt idx="223">
                  <c:v>1617.445677801813</c:v>
                </c:pt>
                <c:pt idx="224">
                  <c:v>2851.503506710279</c:v>
                </c:pt>
                <c:pt idx="225">
                  <c:v>17112.629396486554</c:v>
                </c:pt>
                <c:pt idx="226">
                  <c:v>8036.7114018607635</c:v>
                </c:pt>
                <c:pt idx="227">
                  <c:v>241.75986706686328</c:v>
                </c:pt>
                <c:pt idx="228">
                  <c:v>2893.9016923526024</c:v>
                </c:pt>
                <c:pt idx="229">
                  <c:v>2103.6716791041981</c:v>
                </c:pt>
                <c:pt idx="230">
                  <c:v>1602.1101638460789</c:v>
                </c:pt>
                <c:pt idx="231">
                  <c:v>63150.744380655837</c:v>
                </c:pt>
                <c:pt idx="232">
                  <c:v>2338.2148337213043</c:v>
                </c:pt>
                <c:pt idx="233">
                  <c:v>79.383836947328234</c:v>
                </c:pt>
                <c:pt idx="234">
                  <c:v>436.61110321030532</c:v>
                </c:pt>
                <c:pt idx="235">
                  <c:v>530.42836505714774</c:v>
                </c:pt>
                <c:pt idx="236">
                  <c:v>127.1945569269691</c:v>
                </c:pt>
                <c:pt idx="237">
                  <c:v>3324.1981721693696</c:v>
                </c:pt>
                <c:pt idx="238">
                  <c:v>177.7115440752689</c:v>
                </c:pt>
                <c:pt idx="239">
                  <c:v>928.24963885000864</c:v>
                </c:pt>
                <c:pt idx="240">
                  <c:v>1393.0139793603162</c:v>
                </c:pt>
                <c:pt idx="241">
                  <c:v>1548.79967796238</c:v>
                </c:pt>
                <c:pt idx="242">
                  <c:v>394.89863134011563</c:v>
                </c:pt>
                <c:pt idx="243">
                  <c:v>332.40320573812488</c:v>
                </c:pt>
                <c:pt idx="244">
                  <c:v>400.33301617507141</c:v>
                </c:pt>
                <c:pt idx="245">
                  <c:v>2903.7729634780062</c:v>
                </c:pt>
                <c:pt idx="246">
                  <c:v>13374.021078826026</c:v>
                </c:pt>
                <c:pt idx="247">
                  <c:v>20.831808533996924</c:v>
                </c:pt>
                <c:pt idx="248">
                  <c:v>1663.8274903022764</c:v>
                </c:pt>
                <c:pt idx="249">
                  <c:v>393.08716972846372</c:v>
                </c:pt>
                <c:pt idx="250">
                  <c:v>408.48459342750493</c:v>
                </c:pt>
                <c:pt idx="251">
                  <c:v>5922.5737392959081</c:v>
                </c:pt>
                <c:pt idx="252">
                  <c:v>65329.457293420186</c:v>
                </c:pt>
                <c:pt idx="253">
                  <c:v>26.266193368952646</c:v>
                </c:pt>
                <c:pt idx="254">
                  <c:v>2196.3972041279367</c:v>
                </c:pt>
                <c:pt idx="255">
                  <c:v>82.421503330161755</c:v>
                </c:pt>
                <c:pt idx="256">
                  <c:v>35.323501427212179</c:v>
                </c:pt>
                <c:pt idx="257">
                  <c:v>2203.6430505745443</c:v>
                </c:pt>
                <c:pt idx="258">
                  <c:v>93.290273000073185</c:v>
                </c:pt>
                <c:pt idx="259">
                  <c:v>277.15362658274171</c:v>
                </c:pt>
                <c:pt idx="260">
                  <c:v>667.1743218957663</c:v>
                </c:pt>
                <c:pt idx="261">
                  <c:v>881.05738287290512</c:v>
                </c:pt>
                <c:pt idx="262">
                  <c:v>359.11229991223303</c:v>
                </c:pt>
                <c:pt idx="263">
                  <c:v>370.5546035859071</c:v>
                </c:pt>
                <c:pt idx="264">
                  <c:v>332.70698374221593</c:v>
                </c:pt>
                <c:pt idx="265">
                  <c:v>1845.7316002841978</c:v>
                </c:pt>
                <c:pt idx="266">
                  <c:v>480.57675429431191</c:v>
                </c:pt>
                <c:pt idx="267">
                  <c:v>242.92890876415763</c:v>
                </c:pt>
                <c:pt idx="268">
                  <c:v>389.91850211058636</c:v>
                </c:pt>
                <c:pt idx="269">
                  <c:v>224.44518744514565</c:v>
                </c:pt>
                <c:pt idx="270">
                  <c:v>1961.9149914322732</c:v>
                </c:pt>
                <c:pt idx="271">
                  <c:v>599.40067705938895</c:v>
                </c:pt>
                <c:pt idx="272">
                  <c:v>53.690809545701512</c:v>
                </c:pt>
                <c:pt idx="273">
                  <c:v>10485.551051113804</c:v>
                </c:pt>
                <c:pt idx="274">
                  <c:v>78.335771304384167</c:v>
                </c:pt>
                <c:pt idx="275">
                  <c:v>11.442303673674092</c:v>
                </c:pt>
                <c:pt idx="276">
                  <c:v>1660.8943870940777</c:v>
                </c:pt>
                <c:pt idx="277">
                  <c:v>9.6819492623396162</c:v>
                </c:pt>
                <c:pt idx="278">
                  <c:v>401.36080578426044</c:v>
                </c:pt>
                <c:pt idx="279">
                  <c:v>3.5207088226689511</c:v>
                </c:pt>
                <c:pt idx="280">
                  <c:v>891.54209697181875</c:v>
                </c:pt>
                <c:pt idx="281">
                  <c:v>1507.5862068965516</c:v>
                </c:pt>
                <c:pt idx="282">
                  <c:v>210.44985121652371</c:v>
                </c:pt>
                <c:pt idx="283">
                  <c:v>316.63136705758797</c:v>
                </c:pt>
                <c:pt idx="284">
                  <c:v>333.84999124803079</c:v>
                </c:pt>
                <c:pt idx="285">
                  <c:v>1598.4622790127778</c:v>
                </c:pt>
                <c:pt idx="286">
                  <c:v>2653.5813057938035</c:v>
                </c:pt>
                <c:pt idx="287">
                  <c:v>34.437248380885698</c:v>
                </c:pt>
                <c:pt idx="288">
                  <c:v>4818.3450026255905</c:v>
                </c:pt>
                <c:pt idx="289">
                  <c:v>154.01102748118328</c:v>
                </c:pt>
                <c:pt idx="290">
                  <c:v>746.14038158585686</c:v>
                </c:pt>
                <c:pt idx="291">
                  <c:v>1701.774024155435</c:v>
                </c:pt>
                <c:pt idx="292">
                  <c:v>3846.4493260983722</c:v>
                </c:pt>
                <c:pt idx="293">
                  <c:v>15.305443724838089</c:v>
                </c:pt>
                <c:pt idx="294">
                  <c:v>23761.70138281113</c:v>
                </c:pt>
                <c:pt idx="295">
                  <c:v>22.001575354454754</c:v>
                </c:pt>
                <c:pt idx="296">
                  <c:v>141.57535445475233</c:v>
                </c:pt>
                <c:pt idx="297">
                  <c:v>106.18151584106423</c:v>
                </c:pt>
                <c:pt idx="298">
                  <c:v>842.75599509889719</c:v>
                </c:pt>
                <c:pt idx="299">
                  <c:v>17.218624190442849</c:v>
                </c:pt>
                <c:pt idx="300">
                  <c:v>1231.833354731031</c:v>
                </c:pt>
                <c:pt idx="301">
                  <c:v>591.02580562331502</c:v>
                </c:pt>
                <c:pt idx="302">
                  <c:v>323.0517396328155</c:v>
                </c:pt>
                <c:pt idx="303">
                  <c:v>367.53755295930159</c:v>
                </c:pt>
                <c:pt idx="304">
                  <c:v>515.8235973809218</c:v>
                </c:pt>
                <c:pt idx="305">
                  <c:v>3170.1437925279238</c:v>
                </c:pt>
                <c:pt idx="306">
                  <c:v>406.72743612787264</c:v>
                </c:pt>
                <c:pt idx="307">
                  <c:v>62.491975863397094</c:v>
                </c:pt>
                <c:pt idx="308">
                  <c:v>416.26011041211967</c:v>
                </c:pt>
                <c:pt idx="309">
                  <c:v>1773.0774168699447</c:v>
                </c:pt>
                <c:pt idx="310">
                  <c:v>292.33534471690848</c:v>
                </c:pt>
                <c:pt idx="311">
                  <c:v>4289.7034279111567</c:v>
                </c:pt>
                <c:pt idx="312">
                  <c:v>63.551161894980098</c:v>
                </c:pt>
                <c:pt idx="313">
                  <c:v>32.834766979073052</c:v>
                </c:pt>
                <c:pt idx="314">
                  <c:v>11.651046347413018</c:v>
                </c:pt>
                <c:pt idx="315">
                  <c:v>2550.5199640518681</c:v>
                </c:pt>
                <c:pt idx="316">
                  <c:v>10.591860315830017</c:v>
                </c:pt>
                <c:pt idx="317">
                  <c:v>249.96790345358838</c:v>
                </c:pt>
                <c:pt idx="318">
                  <c:v>67.787906021312111</c:v>
                </c:pt>
                <c:pt idx="319">
                  <c:v>73.08383617922712</c:v>
                </c:pt>
                <c:pt idx="320">
                  <c:v>902.57449344457689</c:v>
                </c:pt>
                <c:pt idx="321">
                  <c:v>969.79921151554038</c:v>
                </c:pt>
                <c:pt idx="322">
                  <c:v>403.34830842578162</c:v>
                </c:pt>
                <c:pt idx="323">
                  <c:v>434.2055560649124</c:v>
                </c:pt>
                <c:pt idx="324">
                  <c:v>386.81764004767587</c:v>
                </c:pt>
                <c:pt idx="325">
                  <c:v>1628.8218575226917</c:v>
                </c:pt>
                <c:pt idx="326">
                  <c:v>523.47116530668382</c:v>
                </c:pt>
                <c:pt idx="327">
                  <c:v>296.44998624736405</c:v>
                </c:pt>
                <c:pt idx="328">
                  <c:v>610.53268543137438</c:v>
                </c:pt>
                <c:pt idx="329">
                  <c:v>126.73512423214449</c:v>
                </c:pt>
                <c:pt idx="330">
                  <c:v>3975.0747226551757</c:v>
                </c:pt>
                <c:pt idx="331">
                  <c:v>657.92060144861102</c:v>
                </c:pt>
                <c:pt idx="332">
                  <c:v>171.91895113230035</c:v>
                </c:pt>
                <c:pt idx="333">
                  <c:v>1679.5159072155495</c:v>
                </c:pt>
                <c:pt idx="334">
                  <c:v>165.30668378105804</c:v>
                </c:pt>
                <c:pt idx="335">
                  <c:v>11.020445585403868</c:v>
                </c:pt>
                <c:pt idx="336">
                  <c:v>7780.4345832951312</c:v>
                </c:pt>
                <c:pt idx="337">
                  <c:v>0</c:v>
                </c:pt>
                <c:pt idx="338">
                  <c:v>3310.5418538553226</c:v>
                </c:pt>
                <c:pt idx="339">
                  <c:v>5.510222792701934</c:v>
                </c:pt>
                <c:pt idx="340">
                  <c:v>1120.3963280077678</c:v>
                </c:pt>
                <c:pt idx="341">
                  <c:v>924.26824962485648</c:v>
                </c:pt>
                <c:pt idx="342">
                  <c:v>360.54682672786652</c:v>
                </c:pt>
                <c:pt idx="343">
                  <c:v>433.36084385206107</c:v>
                </c:pt>
                <c:pt idx="344">
                  <c:v>838.53561655927263</c:v>
                </c:pt>
                <c:pt idx="345">
                  <c:v>3069.9329155265245</c:v>
                </c:pt>
                <c:pt idx="346">
                  <c:v>2889.0722923470739</c:v>
                </c:pt>
                <c:pt idx="347">
                  <c:v>92.779150851796274</c:v>
                </c:pt>
                <c:pt idx="348">
                  <c:v>520.26789654868037</c:v>
                </c:pt>
                <c:pt idx="349">
                  <c:v>315.91888074852153</c:v>
                </c:pt>
                <c:pt idx="350">
                  <c:v>151.50013240356606</c:v>
                </c:pt>
                <c:pt idx="351">
                  <c:v>17664.445670403387</c:v>
                </c:pt>
                <c:pt idx="352">
                  <c:v>6469.8777473739956</c:v>
                </c:pt>
                <c:pt idx="353">
                  <c:v>10.569776679318563</c:v>
                </c:pt>
                <c:pt idx="354">
                  <c:v>189.08156059669875</c:v>
                </c:pt>
                <c:pt idx="355">
                  <c:v>243.10486362432695</c:v>
                </c:pt>
                <c:pt idx="356">
                  <c:v>18.790714096566333</c:v>
                </c:pt>
                <c:pt idx="357">
                  <c:v>13491.732721334629</c:v>
                </c:pt>
                <c:pt idx="358">
                  <c:v>70.465177862123753</c:v>
                </c:pt>
                <c:pt idx="359">
                  <c:v>4345.3526348309642</c:v>
                </c:pt>
                <c:pt idx="360">
                  <c:v>1183.214720382862</c:v>
                </c:pt>
                <c:pt idx="361">
                  <c:v>998.42812055201432</c:v>
                </c:pt>
                <c:pt idx="362">
                  <c:v>474.05986344039439</c:v>
                </c:pt>
                <c:pt idx="363">
                  <c:v>346.35394104420652</c:v>
                </c:pt>
                <c:pt idx="364">
                  <c:v>344.41900282608248</c:v>
                </c:pt>
                <c:pt idx="365">
                  <c:v>1640.8276089692019</c:v>
                </c:pt>
                <c:pt idx="366">
                  <c:v>701.41510406997133</c:v>
                </c:pt>
                <c:pt idx="367">
                  <c:v>182.85166161272357</c:v>
                </c:pt>
                <c:pt idx="368">
                  <c:v>916.19324628174184</c:v>
                </c:pt>
                <c:pt idx="369">
                  <c:v>148.99024279555255</c:v>
                </c:pt>
                <c:pt idx="370">
                  <c:v>8345.3885347690666</c:v>
                </c:pt>
                <c:pt idx="371">
                  <c:v>1430.8868123027414</c:v>
                </c:pt>
                <c:pt idx="372">
                  <c:v>267.98894321018219</c:v>
                </c:pt>
                <c:pt idx="373">
                  <c:v>413.10930956948658</c:v>
                </c:pt>
                <c:pt idx="374">
                  <c:v>1904.9466757431358</c:v>
                </c:pt>
                <c:pt idx="375">
                  <c:v>40.633702580605238</c:v>
                </c:pt>
                <c:pt idx="376">
                  <c:v>3595.1152092745015</c:v>
                </c:pt>
                <c:pt idx="377">
                  <c:v>11.609629308744353</c:v>
                </c:pt>
                <c:pt idx="378">
                  <c:v>23942.925511067104</c:v>
                </c:pt>
                <c:pt idx="379">
                  <c:v>10.642160199682323</c:v>
                </c:pt>
                <c:pt idx="380">
                  <c:v>288.31003947508799</c:v>
                </c:pt>
                <c:pt idx="381">
                  <c:v>293.88509548703723</c:v>
                </c:pt>
                <c:pt idx="382">
                  <c:v>39.821828656780113</c:v>
                </c:pt>
                <c:pt idx="383">
                  <c:v>39.821828656780113</c:v>
                </c:pt>
                <c:pt idx="384">
                  <c:v>95.572388776272263</c:v>
                </c:pt>
                <c:pt idx="385">
                  <c:v>414.94345460364877</c:v>
                </c:pt>
                <c:pt idx="386">
                  <c:v>307.42451723034247</c:v>
                </c:pt>
                <c:pt idx="387">
                  <c:v>3.1857462925424089</c:v>
                </c:pt>
                <c:pt idx="388">
                  <c:v>113.89042995839112</c:v>
                </c:pt>
                <c:pt idx="389">
                  <c:v>136.98709057932359</c:v>
                </c:pt>
                <c:pt idx="390">
                  <c:v>54.157686973220954</c:v>
                </c:pt>
                <c:pt idx="391">
                  <c:v>4578.7138589565775</c:v>
                </c:pt>
                <c:pt idx="392">
                  <c:v>443.6151712365305</c:v>
                </c:pt>
                <c:pt idx="393">
                  <c:v>7.9643657313560228</c:v>
                </c:pt>
                <c:pt idx="394">
                  <c:v>3.9821828656780114</c:v>
                </c:pt>
                <c:pt idx="395">
                  <c:v>69.28998186279739</c:v>
                </c:pt>
                <c:pt idx="396">
                  <c:v>15.928731462712046</c:v>
                </c:pt>
                <c:pt idx="397">
                  <c:v>3403.1734770084286</c:v>
                </c:pt>
                <c:pt idx="398">
                  <c:v>8.7608023044916248</c:v>
                </c:pt>
                <c:pt idx="399">
                  <c:v>19540.571321882002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2420.0000000000005</c:v>
                </c:pt>
                <c:pt idx="1">
                  <c:v>580.00000000000011</c:v>
                </c:pt>
                <c:pt idx="2">
                  <c:v>500.00000000000006</c:v>
                </c:pt>
                <c:pt idx="3">
                  <c:v>800.00000000000011</c:v>
                </c:pt>
                <c:pt idx="4">
                  <c:v>640.00000000000011</c:v>
                </c:pt>
                <c:pt idx="5">
                  <c:v>3920.0000000000005</c:v>
                </c:pt>
                <c:pt idx="6">
                  <c:v>220.00000000000003</c:v>
                </c:pt>
                <c:pt idx="7">
                  <c:v>60.000000000000007</c:v>
                </c:pt>
                <c:pt idx="8">
                  <c:v>320.00000000000006</c:v>
                </c:pt>
                <c:pt idx="9">
                  <c:v>220.00000000000003</c:v>
                </c:pt>
                <c:pt idx="10">
                  <c:v>460.00000000000006</c:v>
                </c:pt>
                <c:pt idx="11">
                  <c:v>1220.0000000000002</c:v>
                </c:pt>
                <c:pt idx="12">
                  <c:v>80.000000000000014</c:v>
                </c:pt>
                <c:pt idx="13">
                  <c:v>0</c:v>
                </c:pt>
                <c:pt idx="14">
                  <c:v>60.000000000000007</c:v>
                </c:pt>
                <c:pt idx="15">
                  <c:v>60.000000000000007</c:v>
                </c:pt>
                <c:pt idx="16">
                  <c:v>20.000000000000004</c:v>
                </c:pt>
                <c:pt idx="17">
                  <c:v>60.000000000000007</c:v>
                </c:pt>
                <c:pt idx="18">
                  <c:v>80.000000000000014</c:v>
                </c:pt>
                <c:pt idx="19">
                  <c:v>0</c:v>
                </c:pt>
                <c:pt idx="20">
                  <c:v>1600.0000000000002</c:v>
                </c:pt>
                <c:pt idx="21">
                  <c:v>2280.0000000000005</c:v>
                </c:pt>
                <c:pt idx="22">
                  <c:v>500.00000000000006</c:v>
                </c:pt>
                <c:pt idx="23">
                  <c:v>500.00000000000006</c:v>
                </c:pt>
                <c:pt idx="24">
                  <c:v>440.00000000000006</c:v>
                </c:pt>
                <c:pt idx="25">
                  <c:v>3000.0000000000005</c:v>
                </c:pt>
                <c:pt idx="26">
                  <c:v>1260.0000000000002</c:v>
                </c:pt>
                <c:pt idx="27">
                  <c:v>60.000000000000007</c:v>
                </c:pt>
                <c:pt idx="28">
                  <c:v>1200.0000000000002</c:v>
                </c:pt>
                <c:pt idx="29">
                  <c:v>220.00000000000003</c:v>
                </c:pt>
                <c:pt idx="30">
                  <c:v>580.00000000000011</c:v>
                </c:pt>
                <c:pt idx="31">
                  <c:v>2020.0000000000002</c:v>
                </c:pt>
                <c:pt idx="32">
                  <c:v>280.00000000000006</c:v>
                </c:pt>
                <c:pt idx="33">
                  <c:v>40.000000000000007</c:v>
                </c:pt>
                <c:pt idx="34">
                  <c:v>260.00000000000006</c:v>
                </c:pt>
                <c:pt idx="35">
                  <c:v>40.000000000000007</c:v>
                </c:pt>
                <c:pt idx="36">
                  <c:v>20.000000000000004</c:v>
                </c:pt>
                <c:pt idx="37">
                  <c:v>60.000000000000007</c:v>
                </c:pt>
                <c:pt idx="38">
                  <c:v>80.000000000000014</c:v>
                </c:pt>
                <c:pt idx="39">
                  <c:v>0</c:v>
                </c:pt>
                <c:pt idx="40">
                  <c:v>4879.9999999999991</c:v>
                </c:pt>
                <c:pt idx="41">
                  <c:v>2619.9999999999995</c:v>
                </c:pt>
                <c:pt idx="42">
                  <c:v>4119.9999999999991</c:v>
                </c:pt>
                <c:pt idx="43">
                  <c:v>1759.9999999999995</c:v>
                </c:pt>
                <c:pt idx="44">
                  <c:v>1479.9999999999998</c:v>
                </c:pt>
                <c:pt idx="45">
                  <c:v>7359.9999999999982</c:v>
                </c:pt>
                <c:pt idx="46">
                  <c:v>1399.9999999999998</c:v>
                </c:pt>
                <c:pt idx="47">
                  <c:v>519.99999999999989</c:v>
                </c:pt>
                <c:pt idx="48">
                  <c:v>1899.9999999999995</c:v>
                </c:pt>
                <c:pt idx="49">
                  <c:v>1079.9999999999998</c:v>
                </c:pt>
                <c:pt idx="50">
                  <c:v>3259.9999999999991</c:v>
                </c:pt>
                <c:pt idx="51">
                  <c:v>4019.9999999999991</c:v>
                </c:pt>
                <c:pt idx="52">
                  <c:v>359.99999999999994</c:v>
                </c:pt>
                <c:pt idx="53">
                  <c:v>59.999999999999986</c:v>
                </c:pt>
                <c:pt idx="54">
                  <c:v>299.99999999999994</c:v>
                </c:pt>
                <c:pt idx="55">
                  <c:v>199.99999999999994</c:v>
                </c:pt>
                <c:pt idx="56">
                  <c:v>199.99999999999994</c:v>
                </c:pt>
                <c:pt idx="57">
                  <c:v>99.999999999999972</c:v>
                </c:pt>
                <c:pt idx="58">
                  <c:v>459.99999999999989</c:v>
                </c:pt>
                <c:pt idx="59">
                  <c:v>0</c:v>
                </c:pt>
                <c:pt idx="60">
                  <c:v>1899.9999999999998</c:v>
                </c:pt>
                <c:pt idx="61">
                  <c:v>659.99999999999989</c:v>
                </c:pt>
                <c:pt idx="62">
                  <c:v>859.99999999999989</c:v>
                </c:pt>
                <c:pt idx="63">
                  <c:v>1099.9999999999998</c:v>
                </c:pt>
                <c:pt idx="64">
                  <c:v>939.99999999999989</c:v>
                </c:pt>
                <c:pt idx="65">
                  <c:v>3199.9999999999995</c:v>
                </c:pt>
                <c:pt idx="66">
                  <c:v>359.99999999999994</c:v>
                </c:pt>
                <c:pt idx="67">
                  <c:v>339.99999999999994</c:v>
                </c:pt>
                <c:pt idx="68">
                  <c:v>499.99999999999994</c:v>
                </c:pt>
                <c:pt idx="69">
                  <c:v>619.99999999999989</c:v>
                </c:pt>
                <c:pt idx="70">
                  <c:v>679.99999999999989</c:v>
                </c:pt>
                <c:pt idx="71">
                  <c:v>1559.9999999999998</c:v>
                </c:pt>
                <c:pt idx="72">
                  <c:v>59.999999999999993</c:v>
                </c:pt>
                <c:pt idx="73">
                  <c:v>19.999999999999996</c:v>
                </c:pt>
                <c:pt idx="74">
                  <c:v>39.999999999999993</c:v>
                </c:pt>
                <c:pt idx="75">
                  <c:v>39.999999999999993</c:v>
                </c:pt>
                <c:pt idx="76">
                  <c:v>39.999999999999993</c:v>
                </c:pt>
                <c:pt idx="77">
                  <c:v>19.999999999999996</c:v>
                </c:pt>
                <c:pt idx="78">
                  <c:v>59.999999999999993</c:v>
                </c:pt>
                <c:pt idx="79">
                  <c:v>0</c:v>
                </c:pt>
                <c:pt idx="80">
                  <c:v>1360</c:v>
                </c:pt>
                <c:pt idx="81">
                  <c:v>900</c:v>
                </c:pt>
                <c:pt idx="82">
                  <c:v>620</c:v>
                </c:pt>
                <c:pt idx="83">
                  <c:v>560</c:v>
                </c:pt>
                <c:pt idx="84">
                  <c:v>1680</c:v>
                </c:pt>
                <c:pt idx="85">
                  <c:v>5040</c:v>
                </c:pt>
                <c:pt idx="86">
                  <c:v>400</c:v>
                </c:pt>
                <c:pt idx="87">
                  <c:v>60</c:v>
                </c:pt>
                <c:pt idx="88">
                  <c:v>440</c:v>
                </c:pt>
                <c:pt idx="89">
                  <c:v>780</c:v>
                </c:pt>
                <c:pt idx="90">
                  <c:v>420</c:v>
                </c:pt>
                <c:pt idx="91">
                  <c:v>1740</c:v>
                </c:pt>
                <c:pt idx="92">
                  <c:v>140</c:v>
                </c:pt>
                <c:pt idx="93">
                  <c:v>60</c:v>
                </c:pt>
                <c:pt idx="94">
                  <c:v>60</c:v>
                </c:pt>
                <c:pt idx="95">
                  <c:v>80</c:v>
                </c:pt>
                <c:pt idx="96">
                  <c:v>20</c:v>
                </c:pt>
                <c:pt idx="97">
                  <c:v>0</c:v>
                </c:pt>
                <c:pt idx="98">
                  <c:v>20</c:v>
                </c:pt>
                <c:pt idx="99">
                  <c:v>0</c:v>
                </c:pt>
                <c:pt idx="100">
                  <c:v>3379.9999999999995</c:v>
                </c:pt>
                <c:pt idx="101">
                  <c:v>1759.9999999999998</c:v>
                </c:pt>
                <c:pt idx="102">
                  <c:v>759.99999999999989</c:v>
                </c:pt>
                <c:pt idx="103">
                  <c:v>659.99999999999989</c:v>
                </c:pt>
                <c:pt idx="104">
                  <c:v>1819.9999999999998</c:v>
                </c:pt>
                <c:pt idx="105">
                  <c:v>12199.999999999998</c:v>
                </c:pt>
                <c:pt idx="106">
                  <c:v>1159.9999999999998</c:v>
                </c:pt>
                <c:pt idx="107">
                  <c:v>139.99999999999997</c:v>
                </c:pt>
                <c:pt idx="108">
                  <c:v>999.99999999999989</c:v>
                </c:pt>
                <c:pt idx="109">
                  <c:v>1179.9999999999998</c:v>
                </c:pt>
                <c:pt idx="110">
                  <c:v>699.99999999999989</c:v>
                </c:pt>
                <c:pt idx="111">
                  <c:v>4639.9999999999991</c:v>
                </c:pt>
                <c:pt idx="112">
                  <c:v>159.99999999999997</c:v>
                </c:pt>
                <c:pt idx="113">
                  <c:v>39.999999999999993</c:v>
                </c:pt>
                <c:pt idx="114">
                  <c:v>139.99999999999997</c:v>
                </c:pt>
                <c:pt idx="115">
                  <c:v>199.99999999999997</c:v>
                </c:pt>
                <c:pt idx="116">
                  <c:v>139.99999999999997</c:v>
                </c:pt>
                <c:pt idx="117">
                  <c:v>99.999999999999986</c:v>
                </c:pt>
                <c:pt idx="118">
                  <c:v>139.99999999999997</c:v>
                </c:pt>
                <c:pt idx="119">
                  <c:v>19.999999999999996</c:v>
                </c:pt>
                <c:pt idx="120">
                  <c:v>4060</c:v>
                </c:pt>
                <c:pt idx="121">
                  <c:v>5500</c:v>
                </c:pt>
                <c:pt idx="122">
                  <c:v>1640</c:v>
                </c:pt>
                <c:pt idx="123">
                  <c:v>1380</c:v>
                </c:pt>
                <c:pt idx="124">
                  <c:v>1560</c:v>
                </c:pt>
                <c:pt idx="125">
                  <c:v>8120</c:v>
                </c:pt>
                <c:pt idx="126">
                  <c:v>27580</c:v>
                </c:pt>
                <c:pt idx="127">
                  <c:v>120</c:v>
                </c:pt>
                <c:pt idx="128">
                  <c:v>6020</c:v>
                </c:pt>
                <c:pt idx="129">
                  <c:v>1060</c:v>
                </c:pt>
                <c:pt idx="130">
                  <c:v>1260</c:v>
                </c:pt>
                <c:pt idx="131">
                  <c:v>18520</c:v>
                </c:pt>
                <c:pt idx="132">
                  <c:v>13340</c:v>
                </c:pt>
                <c:pt idx="133">
                  <c:v>100</c:v>
                </c:pt>
                <c:pt idx="134">
                  <c:v>1580</c:v>
                </c:pt>
                <c:pt idx="135">
                  <c:v>160</c:v>
                </c:pt>
                <c:pt idx="136">
                  <c:v>120</c:v>
                </c:pt>
                <c:pt idx="137">
                  <c:v>700</c:v>
                </c:pt>
                <c:pt idx="138">
                  <c:v>200</c:v>
                </c:pt>
                <c:pt idx="139">
                  <c:v>20</c:v>
                </c:pt>
                <c:pt idx="140">
                  <c:v>440</c:v>
                </c:pt>
                <c:pt idx="141">
                  <c:v>300</c:v>
                </c:pt>
                <c:pt idx="142">
                  <c:v>520</c:v>
                </c:pt>
                <c:pt idx="143">
                  <c:v>220</c:v>
                </c:pt>
                <c:pt idx="144">
                  <c:v>400</c:v>
                </c:pt>
                <c:pt idx="145">
                  <c:v>740</c:v>
                </c:pt>
                <c:pt idx="146">
                  <c:v>140</c:v>
                </c:pt>
                <c:pt idx="147">
                  <c:v>260</c:v>
                </c:pt>
                <c:pt idx="148">
                  <c:v>280</c:v>
                </c:pt>
                <c:pt idx="149">
                  <c:v>260</c:v>
                </c:pt>
                <c:pt idx="150">
                  <c:v>640</c:v>
                </c:pt>
                <c:pt idx="151">
                  <c:v>520</c:v>
                </c:pt>
                <c:pt idx="152">
                  <c:v>0</c:v>
                </c:pt>
                <c:pt idx="153">
                  <c:v>120</c:v>
                </c:pt>
                <c:pt idx="154">
                  <c:v>40</c:v>
                </c:pt>
                <c:pt idx="155">
                  <c:v>40</c:v>
                </c:pt>
                <c:pt idx="156">
                  <c:v>80</c:v>
                </c:pt>
                <c:pt idx="157">
                  <c:v>0</c:v>
                </c:pt>
                <c:pt idx="158">
                  <c:v>40</c:v>
                </c:pt>
                <c:pt idx="159">
                  <c:v>0</c:v>
                </c:pt>
                <c:pt idx="160">
                  <c:v>4360.0000000000009</c:v>
                </c:pt>
                <c:pt idx="161">
                  <c:v>6500.0000000000018</c:v>
                </c:pt>
                <c:pt idx="162">
                  <c:v>2680.0000000000005</c:v>
                </c:pt>
                <c:pt idx="163">
                  <c:v>1380.0000000000002</c:v>
                </c:pt>
                <c:pt idx="164">
                  <c:v>2080.0000000000005</c:v>
                </c:pt>
                <c:pt idx="165">
                  <c:v>7720.0000000000018</c:v>
                </c:pt>
                <c:pt idx="166">
                  <c:v>6560.0000000000018</c:v>
                </c:pt>
                <c:pt idx="167">
                  <c:v>500.00000000000011</c:v>
                </c:pt>
                <c:pt idx="168">
                  <c:v>15640.000000000004</c:v>
                </c:pt>
                <c:pt idx="169">
                  <c:v>620.00000000000011</c:v>
                </c:pt>
                <c:pt idx="170">
                  <c:v>3960.0000000000009</c:v>
                </c:pt>
                <c:pt idx="171">
                  <c:v>7260.0000000000018</c:v>
                </c:pt>
                <c:pt idx="172">
                  <c:v>2960.0000000000005</c:v>
                </c:pt>
                <c:pt idx="173">
                  <c:v>240.00000000000006</c:v>
                </c:pt>
                <c:pt idx="174">
                  <c:v>5460.0000000000009</c:v>
                </c:pt>
                <c:pt idx="175">
                  <c:v>80.000000000000014</c:v>
                </c:pt>
                <c:pt idx="176">
                  <c:v>180.00000000000003</c:v>
                </c:pt>
                <c:pt idx="177">
                  <c:v>160.00000000000003</c:v>
                </c:pt>
                <c:pt idx="178">
                  <c:v>900.00000000000023</c:v>
                </c:pt>
                <c:pt idx="179">
                  <c:v>60.000000000000014</c:v>
                </c:pt>
                <c:pt idx="180">
                  <c:v>2140</c:v>
                </c:pt>
                <c:pt idx="181">
                  <c:v>1420</c:v>
                </c:pt>
                <c:pt idx="182">
                  <c:v>680</c:v>
                </c:pt>
                <c:pt idx="183">
                  <c:v>1160</c:v>
                </c:pt>
                <c:pt idx="184">
                  <c:v>1860</c:v>
                </c:pt>
                <c:pt idx="185">
                  <c:v>6680</c:v>
                </c:pt>
                <c:pt idx="186">
                  <c:v>960</c:v>
                </c:pt>
                <c:pt idx="187">
                  <c:v>260</c:v>
                </c:pt>
                <c:pt idx="188">
                  <c:v>640</c:v>
                </c:pt>
                <c:pt idx="189">
                  <c:v>4120</c:v>
                </c:pt>
                <c:pt idx="190">
                  <c:v>580</c:v>
                </c:pt>
                <c:pt idx="191">
                  <c:v>6660</c:v>
                </c:pt>
                <c:pt idx="192">
                  <c:v>280</c:v>
                </c:pt>
                <c:pt idx="193">
                  <c:v>60</c:v>
                </c:pt>
                <c:pt idx="194">
                  <c:v>80</c:v>
                </c:pt>
                <c:pt idx="195">
                  <c:v>860</c:v>
                </c:pt>
                <c:pt idx="196">
                  <c:v>0</c:v>
                </c:pt>
                <c:pt idx="197">
                  <c:v>100</c:v>
                </c:pt>
                <c:pt idx="198">
                  <c:v>120</c:v>
                </c:pt>
                <c:pt idx="199">
                  <c:v>40</c:v>
                </c:pt>
                <c:pt idx="200">
                  <c:v>4179.9999999999991</c:v>
                </c:pt>
                <c:pt idx="201">
                  <c:v>3159.9999999999995</c:v>
                </c:pt>
                <c:pt idx="202">
                  <c:v>4179.9999999999991</c:v>
                </c:pt>
                <c:pt idx="203">
                  <c:v>1899.9999999999998</c:v>
                </c:pt>
                <c:pt idx="204">
                  <c:v>1159.9999999999998</c:v>
                </c:pt>
                <c:pt idx="205">
                  <c:v>6239.9999999999991</c:v>
                </c:pt>
                <c:pt idx="206">
                  <c:v>1379.9999999999998</c:v>
                </c:pt>
                <c:pt idx="207">
                  <c:v>859.99999999999989</c:v>
                </c:pt>
                <c:pt idx="208">
                  <c:v>4119.9999999999991</c:v>
                </c:pt>
                <c:pt idx="209">
                  <c:v>1419.9999999999998</c:v>
                </c:pt>
                <c:pt idx="210">
                  <c:v>18699.999999999996</c:v>
                </c:pt>
                <c:pt idx="211">
                  <c:v>3979.9999999999995</c:v>
                </c:pt>
                <c:pt idx="212">
                  <c:v>439.99999999999994</c:v>
                </c:pt>
                <c:pt idx="213">
                  <c:v>779.99999999999989</c:v>
                </c:pt>
                <c:pt idx="214">
                  <c:v>1099.9999999999998</c:v>
                </c:pt>
                <c:pt idx="215">
                  <c:v>159.99999999999997</c:v>
                </c:pt>
                <c:pt idx="216">
                  <c:v>1039.9999999999998</c:v>
                </c:pt>
                <c:pt idx="217">
                  <c:v>59.999999999999993</c:v>
                </c:pt>
                <c:pt idx="218">
                  <c:v>4719.9999999999991</c:v>
                </c:pt>
                <c:pt idx="219">
                  <c:v>0</c:v>
                </c:pt>
                <c:pt idx="220">
                  <c:v>6400.0000000000009</c:v>
                </c:pt>
                <c:pt idx="221">
                  <c:v>5320.0000000000009</c:v>
                </c:pt>
                <c:pt idx="222">
                  <c:v>2080.0000000000005</c:v>
                </c:pt>
                <c:pt idx="223">
                  <c:v>2460.0000000000005</c:v>
                </c:pt>
                <c:pt idx="224">
                  <c:v>3860.0000000000005</c:v>
                </c:pt>
                <c:pt idx="225">
                  <c:v>15960.000000000002</c:v>
                </c:pt>
                <c:pt idx="226">
                  <c:v>10600.000000000002</c:v>
                </c:pt>
                <c:pt idx="227">
                  <c:v>200.00000000000003</c:v>
                </c:pt>
                <c:pt idx="228">
                  <c:v>4040.0000000000005</c:v>
                </c:pt>
                <c:pt idx="229">
                  <c:v>2900.0000000000005</c:v>
                </c:pt>
                <c:pt idx="230">
                  <c:v>1660.0000000000002</c:v>
                </c:pt>
                <c:pt idx="231">
                  <c:v>55880.000000000007</c:v>
                </c:pt>
                <c:pt idx="232">
                  <c:v>4740.0000000000009</c:v>
                </c:pt>
                <c:pt idx="233">
                  <c:v>120.00000000000001</c:v>
                </c:pt>
                <c:pt idx="234">
                  <c:v>620.00000000000011</c:v>
                </c:pt>
                <c:pt idx="235">
                  <c:v>560.00000000000011</c:v>
                </c:pt>
                <c:pt idx="236">
                  <c:v>160.00000000000003</c:v>
                </c:pt>
                <c:pt idx="237">
                  <c:v>2300.0000000000005</c:v>
                </c:pt>
                <c:pt idx="238">
                  <c:v>240.00000000000003</c:v>
                </c:pt>
                <c:pt idx="239">
                  <c:v>420.00000000000006</c:v>
                </c:pt>
                <c:pt idx="240">
                  <c:v>1679.9999999999998</c:v>
                </c:pt>
                <c:pt idx="241">
                  <c:v>2039.9999999999998</c:v>
                </c:pt>
                <c:pt idx="242">
                  <c:v>619.99999999999989</c:v>
                </c:pt>
                <c:pt idx="243">
                  <c:v>519.99999999999989</c:v>
                </c:pt>
                <c:pt idx="244">
                  <c:v>439.99999999999994</c:v>
                </c:pt>
                <c:pt idx="245">
                  <c:v>2899.9999999999995</c:v>
                </c:pt>
                <c:pt idx="246">
                  <c:v>18679.999999999996</c:v>
                </c:pt>
                <c:pt idx="247">
                  <c:v>39.999999999999993</c:v>
                </c:pt>
                <c:pt idx="248">
                  <c:v>2599.9999999999995</c:v>
                </c:pt>
                <c:pt idx="249">
                  <c:v>439.99999999999994</c:v>
                </c:pt>
                <c:pt idx="250">
                  <c:v>479.99999999999994</c:v>
                </c:pt>
                <c:pt idx="251">
                  <c:v>9419.9999999999982</c:v>
                </c:pt>
                <c:pt idx="252">
                  <c:v>52899.999999999993</c:v>
                </c:pt>
                <c:pt idx="253">
                  <c:v>39.999999999999993</c:v>
                </c:pt>
                <c:pt idx="254">
                  <c:v>3779.9999999999995</c:v>
                </c:pt>
                <c:pt idx="255">
                  <c:v>119.99999999999999</c:v>
                </c:pt>
                <c:pt idx="256">
                  <c:v>19.999999999999996</c:v>
                </c:pt>
                <c:pt idx="257">
                  <c:v>1979.9999999999998</c:v>
                </c:pt>
                <c:pt idx="258">
                  <c:v>119.99999999999999</c:v>
                </c:pt>
                <c:pt idx="259">
                  <c:v>179.99999999999997</c:v>
                </c:pt>
                <c:pt idx="260">
                  <c:v>1220.0000000000002</c:v>
                </c:pt>
                <c:pt idx="261">
                  <c:v>520.00000000000011</c:v>
                </c:pt>
                <c:pt idx="262">
                  <c:v>800.00000000000023</c:v>
                </c:pt>
                <c:pt idx="263">
                  <c:v>600.00000000000011</c:v>
                </c:pt>
                <c:pt idx="264">
                  <c:v>520.00000000000011</c:v>
                </c:pt>
                <c:pt idx="265">
                  <c:v>1500.0000000000002</c:v>
                </c:pt>
                <c:pt idx="266">
                  <c:v>340.00000000000006</c:v>
                </c:pt>
                <c:pt idx="267">
                  <c:v>440.00000000000011</c:v>
                </c:pt>
                <c:pt idx="268">
                  <c:v>580.00000000000011</c:v>
                </c:pt>
                <c:pt idx="269">
                  <c:v>360.00000000000006</c:v>
                </c:pt>
                <c:pt idx="270">
                  <c:v>2540.0000000000005</c:v>
                </c:pt>
                <c:pt idx="271">
                  <c:v>760.00000000000011</c:v>
                </c:pt>
                <c:pt idx="272">
                  <c:v>60.000000000000014</c:v>
                </c:pt>
                <c:pt idx="273">
                  <c:v>8380.0000000000018</c:v>
                </c:pt>
                <c:pt idx="274">
                  <c:v>80.000000000000014</c:v>
                </c:pt>
                <c:pt idx="275">
                  <c:v>20.000000000000004</c:v>
                </c:pt>
                <c:pt idx="276">
                  <c:v>1580.0000000000005</c:v>
                </c:pt>
                <c:pt idx="277">
                  <c:v>40.000000000000007</c:v>
                </c:pt>
                <c:pt idx="278">
                  <c:v>720.00000000000011</c:v>
                </c:pt>
                <c:pt idx="279">
                  <c:v>0</c:v>
                </c:pt>
                <c:pt idx="280">
                  <c:v>1179.9999999999998</c:v>
                </c:pt>
                <c:pt idx="281">
                  <c:v>1499.9999999999998</c:v>
                </c:pt>
                <c:pt idx="282">
                  <c:v>719.99999999999989</c:v>
                </c:pt>
                <c:pt idx="283">
                  <c:v>359.99999999999994</c:v>
                </c:pt>
                <c:pt idx="284">
                  <c:v>479.99999999999994</c:v>
                </c:pt>
                <c:pt idx="285">
                  <c:v>1959.9999999999998</c:v>
                </c:pt>
                <c:pt idx="286">
                  <c:v>2599.9999999999995</c:v>
                </c:pt>
                <c:pt idx="287">
                  <c:v>19.999999999999996</c:v>
                </c:pt>
                <c:pt idx="288">
                  <c:v>4679.9999999999991</c:v>
                </c:pt>
                <c:pt idx="289">
                  <c:v>259.99999999999994</c:v>
                </c:pt>
                <c:pt idx="290">
                  <c:v>1319.9999999999998</c:v>
                </c:pt>
                <c:pt idx="291">
                  <c:v>1899.9999999999998</c:v>
                </c:pt>
                <c:pt idx="292">
                  <c:v>6599.9999999999991</c:v>
                </c:pt>
                <c:pt idx="293">
                  <c:v>99.999999999999986</c:v>
                </c:pt>
                <c:pt idx="294">
                  <c:v>18579.999999999996</c:v>
                </c:pt>
                <c:pt idx="295">
                  <c:v>0</c:v>
                </c:pt>
                <c:pt idx="296">
                  <c:v>159.99999999999997</c:v>
                </c:pt>
                <c:pt idx="297">
                  <c:v>59.999999999999993</c:v>
                </c:pt>
                <c:pt idx="298">
                  <c:v>1219.9999999999998</c:v>
                </c:pt>
                <c:pt idx="299">
                  <c:v>19.999999999999996</c:v>
                </c:pt>
                <c:pt idx="300">
                  <c:v>1199.9999999999998</c:v>
                </c:pt>
                <c:pt idx="301">
                  <c:v>419.99999999999989</c:v>
                </c:pt>
                <c:pt idx="302">
                  <c:v>339.99999999999994</c:v>
                </c:pt>
                <c:pt idx="303">
                  <c:v>539.99999999999989</c:v>
                </c:pt>
                <c:pt idx="304">
                  <c:v>699.99999999999989</c:v>
                </c:pt>
                <c:pt idx="305">
                  <c:v>2619.9999999999995</c:v>
                </c:pt>
                <c:pt idx="306">
                  <c:v>439.99999999999989</c:v>
                </c:pt>
                <c:pt idx="307">
                  <c:v>39.999999999999993</c:v>
                </c:pt>
                <c:pt idx="308">
                  <c:v>399.99999999999989</c:v>
                </c:pt>
                <c:pt idx="309">
                  <c:v>1179.9999999999998</c:v>
                </c:pt>
                <c:pt idx="310">
                  <c:v>179.99999999999997</c:v>
                </c:pt>
                <c:pt idx="311">
                  <c:v>5699.9999999999991</c:v>
                </c:pt>
                <c:pt idx="312">
                  <c:v>199.99999999999994</c:v>
                </c:pt>
                <c:pt idx="313">
                  <c:v>19.999999999999996</c:v>
                </c:pt>
                <c:pt idx="314">
                  <c:v>99.999999999999972</c:v>
                </c:pt>
                <c:pt idx="315">
                  <c:v>1519.9999999999998</c:v>
                </c:pt>
                <c:pt idx="316">
                  <c:v>19.999999999999996</c:v>
                </c:pt>
                <c:pt idx="317">
                  <c:v>519.99999999999989</c:v>
                </c:pt>
                <c:pt idx="318">
                  <c:v>59.999999999999986</c:v>
                </c:pt>
                <c:pt idx="319">
                  <c:v>299.99999999999994</c:v>
                </c:pt>
                <c:pt idx="320">
                  <c:v>860</c:v>
                </c:pt>
                <c:pt idx="321">
                  <c:v>620</c:v>
                </c:pt>
                <c:pt idx="322">
                  <c:v>840</c:v>
                </c:pt>
                <c:pt idx="323">
                  <c:v>460</c:v>
                </c:pt>
                <c:pt idx="324">
                  <c:v>340</c:v>
                </c:pt>
                <c:pt idx="325">
                  <c:v>1740</c:v>
                </c:pt>
                <c:pt idx="326">
                  <c:v>200</c:v>
                </c:pt>
                <c:pt idx="327">
                  <c:v>360</c:v>
                </c:pt>
                <c:pt idx="328">
                  <c:v>700</c:v>
                </c:pt>
                <c:pt idx="329">
                  <c:v>160</c:v>
                </c:pt>
                <c:pt idx="330">
                  <c:v>3960</c:v>
                </c:pt>
                <c:pt idx="331">
                  <c:v>820</c:v>
                </c:pt>
                <c:pt idx="332">
                  <c:v>80</c:v>
                </c:pt>
                <c:pt idx="333">
                  <c:v>2700</c:v>
                </c:pt>
                <c:pt idx="334">
                  <c:v>360</c:v>
                </c:pt>
                <c:pt idx="335">
                  <c:v>0</c:v>
                </c:pt>
                <c:pt idx="336">
                  <c:v>5720</c:v>
                </c:pt>
                <c:pt idx="337">
                  <c:v>0</c:v>
                </c:pt>
                <c:pt idx="338">
                  <c:v>4120</c:v>
                </c:pt>
                <c:pt idx="339">
                  <c:v>0</c:v>
                </c:pt>
                <c:pt idx="340">
                  <c:v>1140</c:v>
                </c:pt>
                <c:pt idx="341">
                  <c:v>1040</c:v>
                </c:pt>
                <c:pt idx="342">
                  <c:v>520</c:v>
                </c:pt>
                <c:pt idx="343">
                  <c:v>400</c:v>
                </c:pt>
                <c:pt idx="344">
                  <c:v>700</c:v>
                </c:pt>
                <c:pt idx="345">
                  <c:v>2740</c:v>
                </c:pt>
                <c:pt idx="346">
                  <c:v>2840</c:v>
                </c:pt>
                <c:pt idx="347">
                  <c:v>60</c:v>
                </c:pt>
                <c:pt idx="348">
                  <c:v>440</c:v>
                </c:pt>
                <c:pt idx="349">
                  <c:v>660</c:v>
                </c:pt>
                <c:pt idx="350">
                  <c:v>280</c:v>
                </c:pt>
                <c:pt idx="351">
                  <c:v>17440</c:v>
                </c:pt>
                <c:pt idx="352">
                  <c:v>8400</c:v>
                </c:pt>
                <c:pt idx="353">
                  <c:v>0</c:v>
                </c:pt>
                <c:pt idx="354">
                  <c:v>160</c:v>
                </c:pt>
                <c:pt idx="355">
                  <c:v>240</c:v>
                </c:pt>
                <c:pt idx="356">
                  <c:v>20</c:v>
                </c:pt>
                <c:pt idx="357">
                  <c:v>11100</c:v>
                </c:pt>
                <c:pt idx="358">
                  <c:v>60</c:v>
                </c:pt>
                <c:pt idx="359">
                  <c:v>4980</c:v>
                </c:pt>
                <c:pt idx="360">
                  <c:v>1120</c:v>
                </c:pt>
                <c:pt idx="361">
                  <c:v>860</c:v>
                </c:pt>
                <c:pt idx="362">
                  <c:v>1040</c:v>
                </c:pt>
                <c:pt idx="363">
                  <c:v>700</c:v>
                </c:pt>
                <c:pt idx="364">
                  <c:v>500</c:v>
                </c:pt>
                <c:pt idx="365">
                  <c:v>1980</c:v>
                </c:pt>
                <c:pt idx="366">
                  <c:v>720</c:v>
                </c:pt>
                <c:pt idx="367">
                  <c:v>260</c:v>
                </c:pt>
                <c:pt idx="368">
                  <c:v>1360</c:v>
                </c:pt>
                <c:pt idx="369">
                  <c:v>300</c:v>
                </c:pt>
                <c:pt idx="370">
                  <c:v>9280</c:v>
                </c:pt>
                <c:pt idx="371">
                  <c:v>1120</c:v>
                </c:pt>
                <c:pt idx="372">
                  <c:v>280</c:v>
                </c:pt>
                <c:pt idx="373">
                  <c:v>880</c:v>
                </c:pt>
                <c:pt idx="374">
                  <c:v>1960</c:v>
                </c:pt>
                <c:pt idx="375">
                  <c:v>40</c:v>
                </c:pt>
                <c:pt idx="376">
                  <c:v>4400</c:v>
                </c:pt>
                <c:pt idx="377">
                  <c:v>40</c:v>
                </c:pt>
                <c:pt idx="378">
                  <c:v>20060</c:v>
                </c:pt>
                <c:pt idx="379">
                  <c:v>0</c:v>
                </c:pt>
                <c:pt idx="380">
                  <c:v>120</c:v>
                </c:pt>
                <c:pt idx="381">
                  <c:v>180</c:v>
                </c:pt>
                <c:pt idx="382">
                  <c:v>80</c:v>
                </c:pt>
                <c:pt idx="383">
                  <c:v>60</c:v>
                </c:pt>
                <c:pt idx="384">
                  <c:v>140</c:v>
                </c:pt>
                <c:pt idx="385">
                  <c:v>500</c:v>
                </c:pt>
                <c:pt idx="386">
                  <c:v>420</c:v>
                </c:pt>
                <c:pt idx="387">
                  <c:v>0</c:v>
                </c:pt>
                <c:pt idx="388">
                  <c:v>80</c:v>
                </c:pt>
                <c:pt idx="389">
                  <c:v>80</c:v>
                </c:pt>
                <c:pt idx="390">
                  <c:v>40</c:v>
                </c:pt>
                <c:pt idx="391">
                  <c:v>3400</c:v>
                </c:pt>
                <c:pt idx="392">
                  <c:v>380</c:v>
                </c:pt>
                <c:pt idx="393">
                  <c:v>0</c:v>
                </c:pt>
                <c:pt idx="394">
                  <c:v>40</c:v>
                </c:pt>
                <c:pt idx="395">
                  <c:v>140</c:v>
                </c:pt>
                <c:pt idx="396">
                  <c:v>0</c:v>
                </c:pt>
                <c:pt idx="397">
                  <c:v>3740</c:v>
                </c:pt>
                <c:pt idx="398">
                  <c:v>0</c:v>
                </c:pt>
                <c:pt idx="399">
                  <c:v>20460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2-4175-847D-2995C0970A1A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2-4175-847D-2995C09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  <c:max val="6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  <c:max val="6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4240.0203316602074</c:v>
                </c:pt>
                <c:pt idx="1">
                  <c:v>536.1458796619861</c:v>
                </c:pt>
                <c:pt idx="2">
                  <c:v>296.36952792426456</c:v>
                </c:pt>
                <c:pt idx="3">
                  <c:v>396.15223330580091</c:v>
                </c:pt>
                <c:pt idx="4">
                  <c:v>503.38140923819816</c:v>
                </c:pt>
                <c:pt idx="5">
                  <c:v>2767.8531037550033</c:v>
                </c:pt>
                <c:pt idx="6">
                  <c:v>449.02217421691341</c:v>
                </c:pt>
                <c:pt idx="7">
                  <c:v>43.934176250079418</c:v>
                </c:pt>
                <c:pt idx="8">
                  <c:v>355.19664527606585</c:v>
                </c:pt>
                <c:pt idx="9">
                  <c:v>155.63123451299322</c:v>
                </c:pt>
                <c:pt idx="10">
                  <c:v>349.23946883537707</c:v>
                </c:pt>
                <c:pt idx="11">
                  <c:v>1224.9444056166212</c:v>
                </c:pt>
                <c:pt idx="12">
                  <c:v>154.8865874579071</c:v>
                </c:pt>
                <c:pt idx="13">
                  <c:v>34.253764533960222</c:v>
                </c:pt>
                <c:pt idx="14">
                  <c:v>34.99841158904632</c:v>
                </c:pt>
                <c:pt idx="15">
                  <c:v>9.6804117161191936</c:v>
                </c:pt>
                <c:pt idx="16">
                  <c:v>15.637588156807929</c:v>
                </c:pt>
                <c:pt idx="17">
                  <c:v>29.785882203443673</c:v>
                </c:pt>
                <c:pt idx="18">
                  <c:v>111.69705826291377</c:v>
                </c:pt>
                <c:pt idx="19">
                  <c:v>11.169705826291377</c:v>
                </c:pt>
                <c:pt idx="20">
                  <c:v>1269.0474980949962</c:v>
                </c:pt>
                <c:pt idx="21">
                  <c:v>4605.248666497333</c:v>
                </c:pt>
                <c:pt idx="22">
                  <c:v>417.39192278384553</c:v>
                </c:pt>
                <c:pt idx="23">
                  <c:v>323.49707899415796</c:v>
                </c:pt>
                <c:pt idx="24">
                  <c:v>382.18135636271273</c:v>
                </c:pt>
                <c:pt idx="25">
                  <c:v>2309.9598679197356</c:v>
                </c:pt>
                <c:pt idx="26">
                  <c:v>1318.1955803911608</c:v>
                </c:pt>
                <c:pt idx="27">
                  <c:v>79.223774447548905</c:v>
                </c:pt>
                <c:pt idx="28">
                  <c:v>1009.3695707391414</c:v>
                </c:pt>
                <c:pt idx="29">
                  <c:v>263.34569469138938</c:v>
                </c:pt>
                <c:pt idx="30">
                  <c:v>505.41833883667766</c:v>
                </c:pt>
                <c:pt idx="31">
                  <c:v>1470.0411480822961</c:v>
                </c:pt>
                <c:pt idx="32">
                  <c:v>201.72720345440692</c:v>
                </c:pt>
                <c:pt idx="33">
                  <c:v>30.075692151384299</c:v>
                </c:pt>
                <c:pt idx="34">
                  <c:v>125.43764287528576</c:v>
                </c:pt>
                <c:pt idx="35">
                  <c:v>16.138176276352553</c:v>
                </c:pt>
                <c:pt idx="36">
                  <c:v>17.605283210566419</c:v>
                </c:pt>
                <c:pt idx="37">
                  <c:v>30.809245618491236</c:v>
                </c:pt>
                <c:pt idx="38">
                  <c:v>57.217170434340872</c:v>
                </c:pt>
                <c:pt idx="39">
                  <c:v>8.0690881381762765</c:v>
                </c:pt>
                <c:pt idx="40">
                  <c:v>4174.0111207737109</c:v>
                </c:pt>
                <c:pt idx="41">
                  <c:v>2525.3242680580811</c:v>
                </c:pt>
                <c:pt idx="42">
                  <c:v>7632.0699923577622</c:v>
                </c:pt>
                <c:pt idx="43">
                  <c:v>1645.8344533164677</c:v>
                </c:pt>
                <c:pt idx="44">
                  <c:v>1704.7840408991487</c:v>
                </c:pt>
                <c:pt idx="45">
                  <c:v>6103.1839144069354</c:v>
                </c:pt>
                <c:pt idx="46">
                  <c:v>1356.7913142013861</c:v>
                </c:pt>
                <c:pt idx="47">
                  <c:v>616.11827021898966</c:v>
                </c:pt>
                <c:pt idx="48">
                  <c:v>2293.3291169262393</c:v>
                </c:pt>
                <c:pt idx="49">
                  <c:v>1277.874930824571</c:v>
                </c:pt>
                <c:pt idx="50">
                  <c:v>2630.8630458270745</c:v>
                </c:pt>
                <c:pt idx="51">
                  <c:v>3014.0353651145019</c:v>
                </c:pt>
                <c:pt idx="52">
                  <c:v>325.17353150446672</c:v>
                </c:pt>
                <c:pt idx="53">
                  <c:v>99.833978970669605</c:v>
                </c:pt>
                <c:pt idx="54">
                  <c:v>181.60276174664665</c:v>
                </c:pt>
                <c:pt idx="55">
                  <c:v>112.19437636703825</c:v>
                </c:pt>
                <c:pt idx="56">
                  <c:v>136.91517115977547</c:v>
                </c:pt>
                <c:pt idx="57">
                  <c:v>35.17959258966453</c:v>
                </c:pt>
                <c:pt idx="58">
                  <c:v>191.11075974385327</c:v>
                </c:pt>
                <c:pt idx="59">
                  <c:v>23.769994993016578</c:v>
                </c:pt>
                <c:pt idx="60">
                  <c:v>1279.9784787141032</c:v>
                </c:pt>
                <c:pt idx="61">
                  <c:v>764.14015737440309</c:v>
                </c:pt>
                <c:pt idx="62">
                  <c:v>980.09281054542998</c:v>
                </c:pt>
                <c:pt idx="63">
                  <c:v>2846.7280920034973</c:v>
                </c:pt>
                <c:pt idx="64">
                  <c:v>1168.9420942901338</c:v>
                </c:pt>
                <c:pt idx="65">
                  <c:v>2156.9036249915935</c:v>
                </c:pt>
                <c:pt idx="66">
                  <c:v>526.32994821440582</c:v>
                </c:pt>
                <c:pt idx="67">
                  <c:v>451.13995561234788</c:v>
                </c:pt>
                <c:pt idx="68">
                  <c:v>317.37171295984933</c:v>
                </c:pt>
                <c:pt idx="69">
                  <c:v>624.25179904499294</c:v>
                </c:pt>
                <c:pt idx="70">
                  <c:v>547.31320196381739</c:v>
                </c:pt>
                <c:pt idx="71">
                  <c:v>1054.4085009079292</c:v>
                </c:pt>
                <c:pt idx="72">
                  <c:v>103.16766426794</c:v>
                </c:pt>
                <c:pt idx="73">
                  <c:v>24.48046270764678</c:v>
                </c:pt>
                <c:pt idx="74">
                  <c:v>54.206738852646446</c:v>
                </c:pt>
                <c:pt idx="75">
                  <c:v>20.983253749411528</c:v>
                </c:pt>
                <c:pt idx="76">
                  <c:v>20.108951509852712</c:v>
                </c:pt>
                <c:pt idx="77">
                  <c:v>25.354764947205595</c:v>
                </c:pt>
                <c:pt idx="78">
                  <c:v>30.600578384558478</c:v>
                </c:pt>
                <c:pt idx="79">
                  <c:v>3.4972089582352548</c:v>
                </c:pt>
                <c:pt idx="80">
                  <c:v>1594.7656503932913</c:v>
                </c:pt>
                <c:pt idx="81">
                  <c:v>517.87817720860687</c:v>
                </c:pt>
                <c:pt idx="82">
                  <c:v>558.07449782227138</c:v>
                </c:pt>
                <c:pt idx="83">
                  <c:v>731.01215627640897</c:v>
                </c:pt>
                <c:pt idx="84">
                  <c:v>3160.5525580185918</c:v>
                </c:pt>
                <c:pt idx="85">
                  <c:v>3764.432165377365</c:v>
                </c:pt>
                <c:pt idx="86">
                  <c:v>443.09432490411496</c:v>
                </c:pt>
                <c:pt idx="87">
                  <c:v>128.0673470714425</c:v>
                </c:pt>
                <c:pt idx="88">
                  <c:v>336.5273353702139</c:v>
                </c:pt>
                <c:pt idx="89">
                  <c:v>903.01501657674066</c:v>
                </c:pt>
                <c:pt idx="90">
                  <c:v>373.91926152245986</c:v>
                </c:pt>
                <c:pt idx="91">
                  <c:v>1555.5041279334332</c:v>
                </c:pt>
                <c:pt idx="92">
                  <c:v>80.392641227328866</c:v>
                </c:pt>
                <c:pt idx="93">
                  <c:v>12.152375999479947</c:v>
                </c:pt>
                <c:pt idx="94">
                  <c:v>20.565559383735291</c:v>
                </c:pt>
                <c:pt idx="95">
                  <c:v>114.04537476435026</c:v>
                </c:pt>
                <c:pt idx="96">
                  <c:v>16.826366768510692</c:v>
                </c:pt>
                <c:pt idx="97">
                  <c:v>14.956770460898394</c:v>
                </c:pt>
                <c:pt idx="98">
                  <c:v>46.739907690307483</c:v>
                </c:pt>
                <c:pt idx="99">
                  <c:v>7.4783852304491969</c:v>
                </c:pt>
                <c:pt idx="100">
                  <c:v>3121.3529716527278</c:v>
                </c:pt>
                <c:pt idx="101">
                  <c:v>1511.2737769225075</c:v>
                </c:pt>
                <c:pt idx="102">
                  <c:v>786.70071299928452</c:v>
                </c:pt>
                <c:pt idx="103">
                  <c:v>814.39617102114323</c:v>
                </c:pt>
                <c:pt idx="104">
                  <c:v>1326.3878814792886</c:v>
                </c:pt>
                <c:pt idx="105">
                  <c:v>14906.893148792342</c:v>
                </c:pt>
                <c:pt idx="106">
                  <c:v>869.78708706486077</c:v>
                </c:pt>
                <c:pt idx="107">
                  <c:v>72.607011570818841</c:v>
                </c:pt>
                <c:pt idx="108">
                  <c:v>733.55537463301505</c:v>
                </c:pt>
                <c:pt idx="109">
                  <c:v>770.9816692571485</c:v>
                </c:pt>
                <c:pt idx="110">
                  <c:v>475.31394172649448</c:v>
                </c:pt>
                <c:pt idx="111">
                  <c:v>4232.9139219894905</c:v>
                </c:pt>
                <c:pt idx="112">
                  <c:v>220.06661238990452</c:v>
                </c:pt>
                <c:pt idx="113">
                  <c:v>41.168924086546767</c:v>
                </c:pt>
                <c:pt idx="114">
                  <c:v>112.27888387240027</c:v>
                </c:pt>
                <c:pt idx="115">
                  <c:v>81.589322280610858</c:v>
                </c:pt>
                <c:pt idx="116">
                  <c:v>58.38501961364814</c:v>
                </c:pt>
                <c:pt idx="117">
                  <c:v>71.858485678336166</c:v>
                </c:pt>
                <c:pt idx="118">
                  <c:v>107.78772851750425</c:v>
                </c:pt>
                <c:pt idx="119">
                  <c:v>24.701354451928058</c:v>
                </c:pt>
                <c:pt idx="120">
                  <c:v>4259.497615134067</c:v>
                </c:pt>
                <c:pt idx="121">
                  <c:v>5823.5025764619286</c:v>
                </c:pt>
                <c:pt idx="122">
                  <c:v>2257.3460929543094</c:v>
                </c:pt>
                <c:pt idx="123">
                  <c:v>1375.423679248137</c:v>
                </c:pt>
                <c:pt idx="124">
                  <c:v>2304.2568596408078</c:v>
                </c:pt>
                <c:pt idx="125">
                  <c:v>7978.5831980396706</c:v>
                </c:pt>
                <c:pt idx="126">
                  <c:v>36322.068430022082</c:v>
                </c:pt>
                <c:pt idx="127">
                  <c:v>257.07100144201195</c:v>
                </c:pt>
                <c:pt idx="128">
                  <c:v>4662.9302086379539</c:v>
                </c:pt>
                <c:pt idx="129">
                  <c:v>1466.4305666199441</c:v>
                </c:pt>
                <c:pt idx="130">
                  <c:v>1944.9203868222291</c:v>
                </c:pt>
                <c:pt idx="131">
                  <c:v>11746.455978299233</c:v>
                </c:pt>
                <c:pt idx="132">
                  <c:v>10159.933848961853</c:v>
                </c:pt>
                <c:pt idx="133">
                  <c:v>69.427934696017829</c:v>
                </c:pt>
                <c:pt idx="134">
                  <c:v>1031.0986517692377</c:v>
                </c:pt>
                <c:pt idx="135">
                  <c:v>91.94510270553711</c:v>
                </c:pt>
                <c:pt idx="136">
                  <c:v>106.01833271148668</c:v>
                </c:pt>
                <c:pt idx="137">
                  <c:v>739.31368297921688</c:v>
                </c:pt>
                <c:pt idx="138">
                  <c:v>198.90165075075379</c:v>
                </c:pt>
                <c:pt idx="139">
                  <c:v>244.87420210352232</c:v>
                </c:pt>
                <c:pt idx="140">
                  <c:v>454.72178060413353</c:v>
                </c:pt>
                <c:pt idx="141">
                  <c:v>350.55643879173289</c:v>
                </c:pt>
                <c:pt idx="142">
                  <c:v>523.83147853736091</c:v>
                </c:pt>
                <c:pt idx="143">
                  <c:v>256.40699523052467</c:v>
                </c:pt>
                <c:pt idx="144">
                  <c:v>284.45151033386327</c:v>
                </c:pt>
                <c:pt idx="145">
                  <c:v>827.31319554848972</c:v>
                </c:pt>
                <c:pt idx="146">
                  <c:v>170.27027027027029</c:v>
                </c:pt>
                <c:pt idx="147">
                  <c:v>508.80763116057238</c:v>
                </c:pt>
                <c:pt idx="148">
                  <c:v>171.27186009538951</c:v>
                </c:pt>
                <c:pt idx="149">
                  <c:v>224.35612082670906</c:v>
                </c:pt>
                <c:pt idx="150">
                  <c:v>646.02543720190783</c:v>
                </c:pt>
                <c:pt idx="151">
                  <c:v>285.45310015898252</c:v>
                </c:pt>
                <c:pt idx="152">
                  <c:v>29.046104928457869</c:v>
                </c:pt>
                <c:pt idx="153">
                  <c:v>132.20985691573927</c:v>
                </c:pt>
                <c:pt idx="154">
                  <c:v>14.022257551669316</c:v>
                </c:pt>
                <c:pt idx="155">
                  <c:v>23.036565977742448</c:v>
                </c:pt>
                <c:pt idx="156">
                  <c:v>78.124006359300481</c:v>
                </c:pt>
                <c:pt idx="157">
                  <c:v>8.012718600953896</c:v>
                </c:pt>
                <c:pt idx="158">
                  <c:v>31.049284578696344</c:v>
                </c:pt>
                <c:pt idx="159">
                  <c:v>21.033386327503976</c:v>
                </c:pt>
                <c:pt idx="160">
                  <c:v>4026.4930531313275</c:v>
                </c:pt>
                <c:pt idx="161">
                  <c:v>5600.8992529498018</c:v>
                </c:pt>
                <c:pt idx="162">
                  <c:v>2151.1401242756406</c:v>
                </c:pt>
                <c:pt idx="163">
                  <c:v>1306.3603993576764</c:v>
                </c:pt>
                <c:pt idx="164">
                  <c:v>1506.6689939258536</c:v>
                </c:pt>
                <c:pt idx="165">
                  <c:v>6680.823849752147</c:v>
                </c:pt>
                <c:pt idx="166">
                  <c:v>6807.5891922083365</c:v>
                </c:pt>
                <c:pt idx="167">
                  <c:v>164.50464288207777</c:v>
                </c:pt>
                <c:pt idx="168">
                  <c:v>22233.286322697757</c:v>
                </c:pt>
                <c:pt idx="169">
                  <c:v>997.67227536130702</c:v>
                </c:pt>
                <c:pt idx="170">
                  <c:v>3623.940515255184</c:v>
                </c:pt>
                <c:pt idx="171">
                  <c:v>5461.5541436849817</c:v>
                </c:pt>
                <c:pt idx="172">
                  <c:v>2314.6770927878238</c:v>
                </c:pt>
                <c:pt idx="173">
                  <c:v>162.56929414228861</c:v>
                </c:pt>
                <c:pt idx="174">
                  <c:v>5006.747189834532</c:v>
                </c:pt>
                <c:pt idx="175">
                  <c:v>76.446275221671442</c:v>
                </c:pt>
                <c:pt idx="176">
                  <c:v>106.44418068840326</c:v>
                </c:pt>
                <c:pt idx="177">
                  <c:v>206.11464078754449</c:v>
                </c:pt>
                <c:pt idx="178">
                  <c:v>836.07065558891293</c:v>
                </c:pt>
                <c:pt idx="179">
                  <c:v>29.997905466731829</c:v>
                </c:pt>
                <c:pt idx="180">
                  <c:v>2325.9825259136314</c:v>
                </c:pt>
                <c:pt idx="181">
                  <c:v>949.08715122287288</c:v>
                </c:pt>
                <c:pt idx="182">
                  <c:v>673.16882222152628</c:v>
                </c:pt>
                <c:pt idx="183">
                  <c:v>960.77098925876055</c:v>
                </c:pt>
                <c:pt idx="184">
                  <c:v>1685.1689474837942</c:v>
                </c:pt>
                <c:pt idx="185">
                  <c:v>7483.94764037203</c:v>
                </c:pt>
                <c:pt idx="186">
                  <c:v>771.13331036858426</c:v>
                </c:pt>
                <c:pt idx="187">
                  <c:v>75.495568847273987</c:v>
                </c:pt>
                <c:pt idx="188">
                  <c:v>773.82958068455832</c:v>
                </c:pt>
                <c:pt idx="189">
                  <c:v>5865.2866940155955</c:v>
                </c:pt>
                <c:pt idx="190">
                  <c:v>836.74255472395328</c:v>
                </c:pt>
                <c:pt idx="191">
                  <c:v>4905.414461528826</c:v>
                </c:pt>
                <c:pt idx="192">
                  <c:v>203.11903047004665</c:v>
                </c:pt>
                <c:pt idx="193">
                  <c:v>46.735352143550557</c:v>
                </c:pt>
                <c:pt idx="194">
                  <c:v>87.179406883161619</c:v>
                </c:pt>
                <c:pt idx="195">
                  <c:v>811.57736510819529</c:v>
                </c:pt>
                <c:pt idx="196">
                  <c:v>75.495568847273987</c:v>
                </c:pt>
                <c:pt idx="197">
                  <c:v>55.722919863464128</c:v>
                </c:pt>
                <c:pt idx="198">
                  <c:v>71.001784987317194</c:v>
                </c:pt>
                <c:pt idx="199">
                  <c:v>43.14032505558513</c:v>
                </c:pt>
                <c:pt idx="200">
                  <c:v>3421.7873638713504</c:v>
                </c:pt>
                <c:pt idx="201">
                  <c:v>2445.5765074791307</c:v>
                </c:pt>
                <c:pt idx="202">
                  <c:v>3694.4531547946949</c:v>
                </c:pt>
                <c:pt idx="203">
                  <c:v>1901.9280477986354</c:v>
                </c:pt>
                <c:pt idx="204">
                  <c:v>1799.257595660833</c:v>
                </c:pt>
                <c:pt idx="205">
                  <c:v>5852.2157718547396</c:v>
                </c:pt>
                <c:pt idx="206">
                  <c:v>1776.535446417221</c:v>
                </c:pt>
                <c:pt idx="207">
                  <c:v>1088.9800415271834</c:v>
                </c:pt>
                <c:pt idx="208">
                  <c:v>3743.2636976143053</c:v>
                </c:pt>
                <c:pt idx="209">
                  <c:v>738.89063095893891</c:v>
                </c:pt>
                <c:pt idx="210">
                  <c:v>22754.128564769693</c:v>
                </c:pt>
                <c:pt idx="211">
                  <c:v>2568.4444256112547</c:v>
                </c:pt>
                <c:pt idx="212">
                  <c:v>581.51870841984828</c:v>
                </c:pt>
                <c:pt idx="213">
                  <c:v>485.58074494681978</c:v>
                </c:pt>
                <c:pt idx="214">
                  <c:v>695.12945463790834</c:v>
                </c:pt>
                <c:pt idx="215">
                  <c:v>69.849569897029539</c:v>
                </c:pt>
                <c:pt idx="216">
                  <c:v>1309.4690452985296</c:v>
                </c:pt>
                <c:pt idx="217">
                  <c:v>69.849569897029539</c:v>
                </c:pt>
                <c:pt idx="218">
                  <c:v>4541.9051654731129</c:v>
                </c:pt>
                <c:pt idx="219">
                  <c:v>41.236493071740327</c:v>
                </c:pt>
                <c:pt idx="220">
                  <c:v>6993.8964528708611</c:v>
                </c:pt>
                <c:pt idx="221">
                  <c:v>4084.6592465625258</c:v>
                </c:pt>
                <c:pt idx="222">
                  <c:v>1888.9744837239241</c:v>
                </c:pt>
                <c:pt idx="223">
                  <c:v>1617.445677801813</c:v>
                </c:pt>
                <c:pt idx="224">
                  <c:v>2851.503506710279</c:v>
                </c:pt>
                <c:pt idx="225">
                  <c:v>17112.629396486554</c:v>
                </c:pt>
                <c:pt idx="226">
                  <c:v>8036.7114018607635</c:v>
                </c:pt>
                <c:pt idx="227">
                  <c:v>241.75986706686328</c:v>
                </c:pt>
                <c:pt idx="228">
                  <c:v>2893.9016923526024</c:v>
                </c:pt>
                <c:pt idx="229">
                  <c:v>2103.6716791041981</c:v>
                </c:pt>
                <c:pt idx="230">
                  <c:v>1602.1101638460789</c:v>
                </c:pt>
                <c:pt idx="231">
                  <c:v>63150.744380655837</c:v>
                </c:pt>
                <c:pt idx="232">
                  <c:v>2338.2148337213043</c:v>
                </c:pt>
                <c:pt idx="233">
                  <c:v>79.383836947328234</c:v>
                </c:pt>
                <c:pt idx="234">
                  <c:v>436.61110321030532</c:v>
                </c:pt>
                <c:pt idx="235">
                  <c:v>530.42836505714774</c:v>
                </c:pt>
                <c:pt idx="236">
                  <c:v>127.1945569269691</c:v>
                </c:pt>
                <c:pt idx="237">
                  <c:v>3324.1981721693696</c:v>
                </c:pt>
                <c:pt idx="238">
                  <c:v>177.7115440752689</c:v>
                </c:pt>
                <c:pt idx="239">
                  <c:v>928.24963885000864</c:v>
                </c:pt>
                <c:pt idx="240">
                  <c:v>1393.0139793603162</c:v>
                </c:pt>
                <c:pt idx="241">
                  <c:v>1548.79967796238</c:v>
                </c:pt>
                <c:pt idx="242">
                  <c:v>394.89863134011563</c:v>
                </c:pt>
                <c:pt idx="243">
                  <c:v>332.40320573812488</c:v>
                </c:pt>
                <c:pt idx="244">
                  <c:v>400.33301617507141</c:v>
                </c:pt>
                <c:pt idx="245">
                  <c:v>2903.7729634780062</c:v>
                </c:pt>
                <c:pt idx="246">
                  <c:v>13374.021078826026</c:v>
                </c:pt>
                <c:pt idx="247">
                  <c:v>20.831808533996924</c:v>
                </c:pt>
                <c:pt idx="248">
                  <c:v>1663.8274903022764</c:v>
                </c:pt>
                <c:pt idx="249">
                  <c:v>393.08716972846372</c:v>
                </c:pt>
                <c:pt idx="250">
                  <c:v>408.48459342750493</c:v>
                </c:pt>
                <c:pt idx="251">
                  <c:v>5922.5737392959081</c:v>
                </c:pt>
                <c:pt idx="252">
                  <c:v>65329.457293420186</c:v>
                </c:pt>
                <c:pt idx="253">
                  <c:v>26.266193368952646</c:v>
                </c:pt>
                <c:pt idx="254">
                  <c:v>2196.3972041279367</c:v>
                </c:pt>
                <c:pt idx="255">
                  <c:v>82.421503330161755</c:v>
                </c:pt>
                <c:pt idx="256">
                  <c:v>35.323501427212179</c:v>
                </c:pt>
                <c:pt idx="257">
                  <c:v>2203.6430505745443</c:v>
                </c:pt>
                <c:pt idx="258">
                  <c:v>93.290273000073185</c:v>
                </c:pt>
                <c:pt idx="259">
                  <c:v>277.15362658274171</c:v>
                </c:pt>
                <c:pt idx="260">
                  <c:v>667.1743218957663</c:v>
                </c:pt>
                <c:pt idx="261">
                  <c:v>881.05738287290512</c:v>
                </c:pt>
                <c:pt idx="262">
                  <c:v>359.11229991223303</c:v>
                </c:pt>
                <c:pt idx="263">
                  <c:v>370.5546035859071</c:v>
                </c:pt>
                <c:pt idx="264">
                  <c:v>332.70698374221593</c:v>
                </c:pt>
                <c:pt idx="265">
                  <c:v>1845.7316002841978</c:v>
                </c:pt>
                <c:pt idx="266">
                  <c:v>480.57675429431191</c:v>
                </c:pt>
                <c:pt idx="267">
                  <c:v>242.92890876415763</c:v>
                </c:pt>
                <c:pt idx="268">
                  <c:v>389.91850211058636</c:v>
                </c:pt>
                <c:pt idx="269">
                  <c:v>224.44518744514565</c:v>
                </c:pt>
                <c:pt idx="270">
                  <c:v>1961.9149914322732</c:v>
                </c:pt>
                <c:pt idx="271">
                  <c:v>599.40067705938895</c:v>
                </c:pt>
                <c:pt idx="272">
                  <c:v>53.690809545701512</c:v>
                </c:pt>
                <c:pt idx="273">
                  <c:v>10485.551051113804</c:v>
                </c:pt>
                <c:pt idx="274">
                  <c:v>78.335771304384167</c:v>
                </c:pt>
                <c:pt idx="275">
                  <c:v>11.442303673674092</c:v>
                </c:pt>
                <c:pt idx="276">
                  <c:v>1660.8943870940777</c:v>
                </c:pt>
                <c:pt idx="277">
                  <c:v>9.6819492623396162</c:v>
                </c:pt>
                <c:pt idx="278">
                  <c:v>401.36080578426044</c:v>
                </c:pt>
                <c:pt idx="279">
                  <c:v>3.5207088226689511</c:v>
                </c:pt>
                <c:pt idx="280">
                  <c:v>891.54209697181875</c:v>
                </c:pt>
                <c:pt idx="281">
                  <c:v>1507.5862068965516</c:v>
                </c:pt>
                <c:pt idx="282">
                  <c:v>210.44985121652371</c:v>
                </c:pt>
                <c:pt idx="283">
                  <c:v>316.63136705758797</c:v>
                </c:pt>
                <c:pt idx="284">
                  <c:v>333.84999124803079</c:v>
                </c:pt>
                <c:pt idx="285">
                  <c:v>1598.4622790127778</c:v>
                </c:pt>
                <c:pt idx="286">
                  <c:v>2653.5813057938035</c:v>
                </c:pt>
                <c:pt idx="287">
                  <c:v>34.437248380885698</c:v>
                </c:pt>
                <c:pt idx="288">
                  <c:v>4818.3450026255905</c:v>
                </c:pt>
                <c:pt idx="289">
                  <c:v>154.01102748118328</c:v>
                </c:pt>
                <c:pt idx="290">
                  <c:v>746.14038158585686</c:v>
                </c:pt>
                <c:pt idx="291">
                  <c:v>1701.774024155435</c:v>
                </c:pt>
                <c:pt idx="292">
                  <c:v>3846.4493260983722</c:v>
                </c:pt>
                <c:pt idx="293">
                  <c:v>15.305443724838089</c:v>
                </c:pt>
                <c:pt idx="294">
                  <c:v>23761.70138281113</c:v>
                </c:pt>
                <c:pt idx="295">
                  <c:v>22.001575354454754</c:v>
                </c:pt>
                <c:pt idx="296">
                  <c:v>141.57535445475233</c:v>
                </c:pt>
                <c:pt idx="297">
                  <c:v>106.18151584106423</c:v>
                </c:pt>
                <c:pt idx="298">
                  <c:v>842.75599509889719</c:v>
                </c:pt>
                <c:pt idx="299">
                  <c:v>17.218624190442849</c:v>
                </c:pt>
                <c:pt idx="300">
                  <c:v>1231.833354731031</c:v>
                </c:pt>
                <c:pt idx="301">
                  <c:v>591.02580562331502</c:v>
                </c:pt>
                <c:pt idx="302">
                  <c:v>323.0517396328155</c:v>
                </c:pt>
                <c:pt idx="303">
                  <c:v>367.53755295930159</c:v>
                </c:pt>
                <c:pt idx="304">
                  <c:v>515.8235973809218</c:v>
                </c:pt>
                <c:pt idx="305">
                  <c:v>3170.1437925279238</c:v>
                </c:pt>
                <c:pt idx="306">
                  <c:v>406.72743612787264</c:v>
                </c:pt>
                <c:pt idx="307">
                  <c:v>62.491975863397094</c:v>
                </c:pt>
                <c:pt idx="308">
                  <c:v>416.26011041211967</c:v>
                </c:pt>
                <c:pt idx="309">
                  <c:v>1773.0774168699447</c:v>
                </c:pt>
                <c:pt idx="310">
                  <c:v>292.33534471690848</c:v>
                </c:pt>
                <c:pt idx="311">
                  <c:v>4289.7034279111567</c:v>
                </c:pt>
                <c:pt idx="312">
                  <c:v>63.551161894980098</c:v>
                </c:pt>
                <c:pt idx="313">
                  <c:v>32.834766979073052</c:v>
                </c:pt>
                <c:pt idx="314">
                  <c:v>11.651046347413018</c:v>
                </c:pt>
                <c:pt idx="315">
                  <c:v>2550.5199640518681</c:v>
                </c:pt>
                <c:pt idx="316">
                  <c:v>10.591860315830017</c:v>
                </c:pt>
                <c:pt idx="317">
                  <c:v>249.96790345358838</c:v>
                </c:pt>
                <c:pt idx="318">
                  <c:v>67.787906021312111</c:v>
                </c:pt>
                <c:pt idx="319">
                  <c:v>73.08383617922712</c:v>
                </c:pt>
                <c:pt idx="320">
                  <c:v>902.57449344457689</c:v>
                </c:pt>
                <c:pt idx="321">
                  <c:v>969.79921151554038</c:v>
                </c:pt>
                <c:pt idx="322">
                  <c:v>403.34830842578162</c:v>
                </c:pt>
                <c:pt idx="323">
                  <c:v>434.2055560649124</c:v>
                </c:pt>
                <c:pt idx="324">
                  <c:v>386.81764004767587</c:v>
                </c:pt>
                <c:pt idx="325">
                  <c:v>1628.8218575226917</c:v>
                </c:pt>
                <c:pt idx="326">
                  <c:v>523.47116530668382</c:v>
                </c:pt>
                <c:pt idx="327">
                  <c:v>296.44998624736405</c:v>
                </c:pt>
                <c:pt idx="328">
                  <c:v>610.53268543137438</c:v>
                </c:pt>
                <c:pt idx="329">
                  <c:v>126.73512423214449</c:v>
                </c:pt>
                <c:pt idx="330">
                  <c:v>3975.0747226551757</c:v>
                </c:pt>
                <c:pt idx="331">
                  <c:v>657.92060144861102</c:v>
                </c:pt>
                <c:pt idx="332">
                  <c:v>171.91895113230035</c:v>
                </c:pt>
                <c:pt idx="333">
                  <c:v>1679.5159072155495</c:v>
                </c:pt>
                <c:pt idx="334">
                  <c:v>165.30668378105804</c:v>
                </c:pt>
                <c:pt idx="335">
                  <c:v>11.020445585403868</c:v>
                </c:pt>
                <c:pt idx="336">
                  <c:v>7780.4345832951312</c:v>
                </c:pt>
                <c:pt idx="337">
                  <c:v>0</c:v>
                </c:pt>
                <c:pt idx="338">
                  <c:v>3310.5418538553226</c:v>
                </c:pt>
                <c:pt idx="339">
                  <c:v>5.510222792701934</c:v>
                </c:pt>
                <c:pt idx="340">
                  <c:v>1120.3963280077678</c:v>
                </c:pt>
                <c:pt idx="341">
                  <c:v>924.26824962485648</c:v>
                </c:pt>
                <c:pt idx="342">
                  <c:v>360.54682672786652</c:v>
                </c:pt>
                <c:pt idx="343">
                  <c:v>433.36084385206107</c:v>
                </c:pt>
                <c:pt idx="344">
                  <c:v>838.53561655927263</c:v>
                </c:pt>
                <c:pt idx="345">
                  <c:v>3069.9329155265245</c:v>
                </c:pt>
                <c:pt idx="346">
                  <c:v>2889.0722923470739</c:v>
                </c:pt>
                <c:pt idx="347">
                  <c:v>92.779150851796274</c:v>
                </c:pt>
                <c:pt idx="348">
                  <c:v>520.26789654868037</c:v>
                </c:pt>
                <c:pt idx="349">
                  <c:v>315.91888074852153</c:v>
                </c:pt>
                <c:pt idx="350">
                  <c:v>151.50013240356606</c:v>
                </c:pt>
                <c:pt idx="351">
                  <c:v>17664.445670403387</c:v>
                </c:pt>
                <c:pt idx="352">
                  <c:v>6469.8777473739956</c:v>
                </c:pt>
                <c:pt idx="353">
                  <c:v>10.569776679318563</c:v>
                </c:pt>
                <c:pt idx="354">
                  <c:v>189.08156059669875</c:v>
                </c:pt>
                <c:pt idx="355">
                  <c:v>243.10486362432695</c:v>
                </c:pt>
                <c:pt idx="356">
                  <c:v>18.790714096566333</c:v>
                </c:pt>
                <c:pt idx="357">
                  <c:v>13491.732721334629</c:v>
                </c:pt>
                <c:pt idx="358">
                  <c:v>70.465177862123753</c:v>
                </c:pt>
                <c:pt idx="359">
                  <c:v>4345.3526348309642</c:v>
                </c:pt>
                <c:pt idx="360">
                  <c:v>1183.214720382862</c:v>
                </c:pt>
                <c:pt idx="361">
                  <c:v>998.42812055201432</c:v>
                </c:pt>
                <c:pt idx="362">
                  <c:v>474.05986344039439</c:v>
                </c:pt>
                <c:pt idx="363">
                  <c:v>346.35394104420652</c:v>
                </c:pt>
                <c:pt idx="364">
                  <c:v>344.41900282608248</c:v>
                </c:pt>
                <c:pt idx="365">
                  <c:v>1640.8276089692019</c:v>
                </c:pt>
                <c:pt idx="366">
                  <c:v>701.41510406997133</c:v>
                </c:pt>
                <c:pt idx="367">
                  <c:v>182.85166161272357</c:v>
                </c:pt>
                <c:pt idx="368">
                  <c:v>916.19324628174184</c:v>
                </c:pt>
                <c:pt idx="369">
                  <c:v>148.99024279555255</c:v>
                </c:pt>
                <c:pt idx="370">
                  <c:v>8345.3885347690666</c:v>
                </c:pt>
                <c:pt idx="371">
                  <c:v>1430.8868123027414</c:v>
                </c:pt>
                <c:pt idx="372">
                  <c:v>267.98894321018219</c:v>
                </c:pt>
                <c:pt idx="373">
                  <c:v>413.10930956948658</c:v>
                </c:pt>
                <c:pt idx="374">
                  <c:v>1904.9466757431358</c:v>
                </c:pt>
                <c:pt idx="375">
                  <c:v>40.633702580605238</c:v>
                </c:pt>
                <c:pt idx="376">
                  <c:v>3595.1152092745015</c:v>
                </c:pt>
                <c:pt idx="377">
                  <c:v>11.609629308744353</c:v>
                </c:pt>
                <c:pt idx="378">
                  <c:v>23942.925511067104</c:v>
                </c:pt>
                <c:pt idx="379">
                  <c:v>10.642160199682323</c:v>
                </c:pt>
                <c:pt idx="380">
                  <c:v>288.31003947508799</c:v>
                </c:pt>
                <c:pt idx="381">
                  <c:v>293.88509548703723</c:v>
                </c:pt>
                <c:pt idx="382">
                  <c:v>39.821828656780113</c:v>
                </c:pt>
                <c:pt idx="383">
                  <c:v>39.821828656780113</c:v>
                </c:pt>
                <c:pt idx="384">
                  <c:v>95.572388776272263</c:v>
                </c:pt>
                <c:pt idx="385">
                  <c:v>414.94345460364877</c:v>
                </c:pt>
                <c:pt idx="386">
                  <c:v>307.42451723034247</c:v>
                </c:pt>
                <c:pt idx="387">
                  <c:v>3.1857462925424089</c:v>
                </c:pt>
                <c:pt idx="388">
                  <c:v>113.89042995839112</c:v>
                </c:pt>
                <c:pt idx="389">
                  <c:v>136.98709057932359</c:v>
                </c:pt>
                <c:pt idx="390">
                  <c:v>54.157686973220954</c:v>
                </c:pt>
                <c:pt idx="391">
                  <c:v>4578.7138589565775</c:v>
                </c:pt>
                <c:pt idx="392">
                  <c:v>443.6151712365305</c:v>
                </c:pt>
                <c:pt idx="393">
                  <c:v>7.9643657313560228</c:v>
                </c:pt>
                <c:pt idx="394">
                  <c:v>3.9821828656780114</c:v>
                </c:pt>
                <c:pt idx="395">
                  <c:v>69.28998186279739</c:v>
                </c:pt>
                <c:pt idx="396">
                  <c:v>15.928731462712046</c:v>
                </c:pt>
                <c:pt idx="397">
                  <c:v>3403.1734770084286</c:v>
                </c:pt>
                <c:pt idx="398">
                  <c:v>8.7608023044916248</c:v>
                </c:pt>
                <c:pt idx="399">
                  <c:v>19540.571321882002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2420.0000000000005</c:v>
                </c:pt>
                <c:pt idx="1">
                  <c:v>580.00000000000011</c:v>
                </c:pt>
                <c:pt idx="2">
                  <c:v>500.00000000000006</c:v>
                </c:pt>
                <c:pt idx="3">
                  <c:v>800.00000000000011</c:v>
                </c:pt>
                <c:pt idx="4">
                  <c:v>640.00000000000011</c:v>
                </c:pt>
                <c:pt idx="5">
                  <c:v>3920.0000000000005</c:v>
                </c:pt>
                <c:pt idx="6">
                  <c:v>220.00000000000003</c:v>
                </c:pt>
                <c:pt idx="7">
                  <c:v>60.000000000000007</c:v>
                </c:pt>
                <c:pt idx="8">
                  <c:v>320.00000000000006</c:v>
                </c:pt>
                <c:pt idx="9">
                  <c:v>220.00000000000003</c:v>
                </c:pt>
                <c:pt idx="10">
                  <c:v>460.00000000000006</c:v>
                </c:pt>
                <c:pt idx="11">
                  <c:v>1220.0000000000002</c:v>
                </c:pt>
                <c:pt idx="12">
                  <c:v>80.000000000000014</c:v>
                </c:pt>
                <c:pt idx="13">
                  <c:v>0</c:v>
                </c:pt>
                <c:pt idx="14">
                  <c:v>60.000000000000007</c:v>
                </c:pt>
                <c:pt idx="15">
                  <c:v>60.000000000000007</c:v>
                </c:pt>
                <c:pt idx="16">
                  <c:v>20.000000000000004</c:v>
                </c:pt>
                <c:pt idx="17">
                  <c:v>60.000000000000007</c:v>
                </c:pt>
                <c:pt idx="18">
                  <c:v>80.000000000000014</c:v>
                </c:pt>
                <c:pt idx="19">
                  <c:v>0</c:v>
                </c:pt>
                <c:pt idx="20">
                  <c:v>1600.0000000000002</c:v>
                </c:pt>
                <c:pt idx="21">
                  <c:v>2280.0000000000005</c:v>
                </c:pt>
                <c:pt idx="22">
                  <c:v>500.00000000000006</c:v>
                </c:pt>
                <c:pt idx="23">
                  <c:v>500.00000000000006</c:v>
                </c:pt>
                <c:pt idx="24">
                  <c:v>440.00000000000006</c:v>
                </c:pt>
                <c:pt idx="25">
                  <c:v>3000.0000000000005</c:v>
                </c:pt>
                <c:pt idx="26">
                  <c:v>1260.0000000000002</c:v>
                </c:pt>
                <c:pt idx="27">
                  <c:v>60.000000000000007</c:v>
                </c:pt>
                <c:pt idx="28">
                  <c:v>1200.0000000000002</c:v>
                </c:pt>
                <c:pt idx="29">
                  <c:v>220.00000000000003</c:v>
                </c:pt>
                <c:pt idx="30">
                  <c:v>580.00000000000011</c:v>
                </c:pt>
                <c:pt idx="31">
                  <c:v>2020.0000000000002</c:v>
                </c:pt>
                <c:pt idx="32">
                  <c:v>280.00000000000006</c:v>
                </c:pt>
                <c:pt idx="33">
                  <c:v>40.000000000000007</c:v>
                </c:pt>
                <c:pt idx="34">
                  <c:v>260.00000000000006</c:v>
                </c:pt>
                <c:pt idx="35">
                  <c:v>40.000000000000007</c:v>
                </c:pt>
                <c:pt idx="36">
                  <c:v>20.000000000000004</c:v>
                </c:pt>
                <c:pt idx="37">
                  <c:v>60.000000000000007</c:v>
                </c:pt>
                <c:pt idx="38">
                  <c:v>80.000000000000014</c:v>
                </c:pt>
                <c:pt idx="39">
                  <c:v>0</c:v>
                </c:pt>
                <c:pt idx="40">
                  <c:v>4879.9999999999991</c:v>
                </c:pt>
                <c:pt idx="41">
                  <c:v>2619.9999999999995</c:v>
                </c:pt>
                <c:pt idx="42">
                  <c:v>4119.9999999999991</c:v>
                </c:pt>
                <c:pt idx="43">
                  <c:v>1759.9999999999995</c:v>
                </c:pt>
                <c:pt idx="44">
                  <c:v>1479.9999999999998</c:v>
                </c:pt>
                <c:pt idx="45">
                  <c:v>7359.9999999999982</c:v>
                </c:pt>
                <c:pt idx="46">
                  <c:v>1399.9999999999998</c:v>
                </c:pt>
                <c:pt idx="47">
                  <c:v>519.99999999999989</c:v>
                </c:pt>
                <c:pt idx="48">
                  <c:v>1899.9999999999995</c:v>
                </c:pt>
                <c:pt idx="49">
                  <c:v>1079.9999999999998</c:v>
                </c:pt>
                <c:pt idx="50">
                  <c:v>3259.9999999999991</c:v>
                </c:pt>
                <c:pt idx="51">
                  <c:v>4019.9999999999991</c:v>
                </c:pt>
                <c:pt idx="52">
                  <c:v>359.99999999999994</c:v>
                </c:pt>
                <c:pt idx="53">
                  <c:v>59.999999999999986</c:v>
                </c:pt>
                <c:pt idx="54">
                  <c:v>299.99999999999994</c:v>
                </c:pt>
                <c:pt idx="55">
                  <c:v>199.99999999999994</c:v>
                </c:pt>
                <c:pt idx="56">
                  <c:v>199.99999999999994</c:v>
                </c:pt>
                <c:pt idx="57">
                  <c:v>99.999999999999972</c:v>
                </c:pt>
                <c:pt idx="58">
                  <c:v>459.99999999999989</c:v>
                </c:pt>
                <c:pt idx="59">
                  <c:v>0</c:v>
                </c:pt>
                <c:pt idx="60">
                  <c:v>1899.9999999999998</c:v>
                </c:pt>
                <c:pt idx="61">
                  <c:v>659.99999999999989</c:v>
                </c:pt>
                <c:pt idx="62">
                  <c:v>859.99999999999989</c:v>
                </c:pt>
                <c:pt idx="63">
                  <c:v>1099.9999999999998</c:v>
                </c:pt>
                <c:pt idx="64">
                  <c:v>939.99999999999989</c:v>
                </c:pt>
                <c:pt idx="65">
                  <c:v>3199.9999999999995</c:v>
                </c:pt>
                <c:pt idx="66">
                  <c:v>359.99999999999994</c:v>
                </c:pt>
                <c:pt idx="67">
                  <c:v>339.99999999999994</c:v>
                </c:pt>
                <c:pt idx="68">
                  <c:v>499.99999999999994</c:v>
                </c:pt>
                <c:pt idx="69">
                  <c:v>619.99999999999989</c:v>
                </c:pt>
                <c:pt idx="70">
                  <c:v>679.99999999999989</c:v>
                </c:pt>
                <c:pt idx="71">
                  <c:v>1559.9999999999998</c:v>
                </c:pt>
                <c:pt idx="72">
                  <c:v>59.999999999999993</c:v>
                </c:pt>
                <c:pt idx="73">
                  <c:v>19.999999999999996</c:v>
                </c:pt>
                <c:pt idx="74">
                  <c:v>39.999999999999993</c:v>
                </c:pt>
                <c:pt idx="75">
                  <c:v>39.999999999999993</c:v>
                </c:pt>
                <c:pt idx="76">
                  <c:v>39.999999999999993</c:v>
                </c:pt>
                <c:pt idx="77">
                  <c:v>19.999999999999996</c:v>
                </c:pt>
                <c:pt idx="78">
                  <c:v>59.999999999999993</c:v>
                </c:pt>
                <c:pt idx="79">
                  <c:v>0</c:v>
                </c:pt>
                <c:pt idx="80">
                  <c:v>1360</c:v>
                </c:pt>
                <c:pt idx="81">
                  <c:v>900</c:v>
                </c:pt>
                <c:pt idx="82">
                  <c:v>620</c:v>
                </c:pt>
                <c:pt idx="83">
                  <c:v>560</c:v>
                </c:pt>
                <c:pt idx="84">
                  <c:v>1680</c:v>
                </c:pt>
                <c:pt idx="85">
                  <c:v>5040</c:v>
                </c:pt>
                <c:pt idx="86">
                  <c:v>400</c:v>
                </c:pt>
                <c:pt idx="87">
                  <c:v>60</c:v>
                </c:pt>
                <c:pt idx="88">
                  <c:v>440</c:v>
                </c:pt>
                <c:pt idx="89">
                  <c:v>780</c:v>
                </c:pt>
                <c:pt idx="90">
                  <c:v>420</c:v>
                </c:pt>
                <c:pt idx="91">
                  <c:v>1740</c:v>
                </c:pt>
                <c:pt idx="92">
                  <c:v>140</c:v>
                </c:pt>
                <c:pt idx="93">
                  <c:v>60</c:v>
                </c:pt>
                <c:pt idx="94">
                  <c:v>60</c:v>
                </c:pt>
                <c:pt idx="95">
                  <c:v>80</c:v>
                </c:pt>
                <c:pt idx="96">
                  <c:v>20</c:v>
                </c:pt>
                <c:pt idx="97">
                  <c:v>0</c:v>
                </c:pt>
                <c:pt idx="98">
                  <c:v>20</c:v>
                </c:pt>
                <c:pt idx="99">
                  <c:v>0</c:v>
                </c:pt>
                <c:pt idx="100">
                  <c:v>3379.9999999999995</c:v>
                </c:pt>
                <c:pt idx="101">
                  <c:v>1759.9999999999998</c:v>
                </c:pt>
                <c:pt idx="102">
                  <c:v>759.99999999999989</c:v>
                </c:pt>
                <c:pt idx="103">
                  <c:v>659.99999999999989</c:v>
                </c:pt>
                <c:pt idx="104">
                  <c:v>1819.9999999999998</c:v>
                </c:pt>
                <c:pt idx="105">
                  <c:v>12199.999999999998</c:v>
                </c:pt>
                <c:pt idx="106">
                  <c:v>1159.9999999999998</c:v>
                </c:pt>
                <c:pt idx="107">
                  <c:v>139.99999999999997</c:v>
                </c:pt>
                <c:pt idx="108">
                  <c:v>999.99999999999989</c:v>
                </c:pt>
                <c:pt idx="109">
                  <c:v>1179.9999999999998</c:v>
                </c:pt>
                <c:pt idx="110">
                  <c:v>699.99999999999989</c:v>
                </c:pt>
                <c:pt idx="111">
                  <c:v>4639.9999999999991</c:v>
                </c:pt>
                <c:pt idx="112">
                  <c:v>159.99999999999997</c:v>
                </c:pt>
                <c:pt idx="113">
                  <c:v>39.999999999999993</c:v>
                </c:pt>
                <c:pt idx="114">
                  <c:v>139.99999999999997</c:v>
                </c:pt>
                <c:pt idx="115">
                  <c:v>199.99999999999997</c:v>
                </c:pt>
                <c:pt idx="116">
                  <c:v>139.99999999999997</c:v>
                </c:pt>
                <c:pt idx="117">
                  <c:v>99.999999999999986</c:v>
                </c:pt>
                <c:pt idx="118">
                  <c:v>139.99999999999997</c:v>
                </c:pt>
                <c:pt idx="119">
                  <c:v>19.999999999999996</c:v>
                </c:pt>
                <c:pt idx="120">
                  <c:v>4060</c:v>
                </c:pt>
                <c:pt idx="121">
                  <c:v>5500</c:v>
                </c:pt>
                <c:pt idx="122">
                  <c:v>1640</c:v>
                </c:pt>
                <c:pt idx="123">
                  <c:v>1380</c:v>
                </c:pt>
                <c:pt idx="124">
                  <c:v>1560</c:v>
                </c:pt>
                <c:pt idx="125">
                  <c:v>8120</c:v>
                </c:pt>
                <c:pt idx="126">
                  <c:v>27580</c:v>
                </c:pt>
                <c:pt idx="127">
                  <c:v>120</c:v>
                </c:pt>
                <c:pt idx="128">
                  <c:v>6020</c:v>
                </c:pt>
                <c:pt idx="129">
                  <c:v>1060</c:v>
                </c:pt>
                <c:pt idx="130">
                  <c:v>1260</c:v>
                </c:pt>
                <c:pt idx="131">
                  <c:v>18520</c:v>
                </c:pt>
                <c:pt idx="132">
                  <c:v>13340</c:v>
                </c:pt>
                <c:pt idx="133">
                  <c:v>100</c:v>
                </c:pt>
                <c:pt idx="134">
                  <c:v>1580</c:v>
                </c:pt>
                <c:pt idx="135">
                  <c:v>160</c:v>
                </c:pt>
                <c:pt idx="136">
                  <c:v>120</c:v>
                </c:pt>
                <c:pt idx="137">
                  <c:v>700</c:v>
                </c:pt>
                <c:pt idx="138">
                  <c:v>200</c:v>
                </c:pt>
                <c:pt idx="139">
                  <c:v>20</c:v>
                </c:pt>
                <c:pt idx="140">
                  <c:v>440</c:v>
                </c:pt>
                <c:pt idx="141">
                  <c:v>300</c:v>
                </c:pt>
                <c:pt idx="142">
                  <c:v>520</c:v>
                </c:pt>
                <c:pt idx="143">
                  <c:v>220</c:v>
                </c:pt>
                <c:pt idx="144">
                  <c:v>400</c:v>
                </c:pt>
                <c:pt idx="145">
                  <c:v>740</c:v>
                </c:pt>
                <c:pt idx="146">
                  <c:v>140</c:v>
                </c:pt>
                <c:pt idx="147">
                  <c:v>260</c:v>
                </c:pt>
                <c:pt idx="148">
                  <c:v>280</c:v>
                </c:pt>
                <c:pt idx="149">
                  <c:v>260</c:v>
                </c:pt>
                <c:pt idx="150">
                  <c:v>640</c:v>
                </c:pt>
                <c:pt idx="151">
                  <c:v>520</c:v>
                </c:pt>
                <c:pt idx="152">
                  <c:v>0</c:v>
                </c:pt>
                <c:pt idx="153">
                  <c:v>120</c:v>
                </c:pt>
                <c:pt idx="154">
                  <c:v>40</c:v>
                </c:pt>
                <c:pt idx="155">
                  <c:v>40</c:v>
                </c:pt>
                <c:pt idx="156">
                  <c:v>80</c:v>
                </c:pt>
                <c:pt idx="157">
                  <c:v>0</c:v>
                </c:pt>
                <c:pt idx="158">
                  <c:v>40</c:v>
                </c:pt>
                <c:pt idx="159">
                  <c:v>0</c:v>
                </c:pt>
                <c:pt idx="160">
                  <c:v>4360.0000000000009</c:v>
                </c:pt>
                <c:pt idx="161">
                  <c:v>6500.0000000000018</c:v>
                </c:pt>
                <c:pt idx="162">
                  <c:v>2680.0000000000005</c:v>
                </c:pt>
                <c:pt idx="163">
                  <c:v>1380.0000000000002</c:v>
                </c:pt>
                <c:pt idx="164">
                  <c:v>2080.0000000000005</c:v>
                </c:pt>
                <c:pt idx="165">
                  <c:v>7720.0000000000018</c:v>
                </c:pt>
                <c:pt idx="166">
                  <c:v>6560.0000000000018</c:v>
                </c:pt>
                <c:pt idx="167">
                  <c:v>500.00000000000011</c:v>
                </c:pt>
                <c:pt idx="168">
                  <c:v>15640.000000000004</c:v>
                </c:pt>
                <c:pt idx="169">
                  <c:v>620.00000000000011</c:v>
                </c:pt>
                <c:pt idx="170">
                  <c:v>3960.0000000000009</c:v>
                </c:pt>
                <c:pt idx="171">
                  <c:v>7260.0000000000018</c:v>
                </c:pt>
                <c:pt idx="172">
                  <c:v>2960.0000000000005</c:v>
                </c:pt>
                <c:pt idx="173">
                  <c:v>240.00000000000006</c:v>
                </c:pt>
                <c:pt idx="174">
                  <c:v>5460.0000000000009</c:v>
                </c:pt>
                <c:pt idx="175">
                  <c:v>80.000000000000014</c:v>
                </c:pt>
                <c:pt idx="176">
                  <c:v>180.00000000000003</c:v>
                </c:pt>
                <c:pt idx="177">
                  <c:v>160.00000000000003</c:v>
                </c:pt>
                <c:pt idx="178">
                  <c:v>900.00000000000023</c:v>
                </c:pt>
                <c:pt idx="179">
                  <c:v>60.000000000000014</c:v>
                </c:pt>
                <c:pt idx="180">
                  <c:v>2140</c:v>
                </c:pt>
                <c:pt idx="181">
                  <c:v>1420</c:v>
                </c:pt>
                <c:pt idx="182">
                  <c:v>680</c:v>
                </c:pt>
                <c:pt idx="183">
                  <c:v>1160</c:v>
                </c:pt>
                <c:pt idx="184">
                  <c:v>1860</c:v>
                </c:pt>
                <c:pt idx="185">
                  <c:v>6680</c:v>
                </c:pt>
                <c:pt idx="186">
                  <c:v>960</c:v>
                </c:pt>
                <c:pt idx="187">
                  <c:v>260</c:v>
                </c:pt>
                <c:pt idx="188">
                  <c:v>640</c:v>
                </c:pt>
                <c:pt idx="189">
                  <c:v>4120</c:v>
                </c:pt>
                <c:pt idx="190">
                  <c:v>580</c:v>
                </c:pt>
                <c:pt idx="191">
                  <c:v>6660</c:v>
                </c:pt>
                <c:pt idx="192">
                  <c:v>280</c:v>
                </c:pt>
                <c:pt idx="193">
                  <c:v>60</c:v>
                </c:pt>
                <c:pt idx="194">
                  <c:v>80</c:v>
                </c:pt>
                <c:pt idx="195">
                  <c:v>860</c:v>
                </c:pt>
                <c:pt idx="196">
                  <c:v>0</c:v>
                </c:pt>
                <c:pt idx="197">
                  <c:v>100</c:v>
                </c:pt>
                <c:pt idx="198">
                  <c:v>120</c:v>
                </c:pt>
                <c:pt idx="199">
                  <c:v>40</c:v>
                </c:pt>
                <c:pt idx="200">
                  <c:v>4179.9999999999991</c:v>
                </c:pt>
                <c:pt idx="201">
                  <c:v>3159.9999999999995</c:v>
                </c:pt>
                <c:pt idx="202">
                  <c:v>4179.9999999999991</c:v>
                </c:pt>
                <c:pt idx="203">
                  <c:v>1899.9999999999998</c:v>
                </c:pt>
                <c:pt idx="204">
                  <c:v>1159.9999999999998</c:v>
                </c:pt>
                <c:pt idx="205">
                  <c:v>6239.9999999999991</c:v>
                </c:pt>
                <c:pt idx="206">
                  <c:v>1379.9999999999998</c:v>
                </c:pt>
                <c:pt idx="207">
                  <c:v>859.99999999999989</c:v>
                </c:pt>
                <c:pt idx="208">
                  <c:v>4119.9999999999991</c:v>
                </c:pt>
                <c:pt idx="209">
                  <c:v>1419.9999999999998</c:v>
                </c:pt>
                <c:pt idx="210">
                  <c:v>18699.999999999996</c:v>
                </c:pt>
                <c:pt idx="211">
                  <c:v>3979.9999999999995</c:v>
                </c:pt>
                <c:pt idx="212">
                  <c:v>439.99999999999994</c:v>
                </c:pt>
                <c:pt idx="213">
                  <c:v>779.99999999999989</c:v>
                </c:pt>
                <c:pt idx="214">
                  <c:v>1099.9999999999998</c:v>
                </c:pt>
                <c:pt idx="215">
                  <c:v>159.99999999999997</c:v>
                </c:pt>
                <c:pt idx="216">
                  <c:v>1039.9999999999998</c:v>
                </c:pt>
                <c:pt idx="217">
                  <c:v>59.999999999999993</c:v>
                </c:pt>
                <c:pt idx="218">
                  <c:v>4719.9999999999991</c:v>
                </c:pt>
                <c:pt idx="219">
                  <c:v>0</c:v>
                </c:pt>
                <c:pt idx="220">
                  <c:v>6400.0000000000009</c:v>
                </c:pt>
                <c:pt idx="221">
                  <c:v>5320.0000000000009</c:v>
                </c:pt>
                <c:pt idx="222">
                  <c:v>2080.0000000000005</c:v>
                </c:pt>
                <c:pt idx="223">
                  <c:v>2460.0000000000005</c:v>
                </c:pt>
                <c:pt idx="224">
                  <c:v>3860.0000000000005</c:v>
                </c:pt>
                <c:pt idx="225">
                  <c:v>15960.000000000002</c:v>
                </c:pt>
                <c:pt idx="226">
                  <c:v>10600.000000000002</c:v>
                </c:pt>
                <c:pt idx="227">
                  <c:v>200.00000000000003</c:v>
                </c:pt>
                <c:pt idx="228">
                  <c:v>4040.0000000000005</c:v>
                </c:pt>
                <c:pt idx="229">
                  <c:v>2900.0000000000005</c:v>
                </c:pt>
                <c:pt idx="230">
                  <c:v>1660.0000000000002</c:v>
                </c:pt>
                <c:pt idx="231">
                  <c:v>55880.000000000007</c:v>
                </c:pt>
                <c:pt idx="232">
                  <c:v>4740.0000000000009</c:v>
                </c:pt>
                <c:pt idx="233">
                  <c:v>120.00000000000001</c:v>
                </c:pt>
                <c:pt idx="234">
                  <c:v>620.00000000000011</c:v>
                </c:pt>
                <c:pt idx="235">
                  <c:v>560.00000000000011</c:v>
                </c:pt>
                <c:pt idx="236">
                  <c:v>160.00000000000003</c:v>
                </c:pt>
                <c:pt idx="237">
                  <c:v>2300.0000000000005</c:v>
                </c:pt>
                <c:pt idx="238">
                  <c:v>240.00000000000003</c:v>
                </c:pt>
                <c:pt idx="239">
                  <c:v>420.00000000000006</c:v>
                </c:pt>
                <c:pt idx="240">
                  <c:v>1679.9999999999998</c:v>
                </c:pt>
                <c:pt idx="241">
                  <c:v>2039.9999999999998</c:v>
                </c:pt>
                <c:pt idx="242">
                  <c:v>619.99999999999989</c:v>
                </c:pt>
                <c:pt idx="243">
                  <c:v>519.99999999999989</c:v>
                </c:pt>
                <c:pt idx="244">
                  <c:v>439.99999999999994</c:v>
                </c:pt>
                <c:pt idx="245">
                  <c:v>2899.9999999999995</c:v>
                </c:pt>
                <c:pt idx="246">
                  <c:v>18679.999999999996</c:v>
                </c:pt>
                <c:pt idx="247">
                  <c:v>39.999999999999993</c:v>
                </c:pt>
                <c:pt idx="248">
                  <c:v>2599.9999999999995</c:v>
                </c:pt>
                <c:pt idx="249">
                  <c:v>439.99999999999994</c:v>
                </c:pt>
                <c:pt idx="250">
                  <c:v>479.99999999999994</c:v>
                </c:pt>
                <c:pt idx="251">
                  <c:v>9419.9999999999982</c:v>
                </c:pt>
                <c:pt idx="252">
                  <c:v>52899.999999999993</c:v>
                </c:pt>
                <c:pt idx="253">
                  <c:v>39.999999999999993</c:v>
                </c:pt>
                <c:pt idx="254">
                  <c:v>3779.9999999999995</c:v>
                </c:pt>
                <c:pt idx="255">
                  <c:v>119.99999999999999</c:v>
                </c:pt>
                <c:pt idx="256">
                  <c:v>19.999999999999996</c:v>
                </c:pt>
                <c:pt idx="257">
                  <c:v>1979.9999999999998</c:v>
                </c:pt>
                <c:pt idx="258">
                  <c:v>119.99999999999999</c:v>
                </c:pt>
                <c:pt idx="259">
                  <c:v>179.99999999999997</c:v>
                </c:pt>
                <c:pt idx="260">
                  <c:v>1220.0000000000002</c:v>
                </c:pt>
                <c:pt idx="261">
                  <c:v>520.00000000000011</c:v>
                </c:pt>
                <c:pt idx="262">
                  <c:v>800.00000000000023</c:v>
                </c:pt>
                <c:pt idx="263">
                  <c:v>600.00000000000011</c:v>
                </c:pt>
                <c:pt idx="264">
                  <c:v>520.00000000000011</c:v>
                </c:pt>
                <c:pt idx="265">
                  <c:v>1500.0000000000002</c:v>
                </c:pt>
                <c:pt idx="266">
                  <c:v>340.00000000000006</c:v>
                </c:pt>
                <c:pt idx="267">
                  <c:v>440.00000000000011</c:v>
                </c:pt>
                <c:pt idx="268">
                  <c:v>580.00000000000011</c:v>
                </c:pt>
                <c:pt idx="269">
                  <c:v>360.00000000000006</c:v>
                </c:pt>
                <c:pt idx="270">
                  <c:v>2540.0000000000005</c:v>
                </c:pt>
                <c:pt idx="271">
                  <c:v>760.00000000000011</c:v>
                </c:pt>
                <c:pt idx="272">
                  <c:v>60.000000000000014</c:v>
                </c:pt>
                <c:pt idx="273">
                  <c:v>8380.0000000000018</c:v>
                </c:pt>
                <c:pt idx="274">
                  <c:v>80.000000000000014</c:v>
                </c:pt>
                <c:pt idx="275">
                  <c:v>20.000000000000004</c:v>
                </c:pt>
                <c:pt idx="276">
                  <c:v>1580.0000000000005</c:v>
                </c:pt>
                <c:pt idx="277">
                  <c:v>40.000000000000007</c:v>
                </c:pt>
                <c:pt idx="278">
                  <c:v>720.00000000000011</c:v>
                </c:pt>
                <c:pt idx="279">
                  <c:v>0</c:v>
                </c:pt>
                <c:pt idx="280">
                  <c:v>1179.9999999999998</c:v>
                </c:pt>
                <c:pt idx="281">
                  <c:v>1499.9999999999998</c:v>
                </c:pt>
                <c:pt idx="282">
                  <c:v>719.99999999999989</c:v>
                </c:pt>
                <c:pt idx="283">
                  <c:v>359.99999999999994</c:v>
                </c:pt>
                <c:pt idx="284">
                  <c:v>479.99999999999994</c:v>
                </c:pt>
                <c:pt idx="285">
                  <c:v>1959.9999999999998</c:v>
                </c:pt>
                <c:pt idx="286">
                  <c:v>2599.9999999999995</c:v>
                </c:pt>
                <c:pt idx="287">
                  <c:v>19.999999999999996</c:v>
                </c:pt>
                <c:pt idx="288">
                  <c:v>4679.9999999999991</c:v>
                </c:pt>
                <c:pt idx="289">
                  <c:v>259.99999999999994</c:v>
                </c:pt>
                <c:pt idx="290">
                  <c:v>1319.9999999999998</c:v>
                </c:pt>
                <c:pt idx="291">
                  <c:v>1899.9999999999998</c:v>
                </c:pt>
                <c:pt idx="292">
                  <c:v>6599.9999999999991</c:v>
                </c:pt>
                <c:pt idx="293">
                  <c:v>99.999999999999986</c:v>
                </c:pt>
                <c:pt idx="294">
                  <c:v>18579.999999999996</c:v>
                </c:pt>
                <c:pt idx="295">
                  <c:v>0</c:v>
                </c:pt>
                <c:pt idx="296">
                  <c:v>159.99999999999997</c:v>
                </c:pt>
                <c:pt idx="297">
                  <c:v>59.999999999999993</c:v>
                </c:pt>
                <c:pt idx="298">
                  <c:v>1219.9999999999998</c:v>
                </c:pt>
                <c:pt idx="299">
                  <c:v>19.999999999999996</c:v>
                </c:pt>
                <c:pt idx="300">
                  <c:v>1199.9999999999998</c:v>
                </c:pt>
                <c:pt idx="301">
                  <c:v>419.99999999999989</c:v>
                </c:pt>
                <c:pt idx="302">
                  <c:v>339.99999999999994</c:v>
                </c:pt>
                <c:pt idx="303">
                  <c:v>539.99999999999989</c:v>
                </c:pt>
                <c:pt idx="304">
                  <c:v>699.99999999999989</c:v>
                </c:pt>
                <c:pt idx="305">
                  <c:v>2619.9999999999995</c:v>
                </c:pt>
                <c:pt idx="306">
                  <c:v>439.99999999999989</c:v>
                </c:pt>
                <c:pt idx="307">
                  <c:v>39.999999999999993</c:v>
                </c:pt>
                <c:pt idx="308">
                  <c:v>399.99999999999989</c:v>
                </c:pt>
                <c:pt idx="309">
                  <c:v>1179.9999999999998</c:v>
                </c:pt>
                <c:pt idx="310">
                  <c:v>179.99999999999997</c:v>
                </c:pt>
                <c:pt idx="311">
                  <c:v>5699.9999999999991</c:v>
                </c:pt>
                <c:pt idx="312">
                  <c:v>199.99999999999994</c:v>
                </c:pt>
                <c:pt idx="313">
                  <c:v>19.999999999999996</c:v>
                </c:pt>
                <c:pt idx="314">
                  <c:v>99.999999999999972</c:v>
                </c:pt>
                <c:pt idx="315">
                  <c:v>1519.9999999999998</c:v>
                </c:pt>
                <c:pt idx="316">
                  <c:v>19.999999999999996</c:v>
                </c:pt>
                <c:pt idx="317">
                  <c:v>519.99999999999989</c:v>
                </c:pt>
                <c:pt idx="318">
                  <c:v>59.999999999999986</c:v>
                </c:pt>
                <c:pt idx="319">
                  <c:v>299.99999999999994</c:v>
                </c:pt>
                <c:pt idx="320">
                  <c:v>860</c:v>
                </c:pt>
                <c:pt idx="321">
                  <c:v>620</c:v>
                </c:pt>
                <c:pt idx="322">
                  <c:v>840</c:v>
                </c:pt>
                <c:pt idx="323">
                  <c:v>460</c:v>
                </c:pt>
                <c:pt idx="324">
                  <c:v>340</c:v>
                </c:pt>
                <c:pt idx="325">
                  <c:v>1740</c:v>
                </c:pt>
                <c:pt idx="326">
                  <c:v>200</c:v>
                </c:pt>
                <c:pt idx="327">
                  <c:v>360</c:v>
                </c:pt>
                <c:pt idx="328">
                  <c:v>700</c:v>
                </c:pt>
                <c:pt idx="329">
                  <c:v>160</c:v>
                </c:pt>
                <c:pt idx="330">
                  <c:v>3960</c:v>
                </c:pt>
                <c:pt idx="331">
                  <c:v>820</c:v>
                </c:pt>
                <c:pt idx="332">
                  <c:v>80</c:v>
                </c:pt>
                <c:pt idx="333">
                  <c:v>2700</c:v>
                </c:pt>
                <c:pt idx="334">
                  <c:v>360</c:v>
                </c:pt>
                <c:pt idx="335">
                  <c:v>0</c:v>
                </c:pt>
                <c:pt idx="336">
                  <c:v>5720</c:v>
                </c:pt>
                <c:pt idx="337">
                  <c:v>0</c:v>
                </c:pt>
                <c:pt idx="338">
                  <c:v>4120</c:v>
                </c:pt>
                <c:pt idx="339">
                  <c:v>0</c:v>
                </c:pt>
                <c:pt idx="340">
                  <c:v>1140</c:v>
                </c:pt>
                <c:pt idx="341">
                  <c:v>1040</c:v>
                </c:pt>
                <c:pt idx="342">
                  <c:v>520</c:v>
                </c:pt>
                <c:pt idx="343">
                  <c:v>400</c:v>
                </c:pt>
                <c:pt idx="344">
                  <c:v>700</c:v>
                </c:pt>
                <c:pt idx="345">
                  <c:v>2740</c:v>
                </c:pt>
                <c:pt idx="346">
                  <c:v>2840</c:v>
                </c:pt>
                <c:pt idx="347">
                  <c:v>60</c:v>
                </c:pt>
                <c:pt idx="348">
                  <c:v>440</c:v>
                </c:pt>
                <c:pt idx="349">
                  <c:v>660</c:v>
                </c:pt>
                <c:pt idx="350">
                  <c:v>280</c:v>
                </c:pt>
                <c:pt idx="351">
                  <c:v>17440</c:v>
                </c:pt>
                <c:pt idx="352">
                  <c:v>8400</c:v>
                </c:pt>
                <c:pt idx="353">
                  <c:v>0</c:v>
                </c:pt>
                <c:pt idx="354">
                  <c:v>160</c:v>
                </c:pt>
                <c:pt idx="355">
                  <c:v>240</c:v>
                </c:pt>
                <c:pt idx="356">
                  <c:v>20</c:v>
                </c:pt>
                <c:pt idx="357">
                  <c:v>11100</c:v>
                </c:pt>
                <c:pt idx="358">
                  <c:v>60</c:v>
                </c:pt>
                <c:pt idx="359">
                  <c:v>4980</c:v>
                </c:pt>
                <c:pt idx="360">
                  <c:v>1120</c:v>
                </c:pt>
                <c:pt idx="361">
                  <c:v>860</c:v>
                </c:pt>
                <c:pt idx="362">
                  <c:v>1040</c:v>
                </c:pt>
                <c:pt idx="363">
                  <c:v>700</c:v>
                </c:pt>
                <c:pt idx="364">
                  <c:v>500</c:v>
                </c:pt>
                <c:pt idx="365">
                  <c:v>1980</c:v>
                </c:pt>
                <c:pt idx="366">
                  <c:v>720</c:v>
                </c:pt>
                <c:pt idx="367">
                  <c:v>260</c:v>
                </c:pt>
                <c:pt idx="368">
                  <c:v>1360</c:v>
                </c:pt>
                <c:pt idx="369">
                  <c:v>300</c:v>
                </c:pt>
                <c:pt idx="370">
                  <c:v>9280</c:v>
                </c:pt>
                <c:pt idx="371">
                  <c:v>1120</c:v>
                </c:pt>
                <c:pt idx="372">
                  <c:v>280</c:v>
                </c:pt>
                <c:pt idx="373">
                  <c:v>880</c:v>
                </c:pt>
                <c:pt idx="374">
                  <c:v>1960</c:v>
                </c:pt>
                <c:pt idx="375">
                  <c:v>40</c:v>
                </c:pt>
                <c:pt idx="376">
                  <c:v>4400</c:v>
                </c:pt>
                <c:pt idx="377">
                  <c:v>40</c:v>
                </c:pt>
                <c:pt idx="378">
                  <c:v>20060</c:v>
                </c:pt>
                <c:pt idx="379">
                  <c:v>0</c:v>
                </c:pt>
                <c:pt idx="380">
                  <c:v>120</c:v>
                </c:pt>
                <c:pt idx="381">
                  <c:v>180</c:v>
                </c:pt>
                <c:pt idx="382">
                  <c:v>80</c:v>
                </c:pt>
                <c:pt idx="383">
                  <c:v>60</c:v>
                </c:pt>
                <c:pt idx="384">
                  <c:v>140</c:v>
                </c:pt>
                <c:pt idx="385">
                  <c:v>500</c:v>
                </c:pt>
                <c:pt idx="386">
                  <c:v>420</c:v>
                </c:pt>
                <c:pt idx="387">
                  <c:v>0</c:v>
                </c:pt>
                <c:pt idx="388">
                  <c:v>80</c:v>
                </c:pt>
                <c:pt idx="389">
                  <c:v>80</c:v>
                </c:pt>
                <c:pt idx="390">
                  <c:v>40</c:v>
                </c:pt>
                <c:pt idx="391">
                  <c:v>3400</c:v>
                </c:pt>
                <c:pt idx="392">
                  <c:v>380</c:v>
                </c:pt>
                <c:pt idx="393">
                  <c:v>0</c:v>
                </c:pt>
                <c:pt idx="394">
                  <c:v>40</c:v>
                </c:pt>
                <c:pt idx="395">
                  <c:v>140</c:v>
                </c:pt>
                <c:pt idx="396">
                  <c:v>0</c:v>
                </c:pt>
                <c:pt idx="397">
                  <c:v>3740</c:v>
                </c:pt>
                <c:pt idx="398">
                  <c:v>0</c:v>
                </c:pt>
                <c:pt idx="399">
                  <c:v>20460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B-4359-91B0-C706C339E30E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B-4359-91B0-C706C339E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  <c:max val="2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  <c:max val="2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Relationship Id="rId2" Target="../charts/chart5.xml" Type="http://schemas.openxmlformats.org/officeDocument/2006/relationships/chart"/>
<Relationship Id="rId3" Target="../charts/chart6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266700</xdr:colOff>
      <xdr:row>15</xdr:row>
      <xdr:rowOff>19050</xdr:rowOff>
    </xdr:from>
    <xdr:to>
      <xdr:col>21</xdr:col>
      <xdr:colOff>571500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90</xdr:col>
      <xdr:colOff>523874</xdr:colOff>
      <xdr:row>17</xdr:row>
      <xdr:rowOff>9524</xdr:rowOff>
    </xdr:from>
    <xdr:to>
      <xdr:col>101</xdr:col>
      <xdr:colOff>457200</xdr:colOff>
      <xdr:row>38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19</xdr:col>
      <xdr:colOff>380999</xdr:colOff>
      <xdr:row>2</xdr:row>
      <xdr:rowOff>9525</xdr:rowOff>
    </xdr:from>
    <xdr:to>
      <xdr:col>27</xdr:col>
      <xdr:colOff>942974</xdr:colOff>
      <xdr:row>21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276224</xdr:colOff>
      <xdr:row>0</xdr:row>
      <xdr:rowOff>161924</xdr:rowOff>
    </xdr:from>
    <xdr:to>
      <xdr:col>49</xdr:col>
      <xdr:colOff>333375</xdr:colOff>
      <xdr:row>24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58</xdr:col>
      <xdr:colOff>542926</xdr:colOff>
      <xdr:row>24</xdr:row>
      <xdr:rowOff>104776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68</xdr:row>
      <xdr:rowOff>19050</xdr:rowOff>
    </xdr:from>
    <xdr:to>
      <xdr:col>16</xdr:col>
      <xdr:colOff>504826</xdr:colOff>
      <xdr:row>81</xdr:row>
      <xdr:rowOff>82275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5916FA-C09F-4467-9B5C-00FA9F24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42</xdr:row>
      <xdr:rowOff>171451</xdr:rowOff>
    </xdr:from>
    <xdr:to>
      <xdr:col>16</xdr:col>
      <xdr:colOff>542925</xdr:colOff>
      <xdr:row>55</xdr:row>
      <xdr:rowOff>97753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477873-7CA4-4069-8097-68C3A67E9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01"/>
  <sheetViews>
    <sheetView workbookViewId="0">
      <selection activeCell="M9" sqref="M9:O1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2" max="12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247</v>
      </c>
    </row>
    <row r="3" spans="1:23" x14ac:dyDescent="0.25">
      <c r="A3" t="s">
        <v>241</v>
      </c>
    </row>
    <row r="4" spans="1:23" x14ac:dyDescent="0.25">
      <c r="A4" t="s">
        <v>4</v>
      </c>
    </row>
    <row r="5" spans="1:23" x14ac:dyDescent="0.25">
      <c r="A5" t="s">
        <v>5</v>
      </c>
    </row>
    <row r="7" spans="1:23" x14ac:dyDescent="0.25">
      <c r="A7" t="s">
        <v>11</v>
      </c>
    </row>
    <row ht="15.75" r="9" spans="1:23" thickBot="1" x14ac:dyDescent="0.3">
      <c r="A9" s="4" t="s">
        <v>208</v>
      </c>
      <c r="B9" s="1"/>
      <c r="C9" s="1"/>
      <c r="D9" s="1"/>
      <c r="E9" s="1"/>
      <c r="G9" s="4" t="s">
        <v>12</v>
      </c>
      <c r="H9" s="1"/>
      <c r="I9" s="1"/>
      <c r="J9" s="1"/>
      <c r="K9" s="1"/>
      <c r="M9" s="28" t="s">
        <v>251</v>
      </c>
      <c r="N9" s="26"/>
      <c r="O9" s="26"/>
    </row>
    <row r="10" spans="1:23" x14ac:dyDescent="0.25">
      <c r="A10" s="2" t="s">
        <v>2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</v>
      </c>
      <c r="H10" s="5" t="s">
        <v>8</v>
      </c>
      <c r="I10" s="5" t="s">
        <v>9</v>
      </c>
      <c r="J10" s="5" t="s">
        <v>10</v>
      </c>
      <c r="K10" s="29" t="s">
        <v>253</v>
      </c>
      <c r="M10" s="25"/>
      <c r="N10" s="29" t="s">
        <v>203</v>
      </c>
      <c r="O10" s="29" t="s">
        <v>253</v>
      </c>
    </row>
    <row r="11" spans="1:23" x14ac:dyDescent="0.25">
      <c r="A11">
        <v>0</v>
      </c>
      <c r="B11" s="58" t="n">
        <v>12209.134356361044</v>
      </c>
      <c r="C11" s="58" t="n">
        <v>2859.115887359029</v>
      </c>
      <c r="D11" s="58" t="n">
        <v>663.1264013306247</v>
      </c>
      <c r="E11" s="58">
        <f>SUM(B11:D11)</f>
        <v>15731.376645050697</v>
      </c>
      <c r="F11" s="78">
        <f>IFERROR(E11/SUM($E$11:$E$100),0)</f>
        <v>1.9977860523408449E-2</v>
      </c>
      <c r="G11">
        <v>0</v>
      </c>
      <c r="H11" s="68" t="n">
        <v>17164.0</v>
      </c>
      <c r="I11" s="68" t="n">
        <v>2678.0</v>
      </c>
      <c r="J11" s="68" t="n">
        <v>1478.0</v>
      </c>
      <c r="K11" s="58">
        <f>SUM(H11:J11)</f>
        <v>21080</v>
      </c>
      <c r="L11" s="78">
        <f>IFERROR(K11/SUM($K$11:$K$100),0)</f>
        <v>2.538413371224893E-2</v>
      </c>
      <c r="M11" s="26" t="s">
        <v>8</v>
      </c>
      <c r="N11" s="65" t="n">
        <v>13.260577290698972</v>
      </c>
      <c r="O11" s="65" t="n">
        <v>12.952305306754155</v>
      </c>
    </row>
    <row r="12" spans="1:23" x14ac:dyDescent="0.25">
      <c r="A12">
        <v>1</v>
      </c>
      <c r="B12" s="58" t="n">
        <v>25626.02815928745</v>
      </c>
      <c r="C12" s="58" t="n">
        <v>7025.634034964959</v>
      </c>
      <c r="D12" s="58" t="n">
        <v>3947.722520522216</v>
      </c>
      <c r="E12" s="58">
        <f ref="E12:E75" si="0" t="shared">SUM(B12:D12)</f>
        <v>36599.38471477462</v>
      </c>
      <c r="F12" s="78">
        <f ref="F12:F75" si="1" t="shared">IFERROR(E12/SUM($E$11:$E$100),0)</f>
        <v>4.647892041313325E-2</v>
      </c>
      <c r="G12">
        <v>1</v>
      </c>
      <c r="H12" s="68" t="n">
        <v>36824.0</v>
      </c>
      <c r="I12" s="68" t="n">
        <v>6598.0</v>
      </c>
      <c r="J12" s="68" t="n">
        <v>3513.0</v>
      </c>
      <c r="K12" s="58">
        <f ref="K12:K75" si="2" t="shared">SUM(H12:J12)</f>
        <v>47100</v>
      </c>
      <c r="L12" s="78">
        <f ref="L12:L75" si="3" t="shared">IFERROR(K12/SUM($K$11:$K$100),0)</f>
        <v>5.6716921150233614E-2</v>
      </c>
      <c r="M12" s="26" t="s">
        <v>9</v>
      </c>
      <c r="N12" s="65" t="n">
        <v>9.540199850982214</v>
      </c>
      <c r="O12" s="65" t="n">
        <v>8.882530052425032</v>
      </c>
    </row>
    <row r="13" spans="1:23" x14ac:dyDescent="0.25">
      <c r="A13">
        <v>2</v>
      </c>
      <c r="B13" s="58" t="n">
        <v>36309.20212129782</v>
      </c>
      <c r="C13" s="58" t="n">
        <v>5275.022129577734</v>
      </c>
      <c r="D13" s="58" t="n">
        <v>845.6390104198362</v>
      </c>
      <c r="E13" s="58">
        <f si="0" t="shared"/>
        <v>42429.863261295395</v>
      </c>
      <c r="F13" s="78">
        <f si="1" t="shared"/>
        <v>5.3883262055653365E-2</v>
      </c>
      <c r="G13">
        <v>2</v>
      </c>
      <c r="H13" s="68" t="n">
        <v>36057.0</v>
      </c>
      <c r="I13" s="68" t="n">
        <v>7653.0</v>
      </c>
      <c r="J13" s="68" t="n">
        <v>4047.0</v>
      </c>
      <c r="K13" s="58">
        <f si="2" t="shared"/>
        <v>48120</v>
      </c>
      <c r="L13" s="78">
        <f si="3" t="shared"/>
        <v>5.7945185684697267E-2</v>
      </c>
      <c r="M13" s="27" t="s">
        <v>10</v>
      </c>
      <c r="N13" s="66" t="n">
        <v>8.6583958106079</v>
      </c>
      <c r="O13" s="66" t="n">
        <v>7.534426616082312</v>
      </c>
    </row>
    <row ht="15.75" r="14" spans="1:23" thickBot="1" x14ac:dyDescent="0.3">
      <c r="A14">
        <v>3</v>
      </c>
      <c r="B14" s="58" t="n">
        <v>39382.922543996865</v>
      </c>
      <c r="C14" s="58" t="n">
        <v>5953.681580586038</v>
      </c>
      <c r="D14" s="58" t="n">
        <v>3260.4499923239764</v>
      </c>
      <c r="E14" s="58">
        <f si="0" t="shared"/>
        <v>48597.054116906882</v>
      </c>
      <c r="F14" s="78">
        <f si="1" t="shared"/>
        <v>6.1715207187639565E-2</v>
      </c>
      <c r="G14">
        <v>3</v>
      </c>
      <c r="H14" s="68" t="n">
        <v>31790.0</v>
      </c>
      <c r="I14" s="68" t="n">
        <v>7766.0</v>
      </c>
      <c r="J14" s="68" t="n">
        <v>3852.0</v>
      </c>
      <c r="K14" s="58">
        <f si="2" t="shared"/>
        <v>41800</v>
      </c>
      <c r="L14" s="78">
        <f si="3" t="shared"/>
        <v>5.0334762294687155E-2</v>
      </c>
      <c r="M14" s="24" t="s">
        <v>3</v>
      </c>
      <c r="N14" s="67" t="n">
        <v>12.755700521813194</v>
      </c>
      <c r="O14" s="67" t="n">
        <v>12.3285527218506</v>
      </c>
      <c r="S14" s="8"/>
    </row>
    <row r="15" spans="1:23" x14ac:dyDescent="0.25">
      <c r="A15">
        <v>4</v>
      </c>
      <c r="B15" s="58" t="n">
        <v>37572.210307755886</v>
      </c>
      <c r="C15" s="58" t="n">
        <v>4236.048509458959</v>
      </c>
      <c r="D15" s="58" t="n">
        <v>2398.8903574871124</v>
      </c>
      <c r="E15" s="58">
        <f si="0" t="shared"/>
        <v>44207.149174701961</v>
      </c>
      <c r="F15" s="78">
        <f si="1" t="shared"/>
        <v>5.614030356507687E-2</v>
      </c>
      <c r="G15">
        <v>4</v>
      </c>
      <c r="H15" s="68" t="n">
        <v>33123.0</v>
      </c>
      <c r="I15" s="68" t="n">
        <v>7119.0</v>
      </c>
      <c r="J15" s="68" t="n">
        <v>3264.0</v>
      </c>
      <c r="K15" s="58">
        <f si="2" t="shared"/>
        <v>43580</v>
      </c>
      <c r="L15" s="78">
        <f si="3" t="shared"/>
        <v>5.2478204325417853E-2</v>
      </c>
      <c r="W15" s="8"/>
    </row>
    <row r="16" spans="1:23" x14ac:dyDescent="0.25">
      <c r="A16">
        <v>5</v>
      </c>
      <c r="B16" s="58" t="n">
        <v>26355.548410393305</v>
      </c>
      <c r="C16" s="58" t="n">
        <v>3759.0997049636076</v>
      </c>
      <c r="D16" s="58" t="n">
        <v>3504.511969556317</v>
      </c>
      <c r="E16" s="58">
        <f si="0" t="shared"/>
        <v>33619.16008491323</v>
      </c>
      <c r="F16" s="78">
        <f si="1" t="shared"/>
        <v>4.269422226959671E-2</v>
      </c>
      <c r="G16">
        <v>5</v>
      </c>
      <c r="H16" s="68" t="n">
        <v>34342.0</v>
      </c>
      <c r="I16" s="68" t="n">
        <v>6295.0</v>
      </c>
      <c r="J16" s="68" t="n">
        <v>2792.0</v>
      </c>
      <c r="K16" s="58">
        <f si="2" t="shared"/>
        <v>43960</v>
      </c>
      <c r="L16" s="78">
        <f si="3" t="shared"/>
        <v>5.2935793073551368E-2</v>
      </c>
      <c r="W16" s="8"/>
    </row>
    <row r="17" spans="1:23" x14ac:dyDescent="0.25">
      <c r="A17">
        <v>6</v>
      </c>
      <c r="B17" s="58" t="n">
        <v>35550.10217585644</v>
      </c>
      <c r="C17" s="58" t="n">
        <v>4703.457395192097</v>
      </c>
      <c r="D17" s="58" t="n">
        <v>1020.8449835992441</v>
      </c>
      <c r="E17" s="58">
        <f si="0" t="shared"/>
        <v>41274.404554647779</v>
      </c>
      <c r="F17" s="78">
        <f si="1" t="shared"/>
        <v>5.2415902052596899E-2</v>
      </c>
      <c r="G17">
        <v>6</v>
      </c>
      <c r="H17" s="68" t="n">
        <v>33071.0</v>
      </c>
      <c r="I17" s="68" t="n">
        <v>4954.0</v>
      </c>
      <c r="J17" s="68" t="n">
        <v>2103.0</v>
      </c>
      <c r="K17" s="58">
        <f si="2" t="shared"/>
        <v>38740</v>
      </c>
      <c r="L17" s="78">
        <f si="3" t="shared"/>
        <v>4.664996869129618E-2</v>
      </c>
      <c r="W17" s="8"/>
    </row>
    <row r="18" spans="1:23" x14ac:dyDescent="0.25">
      <c r="A18">
        <v>7</v>
      </c>
      <c r="B18" s="58" t="n">
        <v>32180.851438038215</v>
      </c>
      <c r="C18" s="58" t="n">
        <v>6011.579019933358</v>
      </c>
      <c r="D18" s="58" t="n">
        <v>947.3931299994143</v>
      </c>
      <c r="E18" s="58">
        <f si="0" t="shared"/>
        <v>39139.82358797099</v>
      </c>
      <c r="F18" s="78">
        <f si="1" t="shared"/>
        <v>4.970511826104565E-2</v>
      </c>
      <c r="G18">
        <v>7</v>
      </c>
      <c r="H18" s="68" t="n">
        <v>31961.0</v>
      </c>
      <c r="I18" s="68" t="n">
        <v>4261.0</v>
      </c>
      <c r="J18" s="68" t="n">
        <v>1878.0</v>
      </c>
      <c r="K18" s="58">
        <f si="2" t="shared"/>
        <v>38200</v>
      </c>
      <c r="L18" s="78">
        <f si="3" t="shared"/>
        <v>4.5999710996580123E-2</v>
      </c>
      <c r="W18" s="8"/>
    </row>
    <row r="19" spans="1:23" x14ac:dyDescent="0.25">
      <c r="A19">
        <v>8</v>
      </c>
      <c r="B19" s="58" t="n">
        <v>32632.80388434409</v>
      </c>
      <c r="C19" s="58" t="n">
        <v>3807.0004542282636</v>
      </c>
      <c r="D19" s="58" t="n">
        <v>1526.2866013535208</v>
      </c>
      <c r="E19" s="58">
        <f si="0" t="shared"/>
        <v>37966.090939925882</v>
      </c>
      <c r="F19" s="78">
        <f si="1" t="shared"/>
        <v>4.8214551499884711E-2</v>
      </c>
      <c r="G19">
        <v>8</v>
      </c>
      <c r="H19" s="68" t="n">
        <v>32406.0</v>
      </c>
      <c r="I19" s="68" t="n">
        <v>3784.0</v>
      </c>
      <c r="J19" s="68" t="n">
        <v>1506.0</v>
      </c>
      <c r="K19" s="58">
        <f si="2" t="shared"/>
        <v>37940</v>
      </c>
      <c r="L19" s="78">
        <f si="3" t="shared"/>
        <v>4.5686623958383507E-2</v>
      </c>
      <c r="W19" s="8"/>
    </row>
    <row r="20" spans="1:23" x14ac:dyDescent="0.25">
      <c r="A20">
        <v>9</v>
      </c>
      <c r="B20" s="58" t="n">
        <v>30280.16994367068</v>
      </c>
      <c r="C20" s="58" t="n">
        <v>2367.9441999579835</v>
      </c>
      <c r="D20" s="58" t="n">
        <v>927.4687601175536</v>
      </c>
      <c r="E20" s="58">
        <f si="0" t="shared"/>
        <v>33575.582903746217</v>
      </c>
      <c r="F20" s="78">
        <f si="1" t="shared"/>
        <v>4.2638881985844E-2</v>
      </c>
      <c r="G20">
        <v>9</v>
      </c>
      <c r="H20" s="68" t="n">
        <v>34607.0</v>
      </c>
      <c r="I20" s="68" t="n">
        <v>3462.0</v>
      </c>
      <c r="J20" s="68" t="n">
        <v>1422.0</v>
      </c>
      <c r="K20" s="58">
        <f si="2" t="shared"/>
        <v>38840</v>
      </c>
      <c r="L20" s="78">
        <f si="3" t="shared"/>
        <v>4.6770386782910262E-2</v>
      </c>
      <c r="W20" s="8"/>
    </row>
    <row r="21" spans="1:23" x14ac:dyDescent="0.25">
      <c r="A21">
        <v>10</v>
      </c>
      <c r="B21" s="58" t="n">
        <v>31328.022859998175</v>
      </c>
      <c r="C21" s="58" t="n">
        <v>2430.337881409552</v>
      </c>
      <c r="D21" s="58" t="n">
        <v>1299.8886015783864</v>
      </c>
      <c r="E21" s="58">
        <f si="0" t="shared"/>
        <v>35058.249342986113</v>
      </c>
      <c r="F21" s="78">
        <f si="1" t="shared"/>
        <v>4.4521775263031679E-2</v>
      </c>
      <c r="G21">
        <v>10</v>
      </c>
      <c r="H21" s="68" t="n">
        <v>34648.0</v>
      </c>
      <c r="I21" s="68" t="n">
        <v>3203.0</v>
      </c>
      <c r="J21" s="68" t="n">
        <v>1234.0</v>
      </c>
      <c r="K21" s="58">
        <f si="2" t="shared"/>
        <v>37080</v>
      </c>
      <c r="L21" s="78">
        <f si="3" t="shared"/>
        <v>4.4651028370502381E-2</v>
      </c>
      <c r="W21" s="8"/>
    </row>
    <row r="22" spans="1:23" x14ac:dyDescent="0.25">
      <c r="A22">
        <v>11</v>
      </c>
      <c r="B22" s="58" t="n">
        <v>36057.97755758511</v>
      </c>
      <c r="C22" s="58" t="n">
        <v>4897.562058892718</v>
      </c>
      <c r="D22" s="58" t="n">
        <v>862.2779899035605</v>
      </c>
      <c r="E22" s="58">
        <f si="0" t="shared"/>
        <v>41817.817606381388</v>
      </c>
      <c r="F22" s="78">
        <f si="1" t="shared"/>
        <v>5.3106002505919223E-2</v>
      </c>
      <c r="G22">
        <v>11</v>
      </c>
      <c r="H22" s="68" t="n">
        <v>32685.0</v>
      </c>
      <c r="I22" s="68" t="n">
        <v>2871.0</v>
      </c>
      <c r="J22" s="68" t="n">
        <v>1084.0</v>
      </c>
      <c r="K22" s="58">
        <f si="2" t="shared"/>
        <v>35440</v>
      </c>
      <c r="L22" s="78">
        <f si="3" t="shared"/>
        <v>4.2676171668031407E-2</v>
      </c>
      <c r="W22" s="8"/>
    </row>
    <row r="23" spans="1:23" x14ac:dyDescent="0.25">
      <c r="A23">
        <v>12</v>
      </c>
      <c r="B23" s="58" t="n">
        <v>24938.304092026927</v>
      </c>
      <c r="C23" s="58" t="n">
        <v>2475.7951422357905</v>
      </c>
      <c r="D23" s="58" t="n">
        <v>1251.877689654803</v>
      </c>
      <c r="E23" s="58">
        <f si="0" t="shared"/>
        <v>28665.976923917522</v>
      </c>
      <c r="F23" s="78">
        <f si="1" t="shared"/>
        <v>3.6403990678936786E-2</v>
      </c>
      <c r="G23">
        <v>12</v>
      </c>
      <c r="H23" s="68" t="n">
        <v>31575.0</v>
      </c>
      <c r="I23" s="68" t="n">
        <v>2629.0</v>
      </c>
      <c r="J23" s="68" t="n">
        <v>988.0</v>
      </c>
      <c r="K23" s="58">
        <f si="2" t="shared"/>
        <v>35040</v>
      </c>
      <c r="L23" s="78">
        <f si="3" t="shared"/>
        <v>4.2194499301575067E-2</v>
      </c>
      <c r="W23" s="8"/>
    </row>
    <row r="24" spans="1:23" x14ac:dyDescent="0.25">
      <c r="A24">
        <v>13</v>
      </c>
      <c r="B24" s="58" t="n">
        <v>23592.5810717666</v>
      </c>
      <c r="C24" s="58" t="n">
        <v>2082.8853987160815</v>
      </c>
      <c r="D24" s="58" t="n">
        <v>161.9672744579227</v>
      </c>
      <c r="E24" s="58">
        <f si="0" t="shared"/>
        <v>25837.433744940601</v>
      </c>
      <c r="F24" s="78">
        <f si="1" t="shared"/>
        <v>3.2811918453533831E-2</v>
      </c>
      <c r="G24">
        <v>13</v>
      </c>
      <c r="H24" s="68" t="n">
        <v>27812.0</v>
      </c>
      <c r="I24" s="68" t="n">
        <v>2301.0</v>
      </c>
      <c r="J24" s="68" t="n">
        <v>790.0</v>
      </c>
      <c r="K24" s="58">
        <f si="2" t="shared"/>
        <v>31020</v>
      </c>
      <c r="L24" s="78">
        <f si="3" t="shared"/>
        <v>3.7353692018688885E-2</v>
      </c>
      <c r="W24" s="8"/>
    </row>
    <row r="25" spans="1:23" x14ac:dyDescent="0.25">
      <c r="A25">
        <v>14</v>
      </c>
      <c r="B25" s="58" t="n">
        <v>26860.54550751932</v>
      </c>
      <c r="C25" s="58" t="n">
        <v>1061.3863764690057</v>
      </c>
      <c r="D25" s="58" t="n">
        <v>311.731575276455</v>
      </c>
      <c r="E25" s="58">
        <f si="0" t="shared"/>
        <v>28233.663459264782</v>
      </c>
      <c r="F25" s="78">
        <f si="1" t="shared"/>
        <v>3.5854979724962766E-2</v>
      </c>
      <c r="G25">
        <v>14</v>
      </c>
      <c r="H25" s="68" t="n">
        <v>25929.0</v>
      </c>
      <c r="I25" s="68" t="n">
        <v>2003.0</v>
      </c>
      <c r="J25" s="68" t="n">
        <v>700.0</v>
      </c>
      <c r="K25" s="58">
        <f si="2" t="shared"/>
        <v>28580</v>
      </c>
      <c r="L25" s="78">
        <f si="3" t="shared"/>
        <v>3.4415490583305237E-2</v>
      </c>
      <c r="W25" s="8"/>
    </row>
    <row r="26" spans="1:23" x14ac:dyDescent="0.25">
      <c r="A26">
        <v>15</v>
      </c>
      <c r="B26" s="58" t="n">
        <v>25107.83032400558</v>
      </c>
      <c r="C26" s="58" t="n">
        <v>1410.435346637717</v>
      </c>
      <c r="D26" s="58" t="n">
        <v>374.3517017135178</v>
      </c>
      <c r="E26" s="58">
        <f si="0" t="shared"/>
        <v>26892.617372356814</v>
      </c>
      <c r="F26" s="78">
        <f si="1" t="shared"/>
        <v>3.4151935402510603E-2</v>
      </c>
      <c r="G26">
        <v>15</v>
      </c>
      <c r="H26" s="68" t="n">
        <v>23487.0</v>
      </c>
      <c r="I26" s="68" t="n">
        <v>1695.0</v>
      </c>
      <c r="J26" s="68" t="n">
        <v>602.0</v>
      </c>
      <c r="K26" s="58">
        <f si="2" t="shared"/>
        <v>27320</v>
      </c>
      <c r="L26" s="78">
        <f si="3" t="shared"/>
        <v>3.2898222628967778E-2</v>
      </c>
      <c r="W26" s="8"/>
    </row>
    <row r="27" spans="1:23" x14ac:dyDescent="0.25">
      <c r="A27">
        <v>16</v>
      </c>
      <c r="B27" s="58" t="n">
        <v>17378.50086462053</v>
      </c>
      <c r="C27" s="58" t="n">
        <v>1373.7704671060735</v>
      </c>
      <c r="D27" s="58" t="n">
        <v>188.1724264065445</v>
      </c>
      <c r="E27" s="58">
        <f si="0" t="shared"/>
        <v>18940.443758133151</v>
      </c>
      <c r="F27" s="78">
        <f si="1" t="shared"/>
        <v>2.4053174250995554E-2</v>
      </c>
      <c r="G27">
        <v>16</v>
      </c>
      <c r="H27" s="68" t="n">
        <v>21802.0</v>
      </c>
      <c r="I27" s="68" t="n">
        <v>1462.0</v>
      </c>
      <c r="J27" s="68" t="n">
        <v>542.0</v>
      </c>
      <c r="K27" s="58">
        <f si="2" t="shared"/>
        <v>23420</v>
      </c>
      <c r="L27" s="78">
        <f si="3" t="shared"/>
        <v>2.8201917056018495E-2</v>
      </c>
      <c r="W27" s="8"/>
    </row>
    <row r="28" spans="1:23" x14ac:dyDescent="0.25">
      <c r="A28">
        <v>17</v>
      </c>
      <c r="B28" s="58" t="n">
        <v>15668.308635612799</v>
      </c>
      <c r="C28" s="58" t="n">
        <v>1019.9837189944731</v>
      </c>
      <c r="D28" s="58" t="n">
        <v>46.6393527108106</v>
      </c>
      <c r="E28" s="58">
        <f si="0" t="shared"/>
        <v>16734.931707318083</v>
      </c>
      <c r="F28" s="78">
        <f si="1" t="shared"/>
        <v>2.1252312436543842E-2</v>
      </c>
      <c r="G28">
        <v>17</v>
      </c>
      <c r="H28" s="68" t="n">
        <v>19221.0</v>
      </c>
      <c r="I28" s="68" t="n">
        <v>1249.0</v>
      </c>
      <c r="J28" s="68" t="n">
        <v>411.0</v>
      </c>
      <c r="K28" s="58">
        <f si="2" t="shared"/>
        <v>21620</v>
      </c>
      <c r="L28" s="78">
        <f si="3" t="shared"/>
        <v>2.6034391406964983E-2</v>
      </c>
      <c r="W28" s="8"/>
    </row>
    <row r="29" spans="1:23" x14ac:dyDescent="0.25">
      <c r="A29">
        <v>18</v>
      </c>
      <c r="B29" s="58" t="n">
        <v>23217.722842448635</v>
      </c>
      <c r="C29" s="58" t="n">
        <v>932.2744748780602</v>
      </c>
      <c r="D29" s="58" t="n">
        <v>440.605462906771</v>
      </c>
      <c r="E29" s="58">
        <f si="0" t="shared"/>
        <v>24590.602780233465</v>
      </c>
      <c r="F29" s="78">
        <f si="1" t="shared"/>
        <v>3.1228521420253681E-2</v>
      </c>
      <c r="G29">
        <v>18</v>
      </c>
      <c r="H29" s="68" t="n">
        <v>18140.0</v>
      </c>
      <c r="I29" s="68" t="n">
        <v>1088.0</v>
      </c>
      <c r="J29" s="68" t="n">
        <v>398.0</v>
      </c>
      <c r="K29" s="58">
        <f si="2" t="shared"/>
        <v>20360</v>
      </c>
      <c r="L29" s="78">
        <f si="3" t="shared"/>
        <v>2.4517123452627524E-2</v>
      </c>
      <c r="W29" s="8"/>
    </row>
    <row r="30" spans="1:23" x14ac:dyDescent="0.25">
      <c r="A30">
        <v>19</v>
      </c>
      <c r="B30" s="58" t="n">
        <v>13311.589661984359</v>
      </c>
      <c r="C30" s="58" t="n">
        <v>1206.797128527842</v>
      </c>
      <c r="D30" s="58" t="n">
        <v>706.1769046823963</v>
      </c>
      <c r="E30" s="58">
        <f si="0" t="shared"/>
        <v>15224.563695194596</v>
      </c>
      <c r="F30" s="78">
        <f si="1" t="shared"/>
        <v>1.9334239901250893E-2</v>
      </c>
      <c r="G30">
        <v>19</v>
      </c>
      <c r="H30" s="68" t="n">
        <v>15851.0</v>
      </c>
      <c r="I30" s="68" t="n">
        <v>961.0</v>
      </c>
      <c r="J30" s="68" t="n">
        <v>306.0</v>
      </c>
      <c r="K30" s="58">
        <f si="2" t="shared"/>
        <v>17140</v>
      </c>
      <c r="L30" s="78">
        <f si="3" t="shared"/>
        <v>2.0639660902654015E-2</v>
      </c>
      <c r="W30" s="8"/>
    </row>
    <row r="31" spans="1:23" x14ac:dyDescent="0.25">
      <c r="A31">
        <v>20</v>
      </c>
      <c r="B31" s="58" t="n">
        <v>12062.262955156011</v>
      </c>
      <c r="C31" s="58" t="n">
        <v>1661.239981470323</v>
      </c>
      <c r="D31" s="58" t="n">
        <v>0.0</v>
      </c>
      <c r="E31" s="58">
        <f si="0" t="shared"/>
        <v>13723.502936626333</v>
      </c>
      <c r="F31" s="78">
        <f si="1" t="shared"/>
        <v>1.7427986993545381E-2</v>
      </c>
      <c r="G31">
        <v>20</v>
      </c>
      <c r="H31" s="68" t="n">
        <v>14287.0</v>
      </c>
      <c r="I31" s="68" t="n">
        <v>869.0</v>
      </c>
      <c r="J31" s="68" t="n">
        <v>260.0</v>
      </c>
      <c r="K31" s="58">
        <f si="2" t="shared"/>
        <v>16040</v>
      </c>
      <c r="L31" s="78">
        <f si="3" t="shared"/>
        <v>1.931506189489909E-2</v>
      </c>
      <c r="W31" s="8"/>
    </row>
    <row r="32" spans="1:23" x14ac:dyDescent="0.25">
      <c r="A32">
        <v>21</v>
      </c>
      <c r="B32" s="58" t="n">
        <v>12526.740781254992</v>
      </c>
      <c r="C32" s="58" t="n">
        <v>874.0743181178672</v>
      </c>
      <c r="D32" s="58" t="n">
        <v>307.383315439571</v>
      </c>
      <c r="E32" s="58">
        <f si="0" t="shared"/>
        <v>13708.19841481243</v>
      </c>
      <c r="F32" s="78">
        <f si="1" t="shared"/>
        <v>1.7408551211854157E-2</v>
      </c>
      <c r="G32">
        <v>21</v>
      </c>
      <c r="H32" s="68" t="n">
        <v>13368.0</v>
      </c>
      <c r="I32" s="68" t="n">
        <v>800.0</v>
      </c>
      <c r="J32" s="68" t="n">
        <v>219.0</v>
      </c>
      <c r="K32" s="58">
        <f si="2" t="shared"/>
        <v>14180</v>
      </c>
      <c r="L32" s="78">
        <f si="3" t="shared"/>
        <v>1.7075285390877125E-2</v>
      </c>
      <c r="W32" s="8"/>
    </row>
    <row r="33" spans="1:23" x14ac:dyDescent="0.25">
      <c r="A33">
        <v>22</v>
      </c>
      <c r="B33" s="58" t="n">
        <v>9313.739553870255</v>
      </c>
      <c r="C33" s="58" t="n">
        <v>733.238305042996</v>
      </c>
      <c r="D33" s="58" t="n">
        <v>0.0</v>
      </c>
      <c r="E33" s="58">
        <f si="0" t="shared"/>
        <v>10046.977858913251</v>
      </c>
      <c r="F33" s="78">
        <f si="1" t="shared"/>
        <v>1.2759031003830811E-2</v>
      </c>
      <c r="G33">
        <v>22</v>
      </c>
      <c r="H33" s="68" t="n">
        <v>11899.0</v>
      </c>
      <c r="I33" s="68" t="n">
        <v>691.0</v>
      </c>
      <c r="J33" s="68" t="n">
        <v>220.0</v>
      </c>
      <c r="K33" s="58">
        <f si="2" t="shared"/>
        <v>13520</v>
      </c>
      <c r="L33" s="78">
        <f si="3" t="shared"/>
        <v>1.6280525986224169E-2</v>
      </c>
      <c r="W33" s="8"/>
    </row>
    <row r="34" spans="1:23" x14ac:dyDescent="0.25">
      <c r="A34">
        <v>23</v>
      </c>
      <c r="B34" s="58" t="n">
        <v>11341.359890547852</v>
      </c>
      <c r="C34" s="58" t="n">
        <v>744.295149906177</v>
      </c>
      <c r="D34" s="58" t="n">
        <v>52.6330389042402</v>
      </c>
      <c r="E34" s="58">
        <f si="0" t="shared"/>
        <v>12138.288079358268</v>
      </c>
      <c r="F34" s="78">
        <f si="1" t="shared"/>
        <v>1.5414863664755222E-2</v>
      </c>
      <c r="G34">
        <v>23</v>
      </c>
      <c r="H34" s="68" t="n">
        <v>10425.0</v>
      </c>
      <c r="I34" s="68" t="n">
        <v>587.0</v>
      </c>
      <c r="J34" s="68" t="n">
        <v>166.0</v>
      </c>
      <c r="K34" s="58">
        <f si="2" t="shared"/>
        <v>12100</v>
      </c>
      <c r="L34" s="78">
        <f si="3" t="shared"/>
        <v>1.4570589085304175E-2</v>
      </c>
      <c r="W34" s="8"/>
    </row>
    <row r="35" spans="1:23" x14ac:dyDescent="0.25">
      <c r="A35">
        <v>24</v>
      </c>
      <c r="B35" s="58" t="n">
        <v>10763.132705664155</v>
      </c>
      <c r="C35" s="58" t="n">
        <v>420.8103934036205</v>
      </c>
      <c r="D35" s="58" t="n">
        <v>286.753179450416</v>
      </c>
      <c r="E35" s="58">
        <f si="0" t="shared"/>
        <v>11470.696278518191</v>
      </c>
      <c r="F35" s="78">
        <f si="1" t="shared"/>
        <v>1.4567063997588132E-2</v>
      </c>
      <c r="G35">
        <v>24</v>
      </c>
      <c r="H35" s="68" t="n">
        <v>9896.0</v>
      </c>
      <c r="I35" s="68" t="n">
        <v>549.0</v>
      </c>
      <c r="J35" s="68" t="n">
        <v>149.0</v>
      </c>
      <c r="K35" s="58">
        <f si="2" t="shared"/>
        <v>10640</v>
      </c>
      <c r="L35" s="78">
        <f si="3" t="shared"/>
        <v>1.2812484947738548E-2</v>
      </c>
      <c r="W35" s="8"/>
    </row>
    <row r="36" spans="1:23" x14ac:dyDescent="0.25">
      <c r="A36">
        <v>25</v>
      </c>
      <c r="B36" s="58" t="n">
        <v>8227.25674382115</v>
      </c>
      <c r="C36" s="58" t="n">
        <v>122.7116250145682</v>
      </c>
      <c r="D36" s="58" t="n">
        <v>0.0</v>
      </c>
      <c r="E36" s="58">
        <f si="0" t="shared"/>
        <v>8349.9683688357181</v>
      </c>
      <c r="F36" s="78">
        <f si="1" t="shared"/>
        <v>1.0603935511260829E-2</v>
      </c>
      <c r="G36">
        <v>25</v>
      </c>
      <c r="H36" s="68" t="n">
        <v>9260.0</v>
      </c>
      <c r="I36" s="68" t="n">
        <v>500.0</v>
      </c>
      <c r="J36" s="68" t="n">
        <v>163.0</v>
      </c>
      <c r="K36" s="58">
        <f si="2" t="shared"/>
        <v>9000</v>
      </c>
      <c r="L36" s="78">
        <f si="3" t="shared"/>
        <v>1.0837628245267569E-2</v>
      </c>
      <c r="W36" s="8"/>
    </row>
    <row r="37" spans="1:23" x14ac:dyDescent="0.25">
      <c r="A37">
        <v>26</v>
      </c>
      <c r="B37" s="58" t="n">
        <v>8152.608885046311</v>
      </c>
      <c r="C37" s="58" t="n">
        <v>1034.714794547033</v>
      </c>
      <c r="D37" s="58" t="n">
        <v>0.0</v>
      </c>
      <c r="E37" s="58">
        <f si="0" t="shared"/>
        <v>9187.3236795933444</v>
      </c>
      <c r="F37" s="78">
        <f si="1" t="shared"/>
        <v>1.1667324176111989E-2</v>
      </c>
      <c r="G37">
        <v>26</v>
      </c>
      <c r="H37" s="68" t="n">
        <v>8593.0</v>
      </c>
      <c r="I37" s="68" t="n">
        <v>413.0</v>
      </c>
      <c r="J37" s="68" t="n">
        <v>96.0</v>
      </c>
      <c r="K37" s="58">
        <f si="2" t="shared"/>
        <v>8060</v>
      </c>
      <c r="L37" s="78">
        <f si="3" t="shared"/>
        <v>9.7056981840951788E-3</v>
      </c>
      <c r="W37" s="8"/>
    </row>
    <row r="38" spans="1:23" x14ac:dyDescent="0.25">
      <c r="A38">
        <v>27</v>
      </c>
      <c r="B38" s="58" t="n">
        <v>6329.936218012032</v>
      </c>
      <c r="C38" s="58" t="n">
        <v>540.7907595393492</v>
      </c>
      <c r="D38" s="58" t="n">
        <v>0.0</v>
      </c>
      <c r="E38" s="58">
        <f si="0" t="shared"/>
        <v>6870.7269775513814</v>
      </c>
      <c r="F38" s="78">
        <f si="1" t="shared"/>
        <v>8.7253918299086547E-3</v>
      </c>
      <c r="G38">
        <v>27</v>
      </c>
      <c r="H38" s="68" t="n">
        <v>8202.0</v>
      </c>
      <c r="I38" s="68" t="n">
        <v>430.0</v>
      </c>
      <c r="J38" s="68" t="n">
        <v>89.0</v>
      </c>
      <c r="K38" s="58">
        <f si="2" t="shared"/>
        <v>8840</v>
      </c>
      <c r="L38" s="78">
        <f si="3" t="shared"/>
        <v>1.0644959298685034E-2</v>
      </c>
      <c r="W38" s="8"/>
    </row>
    <row r="39" spans="1:23" x14ac:dyDescent="0.25">
      <c r="A39">
        <v>28</v>
      </c>
      <c r="B39" s="58" t="n">
        <v>8035.588461278822</v>
      </c>
      <c r="C39" s="58" t="n">
        <v>87.6105459196404</v>
      </c>
      <c r="D39" s="58" t="n">
        <v>269.8840430310788</v>
      </c>
      <c r="E39" s="58">
        <f si="0" t="shared"/>
        <v>8393.0830502295412</v>
      </c>
      <c r="F39" s="78">
        <f si="1" t="shared"/>
        <v>1.0658688449343205E-2</v>
      </c>
      <c r="G39">
        <v>28</v>
      </c>
      <c r="H39" s="68" t="n">
        <v>7496.0</v>
      </c>
      <c r="I39" s="68" t="n">
        <v>327.0</v>
      </c>
      <c r="J39" s="68" t="n">
        <v>99.0</v>
      </c>
      <c r="K39" s="58">
        <f si="2" t="shared"/>
        <v>7700</v>
      </c>
      <c r="L39" s="78">
        <f si="3" t="shared"/>
        <v>9.272193054284476E-3</v>
      </c>
      <c r="W39" s="8"/>
    </row>
    <row r="40" spans="1:23" x14ac:dyDescent="0.25">
      <c r="A40">
        <v>29</v>
      </c>
      <c r="B40" s="58" t="n">
        <v>7306.564789290453</v>
      </c>
      <c r="C40" s="58" t="n">
        <v>199.0765643886818</v>
      </c>
      <c r="D40" s="58" t="n">
        <v>0.0</v>
      </c>
      <c r="E40" s="58">
        <f si="0" t="shared"/>
        <v>7505.6413536791342</v>
      </c>
      <c r="F40" s="78">
        <f si="1" t="shared"/>
        <v>9.5316932195952195E-3</v>
      </c>
      <c r="G40">
        <v>29</v>
      </c>
      <c r="H40" s="68" t="n">
        <v>7153.0</v>
      </c>
      <c r="I40" s="68" t="n">
        <v>321.0</v>
      </c>
      <c r="J40" s="68" t="n">
        <v>71.0</v>
      </c>
      <c r="K40" s="58">
        <f si="2" t="shared"/>
        <v>7600</v>
      </c>
      <c r="L40" s="78">
        <f si="3" t="shared"/>
        <v>9.151774962670391E-3</v>
      </c>
      <c r="W40" s="8"/>
    </row>
    <row r="41" spans="1:23" x14ac:dyDescent="0.25">
      <c r="A41">
        <v>30</v>
      </c>
      <c r="B41" s="58" t="n">
        <v>5889.277535111618</v>
      </c>
      <c r="C41" s="58" t="n">
        <v>416.742645210201</v>
      </c>
      <c r="D41" s="58" t="n">
        <v>50.0070357253145</v>
      </c>
      <c r="E41" s="58">
        <f si="0" t="shared"/>
        <v>6356.0272160471332</v>
      </c>
      <c r="F41" s="78">
        <f si="1" t="shared"/>
        <v>8.0717554521922454E-3</v>
      </c>
      <c r="G41">
        <v>30</v>
      </c>
      <c r="H41" s="68" t="n">
        <v>6761.0</v>
      </c>
      <c r="I41" s="68" t="n">
        <v>296.0</v>
      </c>
      <c r="J41" s="68" t="n">
        <v>85.0</v>
      </c>
      <c r="K41" s="58">
        <f si="2" t="shared"/>
        <v>6800</v>
      </c>
      <c r="L41" s="78">
        <f si="3" t="shared"/>
        <v>8.1884302297577181E-3</v>
      </c>
      <c r="W41" s="8"/>
    </row>
    <row r="42" spans="1:23" x14ac:dyDescent="0.25">
      <c r="A42">
        <v>31</v>
      </c>
      <c r="B42" s="58" t="n">
        <v>7302.911493567996</v>
      </c>
      <c r="C42" s="58" t="n">
        <v>166.9646056904154</v>
      </c>
      <c r="D42" s="58" t="n">
        <v>0.0</v>
      </c>
      <c r="E42" s="58">
        <f si="0" t="shared"/>
        <v>7469.8760992584121</v>
      </c>
      <c r="F42" s="78">
        <f si="1" t="shared"/>
        <v>9.4862735922782299E-3</v>
      </c>
      <c r="G42">
        <v>31</v>
      </c>
      <c r="H42" s="68" t="n">
        <v>5972.0</v>
      </c>
      <c r="I42" s="68" t="n">
        <v>240.0</v>
      </c>
      <c r="J42" s="68" t="n">
        <v>46.0</v>
      </c>
      <c r="K42" s="58">
        <f si="2" t="shared"/>
        <v>6400</v>
      </c>
      <c r="L42" s="78">
        <f si="3" t="shared"/>
        <v>7.7067578633013825E-3</v>
      </c>
      <c r="W42" s="8"/>
    </row>
    <row r="43" spans="1:23" x14ac:dyDescent="0.25">
      <c r="A43">
        <v>32</v>
      </c>
      <c r="B43" s="58" t="n">
        <v>3371.9065778424815</v>
      </c>
      <c r="C43" s="58" t="n">
        <v>216.6520375197057</v>
      </c>
      <c r="D43" s="58" t="n">
        <v>0.0</v>
      </c>
      <c r="E43" s="58">
        <f si="0" t="shared"/>
        <v>3588.5586153621871</v>
      </c>
      <c r="F43" s="78">
        <f si="1" t="shared"/>
        <v>4.5572441061816861E-3</v>
      </c>
      <c r="G43">
        <v>32</v>
      </c>
      <c r="H43" s="68" t="n">
        <v>5185.0</v>
      </c>
      <c r="I43" s="68" t="n">
        <v>219.0</v>
      </c>
      <c r="J43" s="68" t="n">
        <v>49.0</v>
      </c>
      <c r="K43" s="58">
        <f si="2" t="shared"/>
        <v>5180</v>
      </c>
      <c r="L43" s="78">
        <f si="3" t="shared"/>
        <v>6.2376571456095563E-3</v>
      </c>
      <c r="W43" s="8"/>
    </row>
    <row r="44" spans="1:23" x14ac:dyDescent="0.25">
      <c r="A44">
        <v>33</v>
      </c>
      <c r="B44" s="58" t="n">
        <v>2518.769069555765</v>
      </c>
      <c r="C44" s="58" t="n">
        <v>60.902715570932905</v>
      </c>
      <c r="D44" s="58" t="n">
        <v>1366.07850770754</v>
      </c>
      <c r="E44" s="58">
        <f si="0" t="shared"/>
        <v>3945.7502928342374</v>
      </c>
      <c r="F44" s="78">
        <f si="1" t="shared"/>
        <v>5.0108551075369922E-3</v>
      </c>
      <c r="G44">
        <v>33</v>
      </c>
      <c r="H44" s="68" t="n">
        <v>4313.0</v>
      </c>
      <c r="I44" s="68" t="n">
        <v>173.0</v>
      </c>
      <c r="J44" s="68" t="n">
        <v>43.0</v>
      </c>
      <c r="K44" s="58">
        <f si="2" t="shared"/>
        <v>4080</v>
      </c>
      <c r="L44" s="78">
        <f si="3" t="shared"/>
        <v>4.913058137854631E-3</v>
      </c>
      <c r="W44" s="8"/>
    </row>
    <row r="45" spans="1:23" x14ac:dyDescent="0.25">
      <c r="A45">
        <v>34</v>
      </c>
      <c r="B45" s="58" t="n">
        <v>3010.688622992409</v>
      </c>
      <c r="C45" s="58" t="n">
        <v>269.9323130335393</v>
      </c>
      <c r="D45" s="58" t="n">
        <v>27.4592533721871</v>
      </c>
      <c r="E45" s="58">
        <f si="0" t="shared"/>
        <v>3308.0801893981352</v>
      </c>
      <c r="F45" s="78">
        <f si="1" t="shared"/>
        <v>4.2010541172084158E-3</v>
      </c>
      <c r="G45">
        <v>34</v>
      </c>
      <c r="H45" s="68" t="n">
        <v>3567.0</v>
      </c>
      <c r="I45" s="68" t="n">
        <v>150.0</v>
      </c>
      <c r="J45" s="68" t="n">
        <v>33.0</v>
      </c>
      <c r="K45" s="58">
        <f si="2" t="shared"/>
        <v>4200</v>
      </c>
      <c r="L45" s="78">
        <f si="3" t="shared"/>
        <v>5.057559847791532E-3</v>
      </c>
      <c r="W45" s="8"/>
    </row>
    <row r="46" spans="1:23" x14ac:dyDescent="0.25">
      <c r="A46">
        <v>35</v>
      </c>
      <c r="B46" s="58" t="n">
        <v>2071.7451665677313</v>
      </c>
      <c r="C46" s="58" t="n">
        <v>151.695036106959</v>
      </c>
      <c r="D46" s="58" t="n">
        <v>0.0</v>
      </c>
      <c r="E46" s="58">
        <f si="0" t="shared"/>
        <v>2223.4402026746902</v>
      </c>
      <c r="F46" s="78">
        <f si="1" t="shared"/>
        <v>2.8236294415561508E-3</v>
      </c>
      <c r="G46">
        <v>35</v>
      </c>
      <c r="H46" s="68" t="n">
        <v>3070.0</v>
      </c>
      <c r="I46" s="68" t="n">
        <v>115.0</v>
      </c>
      <c r="J46" s="68" t="n">
        <v>28.0</v>
      </c>
      <c r="K46" s="58">
        <f si="2" t="shared"/>
        <v>3240</v>
      </c>
      <c r="L46" s="78">
        <f si="3" t="shared"/>
        <v>3.9015461682963249E-3</v>
      </c>
      <c r="W46" s="8"/>
    </row>
    <row r="47" spans="1:23" x14ac:dyDescent="0.25">
      <c r="A47">
        <v>36</v>
      </c>
      <c r="B47" s="58" t="n">
        <v>3886.908209027414</v>
      </c>
      <c r="C47" s="58" t="n">
        <v>396.9508290170023</v>
      </c>
      <c r="D47" s="58" t="n">
        <v>0.0</v>
      </c>
      <c r="E47" s="58">
        <f si="0" t="shared"/>
        <v>4283.8590380444166</v>
      </c>
      <c r="F47" s="78">
        <f si="1" t="shared"/>
        <v>5.4402319831887945E-3</v>
      </c>
      <c r="G47">
        <v>36</v>
      </c>
      <c r="H47" s="68" t="n">
        <v>2502.0</v>
      </c>
      <c r="I47" s="68" t="n">
        <v>114.0</v>
      </c>
      <c r="J47" s="68" t="n">
        <v>25.0</v>
      </c>
      <c r="K47" s="58">
        <f si="2" t="shared"/>
        <v>2640</v>
      </c>
      <c r="L47" s="78">
        <f si="3" t="shared"/>
        <v>3.1790376186118202E-3</v>
      </c>
      <c r="W47" s="8"/>
    </row>
    <row r="48" spans="1:23" x14ac:dyDescent="0.25">
      <c r="A48">
        <v>37</v>
      </c>
      <c r="B48" s="58" t="n">
        <v>1100.0521372696498</v>
      </c>
      <c r="C48" s="58" t="n">
        <v>157.736054702578</v>
      </c>
      <c r="D48" s="58" t="n">
        <v>0.0</v>
      </c>
      <c r="E48" s="58">
        <f si="0" t="shared"/>
        <v>1257.7881919722279</v>
      </c>
      <c r="F48" s="78">
        <f si="1" t="shared"/>
        <v>1.597312023872802E-3</v>
      </c>
      <c r="G48">
        <v>37</v>
      </c>
      <c r="H48" s="68" t="n">
        <v>1958.0</v>
      </c>
      <c r="I48" s="68" t="n">
        <v>94.0</v>
      </c>
      <c r="J48" s="68" t="n">
        <v>16.0</v>
      </c>
      <c r="K48" s="58">
        <f si="2" t="shared"/>
        <v>2120</v>
      </c>
      <c r="L48" s="78">
        <f si="3" t="shared"/>
        <v>2.5528635422185828E-3</v>
      </c>
      <c r="W48" s="8"/>
    </row>
    <row r="49" spans="1:23" x14ac:dyDescent="0.25">
      <c r="A49">
        <v>38</v>
      </c>
      <c r="B49" s="58" t="n">
        <v>1537.3823445405865</v>
      </c>
      <c r="C49" s="58" t="n">
        <v>0.0</v>
      </c>
      <c r="D49" s="58" t="n">
        <v>36.3774810046632</v>
      </c>
      <c r="E49" s="58">
        <f si="0" t="shared"/>
        <v>1573.7598255452497</v>
      </c>
      <c r="F49" s="78">
        <f si="1" t="shared"/>
        <v>1.9985761577946941E-3</v>
      </c>
      <c r="G49">
        <v>38</v>
      </c>
      <c r="H49" s="68" t="n">
        <v>1720.0</v>
      </c>
      <c r="I49" s="68" t="n">
        <v>64.0</v>
      </c>
      <c r="J49" s="68" t="n">
        <v>18.0</v>
      </c>
      <c r="K49" s="58">
        <f si="2" t="shared"/>
        <v>1860</v>
      </c>
      <c r="L49" s="78">
        <f si="3" t="shared"/>
        <v>2.2397765040219641E-3</v>
      </c>
      <c r="W49" s="8"/>
    </row>
    <row r="50" spans="1:23" x14ac:dyDescent="0.25">
      <c r="A50">
        <v>39</v>
      </c>
      <c r="B50" s="58" t="n">
        <v>1571.988328228562</v>
      </c>
      <c r="C50" s="58" t="n">
        <v>0.0</v>
      </c>
      <c r="D50" s="58" t="n">
        <v>0.0</v>
      </c>
      <c r="E50" s="58">
        <f si="0" t="shared"/>
        <v>1571.9883282285621</v>
      </c>
      <c r="F50" s="78">
        <f si="1" t="shared"/>
        <v>1.9963264674396223E-3</v>
      </c>
      <c r="G50">
        <v>39</v>
      </c>
      <c r="H50" s="68" t="n">
        <v>1505.0</v>
      </c>
      <c r="I50" s="68" t="n">
        <v>57.0</v>
      </c>
      <c r="J50" s="68" t="n">
        <v>14.0</v>
      </c>
      <c r="K50" s="58">
        <f si="2" t="shared"/>
        <v>1560</v>
      </c>
      <c r="L50" s="78">
        <f si="3" t="shared"/>
        <v>1.878522229179712E-3</v>
      </c>
      <c r="W50" s="8"/>
    </row>
    <row r="51" spans="1:23" x14ac:dyDescent="0.25">
      <c r="A51">
        <v>40</v>
      </c>
      <c r="B51" s="58" t="n">
        <v>2105.923703553745</v>
      </c>
      <c r="C51" s="58" t="n">
        <v>0.0</v>
      </c>
      <c r="D51" s="58" t="n">
        <v>0.0</v>
      </c>
      <c r="E51" s="58">
        <f si="0" t="shared"/>
        <v>2105.9237035537449</v>
      </c>
      <c r="F51" s="78">
        <f si="1" t="shared"/>
        <v>2.6743908668522567E-3</v>
      </c>
      <c r="G51">
        <v>40</v>
      </c>
      <c r="H51" s="68" t="n">
        <v>1240.0</v>
      </c>
      <c r="I51" s="68" t="n">
        <v>49.0</v>
      </c>
      <c r="J51" s="68" t="n">
        <v>14.0</v>
      </c>
      <c r="K51" s="58">
        <f si="2" t="shared"/>
        <v>1300</v>
      </c>
      <c r="L51" s="78">
        <f si="3" t="shared"/>
        <v>1.5654351909830933E-3</v>
      </c>
      <c r="W51" s="8"/>
    </row>
    <row r="52" spans="1:23" x14ac:dyDescent="0.25">
      <c r="A52">
        <v>41</v>
      </c>
      <c r="B52" s="58" t="n">
        <v>1484.5701960047286</v>
      </c>
      <c r="C52" s="58" t="n">
        <v>0.0</v>
      </c>
      <c r="D52" s="58" t="n">
        <v>0.0</v>
      </c>
      <c r="E52" s="58">
        <f si="0" t="shared"/>
        <v>1484.5701960047286</v>
      </c>
      <c r="F52" s="78">
        <f si="1" t="shared"/>
        <v>1.88531092873697E-3</v>
      </c>
      <c r="G52">
        <v>41</v>
      </c>
      <c r="H52" s="68" t="n">
        <v>989.0</v>
      </c>
      <c r="I52" s="68" t="n">
        <v>42.0</v>
      </c>
      <c r="J52" s="68" t="n">
        <v>13.0</v>
      </c>
      <c r="K52" s="58">
        <f si="2" t="shared"/>
        <v>940</v>
      </c>
      <c r="L52" s="78">
        <f si="3" t="shared"/>
        <v>1.1319300611723905E-3</v>
      </c>
      <c r="W52" s="8"/>
    </row>
    <row r="53" spans="1:23" x14ac:dyDescent="0.25">
      <c r="A53">
        <v>42</v>
      </c>
      <c r="B53" s="58" t="n">
        <v>438.1155560385315</v>
      </c>
      <c r="C53" s="58" t="n">
        <v>32.1718631552981</v>
      </c>
      <c r="D53" s="58" t="n">
        <v>0.0</v>
      </c>
      <c r="E53" s="58">
        <f si="0" t="shared"/>
        <v>470.28741919382958</v>
      </c>
      <c r="F53" s="78">
        <f si="1" t="shared"/>
        <v>5.9723549175360615E-4</v>
      </c>
      <c r="G53">
        <v>42</v>
      </c>
      <c r="H53" s="68" t="n">
        <v>895.0</v>
      </c>
      <c r="I53" s="68" t="n">
        <v>52.0</v>
      </c>
      <c r="J53" s="68" t="n">
        <v>8.0</v>
      </c>
      <c r="K53" s="58">
        <f si="2" t="shared"/>
        <v>840</v>
      </c>
      <c r="L53" s="78">
        <f si="3" t="shared"/>
        <v>1.0115119695583063E-3</v>
      </c>
      <c r="W53" s="8"/>
    </row>
    <row r="54" spans="1:23" x14ac:dyDescent="0.25">
      <c r="A54">
        <v>43</v>
      </c>
      <c r="B54" s="58" t="n">
        <v>2304.4306989977304</v>
      </c>
      <c r="C54" s="58" t="n">
        <v>90.5276120010696</v>
      </c>
      <c r="D54" s="58" t="n">
        <v>0.0</v>
      </c>
      <c r="E54" s="58">
        <f si="0" t="shared"/>
        <v>2394.9583109987998</v>
      </c>
      <c r="F54" s="78">
        <f si="1" t="shared"/>
        <v>3.0414466690405597E-3</v>
      </c>
      <c r="G54">
        <v>43</v>
      </c>
      <c r="H54" s="68" t="n">
        <v>753.0</v>
      </c>
      <c r="I54" s="68" t="n">
        <v>39.0</v>
      </c>
      <c r="J54" s="68" t="n">
        <v>6.0</v>
      </c>
      <c r="K54" s="58">
        <f si="2" t="shared"/>
        <v>980</v>
      </c>
      <c r="L54" s="78">
        <f si="3" t="shared"/>
        <v>1.1800972978180241E-3</v>
      </c>
      <c r="W54" s="8"/>
    </row>
    <row r="55" spans="1:23" x14ac:dyDescent="0.25">
      <c r="A55">
        <v>44</v>
      </c>
      <c r="B55" s="58" t="n">
        <v>808.370809218694</v>
      </c>
      <c r="C55" s="58" t="n">
        <v>0.0</v>
      </c>
      <c r="D55" s="58" t="n">
        <v>0.0</v>
      </c>
      <c r="E55" s="58">
        <f si="0" t="shared"/>
        <v>808.37080921869403</v>
      </c>
      <c r="F55" s="78">
        <f si="1" t="shared"/>
        <v>1.0265801679121798E-3</v>
      </c>
      <c r="G55">
        <v>44</v>
      </c>
      <c r="H55" s="68" t="n">
        <v>646.0</v>
      </c>
      <c r="I55" s="68" t="n">
        <v>18.0</v>
      </c>
      <c r="J55" s="68" t="n">
        <v>4.0</v>
      </c>
      <c r="K55" s="58">
        <f si="2" t="shared"/>
        <v>660</v>
      </c>
      <c r="L55" s="78">
        <f si="3" t="shared"/>
        <v>7.9475940465295505E-4</v>
      </c>
      <c r="W55" s="8"/>
    </row>
    <row r="56" spans="1:23" x14ac:dyDescent="0.25">
      <c r="A56">
        <v>45</v>
      </c>
      <c r="B56" s="58" t="n">
        <v>1179.5375972129918</v>
      </c>
      <c r="C56" s="58" t="n">
        <v>0.0</v>
      </c>
      <c r="D56" s="58" t="n">
        <v>0.0</v>
      </c>
      <c r="E56" s="58">
        <f si="0" t="shared"/>
        <v>1179.5375972129918</v>
      </c>
      <c r="F56" s="78">
        <f si="1" t="shared"/>
        <v>1.4979386820956472E-3</v>
      </c>
      <c r="G56">
        <v>45</v>
      </c>
      <c r="H56" s="68" t="n">
        <v>573.0</v>
      </c>
      <c r="I56" s="68" t="n">
        <v>22.0</v>
      </c>
      <c r="J56" s="68" t="n">
        <v>6.0</v>
      </c>
      <c r="K56" s="58">
        <f si="2" t="shared"/>
        <v>420</v>
      </c>
      <c r="L56" s="78">
        <f si="3" t="shared"/>
        <v>5.0575598477915317E-4</v>
      </c>
      <c r="W56" s="8"/>
    </row>
    <row r="57" spans="1:23" x14ac:dyDescent="0.25">
      <c r="A57">
        <v>46</v>
      </c>
      <c r="B57" s="58" t="n">
        <v>1433.9324829640284</v>
      </c>
      <c r="C57" s="58" t="n">
        <v>0.0</v>
      </c>
      <c r="D57" s="58" t="n">
        <v>0.0</v>
      </c>
      <c r="E57" s="58">
        <f si="0" t="shared"/>
        <v>1433.9324829640284</v>
      </c>
      <c r="F57" s="78">
        <f si="1" t="shared"/>
        <v>1.8210042128546215E-3</v>
      </c>
      <c r="G57">
        <v>46</v>
      </c>
      <c r="H57" s="68" t="n">
        <v>484.0</v>
      </c>
      <c r="I57" s="68" t="n">
        <v>14.0</v>
      </c>
      <c r="J57" s="68" t="n">
        <v>2.0</v>
      </c>
      <c r="K57" s="58">
        <f si="2" t="shared"/>
        <v>620</v>
      </c>
      <c r="L57" s="78">
        <f si="3" t="shared"/>
        <v>7.465921680073214E-4</v>
      </c>
      <c r="W57" s="8"/>
    </row>
    <row r="58" spans="1:23" x14ac:dyDescent="0.25">
      <c r="A58">
        <v>47</v>
      </c>
      <c r="B58" s="58" t="n">
        <v>300.549189277758</v>
      </c>
      <c r="C58" s="58" t="n">
        <v>0.0</v>
      </c>
      <c r="D58" s="58" t="n">
        <v>0.0</v>
      </c>
      <c r="E58" s="58">
        <f si="0" t="shared"/>
        <v>300.54918927775799</v>
      </c>
      <c r="F58" s="78">
        <f si="1" t="shared"/>
        <v>3.8167859808401307E-4</v>
      </c>
      <c r="G58">
        <v>47</v>
      </c>
      <c r="H58" s="68" t="n">
        <v>382.0</v>
      </c>
      <c r="I58" s="68" t="n">
        <v>12.0</v>
      </c>
      <c r="J58" s="68" t="n">
        <v>3.0</v>
      </c>
      <c r="K58" s="58">
        <f si="2" t="shared"/>
        <v>340</v>
      </c>
      <c r="L58" s="78">
        <f si="3" t="shared"/>
        <v>4.0942151148788594E-4</v>
      </c>
      <c r="W58" s="8"/>
    </row>
    <row r="59" spans="1:23" x14ac:dyDescent="0.25">
      <c r="A59">
        <v>48</v>
      </c>
      <c r="B59" s="58" t="n">
        <v>672.5573512197584</v>
      </c>
      <c r="C59" s="58" t="n">
        <v>0.0</v>
      </c>
      <c r="D59" s="58" t="n">
        <v>0.0</v>
      </c>
      <c r="E59" s="58">
        <f si="0" t="shared"/>
        <v>672.5573512197584</v>
      </c>
      <c r="F59" s="78">
        <f si="1" t="shared"/>
        <v>8.5410560434891051E-4</v>
      </c>
      <c r="G59">
        <v>48</v>
      </c>
      <c r="H59" s="68" t="n">
        <v>312.0</v>
      </c>
      <c r="I59" s="68" t="n">
        <v>10.0</v>
      </c>
      <c r="J59" s="68" t="n">
        <v>0.0</v>
      </c>
      <c r="K59" s="58">
        <f si="2" t="shared"/>
        <v>440</v>
      </c>
      <c r="L59" s="78">
        <f si="3" t="shared"/>
        <v>5.2983960310197E-4</v>
      </c>
      <c r="W59" s="8"/>
    </row>
    <row r="60" spans="1:23" x14ac:dyDescent="0.25">
      <c r="A60">
        <v>49</v>
      </c>
      <c r="B60" s="58" t="n">
        <v>345.9324231324911</v>
      </c>
      <c r="C60" s="58" t="n">
        <v>0.0</v>
      </c>
      <c r="D60" s="58" t="n">
        <v>0.0</v>
      </c>
      <c r="E60" s="58">
        <f si="0" t="shared"/>
        <v>345.93242313249112</v>
      </c>
      <c r="F60" s="78">
        <f si="1" t="shared"/>
        <v>4.3931245534318273E-4</v>
      </c>
      <c r="G60">
        <v>49</v>
      </c>
      <c r="H60" s="68" t="n">
        <v>257.0</v>
      </c>
      <c r="I60" s="68" t="n">
        <v>18.0</v>
      </c>
      <c r="J60" s="68" t="n">
        <v>2.0</v>
      </c>
      <c r="K60" s="58">
        <f si="2" t="shared"/>
        <v>280</v>
      </c>
      <c r="L60" s="78">
        <f si="3" t="shared"/>
        <v>3.3717065651943547E-4</v>
      </c>
      <c r="W60" s="8"/>
    </row>
    <row r="61" spans="1:23" x14ac:dyDescent="0.25">
      <c r="A61">
        <v>50</v>
      </c>
      <c r="B61" s="58" t="n">
        <v>507.876276833562</v>
      </c>
      <c r="C61" s="58" t="n">
        <v>0.0</v>
      </c>
      <c r="D61" s="58" t="n">
        <v>0.0</v>
      </c>
      <c r="E61" s="58">
        <f si="0" t="shared"/>
        <v>507.87627683356197</v>
      </c>
      <c r="F61" s="78">
        <f si="1" t="shared"/>
        <v>6.449709806497472E-4</v>
      </c>
      <c r="G61">
        <v>50</v>
      </c>
      <c r="H61" s="68" t="n">
        <v>258.0</v>
      </c>
      <c r="I61" s="68" t="n">
        <v>9.0</v>
      </c>
      <c r="J61" s="68" t="n">
        <v>2.0</v>
      </c>
      <c r="K61" s="58">
        <f si="2" t="shared"/>
        <v>320</v>
      </c>
      <c r="L61" s="78">
        <f si="3" t="shared"/>
        <v>3.8533789316506911E-4</v>
      </c>
      <c r="W61" s="8"/>
    </row>
    <row r="62" spans="1:23" x14ac:dyDescent="0.25">
      <c r="A62">
        <v>51</v>
      </c>
      <c r="B62" s="58" t="n">
        <v>1069.795081964544</v>
      </c>
      <c r="C62" s="58" t="n">
        <v>49.3594307946681</v>
      </c>
      <c r="D62" s="58" t="n">
        <v>0.0</v>
      </c>
      <c r="E62" s="58">
        <f si="0" t="shared"/>
        <v>1119.1545127592119</v>
      </c>
      <c r="F62" s="78">
        <f si="1" t="shared"/>
        <v>1.4212559564569895E-3</v>
      </c>
      <c r="G62">
        <v>51</v>
      </c>
      <c r="H62" s="68" t="n">
        <v>197.0</v>
      </c>
      <c r="I62" s="68" t="n">
        <v>8.0</v>
      </c>
      <c r="J62" s="68" t="n">
        <v>3.0</v>
      </c>
      <c r="K62" s="58">
        <f si="2" t="shared"/>
        <v>240</v>
      </c>
      <c r="L62" s="78">
        <f si="3" t="shared"/>
        <v>2.8900341987380182E-4</v>
      </c>
      <c r="W62" s="8"/>
    </row>
    <row r="63" spans="1:23" x14ac:dyDescent="0.25">
      <c r="A63">
        <v>52</v>
      </c>
      <c r="B63" s="58" t="n">
        <v>1213.5442706182755</v>
      </c>
      <c r="C63" s="58" t="n">
        <v>0.0</v>
      </c>
      <c r="D63" s="58" t="n">
        <v>0.0</v>
      </c>
      <c r="E63" s="58">
        <f si="0" t="shared"/>
        <v>1213.5442706182755</v>
      </c>
      <c r="F63" s="78">
        <f si="1" t="shared"/>
        <v>1.541125021949102E-3</v>
      </c>
      <c r="G63">
        <v>52</v>
      </c>
      <c r="H63" s="68" t="n">
        <v>160.0</v>
      </c>
      <c r="I63" s="68" t="n">
        <v>7.0</v>
      </c>
      <c r="J63" s="68" t="n">
        <v>2.0</v>
      </c>
      <c r="K63" s="58">
        <f si="2" t="shared"/>
        <v>180</v>
      </c>
      <c r="L63" s="78">
        <f si="3" t="shared"/>
        <v>2.1675256490535138E-4</v>
      </c>
      <c r="W63" s="8"/>
    </row>
    <row r="64" spans="1:23" x14ac:dyDescent="0.25">
      <c r="A64">
        <v>53</v>
      </c>
      <c r="B64" s="58" t="n">
        <v>199.2558247392176</v>
      </c>
      <c r="C64" s="58" t="n">
        <v>0.0</v>
      </c>
      <c r="D64" s="58" t="n">
        <v>0.0</v>
      </c>
      <c r="E64" s="58">
        <f si="0" t="shared"/>
        <v>199.25582473921759</v>
      </c>
      <c r="F64" s="78">
        <f si="1" t="shared"/>
        <v>2.5304238560515244E-4</v>
      </c>
      <c r="G64">
        <v>53</v>
      </c>
      <c r="H64" s="68" t="n">
        <v>123.0</v>
      </c>
      <c r="I64" s="68" t="n">
        <v>6.0</v>
      </c>
      <c r="J64" s="68" t="n">
        <v>1.0</v>
      </c>
      <c r="K64" s="58">
        <f si="2" t="shared"/>
        <v>160</v>
      </c>
      <c r="L64" s="78">
        <f si="3" t="shared"/>
        <v>1.9266894658253456E-4</v>
      </c>
      <c r="W64" s="8"/>
    </row>
    <row r="65" spans="1:23" x14ac:dyDescent="0.25">
      <c r="A65">
        <v>54</v>
      </c>
      <c r="B65" s="58" t="n">
        <v>0.0</v>
      </c>
      <c r="C65" s="58" t="n">
        <v>0.0</v>
      </c>
      <c r="D65" s="58" t="n">
        <v>0.0</v>
      </c>
      <c r="E65" s="58">
        <f si="0" t="shared"/>
        <v>0</v>
      </c>
      <c r="F65" s="78">
        <f si="1" t="shared"/>
        <v>0</v>
      </c>
      <c r="G65">
        <v>54</v>
      </c>
      <c r="H65" s="68" t="n">
        <v>128.0</v>
      </c>
      <c r="I65" s="68" t="n">
        <v>5.0</v>
      </c>
      <c r="J65" s="68" t="n">
        <v>1.0</v>
      </c>
      <c r="K65" s="58">
        <f si="2" t="shared"/>
        <v>60</v>
      </c>
      <c r="L65" s="78">
        <f si="3" t="shared"/>
        <v>7.2250854968450455E-5</v>
      </c>
      <c r="W65" s="8"/>
    </row>
    <row r="66" spans="1:23" x14ac:dyDescent="0.25">
      <c r="A66">
        <v>55</v>
      </c>
      <c r="B66" s="58" t="n">
        <v>516.577443373108</v>
      </c>
      <c r="C66" s="58" t="n">
        <v>0.0</v>
      </c>
      <c r="D66" s="58" t="n">
        <v>0.0</v>
      </c>
      <c r="E66" s="58">
        <f si="0" t="shared"/>
        <v>516.57744337310805</v>
      </c>
      <c r="F66" s="78">
        <f si="1" t="shared"/>
        <v>6.560209157851246E-4</v>
      </c>
      <c r="G66">
        <v>55</v>
      </c>
      <c r="H66" s="68" t="n">
        <v>100.0</v>
      </c>
      <c r="I66" s="68" t="n">
        <v>3.0</v>
      </c>
      <c r="J66" s="68" t="n">
        <v>0.0</v>
      </c>
      <c r="K66" s="58">
        <f si="2" t="shared"/>
        <v>80</v>
      </c>
      <c r="L66" s="78">
        <f si="3" t="shared"/>
        <v>9.6334473291267278E-5</v>
      </c>
      <c r="W66" s="8"/>
    </row>
    <row r="67" spans="1:23" x14ac:dyDescent="0.25">
      <c r="A67">
        <v>56</v>
      </c>
      <c r="B67" s="58" t="n">
        <v>296.59497116925</v>
      </c>
      <c r="C67" s="58" t="n">
        <v>0.0</v>
      </c>
      <c r="D67" s="58" t="n">
        <v>0.0</v>
      </c>
      <c r="E67" s="58">
        <f si="0" t="shared"/>
        <v>296.59497116925002</v>
      </c>
      <c r="F67" s="78">
        <f si="1" t="shared"/>
        <v>3.7665698938228753E-4</v>
      </c>
      <c r="G67">
        <v>56</v>
      </c>
      <c r="H67" s="68" t="n">
        <v>88.0</v>
      </c>
      <c r="I67" s="68" t="n">
        <v>5.0</v>
      </c>
      <c r="J67" s="68" t="n">
        <v>0.0</v>
      </c>
      <c r="K67" s="58">
        <f si="2" t="shared"/>
        <v>120</v>
      </c>
      <c r="L67" s="78">
        <f si="3" t="shared"/>
        <v>1.4450170993690091E-4</v>
      </c>
      <c r="W67" s="8"/>
    </row>
    <row r="68" spans="1:23" x14ac:dyDescent="0.25">
      <c r="A68">
        <v>57</v>
      </c>
      <c r="B68" s="58" t="n">
        <v>0.0</v>
      </c>
      <c r="C68" s="58" t="n">
        <v>0.0</v>
      </c>
      <c r="D68" s="58" t="n">
        <v>0.0</v>
      </c>
      <c r="E68" s="58">
        <f si="0" t="shared"/>
        <v>0</v>
      </c>
      <c r="F68" s="78">
        <f si="1" t="shared"/>
        <v>0</v>
      </c>
      <c r="G68">
        <v>57</v>
      </c>
      <c r="H68" s="68" t="n">
        <v>74.0</v>
      </c>
      <c r="I68" s="68" t="n">
        <v>6.0</v>
      </c>
      <c r="J68" s="68" t="n">
        <v>1.0</v>
      </c>
      <c r="K68" s="58">
        <f si="2" t="shared"/>
        <v>100</v>
      </c>
      <c r="L68" s="78">
        <f si="3" t="shared"/>
        <v>1.204180916140841E-4</v>
      </c>
      <c r="W68" s="8"/>
    </row>
    <row r="69" spans="1:23" x14ac:dyDescent="0.25">
      <c r="A69">
        <v>58</v>
      </c>
      <c r="B69" s="58" t="n">
        <v>0.0</v>
      </c>
      <c r="C69" s="58" t="n">
        <v>0.0</v>
      </c>
      <c r="D69" s="58" t="n">
        <v>0.0</v>
      </c>
      <c r="E69" s="58">
        <f si="0" t="shared"/>
        <v>0</v>
      </c>
      <c r="F69" s="78">
        <f si="1" t="shared"/>
        <v>0</v>
      </c>
      <c r="G69">
        <v>58</v>
      </c>
      <c r="H69" s="68" t="n">
        <v>49.0</v>
      </c>
      <c r="I69" s="68" t="n">
        <v>7.0</v>
      </c>
      <c r="J69" s="68" t="n">
        <v>1.0</v>
      </c>
      <c r="K69" s="58">
        <f si="2" t="shared"/>
        <v>0</v>
      </c>
      <c r="L69" s="78">
        <f si="3" t="shared"/>
        <v>0</v>
      </c>
      <c r="W69" s="8"/>
    </row>
    <row r="70" spans="1:23" x14ac:dyDescent="0.25">
      <c r="A70">
        <v>59</v>
      </c>
      <c r="B70" s="58" t="n">
        <v>0.0</v>
      </c>
      <c r="C70" s="58" t="n">
        <v>40.512360877359</v>
      </c>
      <c r="D70" s="58" t="n">
        <v>0.0</v>
      </c>
      <c r="E70" s="58">
        <f si="0" t="shared"/>
        <v>40.512360877359001</v>
      </c>
      <c r="F70" s="78">
        <f si="1" t="shared"/>
        <v>5.1448154433229449E-5</v>
      </c>
      <c r="G70">
        <v>59</v>
      </c>
      <c r="H70" s="68" t="n">
        <v>45.0</v>
      </c>
      <c r="I70" s="68" t="n">
        <v>0.0</v>
      </c>
      <c r="J70" s="68" t="n">
        <v>0.0</v>
      </c>
      <c r="K70" s="58">
        <f si="2" t="shared"/>
        <v>40</v>
      </c>
      <c r="L70" s="78">
        <f si="3" t="shared"/>
        <v>4.8167236645633639E-5</v>
      </c>
      <c r="W70" s="8"/>
    </row>
    <row r="71" spans="1:23" x14ac:dyDescent="0.25">
      <c r="A71">
        <v>60</v>
      </c>
      <c r="B71" s="58" t="n">
        <v>125.64751263977</v>
      </c>
      <c r="C71" s="58" t="n">
        <v>0.0</v>
      </c>
      <c r="D71" s="58" t="n">
        <v>0.0</v>
      </c>
      <c r="E71" s="58">
        <f si="0" t="shared"/>
        <v>125.64751263977</v>
      </c>
      <c r="F71" s="78">
        <f si="1" t="shared"/>
        <v>1.5956445130441003E-4</v>
      </c>
      <c r="G71">
        <v>60</v>
      </c>
      <c r="H71" s="68" t="n">
        <v>41.0</v>
      </c>
      <c r="I71" s="68" t="n">
        <v>1.0</v>
      </c>
      <c r="J71" s="68" t="n">
        <v>0.0</v>
      </c>
      <c r="K71" s="58">
        <f si="2" t="shared"/>
        <v>40</v>
      </c>
      <c r="L71" s="78">
        <f si="3" t="shared"/>
        <v>4.8167236645633639E-5</v>
      </c>
      <c r="W71" s="8"/>
    </row>
    <row r="72" spans="1:23" x14ac:dyDescent="0.25">
      <c r="A72">
        <v>61</v>
      </c>
      <c r="B72" s="58" t="n">
        <v>0.0</v>
      </c>
      <c r="C72" s="58" t="n">
        <v>0.0</v>
      </c>
      <c r="D72" s="58" t="n">
        <v>0.0</v>
      </c>
      <c r="E72" s="58">
        <f si="0" t="shared"/>
        <v>0</v>
      </c>
      <c r="F72" s="78">
        <f si="1" t="shared"/>
        <v>0</v>
      </c>
      <c r="G72">
        <v>61</v>
      </c>
      <c r="H72" s="68" t="n">
        <v>28.0</v>
      </c>
      <c r="I72" s="68" t="n">
        <v>1.0</v>
      </c>
      <c r="J72" s="68" t="n">
        <v>0.0</v>
      </c>
      <c r="K72" s="58">
        <f si="2" t="shared"/>
        <v>20</v>
      </c>
      <c r="L72" s="78">
        <f si="3" t="shared"/>
        <v>2.408361832281682E-5</v>
      </c>
      <c r="W72" s="8"/>
    </row>
    <row r="73" spans="1:23" x14ac:dyDescent="0.25">
      <c r="A73">
        <v>62</v>
      </c>
      <c r="B73" s="58" t="n">
        <v>0.0</v>
      </c>
      <c r="C73" s="58" t="n">
        <v>0.0</v>
      </c>
      <c r="D73" s="58" t="n">
        <v>0.0</v>
      </c>
      <c r="E73" s="58">
        <f si="0" t="shared"/>
        <v>0</v>
      </c>
      <c r="F73" s="78">
        <f si="1" t="shared"/>
        <v>0</v>
      </c>
      <c r="G73">
        <v>62</v>
      </c>
      <c r="H73" s="68" t="n">
        <v>30.0</v>
      </c>
      <c r="I73" s="68" t="n">
        <v>0.0</v>
      </c>
      <c r="J73" s="68" t="n">
        <v>0.0</v>
      </c>
      <c r="K73" s="58">
        <f si="2" t="shared"/>
        <v>20</v>
      </c>
      <c r="L73" s="78">
        <f si="3" t="shared"/>
        <v>2.408361832281682E-5</v>
      </c>
      <c r="W73" s="8"/>
    </row>
    <row r="74" spans="1:23" x14ac:dyDescent="0.25">
      <c r="A74">
        <v>63</v>
      </c>
      <c r="B74" s="58" t="n">
        <v>115.000259629041</v>
      </c>
      <c r="C74" s="58" t="n">
        <v>0.0</v>
      </c>
      <c r="D74" s="58" t="n">
        <v>0.0</v>
      </c>
      <c r="E74" s="58">
        <f si="0" t="shared"/>
        <v>115.000259629041</v>
      </c>
      <c r="F74" s="78">
        <f si="1" t="shared"/>
        <v>1.4604310855067805E-4</v>
      </c>
      <c r="G74">
        <v>63</v>
      </c>
      <c r="H74" s="68" t="n">
        <v>17.0</v>
      </c>
      <c r="I74" s="68" t="n">
        <v>2.0</v>
      </c>
      <c r="J74" s="68" t="n">
        <v>0.0</v>
      </c>
      <c r="K74" s="58">
        <f si="2" t="shared"/>
        <v>40</v>
      </c>
      <c r="L74" s="78">
        <f si="3" t="shared"/>
        <v>4.8167236645633639E-5</v>
      </c>
      <c r="W74" s="8"/>
    </row>
    <row r="75" spans="1:23" x14ac:dyDescent="0.25">
      <c r="A75">
        <v>64</v>
      </c>
      <c r="B75" s="58" t="n">
        <v>0.0</v>
      </c>
      <c r="C75" s="58" t="n">
        <v>0.0</v>
      </c>
      <c r="D75" s="58" t="n">
        <v>0.0</v>
      </c>
      <c r="E75" s="58">
        <f si="0" t="shared"/>
        <v>0</v>
      </c>
      <c r="F75" s="78">
        <f si="1" t="shared"/>
        <v>0</v>
      </c>
      <c r="G75">
        <v>64</v>
      </c>
      <c r="H75" s="68" t="n">
        <v>16.0</v>
      </c>
      <c r="I75" s="68" t="n">
        <v>0.0</v>
      </c>
      <c r="J75" s="68" t="n">
        <v>0.0</v>
      </c>
      <c r="K75" s="58">
        <f si="2" t="shared"/>
        <v>20</v>
      </c>
      <c r="L75" s="78">
        <f si="3" t="shared"/>
        <v>2.408361832281682E-5</v>
      </c>
      <c r="W75" s="8"/>
    </row>
    <row r="76" spans="1:23" x14ac:dyDescent="0.25">
      <c r="A76">
        <v>65</v>
      </c>
      <c r="B76" s="58" t="n">
        <v>0.0</v>
      </c>
      <c r="C76" s="58" t="n">
        <v>0.0</v>
      </c>
      <c r="D76" s="58" t="n">
        <v>0.0</v>
      </c>
      <c r="E76" s="58">
        <f ref="E76:E101" si="4" t="shared">SUM(B76:D76)</f>
        <v>0</v>
      </c>
      <c r="F76" s="78">
        <f ref="F76:F101" si="5" t="shared">IFERROR(E76/SUM($E$11:$E$100),0)</f>
        <v>0</v>
      </c>
      <c r="G76">
        <v>65</v>
      </c>
      <c r="H76" s="68" t="n">
        <v>11.0</v>
      </c>
      <c r="I76" s="68" t="n">
        <v>1.0</v>
      </c>
      <c r="J76" s="68" t="n">
        <v>0.0</v>
      </c>
      <c r="K76" s="58">
        <f ref="K76:K101" si="6" t="shared">SUM(H76:J76)</f>
        <v>40</v>
      </c>
      <c r="L76" s="78">
        <f ref="L76:L101" si="7" t="shared">IFERROR(K76/SUM($K$11:$K$100),0)</f>
        <v>4.8167236645633639E-5</v>
      </c>
      <c r="W76" s="8"/>
    </row>
    <row r="77" spans="1:23" x14ac:dyDescent="0.25">
      <c r="A77">
        <v>66</v>
      </c>
      <c r="B77" s="58" t="n">
        <v>0.0</v>
      </c>
      <c r="C77" s="58" t="n">
        <v>0.0</v>
      </c>
      <c r="D77" s="58" t="n">
        <v>0.0</v>
      </c>
      <c r="E77" s="58">
        <f si="4" t="shared"/>
        <v>0</v>
      </c>
      <c r="F77" s="78">
        <f si="5" t="shared"/>
        <v>0</v>
      </c>
      <c r="G77">
        <v>66</v>
      </c>
      <c r="H77" s="68" t="n">
        <v>14.0</v>
      </c>
      <c r="I77" s="68" t="n">
        <v>0.0</v>
      </c>
      <c r="J77" s="68" t="n">
        <v>0.0</v>
      </c>
      <c r="K77" s="58">
        <f si="6" t="shared"/>
        <v>0</v>
      </c>
      <c r="L77" s="78">
        <f si="7" t="shared"/>
        <v>0</v>
      </c>
      <c r="W77" s="8"/>
    </row>
    <row r="78" spans="1:23" x14ac:dyDescent="0.25">
      <c r="A78">
        <v>67</v>
      </c>
      <c r="B78" s="58" t="n">
        <v>0.0</v>
      </c>
      <c r="C78" s="58" t="n">
        <v>0.0</v>
      </c>
      <c r="D78" s="58" t="n">
        <v>0.0</v>
      </c>
      <c r="E78" s="58">
        <f si="4" t="shared"/>
        <v>0</v>
      </c>
      <c r="F78" s="78">
        <f si="5" t="shared"/>
        <v>0</v>
      </c>
      <c r="G78">
        <v>67</v>
      </c>
      <c r="H78" s="68" t="n">
        <v>9.0</v>
      </c>
      <c r="I78" s="68" t="n">
        <v>1.0</v>
      </c>
      <c r="J78" s="68" t="n">
        <v>0.0</v>
      </c>
      <c r="K78" s="58">
        <f si="6" t="shared"/>
        <v>0</v>
      </c>
      <c r="L78" s="78">
        <f si="7" t="shared"/>
        <v>0</v>
      </c>
      <c r="W78" s="8"/>
    </row>
    <row r="79" spans="1:23" x14ac:dyDescent="0.25">
      <c r="A79">
        <v>68</v>
      </c>
      <c r="B79" s="58" t="n">
        <v>0.0</v>
      </c>
      <c r="C79" s="58" t="n">
        <v>0.0</v>
      </c>
      <c r="D79" s="58" t="n">
        <v>0.0</v>
      </c>
      <c r="E79" s="58">
        <f si="4" t="shared"/>
        <v>0</v>
      </c>
      <c r="F79" s="78">
        <f si="5" t="shared"/>
        <v>0</v>
      </c>
      <c r="G79">
        <v>68</v>
      </c>
      <c r="H79" s="68" t="n">
        <v>13.0</v>
      </c>
      <c r="I79" s="68" t="n">
        <v>1.0</v>
      </c>
      <c r="J79" s="68" t="n">
        <v>0.0</v>
      </c>
      <c r="K79" s="58">
        <f si="6" t="shared"/>
        <v>0</v>
      </c>
      <c r="L79" s="78">
        <f si="7" t="shared"/>
        <v>0</v>
      </c>
      <c r="W79" s="8"/>
    </row>
    <row r="80" spans="1:23" x14ac:dyDescent="0.25">
      <c r="A80">
        <v>69</v>
      </c>
      <c r="B80" s="58" t="n">
        <v>0.0</v>
      </c>
      <c r="C80" s="58" t="n">
        <v>0.0</v>
      </c>
      <c r="D80" s="58" t="n">
        <v>0.0</v>
      </c>
      <c r="E80" s="58">
        <f si="4" t="shared"/>
        <v>0</v>
      </c>
      <c r="F80" s="78">
        <f si="5" t="shared"/>
        <v>0</v>
      </c>
      <c r="G80">
        <v>69</v>
      </c>
      <c r="H80" s="68" t="n">
        <v>10.0</v>
      </c>
      <c r="I80" s="68" t="n">
        <v>0.0</v>
      </c>
      <c r="J80" s="68" t="n">
        <v>0.0</v>
      </c>
      <c r="K80" s="58">
        <f si="6" t="shared"/>
        <v>0</v>
      </c>
      <c r="L80" s="78">
        <f si="7" t="shared"/>
        <v>0</v>
      </c>
      <c r="W80" s="8"/>
    </row>
    <row r="81" spans="1:23" x14ac:dyDescent="0.25">
      <c r="A81">
        <v>70</v>
      </c>
      <c r="B81" s="58" t="n">
        <v>0.0</v>
      </c>
      <c r="C81" s="58" t="n">
        <v>0.0</v>
      </c>
      <c r="D81" s="58" t="n">
        <v>0.0</v>
      </c>
      <c r="E81" s="58">
        <f si="4" t="shared"/>
        <v>0</v>
      </c>
      <c r="F81" s="78">
        <f si="5" t="shared"/>
        <v>0</v>
      </c>
      <c r="G81">
        <v>70</v>
      </c>
      <c r="H81" s="68" t="n">
        <v>4.0</v>
      </c>
      <c r="I81" s="68" t="n">
        <v>0.0</v>
      </c>
      <c r="J81" s="68" t="n">
        <v>0.0</v>
      </c>
      <c r="K81" s="58">
        <f si="6" t="shared"/>
        <v>0</v>
      </c>
      <c r="L81" s="78">
        <f si="7" t="shared"/>
        <v>0</v>
      </c>
      <c r="W81" s="8"/>
    </row>
    <row r="82" spans="1:23" x14ac:dyDescent="0.25">
      <c r="A82">
        <v>71</v>
      </c>
      <c r="B82" s="58" t="n">
        <v>0.0</v>
      </c>
      <c r="C82" s="58" t="n">
        <v>0.0</v>
      </c>
      <c r="D82" s="58" t="n">
        <v>0.0</v>
      </c>
      <c r="E82" s="58">
        <f si="4" t="shared"/>
        <v>0</v>
      </c>
      <c r="F82" s="78">
        <f si="5" t="shared"/>
        <v>0</v>
      </c>
      <c r="G82">
        <v>71</v>
      </c>
      <c r="H82" s="68" t="n">
        <v>2.0</v>
      </c>
      <c r="I82" s="68" t="n">
        <v>0.0</v>
      </c>
      <c r="J82" s="68" t="n">
        <v>0.0</v>
      </c>
      <c r="K82" s="58">
        <f si="6" t="shared"/>
        <v>0</v>
      </c>
      <c r="L82" s="78">
        <f si="7" t="shared"/>
        <v>0</v>
      </c>
      <c r="W82" s="8"/>
    </row>
    <row r="83" spans="1:23" x14ac:dyDescent="0.25">
      <c r="A83">
        <v>72</v>
      </c>
      <c r="B83" s="58" t="n">
        <v>0.0</v>
      </c>
      <c r="C83" s="58" t="n">
        <v>0.0</v>
      </c>
      <c r="D83" s="58" t="n">
        <v>0.0</v>
      </c>
      <c r="E83" s="58">
        <f si="4" t="shared"/>
        <v>0</v>
      </c>
      <c r="F83" s="78">
        <f si="5" t="shared"/>
        <v>0</v>
      </c>
      <c r="G83">
        <v>72</v>
      </c>
      <c r="H83" s="68" t="n">
        <v>4.0</v>
      </c>
      <c r="I83" s="68" t="n">
        <v>0.0</v>
      </c>
      <c r="J83" s="68" t="n">
        <v>0.0</v>
      </c>
      <c r="K83" s="58">
        <f si="6" t="shared"/>
        <v>0</v>
      </c>
      <c r="L83" s="78">
        <f si="7" t="shared"/>
        <v>0</v>
      </c>
      <c r="W83" s="8"/>
    </row>
    <row r="84" spans="1:23" x14ac:dyDescent="0.25">
      <c r="A84">
        <v>73</v>
      </c>
      <c r="B84" s="58" t="n">
        <v>0.0</v>
      </c>
      <c r="C84" s="58" t="n">
        <v>0.0</v>
      </c>
      <c r="D84" s="58" t="n">
        <v>0.0</v>
      </c>
      <c r="E84" s="58">
        <f si="4" t="shared"/>
        <v>0</v>
      </c>
      <c r="F84" s="78">
        <f si="5" t="shared"/>
        <v>0</v>
      </c>
      <c r="G84">
        <v>73</v>
      </c>
      <c r="H84" s="68" t="n">
        <v>2.0</v>
      </c>
      <c r="I84" s="58" t="n">
        <v>0.0</v>
      </c>
      <c r="J84" s="68" t="n">
        <v>0.0</v>
      </c>
      <c r="K84" s="58">
        <f si="6" t="shared"/>
        <v>0</v>
      </c>
      <c r="L84" s="78">
        <f si="7" t="shared"/>
        <v>0</v>
      </c>
      <c r="W84" s="8"/>
    </row>
    <row r="85" spans="1:23" x14ac:dyDescent="0.25">
      <c r="A85">
        <v>74</v>
      </c>
      <c r="B85" s="58" t="n">
        <v>0.0</v>
      </c>
      <c r="C85" s="58" t="n">
        <v>0.0</v>
      </c>
      <c r="D85" s="58" t="n">
        <v>0.0</v>
      </c>
      <c r="E85" s="58">
        <f si="4" t="shared"/>
        <v>0</v>
      </c>
      <c r="F85" s="78">
        <f si="5" t="shared"/>
        <v>0</v>
      </c>
      <c r="G85">
        <v>74</v>
      </c>
      <c r="H85" s="68" t="n">
        <v>4.0</v>
      </c>
      <c r="I85" s="68" t="n">
        <v>0.0</v>
      </c>
      <c r="J85" s="68" t="n">
        <v>0.0</v>
      </c>
      <c r="K85" s="58">
        <f si="6" t="shared"/>
        <v>0</v>
      </c>
      <c r="L85" s="78">
        <f si="7" t="shared"/>
        <v>0</v>
      </c>
      <c r="W85" s="8"/>
    </row>
    <row r="86" spans="1:23" x14ac:dyDescent="0.25">
      <c r="A86">
        <v>75</v>
      </c>
      <c r="B86" s="58" t="n">
        <v>0.0</v>
      </c>
      <c r="C86" s="58" t="n">
        <v>0.0</v>
      </c>
      <c r="D86" s="58" t="n">
        <v>0.0</v>
      </c>
      <c r="E86" s="58">
        <f si="4" t="shared"/>
        <v>0</v>
      </c>
      <c r="F86" s="78">
        <f si="5" t="shared"/>
        <v>0</v>
      </c>
      <c r="G86">
        <v>75</v>
      </c>
      <c r="H86" s="68" t="n">
        <v>3.0</v>
      </c>
      <c r="I86" s="58" t="n">
        <v>0.0</v>
      </c>
      <c r="J86" s="68" t="n">
        <v>0.0</v>
      </c>
      <c r="K86" s="58">
        <f si="6" t="shared"/>
        <v>0</v>
      </c>
      <c r="L86" s="78">
        <f si="7" t="shared"/>
        <v>0</v>
      </c>
      <c r="W86" s="8"/>
    </row>
    <row r="87" spans="1:23" x14ac:dyDescent="0.25">
      <c r="A87">
        <v>76</v>
      </c>
      <c r="B87" s="58" t="n">
        <v>0.0</v>
      </c>
      <c r="C87" s="58" t="n">
        <v>0.0</v>
      </c>
      <c r="D87" s="58" t="n">
        <v>0.0</v>
      </c>
      <c r="E87" s="58">
        <f si="4" t="shared"/>
        <v>0</v>
      </c>
      <c r="F87" s="78">
        <f si="5" t="shared"/>
        <v>0</v>
      </c>
      <c r="G87">
        <v>76</v>
      </c>
      <c r="H87" s="68" t="n">
        <v>3.0</v>
      </c>
      <c r="I87" s="58" t="n">
        <v>0.0</v>
      </c>
      <c r="J87" s="68" t="n">
        <v>0.0</v>
      </c>
      <c r="K87" s="58">
        <f si="6" t="shared"/>
        <v>0</v>
      </c>
      <c r="L87" s="78">
        <f si="7" t="shared"/>
        <v>0</v>
      </c>
      <c r="W87" s="8"/>
    </row>
    <row r="88" spans="1:23" x14ac:dyDescent="0.25">
      <c r="A88">
        <v>77</v>
      </c>
      <c r="B88" s="58" t="n">
        <v>0.0</v>
      </c>
      <c r="C88" s="58" t="n">
        <v>0.0</v>
      </c>
      <c r="D88" s="58" t="n">
        <v>0.0</v>
      </c>
      <c r="E88" s="58">
        <f si="4" t="shared"/>
        <v>0</v>
      </c>
      <c r="F88" s="78">
        <f si="5" t="shared"/>
        <v>0</v>
      </c>
      <c r="G88">
        <v>77</v>
      </c>
      <c r="H88" s="68" t="n">
        <v>2.0</v>
      </c>
      <c r="I88" s="58" t="n">
        <v>0.0</v>
      </c>
      <c r="J88" s="58" t="n">
        <v>0.0</v>
      </c>
      <c r="K88" s="58">
        <f si="6" t="shared"/>
        <v>0</v>
      </c>
      <c r="L88" s="78">
        <f si="7" t="shared"/>
        <v>0</v>
      </c>
      <c r="W88" s="8"/>
    </row>
    <row r="89" spans="1:23" x14ac:dyDescent="0.25">
      <c r="A89">
        <v>78</v>
      </c>
      <c r="B89" s="58" t="n">
        <v>0.0</v>
      </c>
      <c r="C89" s="58" t="n">
        <v>0.0</v>
      </c>
      <c r="D89" s="58" t="n">
        <v>0.0</v>
      </c>
      <c r="E89" s="58">
        <f si="4" t="shared"/>
        <v>0</v>
      </c>
      <c r="F89" s="78">
        <f si="5" t="shared"/>
        <v>0</v>
      </c>
      <c r="G89">
        <v>78</v>
      </c>
      <c r="H89" s="68" t="n">
        <v>1.0</v>
      </c>
      <c r="I89" s="58" t="n">
        <v>0.0</v>
      </c>
      <c r="J89" s="58" t="n">
        <v>0.0</v>
      </c>
      <c r="K89" s="58">
        <f si="6" t="shared"/>
        <v>0</v>
      </c>
      <c r="L89" s="78">
        <f si="7" t="shared"/>
        <v>0</v>
      </c>
      <c r="W89" s="8"/>
    </row>
    <row r="90" spans="1:23" x14ac:dyDescent="0.25">
      <c r="A90">
        <v>79</v>
      </c>
      <c r="B90" s="58" t="n">
        <v>0.0</v>
      </c>
      <c r="C90" s="58" t="n">
        <v>0.0</v>
      </c>
      <c r="D90" s="58" t="n">
        <v>0.0</v>
      </c>
      <c r="E90" s="58">
        <f si="4" t="shared"/>
        <v>0</v>
      </c>
      <c r="F90" s="78">
        <f si="5" t="shared"/>
        <v>0</v>
      </c>
      <c r="G90">
        <v>79</v>
      </c>
      <c r="H90" s="68" t="n">
        <v>1.0</v>
      </c>
      <c r="I90" s="58" t="n">
        <v>0.0</v>
      </c>
      <c r="J90" s="58" t="n">
        <v>0.0</v>
      </c>
      <c r="K90" s="58">
        <f si="6" t="shared"/>
        <v>0</v>
      </c>
      <c r="L90" s="78">
        <f si="7" t="shared"/>
        <v>0</v>
      </c>
      <c r="W90" s="8"/>
    </row>
    <row r="91" spans="1:23" x14ac:dyDescent="0.25">
      <c r="A91">
        <v>80</v>
      </c>
      <c r="B91" s="58" t="n">
        <v>0.0</v>
      </c>
      <c r="C91" s="58" t="n">
        <v>0.0</v>
      </c>
      <c r="D91" s="58" t="n">
        <v>0.0</v>
      </c>
      <c r="E91" s="58">
        <f si="4" t="shared"/>
        <v>0</v>
      </c>
      <c r="F91" s="78">
        <f si="5" t="shared"/>
        <v>0</v>
      </c>
      <c r="G91">
        <v>80</v>
      </c>
      <c r="H91" s="68" t="n">
        <v>0.0</v>
      </c>
      <c r="I91" s="58" t="n">
        <v>0.0</v>
      </c>
      <c r="J91" s="58" t="n">
        <v>0.0</v>
      </c>
      <c r="K91" s="58">
        <f si="6" t="shared"/>
        <v>0</v>
      </c>
      <c r="L91" s="78">
        <f si="7" t="shared"/>
        <v>0</v>
      </c>
      <c r="W91" s="8"/>
    </row>
    <row r="92" spans="1:23" x14ac:dyDescent="0.25">
      <c r="A92">
        <v>81</v>
      </c>
      <c r="B92" s="58" t="n">
        <v>0.0</v>
      </c>
      <c r="C92" s="58" t="n">
        <v>0.0</v>
      </c>
      <c r="D92" s="58" t="n">
        <v>0.0</v>
      </c>
      <c r="E92" s="58">
        <f si="4" t="shared"/>
        <v>0</v>
      </c>
      <c r="F92" s="78">
        <f si="5" t="shared"/>
        <v>0</v>
      </c>
      <c r="G92">
        <v>81</v>
      </c>
      <c r="H92" s="68" t="n">
        <v>0.0</v>
      </c>
      <c r="I92" s="58" t="n">
        <v>0.0</v>
      </c>
      <c r="J92" s="58" t="n">
        <v>0.0</v>
      </c>
      <c r="K92" s="58">
        <f si="6" t="shared"/>
        <v>0</v>
      </c>
      <c r="L92" s="78">
        <f si="7" t="shared"/>
        <v>0</v>
      </c>
      <c r="W92" s="8"/>
    </row>
    <row r="93" spans="1:23" x14ac:dyDescent="0.25">
      <c r="A93">
        <v>82</v>
      </c>
      <c r="B93" s="58" t="n">
        <v>0.0</v>
      </c>
      <c r="C93" s="58" t="n">
        <v>0.0</v>
      </c>
      <c r="D93" s="58" t="n">
        <v>0.0</v>
      </c>
      <c r="E93" s="58">
        <f si="4" t="shared"/>
        <v>0</v>
      </c>
      <c r="F93" s="78">
        <f si="5" t="shared"/>
        <v>0</v>
      </c>
      <c r="G93">
        <v>82</v>
      </c>
      <c r="H93" s="68" t="n">
        <v>0.0</v>
      </c>
      <c r="I93" s="58" t="n">
        <v>0.0</v>
      </c>
      <c r="J93" s="58" t="n">
        <v>0.0</v>
      </c>
      <c r="K93" s="58">
        <f si="6" t="shared"/>
        <v>0</v>
      </c>
      <c r="L93" s="78">
        <f si="7" t="shared"/>
        <v>0</v>
      </c>
      <c r="W93" s="8"/>
    </row>
    <row r="94" spans="1:23" x14ac:dyDescent="0.25">
      <c r="A94">
        <v>83</v>
      </c>
      <c r="B94" s="58" t="n">
        <v>0.0</v>
      </c>
      <c r="C94" s="58" t="n">
        <v>0.0</v>
      </c>
      <c r="D94" s="58" t="n">
        <v>0.0</v>
      </c>
      <c r="E94" s="58">
        <f si="4" t="shared"/>
        <v>0</v>
      </c>
      <c r="F94" s="78">
        <f si="5" t="shared"/>
        <v>0</v>
      </c>
      <c r="G94">
        <v>83</v>
      </c>
      <c r="H94" s="68" t="n">
        <v>0.0</v>
      </c>
      <c r="I94" s="58" t="n">
        <v>0.0</v>
      </c>
      <c r="J94" s="58" t="n">
        <v>0.0</v>
      </c>
      <c r="K94" s="58">
        <f si="6" t="shared"/>
        <v>0</v>
      </c>
      <c r="L94" s="78">
        <f si="7" t="shared"/>
        <v>0</v>
      </c>
      <c r="W94" s="8"/>
    </row>
    <row r="95" spans="1:23" x14ac:dyDescent="0.25">
      <c r="A95">
        <v>84</v>
      </c>
      <c r="B95" s="58" t="n">
        <v>0.0</v>
      </c>
      <c r="C95" s="58" t="n">
        <v>0.0</v>
      </c>
      <c r="D95" s="58" t="n">
        <v>0.0</v>
      </c>
      <c r="E95" s="58">
        <f si="4" t="shared"/>
        <v>0</v>
      </c>
      <c r="F95" s="78">
        <f si="5" t="shared"/>
        <v>0</v>
      </c>
      <c r="G95">
        <v>84</v>
      </c>
      <c r="H95" s="68" t="n">
        <v>0.0</v>
      </c>
      <c r="I95" s="58" t="n">
        <v>0.0</v>
      </c>
      <c r="J95" s="58" t="n">
        <v>0.0</v>
      </c>
      <c r="K95" s="58">
        <f si="6" t="shared"/>
        <v>0</v>
      </c>
      <c r="L95" s="78">
        <f si="7" t="shared"/>
        <v>0</v>
      </c>
      <c r="W95" s="8"/>
    </row>
    <row r="96" spans="1:23" x14ac:dyDescent="0.25">
      <c r="A96">
        <v>85</v>
      </c>
      <c r="B96" s="58" t="n">
        <v>0.0</v>
      </c>
      <c r="C96" s="58" t="n">
        <v>0.0</v>
      </c>
      <c r="D96" s="58" t="n">
        <v>0.0</v>
      </c>
      <c r="E96" s="58">
        <f si="4" t="shared"/>
        <v>0</v>
      </c>
      <c r="F96" s="78">
        <f si="5" t="shared"/>
        <v>0</v>
      </c>
      <c r="G96">
        <v>85</v>
      </c>
      <c r="H96" s="68" t="n">
        <v>1.0</v>
      </c>
      <c r="I96" s="58" t="n">
        <v>0.0</v>
      </c>
      <c r="J96" s="58" t="n">
        <v>0.0</v>
      </c>
      <c r="K96" s="58">
        <f si="6" t="shared"/>
        <v>0</v>
      </c>
      <c r="L96" s="78">
        <f si="7" t="shared"/>
        <v>0</v>
      </c>
      <c r="W96" s="8"/>
    </row>
    <row r="97" spans="1:23" x14ac:dyDescent="0.25">
      <c r="A97">
        <v>86</v>
      </c>
      <c r="B97" s="58" t="n">
        <v>0.0</v>
      </c>
      <c r="C97" s="58" t="n">
        <v>0.0</v>
      </c>
      <c r="D97" s="58" t="n">
        <v>0.0</v>
      </c>
      <c r="E97" s="58">
        <f si="4" t="shared"/>
        <v>0</v>
      </c>
      <c r="F97" s="78">
        <f si="5" t="shared"/>
        <v>0</v>
      </c>
      <c r="G97">
        <v>86</v>
      </c>
      <c r="H97" s="68" t="n">
        <v>0.0</v>
      </c>
      <c r="I97" s="58" t="n">
        <v>0.0</v>
      </c>
      <c r="J97" s="58" t="n">
        <v>0.0</v>
      </c>
      <c r="K97" s="58">
        <f si="6" t="shared"/>
        <v>0</v>
      </c>
      <c r="L97" s="78">
        <f si="7" t="shared"/>
        <v>0</v>
      </c>
      <c r="W97" s="8"/>
    </row>
    <row r="98" spans="1:23" x14ac:dyDescent="0.25">
      <c r="A98">
        <v>87</v>
      </c>
      <c r="B98" s="58" t="n">
        <v>0.0</v>
      </c>
      <c r="C98" s="58" t="n">
        <v>0.0</v>
      </c>
      <c r="D98" s="58" t="n">
        <v>0.0</v>
      </c>
      <c r="E98" s="58">
        <f si="4" t="shared"/>
        <v>0</v>
      </c>
      <c r="F98" s="78">
        <f si="5" t="shared"/>
        <v>0</v>
      </c>
      <c r="G98">
        <v>87</v>
      </c>
      <c r="H98" s="68" t="n">
        <v>0.0</v>
      </c>
      <c r="I98" s="58" t="n">
        <v>1.0</v>
      </c>
      <c r="J98" s="58" t="n">
        <v>0.0</v>
      </c>
      <c r="K98" s="58">
        <f si="6" t="shared"/>
        <v>0</v>
      </c>
      <c r="L98" s="78">
        <f si="7" t="shared"/>
        <v>0</v>
      </c>
      <c r="W98" s="8"/>
    </row>
    <row r="99" spans="1:23" x14ac:dyDescent="0.25">
      <c r="A99">
        <v>88</v>
      </c>
      <c r="B99" s="58" t="n">
        <v>0.0</v>
      </c>
      <c r="C99" s="58" t="n">
        <v>0.0</v>
      </c>
      <c r="D99" s="58" t="n">
        <v>0.0</v>
      </c>
      <c r="E99" s="58">
        <f si="4" t="shared"/>
        <v>0</v>
      </c>
      <c r="F99" s="78">
        <f si="5" t="shared"/>
        <v>0</v>
      </c>
      <c r="G99">
        <v>88</v>
      </c>
      <c r="H99" s="68" t="n">
        <v>0.0</v>
      </c>
      <c r="I99" s="58" t="n">
        <v>0.0</v>
      </c>
      <c r="J99" s="58" t="n">
        <v>0.0</v>
      </c>
      <c r="K99" s="58">
        <f si="6" t="shared"/>
        <v>0</v>
      </c>
      <c r="L99" s="78">
        <f si="7" t="shared"/>
        <v>0</v>
      </c>
      <c r="W99" s="8"/>
    </row>
    <row r="100" spans="1:23" x14ac:dyDescent="0.25">
      <c r="A100">
        <v>89</v>
      </c>
      <c r="B100" s="58" t="n">
        <v>0.0</v>
      </c>
      <c r="C100" s="58" t="n">
        <v>0.0</v>
      </c>
      <c r="D100" s="58" t="n">
        <v>0.0</v>
      </c>
      <c r="E100" s="58">
        <f si="4" t="shared"/>
        <v>0</v>
      </c>
      <c r="F100" s="78">
        <f si="5" t="shared"/>
        <v>0</v>
      </c>
      <c r="G100">
        <v>89</v>
      </c>
      <c r="H100" s="68" t="n">
        <v>0.0</v>
      </c>
      <c r="I100" s="58" t="n">
        <v>0.0</v>
      </c>
      <c r="J100" s="58" t="n">
        <v>0.0</v>
      </c>
      <c r="K100" s="58">
        <f si="6" t="shared"/>
        <v>0</v>
      </c>
      <c r="L100" s="78">
        <f si="7" t="shared"/>
        <v>0</v>
      </c>
      <c r="W100" s="8"/>
    </row>
    <row ht="15.75" r="101" spans="1:23" thickBot="1" x14ac:dyDescent="0.3">
      <c r="A101" s="1">
        <v>90</v>
      </c>
      <c r="B101" s="59">
        <v>0</v>
      </c>
      <c r="C101" s="59">
        <v>0</v>
      </c>
      <c r="D101" s="59">
        <v>0</v>
      </c>
      <c r="E101" s="58">
        <f si="4" t="shared"/>
        <v>0</v>
      </c>
      <c r="F101" s="78">
        <f si="5" t="shared"/>
        <v>0</v>
      </c>
      <c r="G101" s="1">
        <v>90</v>
      </c>
      <c r="H101" s="6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  <c r="W101" s="9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01"/>
  <sheetViews>
    <sheetView workbookViewId="0">
      <selection activeCell="I100" sqref="I100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247</v>
      </c>
    </row>
    <row r="3" spans="1:23" x14ac:dyDescent="0.25">
      <c r="A3" t="s">
        <v>248</v>
      </c>
    </row>
    <row r="4" spans="1:23" x14ac:dyDescent="0.25">
      <c r="A4" t="s">
        <v>6</v>
      </c>
    </row>
    <row r="5" spans="1:23" x14ac:dyDescent="0.25">
      <c r="A5" t="s">
        <v>7</v>
      </c>
    </row>
    <row r="7" spans="1:23" x14ac:dyDescent="0.25">
      <c r="A7" t="s">
        <v>11</v>
      </c>
    </row>
    <row ht="15.75" r="9" spans="1:23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0" t="s">
        <v>40</v>
      </c>
      <c r="W9" s="8"/>
    </row>
    <row r="10" spans="1:23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21</v>
      </c>
      <c r="H10" s="5" t="s">
        <v>8</v>
      </c>
      <c r="I10" s="5" t="s">
        <v>9</v>
      </c>
      <c r="J10" s="5" t="s">
        <v>10</v>
      </c>
      <c r="K10" s="29" t="s">
        <v>253</v>
      </c>
      <c r="M10" s="2"/>
      <c r="N10" s="5" t="s">
        <v>203</v>
      </c>
      <c r="O10" s="29" t="s">
        <v>253</v>
      </c>
      <c r="W10" s="8"/>
    </row>
    <row r="11" spans="1:23" x14ac:dyDescent="0.25">
      <c r="A11">
        <v>0</v>
      </c>
      <c r="B11" s="58" t="n">
        <v>0.0</v>
      </c>
      <c r="C11" s="58" t="n">
        <v>0.0</v>
      </c>
      <c r="D11" s="58" t="n">
        <v>0.0</v>
      </c>
      <c r="E11" s="58">
        <f>SUM(B11:D11)</f>
        <v>0</v>
      </c>
      <c r="F11" s="78">
        <f>E11/SUM($E$11:$E$101)</f>
        <v>0</v>
      </c>
      <c r="G11">
        <v>0</v>
      </c>
      <c r="H11" s="68" t="n">
        <v>828.0</v>
      </c>
      <c r="I11" s="68" t="n">
        <v>176.0</v>
      </c>
      <c r="J11" s="68" t="n">
        <v>62.0</v>
      </c>
      <c r="K11" s="58">
        <f>SUM(H11:J11)</f>
        <v>1060</v>
      </c>
      <c r="L11" s="78">
        <f>K11/SUM($K$11:$K$101)</f>
        <v>1.2764317711092914E-3</v>
      </c>
      <c r="M11" t="s">
        <v>8</v>
      </c>
      <c r="N11" s="62" t="n">
        <v>27.55908551899072</v>
      </c>
      <c r="O11" s="62" t="n">
        <v>34.18311636706255</v>
      </c>
      <c r="W11" s="8"/>
    </row>
    <row r="12" spans="1:23" x14ac:dyDescent="0.25">
      <c r="A12">
        <v>1</v>
      </c>
      <c r="B12" s="58" t="n">
        <v>0.0</v>
      </c>
      <c r="C12" s="58" t="n">
        <v>0.0</v>
      </c>
      <c r="D12" s="58" t="n">
        <v>0.0</v>
      </c>
      <c r="E12" s="58">
        <f ref="E12:E75" si="0" t="shared">SUM(B12:D12)</f>
        <v>0</v>
      </c>
      <c r="F12" s="78">
        <f ref="F12:F75" si="1" t="shared">E12/SUM($E$11:$E$101)</f>
        <v>0</v>
      </c>
      <c r="G12">
        <v>1</v>
      </c>
      <c r="H12" s="68" t="n">
        <v>1554.0</v>
      </c>
      <c r="I12" s="68" t="n">
        <v>267.0</v>
      </c>
      <c r="J12" s="68" t="n">
        <v>132.0</v>
      </c>
      <c r="K12" s="58">
        <f ref="K12:K75" si="2" t="shared">SUM(H12:J12)</f>
        <v>2100</v>
      </c>
      <c r="L12" s="78">
        <f ref="L12:L75" si="3" t="shared">K12/SUM($K$11:$K$101)</f>
        <v>2.528779923895766E-3</v>
      </c>
      <c r="M12" t="s">
        <v>9</v>
      </c>
      <c r="N12" s="62" t="n">
        <v>20.805206736471437</v>
      </c>
      <c r="O12" s="62" t="n">
        <v>25.16187341146833</v>
      </c>
      <c r="W12" s="8"/>
    </row>
    <row r="13" spans="1:23" x14ac:dyDescent="0.25">
      <c r="A13">
        <v>2</v>
      </c>
      <c r="B13" s="58" t="n">
        <v>259.076069704765</v>
      </c>
      <c r="C13" s="58" t="n">
        <v>192.5236132204219</v>
      </c>
      <c r="D13" s="58" t="n">
        <v>0.0</v>
      </c>
      <c r="E13" s="58">
        <f si="0" t="shared"/>
        <v>451.59968292518693</v>
      </c>
      <c r="F13" s="78">
        <f si="1" t="shared"/>
        <v>5.7350324014607496E-4</v>
      </c>
      <c r="G13">
        <v>2</v>
      </c>
      <c r="H13" s="68" t="n">
        <v>2288.0</v>
      </c>
      <c r="I13" s="68" t="n">
        <v>393.0</v>
      </c>
      <c r="J13" s="68" t="n">
        <v>197.0</v>
      </c>
      <c r="K13" s="58">
        <f si="2" t="shared"/>
        <v>3060</v>
      </c>
      <c r="L13" s="78">
        <f si="3" t="shared"/>
        <v>3.6847936033909735E-3</v>
      </c>
      <c r="M13" s="6" t="s">
        <v>10</v>
      </c>
      <c r="N13" s="63" t="n">
        <v>18.446090494309765</v>
      </c>
      <c r="O13" s="63" t="n">
        <v>23.006652644290238</v>
      </c>
      <c r="W13" s="8"/>
    </row>
    <row ht="15.75" r="14" spans="1:23" thickBot="1" x14ac:dyDescent="0.3">
      <c r="A14">
        <v>3</v>
      </c>
      <c r="B14" s="58" t="n">
        <v>3587.5231774710173</v>
      </c>
      <c r="C14" s="58" t="n">
        <v>1875.5708597900214</v>
      </c>
      <c r="D14" s="58" t="n">
        <v>259.0558507433005</v>
      </c>
      <c r="E14" s="58">
        <f si="0" t="shared"/>
        <v>5722.1498880043391</v>
      </c>
      <c r="F14" s="78">
        <f si="1" t="shared"/>
        <v>7.2667710484545182E-3</v>
      </c>
      <c r="G14">
        <v>3</v>
      </c>
      <c r="H14" s="68" t="n">
        <v>4625.0</v>
      </c>
      <c r="I14" s="68" t="n">
        <v>731.0</v>
      </c>
      <c r="J14" s="68" t="n">
        <v>381.0</v>
      </c>
      <c r="K14" s="58">
        <f si="2" t="shared"/>
        <v>4980</v>
      </c>
      <c r="L14" s="78">
        <f si="3" t="shared"/>
        <v>5.9968209623813881E-3</v>
      </c>
      <c r="M14" s="1" t="s">
        <v>3</v>
      </c>
      <c r="N14" s="64" t="n">
        <v>26.616464285234194</v>
      </c>
      <c r="O14" s="64" t="n">
        <v>32.83531346597801</v>
      </c>
      <c r="W14" s="8"/>
    </row>
    <row r="15" spans="1:23" x14ac:dyDescent="0.25">
      <c r="A15">
        <v>4</v>
      </c>
      <c r="B15" s="58" t="n">
        <v>9556.620286830555</v>
      </c>
      <c r="C15" s="58" t="n">
        <v>1548.4915814761648</v>
      </c>
      <c r="D15" s="58" t="n">
        <v>266.0325220454964</v>
      </c>
      <c r="E15" s="58">
        <f si="0" t="shared"/>
        <v>11371.144390352216</v>
      </c>
      <c r="F15" s="78">
        <f si="1" t="shared"/>
        <v>1.4440639350750406E-2</v>
      </c>
      <c r="G15">
        <v>4</v>
      </c>
      <c r="H15" s="68" t="n">
        <v>7918.0</v>
      </c>
      <c r="I15" s="68" t="n">
        <v>1336.0</v>
      </c>
      <c r="J15" s="68" t="n">
        <v>717.0</v>
      </c>
      <c r="K15" s="58">
        <f si="2" t="shared"/>
        <v>9660</v>
      </c>
      <c r="L15" s="78">
        <f si="3" t="shared"/>
        <v>1.1632387649920525E-2</v>
      </c>
      <c r="W15" s="8"/>
    </row>
    <row r="16" spans="1:23" x14ac:dyDescent="0.25">
      <c r="A16">
        <v>5</v>
      </c>
      <c r="B16" s="58" t="n">
        <v>8828.29758655972</v>
      </c>
      <c r="C16" s="58" t="n">
        <v>3462.731994533099</v>
      </c>
      <c r="D16" s="58" t="n">
        <v>3268.0436112763696</v>
      </c>
      <c r="E16" s="58">
        <f si="0" t="shared"/>
        <v>15559.073192369187</v>
      </c>
      <c r="F16" s="78">
        <f si="1" t="shared"/>
        <v>1.9759045957904047E-2</v>
      </c>
      <c r="G16">
        <v>5</v>
      </c>
      <c r="H16" s="68" t="n">
        <v>9933.0</v>
      </c>
      <c r="I16" s="68" t="n">
        <v>1911.0</v>
      </c>
      <c r="J16" s="68" t="n">
        <v>955.0</v>
      </c>
      <c r="K16" s="58">
        <f si="2" t="shared"/>
        <v>13360</v>
      </c>
      <c r="L16" s="78">
        <f si="3" t="shared"/>
        <v>1.6087857039641634E-2</v>
      </c>
      <c r="W16" s="8"/>
    </row>
    <row r="17" spans="1:23" x14ac:dyDescent="0.25">
      <c r="A17">
        <v>6</v>
      </c>
      <c r="B17" s="58" t="n">
        <v>14829.719573916098</v>
      </c>
      <c r="C17" s="58" t="n">
        <v>3510.7291513319897</v>
      </c>
      <c r="D17" s="58" t="n">
        <v>758.6509857925794</v>
      </c>
      <c r="E17" s="58">
        <f si="0" t="shared"/>
        <v>19099.099711040668</v>
      </c>
      <c r="F17" s="78">
        <f si="1" t="shared"/>
        <v>2.4254657348750517E-2</v>
      </c>
      <c r="G17">
        <v>6</v>
      </c>
      <c r="H17" s="68" t="n">
        <v>12171.0</v>
      </c>
      <c r="I17" s="68" t="n">
        <v>2288.0</v>
      </c>
      <c r="J17" s="68" t="n">
        <v>1146.0</v>
      </c>
      <c r="K17" s="58">
        <f si="2" t="shared"/>
        <v>15300</v>
      </c>
      <c r="L17" s="78">
        <f si="3" t="shared"/>
        <v>1.8423968016954867E-2</v>
      </c>
      <c r="W17" s="8"/>
    </row>
    <row r="18" spans="1:23" x14ac:dyDescent="0.25">
      <c r="A18">
        <v>7</v>
      </c>
      <c r="B18" s="58" t="n">
        <v>16892.508429322632</v>
      </c>
      <c r="C18" s="58" t="n">
        <v>2808.058208532224</v>
      </c>
      <c r="D18" s="58" t="n">
        <v>665.6553418710263</v>
      </c>
      <c r="E18" s="58">
        <f si="0" t="shared"/>
        <v>20366.22197972588</v>
      </c>
      <c r="F18" s="78">
        <f si="1" t="shared"/>
        <v>2.5863823063936815E-2</v>
      </c>
      <c r="G18">
        <v>7</v>
      </c>
      <c r="H18" s="68" t="n">
        <v>12450.0</v>
      </c>
      <c r="I18" s="68" t="n">
        <v>2604.0</v>
      </c>
      <c r="J18" s="68" t="n">
        <v>1296.0</v>
      </c>
      <c r="K18" s="58">
        <f si="2" t="shared"/>
        <v>16000</v>
      </c>
      <c r="L18" s="78">
        <f si="3" t="shared"/>
        <v>1.9266894658253455E-2</v>
      </c>
      <c r="W18" s="8"/>
    </row>
    <row r="19" spans="1:23" x14ac:dyDescent="0.25">
      <c r="A19">
        <v>8</v>
      </c>
      <c r="B19" s="58" t="n">
        <v>20004.25923567614</v>
      </c>
      <c r="C19" s="58" t="n">
        <v>3070.946232151347</v>
      </c>
      <c r="D19" s="58" t="n">
        <v>917.6976948062509</v>
      </c>
      <c r="E19" s="58">
        <f si="0" t="shared"/>
        <v>23992.903162633738</v>
      </c>
      <c r="F19" s="78">
        <f si="1" t="shared"/>
        <v>3.0469480437082093E-2</v>
      </c>
      <c r="G19">
        <v>8</v>
      </c>
      <c r="H19" s="68" t="n">
        <v>12388.0</v>
      </c>
      <c r="I19" s="68" t="n">
        <v>2546.0</v>
      </c>
      <c r="J19" s="68" t="n">
        <v>1316.0</v>
      </c>
      <c r="K19" s="58">
        <f si="2" t="shared"/>
        <v>16140</v>
      </c>
      <c r="L19" s="78">
        <f si="3" t="shared"/>
        <v>1.9435479986513175E-2</v>
      </c>
      <c r="W19" s="8"/>
    </row>
    <row r="20" spans="1:23" x14ac:dyDescent="0.25">
      <c r="A20">
        <v>9</v>
      </c>
      <c r="B20" s="58" t="n">
        <v>17092.31221687833</v>
      </c>
      <c r="C20" s="58" t="n">
        <v>2052.3068567763244</v>
      </c>
      <c r="D20" s="58" t="n">
        <v>503.6444325983163</v>
      </c>
      <c r="E20" s="58">
        <f si="0" t="shared"/>
        <v>19648.263506252973</v>
      </c>
      <c r="F20" s="78">
        <f si="1" t="shared"/>
        <v>2.4952060885186009E-2</v>
      </c>
      <c r="G20">
        <v>9</v>
      </c>
      <c r="H20" s="68" t="n">
        <v>11832.0</v>
      </c>
      <c r="I20" s="68" t="n">
        <v>2711.0</v>
      </c>
      <c r="J20" s="68" t="n">
        <v>1279.0</v>
      </c>
      <c r="K20" s="58">
        <f si="2" t="shared"/>
        <v>15560</v>
      </c>
      <c r="L20" s="78">
        <f si="3" t="shared"/>
        <v>1.8737055055151487E-2</v>
      </c>
      <c r="W20" s="8"/>
    </row>
    <row r="21" spans="1:23" x14ac:dyDescent="0.25">
      <c r="A21">
        <v>10</v>
      </c>
      <c r="B21" s="58" t="n">
        <v>18509.225062427464</v>
      </c>
      <c r="C21" s="58" t="n">
        <v>3714.251809048418</v>
      </c>
      <c r="D21" s="58" t="n">
        <v>1568.2580786670278</v>
      </c>
      <c r="E21" s="58">
        <f si="0" t="shared"/>
        <v>23791.734950142913</v>
      </c>
      <c r="F21" s="78">
        <f si="1" t="shared"/>
        <v>3.0214009439116413E-2</v>
      </c>
      <c r="G21">
        <v>10</v>
      </c>
      <c r="H21" s="68" t="n">
        <v>11712.0</v>
      </c>
      <c r="I21" s="68" t="n">
        <v>2662.0</v>
      </c>
      <c r="J21" s="68" t="n">
        <v>1428.0</v>
      </c>
      <c r="K21" s="58">
        <f si="2" t="shared"/>
        <v>15260</v>
      </c>
      <c r="L21" s="78">
        <f si="3" t="shared"/>
        <v>1.8375800780309235E-2</v>
      </c>
      <c r="W21" s="8"/>
    </row>
    <row r="22" spans="1:23" x14ac:dyDescent="0.25">
      <c r="A22">
        <v>11</v>
      </c>
      <c r="B22" s="58" t="n">
        <v>21099.418060992306</v>
      </c>
      <c r="C22" s="58" t="n">
        <v>1643.195173462551</v>
      </c>
      <c r="D22" s="58" t="n">
        <v>2156.690703857396</v>
      </c>
      <c r="E22" s="58">
        <f si="0" t="shared"/>
        <v>24899.303938312252</v>
      </c>
      <c r="F22" s="78">
        <f si="1" t="shared"/>
        <v>3.1620552506830775E-2</v>
      </c>
      <c r="G22">
        <v>11</v>
      </c>
      <c r="H22" s="68" t="n">
        <v>12572.0</v>
      </c>
      <c r="I22" s="68" t="n">
        <v>2787.0</v>
      </c>
      <c r="J22" s="68" t="n">
        <v>1366.0</v>
      </c>
      <c r="K22" s="58">
        <f si="2" t="shared"/>
        <v>16120</v>
      </c>
      <c r="L22" s="78">
        <f si="3" t="shared"/>
        <v>1.9411396368190358E-2</v>
      </c>
      <c r="W22" s="8"/>
    </row>
    <row r="23" spans="1:23" x14ac:dyDescent="0.25">
      <c r="A23">
        <v>12</v>
      </c>
      <c r="B23" s="58" t="n">
        <v>18660.733079742466</v>
      </c>
      <c r="C23" s="58" t="n">
        <v>2260.171106088967</v>
      </c>
      <c r="D23" s="58" t="n">
        <v>2717.4871235498085</v>
      </c>
      <c r="E23" s="58">
        <f si="0" t="shared"/>
        <v>23638.391309381244</v>
      </c>
      <c r="F23" s="78">
        <f si="1" t="shared"/>
        <v>3.0019272644212194E-2</v>
      </c>
      <c r="G23">
        <v>12</v>
      </c>
      <c r="H23" s="68" t="n">
        <v>12342.0</v>
      </c>
      <c r="I23" s="68" t="n">
        <v>2645.0</v>
      </c>
      <c r="J23" s="68" t="n">
        <v>1374.0</v>
      </c>
      <c r="K23" s="58">
        <f si="2" t="shared"/>
        <v>16160</v>
      </c>
      <c r="L23" s="78">
        <f si="3" t="shared"/>
        <v>1.9459563604835989E-2</v>
      </c>
      <c r="W23" s="8"/>
    </row>
    <row r="24" spans="1:23" x14ac:dyDescent="0.25">
      <c r="A24">
        <v>13</v>
      </c>
      <c r="B24" s="58" t="n">
        <v>17605.173392634202</v>
      </c>
      <c r="C24" s="58" t="n">
        <v>2780.67488653694</v>
      </c>
      <c r="D24" s="58" t="n">
        <v>1294.7608855062929</v>
      </c>
      <c r="E24" s="58">
        <f si="0" t="shared"/>
        <v>21680.609164677437</v>
      </c>
      <c r="F24" s="78">
        <f si="1" t="shared"/>
        <v>2.7533012254889088E-2</v>
      </c>
      <c r="G24">
        <v>13</v>
      </c>
      <c r="H24" s="68" t="n">
        <v>12566.0</v>
      </c>
      <c r="I24" s="68" t="n">
        <v>2641.0</v>
      </c>
      <c r="J24" s="68" t="n">
        <v>1204.0</v>
      </c>
      <c r="K24" s="58">
        <f si="2" t="shared"/>
        <v>15900</v>
      </c>
      <c r="L24" s="78">
        <f si="3" t="shared"/>
        <v>1.9146476566639373E-2</v>
      </c>
      <c r="W24" s="8"/>
    </row>
    <row r="25" spans="1:23" x14ac:dyDescent="0.25">
      <c r="A25">
        <v>14</v>
      </c>
      <c r="B25" s="58" t="n">
        <v>14483.06078782486</v>
      </c>
      <c r="C25" s="58" t="n">
        <v>2610.8603777093967</v>
      </c>
      <c r="D25" s="58" t="n">
        <v>829.1969383646575</v>
      </c>
      <c r="E25" s="58">
        <f si="0" t="shared"/>
        <v>17923.118103898913</v>
      </c>
      <c r="F25" s="78">
        <f si="1" t="shared"/>
        <v>2.2761234550755079E-2</v>
      </c>
      <c r="G25">
        <v>14</v>
      </c>
      <c r="H25" s="68" t="n">
        <v>12700.0</v>
      </c>
      <c r="I25" s="68" t="n">
        <v>2497.0</v>
      </c>
      <c r="J25" s="68" t="n">
        <v>1174.0</v>
      </c>
      <c r="K25" s="58">
        <f si="2" t="shared"/>
        <v>16820</v>
      </c>
      <c r="L25" s="78">
        <f si="3" t="shared"/>
        <v>2.0254323009488946E-2</v>
      </c>
      <c r="W25" s="8"/>
    </row>
    <row r="26" spans="1:23" x14ac:dyDescent="0.25">
      <c r="A26">
        <v>15</v>
      </c>
      <c r="B26" s="58" t="n">
        <v>18060.12274364419</v>
      </c>
      <c r="C26" s="58" t="n">
        <v>1668.0301605259192</v>
      </c>
      <c r="D26" s="58" t="n">
        <v>1051.5697058548271</v>
      </c>
      <c r="E26" s="58">
        <f si="0" t="shared"/>
        <v>20779.722610024939</v>
      </c>
      <c r="F26" s="78">
        <f si="1" t="shared"/>
        <v>2.6388942899590553E-2</v>
      </c>
      <c r="G26">
        <v>15</v>
      </c>
      <c r="H26" s="68" t="n">
        <v>12990.0</v>
      </c>
      <c r="I26" s="68" t="n">
        <v>2384.0</v>
      </c>
      <c r="J26" s="68" t="n">
        <v>1195.0</v>
      </c>
      <c r="K26" s="58">
        <f si="2" t="shared"/>
        <v>17960</v>
      </c>
      <c r="L26" s="78">
        <f si="3" t="shared"/>
        <v>2.1627089253889505E-2</v>
      </c>
      <c r="W26" s="8"/>
    </row>
    <row r="27" spans="1:23" x14ac:dyDescent="0.25">
      <c r="A27">
        <v>16</v>
      </c>
      <c r="B27" s="58" t="n">
        <v>22125.617884251827</v>
      </c>
      <c r="C27" s="58" t="n">
        <v>3576.011599370277</v>
      </c>
      <c r="D27" s="58" t="n">
        <v>355.30154926081474</v>
      </c>
      <c r="E27" s="58">
        <f si="0" t="shared"/>
        <v>26056.93103288292</v>
      </c>
      <c r="F27" s="78">
        <f si="1" t="shared"/>
        <v>3.3090666226390557E-2</v>
      </c>
      <c r="G27">
        <v>16</v>
      </c>
      <c r="H27" s="68" t="n">
        <v>13733.0</v>
      </c>
      <c r="I27" s="68" t="n">
        <v>2357.0</v>
      </c>
      <c r="J27" s="68" t="n">
        <v>1051.0</v>
      </c>
      <c r="K27" s="58">
        <f si="2" t="shared"/>
        <v>16840</v>
      </c>
      <c r="L27" s="78">
        <f si="3" t="shared"/>
        <v>2.0278406627811763E-2</v>
      </c>
      <c r="W27" s="8"/>
    </row>
    <row r="28" spans="1:23" x14ac:dyDescent="0.25">
      <c r="A28">
        <v>17</v>
      </c>
      <c r="B28" s="58" t="n">
        <v>22733.062097481023</v>
      </c>
      <c r="C28" s="58" t="n">
        <v>1673.7712056008568</v>
      </c>
      <c r="D28" s="58" t="n">
        <v>476.71483745248696</v>
      </c>
      <c r="E28" s="58">
        <f si="0" t="shared"/>
        <v>24883.548140534367</v>
      </c>
      <c r="F28" s="78">
        <f si="1" t="shared"/>
        <v>3.1600543633002139E-2</v>
      </c>
      <c r="G28">
        <v>17</v>
      </c>
      <c r="H28" s="68" t="n">
        <v>13241.0</v>
      </c>
      <c r="I28" s="68" t="n">
        <v>2201.0</v>
      </c>
      <c r="J28" s="68" t="n">
        <v>934.0</v>
      </c>
      <c r="K28" s="58">
        <f si="2" t="shared"/>
        <v>15980</v>
      </c>
      <c r="L28" s="78">
        <f si="3" t="shared"/>
        <v>1.9242811039930641E-2</v>
      </c>
      <c r="W28" s="8"/>
    </row>
    <row r="29" spans="1:23" x14ac:dyDescent="0.25">
      <c r="A29">
        <v>18</v>
      </c>
      <c r="B29" s="58" t="n">
        <v>17650.653948051287</v>
      </c>
      <c r="C29" s="58" t="n">
        <v>2860.6181925424535</v>
      </c>
      <c r="D29" s="58" t="n">
        <v>1674.978088354543</v>
      </c>
      <c r="E29" s="58">
        <f si="0" t="shared"/>
        <v>22186.250228948284</v>
      </c>
      <c r="F29" s="78">
        <f si="1" t="shared"/>
        <v>2.8175144655939247E-2</v>
      </c>
      <c r="G29">
        <v>18</v>
      </c>
      <c r="H29" s="68" t="n">
        <v>13821.0</v>
      </c>
      <c r="I29" s="68" t="n">
        <v>2173.0</v>
      </c>
      <c r="J29" s="68" t="n">
        <v>931.0</v>
      </c>
      <c r="K29" s="58">
        <f si="2" t="shared"/>
        <v>17520</v>
      </c>
      <c r="L29" s="78">
        <f si="3" t="shared"/>
        <v>2.1097249650787533E-2</v>
      </c>
      <c r="W29" s="8"/>
    </row>
    <row r="30" spans="1:23" x14ac:dyDescent="0.25">
      <c r="A30">
        <v>19</v>
      </c>
      <c r="B30" s="58" t="n">
        <v>18820.08411904054</v>
      </c>
      <c r="C30" s="58" t="n">
        <v>2115.677801170846</v>
      </c>
      <c r="D30" s="58" t="n">
        <v>75.9799478739255</v>
      </c>
      <c r="E30" s="58">
        <f si="0" t="shared"/>
        <v>21011.741868085312</v>
      </c>
      <c r="F30" s="78">
        <f si="1" t="shared"/>
        <v>2.6683592788208733E-2</v>
      </c>
      <c r="G30">
        <v>19</v>
      </c>
      <c r="H30" s="68" t="n">
        <v>13714.0</v>
      </c>
      <c r="I30" s="68" t="n">
        <v>2023.0</v>
      </c>
      <c r="J30" s="68" t="n">
        <v>969.0</v>
      </c>
      <c r="K30" s="58">
        <f si="2" t="shared"/>
        <v>16160</v>
      </c>
      <c r="L30" s="78">
        <f si="3" t="shared"/>
        <v>1.9459563604835989E-2</v>
      </c>
      <c r="W30" s="8"/>
    </row>
    <row r="31" spans="1:23" x14ac:dyDescent="0.25">
      <c r="A31">
        <v>20</v>
      </c>
      <c r="B31" s="58" t="n">
        <v>21203.094632096512</v>
      </c>
      <c r="C31" s="58" t="n">
        <v>746.2984749875735</v>
      </c>
      <c r="D31" s="58" t="n">
        <v>876.0724617752252</v>
      </c>
      <c r="E31" s="58">
        <f si="0" t="shared"/>
        <v>22825.465568859308</v>
      </c>
      <c r="F31" s="78">
        <f si="1" t="shared"/>
        <v>2.8986907999561384E-2</v>
      </c>
      <c r="G31">
        <v>20</v>
      </c>
      <c r="H31" s="68" t="n">
        <v>13831.0</v>
      </c>
      <c r="I31" s="68" t="n">
        <v>2011.0</v>
      </c>
      <c r="J31" s="68" t="n">
        <v>823.0</v>
      </c>
      <c r="K31" s="58">
        <f si="2" t="shared"/>
        <v>16000</v>
      </c>
      <c r="L31" s="78">
        <f si="3" t="shared"/>
        <v>1.9266894658253455E-2</v>
      </c>
      <c r="W31" s="8"/>
    </row>
    <row r="32" spans="1:23" x14ac:dyDescent="0.25">
      <c r="A32">
        <v>21</v>
      </c>
      <c r="B32" s="58" t="n">
        <v>15022.472932419669</v>
      </c>
      <c r="C32" s="58" t="n">
        <v>1662.4267674758353</v>
      </c>
      <c r="D32" s="58" t="n">
        <v>241.7192267201432</v>
      </c>
      <c r="E32" s="58">
        <f si="0" t="shared"/>
        <v>16926.618926615647</v>
      </c>
      <c r="F32" s="78">
        <f si="1" t="shared"/>
        <v>2.1495743168491361E-2</v>
      </c>
      <c r="G32">
        <v>21</v>
      </c>
      <c r="H32" s="68" t="n">
        <v>14303.0</v>
      </c>
      <c r="I32" s="68" t="n">
        <v>2025.0</v>
      </c>
      <c r="J32" s="68" t="n">
        <v>814.0</v>
      </c>
      <c r="K32" s="58">
        <f si="2" t="shared"/>
        <v>16920</v>
      </c>
      <c r="L32" s="78">
        <f si="3" t="shared"/>
        <v>2.037474110110303E-2</v>
      </c>
      <c r="W32" s="8"/>
    </row>
    <row r="33" spans="1:23" x14ac:dyDescent="0.25">
      <c r="A33">
        <v>22</v>
      </c>
      <c r="B33" s="58" t="n">
        <v>14854.13394729692</v>
      </c>
      <c r="C33" s="58" t="n">
        <v>3525.0329145211876</v>
      </c>
      <c r="D33" s="58" t="n">
        <v>640.4574385622058</v>
      </c>
      <c r="E33" s="58">
        <f si="0" t="shared"/>
        <v>19019.624300380314</v>
      </c>
      <c r="F33" s="78">
        <f si="1" t="shared"/>
        <v>2.4153728567688455E-2</v>
      </c>
      <c r="G33">
        <v>22</v>
      </c>
      <c r="H33" s="68" t="n">
        <v>14440.0</v>
      </c>
      <c r="I33" s="68" t="n">
        <v>1866.0</v>
      </c>
      <c r="J33" s="68" t="n">
        <v>752.0</v>
      </c>
      <c r="K33" s="58">
        <f si="2" t="shared"/>
        <v>16940</v>
      </c>
      <c r="L33" s="78">
        <f si="3" t="shared"/>
        <v>2.0398824719425848E-2</v>
      </c>
      <c r="W33" s="8"/>
    </row>
    <row r="34" spans="1:23" x14ac:dyDescent="0.25">
      <c r="A34">
        <v>23</v>
      </c>
      <c r="B34" s="58" t="n">
        <v>13824.51262907837</v>
      </c>
      <c r="C34" s="58" t="n">
        <v>930.1954393902977</v>
      </c>
      <c r="D34" s="58" t="n">
        <v>52.6330389042402</v>
      </c>
      <c r="E34" s="58">
        <f si="0" t="shared"/>
        <v>14807.341107372908</v>
      </c>
      <c r="F34" s="78">
        <f si="1" t="shared"/>
        <v>1.8804393413255224E-2</v>
      </c>
      <c r="G34">
        <v>23</v>
      </c>
      <c r="H34" s="68" t="n">
        <v>14398.0</v>
      </c>
      <c r="I34" s="68" t="n">
        <v>1717.0</v>
      </c>
      <c r="J34" s="68" t="n">
        <v>651.0</v>
      </c>
      <c r="K34" s="58">
        <f si="2" t="shared"/>
        <v>16980</v>
      </c>
      <c r="L34" s="78">
        <f si="3" t="shared"/>
        <v>2.044699195607148E-2</v>
      </c>
      <c r="W34" s="8"/>
    </row>
    <row r="35" spans="1:23" x14ac:dyDescent="0.25">
      <c r="A35">
        <v>24</v>
      </c>
      <c r="B35" s="58" t="n">
        <v>15908.040994905423</v>
      </c>
      <c r="C35" s="58" t="n">
        <v>701.766530253086</v>
      </c>
      <c r="D35" s="58" t="n">
        <v>589.9553913435043</v>
      </c>
      <c r="E35" s="58">
        <f si="0" t="shared"/>
        <v>17199.762916502015</v>
      </c>
      <c r="F35" s="78">
        <f si="1" t="shared"/>
        <v>2.1842618884195107E-2</v>
      </c>
      <c r="G35">
        <v>24</v>
      </c>
      <c r="H35" s="68" t="n">
        <v>14391.0</v>
      </c>
      <c r="I35" s="68" t="n">
        <v>1672.0</v>
      </c>
      <c r="J35" s="68" t="n">
        <v>653.0</v>
      </c>
      <c r="K35" s="58">
        <f si="2" t="shared"/>
        <v>16860</v>
      </c>
      <c r="L35" s="78">
        <f si="3" t="shared"/>
        <v>2.0302490246134581E-2</v>
      </c>
      <c r="W35" s="8"/>
    </row>
    <row r="36" spans="1:23" x14ac:dyDescent="0.25">
      <c r="A36">
        <v>25</v>
      </c>
      <c r="B36" s="58" t="n">
        <v>17295.94058970407</v>
      </c>
      <c r="C36" s="58" t="n">
        <v>2065.953118239083</v>
      </c>
      <c r="D36" s="58" t="n">
        <v>0.0</v>
      </c>
      <c r="E36" s="58">
        <f si="0" t="shared"/>
        <v>19361.893707943153</v>
      </c>
      <c r="F36" s="78">
        <f si="1" t="shared"/>
        <v>2.458838922326886E-2</v>
      </c>
      <c r="G36">
        <v>25</v>
      </c>
      <c r="H36" s="68" t="n">
        <v>14824.0</v>
      </c>
      <c r="I36" s="68" t="n">
        <v>1671.0</v>
      </c>
      <c r="J36" s="68" t="n">
        <v>626.0</v>
      </c>
      <c r="K36" s="58">
        <f si="2" t="shared"/>
        <v>17160</v>
      </c>
      <c r="L36" s="78">
        <f si="3" t="shared"/>
        <v>2.0663744520976832E-2</v>
      </c>
      <c r="W36" s="8"/>
    </row>
    <row r="37" spans="1:23" x14ac:dyDescent="0.25">
      <c r="A37">
        <v>26</v>
      </c>
      <c r="B37" s="58" t="n">
        <v>16705.65895425733</v>
      </c>
      <c r="C37" s="58" t="n">
        <v>659.165395436749</v>
      </c>
      <c r="D37" s="58" t="n">
        <v>0.0</v>
      </c>
      <c r="E37" s="58">
        <f si="0" t="shared"/>
        <v>17364.824349694081</v>
      </c>
      <c r="F37" s="78">
        <f si="1" t="shared"/>
        <v>2.2052236539693962E-2</v>
      </c>
      <c r="G37">
        <v>26</v>
      </c>
      <c r="H37" s="68" t="n">
        <v>14329.0</v>
      </c>
      <c r="I37" s="68" t="n">
        <v>1494.0</v>
      </c>
      <c r="J37" s="68" t="n">
        <v>575.0</v>
      </c>
      <c r="K37" s="58">
        <f si="2" t="shared"/>
        <v>16440</v>
      </c>
      <c r="L37" s="78">
        <f si="3" t="shared"/>
        <v>1.9796734261355427E-2</v>
      </c>
      <c r="W37" s="8"/>
    </row>
    <row r="38" spans="1:23" x14ac:dyDescent="0.25">
      <c r="A38">
        <v>27</v>
      </c>
      <c r="B38" s="58" t="n">
        <v>13399.20650872181</v>
      </c>
      <c r="C38" s="58" t="n">
        <v>1501.1909476973806</v>
      </c>
      <c r="D38" s="58" t="n">
        <v>95.82540550867</v>
      </c>
      <c r="E38" s="58">
        <f si="0" t="shared"/>
        <v>14996.222861927863</v>
      </c>
      <c r="F38" s="78">
        <f si="1" t="shared"/>
        <v>1.9044261381142367E-2</v>
      </c>
      <c r="G38">
        <v>27</v>
      </c>
      <c r="H38" s="68" t="n">
        <v>14306.0</v>
      </c>
      <c r="I38" s="68" t="n">
        <v>1536.0</v>
      </c>
      <c r="J38" s="68" t="n">
        <v>558.0</v>
      </c>
      <c r="K38" s="58">
        <f si="2" t="shared"/>
        <v>16100</v>
      </c>
      <c r="L38" s="78">
        <f si="3" t="shared"/>
        <v>1.938731274986754E-2</v>
      </c>
      <c r="W38" s="8"/>
    </row>
    <row r="39" spans="1:23" x14ac:dyDescent="0.25">
      <c r="A39">
        <v>28</v>
      </c>
      <c r="B39" s="58" t="n">
        <v>11476.850538128316</v>
      </c>
      <c r="C39" s="58" t="n">
        <v>388.5011820572371</v>
      </c>
      <c r="D39" s="58" t="n">
        <v>299.78377127644376</v>
      </c>
      <c r="E39" s="58">
        <f si="0" t="shared"/>
        <v>12165.135491461995</v>
      </c>
      <c r="F39" s="78">
        <f si="1" t="shared"/>
        <v>1.5448958192305136E-2</v>
      </c>
      <c r="G39">
        <v>28</v>
      </c>
      <c r="H39" s="68" t="n">
        <v>14376.0</v>
      </c>
      <c r="I39" s="68" t="n">
        <v>1431.0</v>
      </c>
      <c r="J39" s="68" t="n">
        <v>547.0</v>
      </c>
      <c r="K39" s="58">
        <f si="2" t="shared"/>
        <v>15680</v>
      </c>
      <c r="L39" s="78">
        <f si="3" t="shared"/>
        <v>1.8881556765088386E-2</v>
      </c>
      <c r="W39" s="8"/>
    </row>
    <row r="40" spans="1:23" x14ac:dyDescent="0.25">
      <c r="A40">
        <v>29</v>
      </c>
      <c r="B40" s="58" t="n">
        <v>13544.561026734946</v>
      </c>
      <c r="C40" s="58" t="n">
        <v>132.969287301055</v>
      </c>
      <c r="D40" s="58" t="n">
        <v>1776.0164963440207</v>
      </c>
      <c r="E40" s="58">
        <f si="0" t="shared"/>
        <v>15453.546810380021</v>
      </c>
      <c r="F40" s="78">
        <f si="1" t="shared"/>
        <v>1.9625034079065538E-2</v>
      </c>
      <c r="G40">
        <v>29</v>
      </c>
      <c r="H40" s="68" t="n">
        <v>13970.0</v>
      </c>
      <c r="I40" s="68" t="n">
        <v>1377.0</v>
      </c>
      <c r="J40" s="68" t="n">
        <v>520.0</v>
      </c>
      <c r="K40" s="58">
        <f si="2" t="shared"/>
        <v>15940</v>
      </c>
      <c r="L40" s="78">
        <f si="3" t="shared"/>
        <v>1.9194643803285005E-2</v>
      </c>
      <c r="W40" s="8"/>
    </row>
    <row r="41" spans="1:23" x14ac:dyDescent="0.25">
      <c r="A41">
        <v>30</v>
      </c>
      <c r="B41" s="58" t="n">
        <v>13267.370552634924</v>
      </c>
      <c r="C41" s="58" t="n">
        <v>2982.7712543526254</v>
      </c>
      <c r="D41" s="58" t="n">
        <v>61.4237942106076</v>
      </c>
      <c r="E41" s="58">
        <f si="0" t="shared"/>
        <v>16311.565601198157</v>
      </c>
      <c r="F41" s="78">
        <f si="1" t="shared"/>
        <v>2.0714664066077589E-2</v>
      </c>
      <c r="G41">
        <v>30</v>
      </c>
      <c r="H41" s="68" t="n">
        <v>14547.0</v>
      </c>
      <c r="I41" s="68" t="n">
        <v>1368.0</v>
      </c>
      <c r="J41" s="68" t="n">
        <v>483.0</v>
      </c>
      <c r="K41" s="58">
        <f si="2" t="shared"/>
        <v>16580</v>
      </c>
      <c r="L41" s="78">
        <f si="3" t="shared"/>
        <v>1.9965319589615144E-2</v>
      </c>
      <c r="W41" s="8"/>
    </row>
    <row r="42" spans="1:23" x14ac:dyDescent="0.25">
      <c r="A42">
        <v>31</v>
      </c>
      <c r="B42" s="58" t="n">
        <v>14520.840913537728</v>
      </c>
      <c r="C42" s="58" t="n">
        <v>1018.644762337027</v>
      </c>
      <c r="D42" s="58" t="n">
        <v>46.6393527108106</v>
      </c>
      <c r="E42" s="58">
        <f si="0" t="shared"/>
        <v>15586.125028585566</v>
      </c>
      <c r="F42" s="78">
        <f si="1" t="shared"/>
        <v>1.9793400091240681E-2</v>
      </c>
      <c r="G42">
        <v>31</v>
      </c>
      <c r="H42" s="68" t="n">
        <v>13286.0</v>
      </c>
      <c r="I42" s="68" t="n">
        <v>1170.0</v>
      </c>
      <c r="J42" s="68" t="n">
        <v>415.0</v>
      </c>
      <c r="K42" s="58">
        <f si="2" t="shared"/>
        <v>14540</v>
      </c>
      <c r="L42" s="78">
        <f si="3" t="shared"/>
        <v>1.7508790520687829E-2</v>
      </c>
      <c r="W42" s="8"/>
    </row>
    <row r="43" spans="1:23" x14ac:dyDescent="0.25">
      <c r="A43">
        <v>32</v>
      </c>
      <c r="B43" s="58" t="n">
        <v>7045.201981102786</v>
      </c>
      <c r="C43" s="58" t="n">
        <v>636.5051240771431</v>
      </c>
      <c r="D43" s="58" t="n">
        <v>287.346245710017</v>
      </c>
      <c r="E43" s="58">
        <f si="0" t="shared"/>
        <v>7969.0533508899452</v>
      </c>
      <c r="F43" s="78">
        <f si="1" t="shared"/>
        <v>1.0120197357156788E-2</v>
      </c>
      <c r="G43">
        <v>32</v>
      </c>
      <c r="H43" s="68" t="n">
        <v>12969.0</v>
      </c>
      <c r="I43" s="68" t="n">
        <v>1162.0</v>
      </c>
      <c r="J43" s="68" t="n">
        <v>451.0</v>
      </c>
      <c r="K43" s="58">
        <f si="2" t="shared"/>
        <v>14520</v>
      </c>
      <c r="L43" s="78">
        <f si="3" t="shared"/>
        <v>1.7484706902365012E-2</v>
      </c>
      <c r="W43" s="8"/>
    </row>
    <row r="44" spans="1:23" x14ac:dyDescent="0.25">
      <c r="A44">
        <v>33</v>
      </c>
      <c r="B44" s="58" t="n">
        <v>15596.410783750633</v>
      </c>
      <c r="C44" s="58" t="n">
        <v>437.4736007357447</v>
      </c>
      <c r="D44" s="58" t="n">
        <v>261.6209082740114</v>
      </c>
      <c r="E44" s="58">
        <f si="0" t="shared"/>
        <v>16295.505292760388</v>
      </c>
      <c r="F44" s="78">
        <f si="1" t="shared"/>
        <v>2.069426848283195E-2</v>
      </c>
      <c r="G44">
        <v>33</v>
      </c>
      <c r="H44" s="68" t="n">
        <v>13195.0</v>
      </c>
      <c r="I44" s="68" t="n">
        <v>1125.0</v>
      </c>
      <c r="J44" s="68" t="n">
        <v>413.0</v>
      </c>
      <c r="K44" s="58">
        <f si="2" t="shared"/>
        <v>13720</v>
      </c>
      <c r="L44" s="78">
        <f si="3" t="shared"/>
        <v>1.6521362169452339E-2</v>
      </c>
      <c r="W44" s="8"/>
    </row>
    <row r="45" spans="1:23" x14ac:dyDescent="0.25">
      <c r="A45">
        <v>34</v>
      </c>
      <c r="B45" s="58" t="n">
        <v>10131.657931478685</v>
      </c>
      <c r="C45" s="58" t="n">
        <v>924.2471077764717</v>
      </c>
      <c r="D45" s="58" t="n">
        <v>0.0</v>
      </c>
      <c r="E45" s="58">
        <f si="0" t="shared"/>
        <v>11055.905039255156</v>
      </c>
      <c r="F45" s="78">
        <f si="1" t="shared"/>
        <v>1.4040305169590983E-2</v>
      </c>
      <c r="G45">
        <v>34</v>
      </c>
      <c r="H45" s="68" t="n">
        <v>12848.0</v>
      </c>
      <c r="I45" s="68" t="n">
        <v>1101.0</v>
      </c>
      <c r="J45" s="68" t="n">
        <v>399.0</v>
      </c>
      <c r="K45" s="58">
        <f si="2" t="shared"/>
        <v>14320</v>
      </c>
      <c r="L45" s="78">
        <f si="3" t="shared"/>
        <v>1.7243870719136842E-2</v>
      </c>
      <c r="W45" s="8"/>
    </row>
    <row r="46" spans="1:23" x14ac:dyDescent="0.25">
      <c r="A46">
        <v>35</v>
      </c>
      <c r="B46" s="58" t="n">
        <v>7104.531500300886</v>
      </c>
      <c r="C46" s="58" t="n">
        <v>112.87719566182119</v>
      </c>
      <c r="D46" s="58" t="n">
        <v>0.0</v>
      </c>
      <c r="E46" s="58">
        <f si="0" t="shared"/>
        <v>7217.4086959627075</v>
      </c>
      <c r="F46" s="78">
        <f si="1" t="shared"/>
        <v>9.1656558432056771E-3</v>
      </c>
      <c r="G46">
        <v>35</v>
      </c>
      <c r="H46" s="68" t="n">
        <v>12476.0</v>
      </c>
      <c r="I46" s="68" t="n">
        <v>1104.0</v>
      </c>
      <c r="J46" s="68" t="n">
        <v>408.0</v>
      </c>
      <c r="K46" s="58">
        <f si="2" t="shared"/>
        <v>14360</v>
      </c>
      <c r="L46" s="78">
        <f si="3" t="shared"/>
        <v>1.7292037955782477E-2</v>
      </c>
      <c r="W46" s="8"/>
    </row>
    <row r="47" spans="1:23" x14ac:dyDescent="0.25">
      <c r="A47">
        <v>36</v>
      </c>
      <c r="B47" s="58" t="n">
        <v>8814.422710448653</v>
      </c>
      <c r="C47" s="58" t="n">
        <v>586.1075694360492</v>
      </c>
      <c r="D47" s="58" t="n">
        <v>0.0</v>
      </c>
      <c r="E47" s="58">
        <f si="0" t="shared"/>
        <v>9400.5302798847024</v>
      </c>
      <c r="F47" s="78">
        <f si="1" t="shared"/>
        <v>1.1938083170661329E-2</v>
      </c>
      <c r="G47">
        <v>36</v>
      </c>
      <c r="H47" s="68" t="n">
        <v>11867.0</v>
      </c>
      <c r="I47" s="68" t="n">
        <v>1013.0</v>
      </c>
      <c r="J47" s="68" t="n">
        <v>356.0</v>
      </c>
      <c r="K47" s="58">
        <f si="2" t="shared"/>
        <v>12940</v>
      </c>
      <c r="L47" s="78">
        <f si="3" t="shared"/>
        <v>1.5582101054862482E-2</v>
      </c>
      <c r="W47" s="8"/>
    </row>
    <row r="48" spans="1:23" x14ac:dyDescent="0.25">
      <c r="A48">
        <v>37</v>
      </c>
      <c r="B48" s="58" t="n">
        <v>8999.810846731649</v>
      </c>
      <c r="C48" s="58" t="n">
        <v>965.9101098535216</v>
      </c>
      <c r="D48" s="58" t="n">
        <v>68.3886338475901</v>
      </c>
      <c r="E48" s="58">
        <f si="0" t="shared"/>
        <v>10034.109590432759</v>
      </c>
      <c r="F48" s="78">
        <f si="1" t="shared"/>
        <v>1.2742689110894068E-2</v>
      </c>
      <c r="G48">
        <v>37</v>
      </c>
      <c r="H48" s="68" t="n">
        <v>11485.0</v>
      </c>
      <c r="I48" s="68" t="n">
        <v>887.0</v>
      </c>
      <c r="J48" s="68" t="n">
        <v>380.0</v>
      </c>
      <c r="K48" s="58">
        <f si="2" t="shared"/>
        <v>12720</v>
      </c>
      <c r="L48" s="78">
        <f si="3" t="shared"/>
        <v>1.5317181253311498E-2</v>
      </c>
      <c r="W48" s="8"/>
    </row>
    <row r="49" spans="1:23" x14ac:dyDescent="0.25">
      <c r="A49">
        <v>38</v>
      </c>
      <c r="B49" s="58" t="n">
        <v>8061.692376019037</v>
      </c>
      <c r="C49" s="58" t="n">
        <v>912.2792277342289</v>
      </c>
      <c r="D49" s="58" t="n">
        <v>381.1833791580029</v>
      </c>
      <c r="E49" s="58">
        <f si="0" t="shared"/>
        <v>9355.1549829112682</v>
      </c>
      <c r="F49" s="78">
        <f si="1" t="shared"/>
        <v>1.188045939274303E-2</v>
      </c>
      <c r="G49">
        <v>38</v>
      </c>
      <c r="H49" s="68" t="n">
        <v>10853.0</v>
      </c>
      <c r="I49" s="68" t="n">
        <v>764.0</v>
      </c>
      <c r="J49" s="68" t="n">
        <v>273.0</v>
      </c>
      <c r="K49" s="58">
        <f si="2" t="shared"/>
        <v>12640</v>
      </c>
      <c r="L49" s="78">
        <f si="3" t="shared"/>
        <v>1.522084678002023E-2</v>
      </c>
      <c r="W49" s="8"/>
    </row>
    <row r="50" spans="1:23" x14ac:dyDescent="0.25">
      <c r="A50">
        <v>39</v>
      </c>
      <c r="B50" s="58" t="n">
        <v>12120.367165529711</v>
      </c>
      <c r="C50" s="58" t="n">
        <v>988.0404752209577</v>
      </c>
      <c r="D50" s="58" t="n">
        <v>0.0</v>
      </c>
      <c r="E50" s="58">
        <f si="0" t="shared"/>
        <v>13108.407640750669</v>
      </c>
      <c r="F50" s="78">
        <f si="1" t="shared"/>
        <v>1.6646854591285169E-2</v>
      </c>
      <c r="G50">
        <v>39</v>
      </c>
      <c r="H50" s="68" t="n">
        <v>10816.0</v>
      </c>
      <c r="I50" s="68" t="n">
        <v>817.0</v>
      </c>
      <c r="J50" s="68" t="n">
        <v>300.0</v>
      </c>
      <c r="K50" s="58">
        <f si="2" t="shared"/>
        <v>11460</v>
      </c>
      <c r="L50" s="78">
        <f si="3" t="shared"/>
        <v>1.3799913298974039E-2</v>
      </c>
      <c r="W50" s="8"/>
    </row>
    <row r="51" spans="1:23" x14ac:dyDescent="0.25">
      <c r="A51">
        <v>40</v>
      </c>
      <c r="B51" s="58" t="n">
        <v>8407.021396037535</v>
      </c>
      <c r="C51" s="58" t="n">
        <v>472.8546791128959</v>
      </c>
      <c r="D51" s="58" t="n">
        <v>230.539429816696</v>
      </c>
      <c r="E51" s="58">
        <f si="0" t="shared"/>
        <v>9110.4155049671263</v>
      </c>
      <c r="F51" s="78">
        <f si="1" t="shared"/>
        <v>1.1569655623609568E-2</v>
      </c>
      <c r="G51">
        <v>40</v>
      </c>
      <c r="H51" s="68" t="n">
        <v>10545.0</v>
      </c>
      <c r="I51" s="68" t="n">
        <v>805.0</v>
      </c>
      <c r="J51" s="68" t="n">
        <v>332.0</v>
      </c>
      <c r="K51" s="58">
        <f si="2" t="shared"/>
        <v>11120</v>
      </c>
      <c r="L51" s="78">
        <f si="3" t="shared"/>
        <v>1.3390491787486152E-2</v>
      </c>
      <c r="W51" s="8"/>
    </row>
    <row r="52" spans="1:23" x14ac:dyDescent="0.25">
      <c r="A52">
        <v>41</v>
      </c>
      <c r="B52" s="58" t="n">
        <v>11049.95503437174</v>
      </c>
      <c r="C52" s="58" t="n">
        <v>281.7221754898321</v>
      </c>
      <c r="D52" s="58" t="n">
        <v>62.5172364074843</v>
      </c>
      <c r="E52" s="58">
        <f si="0" t="shared"/>
        <v>11394.194446269057</v>
      </c>
      <c r="F52" s="78">
        <f si="1" t="shared"/>
        <v>1.4469911474389268E-2</v>
      </c>
      <c r="G52">
        <v>41</v>
      </c>
      <c r="H52" s="68" t="n">
        <v>10277.0</v>
      </c>
      <c r="I52" s="68" t="n">
        <v>757.0</v>
      </c>
      <c r="J52" s="68" t="n">
        <v>311.0</v>
      </c>
      <c r="K52" s="58">
        <f si="2" t="shared"/>
        <v>11000</v>
      </c>
      <c r="L52" s="78">
        <f si="3" t="shared"/>
        <v>1.3245990077549251E-2</v>
      </c>
      <c r="W52" s="8"/>
    </row>
    <row r="53" spans="1:23" x14ac:dyDescent="0.25">
      <c r="A53">
        <v>42</v>
      </c>
      <c r="B53" s="58" t="n">
        <v>8730.139034830228</v>
      </c>
      <c r="C53" s="58" t="n">
        <v>621.5118063867347</v>
      </c>
      <c r="D53" s="58" t="n">
        <v>357.390423191117</v>
      </c>
      <c r="E53" s="58">
        <f si="0" t="shared"/>
        <v>9709.0412644080789</v>
      </c>
      <c r="F53" s="78">
        <f si="1" t="shared"/>
        <v>1.2329872748764559E-2</v>
      </c>
      <c r="G53">
        <v>42</v>
      </c>
      <c r="H53" s="68" t="n">
        <v>10014.0</v>
      </c>
      <c r="I53" s="68" t="n">
        <v>735.0</v>
      </c>
      <c r="J53" s="68" t="n">
        <v>306.0</v>
      </c>
      <c r="K53" s="58">
        <f si="2" t="shared"/>
        <v>10460</v>
      </c>
      <c r="L53" s="78">
        <f si="3" t="shared"/>
        <v>1.2595732382833198E-2</v>
      </c>
      <c r="W53" s="8"/>
    </row>
    <row r="54" spans="1:23" x14ac:dyDescent="0.25">
      <c r="A54">
        <v>43</v>
      </c>
      <c r="B54" s="58" t="n">
        <v>8693.841289304719</v>
      </c>
      <c r="C54" s="58" t="n">
        <v>996.745085145689</v>
      </c>
      <c r="D54" s="58" t="n">
        <v>0.0</v>
      </c>
      <c r="E54" s="58">
        <f si="0" t="shared"/>
        <v>9690.5863744504077</v>
      </c>
      <c r="F54" s="78">
        <f si="1" t="shared"/>
        <v>1.230643619735091E-2</v>
      </c>
      <c r="G54">
        <v>43</v>
      </c>
      <c r="H54" s="68" t="n">
        <v>9512.0</v>
      </c>
      <c r="I54" s="68" t="n">
        <v>709.0</v>
      </c>
      <c r="J54" s="68" t="n">
        <v>287.0</v>
      </c>
      <c r="K54" s="58">
        <f si="2" t="shared"/>
        <v>10380</v>
      </c>
      <c r="L54" s="78">
        <f si="3" t="shared"/>
        <v>1.249939790954193E-2</v>
      </c>
      <c r="W54" s="8"/>
    </row>
    <row r="55" spans="1:23" x14ac:dyDescent="0.25">
      <c r="A55">
        <v>44</v>
      </c>
      <c r="B55" s="58" t="n">
        <v>7195.654346537338</v>
      </c>
      <c r="C55" s="58" t="n">
        <v>542.0069651047214</v>
      </c>
      <c r="D55" s="58" t="n">
        <v>185.9676479361023</v>
      </c>
      <c r="E55" s="58">
        <f si="0" t="shared"/>
        <v>7923.6289595781618</v>
      </c>
      <c r="F55" s="78">
        <f si="1" t="shared"/>
        <v>1.0062511232511553E-2</v>
      </c>
      <c r="G55">
        <v>44</v>
      </c>
      <c r="H55" s="68" t="n">
        <v>8954.0</v>
      </c>
      <c r="I55" s="68" t="n">
        <v>698.0</v>
      </c>
      <c r="J55" s="68" t="n">
        <v>268.0</v>
      </c>
      <c r="K55" s="58">
        <f si="2" t="shared"/>
        <v>10840</v>
      </c>
      <c r="L55" s="78">
        <f si="3" t="shared"/>
        <v>1.3053321130966716E-2</v>
      </c>
      <c r="W55" s="8"/>
    </row>
    <row r="56" spans="1:23" x14ac:dyDescent="0.25">
      <c r="A56">
        <v>45</v>
      </c>
      <c r="B56" s="58" t="n">
        <v>7894.7457216454195</v>
      </c>
      <c r="C56" s="58" t="n">
        <v>268.9504180931881</v>
      </c>
      <c r="D56" s="58" t="n">
        <v>155.500051135655</v>
      </c>
      <c r="E56" s="58">
        <f si="0" t="shared"/>
        <v>8319.1961908742633</v>
      </c>
      <c r="F56" s="78">
        <f si="1" t="shared"/>
        <v>1.0564856777518297E-2</v>
      </c>
      <c r="G56">
        <v>45</v>
      </c>
      <c r="H56" s="68" t="n">
        <v>8513.0</v>
      </c>
      <c r="I56" s="68" t="n">
        <v>633.0</v>
      </c>
      <c r="J56" s="68" t="n">
        <v>272.0</v>
      </c>
      <c r="K56" s="58">
        <f si="2" t="shared"/>
        <v>9700</v>
      </c>
      <c r="L56" s="78">
        <f si="3" t="shared"/>
        <v>1.1680554886566158E-2</v>
      </c>
      <c r="W56" s="8"/>
    </row>
    <row r="57" spans="1:23" x14ac:dyDescent="0.25">
      <c r="A57">
        <v>46</v>
      </c>
      <c r="B57" s="58" t="n">
        <v>7425.670113351135</v>
      </c>
      <c r="C57" s="58" t="n">
        <v>209.3939375016139</v>
      </c>
      <c r="D57" s="58" t="n">
        <v>0.0</v>
      </c>
      <c r="E57" s="58">
        <f si="0" t="shared"/>
        <v>7635.0640508527486</v>
      </c>
      <c r="F57" s="78">
        <f si="1" t="shared"/>
        <v>9.6960519182035382E-3</v>
      </c>
      <c r="G57">
        <v>46</v>
      </c>
      <c r="H57" s="68" t="n">
        <v>8596.0</v>
      </c>
      <c r="I57" s="68" t="n">
        <v>595.0</v>
      </c>
      <c r="J57" s="68" t="n">
        <v>227.0</v>
      </c>
      <c r="K57" s="58">
        <f si="2" t="shared"/>
        <v>10000</v>
      </c>
      <c r="L57" s="78">
        <f si="3" t="shared"/>
        <v>1.204180916140841E-2</v>
      </c>
      <c r="W57" s="8"/>
    </row>
    <row r="58" spans="1:23" x14ac:dyDescent="0.25">
      <c r="A58">
        <v>47</v>
      </c>
      <c r="B58" s="58" t="n">
        <v>6437.18519922554</v>
      </c>
      <c r="C58" s="58" t="n">
        <v>186.3673113769502</v>
      </c>
      <c r="D58" s="58" t="n">
        <v>0.0</v>
      </c>
      <c r="E58" s="58">
        <f si="0" t="shared"/>
        <v>6623.5525106024897</v>
      </c>
      <c r="F58" s="78">
        <f si="1" t="shared"/>
        <v>8.4114957776387275E-3</v>
      </c>
      <c r="G58">
        <v>47</v>
      </c>
      <c r="H58" s="68" t="n">
        <v>8132.0</v>
      </c>
      <c r="I58" s="68" t="n">
        <v>546.0</v>
      </c>
      <c r="J58" s="68" t="n">
        <v>214.0</v>
      </c>
      <c r="K58" s="58">
        <f si="2" t="shared"/>
        <v>9060</v>
      </c>
      <c r="L58" s="78">
        <f si="3" t="shared"/>
        <v>1.090987910023602E-2</v>
      </c>
      <c r="W58" s="8"/>
    </row>
    <row r="59" spans="1:23" x14ac:dyDescent="0.25">
      <c r="A59">
        <v>48</v>
      </c>
      <c r="B59" s="58" t="n">
        <v>3140.070556230924</v>
      </c>
      <c r="C59" s="58" t="n">
        <v>541.8470807930908</v>
      </c>
      <c r="D59" s="58" t="n">
        <v>923.031021110555</v>
      </c>
      <c r="E59" s="58">
        <f si="0" t="shared"/>
        <v>4604.94865813457</v>
      </c>
      <c r="F59" s="78">
        <f si="1" t="shared"/>
        <v>5.847995638615191E-3</v>
      </c>
      <c r="G59">
        <v>48</v>
      </c>
      <c r="H59" s="68" t="n">
        <v>7541.0</v>
      </c>
      <c r="I59" s="68" t="n">
        <v>557.0</v>
      </c>
      <c r="J59" s="68" t="n">
        <v>226.0</v>
      </c>
      <c r="K59" s="58">
        <f si="2" t="shared"/>
        <v>8060</v>
      </c>
      <c r="L59" s="78">
        <f si="3" t="shared"/>
        <v>9.7056981840951788E-3</v>
      </c>
      <c r="W59" s="8"/>
    </row>
    <row r="60" spans="1:23" x14ac:dyDescent="0.25">
      <c r="A60">
        <v>49</v>
      </c>
      <c r="B60" s="58" t="n">
        <v>4723.578432215217</v>
      </c>
      <c r="C60" s="58" t="n">
        <v>396.5867453892689</v>
      </c>
      <c r="D60" s="58" t="n">
        <v>0.0</v>
      </c>
      <c r="E60" s="58">
        <f si="0" t="shared"/>
        <v>5120.1651776044855</v>
      </c>
      <c r="F60" s="78">
        <f si="1" t="shared"/>
        <v>6.5022882664993635E-3</v>
      </c>
      <c r="G60">
        <v>49</v>
      </c>
      <c r="H60" s="68" t="n">
        <v>7335.0</v>
      </c>
      <c r="I60" s="68" t="n">
        <v>498.0</v>
      </c>
      <c r="J60" s="68" t="n">
        <v>188.0</v>
      </c>
      <c r="K60" s="58">
        <f si="2" t="shared"/>
        <v>8120</v>
      </c>
      <c r="L60" s="78">
        <f si="3" t="shared"/>
        <v>9.7779490390636284E-3</v>
      </c>
      <c r="W60" s="8"/>
    </row>
    <row r="61" spans="1:23" x14ac:dyDescent="0.25">
      <c r="A61">
        <v>50</v>
      </c>
      <c r="B61" s="58" t="n">
        <v>6471.593706606879</v>
      </c>
      <c r="C61" s="58" t="n">
        <v>474.1333486168425</v>
      </c>
      <c r="D61" s="58" t="n">
        <v>50.0070357253145</v>
      </c>
      <c r="E61" s="58">
        <f si="0" t="shared"/>
        <v>6995.7340909490358</v>
      </c>
      <c r="F61" s="78">
        <f si="1" t="shared"/>
        <v>8.8841430143879845E-3</v>
      </c>
      <c r="G61">
        <v>50</v>
      </c>
      <c r="H61" s="68" t="n">
        <v>7561.0</v>
      </c>
      <c r="I61" s="68" t="n">
        <v>511.0</v>
      </c>
      <c r="J61" s="68" t="n">
        <v>189.0</v>
      </c>
      <c r="K61" s="58">
        <f si="2" t="shared"/>
        <v>8240</v>
      </c>
      <c r="L61" s="78">
        <f si="3" t="shared"/>
        <v>9.9224507490005293E-3</v>
      </c>
      <c r="W61" s="8"/>
    </row>
    <row r="62" spans="1:23" x14ac:dyDescent="0.25">
      <c r="A62">
        <v>51</v>
      </c>
      <c r="B62" s="58" t="n">
        <v>3914.6211140640858</v>
      </c>
      <c r="C62" s="58" t="n">
        <v>311.7031286912199</v>
      </c>
      <c r="D62" s="58" t="n">
        <v>0.0</v>
      </c>
      <c r="E62" s="58">
        <f si="0" t="shared"/>
        <v>4226.3242427553059</v>
      </c>
      <c r="F62" s="78">
        <f si="1" t="shared"/>
        <v>5.3671664059374664E-3</v>
      </c>
      <c r="G62">
        <v>51</v>
      </c>
      <c r="H62" s="68" t="n">
        <v>7131.0</v>
      </c>
      <c r="I62" s="68" t="n">
        <v>450.0</v>
      </c>
      <c r="J62" s="68" t="n">
        <v>172.0</v>
      </c>
      <c r="K62" s="58">
        <f si="2" t="shared"/>
        <v>7800</v>
      </c>
      <c r="L62" s="78">
        <f si="3" t="shared"/>
        <v>9.3926111458985592E-3</v>
      </c>
      <c r="W62" s="8"/>
    </row>
    <row r="63" spans="1:23" x14ac:dyDescent="0.25">
      <c r="A63">
        <v>52</v>
      </c>
      <c r="B63" s="58" t="n">
        <v>2853.786275241482</v>
      </c>
      <c r="C63" s="58" t="n">
        <v>585.6743155370493</v>
      </c>
      <c r="D63" s="58" t="n">
        <v>0.0</v>
      </c>
      <c r="E63" s="58">
        <f si="0" t="shared"/>
        <v>3439.4605907785317</v>
      </c>
      <c r="F63" s="78">
        <f si="1" t="shared"/>
        <v>4.3678989772297895E-3</v>
      </c>
      <c r="G63">
        <v>52</v>
      </c>
      <c r="H63" s="68" t="n">
        <v>6962.0</v>
      </c>
      <c r="I63" s="68" t="n">
        <v>490.0</v>
      </c>
      <c r="J63" s="68" t="n">
        <v>149.0</v>
      </c>
      <c r="K63" s="58">
        <f si="2" t="shared"/>
        <v>7280</v>
      </c>
      <c r="L63" s="78">
        <f si="3" t="shared"/>
        <v>8.7664370695053218E-3</v>
      </c>
      <c r="W63" s="8"/>
    </row>
    <row r="64" spans="1:23" x14ac:dyDescent="0.25">
      <c r="A64">
        <v>53</v>
      </c>
      <c r="B64" s="58" t="n">
        <v>2716.3068755961513</v>
      </c>
      <c r="C64" s="58" t="n">
        <v>0.0</v>
      </c>
      <c r="D64" s="58" t="n">
        <v>52.6330389042402</v>
      </c>
      <c r="E64" s="58">
        <f si="0" t="shared"/>
        <v>2768.9399145003913</v>
      </c>
      <c r="F64" s="78">
        <f si="1" t="shared"/>
        <v>3.5163798221683903E-3</v>
      </c>
      <c r="G64">
        <v>53</v>
      </c>
      <c r="H64" s="68" t="n">
        <v>6573.0</v>
      </c>
      <c r="I64" s="68" t="n">
        <v>435.0</v>
      </c>
      <c r="J64" s="68" t="n">
        <v>134.0</v>
      </c>
      <c r="K64" s="58">
        <f si="2" t="shared"/>
        <v>7200</v>
      </c>
      <c r="L64" s="78">
        <f si="3" t="shared"/>
        <v>8.6701025962140545E-3</v>
      </c>
      <c r="W64" s="8"/>
    </row>
    <row r="65" spans="1:23" x14ac:dyDescent="0.25">
      <c r="A65">
        <v>54</v>
      </c>
      <c r="B65" s="58" t="n">
        <v>3031.536266964372</v>
      </c>
      <c r="C65" s="58" t="n">
        <v>33.4472746181384</v>
      </c>
      <c r="D65" s="58" t="n">
        <v>0.0</v>
      </c>
      <c r="E65" s="58">
        <f si="0" t="shared"/>
        <v>3064.98354158251</v>
      </c>
      <c r="F65" s="78">
        <f si="1" t="shared"/>
        <v>3.8923366391804119E-3</v>
      </c>
      <c r="G65">
        <v>54</v>
      </c>
      <c r="H65" s="68" t="n">
        <v>6291.0</v>
      </c>
      <c r="I65" s="68" t="n">
        <v>348.0</v>
      </c>
      <c r="J65" s="68" t="n">
        <v>142.0</v>
      </c>
      <c r="K65" s="58">
        <f si="2" t="shared"/>
        <v>6960</v>
      </c>
      <c r="L65" s="78">
        <f si="3" t="shared"/>
        <v>8.3810991763402527E-3</v>
      </c>
      <c r="W65" s="8"/>
    </row>
    <row r="66" spans="1:23" x14ac:dyDescent="0.25">
      <c r="A66">
        <v>55</v>
      </c>
      <c r="B66" s="58" t="n">
        <v>3409.896135397336</v>
      </c>
      <c r="C66" s="58" t="n">
        <v>90.0234326003156</v>
      </c>
      <c r="D66" s="58" t="n">
        <v>27.4592533721871</v>
      </c>
      <c r="E66" s="58">
        <f si="0" t="shared"/>
        <v>3527.3788213698385</v>
      </c>
      <c r="F66" s="78">
        <f si="1" t="shared"/>
        <v>4.4795496094566E-3</v>
      </c>
      <c r="G66">
        <v>55</v>
      </c>
      <c r="H66" s="68" t="n">
        <v>6352.0</v>
      </c>
      <c r="I66" s="68" t="n">
        <v>432.0</v>
      </c>
      <c r="J66" s="68" t="n">
        <v>142.0</v>
      </c>
      <c r="K66" s="58">
        <f si="2" t="shared"/>
        <v>7740</v>
      </c>
      <c r="L66" s="78">
        <f si="3" t="shared"/>
        <v>9.3203602909301096E-3</v>
      </c>
      <c r="W66" s="8"/>
    </row>
    <row r="67" spans="1:23" x14ac:dyDescent="0.25">
      <c r="A67">
        <v>56</v>
      </c>
      <c r="B67" s="58" t="n">
        <v>3339.010159680914</v>
      </c>
      <c r="C67" s="58" t="n">
        <v>113.85321734891039</v>
      </c>
      <c r="D67" s="58" t="n">
        <v>0.0</v>
      </c>
      <c r="E67" s="58">
        <f si="0" t="shared"/>
        <v>3452.8633770298243</v>
      </c>
      <c r="F67" s="78">
        <f si="1" t="shared"/>
        <v>4.3849196741716319E-3</v>
      </c>
      <c r="G67">
        <v>56</v>
      </c>
      <c r="H67" s="68" t="n">
        <v>5996.0</v>
      </c>
      <c r="I67" s="68" t="n">
        <v>365.0</v>
      </c>
      <c r="J67" s="68" t="n">
        <v>115.0</v>
      </c>
      <c r="K67" s="58">
        <f si="2" t="shared"/>
        <v>6140</v>
      </c>
      <c r="L67" s="78">
        <f si="3" t="shared"/>
        <v>7.3936708251047638E-3</v>
      </c>
      <c r="W67" s="8"/>
    </row>
    <row r="68" spans="1:23" x14ac:dyDescent="0.25">
      <c r="A68">
        <v>57</v>
      </c>
      <c r="B68" s="58" t="n">
        <v>2968.4403032900427</v>
      </c>
      <c r="C68" s="58" t="n">
        <v>273.44729690211</v>
      </c>
      <c r="D68" s="58" t="n">
        <v>0.0</v>
      </c>
      <c r="E68" s="58">
        <f si="0" t="shared"/>
        <v>3241.8876001921526</v>
      </c>
      <c r="F68" s="78">
        <f si="1" t="shared"/>
        <v>4.1169936853290212E-3</v>
      </c>
      <c r="G68">
        <v>57</v>
      </c>
      <c r="H68" s="68" t="n">
        <v>5964.0</v>
      </c>
      <c r="I68" s="68" t="n">
        <v>357.0</v>
      </c>
      <c r="J68" s="68" t="n">
        <v>122.0</v>
      </c>
      <c r="K68" s="58">
        <f si="2" t="shared"/>
        <v>6400</v>
      </c>
      <c r="L68" s="78">
        <f si="3" t="shared"/>
        <v>7.7067578633013825E-3</v>
      </c>
      <c r="W68" s="8"/>
    </row>
    <row r="69" spans="1:23" x14ac:dyDescent="0.25">
      <c r="A69">
        <v>58</v>
      </c>
      <c r="B69" s="58" t="n">
        <v>2365.775590353022</v>
      </c>
      <c r="C69" s="58" t="n">
        <v>153.617328534944</v>
      </c>
      <c r="D69" s="58" t="n">
        <v>0.0</v>
      </c>
      <c r="E69" s="58">
        <f si="0" t="shared"/>
        <v>2519.3929188879661</v>
      </c>
      <c r="F69" s="78">
        <f si="1" t="shared"/>
        <v>3.1994708074732821E-3</v>
      </c>
      <c r="G69">
        <v>58</v>
      </c>
      <c r="H69" s="68" t="n">
        <v>6118.0</v>
      </c>
      <c r="I69" s="68" t="n">
        <v>349.0</v>
      </c>
      <c r="J69" s="68" t="n">
        <v>115.0</v>
      </c>
      <c r="K69" s="58">
        <f si="2" t="shared"/>
        <v>6900</v>
      </c>
      <c r="L69" s="78">
        <f si="3" t="shared"/>
        <v>8.3088483213718031E-3</v>
      </c>
      <c r="W69" s="8"/>
    </row>
    <row r="70" spans="1:23" x14ac:dyDescent="0.25">
      <c r="A70">
        <v>59</v>
      </c>
      <c r="B70" s="58" t="n">
        <v>2777.489129177605</v>
      </c>
      <c r="C70" s="58" t="n">
        <v>124.1273196276465</v>
      </c>
      <c r="D70" s="58" t="n">
        <v>0.0</v>
      </c>
      <c r="E70" s="58">
        <f si="0" t="shared"/>
        <v>2901.6164488052514</v>
      </c>
      <c r="F70" s="78">
        <f si="1" t="shared"/>
        <v>3.6848706896161305E-3</v>
      </c>
      <c r="G70">
        <v>59</v>
      </c>
      <c r="H70" s="68" t="n">
        <v>5526.0</v>
      </c>
      <c r="I70" s="68" t="n">
        <v>353.0</v>
      </c>
      <c r="J70" s="68" t="n">
        <v>100.0</v>
      </c>
      <c r="K70" s="58">
        <f si="2" t="shared"/>
        <v>5980</v>
      </c>
      <c r="L70" s="78">
        <f si="3" t="shared"/>
        <v>7.2010018785222292E-3</v>
      </c>
      <c r="W70" s="8"/>
    </row>
    <row r="71" spans="1:23" x14ac:dyDescent="0.25">
      <c r="A71">
        <v>60</v>
      </c>
      <c r="B71" s="58" t="n">
        <v>1471.7923841422767</v>
      </c>
      <c r="C71" s="58" t="n">
        <v>0.0</v>
      </c>
      <c r="D71" s="58" t="n">
        <v>0.0</v>
      </c>
      <c r="E71" s="58">
        <f si="0" t="shared"/>
        <v>1471.7923841422767</v>
      </c>
      <c r="F71" s="78">
        <f si="1" t="shared"/>
        <v>1.869083910025119E-3</v>
      </c>
      <c r="G71">
        <v>60</v>
      </c>
      <c r="H71" s="68" t="n">
        <v>5629.0</v>
      </c>
      <c r="I71" s="68" t="n">
        <v>314.0</v>
      </c>
      <c r="J71" s="68" t="n">
        <v>115.0</v>
      </c>
      <c r="K71" s="58">
        <f si="2" t="shared"/>
        <v>6220</v>
      </c>
      <c r="L71" s="78">
        <f si="3" t="shared"/>
        <v>7.4900052983960311E-3</v>
      </c>
      <c r="W71" s="8"/>
    </row>
    <row r="72" spans="1:23" x14ac:dyDescent="0.25">
      <c r="A72">
        <v>61</v>
      </c>
      <c r="B72" s="58" t="n">
        <v>2799.1323243948355</v>
      </c>
      <c r="C72" s="58" t="n">
        <v>0.0</v>
      </c>
      <c r="D72" s="58" t="n">
        <v>39.3446132143828</v>
      </c>
      <c r="E72" s="58">
        <f si="0" t="shared"/>
        <v>2838.4769376092181</v>
      </c>
      <c r="F72" s="78">
        <f si="1" t="shared"/>
        <v>3.6046874750983223E-3</v>
      </c>
      <c r="G72">
        <v>61</v>
      </c>
      <c r="H72" s="68" t="n">
        <v>5450.0</v>
      </c>
      <c r="I72" s="68" t="n">
        <v>306.0</v>
      </c>
      <c r="J72" s="68" t="n">
        <v>110.0</v>
      </c>
      <c r="K72" s="58">
        <f si="2" t="shared"/>
        <v>6040</v>
      </c>
      <c r="L72" s="78">
        <f si="3" t="shared"/>
        <v>7.2732527334906797E-3</v>
      </c>
      <c r="W72" s="8"/>
    </row>
    <row r="73" spans="1:23" x14ac:dyDescent="0.25">
      <c r="A73">
        <v>62</v>
      </c>
      <c r="B73" s="58" t="n">
        <v>3976.7381213352896</v>
      </c>
      <c r="C73" s="58" t="n">
        <v>152.3427099374647</v>
      </c>
      <c r="D73" s="58" t="n">
        <v>0.0</v>
      </c>
      <c r="E73" s="58">
        <f si="0" t="shared"/>
        <v>4129.080831272754</v>
      </c>
      <c r="F73" s="78">
        <f si="1" t="shared"/>
        <v>5.2436733795321738E-3</v>
      </c>
      <c r="G73">
        <v>62</v>
      </c>
      <c r="H73" s="68" t="n">
        <v>5356.0</v>
      </c>
      <c r="I73" s="68" t="n">
        <v>286.0</v>
      </c>
      <c r="J73" s="68" t="n">
        <v>94.0</v>
      </c>
      <c r="K73" s="58">
        <f si="2" t="shared"/>
        <v>6100</v>
      </c>
      <c r="L73" s="78">
        <f si="3" t="shared"/>
        <v>7.3455035884591301E-3</v>
      </c>
      <c r="W73" s="8"/>
    </row>
    <row r="74" spans="1:23" x14ac:dyDescent="0.25">
      <c r="A74">
        <v>63</v>
      </c>
      <c r="B74" s="58" t="n">
        <v>2093.965396779331</v>
      </c>
      <c r="C74" s="58" t="n">
        <v>0.0</v>
      </c>
      <c r="D74" s="58" t="n">
        <v>0.0</v>
      </c>
      <c r="E74" s="58">
        <f si="0" t="shared"/>
        <v>2093.9653967793311</v>
      </c>
      <c r="F74" s="78">
        <f si="1" t="shared"/>
        <v>2.6592045681432669E-3</v>
      </c>
      <c r="G74">
        <v>63</v>
      </c>
      <c r="H74" s="68" t="n">
        <v>4858.0</v>
      </c>
      <c r="I74" s="68" t="n">
        <v>243.0</v>
      </c>
      <c r="J74" s="68" t="n">
        <v>93.0</v>
      </c>
      <c r="K74" s="58">
        <f si="2" t="shared"/>
        <v>5480</v>
      </c>
      <c r="L74" s="78">
        <f si="3" t="shared"/>
        <v>6.5989114204518086E-3</v>
      </c>
      <c r="W74" s="8"/>
    </row>
    <row r="75" spans="1:23" x14ac:dyDescent="0.25">
      <c r="A75">
        <v>64</v>
      </c>
      <c r="B75" s="58" t="n">
        <v>1260.1609928699772</v>
      </c>
      <c r="C75" s="58" t="n">
        <v>536.3498642306611</v>
      </c>
      <c r="D75" s="58" t="n">
        <v>0.0</v>
      </c>
      <c r="E75" s="58">
        <f si="0" t="shared"/>
        <v>1796.5108571006383</v>
      </c>
      <c r="F75" s="78">
        <f si="1" t="shared"/>
        <v>2.281455980728625E-3</v>
      </c>
      <c r="G75">
        <v>64</v>
      </c>
      <c r="H75" s="68" t="n">
        <v>4542.0</v>
      </c>
      <c r="I75" s="68" t="n">
        <v>200.0</v>
      </c>
      <c r="J75" s="68" t="n">
        <v>99.0</v>
      </c>
      <c r="K75" s="58">
        <f si="2" t="shared"/>
        <v>4860</v>
      </c>
      <c r="L75" s="78">
        <f si="3" t="shared"/>
        <v>5.8523192524444871E-3</v>
      </c>
      <c r="W75" s="8"/>
    </row>
    <row r="76" spans="1:23" x14ac:dyDescent="0.25">
      <c r="A76">
        <v>65</v>
      </c>
      <c r="B76" s="58" t="n">
        <v>1913.6076825417667</v>
      </c>
      <c r="C76" s="58" t="n">
        <v>0.0</v>
      </c>
      <c r="D76" s="58" t="n">
        <v>0.0</v>
      </c>
      <c r="E76" s="58">
        <f ref="E76:E101" si="4" t="shared">SUM(B76:D76)</f>
        <v>1913.6076825417667</v>
      </c>
      <c r="F76" s="78">
        <f ref="F76:F101" si="5" t="shared">E76/SUM($E$11:$E$101)</f>
        <v>2.4301615962116006E-3</v>
      </c>
      <c r="G76">
        <v>65</v>
      </c>
      <c r="H76" s="68" t="n">
        <v>4117.0</v>
      </c>
      <c r="I76" s="68" t="n">
        <v>190.0</v>
      </c>
      <c r="J76" s="68" t="n">
        <v>66.0</v>
      </c>
      <c r="K76" s="58">
        <f ref="K76:K101" si="6" t="shared">SUM(H76:J76)</f>
        <v>4200</v>
      </c>
      <c r="L76" s="78">
        <f ref="L76:L101" si="7" t="shared">K76/SUM($K$11:$K$101)</f>
        <v>5.057559847791532E-3</v>
      </c>
      <c r="W76" s="8"/>
    </row>
    <row r="77" spans="1:23" x14ac:dyDescent="0.25">
      <c r="A77">
        <v>66</v>
      </c>
      <c r="B77" s="58" t="n">
        <v>1450.6351354077478</v>
      </c>
      <c r="C77" s="58" t="n">
        <v>0.0</v>
      </c>
      <c r="D77" s="58" t="n">
        <v>0.0</v>
      </c>
      <c r="E77" s="58">
        <f si="4" t="shared"/>
        <v>1450.6351354077478</v>
      </c>
      <c r="F77" s="78">
        <f si="5" t="shared"/>
        <v>1.8422155326532979E-3</v>
      </c>
      <c r="G77">
        <v>66</v>
      </c>
      <c r="H77" s="68" t="n">
        <v>4122.0</v>
      </c>
      <c r="I77" s="68" t="n">
        <v>195.0</v>
      </c>
      <c r="J77" s="68" t="n">
        <v>66.0</v>
      </c>
      <c r="K77" s="58">
        <f si="6" t="shared"/>
        <v>4500</v>
      </c>
      <c r="L77" s="78">
        <f si="7" t="shared"/>
        <v>5.4188141226337843E-3</v>
      </c>
      <c r="W77" s="8"/>
    </row>
    <row r="78" spans="1:23" x14ac:dyDescent="0.25">
      <c r="A78">
        <v>67</v>
      </c>
      <c r="B78" s="58" t="n">
        <v>1159.472893367872</v>
      </c>
      <c r="C78" s="58" t="n">
        <v>0.0</v>
      </c>
      <c r="D78" s="58" t="n">
        <v>0.0</v>
      </c>
      <c r="E78" s="58">
        <f si="4" t="shared"/>
        <v>1159.4728933678721</v>
      </c>
      <c r="F78" s="78">
        <f si="5" t="shared"/>
        <v>1.4724577681295189E-3</v>
      </c>
      <c r="G78">
        <v>67</v>
      </c>
      <c r="H78" s="68" t="n">
        <v>3827.0</v>
      </c>
      <c r="I78" s="68" t="n">
        <v>173.0</v>
      </c>
      <c r="J78" s="68" t="n">
        <v>63.0</v>
      </c>
      <c r="K78" s="58">
        <f si="6" t="shared"/>
        <v>3960</v>
      </c>
      <c r="L78" s="78">
        <f si="7" t="shared"/>
        <v>4.7685564279177301E-3</v>
      </c>
      <c r="W78" s="8"/>
    </row>
    <row r="79" spans="1:23" x14ac:dyDescent="0.25">
      <c r="A79">
        <v>68</v>
      </c>
      <c r="B79" s="58" t="n">
        <v>1603.3714213602123</v>
      </c>
      <c r="C79" s="58" t="n">
        <v>0.0</v>
      </c>
      <c r="D79" s="58" t="n">
        <v>0.0</v>
      </c>
      <c r="E79" s="58">
        <f si="4" t="shared"/>
        <v>1603.3714213602123</v>
      </c>
      <c r="F79" s="78">
        <f si="5" t="shared"/>
        <v>2.0361810250872836E-3</v>
      </c>
      <c r="G79">
        <v>68</v>
      </c>
      <c r="H79" s="68" t="n">
        <v>3560.0</v>
      </c>
      <c r="I79" s="68" t="n">
        <v>176.0</v>
      </c>
      <c r="J79" s="68" t="n">
        <v>53.0</v>
      </c>
      <c r="K79" s="58">
        <f si="6" t="shared"/>
        <v>3880</v>
      </c>
      <c r="L79" s="78">
        <f si="7" t="shared"/>
        <v>4.6722219546264628E-3</v>
      </c>
      <c r="W79" s="8"/>
    </row>
    <row r="80" spans="1:23" x14ac:dyDescent="0.25">
      <c r="A80">
        <v>69</v>
      </c>
      <c r="B80" s="58" t="n">
        <v>1280.9325900204908</v>
      </c>
      <c r="C80" s="58" t="n">
        <v>0.0</v>
      </c>
      <c r="D80" s="58" t="n">
        <v>0.0</v>
      </c>
      <c r="E80" s="58">
        <f si="4" t="shared"/>
        <v>1280.9325900204908</v>
      </c>
      <c r="F80" s="78">
        <f si="5" t="shared"/>
        <v>1.6267039560945709E-3</v>
      </c>
      <c r="G80">
        <v>69</v>
      </c>
      <c r="H80" s="68" t="n">
        <v>3587.0</v>
      </c>
      <c r="I80" s="68" t="n">
        <v>125.0</v>
      </c>
      <c r="J80" s="68" t="n">
        <v>53.0</v>
      </c>
      <c r="K80" s="58">
        <f si="6" t="shared"/>
        <v>3240</v>
      </c>
      <c r="L80" s="78">
        <f si="7" t="shared"/>
        <v>3.9015461682963249E-3</v>
      </c>
      <c r="W80" s="8"/>
    </row>
    <row r="81" spans="1:23" x14ac:dyDescent="0.25">
      <c r="A81">
        <v>70</v>
      </c>
      <c r="B81" s="58" t="n">
        <v>1787.7460062885596</v>
      </c>
      <c r="C81" s="58" t="n">
        <v>90.5276120010696</v>
      </c>
      <c r="D81" s="58" t="n">
        <v>0.0</v>
      </c>
      <c r="E81" s="58">
        <f si="4" t="shared"/>
        <v>1878.2736182896292</v>
      </c>
      <c r="F81" s="78">
        <f si="5" t="shared"/>
        <v>2.3852895533331125E-3</v>
      </c>
      <c r="G81">
        <v>70</v>
      </c>
      <c r="H81" s="68" t="n">
        <v>3407.0</v>
      </c>
      <c r="I81" s="68" t="n">
        <v>168.0</v>
      </c>
      <c r="J81" s="68" t="n">
        <v>49.0</v>
      </c>
      <c r="K81" s="58">
        <f si="6" t="shared"/>
        <v>3180</v>
      </c>
      <c r="L81" s="78">
        <f si="7" t="shared"/>
        <v>3.8292953133278744E-3</v>
      </c>
      <c r="W81" s="8"/>
    </row>
    <row r="82" spans="1:23" x14ac:dyDescent="0.25">
      <c r="A82">
        <v>71</v>
      </c>
      <c r="B82" s="58" t="n">
        <v>1330.857803781982</v>
      </c>
      <c r="C82" s="58" t="n">
        <v>0.0</v>
      </c>
      <c r="D82" s="58" t="n">
        <v>0.0</v>
      </c>
      <c r="E82" s="58">
        <f si="4" t="shared"/>
        <v>1330.8578037819821</v>
      </c>
      <c r="F82" s="78">
        <f si="5" t="shared"/>
        <v>1.6901058426320862E-3</v>
      </c>
      <c r="G82">
        <v>71</v>
      </c>
      <c r="H82" s="68" t="n">
        <v>3147.0</v>
      </c>
      <c r="I82" s="68" t="n">
        <v>137.0</v>
      </c>
      <c r="J82" s="68" t="n">
        <v>41.0</v>
      </c>
      <c r="K82" s="58">
        <f si="6" t="shared"/>
        <v>3320</v>
      </c>
      <c r="L82" s="78">
        <f si="7" t="shared"/>
        <v>3.9978806415875917E-3</v>
      </c>
      <c r="W82" s="8"/>
    </row>
    <row r="83" spans="1:23" x14ac:dyDescent="0.25">
      <c r="A83">
        <v>72</v>
      </c>
      <c r="B83" s="58" t="n">
        <v>1559.8748658383913</v>
      </c>
      <c r="C83" s="58" t="n">
        <v>151.695036106959</v>
      </c>
      <c r="D83" s="58" t="n">
        <v>0.0</v>
      </c>
      <c r="E83" s="58">
        <f si="4" t="shared"/>
        <v>1711.5699019453502</v>
      </c>
      <c r="F83" s="78">
        <f si="5" t="shared"/>
        <v>2.1735863013543589E-3</v>
      </c>
      <c r="G83">
        <v>72</v>
      </c>
      <c r="H83" s="68" t="n">
        <v>3090.0</v>
      </c>
      <c r="I83" s="68" t="n">
        <v>155.0</v>
      </c>
      <c r="J83" s="68" t="n">
        <v>28.0</v>
      </c>
      <c r="K83" s="58">
        <f si="6" t="shared"/>
        <v>3160</v>
      </c>
      <c r="L83" s="78">
        <f si="7" t="shared"/>
        <v>3.8052116950050576E-3</v>
      </c>
      <c r="W83" s="8"/>
    </row>
    <row r="84" spans="1:23" x14ac:dyDescent="0.25">
      <c r="A84">
        <v>73</v>
      </c>
      <c r="B84" s="58" t="n">
        <v>771.1746882374912</v>
      </c>
      <c r="C84" s="58" t="n">
        <v>255.0346726298934</v>
      </c>
      <c r="D84" s="58" t="n">
        <v>0.0</v>
      </c>
      <c r="E84" s="58">
        <f si="4" t="shared"/>
        <v>1026.2093608673845</v>
      </c>
      <c r="F84" s="78">
        <f si="5" t="shared"/>
        <v>1.3032214498325406E-3</v>
      </c>
      <c r="G84">
        <v>73</v>
      </c>
      <c r="H84" s="68" t="n">
        <v>2949.0</v>
      </c>
      <c r="I84" s="68" t="n">
        <v>160.0</v>
      </c>
      <c r="J84" s="68" t="n">
        <v>53.0</v>
      </c>
      <c r="K84" s="58">
        <f si="6" t="shared"/>
        <v>3340</v>
      </c>
      <c r="L84" s="78">
        <f si="7" t="shared"/>
        <v>4.0219642599104086E-3</v>
      </c>
      <c r="W84" s="8"/>
    </row>
    <row r="85" spans="1:23" x14ac:dyDescent="0.25">
      <c r="A85">
        <v>74</v>
      </c>
      <c r="B85" s="58" t="n">
        <v>497.4929311425539</v>
      </c>
      <c r="C85" s="58" t="n">
        <v>0.0</v>
      </c>
      <c r="D85" s="58" t="n">
        <v>0.0</v>
      </c>
      <c r="E85" s="58">
        <f si="4" t="shared"/>
        <v>497.49293114255391</v>
      </c>
      <c r="F85" s="78">
        <f si="5" t="shared"/>
        <v>6.3178478362060453E-4</v>
      </c>
      <c r="G85">
        <v>74</v>
      </c>
      <c r="H85" s="68" t="n">
        <v>2709.0</v>
      </c>
      <c r="I85" s="68" t="n">
        <v>126.0</v>
      </c>
      <c r="J85" s="68" t="n">
        <v>32.0</v>
      </c>
      <c r="K85" s="58">
        <f si="6" t="shared"/>
        <v>2780</v>
      </c>
      <c r="L85" s="78">
        <f si="7" t="shared"/>
        <v>3.347622946871538E-3</v>
      </c>
      <c r="W85" s="8"/>
    </row>
    <row r="86" spans="1:23" x14ac:dyDescent="0.25">
      <c r="A86">
        <v>75</v>
      </c>
      <c r="B86" s="58" t="n">
        <v>1346.697800892893</v>
      </c>
      <c r="C86" s="58" t="n">
        <v>42.6515126545767</v>
      </c>
      <c r="D86" s="58" t="n">
        <v>443.047486596985</v>
      </c>
      <c r="E86" s="58">
        <f si="4" t="shared"/>
        <v>1832.3968001444546</v>
      </c>
      <c r="F86" s="78">
        <f si="5" t="shared"/>
        <v>2.3270288750185785E-3</v>
      </c>
      <c r="G86">
        <v>75</v>
      </c>
      <c r="H86" s="68" t="n">
        <v>2428.0</v>
      </c>
      <c r="I86" s="68" t="n">
        <v>95.0</v>
      </c>
      <c r="J86" s="68" t="n">
        <v>24.0</v>
      </c>
      <c r="K86" s="58">
        <f si="6" t="shared"/>
        <v>2180</v>
      </c>
      <c r="L86" s="78">
        <f si="7" t="shared"/>
        <v>2.6251143971870333E-3</v>
      </c>
      <c r="W86" s="8"/>
    </row>
    <row r="87" spans="1:23" x14ac:dyDescent="0.25">
      <c r="A87">
        <v>76</v>
      </c>
      <c r="B87" s="58" t="n">
        <v>2211.9637505326223</v>
      </c>
      <c r="C87" s="58" t="n">
        <v>32.1718631552981</v>
      </c>
      <c r="D87" s="58" t="n">
        <v>0.0</v>
      </c>
      <c r="E87" s="58">
        <f si="4" t="shared"/>
        <v>2244.1356136879203</v>
      </c>
      <c r="F87" s="78">
        <f si="5" t="shared"/>
        <v>2.8499113140219661E-3</v>
      </c>
      <c r="G87">
        <v>76</v>
      </c>
      <c r="H87" s="68" t="n">
        <v>2271.0</v>
      </c>
      <c r="I87" s="68" t="n">
        <v>99.0</v>
      </c>
      <c r="J87" s="68" t="n">
        <v>33.0</v>
      </c>
      <c r="K87" s="58">
        <f si="6" t="shared"/>
        <v>2340</v>
      </c>
      <c r="L87" s="78">
        <f si="7" t="shared"/>
        <v>2.8177833437695679E-3</v>
      </c>
      <c r="W87" s="8"/>
    </row>
    <row r="88" spans="1:23" x14ac:dyDescent="0.25">
      <c r="A88">
        <v>77</v>
      </c>
      <c r="B88" s="58" t="n">
        <v>1116.2673647183728</v>
      </c>
      <c r="C88" s="58" t="n">
        <v>40.512360877359</v>
      </c>
      <c r="D88" s="58" t="n">
        <v>0.0</v>
      </c>
      <c r="E88" s="58">
        <f si="4" t="shared"/>
        <v>1156.7797255957319</v>
      </c>
      <c r="F88" s="78">
        <f si="5" t="shared"/>
        <v>1.4690376141702096E-3</v>
      </c>
      <c r="G88">
        <v>77</v>
      </c>
      <c r="H88" s="68" t="n">
        <v>2124.0</v>
      </c>
      <c r="I88" s="68" t="n">
        <v>93.0</v>
      </c>
      <c r="J88" s="68" t="n">
        <v>32.0</v>
      </c>
      <c r="K88" s="58">
        <f si="6" t="shared"/>
        <v>2800</v>
      </c>
      <c r="L88" s="78">
        <f si="7" t="shared"/>
        <v>3.3717065651943548E-3</v>
      </c>
      <c r="W88" s="8"/>
    </row>
    <row r="89" spans="1:23" x14ac:dyDescent="0.25">
      <c r="A89">
        <v>78</v>
      </c>
      <c r="B89" s="58" t="n">
        <v>1519.0985534320566</v>
      </c>
      <c r="C89" s="58" t="n">
        <v>0.0</v>
      </c>
      <c r="D89" s="58" t="n">
        <v>0.0</v>
      </c>
      <c r="E89" s="58">
        <f si="4" t="shared"/>
        <v>1519.0985534320566</v>
      </c>
      <c r="F89" s="78">
        <f si="5" t="shared"/>
        <v>1.9291597745404669E-3</v>
      </c>
      <c r="G89">
        <v>78</v>
      </c>
      <c r="H89" s="68" t="n">
        <v>1965.0</v>
      </c>
      <c r="I89" s="68" t="n">
        <v>78.0</v>
      </c>
      <c r="J89" s="68" t="n">
        <v>30.0</v>
      </c>
      <c r="K89" s="58">
        <f si="6" t="shared"/>
        <v>2040</v>
      </c>
      <c r="L89" s="78">
        <f si="7" t="shared"/>
        <v>2.4565290689273155E-3</v>
      </c>
      <c r="W89" s="8"/>
    </row>
    <row r="90" spans="1:23" x14ac:dyDescent="0.25">
      <c r="A90">
        <v>79</v>
      </c>
      <c r="B90" s="58" t="n">
        <v>997.3100775312311</v>
      </c>
      <c r="C90" s="58" t="n">
        <v>26.8856274469222</v>
      </c>
      <c r="D90" s="58" t="n">
        <v>0.0</v>
      </c>
      <c r="E90" s="58">
        <f si="4" t="shared"/>
        <v>1024.1957049781533</v>
      </c>
      <c r="F90" s="78">
        <f si="5" t="shared"/>
        <v>1.3006642332961317E-3</v>
      </c>
      <c r="G90">
        <v>79</v>
      </c>
      <c r="H90" s="68" t="n">
        <v>1837.0</v>
      </c>
      <c r="I90" s="68" t="n">
        <v>72.0</v>
      </c>
      <c r="J90" s="68" t="n">
        <v>25.0</v>
      </c>
      <c r="K90" s="58">
        <f si="6" t="shared"/>
        <v>1440</v>
      </c>
      <c r="L90" s="78">
        <f si="7" t="shared"/>
        <v>1.734020519242811E-3</v>
      </c>
      <c r="W90" s="8"/>
    </row>
    <row r="91" spans="1:23" x14ac:dyDescent="0.25">
      <c r="A91">
        <v>80</v>
      </c>
      <c r="B91" s="58" t="n">
        <v>596.984151757921</v>
      </c>
      <c r="C91" s="58" t="n">
        <v>0.0</v>
      </c>
      <c r="D91" s="58" t="n">
        <v>36.3774810046632</v>
      </c>
      <c r="E91" s="58">
        <f si="4" t="shared"/>
        <v>633.36163276258424</v>
      </c>
      <c r="F91" s="78">
        <f si="5" t="shared"/>
        <v>8.0432950311376745E-4</v>
      </c>
      <c r="G91">
        <v>80</v>
      </c>
      <c r="H91" s="68" t="n">
        <v>1819.0</v>
      </c>
      <c r="I91" s="68" t="n">
        <v>82.0</v>
      </c>
      <c r="J91" s="68" t="n">
        <v>15.0</v>
      </c>
      <c r="K91" s="58">
        <f si="6" t="shared"/>
        <v>1900</v>
      </c>
      <c r="L91" s="78">
        <f si="7" t="shared"/>
        <v>2.2879437406675977E-3</v>
      </c>
      <c r="W91" s="8"/>
    </row>
    <row r="92" spans="1:23" x14ac:dyDescent="0.25">
      <c r="A92">
        <v>81</v>
      </c>
      <c r="B92" s="58" t="n">
        <v>631.702251477386</v>
      </c>
      <c r="C92" s="58" t="n">
        <v>0.0</v>
      </c>
      <c r="D92" s="58" t="n">
        <v>0.0</v>
      </c>
      <c r="E92" s="58">
        <f si="4" t="shared"/>
        <v>631.70225147738597</v>
      </c>
      <c r="F92" s="78">
        <f si="5" t="shared"/>
        <v>8.0222219307861701E-4</v>
      </c>
      <c r="G92">
        <v>81</v>
      </c>
      <c r="H92" s="68" t="n">
        <v>1675.0</v>
      </c>
      <c r="I92" s="68" t="n">
        <v>75.0</v>
      </c>
      <c r="J92" s="68" t="n">
        <v>18.0</v>
      </c>
      <c r="K92" s="58">
        <f si="6" t="shared"/>
        <v>1820</v>
      </c>
      <c r="L92" s="78">
        <f si="7" t="shared"/>
        <v>2.1916092673763305E-3</v>
      </c>
      <c r="W92" s="8"/>
    </row>
    <row r="93" spans="1:23" x14ac:dyDescent="0.25">
      <c r="A93">
        <v>82</v>
      </c>
      <c r="B93" s="58" t="n">
        <v>658.1438028697414</v>
      </c>
      <c r="C93" s="58" t="n">
        <v>0.0</v>
      </c>
      <c r="D93" s="58" t="n">
        <v>0.0</v>
      </c>
      <c r="E93" s="58">
        <f si="4" t="shared"/>
        <v>658.14380286974142</v>
      </c>
      <c r="F93" s="78">
        <f si="5" t="shared"/>
        <v>8.3580130301018222E-4</v>
      </c>
      <c r="G93">
        <v>82</v>
      </c>
      <c r="H93" s="68" t="n">
        <v>1466.0</v>
      </c>
      <c r="I93" s="68" t="n">
        <v>50.0</v>
      </c>
      <c r="J93" s="68" t="n">
        <v>21.0</v>
      </c>
      <c r="K93" s="58">
        <f si="6" t="shared"/>
        <v>1300</v>
      </c>
      <c r="L93" s="78">
        <f si="7" t="shared"/>
        <v>1.5654351909830933E-3</v>
      </c>
      <c r="W93" s="8"/>
    </row>
    <row r="94" spans="1:23" x14ac:dyDescent="0.25">
      <c r="A94">
        <v>83</v>
      </c>
      <c r="B94" s="58" t="n">
        <v>1292.21320279819</v>
      </c>
      <c r="C94" s="58" t="n">
        <v>0.0</v>
      </c>
      <c r="D94" s="58" t="n">
        <v>0.0</v>
      </c>
      <c r="E94" s="58">
        <f si="4" t="shared"/>
        <v>1292.21320279819</v>
      </c>
      <c r="F94" s="78">
        <f si="5" t="shared"/>
        <v>1.6410296259819774E-3</v>
      </c>
      <c r="G94">
        <v>83</v>
      </c>
      <c r="H94" s="68" t="n">
        <v>1251.0</v>
      </c>
      <c r="I94" s="68" t="n">
        <v>47.0</v>
      </c>
      <c r="J94" s="58" t="n">
        <v>10.0</v>
      </c>
      <c r="K94" s="58">
        <f si="6" t="shared"/>
        <v>1280</v>
      </c>
      <c r="L94" s="78">
        <f si="7" t="shared"/>
        <v>1.5413515726602765E-3</v>
      </c>
      <c r="W94" s="8"/>
    </row>
    <row ht="15.75" r="95" spans="1:23" thickBot="1" x14ac:dyDescent="0.3">
      <c r="A95">
        <v>84</v>
      </c>
      <c r="B95" s="58" t="n">
        <v>121.411309128618</v>
      </c>
      <c r="C95" s="58" t="n">
        <v>0.0</v>
      </c>
      <c r="D95" s="58" t="n">
        <v>0.0</v>
      </c>
      <c r="E95" s="58">
        <f si="4" t="shared"/>
        <v>121.411309128618</v>
      </c>
      <c r="F95" s="78">
        <f si="5" t="shared"/>
        <v>1.5418473884795485E-4</v>
      </c>
      <c r="G95">
        <v>84</v>
      </c>
      <c r="H95" s="68" t="n">
        <v>1179.0</v>
      </c>
      <c r="I95" s="68" t="n">
        <v>44.0</v>
      </c>
      <c r="J95" s="68" t="n">
        <v>23.0</v>
      </c>
      <c r="K95" s="58">
        <f si="6" t="shared"/>
        <v>1320</v>
      </c>
      <c r="L95" s="78">
        <f si="7" t="shared"/>
        <v>1.5895188093059101E-3</v>
      </c>
      <c r="W95" s="9"/>
    </row>
    <row r="96" spans="1:23" x14ac:dyDescent="0.25">
      <c r="A96">
        <v>85</v>
      </c>
      <c r="B96" s="58" t="n">
        <v>248.198392154463</v>
      </c>
      <c r="C96" s="58" t="n">
        <v>0.0</v>
      </c>
      <c r="D96" s="58" t="n">
        <v>0.0</v>
      </c>
      <c r="E96" s="58">
        <f si="4" t="shared"/>
        <v>248.19839215446299</v>
      </c>
      <c r="F96" s="78">
        <f si="5" t="shared"/>
        <v>3.1519637298596488E-4</v>
      </c>
      <c r="G96">
        <v>85</v>
      </c>
      <c r="H96" s="68" t="n">
        <v>1055.0</v>
      </c>
      <c r="I96" s="68" t="n">
        <v>44.0</v>
      </c>
      <c r="J96" s="58" t="n">
        <v>11.0</v>
      </c>
      <c r="K96" s="58">
        <f si="6" t="shared"/>
        <v>1260</v>
      </c>
      <c r="L96" s="78">
        <f si="7" t="shared"/>
        <v>1.5172679543374596E-3</v>
      </c>
    </row>
    <row r="97" spans="1:12" x14ac:dyDescent="0.25">
      <c r="A97">
        <v>86</v>
      </c>
      <c r="B97" s="58" t="n">
        <v>1234.162888669523</v>
      </c>
      <c r="C97" s="58" t="n">
        <v>49.3594307946681</v>
      </c>
      <c r="D97" s="58" t="n">
        <v>0.0</v>
      </c>
      <c r="E97" s="58">
        <f si="4" t="shared"/>
        <v>1283.522319464191</v>
      </c>
      <c r="F97" s="78">
        <f si="5" t="shared"/>
        <v>1.6299927498719345E-3</v>
      </c>
      <c r="G97">
        <v>86</v>
      </c>
      <c r="H97" s="68" t="n">
        <v>930.0</v>
      </c>
      <c r="I97" s="68" t="n">
        <v>26.0</v>
      </c>
      <c r="J97" s="68" t="n">
        <v>10.0</v>
      </c>
      <c r="K97" s="58">
        <f si="6" t="shared"/>
        <v>640</v>
      </c>
      <c r="L97" s="78">
        <f si="7" t="shared"/>
        <v>7.7067578633013823E-4</v>
      </c>
    </row>
    <row r="98" spans="1:12" x14ac:dyDescent="0.25">
      <c r="A98">
        <v>87</v>
      </c>
      <c r="B98" s="58" t="n">
        <v>722.6390194043033</v>
      </c>
      <c r="C98" s="58" t="n">
        <v>0.0</v>
      </c>
      <c r="D98" s="58" t="n">
        <v>0.0</v>
      </c>
      <c r="E98" s="58">
        <f si="4" t="shared"/>
        <v>722.63901940430333</v>
      </c>
      <c r="F98" s="78">
        <f si="5" t="shared"/>
        <v>9.1770617817950664E-4</v>
      </c>
      <c r="G98">
        <v>87</v>
      </c>
      <c r="H98" s="68" t="n">
        <v>848.0</v>
      </c>
      <c r="I98" s="68" t="n">
        <v>39.0</v>
      </c>
      <c r="J98" s="68" t="n">
        <v>9.0</v>
      </c>
      <c r="K98" s="58">
        <f si="6" t="shared"/>
        <v>960</v>
      </c>
      <c r="L98" s="78">
        <f si="7" t="shared"/>
        <v>1.1560136794952073E-3</v>
      </c>
    </row>
    <row r="99" spans="1:12" x14ac:dyDescent="0.25">
      <c r="A99">
        <v>88</v>
      </c>
      <c r="B99" s="58" t="n">
        <v>434.59946437922497</v>
      </c>
      <c r="C99" s="58" t="n">
        <v>0.0</v>
      </c>
      <c r="D99" s="58" t="n">
        <v>0.0</v>
      </c>
      <c r="E99" s="58">
        <f si="4" t="shared"/>
        <v>434.59946437922497</v>
      </c>
      <c r="F99" s="78">
        <f si="5" t="shared"/>
        <v>5.519140300825335E-4</v>
      </c>
      <c r="G99">
        <v>88</v>
      </c>
      <c r="H99" s="68" t="n">
        <v>823.0</v>
      </c>
      <c r="I99" s="68" t="n">
        <v>16.0</v>
      </c>
      <c r="J99" s="68" t="n">
        <v>9.0</v>
      </c>
      <c r="K99" s="58">
        <f si="6" t="shared"/>
        <v>860</v>
      </c>
      <c r="L99" s="78">
        <f si="7" t="shared"/>
        <v>1.0355955878811232E-3</v>
      </c>
    </row>
    <row r="100" spans="1:12" x14ac:dyDescent="0.25">
      <c r="A100">
        <v>89</v>
      </c>
      <c r="B100" s="58" t="n">
        <v>1670.477661098809</v>
      </c>
      <c r="C100" s="58" t="n">
        <v>0.0</v>
      </c>
      <c r="D100" s="58" t="n">
        <v>0.0</v>
      </c>
      <c r="E100" s="58">
        <f si="4" t="shared"/>
        <v>1670.477661098809</v>
      </c>
      <c r="F100" s="78">
        <f si="5" t="shared"/>
        <v>2.1214017357725039E-3</v>
      </c>
      <c r="G100">
        <v>89</v>
      </c>
      <c r="H100" s="68" t="n">
        <v>8794.0</v>
      </c>
      <c r="I100" s="68" t="n">
        <v>300.0</v>
      </c>
      <c r="J100" s="58" t="n">
        <v>68.0</v>
      </c>
      <c r="K100" s="58">
        <f si="6" t="shared"/>
        <v>9900</v>
      </c>
      <c r="L100" s="78">
        <f si="7" t="shared"/>
        <v>1.1921391069794327E-2</v>
      </c>
    </row>
    <row ht="15.75" r="101" spans="1:12" thickBot="1" x14ac:dyDescent="0.3">
      <c r="A101" s="1">
        <v>90</v>
      </c>
      <c r="B101" s="59">
        <v>0</v>
      </c>
      <c r="C101" s="59">
        <v>0</v>
      </c>
      <c r="D101" s="59">
        <v>0</v>
      </c>
      <c r="E101" s="59">
        <f si="4" t="shared"/>
        <v>0</v>
      </c>
      <c r="F101" s="78">
        <f si="5" t="shared"/>
        <v>0</v>
      </c>
      <c r="G101" s="1">
        <v>90</v>
      </c>
      <c r="H101" s="5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39"/>
  <sheetViews>
    <sheetView topLeftCell="A8" workbookViewId="0">
      <selection activeCell="H21" sqref="H21"/>
    </sheetView>
  </sheetViews>
  <sheetFormatPr defaultRowHeight="15" x14ac:dyDescent="0.25"/>
  <cols>
    <col min="1" max="1" customWidth="true" width="12.14062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1" x14ac:dyDescent="0.25">
      <c r="A1" t="s">
        <v>23</v>
      </c>
    </row>
    <row r="2" spans="1:11" x14ac:dyDescent="0.25">
      <c r="A2" t="s">
        <v>249</v>
      </c>
    </row>
    <row r="3" spans="1:11" x14ac:dyDescent="0.25">
      <c r="A3" t="s">
        <v>250</v>
      </c>
    </row>
    <row r="4" spans="1:11" x14ac:dyDescent="0.25">
      <c r="A4" t="s">
        <v>6</v>
      </c>
    </row>
    <row r="5" spans="1:11" x14ac:dyDescent="0.25">
      <c r="A5" t="s">
        <v>7</v>
      </c>
    </row>
    <row r="7" spans="1:11" x14ac:dyDescent="0.25">
      <c r="A7" t="s">
        <v>11</v>
      </c>
    </row>
    <row ht="15.75" r="9" spans="1:11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</row>
    <row r="10" spans="1:11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3</v>
      </c>
      <c r="G10" s="2" t="s">
        <v>21</v>
      </c>
      <c r="H10" s="5" t="s">
        <v>8</v>
      </c>
      <c r="I10" s="5" t="s">
        <v>9</v>
      </c>
      <c r="J10" s="5" t="s">
        <v>10</v>
      </c>
      <c r="K10" s="5" t="s">
        <v>3</v>
      </c>
    </row>
    <row r="11" spans="1:11" x14ac:dyDescent="0.25">
      <c r="A11" t="s">
        <v>24</v>
      </c>
      <c r="B11" s="58">
        <f>SUM(TDFD!B11:B15)</f>
        <v>13403.219534006337</v>
      </c>
      <c r="C11" s="58">
        <f>SUM(TDFD!C11:C15)</f>
        <v>3616.5860544866082</v>
      </c>
      <c r="D11" s="58">
        <f>SUM(TDFD!D11:D15)</f>
        <v>525.08837278879696</v>
      </c>
      <c r="E11" s="58">
        <f>SUM(TDFD!E11:E15)</f>
        <v>17544.893961281741</v>
      </c>
      <c r="G11" t="s">
        <v>24</v>
      </c>
      <c r="H11" s="11">
        <f>SUM(TDFD!H11:H15)</f>
        <v>16720</v>
      </c>
      <c r="I11" s="11">
        <f>SUM(TDFD!I11:I15)</f>
        <v>2820</v>
      </c>
      <c r="J11" s="11">
        <f>SUM(TDFD!J11:J15)</f>
        <v>1320</v>
      </c>
      <c r="K11" s="11">
        <f>SUM(TDFD!K11:K15)</f>
        <v>20860</v>
      </c>
    </row>
    <row r="12" spans="1:11" x14ac:dyDescent="0.25">
      <c r="A12" t="s">
        <v>25</v>
      </c>
      <c r="B12" s="58">
        <f>SUM(TDFD!B16:B20)</f>
        <v>77647.097042352922</v>
      </c>
      <c r="C12" s="58">
        <f>SUM(TDFD!C16:C20)</f>
        <v>14904.772443324984</v>
      </c>
      <c r="D12" s="58">
        <f>SUM(TDFD!D16:D20)</f>
        <v>6113.6920663445426</v>
      </c>
      <c r="E12" s="58">
        <f>SUM(TDFD!E16:E20)</f>
        <v>98665.561552022453</v>
      </c>
      <c r="G12" t="s">
        <v>25</v>
      </c>
      <c r="H12" s="11">
        <f>SUM(TDFD!H16:H20)</f>
        <v>57900</v>
      </c>
      <c r="I12" s="11">
        <f>SUM(TDFD!I16:I20)</f>
        <v>12800</v>
      </c>
      <c r="J12" s="11">
        <f>SUM(TDFD!J16:J20)</f>
        <v>5660</v>
      </c>
      <c r="K12" s="11">
        <f>SUM(TDFD!K16:K20)</f>
        <v>76360</v>
      </c>
    </row>
    <row r="13" spans="1:11" x14ac:dyDescent="0.25">
      <c r="A13" t="s">
        <v>26</v>
      </c>
      <c r="B13" s="58">
        <f>SUM(TDFD!B21:B25)</f>
        <v>90357.610383621286</v>
      </c>
      <c r="C13" s="58">
        <f>SUM(TDFD!C21:C25)</f>
        <v>13009.153352846271</v>
      </c>
      <c r="D13" s="58">
        <f>SUM(TDFD!D21:D25)</f>
        <v>8566.3937299451827</v>
      </c>
      <c r="E13" s="58">
        <f>SUM(TDFD!E21:E25)</f>
        <v>111933.15746641275</v>
      </c>
      <c r="G13" t="s">
        <v>26</v>
      </c>
      <c r="H13" s="11">
        <f>SUM(TDFD!H21:H25)</f>
        <v>60320</v>
      </c>
      <c r="I13" s="11">
        <f>SUM(TDFD!I21:I25)</f>
        <v>13160</v>
      </c>
      <c r="J13" s="11">
        <f>SUM(TDFD!J21:J25)</f>
        <v>6780</v>
      </c>
      <c r="K13" s="11">
        <f>SUM(TDFD!K21:K25)</f>
        <v>80260</v>
      </c>
    </row>
    <row r="14" spans="1:11" x14ac:dyDescent="0.25">
      <c r="A14" t="s">
        <v>27</v>
      </c>
      <c r="B14" s="58">
        <f>SUM(TDFD!B26:B30)</f>
        <v>99389.540792468877</v>
      </c>
      <c r="C14" s="58">
        <f>SUM(TDFD!C26:C30)</f>
        <v>11894.108959210353</v>
      </c>
      <c r="D14" s="58">
        <f>SUM(TDFD!D26:D30)</f>
        <v>3634.5441287965973</v>
      </c>
      <c r="E14" s="58">
        <f>SUM(TDFD!E26:E30)</f>
        <v>114918.19388047582</v>
      </c>
      <c r="G14" t="s">
        <v>27</v>
      </c>
      <c r="H14" s="11">
        <f>SUM(TDFD!H26:H30)</f>
        <v>68640</v>
      </c>
      <c r="I14" s="11">
        <f>SUM(TDFD!I26:I30)</f>
        <v>11020</v>
      </c>
      <c r="J14" s="11">
        <f>SUM(TDFD!J26:J30)</f>
        <v>4800</v>
      </c>
      <c r="K14" s="11">
        <f>SUM(TDFD!K26:K30)</f>
        <v>84460</v>
      </c>
    </row>
    <row r="15" spans="1:11" x14ac:dyDescent="0.25">
      <c r="A15" t="s">
        <v>28</v>
      </c>
      <c r="B15" s="58">
        <f>SUM(TDFD!B31:B35)</f>
        <v>80812.255135796906</v>
      </c>
      <c r="C15" s="58">
        <f>SUM(TDFD!C31:C35)</f>
        <v>7565.7201266279808</v>
      </c>
      <c r="D15" s="58">
        <f>SUM(TDFD!D31:D35)</f>
        <v>2400.837557305319</v>
      </c>
      <c r="E15" s="58">
        <f>SUM(TDFD!E31:E35)</f>
        <v>90778.812819730199</v>
      </c>
      <c r="G15" t="s">
        <v>28</v>
      </c>
      <c r="H15" s="11">
        <f>SUM(TDFD!H31:H35)</f>
        <v>70940</v>
      </c>
      <c r="I15" s="11">
        <f>SUM(TDFD!I31:I35)</f>
        <v>9100</v>
      </c>
      <c r="J15" s="11">
        <f>SUM(TDFD!J31:J35)</f>
        <v>3660</v>
      </c>
      <c r="K15" s="11">
        <f>SUM(TDFD!K31:K35)</f>
        <v>83700</v>
      </c>
    </row>
    <row r="16" spans="1:11" x14ac:dyDescent="0.25">
      <c r="A16" t="s">
        <v>29</v>
      </c>
      <c r="B16" s="58">
        <f>SUM(TDFD!B36:B40)</f>
        <v>72422.21761754647</v>
      </c>
      <c r="C16" s="58">
        <f>SUM(TDFD!C36:C40)</f>
        <v>4747.7799307315045</v>
      </c>
      <c r="D16" s="58">
        <f>SUM(TDFD!D36:D40)</f>
        <v>2171.6256731291342</v>
      </c>
      <c r="E16" s="58">
        <f>SUM(TDFD!E36:E40)</f>
        <v>79341.623221407106</v>
      </c>
      <c r="G16" t="s">
        <v>29</v>
      </c>
      <c r="H16" s="11">
        <f>SUM(TDFD!H36:H40)</f>
        <v>70520</v>
      </c>
      <c r="I16" s="11">
        <f>SUM(TDFD!I36:I40)</f>
        <v>8100</v>
      </c>
      <c r="J16" s="11">
        <f>SUM(TDFD!J36:J40)</f>
        <v>2700</v>
      </c>
      <c r="K16" s="11">
        <f>SUM(TDFD!K36:K40)</f>
        <v>81320</v>
      </c>
    </row>
    <row r="17" spans="1:11" x14ac:dyDescent="0.25">
      <c r="A17" t="s">
        <v>30</v>
      </c>
      <c r="B17" s="58">
        <f>SUM(TDFD!B41:B45)</f>
        <v>60561.482162504755</v>
      </c>
      <c r="C17" s="58">
        <f>SUM(TDFD!C41:C45)</f>
        <v>5999.6418492790126</v>
      </c>
      <c r="D17" s="58">
        <f>SUM(TDFD!D41:D45)</f>
        <v>657.03030090544667</v>
      </c>
      <c r="E17" s="58">
        <f>SUM(TDFD!E41:E45)</f>
        <v>67218.154312689207</v>
      </c>
      <c r="G17" t="s">
        <v>30</v>
      </c>
      <c r="H17" s="11">
        <f>SUM(TDFD!H41:H45)</f>
        <v>66100</v>
      </c>
      <c r="I17" s="11">
        <f>SUM(TDFD!I41:I45)</f>
        <v>5500</v>
      </c>
      <c r="J17" s="11">
        <f>SUM(TDFD!J41:J45)</f>
        <v>2080</v>
      </c>
      <c r="K17" s="11">
        <f>SUM(TDFD!K41:K45)</f>
        <v>73680</v>
      </c>
    </row>
    <row r="18" spans="1:11" x14ac:dyDescent="0.25">
      <c r="A18" t="s">
        <v>31</v>
      </c>
      <c r="B18" s="58">
        <f>SUM(TDFD!B46:B50)</f>
        <v>45100.824599029933</v>
      </c>
      <c r="C18" s="58">
        <f>SUM(TDFD!C46:C50)</f>
        <v>3565.2145779065786</v>
      </c>
      <c r="D18" s="58">
        <f>SUM(TDFD!D46:D50)</f>
        <v>449.57201300559296</v>
      </c>
      <c r="E18" s="58">
        <f>SUM(TDFD!E46:E50)</f>
        <v>49115.611189942108</v>
      </c>
      <c r="G18" t="s">
        <v>31</v>
      </c>
      <c r="H18" s="11">
        <f>SUM(TDFD!H46:H50)</f>
        <v>57520</v>
      </c>
      <c r="I18" s="11">
        <f>SUM(TDFD!I46:I50)</f>
        <v>4980</v>
      </c>
      <c r="J18" s="11">
        <f>SUM(TDFD!J46:J50)</f>
        <v>1620</v>
      </c>
      <c r="K18" s="11">
        <f>SUM(TDFD!K46:K50)</f>
        <v>64120</v>
      </c>
    </row>
    <row r="19" spans="1:11" x14ac:dyDescent="0.25">
      <c r="A19" t="s">
        <v>32</v>
      </c>
      <c r="B19" s="58">
        <f>SUM(TDFD!B51:B55)</f>
        <v>44076.611101081566</v>
      </c>
      <c r="C19" s="58">
        <f>SUM(TDFD!C51:C55)</f>
        <v>2914.8407112398736</v>
      </c>
      <c r="D19" s="58">
        <f>SUM(TDFD!D51:D55)</f>
        <v>836.41473735139971</v>
      </c>
      <c r="E19" s="58">
        <f>SUM(TDFD!E51:E55)</f>
        <v>47827.866549672835</v>
      </c>
      <c r="G19" t="s">
        <v>32</v>
      </c>
      <c r="H19" s="11">
        <f>SUM(TDFD!H51:H55)</f>
        <v>48760</v>
      </c>
      <c r="I19" s="11">
        <f>SUM(TDFD!I51:I55)</f>
        <v>3700</v>
      </c>
      <c r="J19" s="11">
        <f>SUM(TDFD!J51:J55)</f>
        <v>1340</v>
      </c>
      <c r="K19" s="11">
        <f>SUM(TDFD!K51:K55)</f>
        <v>53800</v>
      </c>
    </row>
    <row r="20" spans="1:11" x14ac:dyDescent="0.25">
      <c r="A20" t="s">
        <v>33</v>
      </c>
      <c r="B20" s="58">
        <f>SUM(TDFD!B56:B70)</f>
        <v>63469.705579040121</v>
      </c>
      <c r="C20" s="58">
        <f>SUM(TDFD!C56:C70)</f>
        <v>3763.1721556312873</v>
      </c>
      <c r="D20" s="58">
        <f>SUM(TDFD!D56:D70)</f>
        <v>1208.6304002479519</v>
      </c>
      <c r="E20" s="58">
        <f>SUM(TDFD!E56:E70)</f>
        <v>68441.50813491935</v>
      </c>
      <c r="G20" t="s">
        <v>33</v>
      </c>
      <c r="H20" s="11">
        <f>SUM(TDFD!H56:H70)</f>
        <v>106600</v>
      </c>
      <c r="I20" s="11">
        <f>SUM(TDFD!I56:I70)</f>
        <v>6500</v>
      </c>
      <c r="J20" s="11">
        <f>SUM(TDFD!J56:J70)</f>
        <v>2480</v>
      </c>
      <c r="K20" s="11">
        <f>SUM(TDFD!K56:K70)</f>
        <v>115580</v>
      </c>
    </row>
    <row r="21" spans="1:11" x14ac:dyDescent="0.25">
      <c r="A21" t="s">
        <v>34</v>
      </c>
      <c r="B21" s="58">
        <f>SUM(TDFD!B71:B100)</f>
        <v>39758.824928354145</v>
      </c>
      <c r="C21" s="58">
        <f>SUM(TDFD!C71:C100)</f>
        <v>1377.5306898348717</v>
      </c>
      <c r="D21" s="58">
        <f>SUM(TDFD!D71:D100)</f>
        <v>518.76958081603095</v>
      </c>
      <c r="E21" s="58">
        <f>SUM(TDFD!E71:E100)</f>
        <v>41655.125199005037</v>
      </c>
      <c r="G21" t="s">
        <v>34</v>
      </c>
      <c r="H21" s="11">
        <f>SUM(TDFD!H71:H100)</f>
        <v>90760</v>
      </c>
      <c r="I21" s="11">
        <f>SUM(TDFD!I71:I100)</f>
        <v>4220</v>
      </c>
      <c r="J21" s="11">
        <f>SUM(TDFD!J71:J100)</f>
        <v>1320</v>
      </c>
      <c r="K21" s="11">
        <f>SUM(TDFD!K71:K100)</f>
        <v>96300</v>
      </c>
    </row>
    <row ht="15.75" r="22" spans="1:11" thickBot="1" x14ac:dyDescent="0.3">
      <c r="A22" s="6" t="s">
        <v>35</v>
      </c>
      <c r="B22" s="60">
        <f>TDFD!B101</f>
        <v>0</v>
      </c>
      <c r="C22" s="60">
        <f>TDFD!C101</f>
        <v>0</v>
      </c>
      <c r="D22" s="60">
        <f>TDFD!D101</f>
        <v>0</v>
      </c>
      <c r="E22" s="60">
        <f>TDFD!E101</f>
        <v>0</v>
      </c>
      <c r="G22" s="1" t="s">
        <v>35</v>
      </c>
      <c r="H22" s="12">
        <f>TDFD!H101</f>
        <v>0</v>
      </c>
      <c r="I22" s="12">
        <f>TDFD!I101</f>
        <v>0</v>
      </c>
      <c r="J22" s="12">
        <f>TDFD!J101</f>
        <v>0</v>
      </c>
      <c r="K22" s="12">
        <f>TDFD!K101</f>
        <v>0</v>
      </c>
    </row>
    <row r="23" spans="1:11" x14ac:dyDescent="0.25">
      <c r="A23" s="53" t="s">
        <v>218</v>
      </c>
      <c r="B23" s="143">
        <f>SUM(B11:B22)</f>
        <v>686999.38887580333</v>
      </c>
      <c r="C23" s="143">
        <f>SUM(C11:C22)</f>
        <v>73358.520851119305</v>
      </c>
      <c r="D23" s="143">
        <f>SUM(D11:D22)</f>
        <v>27082.598560635994</v>
      </c>
      <c r="E23" s="143">
        <f>SUM(E11:E22)</f>
        <v>787440.50828755856</v>
      </c>
      <c r="G23" s="53" t="s">
        <v>218</v>
      </c>
      <c r="H23" s="143">
        <f>SUM(H11:H22)</f>
        <v>714780</v>
      </c>
      <c r="I23" s="143">
        <f>SUM(I11:I22)</f>
        <v>81900</v>
      </c>
      <c r="J23" s="143">
        <f>SUM(J11:J22)</f>
        <v>33760</v>
      </c>
      <c r="K23" s="143">
        <f>SUM(K11:K22)</f>
        <v>830440</v>
      </c>
    </row>
    <row ht="15.75" r="25" spans="1:11" thickBot="1" x14ac:dyDescent="0.3">
      <c r="A25" s="4" t="s">
        <v>204</v>
      </c>
      <c r="B25" s="1"/>
      <c r="C25" s="1"/>
      <c r="D25" s="1"/>
      <c r="E25" s="1"/>
      <c r="F25" s="95"/>
      <c r="G25" s="4" t="s">
        <v>13</v>
      </c>
      <c r="H25" s="1"/>
      <c r="I25" s="1"/>
      <c r="J25" s="1"/>
      <c r="K25" s="1"/>
    </row>
    <row r="26" spans="1:11" x14ac:dyDescent="0.25">
      <c r="A26" s="2" t="s">
        <v>21</v>
      </c>
      <c r="B26" s="5" t="s">
        <v>8</v>
      </c>
      <c r="C26" s="5" t="s">
        <v>9</v>
      </c>
      <c r="D26" s="5" t="s">
        <v>10</v>
      </c>
      <c r="E26" s="5" t="s">
        <v>3</v>
      </c>
      <c r="F26" s="95"/>
      <c r="G26" s="2" t="s">
        <v>21</v>
      </c>
      <c r="H26" s="5" t="s">
        <v>8</v>
      </c>
      <c r="I26" s="5" t="s">
        <v>9</v>
      </c>
      <c r="J26" s="5" t="s">
        <v>10</v>
      </c>
      <c r="K26" s="5" t="s">
        <v>3</v>
      </c>
    </row>
    <row r="27" spans="1:11" x14ac:dyDescent="0.25">
      <c r="A27" s="95" t="s">
        <v>24</v>
      </c>
      <c r="B27" s="78">
        <f>B11/B$23</f>
        <v>1.9509798336122521E-2</v>
      </c>
      <c r="C27" s="78">
        <f>C11/C$23</f>
        <v>4.9300149628513486E-2</v>
      </c>
      <c r="D27" s="78">
        <f>D11/D$23</f>
        <v>1.9388404388639511E-2</v>
      </c>
      <c r="E27" s="78">
        <f>E11/E$23</f>
        <v>2.2280913639350992E-2</v>
      </c>
      <c r="F27" s="95"/>
      <c r="G27" s="95" t="s">
        <v>24</v>
      </c>
      <c r="H27" s="78">
        <f ref="H27:K39" si="0" t="shared">H11/H$23</f>
        <v>2.3391812865497075E-2</v>
      </c>
      <c r="I27" s="78">
        <f si="0" t="shared"/>
        <v>3.4432234432234435E-2</v>
      </c>
      <c r="J27" s="78">
        <f si="0" t="shared"/>
        <v>3.9099526066350712E-2</v>
      </c>
      <c r="K27" s="78">
        <f si="0" t="shared"/>
        <v>2.5119213910697942E-2</v>
      </c>
    </row>
    <row r="28" spans="1:11" x14ac:dyDescent="0.25">
      <c r="A28" s="95" t="s">
        <v>25</v>
      </c>
      <c r="B28" s="78">
        <f ref="B28:E38" si="1" t="shared">B12/B$23</f>
        <v>0.11302353146108848</v>
      </c>
      <c r="C28" s="78">
        <f si="1" t="shared"/>
        <v>0.20317711249350479</v>
      </c>
      <c r="D28" s="78">
        <f si="1" t="shared"/>
        <v>0.22574244685776459</v>
      </c>
      <c r="E28" s="78">
        <f si="1" t="shared"/>
        <v>0.12529906769285945</v>
      </c>
      <c r="F28" s="95"/>
      <c r="G28" s="95" t="s">
        <v>25</v>
      </c>
      <c r="H28" s="78">
        <f si="0" t="shared"/>
        <v>8.1003945269873243E-2</v>
      </c>
      <c r="I28" s="78">
        <f si="0" t="shared"/>
        <v>0.15628815628815629</v>
      </c>
      <c r="J28" s="78">
        <f si="0" t="shared"/>
        <v>0.16765402843601895</v>
      </c>
      <c r="K28" s="78">
        <f si="0" t="shared"/>
        <v>9.1951254756514625E-2</v>
      </c>
    </row>
    <row r="29" spans="1:11" x14ac:dyDescent="0.25">
      <c r="A29" s="95" t="s">
        <v>26</v>
      </c>
      <c r="B29" s="78">
        <f si="1" t="shared"/>
        <v>0.13152502294286067</v>
      </c>
      <c r="C29" s="78">
        <f si="1" t="shared"/>
        <v>0.17733663658851945</v>
      </c>
      <c r="D29" s="78">
        <f si="1" t="shared"/>
        <v>0.31630619605299848</v>
      </c>
      <c r="E29" s="78">
        <f si="1" t="shared"/>
        <v>0.14214808139580351</v>
      </c>
      <c r="F29" s="95"/>
      <c r="G29" s="95" t="s">
        <v>26</v>
      </c>
      <c r="H29" s="78">
        <f si="0" t="shared"/>
        <v>8.4389602395142566E-2</v>
      </c>
      <c r="I29" s="78">
        <f si="0" t="shared"/>
        <v>0.1606837606837607</v>
      </c>
      <c r="J29" s="78">
        <f si="0" t="shared"/>
        <v>0.20082938388625593</v>
      </c>
      <c r="K29" s="78">
        <f si="0" t="shared"/>
        <v>9.6647560329463894E-2</v>
      </c>
    </row>
    <row r="30" spans="1:11" x14ac:dyDescent="0.25">
      <c r="A30" s="95" t="s">
        <v>27</v>
      </c>
      <c r="B30" s="78">
        <f si="1" t="shared"/>
        <v>0.14467194935225286</v>
      </c>
      <c r="C30" s="78">
        <f si="1" t="shared"/>
        <v>0.16213670642772879</v>
      </c>
      <c r="D30" s="78">
        <f si="1" t="shared"/>
        <v>0.13420219336261674</v>
      </c>
      <c r="E30" s="78">
        <f si="1" t="shared"/>
        <v>0.14593889020313119</v>
      </c>
      <c r="F30" s="95"/>
      <c r="G30" s="95" t="s">
        <v>27</v>
      </c>
      <c r="H30" s="78">
        <f si="0" t="shared"/>
        <v>9.6029547553093259E-2</v>
      </c>
      <c r="I30" s="78">
        <f si="0" t="shared"/>
        <v>0.13455433455433455</v>
      </c>
      <c r="J30" s="78">
        <f si="0" t="shared"/>
        <v>0.14218009478672985</v>
      </c>
      <c r="K30" s="78">
        <f si="0" t="shared"/>
        <v>0.10170512017725543</v>
      </c>
    </row>
    <row r="31" spans="1:11" x14ac:dyDescent="0.25">
      <c r="A31" s="95" t="s">
        <v>28</v>
      </c>
      <c r="B31" s="78">
        <f si="1" t="shared"/>
        <v>0.1176307525804892</v>
      </c>
      <c r="C31" s="78">
        <f si="1" t="shared"/>
        <v>0.10313348795544237</v>
      </c>
      <c r="D31" s="78">
        <f si="1" t="shared"/>
        <v>8.8648714853931623E-2</v>
      </c>
      <c r="E31" s="78">
        <f si="1" t="shared"/>
        <v>0.1152833920331915</v>
      </c>
      <c r="F31" s="95"/>
      <c r="G31" s="95" t="s">
        <v>28</v>
      </c>
      <c r="H31" s="78">
        <f si="0" t="shared"/>
        <v>9.9247320853969048E-2</v>
      </c>
      <c r="I31" s="78">
        <f si="0" t="shared"/>
        <v>0.1111111111111111</v>
      </c>
      <c r="J31" s="78">
        <f si="0" t="shared"/>
        <v>0.10841232227488151</v>
      </c>
      <c r="K31" s="78">
        <f si="0" t="shared"/>
        <v>0.1007899426809884</v>
      </c>
    </row>
    <row r="32" spans="1:11" x14ac:dyDescent="0.25">
      <c r="A32" s="95" t="s">
        <v>29</v>
      </c>
      <c r="B32" s="78">
        <f si="1" t="shared"/>
        <v>0.10541816890995671</v>
      </c>
      <c r="C32" s="78">
        <f si="1" t="shared"/>
        <v>6.4720224394478956E-2</v>
      </c>
      <c r="D32" s="78">
        <f si="1" t="shared"/>
        <v>8.0185277209165143E-2</v>
      </c>
      <c r="E32" s="78">
        <f si="1" t="shared"/>
        <v>0.10075887941547583</v>
      </c>
      <c r="F32" s="95"/>
      <c r="G32" s="95" t="s">
        <v>29</v>
      </c>
      <c r="H32" s="78">
        <f si="0" t="shared"/>
        <v>9.8659727468591737E-2</v>
      </c>
      <c r="I32" s="78">
        <f si="0" t="shared"/>
        <v>9.8901098901098897E-2</v>
      </c>
      <c r="J32" s="78">
        <f si="0" t="shared"/>
        <v>7.9976303317535538E-2</v>
      </c>
      <c r="K32" s="78">
        <f si="0" t="shared"/>
        <v>9.792399210057319E-2</v>
      </c>
    </row>
    <row r="33" spans="1:11" x14ac:dyDescent="0.25">
      <c r="A33" s="95" t="s">
        <v>30</v>
      </c>
      <c r="B33" s="78">
        <f si="1" t="shared"/>
        <v>8.8153618683135593E-2</v>
      </c>
      <c r="C33" s="78">
        <f si="1" t="shared"/>
        <v>8.1785207494235762E-2</v>
      </c>
      <c r="D33" s="78">
        <f si="1" t="shared"/>
        <v>2.4260238523065022E-2</v>
      </c>
      <c r="E33" s="78">
        <f si="1" t="shared"/>
        <v>8.5362835166897952E-2</v>
      </c>
      <c r="F33" s="95"/>
      <c r="G33" s="95" t="s">
        <v>30</v>
      </c>
      <c r="H33" s="78">
        <f si="0" t="shared"/>
        <v>9.247600660343043E-2</v>
      </c>
      <c r="I33" s="78">
        <f si="0" t="shared"/>
        <v>6.7155067155067152E-2</v>
      </c>
      <c r="J33" s="78">
        <f si="0" t="shared"/>
        <v>6.1611374407582936E-2</v>
      </c>
      <c r="K33" s="78">
        <f si="0" t="shared"/>
        <v>8.8724049901257165E-2</v>
      </c>
    </row>
    <row r="34" spans="1:11" x14ac:dyDescent="0.25">
      <c r="A34" s="95" t="s">
        <v>31</v>
      </c>
      <c r="B34" s="78">
        <f si="1" t="shared"/>
        <v>6.5649002501781434E-2</v>
      </c>
      <c r="C34" s="78">
        <f si="1" t="shared"/>
        <v>4.8599870015674951E-2</v>
      </c>
      <c r="D34" s="78">
        <f si="1" t="shared"/>
        <v>1.6600032378688977E-2</v>
      </c>
      <c r="E34" s="78">
        <f si="1" t="shared"/>
        <v>6.2373742108789258E-2</v>
      </c>
      <c r="F34" s="95"/>
      <c r="G34" s="95" t="s">
        <v>31</v>
      </c>
      <c r="H34" s="78">
        <f si="0" t="shared"/>
        <v>8.0472313159293762E-2</v>
      </c>
      <c r="I34" s="78">
        <f si="0" t="shared"/>
        <v>6.0805860805860805E-2</v>
      </c>
      <c r="J34" s="78">
        <f si="0" t="shared"/>
        <v>4.798578199052133E-2</v>
      </c>
      <c r="K34" s="78">
        <f si="0" t="shared"/>
        <v>7.7212080342950726E-2</v>
      </c>
    </row>
    <row r="35" spans="1:11" x14ac:dyDescent="0.25">
      <c r="A35" s="95" t="s">
        <v>32</v>
      </c>
      <c r="B35" s="78">
        <f si="1" t="shared"/>
        <v>6.4158151833596161E-2</v>
      </c>
      <c r="C35" s="78">
        <f si="1" t="shared"/>
        <v>3.9734180534467513E-2</v>
      </c>
      <c r="D35" s="78">
        <f si="1" t="shared"/>
        <v>3.0883843567622478E-2</v>
      </c>
      <c r="E35" s="78">
        <f si="1" t="shared"/>
        <v>6.0738387276625845E-2</v>
      </c>
      <c r="F35" s="95"/>
      <c r="G35" s="95" t="s">
        <v>32</v>
      </c>
      <c r="H35" s="78">
        <f si="0" t="shared"/>
        <v>6.8216793978566836E-2</v>
      </c>
      <c r="I35" s="78">
        <f si="0" t="shared"/>
        <v>4.5177045177045176E-2</v>
      </c>
      <c r="J35" s="78">
        <f si="0" t="shared"/>
        <v>3.9691943127962086E-2</v>
      </c>
      <c r="K35" s="78">
        <f si="0" t="shared"/>
        <v>6.4784933288377242E-2</v>
      </c>
    </row>
    <row r="36" spans="1:11" x14ac:dyDescent="0.25">
      <c r="A36" s="95" t="s">
        <v>33</v>
      </c>
      <c r="B36" s="78">
        <f si="1" t="shared"/>
        <v>9.2386844306952154E-2</v>
      </c>
      <c r="C36" s="78">
        <f si="1" t="shared"/>
        <v>5.1298364688522329E-2</v>
      </c>
      <c r="D36" s="78">
        <f si="1" t="shared"/>
        <v>4.4627563988806879E-2</v>
      </c>
      <c r="E36" s="78">
        <f si="1" t="shared"/>
        <v>8.6916417703425786E-2</v>
      </c>
      <c r="F36" s="95"/>
      <c r="G36" s="95" t="s">
        <v>33</v>
      </c>
      <c r="H36" s="78">
        <f si="0" t="shared"/>
        <v>0.14913679733624333</v>
      </c>
      <c r="I36" s="78">
        <f si="0" t="shared"/>
        <v>7.9365079365079361E-2</v>
      </c>
      <c r="J36" s="78">
        <f si="0" t="shared"/>
        <v>7.3459715639810422E-2</v>
      </c>
      <c r="K36" s="78">
        <f si="0" t="shared"/>
        <v>0.13917923028755841</v>
      </c>
    </row>
    <row r="37" spans="1:11" x14ac:dyDescent="0.25">
      <c r="A37" s="95" t="s">
        <v>34</v>
      </c>
      <c r="B37" s="78">
        <f si="1" t="shared"/>
        <v>5.7873159091764194E-2</v>
      </c>
      <c r="C37" s="78">
        <f si="1" t="shared"/>
        <v>1.8778059778911879E-2</v>
      </c>
      <c r="D37" s="78">
        <f si="1" t="shared"/>
        <v>1.9155088816700624E-2</v>
      </c>
      <c r="E37" s="78">
        <f si="1" t="shared"/>
        <v>5.2899393364448766E-2</v>
      </c>
      <c r="F37" s="95"/>
      <c r="G37" s="95" t="s">
        <v>34</v>
      </c>
      <c r="H37" s="78">
        <f si="0" t="shared"/>
        <v>0.12697613251629872</v>
      </c>
      <c r="I37" s="78">
        <f si="0" t="shared"/>
        <v>5.1526251526251524E-2</v>
      </c>
      <c r="J37" s="78">
        <f si="0" t="shared"/>
        <v>3.9099526066350712E-2</v>
      </c>
      <c r="K37" s="78">
        <f si="0" t="shared"/>
        <v>0.11596262222436299</v>
      </c>
    </row>
    <row r="38" spans="1:11" x14ac:dyDescent="0.25">
      <c r="A38" s="6" t="s">
        <v>35</v>
      </c>
      <c r="B38" s="197">
        <f si="1" t="shared"/>
        <v>0</v>
      </c>
      <c r="C38" s="197">
        <f si="1" t="shared"/>
        <v>0</v>
      </c>
      <c r="D38" s="197">
        <f si="1" t="shared"/>
        <v>0</v>
      </c>
      <c r="E38" s="197">
        <f si="1" t="shared"/>
        <v>0</v>
      </c>
      <c r="F38" s="95"/>
      <c r="G38" s="6" t="s">
        <v>35</v>
      </c>
      <c r="H38" s="197">
        <f si="0" t="shared"/>
        <v>0</v>
      </c>
      <c r="I38" s="197">
        <f si="0" t="shared"/>
        <v>0</v>
      </c>
      <c r="J38" s="197">
        <f si="0" t="shared"/>
        <v>0</v>
      </c>
      <c r="K38" s="197">
        <f si="0" t="shared"/>
        <v>0</v>
      </c>
    </row>
    <row r="39" spans="1:11" x14ac:dyDescent="0.25">
      <c r="A39" s="53" t="s">
        <v>218</v>
      </c>
      <c r="B39" s="198">
        <f>B23/B$23</f>
        <v>1</v>
      </c>
      <c r="C39" s="198">
        <f>C23/C$23</f>
        <v>1</v>
      </c>
      <c r="D39" s="198">
        <f>D23/D$23</f>
        <v>1</v>
      </c>
      <c r="E39" s="198">
        <f>E23/E$23</f>
        <v>1</v>
      </c>
      <c r="G39" s="53" t="s">
        <v>218</v>
      </c>
      <c r="H39" s="198">
        <f si="0" t="shared"/>
        <v>1</v>
      </c>
      <c r="I39" s="198">
        <f si="0" t="shared"/>
        <v>1</v>
      </c>
      <c r="J39" s="198">
        <f si="0" t="shared"/>
        <v>1</v>
      </c>
      <c r="K39" s="198">
        <f si="0" t="shared"/>
        <v>1</v>
      </c>
    </row>
  </sheetData>
  <pageMargins bottom="0.75" footer="0.3" header="0.3" left="0.7" right="0.7" top="0.75"/>
  <pageSetup orientation="portrait" r:id="rId1"/>
  <ignoredErrors>
    <ignoredError formulaRange="1" sqref="B11:D22 H12:K22 I11:K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CS109"/>
  <sheetViews>
    <sheetView topLeftCell="M28" workbookViewId="0" zoomScaleNormal="100">
      <selection activeCell="Z34" sqref="Z34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style="95" width="8.0" collapsed="true"/>
    <col min="9" max="9" bestFit="true" customWidth="true" width="9.7109375" collapsed="true"/>
    <col min="10" max="10" bestFit="true" customWidth="true" width="10.7109375" collapsed="true"/>
    <col min="11" max="11" customWidth="true" style="95" width="9.7109375" collapsed="true"/>
    <col min="12" max="12" customWidth="true" style="95" width="9.0" collapsed="true"/>
    <col min="13" max="13" customWidth="true" style="95" width="8.7109375" collapsed="true"/>
    <col min="14" max="14" customWidth="true" style="95" width="8.140625" collapsed="true"/>
    <col min="15" max="15" customWidth="true" style="95" width="9.7109375" collapsed="true"/>
    <col min="16" max="16" customWidth="true" style="95" width="9.140625" collapsed="true"/>
    <col min="17" max="18" customWidth="true" style="95" width="7.5703125" collapsed="true"/>
    <col min="19" max="19" customWidth="true" style="95" width="10.85546875" collapsed="true"/>
    <col min="20" max="20" customWidth="true" style="95" width="8.85546875" collapsed="true"/>
    <col min="21" max="21" customWidth="true" style="95" width="8.5703125" collapsed="true"/>
    <col min="22" max="22" customWidth="true" style="95" width="7.5703125" collapsed="true"/>
    <col min="23" max="23" customWidth="true" style="95" width="9.42578125" collapsed="true"/>
    <col min="24" max="26" customWidth="true" width="9.140625" collapsed="true"/>
    <col min="27" max="27" customWidth="true" width="8.0" collapsed="true"/>
    <col min="28" max="28" customWidth="true" width="9.0" collapsed="true"/>
    <col min="29" max="29" customWidth="true" width="8.85546875" collapsed="true"/>
    <col min="30" max="30" customWidth="true" width="9.0" collapsed="true"/>
    <col min="31" max="31" customWidth="true" width="9.7109375" collapsed="true"/>
    <col min="32" max="36" customWidth="true" style="95" width="8.0" collapsed="true"/>
    <col min="37" max="37" customWidth="true" width="8.7109375" collapsed="true"/>
    <col min="38" max="38" customWidth="true" width="9.28515625" collapsed="true"/>
    <col min="39" max="39" customWidth="true" style="95" width="9.140625" collapsed="true"/>
    <col min="40" max="40" customWidth="true" style="95" width="8.28515625" collapsed="true"/>
    <col min="41" max="41" customWidth="true" style="95" width="7.5703125" collapsed="true"/>
    <col min="42" max="42" bestFit="true" customWidth="true" style="95" width="8.0" collapsed="true"/>
    <col min="43" max="43" customWidth="true" style="95" width="8.42578125" collapsed="true"/>
    <col min="44" max="45" customWidth="true" style="95" width="8.85546875" collapsed="true"/>
    <col min="46" max="47" bestFit="true" customWidth="true" style="95" width="10.5703125" collapsed="true"/>
    <col min="48" max="48" customWidth="true" width="9.140625" collapsed="true"/>
    <col min="49" max="49" customWidth="true" width="11.5703125" collapsed="true"/>
    <col min="50" max="51" bestFit="true" customWidth="true" width="10.5703125" collapsed="true"/>
    <col min="52" max="52" customWidth="true" width="9.140625" collapsed="true"/>
    <col min="53" max="55" bestFit="true" customWidth="true" width="10.5703125" collapsed="true"/>
    <col min="56" max="56" customWidth="true" style="95" width="9.5703125" collapsed="true"/>
    <col min="57" max="57" bestFit="true" customWidth="true" width="9.5703125" collapsed="true"/>
    <col min="58" max="59" bestFit="true" customWidth="true" width="10.5703125" collapsed="true"/>
    <col min="60" max="61" bestFit="true" customWidth="true" width="11.5703125" collapsed="true"/>
    <col min="62" max="64" bestFit="true" customWidth="true" width="10.5703125" collapsed="true"/>
    <col min="65" max="65" bestFit="true" customWidth="true" width="9.5703125" collapsed="true"/>
    <col min="66" max="69" bestFit="true" customWidth="true" width="10.5703125" collapsed="true"/>
    <col min="70" max="70" bestFit="true" customWidth="true" width="9.28515625" collapsed="true"/>
    <col min="71" max="71" bestFit="true" customWidth="true" width="11.5703125" collapsed="true"/>
    <col min="75" max="75" bestFit="true" customWidth="true" width="19.28515625" collapsed="true"/>
    <col min="76" max="76" bestFit="true" customWidth="true" width="10.5703125" collapsed="true"/>
    <col min="77" max="77" customWidth="true" width="11.42578125" collapsed="true"/>
    <col min="82" max="82" bestFit="true" customWidth="true" width="11.5703125" collapsed="true"/>
    <col min="84" max="84" bestFit="true" customWidth="true" width="8.0" collapsed="true"/>
    <col min="88" max="88" customWidth="true" width="11.85546875" collapsed="true"/>
    <col min="89" max="89" bestFit="true" customWidth="true" width="15.7109375" collapsed="true"/>
    <col min="90" max="90" customWidth="true" width="13.5703125" collapsed="true"/>
    <col min="92" max="92" customWidth="true" width="11.140625" collapsed="true"/>
    <col min="93" max="93" customWidth="true" width="14.140625" collapsed="true"/>
    <col min="94" max="94" bestFit="true" customWidth="true" width="10.28515625" collapsed="true"/>
    <col min="96" max="96" bestFit="true" customWidth="true" width="10.5703125" collapsed="true"/>
  </cols>
  <sheetData>
    <row r="1" spans="1:96" x14ac:dyDescent="0.25">
      <c r="A1" t="s">
        <v>319</v>
      </c>
    </row>
    <row r="2" spans="1:96" x14ac:dyDescent="0.25">
      <c r="A2" t="s">
        <v>247</v>
      </c>
    </row>
    <row r="3" spans="1:96" x14ac:dyDescent="0.25">
      <c r="A3" t="s">
        <v>16</v>
      </c>
    </row>
    <row ht="15.75" r="5" spans="1:96" thickBot="1" x14ac:dyDescent="0.3">
      <c r="A5" s="4" t="s">
        <v>320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426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7"/>
      <c r="AN5" s="7"/>
      <c r="AO5" s="7"/>
      <c r="AP5" s="7"/>
      <c r="AQ5" s="7"/>
      <c r="AR5" s="7"/>
      <c r="AS5" s="7"/>
      <c r="AT5" s="7"/>
      <c r="AU5" s="7"/>
      <c r="AW5" s="4" t="s">
        <v>321</v>
      </c>
      <c r="AX5" s="1"/>
      <c r="AY5" s="1"/>
      <c r="AZ5" s="1"/>
      <c r="BA5" s="1"/>
      <c r="BB5" s="1"/>
      <c r="BC5" s="1"/>
      <c r="BD5" s="1"/>
      <c r="BE5" s="1"/>
      <c r="BF5" s="1"/>
    </row>
    <row r="6" spans="1:96" x14ac:dyDescent="0.25">
      <c r="A6" s="2" t="s">
        <v>14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15</v>
      </c>
      <c r="W6" s="3" t="s">
        <v>3</v>
      </c>
      <c r="X6" s="79"/>
      <c r="Y6" s="2" t="s">
        <v>14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15</v>
      </c>
      <c r="AU6" s="3" t="s">
        <v>3</v>
      </c>
      <c r="AW6" s="2" t="s">
        <v>14</v>
      </c>
      <c r="AX6" s="2">
        <v>1</v>
      </c>
      <c r="AY6" s="2">
        <v>2</v>
      </c>
      <c r="AZ6" s="2">
        <v>3</v>
      </c>
      <c r="BA6" s="2">
        <v>4</v>
      </c>
      <c r="BB6" s="2">
        <v>5</v>
      </c>
      <c r="BC6" s="2">
        <v>6</v>
      </c>
      <c r="BD6" s="2">
        <v>7</v>
      </c>
      <c r="BE6" s="2">
        <v>8</v>
      </c>
      <c r="BF6" s="2">
        <v>9</v>
      </c>
      <c r="BG6" s="2">
        <v>10</v>
      </c>
      <c r="BH6" s="2">
        <v>11</v>
      </c>
      <c r="BI6" s="2">
        <v>12</v>
      </c>
      <c r="BJ6" s="2">
        <v>13</v>
      </c>
      <c r="BK6" s="2">
        <v>14</v>
      </c>
      <c r="BL6" s="2">
        <v>15</v>
      </c>
      <c r="BM6" s="2">
        <v>16</v>
      </c>
      <c r="BN6" s="2">
        <v>17</v>
      </c>
      <c r="BO6" s="2">
        <v>18</v>
      </c>
      <c r="BP6" s="2">
        <v>19</v>
      </c>
      <c r="BQ6" s="2">
        <v>20</v>
      </c>
      <c r="BR6" s="3" t="s">
        <v>15</v>
      </c>
      <c r="BS6" s="3" t="s">
        <v>3</v>
      </c>
      <c r="BV6" s="2" t="s">
        <v>359</v>
      </c>
      <c r="BW6" s="2">
        <v>1</v>
      </c>
      <c r="BX6" s="2">
        <v>2</v>
      </c>
      <c r="BY6" s="2">
        <v>3</v>
      </c>
      <c r="BZ6" s="2">
        <v>4</v>
      </c>
      <c r="CA6" s="2">
        <v>5</v>
      </c>
      <c r="CB6" s="2">
        <v>6</v>
      </c>
      <c r="CC6" s="2">
        <v>7</v>
      </c>
      <c r="CD6" s="2">
        <v>8</v>
      </c>
      <c r="CE6" s="2">
        <v>9</v>
      </c>
      <c r="CF6" s="2">
        <v>10</v>
      </c>
      <c r="CG6" s="2">
        <v>11</v>
      </c>
      <c r="CH6" s="2">
        <v>12</v>
      </c>
      <c r="CI6" s="2">
        <v>13</v>
      </c>
      <c r="CJ6" s="2">
        <v>14</v>
      </c>
      <c r="CK6" s="2">
        <v>15</v>
      </c>
      <c r="CL6" s="2">
        <v>16</v>
      </c>
      <c r="CM6" s="2">
        <v>17</v>
      </c>
      <c r="CN6" s="2">
        <v>18</v>
      </c>
      <c r="CO6" s="2">
        <v>19</v>
      </c>
      <c r="CP6" s="2">
        <v>20</v>
      </c>
      <c r="CQ6" s="3" t="s">
        <v>15</v>
      </c>
      <c r="CR6" s="3" t="s">
        <v>3</v>
      </c>
    </row>
    <row r="7" spans="1:96" x14ac:dyDescent="0.25">
      <c r="A7" s="31">
        <v>1</v>
      </c>
      <c r="B7" s="77" t="n">
        <v>1396.0573136369053</v>
      </c>
      <c r="C7" s="77" t="n">
        <v>189.8969855560208</v>
      </c>
      <c r="D7" s="77" t="n">
        <v>190.6959987023466</v>
      </c>
      <c r="E7" s="77" t="n">
        <v>0.0</v>
      </c>
      <c r="F7" s="77" t="n">
        <v>181.48353574128612</v>
      </c>
      <c r="G7" s="77" t="n">
        <v>2250.351444592396</v>
      </c>
      <c r="H7" s="77" t="n">
        <v>0.0</v>
      </c>
      <c r="I7" s="77" t="n">
        <v>0.0</v>
      </c>
      <c r="J7" s="77" t="n">
        <v>719.964094285213</v>
      </c>
      <c r="K7" s="77" t="n">
        <v>99.385536928001</v>
      </c>
      <c r="L7" s="77" t="n">
        <v>472.053217390526</v>
      </c>
      <c r="M7" s="77" t="n">
        <v>427.1102060186485</v>
      </c>
      <c r="N7" s="77" t="n">
        <v>26.8856274469222</v>
      </c>
      <c r="O7" s="77" t="n">
        <v>0.0</v>
      </c>
      <c r="P7" s="77" t="n">
        <v>0.0</v>
      </c>
      <c r="Q7" s="77" t="n">
        <v>0.0</v>
      </c>
      <c r="R7" s="77" t="n">
        <v>0.0</v>
      </c>
      <c r="S7" s="77" t="n">
        <v>0.0</v>
      </c>
      <c r="T7" s="77" t="n">
        <v>0.0</v>
      </c>
      <c r="U7" s="77" t="n">
        <v>0.0</v>
      </c>
      <c r="V7" s="77"/>
      <c r="W7" s="77">
        <f>SUM(B7:V7)</f>
        <v>5953.8839602982653</v>
      </c>
      <c r="X7" s="15"/>
      <c r="Y7" s="31">
        <v>1</v>
      </c>
      <c r="Z7" s="77">
        <v>2558</v>
      </c>
      <c r="AA7" s="77">
        <v>900</v>
      </c>
      <c r="AB7" s="77">
        <v>462</v>
      </c>
      <c r="AC7" s="77">
        <v>412</v>
      </c>
      <c r="AD7" s="77">
        <v>454</v>
      </c>
      <c r="AE7" s="77">
        <v>2741</v>
      </c>
      <c r="AF7" s="77">
        <v>552</v>
      </c>
      <c r="AG7" s="77">
        <v>74</v>
      </c>
      <c r="AH7" s="77">
        <v>607</v>
      </c>
      <c r="AI7" s="77">
        <v>273</v>
      </c>
      <c r="AJ7" s="77">
        <v>353</v>
      </c>
      <c r="AK7" s="77">
        <v>1732</v>
      </c>
      <c r="AL7" s="77">
        <v>126</v>
      </c>
      <c r="AM7" s="77">
        <v>34</v>
      </c>
      <c r="AN7" s="77">
        <v>112</v>
      </c>
      <c r="AO7" s="77">
        <v>48</v>
      </c>
      <c r="AP7" s="77">
        <v>22</v>
      </c>
      <c r="AQ7" s="77">
        <v>71</v>
      </c>
      <c r="AR7" s="77">
        <v>66</v>
      </c>
      <c r="AS7" s="77">
        <v>26</v>
      </c>
      <c r="AT7" s="77">
        <v>0</v>
      </c>
      <c r="AU7" s="77">
        <f>SUM(Z7:AT7)</f>
        <v>11623</v>
      </c>
      <c r="AV7" s="14"/>
      <c r="AW7" s="31">
        <v>1</v>
      </c>
      <c r="AX7" s="77" t="n">
        <v>2848.0</v>
      </c>
      <c r="AY7" s="77" t="n">
        <v>696.0</v>
      </c>
      <c r="AZ7" s="77" t="n">
        <v>519.0</v>
      </c>
      <c r="BA7" s="77" t="n">
        <v>709.0</v>
      </c>
      <c r="BB7" s="77" t="n">
        <v>700.0</v>
      </c>
      <c r="BC7" s="77" t="n">
        <v>3211.0</v>
      </c>
      <c r="BD7" s="77" t="n">
        <v>381.0</v>
      </c>
      <c r="BE7" s="77" t="n">
        <v>68.0</v>
      </c>
      <c r="BF7" s="77" t="n">
        <v>442.0</v>
      </c>
      <c r="BG7" s="77" t="n">
        <v>382.0</v>
      </c>
      <c r="BH7" s="77" t="n">
        <v>432.0</v>
      </c>
      <c r="BI7" s="77" t="n">
        <v>1368.0</v>
      </c>
      <c r="BJ7" s="77" t="n">
        <v>119.0</v>
      </c>
      <c r="BK7" s="77" t="n">
        <v>32.0</v>
      </c>
      <c r="BL7" s="77" t="n">
        <v>78.0</v>
      </c>
      <c r="BM7" s="77" t="n">
        <v>58.0</v>
      </c>
      <c r="BN7" s="77" t="n">
        <v>28.0</v>
      </c>
      <c r="BO7" s="77" t="n">
        <v>31.0</v>
      </c>
      <c r="BP7" s="77" t="n">
        <v>57.0</v>
      </c>
      <c r="BQ7" s="77" t="n">
        <v>10.0</v>
      </c>
      <c r="BR7" s="77"/>
      <c r="BS7" s="77">
        <f>SUM(AX7:BR7)</f>
        <v>11720</v>
      </c>
      <c r="BT7" s="102"/>
      <c r="BU7" t="s">
        <v>346</v>
      </c>
      <c r="BV7" s="95" t="s">
        <v>343</v>
      </c>
      <c r="BW7" s="108">
        <f>B28</f>
        <v>83524.716672332506</v>
      </c>
      <c r="BX7" s="108">
        <f ref="BX7:CR7" si="0" t="shared">C28</f>
        <v>33517.436176149633</v>
      </c>
      <c r="BY7" s="108">
        <f si="0" t="shared"/>
        <v>20342.761980711071</v>
      </c>
      <c r="BZ7" s="108">
        <f si="0" t="shared"/>
        <v>24858.21125930726</v>
      </c>
      <c r="CA7" s="108">
        <f si="0" t="shared"/>
        <v>23036.313694395729</v>
      </c>
      <c r="CB7" s="108">
        <f si="0" t="shared"/>
        <v>116219.36188648028</v>
      </c>
      <c r="CC7" s="108">
        <f si="0" t="shared"/>
        <v>74301.509013582981</v>
      </c>
      <c r="CD7" s="108">
        <f si="0" t="shared"/>
        <v>3682.4775864874828</v>
      </c>
      <c r="CE7" s="108">
        <f si="0" t="shared"/>
        <v>54879.130936305446</v>
      </c>
      <c r="CF7" s="108">
        <f si="0" t="shared"/>
        <v>14021.229546144357</v>
      </c>
      <c r="CG7" s="108">
        <f si="0" t="shared"/>
        <v>40033.491243339275</v>
      </c>
      <c r="CH7" s="108">
        <f si="0" t="shared"/>
        <v>150051.4119853304</v>
      </c>
      <c r="CI7" s="108">
        <f si="0" t="shared"/>
        <v>58699.074960954094</v>
      </c>
      <c r="CJ7" s="108">
        <f si="0" t="shared"/>
        <v>13303.423145710443</v>
      </c>
      <c r="CK7" s="108">
        <f si="0" t="shared"/>
        <v>18530.92040310935</v>
      </c>
      <c r="CL7" s="108">
        <f si="0" t="shared"/>
        <v>2059.7893251669652</v>
      </c>
      <c r="CM7" s="108">
        <f si="0" t="shared"/>
        <v>9135.2817345814929</v>
      </c>
      <c r="CN7" s="108">
        <f si="0" t="shared"/>
        <v>13074.167718361357</v>
      </c>
      <c r="CO7" s="108">
        <f si="0" t="shared"/>
        <v>16912.63761576551</v>
      </c>
      <c r="CP7" s="108">
        <f si="0" t="shared"/>
        <v>17257.161403342958</v>
      </c>
      <c r="CQ7" s="108">
        <f si="0" t="shared"/>
        <v>0</v>
      </c>
      <c r="CR7" s="108">
        <f si="0" t="shared"/>
        <v>787440.50828755845</v>
      </c>
    </row>
    <row r="8" spans="1:96" x14ac:dyDescent="0.25">
      <c r="A8">
        <v>2</v>
      </c>
      <c r="B8" s="77" t="n">
        <v>839.4778910856769</v>
      </c>
      <c r="C8" s="77" t="n">
        <v>673.4443244966642</v>
      </c>
      <c r="D8" s="77" t="n">
        <v>295.8443516427647</v>
      </c>
      <c r="E8" s="77" t="n">
        <v>2165.5701144084114</v>
      </c>
      <c r="F8" s="77" t="n">
        <v>49.6927684640005</v>
      </c>
      <c r="G8" s="77" t="n">
        <v>1832.0893814518508</v>
      </c>
      <c r="H8" s="77" t="n">
        <v>793.5735119464265</v>
      </c>
      <c r="I8" s="77" t="n">
        <v>0.0</v>
      </c>
      <c r="J8" s="77" t="n">
        <v>824.8936108141735</v>
      </c>
      <c r="K8" s="77" t="n">
        <v>91.492492737117</v>
      </c>
      <c r="L8" s="77" t="n">
        <v>132.8746246847385</v>
      </c>
      <c r="M8" s="77" t="n">
        <v>930.6901363213349</v>
      </c>
      <c r="N8" s="77" t="n">
        <v>0.0</v>
      </c>
      <c r="O8" s="77" t="n">
        <v>0.0</v>
      </c>
      <c r="P8" s="77" t="n">
        <v>0.0</v>
      </c>
      <c r="Q8" s="77" t="n">
        <v>0.0</v>
      </c>
      <c r="R8" s="77" t="n">
        <v>0.0</v>
      </c>
      <c r="S8" s="77" t="n">
        <v>0.0</v>
      </c>
      <c r="T8" s="77" t="n">
        <v>193.3917398399318</v>
      </c>
      <c r="U8" s="77" t="n">
        <v>0.0</v>
      </c>
      <c r="V8" s="77"/>
      <c r="W8" s="77">
        <f ref="W8:W27" si="1" t="shared">SUM(B8:V8)</f>
        <v>8823.0349478930912</v>
      </c>
      <c r="X8" s="15"/>
      <c r="Y8" s="95">
        <v>2</v>
      </c>
      <c r="Z8" s="77">
        <v>1874</v>
      </c>
      <c r="AA8" s="77">
        <v>2639</v>
      </c>
      <c r="AB8" s="77">
        <v>772</v>
      </c>
      <c r="AC8" s="77">
        <v>480</v>
      </c>
      <c r="AD8" s="77">
        <v>594</v>
      </c>
      <c r="AE8" s="77">
        <v>3513</v>
      </c>
      <c r="AF8" s="77">
        <v>1458</v>
      </c>
      <c r="AG8" s="77">
        <v>127</v>
      </c>
      <c r="AH8" s="77">
        <v>1490</v>
      </c>
      <c r="AI8" s="77">
        <v>455</v>
      </c>
      <c r="AJ8" s="77">
        <v>915</v>
      </c>
      <c r="AK8" s="77">
        <v>2760</v>
      </c>
      <c r="AL8" s="77">
        <v>283</v>
      </c>
      <c r="AM8" s="77">
        <v>67</v>
      </c>
      <c r="AN8" s="77">
        <v>277</v>
      </c>
      <c r="AO8" s="77">
        <v>83</v>
      </c>
      <c r="AP8" s="77">
        <v>56</v>
      </c>
      <c r="AQ8" s="77">
        <v>176</v>
      </c>
      <c r="AR8" s="77">
        <v>144</v>
      </c>
      <c r="AS8" s="77">
        <v>57</v>
      </c>
      <c r="AT8" s="77">
        <v>0</v>
      </c>
      <c r="AU8" s="77">
        <f ref="AU8:AU27" si="2" t="shared">SUM(Z8:AT8)</f>
        <v>18220</v>
      </c>
      <c r="AV8" s="14"/>
      <c r="AW8" s="95">
        <v>2</v>
      </c>
      <c r="AX8" s="77" t="n">
        <v>1394.0</v>
      </c>
      <c r="AY8" s="77" t="n">
        <v>2322.0</v>
      </c>
      <c r="AZ8" s="77" t="n">
        <v>725.0</v>
      </c>
      <c r="BA8" s="77" t="n">
        <v>478.0</v>
      </c>
      <c r="BB8" s="77" t="n">
        <v>569.0</v>
      </c>
      <c r="BC8" s="77" t="n">
        <v>2730.0</v>
      </c>
      <c r="BD8" s="77" t="n">
        <v>1208.0</v>
      </c>
      <c r="BE8" s="77" t="n">
        <v>103.0</v>
      </c>
      <c r="BF8" s="77" t="n">
        <v>1366.0</v>
      </c>
      <c r="BG8" s="77" t="n">
        <v>405.0</v>
      </c>
      <c r="BH8" s="77" t="n">
        <v>582.0</v>
      </c>
      <c r="BI8" s="77" t="n">
        <v>2214.0</v>
      </c>
      <c r="BJ8" s="77" t="n">
        <v>317.0</v>
      </c>
      <c r="BK8" s="77" t="n">
        <v>32.0</v>
      </c>
      <c r="BL8" s="77" t="n">
        <v>200.0</v>
      </c>
      <c r="BM8" s="77" t="n">
        <v>45.0</v>
      </c>
      <c r="BN8" s="77" t="n">
        <v>33.0</v>
      </c>
      <c r="BO8" s="77" t="n">
        <v>49.0</v>
      </c>
      <c r="BP8" s="77" t="n">
        <v>72.0</v>
      </c>
      <c r="BQ8" s="77" t="n">
        <v>14.0</v>
      </c>
      <c r="BR8" s="77"/>
      <c r="BS8" s="77">
        <f ref="BS8:BS27" si="3" t="shared">SUM(AX8:BR8)</f>
        <v>14440</v>
      </c>
      <c r="BT8" s="102"/>
      <c r="BV8" t="s">
        <v>356</v>
      </c>
      <c r="BW8" s="58">
        <f>Flow_ODData!C25</f>
        <v>50465</v>
      </c>
      <c r="BX8" s="58">
        <f>Flow_ODData!D25</f>
        <v>41849</v>
      </c>
      <c r="BY8" s="58">
        <f>Flow_ODData!E25</f>
        <v>26730</v>
      </c>
      <c r="BZ8" s="58">
        <f>Flow_ODData!F25</f>
        <v>18661</v>
      </c>
      <c r="CA8" s="58">
        <f>Flow_ODData!G25</f>
        <v>24148</v>
      </c>
      <c r="CB8" s="58">
        <f>Flow_ODData!H25</f>
        <v>106455</v>
      </c>
      <c r="CC8" s="58">
        <f>Flow_ODData!I25</f>
        <v>86378</v>
      </c>
      <c r="CD8" s="58">
        <f>Flow_ODData!J25</f>
        <v>5098</v>
      </c>
      <c r="CE8" s="58">
        <f>Flow_ODData!K25</f>
        <v>52399</v>
      </c>
      <c r="CF8" s="58">
        <f>Flow_ODData!L25</f>
        <v>20410</v>
      </c>
      <c r="CG8" s="58">
        <f>Flow_ODData!M25</f>
        <v>57960</v>
      </c>
      <c r="CH8" s="58">
        <f>Flow_ODData!N25</f>
        <v>148223</v>
      </c>
      <c r="CI8" s="58">
        <f>Flow_ODData!O25</f>
        <v>100852</v>
      </c>
      <c r="CJ8" s="58">
        <f>Flow_ODData!P25</f>
        <v>15338</v>
      </c>
      <c r="CK8" s="58">
        <f>Flow_ODData!Q25</f>
        <v>37987</v>
      </c>
      <c r="CL8" s="58">
        <f>Flow_ODData!R25</f>
        <v>5063</v>
      </c>
      <c r="CM8" s="58">
        <f>Flow_ODData!S25</f>
        <v>15286</v>
      </c>
      <c r="CN8" s="58">
        <f>Flow_ODData!T25</f>
        <v>23663</v>
      </c>
      <c r="CO8" s="58">
        <f>Flow_ODData!U25</f>
        <v>36765</v>
      </c>
      <c r="CP8" s="58">
        <f>Flow_ODData!V25</f>
        <v>30183</v>
      </c>
      <c r="CQ8" s="58">
        <f>Flow_ODData!W25</f>
        <v>0</v>
      </c>
      <c r="CR8" s="58">
        <f>Flow_ODData!X25</f>
        <v>903913</v>
      </c>
    </row>
    <row r="9" spans="1:96" x14ac:dyDescent="0.25">
      <c r="A9">
        <v>3</v>
      </c>
      <c r="B9" s="77" t="n">
        <v>5835.356505635256</v>
      </c>
      <c r="C9" s="77" t="n">
        <v>3540.045085804079</v>
      </c>
      <c r="D9" s="77" t="n">
        <v>3383.825979287434</v>
      </c>
      <c r="E9" s="77" t="n">
        <v>762.7256948076135</v>
      </c>
      <c r="F9" s="77" t="n">
        <v>1637.7761231659904</v>
      </c>
      <c r="G9" s="77" t="n">
        <v>6229.5635477391515</v>
      </c>
      <c r="H9" s="77" t="n">
        <v>855.6179601478602</v>
      </c>
      <c r="I9" s="77" t="n">
        <v>750.8248671854076</v>
      </c>
      <c r="J9" s="77" t="n">
        <v>1663.2706464228795</v>
      </c>
      <c r="K9" s="77" t="n">
        <v>815.296225237118</v>
      </c>
      <c r="L9" s="77" t="n">
        <v>1470.479614144679</v>
      </c>
      <c r="M9" s="77" t="n">
        <v>4620.856702117153</v>
      </c>
      <c r="N9" s="77" t="n">
        <v>69.8419057340848</v>
      </c>
      <c r="O9" s="77" t="n">
        <v>0.0</v>
      </c>
      <c r="P9" s="77" t="n">
        <v>0.0</v>
      </c>
      <c r="Q9" s="77" t="n">
        <v>0.0</v>
      </c>
      <c r="R9" s="77" t="n">
        <v>0.0</v>
      </c>
      <c r="S9" s="77" t="n">
        <v>0.0</v>
      </c>
      <c r="T9" s="77" t="n">
        <v>199.7928513740479</v>
      </c>
      <c r="U9" s="77" t="n">
        <v>0.0</v>
      </c>
      <c r="V9" s="77"/>
      <c r="W9" s="77">
        <f si="1" t="shared"/>
        <v>31835.273708802753</v>
      </c>
      <c r="X9" s="15"/>
      <c r="Y9" s="95">
        <v>3</v>
      </c>
      <c r="Z9" s="77">
        <v>5450</v>
      </c>
      <c r="AA9" s="77">
        <v>3923</v>
      </c>
      <c r="AB9" s="77">
        <v>3138</v>
      </c>
      <c r="AC9" s="77">
        <v>1501</v>
      </c>
      <c r="AD9" s="77">
        <v>1572</v>
      </c>
      <c r="AE9" s="77">
        <v>8512</v>
      </c>
      <c r="AF9" s="77">
        <v>2035</v>
      </c>
      <c r="AG9" s="77">
        <v>382</v>
      </c>
      <c r="AH9" s="77">
        <v>2019</v>
      </c>
      <c r="AI9" s="77">
        <v>1049</v>
      </c>
      <c r="AJ9" s="77">
        <v>2011</v>
      </c>
      <c r="AK9" s="77">
        <v>4809</v>
      </c>
      <c r="AL9" s="77">
        <v>439</v>
      </c>
      <c r="AM9" s="77">
        <v>142</v>
      </c>
      <c r="AN9" s="77">
        <v>407</v>
      </c>
      <c r="AO9" s="77">
        <v>168</v>
      </c>
      <c r="AP9" s="77">
        <v>150</v>
      </c>
      <c r="AQ9" s="77">
        <v>209</v>
      </c>
      <c r="AR9" s="77">
        <v>421</v>
      </c>
      <c r="AS9" s="77">
        <v>96</v>
      </c>
      <c r="AT9" s="77">
        <v>0</v>
      </c>
      <c r="AU9" s="77">
        <f si="2" t="shared"/>
        <v>38433</v>
      </c>
      <c r="AV9" s="14"/>
      <c r="AW9" s="95">
        <v>3</v>
      </c>
      <c r="AX9" s="77" t="n">
        <v>4738.0</v>
      </c>
      <c r="AY9" s="77" t="n">
        <v>2588.0</v>
      </c>
      <c r="AZ9" s="77" t="n">
        <v>4045.0</v>
      </c>
      <c r="BA9" s="77" t="n">
        <v>1827.0</v>
      </c>
      <c r="BB9" s="77" t="n">
        <v>1828.0</v>
      </c>
      <c r="BC9" s="77" t="n">
        <v>6708.0</v>
      </c>
      <c r="BD9" s="77" t="n">
        <v>1507.0</v>
      </c>
      <c r="BE9" s="77" t="n">
        <v>559.0</v>
      </c>
      <c r="BF9" s="77" t="n">
        <v>1973.0</v>
      </c>
      <c r="BG9" s="77" t="n">
        <v>1308.0</v>
      </c>
      <c r="BH9" s="77" t="n">
        <v>3432.0</v>
      </c>
      <c r="BI9" s="77" t="n">
        <v>4041.0</v>
      </c>
      <c r="BJ9" s="77" t="n">
        <v>393.0</v>
      </c>
      <c r="BK9" s="77" t="n">
        <v>212.0</v>
      </c>
      <c r="BL9" s="77" t="n">
        <v>310.0</v>
      </c>
      <c r="BM9" s="77" t="n">
        <v>141.0</v>
      </c>
      <c r="BN9" s="77" t="n">
        <v>200.0</v>
      </c>
      <c r="BO9" s="77" t="n">
        <v>103.0</v>
      </c>
      <c r="BP9" s="77" t="n">
        <v>476.0</v>
      </c>
      <c r="BQ9" s="77" t="n">
        <v>11.0</v>
      </c>
      <c r="BR9" s="77"/>
      <c r="BS9" s="77">
        <f si="3" t="shared"/>
        <v>36080</v>
      </c>
      <c r="BT9" s="102"/>
      <c r="BV9" s="95" t="s">
        <v>344</v>
      </c>
      <c r="BW9" s="108">
        <f ref="BW9:CR9" si="4" t="shared">Z28</f>
        <v>70858</v>
      </c>
      <c r="BX9" s="108">
        <f si="4" t="shared"/>
        <v>75074</v>
      </c>
      <c r="BY9" s="108">
        <f si="4" t="shared"/>
        <v>24294</v>
      </c>
      <c r="BZ9" s="108">
        <f si="4" t="shared"/>
        <v>23571</v>
      </c>
      <c r="CA9" s="108">
        <f si="4" t="shared"/>
        <v>27651</v>
      </c>
      <c r="CB9" s="108">
        <f si="4" t="shared"/>
        <v>153058</v>
      </c>
      <c r="CC9" s="108">
        <f si="4" t="shared"/>
        <v>84080</v>
      </c>
      <c r="CD9" s="108">
        <f si="4" t="shared"/>
        <v>7355</v>
      </c>
      <c r="CE9" s="108">
        <f si="4" t="shared"/>
        <v>57234</v>
      </c>
      <c r="CF9" s="108">
        <f si="4" t="shared"/>
        <v>21817</v>
      </c>
      <c r="CG9" s="108">
        <f si="4" t="shared"/>
        <v>50898</v>
      </c>
      <c r="CH9" s="108">
        <f si="4" t="shared"/>
        <v>162784</v>
      </c>
      <c r="CI9" s="108">
        <f si="4" t="shared"/>
        <v>65336</v>
      </c>
      <c r="CJ9" s="108">
        <f si="4" t="shared"/>
        <v>11928</v>
      </c>
      <c r="CK9" s="108">
        <f si="4" t="shared"/>
        <v>31047</v>
      </c>
      <c r="CL9" s="108">
        <f si="4" t="shared"/>
        <v>5518</v>
      </c>
      <c r="CM9" s="108">
        <f si="4" t="shared"/>
        <v>11837</v>
      </c>
      <c r="CN9" s="108">
        <f si="4" t="shared"/>
        <v>23748</v>
      </c>
      <c r="CO9" s="108">
        <f si="4" t="shared"/>
        <v>29164</v>
      </c>
      <c r="CP9" s="108">
        <f si="4" t="shared"/>
        <v>22156</v>
      </c>
      <c r="CQ9" s="108">
        <f si="4" t="shared"/>
        <v>0</v>
      </c>
      <c r="CR9" s="108">
        <f si="4" t="shared"/>
        <v>959408</v>
      </c>
    </row>
    <row r="10" spans="1:96" x14ac:dyDescent="0.25">
      <c r="A10">
        <v>4</v>
      </c>
      <c r="B10" s="77" t="n">
        <v>1616.0624833341371</v>
      </c>
      <c r="C10" s="77" t="n">
        <v>60.4782528951078</v>
      </c>
      <c r="D10" s="77" t="n">
        <v>743.617680963302</v>
      </c>
      <c r="E10" s="77" t="n">
        <v>582.2743672770808</v>
      </c>
      <c r="F10" s="77" t="n">
        <v>469.2556787750797</v>
      </c>
      <c r="G10" s="77" t="n">
        <v>1099.0053891106788</v>
      </c>
      <c r="H10" s="77" t="n">
        <v>921.438594372371</v>
      </c>
      <c r="I10" s="77" t="n">
        <v>130.7424747897607</v>
      </c>
      <c r="J10" s="77" t="n">
        <v>268.77106871752153</v>
      </c>
      <c r="K10" s="77" t="n">
        <v>214.3812000724433</v>
      </c>
      <c r="L10" s="77" t="n">
        <v>502.8628460621882</v>
      </c>
      <c r="M10" s="77" t="n">
        <v>676.2675764306304</v>
      </c>
      <c r="N10" s="77" t="n">
        <v>0.0</v>
      </c>
      <c r="O10" s="77" t="n">
        <v>0.0</v>
      </c>
      <c r="P10" s="77" t="n">
        <v>0.0</v>
      </c>
      <c r="Q10" s="77" t="n">
        <v>0.0</v>
      </c>
      <c r="R10" s="77" t="n">
        <v>0.0</v>
      </c>
      <c r="S10" s="77" t="n">
        <v>0.0</v>
      </c>
      <c r="T10" s="77" t="n">
        <v>49.6927684640005</v>
      </c>
      <c r="U10" s="77" t="n">
        <v>0.0</v>
      </c>
      <c r="V10" s="77"/>
      <c r="W10" s="77">
        <f si="1" t="shared"/>
        <v>7334.8503812643012</v>
      </c>
      <c r="X10" s="15"/>
      <c r="Y10" s="95">
        <v>4</v>
      </c>
      <c r="Z10" s="77">
        <v>2108</v>
      </c>
      <c r="AA10" s="77">
        <v>2221</v>
      </c>
      <c r="AB10" s="77">
        <v>938</v>
      </c>
      <c r="AC10" s="77">
        <v>1370</v>
      </c>
      <c r="AD10" s="77">
        <v>1182</v>
      </c>
      <c r="AE10" s="77">
        <v>3967</v>
      </c>
      <c r="AF10" s="77">
        <v>1124</v>
      </c>
      <c r="AG10" s="77">
        <v>404</v>
      </c>
      <c r="AH10" s="77">
        <v>998</v>
      </c>
      <c r="AI10" s="77">
        <v>644</v>
      </c>
      <c r="AJ10" s="77">
        <v>992</v>
      </c>
      <c r="AK10" s="77">
        <v>2078</v>
      </c>
      <c r="AL10" s="77">
        <v>247</v>
      </c>
      <c r="AM10" s="77">
        <v>109</v>
      </c>
      <c r="AN10" s="77">
        <v>165</v>
      </c>
      <c r="AO10" s="77">
        <v>99</v>
      </c>
      <c r="AP10" s="77">
        <v>65</v>
      </c>
      <c r="AQ10" s="77">
        <v>125</v>
      </c>
      <c r="AR10" s="77">
        <v>128</v>
      </c>
      <c r="AS10" s="77">
        <v>65</v>
      </c>
      <c r="AT10" s="77">
        <v>0</v>
      </c>
      <c r="AU10" s="77">
        <f si="2" t="shared"/>
        <v>19029</v>
      </c>
      <c r="AV10" s="14"/>
      <c r="AW10" s="95">
        <v>4</v>
      </c>
      <c r="AX10" s="77" t="n">
        <v>1563.0</v>
      </c>
      <c r="AY10" s="77" t="n">
        <v>801.0</v>
      </c>
      <c r="AZ10" s="77" t="n">
        <v>803.0</v>
      </c>
      <c r="BA10" s="77" t="n">
        <v>1333.0</v>
      </c>
      <c r="BB10" s="77" t="n">
        <v>931.0</v>
      </c>
      <c r="BC10" s="77" t="n">
        <v>2849.0</v>
      </c>
      <c r="BD10" s="77" t="n">
        <v>422.0</v>
      </c>
      <c r="BE10" s="77" t="n">
        <v>232.0</v>
      </c>
      <c r="BF10" s="77" t="n">
        <v>524.0</v>
      </c>
      <c r="BG10" s="77" t="n">
        <v>584.0</v>
      </c>
      <c r="BH10" s="77" t="n">
        <v>888.0</v>
      </c>
      <c r="BI10" s="77" t="n">
        <v>1454.0</v>
      </c>
      <c r="BJ10" s="77" t="n">
        <v>96.0</v>
      </c>
      <c r="BK10" s="77" t="n">
        <v>82.0</v>
      </c>
      <c r="BL10" s="77" t="n">
        <v>74.0</v>
      </c>
      <c r="BM10" s="77" t="n">
        <v>61.0</v>
      </c>
      <c r="BN10" s="77" t="n">
        <v>46.0</v>
      </c>
      <c r="BO10" s="77" t="n">
        <v>33.0</v>
      </c>
      <c r="BP10" s="77" t="n">
        <v>110.0</v>
      </c>
      <c r="BQ10" s="77" t="n">
        <v>3.0</v>
      </c>
      <c r="BR10" s="77"/>
      <c r="BS10" s="77">
        <f si="3" t="shared"/>
        <v>13000</v>
      </c>
      <c r="BT10" s="102"/>
      <c r="BV10" s="6" t="s">
        <v>345</v>
      </c>
      <c r="BW10" s="135">
        <f ref="BW10:CR10" si="5" t="shared">AX28</f>
        <v>45640</v>
      </c>
      <c r="BX10" s="135">
        <f si="5" t="shared"/>
        <v>38180</v>
      </c>
      <c r="BY10" s="135">
        <f si="5" t="shared"/>
        <v>24100</v>
      </c>
      <c r="BZ10" s="135">
        <f si="5" t="shared"/>
        <v>17520</v>
      </c>
      <c r="CA10" s="135">
        <f si="5" t="shared"/>
        <v>21740</v>
      </c>
      <c r="CB10" s="135">
        <f si="5" t="shared"/>
        <v>96120</v>
      </c>
      <c r="CC10" s="135">
        <f si="5" t="shared"/>
        <v>78260</v>
      </c>
      <c r="CD10" s="135">
        <f si="5" t="shared"/>
        <v>4600</v>
      </c>
      <c r="CE10" s="135">
        <f si="5" t="shared"/>
        <v>46940</v>
      </c>
      <c r="CF10" s="135">
        <f si="5" t="shared"/>
        <v>17920</v>
      </c>
      <c r="CG10" s="135">
        <f si="5" t="shared"/>
        <v>50980</v>
      </c>
      <c r="CH10" s="135">
        <f si="5" t="shared"/>
        <v>148580</v>
      </c>
      <c r="CI10" s="135">
        <f si="5" t="shared"/>
        <v>91740</v>
      </c>
      <c r="CJ10" s="135">
        <f si="5" t="shared"/>
        <v>13760</v>
      </c>
      <c r="CK10" s="135">
        <f si="5" t="shared"/>
        <v>34800</v>
      </c>
      <c r="CL10" s="135">
        <f si="5" t="shared"/>
        <v>4560</v>
      </c>
      <c r="CM10" s="135">
        <f si="5" t="shared"/>
        <v>13940</v>
      </c>
      <c r="CN10" s="135">
        <f si="5" t="shared"/>
        <v>21140</v>
      </c>
      <c r="CO10" s="135">
        <f si="5" t="shared"/>
        <v>33420</v>
      </c>
      <c r="CP10" s="135">
        <f si="5" t="shared"/>
        <v>26500</v>
      </c>
      <c r="CQ10" s="135">
        <f si="5" t="shared"/>
        <v>0</v>
      </c>
      <c r="CR10" s="135">
        <f si="5" t="shared"/>
        <v>830440</v>
      </c>
    </row>
    <row r="11" spans="1:96" x14ac:dyDescent="0.25">
      <c r="A11">
        <v>5</v>
      </c>
      <c r="B11" s="77" t="n">
        <v>786.9462345377635</v>
      </c>
      <c r="C11" s="77" t="n">
        <v>498.12504946812203</v>
      </c>
      <c r="D11" s="77" t="n">
        <v>49.5107375012291</v>
      </c>
      <c r="E11" s="77" t="n">
        <v>247.7504780247959</v>
      </c>
      <c r="F11" s="77" t="n">
        <v>1067.3531000124278</v>
      </c>
      <c r="G11" s="77" t="n">
        <v>2387.501948668865</v>
      </c>
      <c r="H11" s="77" t="n">
        <v>510.2782474160339</v>
      </c>
      <c r="I11" s="77" t="n">
        <v>0.0</v>
      </c>
      <c r="J11" s="77" t="n">
        <v>486.93718103783937</v>
      </c>
      <c r="K11" s="77" t="n">
        <v>747.2413023085934</v>
      </c>
      <c r="L11" s="77" t="n">
        <v>126.5347867626661</v>
      </c>
      <c r="M11" s="77" t="n">
        <v>3395.8683891521086</v>
      </c>
      <c r="N11" s="77" t="n">
        <v>0.0</v>
      </c>
      <c r="O11" s="77" t="n">
        <v>0.0</v>
      </c>
      <c r="P11" s="77" t="n">
        <v>0.0</v>
      </c>
      <c r="Q11" s="77" t="n">
        <v>0.0</v>
      </c>
      <c r="R11" s="77" t="n">
        <v>71.6349923389629</v>
      </c>
      <c r="S11" s="77" t="n">
        <v>0.0</v>
      </c>
      <c r="T11" s="77" t="n">
        <v>0.0</v>
      </c>
      <c r="U11" s="77" t="n">
        <v>41.7997242731165</v>
      </c>
      <c r="V11" s="77"/>
      <c r="W11" s="77">
        <f si="1" t="shared"/>
        <v>10417.482171502525</v>
      </c>
      <c r="X11" s="15"/>
      <c r="Y11" s="95">
        <v>5</v>
      </c>
      <c r="Z11" s="77">
        <v>2165</v>
      </c>
      <c r="AA11" s="77">
        <v>1480</v>
      </c>
      <c r="AB11" s="77">
        <v>578</v>
      </c>
      <c r="AC11" s="77">
        <v>661</v>
      </c>
      <c r="AD11" s="77">
        <v>1341</v>
      </c>
      <c r="AE11" s="77">
        <v>5419</v>
      </c>
      <c r="AF11" s="77">
        <v>836</v>
      </c>
      <c r="AG11" s="77">
        <v>153</v>
      </c>
      <c r="AH11" s="77">
        <v>743</v>
      </c>
      <c r="AI11" s="77">
        <v>748</v>
      </c>
      <c r="AJ11" s="77">
        <v>567</v>
      </c>
      <c r="AK11" s="77">
        <v>2587</v>
      </c>
      <c r="AL11" s="77">
        <v>234</v>
      </c>
      <c r="AM11" s="77">
        <v>106</v>
      </c>
      <c r="AN11" s="77">
        <v>165</v>
      </c>
      <c r="AO11" s="77">
        <v>82</v>
      </c>
      <c r="AP11" s="77">
        <v>48</v>
      </c>
      <c r="AQ11" s="77">
        <v>151</v>
      </c>
      <c r="AR11" s="77">
        <v>101</v>
      </c>
      <c r="AS11" s="77">
        <v>68</v>
      </c>
      <c r="AT11" s="77">
        <v>0</v>
      </c>
      <c r="AU11" s="77">
        <f si="2" t="shared"/>
        <v>18233</v>
      </c>
      <c r="AV11" s="14"/>
      <c r="AW11" s="95">
        <v>5</v>
      </c>
      <c r="AX11" s="77" t="n">
        <v>1577.0</v>
      </c>
      <c r="AY11" s="77" t="n">
        <v>795.0</v>
      </c>
      <c r="AZ11" s="77" t="n">
        <v>521.0</v>
      </c>
      <c r="BA11" s="77" t="n">
        <v>643.0</v>
      </c>
      <c r="BB11" s="77" t="n">
        <v>1812.0</v>
      </c>
      <c r="BC11" s="77" t="n">
        <v>4655.0</v>
      </c>
      <c r="BD11" s="77" t="n">
        <v>499.0</v>
      </c>
      <c r="BE11" s="77" t="n">
        <v>107.0</v>
      </c>
      <c r="BF11" s="77" t="n">
        <v>458.0</v>
      </c>
      <c r="BG11" s="77" t="n">
        <v>1037.0</v>
      </c>
      <c r="BH11" s="77" t="n">
        <v>444.0</v>
      </c>
      <c r="BI11" s="77" t="n">
        <v>1841.0</v>
      </c>
      <c r="BJ11" s="77" t="n">
        <v>118.0</v>
      </c>
      <c r="BK11" s="77" t="n">
        <v>42.0</v>
      </c>
      <c r="BL11" s="77" t="n">
        <v>62.0</v>
      </c>
      <c r="BM11" s="77" t="n">
        <v>107.0</v>
      </c>
      <c r="BN11" s="77" t="n">
        <v>32.0</v>
      </c>
      <c r="BO11" s="77" t="n">
        <v>42.0</v>
      </c>
      <c r="BP11" s="77" t="n">
        <v>47.0</v>
      </c>
      <c r="BQ11" s="77" t="n">
        <v>7.0</v>
      </c>
      <c r="BR11" s="77"/>
      <c r="BS11" s="77">
        <f si="3" t="shared"/>
        <v>14380</v>
      </c>
      <c r="BT11" s="102"/>
      <c r="BU11" t="s">
        <v>347</v>
      </c>
      <c r="BV11" s="95" t="s">
        <v>343</v>
      </c>
      <c r="BW11" s="108">
        <f ref="BW11:CR11" si="6" t="shared">B55</f>
        <v>88085.722011194797</v>
      </c>
      <c r="BX11" s="108">
        <f si="6" t="shared"/>
        <v>35347.71123046818</v>
      </c>
      <c r="BY11" s="108">
        <f si="6" t="shared"/>
        <v>21453.612154141982</v>
      </c>
      <c r="BZ11" s="108">
        <f si="6" t="shared"/>
        <v>26215.635011045928</v>
      </c>
      <c r="CA11" s="108">
        <f si="6" t="shared"/>
        <v>24294.249715418468</v>
      </c>
      <c r="CB11" s="108">
        <f si="6" t="shared"/>
        <v>122565.71241793911</v>
      </c>
      <c r="CC11" s="108">
        <f si="6" t="shared"/>
        <v>78358.865839179183</v>
      </c>
      <c r="CD11" s="108">
        <f si="6" t="shared"/>
        <v>3883.5653674625451</v>
      </c>
      <c r="CE11" s="108">
        <f si="6" t="shared"/>
        <v>57875.896674219344</v>
      </c>
      <c r="CF11" s="108">
        <f si="6" t="shared"/>
        <v>14786.881982515468</v>
      </c>
      <c r="CG11" s="108">
        <f si="6" t="shared"/>
        <v>42219.586264894147</v>
      </c>
      <c r="CH11" s="108">
        <f si="6" t="shared"/>
        <v>158245.21758486042</v>
      </c>
      <c r="CI11" s="108">
        <f si="6" t="shared"/>
        <v>61904.435062126082</v>
      </c>
      <c r="CJ11" s="108">
        <f si="6" t="shared"/>
        <v>14029.878576032528</v>
      </c>
      <c r="CK11" s="108">
        <f si="6" t="shared"/>
        <v>19542.831969648203</v>
      </c>
      <c r="CL11" s="108">
        <f si="6" t="shared"/>
        <v>2172.2675290245552</v>
      </c>
      <c r="CM11" s="108">
        <f si="6" t="shared"/>
        <v>9634.1289072919772</v>
      </c>
      <c r="CN11" s="108">
        <f si="6" t="shared"/>
        <v>13788.104276788261</v>
      </c>
      <c r="CO11" s="108">
        <f si="6" t="shared"/>
        <v>17836.180173381894</v>
      </c>
      <c r="CP11" s="108">
        <f si="6" t="shared"/>
        <v>18199.517252367084</v>
      </c>
      <c r="CQ11" s="108">
        <f si="6" t="shared"/>
        <v>0</v>
      </c>
      <c r="CR11" s="108">
        <f si="6" t="shared"/>
        <v>830440</v>
      </c>
    </row>
    <row r="12" spans="1:96" x14ac:dyDescent="0.25">
      <c r="A12">
        <v>6</v>
      </c>
      <c r="B12" s="77" t="n">
        <v>7358.525030299986</v>
      </c>
      <c r="C12" s="77" t="n">
        <v>2575.7485027220073</v>
      </c>
      <c r="D12" s="77" t="n">
        <v>599.8660011635093</v>
      </c>
      <c r="E12" s="77" t="n">
        <v>271.940931802597</v>
      </c>
      <c r="F12" s="77" t="n">
        <v>824.5134233742831</v>
      </c>
      <c r="G12" s="77" t="n">
        <v>24359.79020407026</v>
      </c>
      <c r="H12" s="77" t="n">
        <v>1518.1606131188198</v>
      </c>
      <c r="I12" s="77" t="n">
        <v>0.0</v>
      </c>
      <c r="J12" s="77" t="n">
        <v>1335.3563200134513</v>
      </c>
      <c r="K12" s="77" t="n">
        <v>757.8518195330541</v>
      </c>
      <c r="L12" s="77" t="n">
        <v>891.677924669352</v>
      </c>
      <c r="M12" s="77" t="n">
        <v>9308.696776024815</v>
      </c>
      <c r="N12" s="77" t="n">
        <v>194.622820316533</v>
      </c>
      <c r="O12" s="77" t="n">
        <v>0.0</v>
      </c>
      <c r="P12" s="77" t="n">
        <v>626.8849432870925</v>
      </c>
      <c r="Q12" s="77" t="n">
        <v>0.0</v>
      </c>
      <c r="R12" s="77" t="n">
        <v>0.0</v>
      </c>
      <c r="S12" s="77" t="n">
        <v>49.6927684640005</v>
      </c>
      <c r="T12" s="77" t="n">
        <v>0.0</v>
      </c>
      <c r="U12" s="77" t="n">
        <v>0.0</v>
      </c>
      <c r="V12" s="77"/>
      <c r="W12" s="77">
        <f si="1" t="shared"/>
        <v>50673.328078859762</v>
      </c>
      <c r="X12" s="15"/>
      <c r="Y12" s="95">
        <v>6</v>
      </c>
      <c r="Z12" s="77">
        <v>3501</v>
      </c>
      <c r="AA12" s="77">
        <v>2100</v>
      </c>
      <c r="AB12" s="77">
        <v>798</v>
      </c>
      <c r="AC12" s="77">
        <v>668</v>
      </c>
      <c r="AD12" s="77">
        <v>1197</v>
      </c>
      <c r="AE12" s="77">
        <v>11630</v>
      </c>
      <c r="AF12" s="77">
        <v>1285</v>
      </c>
      <c r="AG12" s="77">
        <v>134</v>
      </c>
      <c r="AH12" s="77">
        <v>1060</v>
      </c>
      <c r="AI12" s="77">
        <v>835</v>
      </c>
      <c r="AJ12" s="77">
        <v>702</v>
      </c>
      <c r="AK12" s="77">
        <v>5055</v>
      </c>
      <c r="AL12" s="77">
        <v>449</v>
      </c>
      <c r="AM12" s="77">
        <v>96</v>
      </c>
      <c r="AN12" s="77">
        <v>236</v>
      </c>
      <c r="AO12" s="77">
        <v>151</v>
      </c>
      <c r="AP12" s="77">
        <v>63</v>
      </c>
      <c r="AQ12" s="77">
        <v>274</v>
      </c>
      <c r="AR12" s="77">
        <v>160</v>
      </c>
      <c r="AS12" s="77">
        <v>84</v>
      </c>
      <c r="AT12" s="77">
        <v>0</v>
      </c>
      <c r="AU12" s="77">
        <f si="2" t="shared"/>
        <v>30478</v>
      </c>
      <c r="AV12" s="15"/>
      <c r="AW12" s="95">
        <v>6</v>
      </c>
      <c r="AX12" s="77" t="n">
        <v>3148.0</v>
      </c>
      <c r="AY12" s="77" t="n">
        <v>1799.0</v>
      </c>
      <c r="AZ12" s="77" t="n">
        <v>837.0</v>
      </c>
      <c r="BA12" s="77" t="n">
        <v>901.0</v>
      </c>
      <c r="BB12" s="77" t="n">
        <v>1968.0</v>
      </c>
      <c r="BC12" s="77" t="n">
        <v>11779.0</v>
      </c>
      <c r="BD12" s="77" t="n">
        <v>1144.0</v>
      </c>
      <c r="BE12" s="77" t="n">
        <v>167.0</v>
      </c>
      <c r="BF12" s="77" t="n">
        <v>1050.0</v>
      </c>
      <c r="BG12" s="77" t="n">
        <v>1138.0</v>
      </c>
      <c r="BH12" s="77" t="n">
        <v>844.0</v>
      </c>
      <c r="BI12" s="77" t="n">
        <v>4670.0</v>
      </c>
      <c r="BJ12" s="77" t="n">
        <v>297.0</v>
      </c>
      <c r="BK12" s="77" t="n">
        <v>69.0</v>
      </c>
      <c r="BL12" s="77" t="n">
        <v>161.0</v>
      </c>
      <c r="BM12" s="77" t="n">
        <v>163.0</v>
      </c>
      <c r="BN12" s="77" t="n">
        <v>52.0</v>
      </c>
      <c r="BO12" s="77" t="n">
        <v>112.0</v>
      </c>
      <c r="BP12" s="77" t="n">
        <v>101.0</v>
      </c>
      <c r="BQ12" s="77" t="n">
        <v>21.0</v>
      </c>
      <c r="BR12" s="77"/>
      <c r="BS12" s="77">
        <f si="3" t="shared"/>
        <v>30340</v>
      </c>
      <c r="BT12" s="102"/>
      <c r="BV12" s="95" t="s">
        <v>356</v>
      </c>
      <c r="BW12" s="58">
        <f>Flow_ODData!C52</f>
        <v>46363.04002708225</v>
      </c>
      <c r="BX12" s="58">
        <f>Flow_ODData!D52</f>
        <v>38447.376639123453</v>
      </c>
      <c r="BY12" s="58">
        <f>Flow_ODData!E52</f>
        <v>24557.298324064373</v>
      </c>
      <c r="BZ12" s="58">
        <f>Flow_ODData!F52</f>
        <v>17144.172990099709</v>
      </c>
      <c r="CA12" s="58">
        <f>Flow_ODData!G52</f>
        <v>22185.171714534474</v>
      </c>
      <c r="CB12" s="58">
        <f>Flow_ODData!H52</f>
        <v>97801.990014525742</v>
      </c>
      <c r="CC12" s="58">
        <f>Flow_ODData!I52</f>
        <v>79356.914127797689</v>
      </c>
      <c r="CD12" s="58">
        <f>Flow_ODData!J52</f>
        <v>4683.6179145559363</v>
      </c>
      <c r="CE12" s="58">
        <f>Flow_ODData!K52</f>
        <v>48139.83819239241</v>
      </c>
      <c r="CF12" s="58">
        <f>Flow_ODData!L52</f>
        <v>18751.008559452071</v>
      </c>
      <c r="CG12" s="58">
        <f>Flow_ODData!M52</f>
        <v>53248.821955210289</v>
      </c>
      <c r="CH12" s="58">
        <f>Flow_ODData!N52</f>
        <v>136174.95059812171</v>
      </c>
      <c r="CI12" s="58">
        <f>Flow_ODData!O52</f>
        <v>92654.42014884176</v>
      </c>
      <c r="CJ12" s="58">
        <f>Flow_ODData!P52</f>
        <v>14091.277280003716</v>
      </c>
      <c r="CK12" s="58">
        <f>Flow_ODData!Q52</f>
        <v>34899.292608912583</v>
      </c>
      <c r="CL12" s="58">
        <f>Flow_ODData!R52</f>
        <v>4651.462828834191</v>
      </c>
      <c r="CM12" s="58">
        <f>Flow_ODData!S52</f>
        <v>14043.504009788552</v>
      </c>
      <c r="CN12" s="58">
        <f>Flow_ODData!T52</f>
        <v>21739.594098104575</v>
      </c>
      <c r="CO12" s="58">
        <f>Flow_ODData!U52</f>
        <v>33776.620758856217</v>
      </c>
      <c r="CP12" s="58">
        <f>Flow_ODData!V52</f>
        <v>27729.627209698276</v>
      </c>
      <c r="CQ12" s="58">
        <f>Flow_ODData!W52</f>
        <v>0</v>
      </c>
      <c r="CR12" s="58">
        <f>Flow_ODData!X52</f>
        <v>830440</v>
      </c>
    </row>
    <row customFormat="1" r="13" s="95" spans="1:96" x14ac:dyDescent="0.25">
      <c r="A13" s="95">
        <v>7</v>
      </c>
      <c r="B13" s="77" t="n">
        <v>4224.615360927747</v>
      </c>
      <c r="C13" s="77" t="n">
        <v>5621.67801498585</v>
      </c>
      <c r="D13" s="77" t="n">
        <v>432.1153836684273</v>
      </c>
      <c r="E13" s="77" t="n">
        <v>1796.0206667044095</v>
      </c>
      <c r="F13" s="77" t="n">
        <v>2189.5184250035186</v>
      </c>
      <c r="G13" s="77" t="n">
        <v>8743.424797808335</v>
      </c>
      <c r="H13" s="77" t="n">
        <v>17699.13236533946</v>
      </c>
      <c r="I13" s="77" t="n">
        <v>69.3241415826164</v>
      </c>
      <c r="J13" s="77" t="n">
        <v>5558.808122567203</v>
      </c>
      <c r="K13" s="77" t="n">
        <v>160.5817462256364</v>
      </c>
      <c r="L13" s="77" t="n">
        <v>0.0</v>
      </c>
      <c r="M13" s="77" t="n">
        <v>10487.429754323392</v>
      </c>
      <c r="N13" s="77" t="n">
        <v>3924.328881012246</v>
      </c>
      <c r="O13" s="77" t="n">
        <v>0.0</v>
      </c>
      <c r="P13" s="77" t="n">
        <v>365.4584199538425</v>
      </c>
      <c r="Q13" s="77" t="n">
        <v>54.7080864437694</v>
      </c>
      <c r="R13" s="77" t="n">
        <v>0.0</v>
      </c>
      <c r="S13" s="77" t="n">
        <v>323.2044469556934</v>
      </c>
      <c r="T13" s="77" t="n">
        <v>87.7149133952481</v>
      </c>
      <c r="U13" s="77" t="n">
        <v>0.0</v>
      </c>
      <c r="V13" s="77"/>
      <c r="W13" s="77">
        <f si="1" t="shared"/>
        <v>61738.0635268974</v>
      </c>
      <c r="X13" s="15"/>
      <c r="Y13" s="95">
        <v>7</v>
      </c>
      <c r="Z13" s="77">
        <v>6342</v>
      </c>
      <c r="AA13" s="77">
        <v>10081</v>
      </c>
      <c r="AB13" s="77">
        <v>2491</v>
      </c>
      <c r="AC13" s="77">
        <v>2268</v>
      </c>
      <c r="AD13" s="77">
        <v>2577</v>
      </c>
      <c r="AE13" s="77">
        <v>13704</v>
      </c>
      <c r="AF13" s="77">
        <v>21748</v>
      </c>
      <c r="AG13" s="77">
        <v>609</v>
      </c>
      <c r="AH13" s="77">
        <v>7643</v>
      </c>
      <c r="AI13" s="77">
        <v>1831</v>
      </c>
      <c r="AJ13" s="77">
        <v>3755</v>
      </c>
      <c r="AK13" s="77">
        <v>16162</v>
      </c>
      <c r="AL13" s="77">
        <v>6663</v>
      </c>
      <c r="AM13" s="77">
        <v>269</v>
      </c>
      <c r="AN13" s="77">
        <v>2840</v>
      </c>
      <c r="AO13" s="77">
        <v>330</v>
      </c>
      <c r="AP13" s="77">
        <v>280</v>
      </c>
      <c r="AQ13" s="77">
        <v>1238</v>
      </c>
      <c r="AR13" s="77">
        <v>674</v>
      </c>
      <c r="AS13" s="77">
        <v>511</v>
      </c>
      <c r="AT13" s="77">
        <v>0</v>
      </c>
      <c r="AU13" s="77">
        <f si="2" t="shared"/>
        <v>102016</v>
      </c>
      <c r="AV13" s="15"/>
      <c r="AW13" s="95">
        <v>7</v>
      </c>
      <c r="AX13" s="77" t="n">
        <v>4055.0</v>
      </c>
      <c r="AY13" s="77" t="n">
        <v>5437.0</v>
      </c>
      <c r="AZ13" s="77" t="n">
        <v>2015.0</v>
      </c>
      <c r="BA13" s="77" t="n">
        <v>1376.0</v>
      </c>
      <c r="BB13" s="77" t="n">
        <v>1793.0</v>
      </c>
      <c r="BC13" s="77" t="n">
        <v>8227.0</v>
      </c>
      <c r="BD13" s="77" t="n">
        <v>27274.0</v>
      </c>
      <c r="BE13" s="77" t="n">
        <v>234.0</v>
      </c>
      <c r="BF13" s="77" t="n">
        <v>6137.0</v>
      </c>
      <c r="BG13" s="77" t="n">
        <v>1261.0</v>
      </c>
      <c r="BH13" s="77" t="n">
        <v>1453.0</v>
      </c>
      <c r="BI13" s="77" t="n">
        <v>15940.0</v>
      </c>
      <c r="BJ13" s="77" t="n">
        <v>14022.0</v>
      </c>
      <c r="BK13" s="77" t="n">
        <v>108.0</v>
      </c>
      <c r="BL13" s="77" t="n">
        <v>1855.0</v>
      </c>
      <c r="BM13" s="77" t="n">
        <v>233.0</v>
      </c>
      <c r="BN13" s="77" t="n">
        <v>84.0</v>
      </c>
      <c r="BO13" s="77" t="n">
        <v>610.0</v>
      </c>
      <c r="BP13" s="77" t="n">
        <v>248.0</v>
      </c>
      <c r="BQ13" s="77" t="n">
        <v>76.0</v>
      </c>
      <c r="BR13" s="77"/>
      <c r="BS13" s="77">
        <f si="3" t="shared"/>
        <v>93040</v>
      </c>
      <c r="BT13" s="102"/>
      <c r="BU13"/>
      <c r="BV13" s="95" t="s">
        <v>344</v>
      </c>
      <c r="BW13" s="108">
        <f ref="BW13:CR13" si="7" t="shared">Z55</f>
        <v>61174.01482077979</v>
      </c>
      <c r="BX13" s="108">
        <f si="7" t="shared"/>
        <v>64217.606341779516</v>
      </c>
      <c r="BY13" s="108">
        <f si="7" t="shared"/>
        <v>20808.902705694385</v>
      </c>
      <c r="BZ13" s="108">
        <f si="7" t="shared"/>
        <v>19822.268308575189</v>
      </c>
      <c r="CA13" s="108">
        <f si="7" t="shared"/>
        <v>23415.816431802981</v>
      </c>
      <c r="CB13" s="108">
        <f si="7" t="shared"/>
        <v>132106.68717930635</v>
      </c>
      <c r="CC13" s="108">
        <f si="7" t="shared"/>
        <v>74717.37105578382</v>
      </c>
      <c r="CD13" s="108">
        <f si="7" t="shared"/>
        <v>6021.0529187647726</v>
      </c>
      <c r="CE13" s="108">
        <f si="7" t="shared"/>
        <v>49532.125904975524</v>
      </c>
      <c r="CF13" s="108">
        <f si="7" t="shared"/>
        <v>18395.653387144645</v>
      </c>
      <c r="CG13" s="108">
        <f si="7" t="shared"/>
        <v>43204.818688939769</v>
      </c>
      <c r="CH13" s="108">
        <f si="7" t="shared"/>
        <v>142158.79224035979</v>
      </c>
      <c r="CI13" s="108">
        <f si="7" t="shared"/>
        <v>59900.080192953021</v>
      </c>
      <c r="CJ13" s="108">
        <f si="7" t="shared"/>
        <v>9269.9427502366107</v>
      </c>
      <c r="CK13" s="108">
        <f si="7" t="shared"/>
        <v>27335.016297045593</v>
      </c>
      <c r="CL13" s="108">
        <f si="7" t="shared"/>
        <v>4592.3025114762449</v>
      </c>
      <c r="CM13" s="108">
        <f si="7" t="shared"/>
        <v>9979.3540055568101</v>
      </c>
      <c r="CN13" s="108">
        <f si="7" t="shared"/>
        <v>20272.916255149597</v>
      </c>
      <c r="CO13" s="108">
        <f si="7" t="shared"/>
        <v>25273.504982024671</v>
      </c>
      <c r="CP13" s="108">
        <f si="7" t="shared"/>
        <v>18241.773021650915</v>
      </c>
      <c r="CQ13" s="108">
        <f si="7" t="shared"/>
        <v>0</v>
      </c>
      <c r="CR13" s="108">
        <f si="7" t="shared"/>
        <v>830440</v>
      </c>
    </row>
    <row r="14" spans="1:96" x14ac:dyDescent="0.25">
      <c r="A14" s="95">
        <v>8</v>
      </c>
      <c r="B14" s="77" t="n">
        <v>934.6922731518654</v>
      </c>
      <c r="C14" s="77" t="n">
        <v>338.5180975274913</v>
      </c>
      <c r="D14" s="77" t="n">
        <v>91.492492737117</v>
      </c>
      <c r="E14" s="77" t="n">
        <v>323.275842503182</v>
      </c>
      <c r="F14" s="77" t="n">
        <v>199.1086366217182</v>
      </c>
      <c r="G14" s="77" t="n">
        <v>757.3477226375735</v>
      </c>
      <c r="H14" s="77" t="n">
        <v>96.3321211748111</v>
      </c>
      <c r="I14" s="77" t="n">
        <v>462.8977856531677</v>
      </c>
      <c r="J14" s="77" t="n">
        <v>442.9224934434363</v>
      </c>
      <c r="K14" s="77" t="n">
        <v>83.0281761426298</v>
      </c>
      <c r="L14" s="77" t="n">
        <v>2197.300169212442</v>
      </c>
      <c r="M14" s="77" t="n">
        <v>1188.6501031358218</v>
      </c>
      <c r="N14" s="77" t="n">
        <v>0.0</v>
      </c>
      <c r="O14" s="77" t="n">
        <v>79.8597985703032</v>
      </c>
      <c r="P14" s="77" t="n">
        <v>71.6349923389629</v>
      </c>
      <c r="Q14" s="77" t="n">
        <v>0.0</v>
      </c>
      <c r="R14" s="77" t="n">
        <v>127.338029629259</v>
      </c>
      <c r="S14" s="77" t="n">
        <v>79.8597985703032</v>
      </c>
      <c r="T14" s="77" t="n">
        <v>434.913325489256</v>
      </c>
      <c r="U14" s="77" t="n">
        <v>0.0</v>
      </c>
      <c r="V14" s="77"/>
      <c r="W14" s="77">
        <f si="1" t="shared"/>
        <v>7909.171858539341</v>
      </c>
      <c r="X14" s="15"/>
      <c r="Y14" s="95">
        <v>8</v>
      </c>
      <c r="Z14" s="77">
        <v>1327</v>
      </c>
      <c r="AA14" s="77">
        <v>1577</v>
      </c>
      <c r="AB14" s="77">
        <v>600</v>
      </c>
      <c r="AC14" s="77">
        <v>848</v>
      </c>
      <c r="AD14" s="77">
        <v>717</v>
      </c>
      <c r="AE14" s="77">
        <v>2590</v>
      </c>
      <c r="AF14" s="77">
        <v>723</v>
      </c>
      <c r="AG14" s="77">
        <v>443</v>
      </c>
      <c r="AH14" s="77">
        <v>680</v>
      </c>
      <c r="AI14" s="77">
        <v>423</v>
      </c>
      <c r="AJ14" s="77">
        <v>1052</v>
      </c>
      <c r="AK14" s="77">
        <v>1213</v>
      </c>
      <c r="AL14" s="77">
        <v>180</v>
      </c>
      <c r="AM14" s="77">
        <v>219</v>
      </c>
      <c r="AN14" s="77">
        <v>133</v>
      </c>
      <c r="AO14" s="77">
        <v>62</v>
      </c>
      <c r="AP14" s="77">
        <v>111</v>
      </c>
      <c r="AQ14" s="77">
        <v>64</v>
      </c>
      <c r="AR14" s="77">
        <v>129</v>
      </c>
      <c r="AS14" s="77">
        <v>41</v>
      </c>
      <c r="AT14" s="77">
        <v>0</v>
      </c>
      <c r="AU14" s="77">
        <f si="2" t="shared"/>
        <v>13132</v>
      </c>
      <c r="AV14" s="14"/>
      <c r="AW14" s="95">
        <v>8</v>
      </c>
      <c r="AX14" s="77" t="n">
        <v>589.0</v>
      </c>
      <c r="AY14" s="77" t="n">
        <v>335.0</v>
      </c>
      <c r="AZ14" s="77" t="n">
        <v>402.0</v>
      </c>
      <c r="BA14" s="77" t="n">
        <v>330.0</v>
      </c>
      <c r="BB14" s="77" t="n">
        <v>308.0</v>
      </c>
      <c r="BC14" s="77" t="n">
        <v>903.0</v>
      </c>
      <c r="BD14" s="77" t="n">
        <v>170.0</v>
      </c>
      <c r="BE14" s="77" t="n">
        <v>189.0</v>
      </c>
      <c r="BF14" s="77" t="n">
        <v>244.0</v>
      </c>
      <c r="BG14" s="77" t="n">
        <v>225.0</v>
      </c>
      <c r="BH14" s="77" t="n">
        <v>823.0</v>
      </c>
      <c r="BI14" s="77" t="n">
        <v>494.0</v>
      </c>
      <c r="BJ14" s="77" t="n">
        <v>37.0</v>
      </c>
      <c r="BK14" s="77" t="n">
        <v>117.0</v>
      </c>
      <c r="BL14" s="77" t="n">
        <v>31.0</v>
      </c>
      <c r="BM14" s="77" t="n">
        <v>23.0</v>
      </c>
      <c r="BN14" s="77" t="n">
        <v>67.0</v>
      </c>
      <c r="BO14" s="77" t="n">
        <v>7.0</v>
      </c>
      <c r="BP14" s="77" t="n">
        <v>86.0</v>
      </c>
      <c r="BQ14" s="77" t="n">
        <v>2.0</v>
      </c>
      <c r="BR14" s="77"/>
      <c r="BS14" s="77">
        <f si="3" t="shared"/>
        <v>5040</v>
      </c>
      <c r="BT14" s="102"/>
      <c r="BV14" s="6" t="s">
        <v>345</v>
      </c>
      <c r="BW14" s="135">
        <f ref="BW14:CR14" si="8" t="shared">AX55</f>
        <v>45640</v>
      </c>
      <c r="BX14" s="135">
        <f si="8" t="shared"/>
        <v>38180</v>
      </c>
      <c r="BY14" s="135">
        <f si="8" t="shared"/>
        <v>24100</v>
      </c>
      <c r="BZ14" s="135">
        <f si="8" t="shared"/>
        <v>17520</v>
      </c>
      <c r="CA14" s="135">
        <f si="8" t="shared"/>
        <v>21740</v>
      </c>
      <c r="CB14" s="135">
        <f si="8" t="shared"/>
        <v>96120</v>
      </c>
      <c r="CC14" s="135">
        <f si="8" t="shared"/>
        <v>78260</v>
      </c>
      <c r="CD14" s="135">
        <f si="8" t="shared"/>
        <v>4600</v>
      </c>
      <c r="CE14" s="135">
        <f si="8" t="shared"/>
        <v>46940</v>
      </c>
      <c r="CF14" s="135">
        <f si="8" t="shared"/>
        <v>17920</v>
      </c>
      <c r="CG14" s="135">
        <f si="8" t="shared"/>
        <v>50980</v>
      </c>
      <c r="CH14" s="135">
        <f si="8" t="shared"/>
        <v>148580</v>
      </c>
      <c r="CI14" s="135">
        <f si="8" t="shared"/>
        <v>91740</v>
      </c>
      <c r="CJ14" s="135">
        <f si="8" t="shared"/>
        <v>13760</v>
      </c>
      <c r="CK14" s="135">
        <f si="8" t="shared"/>
        <v>34800</v>
      </c>
      <c r="CL14" s="135">
        <f si="8" t="shared"/>
        <v>4560</v>
      </c>
      <c r="CM14" s="135">
        <f si="8" t="shared"/>
        <v>13940</v>
      </c>
      <c r="CN14" s="135">
        <f si="8" t="shared"/>
        <v>21140</v>
      </c>
      <c r="CO14" s="135">
        <f si="8" t="shared"/>
        <v>33420</v>
      </c>
      <c r="CP14" s="135">
        <f si="8" t="shared"/>
        <v>26500</v>
      </c>
      <c r="CQ14" s="135">
        <f si="8" t="shared"/>
        <v>0</v>
      </c>
      <c r="CR14" s="135">
        <f si="8" t="shared"/>
        <v>830440</v>
      </c>
    </row>
    <row r="15" spans="1:96" x14ac:dyDescent="0.25">
      <c r="A15" s="95">
        <v>9</v>
      </c>
      <c r="B15" s="77" t="n">
        <v>11097.493587574325</v>
      </c>
      <c r="C15" s="77" t="n">
        <v>6439.550012338539</v>
      </c>
      <c r="D15" s="77" t="n">
        <v>1694.9378780167779</v>
      </c>
      <c r="E15" s="77" t="n">
        <v>2720.796397453557</v>
      </c>
      <c r="F15" s="77" t="n">
        <v>1488.3185760729825</v>
      </c>
      <c r="G15" s="77" t="n">
        <v>5927.044395568877</v>
      </c>
      <c r="H15" s="77" t="n">
        <v>7195.845608326109</v>
      </c>
      <c r="I15" s="77" t="n">
        <v>0.0</v>
      </c>
      <c r="J15" s="77" t="n">
        <v>24406.662121002246</v>
      </c>
      <c r="K15" s="77" t="n">
        <v>156.5426352384899</v>
      </c>
      <c r="L15" s="77" t="n">
        <v>1263.8827720005231</v>
      </c>
      <c r="M15" s="77" t="n">
        <v>9214.15482283294</v>
      </c>
      <c r="N15" s="77" t="n">
        <v>71.2995498965454</v>
      </c>
      <c r="O15" s="77" t="n">
        <v>144.05775164326</v>
      </c>
      <c r="P15" s="77" t="n">
        <v>2953.715630301976</v>
      </c>
      <c r="Q15" s="77" t="n">
        <v>0.0</v>
      </c>
      <c r="R15" s="77" t="n">
        <v>225.620425680622</v>
      </c>
      <c r="S15" s="77" t="n">
        <v>434.1542607049065</v>
      </c>
      <c r="T15" s="77" t="n">
        <v>187.100794041193</v>
      </c>
      <c r="U15" s="77" t="n">
        <v>0.0</v>
      </c>
      <c r="V15" s="77"/>
      <c r="W15" s="77">
        <f si="1" t="shared"/>
        <v>75621.177218693862</v>
      </c>
      <c r="X15" s="15"/>
      <c r="Y15" s="95">
        <v>9</v>
      </c>
      <c r="Z15" s="77">
        <v>7479</v>
      </c>
      <c r="AA15" s="77">
        <v>9577</v>
      </c>
      <c r="AB15" s="77">
        <v>2756</v>
      </c>
      <c r="AC15" s="77">
        <v>2341</v>
      </c>
      <c r="AD15" s="77">
        <v>2551</v>
      </c>
      <c r="AE15" s="77">
        <v>13719</v>
      </c>
      <c r="AF15" s="77">
        <v>7558</v>
      </c>
      <c r="AG15" s="77">
        <v>678</v>
      </c>
      <c r="AH15" s="77">
        <v>11385</v>
      </c>
      <c r="AI15" s="77">
        <v>1465</v>
      </c>
      <c r="AJ15" s="77">
        <v>4780</v>
      </c>
      <c r="AK15" s="77">
        <v>9352</v>
      </c>
      <c r="AL15" s="77">
        <v>2459</v>
      </c>
      <c r="AM15" s="77">
        <v>281</v>
      </c>
      <c r="AN15" s="77">
        <v>4593</v>
      </c>
      <c r="AO15" s="77">
        <v>227</v>
      </c>
      <c r="AP15" s="77">
        <v>329</v>
      </c>
      <c r="AQ15" s="77">
        <v>575</v>
      </c>
      <c r="AR15" s="77">
        <v>1097</v>
      </c>
      <c r="AS15" s="77">
        <v>293</v>
      </c>
      <c r="AT15" s="77">
        <v>0</v>
      </c>
      <c r="AU15" s="77">
        <f si="2" t="shared"/>
        <v>83495</v>
      </c>
      <c r="AV15" s="14"/>
      <c r="AW15" s="95">
        <v>9</v>
      </c>
      <c r="AX15" s="77" t="n">
        <v>4293.0</v>
      </c>
      <c r="AY15" s="77" t="n">
        <v>6025.0</v>
      </c>
      <c r="AZ15" s="77" t="n">
        <v>2996.0</v>
      </c>
      <c r="BA15" s="77" t="n">
        <v>1470.0</v>
      </c>
      <c r="BB15" s="77" t="n">
        <v>1698.0</v>
      </c>
      <c r="BC15" s="77" t="n">
        <v>7650.0</v>
      </c>
      <c r="BD15" s="77" t="n">
        <v>6568.0</v>
      </c>
      <c r="BE15" s="77" t="n">
        <v>405.0</v>
      </c>
      <c r="BF15" s="77" t="n">
        <v>16534.0</v>
      </c>
      <c r="BG15" s="77" t="n">
        <v>959.0</v>
      </c>
      <c r="BH15" s="77" t="n">
        <v>4297.0</v>
      </c>
      <c r="BI15" s="77" t="n">
        <v>6502.0</v>
      </c>
      <c r="BJ15" s="77" t="n">
        <v>2745.0</v>
      </c>
      <c r="BK15" s="77" t="n">
        <v>238.0</v>
      </c>
      <c r="BL15" s="77" t="n">
        <v>5763.0</v>
      </c>
      <c r="BM15" s="77" t="n">
        <v>96.0</v>
      </c>
      <c r="BN15" s="77" t="n">
        <v>231.0</v>
      </c>
      <c r="BO15" s="77" t="n">
        <v>166.0</v>
      </c>
      <c r="BP15" s="77" t="n">
        <v>869.0</v>
      </c>
      <c r="BQ15" s="77" t="n">
        <v>27.0</v>
      </c>
      <c r="BR15" s="77"/>
      <c r="BS15" s="77">
        <f si="3" t="shared"/>
        <v>69300</v>
      </c>
      <c r="BT15" s="102"/>
      <c r="CP15" s="7"/>
      <c r="CQ15" s="7"/>
    </row>
    <row r="16" spans="1:96" x14ac:dyDescent="0.25">
      <c r="A16" s="95">
        <v>10</v>
      </c>
      <c r="B16" s="77" t="n">
        <v>6274.6491959496225</v>
      </c>
      <c r="C16" s="77" t="n">
        <v>519.3084523068788</v>
      </c>
      <c r="D16" s="77" t="n">
        <v>705.9239756790233</v>
      </c>
      <c r="E16" s="77" t="n">
        <v>1292.567836474323</v>
      </c>
      <c r="F16" s="77" t="n">
        <v>3761.1513594426206</v>
      </c>
      <c r="G16" s="77" t="n">
        <v>11228.39264121051</v>
      </c>
      <c r="H16" s="77" t="n">
        <v>1541.130530942259</v>
      </c>
      <c r="I16" s="77" t="n">
        <v>472.053217390526</v>
      </c>
      <c r="J16" s="77" t="n">
        <v>446.99327326358707</v>
      </c>
      <c r="K16" s="77" t="n">
        <v>4624.840890808893</v>
      </c>
      <c r="L16" s="77" t="n">
        <v>660.4176889216214</v>
      </c>
      <c r="M16" s="77" t="n">
        <v>6562.349178208839</v>
      </c>
      <c r="N16" s="77" t="n">
        <v>248.96020684396632</v>
      </c>
      <c r="O16" s="77" t="n">
        <v>141.089832218319</v>
      </c>
      <c r="P16" s="77" t="n">
        <v>0.0</v>
      </c>
      <c r="Q16" s="77" t="n">
        <v>368.995663619725</v>
      </c>
      <c r="R16" s="77" t="n">
        <v>0.0</v>
      </c>
      <c r="S16" s="77" t="n">
        <v>41.7997242731165</v>
      </c>
      <c r="T16" s="77" t="n">
        <v>0.0</v>
      </c>
      <c r="U16" s="77" t="n">
        <v>0.0</v>
      </c>
      <c r="V16" s="77"/>
      <c r="W16" s="77">
        <f si="1" t="shared"/>
        <v>38890.623667553831</v>
      </c>
      <c r="X16" s="7"/>
      <c r="Y16" s="95">
        <v>10</v>
      </c>
      <c r="Z16" s="77">
        <v>3680</v>
      </c>
      <c r="AA16" s="77">
        <v>2903</v>
      </c>
      <c r="AB16" s="77">
        <v>850</v>
      </c>
      <c r="AC16" s="77">
        <v>1105</v>
      </c>
      <c r="AD16" s="77">
        <v>2025</v>
      </c>
      <c r="AE16" s="77">
        <v>10758</v>
      </c>
      <c r="AF16" s="77">
        <v>1354</v>
      </c>
      <c r="AG16" s="77">
        <v>269</v>
      </c>
      <c r="AH16" s="77">
        <v>1182</v>
      </c>
      <c r="AI16" s="77">
        <v>2897</v>
      </c>
      <c r="AJ16" s="77">
        <v>962</v>
      </c>
      <c r="AK16" s="77">
        <v>7173</v>
      </c>
      <c r="AL16" s="77">
        <v>521</v>
      </c>
      <c r="AM16" s="77">
        <v>156</v>
      </c>
      <c r="AN16" s="77">
        <v>247</v>
      </c>
      <c r="AO16" s="77">
        <v>717</v>
      </c>
      <c r="AP16" s="77">
        <v>91</v>
      </c>
      <c r="AQ16" s="77">
        <v>424</v>
      </c>
      <c r="AR16" s="77">
        <v>225</v>
      </c>
      <c r="AS16" s="77">
        <v>155</v>
      </c>
      <c r="AT16" s="77">
        <v>0</v>
      </c>
      <c r="AU16" s="77">
        <f si="2" t="shared"/>
        <v>37694</v>
      </c>
      <c r="AW16" s="95">
        <v>10</v>
      </c>
      <c r="AX16" s="77" t="n">
        <v>2497.0</v>
      </c>
      <c r="AY16" s="77" t="n">
        <v>1467.0</v>
      </c>
      <c r="AZ16" s="77" t="n">
        <v>813.0</v>
      </c>
      <c r="BA16" s="77" t="n">
        <v>1111.0</v>
      </c>
      <c r="BB16" s="77" t="n">
        <v>2102.0</v>
      </c>
      <c r="BC16" s="77" t="n">
        <v>6835.0</v>
      </c>
      <c r="BD16" s="77" t="n">
        <v>961.0</v>
      </c>
      <c r="BE16" s="77" t="n">
        <v>180.0</v>
      </c>
      <c r="BF16" s="77" t="n">
        <v>763.0</v>
      </c>
      <c r="BG16" s="77" t="n">
        <v>3722.0</v>
      </c>
      <c r="BH16" s="77" t="n">
        <v>719.0</v>
      </c>
      <c r="BI16" s="77" t="n">
        <v>6488.0</v>
      </c>
      <c r="BJ16" s="77" t="n">
        <v>283.0</v>
      </c>
      <c r="BK16" s="77" t="n">
        <v>85.0</v>
      </c>
      <c r="BL16" s="77" t="n">
        <v>118.0</v>
      </c>
      <c r="BM16" s="77" t="n">
        <v>885.0</v>
      </c>
      <c r="BN16" s="77" t="n">
        <v>49.0</v>
      </c>
      <c r="BO16" s="77" t="n">
        <v>151.0</v>
      </c>
      <c r="BP16" s="77" t="n">
        <v>90.0</v>
      </c>
      <c r="BQ16" s="77" t="n">
        <v>48.0</v>
      </c>
      <c r="BR16" s="77"/>
      <c r="BS16" s="77">
        <f si="3" t="shared"/>
        <v>28700</v>
      </c>
      <c r="BT16" s="102"/>
      <c r="CP16" s="7"/>
      <c r="CQ16" s="7"/>
    </row>
    <row r="17" spans="1:93" x14ac:dyDescent="0.25">
      <c r="A17" s="95">
        <v>11</v>
      </c>
      <c r="B17" s="77" t="n">
        <v>7117.818168188169</v>
      </c>
      <c r="C17" s="77" t="n">
        <v>1978.2449334697935</v>
      </c>
      <c r="D17" s="77" t="n">
        <v>5573.445637708516</v>
      </c>
      <c r="E17" s="77" t="n">
        <v>2561.646076809926</v>
      </c>
      <c r="F17" s="77" t="n">
        <v>2959.8315029356672</v>
      </c>
      <c r="G17" s="77" t="n">
        <v>5641.031091254951</v>
      </c>
      <c r="H17" s="77" t="n">
        <v>3007.9760041478526</v>
      </c>
      <c r="I17" s="77" t="n">
        <v>0.0</v>
      </c>
      <c r="J17" s="77" t="n">
        <v>3321.7583236687406</v>
      </c>
      <c r="K17" s="77" t="n">
        <v>814.4722239835547</v>
      </c>
      <c r="L17" s="77" t="n">
        <v>13903.206970189061</v>
      </c>
      <c r="M17" s="77" t="n">
        <v>3629.4518608730596</v>
      </c>
      <c r="N17" s="77" t="n">
        <v>53.5188485394014</v>
      </c>
      <c r="O17" s="77" t="n">
        <v>92.24391437765</v>
      </c>
      <c r="P17" s="77" t="n">
        <v>0.0</v>
      </c>
      <c r="Q17" s="77" t="n">
        <v>874.056667080298</v>
      </c>
      <c r="R17" s="77" t="n">
        <v>1175.7355522518692</v>
      </c>
      <c r="S17" s="77" t="n">
        <v>1355.509046141767</v>
      </c>
      <c r="T17" s="77" t="n">
        <v>2222.528169816197</v>
      </c>
      <c r="U17" s="77" t="n">
        <v>0.0</v>
      </c>
      <c r="V17" s="77"/>
      <c r="W17" s="77">
        <f si="1" t="shared"/>
        <v>56282.474991436473</v>
      </c>
      <c r="X17" s="7"/>
      <c r="Y17" s="95">
        <v>11</v>
      </c>
      <c r="Z17" s="77">
        <v>5872</v>
      </c>
      <c r="AA17" s="77">
        <v>7235</v>
      </c>
      <c r="AB17" s="77">
        <v>2892</v>
      </c>
      <c r="AC17" s="77">
        <v>2567</v>
      </c>
      <c r="AD17" s="77">
        <v>2318</v>
      </c>
      <c r="AE17" s="77">
        <v>11532</v>
      </c>
      <c r="AF17" s="77">
        <v>3447</v>
      </c>
      <c r="AG17" s="77">
        <v>1064</v>
      </c>
      <c r="AH17" s="77">
        <v>4773</v>
      </c>
      <c r="AI17" s="77">
        <v>1442</v>
      </c>
      <c r="AJ17" s="77">
        <v>11703</v>
      </c>
      <c r="AK17" s="77">
        <v>5943</v>
      </c>
      <c r="AL17" s="77">
        <v>1149</v>
      </c>
      <c r="AM17" s="77">
        <v>720</v>
      </c>
      <c r="AN17" s="77">
        <v>1402</v>
      </c>
      <c r="AO17" s="77">
        <v>267</v>
      </c>
      <c r="AP17" s="77">
        <v>979</v>
      </c>
      <c r="AQ17" s="77">
        <v>381</v>
      </c>
      <c r="AR17" s="77">
        <v>4324</v>
      </c>
      <c r="AS17" s="77">
        <v>229</v>
      </c>
      <c r="AT17" s="77">
        <v>0</v>
      </c>
      <c r="AU17" s="77">
        <f si="2" t="shared"/>
        <v>70239</v>
      </c>
      <c r="AW17" s="95">
        <v>11</v>
      </c>
      <c r="AX17" s="77" t="n">
        <v>3977.0</v>
      </c>
      <c r="AY17" s="77" t="n">
        <v>2786.0</v>
      </c>
      <c r="AZ17" s="77" t="n">
        <v>3666.0</v>
      </c>
      <c r="BA17" s="77" t="n">
        <v>2093.0</v>
      </c>
      <c r="BB17" s="77" t="n">
        <v>1736.0</v>
      </c>
      <c r="BC17" s="77" t="n">
        <v>6246.0</v>
      </c>
      <c r="BD17" s="77" t="n">
        <v>1530.0</v>
      </c>
      <c r="BE17" s="77" t="n">
        <v>979.0</v>
      </c>
      <c r="BF17" s="77" t="n">
        <v>4342.0</v>
      </c>
      <c r="BG17" s="77" t="n">
        <v>1128.0</v>
      </c>
      <c r="BH17" s="77" t="n">
        <v>19080.0</v>
      </c>
      <c r="BI17" s="77" t="n">
        <v>3433.0</v>
      </c>
      <c r="BJ17" s="77" t="n">
        <v>463.0</v>
      </c>
      <c r="BK17" s="77" t="n">
        <v>859.0</v>
      </c>
      <c r="BL17" s="77" t="n">
        <v>1078.0</v>
      </c>
      <c r="BM17" s="77" t="n">
        <v>143.0</v>
      </c>
      <c r="BN17" s="77" t="n">
        <v>1038.0</v>
      </c>
      <c r="BO17" s="77" t="n">
        <v>69.0</v>
      </c>
      <c r="BP17" s="77" t="n">
        <v>4324.0</v>
      </c>
      <c r="BQ17" s="77" t="n">
        <v>21.0</v>
      </c>
      <c r="BR17" s="77"/>
      <c r="BS17" s="77">
        <f si="3" t="shared"/>
        <v>59580</v>
      </c>
      <c r="BT17" s="102"/>
      <c r="CJ17" s="138"/>
    </row>
    <row customFormat="1" r="18" s="95" spans="1:93" x14ac:dyDescent="0.25">
      <c r="A18" s="95">
        <v>12</v>
      </c>
      <c r="B18" s="77" t="n">
        <v>16990.47666053192</v>
      </c>
      <c r="C18" s="77" t="n">
        <v>2494.8472785922186</v>
      </c>
      <c r="D18" s="77" t="n">
        <v>2058.2607899195023</v>
      </c>
      <c r="E18" s="77" t="n">
        <v>5642.411115653669</v>
      </c>
      <c r="F18" s="77" t="n">
        <v>2969.888737016009</v>
      </c>
      <c r="G18" s="77" t="n">
        <v>26754.305624896428</v>
      </c>
      <c r="H18" s="77" t="n">
        <v>8713.45194811028</v>
      </c>
      <c r="I18" s="77" t="n">
        <v>0.0</v>
      </c>
      <c r="J18" s="77" t="n">
        <v>5399.156515875858</v>
      </c>
      <c r="K18" s="77" t="n">
        <v>2308.206632358347</v>
      </c>
      <c r="L18" s="77" t="n">
        <v>787.417138705081</v>
      </c>
      <c r="M18" s="77" t="n">
        <v>59409.75808124797</v>
      </c>
      <c r="N18" s="77" t="n">
        <v>966.9552948721758</v>
      </c>
      <c r="O18" s="77" t="n">
        <v>47.6917545951904</v>
      </c>
      <c r="P18" s="77" t="n">
        <v>0.0</v>
      </c>
      <c r="Q18" s="77" t="n">
        <v>451.880658784982</v>
      </c>
      <c r="R18" s="77" t="n">
        <v>0.0</v>
      </c>
      <c r="S18" s="77" t="n">
        <v>1396.5468319382728</v>
      </c>
      <c r="T18" s="77" t="n">
        <v>0.0</v>
      </c>
      <c r="U18" s="77" t="n">
        <v>868.8774286385077</v>
      </c>
      <c r="V18" s="77"/>
      <c r="W18" s="77">
        <f si="1" t="shared"/>
        <v>137260.13249173641</v>
      </c>
      <c r="X18" s="7"/>
      <c r="Y18" s="95">
        <v>12</v>
      </c>
      <c r="Z18" s="77">
        <v>9989</v>
      </c>
      <c r="AA18" s="77">
        <v>9051</v>
      </c>
      <c r="AB18" s="77">
        <v>2219</v>
      </c>
      <c r="AC18" s="77">
        <v>2510</v>
      </c>
      <c r="AD18" s="77">
        <v>3410</v>
      </c>
      <c r="AE18" s="77">
        <v>25700</v>
      </c>
      <c r="AF18" s="77">
        <v>9191</v>
      </c>
      <c r="AG18" s="77">
        <v>470</v>
      </c>
      <c r="AH18" s="77">
        <v>5331</v>
      </c>
      <c r="AI18" s="77">
        <v>2943</v>
      </c>
      <c r="AJ18" s="77">
        <v>2955</v>
      </c>
      <c r="AK18" s="77">
        <v>45861</v>
      </c>
      <c r="AL18" s="77">
        <v>3225</v>
      </c>
      <c r="AM18" s="77">
        <v>290</v>
      </c>
      <c r="AN18" s="77">
        <v>1215</v>
      </c>
      <c r="AO18" s="77">
        <v>765</v>
      </c>
      <c r="AP18" s="77">
        <v>268</v>
      </c>
      <c r="AQ18" s="77">
        <v>3559</v>
      </c>
      <c r="AR18" s="77">
        <v>573</v>
      </c>
      <c r="AS18" s="77">
        <v>1209</v>
      </c>
      <c r="AT18" s="77">
        <v>0</v>
      </c>
      <c r="AU18" s="77">
        <f si="2" t="shared"/>
        <v>130734</v>
      </c>
      <c r="AW18" s="95">
        <v>12</v>
      </c>
      <c r="AX18" s="77" t="n">
        <v>7134.0</v>
      </c>
      <c r="AY18" s="77" t="n">
        <v>5894.0</v>
      </c>
      <c r="AZ18" s="77" t="n">
        <v>2311.0</v>
      </c>
      <c r="BA18" s="77" t="n">
        <v>2444.0</v>
      </c>
      <c r="BB18" s="77" t="n">
        <v>3403.0</v>
      </c>
      <c r="BC18" s="77" t="n">
        <v>16518.0</v>
      </c>
      <c r="BD18" s="77" t="n">
        <v>10922.0</v>
      </c>
      <c r="BE18" s="77" t="n">
        <v>326.0</v>
      </c>
      <c r="BF18" s="77" t="n">
        <v>3891.0</v>
      </c>
      <c r="BG18" s="77" t="n">
        <v>2901.0</v>
      </c>
      <c r="BH18" s="77" t="n">
        <v>1858.0</v>
      </c>
      <c r="BI18" s="77" t="n">
        <v>54886.0</v>
      </c>
      <c r="BJ18" s="77" t="n">
        <v>4661.0</v>
      </c>
      <c r="BK18" s="77" t="n">
        <v>133.0</v>
      </c>
      <c r="BL18" s="77" t="n">
        <v>770.0</v>
      </c>
      <c r="BM18" s="77" t="n">
        <v>809.0</v>
      </c>
      <c r="BN18" s="77" t="n">
        <v>93.0</v>
      </c>
      <c r="BO18" s="77" t="n">
        <v>2497.0</v>
      </c>
      <c r="BP18" s="77" t="n">
        <v>257.0</v>
      </c>
      <c r="BQ18" s="77" t="n">
        <v>475.0</v>
      </c>
      <c r="BR18" s="77"/>
      <c r="BS18" s="77">
        <f si="3" t="shared"/>
        <v>120520</v>
      </c>
      <c r="BT18" s="102"/>
    </row>
    <row customFormat="1" ht="15.75" r="19" s="95" spans="1:93" thickBot="1" x14ac:dyDescent="0.3">
      <c r="A19" s="95">
        <v>13</v>
      </c>
      <c r="B19" s="77" t="n">
        <v>4781.519556587138</v>
      </c>
      <c r="C19" s="77" t="n">
        <v>733.316149308733</v>
      </c>
      <c r="D19" s="77" t="n">
        <v>322.1708713460743</v>
      </c>
      <c r="E19" s="77" t="n">
        <v>1202.0645251611809</v>
      </c>
      <c r="F19" s="77" t="n">
        <v>999.5850754846225</v>
      </c>
      <c r="G19" s="77" t="n">
        <v>2674.7318548064322</v>
      </c>
      <c r="H19" s="77" t="n">
        <v>19379.88268962101</v>
      </c>
      <c r="I19" s="77" t="n">
        <v>631.702251477386</v>
      </c>
      <c r="J19" s="77" t="n">
        <v>1137.6515813020176</v>
      </c>
      <c r="K19" s="77" t="n">
        <v>512.979091152899</v>
      </c>
      <c r="L19" s="77" t="n">
        <v>1100.9906073269085</v>
      </c>
      <c r="M19" s="77" t="n">
        <v>5356.969151267072</v>
      </c>
      <c r="N19" s="77" t="n">
        <v>41016.04660678815</v>
      </c>
      <c r="O19" s="77" t="n">
        <v>125.64751263977</v>
      </c>
      <c r="P19" s="77" t="n">
        <v>1783.4448683216349</v>
      </c>
      <c r="Q19" s="77" t="n">
        <v>0.0</v>
      </c>
      <c r="R19" s="77" t="n">
        <v>0.0</v>
      </c>
      <c r="S19" s="77" t="n">
        <v>2009.864922868584</v>
      </c>
      <c r="T19" s="77" t="n">
        <v>0.0</v>
      </c>
      <c r="U19" s="77" t="n">
        <v>0.0</v>
      </c>
      <c r="V19" s="77"/>
      <c r="W19" s="77">
        <f si="1" t="shared"/>
        <v>83768.567315459601</v>
      </c>
      <c r="X19" s="7"/>
      <c r="Y19" s="95">
        <v>13</v>
      </c>
      <c r="Z19" s="77">
        <v>4094</v>
      </c>
      <c r="AA19" s="77">
        <v>4556</v>
      </c>
      <c r="AB19" s="77">
        <v>1208</v>
      </c>
      <c r="AC19" s="77">
        <v>1389</v>
      </c>
      <c r="AD19" s="77">
        <v>1528</v>
      </c>
      <c r="AE19" s="77">
        <v>8107</v>
      </c>
      <c r="AF19" s="77">
        <v>16638</v>
      </c>
      <c r="AG19" s="77">
        <v>397</v>
      </c>
      <c r="AH19" s="77">
        <v>5098</v>
      </c>
      <c r="AI19" s="77">
        <v>1295</v>
      </c>
      <c r="AJ19" s="77">
        <v>2248</v>
      </c>
      <c r="AK19" s="77">
        <v>12972</v>
      </c>
      <c r="AL19" s="77">
        <v>34775</v>
      </c>
      <c r="AM19" s="77">
        <v>220</v>
      </c>
      <c r="AN19" s="77">
        <v>3432</v>
      </c>
      <c r="AO19" s="77">
        <v>265</v>
      </c>
      <c r="AP19" s="77">
        <v>302</v>
      </c>
      <c r="AQ19" s="77">
        <v>2562</v>
      </c>
      <c r="AR19" s="77">
        <v>687</v>
      </c>
      <c r="AS19" s="77">
        <v>903</v>
      </c>
      <c r="AT19" s="77">
        <v>0</v>
      </c>
      <c r="AU19" s="77">
        <f si="2" t="shared"/>
        <v>102676</v>
      </c>
      <c r="AW19" s="95">
        <v>13</v>
      </c>
      <c r="AX19" s="77" t="n">
        <v>1614.0</v>
      </c>
      <c r="AY19" s="77" t="n">
        <v>2079.0</v>
      </c>
      <c r="AZ19" s="77" t="n">
        <v>703.0</v>
      </c>
      <c r="BA19" s="77" t="n">
        <v>545.0</v>
      </c>
      <c r="BB19" s="77" t="n">
        <v>651.0</v>
      </c>
      <c r="BC19" s="77" t="n">
        <v>3263.0</v>
      </c>
      <c r="BD19" s="77" t="n">
        <v>18942.0</v>
      </c>
      <c r="BE19" s="77" t="n">
        <v>99.0</v>
      </c>
      <c r="BF19" s="77" t="n">
        <v>2609.0</v>
      </c>
      <c r="BG19" s="77" t="n">
        <v>486.0</v>
      </c>
      <c r="BH19" s="77" t="n">
        <v>557.0</v>
      </c>
      <c r="BI19" s="77" t="n">
        <v>8607.0</v>
      </c>
      <c r="BJ19" s="77" t="n">
        <v>54136.0</v>
      </c>
      <c r="BK19" s="77" t="n">
        <v>39.0</v>
      </c>
      <c r="BL19" s="77" t="n">
        <v>3432.0</v>
      </c>
      <c r="BM19" s="77" t="n">
        <v>96.0</v>
      </c>
      <c r="BN19" s="77" t="n">
        <v>51.0</v>
      </c>
      <c r="BO19" s="77" t="n">
        <v>1866.0</v>
      </c>
      <c r="BP19" s="77" t="n">
        <v>186.0</v>
      </c>
      <c r="BQ19" s="77" t="n">
        <v>172.0</v>
      </c>
      <c r="BR19" s="77"/>
      <c r="BS19" s="77">
        <f si="3" t="shared"/>
        <v>99000</v>
      </c>
      <c r="BT19" s="102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/>
      <c r="CM19"/>
      <c r="CN19"/>
      <c r="CO19"/>
    </row>
    <row customFormat="1" r="20" s="95" spans="1:93" x14ac:dyDescent="0.25">
      <c r="A20" s="95">
        <v>14</v>
      </c>
      <c r="B20" s="77" t="n">
        <v>3920.3648218865087</v>
      </c>
      <c r="C20" s="77" t="n">
        <v>1147.269251019433</v>
      </c>
      <c r="D20" s="77" t="n">
        <v>92.43740317584411</v>
      </c>
      <c r="E20" s="77" t="n">
        <v>113.6823641517958</v>
      </c>
      <c r="F20" s="77" t="n">
        <v>441.9359332664799</v>
      </c>
      <c r="G20" s="77" t="n">
        <v>1808.4331195287684</v>
      </c>
      <c r="H20" s="77" t="n">
        <v>656.392149157475</v>
      </c>
      <c r="I20" s="77" t="n">
        <v>62.1198990807381</v>
      </c>
      <c r="J20" s="77" t="n">
        <v>763.9247625720019</v>
      </c>
      <c r="K20" s="77" t="n">
        <v>342.5291151322336</v>
      </c>
      <c r="L20" s="77" t="n">
        <v>2003.37013520748</v>
      </c>
      <c r="M20" s="77" t="n">
        <v>1243.7800838012226</v>
      </c>
      <c r="N20" s="77" t="n">
        <v>0.0</v>
      </c>
      <c r="O20" s="77" t="n">
        <v>10778.021907262593</v>
      </c>
      <c r="P20" s="77" t="n">
        <v>0.0</v>
      </c>
      <c r="Q20" s="77" t="n">
        <v>0.0</v>
      </c>
      <c r="R20" s="77" t="n">
        <v>963.6043868755589</v>
      </c>
      <c r="S20" s="77" t="n">
        <v>0.0</v>
      </c>
      <c r="T20" s="77" t="n">
        <v>43.1210158480155</v>
      </c>
      <c r="U20" s="77" t="n">
        <v>0.0</v>
      </c>
      <c r="V20" s="77"/>
      <c r="W20" s="77">
        <f si="1" t="shared"/>
        <v>24380.986347966151</v>
      </c>
      <c r="X20" s="7"/>
      <c r="Y20" s="95">
        <v>14</v>
      </c>
      <c r="Z20" s="77">
        <v>1825</v>
      </c>
      <c r="AA20" s="77">
        <v>2547</v>
      </c>
      <c r="AB20" s="77">
        <v>827</v>
      </c>
      <c r="AC20" s="77">
        <v>922</v>
      </c>
      <c r="AD20" s="77">
        <v>869</v>
      </c>
      <c r="AE20" s="77">
        <v>3460</v>
      </c>
      <c r="AF20" s="77">
        <v>1137</v>
      </c>
      <c r="AG20" s="77">
        <v>638</v>
      </c>
      <c r="AH20" s="77">
        <v>1258</v>
      </c>
      <c r="AI20" s="77">
        <v>642</v>
      </c>
      <c r="AJ20" s="77">
        <v>2903</v>
      </c>
      <c r="AK20" s="77">
        <v>2181</v>
      </c>
      <c r="AL20" s="77">
        <v>494</v>
      </c>
      <c r="AM20" s="77">
        <v>6248</v>
      </c>
      <c r="AN20" s="77">
        <v>344</v>
      </c>
      <c r="AO20" s="77">
        <v>138</v>
      </c>
      <c r="AP20" s="77">
        <v>1572</v>
      </c>
      <c r="AQ20" s="77">
        <v>185</v>
      </c>
      <c r="AR20" s="77">
        <v>964</v>
      </c>
      <c r="AS20" s="77">
        <v>202</v>
      </c>
      <c r="AT20" s="77">
        <v>0</v>
      </c>
      <c r="AU20" s="77">
        <f si="2" t="shared"/>
        <v>29356</v>
      </c>
      <c r="AW20" s="95">
        <v>14</v>
      </c>
      <c r="AX20" s="77" t="n">
        <v>1053.0</v>
      </c>
      <c r="AY20" s="77" t="n">
        <v>584.0</v>
      </c>
      <c r="AZ20" s="77" t="n">
        <v>705.0</v>
      </c>
      <c r="BA20" s="77" t="n">
        <v>629.0</v>
      </c>
      <c r="BB20" s="77" t="n">
        <v>525.0</v>
      </c>
      <c r="BC20" s="77" t="n">
        <v>1635.0</v>
      </c>
      <c r="BD20" s="77" t="n">
        <v>299.0</v>
      </c>
      <c r="BE20" s="77" t="n">
        <v>442.0</v>
      </c>
      <c r="BF20" s="77" t="n">
        <v>632.0</v>
      </c>
      <c r="BG20" s="77" t="n">
        <v>367.0</v>
      </c>
      <c r="BH20" s="77" t="n">
        <v>2853.0</v>
      </c>
      <c r="BI20" s="77" t="n">
        <v>885.0</v>
      </c>
      <c r="BJ20" s="77" t="n">
        <v>89.0</v>
      </c>
      <c r="BK20" s="77" t="n">
        <v>8819.0</v>
      </c>
      <c r="BL20" s="77" t="n">
        <v>137.0</v>
      </c>
      <c r="BM20" s="77" t="n">
        <v>32.0</v>
      </c>
      <c r="BN20" s="77" t="n">
        <v>1503.0</v>
      </c>
      <c r="BO20" s="77" t="n">
        <v>19.0</v>
      </c>
      <c r="BP20" s="77" t="n">
        <v>867.0</v>
      </c>
      <c r="BQ20" s="77" t="n">
        <v>9.0</v>
      </c>
      <c r="BR20" s="77"/>
      <c r="BS20" s="77">
        <f si="3" t="shared"/>
        <v>21060</v>
      </c>
      <c r="BT20" s="102"/>
      <c r="BV20" s="236" t="s">
        <v>350</v>
      </c>
      <c r="BW20" s="237"/>
      <c r="BX20" s="238" t="s">
        <v>348</v>
      </c>
      <c r="BY20" s="236"/>
      <c r="BZ20" s="236"/>
      <c r="CA20" s="237"/>
      <c r="CB20" s="238" t="s">
        <v>349</v>
      </c>
      <c r="CC20" s="236"/>
      <c r="CD20" s="236"/>
      <c r="CE20" s="237"/>
      <c r="CF20" s="239" t="s">
        <v>357</v>
      </c>
      <c r="CG20" s="240"/>
      <c r="CH20" s="240"/>
      <c r="CI20" s="241"/>
      <c r="CJ20" s="238" t="s">
        <v>353</v>
      </c>
      <c r="CK20" s="237"/>
    </row>
    <row customFormat="1" r="21" s="95" spans="1:93" x14ac:dyDescent="0.25">
      <c r="A21" s="95">
        <v>15</v>
      </c>
      <c r="B21" s="77" t="n">
        <v>1737.83421476781</v>
      </c>
      <c r="C21" s="77" t="n">
        <v>2303.1711951913703</v>
      </c>
      <c r="D21" s="77" t="n">
        <v>845.684362751178</v>
      </c>
      <c r="E21" s="77" t="n">
        <v>515.510351855112</v>
      </c>
      <c r="F21" s="77" t="n">
        <v>309.96354281453307</v>
      </c>
      <c r="G21" s="77" t="n">
        <v>1239.6776358322682</v>
      </c>
      <c r="H21" s="77" t="n">
        <v>2176.415493820177</v>
      </c>
      <c r="I21" s="77" t="n">
        <v>0.0</v>
      </c>
      <c r="J21" s="77" t="n">
        <v>4183.694389524354</v>
      </c>
      <c r="K21" s="77" t="n">
        <v>367.955899914433</v>
      </c>
      <c r="L21" s="77" t="n">
        <v>632.535750656259</v>
      </c>
      <c r="M21" s="77" t="n">
        <v>931.3982517463579</v>
      </c>
      <c r="N21" s="77" t="n">
        <v>3630.22821127044</v>
      </c>
      <c r="O21" s="77" t="n">
        <v>0.0</v>
      </c>
      <c r="P21" s="77" t="n">
        <v>11661.0921790428</v>
      </c>
      <c r="Q21" s="77" t="n">
        <v>0.0</v>
      </c>
      <c r="R21" s="77" t="n">
        <v>0.0</v>
      </c>
      <c r="S21" s="77" t="n">
        <v>0.0</v>
      </c>
      <c r="T21" s="77" t="n">
        <v>79.0752395786249</v>
      </c>
      <c r="U21" s="77" t="n">
        <v>0.0</v>
      </c>
      <c r="V21" s="77"/>
      <c r="W21" s="77">
        <f si="1" t="shared"/>
        <v>30614.236718765718</v>
      </c>
      <c r="X21" s="7"/>
      <c r="Y21" s="95">
        <v>15</v>
      </c>
      <c r="Z21" s="77">
        <v>2438</v>
      </c>
      <c r="AA21" s="77">
        <v>3413</v>
      </c>
      <c r="AB21" s="77">
        <v>722</v>
      </c>
      <c r="AC21" s="77">
        <v>781</v>
      </c>
      <c r="AD21" s="77">
        <v>997</v>
      </c>
      <c r="AE21" s="77">
        <v>4822</v>
      </c>
      <c r="AF21" s="77">
        <v>4643</v>
      </c>
      <c r="AG21" s="77">
        <v>258</v>
      </c>
      <c r="AH21" s="77">
        <v>5392</v>
      </c>
      <c r="AI21" s="77">
        <v>660</v>
      </c>
      <c r="AJ21" s="77">
        <v>1838</v>
      </c>
      <c r="AK21" s="77">
        <v>4162</v>
      </c>
      <c r="AL21" s="77">
        <v>4674</v>
      </c>
      <c r="AM21" s="77">
        <v>164</v>
      </c>
      <c r="AN21" s="77">
        <v>11959</v>
      </c>
      <c r="AO21" s="77">
        <v>125</v>
      </c>
      <c r="AP21" s="77">
        <v>243</v>
      </c>
      <c r="AQ21" s="77">
        <v>454</v>
      </c>
      <c r="AR21" s="77">
        <v>1250</v>
      </c>
      <c r="AS21" s="77">
        <v>214</v>
      </c>
      <c r="AT21" s="77">
        <v>0</v>
      </c>
      <c r="AU21" s="77">
        <f si="2" t="shared"/>
        <v>49209</v>
      </c>
      <c r="AW21" s="95">
        <v>15</v>
      </c>
      <c r="AX21" s="77" t="n">
        <v>1091.0</v>
      </c>
      <c r="AY21" s="77" t="n">
        <v>1537.0</v>
      </c>
      <c r="AZ21" s="77" t="n">
        <v>631.0</v>
      </c>
      <c r="BA21" s="77" t="n">
        <v>372.0</v>
      </c>
      <c r="BB21" s="77" t="n">
        <v>416.0</v>
      </c>
      <c r="BC21" s="77" t="n">
        <v>1896.0</v>
      </c>
      <c r="BD21" s="77" t="n">
        <v>2515.0</v>
      </c>
      <c r="BE21" s="77" t="n">
        <v>109.0</v>
      </c>
      <c r="BF21" s="77" t="n">
        <v>4979.0</v>
      </c>
      <c r="BG21" s="77" t="n">
        <v>258.0</v>
      </c>
      <c r="BH21" s="77" t="n">
        <v>1294.0</v>
      </c>
      <c r="BI21" s="77" t="n">
        <v>1782.0</v>
      </c>
      <c r="BJ21" s="77" t="n">
        <v>6299.0</v>
      </c>
      <c r="BK21" s="77" t="n">
        <v>80.0</v>
      </c>
      <c r="BL21" s="77" t="n">
        <v>17804.0</v>
      </c>
      <c r="BM21" s="77" t="n">
        <v>20.0</v>
      </c>
      <c r="BN21" s="77" t="n">
        <v>124.0</v>
      </c>
      <c r="BO21" s="77" t="n">
        <v>79.0</v>
      </c>
      <c r="BP21" s="77" t="n">
        <v>1183.0</v>
      </c>
      <c r="BQ21" s="77" t="n">
        <v>15.0</v>
      </c>
      <c r="BR21" s="77"/>
      <c r="BS21" s="77">
        <f si="3" t="shared"/>
        <v>43720</v>
      </c>
      <c r="BT21" s="102"/>
      <c r="BV21" s="113" t="s">
        <v>351</v>
      </c>
      <c r="BW21" s="112" t="s">
        <v>360</v>
      </c>
      <c r="BX21" s="128" t="s">
        <v>343</v>
      </c>
      <c r="BY21" s="129" t="s">
        <v>356</v>
      </c>
      <c r="BZ21" s="129" t="s">
        <v>344</v>
      </c>
      <c r="CA21" s="129" t="s">
        <v>345</v>
      </c>
      <c r="CB21" s="128" t="s">
        <v>343</v>
      </c>
      <c r="CC21" s="129" t="s">
        <v>356</v>
      </c>
      <c r="CD21" s="129" t="s">
        <v>344</v>
      </c>
      <c r="CE21" s="129" t="s">
        <v>345</v>
      </c>
      <c r="CF21" s="114" t="s">
        <v>343</v>
      </c>
      <c r="CG21" s="113" t="s">
        <v>356</v>
      </c>
      <c r="CH21" s="113" t="s">
        <v>428</v>
      </c>
      <c r="CI21" s="120" t="s">
        <v>345</v>
      </c>
      <c r="CJ21" s="118" t="s">
        <v>358</v>
      </c>
      <c r="CK21" s="136" t="s">
        <v>429</v>
      </c>
      <c r="CL21" s="138" t="s">
        <v>352</v>
      </c>
    </row>
    <row customFormat="1" r="22" s="95" spans="1:93" x14ac:dyDescent="0.25">
      <c r="A22" s="95">
        <v>16</v>
      </c>
      <c r="B22" s="77" t="n">
        <v>664.125198617704</v>
      </c>
      <c r="C22" s="77" t="n">
        <v>602.999636139476</v>
      </c>
      <c r="D22" s="77" t="n">
        <v>1224.589697083906</v>
      </c>
      <c r="E22" s="77" t="n">
        <v>726.348822338412</v>
      </c>
      <c r="F22" s="77" t="n">
        <v>1324.814207757316</v>
      </c>
      <c r="G22" s="77" t="n">
        <v>6927.092890936033</v>
      </c>
      <c r="H22" s="77" t="n">
        <v>872.454672917555</v>
      </c>
      <c r="I22" s="77" t="n">
        <v>1102.81294932788</v>
      </c>
      <c r="J22" s="77" t="n">
        <v>1135.89489649532</v>
      </c>
      <c r="K22" s="77" t="n">
        <v>1291.279496136549</v>
      </c>
      <c r="L22" s="77" t="n">
        <v>0.0</v>
      </c>
      <c r="M22" s="77" t="n">
        <v>6536.079095598268</v>
      </c>
      <c r="N22" s="77" t="n">
        <v>0.0</v>
      </c>
      <c r="O22" s="77" t="n">
        <v>0.0</v>
      </c>
      <c r="P22" s="77" t="n">
        <v>0.0</v>
      </c>
      <c r="Q22" s="77" t="n">
        <v>263.070231740616</v>
      </c>
      <c r="R22" s="77" t="n">
        <v>0.0</v>
      </c>
      <c r="S22" s="77" t="n">
        <v>0.0</v>
      </c>
      <c r="T22" s="77" t="n">
        <v>0.0</v>
      </c>
      <c r="U22" s="77" t="n">
        <v>0.0</v>
      </c>
      <c r="V22" s="77"/>
      <c r="W22" s="77">
        <f si="1" t="shared"/>
        <v>22671.561795089037</v>
      </c>
      <c r="X22" s="7"/>
      <c r="Y22" s="95">
        <v>16</v>
      </c>
      <c r="Z22" s="77">
        <v>1752</v>
      </c>
      <c r="AA22" s="77">
        <v>1711</v>
      </c>
      <c r="AB22" s="77">
        <v>359</v>
      </c>
      <c r="AC22" s="77">
        <v>613</v>
      </c>
      <c r="AD22" s="77">
        <v>915</v>
      </c>
      <c r="AE22" s="77">
        <v>5243</v>
      </c>
      <c r="AF22" s="77">
        <v>714</v>
      </c>
      <c r="AG22" s="77">
        <v>118</v>
      </c>
      <c r="AH22" s="77">
        <v>612</v>
      </c>
      <c r="AI22" s="77">
        <v>1486</v>
      </c>
      <c r="AJ22" s="77">
        <v>435</v>
      </c>
      <c r="AK22" s="77">
        <v>5082</v>
      </c>
      <c r="AL22" s="77">
        <v>394</v>
      </c>
      <c r="AM22" s="77">
        <v>62</v>
      </c>
      <c r="AN22" s="77">
        <v>133</v>
      </c>
      <c r="AO22" s="77">
        <v>1102</v>
      </c>
      <c r="AP22" s="77">
        <v>32</v>
      </c>
      <c r="AQ22" s="77">
        <v>534</v>
      </c>
      <c r="AR22" s="77">
        <v>99</v>
      </c>
      <c r="AS22" s="77">
        <v>208</v>
      </c>
      <c r="AT22" s="77">
        <v>0</v>
      </c>
      <c r="AU22" s="77">
        <f si="2" t="shared"/>
        <v>21604</v>
      </c>
      <c r="AW22" s="95">
        <v>16</v>
      </c>
      <c r="AX22" s="77" t="n">
        <v>1063.0</v>
      </c>
      <c r="AY22" s="77" t="n">
        <v>611.0</v>
      </c>
      <c r="AZ22" s="77" t="n">
        <v>318.0</v>
      </c>
      <c r="BA22" s="77" t="n">
        <v>437.0</v>
      </c>
      <c r="BB22" s="77" t="n">
        <v>792.0</v>
      </c>
      <c r="BC22" s="77" t="n">
        <v>2658.0</v>
      </c>
      <c r="BD22" s="77" t="n">
        <v>495.0</v>
      </c>
      <c r="BE22" s="77" t="n">
        <v>59.0</v>
      </c>
      <c r="BF22" s="77" t="n">
        <v>326.0</v>
      </c>
      <c r="BG22" s="77" t="n">
        <v>1306.0</v>
      </c>
      <c r="BH22" s="77" t="n">
        <v>271.0</v>
      </c>
      <c r="BI22" s="77" t="n">
        <v>4990.0</v>
      </c>
      <c r="BJ22" s="77" t="n">
        <v>260.0</v>
      </c>
      <c r="BK22" s="77" t="n">
        <v>29.0</v>
      </c>
      <c r="BL22" s="77" t="n">
        <v>60.0</v>
      </c>
      <c r="BM22" s="77" t="n">
        <v>1722.0</v>
      </c>
      <c r="BN22" s="77" t="n">
        <v>22.0</v>
      </c>
      <c r="BO22" s="77" t="n">
        <v>444.0</v>
      </c>
      <c r="BP22" s="77" t="n">
        <v>45.0</v>
      </c>
      <c r="BQ22" s="77" t="n">
        <v>224.0</v>
      </c>
      <c r="BR22" s="77"/>
      <c r="BS22" s="77">
        <f si="3" t="shared"/>
        <v>16500</v>
      </c>
      <c r="BT22" s="102"/>
      <c r="BV22" s="31">
        <v>1</v>
      </c>
      <c r="BW22" s="34" t="s">
        <v>323</v>
      </c>
      <c r="BX22" s="132">
        <f>$BW$7</f>
        <v>83524.716672332506</v>
      </c>
      <c r="BY22" s="133">
        <f>$BW$8</f>
        <v>50465</v>
      </c>
      <c r="BZ22" s="133">
        <f>$BW$9</f>
        <v>70858</v>
      </c>
      <c r="CA22" s="134">
        <f>$BW$10</f>
        <v>45640</v>
      </c>
      <c r="CB22" s="132">
        <f>$BW$11</f>
        <v>88085.722011194797</v>
      </c>
      <c r="CC22" s="133">
        <f>$BW$12</f>
        <v>46363.04002708225</v>
      </c>
      <c r="CD22" s="133">
        <f>$BW$13</f>
        <v>61174.01482077979</v>
      </c>
      <c r="CE22" s="134">
        <f>$BW$14</f>
        <v>45640</v>
      </c>
      <c r="CF22" s="100">
        <f ref="CF22:CF42" si="9" t="shared">CB22/CB$42</f>
        <v>0.10607114543036794</v>
      </c>
      <c r="CG22" s="100">
        <f ref="CG22:CG42" si="10" t="shared">CC22/CC$42</f>
        <v>5.582948801488638E-2</v>
      </c>
      <c r="CH22" s="100">
        <f ref="CH22:CH42" si="11" t="shared">CD22/CD$42</f>
        <v>7.3664581210899999E-2</v>
      </c>
      <c r="CI22" s="121">
        <f ref="CI22:CI42" si="12" t="shared">CE22/CE$42</f>
        <v>5.4958817012667985E-2</v>
      </c>
      <c r="CJ22" s="125">
        <f>CI22-CG22</f>
        <v>-8.7067100221839555E-4</v>
      </c>
      <c r="CK22" s="121">
        <f>(CE22-CC22)/CC22</f>
        <v>-1.5595181564019477E-2</v>
      </c>
      <c r="CL22" s="21">
        <f>CI22-CH22</f>
        <v>-1.8705764198232014E-2</v>
      </c>
    </row>
    <row customFormat="1" r="23" s="95" spans="1:93" x14ac:dyDescent="0.25">
      <c r="A23" s="95">
        <v>17</v>
      </c>
      <c r="B23" s="77" t="n">
        <v>1345.5876694735223</v>
      </c>
      <c r="C23" s="77" t="n">
        <v>1422.5970460147398</v>
      </c>
      <c r="D23" s="77" t="n">
        <v>483.1112564106037</v>
      </c>
      <c r="E23" s="77" t="n">
        <v>1045.5674662061008</v>
      </c>
      <c r="F23" s="77" t="n">
        <v>432.8683349833367</v>
      </c>
      <c r="G23" s="77" t="n">
        <v>608.0494658977564</v>
      </c>
      <c r="H23" s="77" t="n">
        <v>1178.4611099152958</v>
      </c>
      <c r="I23" s="77" t="n">
        <v>0.0</v>
      </c>
      <c r="J23" s="77" t="n">
        <v>360.113914179818</v>
      </c>
      <c r="K23" s="77" t="n">
        <v>0.0</v>
      </c>
      <c r="L23" s="77" t="n">
        <v>5250.94345063575</v>
      </c>
      <c r="M23" s="77" t="n">
        <v>1457.3361502957187</v>
      </c>
      <c r="N23" s="77" t="n">
        <v>0.0</v>
      </c>
      <c r="O23" s="77" t="n">
        <v>782.1420469615366</v>
      </c>
      <c r="P23" s="77" t="n">
        <v>85.6632519695921</v>
      </c>
      <c r="Q23" s="77" t="n">
        <v>0.0</v>
      </c>
      <c r="R23" s="77" t="n">
        <v>3933.4299015706024</v>
      </c>
      <c r="S23" s="77" t="n">
        <v>0.0</v>
      </c>
      <c r="T23" s="77" t="n">
        <v>854.2935015980089</v>
      </c>
      <c r="U23" s="77" t="n">
        <v>0.0</v>
      </c>
      <c r="V23" s="77"/>
      <c r="W23" s="77">
        <f si="1" t="shared"/>
        <v>19240.16456611238</v>
      </c>
      <c r="X23" s="7"/>
      <c r="Y23" s="95">
        <v>17</v>
      </c>
      <c r="Z23" s="77">
        <v>1626</v>
      </c>
      <c r="AA23" s="77">
        <v>2183</v>
      </c>
      <c r="AB23" s="77">
        <v>714</v>
      </c>
      <c r="AC23" s="77">
        <v>745</v>
      </c>
      <c r="AD23" s="77">
        <v>728</v>
      </c>
      <c r="AE23" s="77">
        <v>3324</v>
      </c>
      <c r="AF23" s="77">
        <v>1069</v>
      </c>
      <c r="AG23" s="77">
        <v>402</v>
      </c>
      <c r="AH23" s="77">
        <v>1191</v>
      </c>
      <c r="AI23" s="77">
        <v>478</v>
      </c>
      <c r="AJ23" s="77">
        <v>4208</v>
      </c>
      <c r="AK23" s="77">
        <v>1885</v>
      </c>
      <c r="AL23" s="77">
        <v>448</v>
      </c>
      <c r="AM23" s="77">
        <v>1659</v>
      </c>
      <c r="AN23" s="77">
        <v>429</v>
      </c>
      <c r="AO23" s="77">
        <v>112</v>
      </c>
      <c r="AP23" s="77">
        <v>3628</v>
      </c>
      <c r="AQ23" s="77">
        <v>173</v>
      </c>
      <c r="AR23" s="77">
        <v>3252</v>
      </c>
      <c r="AS23" s="77">
        <v>105</v>
      </c>
      <c r="AT23" s="77">
        <v>0</v>
      </c>
      <c r="AU23" s="77">
        <f si="2" t="shared"/>
        <v>28359</v>
      </c>
      <c r="AW23" s="95">
        <v>17</v>
      </c>
      <c r="AX23" s="77" t="n">
        <v>993.0</v>
      </c>
      <c r="AY23" s="77" t="n">
        <v>513.0</v>
      </c>
      <c r="AZ23" s="77" t="n">
        <v>735.0</v>
      </c>
      <c r="BA23" s="77" t="n">
        <v>468.0</v>
      </c>
      <c r="BB23" s="77" t="n">
        <v>398.0</v>
      </c>
      <c r="BC23" s="77" t="n">
        <v>1384.0</v>
      </c>
      <c r="BD23" s="77" t="n">
        <v>242.0</v>
      </c>
      <c r="BE23" s="77" t="n">
        <v>277.0</v>
      </c>
      <c r="BF23" s="77" t="n">
        <v>666.0</v>
      </c>
      <c r="BG23" s="77" t="n">
        <v>223.0</v>
      </c>
      <c r="BH23" s="77" t="n">
        <v>4460.0</v>
      </c>
      <c r="BI23" s="77" t="n">
        <v>727.0</v>
      </c>
      <c r="BJ23" s="77" t="n">
        <v>81.0</v>
      </c>
      <c r="BK23" s="77" t="n">
        <v>2307.0</v>
      </c>
      <c r="BL23" s="77" t="n">
        <v>234.0</v>
      </c>
      <c r="BM23" s="77" t="n">
        <v>23.0</v>
      </c>
      <c r="BN23" s="77" t="n">
        <v>5649.0</v>
      </c>
      <c r="BO23" s="77" t="n">
        <v>24.0</v>
      </c>
      <c r="BP23" s="77" t="n">
        <v>3883.0</v>
      </c>
      <c r="BQ23" s="77" t="n">
        <v>4.0</v>
      </c>
      <c r="BR23" s="77"/>
      <c r="BS23" s="77">
        <f si="3" t="shared"/>
        <v>24040</v>
      </c>
      <c r="BT23" s="102"/>
      <c r="BV23" s="95">
        <v>2</v>
      </c>
      <c r="BW23" s="34" t="s">
        <v>324</v>
      </c>
      <c r="BX23" s="115">
        <f>$BX$7</f>
        <v>33517.436176149633</v>
      </c>
      <c r="BY23" s="116">
        <f>$BX$8</f>
        <v>41849</v>
      </c>
      <c r="BZ23" s="116">
        <f>$BX$9</f>
        <v>75074</v>
      </c>
      <c r="CA23" s="123">
        <f>$BX$10</f>
        <v>38180</v>
      </c>
      <c r="CB23" s="115">
        <f>$BX$11</f>
        <v>35347.71123046818</v>
      </c>
      <c r="CC23" s="116">
        <f>$BX$12</f>
        <v>38447.376639123453</v>
      </c>
      <c r="CD23" s="116">
        <f>$BX$13</f>
        <v>64217.606341779516</v>
      </c>
      <c r="CE23" s="123">
        <f>$BX$14</f>
        <v>38180</v>
      </c>
      <c r="CF23" s="100">
        <f si="9" t="shared"/>
        <v>4.2565039292987043E-2</v>
      </c>
      <c r="CG23" s="100">
        <f si="10" t="shared"/>
        <v>4.6297597224511641E-2</v>
      </c>
      <c r="CH23" s="100">
        <f si="11" t="shared"/>
        <v>7.7329616037015936E-2</v>
      </c>
      <c r="CI23" s="121">
        <f si="12" t="shared"/>
        <v>4.5975627378257312E-2</v>
      </c>
      <c r="CJ23" s="125">
        <f ref="CJ23:CJ41" si="13" t="shared">CI23-CG23</f>
        <v>-3.2196984625432884E-4</v>
      </c>
      <c r="CK23" s="121">
        <f ref="CK23:CK41" si="14" t="shared">(CE23-CC23)/CC23</f>
        <v>-6.9543532614231669E-3</v>
      </c>
      <c r="CL23" s="21">
        <f ref="CL23:CL41" si="15" t="shared">CI23-CH23</f>
        <v>-3.1353988658758623E-2</v>
      </c>
    </row>
    <row customFormat="1" r="24" s="95" spans="1:93" x14ac:dyDescent="0.25">
      <c r="A24" s="95">
        <v>18</v>
      </c>
      <c r="B24" s="77" t="n">
        <v>3207.917681966579</v>
      </c>
      <c r="C24" s="77" t="n">
        <v>1125.9132405966259</v>
      </c>
      <c r="D24" s="77" t="n">
        <v>300.549189277758</v>
      </c>
      <c r="E24" s="77" t="n">
        <v>1197.466975377208</v>
      </c>
      <c r="F24" s="77" t="n">
        <v>671.13362994386</v>
      </c>
      <c r="G24" s="77" t="n">
        <v>2574.7729084650778</v>
      </c>
      <c r="H24" s="77" t="n">
        <v>3254.448568455629</v>
      </c>
      <c r="I24" s="77" t="n">
        <v>0.0</v>
      </c>
      <c r="J24" s="77" t="n">
        <v>0.0</v>
      </c>
      <c r="K24" s="77" t="n">
        <v>179.603451520598</v>
      </c>
      <c r="L24" s="77" t="n">
        <v>0.0</v>
      </c>
      <c r="M24" s="77" t="n">
        <v>18343.73997888021</v>
      </c>
      <c r="N24" s="77" t="n">
        <v>8455.87464735627</v>
      </c>
      <c r="O24" s="77" t="n">
        <v>0.0</v>
      </c>
      <c r="P24" s="77" t="n">
        <v>0.0</v>
      </c>
      <c r="Q24" s="77" t="n">
        <v>47.0780174975748</v>
      </c>
      <c r="R24" s="77" t="n">
        <v>0.0</v>
      </c>
      <c r="S24" s="77" t="n">
        <v>3709.877875079478</v>
      </c>
      <c r="T24" s="77" t="n">
        <v>0.0</v>
      </c>
      <c r="U24" s="77" t="n">
        <v>419.7034848188868</v>
      </c>
      <c r="V24" s="77"/>
      <c r="W24" s="77">
        <f si="1" t="shared"/>
        <v>43488.079649235755</v>
      </c>
      <c r="X24" s="7"/>
      <c r="Y24" s="95">
        <v>18</v>
      </c>
      <c r="Z24" s="77">
        <v>2963</v>
      </c>
      <c r="AA24" s="77">
        <v>2770</v>
      </c>
      <c r="AB24" s="77">
        <v>622</v>
      </c>
      <c r="AC24" s="77">
        <v>822</v>
      </c>
      <c r="AD24" s="77">
        <v>1080</v>
      </c>
      <c r="AE24" s="77">
        <v>6922</v>
      </c>
      <c r="AF24" s="77">
        <v>4968</v>
      </c>
      <c r="AG24" s="77">
        <v>180</v>
      </c>
      <c r="AH24" s="77">
        <v>2157</v>
      </c>
      <c r="AI24" s="77">
        <v>1044</v>
      </c>
      <c r="AJ24" s="77">
        <v>954</v>
      </c>
      <c r="AK24" s="77">
        <v>21028</v>
      </c>
      <c r="AL24" s="77">
        <v>6451</v>
      </c>
      <c r="AM24" s="77">
        <v>135</v>
      </c>
      <c r="AN24" s="77">
        <v>773</v>
      </c>
      <c r="AO24" s="77">
        <v>416</v>
      </c>
      <c r="AP24" s="77">
        <v>107</v>
      </c>
      <c r="AQ24" s="77">
        <v>6991</v>
      </c>
      <c r="AR24" s="77">
        <v>295</v>
      </c>
      <c r="AS24" s="77">
        <v>4024</v>
      </c>
      <c r="AT24" s="77">
        <v>0</v>
      </c>
      <c r="AU24" s="77">
        <f si="2" t="shared"/>
        <v>64702</v>
      </c>
      <c r="AW24" s="95">
        <v>18</v>
      </c>
      <c r="AX24" s="77" t="n">
        <v>1322.0</v>
      </c>
      <c r="AY24" s="77" t="n">
        <v>1118.0</v>
      </c>
      <c r="AZ24" s="77" t="n">
        <v>413.0</v>
      </c>
      <c r="BA24" s="77" t="n">
        <v>445.0</v>
      </c>
      <c r="BB24" s="77" t="n">
        <v>659.0</v>
      </c>
      <c r="BC24" s="77" t="n">
        <v>3086.0</v>
      </c>
      <c r="BD24" s="77" t="n">
        <v>2833.0</v>
      </c>
      <c r="BE24" s="77" t="n">
        <v>59.0</v>
      </c>
      <c r="BF24" s="77" t="n">
        <v>595.0</v>
      </c>
      <c r="BG24" s="77" t="n">
        <v>565.0</v>
      </c>
      <c r="BH24" s="77" t="n">
        <v>362.0</v>
      </c>
      <c r="BI24" s="77" t="n">
        <v>16181.0</v>
      </c>
      <c r="BJ24" s="77" t="n">
        <v>8563.0</v>
      </c>
      <c r="BK24" s="77" t="n">
        <v>40.0</v>
      </c>
      <c r="BL24" s="77" t="n">
        <v>281.0</v>
      </c>
      <c r="BM24" s="77" t="n">
        <v>309.0</v>
      </c>
      <c r="BN24" s="77" t="n">
        <v>23.0</v>
      </c>
      <c r="BO24" s="77" t="n">
        <v>10743.0</v>
      </c>
      <c r="BP24" s="77" t="n">
        <v>60.0</v>
      </c>
      <c r="BQ24" s="77" t="n">
        <v>4920.0</v>
      </c>
      <c r="BR24" s="77"/>
      <c r="BS24" s="77">
        <f si="3" t="shared"/>
        <v>53220</v>
      </c>
      <c r="BT24" s="102"/>
      <c r="BV24" s="95">
        <v>3</v>
      </c>
      <c r="BW24" s="34" t="s">
        <v>325</v>
      </c>
      <c r="BX24" s="115">
        <f>$BY$7</f>
        <v>20342.761980711071</v>
      </c>
      <c r="BY24" s="116">
        <f>$BY$8</f>
        <v>26730</v>
      </c>
      <c r="BZ24" s="116">
        <f>$BY$9</f>
        <v>24294</v>
      </c>
      <c r="CA24" s="123">
        <f>$BY$10</f>
        <v>24100</v>
      </c>
      <c r="CB24" s="115">
        <f>$BY$11</f>
        <v>21453.612154141982</v>
      </c>
      <c r="CC24" s="116">
        <f>$BY$12</f>
        <v>24557.298324064373</v>
      </c>
      <c r="CD24" s="116">
        <f>$BY$13</f>
        <v>20808.902705694385</v>
      </c>
      <c r="CE24" s="123">
        <f>$BY$14</f>
        <v>24100</v>
      </c>
      <c r="CF24" s="100">
        <f si="9" t="shared"/>
        <v>2.5834030338304958E-2</v>
      </c>
      <c r="CG24" s="100">
        <f si="10" t="shared"/>
        <v>2.9571429993815773E-2</v>
      </c>
      <c r="CH24" s="100">
        <f si="11" t="shared"/>
        <v>2.5057683524028689E-2</v>
      </c>
      <c r="CI24" s="121">
        <f si="12" t="shared"/>
        <v>2.9020760078994269E-2</v>
      </c>
      <c r="CJ24" s="125">
        <f si="13" t="shared"/>
        <v>-5.5066991482150343E-4</v>
      </c>
      <c r="CK24" s="121">
        <f si="14" t="shared"/>
        <v>-1.8621687045119871E-2</v>
      </c>
      <c r="CL24" s="21">
        <f si="15" t="shared"/>
        <v>3.9630765549655798E-3</v>
      </c>
    </row>
    <row customFormat="1" r="25" s="95" spans="1:93" x14ac:dyDescent="0.25">
      <c r="A25" s="95">
        <v>19</v>
      </c>
      <c r="B25" s="77" t="n">
        <v>2655.674270292774</v>
      </c>
      <c r="C25" s="77" t="n">
        <v>855.9688359510701</v>
      </c>
      <c r="D25" s="77" t="n">
        <v>858.3664619103424</v>
      </c>
      <c r="E25" s="77" t="n">
        <v>1159.688418060828</v>
      </c>
      <c r="F25" s="77" t="n">
        <v>982.743505774876</v>
      </c>
      <c r="G25" s="77" t="n">
        <v>2398.760014014524</v>
      </c>
      <c r="H25" s="77" t="n">
        <v>2113.139333522131</v>
      </c>
      <c r="I25" s="77" t="n">
        <v>0.0</v>
      </c>
      <c r="J25" s="77" t="n">
        <v>2422.357621119778</v>
      </c>
      <c r="K25" s="77" t="n">
        <v>296.59497116925</v>
      </c>
      <c r="L25" s="77" t="n">
        <v>8521.943287140959</v>
      </c>
      <c r="M25" s="77" t="n">
        <v>0.0</v>
      </c>
      <c r="N25" s="77" t="n">
        <v>0.0</v>
      </c>
      <c r="O25" s="77" t="n">
        <v>1112.6686274418205</v>
      </c>
      <c r="P25" s="77" t="n">
        <v>983.026117893448</v>
      </c>
      <c r="Q25" s="77" t="n">
        <v>0.0</v>
      </c>
      <c r="R25" s="77" t="n">
        <v>2637.918446234619</v>
      </c>
      <c r="S25" s="77" t="n">
        <v>0.0</v>
      </c>
      <c r="T25" s="77" t="n">
        <v>12561.013296320987</v>
      </c>
      <c r="U25" s="77" t="n">
        <v>0.0</v>
      </c>
      <c r="V25" s="77"/>
      <c r="W25" s="77">
        <f si="1" t="shared"/>
        <v>39559.863206847411</v>
      </c>
      <c r="X25" s="7"/>
      <c r="Y25" s="95">
        <v>19</v>
      </c>
      <c r="Z25" s="77">
        <v>2776</v>
      </c>
      <c r="AA25" s="77">
        <v>3100</v>
      </c>
      <c r="AB25" s="77">
        <v>1042</v>
      </c>
      <c r="AC25" s="77">
        <v>1166</v>
      </c>
      <c r="AD25" s="77">
        <v>1119</v>
      </c>
      <c r="AE25" s="77">
        <v>5173</v>
      </c>
      <c r="AF25" s="77">
        <v>1997</v>
      </c>
      <c r="AG25" s="77">
        <v>413</v>
      </c>
      <c r="AH25" s="77">
        <v>2603</v>
      </c>
      <c r="AI25" s="77">
        <v>731</v>
      </c>
      <c r="AJ25" s="77">
        <v>7170</v>
      </c>
      <c r="AK25" s="77">
        <v>3597</v>
      </c>
      <c r="AL25" s="77">
        <v>916</v>
      </c>
      <c r="AM25" s="77">
        <v>821</v>
      </c>
      <c r="AN25" s="77">
        <v>1887</v>
      </c>
      <c r="AO25" s="77">
        <v>156</v>
      </c>
      <c r="AP25" s="77">
        <v>3435</v>
      </c>
      <c r="AQ25" s="77">
        <v>285</v>
      </c>
      <c r="AR25" s="77">
        <v>14386</v>
      </c>
      <c r="AS25" s="77">
        <v>195</v>
      </c>
      <c r="AT25" s="77">
        <v>0</v>
      </c>
      <c r="AU25" s="77">
        <f si="2" t="shared"/>
        <v>52968</v>
      </c>
      <c r="AW25" s="95">
        <v>19</v>
      </c>
      <c r="AX25" s="77" t="n">
        <v>1197.0</v>
      </c>
      <c r="AY25" s="77" t="n">
        <v>765.0</v>
      </c>
      <c r="AZ25" s="77" t="n">
        <v>964.0</v>
      </c>
      <c r="BA25" s="77" t="n">
        <v>613.0</v>
      </c>
      <c r="BB25" s="77" t="n">
        <v>546.0</v>
      </c>
      <c r="BC25" s="77" t="n">
        <v>1868.0</v>
      </c>
      <c r="BD25" s="77" t="n">
        <v>489.0</v>
      </c>
      <c r="BE25" s="77" t="n">
        <v>219.0</v>
      </c>
      <c r="BF25" s="77" t="n">
        <v>1335.0</v>
      </c>
      <c r="BG25" s="77" t="n">
        <v>291.0</v>
      </c>
      <c r="BH25" s="77" t="n">
        <v>9998.0</v>
      </c>
      <c r="BI25" s="77" t="n">
        <v>1043.0</v>
      </c>
      <c r="BJ25" s="77" t="n">
        <v>299.0</v>
      </c>
      <c r="BK25" s="77" t="n">
        <v>947.0</v>
      </c>
      <c r="BL25" s="77" t="n">
        <v>1827.0</v>
      </c>
      <c r="BM25" s="77" t="n">
        <v>24.0</v>
      </c>
      <c r="BN25" s="77" t="n">
        <v>4240.0</v>
      </c>
      <c r="BO25" s="77" t="n">
        <v>33.0</v>
      </c>
      <c r="BP25" s="77" t="n">
        <v>20394.0</v>
      </c>
      <c r="BQ25" s="77" t="n">
        <v>6.0</v>
      </c>
      <c r="BR25" s="77"/>
      <c r="BS25" s="77">
        <f si="3" t="shared"/>
        <v>46900</v>
      </c>
      <c r="BT25" s="102"/>
      <c r="BV25" s="95">
        <v>4</v>
      </c>
      <c r="BW25" s="34" t="s">
        <v>326</v>
      </c>
      <c r="BX25" s="115">
        <f>$BZ$7</f>
        <v>24858.21125930726</v>
      </c>
      <c r="BY25" s="116">
        <f>$BZ$8</f>
        <v>18661</v>
      </c>
      <c r="BZ25" s="116">
        <f>$BZ$9</f>
        <v>23571</v>
      </c>
      <c r="CA25" s="123">
        <f>$BZ$10</f>
        <v>17520</v>
      </c>
      <c r="CB25" s="115">
        <f>$BZ$11</f>
        <v>26215.635011045928</v>
      </c>
      <c r="CC25" s="116">
        <f>$BZ$12</f>
        <v>17144.172990099709</v>
      </c>
      <c r="CD25" s="116">
        <f>$BZ$13</f>
        <v>19822.268308575189</v>
      </c>
      <c r="CE25" s="123">
        <f>$BZ$14</f>
        <v>17520</v>
      </c>
      <c r="CF25" s="100">
        <f si="9" t="shared"/>
        <v>3.1568367384815173E-2</v>
      </c>
      <c r="CG25" s="100">
        <f si="10" t="shared"/>
        <v>2.0644685937695327E-2</v>
      </c>
      <c r="CH25" s="100">
        <f si="11" t="shared"/>
        <v>2.3869597211809628E-2</v>
      </c>
      <c r="CI25" s="121">
        <f si="12" t="shared"/>
        <v>2.1097249650787533E-2</v>
      </c>
      <c r="CJ25" s="125">
        <f si="13" t="shared"/>
        <v>4.5256371309220639E-4</v>
      </c>
      <c r="CK25" s="121">
        <f si="14" t="shared"/>
        <v>2.1921559594465186E-2</v>
      </c>
      <c r="CL25" s="21">
        <f si="15" t="shared"/>
        <v>-2.7723475610220948E-3</v>
      </c>
    </row>
    <row customFormat="1" r="26" s="95" spans="1:93" x14ac:dyDescent="0.25">
      <c r="A26" s="95">
        <v>20</v>
      </c>
      <c r="B26" s="58" t="n">
        <v>739.5225538870951</v>
      </c>
      <c r="C26" s="58" t="n">
        <v>396.315831765415</v>
      </c>
      <c r="D26" s="58" t="n">
        <v>396.315831765415</v>
      </c>
      <c r="E26" s="58" t="n">
        <v>530.902814237059</v>
      </c>
      <c r="F26" s="58" t="n">
        <v>75.377597745124</v>
      </c>
      <c r="G26" s="58" t="n">
        <v>777.9958079895451</v>
      </c>
      <c r="H26" s="58" t="n">
        <v>1817.377491131429</v>
      </c>
      <c r="I26" s="58" t="n">
        <v>0.0</v>
      </c>
      <c r="J26" s="58" t="n">
        <v>0.0</v>
      </c>
      <c r="K26" s="58" t="n">
        <v>156.966639544515</v>
      </c>
      <c r="L26" s="58" t="n">
        <v>115.000259629041</v>
      </c>
      <c r="M26" s="58" t="n">
        <v>6330.8256870548585</v>
      </c>
      <c r="N26" s="58" t="n">
        <v>40.512360877359</v>
      </c>
      <c r="O26" s="58" t="n">
        <v>0.0</v>
      </c>
      <c r="P26" s="58" t="n">
        <v>0.0</v>
      </c>
      <c r="Q26" s="58" t="n">
        <v>0.0</v>
      </c>
      <c r="R26" s="58" t="n">
        <v>0.0</v>
      </c>
      <c r="S26" s="58" t="n">
        <v>3673.6580433652352</v>
      </c>
      <c r="T26" s="58" t="n">
        <v>0.0</v>
      </c>
      <c r="U26" s="58" t="n">
        <v>15926.780765612446</v>
      </c>
      <c r="V26" s="58"/>
      <c r="W26" s="77">
        <f si="1" t="shared"/>
        <v>30977.551684604536</v>
      </c>
      <c r="Y26" s="95">
        <v>20</v>
      </c>
      <c r="Z26" s="58">
        <v>1039</v>
      </c>
      <c r="AA26" s="58">
        <v>1107</v>
      </c>
      <c r="AB26" s="58">
        <v>306</v>
      </c>
      <c r="AC26" s="58">
        <v>402</v>
      </c>
      <c r="AD26" s="58">
        <v>477</v>
      </c>
      <c r="AE26" s="58">
        <v>2222</v>
      </c>
      <c r="AF26" s="58">
        <v>1603</v>
      </c>
      <c r="AG26" s="58">
        <v>142</v>
      </c>
      <c r="AH26" s="58">
        <v>1012</v>
      </c>
      <c r="AI26" s="58">
        <v>476</v>
      </c>
      <c r="AJ26" s="58">
        <v>395</v>
      </c>
      <c r="AK26" s="58">
        <v>7152</v>
      </c>
      <c r="AL26" s="58">
        <v>1209</v>
      </c>
      <c r="AM26" s="58">
        <v>130</v>
      </c>
      <c r="AN26" s="58">
        <v>298</v>
      </c>
      <c r="AO26" s="58">
        <v>205</v>
      </c>
      <c r="AP26" s="58">
        <v>56</v>
      </c>
      <c r="AQ26" s="58">
        <v>5317</v>
      </c>
      <c r="AR26" s="58">
        <v>189</v>
      </c>
      <c r="AS26" s="58">
        <v>13471</v>
      </c>
      <c r="AT26" s="58">
        <v>0</v>
      </c>
      <c r="AU26" s="77">
        <f si="2" t="shared"/>
        <v>37208</v>
      </c>
      <c r="AW26" s="95">
        <v>20</v>
      </c>
      <c r="AX26" s="58" t="n">
        <v>202.0</v>
      </c>
      <c r="AY26" s="58" t="n">
        <v>159.0</v>
      </c>
      <c r="AZ26" s="58" t="n">
        <v>72.0</v>
      </c>
      <c r="BA26" s="58" t="n">
        <v>77.0</v>
      </c>
      <c r="BB26" s="58" t="n">
        <v>123.0</v>
      </c>
      <c r="BC26" s="58" t="n">
        <v>527.0</v>
      </c>
      <c r="BD26" s="58" t="n">
        <v>266.0</v>
      </c>
      <c r="BE26" s="58" t="n">
        <v>7.0</v>
      </c>
      <c r="BF26" s="58" t="n">
        <v>105.0</v>
      </c>
      <c r="BG26" s="58" t="n">
        <v>134.0</v>
      </c>
      <c r="BH26" s="58" t="n">
        <v>50.0</v>
      </c>
      <c r="BI26" s="58" t="n">
        <v>2873.0</v>
      </c>
      <c r="BJ26" s="58" t="n">
        <v>424.0</v>
      </c>
      <c r="BK26" s="58" t="n">
        <v>12.0</v>
      </c>
      <c r="BL26" s="58" t="n">
        <v>23.0</v>
      </c>
      <c r="BM26" s="58" t="n">
        <v>121.0</v>
      </c>
      <c r="BN26" s="58" t="n">
        <v>5.0</v>
      </c>
      <c r="BO26" s="58" t="n">
        <v>4166.0</v>
      </c>
      <c r="BP26" s="58" t="n">
        <v>8.0</v>
      </c>
      <c r="BQ26" s="58" t="n">
        <v>21216.0</v>
      </c>
      <c r="BR26" s="58"/>
      <c r="BS26" s="77">
        <f si="3" t="shared"/>
        <v>29860</v>
      </c>
      <c r="BT26" s="102"/>
      <c r="BV26" s="95">
        <v>5</v>
      </c>
      <c r="BW26" s="34" t="s">
        <v>327</v>
      </c>
      <c r="BX26" s="115">
        <f>$CA$7</f>
        <v>23036.313694395729</v>
      </c>
      <c r="BY26" s="116">
        <f>$CA$8</f>
        <v>24148</v>
      </c>
      <c r="BZ26" s="116">
        <f>$CA$9</f>
        <v>27651</v>
      </c>
      <c r="CA26" s="123">
        <f>$CA$10</f>
        <v>21740</v>
      </c>
      <c r="CB26" s="115">
        <f>$CA$11</f>
        <v>24294.249715418468</v>
      </c>
      <c r="CC26" s="116">
        <f>$CA$12</f>
        <v>22185.171714534474</v>
      </c>
      <c r="CD26" s="116">
        <f>$CA$13</f>
        <v>23415.816431802981</v>
      </c>
      <c r="CE26" s="123">
        <f>$CA$14</f>
        <v>21740</v>
      </c>
      <c r="CF26" s="100">
        <f si="9" t="shared"/>
        <v>2.9254671879266961E-2</v>
      </c>
      <c r="CG26" s="100">
        <f si="10" t="shared"/>
        <v>2.6714960399949993E-2</v>
      </c>
      <c r="CH26" s="100">
        <f si="11" t="shared"/>
        <v>2.8196879283034274E-2</v>
      </c>
      <c r="CI26" s="121">
        <f si="12" t="shared"/>
        <v>2.6178893116901882E-2</v>
      </c>
      <c r="CJ26" s="125">
        <f si="13" t="shared"/>
        <v>-5.3606728304811044E-4</v>
      </c>
      <c r="CK26" s="121">
        <f si="14" t="shared"/>
        <v>-2.006618295601572E-2</v>
      </c>
      <c r="CL26" s="21">
        <f si="15" t="shared"/>
        <v>-2.017986166132392E-3</v>
      </c>
    </row>
    <row customFormat="1" r="27" s="95" spans="1:93" x14ac:dyDescent="0.25">
      <c r="A27" s="101" t="s">
        <v>15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77">
        <f si="1" t="shared"/>
        <v>0</v>
      </c>
      <c r="Y27" s="101" t="s">
        <v>15</v>
      </c>
      <c r="Z27" s="60">
        <v>0</v>
      </c>
      <c r="AA27" s="60">
        <v>0</v>
      </c>
      <c r="AB27" s="60">
        <v>0</v>
      </c>
      <c r="AC27" s="60">
        <v>0</v>
      </c>
      <c r="AD27" s="60">
        <v>0</v>
      </c>
      <c r="AE27" s="60">
        <v>0</v>
      </c>
      <c r="AF27" s="60">
        <v>0</v>
      </c>
      <c r="AG27" s="60">
        <v>0</v>
      </c>
      <c r="AH27" s="60">
        <v>0</v>
      </c>
      <c r="AI27" s="60">
        <v>0</v>
      </c>
      <c r="AJ27" s="60">
        <v>0</v>
      </c>
      <c r="AK27" s="60">
        <v>0</v>
      </c>
      <c r="AL27" s="60">
        <v>0</v>
      </c>
      <c r="AM27" s="60">
        <v>0</v>
      </c>
      <c r="AN27" s="60">
        <v>0</v>
      </c>
      <c r="AO27" s="60">
        <v>0</v>
      </c>
      <c r="AP27" s="60">
        <v>0</v>
      </c>
      <c r="AQ27" s="60">
        <v>0</v>
      </c>
      <c r="AR27" s="60">
        <v>0</v>
      </c>
      <c r="AS27" s="60">
        <v>0</v>
      </c>
      <c r="AT27" s="60">
        <v>0</v>
      </c>
      <c r="AU27" s="77">
        <f si="2" t="shared"/>
        <v>0</v>
      </c>
      <c r="AW27" s="101" t="s">
        <v>15</v>
      </c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77">
        <f si="3" t="shared"/>
        <v>0</v>
      </c>
      <c r="BT27" s="102"/>
      <c r="BV27" s="95">
        <v>6</v>
      </c>
      <c r="BW27" s="34" t="s">
        <v>328</v>
      </c>
      <c r="BX27" s="115">
        <f>$CB$7</f>
        <v>116219.36188648028</v>
      </c>
      <c r="BY27" s="116">
        <f>$CB$8</f>
        <v>106455</v>
      </c>
      <c r="BZ27" s="116">
        <f>$CB$9</f>
        <v>153058</v>
      </c>
      <c r="CA27" s="123">
        <f>$CB$10</f>
        <v>96120</v>
      </c>
      <c r="CB27" s="115">
        <f>$CB$11</f>
        <v>122565.71241793911</v>
      </c>
      <c r="CC27" s="116">
        <f>$CB$12</f>
        <v>97801.990014525742</v>
      </c>
      <c r="CD27" s="116">
        <f>$CB$13</f>
        <v>132106.68717930635</v>
      </c>
      <c r="CE27" s="123">
        <f>$CB$14</f>
        <v>96120</v>
      </c>
      <c r="CF27" s="100">
        <f si="9" t="shared"/>
        <v>0.14759129186688869</v>
      </c>
      <c r="CG27" s="100">
        <f si="10" t="shared"/>
        <v>0.11777128993608897</v>
      </c>
      <c r="CH27" s="100">
        <f si="11" t="shared"/>
        <v>0.15908035159590861</v>
      </c>
      <c r="CI27" s="121">
        <f si="12" t="shared"/>
        <v>0.11574586965945764</v>
      </c>
      <c r="CJ27" s="125">
        <f si="13" t="shared"/>
        <v>-2.025420276631329E-3</v>
      </c>
      <c r="CK27" s="121">
        <f si="14" t="shared"/>
        <v>-1.71979119675983E-2</v>
      </c>
      <c r="CL27" s="21">
        <f si="15" t="shared"/>
        <v>-4.3334481936450966E-2</v>
      </c>
    </row>
    <row customFormat="1" ht="15.75" r="28" s="95" spans="1:93" thickBot="1" x14ac:dyDescent="0.3">
      <c r="A28" s="1" t="s">
        <v>3</v>
      </c>
      <c r="B28" s="107">
        <f>SUM(B7:B27)</f>
        <v>83524.716672332506</v>
      </c>
      <c r="C28" s="107">
        <f ref="C28:W28" si="16" t="shared">SUM(C7:C27)</f>
        <v>33517.436176149633</v>
      </c>
      <c r="D28" s="107">
        <f si="16" t="shared"/>
        <v>20342.761980711071</v>
      </c>
      <c r="E28" s="107">
        <f si="16" t="shared"/>
        <v>24858.21125930726</v>
      </c>
      <c r="F28" s="107">
        <f si="16" t="shared"/>
        <v>23036.313694395729</v>
      </c>
      <c r="G28" s="107">
        <f si="16" t="shared"/>
        <v>116219.36188648028</v>
      </c>
      <c r="H28" s="107">
        <f si="16" t="shared"/>
        <v>74301.509013582981</v>
      </c>
      <c r="I28" s="107">
        <f si="16" t="shared"/>
        <v>3682.4775864874828</v>
      </c>
      <c r="J28" s="107">
        <f si="16" t="shared"/>
        <v>54879.130936305446</v>
      </c>
      <c r="K28" s="107">
        <f si="16" t="shared"/>
        <v>14021.229546144357</v>
      </c>
      <c r="L28" s="107">
        <f si="16" t="shared"/>
        <v>40033.491243339275</v>
      </c>
      <c r="M28" s="107">
        <f si="16" t="shared"/>
        <v>150051.4119853304</v>
      </c>
      <c r="N28" s="107">
        <f si="16" t="shared"/>
        <v>58699.074960954094</v>
      </c>
      <c r="O28" s="107">
        <f si="16" t="shared"/>
        <v>13303.423145710443</v>
      </c>
      <c r="P28" s="107">
        <f si="16" t="shared"/>
        <v>18530.92040310935</v>
      </c>
      <c r="Q28" s="107">
        <f si="16" t="shared"/>
        <v>2059.7893251669652</v>
      </c>
      <c r="R28" s="107">
        <f si="16" t="shared"/>
        <v>9135.2817345814929</v>
      </c>
      <c r="S28" s="107">
        <f si="16" t="shared"/>
        <v>13074.167718361357</v>
      </c>
      <c r="T28" s="107">
        <f si="16" t="shared"/>
        <v>16912.63761576551</v>
      </c>
      <c r="U28" s="107">
        <f si="16" t="shared"/>
        <v>17257.161403342958</v>
      </c>
      <c r="V28" s="107">
        <f si="16" t="shared"/>
        <v>0</v>
      </c>
      <c r="W28" s="107">
        <f si="16" t="shared"/>
        <v>787440.50828755845</v>
      </c>
      <c r="Y28" s="1" t="s">
        <v>3</v>
      </c>
      <c r="Z28" s="107">
        <f>SUM(Z7:Z27)</f>
        <v>70858</v>
      </c>
      <c r="AA28" s="107">
        <f ref="AA28:AU28" si="17" t="shared">SUM(AA7:AA27)</f>
        <v>75074</v>
      </c>
      <c r="AB28" s="107">
        <f si="17" t="shared"/>
        <v>24294</v>
      </c>
      <c r="AC28" s="107">
        <f si="17" t="shared"/>
        <v>23571</v>
      </c>
      <c r="AD28" s="107">
        <f si="17" t="shared"/>
        <v>27651</v>
      </c>
      <c r="AE28" s="107">
        <f si="17" t="shared"/>
        <v>153058</v>
      </c>
      <c r="AF28" s="107">
        <f si="17" t="shared"/>
        <v>84080</v>
      </c>
      <c r="AG28" s="107">
        <f si="17" t="shared"/>
        <v>7355</v>
      </c>
      <c r="AH28" s="107">
        <f si="17" t="shared"/>
        <v>57234</v>
      </c>
      <c r="AI28" s="107">
        <f si="17" t="shared"/>
        <v>21817</v>
      </c>
      <c r="AJ28" s="107">
        <f si="17" t="shared"/>
        <v>50898</v>
      </c>
      <c r="AK28" s="107">
        <f si="17" t="shared"/>
        <v>162784</v>
      </c>
      <c r="AL28" s="107">
        <f si="17" t="shared"/>
        <v>65336</v>
      </c>
      <c r="AM28" s="107">
        <f si="17" t="shared"/>
        <v>11928</v>
      </c>
      <c r="AN28" s="107">
        <f si="17" t="shared"/>
        <v>31047</v>
      </c>
      <c r="AO28" s="107">
        <f si="17" t="shared"/>
        <v>5518</v>
      </c>
      <c r="AP28" s="107">
        <f si="17" t="shared"/>
        <v>11837</v>
      </c>
      <c r="AQ28" s="107">
        <f si="17" t="shared"/>
        <v>23748</v>
      </c>
      <c r="AR28" s="107">
        <f si="17" t="shared"/>
        <v>29164</v>
      </c>
      <c r="AS28" s="107">
        <f si="17" t="shared"/>
        <v>22156</v>
      </c>
      <c r="AT28" s="107">
        <f si="17" t="shared"/>
        <v>0</v>
      </c>
      <c r="AU28" s="107">
        <f si="17" t="shared"/>
        <v>959408</v>
      </c>
      <c r="AW28" s="1" t="s">
        <v>3</v>
      </c>
      <c r="AX28" s="107">
        <f ref="AX28:BS28" si="18" t="shared">SUM(AX7:AX27)</f>
        <v>45640</v>
      </c>
      <c r="AY28" s="107">
        <f si="18" t="shared"/>
        <v>38180</v>
      </c>
      <c r="AZ28" s="107">
        <f si="18" t="shared"/>
        <v>24100</v>
      </c>
      <c r="BA28" s="107">
        <f si="18" t="shared"/>
        <v>17520</v>
      </c>
      <c r="BB28" s="107">
        <f si="18" t="shared"/>
        <v>21740</v>
      </c>
      <c r="BC28" s="107">
        <f si="18" t="shared"/>
        <v>96120</v>
      </c>
      <c r="BD28" s="107">
        <f si="18" t="shared"/>
        <v>78260</v>
      </c>
      <c r="BE28" s="107">
        <f si="18" t="shared"/>
        <v>4600</v>
      </c>
      <c r="BF28" s="107">
        <f si="18" t="shared"/>
        <v>46940</v>
      </c>
      <c r="BG28" s="107">
        <f si="18" t="shared"/>
        <v>17920</v>
      </c>
      <c r="BH28" s="107">
        <f si="18" t="shared"/>
        <v>50980</v>
      </c>
      <c r="BI28" s="107">
        <f si="18" t="shared"/>
        <v>148580</v>
      </c>
      <c r="BJ28" s="107">
        <f si="18" t="shared"/>
        <v>91740</v>
      </c>
      <c r="BK28" s="107">
        <f si="18" t="shared"/>
        <v>13760</v>
      </c>
      <c r="BL28" s="107">
        <f si="18" t="shared"/>
        <v>34800</v>
      </c>
      <c r="BM28" s="107">
        <f si="18" t="shared"/>
        <v>4560</v>
      </c>
      <c r="BN28" s="107">
        <f si="18" t="shared"/>
        <v>13940</v>
      </c>
      <c r="BO28" s="107">
        <f si="18" t="shared"/>
        <v>21140</v>
      </c>
      <c r="BP28" s="107">
        <f si="18" t="shared"/>
        <v>33420</v>
      </c>
      <c r="BQ28" s="107">
        <f si="18" t="shared"/>
        <v>26500</v>
      </c>
      <c r="BR28" s="107">
        <f si="18" t="shared"/>
        <v>0</v>
      </c>
      <c r="BS28" s="107">
        <f si="18" t="shared"/>
        <v>830440</v>
      </c>
      <c r="BT28" s="102"/>
      <c r="BV28" s="95">
        <v>7</v>
      </c>
      <c r="BW28" s="34" t="s">
        <v>329</v>
      </c>
      <c r="BX28" s="115">
        <f>$CC$7</f>
        <v>74301.509013582981</v>
      </c>
      <c r="BY28" s="116">
        <f>$CC$8</f>
        <v>86378</v>
      </c>
      <c r="BZ28" s="116">
        <f>$CC$9</f>
        <v>84080</v>
      </c>
      <c r="CA28" s="123">
        <f>$CC$10</f>
        <v>78260</v>
      </c>
      <c r="CB28" s="115">
        <f>$CC$11</f>
        <v>78358.865839179183</v>
      </c>
      <c r="CC28" s="116">
        <f>$CC$12</f>
        <v>79356.914127797689</v>
      </c>
      <c r="CD28" s="116">
        <f>$CC$13</f>
        <v>74717.37105578382</v>
      </c>
      <c r="CE28" s="123">
        <f>$CC$14</f>
        <v>78260</v>
      </c>
      <c r="CF28" s="100">
        <f si="9" t="shared"/>
        <v>9.4358250853979989E-2</v>
      </c>
      <c r="CG28" s="100">
        <f si="10" t="shared"/>
        <v>9.5560081556521459E-2</v>
      </c>
      <c r="CH28" s="100">
        <f si="11" t="shared"/>
        <v>8.9973232329588912E-2</v>
      </c>
      <c r="CI28" s="121">
        <f si="12" t="shared"/>
        <v>9.4239198497182222E-2</v>
      </c>
      <c r="CJ28" s="125">
        <f si="13" t="shared"/>
        <v>-1.3208830593392368E-3</v>
      </c>
      <c r="CK28" s="121">
        <f si="14" t="shared"/>
        <v>-1.3822540100679823E-2</v>
      </c>
      <c r="CL28" s="21">
        <f si="15" t="shared"/>
        <v>4.2659661675933103E-3</v>
      </c>
    </row>
    <row customFormat="1" r="29" s="95" spans="1:93" x14ac:dyDescent="0.25">
      <c r="AW29" s="7"/>
      <c r="AX29" s="77"/>
      <c r="AY29" s="77"/>
      <c r="AZ29" s="77"/>
      <c r="BA29" s="77"/>
      <c r="BB29" s="77"/>
      <c r="BC29" s="77"/>
      <c r="BD29" s="77"/>
      <c r="BE29" s="77"/>
      <c r="BF29" s="77"/>
      <c r="BV29" s="95">
        <v>8</v>
      </c>
      <c r="BW29" s="34" t="s">
        <v>330</v>
      </c>
      <c r="BX29" s="115">
        <f>$CD$7</f>
        <v>3682.4775864874828</v>
      </c>
      <c r="BY29" s="116">
        <f>$CD$8</f>
        <v>5098</v>
      </c>
      <c r="BZ29" s="116">
        <f>$CD$9</f>
        <v>7355</v>
      </c>
      <c r="CA29" s="123">
        <f>$CD$10</f>
        <v>4600</v>
      </c>
      <c r="CB29" s="115">
        <f>$CD$11</f>
        <v>3883.5653674625451</v>
      </c>
      <c r="CC29" s="116">
        <f>$CD$12</f>
        <v>4683.6179145559363</v>
      </c>
      <c r="CD29" s="116">
        <f>$CD$13</f>
        <v>6021.0529187647726</v>
      </c>
      <c r="CE29" s="123">
        <f>$CD$14</f>
        <v>4600</v>
      </c>
      <c r="CF29" s="100">
        <f si="9" t="shared"/>
        <v>4.6765153020838866E-3</v>
      </c>
      <c r="CG29" s="100">
        <f si="10" t="shared"/>
        <v>5.6399233112036217E-3</v>
      </c>
      <c r="CH29" s="100">
        <f si="11" t="shared"/>
        <v>7.2504370198506482E-3</v>
      </c>
      <c r="CI29" s="121">
        <f si="12" t="shared"/>
        <v>5.5392322142478684E-3</v>
      </c>
      <c r="CJ29" s="125">
        <f si="13" t="shared"/>
        <v>-1.006910969557533E-4</v>
      </c>
      <c r="CK29" s="121">
        <f si="14" t="shared"/>
        <v>-1.7853274131535191E-2</v>
      </c>
      <c r="CL29" s="21">
        <f si="15" t="shared"/>
        <v>-1.7112048056027798E-3</v>
      </c>
    </row>
    <row customFormat="1" r="30" s="95" spans="1:93" x14ac:dyDescent="0.25">
      <c r="AW30" s="7"/>
      <c r="AX30" s="77"/>
      <c r="AY30" s="77"/>
      <c r="AZ30" s="77"/>
      <c r="BA30" s="77"/>
      <c r="BB30" s="77"/>
      <c r="BC30" s="77"/>
      <c r="BD30" s="77"/>
      <c r="BE30" s="77"/>
      <c r="BF30" s="77"/>
      <c r="BV30" s="95">
        <v>9</v>
      </c>
      <c r="BW30" s="34" t="s">
        <v>331</v>
      </c>
      <c r="BX30" s="115">
        <f>$CE$7</f>
        <v>54879.130936305446</v>
      </c>
      <c r="BY30" s="116">
        <f>$CE$8</f>
        <v>52399</v>
      </c>
      <c r="BZ30" s="116">
        <f>$CE$9</f>
        <v>57234</v>
      </c>
      <c r="CA30" s="123">
        <f>$CE$10</f>
        <v>46940</v>
      </c>
      <c r="CB30" s="115">
        <f>$CE$11</f>
        <v>57875.896674219344</v>
      </c>
      <c r="CC30" s="116">
        <f>$CE$12</f>
        <v>48139.83819239241</v>
      </c>
      <c r="CD30" s="116">
        <f>$CE$13</f>
        <v>49532.125904975524</v>
      </c>
      <c r="CE30" s="123">
        <f>$CE$14</f>
        <v>46940</v>
      </c>
      <c r="CF30" s="100">
        <f si="9" t="shared"/>
        <v>6.9693050279634058E-2</v>
      </c>
      <c r="CG30" s="100">
        <f si="10" t="shared"/>
        <v>5.7969074457386929E-2</v>
      </c>
      <c r="CH30" s="100">
        <f si="11" t="shared"/>
        <v>5.9645640750656911E-2</v>
      </c>
      <c r="CI30" s="121">
        <f si="12" t="shared"/>
        <v>5.6524252203651079E-2</v>
      </c>
      <c r="CJ30" s="125">
        <f si="13" t="shared"/>
        <v>-1.4448222537358502E-3</v>
      </c>
      <c r="CK30" s="121">
        <f si="14" t="shared"/>
        <v>-2.4924017974410673E-2</v>
      </c>
      <c r="CL30" s="21">
        <f si="15" t="shared"/>
        <v>-3.1213885470058322E-3</v>
      </c>
    </row>
    <row customFormat="1" r="31" s="95" spans="1:93" x14ac:dyDescent="0.25">
      <c r="AW31" s="7"/>
      <c r="AX31" s="77"/>
      <c r="AY31" s="77"/>
      <c r="AZ31" s="77"/>
      <c r="BA31" s="77"/>
      <c r="BB31" s="77"/>
      <c r="BC31" s="77"/>
      <c r="BD31" s="77"/>
      <c r="BE31" s="77"/>
      <c r="BF31" s="77"/>
      <c r="BV31" s="95">
        <v>10</v>
      </c>
      <c r="BW31" s="34" t="s">
        <v>332</v>
      </c>
      <c r="BX31" s="115">
        <f>$CF$7</f>
        <v>14021.229546144357</v>
      </c>
      <c r="BY31" s="116">
        <f>$CF$8</f>
        <v>20410</v>
      </c>
      <c r="BZ31" s="116">
        <f>$CF$9</f>
        <v>21817</v>
      </c>
      <c r="CA31" s="123">
        <f>$CF$10</f>
        <v>17920</v>
      </c>
      <c r="CB31" s="115">
        <f>$CF$11</f>
        <v>14786.881982515468</v>
      </c>
      <c r="CC31" s="116">
        <f>$CF$12</f>
        <v>18751.008559452071</v>
      </c>
      <c r="CD31" s="116">
        <f>$CF$13</f>
        <v>18395.653387144645</v>
      </c>
      <c r="CE31" s="123">
        <f>$CF$14</f>
        <v>17920</v>
      </c>
      <c r="CF31" s="100">
        <f si="9" t="shared"/>
        <v>1.7806081092571962E-2</v>
      </c>
      <c r="CG31" s="100">
        <f si="10" t="shared"/>
        <v>2.2579606665685745E-2</v>
      </c>
      <c r="CH31" s="100">
        <f si="11" t="shared"/>
        <v>2.2151694748741204E-2</v>
      </c>
      <c r="CI31" s="121">
        <f si="12" t="shared"/>
        <v>2.157892201724387E-2</v>
      </c>
      <c r="CJ31" s="125">
        <f si="13" t="shared"/>
        <v>-1.0006846484418748E-3</v>
      </c>
      <c r="CK31" s="121">
        <f si="14" t="shared"/>
        <v>-4.4318072642187234E-2</v>
      </c>
      <c r="CL31" s="21">
        <f si="15" t="shared"/>
        <v>-5.727727314973341E-4</v>
      </c>
    </row>
    <row ht="15.75" r="32" spans="1:93" thickBot="1" x14ac:dyDescent="0.3">
      <c r="A32" s="4" t="s">
        <v>320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">
        <v>427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7"/>
      <c r="AN32" s="7"/>
      <c r="AO32" s="7"/>
      <c r="AP32" s="7"/>
      <c r="AQ32" s="7"/>
      <c r="AR32" s="7"/>
      <c r="AS32" s="7"/>
      <c r="AT32" s="7"/>
      <c r="AU32" s="7"/>
      <c r="AW32" s="4" t="s">
        <v>321</v>
      </c>
      <c r="AX32" s="1"/>
      <c r="AY32" s="1"/>
      <c r="AZ32" s="1"/>
      <c r="BA32" s="1"/>
      <c r="BB32" s="1"/>
      <c r="BC32" s="1"/>
      <c r="BD32" s="1"/>
      <c r="BE32" s="1"/>
      <c r="BF32" s="1"/>
      <c r="BV32" s="95">
        <v>11</v>
      </c>
      <c r="BW32" s="34" t="s">
        <v>333</v>
      </c>
      <c r="BX32" s="115">
        <f>$CG$7</f>
        <v>40033.491243339275</v>
      </c>
      <c r="BY32" s="116">
        <f>$CG$8</f>
        <v>57960</v>
      </c>
      <c r="BZ32" s="116">
        <f>$CG$9</f>
        <v>50898</v>
      </c>
      <c r="CA32" s="123">
        <f>$CG$10</f>
        <v>50980</v>
      </c>
      <c r="CB32" s="115">
        <f>$CG$11</f>
        <v>42219.586264894147</v>
      </c>
      <c r="CC32" s="116">
        <f>$CG$12</f>
        <v>53248.821955210289</v>
      </c>
      <c r="CD32" s="116">
        <f>$CG$13</f>
        <v>43204.818688939769</v>
      </c>
      <c r="CE32" s="123">
        <f>$CG$14</f>
        <v>50980</v>
      </c>
      <c r="CF32" s="100">
        <f si="9" t="shared"/>
        <v>5.0840020067547474E-2</v>
      </c>
      <c r="CG32" s="100">
        <f si="10" t="shared"/>
        <v>6.4121215205445642E-2</v>
      </c>
      <c r="CH32" s="100">
        <f si="11" t="shared"/>
        <v>5.202641815054642E-2</v>
      </c>
      <c r="CI32" s="121">
        <f si="12" t="shared"/>
        <v>6.1389143104860072E-2</v>
      </c>
      <c r="CJ32" s="125">
        <f si="13" t="shared"/>
        <v>-2.7320721005855697E-3</v>
      </c>
      <c r="CK32" s="121">
        <f si="14" t="shared"/>
        <v>-4.2607927685586848E-2</v>
      </c>
      <c r="CL32" s="21">
        <f si="15" t="shared"/>
        <v>9.3627249543136518E-3</v>
      </c>
    </row>
    <row r="33" spans="1:90" x14ac:dyDescent="0.25">
      <c r="A33" s="2" t="s">
        <v>14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15</v>
      </c>
      <c r="W33" s="3" t="s">
        <v>3</v>
      </c>
      <c r="X33" s="79"/>
      <c r="Y33" s="2" t="s">
        <v>14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15</v>
      </c>
      <c r="AU33" s="3" t="s">
        <v>3</v>
      </c>
      <c r="AW33" s="2" t="s">
        <v>14</v>
      </c>
      <c r="AX33" s="2">
        <v>1</v>
      </c>
      <c r="AY33" s="2">
        <v>2</v>
      </c>
      <c r="AZ33" s="2">
        <v>3</v>
      </c>
      <c r="BA33" s="2">
        <v>4</v>
      </c>
      <c r="BB33" s="2">
        <v>5</v>
      </c>
      <c r="BC33" s="2">
        <v>6</v>
      </c>
      <c r="BD33" s="2">
        <v>7</v>
      </c>
      <c r="BE33" s="2">
        <v>8</v>
      </c>
      <c r="BF33" s="2">
        <v>9</v>
      </c>
      <c r="BG33" s="2">
        <v>10</v>
      </c>
      <c r="BH33" s="2">
        <v>11</v>
      </c>
      <c r="BI33" s="2">
        <v>12</v>
      </c>
      <c r="BJ33" s="2">
        <v>13</v>
      </c>
      <c r="BK33" s="2">
        <v>14</v>
      </c>
      <c r="BL33" s="2">
        <v>15</v>
      </c>
      <c r="BM33" s="2">
        <v>16</v>
      </c>
      <c r="BN33" s="2">
        <v>17</v>
      </c>
      <c r="BO33" s="2">
        <v>18</v>
      </c>
      <c r="BP33" s="2">
        <v>19</v>
      </c>
      <c r="BQ33" s="2">
        <v>20</v>
      </c>
      <c r="BR33" s="3" t="s">
        <v>15</v>
      </c>
      <c r="BS33" s="3" t="s">
        <v>3</v>
      </c>
      <c r="BV33" s="95">
        <v>12</v>
      </c>
      <c r="BW33" s="34" t="s">
        <v>334</v>
      </c>
      <c r="BX33" s="115">
        <f>$CH$7</f>
        <v>150051.4119853304</v>
      </c>
      <c r="BY33" s="116">
        <f>$CH$8</f>
        <v>148223</v>
      </c>
      <c r="BZ33" s="116">
        <f>$CH$9</f>
        <v>162784</v>
      </c>
      <c r="CA33" s="123">
        <f>$CH$10</f>
        <v>148580</v>
      </c>
      <c r="CB33" s="115">
        <f>$CH$11</f>
        <v>158245.21758486042</v>
      </c>
      <c r="CC33" s="116">
        <f>$CH$12</f>
        <v>136174.95059812171</v>
      </c>
      <c r="CD33" s="116">
        <f>$CH$13</f>
        <v>142158.79224035979</v>
      </c>
      <c r="CE33" s="123">
        <f>$CH$14</f>
        <v>148580</v>
      </c>
      <c r="CF33" s="100">
        <f si="9" t="shared"/>
        <v>0.19055587108624383</v>
      </c>
      <c r="CG33" s="100">
        <f si="10" t="shared"/>
        <v>0.16397927676667995</v>
      </c>
      <c r="CH33" s="100">
        <f si="11" t="shared"/>
        <v>0.17118490467747194</v>
      </c>
      <c r="CI33" s="121">
        <f si="12" t="shared"/>
        <v>0.17891720052020615</v>
      </c>
      <c r="CJ33" s="125">
        <f si="13" t="shared"/>
        <v>1.4937923753526205E-2</v>
      </c>
      <c r="CK33" s="121">
        <f si="14" t="shared"/>
        <v>9.1096411986136591E-2</v>
      </c>
      <c r="CL33" s="21">
        <f si="15" t="shared"/>
        <v>7.7322958427342159E-3</v>
      </c>
    </row>
    <row r="34" spans="1:90" x14ac:dyDescent="0.25">
      <c r="A34" s="31">
        <v>1</v>
      </c>
      <c r="B34" s="77">
        <f ref="B34:W34" si="19" t="shared">IF($W7&gt;0,(B7/$W7)*$BS7,0)</f>
        <v>2748.0871016177598</v>
      </c>
      <c r="C34" s="77">
        <f si="19" t="shared"/>
        <v>373.8051808797884</v>
      </c>
      <c r="D34" s="77">
        <f si="19" t="shared"/>
        <v>375.37800865698091</v>
      </c>
      <c r="E34" s="77">
        <f si="19" t="shared"/>
        <v>0</v>
      </c>
      <c r="F34" s="77">
        <f si="19" t="shared"/>
        <v>357.24361661581997</v>
      </c>
      <c r="G34" s="77">
        <f si="19" t="shared"/>
        <v>4429.7334490378016</v>
      </c>
      <c r="H34" s="77">
        <f si="19" t="shared"/>
        <v>0</v>
      </c>
      <c r="I34" s="77">
        <f si="19" t="shared"/>
        <v>0</v>
      </c>
      <c r="J34" s="77">
        <f si="19" t="shared"/>
        <v>1417.2226468115425</v>
      </c>
      <c r="K34" s="77">
        <f si="19" t="shared"/>
        <v>195.63674746825603</v>
      </c>
      <c r="L34" s="77">
        <f si="19" t="shared"/>
        <v>929.21927009471153</v>
      </c>
      <c r="M34" s="77">
        <f si="19" t="shared"/>
        <v>840.75061723033537</v>
      </c>
      <c r="N34" s="77">
        <f si="19" t="shared"/>
        <v>52.923361587003953</v>
      </c>
      <c r="O34" s="77">
        <f si="19" t="shared"/>
        <v>0</v>
      </c>
      <c r="P34" s="77">
        <f si="19" t="shared"/>
        <v>0</v>
      </c>
      <c r="Q34" s="77">
        <f si="19" t="shared"/>
        <v>0</v>
      </c>
      <c r="R34" s="77">
        <f si="19" t="shared"/>
        <v>0</v>
      </c>
      <c r="S34" s="77">
        <f si="19" t="shared"/>
        <v>0</v>
      </c>
      <c r="T34" s="77">
        <f si="19" t="shared"/>
        <v>0</v>
      </c>
      <c r="U34" s="77">
        <f si="19" t="shared"/>
        <v>0</v>
      </c>
      <c r="V34" s="77">
        <f si="19" t="shared"/>
        <v>0</v>
      </c>
      <c r="W34" s="77">
        <f si="19" t="shared"/>
        <v>11720</v>
      </c>
      <c r="X34" s="14"/>
      <c r="Y34" s="31">
        <v>1</v>
      </c>
      <c r="Z34" s="77">
        <f>IF($AU7&gt;0,(Z7/$AU7)*$BS7,0)</f>
        <v>2579.3478447905018</v>
      </c>
      <c r="AA34" s="77">
        <f ref="AA34:AT34" si="20" t="shared">IF($AU7&gt;0,(AA7/$AU7)*$BS7,0)</f>
        <v>907.51096962918348</v>
      </c>
      <c r="AB34" s="77">
        <f si="20" t="shared"/>
        <v>465.85563107631424</v>
      </c>
      <c r="AC34" s="77">
        <f si="20" t="shared"/>
        <v>415.43835498580398</v>
      </c>
      <c r="AD34" s="77">
        <f si="20" t="shared"/>
        <v>457.78886690183253</v>
      </c>
      <c r="AE34" s="77">
        <f si="20" t="shared"/>
        <v>2763.8750752817691</v>
      </c>
      <c r="AF34" s="77">
        <f si="20" t="shared"/>
        <v>556.60672803923262</v>
      </c>
      <c r="AG34" s="77">
        <f si="20" t="shared"/>
        <v>74.617568613955086</v>
      </c>
      <c r="AH34" s="77">
        <f si="20" t="shared"/>
        <v>612.06573173879383</v>
      </c>
      <c r="AI34" s="77">
        <f si="20" t="shared"/>
        <v>275.27832745418567</v>
      </c>
      <c r="AJ34" s="77">
        <f si="20" t="shared"/>
        <v>355.94596919900198</v>
      </c>
      <c r="AK34" s="77">
        <f si="20" t="shared"/>
        <v>1746.4544437752731</v>
      </c>
      <c r="AL34" s="77">
        <f si="20" t="shared"/>
        <v>127.0515357480857</v>
      </c>
      <c r="AM34" s="77">
        <f si="20" t="shared"/>
        <v>34.283747741546932</v>
      </c>
      <c r="AN34" s="77">
        <f si="20" t="shared"/>
        <v>112.93469844274284</v>
      </c>
      <c r="AO34" s="77">
        <f si="20" t="shared"/>
        <v>48.40058504688978</v>
      </c>
      <c r="AP34" s="77">
        <f si="20" t="shared"/>
        <v>22.183601479824485</v>
      </c>
      <c r="AQ34" s="77">
        <f si="20" t="shared"/>
        <v>71.592532048524475</v>
      </c>
      <c r="AR34" s="77">
        <f si="20" t="shared"/>
        <v>66.550804439473453</v>
      </c>
      <c r="AS34" s="77">
        <f si="20" t="shared"/>
        <v>26.216983567065302</v>
      </c>
      <c r="AT34" s="77">
        <f si="20" t="shared"/>
        <v>0</v>
      </c>
      <c r="AU34" s="77">
        <f>SUM(Z34:AT34)</f>
        <v>11720</v>
      </c>
      <c r="AW34" s="31">
        <v>1</v>
      </c>
      <c r="AX34" s="15">
        <f>AX7</f>
        <v>2420</v>
      </c>
      <c r="AY34" s="15">
        <f ref="AY34:BR34" si="21" t="shared">AY7</f>
        <v>580</v>
      </c>
      <c r="AZ34" s="15">
        <f si="21" t="shared"/>
        <v>500</v>
      </c>
      <c r="BA34" s="15">
        <f si="21" t="shared"/>
        <v>800</v>
      </c>
      <c r="BB34" s="15">
        <f si="21" t="shared"/>
        <v>640</v>
      </c>
      <c r="BC34" s="15">
        <f si="21" t="shared"/>
        <v>3920</v>
      </c>
      <c r="BD34" s="15">
        <f si="21" t="shared"/>
        <v>220</v>
      </c>
      <c r="BE34" s="15">
        <f si="21" t="shared"/>
        <v>60</v>
      </c>
      <c r="BF34" s="15">
        <f si="21" t="shared"/>
        <v>320</v>
      </c>
      <c r="BG34" s="15">
        <f si="21" t="shared"/>
        <v>220</v>
      </c>
      <c r="BH34" s="15">
        <f si="21" t="shared"/>
        <v>460</v>
      </c>
      <c r="BI34" s="15">
        <f si="21" t="shared"/>
        <v>1220</v>
      </c>
      <c r="BJ34" s="15">
        <f si="21" t="shared"/>
        <v>80</v>
      </c>
      <c r="BK34" s="15">
        <f si="21" t="shared"/>
        <v>0</v>
      </c>
      <c r="BL34" s="15">
        <f si="21" t="shared"/>
        <v>60</v>
      </c>
      <c r="BM34" s="15">
        <f si="21" t="shared"/>
        <v>60</v>
      </c>
      <c r="BN34" s="15">
        <f si="21" t="shared"/>
        <v>20</v>
      </c>
      <c r="BO34" s="15">
        <f si="21" t="shared"/>
        <v>60</v>
      </c>
      <c r="BP34" s="15">
        <f si="21" t="shared"/>
        <v>80</v>
      </c>
      <c r="BQ34" s="15">
        <f si="21" t="shared"/>
        <v>0</v>
      </c>
      <c r="BR34" s="15">
        <f si="21" t="shared"/>
        <v>0</v>
      </c>
      <c r="BS34" s="97">
        <f>SUM(AX34:BR34)</f>
        <v>11720</v>
      </c>
      <c r="BV34" s="95">
        <v>13</v>
      </c>
      <c r="BW34" s="34" t="s">
        <v>335</v>
      </c>
      <c r="BX34" s="115">
        <f>$CI$7</f>
        <v>58699.074960954094</v>
      </c>
      <c r="BY34" s="116">
        <f>$CI$8</f>
        <v>100852</v>
      </c>
      <c r="BZ34" s="116">
        <f>$CI$9</f>
        <v>65336</v>
      </c>
      <c r="CA34" s="123">
        <f>$CI$10</f>
        <v>91740</v>
      </c>
      <c r="CB34" s="115">
        <f>$CI$11</f>
        <v>61904.435062126082</v>
      </c>
      <c r="CC34" s="116">
        <f>$CI$12</f>
        <v>92654.42014884176</v>
      </c>
      <c r="CD34" s="116">
        <f>$CI$13</f>
        <v>59900.080192953021</v>
      </c>
      <c r="CE34" s="123">
        <f>$CI$14</f>
        <v>91740</v>
      </c>
      <c r="CF34" s="100">
        <f si="9" t="shared"/>
        <v>7.4544139326292141E-2</v>
      </c>
      <c r="CG34" s="100">
        <f si="10" t="shared"/>
        <v>0.11157268453933065</v>
      </c>
      <c r="CH34" s="100">
        <f si="11" t="shared"/>
        <v>7.2130533443660008E-2</v>
      </c>
      <c r="CI34" s="121">
        <f si="12" t="shared"/>
        <v>0.11047155724676075</v>
      </c>
      <c r="CJ34" s="125">
        <f si="13" t="shared"/>
        <v>-1.1011272925699062E-3</v>
      </c>
      <c r="CK34" s="121">
        <f si="14" t="shared"/>
        <v>-9.8691476064802844E-3</v>
      </c>
      <c r="CL34" s="21">
        <f si="15" t="shared"/>
        <v>3.8341023803100741E-2</v>
      </c>
    </row>
    <row r="35" spans="1:90" x14ac:dyDescent="0.25">
      <c r="A35" s="95">
        <v>2</v>
      </c>
      <c r="B35" s="77">
        <f ref="B35:W35" si="22" t="shared">IF($W8&gt;0,(B8/$W8)*$BS8,0)</f>
        <v>1373.910544259136</v>
      </c>
      <c r="C35" s="77">
        <f si="22" t="shared"/>
        <v>1102.1758502785954</v>
      </c>
      <c r="D35" s="77">
        <f si="22" t="shared"/>
        <v>484.18627637212956</v>
      </c>
      <c r="E35" s="77">
        <f si="22" t="shared"/>
        <v>3544.2262936434158</v>
      </c>
      <c r="F35" s="77">
        <f si="22" t="shared"/>
        <v>81.328429600238508</v>
      </c>
      <c r="G35" s="77">
        <f si="22" t="shared"/>
        <v>2998.4433728761524</v>
      </c>
      <c r="H35" s="77">
        <f si="22" t="shared"/>
        <v>1298.7822875214626</v>
      </c>
      <c r="I35" s="77">
        <f si="22" t="shared"/>
        <v>0</v>
      </c>
      <c r="J35" s="77">
        <f si="22" t="shared"/>
        <v>1350.0415458516438</v>
      </c>
      <c r="K35" s="77">
        <f si="22" t="shared"/>
        <v>149.73890536832295</v>
      </c>
      <c r="L35" s="77">
        <f si="22" t="shared"/>
        <v>217.46593907641778</v>
      </c>
      <c r="M35" s="77">
        <f si="22" t="shared"/>
        <v>1523.1907895467759</v>
      </c>
      <c r="N35" s="77">
        <f si="22" t="shared"/>
        <v>0</v>
      </c>
      <c r="O35" s="77">
        <f si="22" t="shared"/>
        <v>0</v>
      </c>
      <c r="P35" s="77">
        <f si="22" t="shared"/>
        <v>0</v>
      </c>
      <c r="Q35" s="77">
        <f si="22" t="shared"/>
        <v>0</v>
      </c>
      <c r="R35" s="77">
        <f si="22" t="shared"/>
        <v>0</v>
      </c>
      <c r="S35" s="77">
        <f si="22" t="shared"/>
        <v>0</v>
      </c>
      <c r="T35" s="77">
        <f si="22" t="shared"/>
        <v>316.50976560570831</v>
      </c>
      <c r="U35" s="77">
        <f si="22" t="shared"/>
        <v>0</v>
      </c>
      <c r="V35" s="77">
        <f si="22" t="shared"/>
        <v>0</v>
      </c>
      <c r="W35" s="77">
        <f si="22" t="shared"/>
        <v>14440</v>
      </c>
      <c r="X35" s="14"/>
      <c r="Y35" s="95">
        <v>2</v>
      </c>
      <c r="Z35" s="77">
        <f ref="Z35:AT35" si="23" t="shared">IF($AU8&gt;0,(Z8/$AU8)*$BS8,0)</f>
        <v>1485.2118551042809</v>
      </c>
      <c r="AA35" s="77">
        <f si="23" t="shared"/>
        <v>2091.5016465422614</v>
      </c>
      <c r="AB35" s="77">
        <f si="23" t="shared"/>
        <v>611.83754116355647</v>
      </c>
      <c r="AC35" s="77">
        <f si="23" t="shared"/>
        <v>380.41712403951698</v>
      </c>
      <c r="AD35" s="77">
        <f si="23" t="shared"/>
        <v>470.76619099890235</v>
      </c>
      <c r="AE35" s="77">
        <f si="23" t="shared"/>
        <v>2784.1778265642151</v>
      </c>
      <c r="AF35" s="77">
        <f si="23" t="shared"/>
        <v>1155.5170142700329</v>
      </c>
      <c r="AG35" s="77">
        <f si="23" t="shared"/>
        <v>100.65203073545554</v>
      </c>
      <c r="AH35" s="77">
        <f si="23" t="shared"/>
        <v>1180.8781558726675</v>
      </c>
      <c r="AI35" s="77">
        <f si="23" t="shared"/>
        <v>360.60373216245881</v>
      </c>
      <c r="AJ35" s="77">
        <f si="23" t="shared"/>
        <v>725.17014270032928</v>
      </c>
      <c r="AK35" s="77">
        <f si="23" t="shared"/>
        <v>2187.3984632272231</v>
      </c>
      <c r="AL35" s="77">
        <f si="23" t="shared"/>
        <v>224.28759604829858</v>
      </c>
      <c r="AM35" s="77">
        <f si="23" t="shared"/>
        <v>53.099890230515918</v>
      </c>
      <c r="AN35" s="77">
        <f si="23" t="shared"/>
        <v>219.53238199780461</v>
      </c>
      <c r="AO35" s="77">
        <f si="23" t="shared"/>
        <v>65.780461031833156</v>
      </c>
      <c r="AP35" s="77">
        <f si="23" t="shared"/>
        <v>44.381997804610315</v>
      </c>
      <c r="AQ35" s="77">
        <f si="23" t="shared"/>
        <v>139.48627881448957</v>
      </c>
      <c r="AR35" s="77">
        <f si="23" t="shared"/>
        <v>114.1251372118551</v>
      </c>
      <c r="AS35" s="77">
        <f si="23" t="shared"/>
        <v>45.174533479692649</v>
      </c>
      <c r="AT35" s="77">
        <f si="23" t="shared"/>
        <v>0</v>
      </c>
      <c r="AU35" s="77">
        <f ref="AU35:AU55" si="24" t="shared">SUM(Z35:AT35)</f>
        <v>14440</v>
      </c>
      <c r="AW35" s="95">
        <v>2</v>
      </c>
      <c r="AX35" s="15">
        <f ref="AX35:BR35" si="25" t="shared">AX8</f>
        <v>1600</v>
      </c>
      <c r="AY35" s="15">
        <f si="25" t="shared"/>
        <v>2280</v>
      </c>
      <c r="AZ35" s="15">
        <f si="25" t="shared"/>
        <v>500</v>
      </c>
      <c r="BA35" s="15">
        <f si="25" t="shared"/>
        <v>500</v>
      </c>
      <c r="BB35" s="15">
        <f si="25" t="shared"/>
        <v>440</v>
      </c>
      <c r="BC35" s="15">
        <f si="25" t="shared"/>
        <v>3000</v>
      </c>
      <c r="BD35" s="15">
        <f si="25" t="shared"/>
        <v>1260</v>
      </c>
      <c r="BE35" s="15">
        <f si="25" t="shared"/>
        <v>60</v>
      </c>
      <c r="BF35" s="15">
        <f si="25" t="shared"/>
        <v>1200</v>
      </c>
      <c r="BG35" s="15">
        <f si="25" t="shared"/>
        <v>220</v>
      </c>
      <c r="BH35" s="15">
        <f si="25" t="shared"/>
        <v>580</v>
      </c>
      <c r="BI35" s="15">
        <f si="25" t="shared"/>
        <v>2020</v>
      </c>
      <c r="BJ35" s="15">
        <f si="25" t="shared"/>
        <v>280</v>
      </c>
      <c r="BK35" s="15">
        <f si="25" t="shared"/>
        <v>40</v>
      </c>
      <c r="BL35" s="15">
        <f si="25" t="shared"/>
        <v>260</v>
      </c>
      <c r="BM35" s="15">
        <f si="25" t="shared"/>
        <v>40</v>
      </c>
      <c r="BN35" s="15">
        <f si="25" t="shared"/>
        <v>20</v>
      </c>
      <c r="BO35" s="15">
        <f si="25" t="shared"/>
        <v>60</v>
      </c>
      <c r="BP35" s="15">
        <f si="25" t="shared"/>
        <v>80</v>
      </c>
      <c r="BQ35" s="15">
        <f si="25" t="shared"/>
        <v>0</v>
      </c>
      <c r="BR35" s="15">
        <f si="25" t="shared"/>
        <v>0</v>
      </c>
      <c r="BS35" s="15">
        <f ref="BS35:BS53" si="26" t="shared">SUM(AX35:BR35)</f>
        <v>14440</v>
      </c>
      <c r="BV35" s="95">
        <v>14</v>
      </c>
      <c r="BW35" s="34" t="s">
        <v>336</v>
      </c>
      <c r="BX35" s="115">
        <f>$CJ$7</f>
        <v>13303.423145710443</v>
      </c>
      <c r="BY35" s="116">
        <f>$CJ$8</f>
        <v>15338</v>
      </c>
      <c r="BZ35" s="116">
        <f>$CJ$9</f>
        <v>11928</v>
      </c>
      <c r="CA35" s="123">
        <f>$CJ$10</f>
        <v>13760</v>
      </c>
      <c r="CB35" s="115">
        <f>$CJ$11</f>
        <v>14029.878576032528</v>
      </c>
      <c r="CC35" s="116">
        <f>$CJ$12</f>
        <v>14091.277280003716</v>
      </c>
      <c r="CD35" s="116">
        <f>$CJ$13</f>
        <v>9269.9427502366107</v>
      </c>
      <c r="CE35" s="123">
        <f>$CJ$14</f>
        <v>13760</v>
      </c>
      <c r="CF35" s="100">
        <f si="9" t="shared"/>
        <v>1.6894512037031597E-2</v>
      </c>
      <c r="CG35" s="100">
        <f si="10" t="shared"/>
        <v>1.696844718462949E-2</v>
      </c>
      <c r="CH35" s="100">
        <f si="11" t="shared"/>
        <v>1.1162688153553068E-2</v>
      </c>
      <c r="CI35" s="121">
        <f si="12" t="shared"/>
        <v>1.6569529406097971E-2</v>
      </c>
      <c r="CJ35" s="125">
        <f si="13" t="shared"/>
        <v>-3.9891777853151913E-4</v>
      </c>
      <c r="CK35" s="121">
        <f si="14" t="shared"/>
        <v>-2.3509386226741615E-2</v>
      </c>
      <c r="CL35" s="21">
        <f si="15" t="shared"/>
        <v>5.4068412525449024E-3</v>
      </c>
    </row>
    <row r="36" spans="1:90" x14ac:dyDescent="0.25">
      <c r="A36" s="95">
        <v>3</v>
      </c>
      <c r="B36" s="77">
        <f ref="B36:W36" si="27" t="shared">IF($W9&gt;0,(B9/$W9)*$BS9,0)</f>
        <v>6613.408279417552</v>
      </c>
      <c r="C36" s="77">
        <f si="27" t="shared"/>
        <v>4012.0536692761038</v>
      </c>
      <c r="D36" s="77">
        <f si="27" t="shared"/>
        <v>3835.0052350557303</v>
      </c>
      <c r="E36" s="77">
        <f si="27" t="shared"/>
        <v>864.42300827617498</v>
      </c>
      <c r="F36" s="77">
        <f si="27" t="shared"/>
        <v>1856.1474628531221</v>
      </c>
      <c r="G36" s="77">
        <f si="27" t="shared"/>
        <v>7060.1765468810654</v>
      </c>
      <c r="H36" s="77">
        <f si="27" t="shared"/>
        <v>969.70097648630417</v>
      </c>
      <c r="I36" s="77">
        <f si="27" t="shared"/>
        <v>850.9353949910892</v>
      </c>
      <c r="J36" s="77">
        <f si="27" t="shared"/>
        <v>1885.0412744007267</v>
      </c>
      <c r="K36" s="77">
        <f si="27" t="shared"/>
        <v>924.00298095823962</v>
      </c>
      <c r="L36" s="77">
        <f si="27" t="shared"/>
        <v>1666.5446310791365</v>
      </c>
      <c r="M36" s="77">
        <f si="27" t="shared"/>
        <v>5236.9742863648471</v>
      </c>
      <c r="N36" s="77">
        <f si="27" t="shared"/>
        <v>79.154210575830703</v>
      </c>
      <c r="O36" s="77">
        <f si="27" t="shared"/>
        <v>0</v>
      </c>
      <c r="P36" s="77">
        <f si="27" t="shared"/>
        <v>0</v>
      </c>
      <c r="Q36" s="77">
        <f si="27" t="shared"/>
        <v>0</v>
      </c>
      <c r="R36" s="77">
        <f si="27" t="shared"/>
        <v>0</v>
      </c>
      <c r="S36" s="77">
        <f si="27" t="shared"/>
        <v>0</v>
      </c>
      <c r="T36" s="77">
        <f si="27" t="shared"/>
        <v>226.43204338407878</v>
      </c>
      <c r="U36" s="77">
        <f si="27" t="shared"/>
        <v>0</v>
      </c>
      <c r="V36" s="77">
        <f si="27" t="shared"/>
        <v>0</v>
      </c>
      <c r="W36" s="77">
        <f si="27" t="shared"/>
        <v>36080</v>
      </c>
      <c r="X36" s="14"/>
      <c r="Y36" s="95">
        <v>3</v>
      </c>
      <c r="Z36" s="77">
        <f ref="Z36:AT36" si="28" t="shared">IF($AU9&gt;0,(Z9/$AU9)*$BS9,0)</f>
        <v>5116.3323185803865</v>
      </c>
      <c r="AA36" s="77">
        <f si="28" t="shared"/>
        <v>3682.8204928056616</v>
      </c>
      <c r="AB36" s="77">
        <f si="28" t="shared"/>
        <v>2945.8808836156427</v>
      </c>
      <c r="AC36" s="77">
        <f si="28" t="shared"/>
        <v>1409.1036348970936</v>
      </c>
      <c r="AD36" s="77">
        <f si="28" t="shared"/>
        <v>1475.7567715244711</v>
      </c>
      <c r="AE36" s="77">
        <f si="28" t="shared"/>
        <v>7990.8661827075694</v>
      </c>
      <c r="AF36" s="77">
        <f si="28" t="shared"/>
        <v>1910.41032446075</v>
      </c>
      <c r="AG36" s="77">
        <f si="28" t="shared"/>
        <v>358.61265058673536</v>
      </c>
      <c r="AH36" s="77">
        <f si="28" t="shared"/>
        <v>1895.3898993052844</v>
      </c>
      <c r="AI36" s="77">
        <f si="28" t="shared"/>
        <v>984.77662425519736</v>
      </c>
      <c r="AJ36" s="77">
        <f si="28" t="shared"/>
        <v>1887.8796867275519</v>
      </c>
      <c r="AK36" s="77">
        <f si="28" t="shared"/>
        <v>4514.5765357895552</v>
      </c>
      <c r="AL36" s="77">
        <f si="28" t="shared"/>
        <v>412.12291520308071</v>
      </c>
      <c r="AM36" s="77">
        <f si="28" t="shared"/>
        <v>133.30627325475501</v>
      </c>
      <c r="AN36" s="77">
        <f si="28" t="shared"/>
        <v>382.08206489214996</v>
      </c>
      <c r="AO36" s="77">
        <f si="28" t="shared"/>
        <v>157.71446413238621</v>
      </c>
      <c r="AP36" s="77">
        <f si="28" t="shared"/>
        <v>140.8164858324877</v>
      </c>
      <c r="AQ36" s="77">
        <f si="28" t="shared"/>
        <v>196.20430359326619</v>
      </c>
      <c r="AR36" s="77">
        <f si="28" t="shared"/>
        <v>395.2249369031822</v>
      </c>
      <c r="AS36" s="77">
        <f si="28" t="shared"/>
        <v>90.122550932792137</v>
      </c>
      <c r="AT36" s="77">
        <f si="28" t="shared"/>
        <v>0</v>
      </c>
      <c r="AU36" s="77">
        <f si="24" t="shared"/>
        <v>36080</v>
      </c>
      <c r="AW36" s="95">
        <v>3</v>
      </c>
      <c r="AX36" s="15">
        <f ref="AX36:BR36" si="29" t="shared">AX9</f>
        <v>4880</v>
      </c>
      <c r="AY36" s="15">
        <f si="29" t="shared"/>
        <v>2620</v>
      </c>
      <c r="AZ36" s="15">
        <f si="29" t="shared"/>
        <v>4120</v>
      </c>
      <c r="BA36" s="15">
        <f si="29" t="shared"/>
        <v>1760</v>
      </c>
      <c r="BB36" s="15">
        <f si="29" t="shared"/>
        <v>1480</v>
      </c>
      <c r="BC36" s="15">
        <f si="29" t="shared"/>
        <v>7360</v>
      </c>
      <c r="BD36" s="15">
        <f si="29" t="shared"/>
        <v>1400</v>
      </c>
      <c r="BE36" s="15">
        <f si="29" t="shared"/>
        <v>520</v>
      </c>
      <c r="BF36" s="15">
        <f si="29" t="shared"/>
        <v>1900</v>
      </c>
      <c r="BG36" s="15">
        <f si="29" t="shared"/>
        <v>1080</v>
      </c>
      <c r="BH36" s="15">
        <f si="29" t="shared"/>
        <v>3260</v>
      </c>
      <c r="BI36" s="15">
        <f si="29" t="shared"/>
        <v>4020</v>
      </c>
      <c r="BJ36" s="15">
        <f si="29" t="shared"/>
        <v>360</v>
      </c>
      <c r="BK36" s="15">
        <f si="29" t="shared"/>
        <v>60</v>
      </c>
      <c r="BL36" s="15">
        <f si="29" t="shared"/>
        <v>300</v>
      </c>
      <c r="BM36" s="15">
        <f si="29" t="shared"/>
        <v>200</v>
      </c>
      <c r="BN36" s="15">
        <f si="29" t="shared"/>
        <v>200</v>
      </c>
      <c r="BO36" s="15">
        <f si="29" t="shared"/>
        <v>100</v>
      </c>
      <c r="BP36" s="15">
        <f si="29" t="shared"/>
        <v>460</v>
      </c>
      <c r="BQ36" s="15">
        <f si="29" t="shared"/>
        <v>0</v>
      </c>
      <c r="BR36" s="15">
        <f si="29" t="shared"/>
        <v>0</v>
      </c>
      <c r="BS36" s="15">
        <f si="26" t="shared"/>
        <v>36080</v>
      </c>
      <c r="BV36" s="95">
        <v>15</v>
      </c>
      <c r="BW36" s="34" t="s">
        <v>337</v>
      </c>
      <c r="BX36" s="115">
        <f>$CK$7</f>
        <v>18530.92040310935</v>
      </c>
      <c r="BY36" s="116">
        <f>$CK$8</f>
        <v>37987</v>
      </c>
      <c r="BZ36" s="116">
        <f>$CK$9</f>
        <v>31047</v>
      </c>
      <c r="CA36" s="123">
        <f>$CK$10</f>
        <v>34800</v>
      </c>
      <c r="CB36" s="115">
        <f>$CK$11</f>
        <v>19542.831969648203</v>
      </c>
      <c r="CC36" s="116">
        <f>$CK$12</f>
        <v>34899.292608912583</v>
      </c>
      <c r="CD36" s="116">
        <f>$CK$13</f>
        <v>27335.016297045593</v>
      </c>
      <c r="CE36" s="123">
        <f>$CK$14</f>
        <v>34800</v>
      </c>
      <c r="CF36" s="100">
        <f si="9" t="shared"/>
        <v>2.3533105305197477E-2</v>
      </c>
      <c r="CG36" s="100">
        <f si="10" t="shared"/>
        <v>4.2025062146467632E-2</v>
      </c>
      <c r="CH36" s="100">
        <f si="11" t="shared"/>
        <v>3.2916304967301184E-2</v>
      </c>
      <c r="CI36" s="121">
        <f si="12" t="shared"/>
        <v>4.1905495881701268E-2</v>
      </c>
      <c r="CJ36" s="125">
        <f si="13" t="shared"/>
        <v>-1.1956626476636312E-4</v>
      </c>
      <c r="CK36" s="121">
        <f si="14" t="shared"/>
        <v>-2.8451180952368572E-3</v>
      </c>
      <c r="CL36" s="21">
        <f si="15" t="shared"/>
        <v>8.9891909144000845E-3</v>
      </c>
    </row>
    <row r="37" spans="1:90" x14ac:dyDescent="0.25">
      <c r="A37" s="95">
        <v>4</v>
      </c>
      <c r="B37" s="77">
        <f ref="B37:W37" si="30" t="shared">IF($W10&gt;0,(B10/$W10)*$BS10,0)</f>
        <v>2864.2455116749788</v>
      </c>
      <c r="C37" s="77">
        <f si="30" t="shared"/>
        <v>107.18927405045198</v>
      </c>
      <c r="D37" s="77">
        <f si="30" t="shared"/>
        <v>1317.9586971829449</v>
      </c>
      <c r="E37" s="77">
        <f si="30" t="shared"/>
        <v>1032.0001610308639</v>
      </c>
      <c r="F37" s="77">
        <f si="30" t="shared"/>
        <v>831.69028773352136</v>
      </c>
      <c r="G37" s="77">
        <f si="30" t="shared"/>
        <v>1947.8338774207109</v>
      </c>
      <c r="H37" s="77">
        <f si="30" t="shared"/>
        <v>1633.121482264791</v>
      </c>
      <c r="I37" s="77">
        <f si="30" t="shared"/>
        <v>231.72281422513788</v>
      </c>
      <c r="J37" s="77">
        <f si="30" t="shared"/>
        <v>476.3592591135469</v>
      </c>
      <c r="K37" s="77">
        <f si="30" t="shared"/>
        <v>379.96079757272133</v>
      </c>
      <c r="L37" s="77">
        <f si="30" t="shared"/>
        <v>891.25430772340212</v>
      </c>
      <c r="M37" s="77">
        <f si="30" t="shared"/>
        <v>1198.5900238748723</v>
      </c>
      <c r="N37" s="77">
        <f si="30" t="shared"/>
        <v>0</v>
      </c>
      <c r="O37" s="77">
        <f si="30" t="shared"/>
        <v>0</v>
      </c>
      <c r="P37" s="77">
        <f si="30" t="shared"/>
        <v>0</v>
      </c>
      <c r="Q37" s="77">
        <f si="30" t="shared"/>
        <v>0</v>
      </c>
      <c r="R37" s="77">
        <f si="30" t="shared"/>
        <v>0</v>
      </c>
      <c r="S37" s="77">
        <f si="30" t="shared"/>
        <v>0</v>
      </c>
      <c r="T37" s="77">
        <f si="30" t="shared"/>
        <v>88.073506132057616</v>
      </c>
      <c r="U37" s="77">
        <f si="30" t="shared"/>
        <v>0</v>
      </c>
      <c r="V37" s="77">
        <f si="30" t="shared"/>
        <v>0</v>
      </c>
      <c r="W37" s="77">
        <f si="30" t="shared"/>
        <v>13000</v>
      </c>
      <c r="X37" s="14"/>
      <c r="Y37" s="95">
        <v>4</v>
      </c>
      <c r="Z37" s="77">
        <f ref="Z37:AT37" si="31" t="shared">IF($AU10&gt;0,(Z10/$AU10)*$BS10,0)</f>
        <v>1440.1177150664776</v>
      </c>
      <c r="AA37" s="77">
        <f si="31" t="shared"/>
        <v>1517.3156760733616</v>
      </c>
      <c r="AB37" s="77">
        <f si="31" t="shared"/>
        <v>640.81139313679125</v>
      </c>
      <c r="AC37" s="77">
        <f si="31" t="shared"/>
        <v>935.93988123390625</v>
      </c>
      <c r="AD37" s="77">
        <f si="31" t="shared"/>
        <v>807.50433548793944</v>
      </c>
      <c r="AE37" s="77">
        <f si="31" t="shared"/>
        <v>2710.1266487992011</v>
      </c>
      <c r="AF37" s="77">
        <f si="31" t="shared"/>
        <v>767.88060328971574</v>
      </c>
      <c r="AG37" s="77">
        <f si="31" t="shared"/>
        <v>275.99978979452413</v>
      </c>
      <c r="AH37" s="77">
        <f si="31" t="shared"/>
        <v>681.80146092805717</v>
      </c>
      <c r="AI37" s="77">
        <f si="31" t="shared"/>
        <v>439.96006095958796</v>
      </c>
      <c r="AJ37" s="77">
        <f si="31" t="shared"/>
        <v>677.70245414893054</v>
      </c>
      <c r="AK37" s="77">
        <f si="31" t="shared"/>
        <v>1419.6226811708445</v>
      </c>
      <c r="AL37" s="77">
        <f si="31" t="shared"/>
        <v>168.74244574071156</v>
      </c>
      <c r="AM37" s="77">
        <f si="31" t="shared"/>
        <v>74.465289820799839</v>
      </c>
      <c r="AN37" s="77">
        <f si="31" t="shared"/>
        <v>112.72268642598141</v>
      </c>
      <c r="AO37" s="77">
        <f si="31" t="shared"/>
        <v>67.633611855588839</v>
      </c>
      <c r="AP37" s="77">
        <f si="31" t="shared"/>
        <v>44.405906773871465</v>
      </c>
      <c r="AQ37" s="77">
        <f si="31" t="shared"/>
        <v>85.395974565137422</v>
      </c>
      <c r="AR37" s="77">
        <f si="31" t="shared"/>
        <v>87.445477954700721</v>
      </c>
      <c r="AS37" s="77">
        <f si="31" t="shared"/>
        <v>44.405906773871465</v>
      </c>
      <c r="AT37" s="77">
        <f si="31" t="shared"/>
        <v>0</v>
      </c>
      <c r="AU37" s="77">
        <f si="24" t="shared"/>
        <v>13000</v>
      </c>
      <c r="AW37" s="95">
        <v>4</v>
      </c>
      <c r="AX37" s="15">
        <f ref="AX37:BR37" si="32" t="shared">AX10</f>
        <v>1900</v>
      </c>
      <c r="AY37" s="15">
        <f si="32" t="shared"/>
        <v>660</v>
      </c>
      <c r="AZ37" s="15">
        <f si="32" t="shared"/>
        <v>860</v>
      </c>
      <c r="BA37" s="15">
        <f si="32" t="shared"/>
        <v>1100</v>
      </c>
      <c r="BB37" s="15">
        <f si="32" t="shared"/>
        <v>940</v>
      </c>
      <c r="BC37" s="15">
        <f si="32" t="shared"/>
        <v>3200</v>
      </c>
      <c r="BD37" s="15">
        <f si="32" t="shared"/>
        <v>360</v>
      </c>
      <c r="BE37" s="15">
        <f si="32" t="shared"/>
        <v>340</v>
      </c>
      <c r="BF37" s="15">
        <f si="32" t="shared"/>
        <v>500</v>
      </c>
      <c r="BG37" s="15">
        <f si="32" t="shared"/>
        <v>620</v>
      </c>
      <c r="BH37" s="15">
        <f si="32" t="shared"/>
        <v>680</v>
      </c>
      <c r="BI37" s="15">
        <f si="32" t="shared"/>
        <v>1560</v>
      </c>
      <c r="BJ37" s="15">
        <f si="32" t="shared"/>
        <v>60</v>
      </c>
      <c r="BK37" s="15">
        <f si="32" t="shared"/>
        <v>20</v>
      </c>
      <c r="BL37" s="15">
        <f si="32" t="shared"/>
        <v>40</v>
      </c>
      <c r="BM37" s="15">
        <f si="32" t="shared"/>
        <v>40</v>
      </c>
      <c r="BN37" s="15">
        <f si="32" t="shared"/>
        <v>40</v>
      </c>
      <c r="BO37" s="15">
        <f si="32" t="shared"/>
        <v>20</v>
      </c>
      <c r="BP37" s="15">
        <f si="32" t="shared"/>
        <v>60</v>
      </c>
      <c r="BQ37" s="15">
        <f si="32" t="shared"/>
        <v>0</v>
      </c>
      <c r="BR37" s="15">
        <f si="32" t="shared"/>
        <v>0</v>
      </c>
      <c r="BS37" s="15">
        <f si="26" t="shared"/>
        <v>13000</v>
      </c>
      <c r="BV37" s="95">
        <v>16</v>
      </c>
      <c r="BW37" s="34" t="s">
        <v>338</v>
      </c>
      <c r="BX37" s="115">
        <f>$CL$7</f>
        <v>2059.7893251669652</v>
      </c>
      <c r="BY37" s="116">
        <f>$CL$8</f>
        <v>5063</v>
      </c>
      <c r="BZ37" s="116">
        <f>$CL$9</f>
        <v>5518</v>
      </c>
      <c r="CA37" s="123">
        <f>$CL$10</f>
        <v>4560</v>
      </c>
      <c r="CB37" s="115">
        <f>$CL$11</f>
        <v>2172.2675290245552</v>
      </c>
      <c r="CC37" s="116">
        <f>$CL$12</f>
        <v>4651.462828834191</v>
      </c>
      <c r="CD37" s="116">
        <f>$CL$13</f>
        <v>4592.3025114762449</v>
      </c>
      <c r="CE37" s="123">
        <f>$CL$14</f>
        <v>4560</v>
      </c>
      <c r="CF37" s="100">
        <f si="9" t="shared"/>
        <v>2.6158031032037883E-3</v>
      </c>
      <c r="CG37" s="100">
        <f si="10" t="shared"/>
        <v>5.6012027706206233E-3</v>
      </c>
      <c r="CH37" s="100">
        <f si="11" t="shared"/>
        <v>5.52996304546535E-3</v>
      </c>
      <c r="CI37" s="121">
        <f si="12" t="shared"/>
        <v>5.4910649776022348E-3</v>
      </c>
      <c r="CJ37" s="125">
        <f si="13" t="shared"/>
        <v>-1.1013779301838854E-4</v>
      </c>
      <c r="CK37" s="121">
        <f si="14" t="shared"/>
        <v>-1.9663239759160789E-2</v>
      </c>
      <c r="CL37" s="21">
        <f si="15" t="shared"/>
        <v>-3.8898067863115185E-5</v>
      </c>
    </row>
    <row r="38" spans="1:90" x14ac:dyDescent="0.25">
      <c r="A38" s="95">
        <v>5</v>
      </c>
      <c r="B38" s="77">
        <f ref="B38:W38" si="33" t="shared">IF($W11&gt;0,(B11/$W11)*$BS11,0)</f>
        <v>1086.278494779596</v>
      </c>
      <c r="C38" s="77">
        <f si="33" t="shared"/>
        <v>687.59783731105358</v>
      </c>
      <c r="D38" s="77">
        <f si="33" t="shared"/>
        <v>68.343232418989302</v>
      </c>
      <c r="E38" s="77">
        <f si="33" t="shared"/>
        <v>341.98780620353295</v>
      </c>
      <c r="F38" s="77">
        <f si="33" t="shared"/>
        <v>1473.3442616456121</v>
      </c>
      <c r="G38" s="77">
        <f si="33" t="shared"/>
        <v>3295.6406794509062</v>
      </c>
      <c r="H38" s="77">
        <f si="33" t="shared"/>
        <v>704.37377065212945</v>
      </c>
      <c r="I38" s="77">
        <f si="33" t="shared"/>
        <v>0</v>
      </c>
      <c r="J38" s="77">
        <f si="33" t="shared"/>
        <v>672.1544177420177</v>
      </c>
      <c r="K38" s="77">
        <f si="33" t="shared"/>
        <v>1031.4709207366718</v>
      </c>
      <c r="L38" s="77">
        <f si="33" t="shared"/>
        <v>174.66506817018146</v>
      </c>
      <c r="M38" s="77">
        <f si="33" t="shared"/>
        <v>4687.5614118727253</v>
      </c>
      <c r="N38" s="77">
        <f si="33" t="shared"/>
        <v>0</v>
      </c>
      <c r="O38" s="77">
        <f si="33" t="shared"/>
        <v>0</v>
      </c>
      <c r="P38" s="77">
        <f si="33" t="shared"/>
        <v>0</v>
      </c>
      <c r="Q38" s="77">
        <f si="33" t="shared"/>
        <v>0</v>
      </c>
      <c r="R38" s="77">
        <f si="33" t="shared"/>
        <v>98.88293283114038</v>
      </c>
      <c r="S38" s="77">
        <f si="33" t="shared"/>
        <v>0</v>
      </c>
      <c r="T38" s="77">
        <f si="33" t="shared"/>
        <v>0</v>
      </c>
      <c r="U38" s="77">
        <f si="33" t="shared"/>
        <v>57.69916618544314</v>
      </c>
      <c r="V38" s="77">
        <f si="33" t="shared"/>
        <v>0</v>
      </c>
      <c r="W38" s="77">
        <f si="33" t="shared"/>
        <v>14380</v>
      </c>
      <c r="X38" s="14"/>
      <c r="Y38" s="95">
        <v>5</v>
      </c>
      <c r="Z38" s="77">
        <f ref="Z38:AT38" si="34" t="shared">IF($AU11&gt;0,(Z11/$AU11)*$BS11,0)</f>
        <v>1707.4919102725826</v>
      </c>
      <c r="AA38" s="77">
        <f si="34" t="shared"/>
        <v>1167.2462019415345</v>
      </c>
      <c r="AB38" s="77">
        <f si="34" t="shared"/>
        <v>455.85696265013991</v>
      </c>
      <c r="AC38" s="77">
        <f si="34" t="shared"/>
        <v>521.31739154280706</v>
      </c>
      <c r="AD38" s="77">
        <f si="34" t="shared"/>
        <v>1057.6197005429715</v>
      </c>
      <c r="AE38" s="77">
        <f si="34" t="shared"/>
        <v>4273.8561948116048</v>
      </c>
      <c r="AF38" s="77">
        <f si="34" t="shared"/>
        <v>659.33636812373163</v>
      </c>
      <c r="AG38" s="77">
        <f si="34" t="shared"/>
        <v>120.66801952503702</v>
      </c>
      <c r="AH38" s="77">
        <f si="34" t="shared"/>
        <v>585.98914056929743</v>
      </c>
      <c r="AI38" s="77">
        <f si="34" t="shared"/>
        <v>589.93253990018104</v>
      </c>
      <c r="AJ38" s="77">
        <f si="34" t="shared"/>
        <v>447.18148412219603</v>
      </c>
      <c r="AK38" s="77">
        <f si="34" t="shared"/>
        <v>2040.3148137991557</v>
      </c>
      <c r="AL38" s="77">
        <f si="34" t="shared"/>
        <v>184.55108868535075</v>
      </c>
      <c r="AM38" s="77">
        <f si="34" t="shared"/>
        <v>83.600065814731522</v>
      </c>
      <c r="AN38" s="77">
        <f si="34" t="shared"/>
        <v>130.13217791915758</v>
      </c>
      <c r="AO38" s="77">
        <f si="34" t="shared"/>
        <v>64.671749026490431</v>
      </c>
      <c r="AP38" s="77">
        <f si="34" t="shared"/>
        <v>37.856633576482203</v>
      </c>
      <c r="AQ38" s="77">
        <f si="34" t="shared"/>
        <v>119.09065979268358</v>
      </c>
      <c r="AR38" s="77">
        <f si="34" t="shared"/>
        <v>79.656666483847971</v>
      </c>
      <c r="AS38" s="77">
        <f si="34" t="shared"/>
        <v>53.63023090001645</v>
      </c>
      <c r="AT38" s="77">
        <f si="34" t="shared"/>
        <v>0</v>
      </c>
      <c r="AU38" s="77">
        <f si="24" t="shared"/>
        <v>14380.000000000002</v>
      </c>
      <c r="AW38" s="95">
        <v>5</v>
      </c>
      <c r="AX38" s="15">
        <f ref="AX38:BR38" si="35" t="shared">AX11</f>
        <v>1360</v>
      </c>
      <c r="AY38" s="15">
        <f si="35" t="shared"/>
        <v>900</v>
      </c>
      <c r="AZ38" s="15">
        <f si="35" t="shared"/>
        <v>620</v>
      </c>
      <c r="BA38" s="15">
        <f si="35" t="shared"/>
        <v>560</v>
      </c>
      <c r="BB38" s="15">
        <f si="35" t="shared"/>
        <v>1680</v>
      </c>
      <c r="BC38" s="15">
        <f si="35" t="shared"/>
        <v>5040</v>
      </c>
      <c r="BD38" s="15">
        <f si="35" t="shared"/>
        <v>400</v>
      </c>
      <c r="BE38" s="15">
        <f si="35" t="shared"/>
        <v>60</v>
      </c>
      <c r="BF38" s="15">
        <f si="35" t="shared"/>
        <v>440</v>
      </c>
      <c r="BG38" s="15">
        <f si="35" t="shared"/>
        <v>780</v>
      </c>
      <c r="BH38" s="15">
        <f si="35" t="shared"/>
        <v>420</v>
      </c>
      <c r="BI38" s="15">
        <f si="35" t="shared"/>
        <v>1740</v>
      </c>
      <c r="BJ38" s="15">
        <f si="35" t="shared"/>
        <v>140</v>
      </c>
      <c r="BK38" s="15">
        <f si="35" t="shared"/>
        <v>60</v>
      </c>
      <c r="BL38" s="15">
        <f si="35" t="shared"/>
        <v>60</v>
      </c>
      <c r="BM38" s="15">
        <f si="35" t="shared"/>
        <v>80</v>
      </c>
      <c r="BN38" s="15">
        <f si="35" t="shared"/>
        <v>20</v>
      </c>
      <c r="BO38" s="15">
        <f si="35" t="shared"/>
        <v>0</v>
      </c>
      <c r="BP38" s="15">
        <f si="35" t="shared"/>
        <v>20</v>
      </c>
      <c r="BQ38" s="15">
        <f si="35" t="shared"/>
        <v>0</v>
      </c>
      <c r="BR38" s="15">
        <f si="35" t="shared"/>
        <v>0</v>
      </c>
      <c r="BS38" s="15">
        <f si="26" t="shared"/>
        <v>14380</v>
      </c>
      <c r="BV38" s="95">
        <v>17</v>
      </c>
      <c r="BW38" s="34" t="s">
        <v>339</v>
      </c>
      <c r="BX38" s="115">
        <f>$CM$7</f>
        <v>9135.2817345814929</v>
      </c>
      <c r="BY38" s="116">
        <f>$CM$8</f>
        <v>15286</v>
      </c>
      <c r="BZ38" s="116">
        <f>$CM$9</f>
        <v>11837</v>
      </c>
      <c r="CA38" s="123">
        <f>$CM$10</f>
        <v>13940</v>
      </c>
      <c r="CB38" s="115">
        <f>$CM$11</f>
        <v>9634.1289072919772</v>
      </c>
      <c r="CC38" s="116">
        <f>$CM$12</f>
        <v>14043.504009788552</v>
      </c>
      <c r="CD38" s="116">
        <f>$CM$13</f>
        <v>9979.3540055568101</v>
      </c>
      <c r="CE38" s="123">
        <f>$CM$14</f>
        <v>13940</v>
      </c>
      <c r="CF38" s="100">
        <f si="9" t="shared"/>
        <v>1.1601234173801806E-2</v>
      </c>
      <c r="CG38" s="100">
        <f si="10" t="shared"/>
        <v>1.6910919524334749E-2</v>
      </c>
      <c r="CH38" s="100">
        <f si="11" t="shared"/>
        <v>1.2016947648905171E-2</v>
      </c>
      <c r="CI38" s="121">
        <f si="12" t="shared"/>
        <v>1.6786281971003323E-2</v>
      </c>
      <c r="CJ38" s="125">
        <f si="13" t="shared"/>
        <v>-1.2463755333142618E-4</v>
      </c>
      <c r="CK38" s="121">
        <f si="14" t="shared"/>
        <v>-7.3702410535439128E-3</v>
      </c>
      <c r="CL38" s="21">
        <f si="15" t="shared"/>
        <v>4.769334322098152E-3</v>
      </c>
    </row>
    <row r="39" spans="1:90" x14ac:dyDescent="0.25">
      <c r="A39" s="95">
        <v>6</v>
      </c>
      <c r="B39" s="77">
        <f ref="B39:W39" si="36" t="shared">IF($W12&gt;0,(B12/$W12)*$BS12,0)</f>
        <v>4405.8217189101833</v>
      </c>
      <c r="C39" s="77">
        <f si="36" t="shared"/>
        <v>1542.1961125381085</v>
      </c>
      <c r="D39" s="77">
        <f si="36" t="shared"/>
        <v>359.1620121531675</v>
      </c>
      <c r="E39" s="77">
        <f si="36" t="shared"/>
        <v>162.82111682206386</v>
      </c>
      <c r="F39" s="77">
        <f si="36" t="shared"/>
        <v>493.66675159455298</v>
      </c>
      <c r="G39" s="77">
        <f si="36" t="shared"/>
        <v>14585.109421692483</v>
      </c>
      <c r="H39" s="77">
        <f si="36" t="shared"/>
        <v>908.97903785484789</v>
      </c>
      <c r="I39" s="77">
        <f si="36" t="shared"/>
        <v>0</v>
      </c>
      <c r="J39" s="77">
        <f si="36" t="shared"/>
        <v>799.52733094928317</v>
      </c>
      <c r="K39" s="77">
        <f si="36" t="shared"/>
        <v>453.75397820427213</v>
      </c>
      <c r="L39" s="77">
        <f si="36" t="shared"/>
        <v>533.88062833304423</v>
      </c>
      <c r="M39" s="77">
        <f si="36" t="shared"/>
        <v>5573.4618366701916</v>
      </c>
      <c r="N39" s="77">
        <f si="36" t="shared"/>
        <v>116.52789726410408</v>
      </c>
      <c r="O39" s="77">
        <f si="36" t="shared"/>
        <v>0</v>
      </c>
      <c r="P39" s="77">
        <f si="36" t="shared"/>
        <v>375.33925440482659</v>
      </c>
      <c r="Q39" s="77">
        <f si="36" t="shared"/>
        <v>0</v>
      </c>
      <c r="R39" s="77">
        <f si="36" t="shared"/>
        <v>0</v>
      </c>
      <c r="S39" s="77">
        <f si="36" t="shared"/>
        <v>29.752902608872823</v>
      </c>
      <c r="T39" s="77">
        <f si="36" t="shared"/>
        <v>0</v>
      </c>
      <c r="U39" s="77">
        <f si="36" t="shared"/>
        <v>0</v>
      </c>
      <c r="V39" s="77">
        <f si="36" t="shared"/>
        <v>0</v>
      </c>
      <c r="W39" s="77">
        <f si="36" t="shared"/>
        <v>30340</v>
      </c>
      <c r="X39" s="14"/>
      <c r="Y39" s="95">
        <v>6</v>
      </c>
      <c r="Z39" s="77">
        <f ref="Z39:AT39" si="37" t="shared">IF($AU12&gt;0,(Z12/$AU12)*$BS12,0)</f>
        <v>3485.1479755889491</v>
      </c>
      <c r="AA39" s="77">
        <f si="37" t="shared"/>
        <v>2090.4915020670646</v>
      </c>
      <c r="AB39" s="77">
        <f si="37" t="shared"/>
        <v>794.3867707854846</v>
      </c>
      <c r="AC39" s="77">
        <f si="37" t="shared"/>
        <v>664.97539208609487</v>
      </c>
      <c r="AD39" s="77">
        <f si="37" t="shared"/>
        <v>1191.5801561782268</v>
      </c>
      <c r="AE39" s="77">
        <f si="37" t="shared"/>
        <v>11577.341032876173</v>
      </c>
      <c r="AF39" s="77">
        <f si="37" t="shared"/>
        <v>1279.1817048362752</v>
      </c>
      <c r="AG39" s="77">
        <f si="37" t="shared"/>
        <v>133.39326727475557</v>
      </c>
      <c r="AH39" s="77">
        <f si="37" t="shared"/>
        <v>1055.200472471947</v>
      </c>
      <c r="AI39" s="77">
        <f si="37" t="shared"/>
        <v>831.21924010761859</v>
      </c>
      <c r="AJ39" s="77">
        <f si="37" t="shared"/>
        <v>698.82144497670458</v>
      </c>
      <c r="AK39" s="77">
        <f si="37" t="shared"/>
        <v>5032.1116871185777</v>
      </c>
      <c r="AL39" s="77">
        <f si="37" t="shared"/>
        <v>446.96699258481527</v>
      </c>
      <c r="AM39" s="77">
        <f si="37" t="shared"/>
        <v>95.565325808780102</v>
      </c>
      <c r="AN39" s="77">
        <f si="37" t="shared"/>
        <v>234.9314259465844</v>
      </c>
      <c r="AO39" s="77">
        <f si="37" t="shared"/>
        <v>150.31629372006037</v>
      </c>
      <c r="AP39" s="77">
        <f si="37" t="shared"/>
        <v>62.714745062011943</v>
      </c>
      <c r="AQ39" s="77">
        <f si="37" t="shared"/>
        <v>272.75936741255987</v>
      </c>
      <c r="AR39" s="77">
        <f si="37" t="shared"/>
        <v>159.27554301463351</v>
      </c>
      <c r="AS39" s="77">
        <f si="37" t="shared"/>
        <v>83.619660082682586</v>
      </c>
      <c r="AT39" s="77">
        <f si="37" t="shared"/>
        <v>0</v>
      </c>
      <c r="AU39" s="77">
        <f si="24" t="shared"/>
        <v>30339.999999999996</v>
      </c>
      <c r="AW39" s="95">
        <v>6</v>
      </c>
      <c r="AX39" s="15">
        <f ref="AX39:BR39" si="38" t="shared">AX12</f>
        <v>3380</v>
      </c>
      <c r="AY39" s="15">
        <f si="38" t="shared"/>
        <v>1760</v>
      </c>
      <c r="AZ39" s="15">
        <f si="38" t="shared"/>
        <v>760</v>
      </c>
      <c r="BA39" s="15">
        <f si="38" t="shared"/>
        <v>660</v>
      </c>
      <c r="BB39" s="15">
        <f si="38" t="shared"/>
        <v>1820</v>
      </c>
      <c r="BC39" s="15">
        <f si="38" t="shared"/>
        <v>12200</v>
      </c>
      <c r="BD39" s="15">
        <f si="38" t="shared"/>
        <v>1160</v>
      </c>
      <c r="BE39" s="15">
        <f si="38" t="shared"/>
        <v>140</v>
      </c>
      <c r="BF39" s="15">
        <f si="38" t="shared"/>
        <v>1000</v>
      </c>
      <c r="BG39" s="15">
        <f si="38" t="shared"/>
        <v>1180</v>
      </c>
      <c r="BH39" s="15">
        <f si="38" t="shared"/>
        <v>700</v>
      </c>
      <c r="BI39" s="15">
        <f si="38" t="shared"/>
        <v>4640</v>
      </c>
      <c r="BJ39" s="15">
        <f si="38" t="shared"/>
        <v>160</v>
      </c>
      <c r="BK39" s="15">
        <f si="38" t="shared"/>
        <v>40</v>
      </c>
      <c r="BL39" s="15">
        <f si="38" t="shared"/>
        <v>140</v>
      </c>
      <c r="BM39" s="15">
        <f si="38" t="shared"/>
        <v>200</v>
      </c>
      <c r="BN39" s="15">
        <f si="38" t="shared"/>
        <v>140</v>
      </c>
      <c r="BO39" s="15">
        <f si="38" t="shared"/>
        <v>100</v>
      </c>
      <c r="BP39" s="15">
        <f si="38" t="shared"/>
        <v>140</v>
      </c>
      <c r="BQ39" s="15">
        <f si="38" t="shared"/>
        <v>20</v>
      </c>
      <c r="BR39" s="15">
        <f si="38" t="shared"/>
        <v>0</v>
      </c>
      <c r="BS39" s="15">
        <f si="26" t="shared"/>
        <v>30340</v>
      </c>
      <c r="BV39" s="95">
        <v>18</v>
      </c>
      <c r="BW39" s="34" t="s">
        <v>340</v>
      </c>
      <c r="BX39" s="115">
        <f>$CN$7</f>
        <v>13074.167718361357</v>
      </c>
      <c r="BY39" s="116">
        <f>$CN$8</f>
        <v>23663</v>
      </c>
      <c r="BZ39" s="116">
        <f>$CN$9</f>
        <v>23748</v>
      </c>
      <c r="CA39" s="123">
        <f>$CN$10</f>
        <v>21140</v>
      </c>
      <c r="CB39" s="115">
        <f>$CN$11</f>
        <v>13788.104276788261</v>
      </c>
      <c r="CC39" s="116">
        <f>$CN$12</f>
        <v>21739.594098104575</v>
      </c>
      <c r="CD39" s="116">
        <f>$CN$13</f>
        <v>20272.916255149597</v>
      </c>
      <c r="CE39" s="123">
        <f>$CN$14</f>
        <v>21140</v>
      </c>
      <c r="CF39" s="100">
        <f si="9" t="shared"/>
        <v>1.6603372039868326E-2</v>
      </c>
      <c r="CG39" s="100">
        <f si="10" t="shared"/>
        <v>2.6178404337585583E-2</v>
      </c>
      <c r="CH39" s="100">
        <f si="11" t="shared"/>
        <v>2.4412258868972591E-2</v>
      </c>
      <c r="CI39" s="121">
        <f si="12" t="shared"/>
        <v>2.5456384567217379E-2</v>
      </c>
      <c r="CJ39" s="125">
        <f si="13" t="shared"/>
        <v>-7.2201977036820408E-4</v>
      </c>
      <c r="CK39" s="121">
        <f si="14" t="shared"/>
        <v>-2.7580740256638567E-2</v>
      </c>
      <c r="CL39" s="21">
        <f si="15" t="shared"/>
        <v>1.0441256982447883E-3</v>
      </c>
    </row>
    <row customFormat="1" r="40" s="95" spans="1:90" x14ac:dyDescent="0.25">
      <c r="A40" s="95">
        <v>7</v>
      </c>
      <c r="B40" s="77">
        <f ref="B40:W40" si="39" t="shared">IF($W13&gt;0,(B13/$W13)*$BS13,0)</f>
        <v>6366.545866950848</v>
      </c>
      <c r="C40" s="77">
        <f si="39" t="shared"/>
        <v>8471.9359927188252</v>
      </c>
      <c r="D40" s="77">
        <f si="39" t="shared"/>
        <v>651.20305043249061</v>
      </c>
      <c r="E40" s="77">
        <f si="39" t="shared"/>
        <v>2706.6246215736437</v>
      </c>
      <c r="F40" s="77">
        <f si="39" t="shared"/>
        <v>3299.6304487842563</v>
      </c>
      <c r="G40" s="77">
        <f si="39" t="shared"/>
        <v>13176.445724341118</v>
      </c>
      <c r="H40" s="77">
        <f si="39" t="shared"/>
        <v>26672.80412113597</v>
      </c>
      <c r="I40" s="77">
        <f si="39" t="shared"/>
        <v>104.47231034443762</v>
      </c>
      <c r="J40" s="77">
        <f si="39" t="shared"/>
        <v>8377.190313044528</v>
      </c>
      <c r="K40" s="77">
        <f si="39" t="shared"/>
        <v>241.99861180168176</v>
      </c>
      <c r="L40" s="77">
        <f si="39" t="shared"/>
        <v>0</v>
      </c>
      <c r="M40" s="77">
        <f si="39" t="shared"/>
        <v>15804.682048654529</v>
      </c>
      <c r="N40" s="77">
        <f si="39" t="shared"/>
        <v>5914.0105508866163</v>
      </c>
      <c r="O40" s="77">
        <f si="39" t="shared"/>
        <v>0</v>
      </c>
      <c r="P40" s="77">
        <f si="39" t="shared"/>
        <v>550.75020902934148</v>
      </c>
      <c r="Q40" s="77">
        <f si="39" t="shared"/>
        <v>82.445740471123273</v>
      </c>
      <c r="R40" s="77">
        <f si="39" t="shared"/>
        <v>0</v>
      </c>
      <c r="S40" s="77">
        <f si="39" t="shared"/>
        <v>487.07296644729905</v>
      </c>
      <c r="T40" s="77">
        <f si="39" t="shared"/>
        <v>132.18742338328096</v>
      </c>
      <c r="U40" s="77">
        <f si="39" t="shared"/>
        <v>0</v>
      </c>
      <c r="V40" s="77">
        <f si="39" t="shared"/>
        <v>0</v>
      </c>
      <c r="W40" s="77">
        <f si="39" t="shared"/>
        <v>93040</v>
      </c>
      <c r="X40" s="14"/>
      <c r="Y40" s="95">
        <v>7</v>
      </c>
      <c r="Z40" s="77">
        <f ref="Z40:AT40" si="40" t="shared">IF($AU13&gt;0,(Z13/$AU13)*$BS13,0)</f>
        <v>5783.9915307402762</v>
      </c>
      <c r="AA40" s="77">
        <f si="40" t="shared"/>
        <v>9194.0111355081553</v>
      </c>
      <c r="AB40" s="77">
        <f si="40" t="shared"/>
        <v>2271.8263801756589</v>
      </c>
      <c r="AC40" s="77">
        <f si="40" t="shared"/>
        <v>2068.4473023839396</v>
      </c>
      <c r="AD40" s="77">
        <f si="40" t="shared"/>
        <v>2350.2595671267254</v>
      </c>
      <c r="AE40" s="77">
        <f si="40" t="shared"/>
        <v>12498.237139272273</v>
      </c>
      <c r="AF40" s="77">
        <f si="40" t="shared"/>
        <v>19834.476160602258</v>
      </c>
      <c r="AG40" s="77">
        <f si="40" t="shared"/>
        <v>555.41640526976164</v>
      </c>
      <c r="AH40" s="77">
        <f si="40" t="shared"/>
        <v>6970.5214868255962</v>
      </c>
      <c r="AI40" s="77">
        <f si="40" t="shared"/>
        <v>1669.8972710163112</v>
      </c>
      <c r="AJ40" s="77">
        <f si="40" t="shared"/>
        <v>3424.611825595985</v>
      </c>
      <c r="AK40" s="77">
        <f si="40" t="shared"/>
        <v>14739.967063989963</v>
      </c>
      <c r="AL40" s="77">
        <f si="40" t="shared"/>
        <v>6076.7479611041399</v>
      </c>
      <c r="AM40" s="77">
        <f si="40" t="shared"/>
        <v>245.33171267252195</v>
      </c>
      <c r="AN40" s="77">
        <f si="40" t="shared"/>
        <v>2590.1191969887077</v>
      </c>
      <c r="AO40" s="77">
        <f si="40" t="shared"/>
        <v>300.9645545796738</v>
      </c>
      <c r="AP40" s="77">
        <f si="40" t="shared"/>
        <v>255.36386449184442</v>
      </c>
      <c r="AQ40" s="77">
        <f si="40" t="shared"/>
        <v>1129.073086574655</v>
      </c>
      <c r="AR40" s="77">
        <f si="40" t="shared"/>
        <v>614.69730238393981</v>
      </c>
      <c r="AS40" s="77">
        <f si="40" t="shared"/>
        <v>466.03905269761606</v>
      </c>
      <c r="AT40" s="77">
        <f si="40" t="shared"/>
        <v>0</v>
      </c>
      <c r="AU40" s="77">
        <f si="24" t="shared"/>
        <v>93039.999999999985</v>
      </c>
      <c r="AW40" s="95">
        <v>7</v>
      </c>
      <c r="AX40" s="15">
        <f ref="AX40:BR40" si="41" t="shared">AX13</f>
        <v>4060</v>
      </c>
      <c r="AY40" s="15">
        <f si="41" t="shared"/>
        <v>5500</v>
      </c>
      <c r="AZ40" s="15">
        <f si="41" t="shared"/>
        <v>1640</v>
      </c>
      <c r="BA40" s="15">
        <f si="41" t="shared"/>
        <v>1380</v>
      </c>
      <c r="BB40" s="15">
        <f si="41" t="shared"/>
        <v>1560</v>
      </c>
      <c r="BC40" s="15">
        <f si="41" t="shared"/>
        <v>8120</v>
      </c>
      <c r="BD40" s="15">
        <f si="41" t="shared"/>
        <v>27580</v>
      </c>
      <c r="BE40" s="15">
        <f si="41" t="shared"/>
        <v>120</v>
      </c>
      <c r="BF40" s="15">
        <f si="41" t="shared"/>
        <v>6020</v>
      </c>
      <c r="BG40" s="15">
        <f si="41" t="shared"/>
        <v>1060</v>
      </c>
      <c r="BH40" s="15">
        <f si="41" t="shared"/>
        <v>1260</v>
      </c>
      <c r="BI40" s="15">
        <f si="41" t="shared"/>
        <v>18520</v>
      </c>
      <c r="BJ40" s="15">
        <f si="41" t="shared"/>
        <v>13340</v>
      </c>
      <c r="BK40" s="15">
        <f si="41" t="shared"/>
        <v>100</v>
      </c>
      <c r="BL40" s="15">
        <f si="41" t="shared"/>
        <v>1580</v>
      </c>
      <c r="BM40" s="15">
        <f si="41" t="shared"/>
        <v>160</v>
      </c>
      <c r="BN40" s="15">
        <f si="41" t="shared"/>
        <v>120</v>
      </c>
      <c r="BO40" s="15">
        <f si="41" t="shared"/>
        <v>700</v>
      </c>
      <c r="BP40" s="15">
        <f si="41" t="shared"/>
        <v>200</v>
      </c>
      <c r="BQ40" s="15">
        <f si="41" t="shared"/>
        <v>20</v>
      </c>
      <c r="BR40" s="15">
        <f si="41" t="shared"/>
        <v>0</v>
      </c>
      <c r="BS40" s="15">
        <f si="26" t="shared"/>
        <v>93040</v>
      </c>
      <c r="BV40" s="95">
        <v>19</v>
      </c>
      <c r="BW40" s="34" t="s">
        <v>341</v>
      </c>
      <c r="BX40" s="115">
        <f>$CO$7</f>
        <v>16912.63761576551</v>
      </c>
      <c r="BY40" s="116">
        <f>$CO$8</f>
        <v>36765</v>
      </c>
      <c r="BZ40" s="116">
        <f>$CO$9</f>
        <v>29164</v>
      </c>
      <c r="CA40" s="123">
        <f>$CO$10</f>
        <v>33420</v>
      </c>
      <c r="CB40" s="115">
        <f>$CO$11</f>
        <v>17836.180173381894</v>
      </c>
      <c r="CC40" s="116">
        <f>$CO$12</f>
        <v>33776.620758856217</v>
      </c>
      <c r="CD40" s="116">
        <f>$CO$13</f>
        <v>25273.504982024671</v>
      </c>
      <c r="CE40" s="123">
        <f>$CO$14</f>
        <v>33420</v>
      </c>
      <c r="CF40" s="100">
        <f si="9" t="shared"/>
        <v>2.14779877816361E-2</v>
      </c>
      <c r="CG40" s="100">
        <f si="10" t="shared"/>
        <v>4.0673162129541224E-2</v>
      </c>
      <c r="CH40" s="100">
        <f si="11" t="shared"/>
        <v>3.0433872383344579E-2</v>
      </c>
      <c r="CI40" s="121">
        <f si="12" t="shared"/>
        <v>4.0243726217426903E-2</v>
      </c>
      <c r="CJ40" s="125">
        <f si="13" t="shared"/>
        <v>-4.2943591211432042E-4</v>
      </c>
      <c r="CK40" s="121">
        <f si="14" t="shared"/>
        <v>-1.0558213072949626E-2</v>
      </c>
      <c r="CL40" s="21">
        <f si="15" t="shared"/>
        <v>9.8098538340823244E-3</v>
      </c>
    </row>
    <row r="41" spans="1:90" x14ac:dyDescent="0.25">
      <c r="A41" s="95">
        <v>8</v>
      </c>
      <c r="B41" s="77">
        <f ref="B41:W41" si="42" t="shared">IF($W14&gt;0,(B14/$W14)*$BS14,0)</f>
        <v>595.6184972260038</v>
      </c>
      <c r="C41" s="77">
        <f si="42" t="shared"/>
        <v>215.71553154411325</v>
      </c>
      <c r="D41" s="77">
        <f si="42" t="shared"/>
        <v>58.30220554598359</v>
      </c>
      <c r="E41" s="77">
        <f si="42" t="shared"/>
        <v>206.00263533999586</v>
      </c>
      <c r="F41" s="77">
        <f si="42" t="shared"/>
        <v>126.87896362878965</v>
      </c>
      <c r="G41" s="77">
        <f si="42" t="shared"/>
        <v>482.60836790039065</v>
      </c>
      <c r="H41" s="77">
        <f si="42" t="shared"/>
        <v>61.386185482472534</v>
      </c>
      <c r="I41" s="77">
        <f si="42" t="shared"/>
        <v>294.97460434787195</v>
      </c>
      <c r="J41" s="77">
        <f si="42" t="shared"/>
        <v>282.24565186868801</v>
      </c>
      <c r="K41" s="77">
        <f si="42" t="shared"/>
        <v>52.908447969435755</v>
      </c>
      <c r="L41" s="77">
        <f si="42" t="shared"/>
        <v>1400.1962595962502</v>
      </c>
      <c r="M41" s="77">
        <f si="42" t="shared"/>
        <v>757.44927875557846</v>
      </c>
      <c r="N41" s="77">
        <f si="42" t="shared"/>
        <v>0</v>
      </c>
      <c r="O41" s="77">
        <f si="42" t="shared"/>
        <v>50.889447339517069</v>
      </c>
      <c r="P41" s="77">
        <f si="42" t="shared"/>
        <v>45.64831411503171</v>
      </c>
      <c r="Q41" s="77">
        <f si="42" t="shared"/>
        <v>0</v>
      </c>
      <c r="R41" s="77">
        <f si="42" t="shared"/>
        <v>81.144231129400382</v>
      </c>
      <c r="S41" s="77">
        <f si="42" t="shared"/>
        <v>50.889447339517069</v>
      </c>
      <c r="T41" s="77">
        <f si="42" t="shared"/>
        <v>277.14193087095975</v>
      </c>
      <c r="U41" s="77">
        <f si="42" t="shared"/>
        <v>0</v>
      </c>
      <c r="V41" s="77">
        <f si="42" t="shared"/>
        <v>0</v>
      </c>
      <c r="W41" s="77">
        <f si="42" t="shared"/>
        <v>5040</v>
      </c>
      <c r="X41" s="15"/>
      <c r="Y41" s="95">
        <v>8</v>
      </c>
      <c r="Z41" s="77">
        <f ref="Z41:AT41" si="43" t="shared">IF($AU14&gt;0,(Z14/$AU14)*$BS14,0)</f>
        <v>509.29637526652448</v>
      </c>
      <c r="AA41" s="77">
        <f si="43" t="shared"/>
        <v>605.24520255863536</v>
      </c>
      <c r="AB41" s="77">
        <f si="43" t="shared"/>
        <v>230.2771855010661</v>
      </c>
      <c r="AC41" s="77">
        <f si="43" t="shared"/>
        <v>325.45842217484005</v>
      </c>
      <c r="AD41" s="77">
        <f si="43" t="shared"/>
        <v>275.18123667377398</v>
      </c>
      <c r="AE41" s="77">
        <f si="43" t="shared"/>
        <v>994.02985074626872</v>
      </c>
      <c r="AF41" s="77">
        <f si="43" t="shared"/>
        <v>277.48400852878467</v>
      </c>
      <c r="AG41" s="77">
        <f si="43" t="shared"/>
        <v>170.02132196162046</v>
      </c>
      <c r="AH41" s="77">
        <f si="43" t="shared"/>
        <v>260.98081023454159</v>
      </c>
      <c r="AI41" s="77">
        <f si="43" t="shared"/>
        <v>162.34541577825158</v>
      </c>
      <c r="AJ41" s="77">
        <f si="43" t="shared"/>
        <v>403.75266524520254</v>
      </c>
      <c r="AK41" s="77">
        <f si="43" t="shared"/>
        <v>465.543710021322</v>
      </c>
      <c r="AL41" s="77">
        <f si="43" t="shared"/>
        <v>69.083155650319824</v>
      </c>
      <c r="AM41" s="77">
        <f si="43" t="shared"/>
        <v>84.051172707889137</v>
      </c>
      <c r="AN41" s="77">
        <f si="43" t="shared"/>
        <v>51.044776119402989</v>
      </c>
      <c r="AO41" s="77">
        <f si="43" t="shared"/>
        <v>23.795309168443495</v>
      </c>
      <c r="AP41" s="77">
        <f si="43" t="shared"/>
        <v>42.601279317697227</v>
      </c>
      <c r="AQ41" s="77">
        <f si="43" t="shared"/>
        <v>24.562899786780385</v>
      </c>
      <c r="AR41" s="77">
        <f si="43" t="shared"/>
        <v>49.50959488272921</v>
      </c>
      <c r="AS41" s="77">
        <f si="43" t="shared"/>
        <v>15.735607675906184</v>
      </c>
      <c r="AT41" s="77">
        <f si="43" t="shared"/>
        <v>0</v>
      </c>
      <c r="AU41" s="77">
        <f si="24" t="shared"/>
        <v>5039.9999999999991</v>
      </c>
      <c r="AW41" s="95">
        <v>8</v>
      </c>
      <c r="AX41" s="15">
        <f ref="AX41:BR41" si="44" t="shared">AX14</f>
        <v>440</v>
      </c>
      <c r="AY41" s="15">
        <f si="44" t="shared"/>
        <v>300</v>
      </c>
      <c r="AZ41" s="15">
        <f si="44" t="shared"/>
        <v>520</v>
      </c>
      <c r="BA41" s="15">
        <f si="44" t="shared"/>
        <v>220</v>
      </c>
      <c r="BB41" s="15">
        <f si="44" t="shared"/>
        <v>400</v>
      </c>
      <c r="BC41" s="15">
        <f si="44" t="shared"/>
        <v>740</v>
      </c>
      <c r="BD41" s="15">
        <f si="44" t="shared"/>
        <v>140</v>
      </c>
      <c r="BE41" s="15">
        <f si="44" t="shared"/>
        <v>260</v>
      </c>
      <c r="BF41" s="15">
        <f si="44" t="shared"/>
        <v>280</v>
      </c>
      <c r="BG41" s="15">
        <f si="44" t="shared"/>
        <v>260</v>
      </c>
      <c r="BH41" s="15">
        <f si="44" t="shared"/>
        <v>640</v>
      </c>
      <c r="BI41" s="15">
        <f si="44" t="shared"/>
        <v>520</v>
      </c>
      <c r="BJ41" s="15">
        <f si="44" t="shared"/>
        <v>0</v>
      </c>
      <c r="BK41" s="15">
        <f si="44" t="shared"/>
        <v>120</v>
      </c>
      <c r="BL41" s="15">
        <f si="44" t="shared"/>
        <v>40</v>
      </c>
      <c r="BM41" s="15">
        <f si="44" t="shared"/>
        <v>40</v>
      </c>
      <c r="BN41" s="15">
        <f si="44" t="shared"/>
        <v>80</v>
      </c>
      <c r="BO41" s="15">
        <f si="44" t="shared"/>
        <v>0</v>
      </c>
      <c r="BP41" s="15">
        <f si="44" t="shared"/>
        <v>40</v>
      </c>
      <c r="BQ41" s="15">
        <f si="44" t="shared"/>
        <v>0</v>
      </c>
      <c r="BR41" s="15">
        <f si="44" t="shared"/>
        <v>0</v>
      </c>
      <c r="BS41" s="15">
        <f si="26" t="shared"/>
        <v>5040</v>
      </c>
      <c r="BV41" s="95">
        <v>20</v>
      </c>
      <c r="BW41" s="34" t="s">
        <v>342</v>
      </c>
      <c r="BX41" s="115">
        <f>$CP$7</f>
        <v>17257.161403342958</v>
      </c>
      <c r="BY41" s="116">
        <f>$CP$8</f>
        <v>30183</v>
      </c>
      <c r="BZ41" s="116">
        <f>$CP$9</f>
        <v>22156</v>
      </c>
      <c r="CA41" s="123">
        <f>$CP$10</f>
        <v>26500</v>
      </c>
      <c r="CB41" s="115">
        <f>$CP$11</f>
        <v>18199.517252367084</v>
      </c>
      <c r="CC41" s="116">
        <f>$CP$12</f>
        <v>27729.627209698276</v>
      </c>
      <c r="CD41" s="116">
        <f>$CP$13</f>
        <v>18241.773021650915</v>
      </c>
      <c r="CE41" s="123">
        <f>$CP$14</f>
        <v>26500</v>
      </c>
      <c r="CF41" s="100">
        <f si="9" t="shared"/>
        <v>2.1915511358276425E-2</v>
      </c>
      <c r="CG41" s="100">
        <f si="10" t="shared"/>
        <v>3.3391487897618456E-2</v>
      </c>
      <c r="CH41" s="100">
        <f si="11" t="shared"/>
        <v>2.1966394949244877E-2</v>
      </c>
      <c r="CI41" s="121">
        <f si="12" t="shared"/>
        <v>3.1910794277732288E-2</v>
      </c>
      <c r="CJ41" s="126">
        <f si="13" t="shared"/>
        <v>-1.4806936198861684E-3</v>
      </c>
      <c r="CK41" s="122">
        <f si="14" t="shared"/>
        <v>-4.434344538422863E-2</v>
      </c>
      <c r="CL41" s="21">
        <f si="15" t="shared"/>
        <v>9.9443993284874105E-3</v>
      </c>
    </row>
    <row ht="15.75" r="42" spans="1:90" thickBot="1" x14ac:dyDescent="0.3">
      <c r="A42" s="95">
        <v>9</v>
      </c>
      <c r="B42" s="77">
        <f ref="B42:W42" si="45" t="shared">IF($W15&gt;0,(B15/$W15)*$BS15,0)</f>
        <v>10169.853656136775</v>
      </c>
      <c r="C42" s="77">
        <f si="45" t="shared"/>
        <v>5901.2677700651193</v>
      </c>
      <c r="D42" s="77">
        <f si="45" t="shared"/>
        <v>1553.2579532169241</v>
      </c>
      <c r="E42" s="77">
        <f si="45" t="shared"/>
        <v>2493.3649181134524</v>
      </c>
      <c r="F42" s="77">
        <f si="45" t="shared"/>
        <v>1363.9099669604316</v>
      </c>
      <c r="G42" s="77">
        <f si="45" t="shared"/>
        <v>5431.6025182346084</v>
      </c>
      <c r="H42" s="77">
        <f si="45" t="shared"/>
        <v>6594.3445870309142</v>
      </c>
      <c r="I42" s="77">
        <f si="45" t="shared"/>
        <v>0</v>
      </c>
      <c r="J42" s="77">
        <f si="45" t="shared"/>
        <v>22366.508261224732</v>
      </c>
      <c r="K42" s="77">
        <f si="45" t="shared"/>
        <v>143.45723011761817</v>
      </c>
      <c r="L42" s="77">
        <f si="45" t="shared"/>
        <v>1158.2347606985463</v>
      </c>
      <c r="M42" s="77">
        <f si="45" t="shared"/>
        <v>8443.9432538280143</v>
      </c>
      <c r="N42" s="77">
        <f si="45" t="shared"/>
        <v>65.339617678011322</v>
      </c>
      <c r="O42" s="77">
        <f si="45" t="shared"/>
        <v>132.01595843988036</v>
      </c>
      <c r="P42" s="77">
        <f si="45" t="shared"/>
        <v>2706.8144230016842</v>
      </c>
      <c r="Q42" s="77">
        <f si="45" t="shared"/>
        <v>0</v>
      </c>
      <c r="R42" s="77">
        <f si="45" t="shared"/>
        <v>206.76080530259117</v>
      </c>
      <c r="S42" s="77">
        <f si="45" t="shared"/>
        <v>397.86328874304297</v>
      </c>
      <c r="T42" s="77">
        <f si="45" t="shared"/>
        <v>171.46103120766293</v>
      </c>
      <c r="U42" s="77">
        <f si="45" t="shared"/>
        <v>0</v>
      </c>
      <c r="V42" s="77">
        <f si="45" t="shared"/>
        <v>0</v>
      </c>
      <c r="W42" s="77">
        <f si="45" t="shared"/>
        <v>69300</v>
      </c>
      <c r="X42" s="15"/>
      <c r="Y42" s="95">
        <v>9</v>
      </c>
      <c r="Z42" s="77">
        <f ref="Z42:AT42" si="46" t="shared">IF($AU15&gt;0,(Z15/$AU15)*$BS15,0)</f>
        <v>6207.4938619078994</v>
      </c>
      <c r="AA42" s="77">
        <f si="46" t="shared"/>
        <v>7948.812503742739</v>
      </c>
      <c r="AB42" s="77">
        <f si="46" t="shared"/>
        <v>2287.4519432301336</v>
      </c>
      <c r="AC42" s="77">
        <f si="46" t="shared"/>
        <v>1943.0061680340141</v>
      </c>
      <c r="AD42" s="77">
        <f si="46" t="shared"/>
        <v>2117.3040301814481</v>
      </c>
      <c r="AE42" s="77">
        <f si="46" t="shared"/>
        <v>11386.630337145936</v>
      </c>
      <c r="AF42" s="77">
        <f si="46" t="shared"/>
        <v>6273.0630576681233</v>
      </c>
      <c r="AG42" s="77">
        <f si="46" t="shared"/>
        <v>562.73309779028682</v>
      </c>
      <c r="AH42" s="77">
        <f si="46" t="shared"/>
        <v>9449.4340978501714</v>
      </c>
      <c r="AI42" s="77">
        <f si="46" t="shared"/>
        <v>1215.9350859332894</v>
      </c>
      <c r="AJ42" s="77">
        <f si="46" t="shared"/>
        <v>3967.3513384034973</v>
      </c>
      <c r="AK42" s="77">
        <f si="46" t="shared"/>
        <v>7762.0647942990599</v>
      </c>
      <c r="AL42" s="77">
        <f si="46" t="shared"/>
        <v>2040.9449667644769</v>
      </c>
      <c r="AM42" s="77">
        <f si="46" t="shared"/>
        <v>233.22713934966166</v>
      </c>
      <c r="AN42" s="77">
        <f si="46" t="shared"/>
        <v>3812.1432421103059</v>
      </c>
      <c r="AO42" s="77">
        <f si="46" t="shared"/>
        <v>188.40768908317864</v>
      </c>
      <c r="AP42" s="77">
        <f si="46" t="shared"/>
        <v>273.06665069764654</v>
      </c>
      <c r="AQ42" s="77">
        <f si="46" t="shared"/>
        <v>477.24414635606922</v>
      </c>
      <c r="AR42" s="77">
        <f si="46" t="shared"/>
        <v>910.4988322654051</v>
      </c>
      <c r="AS42" s="77">
        <f si="46" t="shared"/>
        <v>243.1870171866579</v>
      </c>
      <c r="AT42" s="77">
        <f si="46" t="shared"/>
        <v>0</v>
      </c>
      <c r="AU42" s="77">
        <f si="24" t="shared"/>
        <v>69300.000000000015</v>
      </c>
      <c r="AW42" s="95">
        <v>9</v>
      </c>
      <c r="AX42" s="15">
        <f ref="AX42:BR42" si="47" t="shared">AX15</f>
        <v>4360</v>
      </c>
      <c r="AY42" s="15">
        <f si="47" t="shared"/>
        <v>6500</v>
      </c>
      <c r="AZ42" s="15">
        <f si="47" t="shared"/>
        <v>2680</v>
      </c>
      <c r="BA42" s="15">
        <f si="47" t="shared"/>
        <v>1380</v>
      </c>
      <c r="BB42" s="15">
        <f si="47" t="shared"/>
        <v>2080</v>
      </c>
      <c r="BC42" s="15">
        <f si="47" t="shared"/>
        <v>7720</v>
      </c>
      <c r="BD42" s="15">
        <f si="47" t="shared"/>
        <v>6560</v>
      </c>
      <c r="BE42" s="15">
        <f si="47" t="shared"/>
        <v>500</v>
      </c>
      <c r="BF42" s="15">
        <f si="47" t="shared"/>
        <v>15640</v>
      </c>
      <c r="BG42" s="15">
        <f si="47" t="shared"/>
        <v>620</v>
      </c>
      <c r="BH42" s="15">
        <f si="47" t="shared"/>
        <v>3960</v>
      </c>
      <c r="BI42" s="15">
        <f si="47" t="shared"/>
        <v>7260</v>
      </c>
      <c r="BJ42" s="15">
        <f si="47" t="shared"/>
        <v>2960</v>
      </c>
      <c r="BK42" s="15">
        <f si="47" t="shared"/>
        <v>240</v>
      </c>
      <c r="BL42" s="15">
        <f si="47" t="shared"/>
        <v>5460</v>
      </c>
      <c r="BM42" s="15">
        <f si="47" t="shared"/>
        <v>80</v>
      </c>
      <c r="BN42" s="15">
        <f si="47" t="shared"/>
        <v>180</v>
      </c>
      <c r="BO42" s="15">
        <f si="47" t="shared"/>
        <v>160</v>
      </c>
      <c r="BP42" s="15">
        <f si="47" t="shared"/>
        <v>900</v>
      </c>
      <c r="BQ42" s="15">
        <f si="47" t="shared"/>
        <v>60</v>
      </c>
      <c r="BR42" s="15">
        <f si="47" t="shared"/>
        <v>0</v>
      </c>
      <c r="BS42" s="15">
        <f si="26" t="shared"/>
        <v>69300</v>
      </c>
      <c r="BV42" s="109"/>
      <c r="BW42" s="110" t="s">
        <v>218</v>
      </c>
      <c r="BX42" s="117">
        <f ref="BX42:CE42" si="48" t="shared">SUM(BX22:BX41)</f>
        <v>787440.5082875588</v>
      </c>
      <c r="BY42" s="111">
        <f si="48" t="shared"/>
        <v>903913</v>
      </c>
      <c r="BZ42" s="111">
        <f si="48" t="shared"/>
        <v>959408</v>
      </c>
      <c r="CA42" s="124">
        <f si="48" t="shared"/>
        <v>830440</v>
      </c>
      <c r="CB42" s="117">
        <f si="48" t="shared"/>
        <v>830440.00000000047</v>
      </c>
      <c r="CC42" s="111">
        <f si="48" t="shared"/>
        <v>830440.00000000012</v>
      </c>
      <c r="CD42" s="111">
        <f si="48" t="shared"/>
        <v>830440</v>
      </c>
      <c r="CE42" s="124">
        <f si="48" t="shared"/>
        <v>830440</v>
      </c>
      <c r="CF42" s="130">
        <f si="9" t="shared"/>
        <v>1</v>
      </c>
      <c r="CG42" s="130">
        <f si="10" t="shared"/>
        <v>1</v>
      </c>
      <c r="CH42" s="130">
        <f si="11" t="shared"/>
        <v>1</v>
      </c>
      <c r="CI42" s="131">
        <f si="12" t="shared"/>
        <v>1</v>
      </c>
      <c r="CJ42" s="119">
        <f ref="CJ42" si="49" t="shared">CI42-CH42</f>
        <v>0</v>
      </c>
      <c r="CK42" s="137">
        <f ref="CK42" si="50" t="shared">(CE42-CD42)/CD42</f>
        <v>0</v>
      </c>
    </row>
    <row r="43" spans="1:90" x14ac:dyDescent="0.25">
      <c r="A43" s="95">
        <v>10</v>
      </c>
      <c r="B43" s="77">
        <f ref="B43:W43" si="51" t="shared">IF($W16&gt;0,(B16/$W16)*$BS16,0)</f>
        <v>4630.4845472045135</v>
      </c>
      <c r="C43" s="77">
        <f si="51" t="shared"/>
        <v>383.23254233749537</v>
      </c>
      <c r="D43" s="77">
        <f si="51" t="shared"/>
        <v>520.94865526393596</v>
      </c>
      <c r="E43" s="77">
        <f si="51" t="shared"/>
        <v>953.8725124061865</v>
      </c>
      <c r="F43" s="77">
        <f si="51" t="shared"/>
        <v>2775.6058873918496</v>
      </c>
      <c r="G43" s="77">
        <f si="51" t="shared"/>
        <v>8286.1841341875061</v>
      </c>
      <c r="H43" s="77">
        <f si="51" t="shared"/>
        <v>1137.3035983206403</v>
      </c>
      <c r="I43" s="77">
        <f si="51" t="shared"/>
        <v>348.35973459615758</v>
      </c>
      <c r="J43" s="77">
        <f si="51" t="shared"/>
        <v>329.86632079566897</v>
      </c>
      <c r="K43" s="77">
        <f si="51" t="shared"/>
        <v>3412.9803291623057</v>
      </c>
      <c r="L43" s="77">
        <f si="51" t="shared"/>
        <v>487.36651368910066</v>
      </c>
      <c r="M43" s="77">
        <f si="51" t="shared"/>
        <v>4842.7976631221754</v>
      </c>
      <c r="N43" s="77">
        <f si="51" t="shared"/>
        <v>183.72443696198647</v>
      </c>
      <c r="O43" s="77">
        <f si="51" t="shared"/>
        <v>104.11965154583106</v>
      </c>
      <c r="P43" s="77">
        <f si="51" t="shared"/>
        <v>0</v>
      </c>
      <c r="Q43" s="77">
        <f si="51" t="shared"/>
        <v>272.30665253438491</v>
      </c>
      <c r="R43" s="77">
        <f si="51" t="shared"/>
        <v>0</v>
      </c>
      <c r="S43" s="77">
        <f si="51" t="shared"/>
        <v>30.846820480261538</v>
      </c>
      <c r="T43" s="77">
        <f si="51" t="shared"/>
        <v>0</v>
      </c>
      <c r="U43" s="77">
        <f si="51" t="shared"/>
        <v>0</v>
      </c>
      <c r="V43" s="77">
        <f si="51" t="shared"/>
        <v>0</v>
      </c>
      <c r="W43" s="77">
        <f si="51" t="shared"/>
        <v>28700</v>
      </c>
      <c r="Y43" s="95">
        <v>10</v>
      </c>
      <c r="Z43" s="77">
        <f ref="Z43:AT43" si="52" t="shared">IF($AU16&gt;0,(Z16/$AU16)*$BS16,0)</f>
        <v>2801.9313418581205</v>
      </c>
      <c r="AA43" s="77">
        <f si="52" t="shared"/>
        <v>2210.3279036451422</v>
      </c>
      <c r="AB43" s="77">
        <f si="52" t="shared"/>
        <v>647.18522841831589</v>
      </c>
      <c r="AC43" s="77">
        <f si="52" t="shared"/>
        <v>841.34079694381069</v>
      </c>
      <c r="AD43" s="77">
        <f si="52" t="shared"/>
        <v>1541.8236324083407</v>
      </c>
      <c r="AE43" s="77">
        <f si="52" t="shared"/>
        <v>8191.0808086167553</v>
      </c>
      <c r="AF43" s="77">
        <f si="52" t="shared"/>
        <v>1030.9279991510587</v>
      </c>
      <c r="AG43" s="77">
        <f si="52" t="shared"/>
        <v>204.81508993473761</v>
      </c>
      <c r="AH43" s="77">
        <f si="52" t="shared"/>
        <v>899.96816469464636</v>
      </c>
      <c r="AI43" s="77">
        <f si="52" t="shared"/>
        <v>2205.7595373268955</v>
      </c>
      <c r="AJ43" s="77">
        <f si="52" t="shared"/>
        <v>732.46139969225874</v>
      </c>
      <c r="AK43" s="77">
        <f si="52" t="shared"/>
        <v>5461.4819334642116</v>
      </c>
      <c r="AL43" s="77">
        <f si="52" t="shared"/>
        <v>396.68647530110894</v>
      </c>
      <c r="AM43" s="77">
        <f si="52" t="shared"/>
        <v>118.77752427442033</v>
      </c>
      <c r="AN43" s="77">
        <f si="52" t="shared"/>
        <v>188.06441343449887</v>
      </c>
      <c r="AO43" s="77">
        <f si="52" t="shared"/>
        <v>545.91977503050884</v>
      </c>
      <c r="AP43" s="77">
        <f si="52" t="shared"/>
        <v>69.28688916007853</v>
      </c>
      <c r="AQ43" s="77">
        <f si="52" t="shared"/>
        <v>322.83121982278345</v>
      </c>
      <c r="AR43" s="77">
        <f si="52" t="shared"/>
        <v>171.31373693426011</v>
      </c>
      <c r="AS43" s="77">
        <f si="52" t="shared"/>
        <v>118.01612988804585</v>
      </c>
      <c r="AT43" s="77">
        <f si="52" t="shared"/>
        <v>0</v>
      </c>
      <c r="AU43" s="77">
        <f si="24" t="shared"/>
        <v>28700</v>
      </c>
      <c r="AW43" s="95">
        <v>10</v>
      </c>
      <c r="AX43" s="15">
        <f ref="AX43:BR43" si="53" t="shared">AX16</f>
        <v>2140</v>
      </c>
      <c r="AY43" s="15">
        <f si="53" t="shared"/>
        <v>1420</v>
      </c>
      <c r="AZ43" s="15">
        <f si="53" t="shared"/>
        <v>680</v>
      </c>
      <c r="BA43" s="15">
        <f si="53" t="shared"/>
        <v>1160</v>
      </c>
      <c r="BB43" s="15">
        <f si="53" t="shared"/>
        <v>1860</v>
      </c>
      <c r="BC43" s="15">
        <f si="53" t="shared"/>
        <v>6680</v>
      </c>
      <c r="BD43" s="15">
        <f si="53" t="shared"/>
        <v>960</v>
      </c>
      <c r="BE43" s="15">
        <f si="53" t="shared"/>
        <v>260</v>
      </c>
      <c r="BF43" s="15">
        <f si="53" t="shared"/>
        <v>640</v>
      </c>
      <c r="BG43" s="15">
        <f si="53" t="shared"/>
        <v>4120</v>
      </c>
      <c r="BH43" s="15">
        <f si="53" t="shared"/>
        <v>580</v>
      </c>
      <c r="BI43" s="15">
        <f si="53" t="shared"/>
        <v>6660</v>
      </c>
      <c r="BJ43" s="15">
        <f si="53" t="shared"/>
        <v>280</v>
      </c>
      <c r="BK43" s="15">
        <f si="53" t="shared"/>
        <v>60</v>
      </c>
      <c r="BL43" s="15">
        <f si="53" t="shared"/>
        <v>80</v>
      </c>
      <c r="BM43" s="15">
        <f si="53" t="shared"/>
        <v>860</v>
      </c>
      <c r="BN43" s="15">
        <f si="53" t="shared"/>
        <v>0</v>
      </c>
      <c r="BO43" s="15">
        <f si="53" t="shared"/>
        <v>100</v>
      </c>
      <c r="BP43" s="15">
        <f si="53" t="shared"/>
        <v>120</v>
      </c>
      <c r="BQ43" s="15">
        <f si="53" t="shared"/>
        <v>40</v>
      </c>
      <c r="BR43" s="15">
        <f si="53" t="shared"/>
        <v>0</v>
      </c>
      <c r="BS43" s="15">
        <f si="26" t="shared"/>
        <v>28700</v>
      </c>
    </row>
    <row customFormat="1" r="44" s="95" spans="1:90" x14ac:dyDescent="0.25">
      <c r="A44" s="95">
        <v>11</v>
      </c>
      <c r="B44" s="77">
        <f ref="B44:W44" si="54" t="shared">IF($W17&gt;0,(B17/$W17)*$BS17,0)</f>
        <v>7534.8428889308079</v>
      </c>
      <c r="C44" s="77">
        <f si="54" t="shared"/>
        <v>2094.1480123975284</v>
      </c>
      <c r="D44" s="77">
        <f si="54" t="shared"/>
        <v>5899.987360989333</v>
      </c>
      <c r="E44" s="77">
        <f si="54" t="shared"/>
        <v>2711.7299528771141</v>
      </c>
      <c r="F44" s="77">
        <f si="54" t="shared"/>
        <v>3133.2446018363385</v>
      </c>
      <c r="G44" s="77">
        <f si="54" t="shared"/>
        <v>5971.5325679637826</v>
      </c>
      <c r="H44" s="77">
        <f si="54" t="shared"/>
        <v>3184.2098336009053</v>
      </c>
      <c r="I44" s="77">
        <f si="54" t="shared"/>
        <v>0</v>
      </c>
      <c r="J44" s="77">
        <f si="54" t="shared"/>
        <v>3516.3762957172044</v>
      </c>
      <c r="K44" s="77">
        <f si="54" t="shared"/>
        <v>862.19120805052705</v>
      </c>
      <c r="L44" s="77">
        <f si="54" t="shared"/>
        <v>14717.779760216663</v>
      </c>
      <c r="M44" s="77">
        <f si="54" t="shared"/>
        <v>3842.0972408146367</v>
      </c>
      <c r="N44" s="77">
        <f si="54" t="shared"/>
        <v>56.654455875700151</v>
      </c>
      <c r="O44" s="77">
        <f si="54" t="shared"/>
        <v>97.648378459842107</v>
      </c>
      <c r="P44" s="77">
        <f si="54" t="shared"/>
        <v>0</v>
      </c>
      <c r="Q44" s="77">
        <f si="54" t="shared"/>
        <v>925.26663464191472</v>
      </c>
      <c r="R44" s="77">
        <f si="54" t="shared"/>
        <v>1244.6205362117553</v>
      </c>
      <c r="S44" s="77">
        <f si="54" t="shared"/>
        <v>1434.9267508476573</v>
      </c>
      <c r="T44" s="77">
        <f si="54" t="shared"/>
        <v>2352.7435205682905</v>
      </c>
      <c r="U44" s="77">
        <f si="54" t="shared"/>
        <v>0</v>
      </c>
      <c r="V44" s="77">
        <f si="54" t="shared"/>
        <v>0</v>
      </c>
      <c r="W44" s="77">
        <f si="54" t="shared"/>
        <v>59580</v>
      </c>
      <c r="Y44" s="95">
        <v>11</v>
      </c>
      <c r="Z44" s="77">
        <f ref="Z44:AT44" si="55" t="shared">IF($AU17&gt;0,(Z17/$AU17)*$BS17,0)</f>
        <v>4980.9046256353304</v>
      </c>
      <c r="AA44" s="77">
        <f si="55" t="shared"/>
        <v>6137.0648784863115</v>
      </c>
      <c r="AB44" s="77">
        <f si="55" t="shared"/>
        <v>2453.1294579934224</v>
      </c>
      <c r="AC44" s="77">
        <f si="55" t="shared"/>
        <v>2177.4492803143553</v>
      </c>
      <c r="AD44" s="77">
        <f si="55" t="shared"/>
        <v>1966.2358518771623</v>
      </c>
      <c r="AE44" s="77">
        <f si="55" t="shared"/>
        <v>9781.9809507538539</v>
      </c>
      <c r="AF44" s="77">
        <f si="55" t="shared"/>
        <v>2923.9063767992143</v>
      </c>
      <c r="AG44" s="77">
        <f si="55" t="shared"/>
        <v>902.53448938623842</v>
      </c>
      <c r="AH44" s="77">
        <f si="55" t="shared"/>
        <v>4048.6815017298081</v>
      </c>
      <c r="AI44" s="77">
        <f si="55" t="shared"/>
        <v>1223.1717421945073</v>
      </c>
      <c r="AJ44" s="77">
        <f si="55" t="shared"/>
        <v>9927.031136548072</v>
      </c>
      <c r="AK44" s="77">
        <f si="55" t="shared"/>
        <v>5041.1301413744504</v>
      </c>
      <c r="AL44" s="77">
        <f si="55" t="shared"/>
        <v>974.63545893307139</v>
      </c>
      <c r="AM44" s="77">
        <f si="55" t="shared"/>
        <v>610.7376243967027</v>
      </c>
      <c r="AN44" s="77">
        <f si="55" t="shared"/>
        <v>1189.2418741724682</v>
      </c>
      <c r="AO44" s="77">
        <f si="55" t="shared"/>
        <v>226.48186904711056</v>
      </c>
      <c r="AP44" s="77">
        <f si="55" t="shared"/>
        <v>830.43351983940545</v>
      </c>
      <c r="AQ44" s="77">
        <f si="55" t="shared"/>
        <v>323.18199290992186</v>
      </c>
      <c r="AR44" s="77">
        <f si="55" t="shared"/>
        <v>3667.8187331824197</v>
      </c>
      <c r="AS44" s="77">
        <f si="55" t="shared"/>
        <v>194.24849442617349</v>
      </c>
      <c r="AT44" s="77">
        <f si="55" t="shared"/>
        <v>0</v>
      </c>
      <c r="AU44" s="77">
        <f si="24" t="shared"/>
        <v>59580</v>
      </c>
      <c r="AW44" s="95">
        <v>11</v>
      </c>
      <c r="AX44" s="15">
        <f ref="AX44:BR44" si="56" t="shared">AX17</f>
        <v>4180</v>
      </c>
      <c r="AY44" s="15">
        <f si="56" t="shared"/>
        <v>3160</v>
      </c>
      <c r="AZ44" s="15">
        <f si="56" t="shared"/>
        <v>4180</v>
      </c>
      <c r="BA44" s="15">
        <f si="56" t="shared"/>
        <v>1900</v>
      </c>
      <c r="BB44" s="15">
        <f si="56" t="shared"/>
        <v>1160</v>
      </c>
      <c r="BC44" s="15">
        <f si="56" t="shared"/>
        <v>6240</v>
      </c>
      <c r="BD44" s="15">
        <f si="56" t="shared"/>
        <v>1380</v>
      </c>
      <c r="BE44" s="15">
        <f si="56" t="shared"/>
        <v>860</v>
      </c>
      <c r="BF44" s="15">
        <f si="56" t="shared"/>
        <v>4120</v>
      </c>
      <c r="BG44" s="15">
        <f si="56" t="shared"/>
        <v>1420</v>
      </c>
      <c r="BH44" s="15">
        <f si="56" t="shared"/>
        <v>18700</v>
      </c>
      <c r="BI44" s="15">
        <f si="56" t="shared"/>
        <v>3980</v>
      </c>
      <c r="BJ44" s="15">
        <f si="56" t="shared"/>
        <v>440</v>
      </c>
      <c r="BK44" s="15">
        <f si="56" t="shared"/>
        <v>780</v>
      </c>
      <c r="BL44" s="15">
        <f si="56" t="shared"/>
        <v>1100</v>
      </c>
      <c r="BM44" s="15">
        <f si="56" t="shared"/>
        <v>160</v>
      </c>
      <c r="BN44" s="15">
        <f si="56" t="shared"/>
        <v>1040</v>
      </c>
      <c r="BO44" s="15">
        <f si="56" t="shared"/>
        <v>60</v>
      </c>
      <c r="BP44" s="15">
        <f si="56" t="shared"/>
        <v>4720</v>
      </c>
      <c r="BQ44" s="15">
        <f si="56" t="shared"/>
        <v>0</v>
      </c>
      <c r="BR44" s="15">
        <f si="56" t="shared"/>
        <v>0</v>
      </c>
      <c r="BS44" s="15">
        <f si="26" t="shared"/>
        <v>59580</v>
      </c>
    </row>
    <row customFormat="1" r="45" s="95" spans="1:90" x14ac:dyDescent="0.25">
      <c r="A45" s="95">
        <v>12</v>
      </c>
      <c r="B45" s="77">
        <f ref="B45:W45" si="57" t="shared">IF($W18&gt;0,(B18/$W18)*$BS18,0)</f>
        <v>14918.33214754172</v>
      </c>
      <c r="C45" s="77">
        <f si="57" t="shared"/>
        <v>2190.5777632411668</v>
      </c>
      <c r="D45" s="77">
        <f si="57" t="shared"/>
        <v>1807.2370024561405</v>
      </c>
      <c r="E45" s="77">
        <f si="57" t="shared"/>
        <v>4954.2673121018606</v>
      </c>
      <c r="F45" s="77">
        <f si="57" t="shared"/>
        <v>2607.6835573994381</v>
      </c>
      <c r="G45" s="77">
        <f si="57" t="shared"/>
        <v>23491.372588516486</v>
      </c>
      <c r="H45" s="77">
        <f si="57" t="shared"/>
        <v>7650.7665388525957</v>
      </c>
      <c r="I45" s="77">
        <f si="57" t="shared"/>
        <v>0</v>
      </c>
      <c r="J45" s="77">
        <f si="57" t="shared"/>
        <v>4740.6798425794423</v>
      </c>
      <c r="K45" s="77">
        <f si="57" t="shared"/>
        <v>2026.6996562062609</v>
      </c>
      <c r="L45" s="77">
        <f si="57" t="shared"/>
        <v>691.38439424462661</v>
      </c>
      <c r="M45" s="77">
        <f si="57" t="shared"/>
        <v>52164.193010545649</v>
      </c>
      <c r="N45" s="77">
        <f si="57" t="shared"/>
        <v>849.02622504033093</v>
      </c>
      <c r="O45" s="77">
        <f si="57" t="shared"/>
        <v>41.875307559960191</v>
      </c>
      <c r="P45" s="77">
        <f si="57" t="shared"/>
        <v>0</v>
      </c>
      <c r="Q45" s="77">
        <f si="57" t="shared"/>
        <v>396.76966653113772</v>
      </c>
      <c r="R45" s="77">
        <f si="57" t="shared"/>
        <v>0</v>
      </c>
      <c r="S45" s="77">
        <f si="57" t="shared"/>
        <v>1226.2251327444526</v>
      </c>
      <c r="T45" s="77">
        <f si="57" t="shared"/>
        <v>0</v>
      </c>
      <c r="U45" s="77">
        <f si="57" t="shared"/>
        <v>762.90985443874115</v>
      </c>
      <c r="V45" s="77">
        <f si="57" t="shared"/>
        <v>0</v>
      </c>
      <c r="W45" s="77">
        <f si="57" t="shared"/>
        <v>120520</v>
      </c>
      <c r="Y45" s="95">
        <v>12</v>
      </c>
      <c r="Z45" s="77">
        <f ref="Z45:AT45" si="58" t="shared">IF($AU18&gt;0,(Z18/$AU18)*$BS18,0)</f>
        <v>9208.578334633683</v>
      </c>
      <c r="AA45" s="77">
        <f si="58" t="shared"/>
        <v>8343.8624994263155</v>
      </c>
      <c r="AB45" s="77">
        <f si="58" t="shared"/>
        <v>2045.6337295577282</v>
      </c>
      <c r="AC45" s="77">
        <f si="58" t="shared"/>
        <v>2313.8984502883718</v>
      </c>
      <c r="AD45" s="77">
        <f si="58" t="shared"/>
        <v>3143.583153579023</v>
      </c>
      <c r="AE45" s="77">
        <f si="58" t="shared"/>
        <v>23692.10763841082</v>
      </c>
      <c r="AF45" s="77">
        <f si="58" t="shared"/>
        <v>8472.9245643826398</v>
      </c>
      <c r="AG45" s="77">
        <f si="58" t="shared"/>
        <v>433.279789496229</v>
      </c>
      <c r="AH45" s="77">
        <f si="58" t="shared"/>
        <v>4914.4990591582909</v>
      </c>
      <c r="AI45" s="77">
        <f si="58" t="shared"/>
        <v>2713.0689797604296</v>
      </c>
      <c r="AJ45" s="77">
        <f si="58" t="shared"/>
        <v>2724.1314424709717</v>
      </c>
      <c r="AK45" s="77">
        <f si="58" t="shared"/>
        <v>42277.96686401395</v>
      </c>
      <c r="AL45" s="77">
        <f si="58" t="shared"/>
        <v>2973.0368534581671</v>
      </c>
      <c r="AM45" s="77">
        <f si="58" t="shared"/>
        <v>267.34284883809869</v>
      </c>
      <c r="AN45" s="77">
        <f si="58" t="shared"/>
        <v>1120.0743494423793</v>
      </c>
      <c r="AO45" s="77">
        <f si="58" t="shared"/>
        <v>705.23199779705362</v>
      </c>
      <c r="AP45" s="77">
        <f si="58" t="shared"/>
        <v>247.06166720210504</v>
      </c>
      <c r="AQ45" s="77">
        <f si="58" t="shared"/>
        <v>3280.9420655682529</v>
      </c>
      <c r="AR45" s="77">
        <f si="58" t="shared"/>
        <v>528.23259442838128</v>
      </c>
      <c r="AS45" s="77">
        <f si="58" t="shared"/>
        <v>1114.543118087108</v>
      </c>
      <c r="AT45" s="77">
        <f si="58" t="shared"/>
        <v>0</v>
      </c>
      <c r="AU45" s="77">
        <f si="24" t="shared"/>
        <v>120519.99999999999</v>
      </c>
      <c r="AW45" s="95">
        <v>12</v>
      </c>
      <c r="AX45" s="15">
        <f ref="AX45:BR45" si="59" t="shared">AX18</f>
        <v>6400</v>
      </c>
      <c r="AY45" s="15">
        <f si="59" t="shared"/>
        <v>5320</v>
      </c>
      <c r="AZ45" s="15">
        <f si="59" t="shared"/>
        <v>2080</v>
      </c>
      <c r="BA45" s="15">
        <f si="59" t="shared"/>
        <v>2460</v>
      </c>
      <c r="BB45" s="15">
        <f si="59" t="shared"/>
        <v>3860</v>
      </c>
      <c r="BC45" s="15">
        <f si="59" t="shared"/>
        <v>15960</v>
      </c>
      <c r="BD45" s="15">
        <f si="59" t="shared"/>
        <v>10600</v>
      </c>
      <c r="BE45" s="15">
        <f si="59" t="shared"/>
        <v>200</v>
      </c>
      <c r="BF45" s="15">
        <f si="59" t="shared"/>
        <v>4040</v>
      </c>
      <c r="BG45" s="15">
        <f si="59" t="shared"/>
        <v>2900</v>
      </c>
      <c r="BH45" s="15">
        <f si="59" t="shared"/>
        <v>1660</v>
      </c>
      <c r="BI45" s="15">
        <f si="59" t="shared"/>
        <v>55880</v>
      </c>
      <c r="BJ45" s="15">
        <f si="59" t="shared"/>
        <v>4740</v>
      </c>
      <c r="BK45" s="15">
        <f si="59" t="shared"/>
        <v>120</v>
      </c>
      <c r="BL45" s="15">
        <f si="59" t="shared"/>
        <v>620</v>
      </c>
      <c r="BM45" s="15">
        <f si="59" t="shared"/>
        <v>560</v>
      </c>
      <c r="BN45" s="15">
        <f si="59" t="shared"/>
        <v>160</v>
      </c>
      <c r="BO45" s="15">
        <f si="59" t="shared"/>
        <v>2300</v>
      </c>
      <c r="BP45" s="15">
        <f si="59" t="shared"/>
        <v>240</v>
      </c>
      <c r="BQ45" s="15">
        <f si="59" t="shared"/>
        <v>420</v>
      </c>
      <c r="BR45" s="15">
        <f si="59" t="shared"/>
        <v>0</v>
      </c>
      <c r="BS45" s="15">
        <f si="26" t="shared"/>
        <v>120520</v>
      </c>
    </row>
    <row customFormat="1" r="46" s="95" spans="1:90" x14ac:dyDescent="0.25">
      <c r="A46" s="95">
        <v>13</v>
      </c>
      <c r="B46" s="77">
        <f ref="B46:W46" si="60" t="shared">IF($W19&gt;0,(B19/$W19)*$BS19,0)</f>
        <v>5650.9315041701275</v>
      </c>
      <c r="C46" s="77">
        <f si="60" t="shared"/>
        <v>866.65322218261758</v>
      </c>
      <c r="D46" s="77">
        <f si="60" t="shared"/>
        <v>380.7504089588877</v>
      </c>
      <c r="E46" s="77">
        <f si="60" t="shared"/>
        <v>1420.6329629920087</v>
      </c>
      <c r="F46" s="77">
        <f si="60" t="shared"/>
        <v>1181.3371726928726</v>
      </c>
      <c r="G46" s="77">
        <f si="60" t="shared"/>
        <v>3161.0717732421799</v>
      </c>
      <c r="H46" s="77">
        <f si="60" t="shared"/>
        <v>22903.679121636334</v>
      </c>
      <c r="I46" s="77">
        <f si="60" t="shared"/>
        <v>746.56311908440205</v>
      </c>
      <c r="J46" s="77">
        <f si="60" t="shared"/>
        <v>1344.5079718835561</v>
      </c>
      <c r="K46" s="77">
        <f si="60" t="shared"/>
        <v>606.25281834997509</v>
      </c>
      <c r="L46" s="77">
        <f si="60" t="shared"/>
        <v>1301.181023126418</v>
      </c>
      <c r="M46" s="77">
        <f si="60" t="shared"/>
        <v>6331.0136841455242</v>
      </c>
      <c r="N46" s="77">
        <f si="60" t="shared"/>
        <v>48473.893540287871</v>
      </c>
      <c r="O46" s="77">
        <f si="60" t="shared"/>
        <v>148.49369101053702</v>
      </c>
      <c r="P46" s="77">
        <f si="60" t="shared"/>
        <v>2107.7242648658416</v>
      </c>
      <c r="Q46" s="77">
        <f si="60" t="shared"/>
        <v>0</v>
      </c>
      <c r="R46" s="77">
        <f si="60" t="shared"/>
        <v>0</v>
      </c>
      <c r="S46" s="77">
        <f si="60" t="shared"/>
        <v>2375.313721370861</v>
      </c>
      <c r="T46" s="77">
        <f si="60" t="shared"/>
        <v>0</v>
      </c>
      <c r="U46" s="77">
        <f si="60" t="shared"/>
        <v>0</v>
      </c>
      <c r="V46" s="77">
        <f si="60" t="shared"/>
        <v>0</v>
      </c>
      <c r="W46" s="77">
        <f si="60" t="shared"/>
        <v>99000</v>
      </c>
      <c r="Y46" s="95">
        <v>13</v>
      </c>
      <c r="Z46" s="77">
        <f ref="Z46:AT46" si="61" t="shared">IF($AU19&gt;0,(Z19/$AU19)*$BS19,0)</f>
        <v>3947.4268572986871</v>
      </c>
      <c r="AA46" s="77">
        <f si="61" t="shared"/>
        <v>4392.8863609801701</v>
      </c>
      <c r="AB46" s="77">
        <f si="61" t="shared"/>
        <v>1164.7512563792902</v>
      </c>
      <c r="AC46" s="77">
        <f si="61" t="shared"/>
        <v>1339.2711052242005</v>
      </c>
      <c r="AD46" s="77">
        <f si="61" t="shared"/>
        <v>1473.2946355526121</v>
      </c>
      <c r="AE46" s="77">
        <f si="61" t="shared"/>
        <v>7816.7536717441271</v>
      </c>
      <c r="AF46" s="77">
        <f si="61" t="shared"/>
        <v>16042.327320892906</v>
      </c>
      <c r="AG46" s="77">
        <f si="61" t="shared"/>
        <v>382.78662978690249</v>
      </c>
      <c r="AH46" s="77">
        <f si="61" t="shared"/>
        <v>4915.4817094549844</v>
      </c>
      <c r="AI46" s="77">
        <f si="61" t="shared"/>
        <v>1248.6364875920372</v>
      </c>
      <c r="AJ46" s="77">
        <f si="61" t="shared"/>
        <v>2167.517238692586</v>
      </c>
      <c r="AK46" s="77">
        <f si="61" t="shared"/>
        <v>12507.577233238537</v>
      </c>
      <c r="AL46" s="77">
        <f si="61" t="shared"/>
        <v>33529.987533600841</v>
      </c>
      <c r="AM46" s="77">
        <f si="61" t="shared"/>
        <v>212.1235731816588</v>
      </c>
      <c r="AN46" s="77">
        <f si="61" t="shared"/>
        <v>3309.1277416338776</v>
      </c>
      <c r="AO46" s="77">
        <f si="61" t="shared"/>
        <v>255.51248587790718</v>
      </c>
      <c r="AP46" s="77">
        <f si="61" t="shared"/>
        <v>291.18781409482256</v>
      </c>
      <c r="AQ46" s="77">
        <f si="61" t="shared"/>
        <v>2470.2754295064087</v>
      </c>
      <c r="AR46" s="77">
        <f si="61" t="shared"/>
        <v>662.40406716272548</v>
      </c>
      <c r="AS46" s="77">
        <f si="61" t="shared"/>
        <v>870.67084810471783</v>
      </c>
      <c r="AT46" s="77">
        <f si="61" t="shared"/>
        <v>0</v>
      </c>
      <c r="AU46" s="77">
        <f si="24" t="shared"/>
        <v>99000</v>
      </c>
      <c r="AW46" s="95">
        <v>13</v>
      </c>
      <c r="AX46" s="15">
        <f ref="AX46:BR46" si="62" t="shared">AX19</f>
        <v>1680</v>
      </c>
      <c r="AY46" s="15">
        <f si="62" t="shared"/>
        <v>2040</v>
      </c>
      <c r="AZ46" s="15">
        <f si="62" t="shared"/>
        <v>620</v>
      </c>
      <c r="BA46" s="15">
        <f si="62" t="shared"/>
        <v>520</v>
      </c>
      <c r="BB46" s="15">
        <f si="62" t="shared"/>
        <v>440</v>
      </c>
      <c r="BC46" s="15">
        <f si="62" t="shared"/>
        <v>2900</v>
      </c>
      <c r="BD46" s="15">
        <f si="62" t="shared"/>
        <v>18680</v>
      </c>
      <c r="BE46" s="15">
        <f si="62" t="shared"/>
        <v>40</v>
      </c>
      <c r="BF46" s="15">
        <f si="62" t="shared"/>
        <v>2600</v>
      </c>
      <c r="BG46" s="15">
        <f si="62" t="shared"/>
        <v>440</v>
      </c>
      <c r="BH46" s="15">
        <f si="62" t="shared"/>
        <v>480</v>
      </c>
      <c r="BI46" s="15">
        <f si="62" t="shared"/>
        <v>9420</v>
      </c>
      <c r="BJ46" s="15">
        <f si="62" t="shared"/>
        <v>52900</v>
      </c>
      <c r="BK46" s="15">
        <f si="62" t="shared"/>
        <v>40</v>
      </c>
      <c r="BL46" s="15">
        <f si="62" t="shared"/>
        <v>3780</v>
      </c>
      <c r="BM46" s="15">
        <f si="62" t="shared"/>
        <v>120</v>
      </c>
      <c r="BN46" s="15">
        <f si="62" t="shared"/>
        <v>20</v>
      </c>
      <c r="BO46" s="15">
        <f si="62" t="shared"/>
        <v>1980</v>
      </c>
      <c r="BP46" s="15">
        <f si="62" t="shared"/>
        <v>120</v>
      </c>
      <c r="BQ46" s="15">
        <f si="62" t="shared"/>
        <v>180</v>
      </c>
      <c r="BR46" s="15">
        <f si="62" t="shared"/>
        <v>0</v>
      </c>
      <c r="BS46" s="15">
        <f si="26" t="shared"/>
        <v>99000</v>
      </c>
    </row>
    <row customFormat="1" r="47" s="95" spans="1:90" x14ac:dyDescent="0.25">
      <c r="A47" s="95">
        <v>14</v>
      </c>
      <c r="B47" s="77">
        <f ref="B47:W47" si="63" t="shared">IF($W20&gt;0,(B20/$W20)*$BS20,0)</f>
        <v>3386.3635363471349</v>
      </c>
      <c r="C47" s="77">
        <f si="63" t="shared"/>
        <v>990.99725013728983</v>
      </c>
      <c r="D47" s="77">
        <f si="63" t="shared"/>
        <v>79.846306589055303</v>
      </c>
      <c r="E47" s="77">
        <f si="63" t="shared"/>
        <v>98.197445946912566</v>
      </c>
      <c r="F47" s="77">
        <f si="63" t="shared"/>
        <v>381.73889365097261</v>
      </c>
      <c r="G47" s="77">
        <f si="63" t="shared"/>
        <v>1562.1025726243001</v>
      </c>
      <c r="H47" s="77">
        <f si="63" t="shared"/>
        <v>566.98356924389088</v>
      </c>
      <c r="I47" s="77">
        <f si="63" t="shared"/>
        <v>53.658414633806537</v>
      </c>
      <c r="J47" s="77">
        <f si="63" t="shared"/>
        <v>659.86893516752389</v>
      </c>
      <c r="K47" s="77">
        <f si="63" t="shared"/>
        <v>295.87249103589278</v>
      </c>
      <c r="L47" s="77">
        <f si="63" t="shared"/>
        <v>1730.4868000547106</v>
      </c>
      <c r="M47" s="77">
        <f si="63" t="shared"/>
        <v>1074.3621357648165</v>
      </c>
      <c r="N47" s="77">
        <f si="63" t="shared"/>
        <v>0</v>
      </c>
      <c r="O47" s="77">
        <f si="63" t="shared"/>
        <v>9309.9244684940804</v>
      </c>
      <c r="P47" s="77">
        <f si="63" t="shared"/>
        <v>0</v>
      </c>
      <c r="Q47" s="77">
        <f si="63" t="shared"/>
        <v>0</v>
      </c>
      <c r="R47" s="77">
        <f si="63" t="shared"/>
        <v>832.34977034848896</v>
      </c>
      <c r="S47" s="77">
        <f si="63" t="shared"/>
        <v>0</v>
      </c>
      <c r="T47" s="77">
        <f si="63" t="shared"/>
        <v>37.247409961121697</v>
      </c>
      <c r="U47" s="77">
        <f si="63" t="shared"/>
        <v>0</v>
      </c>
      <c r="V47" s="77">
        <f si="63" t="shared"/>
        <v>0</v>
      </c>
      <c r="W47" s="77">
        <f si="63" t="shared"/>
        <v>21060</v>
      </c>
      <c r="Y47" s="95">
        <v>14</v>
      </c>
      <c r="Z47" s="77">
        <f ref="Z47:AT47" si="64" t="shared">IF($AU20&gt;0,(Z20/$AU20)*$BS20,0)</f>
        <v>1309.2553481400735</v>
      </c>
      <c r="AA47" s="77">
        <f si="64" t="shared"/>
        <v>1827.2182858700096</v>
      </c>
      <c r="AB47" s="77">
        <f si="64" t="shared"/>
        <v>593.2899577599128</v>
      </c>
      <c r="AC47" s="77">
        <f si="64" t="shared"/>
        <v>661.44297588227278</v>
      </c>
      <c r="AD47" s="77">
        <f si="64" t="shared"/>
        <v>623.42076577190358</v>
      </c>
      <c r="AE47" s="77">
        <f si="64" t="shared"/>
        <v>2482.2046600354274</v>
      </c>
      <c r="AF47" s="77">
        <f si="64" t="shared"/>
        <v>815.68401689603479</v>
      </c>
      <c r="AG47" s="77">
        <f si="64" t="shared"/>
        <v>457.70132170595451</v>
      </c>
      <c r="AH47" s="77">
        <f si="64" t="shared"/>
        <v>902.48943997819867</v>
      </c>
      <c r="AI47" s="77">
        <f si="64" t="shared"/>
        <v>460.57092246900129</v>
      </c>
      <c r="AJ47" s="77">
        <f si="64" t="shared"/>
        <v>2082.612753781169</v>
      </c>
      <c r="AK47" s="77">
        <f si="64" t="shared"/>
        <v>1564.6498160512333</v>
      </c>
      <c r="AL47" s="77">
        <f si="64" t="shared"/>
        <v>354.39569423627199</v>
      </c>
      <c r="AM47" s="77">
        <f si="64" t="shared"/>
        <v>4482.3163918790024</v>
      </c>
      <c r="AN47" s="77">
        <f si="64" t="shared"/>
        <v>246.78566562201934</v>
      </c>
      <c r="AO47" s="77">
        <f si="64" t="shared"/>
        <v>99.001226325112412</v>
      </c>
      <c r="AP47" s="77">
        <f si="64" t="shared"/>
        <v>1127.7530998773675</v>
      </c>
      <c r="AQ47" s="77">
        <f si="64" t="shared"/>
        <v>132.71903529091156</v>
      </c>
      <c r="AR47" s="77">
        <f si="64" t="shared"/>
        <v>691.57378389426356</v>
      </c>
      <c r="AS47" s="77">
        <f si="64" t="shared"/>
        <v>144.91483853386021</v>
      </c>
      <c r="AT47" s="77">
        <f si="64" t="shared"/>
        <v>0</v>
      </c>
      <c r="AU47" s="77">
        <f si="24" t="shared"/>
        <v>21060.000000000004</v>
      </c>
      <c r="AW47" s="95">
        <v>14</v>
      </c>
      <c r="AX47" s="15">
        <f ref="AX47:BR47" si="65" t="shared">AX20</f>
        <v>1220</v>
      </c>
      <c r="AY47" s="15">
        <f si="65" t="shared"/>
        <v>520</v>
      </c>
      <c r="AZ47" s="15">
        <f si="65" t="shared"/>
        <v>800</v>
      </c>
      <c r="BA47" s="15">
        <f si="65" t="shared"/>
        <v>600</v>
      </c>
      <c r="BB47" s="15">
        <f si="65" t="shared"/>
        <v>520</v>
      </c>
      <c r="BC47" s="15">
        <f si="65" t="shared"/>
        <v>1500</v>
      </c>
      <c r="BD47" s="15">
        <f si="65" t="shared"/>
        <v>340</v>
      </c>
      <c r="BE47" s="15">
        <f si="65" t="shared"/>
        <v>440</v>
      </c>
      <c r="BF47" s="15">
        <f si="65" t="shared"/>
        <v>580</v>
      </c>
      <c r="BG47" s="15">
        <f si="65" t="shared"/>
        <v>360</v>
      </c>
      <c r="BH47" s="15">
        <f si="65" t="shared"/>
        <v>2540</v>
      </c>
      <c r="BI47" s="15">
        <f si="65" t="shared"/>
        <v>760</v>
      </c>
      <c r="BJ47" s="15">
        <f si="65" t="shared"/>
        <v>60</v>
      </c>
      <c r="BK47" s="15">
        <f si="65" t="shared"/>
        <v>8380</v>
      </c>
      <c r="BL47" s="15">
        <f si="65" t="shared"/>
        <v>80</v>
      </c>
      <c r="BM47" s="15">
        <f si="65" t="shared"/>
        <v>20</v>
      </c>
      <c r="BN47" s="15">
        <f si="65" t="shared"/>
        <v>1580</v>
      </c>
      <c r="BO47" s="15">
        <f si="65" t="shared"/>
        <v>40</v>
      </c>
      <c r="BP47" s="15">
        <f si="65" t="shared"/>
        <v>720</v>
      </c>
      <c r="BQ47" s="15">
        <f si="65" t="shared"/>
        <v>0</v>
      </c>
      <c r="BR47" s="15">
        <f si="65" t="shared"/>
        <v>0</v>
      </c>
      <c r="BS47" s="15">
        <f si="26" t="shared"/>
        <v>21060</v>
      </c>
    </row>
    <row customFormat="1" r="48" s="95" spans="1:90" x14ac:dyDescent="0.25">
      <c r="A48" s="95">
        <v>15</v>
      </c>
      <c r="B48" s="77">
        <f ref="B48:W48" si="66" t="shared">IF($W21&gt;0,(B21/$W21)*$BS21,0)</f>
        <v>2481.7901738858664</v>
      </c>
      <c r="C48" s="77">
        <f si="66" t="shared"/>
        <v>3289.1443800734564</v>
      </c>
      <c r="D48" s="77">
        <f si="66" t="shared"/>
        <v>1207.7165496279654</v>
      </c>
      <c r="E48" s="77">
        <f si="66" t="shared"/>
        <v>736.19710953924368</v>
      </c>
      <c r="F48" s="77">
        <f si="66" t="shared"/>
        <v>442.65699701552933</v>
      </c>
      <c r="G48" s="77">
        <f si="66" t="shared"/>
        <v>1770.3758789244741</v>
      </c>
      <c r="H48" s="77">
        <f si="66" t="shared"/>
        <v>3108.1253556614697</v>
      </c>
      <c r="I48" s="77">
        <f si="66" t="shared"/>
        <v>0</v>
      </c>
      <c r="J48" s="77">
        <f si="66" t="shared"/>
        <v>5974.7077933151622</v>
      </c>
      <c r="K48" s="77">
        <f si="66" t="shared"/>
        <v>525.47551951207345</v>
      </c>
      <c r="L48" s="77">
        <f si="66" t="shared"/>
        <v>903.32034970318853</v>
      </c>
      <c r="M48" s="77">
        <f si="66" t="shared"/>
        <v>1330.1240184567475</v>
      </c>
      <c r="N48" s="77">
        <f si="66" t="shared"/>
        <v>5184.3062054673546</v>
      </c>
      <c r="O48" s="77">
        <f si="66" t="shared"/>
        <v>0</v>
      </c>
      <c r="P48" s="77">
        <f si="66" t="shared"/>
        <v>16653.132813703087</v>
      </c>
      <c r="Q48" s="77">
        <f si="66" t="shared"/>
        <v>0</v>
      </c>
      <c r="R48" s="77">
        <f si="66" t="shared"/>
        <v>0</v>
      </c>
      <c r="S48" s="77">
        <f si="66" t="shared"/>
        <v>0</v>
      </c>
      <c r="T48" s="77">
        <f si="66" t="shared"/>
        <v>112.92685511438302</v>
      </c>
      <c r="U48" s="77">
        <f si="66" t="shared"/>
        <v>0</v>
      </c>
      <c r="V48" s="77">
        <f si="66" t="shared"/>
        <v>0</v>
      </c>
      <c r="W48" s="77">
        <f si="66" t="shared"/>
        <v>43720</v>
      </c>
      <c r="Y48" s="95">
        <v>15</v>
      </c>
      <c r="Z48" s="77">
        <f ref="Z48:AT48" si="67" t="shared">IF($AU21&gt;0,(Z21/$AU21)*$BS21,0)</f>
        <v>2166.054177081428</v>
      </c>
      <c r="AA48" s="77">
        <f si="67" t="shared"/>
        <v>3032.2981568412283</v>
      </c>
      <c r="AB48" s="77">
        <f si="67" t="shared"/>
        <v>641.46477270418018</v>
      </c>
      <c r="AC48" s="77">
        <f si="67" t="shared"/>
        <v>693.88363917169613</v>
      </c>
      <c r="AD48" s="77">
        <f si="67" t="shared"/>
        <v>885.7899977646365</v>
      </c>
      <c r="AE48" s="77">
        <f si="67" t="shared"/>
        <v>4284.131764514621</v>
      </c>
      <c r="AF48" s="77">
        <f si="67" t="shared"/>
        <v>4125.0982543843602</v>
      </c>
      <c r="AG48" s="77">
        <f si="67" t="shared"/>
        <v>229.22148387490091</v>
      </c>
      <c r="AH48" s="77">
        <f si="67" t="shared"/>
        <v>4790.5513219126588</v>
      </c>
      <c r="AI48" s="77">
        <f si="67" t="shared"/>
        <v>586.38054014509544</v>
      </c>
      <c r="AJ48" s="77">
        <f si="67" t="shared"/>
        <v>1632.980958767705</v>
      </c>
      <c r="AK48" s="77">
        <f si="67" t="shared"/>
        <v>3697.7512243695255</v>
      </c>
      <c r="AL48" s="77">
        <f si="67" t="shared"/>
        <v>4152.640370663903</v>
      </c>
      <c r="AM48" s="77">
        <f si="67" t="shared"/>
        <v>145.70667967241764</v>
      </c>
      <c r="AN48" s="77">
        <f si="67" t="shared"/>
        <v>10625.037696356358</v>
      </c>
      <c r="AO48" s="77">
        <f si="67" t="shared"/>
        <v>111.05692048202565</v>
      </c>
      <c r="AP48" s="77">
        <f si="67" t="shared"/>
        <v>215.89465341705787</v>
      </c>
      <c r="AQ48" s="77">
        <f si="67" t="shared"/>
        <v>403.35873519071714</v>
      </c>
      <c r="AR48" s="77">
        <f si="67" t="shared"/>
        <v>1110.5692048202566</v>
      </c>
      <c r="AS48" s="77">
        <f si="67" t="shared"/>
        <v>190.12944786522792</v>
      </c>
      <c r="AT48" s="77">
        <f si="67" t="shared"/>
        <v>0</v>
      </c>
      <c r="AU48" s="77">
        <f si="24" t="shared"/>
        <v>43720.000000000007</v>
      </c>
      <c r="AW48" s="95">
        <v>15</v>
      </c>
      <c r="AX48" s="15">
        <f ref="AX48:BR48" si="68" t="shared">AX21</f>
        <v>1180</v>
      </c>
      <c r="AY48" s="15">
        <f si="68" t="shared"/>
        <v>1500</v>
      </c>
      <c r="AZ48" s="15">
        <f si="68" t="shared"/>
        <v>720</v>
      </c>
      <c r="BA48" s="15">
        <f si="68" t="shared"/>
        <v>360</v>
      </c>
      <c r="BB48" s="15">
        <f si="68" t="shared"/>
        <v>480</v>
      </c>
      <c r="BC48" s="15">
        <f si="68" t="shared"/>
        <v>1960</v>
      </c>
      <c r="BD48" s="15">
        <f si="68" t="shared"/>
        <v>2600</v>
      </c>
      <c r="BE48" s="15">
        <f si="68" t="shared"/>
        <v>20</v>
      </c>
      <c r="BF48" s="15">
        <f si="68" t="shared"/>
        <v>4680</v>
      </c>
      <c r="BG48" s="15">
        <f si="68" t="shared"/>
        <v>260</v>
      </c>
      <c r="BH48" s="15">
        <f si="68" t="shared"/>
        <v>1320</v>
      </c>
      <c r="BI48" s="15">
        <f si="68" t="shared"/>
        <v>1900</v>
      </c>
      <c r="BJ48" s="15">
        <f si="68" t="shared"/>
        <v>6600</v>
      </c>
      <c r="BK48" s="15">
        <f si="68" t="shared"/>
        <v>100</v>
      </c>
      <c r="BL48" s="15">
        <f si="68" t="shared"/>
        <v>18580</v>
      </c>
      <c r="BM48" s="15">
        <f si="68" t="shared"/>
        <v>0</v>
      </c>
      <c r="BN48" s="15">
        <f si="68" t="shared"/>
        <v>160</v>
      </c>
      <c r="BO48" s="15">
        <f si="68" t="shared"/>
        <v>60</v>
      </c>
      <c r="BP48" s="15">
        <f si="68" t="shared"/>
        <v>1220</v>
      </c>
      <c r="BQ48" s="15">
        <f si="68" t="shared"/>
        <v>20</v>
      </c>
      <c r="BR48" s="15">
        <f si="68" t="shared"/>
        <v>0</v>
      </c>
      <c r="BS48" s="15">
        <f si="26" t="shared"/>
        <v>43720</v>
      </c>
    </row>
    <row customFormat="1" r="49" s="95" spans="1:71" x14ac:dyDescent="0.25">
      <c r="A49" s="95">
        <v>16</v>
      </c>
      <c r="B49" s="77">
        <f ref="B49:W49" si="69" t="shared">IF($W22&gt;0,(B22/$W22)*$BS22,0)</f>
        <v>483.33969561663719</v>
      </c>
      <c r="C49" s="77">
        <f si="69" t="shared"/>
        <v>438.85348906384331</v>
      </c>
      <c r="D49" s="77">
        <f si="69" t="shared"/>
        <v>891.23679191176325</v>
      </c>
      <c r="E49" s="77">
        <f si="69" t="shared"/>
        <v>528.62505357614384</v>
      </c>
      <c r="F49" s="77">
        <f si="69" t="shared"/>
        <v>964.17858749946186</v>
      </c>
      <c r="G49" s="77">
        <f si="69" t="shared"/>
        <v>5041.4273940846369</v>
      </c>
      <c r="H49" s="77">
        <f si="69" t="shared"/>
        <v>634.95855438851663</v>
      </c>
      <c r="I49" s="77">
        <f si="69" t="shared"/>
        <v>802.60962294408876</v>
      </c>
      <c r="J49" s="77">
        <f si="69" t="shared"/>
        <v>826.68613488430265</v>
      </c>
      <c r="K49" s="77">
        <f si="69" t="shared"/>
        <v>939.77256083293935</v>
      </c>
      <c r="L49" s="77">
        <f si="69" t="shared"/>
        <v>0</v>
      </c>
      <c r="M49" s="77">
        <f si="69" t="shared"/>
        <v>4756.8538088422374</v>
      </c>
      <c r="N49" s="77">
        <f si="69" t="shared"/>
        <v>0</v>
      </c>
      <c r="O49" s="77">
        <f si="69" t="shared"/>
        <v>0</v>
      </c>
      <c r="P49" s="77">
        <f si="69" t="shared"/>
        <v>0</v>
      </c>
      <c r="Q49" s="77">
        <f si="69" t="shared"/>
        <v>191.45830635542754</v>
      </c>
      <c r="R49" s="77">
        <f si="69" t="shared"/>
        <v>0</v>
      </c>
      <c r="S49" s="77">
        <f si="69" t="shared"/>
        <v>0</v>
      </c>
      <c r="T49" s="77">
        <f si="69" t="shared"/>
        <v>0</v>
      </c>
      <c r="U49" s="77">
        <f si="69" t="shared"/>
        <v>0</v>
      </c>
      <c r="V49" s="77">
        <f si="69" t="shared"/>
        <v>0</v>
      </c>
      <c r="W49" s="77">
        <f si="69" t="shared"/>
        <v>16500</v>
      </c>
      <c r="Y49" s="95">
        <v>16</v>
      </c>
      <c r="Z49" s="77">
        <f ref="Z49:AT49" si="70" t="shared">IF($AU22&gt;0,(Z22/$AU22)*$BS22,0)</f>
        <v>1338.0855397148675</v>
      </c>
      <c r="AA49" s="77">
        <f si="70" t="shared"/>
        <v>1306.7718940936863</v>
      </c>
      <c r="AB49" s="77">
        <f si="70" t="shared"/>
        <v>274.18533604887983</v>
      </c>
      <c r="AC49" s="77">
        <f si="70" t="shared"/>
        <v>468.17718940936868</v>
      </c>
      <c r="AD49" s="77">
        <f si="70" t="shared"/>
        <v>698.82892057026481</v>
      </c>
      <c r="AE49" s="77">
        <f si="70" t="shared"/>
        <v>4004.3279022403258</v>
      </c>
      <c r="AF49" s="77">
        <f si="70" t="shared"/>
        <v>545.31568228105903</v>
      </c>
      <c r="AG49" s="77">
        <f si="70" t="shared"/>
        <v>90.122199592668011</v>
      </c>
      <c r="AH49" s="77">
        <f si="70" t="shared"/>
        <v>467.41344195519349</v>
      </c>
      <c r="AI49" s="77">
        <f si="70" t="shared"/>
        <v>1134.9287169042771</v>
      </c>
      <c r="AJ49" s="77">
        <f si="70" t="shared"/>
        <v>332.23014256619143</v>
      </c>
      <c r="AK49" s="77">
        <f si="70" t="shared"/>
        <v>3881.3645621181263</v>
      </c>
      <c r="AL49" s="77">
        <f si="70" t="shared"/>
        <v>300.91649694501018</v>
      </c>
      <c r="AM49" s="77">
        <f si="70" t="shared"/>
        <v>47.352342158859464</v>
      </c>
      <c r="AN49" s="77">
        <f si="70" t="shared"/>
        <v>101.57841140529531</v>
      </c>
      <c r="AO49" s="77">
        <f si="70" t="shared"/>
        <v>841.6496945010183</v>
      </c>
      <c r="AP49" s="77">
        <f si="70" t="shared"/>
        <v>24.439918533604889</v>
      </c>
      <c r="AQ49" s="77">
        <f si="70" t="shared"/>
        <v>407.84114052953157</v>
      </c>
      <c r="AR49" s="77">
        <f si="70" t="shared"/>
        <v>75.610997963340125</v>
      </c>
      <c r="AS49" s="77">
        <f si="70" t="shared"/>
        <v>158.85947046843177</v>
      </c>
      <c r="AT49" s="77">
        <f si="70" t="shared"/>
        <v>0</v>
      </c>
      <c r="AU49" s="77">
        <f si="24" t="shared"/>
        <v>16500</v>
      </c>
      <c r="AW49" s="95">
        <v>16</v>
      </c>
      <c r="AX49" s="15">
        <f ref="AX49:BR49" si="71" t="shared">AX22</f>
        <v>1200</v>
      </c>
      <c r="AY49" s="15">
        <f si="71" t="shared"/>
        <v>420</v>
      </c>
      <c r="AZ49" s="15">
        <f si="71" t="shared"/>
        <v>340</v>
      </c>
      <c r="BA49" s="15">
        <f si="71" t="shared"/>
        <v>540</v>
      </c>
      <c r="BB49" s="15">
        <f si="71" t="shared"/>
        <v>700</v>
      </c>
      <c r="BC49" s="15">
        <f si="71" t="shared"/>
        <v>2620</v>
      </c>
      <c r="BD49" s="15">
        <f si="71" t="shared"/>
        <v>440</v>
      </c>
      <c r="BE49" s="15">
        <f si="71" t="shared"/>
        <v>40</v>
      </c>
      <c r="BF49" s="15">
        <f si="71" t="shared"/>
        <v>400</v>
      </c>
      <c r="BG49" s="15">
        <f si="71" t="shared"/>
        <v>1180</v>
      </c>
      <c r="BH49" s="15">
        <f si="71" t="shared"/>
        <v>180</v>
      </c>
      <c r="BI49" s="15">
        <f si="71" t="shared"/>
        <v>5700</v>
      </c>
      <c r="BJ49" s="15">
        <f si="71" t="shared"/>
        <v>200</v>
      </c>
      <c r="BK49" s="15">
        <f si="71" t="shared"/>
        <v>20</v>
      </c>
      <c r="BL49" s="15">
        <f si="71" t="shared"/>
        <v>100</v>
      </c>
      <c r="BM49" s="15">
        <f si="71" t="shared"/>
        <v>1520</v>
      </c>
      <c r="BN49" s="15">
        <f si="71" t="shared"/>
        <v>20</v>
      </c>
      <c r="BO49" s="15">
        <f si="71" t="shared"/>
        <v>520</v>
      </c>
      <c r="BP49" s="15">
        <f si="71" t="shared"/>
        <v>60</v>
      </c>
      <c r="BQ49" s="15">
        <f si="71" t="shared"/>
        <v>300</v>
      </c>
      <c r="BR49" s="15">
        <f si="71" t="shared"/>
        <v>0</v>
      </c>
      <c r="BS49" s="15">
        <f si="26" t="shared"/>
        <v>16500</v>
      </c>
    </row>
    <row customFormat="1" r="50" s="95" spans="1:71" x14ac:dyDescent="0.25">
      <c r="A50" s="95">
        <v>17</v>
      </c>
      <c r="B50" s="77">
        <f ref="B50:W50" si="72" t="shared">IF($W23&gt;0,(B23/$W23)*$BS23,0)</f>
        <v>1681.2708364832672</v>
      </c>
      <c r="C50" s="77">
        <f si="72" t="shared"/>
        <v>1777.4917084872188</v>
      </c>
      <c r="D50" s="77">
        <f si="72" t="shared"/>
        <v>603.63281011465938</v>
      </c>
      <c r="E50" s="77">
        <f si="72" t="shared"/>
        <v>1306.4047244099777</v>
      </c>
      <c r="F50" s="77">
        <f si="72" t="shared"/>
        <v>540.85580906764858</v>
      </c>
      <c r="G50" s="77">
        <f si="72" t="shared"/>
        <v>759.73930004360875</v>
      </c>
      <c r="H50" s="77">
        <f si="72" t="shared"/>
        <v>1472.451287254662</v>
      </c>
      <c r="I50" s="77">
        <f si="72" t="shared"/>
        <v>0</v>
      </c>
      <c r="J50" s="77">
        <f si="72" t="shared"/>
        <v>449.95137474710617</v>
      </c>
      <c r="K50" s="77">
        <f si="72" t="shared"/>
        <v>0</v>
      </c>
      <c r="L50" s="77">
        <f si="72" t="shared"/>
        <v>6560.8940152007071</v>
      </c>
      <c r="M50" s="77">
        <f si="72" t="shared"/>
        <v>1820.8971619096724</v>
      </c>
      <c r="N50" s="77">
        <f si="72" t="shared"/>
        <v>0</v>
      </c>
      <c r="O50" s="77">
        <f si="72" t="shared"/>
        <v>977.26268111409217</v>
      </c>
      <c r="P50" s="77">
        <f si="72" t="shared"/>
        <v>107.03362594809137</v>
      </c>
      <c r="Q50" s="77">
        <f si="72" t="shared"/>
        <v>0</v>
      </c>
      <c r="R50" s="77">
        <f si="72" t="shared"/>
        <v>4914.7009376575088</v>
      </c>
      <c r="S50" s="77">
        <f si="72" t="shared"/>
        <v>0</v>
      </c>
      <c r="T50" s="77">
        <f si="72" t="shared"/>
        <v>1067.413727561782</v>
      </c>
      <c r="U50" s="77">
        <f si="72" t="shared"/>
        <v>0</v>
      </c>
      <c r="V50" s="77">
        <f si="72" t="shared"/>
        <v>0</v>
      </c>
      <c r="W50" s="77">
        <f si="72" t="shared"/>
        <v>24040</v>
      </c>
      <c r="Y50" s="95">
        <v>17</v>
      </c>
      <c r="Z50" s="77">
        <f ref="Z50:AT50" si="73" t="shared">IF($AU23&gt;0,(Z23/$AU23)*$BS23,0)</f>
        <v>1378.3645403575586</v>
      </c>
      <c r="AA50" s="77">
        <f si="73" t="shared"/>
        <v>1850.5349271836101</v>
      </c>
      <c r="AB50" s="77">
        <f si="73" t="shared"/>
        <v>605.25970591346663</v>
      </c>
      <c r="AC50" s="77">
        <f si="73" t="shared"/>
        <v>631.53848866321096</v>
      </c>
      <c r="AD50" s="77">
        <f si="73" t="shared"/>
        <v>617.1275432843189</v>
      </c>
      <c r="AE50" s="77">
        <f si="73" t="shared"/>
        <v>2817.7636729080714</v>
      </c>
      <c r="AF50" s="77">
        <f si="73" t="shared"/>
        <v>906.1941535315068</v>
      </c>
      <c r="AG50" s="77">
        <f si="73" t="shared"/>
        <v>340.77647307732997</v>
      </c>
      <c r="AH50" s="77">
        <f si="73" t="shared"/>
        <v>1009.6138791917909</v>
      </c>
      <c r="AI50" s="77">
        <f si="73" t="shared"/>
        <v>405.201875947671</v>
      </c>
      <c r="AJ50" s="77">
        <f si="73" t="shared"/>
        <v>3567.132832610459</v>
      </c>
      <c r="AK50" s="77">
        <f si="73" t="shared"/>
        <v>1597.9195317183257</v>
      </c>
      <c r="AL50" s="77">
        <f si="73" t="shared"/>
        <v>379.77079586727319</v>
      </c>
      <c r="AM50" s="77">
        <f si="73" t="shared"/>
        <v>1406.3387284459959</v>
      </c>
      <c r="AN50" s="77">
        <f si="73" t="shared"/>
        <v>363.66444514968794</v>
      </c>
      <c r="AO50" s="77">
        <f si="73" t="shared"/>
        <v>94.942698966818298</v>
      </c>
      <c r="AP50" s="77">
        <f si="73" t="shared"/>
        <v>3075.4652843894355</v>
      </c>
      <c r="AQ50" s="77">
        <f si="73" t="shared"/>
        <v>146.65256179696038</v>
      </c>
      <c r="AR50" s="77">
        <f si="73" t="shared"/>
        <v>2756.7290807151171</v>
      </c>
      <c r="AS50" s="77">
        <f si="73" t="shared"/>
        <v>89.008780281392148</v>
      </c>
      <c r="AT50" s="77">
        <f si="73" t="shared"/>
        <v>0</v>
      </c>
      <c r="AU50" s="77">
        <f si="24" t="shared"/>
        <v>24040</v>
      </c>
      <c r="AW50" s="95">
        <v>17</v>
      </c>
      <c r="AX50" s="15">
        <f ref="AX50:BR50" si="74" t="shared">AX23</f>
        <v>860</v>
      </c>
      <c r="AY50" s="15">
        <f si="74" t="shared"/>
        <v>620</v>
      </c>
      <c r="AZ50" s="15">
        <f si="74" t="shared"/>
        <v>840</v>
      </c>
      <c r="BA50" s="15">
        <f si="74" t="shared"/>
        <v>460</v>
      </c>
      <c r="BB50" s="15">
        <f si="74" t="shared"/>
        <v>340</v>
      </c>
      <c r="BC50" s="15">
        <f si="74" t="shared"/>
        <v>1740</v>
      </c>
      <c r="BD50" s="15">
        <f si="74" t="shared"/>
        <v>200</v>
      </c>
      <c r="BE50" s="15">
        <f si="74" t="shared"/>
        <v>360</v>
      </c>
      <c r="BF50" s="15">
        <f si="74" t="shared"/>
        <v>700</v>
      </c>
      <c r="BG50" s="15">
        <f si="74" t="shared"/>
        <v>160</v>
      </c>
      <c r="BH50" s="15">
        <f si="74" t="shared"/>
        <v>3960</v>
      </c>
      <c r="BI50" s="15">
        <f si="74" t="shared"/>
        <v>820</v>
      </c>
      <c r="BJ50" s="15">
        <f si="74" t="shared"/>
        <v>80</v>
      </c>
      <c r="BK50" s="15">
        <f si="74" t="shared"/>
        <v>2700</v>
      </c>
      <c r="BL50" s="15">
        <f si="74" t="shared"/>
        <v>360</v>
      </c>
      <c r="BM50" s="15">
        <f si="74" t="shared"/>
        <v>0</v>
      </c>
      <c r="BN50" s="15">
        <f si="74" t="shared"/>
        <v>5720</v>
      </c>
      <c r="BO50" s="15">
        <f si="74" t="shared"/>
        <v>0</v>
      </c>
      <c r="BP50" s="15">
        <f si="74" t="shared"/>
        <v>4120</v>
      </c>
      <c r="BQ50" s="15">
        <f si="74" t="shared"/>
        <v>0</v>
      </c>
      <c r="BR50" s="15">
        <f si="74" t="shared"/>
        <v>0</v>
      </c>
      <c r="BS50" s="15">
        <f si="26" t="shared"/>
        <v>24040</v>
      </c>
    </row>
    <row customFormat="1" r="51" s="95" spans="1:71" x14ac:dyDescent="0.25">
      <c r="A51" s="95">
        <v>18</v>
      </c>
      <c r="B51" s="77">
        <f ref="B51:W51" si="75" t="shared">IF($W24&gt;0,(B24/$W24)*$BS24,0)</f>
        <v>3925.7971474319079</v>
      </c>
      <c r="C51" s="77">
        <f si="75" t="shared"/>
        <v>1377.8741932929995</v>
      </c>
      <c r="D51" s="77">
        <f si="75" t="shared"/>
        <v>367.80717802156101</v>
      </c>
      <c r="E51" s="77">
        <f si="75" t="shared"/>
        <v>1465.4404826241841</v>
      </c>
      <c r="F51" s="77">
        <f si="75" t="shared"/>
        <v>821.32235025558134</v>
      </c>
      <c r="G51" s="77">
        <f si="75" t="shared"/>
        <v>3150.9649378348568</v>
      </c>
      <c r="H51" s="77">
        <f si="75" t="shared"/>
        <v>3982.7408846334829</v>
      </c>
      <c r="I51" s="77">
        <f si="75" t="shared"/>
        <v>0</v>
      </c>
      <c r="J51" s="77">
        <f si="75" t="shared"/>
        <v>0</v>
      </c>
      <c r="K51" s="77">
        <f si="75" t="shared"/>
        <v>219.79576396618845</v>
      </c>
      <c r="L51" s="77">
        <f si="75" t="shared"/>
        <v>0</v>
      </c>
      <c r="M51" s="77">
        <f si="75" t="shared"/>
        <v>22448.768709729891</v>
      </c>
      <c r="N51" s="77">
        <f si="75" t="shared"/>
        <v>10348.160975652765</v>
      </c>
      <c r="O51" s="77">
        <f si="75" t="shared"/>
        <v>0</v>
      </c>
      <c r="P51" s="77">
        <f si="75" t="shared"/>
        <v>0</v>
      </c>
      <c r="Q51" s="77">
        <f si="75" t="shared"/>
        <v>57.613307173589149</v>
      </c>
      <c r="R51" s="77">
        <f si="75" t="shared"/>
        <v>0</v>
      </c>
      <c r="S51" s="77">
        <f si="75" t="shared"/>
        <v>4540.0878149651653</v>
      </c>
      <c r="T51" s="77">
        <f si="75" t="shared"/>
        <v>0</v>
      </c>
      <c r="U51" s="77">
        <f si="75" t="shared"/>
        <v>513.62625441782859</v>
      </c>
      <c r="V51" s="77">
        <f si="75" t="shared"/>
        <v>0</v>
      </c>
      <c r="W51" s="77">
        <f si="75" t="shared"/>
        <v>53220</v>
      </c>
      <c r="Y51" s="95">
        <v>18</v>
      </c>
      <c r="Z51" s="77">
        <f ref="Z51:AT51" si="76" t="shared">IF($AU24&gt;0,(Z24/$AU24)*$BS24,0)</f>
        <v>2437.186794844054</v>
      </c>
      <c r="AA51" s="77">
        <f si="76" t="shared"/>
        <v>2278.4365243732805</v>
      </c>
      <c r="AB51" s="77">
        <f si="76" t="shared"/>
        <v>511.62004265710482</v>
      </c>
      <c r="AC51" s="77">
        <f si="76" t="shared"/>
        <v>676.12809495842475</v>
      </c>
      <c r="AD51" s="77">
        <f si="76" t="shared"/>
        <v>888.34348242712747</v>
      </c>
      <c r="AE51" s="77">
        <f si="76" t="shared"/>
        <v>5693.6236901486818</v>
      </c>
      <c r="AF51" s="77">
        <f si="76" t="shared"/>
        <v>4086.3800191647865</v>
      </c>
      <c r="AG51" s="77">
        <f si="76" t="shared"/>
        <v>148.0572470711879</v>
      </c>
      <c r="AH51" s="77">
        <f si="76" t="shared"/>
        <v>1774.2193440697351</v>
      </c>
      <c r="AI51" s="77">
        <f si="76" t="shared"/>
        <v>858.73203301288993</v>
      </c>
      <c r="AJ51" s="77">
        <f si="76" t="shared"/>
        <v>784.70340947729585</v>
      </c>
      <c r="AK51" s="77">
        <f si="76" t="shared"/>
        <v>17296.376618960774</v>
      </c>
      <c r="AL51" s="77">
        <f si="76" t="shared"/>
        <v>5306.2072269790733</v>
      </c>
      <c r="AM51" s="77">
        <f si="76" t="shared"/>
        <v>111.04293530339093</v>
      </c>
      <c r="AN51" s="77">
        <f si="76" t="shared"/>
        <v>635.82362214460136</v>
      </c>
      <c r="AO51" s="77">
        <f si="76" t="shared"/>
        <v>342.17674878674535</v>
      </c>
      <c r="AP51" s="77">
        <f si="76" t="shared"/>
        <v>88.011807981206147</v>
      </c>
      <c r="AQ51" s="77">
        <f si="76" t="shared"/>
        <v>5750.3789681926373</v>
      </c>
      <c r="AR51" s="77">
        <f si="76" t="shared"/>
        <v>242.64937714444685</v>
      </c>
      <c r="AS51" s="77">
        <f si="76" t="shared"/>
        <v>3309.9020123025562</v>
      </c>
      <c r="AT51" s="77">
        <f si="76" t="shared"/>
        <v>0</v>
      </c>
      <c r="AU51" s="77">
        <f si="24" t="shared"/>
        <v>53220</v>
      </c>
      <c r="AW51" s="95">
        <v>18</v>
      </c>
      <c r="AX51" s="15">
        <f ref="AX51:BR51" si="77" t="shared">AX24</f>
        <v>1140</v>
      </c>
      <c r="AY51" s="15">
        <f si="77" t="shared"/>
        <v>1040</v>
      </c>
      <c r="AZ51" s="15">
        <f si="77" t="shared"/>
        <v>520</v>
      </c>
      <c r="BA51" s="15">
        <f si="77" t="shared"/>
        <v>400</v>
      </c>
      <c r="BB51" s="15">
        <f si="77" t="shared"/>
        <v>700</v>
      </c>
      <c r="BC51" s="15">
        <f si="77" t="shared"/>
        <v>2740</v>
      </c>
      <c r="BD51" s="15">
        <f si="77" t="shared"/>
        <v>2840</v>
      </c>
      <c r="BE51" s="15">
        <f si="77" t="shared"/>
        <v>60</v>
      </c>
      <c r="BF51" s="15">
        <f si="77" t="shared"/>
        <v>440</v>
      </c>
      <c r="BG51" s="15">
        <f si="77" t="shared"/>
        <v>660</v>
      </c>
      <c r="BH51" s="15">
        <f si="77" t="shared"/>
        <v>280</v>
      </c>
      <c r="BI51" s="15">
        <f si="77" t="shared"/>
        <v>17440</v>
      </c>
      <c r="BJ51" s="15">
        <f si="77" t="shared"/>
        <v>8400</v>
      </c>
      <c r="BK51" s="15">
        <f si="77" t="shared"/>
        <v>0</v>
      </c>
      <c r="BL51" s="15">
        <f si="77" t="shared"/>
        <v>160</v>
      </c>
      <c r="BM51" s="15">
        <f si="77" t="shared"/>
        <v>240</v>
      </c>
      <c r="BN51" s="15">
        <f si="77" t="shared"/>
        <v>20</v>
      </c>
      <c r="BO51" s="15">
        <f si="77" t="shared"/>
        <v>11100</v>
      </c>
      <c r="BP51" s="15">
        <f si="77" t="shared"/>
        <v>60</v>
      </c>
      <c r="BQ51" s="15">
        <f si="77" t="shared"/>
        <v>4980</v>
      </c>
      <c r="BR51" s="15">
        <f si="77" t="shared"/>
        <v>0</v>
      </c>
      <c r="BS51" s="15">
        <f si="26" t="shared"/>
        <v>53220</v>
      </c>
    </row>
    <row customFormat="1" r="52" s="95" spans="1:71" x14ac:dyDescent="0.25">
      <c r="A52" s="95">
        <v>19</v>
      </c>
      <c r="B52" s="77">
        <f ref="B52:W52" si="78" t="shared">IF($W25&gt;0,(B25/$W25)*$BS25,0)</f>
        <v>3148.4214853193062</v>
      </c>
      <c r="C52" s="77">
        <f si="78" t="shared"/>
        <v>1014.789616339131</v>
      </c>
      <c r="D52" s="77">
        <f si="78" t="shared"/>
        <v>1017.6321099266822</v>
      </c>
      <c r="E52" s="77">
        <f si="78" t="shared"/>
        <v>1374.8628634701292</v>
      </c>
      <c r="F52" s="77">
        <f si="78" t="shared"/>
        <v>1165.0866986027359</v>
      </c>
      <c r="G52" s="77">
        <f si="78" t="shared"/>
        <v>2843.8380605372836</v>
      </c>
      <c r="H52" s="77">
        <f si="78" t="shared"/>
        <v>2505.2218766275628</v>
      </c>
      <c r="I52" s="77">
        <f si="78" t="shared"/>
        <v>0</v>
      </c>
      <c r="J52" s="77">
        <f si="78" t="shared"/>
        <v>2871.8140868306414</v>
      </c>
      <c r="K52" s="77">
        <f si="78" t="shared"/>
        <v>351.62669989794335</v>
      </c>
      <c r="L52" s="77">
        <f si="78" t="shared"/>
        <v>10103.147679684864</v>
      </c>
      <c r="M52" s="77">
        <f si="78" t="shared"/>
        <v>0</v>
      </c>
      <c r="N52" s="77">
        <f si="78" t="shared"/>
        <v>0</v>
      </c>
      <c r="O52" s="77">
        <f si="78" t="shared"/>
        <v>1319.1187834539537</v>
      </c>
      <c r="P52" s="77">
        <f si="78" t="shared"/>
        <v>1165.4217480009534</v>
      </c>
      <c r="Q52" s="77">
        <f si="78" t="shared"/>
        <v>0</v>
      </c>
      <c r="R52" s="77">
        <f si="78" t="shared"/>
        <v>3127.3711560000852</v>
      </c>
      <c r="S52" s="77">
        <f si="78" t="shared"/>
        <v>0</v>
      </c>
      <c r="T52" s="77">
        <f si="78" t="shared"/>
        <v>14891.647135308725</v>
      </c>
      <c r="U52" s="77">
        <f si="78" t="shared"/>
        <v>0</v>
      </c>
      <c r="V52" s="77">
        <f si="78" t="shared"/>
        <v>0</v>
      </c>
      <c r="W52" s="77">
        <f si="78" t="shared"/>
        <v>46900</v>
      </c>
      <c r="Y52" s="95">
        <v>19</v>
      </c>
      <c r="Z52" s="77">
        <f ref="Z52:AT52" si="79" t="shared">IF($AU25&gt;0,(Z25/$AU25)*$BS25,0)</f>
        <v>2457.9821779187432</v>
      </c>
      <c r="AA52" s="77">
        <f si="79" t="shared"/>
        <v>2744.864824044706</v>
      </c>
      <c r="AB52" s="77">
        <f si="79" t="shared"/>
        <v>922.6287569853497</v>
      </c>
      <c r="AC52" s="77">
        <f si="79" t="shared"/>
        <v>1032.4233499471379</v>
      </c>
      <c r="AD52" s="77">
        <f si="79" t="shared"/>
        <v>990.807657453557</v>
      </c>
      <c r="AE52" s="77">
        <f si="79" t="shared"/>
        <v>4580.3824950913759</v>
      </c>
      <c r="AF52" s="77">
        <f si="79" t="shared"/>
        <v>1768.2242108442833</v>
      </c>
      <c r="AG52" s="77">
        <f si="79" t="shared"/>
        <v>365.68682978402052</v>
      </c>
      <c r="AH52" s="77">
        <f si="79" t="shared"/>
        <v>2304.8010119317323</v>
      </c>
      <c r="AI52" s="77">
        <f si="79" t="shared"/>
        <v>647.2568343150582</v>
      </c>
      <c r="AJ52" s="77">
        <f si="79" t="shared"/>
        <v>6348.6067059356601</v>
      </c>
      <c r="AK52" s="77">
        <f si="79" t="shared"/>
        <v>3184.9286361576806</v>
      </c>
      <c r="AL52" s="77">
        <f si="79" t="shared"/>
        <v>811.06328349191972</v>
      </c>
      <c r="AM52" s="77">
        <f si="79" t="shared"/>
        <v>726.94645823893666</v>
      </c>
      <c r="AN52" s="77">
        <f si="79" t="shared"/>
        <v>1670.8257816039873</v>
      </c>
      <c r="AO52" s="77">
        <f si="79" t="shared"/>
        <v>138.12868146805619</v>
      </c>
      <c r="AP52" s="77">
        <f si="79" t="shared"/>
        <v>3041.4873130946985</v>
      </c>
      <c r="AQ52" s="77">
        <f si="79" t="shared"/>
        <v>252.35047575894882</v>
      </c>
      <c r="AR52" s="77">
        <f si="79" t="shared"/>
        <v>12737.943664099079</v>
      </c>
      <c r="AS52" s="77">
        <f si="79" t="shared"/>
        <v>172.66085183507025</v>
      </c>
      <c r="AT52" s="77">
        <f si="79" t="shared"/>
        <v>0</v>
      </c>
      <c r="AU52" s="77">
        <f si="24" t="shared"/>
        <v>46900</v>
      </c>
      <c r="AW52" s="95">
        <v>19</v>
      </c>
      <c r="AX52" s="15">
        <f ref="AX52:BR52" si="80" t="shared">AX25</f>
        <v>1120</v>
      </c>
      <c r="AY52" s="15">
        <f si="80" t="shared"/>
        <v>860</v>
      </c>
      <c r="AZ52" s="15">
        <f si="80" t="shared"/>
        <v>1040</v>
      </c>
      <c r="BA52" s="15">
        <f si="80" t="shared"/>
        <v>700</v>
      </c>
      <c r="BB52" s="15">
        <f si="80" t="shared"/>
        <v>500</v>
      </c>
      <c r="BC52" s="15">
        <f si="80" t="shared"/>
        <v>1980</v>
      </c>
      <c r="BD52" s="15">
        <f si="80" t="shared"/>
        <v>720</v>
      </c>
      <c r="BE52" s="15">
        <f si="80" t="shared"/>
        <v>260</v>
      </c>
      <c r="BF52" s="15">
        <f si="80" t="shared"/>
        <v>1360</v>
      </c>
      <c r="BG52" s="15">
        <f si="80" t="shared"/>
        <v>300</v>
      </c>
      <c r="BH52" s="15">
        <f si="80" t="shared"/>
        <v>9280</v>
      </c>
      <c r="BI52" s="15">
        <f si="80" t="shared"/>
        <v>1120</v>
      </c>
      <c r="BJ52" s="15">
        <f si="80" t="shared"/>
        <v>280</v>
      </c>
      <c r="BK52" s="15">
        <f si="80" t="shared"/>
        <v>880</v>
      </c>
      <c r="BL52" s="15">
        <f si="80" t="shared"/>
        <v>1960</v>
      </c>
      <c r="BM52" s="15">
        <f si="80" t="shared"/>
        <v>40</v>
      </c>
      <c r="BN52" s="15">
        <f si="80" t="shared"/>
        <v>4400</v>
      </c>
      <c r="BO52" s="15">
        <f si="80" t="shared"/>
        <v>40</v>
      </c>
      <c r="BP52" s="15">
        <f si="80" t="shared"/>
        <v>20060</v>
      </c>
      <c r="BQ52" s="15">
        <f si="80" t="shared"/>
        <v>0</v>
      </c>
      <c r="BR52" s="15">
        <f si="80" t="shared"/>
        <v>0</v>
      </c>
      <c r="BS52" s="15">
        <f si="26" t="shared"/>
        <v>46900</v>
      </c>
    </row>
    <row customFormat="1" r="53" s="95" spans="1:71" x14ac:dyDescent="0.25">
      <c r="A53" s="95">
        <v>20</v>
      </c>
      <c r="B53" s="58">
        <f ref="B53:W53" si="81" t="shared">IF($W26&gt;0,(B26/$W26)*$BS26,0)</f>
        <v>712.84340621545039</v>
      </c>
      <c r="C53" s="58">
        <f si="81" t="shared"/>
        <v>382.01827106938993</v>
      </c>
      <c r="D53" s="58">
        <f si="81" t="shared"/>
        <v>382.01827106938993</v>
      </c>
      <c r="E53" s="58">
        <f si="81" t="shared"/>
        <v>511.74986953527417</v>
      </c>
      <c r="F53" s="58">
        <f si="81" t="shared"/>
        <v>72.658262072661174</v>
      </c>
      <c r="G53" s="58">
        <f si="81" t="shared"/>
        <v>749.92869233475665</v>
      </c>
      <c r="H53" s="58">
        <f si="81" t="shared"/>
        <v>1751.81345632794</v>
      </c>
      <c r="I53" s="58">
        <f si="81" t="shared"/>
        <v>0</v>
      </c>
      <c r="J53" s="58">
        <f si="81" t="shared"/>
        <v>0</v>
      </c>
      <c r="K53" s="58">
        <f si="81" t="shared"/>
        <v>151.30388303503699</v>
      </c>
      <c r="L53" s="58">
        <f si="81" t="shared"/>
        <v>110.85148973312099</v>
      </c>
      <c r="M53" s="58">
        <f si="81" t="shared"/>
        <v>6102.4336894063799</v>
      </c>
      <c r="N53" s="58">
        <f si="81" t="shared"/>
        <v>39.050829714187692</v>
      </c>
      <c r="O53" s="58">
        <f si="81" t="shared"/>
        <v>0</v>
      </c>
      <c r="P53" s="58">
        <f si="81" t="shared"/>
        <v>0</v>
      </c>
      <c r="Q53" s="58">
        <f si="81" t="shared"/>
        <v>0</v>
      </c>
      <c r="R53" s="58">
        <f si="81" t="shared"/>
        <v>0</v>
      </c>
      <c r="S53" s="58">
        <f si="81" t="shared"/>
        <v>3541.126499981056</v>
      </c>
      <c r="T53" s="58">
        <f si="81" t="shared"/>
        <v>0</v>
      </c>
      <c r="U53" s="58">
        <f si="81" t="shared"/>
        <v>15352.203379505358</v>
      </c>
      <c r="V53" s="58">
        <f si="81" t="shared"/>
        <v>0</v>
      </c>
      <c r="W53" s="77">
        <f si="81" t="shared"/>
        <v>29860</v>
      </c>
      <c r="Y53" s="95">
        <v>20</v>
      </c>
      <c r="Z53" s="58">
        <f ref="Z53:AT53" si="82" t="shared">IF($AU26&gt;0,(Z26/$AU26)*$BS26,0)</f>
        <v>833.8136959793593</v>
      </c>
      <c r="AA53" s="58">
        <f si="82" t="shared"/>
        <v>888.3847559664589</v>
      </c>
      <c r="AB53" s="58">
        <f si="82" t="shared"/>
        <v>245.56976994194795</v>
      </c>
      <c r="AC53" s="58">
        <f si="82" t="shared"/>
        <v>322.61126639432382</v>
      </c>
      <c r="AD53" s="58">
        <f si="82" t="shared"/>
        <v>382.79993549774241</v>
      </c>
      <c r="AE53" s="58">
        <f si="82" t="shared"/>
        <v>1783.1896366372823</v>
      </c>
      <c r="AF53" s="58">
        <f si="82" t="shared"/>
        <v>1286.4324876370672</v>
      </c>
      <c r="AG53" s="58">
        <f si="82" t="shared"/>
        <v>113.9572135024726</v>
      </c>
      <c r="AH53" s="58">
        <f si="82" t="shared"/>
        <v>812.1457751021286</v>
      </c>
      <c r="AI53" s="58">
        <f si="82" t="shared"/>
        <v>381.99741990969682</v>
      </c>
      <c r="AJ53" s="58">
        <f si="82" t="shared"/>
        <v>316.99365727800478</v>
      </c>
      <c r="AK53" s="58">
        <f si="82" t="shared"/>
        <v>5739.5914857019998</v>
      </c>
      <c r="AL53" s="58">
        <f si="82" t="shared"/>
        <v>970.24134594710802</v>
      </c>
      <c r="AM53" s="58">
        <f si="82" t="shared"/>
        <v>104.32702644592561</v>
      </c>
      <c r="AN53" s="58">
        <f si="82" t="shared"/>
        <v>239.14964523758329</v>
      </c>
      <c r="AO53" s="58">
        <f si="82" t="shared"/>
        <v>164.51569554934423</v>
      </c>
      <c r="AP53" s="58">
        <f si="82" t="shared"/>
        <v>44.940872930552572</v>
      </c>
      <c r="AQ53" s="58">
        <f si="82" t="shared"/>
        <v>4266.9753816383572</v>
      </c>
      <c r="AR53" s="58">
        <f si="82" t="shared"/>
        <v>151.67544614061492</v>
      </c>
      <c r="AS53" s="58">
        <f si="82" t="shared"/>
        <v>10810.68748656203</v>
      </c>
      <c r="AT53" s="58">
        <f si="82" t="shared"/>
        <v>0</v>
      </c>
      <c r="AU53" s="77">
        <f si="24" t="shared"/>
        <v>29860.000000000004</v>
      </c>
      <c r="AW53" s="95">
        <v>20</v>
      </c>
      <c r="AX53" s="15">
        <f ref="AX53:BR53" si="83" t="shared">AX26</f>
        <v>120</v>
      </c>
      <c r="AY53" s="15">
        <f si="83" t="shared"/>
        <v>180</v>
      </c>
      <c r="AZ53" s="15">
        <f si="83" t="shared"/>
        <v>80</v>
      </c>
      <c r="BA53" s="15">
        <f si="83" t="shared"/>
        <v>60</v>
      </c>
      <c r="BB53" s="15">
        <f si="83" t="shared"/>
        <v>140</v>
      </c>
      <c r="BC53" s="15">
        <f si="83" t="shared"/>
        <v>500</v>
      </c>
      <c r="BD53" s="15">
        <f si="83" t="shared"/>
        <v>420</v>
      </c>
      <c r="BE53" s="15">
        <f si="83" t="shared"/>
        <v>0</v>
      </c>
      <c r="BF53" s="15">
        <f si="83" t="shared"/>
        <v>80</v>
      </c>
      <c r="BG53" s="15">
        <f si="83" t="shared"/>
        <v>80</v>
      </c>
      <c r="BH53" s="15">
        <f si="83" t="shared"/>
        <v>40</v>
      </c>
      <c r="BI53" s="15">
        <f si="83" t="shared"/>
        <v>3400</v>
      </c>
      <c r="BJ53" s="15">
        <f si="83" t="shared"/>
        <v>380</v>
      </c>
      <c r="BK53" s="15">
        <f si="83" t="shared"/>
        <v>0</v>
      </c>
      <c r="BL53" s="15">
        <f si="83" t="shared"/>
        <v>40</v>
      </c>
      <c r="BM53" s="15">
        <f si="83" t="shared"/>
        <v>140</v>
      </c>
      <c r="BN53" s="15">
        <f si="83" t="shared"/>
        <v>0</v>
      </c>
      <c r="BO53" s="15">
        <f si="83" t="shared"/>
        <v>3740</v>
      </c>
      <c r="BP53" s="15">
        <f si="83" t="shared"/>
        <v>0</v>
      </c>
      <c r="BQ53" s="15">
        <f si="83" t="shared"/>
        <v>20460</v>
      </c>
      <c r="BR53" s="15">
        <f si="83" t="shared"/>
        <v>0</v>
      </c>
      <c r="BS53" s="15">
        <f si="26" t="shared"/>
        <v>29860</v>
      </c>
    </row>
    <row customFormat="1" r="54" s="95" spans="1:71" x14ac:dyDescent="0.25">
      <c r="A54" s="101" t="s">
        <v>15</v>
      </c>
      <c r="B54" s="60">
        <f ref="B54:W54" si="84" t="shared">IF($W27&gt;0,(B27/$W27)*$BS27,0)</f>
        <v>0</v>
      </c>
      <c r="C54" s="60">
        <f si="84" t="shared"/>
        <v>0</v>
      </c>
      <c r="D54" s="60">
        <f si="84" t="shared"/>
        <v>0</v>
      </c>
      <c r="E54" s="60">
        <f si="84" t="shared"/>
        <v>0</v>
      </c>
      <c r="F54" s="60">
        <f si="84" t="shared"/>
        <v>0</v>
      </c>
      <c r="G54" s="60">
        <f si="84" t="shared"/>
        <v>0</v>
      </c>
      <c r="H54" s="60">
        <f si="84" t="shared"/>
        <v>0</v>
      </c>
      <c r="I54" s="60">
        <f si="84" t="shared"/>
        <v>0</v>
      </c>
      <c r="J54" s="60">
        <f si="84" t="shared"/>
        <v>0</v>
      </c>
      <c r="K54" s="60">
        <f si="84" t="shared"/>
        <v>0</v>
      </c>
      <c r="L54" s="60">
        <f si="84" t="shared"/>
        <v>0</v>
      </c>
      <c r="M54" s="60">
        <f si="84" t="shared"/>
        <v>0</v>
      </c>
      <c r="N54" s="60">
        <f si="84" t="shared"/>
        <v>0</v>
      </c>
      <c r="O54" s="60">
        <f si="84" t="shared"/>
        <v>0</v>
      </c>
      <c r="P54" s="60">
        <f si="84" t="shared"/>
        <v>0</v>
      </c>
      <c r="Q54" s="60">
        <f si="84" t="shared"/>
        <v>0</v>
      </c>
      <c r="R54" s="60">
        <f si="84" t="shared"/>
        <v>0</v>
      </c>
      <c r="S54" s="60">
        <f si="84" t="shared"/>
        <v>0</v>
      </c>
      <c r="T54" s="60">
        <f si="84" t="shared"/>
        <v>0</v>
      </c>
      <c r="U54" s="60">
        <f si="84" t="shared"/>
        <v>0</v>
      </c>
      <c r="V54" s="60">
        <f si="84" t="shared"/>
        <v>0</v>
      </c>
      <c r="W54" s="77">
        <f si="84" t="shared"/>
        <v>0</v>
      </c>
      <c r="Y54" s="101" t="s">
        <v>15</v>
      </c>
      <c r="Z54" s="60">
        <f ref="Z54:AT54" si="85" t="shared">IF($AU27&gt;0,(Z27/$AU27)*$BS27,0)</f>
        <v>0</v>
      </c>
      <c r="AA54" s="60">
        <f si="85" t="shared"/>
        <v>0</v>
      </c>
      <c r="AB54" s="60">
        <f si="85" t="shared"/>
        <v>0</v>
      </c>
      <c r="AC54" s="60">
        <f si="85" t="shared"/>
        <v>0</v>
      </c>
      <c r="AD54" s="60">
        <f si="85" t="shared"/>
        <v>0</v>
      </c>
      <c r="AE54" s="60">
        <f si="85" t="shared"/>
        <v>0</v>
      </c>
      <c r="AF54" s="60">
        <f si="85" t="shared"/>
        <v>0</v>
      </c>
      <c r="AG54" s="60">
        <f si="85" t="shared"/>
        <v>0</v>
      </c>
      <c r="AH54" s="60">
        <f si="85" t="shared"/>
        <v>0</v>
      </c>
      <c r="AI54" s="60">
        <f si="85" t="shared"/>
        <v>0</v>
      </c>
      <c r="AJ54" s="60">
        <f si="85" t="shared"/>
        <v>0</v>
      </c>
      <c r="AK54" s="60">
        <f si="85" t="shared"/>
        <v>0</v>
      </c>
      <c r="AL54" s="60">
        <f si="85" t="shared"/>
        <v>0</v>
      </c>
      <c r="AM54" s="60">
        <f si="85" t="shared"/>
        <v>0</v>
      </c>
      <c r="AN54" s="60">
        <f si="85" t="shared"/>
        <v>0</v>
      </c>
      <c r="AO54" s="60">
        <f si="85" t="shared"/>
        <v>0</v>
      </c>
      <c r="AP54" s="60">
        <f si="85" t="shared"/>
        <v>0</v>
      </c>
      <c r="AQ54" s="60">
        <f si="85" t="shared"/>
        <v>0</v>
      </c>
      <c r="AR54" s="60">
        <f si="85" t="shared"/>
        <v>0</v>
      </c>
      <c r="AS54" s="60">
        <f si="85" t="shared"/>
        <v>0</v>
      </c>
      <c r="AT54" s="60">
        <f si="85" t="shared"/>
        <v>0</v>
      </c>
      <c r="AU54" s="77">
        <f si="24" t="shared"/>
        <v>0</v>
      </c>
      <c r="AW54" s="101" t="s">
        <v>15</v>
      </c>
      <c r="AX54" s="15">
        <f ref="AX54:BR54" si="86" t="shared">AX27</f>
        <v>0</v>
      </c>
      <c r="AY54" s="15">
        <f si="86" t="shared"/>
        <v>0</v>
      </c>
      <c r="AZ54" s="15">
        <f si="86" t="shared"/>
        <v>0</v>
      </c>
      <c r="BA54" s="15">
        <f si="86" t="shared"/>
        <v>0</v>
      </c>
      <c r="BB54" s="15">
        <f si="86" t="shared"/>
        <v>0</v>
      </c>
      <c r="BC54" s="15">
        <f si="86" t="shared"/>
        <v>0</v>
      </c>
      <c r="BD54" s="15">
        <f si="86" t="shared"/>
        <v>0</v>
      </c>
      <c r="BE54" s="15">
        <f si="86" t="shared"/>
        <v>0</v>
      </c>
      <c r="BF54" s="15">
        <f si="86" t="shared"/>
        <v>0</v>
      </c>
      <c r="BG54" s="15">
        <f si="86" t="shared"/>
        <v>0</v>
      </c>
      <c r="BH54" s="15">
        <f si="86" t="shared"/>
        <v>0</v>
      </c>
      <c r="BI54" s="15">
        <f si="86" t="shared"/>
        <v>0</v>
      </c>
      <c r="BJ54" s="15">
        <f si="86" t="shared"/>
        <v>0</v>
      </c>
      <c r="BK54" s="15">
        <f si="86" t="shared"/>
        <v>0</v>
      </c>
      <c r="BL54" s="15">
        <f si="86" t="shared"/>
        <v>0</v>
      </c>
      <c r="BM54" s="15">
        <f si="86" t="shared"/>
        <v>0</v>
      </c>
      <c r="BN54" s="15">
        <f si="86" t="shared"/>
        <v>0</v>
      </c>
      <c r="BO54" s="15">
        <f si="86" t="shared"/>
        <v>0</v>
      </c>
      <c r="BP54" s="15">
        <f si="86" t="shared"/>
        <v>0</v>
      </c>
      <c r="BQ54" s="15">
        <f si="86" t="shared"/>
        <v>0</v>
      </c>
      <c r="BR54" s="15">
        <f si="86" t="shared"/>
        <v>0</v>
      </c>
      <c r="BS54" s="16">
        <f>SUM(AX54:BR54)</f>
        <v>0</v>
      </c>
    </row>
    <row customFormat="1" ht="15.75" r="55" s="95" spans="1:71" thickBot="1" x14ac:dyDescent="0.3">
      <c r="A55" s="1" t="s">
        <v>3</v>
      </c>
      <c r="B55" s="107">
        <f ref="B55:W55" si="87" t="shared">IF($W28&gt;0,(B28/$W28)*$BS28,0)</f>
        <v>88085.722011194797</v>
      </c>
      <c r="C55" s="107">
        <f si="87" t="shared"/>
        <v>35347.71123046818</v>
      </c>
      <c r="D55" s="107">
        <f si="87" t="shared"/>
        <v>21453.612154141982</v>
      </c>
      <c r="E55" s="107">
        <f si="87" t="shared"/>
        <v>26215.635011045928</v>
      </c>
      <c r="F55" s="107">
        <f si="87" t="shared"/>
        <v>24294.249715418468</v>
      </c>
      <c r="G55" s="107">
        <f si="87" t="shared"/>
        <v>122565.71241793911</v>
      </c>
      <c r="H55" s="107">
        <f si="87" t="shared"/>
        <v>78358.865839179183</v>
      </c>
      <c r="I55" s="107">
        <f si="87" t="shared"/>
        <v>3883.5653674625451</v>
      </c>
      <c r="J55" s="107">
        <f si="87" t="shared"/>
        <v>57875.896674219344</v>
      </c>
      <c r="K55" s="107">
        <f si="87" t="shared"/>
        <v>14786.881982515468</v>
      </c>
      <c r="L55" s="107">
        <f si="87" t="shared"/>
        <v>42219.586264894147</v>
      </c>
      <c r="M55" s="107">
        <f si="87" t="shared"/>
        <v>158245.21758486042</v>
      </c>
      <c r="N55" s="107">
        <f si="87" t="shared"/>
        <v>61904.435062126082</v>
      </c>
      <c r="O55" s="107">
        <f si="87" t="shared"/>
        <v>14029.878576032528</v>
      </c>
      <c r="P55" s="107">
        <f si="87" t="shared"/>
        <v>19542.831969648203</v>
      </c>
      <c r="Q55" s="107">
        <f si="87" t="shared"/>
        <v>2172.2675290245552</v>
      </c>
      <c r="R55" s="107">
        <f si="87" t="shared"/>
        <v>9634.1289072919772</v>
      </c>
      <c r="S55" s="107">
        <f si="87" t="shared"/>
        <v>13788.104276788261</v>
      </c>
      <c r="T55" s="107">
        <f si="87" t="shared"/>
        <v>17836.180173381894</v>
      </c>
      <c r="U55" s="107">
        <f si="87" t="shared"/>
        <v>18199.517252367084</v>
      </c>
      <c r="V55" s="107">
        <f si="87" t="shared"/>
        <v>0</v>
      </c>
      <c r="W55" s="107">
        <f si="87" t="shared"/>
        <v>830440</v>
      </c>
      <c r="Y55" s="1" t="s">
        <v>3</v>
      </c>
      <c r="Z55" s="107">
        <f>SUM(Z34:Z53)</f>
        <v>61174.01482077979</v>
      </c>
      <c r="AA55" s="107">
        <f ref="AA55:AS55" si="88" t="shared">SUM(AA34:AA53)</f>
        <v>64217.606341779516</v>
      </c>
      <c r="AB55" s="107">
        <f si="88" t="shared"/>
        <v>20808.902705694385</v>
      </c>
      <c r="AC55" s="107">
        <f si="88" t="shared"/>
        <v>19822.268308575189</v>
      </c>
      <c r="AD55" s="107">
        <f si="88" t="shared"/>
        <v>23415.816431802981</v>
      </c>
      <c r="AE55" s="107">
        <f si="88" t="shared"/>
        <v>132106.68717930635</v>
      </c>
      <c r="AF55" s="107">
        <f si="88" t="shared"/>
        <v>74717.37105578382</v>
      </c>
      <c r="AG55" s="107">
        <f si="88" t="shared"/>
        <v>6021.0529187647726</v>
      </c>
      <c r="AH55" s="107">
        <f si="88" t="shared"/>
        <v>49532.125904975524</v>
      </c>
      <c r="AI55" s="107">
        <f si="88" t="shared"/>
        <v>18395.653387144645</v>
      </c>
      <c r="AJ55" s="107">
        <f si="88" t="shared"/>
        <v>43204.818688939769</v>
      </c>
      <c r="AK55" s="107">
        <f si="88" t="shared"/>
        <v>142158.79224035979</v>
      </c>
      <c r="AL55" s="107">
        <f si="88" t="shared"/>
        <v>59900.080192953021</v>
      </c>
      <c r="AM55" s="107">
        <f si="88" t="shared"/>
        <v>9269.9427502366107</v>
      </c>
      <c r="AN55" s="107">
        <f si="88" t="shared"/>
        <v>27335.016297045593</v>
      </c>
      <c r="AO55" s="107">
        <f si="88" t="shared"/>
        <v>4592.3025114762449</v>
      </c>
      <c r="AP55" s="107">
        <f si="88" t="shared"/>
        <v>9979.3540055568101</v>
      </c>
      <c r="AQ55" s="107">
        <f si="88" t="shared"/>
        <v>20272.916255149597</v>
      </c>
      <c r="AR55" s="107">
        <f si="88" t="shared"/>
        <v>25273.504982024671</v>
      </c>
      <c r="AS55" s="107">
        <f si="88" t="shared"/>
        <v>18241.773021650915</v>
      </c>
      <c r="AT55" s="107">
        <f>IF($AU28&gt;0,(AT28/$AU28)*$BS28,0)</f>
        <v>0</v>
      </c>
      <c r="AU55" s="107">
        <f si="24" t="shared"/>
        <v>830440</v>
      </c>
      <c r="AW55" s="1" t="s">
        <v>3</v>
      </c>
      <c r="AX55" s="96">
        <f>SUM(AX34:AX54)</f>
        <v>45640</v>
      </c>
      <c r="AY55" s="96">
        <f ref="AY55:BS55" si="89" t="shared">SUM(AY34:AY54)</f>
        <v>38180</v>
      </c>
      <c r="AZ55" s="96">
        <f si="89" t="shared"/>
        <v>24100</v>
      </c>
      <c r="BA55" s="96">
        <f si="89" t="shared"/>
        <v>17520</v>
      </c>
      <c r="BB55" s="96">
        <f si="89" t="shared"/>
        <v>21740</v>
      </c>
      <c r="BC55" s="96">
        <f si="89" t="shared"/>
        <v>96120</v>
      </c>
      <c r="BD55" s="96">
        <f si="89" t="shared"/>
        <v>78260</v>
      </c>
      <c r="BE55" s="96">
        <f si="89" t="shared"/>
        <v>4600</v>
      </c>
      <c r="BF55" s="96">
        <f si="89" t="shared"/>
        <v>46940</v>
      </c>
      <c r="BG55" s="96">
        <f si="89" t="shared"/>
        <v>17920</v>
      </c>
      <c r="BH55" s="96">
        <f si="89" t="shared"/>
        <v>50980</v>
      </c>
      <c r="BI55" s="96">
        <f si="89" t="shared"/>
        <v>148580</v>
      </c>
      <c r="BJ55" s="96">
        <f si="89" t="shared"/>
        <v>91740</v>
      </c>
      <c r="BK55" s="96">
        <f si="89" t="shared"/>
        <v>13760</v>
      </c>
      <c r="BL55" s="96">
        <f si="89" t="shared"/>
        <v>34800</v>
      </c>
      <c r="BM55" s="96">
        <f si="89" t="shared"/>
        <v>4560</v>
      </c>
      <c r="BN55" s="96">
        <f si="89" t="shared"/>
        <v>13940</v>
      </c>
      <c r="BO55" s="96">
        <f si="89" t="shared"/>
        <v>21140</v>
      </c>
      <c r="BP55" s="96">
        <f si="89" t="shared"/>
        <v>33420</v>
      </c>
      <c r="BQ55" s="96">
        <f si="89" t="shared"/>
        <v>26500</v>
      </c>
      <c r="BR55" s="96">
        <f si="89" t="shared"/>
        <v>0</v>
      </c>
      <c r="BS55" s="96">
        <f si="89" t="shared"/>
        <v>830440</v>
      </c>
    </row>
    <row customFormat="1" r="56" s="95" spans="1:71" x14ac:dyDescent="0.25"/>
    <row customFormat="1" r="57" s="95" spans="1:71" x14ac:dyDescent="0.25"/>
    <row ht="15.75" r="59" spans="1:71" thickBot="1" x14ac:dyDescent="0.3">
      <c r="A59" s="4" t="s">
        <v>320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">
        <v>427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7"/>
      <c r="AN59" s="7"/>
      <c r="AO59" s="7"/>
      <c r="AP59" s="7"/>
      <c r="AQ59" s="7"/>
      <c r="AR59" s="7"/>
      <c r="AS59" s="7"/>
      <c r="AT59" s="7"/>
      <c r="AU59" s="7"/>
      <c r="AW59" s="4" t="s">
        <v>321</v>
      </c>
      <c r="AX59" s="1"/>
      <c r="AY59" s="1"/>
      <c r="AZ59" s="1"/>
      <c r="BA59" s="1"/>
      <c r="BB59" s="1"/>
      <c r="BC59" s="1"/>
      <c r="BD59" s="1"/>
      <c r="BE59" s="1"/>
      <c r="BF59" s="1"/>
    </row>
    <row r="60" spans="1:71" x14ac:dyDescent="0.25">
      <c r="A60" s="2" t="s">
        <v>14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15</v>
      </c>
      <c r="W60" s="3" t="s">
        <v>3</v>
      </c>
      <c r="X60" s="79"/>
      <c r="Y60" s="2" t="s">
        <v>14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15</v>
      </c>
      <c r="AU60" s="3" t="s">
        <v>3</v>
      </c>
      <c r="AW60" s="2" t="s">
        <v>14</v>
      </c>
      <c r="AX60" s="2">
        <v>1</v>
      </c>
      <c r="AY60" s="2">
        <v>2</v>
      </c>
      <c r="AZ60" s="2">
        <v>3</v>
      </c>
      <c r="BA60" s="2">
        <v>4</v>
      </c>
      <c r="BB60" s="2">
        <v>5</v>
      </c>
      <c r="BC60" s="2">
        <v>6</v>
      </c>
      <c r="BD60" s="2">
        <v>7</v>
      </c>
      <c r="BE60" s="2">
        <v>8</v>
      </c>
      <c r="BF60" s="2">
        <v>9</v>
      </c>
      <c r="BG60" s="2">
        <v>10</v>
      </c>
      <c r="BH60" s="2">
        <v>11</v>
      </c>
      <c r="BI60" s="2">
        <v>12</v>
      </c>
      <c r="BJ60" s="2">
        <v>13</v>
      </c>
      <c r="BK60" s="2">
        <v>14</v>
      </c>
      <c r="BL60" s="2">
        <v>15</v>
      </c>
      <c r="BM60" s="2">
        <v>16</v>
      </c>
      <c r="BN60" s="2">
        <v>17</v>
      </c>
      <c r="BO60" s="2">
        <v>18</v>
      </c>
      <c r="BP60" s="2">
        <v>19</v>
      </c>
      <c r="BQ60" s="2">
        <v>20</v>
      </c>
      <c r="BR60" s="3" t="s">
        <v>15</v>
      </c>
      <c r="BS60" s="3" t="s">
        <v>3</v>
      </c>
    </row>
    <row r="61" spans="1:71" x14ac:dyDescent="0.25">
      <c r="A61" s="31">
        <v>1</v>
      </c>
      <c r="B61" s="103">
        <f>IF($W$55&gt;0,B34/$W$55,0)</f>
        <v>3.3091940436609023E-3</v>
      </c>
      <c r="C61" s="103">
        <f ref="C61:W61" si="90" t="shared">IF($W$55&gt;0,C34/$W$55,0)</f>
        <v>4.5012906517001637E-4</v>
      </c>
      <c r="D61" s="103">
        <f si="90" t="shared"/>
        <v>4.520230343636878E-4</v>
      </c>
      <c r="E61" s="103">
        <f si="90" t="shared"/>
        <v>0</v>
      </c>
      <c r="F61" s="103">
        <f si="90" t="shared"/>
        <v>4.3018594554190549E-4</v>
      </c>
      <c r="G61" s="103">
        <f si="90" t="shared"/>
        <v>5.3342004829220677E-3</v>
      </c>
      <c r="H61" s="103">
        <f si="90" t="shared"/>
        <v>0</v>
      </c>
      <c r="I61" s="103">
        <f si="90" t="shared"/>
        <v>0</v>
      </c>
      <c r="J61" s="103">
        <f si="90" t="shared"/>
        <v>1.7065924652130708E-3</v>
      </c>
      <c r="K61" s="103">
        <f si="90" t="shared"/>
        <v>2.3558203779713889E-4</v>
      </c>
      <c r="L61" s="103">
        <f si="90" t="shared"/>
        <v>1.1189481119583734E-3</v>
      </c>
      <c r="M61" s="103">
        <f si="90" t="shared"/>
        <v>1.0124158485024027E-3</v>
      </c>
      <c r="N61" s="103">
        <f si="90" t="shared"/>
        <v>6.372930204109141E-5</v>
      </c>
      <c r="O61" s="103">
        <f si="90" t="shared"/>
        <v>0</v>
      </c>
      <c r="P61" s="103">
        <f si="90" t="shared"/>
        <v>0</v>
      </c>
      <c r="Q61" s="103">
        <f si="90" t="shared"/>
        <v>0</v>
      </c>
      <c r="R61" s="103">
        <f si="90" t="shared"/>
        <v>0</v>
      </c>
      <c r="S61" s="103">
        <f si="90" t="shared"/>
        <v>0</v>
      </c>
      <c r="T61" s="103">
        <f si="90" t="shared"/>
        <v>0</v>
      </c>
      <c r="U61" s="103">
        <f si="90" t="shared"/>
        <v>0</v>
      </c>
      <c r="V61" s="103">
        <f si="90" t="shared"/>
        <v>0</v>
      </c>
      <c r="W61" s="103">
        <f si="90" t="shared"/>
        <v>1.4113000337170657E-2</v>
      </c>
      <c r="X61" s="78"/>
      <c r="Y61" s="31">
        <v>1</v>
      </c>
      <c r="Z61" s="103">
        <f>IF($W$55&gt;0,Z34/$W$55,0)</f>
        <v>3.1060014507857301E-3</v>
      </c>
      <c r="AA61" s="103">
        <f ref="AA61:AU61" si="91" t="shared">IF($W$55&gt;0,AA34/$W$55,0)</f>
        <v>1.0928073908159331E-3</v>
      </c>
      <c r="AB61" s="103">
        <f si="91" t="shared"/>
        <v>5.6097446061884569E-4</v>
      </c>
      <c r="AC61" s="103">
        <f si="91" t="shared"/>
        <v>5.0026293890684931E-4</v>
      </c>
      <c r="AD61" s="103">
        <f si="91" t="shared"/>
        <v>5.5126061714492623E-4</v>
      </c>
      <c r="AE61" s="103">
        <f si="91" t="shared"/>
        <v>3.3282056202516368E-3</v>
      </c>
      <c r="AF61" s="103">
        <f si="91" t="shared"/>
        <v>6.7025519970043905E-4</v>
      </c>
      <c r="AG61" s="103">
        <f si="91" t="shared"/>
        <v>8.9853052133754502E-5</v>
      </c>
      <c r="AH61" s="103">
        <f si="91" t="shared"/>
        <v>7.3703787358363497E-4</v>
      </c>
      <c r="AI61" s="103">
        <f si="91" t="shared"/>
        <v>3.3148490854749971E-4</v>
      </c>
      <c r="AJ61" s="103">
        <f si="91" t="shared"/>
        <v>4.2862334328669377E-4</v>
      </c>
      <c r="AK61" s="103">
        <f si="91" t="shared"/>
        <v>2.1030471121035515E-3</v>
      </c>
      <c r="AL61" s="103">
        <f si="91" t="shared"/>
        <v>1.5299303471423065E-4</v>
      </c>
      <c r="AM61" s="103">
        <f si="91" t="shared"/>
        <v>4.1283834764157474E-5</v>
      </c>
      <c r="AN61" s="103">
        <f si="91" t="shared"/>
        <v>1.3599380863487168E-4</v>
      </c>
      <c r="AO61" s="103">
        <f si="91" t="shared"/>
        <v>5.8283060843516427E-5</v>
      </c>
      <c r="AP61" s="103">
        <f si="91" t="shared"/>
        <v>2.6713069553278366E-5</v>
      </c>
      <c r="AQ61" s="103">
        <f si="91" t="shared"/>
        <v>8.6210360831034719E-5</v>
      </c>
      <c r="AR61" s="103">
        <f si="91" t="shared"/>
        <v>8.0139208659835097E-5</v>
      </c>
      <c r="AS61" s="103">
        <f si="91" t="shared"/>
        <v>3.1569991290238068E-5</v>
      </c>
      <c r="AT61" s="103">
        <f si="91" t="shared"/>
        <v>0</v>
      </c>
      <c r="AU61" s="103">
        <f si="91" t="shared"/>
        <v>1.4113000337170657E-2</v>
      </c>
      <c r="AW61" s="31">
        <v>1</v>
      </c>
      <c r="AX61" s="103">
        <f>IF($BS$55&gt;0,AX34/$BS$55,0)</f>
        <v>2.9141178170608351E-3</v>
      </c>
      <c r="AY61" s="103">
        <f ref="AY61:BS61" si="92" t="shared">IF($BS$55&gt;0,AY34/$BS$55,0)</f>
        <v>6.9842493136168776E-4</v>
      </c>
      <c r="AZ61" s="103">
        <f si="92" t="shared"/>
        <v>6.0209045807042047E-4</v>
      </c>
      <c r="BA61" s="103">
        <f si="92" t="shared"/>
        <v>9.6334473291267281E-4</v>
      </c>
      <c r="BB61" s="103">
        <f si="92" t="shared"/>
        <v>7.7067578633013823E-4</v>
      </c>
      <c r="BC61" s="103">
        <f si="92" t="shared"/>
        <v>4.7203891912720964E-3</v>
      </c>
      <c r="BD61" s="103">
        <f si="92" t="shared"/>
        <v>2.64919801550985E-4</v>
      </c>
      <c r="BE61" s="103">
        <f si="92" t="shared"/>
        <v>7.2250854968450455E-5</v>
      </c>
      <c r="BF61" s="103">
        <f si="92" t="shared"/>
        <v>3.8533789316506911E-4</v>
      </c>
      <c r="BG61" s="103">
        <f si="92" t="shared"/>
        <v>2.64919801550985E-4</v>
      </c>
      <c r="BH61" s="103">
        <f si="92" t="shared"/>
        <v>5.5392322142478682E-4</v>
      </c>
      <c r="BI61" s="103">
        <f si="92" t="shared"/>
        <v>1.469100717691826E-3</v>
      </c>
      <c r="BJ61" s="103">
        <f si="92" t="shared"/>
        <v>9.6334473291267278E-5</v>
      </c>
      <c r="BK61" s="103">
        <f si="92" t="shared"/>
        <v>0</v>
      </c>
      <c r="BL61" s="103">
        <f si="92" t="shared"/>
        <v>7.2250854968450455E-5</v>
      </c>
      <c r="BM61" s="103">
        <f si="92" t="shared"/>
        <v>7.2250854968450455E-5</v>
      </c>
      <c r="BN61" s="103">
        <f si="92" t="shared"/>
        <v>2.408361832281682E-5</v>
      </c>
      <c r="BO61" s="103">
        <f si="92" t="shared"/>
        <v>7.2250854968450455E-5</v>
      </c>
      <c r="BP61" s="103">
        <f si="92" t="shared"/>
        <v>9.6334473291267278E-5</v>
      </c>
      <c r="BQ61" s="103">
        <f si="92" t="shared"/>
        <v>0</v>
      </c>
      <c r="BR61" s="103">
        <f si="92" t="shared"/>
        <v>0</v>
      </c>
      <c r="BS61" s="103">
        <f si="92" t="shared"/>
        <v>1.4113000337170657E-2</v>
      </c>
    </row>
    <row r="62" spans="1:71" x14ac:dyDescent="0.25">
      <c r="A62" s="95">
        <v>2</v>
      </c>
      <c r="B62" s="104">
        <f ref="B62:W62" si="93" t="shared">IF($W$55&gt;0,B35/$W$55,0)</f>
        <v>1.654436857881528E-3</v>
      </c>
      <c r="C62" s="104">
        <f si="93" t="shared"/>
        <v>1.3272191251367893E-3</v>
      </c>
      <c r="D62" s="104">
        <f si="93" t="shared"/>
        <v>5.8304787386461343E-4</v>
      </c>
      <c r="E62" s="104">
        <f si="93" t="shared"/>
        <v>4.2678896652899858E-3</v>
      </c>
      <c r="F62" s="104">
        <f si="93" t="shared"/>
        <v>9.7934142864311094E-5</v>
      </c>
      <c r="G62" s="104">
        <f si="93" t="shared"/>
        <v>3.6106682877464383E-3</v>
      </c>
      <c r="H62" s="104">
        <f si="93" t="shared"/>
        <v>1.5639688448550921E-3</v>
      </c>
      <c r="I62" s="104">
        <f si="93" t="shared"/>
        <v>0</v>
      </c>
      <c r="J62" s="104">
        <f si="93" t="shared"/>
        <v>1.6256942655118298E-3</v>
      </c>
      <c r="K62" s="104">
        <f si="93" t="shared"/>
        <v>1.8031273224835382E-4</v>
      </c>
      <c r="L62" s="104">
        <f si="93" t="shared"/>
        <v>2.6186833374646905E-4</v>
      </c>
      <c r="M62" s="104">
        <f si="93" t="shared"/>
        <v>1.8341972804137275E-3</v>
      </c>
      <c r="N62" s="104">
        <f si="93" t="shared"/>
        <v>0</v>
      </c>
      <c r="O62" s="104">
        <f si="93" t="shared"/>
        <v>0</v>
      </c>
      <c r="P62" s="104">
        <f si="93" t="shared"/>
        <v>0</v>
      </c>
      <c r="Q62" s="104">
        <f si="93" t="shared"/>
        <v>0</v>
      </c>
      <c r="R62" s="104">
        <f si="93" t="shared"/>
        <v>0</v>
      </c>
      <c r="S62" s="104">
        <f si="93" t="shared"/>
        <v>0</v>
      </c>
      <c r="T62" s="104">
        <f si="93" t="shared"/>
        <v>3.8113501951460467E-4</v>
      </c>
      <c r="U62" s="104">
        <f si="93" t="shared"/>
        <v>0</v>
      </c>
      <c r="V62" s="104">
        <f si="93" t="shared"/>
        <v>0</v>
      </c>
      <c r="W62" s="104">
        <f si="93" t="shared"/>
        <v>1.7388372429073744E-2</v>
      </c>
      <c r="X62" s="21"/>
      <c r="Y62" s="95">
        <v>2</v>
      </c>
      <c r="Z62" s="104">
        <f ref="Z62:AU62" si="94" t="shared">IF($W$55&gt;0,Z35/$W$55,0)</f>
        <v>1.788463772342711E-3</v>
      </c>
      <c r="AA62" s="104">
        <f si="94" t="shared"/>
        <v>2.5185463688433378E-3</v>
      </c>
      <c r="AB62" s="104">
        <f si="94" t="shared"/>
        <v>7.3676309084769089E-4</v>
      </c>
      <c r="AC62" s="104">
        <f si="94" t="shared"/>
        <v>4.5809104094156951E-4</v>
      </c>
      <c r="AD62" s="104">
        <f si="94" t="shared"/>
        <v>5.6688766316519233E-4</v>
      </c>
      <c r="AE62" s="104">
        <f si="94" t="shared"/>
        <v>3.3526538058911122E-3</v>
      </c>
      <c r="AF62" s="104">
        <f si="94" t="shared"/>
        <v>1.3914515368600173E-3</v>
      </c>
      <c r="AG62" s="104">
        <f si="94" t="shared"/>
        <v>1.2120325458245693E-4</v>
      </c>
      <c r="AH62" s="104">
        <f si="94" t="shared"/>
        <v>1.4219909395894556E-3</v>
      </c>
      <c r="AI62" s="104">
        <f si="94" t="shared"/>
        <v>4.342321325591961E-4</v>
      </c>
      <c r="AJ62" s="104">
        <f si="94" t="shared"/>
        <v>8.7323604679486692E-4</v>
      </c>
      <c r="AK62" s="104">
        <f si="94" t="shared"/>
        <v>2.6340234854140255E-3</v>
      </c>
      <c r="AL62" s="104">
        <f si="94" t="shared"/>
        <v>2.7008284288846708E-4</v>
      </c>
      <c r="AM62" s="104">
        <f si="94" t="shared"/>
        <v>6.3941874464760751E-5</v>
      </c>
      <c r="AN62" s="104">
        <f si="94" t="shared"/>
        <v>2.6435670487669742E-4</v>
      </c>
      <c r="AO62" s="104">
        <f si="94" t="shared"/>
        <v>7.9211575829479745E-5</v>
      </c>
      <c r="AP62" s="104">
        <f si="94" t="shared"/>
        <v>5.3443954776516444E-5</v>
      </c>
      <c r="AQ62" s="104">
        <f si="94" t="shared"/>
        <v>1.6796671501190884E-4</v>
      </c>
      <c r="AR62" s="104">
        <f si="94" t="shared"/>
        <v>1.3742731228247088E-4</v>
      </c>
      <c r="AS62" s="104">
        <f si="94" t="shared"/>
        <v>5.4398311111811385E-5</v>
      </c>
      <c r="AT62" s="104">
        <f si="94" t="shared"/>
        <v>0</v>
      </c>
      <c r="AU62" s="104">
        <f si="94" t="shared"/>
        <v>1.7388372429073744E-2</v>
      </c>
      <c r="AW62" s="95">
        <v>2</v>
      </c>
      <c r="AX62" s="104">
        <f ref="AX62:BS62" si="95" t="shared">IF($BS$55&gt;0,AX35/$BS$55,0)</f>
        <v>1.9266894658253456E-3</v>
      </c>
      <c r="AY62" s="104">
        <f si="95" t="shared"/>
        <v>2.7455324888011174E-3</v>
      </c>
      <c r="AZ62" s="104">
        <f si="95" t="shared"/>
        <v>6.0209045807042047E-4</v>
      </c>
      <c r="BA62" s="104">
        <f si="95" t="shared"/>
        <v>6.0209045807042047E-4</v>
      </c>
      <c r="BB62" s="104">
        <f si="95" t="shared"/>
        <v>5.2983960310197E-4</v>
      </c>
      <c r="BC62" s="104">
        <f si="95" t="shared"/>
        <v>3.612542748422523E-3</v>
      </c>
      <c r="BD62" s="104">
        <f si="95" t="shared"/>
        <v>1.5172679543374596E-3</v>
      </c>
      <c r="BE62" s="104">
        <f si="95" t="shared"/>
        <v>7.2250854968450455E-5</v>
      </c>
      <c r="BF62" s="104">
        <f si="95" t="shared"/>
        <v>1.4450170993690092E-3</v>
      </c>
      <c r="BG62" s="104">
        <f si="95" t="shared"/>
        <v>2.64919801550985E-4</v>
      </c>
      <c r="BH62" s="104">
        <f si="95" t="shared"/>
        <v>6.9842493136168776E-4</v>
      </c>
      <c r="BI62" s="104">
        <f si="95" t="shared"/>
        <v>2.4324454506044987E-3</v>
      </c>
      <c r="BJ62" s="104">
        <f si="95" t="shared"/>
        <v>3.3717065651943547E-4</v>
      </c>
      <c r="BK62" s="104">
        <f si="95" t="shared"/>
        <v>4.8167236645633639E-5</v>
      </c>
      <c r="BL62" s="104">
        <f si="95" t="shared"/>
        <v>3.1308703819661864E-4</v>
      </c>
      <c r="BM62" s="104">
        <f si="95" t="shared"/>
        <v>4.8167236645633639E-5</v>
      </c>
      <c r="BN62" s="104">
        <f si="95" t="shared"/>
        <v>2.408361832281682E-5</v>
      </c>
      <c r="BO62" s="104">
        <f si="95" t="shared"/>
        <v>7.2250854968450455E-5</v>
      </c>
      <c r="BP62" s="104">
        <f si="95" t="shared"/>
        <v>9.6334473291267278E-5</v>
      </c>
      <c r="BQ62" s="104">
        <f si="95" t="shared"/>
        <v>0</v>
      </c>
      <c r="BR62" s="104">
        <f si="95" t="shared"/>
        <v>0</v>
      </c>
      <c r="BS62" s="104">
        <f si="95" t="shared"/>
        <v>1.7388372429073744E-2</v>
      </c>
    </row>
    <row r="63" spans="1:71" x14ac:dyDescent="0.25">
      <c r="A63" s="95">
        <v>3</v>
      </c>
      <c r="B63" s="104">
        <f ref="B63:W63" si="96" t="shared">IF($W$55&gt;0,B36/$W$55,0)</f>
        <v>7.9637400407224501E-3</v>
      </c>
      <c r="C63" s="104">
        <f si="96" t="shared"/>
        <v>4.8312384630751215E-3</v>
      </c>
      <c r="D63" s="104">
        <f si="96" t="shared"/>
        <v>4.6180401173543306E-3</v>
      </c>
      <c r="E63" s="104">
        <f si="96" t="shared"/>
        <v>1.0409216900392263E-3</v>
      </c>
      <c r="F63" s="104">
        <f si="96" t="shared"/>
        <v>2.2351373523109702E-3</v>
      </c>
      <c r="G63" s="104">
        <f si="96" t="shared"/>
        <v>8.501729862339321E-3</v>
      </c>
      <c r="H63" s="104">
        <f si="96" t="shared"/>
        <v>1.1676954102479459E-3</v>
      </c>
      <c r="I63" s="104">
        <f si="96" t="shared"/>
        <v>1.0246801635170383E-3</v>
      </c>
      <c r="J63" s="104">
        <f si="96" t="shared"/>
        <v>2.2699307287711657E-3</v>
      </c>
      <c r="K63" s="104">
        <f si="96" t="shared"/>
        <v>1.1126667561271611E-3</v>
      </c>
      <c r="L63" s="104">
        <f si="96" t="shared"/>
        <v>2.0068212406424745E-3</v>
      </c>
      <c r="M63" s="104">
        <f si="96" t="shared"/>
        <v>6.3062644939608486E-3</v>
      </c>
      <c r="N63" s="104">
        <f si="96" t="shared"/>
        <v>9.5315989807608859E-5</v>
      </c>
      <c r="O63" s="104">
        <f si="96" t="shared"/>
        <v>0</v>
      </c>
      <c r="P63" s="104">
        <f si="96" t="shared"/>
        <v>0</v>
      </c>
      <c r="Q63" s="104">
        <f si="96" t="shared"/>
        <v>0</v>
      </c>
      <c r="R63" s="104">
        <f si="96" t="shared"/>
        <v>0</v>
      </c>
      <c r="S63" s="104">
        <f si="96" t="shared"/>
        <v>0</v>
      </c>
      <c r="T63" s="104">
        <f si="96" t="shared"/>
        <v>2.7266514544588267E-4</v>
      </c>
      <c r="U63" s="104">
        <f si="96" t="shared"/>
        <v>0</v>
      </c>
      <c r="V63" s="104">
        <f si="96" t="shared"/>
        <v>0</v>
      </c>
      <c r="W63" s="104">
        <f si="96" t="shared"/>
        <v>4.3446847454361545E-2</v>
      </c>
      <c r="X63" s="21"/>
      <c r="Y63" s="95">
        <v>3</v>
      </c>
      <c r="Z63" s="104">
        <f ref="Z63:AU63" si="97" t="shared">IF($W$55&gt;0,Z36/$W$55,0)</f>
        <v>6.1609897386691228E-3</v>
      </c>
      <c r="AA63" s="104">
        <f si="97" t="shared"/>
        <v>4.4347821550089848E-3</v>
      </c>
      <c r="AB63" s="104">
        <f si="97" t="shared"/>
        <v>3.547373541274075E-3</v>
      </c>
      <c r="AC63" s="104">
        <f si="97" t="shared"/>
        <v>1.6968157060077713E-3</v>
      </c>
      <c r="AD63" s="104">
        <f si="97" t="shared"/>
        <v>1.7770781411353873E-3</v>
      </c>
      <c r="AE63" s="104">
        <f si="97" t="shared"/>
        <v>9.6224485606516662E-3</v>
      </c>
      <c r="AF63" s="104">
        <f si="97" t="shared"/>
        <v>2.3004796547140671E-3</v>
      </c>
      <c r="AG63" s="104">
        <f si="97" t="shared"/>
        <v>4.318345101232303E-4</v>
      </c>
      <c r="AH63" s="104">
        <f si="97" t="shared"/>
        <v>2.2823923453895337E-3</v>
      </c>
      <c r="AI63" s="104">
        <f si="97" t="shared"/>
        <v>1.1858492175897083E-3</v>
      </c>
      <c r="AJ63" s="104">
        <f si="97" t="shared"/>
        <v>2.2733486907272672E-3</v>
      </c>
      <c r="AK63" s="104">
        <f si="97" t="shared"/>
        <v>5.436366908855011E-3</v>
      </c>
      <c r="AL63" s="104">
        <f si="97" t="shared"/>
        <v>4.9627054959187986E-4</v>
      </c>
      <c r="AM63" s="104">
        <f si="97" t="shared"/>
        <v>1.6052487025523219E-4</v>
      </c>
      <c r="AN63" s="104">
        <f si="97" t="shared"/>
        <v>4.6009593094281339E-4</v>
      </c>
      <c r="AO63" s="104">
        <f si="97" t="shared"/>
        <v>1.8991674790759863E-4</v>
      </c>
      <c r="AP63" s="104">
        <f si="97" t="shared"/>
        <v>1.695685249174988E-4</v>
      </c>
      <c r="AQ63" s="104">
        <f si="97" t="shared"/>
        <v>2.3626547805171498E-4</v>
      </c>
      <c r="AR63" s="104">
        <f si="97" t="shared"/>
        <v>4.7592232660178001E-4</v>
      </c>
      <c r="AS63" s="104">
        <f si="97" t="shared"/>
        <v>1.0852385594719924E-4</v>
      </c>
      <c r="AT63" s="104">
        <f si="97" t="shared"/>
        <v>0</v>
      </c>
      <c r="AU63" s="104">
        <f si="97" t="shared"/>
        <v>4.3446847454361545E-2</v>
      </c>
      <c r="AW63" s="95">
        <v>3</v>
      </c>
      <c r="AX63" s="104">
        <f ref="AX63:BS63" si="98" t="shared">IF($BS$55&gt;0,AX36/$BS$55,0)</f>
        <v>5.8764028707673039E-3</v>
      </c>
      <c r="AY63" s="104">
        <f si="98" t="shared"/>
        <v>3.1549540002890034E-3</v>
      </c>
      <c r="AZ63" s="104">
        <f si="98" t="shared"/>
        <v>4.9612253745002647E-3</v>
      </c>
      <c r="BA63" s="104">
        <f si="98" t="shared"/>
        <v>2.11935841240788E-3</v>
      </c>
      <c r="BB63" s="104">
        <f si="98" t="shared"/>
        <v>1.7821877558884447E-3</v>
      </c>
      <c r="BC63" s="104">
        <f si="98" t="shared"/>
        <v>8.8627715427965891E-3</v>
      </c>
      <c r="BD63" s="104">
        <f si="98" t="shared"/>
        <v>1.6858532825971774E-3</v>
      </c>
      <c r="BE63" s="104">
        <f si="98" t="shared"/>
        <v>6.2617407639323729E-4</v>
      </c>
      <c r="BF63" s="104">
        <f si="98" t="shared"/>
        <v>2.2879437406675977E-3</v>
      </c>
      <c r="BG63" s="104">
        <f si="98" t="shared"/>
        <v>1.3005153894321082E-3</v>
      </c>
      <c r="BH63" s="104">
        <f si="98" t="shared"/>
        <v>3.9256297866191413E-3</v>
      </c>
      <c r="BI63" s="104">
        <f si="98" t="shared"/>
        <v>4.8408072828861805E-3</v>
      </c>
      <c r="BJ63" s="104">
        <f si="98" t="shared"/>
        <v>4.3350512981070276E-4</v>
      </c>
      <c r="BK63" s="104">
        <f si="98" t="shared"/>
        <v>7.2250854968450455E-5</v>
      </c>
      <c r="BL63" s="104">
        <f si="98" t="shared"/>
        <v>3.6125427484225229E-4</v>
      </c>
      <c r="BM63" s="104">
        <f si="98" t="shared"/>
        <v>2.408361832281682E-4</v>
      </c>
      <c r="BN63" s="104">
        <f si="98" t="shared"/>
        <v>2.408361832281682E-4</v>
      </c>
      <c r="BO63" s="104">
        <f si="98" t="shared"/>
        <v>1.204180916140841E-4</v>
      </c>
      <c r="BP63" s="104">
        <f si="98" t="shared"/>
        <v>5.5392322142478682E-4</v>
      </c>
      <c r="BQ63" s="104">
        <f si="98" t="shared"/>
        <v>0</v>
      </c>
      <c r="BR63" s="104">
        <f si="98" t="shared"/>
        <v>0</v>
      </c>
      <c r="BS63" s="104">
        <f si="98" t="shared"/>
        <v>4.3446847454361545E-2</v>
      </c>
    </row>
    <row r="64" spans="1:71" x14ac:dyDescent="0.25">
      <c r="A64" s="95">
        <v>4</v>
      </c>
      <c r="B64" s="104">
        <f ref="B64:W64" si="99" t="shared">IF($W$55&gt;0,B37/$W$55,0)</f>
        <v>3.449069784301068E-3</v>
      </c>
      <c r="C64" s="104">
        <f si="99" t="shared"/>
        <v>1.2907527822654495E-4</v>
      </c>
      <c r="D64" s="104">
        <f si="99" t="shared"/>
        <v>1.5870607114095478E-3</v>
      </c>
      <c r="E64" s="104">
        <f si="99" t="shared"/>
        <v>1.2427148993676411E-3</v>
      </c>
      <c r="F64" s="104">
        <f si="99" t="shared"/>
        <v>1.0015055726283915E-3</v>
      </c>
      <c r="G64" s="104">
        <f si="99" t="shared"/>
        <v>2.345544383002638E-3</v>
      </c>
      <c r="H64" s="104">
        <f si="99" t="shared"/>
        <v>1.9665737226829041E-3</v>
      </c>
      <c r="I64" s="104">
        <f si="99" t="shared"/>
        <v>2.7903619072436043E-4</v>
      </c>
      <c r="J64" s="104">
        <f si="99" t="shared"/>
        <v>5.7362272905152312E-4</v>
      </c>
      <c r="K64" s="104">
        <f si="99" t="shared"/>
        <v>4.5754154131872422E-4</v>
      </c>
      <c r="L64" s="104">
        <f si="99" t="shared"/>
        <v>1.0732314287888373E-3</v>
      </c>
      <c r="M64" s="104">
        <f si="99" t="shared"/>
        <v>1.4433192330269161E-3</v>
      </c>
      <c r="N64" s="104">
        <f si="99" t="shared"/>
        <v>0</v>
      </c>
      <c r="O64" s="104">
        <f si="99" t="shared"/>
        <v>0</v>
      </c>
      <c r="P64" s="104">
        <f si="99" t="shared"/>
        <v>0</v>
      </c>
      <c r="Q64" s="104">
        <f si="99" t="shared"/>
        <v>0</v>
      </c>
      <c r="R64" s="104">
        <f si="99" t="shared"/>
        <v>0</v>
      </c>
      <c r="S64" s="104">
        <f si="99" t="shared"/>
        <v>0</v>
      </c>
      <c r="T64" s="104">
        <f si="99" t="shared"/>
        <v>1.0605643530183711E-4</v>
      </c>
      <c r="U64" s="104">
        <f si="99" t="shared"/>
        <v>0</v>
      </c>
      <c r="V64" s="104">
        <f si="99" t="shared"/>
        <v>0</v>
      </c>
      <c r="W64" s="104">
        <f si="99" t="shared"/>
        <v>1.5654351909830933E-2</v>
      </c>
      <c r="X64" s="21"/>
      <c r="Y64" s="95">
        <v>4</v>
      </c>
      <c r="Z64" s="104">
        <f ref="Z64:AU64" si="100" t="shared">IF($W$55&gt;0,Z37/$W$55,0)</f>
        <v>1.7341622694794056E-3</v>
      </c>
      <c r="AA64" s="104">
        <f si="100" t="shared"/>
        <v>1.8271225808888802E-3</v>
      </c>
      <c r="AB64" s="104">
        <f si="100" t="shared"/>
        <v>7.7165285046094988E-4</v>
      </c>
      <c r="AC64" s="104">
        <f si="100" t="shared"/>
        <v>1.1270409436369951E-3</v>
      </c>
      <c r="AD64" s="104">
        <f si="100" t="shared"/>
        <v>9.7238131049556798E-4</v>
      </c>
      <c r="AE64" s="104">
        <f si="100" t="shared"/>
        <v>3.2634827908087291E-3</v>
      </c>
      <c r="AF64" s="104">
        <f si="100" t="shared"/>
        <v>9.2466716835619162E-4</v>
      </c>
      <c r="AG64" s="104">
        <f si="100" t="shared"/>
        <v>3.3235367972944961E-4</v>
      </c>
      <c r="AH64" s="104">
        <f si="100" t="shared"/>
        <v>8.2101230784651172E-4</v>
      </c>
      <c r="AI64" s="104">
        <f si="100" t="shared"/>
        <v>5.2979150927169691E-4</v>
      </c>
      <c r="AJ64" s="104">
        <f si="100" t="shared"/>
        <v>8.1607636210795549E-4</v>
      </c>
      <c r="AK64" s="104">
        <f si="100" t="shared"/>
        <v>1.7094825407866247E-3</v>
      </c>
      <c r="AL64" s="104">
        <f si="100" t="shared"/>
        <v>2.0319643290389619E-4</v>
      </c>
      <c r="AM64" s="104">
        <f si="100" t="shared"/>
        <v>8.966968091710399E-5</v>
      </c>
      <c r="AN64" s="104">
        <f si="100" t="shared"/>
        <v>1.3573850781029503E-4</v>
      </c>
      <c r="AO64" s="104">
        <f si="100" t="shared"/>
        <v>8.1443104686177017E-5</v>
      </c>
      <c r="AP64" s="104">
        <f si="100" t="shared"/>
        <v>5.3472745501025318E-5</v>
      </c>
      <c r="AQ64" s="104">
        <f si="100" t="shared"/>
        <v>1.0283220288658714E-4</v>
      </c>
      <c r="AR64" s="104">
        <f si="100" t="shared"/>
        <v>1.0530017575586522E-4</v>
      </c>
      <c r="AS64" s="104">
        <f si="100" t="shared"/>
        <v>5.3472745501025318E-5</v>
      </c>
      <c r="AT64" s="104">
        <f si="100" t="shared"/>
        <v>0</v>
      </c>
      <c r="AU64" s="104">
        <f si="100" t="shared"/>
        <v>1.5654351909830933E-2</v>
      </c>
      <c r="AW64" s="95">
        <v>4</v>
      </c>
      <c r="AX64" s="104">
        <f ref="AX64:BS64" si="101" t="shared">IF($BS$55&gt;0,AX37/$BS$55,0)</f>
        <v>2.2879437406675977E-3</v>
      </c>
      <c r="AY64" s="104">
        <f si="101" t="shared"/>
        <v>7.9475940465295505E-4</v>
      </c>
      <c r="AZ64" s="104">
        <f si="101" t="shared"/>
        <v>1.0355955878811232E-3</v>
      </c>
      <c r="BA64" s="104">
        <f si="101" t="shared"/>
        <v>1.324599007754925E-3</v>
      </c>
      <c r="BB64" s="104">
        <f si="101" t="shared"/>
        <v>1.1319300611723905E-3</v>
      </c>
      <c r="BC64" s="104">
        <f si="101" t="shared"/>
        <v>3.8533789316506912E-3</v>
      </c>
      <c r="BD64" s="104">
        <f si="101" t="shared"/>
        <v>4.3350512981070276E-4</v>
      </c>
      <c r="BE64" s="104">
        <f si="101" t="shared"/>
        <v>4.0942151148788594E-4</v>
      </c>
      <c r="BF64" s="104">
        <f si="101" t="shared"/>
        <v>6.0209045807042047E-4</v>
      </c>
      <c r="BG64" s="104">
        <f si="101" t="shared"/>
        <v>7.465921680073214E-4</v>
      </c>
      <c r="BH64" s="104">
        <f si="101" t="shared"/>
        <v>8.1884302297577187E-4</v>
      </c>
      <c r="BI64" s="104">
        <f si="101" t="shared"/>
        <v>1.878522229179712E-3</v>
      </c>
      <c r="BJ64" s="104">
        <f si="101" t="shared"/>
        <v>7.2250854968450455E-5</v>
      </c>
      <c r="BK64" s="104">
        <f si="101" t="shared"/>
        <v>2.408361832281682E-5</v>
      </c>
      <c r="BL64" s="104">
        <f si="101" t="shared"/>
        <v>4.8167236645633639E-5</v>
      </c>
      <c r="BM64" s="104">
        <f si="101" t="shared"/>
        <v>4.8167236645633639E-5</v>
      </c>
      <c r="BN64" s="104">
        <f si="101" t="shared"/>
        <v>4.8167236645633639E-5</v>
      </c>
      <c r="BO64" s="104">
        <f si="101" t="shared"/>
        <v>2.408361832281682E-5</v>
      </c>
      <c r="BP64" s="104">
        <f si="101" t="shared"/>
        <v>7.2250854968450455E-5</v>
      </c>
      <c r="BQ64" s="104">
        <f si="101" t="shared"/>
        <v>0</v>
      </c>
      <c r="BR64" s="104">
        <f si="101" t="shared"/>
        <v>0</v>
      </c>
      <c r="BS64" s="104">
        <f si="101" t="shared"/>
        <v>1.5654351909830933E-2</v>
      </c>
    </row>
    <row r="65" spans="1:71" x14ac:dyDescent="0.25">
      <c r="A65" s="95">
        <v>5</v>
      </c>
      <c r="B65" s="104">
        <f ref="B65:W65" si="102" t="shared">IF($W$55&gt;0,B38/$W$55,0)</f>
        <v>1.3080758330277877E-3</v>
      </c>
      <c r="C65" s="104">
        <f si="102" t="shared"/>
        <v>8.2799219366968548E-4</v>
      </c>
      <c r="D65" s="104">
        <f si="102" t="shared"/>
        <v>8.2297616226324961E-5</v>
      </c>
      <c r="E65" s="104">
        <f si="102" t="shared"/>
        <v>4.1181518978316672E-4</v>
      </c>
      <c r="F65" s="104">
        <f si="102" t="shared"/>
        <v>1.7741730427792641E-3</v>
      </c>
      <c r="G65" s="104">
        <f si="102" t="shared"/>
        <v>3.9685476126522156E-3</v>
      </c>
      <c r="H65" s="104">
        <f si="102" t="shared"/>
        <v>8.4819345244945986E-4</v>
      </c>
      <c r="I65" s="104">
        <f si="102" t="shared"/>
        <v>0</v>
      </c>
      <c r="J65" s="104">
        <f si="102" t="shared"/>
        <v>8.0939552254469639E-4</v>
      </c>
      <c r="K65" s="104">
        <f si="102" t="shared"/>
        <v>1.2420775983053222E-3</v>
      </c>
      <c r="L65" s="104">
        <f si="102" t="shared"/>
        <v>2.1032834180697156E-4</v>
      </c>
      <c r="M65" s="104">
        <f si="102" t="shared"/>
        <v>5.6446719954153521E-3</v>
      </c>
      <c r="N65" s="104">
        <f si="102" t="shared"/>
        <v>0</v>
      </c>
      <c r="O65" s="104">
        <f si="102" t="shared"/>
        <v>0</v>
      </c>
      <c r="P65" s="104">
        <f si="102" t="shared"/>
        <v>0</v>
      </c>
      <c r="Q65" s="104">
        <f si="102" t="shared"/>
        <v>0</v>
      </c>
      <c r="R65" s="104">
        <f si="102" t="shared"/>
        <v>1.1907294064729587E-4</v>
      </c>
      <c r="S65" s="104">
        <f si="102" t="shared"/>
        <v>0</v>
      </c>
      <c r="T65" s="104">
        <f si="102" t="shared"/>
        <v>0</v>
      </c>
      <c r="U65" s="104">
        <f si="102" t="shared"/>
        <v>6.9480234797749554E-5</v>
      </c>
      <c r="V65" s="104">
        <f si="102" t="shared"/>
        <v>0</v>
      </c>
      <c r="W65" s="104">
        <f si="102" t="shared"/>
        <v>1.7316121574105295E-2</v>
      </c>
      <c r="X65" s="21"/>
      <c r="Y65" s="95">
        <v>5</v>
      </c>
      <c r="Z65" s="104">
        <f ref="Z65:AU65" si="103" t="shared">IF($W$55&gt;0,Z38/$W$55,0)</f>
        <v>2.0561291728151132E-3</v>
      </c>
      <c r="AA65" s="104">
        <f si="103" t="shared"/>
        <v>1.4055756008158741E-3</v>
      </c>
      <c r="AB65" s="104">
        <f si="103" t="shared"/>
        <v>5.4893425491322665E-4</v>
      </c>
      <c r="AC65" s="104">
        <f si="103" t="shared"/>
        <v>6.2776045414817089E-4</v>
      </c>
      <c r="AD65" s="104">
        <f si="103" t="shared"/>
        <v>1.2735654599284373E-3</v>
      </c>
      <c r="AE65" s="104">
        <f si="103" t="shared"/>
        <v>5.1464960681224473E-3</v>
      </c>
      <c r="AF65" s="104">
        <f si="103" t="shared"/>
        <v>7.9396027181220991E-4</v>
      </c>
      <c r="AG65" s="104">
        <f si="103" t="shared"/>
        <v>1.4530612630055998E-4</v>
      </c>
      <c r="AH65" s="104">
        <f si="103" t="shared"/>
        <v>7.0563694013932061E-4</v>
      </c>
      <c r="AI65" s="104">
        <f si="103" t="shared"/>
        <v>7.103855063582932E-4</v>
      </c>
      <c r="AJ65" s="104">
        <f si="103" t="shared"/>
        <v>5.3848740923148695E-4</v>
      </c>
      <c r="AK65" s="104">
        <f si="103" t="shared"/>
        <v>2.4569081616963966E-3</v>
      </c>
      <c r="AL65" s="104">
        <f si="103" t="shared"/>
        <v>2.2223289904791527E-4</v>
      </c>
      <c r="AM65" s="104">
        <f si="103" t="shared"/>
        <v>1.00669603842218E-4</v>
      </c>
      <c r="AN65" s="104">
        <f si="103" t="shared"/>
        <v>1.5670268522609409E-4</v>
      </c>
      <c r="AO65" s="104">
        <f si="103" t="shared"/>
        <v>7.7876485991149787E-5</v>
      </c>
      <c r="AP65" s="104">
        <f si="103" t="shared"/>
        <v>4.5586235702136459E-5</v>
      </c>
      <c r="AQ65" s="104">
        <f si="103" t="shared"/>
        <v>1.4340669981297092E-4</v>
      </c>
      <c r="AR65" s="104">
        <f si="103" t="shared"/>
        <v>9.5921037623245467E-5</v>
      </c>
      <c r="AS65" s="104">
        <f si="103" t="shared"/>
        <v>6.4580500578026643E-5</v>
      </c>
      <c r="AT65" s="104">
        <f si="103" t="shared"/>
        <v>0</v>
      </c>
      <c r="AU65" s="104">
        <f si="103" t="shared"/>
        <v>1.7316121574105295E-2</v>
      </c>
      <c r="AW65" s="95">
        <v>5</v>
      </c>
      <c r="AX65" s="104">
        <f ref="AX65:BS65" si="104" t="shared">IF($BS$55&gt;0,AX38/$BS$55,0)</f>
        <v>1.6376860459515437E-3</v>
      </c>
      <c r="AY65" s="104">
        <f si="104" t="shared"/>
        <v>1.0837628245267568E-3</v>
      </c>
      <c r="AZ65" s="104">
        <f si="104" t="shared"/>
        <v>7.465921680073214E-4</v>
      </c>
      <c r="BA65" s="104">
        <f si="104" t="shared"/>
        <v>6.7434131303887093E-4</v>
      </c>
      <c r="BB65" s="104">
        <f si="104" t="shared"/>
        <v>2.0230239391166127E-3</v>
      </c>
      <c r="BC65" s="104">
        <f si="104" t="shared"/>
        <v>6.0690718173498385E-3</v>
      </c>
      <c r="BD65" s="104">
        <f si="104" t="shared"/>
        <v>4.8167236645633641E-4</v>
      </c>
      <c r="BE65" s="104">
        <f si="104" t="shared"/>
        <v>7.2250854968450455E-5</v>
      </c>
      <c r="BF65" s="104">
        <f si="104" t="shared"/>
        <v>5.2983960310197E-4</v>
      </c>
      <c r="BG65" s="104">
        <f si="104" t="shared"/>
        <v>9.3926111458985599E-4</v>
      </c>
      <c r="BH65" s="104">
        <f si="104" t="shared"/>
        <v>5.0575598477915317E-4</v>
      </c>
      <c r="BI65" s="104">
        <f si="104" t="shared"/>
        <v>2.0952747940850632E-3</v>
      </c>
      <c r="BJ65" s="104">
        <f si="104" t="shared"/>
        <v>1.6858532825971773E-4</v>
      </c>
      <c r="BK65" s="104">
        <f si="104" t="shared"/>
        <v>7.2250854968450455E-5</v>
      </c>
      <c r="BL65" s="104">
        <f si="104" t="shared"/>
        <v>7.2250854968450455E-5</v>
      </c>
      <c r="BM65" s="104">
        <f si="104" t="shared"/>
        <v>9.6334473291267278E-5</v>
      </c>
      <c r="BN65" s="104">
        <f si="104" t="shared"/>
        <v>2.408361832281682E-5</v>
      </c>
      <c r="BO65" s="104">
        <f si="104" t="shared"/>
        <v>0</v>
      </c>
      <c r="BP65" s="104">
        <f si="104" t="shared"/>
        <v>2.408361832281682E-5</v>
      </c>
      <c r="BQ65" s="104">
        <f si="104" t="shared"/>
        <v>0</v>
      </c>
      <c r="BR65" s="104">
        <f si="104" t="shared"/>
        <v>0</v>
      </c>
      <c r="BS65" s="104">
        <f si="104" t="shared"/>
        <v>1.7316121574105295E-2</v>
      </c>
    </row>
    <row r="66" spans="1:71" x14ac:dyDescent="0.25">
      <c r="A66" s="95">
        <v>6</v>
      </c>
      <c r="B66" s="104">
        <f ref="B66:W66" si="105" t="shared">IF($W$55&gt;0,B39/$W$55,0)</f>
        <v>5.3054064338304797E-3</v>
      </c>
      <c r="C66" s="104">
        <f si="105" t="shared"/>
        <v>1.857083127664983E-3</v>
      </c>
      <c r="D66" s="104">
        <f si="105" t="shared"/>
        <v>4.324960408375891E-4</v>
      </c>
      <c r="E66" s="104">
        <f si="105" t="shared"/>
        <v>1.9606608162186774E-4</v>
      </c>
      <c r="F66" s="104">
        <f si="105" t="shared"/>
        <v>5.9446408120340181E-4</v>
      </c>
      <c r="G66" s="104">
        <f si="105" t="shared"/>
        <v>1.7563110425428064E-2</v>
      </c>
      <c r="H66" s="104">
        <f si="105" t="shared"/>
        <v>1.094575210556871E-3</v>
      </c>
      <c r="I66" s="104">
        <f si="105" t="shared"/>
        <v>0</v>
      </c>
      <c r="J66" s="104">
        <f si="105" t="shared"/>
        <v>9.627755538621492E-4</v>
      </c>
      <c r="K66" s="104">
        <f si="105" t="shared"/>
        <v>5.4640188117657156E-4</v>
      </c>
      <c r="L66" s="104">
        <f si="105" t="shared"/>
        <v>6.4288886413593305E-4</v>
      </c>
      <c r="M66" s="104">
        <f si="105" t="shared"/>
        <v>6.7114563805575258E-3</v>
      </c>
      <c r="N66" s="104">
        <f si="105" t="shared"/>
        <v>1.4032067008345466E-4</v>
      </c>
      <c r="O66" s="104">
        <f si="105" t="shared"/>
        <v>0</v>
      </c>
      <c r="P66" s="104">
        <f si="105" t="shared"/>
        <v>4.5197636723282427E-4</v>
      </c>
      <c r="Q66" s="104">
        <f si="105" t="shared"/>
        <v>0</v>
      </c>
      <c r="R66" s="104">
        <f si="105" t="shared"/>
        <v>0</v>
      </c>
      <c r="S66" s="104">
        <f si="105" t="shared"/>
        <v>3.5827877521401695E-5</v>
      </c>
      <c r="T66" s="104">
        <f si="105" t="shared"/>
        <v>0</v>
      </c>
      <c r="U66" s="104">
        <f si="105" t="shared"/>
        <v>0</v>
      </c>
      <c r="V66" s="104">
        <f si="105" t="shared"/>
        <v>0</v>
      </c>
      <c r="W66" s="104">
        <f si="105" t="shared"/>
        <v>3.6534848995713118E-2</v>
      </c>
      <c r="X66" s="21"/>
      <c r="Y66" s="95">
        <v>6</v>
      </c>
      <c r="Z66" s="104">
        <f ref="Z66:AU66" si="106" t="shared">IF($W$55&gt;0,Z39/$W$55,0)</f>
        <v>4.1967486821310983E-3</v>
      </c>
      <c r="AA66" s="104">
        <f si="106" t="shared"/>
        <v>2.5173299721437609E-3</v>
      </c>
      <c r="AB66" s="104">
        <f si="106" t="shared"/>
        <v>9.5658538941462915E-4</v>
      </c>
      <c r="AC66" s="104">
        <f si="106" t="shared"/>
        <v>8.0075067685334868E-4</v>
      </c>
      <c r="AD66" s="104">
        <f si="106" t="shared"/>
        <v>1.4348780841219437E-3</v>
      </c>
      <c r="AE66" s="104">
        <f si="106" t="shared"/>
        <v>1.394121313144378E-2</v>
      </c>
      <c r="AF66" s="104">
        <f si="106" t="shared"/>
        <v>1.5403661972403487E-3</v>
      </c>
      <c r="AG66" s="104">
        <f si="106" t="shared"/>
        <v>1.6062962679393522E-4</v>
      </c>
      <c r="AH66" s="104">
        <f si="106" t="shared"/>
        <v>1.2706522716535175E-3</v>
      </c>
      <c r="AI66" s="104">
        <f si="106" t="shared"/>
        <v>1.0009383460666858E-3</v>
      </c>
      <c r="AJ66" s="104">
        <f si="106" t="shared"/>
        <v>8.4150744783091441E-4</v>
      </c>
      <c r="AK66" s="104">
        <f si="106" t="shared"/>
        <v>6.0595728615174815E-3</v>
      </c>
      <c r="AL66" s="104">
        <f si="106" t="shared"/>
        <v>5.3822912261549934E-4</v>
      </c>
      <c r="AM66" s="104">
        <f si="106" t="shared"/>
        <v>1.1507794158371478E-4</v>
      </c>
      <c r="AN66" s="104">
        <f si="106" t="shared"/>
        <v>2.8289993972663215E-4</v>
      </c>
      <c r="AO66" s="104">
        <f si="106" t="shared"/>
        <v>1.8100801228271805E-4</v>
      </c>
      <c r="AP66" s="104">
        <f si="106" t="shared"/>
        <v>7.5519899164312824E-5</v>
      </c>
      <c r="AQ66" s="104">
        <f si="106" t="shared"/>
        <v>3.284516249368526E-4</v>
      </c>
      <c r="AR66" s="104">
        <f si="106" t="shared"/>
        <v>1.9179656930619132E-4</v>
      </c>
      <c r="AS66" s="104">
        <f si="106" t="shared"/>
        <v>1.0069319888575043E-4</v>
      </c>
      <c r="AT66" s="104">
        <f si="106" t="shared"/>
        <v>0</v>
      </c>
      <c r="AU66" s="104">
        <f si="106" t="shared"/>
        <v>3.6534848995713111E-2</v>
      </c>
      <c r="AW66" s="95">
        <v>6</v>
      </c>
      <c r="AX66" s="104">
        <f ref="AX66:BS66" si="107" t="shared">IF($BS$55&gt;0,AX39/$BS$55,0)</f>
        <v>4.0701314965560422E-3</v>
      </c>
      <c r="AY66" s="104">
        <f si="107" t="shared"/>
        <v>2.11935841240788E-3</v>
      </c>
      <c r="AZ66" s="104">
        <f si="107" t="shared"/>
        <v>9.1517749626703916E-4</v>
      </c>
      <c r="BA66" s="104">
        <f si="107" t="shared"/>
        <v>7.9475940465295505E-4</v>
      </c>
      <c r="BB66" s="104">
        <f si="107" t="shared"/>
        <v>2.1916092673763305E-3</v>
      </c>
      <c r="BC66" s="104">
        <f si="107" t="shared"/>
        <v>1.469100717691826E-2</v>
      </c>
      <c r="BD66" s="104">
        <f si="107" t="shared"/>
        <v>1.3968498627233755E-3</v>
      </c>
      <c r="BE66" s="104">
        <f si="107" t="shared"/>
        <v>1.6858532825971773E-4</v>
      </c>
      <c r="BF66" s="104">
        <f si="107" t="shared"/>
        <v>1.2041809161408409E-3</v>
      </c>
      <c r="BG66" s="104">
        <f si="107" t="shared"/>
        <v>1.4209334810461923E-3</v>
      </c>
      <c r="BH66" s="104">
        <f si="107" t="shared"/>
        <v>8.429266412985887E-4</v>
      </c>
      <c r="BI66" s="104">
        <f si="107" t="shared"/>
        <v>5.5873994508935021E-3</v>
      </c>
      <c r="BJ66" s="104">
        <f si="107" t="shared"/>
        <v>1.9266894658253456E-4</v>
      </c>
      <c r="BK66" s="104">
        <f si="107" t="shared"/>
        <v>4.8167236645633639E-5</v>
      </c>
      <c r="BL66" s="104">
        <f si="107" t="shared"/>
        <v>1.6858532825971773E-4</v>
      </c>
      <c r="BM66" s="104">
        <f si="107" t="shared"/>
        <v>2.408361832281682E-4</v>
      </c>
      <c r="BN66" s="104">
        <f si="107" t="shared"/>
        <v>1.6858532825971773E-4</v>
      </c>
      <c r="BO66" s="104">
        <f si="107" t="shared"/>
        <v>1.204180916140841E-4</v>
      </c>
      <c r="BP66" s="104">
        <f si="107" t="shared"/>
        <v>1.6858532825971773E-4</v>
      </c>
      <c r="BQ66" s="104">
        <f si="107" t="shared"/>
        <v>2.408361832281682E-5</v>
      </c>
      <c r="BR66" s="104">
        <f si="107" t="shared"/>
        <v>0</v>
      </c>
      <c r="BS66" s="104">
        <f si="107" t="shared"/>
        <v>3.6534848995713118E-2</v>
      </c>
    </row>
    <row customFormat="1" r="67" s="95" spans="1:71" x14ac:dyDescent="0.25">
      <c r="A67" s="95">
        <v>7</v>
      </c>
      <c r="B67" s="104">
        <f ref="B67:W67" si="108" t="shared">IF($W$55&gt;0,B40/$W$55,0)</f>
        <v>7.666473034717557E-3</v>
      </c>
      <c r="C67" s="104">
        <f si="108" t="shared"/>
        <v>1.020174364519872E-2</v>
      </c>
      <c r="D67" s="104">
        <f si="108" t="shared"/>
        <v>7.8416628586350679E-4</v>
      </c>
      <c r="E67" s="104">
        <f si="108" t="shared"/>
        <v>3.2592657164559075E-3</v>
      </c>
      <c r="F67" s="104">
        <f si="108" t="shared"/>
        <v>3.9733520167432399E-3</v>
      </c>
      <c r="G67" s="104">
        <f si="108" t="shared"/>
        <v>1.5866824483817155E-2</v>
      </c>
      <c r="H67" s="104">
        <f si="108" t="shared"/>
        <v>3.2118881702634709E-2</v>
      </c>
      <c r="I67" s="104">
        <f si="108" t="shared"/>
        <v>1.2580356238191514E-4</v>
      </c>
      <c r="J67" s="104">
        <f si="108" t="shared"/>
        <v>1.0087652705848138E-2</v>
      </c>
      <c r="K67" s="104">
        <f si="108" t="shared"/>
        <v>2.9141011006416089E-4</v>
      </c>
      <c r="L67" s="104">
        <f si="108" t="shared"/>
        <v>0</v>
      </c>
      <c r="M67" s="104">
        <f si="108" t="shared"/>
        <v>1.9031696508663515E-2</v>
      </c>
      <c r="N67" s="104">
        <f si="108" t="shared"/>
        <v>7.1215386432332455E-3</v>
      </c>
      <c r="O67" s="104">
        <f si="108" t="shared"/>
        <v>0</v>
      </c>
      <c r="P67" s="104">
        <f si="108" t="shared"/>
        <v>6.6320289127371206E-4</v>
      </c>
      <c r="Q67" s="104">
        <f si="108" t="shared"/>
        <v>9.9279587292427237E-5</v>
      </c>
      <c r="R67" s="104">
        <f si="108" t="shared"/>
        <v>0</v>
      </c>
      <c r="S67" s="104">
        <f si="108" t="shared"/>
        <v>5.8652397096394567E-4</v>
      </c>
      <c r="T67" s="104">
        <f si="108" t="shared"/>
        <v>1.591775725919765E-4</v>
      </c>
      <c r="U67" s="104">
        <f si="108" t="shared"/>
        <v>0</v>
      </c>
      <c r="V67" s="104">
        <f si="108" t="shared"/>
        <v>0</v>
      </c>
      <c r="W67" s="104">
        <f si="108" t="shared"/>
        <v>0.11203699243774384</v>
      </c>
      <c r="X67" s="21"/>
      <c r="Y67" s="95">
        <v>7</v>
      </c>
      <c r="Z67" s="104">
        <f ref="Z67:AU67" si="109" t="shared">IF($W$55&gt;0,Z40/$W$55,0)</f>
        <v>6.9649722204376914E-3</v>
      </c>
      <c r="AA67" s="104">
        <f si="109" t="shared"/>
        <v>1.1071252752165304E-2</v>
      </c>
      <c r="AB67" s="104">
        <f si="109" t="shared"/>
        <v>2.7356899717928553E-3</v>
      </c>
      <c r="AC67" s="104">
        <f si="109" t="shared"/>
        <v>2.4907847675737435E-3</v>
      </c>
      <c r="AD67" s="104">
        <f si="109" t="shared"/>
        <v>2.8301377187114366E-3</v>
      </c>
      <c r="AE67" s="104">
        <f si="109" t="shared"/>
        <v>1.5050138648514368E-2</v>
      </c>
      <c r="AF67" s="104">
        <f si="109" t="shared"/>
        <v>2.3884297674247698E-2</v>
      </c>
      <c r="AG67" s="104">
        <f si="109" t="shared"/>
        <v>6.6882183573739422E-4</v>
      </c>
      <c r="AH67" s="104">
        <f si="109" t="shared"/>
        <v>8.3937689499850639E-3</v>
      </c>
      <c r="AI67" s="104">
        <f si="109" t="shared"/>
        <v>2.010858425673512E-3</v>
      </c>
      <c r="AJ67" s="104">
        <f si="109" t="shared"/>
        <v>4.123852205572931E-3</v>
      </c>
      <c r="AK67" s="104">
        <f si="109" t="shared"/>
        <v>1.7749587043001256E-2</v>
      </c>
      <c r="AL67" s="104">
        <f si="109" t="shared"/>
        <v>7.3175039269593707E-3</v>
      </c>
      <c r="AM67" s="104">
        <f si="109" t="shared"/>
        <v>2.9542376652439903E-4</v>
      </c>
      <c r="AN67" s="104">
        <f si="109" t="shared"/>
        <v>3.1189721075438413E-3</v>
      </c>
      <c r="AO67" s="104">
        <f si="109" t="shared"/>
        <v>3.6241577305967172E-4</v>
      </c>
      <c r="AP67" s="104">
        <f si="109" t="shared"/>
        <v>3.0750429229305478E-4</v>
      </c>
      <c r="AQ67" s="104">
        <f si="109" t="shared"/>
        <v>1.3596082637814351E-3</v>
      </c>
      <c r="AR67" s="104">
        <f si="109" t="shared"/>
        <v>7.4020676073399618E-4</v>
      </c>
      <c r="AS67" s="104">
        <f si="109" t="shared"/>
        <v>5.6119533343482501E-4</v>
      </c>
      <c r="AT67" s="104">
        <f si="109" t="shared"/>
        <v>0</v>
      </c>
      <c r="AU67" s="104">
        <f si="109" t="shared"/>
        <v>0.11203699243774383</v>
      </c>
      <c r="AW67" s="95">
        <v>7</v>
      </c>
      <c r="AX67" s="104">
        <f ref="AX67:BS67" si="110" t="shared">IF($BS$55&gt;0,AX40/$BS$55,0)</f>
        <v>4.8889745195318142E-3</v>
      </c>
      <c r="AY67" s="104">
        <f si="110" t="shared"/>
        <v>6.6229950387746254E-3</v>
      </c>
      <c r="AZ67" s="104">
        <f si="110" t="shared"/>
        <v>1.974856702470979E-3</v>
      </c>
      <c r="BA67" s="104">
        <f si="110" t="shared"/>
        <v>1.6617696642743606E-3</v>
      </c>
      <c r="BB67" s="104">
        <f si="110" t="shared"/>
        <v>1.878522229179712E-3</v>
      </c>
      <c r="BC67" s="104">
        <f si="110" t="shared"/>
        <v>9.7779490390636284E-3</v>
      </c>
      <c r="BD67" s="104">
        <f si="110" t="shared"/>
        <v>3.3211309667164395E-2</v>
      </c>
      <c r="BE67" s="104">
        <f si="110" t="shared"/>
        <v>1.4450170993690091E-4</v>
      </c>
      <c r="BF67" s="104">
        <f si="110" t="shared"/>
        <v>7.2491691151678628E-3</v>
      </c>
      <c r="BG67" s="104">
        <f si="110" t="shared"/>
        <v>1.2764317711092914E-3</v>
      </c>
      <c r="BH67" s="104">
        <f si="110" t="shared"/>
        <v>1.5172679543374596E-3</v>
      </c>
      <c r="BI67" s="104">
        <f si="110" t="shared"/>
        <v>2.2301430566928376E-2</v>
      </c>
      <c r="BJ67" s="104">
        <f si="110" t="shared"/>
        <v>1.606377342131882E-2</v>
      </c>
      <c r="BK67" s="104">
        <f si="110" t="shared"/>
        <v>1.204180916140841E-4</v>
      </c>
      <c r="BL67" s="104">
        <f si="110" t="shared"/>
        <v>1.9026058475025288E-3</v>
      </c>
      <c r="BM67" s="104">
        <f si="110" t="shared"/>
        <v>1.9266894658253456E-4</v>
      </c>
      <c r="BN67" s="104">
        <f si="110" t="shared"/>
        <v>1.4450170993690091E-4</v>
      </c>
      <c r="BO67" s="104">
        <f si="110" t="shared"/>
        <v>8.429266412985887E-4</v>
      </c>
      <c r="BP67" s="104">
        <f si="110" t="shared"/>
        <v>2.408361832281682E-4</v>
      </c>
      <c r="BQ67" s="104">
        <f si="110" t="shared"/>
        <v>2.408361832281682E-5</v>
      </c>
      <c r="BR67" s="104">
        <f si="110" t="shared"/>
        <v>0</v>
      </c>
      <c r="BS67" s="104">
        <f si="110" t="shared"/>
        <v>0.11203699243774384</v>
      </c>
    </row>
    <row r="68" spans="1:71" x14ac:dyDescent="0.25">
      <c r="A68" s="95">
        <v>8</v>
      </c>
      <c r="B68" s="104">
        <f ref="B68:W68" si="111" t="shared">IF($W$55&gt;0,B41/$W$55,0)</f>
        <v>7.1723242766004024E-4</v>
      </c>
      <c r="C68" s="104">
        <f si="111" t="shared"/>
        <v>2.5976052640059878E-4</v>
      </c>
      <c r="D68" s="104">
        <f si="111" t="shared"/>
        <v>7.0206403287394146E-5</v>
      </c>
      <c r="E68" s="104">
        <f si="111" t="shared"/>
        <v>2.4806444215114381E-4</v>
      </c>
      <c r="F68" s="104">
        <f si="111" t="shared"/>
        <v>1.5278522666151636E-4</v>
      </c>
      <c r="G68" s="104">
        <f si="111" t="shared"/>
        <v>5.8114778659552847E-4</v>
      </c>
      <c r="H68" s="104">
        <f si="111" t="shared"/>
        <v>7.3920073072675376E-5</v>
      </c>
      <c r="I68" s="104">
        <f si="111" t="shared"/>
        <v>3.5520278930190253E-4</v>
      </c>
      <c r="J68" s="104">
        <f si="111" t="shared"/>
        <v>3.3987482764400562E-4</v>
      </c>
      <c r="K68" s="104">
        <f si="111" t="shared"/>
        <v>6.3711343347425172E-5</v>
      </c>
      <c r="L68" s="104">
        <f si="111" t="shared"/>
        <v>1.6860896146575915E-3</v>
      </c>
      <c r="M68" s="104">
        <f si="111" t="shared"/>
        <v>9.1210596642211168E-4</v>
      </c>
      <c r="N68" s="104">
        <f si="111" t="shared"/>
        <v>0</v>
      </c>
      <c r="O68" s="104">
        <f si="111" t="shared"/>
        <v>6.1280101319200747E-5</v>
      </c>
      <c r="P68" s="104">
        <f si="111" t="shared"/>
        <v>5.4968828711323766E-5</v>
      </c>
      <c r="Q68" s="104">
        <f si="111" t="shared"/>
        <v>0</v>
      </c>
      <c r="R68" s="104">
        <f si="111" t="shared"/>
        <v>9.7712334580945498E-5</v>
      </c>
      <c r="S68" s="104">
        <f si="111" t="shared"/>
        <v>6.1280101319200747E-5</v>
      </c>
      <c r="T68" s="104">
        <f si="111" t="shared"/>
        <v>3.3372902421723396E-4</v>
      </c>
      <c r="U68" s="104">
        <f si="111" t="shared"/>
        <v>0</v>
      </c>
      <c r="V68" s="104">
        <f si="111" t="shared"/>
        <v>0</v>
      </c>
      <c r="W68" s="104">
        <f si="111" t="shared"/>
        <v>6.0690718173498385E-3</v>
      </c>
      <c r="X68" s="21"/>
      <c r="Y68" s="95">
        <v>8</v>
      </c>
      <c r="Z68" s="104">
        <f ref="Z68:AU68" si="112" t="shared">IF($W$55&gt;0,Z41/$W$55,0)</f>
        <v>6.13284975755653E-4</v>
      </c>
      <c r="AA68" s="104">
        <f si="112" t="shared"/>
        <v>7.2882472250690639E-4</v>
      </c>
      <c r="AB68" s="104">
        <f si="112" t="shared"/>
        <v>2.7729539220300818E-4</v>
      </c>
      <c r="AC68" s="104">
        <f si="112" t="shared"/>
        <v>3.9191082098025148E-4</v>
      </c>
      <c r="AD68" s="104">
        <f si="112" t="shared"/>
        <v>3.3136799368259476E-4</v>
      </c>
      <c r="AE68" s="104">
        <f si="112" t="shared"/>
        <v>1.1969917763429852E-3</v>
      </c>
      <c r="AF68" s="104">
        <f si="112" t="shared"/>
        <v>3.3414094760462484E-4</v>
      </c>
      <c r="AG68" s="104">
        <f si="112" t="shared"/>
        <v>2.0473643124322102E-4</v>
      </c>
      <c r="AH68" s="104">
        <f si="112" t="shared"/>
        <v>3.142681111634093E-4</v>
      </c>
      <c r="AI68" s="104">
        <f si="112" t="shared"/>
        <v>1.9549325150312072E-4</v>
      </c>
      <c r="AJ68" s="104">
        <f si="112" t="shared"/>
        <v>4.861912543292743E-4</v>
      </c>
      <c r="AK68" s="104">
        <f si="112" t="shared"/>
        <v>5.6059885123708152E-4</v>
      </c>
      <c r="AL68" s="104">
        <f si="112" t="shared"/>
        <v>8.3188617660902436E-5</v>
      </c>
      <c r="AM68" s="104">
        <f si="112" t="shared"/>
        <v>1.01212818154098E-4</v>
      </c>
      <c r="AN68" s="104">
        <f si="112" t="shared"/>
        <v>6.146714527166682E-5</v>
      </c>
      <c r="AO68" s="104">
        <f si="112" t="shared"/>
        <v>2.8653857194310841E-5</v>
      </c>
      <c r="AP68" s="104">
        <f si="112" t="shared"/>
        <v>5.1299647557556511E-5</v>
      </c>
      <c r="AQ68" s="104">
        <f si="112" t="shared"/>
        <v>2.9578175168320872E-5</v>
      </c>
      <c r="AR68" s="104">
        <f si="112" t="shared"/>
        <v>5.9618509323646752E-5</v>
      </c>
      <c r="AS68" s="104">
        <f si="112" t="shared"/>
        <v>1.8948518467205558E-5</v>
      </c>
      <c r="AT68" s="104">
        <f si="112" t="shared"/>
        <v>0</v>
      </c>
      <c r="AU68" s="104">
        <f si="112" t="shared"/>
        <v>6.0690718173498377E-3</v>
      </c>
      <c r="AW68" s="95">
        <v>8</v>
      </c>
      <c r="AX68" s="104">
        <f ref="AX68:BS68" si="113" t="shared">IF($BS$55&gt;0,AX41/$BS$55,0)</f>
        <v>5.2983960310197E-4</v>
      </c>
      <c r="AY68" s="104">
        <f si="113" t="shared"/>
        <v>3.6125427484225229E-4</v>
      </c>
      <c r="AZ68" s="104">
        <f si="113" t="shared"/>
        <v>6.2617407639323729E-4</v>
      </c>
      <c r="BA68" s="104">
        <f si="113" t="shared"/>
        <v>2.64919801550985E-4</v>
      </c>
      <c r="BB68" s="104">
        <f si="113" t="shared"/>
        <v>4.8167236645633641E-4</v>
      </c>
      <c r="BC68" s="104">
        <f si="113" t="shared"/>
        <v>8.9109387794422234E-4</v>
      </c>
      <c r="BD68" s="104">
        <f si="113" t="shared"/>
        <v>1.6858532825971773E-4</v>
      </c>
      <c r="BE68" s="104">
        <f si="113" t="shared"/>
        <v>3.1308703819661864E-4</v>
      </c>
      <c r="BF68" s="104">
        <f si="113" t="shared"/>
        <v>3.3717065651943547E-4</v>
      </c>
      <c r="BG68" s="104">
        <f si="113" t="shared"/>
        <v>3.1308703819661864E-4</v>
      </c>
      <c r="BH68" s="104">
        <f si="113" t="shared"/>
        <v>7.7067578633013823E-4</v>
      </c>
      <c r="BI68" s="104">
        <f si="113" t="shared"/>
        <v>6.2617407639323729E-4</v>
      </c>
      <c r="BJ68" s="104">
        <f si="113" t="shared"/>
        <v>0</v>
      </c>
      <c r="BK68" s="104">
        <f si="113" t="shared"/>
        <v>1.4450170993690091E-4</v>
      </c>
      <c r="BL68" s="104">
        <f si="113" t="shared"/>
        <v>4.8167236645633639E-5</v>
      </c>
      <c r="BM68" s="104">
        <f si="113" t="shared"/>
        <v>4.8167236645633639E-5</v>
      </c>
      <c r="BN68" s="104">
        <f si="113" t="shared"/>
        <v>9.6334473291267278E-5</v>
      </c>
      <c r="BO68" s="104">
        <f si="113" t="shared"/>
        <v>0</v>
      </c>
      <c r="BP68" s="104">
        <f si="113" t="shared"/>
        <v>4.8167236645633639E-5</v>
      </c>
      <c r="BQ68" s="104">
        <f si="113" t="shared"/>
        <v>0</v>
      </c>
      <c r="BR68" s="104">
        <f si="113" t="shared"/>
        <v>0</v>
      </c>
      <c r="BS68" s="104">
        <f si="113" t="shared"/>
        <v>6.0690718173498385E-3</v>
      </c>
    </row>
    <row r="69" spans="1:71" x14ac:dyDescent="0.25">
      <c r="A69" s="95">
        <v>9</v>
      </c>
      <c r="B69" s="104">
        <f ref="B69:W69" si="114" t="shared">IF($W$55&gt;0,B42/$W$55,0)</f>
        <v>1.2246343692665062E-2</v>
      </c>
      <c r="C69" s="104">
        <f si="114" t="shared"/>
        <v>7.1061940297494335E-3</v>
      </c>
      <c r="D69" s="104">
        <f si="114" t="shared"/>
        <v>1.8704035851078032E-3</v>
      </c>
      <c r="E69" s="104">
        <f si="114" t="shared"/>
        <v>3.0024624513672899E-3</v>
      </c>
      <c r="F69" s="104">
        <f si="114" t="shared"/>
        <v>1.6423943535480367E-3</v>
      </c>
      <c r="G69" s="104">
        <f si="114" t="shared"/>
        <v>6.5406320965206502E-3</v>
      </c>
      <c r="H69" s="104">
        <f si="114" t="shared"/>
        <v>7.9407839061592829E-3</v>
      </c>
      <c r="I69" s="104">
        <f si="114" t="shared"/>
        <v>0</v>
      </c>
      <c r="J69" s="104">
        <f si="114" t="shared"/>
        <v>2.6933322408873285E-2</v>
      </c>
      <c r="K69" s="104">
        <f si="114" t="shared"/>
        <v>1.7274845879006089E-4</v>
      </c>
      <c r="L69" s="104">
        <f si="114" t="shared"/>
        <v>1.3947241952441433E-3</v>
      </c>
      <c r="M69" s="104">
        <f si="114" t="shared"/>
        <v>1.0168035323235892E-2</v>
      </c>
      <c r="N69" s="104">
        <f si="114" t="shared"/>
        <v>7.868072067579996E-5</v>
      </c>
      <c r="O69" s="104">
        <f si="114" t="shared"/>
        <v>1.5897109777934633E-4</v>
      </c>
      <c r="P69" s="104">
        <f si="114" t="shared"/>
        <v>3.25949427171341E-3</v>
      </c>
      <c r="Q69" s="104">
        <f si="114" t="shared"/>
        <v>0</v>
      </c>
      <c r="R69" s="104">
        <f si="114" t="shared"/>
        <v>2.4897741595129229E-4</v>
      </c>
      <c r="S69" s="104">
        <f si="114" t="shared"/>
        <v>4.7909937953740544E-4</v>
      </c>
      <c r="T69" s="104">
        <f si="114" t="shared"/>
        <v>2.0647010164209686E-4</v>
      </c>
      <c r="U69" s="104">
        <f si="114" t="shared"/>
        <v>0</v>
      </c>
      <c r="V69" s="104">
        <f si="114" t="shared"/>
        <v>0</v>
      </c>
      <c r="W69" s="104">
        <f si="114" t="shared"/>
        <v>8.3449737488560286E-2</v>
      </c>
      <c r="X69" s="30"/>
      <c r="Y69" s="95">
        <v>9</v>
      </c>
      <c r="Z69" s="104">
        <f ref="Z69:AU69" si="115" t="shared">IF($W$55&gt;0,Z42/$W$55,0)</f>
        <v>7.4749456455709016E-3</v>
      </c>
      <c r="AA69" s="104">
        <f si="115" t="shared"/>
        <v>9.5718083229887028E-3</v>
      </c>
      <c r="AB69" s="104">
        <f si="115" t="shared"/>
        <v>2.7545059766270093E-3</v>
      </c>
      <c r="AC69" s="104">
        <f si="115" t="shared"/>
        <v>2.339730947490504E-3</v>
      </c>
      <c r="AD69" s="104">
        <f si="115" t="shared"/>
        <v>2.549617106812591E-3</v>
      </c>
      <c r="AE69" s="104">
        <f si="115" t="shared"/>
        <v>1.3711562951141487E-2</v>
      </c>
      <c r="AF69" s="104">
        <f si="115" t="shared"/>
        <v>7.5539028197920662E-3</v>
      </c>
      <c r="AG69" s="104">
        <f si="115" t="shared"/>
        <v>6.77632457239881E-4</v>
      </c>
      <c r="AH69" s="104">
        <f si="115" t="shared"/>
        <v>1.137882820896172E-2</v>
      </c>
      <c r="AI69" s="104">
        <f si="115" t="shared"/>
        <v>1.4642058257469408E-3</v>
      </c>
      <c r="AJ69" s="104">
        <f si="115" t="shared"/>
        <v>4.7774087693313151E-3</v>
      </c>
      <c r="AK69" s="104">
        <f si="115" t="shared"/>
        <v>9.3469302951436108E-3</v>
      </c>
      <c r="AL69" s="104">
        <f si="115" t="shared"/>
        <v>2.4576669798714863E-3</v>
      </c>
      <c r="AM69" s="104">
        <f si="115" t="shared"/>
        <v>2.8084767033098313E-4</v>
      </c>
      <c r="AN69" s="104">
        <f si="115" t="shared"/>
        <v>4.5905101417445041E-3</v>
      </c>
      <c r="AO69" s="104">
        <f si="115" t="shared"/>
        <v>2.2687694364816079E-4</v>
      </c>
      <c r="AP69" s="104">
        <f si="115" t="shared"/>
        <v>3.2882164960460305E-4</v>
      </c>
      <c r="AQ69" s="104">
        <f si="115" t="shared"/>
        <v>5.7468829338190499E-4</v>
      </c>
      <c r="AR69" s="104">
        <f si="115" t="shared"/>
        <v>1.0964053179825213E-3</v>
      </c>
      <c r="AS69" s="104">
        <f si="115" t="shared"/>
        <v>2.9284116514938815E-4</v>
      </c>
      <c r="AT69" s="104">
        <f si="115" t="shared"/>
        <v>0</v>
      </c>
      <c r="AU69" s="104">
        <f si="115" t="shared"/>
        <v>8.3449737488560299E-2</v>
      </c>
      <c r="AW69" s="95">
        <v>9</v>
      </c>
      <c r="AX69" s="104">
        <f ref="AX69:BS69" si="116" t="shared">IF($BS$55&gt;0,AX42/$BS$55,0)</f>
        <v>5.2502287943740665E-3</v>
      </c>
      <c r="AY69" s="104">
        <f si="116" t="shared"/>
        <v>7.8271759549154666E-3</v>
      </c>
      <c r="AZ69" s="104">
        <f si="116" t="shared"/>
        <v>3.2272048552574538E-3</v>
      </c>
      <c r="BA69" s="104">
        <f si="116" t="shared"/>
        <v>1.6617696642743606E-3</v>
      </c>
      <c r="BB69" s="104">
        <f si="116" t="shared"/>
        <v>2.5046963055729492E-3</v>
      </c>
      <c r="BC69" s="104">
        <f si="116" t="shared"/>
        <v>9.2962766726072919E-3</v>
      </c>
      <c r="BD69" s="104">
        <f si="116" t="shared"/>
        <v>7.8994268098839162E-3</v>
      </c>
      <c r="BE69" s="104">
        <f si="116" t="shared"/>
        <v>6.0209045807042047E-4</v>
      </c>
      <c r="BF69" s="104">
        <f si="116" t="shared"/>
        <v>1.8833389528442754E-2</v>
      </c>
      <c r="BG69" s="104">
        <f si="116" t="shared"/>
        <v>7.465921680073214E-4</v>
      </c>
      <c r="BH69" s="104">
        <f si="116" t="shared"/>
        <v>4.7685564279177301E-3</v>
      </c>
      <c r="BI69" s="104">
        <f si="116" t="shared"/>
        <v>8.7423534511825059E-3</v>
      </c>
      <c r="BJ69" s="104">
        <f si="116" t="shared"/>
        <v>3.5643755117768894E-3</v>
      </c>
      <c r="BK69" s="104">
        <f si="116" t="shared"/>
        <v>2.8900341987380182E-4</v>
      </c>
      <c r="BL69" s="104">
        <f si="116" t="shared"/>
        <v>6.5748278021289918E-3</v>
      </c>
      <c r="BM69" s="104">
        <f si="116" t="shared"/>
        <v>9.6334473291267278E-5</v>
      </c>
      <c r="BN69" s="104">
        <f si="116" t="shared"/>
        <v>2.1675256490535138E-4</v>
      </c>
      <c r="BO69" s="104">
        <f si="116" t="shared"/>
        <v>1.9266894658253456E-4</v>
      </c>
      <c r="BP69" s="104">
        <f si="116" t="shared"/>
        <v>1.0837628245267568E-3</v>
      </c>
      <c r="BQ69" s="104">
        <f si="116" t="shared"/>
        <v>7.2250854968450455E-5</v>
      </c>
      <c r="BR69" s="104">
        <f si="116" t="shared"/>
        <v>0</v>
      </c>
      <c r="BS69" s="104">
        <f si="116" t="shared"/>
        <v>8.3449737488560286E-2</v>
      </c>
    </row>
    <row r="70" spans="1:71" x14ac:dyDescent="0.25">
      <c r="A70" s="95">
        <v>10</v>
      </c>
      <c r="B70" s="104">
        <f ref="B70:W70" si="117" t="shared">IF($W$55&gt;0,B43/$W$55,0)</f>
        <v>5.5759411242287385E-3</v>
      </c>
      <c r="C70" s="104">
        <f si="117" t="shared"/>
        <v>4.614813139269488E-4</v>
      </c>
      <c r="D70" s="104">
        <f si="117" t="shared"/>
        <v>6.2731642895806552E-4</v>
      </c>
      <c r="E70" s="104">
        <f si="117" t="shared"/>
        <v>1.1486350758708474E-3</v>
      </c>
      <c r="F70" s="104">
        <f si="117" t="shared"/>
        <v>3.3423316403254294E-3</v>
      </c>
      <c r="G70" s="104">
        <f si="117" t="shared"/>
        <v>9.9780648020176121E-3</v>
      </c>
      <c r="H70" s="104">
        <f si="117" t="shared"/>
        <v>1.3695192889560236E-3</v>
      </c>
      <c r="I70" s="104">
        <f si="117" t="shared"/>
        <v>4.1948814435258125E-4</v>
      </c>
      <c r="J70" s="104">
        <f si="117" t="shared"/>
        <v>3.9721872837973718E-4</v>
      </c>
      <c r="K70" s="104">
        <f si="117" t="shared"/>
        <v>4.1098457795413343E-3</v>
      </c>
      <c r="L70" s="104">
        <f si="117" t="shared"/>
        <v>5.8687745495050899E-4</v>
      </c>
      <c r="M70" s="104">
        <f si="117" t="shared"/>
        <v>5.8316045266631851E-3</v>
      </c>
      <c r="N70" s="104">
        <f si="117" t="shared"/>
        <v>2.2123746081834507E-4</v>
      </c>
      <c r="O70" s="104">
        <f si="117" t="shared"/>
        <v>1.2537889738672398E-4</v>
      </c>
      <c r="P70" s="104">
        <f si="117" t="shared"/>
        <v>0</v>
      </c>
      <c r="Q70" s="104">
        <f si="117" t="shared"/>
        <v>3.279064743201013E-4</v>
      </c>
      <c r="R70" s="104">
        <f si="117" t="shared"/>
        <v>0</v>
      </c>
      <c r="S70" s="104">
        <f si="117" t="shared"/>
        <v>3.7145152545953399E-5</v>
      </c>
      <c r="T70" s="104">
        <f si="117" t="shared"/>
        <v>0</v>
      </c>
      <c r="U70" s="104">
        <f si="117" t="shared"/>
        <v>0</v>
      </c>
      <c r="V70" s="104">
        <f si="117" t="shared"/>
        <v>0</v>
      </c>
      <c r="W70" s="104">
        <f si="117" t="shared"/>
        <v>3.4559992293242137E-2</v>
      </c>
      <c r="Y70" s="95">
        <v>10</v>
      </c>
      <c r="Z70" s="104">
        <f ref="Z70:AU70" si="118" t="shared">IF($W$55&gt;0,Z43/$W$55,0)</f>
        <v>3.3740322502024476E-3</v>
      </c>
      <c r="AA70" s="104">
        <f si="118" t="shared"/>
        <v>2.661634679983072E-3</v>
      </c>
      <c r="AB70" s="104">
        <f si="118" t="shared"/>
        <v>7.7932810126958704E-4</v>
      </c>
      <c r="AC70" s="104">
        <f si="118" t="shared"/>
        <v>1.0131265316504633E-3</v>
      </c>
      <c r="AD70" s="104">
        <f si="118" t="shared"/>
        <v>1.8566345942010749E-3</v>
      </c>
      <c r="AE70" s="104">
        <f si="118" t="shared"/>
        <v>9.8635431923037847E-3</v>
      </c>
      <c r="AF70" s="104">
        <f si="118" t="shared"/>
        <v>1.2414238224929661E-3</v>
      </c>
      <c r="AG70" s="104">
        <f si="118" t="shared"/>
        <v>2.4663442263708106E-4</v>
      </c>
      <c r="AH70" s="104">
        <f si="118" t="shared"/>
        <v>1.0837244890595905E-3</v>
      </c>
      <c r="AI70" s="104">
        <f si="118" t="shared"/>
        <v>2.6561335404446987E-3</v>
      </c>
      <c r="AJ70" s="104">
        <f si="118" t="shared"/>
        <v>8.8201603931922681E-4</v>
      </c>
      <c r="AK70" s="104">
        <f si="118" t="shared"/>
        <v>6.5766123181255857E-3</v>
      </c>
      <c r="AL70" s="104">
        <f si="118" t="shared"/>
        <v>4.7768228324877047E-4</v>
      </c>
      <c r="AM70" s="104">
        <f si="118" t="shared"/>
        <v>1.4302962799771246E-4</v>
      </c>
      <c r="AN70" s="104">
        <f si="118" t="shared"/>
        <v>2.2646357766304475E-4</v>
      </c>
      <c r="AO70" s="104">
        <f si="118" t="shared"/>
        <v>6.5738617483563993E-4</v>
      </c>
      <c r="AP70" s="104">
        <f si="118" t="shared"/>
        <v>8.3433949665332266E-5</v>
      </c>
      <c r="AQ70" s="104">
        <f si="118" t="shared"/>
        <v>3.8874719404506463E-4</v>
      </c>
      <c r="AR70" s="104">
        <f si="118" t="shared"/>
        <v>2.0629273268900835E-4</v>
      </c>
      <c r="AS70" s="104">
        <f si="118" t="shared"/>
        <v>1.4211277140798354E-4</v>
      </c>
      <c r="AT70" s="104">
        <f si="118" t="shared"/>
        <v>0</v>
      </c>
      <c r="AU70" s="104">
        <f si="118" t="shared"/>
        <v>3.4559992293242137E-2</v>
      </c>
      <c r="AW70" s="95">
        <v>10</v>
      </c>
      <c r="AX70" s="104">
        <f ref="AX70:BS70" si="119" t="shared">IF($BS$55&gt;0,AX43/$BS$55,0)</f>
        <v>2.5769471605413996E-3</v>
      </c>
      <c r="AY70" s="104">
        <f si="119" t="shared"/>
        <v>1.7099369009199942E-3</v>
      </c>
      <c r="AZ70" s="104">
        <f si="119" t="shared"/>
        <v>8.1884302297577187E-4</v>
      </c>
      <c r="BA70" s="104">
        <f si="119" t="shared"/>
        <v>1.3968498627233755E-3</v>
      </c>
      <c r="BB70" s="104">
        <f si="119" t="shared"/>
        <v>2.2397765040219641E-3</v>
      </c>
      <c r="BC70" s="104">
        <f si="119" t="shared"/>
        <v>8.0439285198208171E-3</v>
      </c>
      <c r="BD70" s="104">
        <f si="119" t="shared"/>
        <v>1.1560136794952073E-3</v>
      </c>
      <c r="BE70" s="104">
        <f si="119" t="shared"/>
        <v>3.1308703819661864E-4</v>
      </c>
      <c r="BF70" s="104">
        <f si="119" t="shared"/>
        <v>7.7067578633013823E-4</v>
      </c>
      <c r="BG70" s="104">
        <f si="119" t="shared"/>
        <v>4.9612253745002647E-3</v>
      </c>
      <c r="BH70" s="104">
        <f si="119" t="shared"/>
        <v>6.9842493136168776E-4</v>
      </c>
      <c r="BI70" s="104">
        <f si="119" t="shared"/>
        <v>8.0198449014980012E-3</v>
      </c>
      <c r="BJ70" s="104">
        <f si="119" t="shared"/>
        <v>3.3717065651943547E-4</v>
      </c>
      <c r="BK70" s="104">
        <f si="119" t="shared"/>
        <v>7.2250854968450455E-5</v>
      </c>
      <c r="BL70" s="104">
        <f si="119" t="shared"/>
        <v>9.6334473291267278E-5</v>
      </c>
      <c r="BM70" s="104">
        <f si="119" t="shared"/>
        <v>1.0355955878811232E-3</v>
      </c>
      <c r="BN70" s="104">
        <f si="119" t="shared"/>
        <v>0</v>
      </c>
      <c r="BO70" s="104">
        <f si="119" t="shared"/>
        <v>1.204180916140841E-4</v>
      </c>
      <c r="BP70" s="104">
        <f si="119" t="shared"/>
        <v>1.4450170993690091E-4</v>
      </c>
      <c r="BQ70" s="104">
        <f si="119" t="shared"/>
        <v>4.8167236645633639E-5</v>
      </c>
      <c r="BR70" s="104">
        <f si="119" t="shared"/>
        <v>0</v>
      </c>
      <c r="BS70" s="104">
        <f si="119" t="shared"/>
        <v>3.4559992293242137E-2</v>
      </c>
    </row>
    <row r="71" spans="1:71" x14ac:dyDescent="0.25">
      <c r="A71" s="95">
        <v>11</v>
      </c>
      <c r="B71" s="104">
        <f ref="B71:W71" si="120" t="shared">IF($W$55&gt;0,B44/$W$55,0)</f>
        <v>9.0733140129700008E-3</v>
      </c>
      <c r="C71" s="104">
        <f si="120" t="shared"/>
        <v>2.521733072103377E-3</v>
      </c>
      <c r="D71" s="104">
        <f si="120" t="shared"/>
        <v>7.104652185575518E-3</v>
      </c>
      <c r="E71" s="104">
        <f si="120" t="shared"/>
        <v>3.2654134589821227E-3</v>
      </c>
      <c r="F71" s="104">
        <f si="120" t="shared"/>
        <v>3.7729933551326265E-3</v>
      </c>
      <c r="G71" s="104">
        <f si="120" t="shared"/>
        <v>7.1908055584554969E-3</v>
      </c>
      <c r="H71" s="104">
        <f si="120" t="shared"/>
        <v>3.8343647146102128E-3</v>
      </c>
      <c r="I71" s="104">
        <f si="120" t="shared"/>
        <v>0</v>
      </c>
      <c r="J71" s="104">
        <f si="120" t="shared"/>
        <v>4.2343532292726796E-3</v>
      </c>
      <c r="K71" s="104">
        <f si="120" t="shared"/>
        <v>1.0382341987988622E-3</v>
      </c>
      <c r="L71" s="104">
        <f si="120" t="shared"/>
        <v>1.772286951521683E-2</v>
      </c>
      <c r="M71" s="104">
        <f si="120" t="shared"/>
        <v>4.6265801753463667E-3</v>
      </c>
      <c r="N71" s="104">
        <f si="120" t="shared"/>
        <v>6.822221457986146E-5</v>
      </c>
      <c r="O71" s="104">
        <f si="120" t="shared"/>
        <v>1.1758631383344023E-4</v>
      </c>
      <c r="P71" s="104">
        <f si="120" t="shared"/>
        <v>0</v>
      </c>
      <c r="Q71" s="104">
        <f si="120" t="shared"/>
        <v>1.1141884237776537E-3</v>
      </c>
      <c r="R71" s="104">
        <f si="120" t="shared"/>
        <v>1.4987482975431763E-3</v>
      </c>
      <c r="S71" s="104">
        <f si="120" t="shared"/>
        <v>1.7279114094307323E-3</v>
      </c>
      <c r="T71" s="104">
        <f si="120" t="shared"/>
        <v>2.8331288480423515E-3</v>
      </c>
      <c r="U71" s="104">
        <f si="120" t="shared"/>
        <v>0</v>
      </c>
      <c r="V71" s="104">
        <f si="120" t="shared"/>
        <v>0</v>
      </c>
      <c r="W71" s="104">
        <f si="120" t="shared"/>
        <v>7.1745098983671304E-2</v>
      </c>
      <c r="Y71" s="95">
        <v>11</v>
      </c>
      <c r="Z71" s="104">
        <f ref="Z71:AU71" si="121" t="shared">IF($W$55&gt;0,Z44/$W$55,0)</f>
        <v>5.9979102953077049E-3</v>
      </c>
      <c r="AA71" s="104">
        <f si="121" t="shared"/>
        <v>7.3901364077914259E-3</v>
      </c>
      <c r="AB71" s="104">
        <f si="121" t="shared"/>
        <v>2.9540116781386042E-3</v>
      </c>
      <c r="AC71" s="104">
        <f si="121" t="shared"/>
        <v>2.6220428692191552E-3</v>
      </c>
      <c r="AD71" s="104">
        <f si="121" t="shared"/>
        <v>2.3677036894624083E-3</v>
      </c>
      <c r="AE71" s="104">
        <f si="121" t="shared"/>
        <v>1.1779274782951031E-2</v>
      </c>
      <c r="AF71" s="104">
        <f si="121" t="shared"/>
        <v>3.520912259524125E-3</v>
      </c>
      <c r="AG71" s="104">
        <f si="121" t="shared"/>
        <v>1.0868148082778268E-3</v>
      </c>
      <c r="AH71" s="104">
        <f si="121" t="shared"/>
        <v>4.8753449999154761E-3</v>
      </c>
      <c r="AI71" s="104">
        <f si="121" t="shared"/>
        <v>1.4729200691133704E-3</v>
      </c>
      <c r="AJ71" s="104">
        <f si="121" t="shared"/>
        <v>1.1953941448567111E-2</v>
      </c>
      <c r="AK71" s="104">
        <f si="121" t="shared"/>
        <v>6.070432712025493E-3</v>
      </c>
      <c r="AL71" s="104">
        <f si="121" t="shared"/>
        <v>1.1736374198413749E-3</v>
      </c>
      <c r="AM71" s="104">
        <f si="121" t="shared"/>
        <v>7.3543859206770231E-4</v>
      </c>
      <c r="AN71" s="104">
        <f si="121" t="shared"/>
        <v>1.4320623695540536E-3</v>
      </c>
      <c r="AO71" s="104">
        <f si="121" t="shared"/>
        <v>2.7272514455843958E-4</v>
      </c>
      <c r="AP71" s="104">
        <f si="121" t="shared"/>
        <v>9.9999219671427844E-4</v>
      </c>
      <c r="AQ71" s="104">
        <f si="121" t="shared"/>
        <v>3.8916958830249247E-4</v>
      </c>
      <c r="AR71" s="104">
        <f si="121" t="shared"/>
        <v>4.4167173223621453E-3</v>
      </c>
      <c r="AS71" s="104">
        <f si="121" t="shared"/>
        <v>2.3391032997708864E-4</v>
      </c>
      <c r="AT71" s="104">
        <f si="121" t="shared"/>
        <v>0</v>
      </c>
      <c r="AU71" s="104">
        <f si="121" t="shared"/>
        <v>7.1745098983671304E-2</v>
      </c>
      <c r="AW71" s="95">
        <v>11</v>
      </c>
      <c r="AX71" s="104">
        <f ref="AX71:BS71" si="122" t="shared">IF($BS$55&gt;0,AX44/$BS$55,0)</f>
        <v>5.0334762294687151E-3</v>
      </c>
      <c r="AY71" s="104">
        <f si="122" t="shared"/>
        <v>3.8052116950050576E-3</v>
      </c>
      <c r="AZ71" s="104">
        <f si="122" t="shared"/>
        <v>5.0334762294687151E-3</v>
      </c>
      <c r="BA71" s="104">
        <f si="122" t="shared"/>
        <v>2.2879437406675977E-3</v>
      </c>
      <c r="BB71" s="104">
        <f si="122" t="shared"/>
        <v>1.3968498627233755E-3</v>
      </c>
      <c r="BC71" s="104">
        <f si="122" t="shared"/>
        <v>7.5140889167188479E-3</v>
      </c>
      <c r="BD71" s="104">
        <f si="122" t="shared"/>
        <v>1.6617696642743606E-3</v>
      </c>
      <c r="BE71" s="104">
        <f si="122" t="shared"/>
        <v>1.0355955878811232E-3</v>
      </c>
      <c r="BF71" s="104">
        <f si="122" t="shared"/>
        <v>4.9612253745002647E-3</v>
      </c>
      <c r="BG71" s="104">
        <f si="122" t="shared"/>
        <v>1.7099369009199942E-3</v>
      </c>
      <c r="BH71" s="104">
        <f si="122" t="shared"/>
        <v>2.2518183131833725E-2</v>
      </c>
      <c r="BI71" s="104">
        <f si="122" t="shared"/>
        <v>4.7926400462405469E-3</v>
      </c>
      <c r="BJ71" s="104">
        <f si="122" t="shared"/>
        <v>5.2983960310197E-4</v>
      </c>
      <c r="BK71" s="104">
        <f si="122" t="shared"/>
        <v>9.3926111458985599E-4</v>
      </c>
      <c r="BL71" s="104">
        <f si="122" t="shared"/>
        <v>1.324599007754925E-3</v>
      </c>
      <c r="BM71" s="104">
        <f si="122" t="shared"/>
        <v>1.9266894658253456E-4</v>
      </c>
      <c r="BN71" s="104">
        <f si="122" t="shared"/>
        <v>1.2523481527864746E-3</v>
      </c>
      <c r="BO71" s="104">
        <f si="122" t="shared"/>
        <v>7.2250854968450455E-5</v>
      </c>
      <c r="BP71" s="104">
        <f si="122" t="shared"/>
        <v>5.6837339241847694E-3</v>
      </c>
      <c r="BQ71" s="104">
        <f si="122" t="shared"/>
        <v>0</v>
      </c>
      <c r="BR71" s="104">
        <f si="122" t="shared"/>
        <v>0</v>
      </c>
      <c r="BS71" s="104">
        <f si="122" t="shared"/>
        <v>7.1745098983671304E-2</v>
      </c>
    </row>
    <row r="72" spans="1:71" x14ac:dyDescent="0.25">
      <c r="A72" s="95">
        <v>12</v>
      </c>
      <c r="B72" s="104">
        <f ref="B72:W72" si="123" t="shared">IF($W$55&gt;0,B45/$W$55,0)</f>
        <v>1.7964370872720146E-2</v>
      </c>
      <c r="C72" s="104">
        <f si="123" t="shared"/>
        <v>2.6378519378175026E-3</v>
      </c>
      <c r="D72" s="104">
        <f si="123" t="shared"/>
        <v>2.1762403093012628E-3</v>
      </c>
      <c r="E72" s="104">
        <f si="123" t="shared"/>
        <v>5.9658341506934401E-3</v>
      </c>
      <c r="F72" s="104">
        <f si="123" t="shared"/>
        <v>3.1401227751546626E-3</v>
      </c>
      <c r="G72" s="104">
        <f si="123" t="shared"/>
        <v>2.8287862565045622E-2</v>
      </c>
      <c r="H72" s="104">
        <f si="123" t="shared"/>
        <v>9.2129070599352107E-3</v>
      </c>
      <c r="I72" s="104">
        <f si="123" t="shared"/>
        <v>0</v>
      </c>
      <c r="J72" s="104">
        <f si="123" t="shared"/>
        <v>5.7086361959677303E-3</v>
      </c>
      <c r="K72" s="104">
        <f si="123" t="shared"/>
        <v>2.4405130487527827E-3</v>
      </c>
      <c r="L72" s="104">
        <f si="123" t="shared"/>
        <v>8.3255189326697488E-4</v>
      </c>
      <c r="M72" s="104">
        <f si="123" t="shared"/>
        <v>6.2815125729186516E-2</v>
      </c>
      <c r="N72" s="104">
        <f si="123" t="shared"/>
        <v>1.0223811774966655E-3</v>
      </c>
      <c r="O72" s="104">
        <f si="123" t="shared"/>
        <v>5.0425446221232347E-5</v>
      </c>
      <c r="P72" s="104">
        <f si="123" t="shared"/>
        <v>0</v>
      </c>
      <c r="Q72" s="104">
        <f si="123" t="shared"/>
        <v>4.7778246054036138E-4</v>
      </c>
      <c r="R72" s="104">
        <f si="123" t="shared"/>
        <v>0</v>
      </c>
      <c r="S72" s="104">
        <f si="123" t="shared"/>
        <v>1.4765969037431393E-3</v>
      </c>
      <c r="T72" s="104">
        <f si="123" t="shared"/>
        <v>0</v>
      </c>
      <c r="U72" s="104">
        <f si="123" t="shared"/>
        <v>9.1868148745091901E-4</v>
      </c>
      <c r="V72" s="104">
        <f si="123" t="shared"/>
        <v>0</v>
      </c>
      <c r="W72" s="104">
        <f si="123" t="shared"/>
        <v>0.14512788401329416</v>
      </c>
      <c r="Y72" s="95">
        <v>12</v>
      </c>
      <c r="Z72" s="104">
        <f ref="Z72:AU72" si="124" t="shared">IF($W$55&gt;0,Z45/$W$55,0)</f>
        <v>1.1088794295353888E-2</v>
      </c>
      <c r="AA72" s="104">
        <f si="124" t="shared"/>
        <v>1.0047519988712388E-2</v>
      </c>
      <c r="AB72" s="104">
        <f si="124" t="shared"/>
        <v>2.4633130985474306E-3</v>
      </c>
      <c r="AC72" s="104">
        <f si="124" t="shared"/>
        <v>2.7863523557251236E-3</v>
      </c>
      <c r="AD72" s="104">
        <f si="124" t="shared"/>
        <v>3.7854428418417022E-3</v>
      </c>
      <c r="AE72" s="104">
        <f si="124" t="shared"/>
        <v>2.8529583881328958E-2</v>
      </c>
      <c r="AF72" s="104">
        <f si="124" t="shared"/>
        <v>1.0202934064330524E-2</v>
      </c>
      <c r="AG72" s="104">
        <f si="124" t="shared"/>
        <v>5.2174725386087972E-4</v>
      </c>
      <c r="AH72" s="104">
        <f si="124" t="shared"/>
        <v>5.9179459794305323E-3</v>
      </c>
      <c r="AI72" s="104">
        <f si="124" t="shared"/>
        <v>3.2670258896012111E-3</v>
      </c>
      <c r="AJ72" s="104">
        <f si="124" t="shared"/>
        <v>3.2803470960827653E-3</v>
      </c>
      <c r="AK72" s="104">
        <f si="124" t="shared"/>
        <v>5.0910320870880439E-2</v>
      </c>
      <c r="AL72" s="104">
        <f si="124" t="shared"/>
        <v>3.5800742419177388E-3</v>
      </c>
      <c r="AM72" s="104">
        <f si="124" t="shared"/>
        <v>3.2192915663756407E-4</v>
      </c>
      <c r="AN72" s="104">
        <f si="124" t="shared"/>
        <v>1.3487721562573808E-3</v>
      </c>
      <c r="AO72" s="104">
        <f si="124" t="shared"/>
        <v>8.4922691319909156E-4</v>
      </c>
      <c r="AP72" s="104">
        <f si="124" t="shared"/>
        <v>2.9750694475471441E-4</v>
      </c>
      <c r="AQ72" s="104">
        <f si="124" t="shared"/>
        <v>3.9508478223210016E-3</v>
      </c>
      <c r="AR72" s="104">
        <f si="124" t="shared"/>
        <v>6.360876094942215E-4</v>
      </c>
      <c r="AS72" s="104">
        <f si="124" t="shared"/>
        <v>1.3421115530166032E-3</v>
      </c>
      <c r="AT72" s="104">
        <f si="124" t="shared"/>
        <v>0</v>
      </c>
      <c r="AU72" s="104">
        <f si="124" t="shared"/>
        <v>0.14512788401329413</v>
      </c>
      <c r="AW72" s="95">
        <v>12</v>
      </c>
      <c r="AX72" s="104">
        <f ref="AX72:BS72" si="125" t="shared">IF($BS$55&gt;0,AX45/$BS$55,0)</f>
        <v>7.7067578633013825E-3</v>
      </c>
      <c r="AY72" s="104">
        <f si="125" t="shared"/>
        <v>6.406242473869274E-3</v>
      </c>
      <c r="AZ72" s="104">
        <f si="125" t="shared"/>
        <v>2.5046963055729492E-3</v>
      </c>
      <c r="BA72" s="104">
        <f si="125" t="shared"/>
        <v>2.9622850537064688E-3</v>
      </c>
      <c r="BB72" s="104">
        <f si="125" t="shared"/>
        <v>4.648138336303646E-3</v>
      </c>
      <c r="BC72" s="104">
        <f si="125" t="shared"/>
        <v>1.9218727421607823E-2</v>
      </c>
      <c r="BD72" s="104">
        <f si="125" t="shared"/>
        <v>1.2764317711092914E-2</v>
      </c>
      <c r="BE72" s="104">
        <f si="125" t="shared"/>
        <v>2.408361832281682E-4</v>
      </c>
      <c r="BF72" s="104">
        <f si="125" t="shared"/>
        <v>4.8648909012089974E-3</v>
      </c>
      <c r="BG72" s="104">
        <f si="125" t="shared"/>
        <v>3.4921246568084389E-3</v>
      </c>
      <c r="BH72" s="104">
        <f si="125" t="shared"/>
        <v>1.9989403207937959E-3</v>
      </c>
      <c r="BI72" s="104">
        <f si="125" t="shared"/>
        <v>6.7289629593950198E-2</v>
      </c>
      <c r="BJ72" s="104">
        <f si="125" t="shared"/>
        <v>5.7078175425075862E-3</v>
      </c>
      <c r="BK72" s="104">
        <f si="125" t="shared"/>
        <v>1.4450170993690091E-4</v>
      </c>
      <c r="BL72" s="104">
        <f si="125" t="shared"/>
        <v>7.465921680073214E-4</v>
      </c>
      <c r="BM72" s="104">
        <f si="125" t="shared"/>
        <v>6.7434131303887093E-4</v>
      </c>
      <c r="BN72" s="104">
        <f si="125" t="shared"/>
        <v>1.9266894658253456E-4</v>
      </c>
      <c r="BO72" s="104">
        <f si="125" t="shared"/>
        <v>2.7696161071239342E-3</v>
      </c>
      <c r="BP72" s="104">
        <f si="125" t="shared"/>
        <v>2.8900341987380182E-4</v>
      </c>
      <c r="BQ72" s="104">
        <f si="125" t="shared"/>
        <v>5.0575598477915317E-4</v>
      </c>
      <c r="BR72" s="104">
        <f si="125" t="shared"/>
        <v>0</v>
      </c>
      <c r="BS72" s="104">
        <f si="125" t="shared"/>
        <v>0.14512788401329416</v>
      </c>
    </row>
    <row r="73" spans="1:71" x14ac:dyDescent="0.25">
      <c r="A73" s="95">
        <v>13</v>
      </c>
      <c r="B73" s="104">
        <f ref="B73:W73" si="126" t="shared">IF($W$55&gt;0,B46/$W$55,0)</f>
        <v>6.804743875740725E-3</v>
      </c>
      <c r="C73" s="104">
        <f si="126" t="shared"/>
        <v>1.0436072710642763E-3</v>
      </c>
      <c r="D73" s="104">
        <f si="126" t="shared"/>
        <v>4.5849237628111327E-4</v>
      </c>
      <c r="E73" s="104">
        <f si="126" t="shared"/>
        <v>1.7106991028755945E-3</v>
      </c>
      <c r="F73" s="104">
        <f si="126" t="shared"/>
        <v>1.4225436788845342E-3</v>
      </c>
      <c r="G73" s="104">
        <f si="126" t="shared"/>
        <v>3.8065023038897209E-3</v>
      </c>
      <c r="H73" s="104">
        <f si="126" t="shared"/>
        <v>2.7580173307687892E-2</v>
      </c>
      <c r="I73" s="104">
        <f si="126" t="shared"/>
        <v>8.9899706069601908E-4</v>
      </c>
      <c r="J73" s="104">
        <f si="126" t="shared"/>
        <v>1.6190308413414048E-3</v>
      </c>
      <c r="K73" s="104">
        <f si="126" t="shared"/>
        <v>7.3003807421363981E-4</v>
      </c>
      <c r="L73" s="104">
        <f si="126" t="shared"/>
        <v>1.5668573564934468E-3</v>
      </c>
      <c r="M73" s="104">
        <f si="126" t="shared"/>
        <v>7.623685858274558E-3</v>
      </c>
      <c r="N73" s="104">
        <f si="126" t="shared"/>
        <v>5.8371337532257442E-2</v>
      </c>
      <c r="O73" s="104">
        <f si="126" t="shared"/>
        <v>1.7881326888220345E-4</v>
      </c>
      <c r="P73" s="104">
        <f si="126" t="shared"/>
        <v>2.5380813362384297E-3</v>
      </c>
      <c r="Q73" s="104">
        <f si="126" t="shared"/>
        <v>0</v>
      </c>
      <c r="R73" s="104">
        <f si="126" t="shared"/>
        <v>0</v>
      </c>
      <c r="S73" s="104">
        <f si="126" t="shared"/>
        <v>2.8603074531222739E-3</v>
      </c>
      <c r="T73" s="104">
        <f si="126" t="shared"/>
        <v>0</v>
      </c>
      <c r="U73" s="104">
        <f si="126" t="shared"/>
        <v>0</v>
      </c>
      <c r="V73" s="104">
        <f si="126" t="shared"/>
        <v>0</v>
      </c>
      <c r="W73" s="104">
        <f si="126" t="shared"/>
        <v>0.11921391069794327</v>
      </c>
      <c r="Y73" s="95">
        <v>13</v>
      </c>
      <c r="Z73" s="104">
        <f ref="Z73:AU73" si="127" t="shared">IF($W$55&gt;0,Z46/$W$55,0)</f>
        <v>4.7534160894208942E-3</v>
      </c>
      <c r="AA73" s="104">
        <f si="127" t="shared"/>
        <v>5.2898299226677064E-3</v>
      </c>
      <c r="AB73" s="104">
        <f si="127" t="shared"/>
        <v>1.4025712349830092E-3</v>
      </c>
      <c r="AC73" s="104">
        <f si="127" t="shared"/>
        <v>1.6127247064498345E-3</v>
      </c>
      <c r="AD73" s="104">
        <f si="127" t="shared"/>
        <v>1.7741132839851309E-3</v>
      </c>
      <c r="AE73" s="104">
        <f si="127" t="shared"/>
        <v>9.4127855976881263E-3</v>
      </c>
      <c r="AF73" s="104">
        <f si="127" t="shared"/>
        <v>1.9317864410304062E-2</v>
      </c>
      <c r="AG73" s="104">
        <f si="127" t="shared"/>
        <v>4.6094435454325719E-4</v>
      </c>
      <c r="AH73" s="104">
        <f si="127" t="shared"/>
        <v>5.9191292681650505E-3</v>
      </c>
      <c r="AI73" s="104">
        <f si="127" t="shared"/>
        <v>1.5035842295554611E-3</v>
      </c>
      <c r="AJ73" s="104">
        <f si="127" t="shared"/>
        <v>2.610082894239904E-3</v>
      </c>
      <c r="AK73" s="104">
        <f si="127" t="shared"/>
        <v>1.5061385811423507E-2</v>
      </c>
      <c r="AL73" s="104">
        <f si="127" t="shared"/>
        <v>4.0376171106402438E-2</v>
      </c>
      <c r="AM73" s="104">
        <f si="127" t="shared"/>
        <v>2.554351586889586E-4</v>
      </c>
      <c r="AN73" s="104">
        <f si="127" t="shared"/>
        <v>3.9847884755477552E-3</v>
      </c>
      <c r="AO73" s="104">
        <f si="127" t="shared"/>
        <v>3.0768325932988195E-4</v>
      </c>
      <c r="AP73" s="104">
        <f si="127" t="shared"/>
        <v>3.506428087457523E-4</v>
      </c>
      <c r="AQ73" s="104">
        <f si="127" t="shared"/>
        <v>2.9746585298232367E-3</v>
      </c>
      <c r="AR73" s="104">
        <f si="127" t="shared"/>
        <v>7.9765433645142994E-4</v>
      </c>
      <c r="AS73" s="104">
        <f si="127" t="shared"/>
        <v>1.0484452195278621E-3</v>
      </c>
      <c r="AT73" s="104">
        <f si="127" t="shared"/>
        <v>0</v>
      </c>
      <c r="AU73" s="104">
        <f si="127" t="shared"/>
        <v>0.11921391069794327</v>
      </c>
      <c r="AW73" s="95">
        <v>13</v>
      </c>
      <c r="AX73" s="104">
        <f ref="AX73:BS73" si="128" t="shared">IF($BS$55&gt;0,AX46/$BS$55,0)</f>
        <v>2.0230239391166127E-3</v>
      </c>
      <c r="AY73" s="104">
        <f si="128" t="shared"/>
        <v>2.4565290689273155E-3</v>
      </c>
      <c r="AZ73" s="104">
        <f si="128" t="shared"/>
        <v>7.465921680073214E-4</v>
      </c>
      <c r="BA73" s="104">
        <f si="128" t="shared"/>
        <v>6.2617407639323729E-4</v>
      </c>
      <c r="BB73" s="104">
        <f si="128" t="shared"/>
        <v>5.2983960310197E-4</v>
      </c>
      <c r="BC73" s="104">
        <f si="128" t="shared"/>
        <v>3.4921246568084389E-3</v>
      </c>
      <c r="BD73" s="104">
        <f si="128" t="shared"/>
        <v>2.2494099513510911E-2</v>
      </c>
      <c r="BE73" s="104">
        <f si="128" t="shared"/>
        <v>4.8167236645633639E-5</v>
      </c>
      <c r="BF73" s="104">
        <f si="128" t="shared"/>
        <v>3.1308703819661866E-3</v>
      </c>
      <c r="BG73" s="104">
        <f si="128" t="shared"/>
        <v>5.2983960310197E-4</v>
      </c>
      <c r="BH73" s="104">
        <f si="128" t="shared"/>
        <v>5.7800683974760364E-4</v>
      </c>
      <c r="BI73" s="104">
        <f si="128" t="shared"/>
        <v>1.1343384230046723E-2</v>
      </c>
      <c r="BJ73" s="104">
        <f si="128" t="shared"/>
        <v>6.3701170463850487E-2</v>
      </c>
      <c r="BK73" s="104">
        <f si="128" t="shared"/>
        <v>4.8167236645633639E-5</v>
      </c>
      <c r="BL73" s="104">
        <f si="128" t="shared"/>
        <v>4.5518038630123787E-3</v>
      </c>
      <c r="BM73" s="104">
        <f si="128" t="shared"/>
        <v>1.4450170993690091E-4</v>
      </c>
      <c r="BN73" s="104">
        <f si="128" t="shared"/>
        <v>2.408361832281682E-5</v>
      </c>
      <c r="BO73" s="104">
        <f si="128" t="shared"/>
        <v>2.384278213958865E-3</v>
      </c>
      <c r="BP73" s="104">
        <f si="128" t="shared"/>
        <v>1.4450170993690091E-4</v>
      </c>
      <c r="BQ73" s="104">
        <f si="128" t="shared"/>
        <v>2.1675256490535138E-4</v>
      </c>
      <c r="BR73" s="104">
        <f si="128" t="shared"/>
        <v>0</v>
      </c>
      <c r="BS73" s="104">
        <f si="128" t="shared"/>
        <v>0.11921391069794327</v>
      </c>
    </row>
    <row r="74" spans="1:71" x14ac:dyDescent="0.25">
      <c r="A74" s="95">
        <v>14</v>
      </c>
      <c r="B74" s="104">
        <f ref="B74:W74" si="129" t="shared">IF($W$55&gt;0,B47/$W$55,0)</f>
        <v>4.0777943455844309E-3</v>
      </c>
      <c r="C74" s="104">
        <f si="129" t="shared"/>
        <v>1.1933399765633758E-3</v>
      </c>
      <c r="D74" s="104">
        <f si="129" t="shared"/>
        <v>9.6149398618871083E-5</v>
      </c>
      <c r="E74" s="104">
        <f si="129" t="shared"/>
        <v>1.1824749042304389E-4</v>
      </c>
      <c r="F74" s="104">
        <f si="129" t="shared"/>
        <v>4.5968269068321927E-4</v>
      </c>
      <c r="G74" s="104">
        <f si="129" t="shared"/>
        <v>1.8810541070086943E-3</v>
      </c>
      <c r="H74" s="104">
        <f si="129" t="shared"/>
        <v>6.8275079384891248E-4</v>
      </c>
      <c r="I74" s="104">
        <f si="129" t="shared"/>
        <v>6.4614438892402268E-5</v>
      </c>
      <c r="J74" s="104">
        <f si="129" t="shared"/>
        <v>7.9460157888291017E-4</v>
      </c>
      <c r="K74" s="104">
        <f si="129" t="shared"/>
        <v>3.5628400731647415E-4</v>
      </c>
      <c r="L74" s="104">
        <f si="129" t="shared"/>
        <v>2.0838191802595137E-3</v>
      </c>
      <c r="M74" s="104">
        <f si="129" t="shared"/>
        <v>1.2937263809123074E-3</v>
      </c>
      <c r="N74" s="104">
        <f si="129" t="shared"/>
        <v>0</v>
      </c>
      <c r="O74" s="104">
        <f si="129" t="shared"/>
        <v>1.1210833375673234E-2</v>
      </c>
      <c r="P74" s="104">
        <f si="129" t="shared"/>
        <v>0</v>
      </c>
      <c r="Q74" s="104">
        <f si="129" t="shared"/>
        <v>0</v>
      </c>
      <c r="R74" s="104">
        <f si="129" t="shared"/>
        <v>1.0022997090078621E-3</v>
      </c>
      <c r="S74" s="104">
        <f si="129" t="shared"/>
        <v>0</v>
      </c>
      <c r="T74" s="104">
        <f si="129" t="shared"/>
        <v>4.4852620250857013E-5</v>
      </c>
      <c r="U74" s="104">
        <f si="129" t="shared"/>
        <v>0</v>
      </c>
      <c r="V74" s="104">
        <f si="129" t="shared"/>
        <v>0</v>
      </c>
      <c r="W74" s="104">
        <f si="129" t="shared"/>
        <v>2.5360050093926112E-2</v>
      </c>
      <c r="Y74" s="95">
        <v>14</v>
      </c>
      <c r="Z74" s="104">
        <f ref="Z74:AU74" si="130" t="shared">IF($W$55&gt;0,Z47/$W$55,0)</f>
        <v>1.5765803045856093E-3</v>
      </c>
      <c r="AA74" s="104">
        <f si="130" t="shared"/>
        <v>2.2003013894682454E-3</v>
      </c>
      <c r="AB74" s="104">
        <f si="130" t="shared"/>
        <v>7.144284448724926E-4</v>
      </c>
      <c r="AC74" s="104">
        <f si="130" t="shared"/>
        <v>7.9649700867283943E-4</v>
      </c>
      <c r="AD74" s="104">
        <f si="130" t="shared"/>
        <v>7.5071138886843554E-4</v>
      </c>
      <c r="AE74" s="104">
        <f si="130" t="shared"/>
        <v>2.9890234815705256E-3</v>
      </c>
      <c r="AF74" s="104">
        <f si="130" t="shared"/>
        <v>9.8223112674730847E-4</v>
      </c>
      <c r="AG74" s="104">
        <f si="130" t="shared"/>
        <v>5.5115519689075013E-4</v>
      </c>
      <c r="AH74" s="104">
        <f si="130" t="shared"/>
        <v>1.0867605606403818E-3</v>
      </c>
      <c r="AI74" s="104">
        <f si="130" t="shared"/>
        <v>5.5461071536655427E-4</v>
      </c>
      <c r="AJ74" s="104">
        <f si="130" t="shared"/>
        <v>2.5078425338148076E-3</v>
      </c>
      <c r="AK74" s="104">
        <f si="130" t="shared"/>
        <v>1.8841214489321726E-3</v>
      </c>
      <c r="AL74" s="104">
        <f si="130" t="shared"/>
        <v>4.2675653176180335E-4</v>
      </c>
      <c r="AM74" s="104">
        <f si="130" t="shared"/>
        <v>5.3975198592059659E-3</v>
      </c>
      <c r="AN74" s="104">
        <f si="130" t="shared"/>
        <v>2.9717458891915052E-4</v>
      </c>
      <c r="AO74" s="104">
        <f si="130" t="shared"/>
        <v>1.1921538741524061E-4</v>
      </c>
      <c r="AP74" s="104">
        <f si="130" t="shared"/>
        <v>1.3580187609910017E-3</v>
      </c>
      <c r="AQ74" s="104">
        <f si="130" t="shared"/>
        <v>1.5981772950593849E-4</v>
      </c>
      <c r="AR74" s="104">
        <f si="130" t="shared"/>
        <v>8.3277995266878226E-4</v>
      </c>
      <c r="AS74" s="104">
        <f si="130" t="shared"/>
        <v>1.7450368302810584E-4</v>
      </c>
      <c r="AT74" s="104">
        <f si="130" t="shared"/>
        <v>0</v>
      </c>
      <c r="AU74" s="104">
        <f si="130" t="shared"/>
        <v>2.5360050093926115E-2</v>
      </c>
      <c r="AW74" s="95">
        <v>14</v>
      </c>
      <c r="AX74" s="104">
        <f ref="AX74:BS74" si="131" t="shared">IF($BS$55&gt;0,AX47/$BS$55,0)</f>
        <v>1.469100717691826E-3</v>
      </c>
      <c r="AY74" s="104">
        <f si="131" t="shared"/>
        <v>6.2617407639323729E-4</v>
      </c>
      <c r="AZ74" s="104">
        <f si="131" t="shared"/>
        <v>9.6334473291267281E-4</v>
      </c>
      <c r="BA74" s="104">
        <f si="131" t="shared"/>
        <v>7.2250854968450458E-4</v>
      </c>
      <c r="BB74" s="104">
        <f si="131" t="shared"/>
        <v>6.2617407639323729E-4</v>
      </c>
      <c r="BC74" s="104">
        <f si="131" t="shared"/>
        <v>1.8062713742112615E-3</v>
      </c>
      <c r="BD74" s="104">
        <f si="131" t="shared"/>
        <v>4.0942151148788594E-4</v>
      </c>
      <c r="BE74" s="104">
        <f si="131" t="shared"/>
        <v>5.2983960310197E-4</v>
      </c>
      <c r="BF74" s="104">
        <f si="131" t="shared"/>
        <v>6.9842493136168776E-4</v>
      </c>
      <c r="BG74" s="104">
        <f si="131" t="shared"/>
        <v>4.3350512981070276E-4</v>
      </c>
      <c r="BH74" s="104">
        <f si="131" t="shared"/>
        <v>3.0586195269977361E-3</v>
      </c>
      <c r="BI74" s="104">
        <f si="131" t="shared"/>
        <v>9.1517749626703916E-4</v>
      </c>
      <c r="BJ74" s="104">
        <f si="131" t="shared"/>
        <v>7.2250854968450455E-5</v>
      </c>
      <c r="BK74" s="104">
        <f si="131" t="shared"/>
        <v>1.0091036077260248E-2</v>
      </c>
      <c r="BL74" s="104">
        <f si="131" t="shared"/>
        <v>9.6334473291267278E-5</v>
      </c>
      <c r="BM74" s="104">
        <f si="131" t="shared"/>
        <v>2.408361832281682E-5</v>
      </c>
      <c r="BN74" s="104">
        <f si="131" t="shared"/>
        <v>1.9026058475025288E-3</v>
      </c>
      <c r="BO74" s="104">
        <f si="131" t="shared"/>
        <v>4.8167236645633639E-5</v>
      </c>
      <c r="BP74" s="104">
        <f si="131" t="shared"/>
        <v>8.6701025962140552E-4</v>
      </c>
      <c r="BQ74" s="104">
        <f si="131" t="shared"/>
        <v>0</v>
      </c>
      <c r="BR74" s="104">
        <f si="131" t="shared"/>
        <v>0</v>
      </c>
      <c r="BS74" s="104">
        <f si="131" t="shared"/>
        <v>2.5360050093926112E-2</v>
      </c>
    </row>
    <row r="75" spans="1:71" x14ac:dyDescent="0.25">
      <c r="A75" s="95">
        <v>15</v>
      </c>
      <c r="B75" s="104">
        <f ref="B75:W75" si="132" t="shared">IF($W$55&gt;0,B48/$W$55,0)</f>
        <v>2.9885243652592198E-3</v>
      </c>
      <c r="C75" s="104">
        <f si="132" t="shared"/>
        <v>3.9607248929163534E-3</v>
      </c>
      <c r="D75" s="104">
        <f si="132" t="shared"/>
        <v>1.4543092211694588E-3</v>
      </c>
      <c r="E75" s="104">
        <f si="132" t="shared"/>
        <v>8.8651450982520552E-4</v>
      </c>
      <c r="F75" s="104">
        <f si="132" t="shared"/>
        <v>5.3303910820231366E-4</v>
      </c>
      <c r="G75" s="104">
        <f si="132" t="shared"/>
        <v>2.13185284779692E-3</v>
      </c>
      <c r="H75" s="104">
        <f si="132" t="shared"/>
        <v>3.742745238261006E-3</v>
      </c>
      <c r="I75" s="104">
        <f si="132" t="shared"/>
        <v>0</v>
      </c>
      <c r="J75" s="104">
        <f si="132" t="shared"/>
        <v>7.1946291042280742E-3</v>
      </c>
      <c r="K75" s="104">
        <f si="132" t="shared"/>
        <v>6.3276759249563297E-4</v>
      </c>
      <c r="L75" s="104">
        <f si="132" t="shared"/>
        <v>1.0877611262742504E-3</v>
      </c>
      <c r="M75" s="104">
        <f si="132" t="shared"/>
        <v>1.6017099591261832E-3</v>
      </c>
      <c r="N75" s="104">
        <f si="132" t="shared"/>
        <v>6.2428425960543259E-3</v>
      </c>
      <c r="O75" s="104">
        <f si="132" t="shared"/>
        <v>0</v>
      </c>
      <c r="P75" s="104">
        <f si="132" t="shared"/>
        <v>2.0053384728220085E-2</v>
      </c>
      <c r="Q75" s="104">
        <f si="132" t="shared"/>
        <v>0</v>
      </c>
      <c r="R75" s="104">
        <f si="132" t="shared"/>
        <v>0</v>
      </c>
      <c r="S75" s="104">
        <f si="132" t="shared"/>
        <v>0</v>
      </c>
      <c r="T75" s="104">
        <f si="132" t="shared"/>
        <v>1.3598436384854175E-4</v>
      </c>
      <c r="U75" s="104">
        <f si="132" t="shared"/>
        <v>0</v>
      </c>
      <c r="V75" s="104">
        <f si="132" t="shared"/>
        <v>0</v>
      </c>
      <c r="W75" s="104">
        <f si="132" t="shared"/>
        <v>5.264678965367757E-2</v>
      </c>
      <c r="Y75" s="95">
        <v>15</v>
      </c>
      <c r="Z75" s="104">
        <f ref="Z75:AU75" si="133" t="shared">IF($W$55&gt;0,Z48/$W$55,0)</f>
        <v>2.6083211033686095E-3</v>
      </c>
      <c r="AA75" s="104">
        <f si="133" t="shared"/>
        <v>3.6514355725172538E-3</v>
      </c>
      <c r="AB75" s="104">
        <f si="133" t="shared"/>
        <v>7.7243963766699601E-4</v>
      </c>
      <c r="AC75" s="104">
        <f si="133" t="shared"/>
        <v>8.3556143631291382E-4</v>
      </c>
      <c r="AD75" s="104">
        <f si="133" t="shared"/>
        <v>1.0666514110166134E-3</v>
      </c>
      <c r="AE75" s="104">
        <f si="133" t="shared"/>
        <v>5.158869713061294E-3</v>
      </c>
      <c r="AF75" s="104">
        <f si="133" t="shared"/>
        <v>4.9673645951355426E-3</v>
      </c>
      <c r="AG75" s="104">
        <f si="133" t="shared"/>
        <v>2.760241364516412E-4</v>
      </c>
      <c r="AH75" s="104">
        <f si="133" t="shared"/>
        <v>5.7686904796405026E-3</v>
      </c>
      <c r="AI75" s="104">
        <f si="133" t="shared"/>
        <v>7.0610825603908218E-4</v>
      </c>
      <c r="AJ75" s="104">
        <f si="133" t="shared"/>
        <v>1.966404506969444E-3</v>
      </c>
      <c r="AK75" s="104">
        <f si="133" t="shared"/>
        <v>4.4527614570222121E-3</v>
      </c>
      <c r="AL75" s="104">
        <f si="133" t="shared"/>
        <v>5.0005302859495006E-3</v>
      </c>
      <c r="AM75" s="104">
        <f si="133" t="shared"/>
        <v>1.7545720301577193E-4</v>
      </c>
      <c r="AN75" s="104">
        <f si="133" t="shared"/>
        <v>1.2794467627229369E-2</v>
      </c>
      <c r="AO75" s="104">
        <f si="133" t="shared"/>
        <v>1.3373262424982616E-4</v>
      </c>
      <c r="AP75" s="104">
        <f si="133" t="shared"/>
        <v>2.5997622154166211E-4</v>
      </c>
      <c r="AQ75" s="104">
        <f si="133" t="shared"/>
        <v>4.8571689127536864E-4</v>
      </c>
      <c r="AR75" s="104">
        <f si="133" t="shared"/>
        <v>1.3373262424982619E-3</v>
      </c>
      <c r="AS75" s="104">
        <f si="133" t="shared"/>
        <v>2.2895025271570243E-4</v>
      </c>
      <c r="AT75" s="104">
        <f si="133" t="shared"/>
        <v>0</v>
      </c>
      <c r="AU75" s="104">
        <f si="133" t="shared"/>
        <v>5.2646789653677577E-2</v>
      </c>
      <c r="AW75" s="95">
        <v>15</v>
      </c>
      <c r="AX75" s="104">
        <f ref="AX75:BS75" si="134" t="shared">IF($BS$55&gt;0,AX48/$BS$55,0)</f>
        <v>1.4209334810461923E-3</v>
      </c>
      <c r="AY75" s="104">
        <f si="134" t="shared"/>
        <v>1.8062713742112615E-3</v>
      </c>
      <c r="AZ75" s="104">
        <f si="134" t="shared"/>
        <v>8.6701025962140552E-4</v>
      </c>
      <c r="BA75" s="104">
        <f si="134" t="shared"/>
        <v>4.3350512981070276E-4</v>
      </c>
      <c r="BB75" s="104">
        <f si="134" t="shared"/>
        <v>5.7800683974760364E-4</v>
      </c>
      <c r="BC75" s="104">
        <f si="134" t="shared"/>
        <v>2.3601945956360482E-3</v>
      </c>
      <c r="BD75" s="104">
        <f si="134" t="shared"/>
        <v>3.1308703819661866E-3</v>
      </c>
      <c r="BE75" s="104">
        <f si="134" t="shared"/>
        <v>2.408361832281682E-5</v>
      </c>
      <c r="BF75" s="104">
        <f si="134" t="shared"/>
        <v>5.6355666875391357E-3</v>
      </c>
      <c r="BG75" s="104">
        <f si="134" t="shared"/>
        <v>3.1308703819661864E-4</v>
      </c>
      <c r="BH75" s="104">
        <f si="134" t="shared"/>
        <v>1.5895188093059101E-3</v>
      </c>
      <c r="BI75" s="104">
        <f si="134" t="shared"/>
        <v>2.2879437406675977E-3</v>
      </c>
      <c r="BJ75" s="104">
        <f si="134" t="shared"/>
        <v>7.9475940465295498E-3</v>
      </c>
      <c r="BK75" s="104">
        <f si="134" t="shared"/>
        <v>1.204180916140841E-4</v>
      </c>
      <c r="BL75" s="104">
        <f si="134" t="shared"/>
        <v>2.2373681421896826E-2</v>
      </c>
      <c r="BM75" s="104">
        <f si="134" t="shared"/>
        <v>0</v>
      </c>
      <c r="BN75" s="104">
        <f si="134" t="shared"/>
        <v>1.9266894658253456E-4</v>
      </c>
      <c r="BO75" s="104">
        <f si="134" t="shared"/>
        <v>7.2250854968450455E-5</v>
      </c>
      <c r="BP75" s="104">
        <f si="134" t="shared"/>
        <v>1.469100717691826E-3</v>
      </c>
      <c r="BQ75" s="104">
        <f si="134" t="shared"/>
        <v>2.408361832281682E-5</v>
      </c>
      <c r="BR75" s="104">
        <f si="134" t="shared"/>
        <v>0</v>
      </c>
      <c r="BS75" s="104">
        <f si="134" t="shared"/>
        <v>5.264678965367757E-2</v>
      </c>
    </row>
    <row r="76" spans="1:71" x14ac:dyDescent="0.25">
      <c r="A76" s="95">
        <v>16</v>
      </c>
      <c r="B76" s="104">
        <f ref="B76:W76" si="135" t="shared">IF($W$55&gt;0,B49/$W$55,0)</f>
        <v>5.8202843747487735E-4</v>
      </c>
      <c r="C76" s="104">
        <f si="135" t="shared"/>
        <v>5.2845899651250336E-4</v>
      </c>
      <c r="D76" s="104">
        <f si="135" t="shared"/>
        <v>1.0732103365827311E-3</v>
      </c>
      <c r="E76" s="104">
        <f si="135" t="shared"/>
        <v>6.3656020131032203E-4</v>
      </c>
      <c r="F76" s="104">
        <f si="135" t="shared"/>
        <v>1.161045454818484E-3</v>
      </c>
      <c r="G76" s="104">
        <f si="135" t="shared"/>
        <v>6.0707906580663709E-3</v>
      </c>
      <c r="H76" s="104">
        <f si="135" t="shared"/>
        <v>7.6460497373502794E-4</v>
      </c>
      <c r="I76" s="104">
        <f si="135" t="shared"/>
        <v>9.6648719106026779E-4</v>
      </c>
      <c r="J76" s="104">
        <f si="135" t="shared"/>
        <v>9.9547966726591035E-4</v>
      </c>
      <c r="K76" s="104">
        <f si="135" t="shared"/>
        <v>1.1316561832678332E-3</v>
      </c>
      <c r="L76" s="104">
        <f si="135" t="shared"/>
        <v>0</v>
      </c>
      <c r="M76" s="104">
        <f si="135" t="shared"/>
        <v>5.7281125774796948E-3</v>
      </c>
      <c r="N76" s="104">
        <f si="135" t="shared"/>
        <v>0</v>
      </c>
      <c r="O76" s="104">
        <f si="135" t="shared"/>
        <v>0</v>
      </c>
      <c r="P76" s="104">
        <f si="135" t="shared"/>
        <v>0</v>
      </c>
      <c r="Q76" s="104">
        <f si="135" t="shared"/>
        <v>2.3055043874985252E-4</v>
      </c>
      <c r="R76" s="104">
        <f si="135" t="shared"/>
        <v>0</v>
      </c>
      <c r="S76" s="104">
        <f si="135" t="shared"/>
        <v>0</v>
      </c>
      <c r="T76" s="104">
        <f si="135" t="shared"/>
        <v>0</v>
      </c>
      <c r="U76" s="104">
        <f si="135" t="shared"/>
        <v>0</v>
      </c>
      <c r="V76" s="104">
        <f si="135" t="shared"/>
        <v>0</v>
      </c>
      <c r="W76" s="104">
        <f si="135" t="shared"/>
        <v>1.9868985116323876E-2</v>
      </c>
      <c r="Y76" s="95">
        <v>16</v>
      </c>
      <c r="Z76" s="104">
        <f ref="Z76:AU76" si="136" t="shared">IF($W$55&gt;0,Z49/$W$55,0)</f>
        <v>1.6112970710886608E-3</v>
      </c>
      <c r="AA76" s="104">
        <f si="136" t="shared"/>
        <v>1.5735897766168373E-3</v>
      </c>
      <c r="AB76" s="104">
        <f si="136" t="shared"/>
        <v>3.3016874915572448E-4</v>
      </c>
      <c r="AC76" s="104">
        <f si="136" t="shared"/>
        <v>5.6377003685921761E-4</v>
      </c>
      <c r="AD76" s="104">
        <f si="136" t="shared"/>
        <v>8.4151644979801649E-4</v>
      </c>
      <c r="AE76" s="104">
        <f si="136" t="shared"/>
        <v>4.8219352418480878E-3</v>
      </c>
      <c r="AF76" s="104">
        <f si="136" t="shared"/>
        <v>6.5665873787517347E-4</v>
      </c>
      <c r="AG76" s="104">
        <f si="136" t="shared"/>
        <v>1.085234328701267E-4</v>
      </c>
      <c r="AH76" s="104">
        <f si="136" t="shared"/>
        <v>5.6285034675014872E-4</v>
      </c>
      <c r="AI76" s="104">
        <f si="136" t="shared"/>
        <v>1.3666595020763415E-3</v>
      </c>
      <c r="AJ76" s="104">
        <f si="136" t="shared"/>
        <v>4.0006519744495862E-4</v>
      </c>
      <c r="AK76" s="104">
        <f si="136" t="shared"/>
        <v>4.6738651342879993E-3</v>
      </c>
      <c r="AL76" s="104">
        <f si="136" t="shared"/>
        <v>3.6235790297313496E-4</v>
      </c>
      <c r="AM76" s="104">
        <f si="136" t="shared"/>
        <v>5.7020786762269957E-5</v>
      </c>
      <c r="AN76" s="104">
        <f si="136" t="shared"/>
        <v>1.2231878450615977E-4</v>
      </c>
      <c r="AO76" s="104">
        <f si="136" t="shared"/>
        <v>1.0134985001938952E-3</v>
      </c>
      <c r="AP76" s="104">
        <f si="136" t="shared"/>
        <v>2.9430083490203853E-5</v>
      </c>
      <c r="AQ76" s="104">
        <f si="136" t="shared"/>
        <v>4.9111451824277678E-4</v>
      </c>
      <c r="AR76" s="104">
        <f si="136" t="shared"/>
        <v>9.1049320797818175E-5</v>
      </c>
      <c r="AS76" s="104">
        <f si="136" t="shared"/>
        <v>1.9129554268632504E-4</v>
      </c>
      <c r="AT76" s="104">
        <f si="136" t="shared"/>
        <v>0</v>
      </c>
      <c r="AU76" s="104">
        <f si="136" t="shared"/>
        <v>1.9868985116323876E-2</v>
      </c>
      <c r="AW76" s="95">
        <v>16</v>
      </c>
      <c r="AX76" s="104">
        <f ref="AX76:BS76" si="137" t="shared">IF($BS$55&gt;0,AX49/$BS$55,0)</f>
        <v>1.4450170993690092E-3</v>
      </c>
      <c r="AY76" s="104">
        <f si="137" t="shared"/>
        <v>5.0575598477915317E-4</v>
      </c>
      <c r="AZ76" s="104">
        <f si="137" t="shared"/>
        <v>4.0942151148788594E-4</v>
      </c>
      <c r="BA76" s="104">
        <f si="137" t="shared"/>
        <v>6.5025769471605411E-4</v>
      </c>
      <c r="BB76" s="104">
        <f si="137" t="shared"/>
        <v>8.429266412985887E-4</v>
      </c>
      <c r="BC76" s="104">
        <f si="137" t="shared"/>
        <v>3.1549540002890034E-3</v>
      </c>
      <c r="BD76" s="104">
        <f si="137" t="shared"/>
        <v>5.2983960310197E-4</v>
      </c>
      <c r="BE76" s="104">
        <f si="137" t="shared"/>
        <v>4.8167236645633639E-5</v>
      </c>
      <c r="BF76" s="104">
        <f si="137" t="shared"/>
        <v>4.8167236645633641E-4</v>
      </c>
      <c r="BG76" s="104">
        <f si="137" t="shared"/>
        <v>1.4209334810461923E-3</v>
      </c>
      <c r="BH76" s="104">
        <f si="137" t="shared"/>
        <v>2.1675256490535138E-4</v>
      </c>
      <c r="BI76" s="104">
        <f si="137" t="shared"/>
        <v>6.8638312220027937E-3</v>
      </c>
      <c r="BJ76" s="104">
        <f si="137" t="shared"/>
        <v>2.408361832281682E-4</v>
      </c>
      <c r="BK76" s="104">
        <f si="137" t="shared"/>
        <v>2.408361832281682E-5</v>
      </c>
      <c r="BL76" s="104">
        <f si="137" t="shared"/>
        <v>1.204180916140841E-4</v>
      </c>
      <c r="BM76" s="104">
        <f si="137" t="shared"/>
        <v>1.8303549925340783E-3</v>
      </c>
      <c r="BN76" s="104">
        <f si="137" t="shared"/>
        <v>2.408361832281682E-5</v>
      </c>
      <c r="BO76" s="104">
        <f si="137" t="shared"/>
        <v>6.2617407639323729E-4</v>
      </c>
      <c r="BP76" s="104">
        <f si="137" t="shared"/>
        <v>7.2250854968450455E-5</v>
      </c>
      <c r="BQ76" s="104">
        <f si="137" t="shared"/>
        <v>3.6125427484225229E-4</v>
      </c>
      <c r="BR76" s="104">
        <f si="137" t="shared"/>
        <v>0</v>
      </c>
      <c r="BS76" s="104">
        <f si="137" t="shared"/>
        <v>1.9868985116323876E-2</v>
      </c>
    </row>
    <row r="77" spans="1:71" x14ac:dyDescent="0.25">
      <c r="A77" s="95">
        <v>17</v>
      </c>
      <c r="B77" s="104">
        <f ref="B77:W77" si="138" t="shared">IF($W$55&gt;0,B50/$W$55,0)</f>
        <v>2.024554256157299E-3</v>
      </c>
      <c r="C77" s="104">
        <f si="138" t="shared"/>
        <v>2.1404215939588877E-3</v>
      </c>
      <c r="D77" s="104">
        <f si="138" t="shared"/>
        <v>7.2688311029654089E-4</v>
      </c>
      <c r="E77" s="104">
        <f si="138" t="shared"/>
        <v>1.5731476378907298E-3</v>
      </c>
      <c r="F77" s="104">
        <f si="138" t="shared"/>
        <v>6.5128824366317685E-4</v>
      </c>
      <c r="G77" s="104">
        <f si="138" t="shared"/>
        <v>9.1486356635471402E-4</v>
      </c>
      <c r="H77" s="104">
        <f si="138" t="shared"/>
        <v>1.7730977400590795E-3</v>
      </c>
      <c r="I77" s="104">
        <f si="138" t="shared"/>
        <v>0</v>
      </c>
      <c r="J77" s="104">
        <f si="138" t="shared"/>
        <v>5.4182285866180113E-4</v>
      </c>
      <c r="K77" s="104">
        <f si="138" t="shared"/>
        <v>0</v>
      </c>
      <c r="L77" s="104">
        <f si="138" t="shared"/>
        <v>7.9005033659273489E-3</v>
      </c>
      <c r="M77" s="104">
        <f si="138" t="shared"/>
        <v>2.1926896126266467E-3</v>
      </c>
      <c r="N77" s="104">
        <f si="138" t="shared"/>
        <v>0</v>
      </c>
      <c r="O77" s="104">
        <f si="138" t="shared"/>
        <v>1.1768010706542222E-3</v>
      </c>
      <c r="P77" s="104">
        <f si="138" t="shared"/>
        <v>1.2888784975204876E-4</v>
      </c>
      <c r="Q77" s="104">
        <f si="138" t="shared"/>
        <v>0</v>
      </c>
      <c r="R77" s="104">
        <f si="138" t="shared"/>
        <v>5.918189077666669E-3</v>
      </c>
      <c r="S77" s="104">
        <f si="138" t="shared"/>
        <v>0</v>
      </c>
      <c r="T77" s="104">
        <f si="138" t="shared"/>
        <v>1.2853592403566567E-3</v>
      </c>
      <c r="U77" s="104">
        <f si="138" t="shared"/>
        <v>0</v>
      </c>
      <c r="V77" s="104">
        <f si="138" t="shared"/>
        <v>0</v>
      </c>
      <c r="W77" s="104">
        <f si="138" t="shared"/>
        <v>2.8948509224025816E-2</v>
      </c>
      <c r="Y77" s="95">
        <v>17</v>
      </c>
      <c r="Z77" s="104">
        <f ref="Z77:AU77" si="139" t="shared">IF($W$55&gt;0,Z50/$W$55,0)</f>
        <v>1.6598002749838141E-3</v>
      </c>
      <c r="AA77" s="104">
        <f si="139" t="shared"/>
        <v>2.2283788439665842E-3</v>
      </c>
      <c r="AB77" s="104">
        <f si="139" t="shared"/>
        <v>7.2884218717001424E-4</v>
      </c>
      <c r="AC77" s="104">
        <f si="139" t="shared"/>
        <v>7.604865958566675E-4</v>
      </c>
      <c r="AD77" s="104">
        <f si="139" t="shared"/>
        <v>7.431332104478577E-4</v>
      </c>
      <c r="AE77" s="104">
        <f si="139" t="shared"/>
        <v>3.3930972411108226E-3</v>
      </c>
      <c r="AF77" s="104">
        <f si="139" t="shared"/>
        <v>1.0912217060010437E-3</v>
      </c>
      <c r="AG77" s="104">
        <f si="139" t="shared"/>
        <v>4.1035652554950383E-4</v>
      </c>
      <c r="AH77" s="104">
        <f si="139" t="shared"/>
        <v>1.2157577659936791E-3</v>
      </c>
      <c r="AI77" s="104">
        <f si="139" t="shared"/>
        <v>4.8793636620065385E-4</v>
      </c>
      <c r="AJ77" s="104">
        <f si="139" t="shared"/>
        <v>4.2954732823689357E-3</v>
      </c>
      <c r="AK77" s="104">
        <f si="139" t="shared"/>
        <v>1.9241842056239172E-3</v>
      </c>
      <c r="AL77" s="104">
        <f si="139" t="shared"/>
        <v>4.5731274489098936E-4</v>
      </c>
      <c r="AM77" s="104">
        <f si="139" t="shared"/>
        <v>1.6934862584244447E-3</v>
      </c>
      <c r="AN77" s="104">
        <f si="139" t="shared"/>
        <v>4.3791778472820181E-4</v>
      </c>
      <c r="AO77" s="104">
        <f si="139" t="shared"/>
        <v>1.1432818622274734E-4</v>
      </c>
      <c r="AP77" s="104">
        <f si="139" t="shared"/>
        <v>3.7034166037154224E-3</v>
      </c>
      <c r="AQ77" s="104">
        <f si="139" t="shared"/>
        <v>1.7659621621906506E-4</v>
      </c>
      <c r="AR77" s="104">
        <f si="139" t="shared"/>
        <v>3.3196005499676281E-3</v>
      </c>
      <c r="AS77" s="104">
        <f si="139" t="shared"/>
        <v>1.0718267458382563E-4</v>
      </c>
      <c r="AT77" s="104">
        <f si="139" t="shared"/>
        <v>0</v>
      </c>
      <c r="AU77" s="104">
        <f si="139" t="shared"/>
        <v>2.8948509224025816E-2</v>
      </c>
      <c r="AW77" s="95">
        <v>17</v>
      </c>
      <c r="AX77" s="104">
        <f ref="AX77:BS77" si="140" t="shared">IF($BS$55&gt;0,AX50/$BS$55,0)</f>
        <v>1.0355955878811232E-3</v>
      </c>
      <c r="AY77" s="104">
        <f si="140" t="shared"/>
        <v>7.465921680073214E-4</v>
      </c>
      <c r="AZ77" s="104">
        <f si="140" t="shared"/>
        <v>1.0115119695583063E-3</v>
      </c>
      <c r="BA77" s="104">
        <f si="140" t="shared"/>
        <v>5.5392322142478682E-4</v>
      </c>
      <c r="BB77" s="104">
        <f si="140" t="shared"/>
        <v>4.0942151148788594E-4</v>
      </c>
      <c r="BC77" s="104">
        <f si="140" t="shared"/>
        <v>2.0952747940850632E-3</v>
      </c>
      <c r="BD77" s="104">
        <f si="140" t="shared"/>
        <v>2.408361832281682E-4</v>
      </c>
      <c r="BE77" s="104">
        <f si="140" t="shared"/>
        <v>4.3350512981070276E-4</v>
      </c>
      <c r="BF77" s="104">
        <f si="140" t="shared"/>
        <v>8.429266412985887E-4</v>
      </c>
      <c r="BG77" s="104">
        <f si="140" t="shared"/>
        <v>1.9266894658253456E-4</v>
      </c>
      <c r="BH77" s="104">
        <f si="140" t="shared"/>
        <v>4.7685564279177301E-3</v>
      </c>
      <c r="BI77" s="104">
        <f si="140" t="shared"/>
        <v>9.8742835123548952E-4</v>
      </c>
      <c r="BJ77" s="104">
        <f si="140" t="shared"/>
        <v>9.6334473291267278E-5</v>
      </c>
      <c r="BK77" s="104">
        <f si="140" t="shared"/>
        <v>3.2512884735802707E-3</v>
      </c>
      <c r="BL77" s="104">
        <f si="140" t="shared"/>
        <v>4.3350512981070276E-4</v>
      </c>
      <c r="BM77" s="104">
        <f si="140" t="shared"/>
        <v>0</v>
      </c>
      <c r="BN77" s="104">
        <f si="140" t="shared"/>
        <v>6.8879148403256105E-3</v>
      </c>
      <c r="BO77" s="104">
        <f si="140" t="shared"/>
        <v>0</v>
      </c>
      <c r="BP77" s="104">
        <f si="140" t="shared"/>
        <v>4.9612253745002647E-3</v>
      </c>
      <c r="BQ77" s="104">
        <f si="140" t="shared"/>
        <v>0</v>
      </c>
      <c r="BR77" s="104">
        <f si="140" t="shared"/>
        <v>0</v>
      </c>
      <c r="BS77" s="104">
        <f si="140" t="shared"/>
        <v>2.8948509224025816E-2</v>
      </c>
    </row>
    <row r="78" spans="1:71" x14ac:dyDescent="0.25">
      <c r="A78" s="95">
        <v>18</v>
      </c>
      <c r="B78" s="104">
        <f ref="B78:W78" si="141" t="shared">IF($W$55&gt;0,B51/$W$55,0)</f>
        <v>4.7273700055776554E-3</v>
      </c>
      <c r="C78" s="104">
        <f si="141" t="shared"/>
        <v>1.6592098084063864E-3</v>
      </c>
      <c r="D78" s="104">
        <f si="141" t="shared"/>
        <v>4.4290638459318073E-4</v>
      </c>
      <c r="E78" s="104">
        <f si="141" t="shared"/>
        <v>1.7646554629162663E-3</v>
      </c>
      <c r="F78" s="104">
        <f si="141" t="shared"/>
        <v>9.890207001777146E-4</v>
      </c>
      <c r="G78" s="104">
        <f si="141" t="shared"/>
        <v>3.7943318455696457E-3</v>
      </c>
      <c r="H78" s="104">
        <f si="141" t="shared"/>
        <v>4.7959405672095314E-3</v>
      </c>
      <c r="I78" s="104">
        <f si="141" t="shared"/>
        <v>0</v>
      </c>
      <c r="J78" s="104">
        <f si="141" t="shared"/>
        <v>0</v>
      </c>
      <c r="K78" s="104">
        <f si="141" t="shared"/>
        <v>2.6467386441668086E-4</v>
      </c>
      <c r="L78" s="104">
        <f si="141" t="shared"/>
        <v>0</v>
      </c>
      <c r="M78" s="104">
        <f si="141" t="shared"/>
        <v>2.7032378871116387E-2</v>
      </c>
      <c r="N78" s="104">
        <f si="141" t="shared"/>
        <v>1.2461057964034445E-2</v>
      </c>
      <c r="O78" s="104">
        <f si="141" t="shared"/>
        <v>0</v>
      </c>
      <c r="P78" s="104">
        <f si="141" t="shared"/>
        <v>0</v>
      </c>
      <c r="Q78" s="104">
        <f si="141" t="shared"/>
        <v>6.9376845014196265E-5</v>
      </c>
      <c r="R78" s="104">
        <f si="141" t="shared"/>
        <v>0</v>
      </c>
      <c r="S78" s="104">
        <f si="141" t="shared"/>
        <v>5.4670871043846214E-3</v>
      </c>
      <c r="T78" s="104">
        <f si="141" t="shared"/>
        <v>0</v>
      </c>
      <c r="U78" s="104">
        <f si="141" t="shared"/>
        <v>6.1849893359884947E-4</v>
      </c>
      <c r="V78" s="104">
        <f si="141" t="shared"/>
        <v>0</v>
      </c>
      <c r="W78" s="104">
        <f si="141" t="shared"/>
        <v>6.4086508357015556E-2</v>
      </c>
      <c r="Y78" s="95">
        <v>18</v>
      </c>
      <c r="Z78" s="104">
        <f ref="Z78:AU78" si="142" t="shared">IF($W$55&gt;0,Z51/$W$55,0)</f>
        <v>2.9348138274216729E-3</v>
      </c>
      <c r="AA78" s="104">
        <f si="142" t="shared"/>
        <v>2.7436497812885706E-3</v>
      </c>
      <c r="AB78" s="104">
        <f si="142" t="shared"/>
        <v>6.1608309168284861E-4</v>
      </c>
      <c r="AC78" s="104">
        <f si="142" t="shared"/>
        <v>8.1418054881559742E-4</v>
      </c>
      <c r="AD78" s="104">
        <f si="142" t="shared"/>
        <v>1.0697262685168435E-3</v>
      </c>
      <c r="AE78" s="104">
        <f si="142" t="shared"/>
        <v>6.8561529913644358E-3</v>
      </c>
      <c r="AF78" s="104">
        <f si="142" t="shared"/>
        <v>4.92074083517748E-3</v>
      </c>
      <c r="AG78" s="104">
        <f si="142" t="shared"/>
        <v>1.782877114194739E-4</v>
      </c>
      <c r="AH78" s="104">
        <f si="142" t="shared"/>
        <v>2.1364810751766956E-3</v>
      </c>
      <c r="AI78" s="104">
        <f si="142" t="shared"/>
        <v>1.0340687262329487E-3</v>
      </c>
      <c r="AJ78" s="104">
        <f si="142" t="shared"/>
        <v>9.4492487052321166E-4</v>
      </c>
      <c r="AK78" s="104">
        <f si="142" t="shared"/>
        <v>2.0827966642937207E-2</v>
      </c>
      <c r="AL78" s="104">
        <f si="142" t="shared"/>
        <v>6.3896334798168117E-3</v>
      </c>
      <c r="AM78" s="104">
        <f si="142" t="shared"/>
        <v>1.3371578356460544E-4</v>
      </c>
      <c r="AN78" s="104">
        <f si="142" t="shared"/>
        <v>7.6564667181807397E-4</v>
      </c>
      <c r="AO78" s="104">
        <f si="142" t="shared"/>
        <v>4.1204271083611739E-4</v>
      </c>
      <c r="AP78" s="104">
        <f si="142" t="shared"/>
        <v>1.0598213956602059E-4</v>
      </c>
      <c r="AQ78" s="104">
        <f si="142" t="shared"/>
        <v>6.9244966140752338E-3</v>
      </c>
      <c r="AR78" s="104">
        <f si="142" t="shared"/>
        <v>2.9219374927080447E-4</v>
      </c>
      <c r="AS78" s="104">
        <f si="142" t="shared"/>
        <v>3.9857208375109051E-3</v>
      </c>
      <c r="AT78" s="104">
        <f si="142" t="shared"/>
        <v>0</v>
      </c>
      <c r="AU78" s="104">
        <f si="142" t="shared"/>
        <v>6.4086508357015556E-2</v>
      </c>
      <c r="AW78" s="95">
        <v>18</v>
      </c>
      <c r="AX78" s="104">
        <f ref="AX78:BS78" si="143" t="shared">IF($BS$55&gt;0,AX51/$BS$55,0)</f>
        <v>1.3727662444005587E-3</v>
      </c>
      <c r="AY78" s="104">
        <f si="143" t="shared"/>
        <v>1.2523481527864746E-3</v>
      </c>
      <c r="AZ78" s="104">
        <f si="143" t="shared"/>
        <v>6.2617407639323729E-4</v>
      </c>
      <c r="BA78" s="104">
        <f si="143" t="shared"/>
        <v>4.8167236645633641E-4</v>
      </c>
      <c r="BB78" s="104">
        <f si="143" t="shared"/>
        <v>8.429266412985887E-4</v>
      </c>
      <c r="BC78" s="104">
        <f si="143" t="shared"/>
        <v>3.2994557102259043E-3</v>
      </c>
      <c r="BD78" s="104">
        <f si="143" t="shared"/>
        <v>3.4198738018399884E-3</v>
      </c>
      <c r="BE78" s="104">
        <f si="143" t="shared"/>
        <v>7.2250854968450455E-5</v>
      </c>
      <c r="BF78" s="104">
        <f si="143" t="shared"/>
        <v>5.2983960310197E-4</v>
      </c>
      <c r="BG78" s="104">
        <f si="143" t="shared"/>
        <v>7.9475940465295505E-4</v>
      </c>
      <c r="BH78" s="104">
        <f si="143" t="shared"/>
        <v>3.3717065651943547E-4</v>
      </c>
      <c r="BI78" s="104">
        <f si="143" t="shared"/>
        <v>2.1000915177496266E-2</v>
      </c>
      <c r="BJ78" s="104">
        <f si="143" t="shared"/>
        <v>1.0115119695583064E-2</v>
      </c>
      <c r="BK78" s="104">
        <f si="143" t="shared"/>
        <v>0</v>
      </c>
      <c r="BL78" s="104">
        <f si="143" t="shared"/>
        <v>1.9266894658253456E-4</v>
      </c>
      <c r="BM78" s="104">
        <f si="143" t="shared"/>
        <v>2.8900341987380182E-4</v>
      </c>
      <c r="BN78" s="104">
        <f si="143" t="shared"/>
        <v>2.408361832281682E-5</v>
      </c>
      <c r="BO78" s="104">
        <f si="143" t="shared"/>
        <v>1.3366408169163336E-2</v>
      </c>
      <c r="BP78" s="104">
        <f si="143" t="shared"/>
        <v>7.2250854968450455E-5</v>
      </c>
      <c r="BQ78" s="104">
        <f si="143" t="shared"/>
        <v>5.9968209623813881E-3</v>
      </c>
      <c r="BR78" s="104">
        <f si="143" t="shared"/>
        <v>0</v>
      </c>
      <c r="BS78" s="104">
        <f si="143" t="shared"/>
        <v>6.4086508357015556E-2</v>
      </c>
    </row>
    <row r="79" spans="1:71" x14ac:dyDescent="0.25">
      <c r="A79" s="95">
        <v>19</v>
      </c>
      <c r="B79" s="104">
        <f ref="B79:W79" si="144" t="shared">IF($W$55&gt;0,B52/$W$55,0)</f>
        <v>3.7912690685893095E-3</v>
      </c>
      <c r="C79" s="104">
        <f si="144" t="shared"/>
        <v>1.2219902898934674E-3</v>
      </c>
      <c r="D79" s="104">
        <f si="144" t="shared"/>
        <v>1.2254131664258493E-3</v>
      </c>
      <c r="E79" s="104">
        <f si="144" t="shared"/>
        <v>1.6555836225014802E-3</v>
      </c>
      <c r="F79" s="104">
        <f si="144" t="shared"/>
        <v>1.4029751681069503E-3</v>
      </c>
      <c r="G79" s="104">
        <f si="144" t="shared"/>
        <v>3.4244955210939788E-3</v>
      </c>
      <c r="H79" s="104">
        <f si="144" t="shared"/>
        <v>3.0167403745334554E-3</v>
      </c>
      <c r="I79" s="104">
        <f si="144" t="shared"/>
        <v>0</v>
      </c>
      <c r="J79" s="104">
        <f si="144" t="shared"/>
        <v>3.4581837180658946E-3</v>
      </c>
      <c r="K79" s="104">
        <f si="144" t="shared"/>
        <v>4.23422161622686E-4</v>
      </c>
      <c r="L79" s="104">
        <f si="144" t="shared"/>
        <v>1.2166017628829131E-2</v>
      </c>
      <c r="M79" s="104">
        <f si="144" t="shared"/>
        <v>0</v>
      </c>
      <c r="N79" s="104">
        <f si="144" t="shared"/>
        <v>0</v>
      </c>
      <c r="O79" s="104">
        <f si="144" t="shared"/>
        <v>1.5884576651581737E-3</v>
      </c>
      <c r="P79" s="104">
        <f si="144" t="shared"/>
        <v>1.4033786281982482E-3</v>
      </c>
      <c r="Q79" s="104">
        <f si="144" t="shared"/>
        <v>0</v>
      </c>
      <c r="R79" s="104">
        <f si="144" t="shared"/>
        <v>3.7659206637446234E-3</v>
      </c>
      <c r="S79" s="104">
        <f si="144" t="shared"/>
        <v>0</v>
      </c>
      <c r="T79" s="104">
        <f si="144" t="shared"/>
        <v>1.7932237290242192E-2</v>
      </c>
      <c r="U79" s="104">
        <f si="144" t="shared"/>
        <v>0</v>
      </c>
      <c r="V79" s="104">
        <f si="144" t="shared"/>
        <v>0</v>
      </c>
      <c r="W79" s="104">
        <f si="144" t="shared"/>
        <v>5.6476084967005444E-2</v>
      </c>
      <c r="Y79" s="95">
        <v>19</v>
      </c>
      <c r="Z79" s="104">
        <f ref="Z79:AU79" si="145" t="shared">IF($W$55&gt;0,Z52/$W$55,0)</f>
        <v>2.9598552308640518E-3</v>
      </c>
      <c r="AA79" s="104">
        <f si="145" t="shared"/>
        <v>3.3053138385009222E-3</v>
      </c>
      <c r="AB79" s="104">
        <f si="145" t="shared"/>
        <v>1.1110119418445037E-3</v>
      </c>
      <c r="AC79" s="104">
        <f si="145" t="shared"/>
        <v>1.2432244953845407E-3</v>
      </c>
      <c r="AD79" s="104">
        <f si="145" t="shared"/>
        <v>1.1931116726717848E-3</v>
      </c>
      <c r="AE79" s="104">
        <f si="145" t="shared"/>
        <v>5.5156091892146044E-3</v>
      </c>
      <c r="AF79" s="104">
        <f si="145" t="shared"/>
        <v>2.1292618501568849E-3</v>
      </c>
      <c r="AG79" s="104">
        <f si="145" t="shared"/>
        <v>4.4035310170996162E-4</v>
      </c>
      <c r="AH79" s="104">
        <f si="145" t="shared"/>
        <v>2.7753973940702909E-3</v>
      </c>
      <c r="AI79" s="104">
        <f si="145" t="shared"/>
        <v>7.7941432772392729E-4</v>
      </c>
      <c r="AJ79" s="104">
        <f si="145" t="shared"/>
        <v>7.6448710393714897E-3</v>
      </c>
      <c r="AK79" s="104">
        <f si="145" t="shared"/>
        <v>3.8352302829315552E-3</v>
      </c>
      <c r="AL79" s="104">
        <f si="145" t="shared"/>
        <v>9.7666692776349857E-4</v>
      </c>
      <c r="AM79" s="104">
        <f si="145" t="shared"/>
        <v>8.753750520675024E-4</v>
      </c>
      <c r="AN79" s="104">
        <f si="145" t="shared"/>
        <v>2.011976520403626E-3</v>
      </c>
      <c r="AO79" s="104">
        <f si="145" t="shared"/>
        <v>1.6633192219553031E-4</v>
      </c>
      <c r="AP79" s="104">
        <f si="145" t="shared"/>
        <v>3.6625009791131191E-3</v>
      </c>
      <c r="AQ79" s="104">
        <f si="145" t="shared"/>
        <v>3.0387562708798809E-4</v>
      </c>
      <c r="AR79" s="104">
        <f si="145" t="shared"/>
        <v>1.5338788671185251E-2</v>
      </c>
      <c r="AS79" s="104">
        <f si="145" t="shared"/>
        <v>2.079149027444129E-4</v>
      </c>
      <c r="AT79" s="104">
        <f si="145" t="shared"/>
        <v>0</v>
      </c>
      <c r="AU79" s="104">
        <f si="145" t="shared"/>
        <v>5.6476084967005444E-2</v>
      </c>
      <c r="AW79" s="95">
        <v>19</v>
      </c>
      <c r="AX79" s="104">
        <f ref="AX79:BS79" si="146" t="shared">IF($BS$55&gt;0,AX52/$BS$55,0)</f>
        <v>1.3486826260777419E-3</v>
      </c>
      <c r="AY79" s="104">
        <f si="146" t="shared"/>
        <v>1.0355955878811232E-3</v>
      </c>
      <c r="AZ79" s="104">
        <f si="146" t="shared"/>
        <v>1.2523481527864746E-3</v>
      </c>
      <c r="BA79" s="104">
        <f si="146" t="shared"/>
        <v>8.429266412985887E-4</v>
      </c>
      <c r="BB79" s="104">
        <f si="146" t="shared"/>
        <v>6.0209045807042047E-4</v>
      </c>
      <c r="BC79" s="104">
        <f si="146" t="shared"/>
        <v>2.384278213958865E-3</v>
      </c>
      <c r="BD79" s="104">
        <f si="146" t="shared"/>
        <v>8.6701025962140552E-4</v>
      </c>
      <c r="BE79" s="104">
        <f si="146" t="shared"/>
        <v>3.1308703819661864E-4</v>
      </c>
      <c r="BF79" s="104">
        <f si="146" t="shared"/>
        <v>1.6376860459515437E-3</v>
      </c>
      <c r="BG79" s="104">
        <f si="146" t="shared"/>
        <v>3.6125427484225229E-4</v>
      </c>
      <c r="BH79" s="104">
        <f si="146" t="shared"/>
        <v>1.1174798901787004E-2</v>
      </c>
      <c r="BI79" s="104">
        <f si="146" t="shared"/>
        <v>1.3486826260777419E-3</v>
      </c>
      <c r="BJ79" s="104">
        <f si="146" t="shared"/>
        <v>3.3717065651943547E-4</v>
      </c>
      <c r="BK79" s="104">
        <f si="146" t="shared"/>
        <v>1.05967920620394E-3</v>
      </c>
      <c r="BL79" s="104">
        <f si="146" t="shared"/>
        <v>2.3601945956360482E-3</v>
      </c>
      <c r="BM79" s="104">
        <f si="146" t="shared"/>
        <v>4.8167236645633639E-5</v>
      </c>
      <c r="BN79" s="104">
        <f si="146" t="shared"/>
        <v>5.2983960310197002E-3</v>
      </c>
      <c r="BO79" s="104">
        <f si="146" t="shared"/>
        <v>4.8167236645633639E-5</v>
      </c>
      <c r="BP79" s="104">
        <f si="146" t="shared"/>
        <v>2.4155869177785269E-2</v>
      </c>
      <c r="BQ79" s="104">
        <f si="146" t="shared"/>
        <v>0</v>
      </c>
      <c r="BR79" s="104">
        <f si="146" t="shared"/>
        <v>0</v>
      </c>
      <c r="BS79" s="104">
        <f si="146" t="shared"/>
        <v>5.6476084967005444E-2</v>
      </c>
    </row>
    <row r="80" spans="1:71" x14ac:dyDescent="0.25">
      <c r="A80" s="95">
        <v>20</v>
      </c>
      <c r="B80" s="104">
        <f ref="B80:W80" si="147" t="shared">IF($W$55&gt;0,B53/$W$55,0)</f>
        <v>8.5839242596147869E-4</v>
      </c>
      <c r="C80" s="104">
        <f si="147" t="shared"/>
        <v>4.6001911163887809E-4</v>
      </c>
      <c r="D80" s="104">
        <f si="147" t="shared"/>
        <v>4.6001911163887809E-4</v>
      </c>
      <c r="E80" s="104">
        <f si="147" t="shared"/>
        <v>6.162394267319423E-4</v>
      </c>
      <c r="F80" s="104">
        <f si="147" t="shared"/>
        <v>8.7493692587858454E-5</v>
      </c>
      <c r="G80" s="104">
        <f si="147" t="shared"/>
        <v>9.0304981977597015E-4</v>
      </c>
      <c r="H80" s="104">
        <f si="147" t="shared"/>
        <v>2.1095003327488318E-3</v>
      </c>
      <c r="I80" s="104">
        <f si="147" t="shared"/>
        <v>0</v>
      </c>
      <c r="J80" s="104">
        <f si="147" t="shared"/>
        <v>0</v>
      </c>
      <c r="K80" s="104">
        <f si="147" t="shared"/>
        <v>1.8219724848879748E-4</v>
      </c>
      <c r="L80" s="104">
        <f si="147" t="shared"/>
        <v>1.3348524846240665E-4</v>
      </c>
      <c r="M80" s="104">
        <f si="147" t="shared"/>
        <v>7.3484341907981065E-3</v>
      </c>
      <c r="N80" s="104">
        <f si="147" t="shared"/>
        <v>4.7024263901290512E-5</v>
      </c>
      <c r="O80" s="104">
        <f si="147" t="shared"/>
        <v>0</v>
      </c>
      <c r="P80" s="104">
        <f si="147" t="shared"/>
        <v>0</v>
      </c>
      <c r="Q80" s="104">
        <f si="147" t="shared"/>
        <v>0</v>
      </c>
      <c r="R80" s="104">
        <f si="147" t="shared"/>
        <v>0</v>
      </c>
      <c r="S80" s="104">
        <f si="147" t="shared"/>
        <v>4.2641569529177975E-3</v>
      </c>
      <c r="T80" s="104">
        <f si="147" t="shared"/>
        <v>0</v>
      </c>
      <c r="U80" s="104">
        <f si="147" t="shared"/>
        <v>1.8486830330313276E-2</v>
      </c>
      <c r="V80" s="104">
        <f si="147" t="shared"/>
        <v>0</v>
      </c>
      <c r="W80" s="104">
        <f si="147" t="shared"/>
        <v>3.5956842155965514E-2</v>
      </c>
      <c r="Y80" s="95">
        <v>20</v>
      </c>
      <c r="Z80" s="104">
        <f ref="Z80:AU80" si="148" t="shared">IF($W$55&gt;0,Z53/$W$55,0)</f>
        <v>1.0040625403152056E-3</v>
      </c>
      <c r="AA80" s="104">
        <f si="148" t="shared"/>
        <v>1.0697759693252479E-3</v>
      </c>
      <c r="AB80" s="104">
        <f si="148" t="shared"/>
        <v>2.9571043054519046E-4</v>
      </c>
      <c r="AC80" s="104">
        <f si="148" t="shared"/>
        <v>3.8848233032407376E-4</v>
      </c>
      <c r="AD80" s="104">
        <f si="148" t="shared"/>
        <v>4.6096037702632629E-4</v>
      </c>
      <c r="AE80" s="104">
        <f si="148" t="shared"/>
        <v>2.147282930298736E-3</v>
      </c>
      <c r="AF80" s="104">
        <f si="148" t="shared"/>
        <v>1.5490974515161447E-3</v>
      </c>
      <c r="AG80" s="104">
        <f si="148" t="shared"/>
        <v>1.3722510175626486E-4</v>
      </c>
      <c r="AH80" s="104">
        <f si="148" t="shared"/>
        <v>9.7797044350239463E-4</v>
      </c>
      <c r="AI80" s="104">
        <f si="148" t="shared"/>
        <v>4.5999400307029627E-4</v>
      </c>
      <c r="AJ80" s="104">
        <f si="148" t="shared"/>
        <v>3.8171771263186357E-4</v>
      </c>
      <c r="AK80" s="104">
        <f si="148" t="shared"/>
        <v>6.9115065335268048E-3</v>
      </c>
      <c r="AL80" s="104">
        <f si="148" t="shared"/>
        <v>1.1683461128403111E-3</v>
      </c>
      <c r="AM80" s="104">
        <f si="148" t="shared"/>
        <v>1.2562861428390445E-4</v>
      </c>
      <c r="AN80" s="104">
        <f si="148" t="shared"/>
        <v>2.8797943889695014E-4</v>
      </c>
      <c r="AO80" s="104">
        <f si="148" t="shared"/>
        <v>1.9810666098615701E-4</v>
      </c>
      <c r="AP80" s="104">
        <f si="148" t="shared"/>
        <v>5.4116941537681921E-5</v>
      </c>
      <c r="AQ80" s="104">
        <f si="148" t="shared"/>
        <v>5.138210324211692E-3</v>
      </c>
      <c r="AR80" s="104">
        <f si="148" t="shared"/>
        <v>1.8264467768967647E-4</v>
      </c>
      <c r="AS80" s="104">
        <f si="148" t="shared"/>
        <v>1.3018023561680591E-2</v>
      </c>
      <c r="AT80" s="104">
        <f si="148" t="shared"/>
        <v>0</v>
      </c>
      <c r="AU80" s="104">
        <f si="148" t="shared"/>
        <v>3.5956842155965514E-2</v>
      </c>
      <c r="AW80" s="95">
        <v>20</v>
      </c>
      <c r="AX80" s="104">
        <f ref="AX80:BS80" si="149" t="shared">IF($BS$55&gt;0,AX53/$BS$55,0)</f>
        <v>1.4450170993690091E-4</v>
      </c>
      <c r="AY80" s="104">
        <f si="149" t="shared"/>
        <v>2.1675256490535138E-4</v>
      </c>
      <c r="AZ80" s="104">
        <f si="149" t="shared"/>
        <v>9.6334473291267278E-5</v>
      </c>
      <c r="BA80" s="104">
        <f si="149" t="shared"/>
        <v>7.2250854968450455E-5</v>
      </c>
      <c r="BB80" s="104">
        <f si="149" t="shared"/>
        <v>1.6858532825971773E-4</v>
      </c>
      <c r="BC80" s="104">
        <f si="149" t="shared"/>
        <v>6.0209045807042047E-4</v>
      </c>
      <c r="BD80" s="104">
        <f si="149" t="shared"/>
        <v>5.0575598477915317E-4</v>
      </c>
      <c r="BE80" s="104">
        <f si="149" t="shared"/>
        <v>0</v>
      </c>
      <c r="BF80" s="104">
        <f si="149" t="shared"/>
        <v>9.6334473291267278E-5</v>
      </c>
      <c r="BG80" s="104">
        <f si="149" t="shared"/>
        <v>9.6334473291267278E-5</v>
      </c>
      <c r="BH80" s="104">
        <f si="149" t="shared"/>
        <v>4.8167236645633639E-5</v>
      </c>
      <c r="BI80" s="104">
        <f si="149" t="shared"/>
        <v>4.094215114878859E-3</v>
      </c>
      <c r="BJ80" s="104">
        <f si="149" t="shared"/>
        <v>4.5758874813351958E-4</v>
      </c>
      <c r="BK80" s="104">
        <f si="149" t="shared"/>
        <v>0</v>
      </c>
      <c r="BL80" s="104">
        <f si="149" t="shared"/>
        <v>4.8167236645633639E-5</v>
      </c>
      <c r="BM80" s="104">
        <f si="149" t="shared"/>
        <v>1.6858532825971773E-4</v>
      </c>
      <c r="BN80" s="104">
        <f si="149" t="shared"/>
        <v>0</v>
      </c>
      <c r="BO80" s="104">
        <f si="149" t="shared"/>
        <v>4.503636626366745E-3</v>
      </c>
      <c r="BP80" s="104">
        <f si="149" t="shared"/>
        <v>0</v>
      </c>
      <c r="BQ80" s="104">
        <f si="149" t="shared"/>
        <v>2.4637541544241606E-2</v>
      </c>
      <c r="BR80" s="104">
        <f si="149" t="shared"/>
        <v>0</v>
      </c>
      <c r="BS80" s="104">
        <f si="149" t="shared"/>
        <v>3.5956842155965514E-2</v>
      </c>
    </row>
    <row customFormat="1" r="81" s="95" spans="1:71" x14ac:dyDescent="0.25">
      <c r="A81" s="101" t="s">
        <v>15</v>
      </c>
      <c r="B81" s="105">
        <f ref="B81:W81" si="150" t="shared">IF($W$55&gt;0,B54/$W$55,0)</f>
        <v>0</v>
      </c>
      <c r="C81" s="105">
        <f si="150" t="shared"/>
        <v>0</v>
      </c>
      <c r="D81" s="105">
        <f si="150" t="shared"/>
        <v>0</v>
      </c>
      <c r="E81" s="105">
        <f si="150" t="shared"/>
        <v>0</v>
      </c>
      <c r="F81" s="105">
        <f si="150" t="shared"/>
        <v>0</v>
      </c>
      <c r="G81" s="105">
        <f si="150" t="shared"/>
        <v>0</v>
      </c>
      <c r="H81" s="105">
        <f si="150" t="shared"/>
        <v>0</v>
      </c>
      <c r="I81" s="105">
        <f si="150" t="shared"/>
        <v>0</v>
      </c>
      <c r="J81" s="105">
        <f si="150" t="shared"/>
        <v>0</v>
      </c>
      <c r="K81" s="105">
        <f si="150" t="shared"/>
        <v>0</v>
      </c>
      <c r="L81" s="105">
        <f si="150" t="shared"/>
        <v>0</v>
      </c>
      <c r="M81" s="105">
        <f si="150" t="shared"/>
        <v>0</v>
      </c>
      <c r="N81" s="105">
        <f si="150" t="shared"/>
        <v>0</v>
      </c>
      <c r="O81" s="105">
        <f si="150" t="shared"/>
        <v>0</v>
      </c>
      <c r="P81" s="105">
        <f si="150" t="shared"/>
        <v>0</v>
      </c>
      <c r="Q81" s="105">
        <f si="150" t="shared"/>
        <v>0</v>
      </c>
      <c r="R81" s="105">
        <f si="150" t="shared"/>
        <v>0</v>
      </c>
      <c r="S81" s="105">
        <f si="150" t="shared"/>
        <v>0</v>
      </c>
      <c r="T81" s="105">
        <f si="150" t="shared"/>
        <v>0</v>
      </c>
      <c r="U81" s="105">
        <f si="150" t="shared"/>
        <v>0</v>
      </c>
      <c r="V81" s="105">
        <f si="150" t="shared"/>
        <v>0</v>
      </c>
      <c r="W81" s="105">
        <f si="150" t="shared"/>
        <v>0</v>
      </c>
      <c r="Y81" s="101" t="s">
        <v>15</v>
      </c>
      <c r="Z81" s="105">
        <f ref="Z81:AU81" si="151" t="shared">IF($W$55&gt;0,Z54/$W$55,0)</f>
        <v>0</v>
      </c>
      <c r="AA81" s="105">
        <f si="151" t="shared"/>
        <v>0</v>
      </c>
      <c r="AB81" s="105">
        <f si="151" t="shared"/>
        <v>0</v>
      </c>
      <c r="AC81" s="105">
        <f si="151" t="shared"/>
        <v>0</v>
      </c>
      <c r="AD81" s="105">
        <f si="151" t="shared"/>
        <v>0</v>
      </c>
      <c r="AE81" s="105">
        <f si="151" t="shared"/>
        <v>0</v>
      </c>
      <c r="AF81" s="105">
        <f si="151" t="shared"/>
        <v>0</v>
      </c>
      <c r="AG81" s="105">
        <f si="151" t="shared"/>
        <v>0</v>
      </c>
      <c r="AH81" s="105">
        <f si="151" t="shared"/>
        <v>0</v>
      </c>
      <c r="AI81" s="105">
        <f si="151" t="shared"/>
        <v>0</v>
      </c>
      <c r="AJ81" s="105">
        <f si="151" t="shared"/>
        <v>0</v>
      </c>
      <c r="AK81" s="105">
        <f si="151" t="shared"/>
        <v>0</v>
      </c>
      <c r="AL81" s="105">
        <f si="151" t="shared"/>
        <v>0</v>
      </c>
      <c r="AM81" s="105">
        <f si="151" t="shared"/>
        <v>0</v>
      </c>
      <c r="AN81" s="105">
        <f si="151" t="shared"/>
        <v>0</v>
      </c>
      <c r="AO81" s="105">
        <f si="151" t="shared"/>
        <v>0</v>
      </c>
      <c r="AP81" s="105">
        <f si="151" t="shared"/>
        <v>0</v>
      </c>
      <c r="AQ81" s="105">
        <f si="151" t="shared"/>
        <v>0</v>
      </c>
      <c r="AR81" s="105">
        <f si="151" t="shared"/>
        <v>0</v>
      </c>
      <c r="AS81" s="105">
        <f si="151" t="shared"/>
        <v>0</v>
      </c>
      <c r="AT81" s="105">
        <f si="151" t="shared"/>
        <v>0</v>
      </c>
      <c r="AU81" s="105">
        <f si="151" t="shared"/>
        <v>0</v>
      </c>
      <c r="AW81" s="101" t="s">
        <v>15</v>
      </c>
      <c r="AX81" s="105">
        <f ref="AX81:BS81" si="152" t="shared">IF($BS$55&gt;0,AX54/$BS$55,0)</f>
        <v>0</v>
      </c>
      <c r="AY81" s="105">
        <f si="152" t="shared"/>
        <v>0</v>
      </c>
      <c r="AZ81" s="105">
        <f si="152" t="shared"/>
        <v>0</v>
      </c>
      <c r="BA81" s="105">
        <f si="152" t="shared"/>
        <v>0</v>
      </c>
      <c r="BB81" s="105">
        <f si="152" t="shared"/>
        <v>0</v>
      </c>
      <c r="BC81" s="105">
        <f si="152" t="shared"/>
        <v>0</v>
      </c>
      <c r="BD81" s="105">
        <f si="152" t="shared"/>
        <v>0</v>
      </c>
      <c r="BE81" s="105">
        <f si="152" t="shared"/>
        <v>0</v>
      </c>
      <c r="BF81" s="105">
        <f si="152" t="shared"/>
        <v>0</v>
      </c>
      <c r="BG81" s="105">
        <f si="152" t="shared"/>
        <v>0</v>
      </c>
      <c r="BH81" s="105">
        <f si="152" t="shared"/>
        <v>0</v>
      </c>
      <c r="BI81" s="105">
        <f si="152" t="shared"/>
        <v>0</v>
      </c>
      <c r="BJ81" s="105">
        <f si="152" t="shared"/>
        <v>0</v>
      </c>
      <c r="BK81" s="105">
        <f si="152" t="shared"/>
        <v>0</v>
      </c>
      <c r="BL81" s="105">
        <f si="152" t="shared"/>
        <v>0</v>
      </c>
      <c r="BM81" s="105">
        <f si="152" t="shared"/>
        <v>0</v>
      </c>
      <c r="BN81" s="105">
        <f si="152" t="shared"/>
        <v>0</v>
      </c>
      <c r="BO81" s="105">
        <f si="152" t="shared"/>
        <v>0</v>
      </c>
      <c r="BP81" s="105">
        <f si="152" t="shared"/>
        <v>0</v>
      </c>
      <c r="BQ81" s="105">
        <f si="152" t="shared"/>
        <v>0</v>
      </c>
      <c r="BR81" s="105">
        <f si="152" t="shared"/>
        <v>0</v>
      </c>
      <c r="BS81" s="105">
        <f si="152" t="shared"/>
        <v>0</v>
      </c>
    </row>
    <row ht="15.75" r="82" spans="1:71" thickBot="1" x14ac:dyDescent="0.3">
      <c r="A82" s="1" t="s">
        <v>3</v>
      </c>
      <c r="B82" s="106">
        <f ref="B82:W82" si="153" t="shared">IF($W$55&gt;0,B55/$W$55,0)</f>
        <v>0.106071145430368</v>
      </c>
      <c r="C82" s="106">
        <f si="153" t="shared"/>
        <v>4.2565039292987064E-2</v>
      </c>
      <c r="D82" s="106">
        <f si="153" t="shared"/>
        <v>2.5834030338304972E-2</v>
      </c>
      <c r="E82" s="106">
        <f si="153" t="shared"/>
        <v>3.1568367384815194E-2</v>
      </c>
      <c r="F82" s="106">
        <f si="153" t="shared"/>
        <v>2.9254671879266975E-2</v>
      </c>
      <c r="G82" s="106">
        <f si="153" t="shared"/>
        <v>0.14759129186688877</v>
      </c>
      <c r="H82" s="106">
        <f si="153" t="shared"/>
        <v>9.4358250853980044E-2</v>
      </c>
      <c r="I82" s="106">
        <f si="153" t="shared"/>
        <v>4.6765153020838892E-3</v>
      </c>
      <c r="J82" s="106">
        <f si="153" t="shared"/>
        <v>6.96930502796341E-2</v>
      </c>
      <c r="K82" s="106">
        <f si="153" t="shared"/>
        <v>1.7806081092571972E-2</v>
      </c>
      <c r="L82" s="106">
        <f si="153" t="shared"/>
        <v>5.0840020067547502E-2</v>
      </c>
      <c r="M82" s="106">
        <f si="153" t="shared"/>
        <v>0.19055587108624394</v>
      </c>
      <c r="N82" s="106">
        <f si="153" t="shared"/>
        <v>7.4544139326292183E-2</v>
      </c>
      <c r="O82" s="106">
        <f si="153" t="shared"/>
        <v>1.6894512037031607E-2</v>
      </c>
      <c r="P82" s="106">
        <f si="153" t="shared"/>
        <v>2.3533105305197491E-2</v>
      </c>
      <c r="Q82" s="106">
        <f si="153" t="shared"/>
        <v>2.6158031032037896E-3</v>
      </c>
      <c r="R82" s="106">
        <f si="153" t="shared"/>
        <v>1.1601234173801812E-2</v>
      </c>
      <c r="S82" s="106">
        <f si="153" t="shared"/>
        <v>1.6603372039868336E-2</v>
      </c>
      <c r="T82" s="106">
        <f si="153" t="shared"/>
        <v>2.1477987781636114E-2</v>
      </c>
      <c r="U82" s="106">
        <f si="153" t="shared"/>
        <v>2.1915511358276438E-2</v>
      </c>
      <c r="V82" s="106">
        <f si="153" t="shared"/>
        <v>0</v>
      </c>
      <c r="W82" s="106">
        <f si="153" t="shared"/>
        <v>1</v>
      </c>
      <c r="Y82" s="1" t="s">
        <v>3</v>
      </c>
      <c r="Z82" s="106">
        <f ref="Z82:AU82" si="154" t="shared">IF($W$55&gt;0,Z55/$W$55,0)</f>
        <v>7.3664581210899999E-2</v>
      </c>
      <c r="AA82" s="106">
        <f si="154" t="shared"/>
        <v>7.7329616037015936E-2</v>
      </c>
      <c r="AB82" s="106">
        <f si="154" t="shared"/>
        <v>2.5057683524028689E-2</v>
      </c>
      <c r="AC82" s="106">
        <f si="154" t="shared"/>
        <v>2.3869597211809628E-2</v>
      </c>
      <c r="AD82" s="106">
        <f si="154" t="shared"/>
        <v>2.8196879283034274E-2</v>
      </c>
      <c r="AE82" s="106">
        <f si="154" t="shared"/>
        <v>0.15908035159590861</v>
      </c>
      <c r="AF82" s="106">
        <f si="154" t="shared"/>
        <v>8.9973232329588912E-2</v>
      </c>
      <c r="AG82" s="106">
        <f si="154" t="shared"/>
        <v>7.2504370198506482E-3</v>
      </c>
      <c r="AH82" s="106">
        <f si="154" t="shared"/>
        <v>5.9645640750656911E-2</v>
      </c>
      <c r="AI82" s="106">
        <f si="154" t="shared"/>
        <v>2.2151694748741204E-2</v>
      </c>
      <c r="AJ82" s="106">
        <f si="154" t="shared"/>
        <v>5.202641815054642E-2</v>
      </c>
      <c r="AK82" s="106">
        <f si="154" t="shared"/>
        <v>0.17118490467747194</v>
      </c>
      <c r="AL82" s="106">
        <f si="154" t="shared"/>
        <v>7.2130533443660008E-2</v>
      </c>
      <c r="AM82" s="106">
        <f si="154" t="shared"/>
        <v>1.1162688153553068E-2</v>
      </c>
      <c r="AN82" s="106">
        <f si="154" t="shared"/>
        <v>3.2916304967301184E-2</v>
      </c>
      <c r="AO82" s="106">
        <f si="154" t="shared"/>
        <v>5.52996304546535E-3</v>
      </c>
      <c r="AP82" s="106">
        <f si="154" t="shared"/>
        <v>1.2016947648905171E-2</v>
      </c>
      <c r="AQ82" s="106">
        <f si="154" t="shared"/>
        <v>2.4412258868972591E-2</v>
      </c>
      <c r="AR82" s="106">
        <f si="154" t="shared"/>
        <v>3.0433872383344579E-2</v>
      </c>
      <c r="AS82" s="106">
        <f si="154" t="shared"/>
        <v>2.1966394949244877E-2</v>
      </c>
      <c r="AT82" s="106">
        <f si="154" t="shared"/>
        <v>0</v>
      </c>
      <c r="AU82" s="106">
        <f si="154" t="shared"/>
        <v>1</v>
      </c>
      <c r="AW82" s="1" t="s">
        <v>3</v>
      </c>
      <c r="AX82" s="106">
        <f ref="AX82:BS82" si="155" t="shared">IF($BS$55&gt;0,AX55/$BS$55,0)</f>
        <v>5.4958817012667985E-2</v>
      </c>
      <c r="AY82" s="106">
        <f si="155" t="shared"/>
        <v>4.5975627378257312E-2</v>
      </c>
      <c r="AZ82" s="106">
        <f si="155" t="shared"/>
        <v>2.9020760078994269E-2</v>
      </c>
      <c r="BA82" s="106">
        <f si="155" t="shared"/>
        <v>2.1097249650787533E-2</v>
      </c>
      <c r="BB82" s="106">
        <f si="155" t="shared"/>
        <v>2.6178893116901882E-2</v>
      </c>
      <c r="BC82" s="106">
        <f si="155" t="shared"/>
        <v>0.11574586965945764</v>
      </c>
      <c r="BD82" s="106">
        <f si="155" t="shared"/>
        <v>9.4239198497182222E-2</v>
      </c>
      <c r="BE82" s="106">
        <f si="155" t="shared"/>
        <v>5.5392322142478684E-3</v>
      </c>
      <c r="BF82" s="106">
        <f si="155" t="shared"/>
        <v>5.6524252203651079E-2</v>
      </c>
      <c r="BG82" s="106">
        <f si="155" t="shared"/>
        <v>2.157892201724387E-2</v>
      </c>
      <c r="BH82" s="106">
        <f si="155" t="shared"/>
        <v>6.1389143104860072E-2</v>
      </c>
      <c r="BI82" s="106">
        <f si="155" t="shared"/>
        <v>0.17891720052020615</v>
      </c>
      <c r="BJ82" s="106">
        <f si="155" t="shared"/>
        <v>0.11047155724676075</v>
      </c>
      <c r="BK82" s="106">
        <f si="155" t="shared"/>
        <v>1.6569529406097971E-2</v>
      </c>
      <c r="BL82" s="106">
        <f si="155" t="shared"/>
        <v>4.1905495881701268E-2</v>
      </c>
      <c r="BM82" s="106">
        <f si="155" t="shared"/>
        <v>5.4910649776022348E-3</v>
      </c>
      <c r="BN82" s="106">
        <f si="155" t="shared"/>
        <v>1.6786281971003323E-2</v>
      </c>
      <c r="BO82" s="106">
        <f si="155" t="shared"/>
        <v>2.5456384567217379E-2</v>
      </c>
      <c r="BP82" s="106">
        <f si="155" t="shared"/>
        <v>4.0243726217426903E-2</v>
      </c>
      <c r="BQ82" s="106">
        <f si="155" t="shared"/>
        <v>3.1910794277732288E-2</v>
      </c>
      <c r="BR82" s="106">
        <f si="155" t="shared"/>
        <v>0</v>
      </c>
      <c r="BS82" s="106">
        <f si="155" t="shared"/>
        <v>1</v>
      </c>
    </row>
    <row ht="15.75" r="86" spans="1:71" thickBot="1" x14ac:dyDescent="0.3">
      <c r="AW86" s="23" t="s">
        <v>322</v>
      </c>
      <c r="AX86" s="24"/>
      <c r="AY86" s="24"/>
      <c r="AZ86" s="24"/>
      <c r="BA86" s="24"/>
      <c r="BB86" s="24"/>
      <c r="BC86" s="24"/>
      <c r="BD86" s="24"/>
      <c r="BE86" s="24"/>
      <c r="BF86" s="24"/>
    </row>
    <row r="87" spans="1:71" x14ac:dyDescent="0.25">
      <c r="AW87" s="2" t="s">
        <v>14</v>
      </c>
      <c r="AX87" s="2">
        <v>1</v>
      </c>
      <c r="AY87" s="2">
        <v>2</v>
      </c>
      <c r="AZ87" s="2">
        <v>3</v>
      </c>
      <c r="BA87" s="2">
        <v>4</v>
      </c>
      <c r="BB87" s="2">
        <v>5</v>
      </c>
      <c r="BC87" s="2">
        <v>6</v>
      </c>
      <c r="BD87" s="2">
        <v>7</v>
      </c>
      <c r="BE87" s="2">
        <v>8</v>
      </c>
      <c r="BF87" s="2">
        <v>9</v>
      </c>
      <c r="BG87" s="2">
        <v>10</v>
      </c>
      <c r="BH87" s="2">
        <v>11</v>
      </c>
      <c r="BI87" s="2">
        <v>12</v>
      </c>
      <c r="BJ87" s="2">
        <v>13</v>
      </c>
      <c r="BK87" s="2">
        <v>14</v>
      </c>
      <c r="BL87" s="2">
        <v>15</v>
      </c>
      <c r="BM87" s="2">
        <v>16</v>
      </c>
      <c r="BN87" s="2">
        <v>17</v>
      </c>
      <c r="BO87" s="2">
        <v>18</v>
      </c>
      <c r="BP87" s="2">
        <v>19</v>
      </c>
      <c r="BQ87" s="2">
        <v>20</v>
      </c>
      <c r="BR87" s="3" t="s">
        <v>15</v>
      </c>
      <c r="BS87" s="3" t="s">
        <v>3</v>
      </c>
    </row>
    <row r="88" spans="1:71" x14ac:dyDescent="0.25">
      <c r="AW88" s="31">
        <v>1</v>
      </c>
      <c r="AX88" s="103">
        <f>AX61-Z61</f>
        <v>-1.9188363372489494E-4</v>
      </c>
      <c r="AY88" s="103">
        <f ref="AY88:BS88" si="156" t="shared">AY61-AA61</f>
        <v>-3.9438245945424535E-4</v>
      </c>
      <c r="AZ88" s="103">
        <f si="156" t="shared"/>
        <v>4.1115997451574775E-5</v>
      </c>
      <c r="BA88" s="103">
        <f si="156" t="shared"/>
        <v>4.630817940058235E-4</v>
      </c>
      <c r="BB88" s="103">
        <f si="156" t="shared"/>
        <v>2.19415169185212E-4</v>
      </c>
      <c r="BC88" s="103">
        <f si="156" t="shared"/>
        <v>1.3921835710204596E-3</v>
      </c>
      <c r="BD88" s="103">
        <f si="156" t="shared"/>
        <v>-4.0533539814945405E-4</v>
      </c>
      <c r="BE88" s="103">
        <f si="156" t="shared"/>
        <v>-1.7602197165304047E-5</v>
      </c>
      <c r="BF88" s="103">
        <f si="156" t="shared"/>
        <v>-3.5169998041856585E-4</v>
      </c>
      <c r="BG88" s="103">
        <f si="156" t="shared"/>
        <v>-6.6565106996514713E-5</v>
      </c>
      <c r="BH88" s="103">
        <f si="156" t="shared"/>
        <v>1.2529987813809305E-4</v>
      </c>
      <c r="BI88" s="103">
        <f si="156" t="shared"/>
        <v>-6.3394639441172553E-4</v>
      </c>
      <c r="BJ88" s="103">
        <f si="156" t="shared"/>
        <v>-5.6658561422963375E-5</v>
      </c>
      <c r="BK88" s="103">
        <f si="156" t="shared"/>
        <v>-4.1283834764157474E-5</v>
      </c>
      <c r="BL88" s="103">
        <f si="156" t="shared"/>
        <v>-6.3742953666421224E-5</v>
      </c>
      <c r="BM88" s="103">
        <f si="156" t="shared"/>
        <v>1.3967794124934028E-5</v>
      </c>
      <c r="BN88" s="103">
        <f si="156" t="shared"/>
        <v>-2.629451230461546E-6</v>
      </c>
      <c r="BO88" s="103">
        <f si="156" t="shared"/>
        <v>-1.3959505862584263E-5</v>
      </c>
      <c r="BP88" s="103">
        <f si="156" t="shared"/>
        <v>1.6195264631432182E-5</v>
      </c>
      <c r="BQ88" s="103">
        <f si="156" t="shared"/>
        <v>-3.1569991290238068E-5</v>
      </c>
      <c r="BR88" s="103">
        <f si="156" t="shared"/>
        <v>0</v>
      </c>
      <c r="BS88" s="103">
        <f si="156" t="shared"/>
        <v>0</v>
      </c>
    </row>
    <row r="89" spans="1:71" x14ac:dyDescent="0.25">
      <c r="AW89" s="95">
        <v>2</v>
      </c>
      <c r="AX89" s="104">
        <f ref="AX89:AX109" si="157" t="shared">AX62-Z62</f>
        <v>1.3822569348263467E-4</v>
      </c>
      <c r="AY89" s="104">
        <f ref="AY89:AY109" si="158" t="shared">AY62-AA62</f>
        <v>2.2698611995777959E-4</v>
      </c>
      <c r="AZ89" s="104">
        <f ref="AZ89:AZ109" si="159" t="shared">AZ62-AB62</f>
        <v>-1.3467263277727043E-4</v>
      </c>
      <c r="BA89" s="104">
        <f ref="BA89:BA109" si="160" t="shared">BA62-AC62</f>
        <v>1.4399941712885095E-4</v>
      </c>
      <c r="BB89" s="104">
        <f ref="BB89:BB109" si="161" t="shared">BB62-AD62</f>
        <v>-3.7048060063222328E-5</v>
      </c>
      <c r="BC89" s="104">
        <f ref="BC89:BC109" si="162" t="shared">BC62-AE62</f>
        <v>2.5988894253141078E-4</v>
      </c>
      <c r="BD89" s="104">
        <f ref="BD89:BD109" si="163" t="shared">BD62-AF62</f>
        <v>1.2581641747744232E-4</v>
      </c>
      <c r="BE89" s="104">
        <f ref="BE89:BE109" si="164" t="shared">BE62-AG62</f>
        <v>-4.8952399614006479E-5</v>
      </c>
      <c r="BF89" s="104">
        <f ref="BF89:BF109" si="165" t="shared">BF62-AH62</f>
        <v>2.3026159779553513E-5</v>
      </c>
      <c r="BG89" s="104">
        <f ref="BG89:BG109" si="166" t="shared">BG62-AI62</f>
        <v>-1.693123310082111E-4</v>
      </c>
      <c r="BH89" s="104">
        <f ref="BH89:BH109" si="167" t="shared">BH62-AJ62</f>
        <v>-1.7481111543317916E-4</v>
      </c>
      <c r="BI89" s="104">
        <f ref="BI89:BI109" si="168" t="shared">BI62-AK62</f>
        <v>-2.0157803480952679E-4</v>
      </c>
      <c r="BJ89" s="104">
        <f ref="BJ89:BJ109" si="169" t="shared">BJ62-AL62</f>
        <v>6.7087813630968389E-5</v>
      </c>
      <c r="BK89" s="104">
        <f ref="BK89:BK109" si="170" t="shared">BK62-AM62</f>
        <v>-1.5774637819127112E-5</v>
      </c>
      <c r="BL89" s="104">
        <f ref="BL89:BL109" si="171" t="shared">BL62-AN62</f>
        <v>4.8730333319921227E-5</v>
      </c>
      <c r="BM89" s="104">
        <f ref="BM89:BM109" si="172" t="shared">BM62-AO62</f>
        <v>-3.1044339183846106E-5</v>
      </c>
      <c r="BN89" s="104">
        <f ref="BN89:BN109" si="173" t="shared">BN62-AP62</f>
        <v>-2.9360336453699625E-5</v>
      </c>
      <c r="BO89" s="104">
        <f ref="BO89:BO109" si="174" t="shared">BO62-AQ62</f>
        <v>-9.5715860043458381E-5</v>
      </c>
      <c r="BP89" s="104">
        <f ref="BP89:BP109" si="175" t="shared">BP62-AR62</f>
        <v>-4.1092838991203597E-5</v>
      </c>
      <c r="BQ89" s="104">
        <f ref="BQ89:BQ109" si="176" t="shared">BQ62-AS62</f>
        <v>-5.4398311111811385E-5</v>
      </c>
      <c r="BR89" s="104">
        <f ref="BR89:BR109" si="177" t="shared">BR62-AT62</f>
        <v>0</v>
      </c>
      <c r="BS89" s="104">
        <f ref="BS89:BS109" si="178" t="shared">BS62-AU62</f>
        <v>0</v>
      </c>
    </row>
    <row r="90" spans="1:71" x14ac:dyDescent="0.25">
      <c r="AW90" s="95">
        <v>3</v>
      </c>
      <c r="AX90" s="104">
        <f si="157" t="shared"/>
        <v>-2.8458686790181886E-4</v>
      </c>
      <c r="AY90" s="104">
        <f si="158" t="shared"/>
        <v>-1.2798281547199814E-3</v>
      </c>
      <c r="AZ90" s="104">
        <f si="159" t="shared"/>
        <v>1.4138518332261897E-3</v>
      </c>
      <c r="BA90" s="104">
        <f si="160" t="shared"/>
        <v>4.2254270640010869E-4</v>
      </c>
      <c r="BB90" s="104">
        <f si="161" t="shared"/>
        <v>5.1096147530573736E-6</v>
      </c>
      <c r="BC90" s="104">
        <f si="162" t="shared"/>
        <v>-7.5967701785507706E-4</v>
      </c>
      <c r="BD90" s="104">
        <f si="163" t="shared"/>
        <v>-6.1462637211688966E-4</v>
      </c>
      <c r="BE90" s="104">
        <f si="164" t="shared"/>
        <v>1.9433956627000698E-4</v>
      </c>
      <c r="BF90" s="104">
        <f si="165" t="shared"/>
        <v>5.5513952780640932E-6</v>
      </c>
      <c r="BG90" s="104">
        <f si="166" t="shared"/>
        <v>1.1466617184239993E-4</v>
      </c>
      <c r="BH90" s="104">
        <f si="167" t="shared"/>
        <v>1.6522810958918741E-3</v>
      </c>
      <c r="BI90" s="104">
        <f si="168" t="shared"/>
        <v>-5.9555962596883043E-4</v>
      </c>
      <c r="BJ90" s="104">
        <f si="169" t="shared"/>
        <v>-6.2765419781177104E-5</v>
      </c>
      <c r="BK90" s="104">
        <f si="170" t="shared"/>
        <v>-8.827401528678173E-5</v>
      </c>
      <c r="BL90" s="104">
        <f si="171" t="shared"/>
        <v>-9.8841656100561099E-5</v>
      </c>
      <c r="BM90" s="104">
        <f si="172" t="shared"/>
        <v>5.0919435320569568E-5</v>
      </c>
      <c r="BN90" s="104">
        <f si="173" t="shared"/>
        <v>7.1267658310669398E-5</v>
      </c>
      <c r="BO90" s="104">
        <f si="174" t="shared"/>
        <v>-1.1584738643763088E-4</v>
      </c>
      <c r="BP90" s="104">
        <f si="175" t="shared"/>
        <v>7.8000894823006814E-5</v>
      </c>
      <c r="BQ90" s="104">
        <f si="176" t="shared"/>
        <v>-1.0852385594719924E-4</v>
      </c>
      <c r="BR90" s="104">
        <f si="177" t="shared"/>
        <v>0</v>
      </c>
      <c r="BS90" s="104">
        <f si="178" t="shared"/>
        <v>0</v>
      </c>
    </row>
    <row r="91" spans="1:71" x14ac:dyDescent="0.25">
      <c r="AW91" s="95">
        <v>4</v>
      </c>
      <c r="AX91" s="104">
        <f si="157" t="shared"/>
        <v>5.5378147118819213E-4</v>
      </c>
      <c r="AY91" s="104">
        <f si="158" t="shared"/>
        <v>-1.0323631762359253E-3</v>
      </c>
      <c r="AZ91" s="104">
        <f si="159" t="shared"/>
        <v>2.6394273742017329E-4</v>
      </c>
      <c r="BA91" s="104">
        <f si="160" t="shared"/>
        <v>1.9755806411792995E-4</v>
      </c>
      <c r="BB91" s="104">
        <f si="161" t="shared"/>
        <v>1.5954875067682249E-4</v>
      </c>
      <c r="BC91" s="104">
        <f si="162" t="shared"/>
        <v>5.8989614084196213E-4</v>
      </c>
      <c r="BD91" s="104">
        <f si="163" t="shared"/>
        <v>-4.9116203854548891E-4</v>
      </c>
      <c r="BE91" s="104">
        <f si="164" t="shared"/>
        <v>7.7067831758436322E-5</v>
      </c>
      <c r="BF91" s="104">
        <f si="165" t="shared"/>
        <v>-2.1892184977609125E-4</v>
      </c>
      <c r="BG91" s="104">
        <f si="166" t="shared"/>
        <v>2.1680065873562449E-4</v>
      </c>
      <c r="BH91" s="104">
        <f si="167" t="shared"/>
        <v>2.7666608678163836E-6</v>
      </c>
      <c r="BI91" s="104">
        <f si="168" t="shared"/>
        <v>1.6903968839308728E-4</v>
      </c>
      <c r="BJ91" s="104">
        <f si="169" t="shared"/>
        <v>-1.3094557793544574E-4</v>
      </c>
      <c r="BK91" s="104">
        <f si="170" t="shared"/>
        <v>-6.5586062594287167E-5</v>
      </c>
      <c r="BL91" s="104">
        <f si="171" t="shared"/>
        <v>-8.7571271164661382E-5</v>
      </c>
      <c r="BM91" s="104">
        <f si="172" t="shared"/>
        <v>-3.3275868040543378E-5</v>
      </c>
      <c r="BN91" s="104">
        <f si="173" t="shared"/>
        <v>-5.3055088553916789E-6</v>
      </c>
      <c r="BO91" s="104">
        <f si="174" t="shared"/>
        <v>-7.8748584563770313E-5</v>
      </c>
      <c r="BP91" s="104">
        <f si="175" t="shared"/>
        <v>-3.3049320787414767E-5</v>
      </c>
      <c r="BQ91" s="104">
        <f si="176" t="shared"/>
        <v>-5.3472745501025318E-5</v>
      </c>
      <c r="BR91" s="104">
        <f si="177" t="shared"/>
        <v>0</v>
      </c>
      <c r="BS91" s="104">
        <f si="178" t="shared"/>
        <v>0</v>
      </c>
    </row>
    <row r="92" spans="1:71" x14ac:dyDescent="0.25">
      <c r="AW92" s="95">
        <v>5</v>
      </c>
      <c r="AX92" s="104">
        <f si="157" t="shared"/>
        <v>-4.1844312686356946E-4</v>
      </c>
      <c r="AY92" s="104">
        <f si="158" t="shared"/>
        <v>-3.2181277628911729E-4</v>
      </c>
      <c r="AZ92" s="104">
        <f si="159" t="shared"/>
        <v>1.9765791309409475E-4</v>
      </c>
      <c r="BA92" s="104">
        <f si="160" t="shared"/>
        <v>4.6580858890700049E-5</v>
      </c>
      <c r="BB92" s="104">
        <f si="161" t="shared"/>
        <v>7.4945847918817541E-4</v>
      </c>
      <c r="BC92" s="104">
        <f si="162" t="shared"/>
        <v>9.225757492273912E-4</v>
      </c>
      <c r="BD92" s="104">
        <f si="163" t="shared"/>
        <v>-3.1228790535587351E-4</v>
      </c>
      <c r="BE92" s="104">
        <f si="164" t="shared"/>
        <v>-7.3055271332109529E-5</v>
      </c>
      <c r="BF92" s="104">
        <f si="165" t="shared"/>
        <v>-1.7579733703735061E-4</v>
      </c>
      <c r="BG92" s="104">
        <f si="166" t="shared"/>
        <v>2.2887560823156279E-4</v>
      </c>
      <c r="BH92" s="104">
        <f si="167" t="shared"/>
        <v>-3.2731424452333777E-5</v>
      </c>
      <c r="BI92" s="104">
        <f si="168" t="shared"/>
        <v>-3.6163336761133339E-4</v>
      </c>
      <c r="BJ92" s="104">
        <f si="169" t="shared"/>
        <v>-5.3647570788197533E-5</v>
      </c>
      <c r="BK92" s="104">
        <f si="170" t="shared"/>
        <v>-2.8418748873767547E-5</v>
      </c>
      <c r="BL92" s="104">
        <f si="171" t="shared"/>
        <v>-8.4451830257643637E-5</v>
      </c>
      <c r="BM92" s="104">
        <f si="172" t="shared"/>
        <v>1.8457987300117491E-5</v>
      </c>
      <c r="BN92" s="104">
        <f si="173" t="shared"/>
        <v>-2.1502617379319639E-5</v>
      </c>
      <c r="BO92" s="104">
        <f si="174" t="shared"/>
        <v>-1.4340669981297092E-4</v>
      </c>
      <c r="BP92" s="104">
        <f si="175" t="shared"/>
        <v>-7.1837419300428644E-5</v>
      </c>
      <c r="BQ92" s="104">
        <f si="176" t="shared"/>
        <v>-6.4580500578026643E-5</v>
      </c>
      <c r="BR92" s="104">
        <f si="177" t="shared"/>
        <v>0</v>
      </c>
      <c r="BS92" s="104">
        <f si="178" t="shared"/>
        <v>0</v>
      </c>
    </row>
    <row r="93" spans="1:71" x14ac:dyDescent="0.25">
      <c r="AW93" s="95">
        <v>6</v>
      </c>
      <c r="AX93" s="104">
        <f si="157" t="shared"/>
        <v>-1.2661718557505607E-4</v>
      </c>
      <c r="AY93" s="104">
        <f si="158" t="shared"/>
        <v>-3.9797155973588091E-4</v>
      </c>
      <c r="AZ93" s="104">
        <f si="159" t="shared"/>
        <v>-4.140789314758999E-5</v>
      </c>
      <c r="BA93" s="104">
        <f si="160" t="shared"/>
        <v>-5.9912722003936311E-6</v>
      </c>
      <c r="BB93" s="104">
        <f si="161" t="shared"/>
        <v>7.5673118325438678E-4</v>
      </c>
      <c r="BC93" s="104">
        <f si="162" t="shared"/>
        <v>7.4979404547447989E-4</v>
      </c>
      <c r="BD93" s="104">
        <f si="163" t="shared"/>
        <v>-1.4351633451697315E-4</v>
      </c>
      <c r="BE93" s="104">
        <f si="164" t="shared"/>
        <v>7.9557014657825149E-6</v>
      </c>
      <c r="BF93" s="104">
        <f si="165" t="shared"/>
        <v>-6.6471355512676611E-5</v>
      </c>
      <c r="BG93" s="104">
        <f si="166" t="shared"/>
        <v>4.1999513497950657E-4</v>
      </c>
      <c r="BH93" s="104">
        <f si="167" t="shared"/>
        <v>1.4191934676742891E-6</v>
      </c>
      <c r="BI93" s="104">
        <f si="168" t="shared"/>
        <v>-4.7217341062397947E-4</v>
      </c>
      <c r="BJ93" s="104">
        <f si="169" t="shared"/>
        <v>-3.4556017603296475E-4</v>
      </c>
      <c r="BK93" s="104">
        <f si="170" t="shared"/>
        <v>-6.6910704938081129E-5</v>
      </c>
      <c r="BL93" s="104">
        <f si="171" t="shared"/>
        <v>-1.1431461146691442E-4</v>
      </c>
      <c r="BM93" s="104">
        <f si="172" t="shared"/>
        <v>5.9828170945450148E-5</v>
      </c>
      <c r="BN93" s="104">
        <f si="173" t="shared"/>
        <v>9.306542909540491E-5</v>
      </c>
      <c r="BO93" s="104">
        <f si="174" t="shared"/>
        <v>-2.0803353332276848E-4</v>
      </c>
      <c r="BP93" s="104">
        <f si="175" t="shared"/>
        <v>-2.3211241046473585E-5</v>
      </c>
      <c r="BQ93" s="104">
        <f si="176" t="shared"/>
        <v>-7.6609580562933609E-5</v>
      </c>
      <c r="BR93" s="104">
        <f si="177" t="shared"/>
        <v>0</v>
      </c>
      <c r="BS93" s="104">
        <f si="178" t="shared"/>
        <v>0</v>
      </c>
    </row>
    <row r="94" spans="1:71" x14ac:dyDescent="0.25">
      <c r="AW94" s="95">
        <v>7</v>
      </c>
      <c r="AX94" s="104">
        <f si="157" t="shared"/>
        <v>-2.0759977009058772E-3</v>
      </c>
      <c r="AY94" s="104">
        <f si="158" t="shared"/>
        <v>-4.4482577133906787E-3</v>
      </c>
      <c r="AZ94" s="104">
        <f si="159" t="shared"/>
        <v>-7.6083326932187625E-4</v>
      </c>
      <c r="BA94" s="104">
        <f si="160" t="shared"/>
        <v>-8.2901510329938294E-4</v>
      </c>
      <c r="BB94" s="104">
        <f si="161" t="shared"/>
        <v>-9.5161548953172467E-4</v>
      </c>
      <c r="BC94" s="104">
        <f si="162" t="shared"/>
        <v>-5.2721896094507399E-3</v>
      </c>
      <c r="BD94" s="104">
        <f si="163" t="shared"/>
        <v>9.3270119929166964E-3</v>
      </c>
      <c r="BE94" s="104">
        <f si="164" t="shared"/>
        <v>-5.2432012580049328E-4</v>
      </c>
      <c r="BF94" s="104">
        <f si="165" t="shared"/>
        <v>-1.1445998348172011E-3</v>
      </c>
      <c r="BG94" s="104">
        <f si="166" t="shared"/>
        <v>-7.3442665456422058E-4</v>
      </c>
      <c r="BH94" s="104">
        <f si="167" t="shared"/>
        <v>-2.6065842512354711E-3</v>
      </c>
      <c r="BI94" s="104">
        <f si="168" t="shared"/>
        <v>4.5518435239271203E-3</v>
      </c>
      <c r="BJ94" s="104">
        <f si="169" t="shared"/>
        <v>8.7462694943594502E-3</v>
      </c>
      <c r="BK94" s="104">
        <f si="170" t="shared"/>
        <v>-1.7500567491031491E-4</v>
      </c>
      <c r="BL94" s="104">
        <f si="171" t="shared"/>
        <v>-1.2163662600413125E-3</v>
      </c>
      <c r="BM94" s="104">
        <f si="172" t="shared"/>
        <v>-1.6974682647713716E-4</v>
      </c>
      <c r="BN94" s="104">
        <f si="173" t="shared"/>
        <v>-1.6300258235615387E-4</v>
      </c>
      <c r="BO94" s="104">
        <f si="174" t="shared"/>
        <v>-5.1668162248284636E-4</v>
      </c>
      <c r="BP94" s="104">
        <f si="175" t="shared"/>
        <v>-4.9937057750582795E-4</v>
      </c>
      <c r="BQ94" s="104">
        <f si="176" t="shared"/>
        <v>-5.3711171511200818E-4</v>
      </c>
      <c r="BR94" s="104">
        <f si="177" t="shared"/>
        <v>0</v>
      </c>
      <c r="BS94" s="104">
        <f si="178" t="shared"/>
        <v>0</v>
      </c>
    </row>
    <row r="95" spans="1:71" x14ac:dyDescent="0.25">
      <c r="AW95" s="95">
        <v>8</v>
      </c>
      <c r="AX95" s="104">
        <f si="157" t="shared"/>
        <v>-8.3445372653683002E-5</v>
      </c>
      <c r="AY95" s="104">
        <f si="158" t="shared"/>
        <v>-3.675704476646541E-4</v>
      </c>
      <c r="AZ95" s="104">
        <f si="159" t="shared"/>
        <v>3.4887868419022911E-4</v>
      </c>
      <c r="BA95" s="104">
        <f si="160" t="shared"/>
        <v>-1.2699101942926648E-4</v>
      </c>
      <c r="BB95" s="104">
        <f si="161" t="shared"/>
        <v>1.5030437277374165E-4</v>
      </c>
      <c r="BC95" s="104">
        <f si="162" t="shared"/>
        <v>-3.058978983987629E-4</v>
      </c>
      <c r="BD95" s="104">
        <f si="163" t="shared"/>
        <v>-1.655556193449071E-4</v>
      </c>
      <c r="BE95" s="104">
        <f si="164" t="shared"/>
        <v>1.0835060695339762E-4</v>
      </c>
      <c r="BF95" s="104">
        <f si="165" t="shared"/>
        <v>2.2902545356026172E-5</v>
      </c>
      <c r="BG95" s="104">
        <f si="166" t="shared"/>
        <v>1.1759378669349793E-4</v>
      </c>
      <c r="BH95" s="104">
        <f si="167" t="shared"/>
        <v>2.8448453200086393E-4</v>
      </c>
      <c r="BI95" s="104">
        <f si="168" t="shared"/>
        <v>6.5575225156155772E-5</v>
      </c>
      <c r="BJ95" s="104">
        <f si="169" t="shared"/>
        <v>-8.3188617660902436E-5</v>
      </c>
      <c r="BK95" s="104">
        <f si="170" t="shared"/>
        <v>4.3288891782802913E-5</v>
      </c>
      <c r="BL95" s="104">
        <f si="171" t="shared"/>
        <v>-1.3299908626033181E-5</v>
      </c>
      <c r="BM95" s="104">
        <f si="172" t="shared"/>
        <v>1.9513379451322798E-5</v>
      </c>
      <c r="BN95" s="104">
        <f si="173" t="shared"/>
        <v>4.5034825733710767E-5</v>
      </c>
      <c r="BO95" s="104">
        <f si="174" t="shared"/>
        <v>-2.9578175168320872E-5</v>
      </c>
      <c r="BP95" s="104">
        <f si="175" t="shared"/>
        <v>-1.1451272678013113E-5</v>
      </c>
      <c r="BQ95" s="104">
        <f si="176" t="shared"/>
        <v>-1.8948518467205558E-5</v>
      </c>
      <c r="BR95" s="104">
        <f si="177" t="shared"/>
        <v>0</v>
      </c>
      <c r="BS95" s="104">
        <f si="178" t="shared"/>
        <v>0</v>
      </c>
    </row>
    <row r="96" spans="1:71" x14ac:dyDescent="0.25">
      <c r="AW96" s="95">
        <v>9</v>
      </c>
      <c r="AX96" s="104">
        <f si="157" t="shared"/>
        <v>-2.2247168511968351E-3</v>
      </c>
      <c r="AY96" s="104">
        <f si="158" t="shared"/>
        <v>-1.7446323680732363E-3</v>
      </c>
      <c r="AZ96" s="104">
        <f si="159" t="shared"/>
        <v>4.7269887863044457E-4</v>
      </c>
      <c r="BA96" s="104">
        <f si="160" t="shared"/>
        <v>-6.7796128321614339E-4</v>
      </c>
      <c r="BB96" s="104">
        <f si="161" t="shared"/>
        <v>-4.4920801239641851E-5</v>
      </c>
      <c r="BC96" s="104">
        <f si="162" t="shared"/>
        <v>-4.4152862785341949E-3</v>
      </c>
      <c r="BD96" s="104">
        <f si="163" t="shared"/>
        <v>3.4552399009185001E-4</v>
      </c>
      <c r="BE96" s="104">
        <f si="164" t="shared"/>
        <v>-7.5541999169460535E-5</v>
      </c>
      <c r="BF96" s="104">
        <f si="165" t="shared"/>
        <v>7.4545613194810338E-3</v>
      </c>
      <c r="BG96" s="104">
        <f si="166" t="shared"/>
        <v>-7.1761365773961936E-4</v>
      </c>
      <c r="BH96" s="104">
        <f si="167" t="shared"/>
        <v>-8.8523414135850687E-6</v>
      </c>
      <c r="BI96" s="104">
        <f si="168" t="shared"/>
        <v>-6.0457684396110489E-4</v>
      </c>
      <c r="BJ96" s="104">
        <f si="169" t="shared"/>
        <v>1.1067085319054031E-3</v>
      </c>
      <c r="BK96" s="104">
        <f si="170" t="shared"/>
        <v>8.155749542818687E-6</v>
      </c>
      <c r="BL96" s="104">
        <f si="171" t="shared"/>
        <v>1.9843176603844877E-3</v>
      </c>
      <c r="BM96" s="104">
        <f si="172" t="shared"/>
        <v>-1.305424703568935E-4</v>
      </c>
      <c r="BN96" s="104">
        <f si="173" t="shared"/>
        <v>-1.1206908469925167E-4</v>
      </c>
      <c r="BO96" s="104">
        <f si="174" t="shared"/>
        <v>-3.8201934679937041E-4</v>
      </c>
      <c r="BP96" s="104">
        <f si="175" t="shared"/>
        <v>-1.2642493455764523E-5</v>
      </c>
      <c r="BQ96" s="104">
        <f si="176" t="shared"/>
        <v>-2.2059031018093768E-4</v>
      </c>
      <c r="BR96" s="104">
        <f si="177" t="shared"/>
        <v>0</v>
      </c>
      <c r="BS96" s="104">
        <f si="178" t="shared"/>
        <v>0</v>
      </c>
    </row>
    <row r="97" spans="49:71" x14ac:dyDescent="0.25">
      <c r="AW97" s="95">
        <v>10</v>
      </c>
      <c r="AX97" s="104">
        <f si="157" t="shared"/>
        <v>-7.9708508966104801E-4</v>
      </c>
      <c r="AY97" s="104">
        <f si="158" t="shared"/>
        <v>-9.5169777906307777E-4</v>
      </c>
      <c r="AZ97" s="104">
        <f si="159" t="shared"/>
        <v>3.9514921706184833E-5</v>
      </c>
      <c r="BA97" s="104">
        <f si="160" t="shared"/>
        <v>3.8372333107291223E-4</v>
      </c>
      <c r="BB97" s="104">
        <f si="161" t="shared"/>
        <v>3.8314190982088924E-4</v>
      </c>
      <c r="BC97" s="104">
        <f si="162" t="shared"/>
        <v>-1.8196146724829675E-3</v>
      </c>
      <c r="BD97" s="104">
        <f si="163" t="shared"/>
        <v>-8.5410142997758773E-5</v>
      </c>
      <c r="BE97" s="104">
        <f si="164" t="shared"/>
        <v>6.645261555953758E-5</v>
      </c>
      <c r="BF97" s="104">
        <f si="165" t="shared"/>
        <v>-3.1304870272945223E-4</v>
      </c>
      <c r="BG97" s="104">
        <f si="166" t="shared"/>
        <v>2.3050918340555659E-3</v>
      </c>
      <c r="BH97" s="104">
        <f si="167" t="shared"/>
        <v>-1.8359110795753905E-4</v>
      </c>
      <c r="BI97" s="104">
        <f si="168" t="shared"/>
        <v>1.4432325833724155E-3</v>
      </c>
      <c r="BJ97" s="104">
        <f si="169" t="shared"/>
        <v>-1.40511626729335E-4</v>
      </c>
      <c r="BK97" s="104">
        <f si="170" t="shared"/>
        <v>-7.0778773029262E-5</v>
      </c>
      <c r="BL97" s="104">
        <f si="171" t="shared"/>
        <v>-1.3012910437177748E-4</v>
      </c>
      <c r="BM97" s="104">
        <f si="172" t="shared"/>
        <v>3.7820941304548324E-4</v>
      </c>
      <c r="BN97" s="104">
        <f si="173" t="shared"/>
        <v>-8.3433949665332266E-5</v>
      </c>
      <c r="BO97" s="104">
        <f si="174" t="shared"/>
        <v>-2.6832910243098051E-4</v>
      </c>
      <c r="BP97" s="104">
        <f si="175" t="shared"/>
        <v>-6.1791022752107441E-5</v>
      </c>
      <c r="BQ97" s="104">
        <f si="176" t="shared"/>
        <v>-9.394553476234989E-5</v>
      </c>
      <c r="BR97" s="104">
        <f si="177" t="shared"/>
        <v>0</v>
      </c>
      <c r="BS97" s="104">
        <f si="178" t="shared"/>
        <v>0</v>
      </c>
    </row>
    <row r="98" spans="49:71" x14ac:dyDescent="0.25">
      <c r="AW98" s="95">
        <v>11</v>
      </c>
      <c r="AX98" s="104">
        <f si="157" t="shared"/>
        <v>-9.6443406583898977E-4</v>
      </c>
      <c r="AY98" s="104">
        <f si="158" t="shared"/>
        <v>-3.5849247127863683E-3</v>
      </c>
      <c r="AZ98" s="104">
        <f si="159" t="shared"/>
        <v>2.079464551330111E-3</v>
      </c>
      <c r="BA98" s="104">
        <f si="160" t="shared"/>
        <v>-3.3409912855155745E-4</v>
      </c>
      <c r="BB98" s="104">
        <f si="161" t="shared"/>
        <v>-9.7085382673903274E-4</v>
      </c>
      <c r="BC98" s="104">
        <f si="162" t="shared"/>
        <v>-4.2651858662321835E-3</v>
      </c>
      <c r="BD98" s="104">
        <f si="163" t="shared"/>
        <v>-1.8591425952497645E-3</v>
      </c>
      <c r="BE98" s="104">
        <f si="164" t="shared"/>
        <v>-5.1219220396703626E-5</v>
      </c>
      <c r="BF98" s="104">
        <f si="165" t="shared"/>
        <v>8.5880374584788519E-5</v>
      </c>
      <c r="BG98" s="104">
        <f si="166" t="shared"/>
        <v>2.3701683180662385E-4</v>
      </c>
      <c r="BH98" s="104">
        <f si="167" t="shared"/>
        <v>1.0564241683266614E-2</v>
      </c>
      <c r="BI98" s="104">
        <f si="168" t="shared"/>
        <v>-1.2777926657849461E-3</v>
      </c>
      <c r="BJ98" s="104">
        <f si="169" t="shared"/>
        <v>-6.4379781673940494E-4</v>
      </c>
      <c r="BK98" s="104">
        <f si="170" t="shared"/>
        <v>2.0382252252215368E-4</v>
      </c>
      <c r="BL98" s="104">
        <f si="171" t="shared"/>
        <v>-1.0746336179912855E-4</v>
      </c>
      <c r="BM98" s="104">
        <f si="172" t="shared"/>
        <v>-8.0056197975905018E-5</v>
      </c>
      <c r="BN98" s="104">
        <f si="173" t="shared"/>
        <v>2.5235595607219614E-4</v>
      </c>
      <c r="BO98" s="104">
        <f si="174" t="shared"/>
        <v>-3.16918733334042E-4</v>
      </c>
      <c r="BP98" s="104">
        <f si="175" t="shared"/>
        <v>1.267016601822624E-3</v>
      </c>
      <c r="BQ98" s="104">
        <f si="176" t="shared"/>
        <v>-2.3391032997708864E-4</v>
      </c>
      <c r="BR98" s="104">
        <f si="177" t="shared"/>
        <v>0</v>
      </c>
      <c r="BS98" s="104">
        <f si="178" t="shared"/>
        <v>0</v>
      </c>
    </row>
    <row r="99" spans="49:71" x14ac:dyDescent="0.25">
      <c r="AW99" s="95">
        <v>12</v>
      </c>
      <c r="AX99" s="104">
        <f si="157" t="shared"/>
        <v>-3.3820364320525055E-3</v>
      </c>
      <c r="AY99" s="104">
        <f si="158" t="shared"/>
        <v>-3.6412775148431135E-3</v>
      </c>
      <c r="AZ99" s="104">
        <f si="159" t="shared"/>
        <v>4.1383207025518561E-5</v>
      </c>
      <c r="BA99" s="104">
        <f si="160" t="shared"/>
        <v>1.759326979813452E-4</v>
      </c>
      <c r="BB99" s="104">
        <f si="161" t="shared"/>
        <v>8.6269549446194374E-4</v>
      </c>
      <c r="BC99" s="104">
        <f si="162" t="shared"/>
        <v>-9.3108564597211355E-3</v>
      </c>
      <c r="BD99" s="104">
        <f si="163" t="shared"/>
        <v>2.5613836467623906E-3</v>
      </c>
      <c r="BE99" s="104">
        <f si="164" t="shared"/>
        <v>-2.8091107063271149E-4</v>
      </c>
      <c r="BF99" s="104">
        <f si="165" t="shared"/>
        <v>-1.0530550782215349E-3</v>
      </c>
      <c r="BG99" s="104">
        <f si="166" t="shared"/>
        <v>2.2509876720722783E-4</v>
      </c>
      <c r="BH99" s="104">
        <f si="167" t="shared"/>
        <v>-1.2814067752889694E-3</v>
      </c>
      <c r="BI99" s="104">
        <f si="168" t="shared"/>
        <v>1.6379308723069759E-2</v>
      </c>
      <c r="BJ99" s="104">
        <f si="169" t="shared"/>
        <v>2.1277433005898474E-3</v>
      </c>
      <c r="BK99" s="104">
        <f si="170" t="shared"/>
        <v>-1.7742744670066316E-4</v>
      </c>
      <c r="BL99" s="104">
        <f si="171" t="shared"/>
        <v>-6.0217998825005936E-4</v>
      </c>
      <c r="BM99" s="104">
        <f si="172" t="shared"/>
        <v>-1.7488560016022062E-4</v>
      </c>
      <c r="BN99" s="104">
        <f si="173" t="shared"/>
        <v>-1.0483799817217985E-4</v>
      </c>
      <c r="BO99" s="104">
        <f si="174" t="shared"/>
        <v>-1.1812317151970674E-3</v>
      </c>
      <c r="BP99" s="104">
        <f si="175" t="shared"/>
        <v>-3.4708418962041968E-4</v>
      </c>
      <c r="BQ99" s="104">
        <f si="176" t="shared"/>
        <v>-8.3635556823745004E-4</v>
      </c>
      <c r="BR99" s="104">
        <f si="177" t="shared"/>
        <v>0</v>
      </c>
      <c r="BS99" s="104">
        <f si="178" t="shared"/>
        <v>0</v>
      </c>
    </row>
    <row r="100" spans="49:71" x14ac:dyDescent="0.25">
      <c r="AW100" s="95">
        <v>13</v>
      </c>
      <c r="AX100" s="104">
        <f si="157" t="shared"/>
        <v>-2.7303921503042815E-3</v>
      </c>
      <c r="AY100" s="104">
        <f si="158" t="shared"/>
        <v>-2.8333008537403909E-3</v>
      </c>
      <c r="AZ100" s="104">
        <f si="159" t="shared"/>
        <v>-6.559790669756878E-4</v>
      </c>
      <c r="BA100" s="104">
        <f si="160" t="shared"/>
        <v>-9.8655063005659727E-4</v>
      </c>
      <c r="BB100" s="104">
        <f si="161" t="shared"/>
        <v>-1.2442736808831608E-3</v>
      </c>
      <c r="BC100" s="104">
        <f si="162" t="shared"/>
        <v>-5.9206609408796879E-3</v>
      </c>
      <c r="BD100" s="104">
        <f si="163" t="shared"/>
        <v>3.1762351032068488E-3</v>
      </c>
      <c r="BE100" s="104">
        <f si="164" t="shared"/>
        <v>-4.1277711789762354E-4</v>
      </c>
      <c r="BF100" s="104">
        <f si="165" t="shared"/>
        <v>-2.7882588861988639E-3</v>
      </c>
      <c r="BG100" s="104">
        <f si="166" t="shared"/>
        <v>-9.737446264534911E-4</v>
      </c>
      <c r="BH100" s="104">
        <f si="167" t="shared"/>
        <v>-2.0320760544923003E-3</v>
      </c>
      <c r="BI100" s="104">
        <f si="168" t="shared"/>
        <v>-3.7180015813767838E-3</v>
      </c>
      <c r="BJ100" s="104">
        <f si="169" t="shared"/>
        <v>2.3324999357448049E-2</v>
      </c>
      <c r="BK100" s="104">
        <f si="170" t="shared"/>
        <v>-2.0726792204332496E-4</v>
      </c>
      <c r="BL100" s="104">
        <f si="171" t="shared"/>
        <v>5.6701538746462346E-4</v>
      </c>
      <c r="BM100" s="104">
        <f si="172" t="shared"/>
        <v>-1.6318154939298104E-4</v>
      </c>
      <c r="BN100" s="104">
        <f si="173" t="shared"/>
        <v>-3.2655919042293548E-4</v>
      </c>
      <c r="BO100" s="104">
        <f si="174" t="shared"/>
        <v>-5.9038031586437171E-4</v>
      </c>
      <c r="BP100" s="104">
        <f si="175" t="shared"/>
        <v>-6.53152626514529E-4</v>
      </c>
      <c r="BQ100" s="104">
        <f si="176" t="shared"/>
        <v>-8.3169265462251069E-4</v>
      </c>
      <c r="BR100" s="104">
        <f si="177" t="shared"/>
        <v>0</v>
      </c>
      <c r="BS100" s="104">
        <f si="178" t="shared"/>
        <v>0</v>
      </c>
    </row>
    <row r="101" spans="49:71" x14ac:dyDescent="0.25">
      <c r="AW101" s="95">
        <v>14</v>
      </c>
      <c r="AX101" s="104">
        <f si="157" t="shared"/>
        <v>-1.0747958689378331E-4</v>
      </c>
      <c r="AY101" s="104">
        <f si="158" t="shared"/>
        <v>-1.574127313075008E-3</v>
      </c>
      <c r="AZ101" s="104">
        <f si="159" t="shared"/>
        <v>2.4891628804018021E-4</v>
      </c>
      <c r="BA101" s="104">
        <f si="160" t="shared"/>
        <v>-7.3988458988334845E-5</v>
      </c>
      <c r="BB101" s="104">
        <f si="161" t="shared"/>
        <v>-1.2453731247519825E-4</v>
      </c>
      <c r="BC101" s="104">
        <f si="162" t="shared"/>
        <v>-1.1827521073592641E-3</v>
      </c>
      <c r="BD101" s="104">
        <f si="163" t="shared"/>
        <v>-5.7280961525942248E-4</v>
      </c>
      <c r="BE101" s="104">
        <f si="164" t="shared"/>
        <v>-2.131559378878013E-5</v>
      </c>
      <c r="BF101" s="104">
        <f si="165" t="shared"/>
        <v>-3.88335629278694E-4</v>
      </c>
      <c r="BG101" s="104">
        <f si="166" t="shared"/>
        <v>-1.2110558555585151E-4</v>
      </c>
      <c r="BH101" s="104">
        <f si="167" t="shared"/>
        <v>5.5077699318292848E-4</v>
      </c>
      <c r="BI101" s="104">
        <f si="168" t="shared"/>
        <v>-9.6894395266513341E-4</v>
      </c>
      <c r="BJ101" s="104">
        <f si="169" t="shared"/>
        <v>-3.5450567679335288E-4</v>
      </c>
      <c r="BK101" s="104">
        <f si="170" t="shared"/>
        <v>4.6935162180542821E-3</v>
      </c>
      <c r="BL101" s="104">
        <f si="171" t="shared"/>
        <v>-2.0084011562788323E-4</v>
      </c>
      <c r="BM101" s="104">
        <f si="172" t="shared"/>
        <v>-9.5131769092423788E-5</v>
      </c>
      <c r="BN101" s="104">
        <f si="173" t="shared"/>
        <v>5.4458708651152713E-4</v>
      </c>
      <c r="BO101" s="104">
        <f si="174" t="shared"/>
        <v>-1.1165049286030484E-4</v>
      </c>
      <c r="BP101" s="104">
        <f si="175" t="shared"/>
        <v>3.4230306952623261E-5</v>
      </c>
      <c r="BQ101" s="104">
        <f si="176" t="shared"/>
        <v>-1.7450368302810584E-4</v>
      </c>
      <c r="BR101" s="104">
        <f si="177" t="shared"/>
        <v>0</v>
      </c>
      <c r="BS101" s="104">
        <f si="178" t="shared"/>
        <v>0</v>
      </c>
    </row>
    <row r="102" spans="49:71" x14ac:dyDescent="0.25">
      <c r="AW102" s="95">
        <v>15</v>
      </c>
      <c r="AX102" s="104">
        <f si="157" t="shared"/>
        <v>-1.1873876223224172E-3</v>
      </c>
      <c r="AY102" s="104">
        <f si="158" t="shared"/>
        <v>-1.8451641983059923E-3</v>
      </c>
      <c r="AZ102" s="104">
        <f si="159" t="shared"/>
        <v>9.4570621954409508E-5</v>
      </c>
      <c r="BA102" s="104">
        <f si="160" t="shared"/>
        <v>-4.0205630650221106E-4</v>
      </c>
      <c r="BB102" s="104">
        <f si="161" t="shared"/>
        <v>-4.8864457126900974E-4</v>
      </c>
      <c r="BC102" s="104">
        <f si="162" t="shared"/>
        <v>-2.7986751174252458E-3</v>
      </c>
      <c r="BD102" s="104">
        <f si="163" t="shared"/>
        <v>-1.836494213169356E-3</v>
      </c>
      <c r="BE102" s="104">
        <f si="164" t="shared"/>
        <v>-2.5194051812882438E-4</v>
      </c>
      <c r="BF102" s="104">
        <f si="165" t="shared"/>
        <v>-1.3312379210136688E-4</v>
      </c>
      <c r="BG102" s="104">
        <f si="166" t="shared"/>
        <v>-3.9302121784246354E-4</v>
      </c>
      <c r="BH102" s="104">
        <f si="167" t="shared"/>
        <v>-3.7688569766353391E-4</v>
      </c>
      <c r="BI102" s="104">
        <f si="168" t="shared"/>
        <v>-2.1648177163546144E-3</v>
      </c>
      <c r="BJ102" s="104">
        <f si="169" t="shared"/>
        <v>2.9470637605800492E-3</v>
      </c>
      <c r="BK102" s="104">
        <f si="170" t="shared"/>
        <v>-5.5039111401687828E-5</v>
      </c>
      <c r="BL102" s="104">
        <f si="171" t="shared"/>
        <v>9.5792137946674565E-3</v>
      </c>
      <c r="BM102" s="104">
        <f si="172" t="shared"/>
        <v>-1.3373262424982616E-4</v>
      </c>
      <c r="BN102" s="104">
        <f si="173" t="shared"/>
        <v>-6.7307274959127553E-5</v>
      </c>
      <c r="BO102" s="104">
        <f si="174" t="shared"/>
        <v>-4.1346603630691817E-4</v>
      </c>
      <c r="BP102" s="104">
        <f si="175" t="shared"/>
        <v>1.3177447519356405E-4</v>
      </c>
      <c r="BQ102" s="104">
        <f si="176" t="shared"/>
        <v>-2.0486663439288561E-4</v>
      </c>
      <c r="BR102" s="104">
        <f si="177" t="shared"/>
        <v>0</v>
      </c>
      <c r="BS102" s="104">
        <f si="178" t="shared"/>
        <v>0</v>
      </c>
    </row>
    <row r="103" spans="49:71" x14ac:dyDescent="0.25">
      <c r="AW103" s="95">
        <v>16</v>
      </c>
      <c r="AX103" s="104">
        <f si="157" t="shared"/>
        <v>-1.6627997171965165E-4</v>
      </c>
      <c r="AY103" s="104">
        <f si="158" t="shared"/>
        <v>-1.0678337918376842E-3</v>
      </c>
      <c r="AZ103" s="104">
        <f si="159" t="shared"/>
        <v>7.925276233216146E-5</v>
      </c>
      <c r="BA103" s="104">
        <f si="160" t="shared"/>
        <v>8.6487657856836497E-5</v>
      </c>
      <c r="BB103" s="104">
        <f si="161" t="shared"/>
        <v>1.4101915005722103E-6</v>
      </c>
      <c r="BC103" s="104">
        <f si="162" t="shared"/>
        <v>-1.6669812415590845E-3</v>
      </c>
      <c r="BD103" s="104">
        <f si="163" t="shared"/>
        <v>-1.2681913477320347E-4</v>
      </c>
      <c r="BE103" s="104">
        <f si="164" t="shared"/>
        <v>-6.0356196224493058E-5</v>
      </c>
      <c r="BF103" s="104">
        <f si="165" t="shared"/>
        <v>-8.117798029381231E-5</v>
      </c>
      <c r="BG103" s="104">
        <f si="166" t="shared"/>
        <v>5.4273978969850796E-5</v>
      </c>
      <c r="BH103" s="104">
        <f si="167" t="shared"/>
        <v>-1.8331263253960724E-4</v>
      </c>
      <c r="BI103" s="104">
        <f si="168" t="shared"/>
        <v>2.1899660877147944E-3</v>
      </c>
      <c r="BJ103" s="104">
        <f si="169" t="shared"/>
        <v>-1.2152171974496676E-4</v>
      </c>
      <c r="BK103" s="104">
        <f si="170" t="shared"/>
        <v>-3.2937168439453141E-5</v>
      </c>
      <c r="BL103" s="104">
        <f si="171" t="shared"/>
        <v>-1.9006928920756709E-6</v>
      </c>
      <c r="BM103" s="104">
        <f si="172" t="shared"/>
        <v>8.1685649234018308E-4</v>
      </c>
      <c r="BN103" s="104">
        <f si="173" t="shared"/>
        <v>-5.3464651673870338E-6</v>
      </c>
      <c r="BO103" s="104">
        <f si="174" t="shared"/>
        <v>1.3505955815046051E-4</v>
      </c>
      <c r="BP103" s="104">
        <f si="175" t="shared"/>
        <v>-1.879846582936772E-5</v>
      </c>
      <c r="BQ103" s="104">
        <f si="176" t="shared"/>
        <v>1.6995873215592725E-4</v>
      </c>
      <c r="BR103" s="104">
        <f si="177" t="shared"/>
        <v>0</v>
      </c>
      <c r="BS103" s="104">
        <f si="178" t="shared"/>
        <v>0</v>
      </c>
    </row>
    <row r="104" spans="49:71" x14ac:dyDescent="0.25">
      <c r="AW104" s="95">
        <v>17</v>
      </c>
      <c r="AX104" s="104">
        <f si="157" t="shared"/>
        <v>-6.2420468710269088E-4</v>
      </c>
      <c r="AY104" s="104">
        <f si="158" t="shared"/>
        <v>-1.4817866759592626E-3</v>
      </c>
      <c r="AZ104" s="104">
        <f si="159" t="shared"/>
        <v>2.8266978238829211E-4</v>
      </c>
      <c r="BA104" s="104">
        <f si="160" t="shared"/>
        <v>-2.0656337443188068E-4</v>
      </c>
      <c r="BB104" s="104">
        <f si="161" t="shared"/>
        <v>-3.3371169895997176E-4</v>
      </c>
      <c r="BC104" s="104">
        <f si="162" t="shared"/>
        <v>-1.2978224470257594E-3</v>
      </c>
      <c r="BD104" s="104">
        <f si="163" t="shared"/>
        <v>-8.503855227728755E-4</v>
      </c>
      <c r="BE104" s="104">
        <f si="164" t="shared"/>
        <v>2.3148604261198928E-5</v>
      </c>
      <c r="BF104" s="104">
        <f si="165" t="shared"/>
        <v>-3.7283112469509042E-4</v>
      </c>
      <c r="BG104" s="104">
        <f si="166" t="shared"/>
        <v>-2.9526741961811932E-4</v>
      </c>
      <c r="BH104" s="104">
        <f si="167" t="shared"/>
        <v>4.7308314554879438E-4</v>
      </c>
      <c r="BI104" s="104">
        <f si="168" t="shared"/>
        <v>-9.3675585438842768E-4</v>
      </c>
      <c r="BJ104" s="104">
        <f si="169" t="shared"/>
        <v>-3.6097827159972207E-4</v>
      </c>
      <c r="BK104" s="104">
        <f si="170" t="shared"/>
        <v>1.5578022151558259E-3</v>
      </c>
      <c r="BL104" s="104">
        <f si="171" t="shared"/>
        <v>-4.4126549174990548E-6</v>
      </c>
      <c r="BM104" s="104">
        <f si="172" t="shared"/>
        <v>-1.1432818622274734E-4</v>
      </c>
      <c r="BN104" s="104">
        <f si="173" t="shared"/>
        <v>3.1844982366101881E-3</v>
      </c>
      <c r="BO104" s="104">
        <f si="174" t="shared"/>
        <v>-1.7659621621906506E-4</v>
      </c>
      <c r="BP104" s="104">
        <f si="175" t="shared"/>
        <v>1.6416248245326366E-3</v>
      </c>
      <c r="BQ104" s="104">
        <f si="176" t="shared"/>
        <v>-1.0718267458382563E-4</v>
      </c>
      <c r="BR104" s="104">
        <f si="177" t="shared"/>
        <v>0</v>
      </c>
      <c r="BS104" s="104">
        <f si="178" t="shared"/>
        <v>0</v>
      </c>
    </row>
    <row r="105" spans="49:71" x14ac:dyDescent="0.25">
      <c r="AW105" s="95">
        <v>18</v>
      </c>
      <c r="AX105" s="104">
        <f si="157" t="shared"/>
        <v>-1.5620475830211142E-3</v>
      </c>
      <c r="AY105" s="104">
        <f si="158" t="shared"/>
        <v>-1.4913016285020961E-3</v>
      </c>
      <c r="AZ105" s="104">
        <f si="159" t="shared"/>
        <v>1.0090984710388676E-5</v>
      </c>
      <c r="BA105" s="104">
        <f si="160" t="shared"/>
        <v>-3.3250818235926101E-4</v>
      </c>
      <c r="BB105" s="104">
        <f si="161" t="shared"/>
        <v>-2.2679962721825484E-4</v>
      </c>
      <c r="BC105" s="104">
        <f si="162" t="shared"/>
        <v>-3.5566972811385314E-3</v>
      </c>
      <c r="BD105" s="104">
        <f si="163" t="shared"/>
        <v>-1.5008670333374915E-3</v>
      </c>
      <c r="BE105" s="104">
        <f si="164" t="shared"/>
        <v>-1.0603685645102345E-4</v>
      </c>
      <c r="BF105" s="104">
        <f si="165" t="shared"/>
        <v>-1.6066414720747255E-3</v>
      </c>
      <c r="BG105" s="104">
        <f si="166" t="shared"/>
        <v>-2.3930932157999369E-4</v>
      </c>
      <c r="BH105" s="104">
        <f si="167" t="shared"/>
        <v>-6.0775421400377613E-4</v>
      </c>
      <c r="BI105" s="104">
        <f si="168" t="shared"/>
        <v>1.7294853455905937E-4</v>
      </c>
      <c r="BJ105" s="104">
        <f si="169" t="shared"/>
        <v>3.7254862157662522E-3</v>
      </c>
      <c r="BK105" s="104">
        <f si="170" t="shared"/>
        <v>-1.3371578356460544E-4</v>
      </c>
      <c r="BL105" s="104">
        <f si="171" t="shared"/>
        <v>-5.7297772523553939E-4</v>
      </c>
      <c r="BM105" s="104">
        <f si="172" t="shared"/>
        <v>-1.2303929096231557E-4</v>
      </c>
      <c r="BN105" s="104">
        <f si="173" t="shared"/>
        <v>-8.1898521243203772E-5</v>
      </c>
      <c r="BO105" s="104">
        <f si="174" t="shared"/>
        <v>6.441911555088102E-3</v>
      </c>
      <c r="BP105" s="104">
        <f si="175" t="shared"/>
        <v>-2.19942894302354E-4</v>
      </c>
      <c r="BQ105" s="104">
        <f si="176" t="shared"/>
        <v>2.0111001248704829E-3</v>
      </c>
      <c r="BR105" s="104">
        <f si="177" t="shared"/>
        <v>0</v>
      </c>
      <c r="BS105" s="104">
        <f si="178" t="shared"/>
        <v>0</v>
      </c>
    </row>
    <row r="106" spans="49:71" x14ac:dyDescent="0.25">
      <c r="AW106" s="95">
        <v>19</v>
      </c>
      <c r="AX106" s="104">
        <f si="157" t="shared"/>
        <v>-1.6111726047863099E-3</v>
      </c>
      <c r="AY106" s="104">
        <f si="158" t="shared"/>
        <v>-2.2697182506197988E-3</v>
      </c>
      <c r="AZ106" s="104">
        <f si="159" t="shared"/>
        <v>1.4133621094197086E-4</v>
      </c>
      <c r="BA106" s="104">
        <f si="160" t="shared"/>
        <v>-4.0029785408595201E-4</v>
      </c>
      <c r="BB106" s="104">
        <f si="161" t="shared"/>
        <v>-5.910212146013643E-4</v>
      </c>
      <c r="BC106" s="104">
        <f si="162" t="shared"/>
        <v>-3.1313309752557393E-3</v>
      </c>
      <c r="BD106" s="104">
        <f si="163" t="shared"/>
        <v>-1.2622515905354793E-3</v>
      </c>
      <c r="BE106" s="104">
        <f si="164" t="shared"/>
        <v>-1.2726606351334298E-4</v>
      </c>
      <c r="BF106" s="104">
        <f si="165" t="shared"/>
        <v>-1.1377113481187472E-3</v>
      </c>
      <c r="BG106" s="104">
        <f si="166" t="shared"/>
        <v>-4.18160052881675E-4</v>
      </c>
      <c r="BH106" s="104">
        <f si="167" t="shared"/>
        <v>3.5299278624155144E-3</v>
      </c>
      <c r="BI106" s="104">
        <f si="168" t="shared"/>
        <v>-2.4865476568538131E-3</v>
      </c>
      <c r="BJ106" s="104">
        <f si="169" t="shared"/>
        <v>-6.3949627124406305E-4</v>
      </c>
      <c r="BK106" s="104">
        <f si="170" t="shared"/>
        <v>1.843041541364376E-4</v>
      </c>
      <c r="BL106" s="104">
        <f si="171" t="shared"/>
        <v>3.4821807523242225E-4</v>
      </c>
      <c r="BM106" s="104">
        <f si="172" t="shared"/>
        <v>-1.1816468554989667E-4</v>
      </c>
      <c r="BN106" s="104">
        <f si="173" t="shared"/>
        <v>1.6358950519065811E-3</v>
      </c>
      <c r="BO106" s="104">
        <f si="174" t="shared"/>
        <v>-2.5570839044235444E-4</v>
      </c>
      <c r="BP106" s="104">
        <f si="175" t="shared"/>
        <v>8.8170805066000186E-3</v>
      </c>
      <c r="BQ106" s="104">
        <f si="176" t="shared"/>
        <v>-2.079149027444129E-4</v>
      </c>
      <c r="BR106" s="104">
        <f si="177" t="shared"/>
        <v>0</v>
      </c>
      <c r="BS106" s="104">
        <f si="178" t="shared"/>
        <v>0</v>
      </c>
    </row>
    <row r="107" spans="49:71" x14ac:dyDescent="0.25">
      <c r="AW107" s="95">
        <v>20</v>
      </c>
      <c r="AX107" s="104">
        <f si="157" t="shared"/>
        <v>-8.5956083037830463E-4</v>
      </c>
      <c r="AY107" s="104">
        <f si="158" t="shared"/>
        <v>-8.5302340441989651E-4</v>
      </c>
      <c r="AZ107" s="104">
        <f si="159" t="shared"/>
        <v>-1.9937595725392316E-4</v>
      </c>
      <c r="BA107" s="104">
        <f si="160" t="shared"/>
        <v>-3.1623147535562329E-4</v>
      </c>
      <c r="BB107" s="104">
        <f si="161" t="shared"/>
        <v>-2.9237504876660858E-4</v>
      </c>
      <c r="BC107" s="104">
        <f si="162" t="shared"/>
        <v>-1.5451924722283154E-3</v>
      </c>
      <c r="BD107" s="104">
        <f si="163" t="shared"/>
        <v>-1.0433414667369917E-3</v>
      </c>
      <c r="BE107" s="104">
        <f si="164" t="shared"/>
        <v>-1.3722510175626486E-4</v>
      </c>
      <c r="BF107" s="104">
        <f si="165" t="shared"/>
        <v>-8.8163597021112734E-4</v>
      </c>
      <c r="BG107" s="104">
        <f si="166" t="shared"/>
        <v>-3.6365952977902898E-4</v>
      </c>
      <c r="BH107" s="104">
        <f si="167" t="shared"/>
        <v>-3.3355047598622993E-4</v>
      </c>
      <c r="BI107" s="104">
        <f si="168" t="shared"/>
        <v>-2.8172914186479457E-3</v>
      </c>
      <c r="BJ107" s="104">
        <f si="169" t="shared"/>
        <v>-7.1075736470679147E-4</v>
      </c>
      <c r="BK107" s="104">
        <f si="170" t="shared"/>
        <v>-1.2562861428390445E-4</v>
      </c>
      <c r="BL107" s="104">
        <f si="171" t="shared"/>
        <v>-2.398122022513165E-4</v>
      </c>
      <c r="BM107" s="104">
        <f si="172" t="shared"/>
        <v>-2.9521332726439273E-5</v>
      </c>
      <c r="BN107" s="104">
        <f si="173" t="shared"/>
        <v>-5.4116941537681921E-5</v>
      </c>
      <c r="BO107" s="104">
        <f si="174" t="shared"/>
        <v>-6.3457369784494701E-4</v>
      </c>
      <c r="BP107" s="104">
        <f si="175" t="shared"/>
        <v>-1.8264467768967647E-4</v>
      </c>
      <c r="BQ107" s="104">
        <f si="176" t="shared"/>
        <v>1.1619517982561015E-2</v>
      </c>
      <c r="BR107" s="104">
        <f si="177" t="shared"/>
        <v>0</v>
      </c>
      <c r="BS107" s="104">
        <f si="178" t="shared"/>
        <v>0</v>
      </c>
    </row>
    <row r="108" spans="49:71" x14ac:dyDescent="0.25">
      <c r="AW108" s="101" t="s">
        <v>15</v>
      </c>
      <c r="AX108" s="105">
        <f si="157" t="shared"/>
        <v>0</v>
      </c>
      <c r="AY108" s="105">
        <f si="158" t="shared"/>
        <v>0</v>
      </c>
      <c r="AZ108" s="105">
        <f si="159" t="shared"/>
        <v>0</v>
      </c>
      <c r="BA108" s="105">
        <f si="160" t="shared"/>
        <v>0</v>
      </c>
      <c r="BB108" s="105">
        <f si="161" t="shared"/>
        <v>0</v>
      </c>
      <c r="BC108" s="105">
        <f si="162" t="shared"/>
        <v>0</v>
      </c>
      <c r="BD108" s="105">
        <f si="163" t="shared"/>
        <v>0</v>
      </c>
      <c r="BE108" s="105">
        <f si="164" t="shared"/>
        <v>0</v>
      </c>
      <c r="BF108" s="105">
        <f si="165" t="shared"/>
        <v>0</v>
      </c>
      <c r="BG108" s="105">
        <f si="166" t="shared"/>
        <v>0</v>
      </c>
      <c r="BH108" s="105">
        <f si="167" t="shared"/>
        <v>0</v>
      </c>
      <c r="BI108" s="105">
        <f si="168" t="shared"/>
        <v>0</v>
      </c>
      <c r="BJ108" s="105">
        <f si="169" t="shared"/>
        <v>0</v>
      </c>
      <c r="BK108" s="105">
        <f si="170" t="shared"/>
        <v>0</v>
      </c>
      <c r="BL108" s="105">
        <f si="171" t="shared"/>
        <v>0</v>
      </c>
      <c r="BM108" s="105">
        <f si="172" t="shared"/>
        <v>0</v>
      </c>
      <c r="BN108" s="105">
        <f si="173" t="shared"/>
        <v>0</v>
      </c>
      <c r="BO108" s="105">
        <f si="174" t="shared"/>
        <v>0</v>
      </c>
      <c r="BP108" s="105">
        <f si="175" t="shared"/>
        <v>0</v>
      </c>
      <c r="BQ108" s="105">
        <f si="176" t="shared"/>
        <v>0</v>
      </c>
      <c r="BR108" s="105">
        <f si="177" t="shared"/>
        <v>0</v>
      </c>
      <c r="BS108" s="105">
        <f si="178" t="shared"/>
        <v>0</v>
      </c>
    </row>
    <row ht="15.75" r="109" spans="49:71" thickBot="1" x14ac:dyDescent="0.3">
      <c r="AW109" s="1" t="s">
        <v>3</v>
      </c>
      <c r="AX109" s="106">
        <f si="157" t="shared"/>
        <v>-1.8705764198232014E-2</v>
      </c>
      <c r="AY109" s="106">
        <f si="158" t="shared"/>
        <v>-3.1353988658758623E-2</v>
      </c>
      <c r="AZ109" s="106">
        <f si="159" t="shared"/>
        <v>3.9630765549655798E-3</v>
      </c>
      <c r="BA109" s="106">
        <f si="160" t="shared"/>
        <v>-2.7723475610220948E-3</v>
      </c>
      <c r="BB109" s="106">
        <f si="161" t="shared"/>
        <v>-2.017986166132392E-3</v>
      </c>
      <c r="BC109" s="106">
        <f si="162" t="shared"/>
        <v>-4.3334481936450966E-2</v>
      </c>
      <c r="BD109" s="106">
        <f si="163" t="shared"/>
        <v>4.2659661675933103E-3</v>
      </c>
      <c r="BE109" s="106">
        <f si="164" t="shared"/>
        <v>-1.7112048056027798E-3</v>
      </c>
      <c r="BF109" s="106">
        <f si="165" t="shared"/>
        <v>-3.1213885470058322E-3</v>
      </c>
      <c r="BG109" s="106">
        <f si="166" t="shared"/>
        <v>-5.727727314973341E-4</v>
      </c>
      <c r="BH109" s="106">
        <f si="167" t="shared"/>
        <v>9.3627249543136518E-3</v>
      </c>
      <c r="BI109" s="106">
        <f si="168" t="shared"/>
        <v>7.7322958427342159E-3</v>
      </c>
      <c r="BJ109" s="106">
        <f si="169" t="shared"/>
        <v>3.8341023803100741E-2</v>
      </c>
      <c r="BK109" s="106">
        <f si="170" t="shared"/>
        <v>5.4068412525449024E-3</v>
      </c>
      <c r="BL109" s="106">
        <f si="171" t="shared"/>
        <v>8.9891909144000845E-3</v>
      </c>
      <c r="BM109" s="106">
        <f si="172" t="shared"/>
        <v>-3.8898067863115185E-5</v>
      </c>
      <c r="BN109" s="106">
        <f si="173" t="shared"/>
        <v>4.769334322098152E-3</v>
      </c>
      <c r="BO109" s="106">
        <f si="174" t="shared"/>
        <v>1.0441256982447883E-3</v>
      </c>
      <c r="BP109" s="106">
        <f si="175" t="shared"/>
        <v>9.8098538340823244E-3</v>
      </c>
      <c r="BQ109" s="106">
        <f si="176" t="shared"/>
        <v>9.9443993284874105E-3</v>
      </c>
      <c r="BR109" s="106">
        <f si="177" t="shared"/>
        <v>0</v>
      </c>
      <c r="BS109" s="106">
        <f si="178" t="shared"/>
        <v>0</v>
      </c>
    </row>
  </sheetData>
  <mergeCells count="5">
    <mergeCell ref="BV20:BW20"/>
    <mergeCell ref="CB20:CE20"/>
    <mergeCell ref="CF20:CI20"/>
    <mergeCell ref="CJ20:CK20"/>
    <mergeCell ref="BX20:CA20"/>
  </mergeCells>
  <conditionalFormatting sqref="AX88:BS109">
    <cfRule priority="4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41">
    <cfRule priority="3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41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2:CL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B2:Y79"/>
  <sheetViews>
    <sheetView topLeftCell="B1" workbookViewId="0">
      <selection activeCell="AB28" sqref="AB28"/>
    </sheetView>
  </sheetViews>
  <sheetFormatPr defaultRowHeight="15" x14ac:dyDescent="0.25"/>
  <cols>
    <col min="24" max="24" bestFit="true" customWidth="true" width="10.5703125" collapsed="true"/>
  </cols>
  <sheetData>
    <row ht="15.75" r="2" spans="2:24" thickBot="1" x14ac:dyDescent="0.3">
      <c r="B2" s="4" t="s">
        <v>354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7"/>
      <c r="Q2" s="7"/>
      <c r="R2" s="7"/>
      <c r="S2" s="7"/>
      <c r="T2" s="7"/>
      <c r="U2" s="7"/>
      <c r="V2" s="7"/>
      <c r="W2" s="7"/>
    </row>
    <row r="3" spans="2:24" x14ac:dyDescent="0.25">
      <c r="B3" s="2" t="s">
        <v>14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3" t="s">
        <v>15</v>
      </c>
      <c r="X3" s="3" t="s">
        <v>3</v>
      </c>
    </row>
    <row r="4" spans="2:24" x14ac:dyDescent="0.25">
      <c r="B4" s="31">
        <v>1</v>
      </c>
      <c r="C4" s="95">
        <v>5694</v>
      </c>
      <c r="D4" s="95">
        <v>720</v>
      </c>
      <c r="E4" s="95">
        <v>398</v>
      </c>
      <c r="F4" s="95">
        <v>532</v>
      </c>
      <c r="G4" s="95">
        <v>676</v>
      </c>
      <c r="H4" s="95">
        <v>3717</v>
      </c>
      <c r="I4" s="95">
        <v>603</v>
      </c>
      <c r="J4" s="95">
        <v>59</v>
      </c>
      <c r="K4" s="95">
        <v>477</v>
      </c>
      <c r="L4" s="95">
        <v>209</v>
      </c>
      <c r="M4" s="95">
        <v>469</v>
      </c>
      <c r="N4" s="95">
        <v>1645</v>
      </c>
      <c r="O4" s="95">
        <v>208</v>
      </c>
      <c r="P4" s="95">
        <v>46</v>
      </c>
      <c r="Q4" s="95">
        <v>47</v>
      </c>
      <c r="R4" s="95">
        <v>13</v>
      </c>
      <c r="S4" s="95">
        <v>21</v>
      </c>
      <c r="T4" s="95">
        <v>40</v>
      </c>
      <c r="U4" s="95">
        <v>150</v>
      </c>
      <c r="V4" s="95">
        <v>15</v>
      </c>
      <c r="W4" s="77"/>
      <c r="X4" s="77">
        <f>SUM(C4:W4)</f>
        <v>15739</v>
      </c>
    </row>
    <row r="5" spans="2:24" x14ac:dyDescent="0.25">
      <c r="B5" s="95">
        <v>2</v>
      </c>
      <c r="C5" s="95">
        <v>1730</v>
      </c>
      <c r="D5" s="95">
        <v>6278</v>
      </c>
      <c r="E5" s="95">
        <v>569</v>
      </c>
      <c r="F5" s="95">
        <v>441</v>
      </c>
      <c r="G5" s="95">
        <v>521</v>
      </c>
      <c r="H5" s="95">
        <v>3149</v>
      </c>
      <c r="I5" s="95">
        <v>1797</v>
      </c>
      <c r="J5" s="95">
        <v>108</v>
      </c>
      <c r="K5" s="95">
        <v>1376</v>
      </c>
      <c r="L5" s="95">
        <v>359</v>
      </c>
      <c r="M5" s="95">
        <v>689</v>
      </c>
      <c r="N5" s="95">
        <v>2004</v>
      </c>
      <c r="O5" s="95">
        <v>275</v>
      </c>
      <c r="P5" s="95">
        <v>41</v>
      </c>
      <c r="Q5" s="95">
        <v>171</v>
      </c>
      <c r="R5" s="95">
        <v>22</v>
      </c>
      <c r="S5" s="95">
        <v>24</v>
      </c>
      <c r="T5" s="95">
        <v>42</v>
      </c>
      <c r="U5" s="95">
        <v>78</v>
      </c>
      <c r="V5" s="95">
        <v>11</v>
      </c>
      <c r="W5" s="77"/>
      <c r="X5" s="77">
        <f ref="X5:X24" si="0" t="shared">SUM(C5:W5)</f>
        <v>19685</v>
      </c>
    </row>
    <row r="6" spans="2:24" x14ac:dyDescent="0.25">
      <c r="B6" s="95">
        <v>3</v>
      </c>
      <c r="C6" s="95">
        <v>4390</v>
      </c>
      <c r="D6" s="95">
        <v>2656</v>
      </c>
      <c r="E6" s="95">
        <v>8027</v>
      </c>
      <c r="F6" s="95">
        <v>1731</v>
      </c>
      <c r="G6" s="95">
        <v>1793</v>
      </c>
      <c r="H6" s="95">
        <v>6419</v>
      </c>
      <c r="I6" s="95">
        <v>1427</v>
      </c>
      <c r="J6" s="95">
        <v>648</v>
      </c>
      <c r="K6" s="95">
        <v>2412</v>
      </c>
      <c r="L6" s="95">
        <v>1344</v>
      </c>
      <c r="M6" s="95">
        <v>2767</v>
      </c>
      <c r="N6" s="95">
        <v>3170</v>
      </c>
      <c r="O6" s="95">
        <v>342</v>
      </c>
      <c r="P6" s="95">
        <v>105</v>
      </c>
      <c r="Q6" s="95">
        <v>191</v>
      </c>
      <c r="R6" s="95">
        <v>118</v>
      </c>
      <c r="S6" s="95">
        <v>144</v>
      </c>
      <c r="T6" s="95">
        <v>37</v>
      </c>
      <c r="U6" s="95">
        <v>201</v>
      </c>
      <c r="V6" s="95">
        <v>25</v>
      </c>
      <c r="W6" s="77"/>
      <c r="X6" s="77">
        <f si="0" t="shared"/>
        <v>37947</v>
      </c>
    </row>
    <row r="7" spans="2:24" x14ac:dyDescent="0.25">
      <c r="B7" s="95">
        <v>4</v>
      </c>
      <c r="C7" s="95">
        <v>1464</v>
      </c>
      <c r="D7" s="95">
        <v>874</v>
      </c>
      <c r="E7" s="95">
        <v>1121</v>
      </c>
      <c r="F7" s="95">
        <v>3256</v>
      </c>
      <c r="G7" s="95">
        <v>1337</v>
      </c>
      <c r="H7" s="95">
        <v>2467</v>
      </c>
      <c r="I7" s="95">
        <v>602</v>
      </c>
      <c r="J7" s="95">
        <v>516</v>
      </c>
      <c r="K7" s="95">
        <v>363</v>
      </c>
      <c r="L7" s="95">
        <v>714</v>
      </c>
      <c r="M7" s="95">
        <v>626</v>
      </c>
      <c r="N7" s="95">
        <v>1206</v>
      </c>
      <c r="O7" s="95">
        <v>118</v>
      </c>
      <c r="P7" s="95">
        <v>28</v>
      </c>
      <c r="Q7" s="95">
        <v>62</v>
      </c>
      <c r="R7" s="95">
        <v>24</v>
      </c>
      <c r="S7" s="95">
        <v>23</v>
      </c>
      <c r="T7" s="95">
        <v>29</v>
      </c>
      <c r="U7" s="95">
        <v>35</v>
      </c>
      <c r="V7" s="95">
        <v>4</v>
      </c>
      <c r="W7" s="77"/>
      <c r="X7" s="77">
        <f si="0" t="shared"/>
        <v>14869</v>
      </c>
    </row>
    <row r="8" spans="2:24" x14ac:dyDescent="0.25">
      <c r="B8" s="95">
        <v>5</v>
      </c>
      <c r="C8" s="95">
        <v>1706</v>
      </c>
      <c r="D8" s="95">
        <v>554</v>
      </c>
      <c r="E8" s="95">
        <v>597</v>
      </c>
      <c r="F8" s="95">
        <v>782</v>
      </c>
      <c r="G8" s="95">
        <v>3381</v>
      </c>
      <c r="H8" s="95">
        <v>4027</v>
      </c>
      <c r="I8" s="95">
        <v>474</v>
      </c>
      <c r="J8" s="95">
        <v>137</v>
      </c>
      <c r="K8" s="95">
        <v>360</v>
      </c>
      <c r="L8" s="95">
        <v>966</v>
      </c>
      <c r="M8" s="95">
        <v>400</v>
      </c>
      <c r="N8" s="95">
        <v>1664</v>
      </c>
      <c r="O8" s="95">
        <v>86</v>
      </c>
      <c r="P8" s="95">
        <v>13</v>
      </c>
      <c r="Q8" s="95">
        <v>22</v>
      </c>
      <c r="R8" s="95">
        <v>122</v>
      </c>
      <c r="S8" s="95">
        <v>18</v>
      </c>
      <c r="T8" s="95">
        <v>16</v>
      </c>
      <c r="U8" s="95">
        <v>50</v>
      </c>
      <c r="V8" s="95">
        <v>8</v>
      </c>
      <c r="W8" s="77"/>
      <c r="X8" s="77">
        <f si="0" t="shared"/>
        <v>15383</v>
      </c>
    </row>
    <row r="9" spans="2:24" x14ac:dyDescent="0.25">
      <c r="B9" s="95">
        <v>6</v>
      </c>
      <c r="C9" s="95">
        <v>4170</v>
      </c>
      <c r="D9" s="95">
        <v>2019</v>
      </c>
      <c r="E9" s="95">
        <v>1051</v>
      </c>
      <c r="F9" s="95">
        <v>1088</v>
      </c>
      <c r="G9" s="95">
        <v>1772</v>
      </c>
      <c r="H9" s="95">
        <v>19915</v>
      </c>
      <c r="I9" s="95">
        <v>1162</v>
      </c>
      <c r="J9" s="95">
        <v>97</v>
      </c>
      <c r="K9" s="95">
        <v>980</v>
      </c>
      <c r="L9" s="95">
        <v>1030</v>
      </c>
      <c r="M9" s="95">
        <v>635</v>
      </c>
      <c r="N9" s="95">
        <v>5655</v>
      </c>
      <c r="O9" s="95">
        <v>294</v>
      </c>
      <c r="P9" s="95">
        <v>55</v>
      </c>
      <c r="Q9" s="95">
        <v>150</v>
      </c>
      <c r="R9" s="95">
        <v>109</v>
      </c>
      <c r="S9" s="95">
        <v>78</v>
      </c>
      <c r="T9" s="95">
        <v>96</v>
      </c>
      <c r="U9" s="95">
        <v>144</v>
      </c>
      <c r="V9" s="95">
        <v>33</v>
      </c>
      <c r="W9" s="77"/>
      <c r="X9" s="77">
        <f si="0" t="shared"/>
        <v>40533</v>
      </c>
    </row>
    <row r="10" spans="2:24" x14ac:dyDescent="0.25">
      <c r="B10" s="95">
        <v>7</v>
      </c>
      <c r="C10" s="95">
        <v>4540</v>
      </c>
      <c r="D10" s="95">
        <v>6207</v>
      </c>
      <c r="E10" s="95">
        <v>2406</v>
      </c>
      <c r="F10" s="95">
        <v>1466</v>
      </c>
      <c r="G10" s="95">
        <v>2456</v>
      </c>
      <c r="H10" s="95">
        <v>8504</v>
      </c>
      <c r="I10" s="95">
        <v>38714</v>
      </c>
      <c r="J10" s="95">
        <v>274</v>
      </c>
      <c r="K10" s="95">
        <v>4970</v>
      </c>
      <c r="L10" s="95">
        <v>1563</v>
      </c>
      <c r="M10" s="95">
        <v>2073</v>
      </c>
      <c r="N10" s="95">
        <v>12520</v>
      </c>
      <c r="O10" s="95">
        <v>10829</v>
      </c>
      <c r="P10" s="95">
        <v>74</v>
      </c>
      <c r="Q10" s="95">
        <v>1099</v>
      </c>
      <c r="R10" s="95">
        <v>98</v>
      </c>
      <c r="S10" s="95">
        <v>113</v>
      </c>
      <c r="T10" s="95">
        <v>788</v>
      </c>
      <c r="U10" s="95">
        <v>212</v>
      </c>
      <c r="V10" s="95">
        <v>261</v>
      </c>
      <c r="W10" s="77"/>
      <c r="X10" s="77">
        <f si="0" t="shared"/>
        <v>99167</v>
      </c>
    </row>
    <row r="11" spans="2:24" x14ac:dyDescent="0.25">
      <c r="B11" s="95">
        <v>8</v>
      </c>
      <c r="C11" s="95">
        <v>454</v>
      </c>
      <c r="D11" s="95">
        <v>350</v>
      </c>
      <c r="E11" s="95">
        <v>523</v>
      </c>
      <c r="F11" s="95">
        <v>256</v>
      </c>
      <c r="G11" s="95">
        <v>284</v>
      </c>
      <c r="H11" s="95">
        <v>826</v>
      </c>
      <c r="I11" s="95">
        <v>170</v>
      </c>
      <c r="J11" s="95">
        <v>508</v>
      </c>
      <c r="K11" s="95">
        <v>171</v>
      </c>
      <c r="L11" s="95">
        <v>224</v>
      </c>
      <c r="M11" s="95">
        <v>645</v>
      </c>
      <c r="N11" s="95">
        <v>285</v>
      </c>
      <c r="O11" s="95">
        <v>29</v>
      </c>
      <c r="P11" s="95">
        <v>132</v>
      </c>
      <c r="Q11" s="95">
        <v>14</v>
      </c>
      <c r="R11" s="95">
        <v>23</v>
      </c>
      <c r="S11" s="95">
        <v>78</v>
      </c>
      <c r="T11" s="95">
        <v>8</v>
      </c>
      <c r="U11" s="95">
        <v>31</v>
      </c>
      <c r="V11" s="95">
        <v>21</v>
      </c>
      <c r="W11" s="77"/>
      <c r="X11" s="77">
        <f si="0" t="shared"/>
        <v>5032</v>
      </c>
    </row>
    <row r="12" spans="2:24" x14ac:dyDescent="0.25">
      <c r="B12" s="95">
        <v>9</v>
      </c>
      <c r="C12" s="95">
        <v>4161</v>
      </c>
      <c r="D12" s="95">
        <v>5788</v>
      </c>
      <c r="E12" s="95">
        <v>2223</v>
      </c>
      <c r="F12" s="95">
        <v>1350</v>
      </c>
      <c r="G12" s="95">
        <v>1557</v>
      </c>
      <c r="H12" s="95">
        <v>6904</v>
      </c>
      <c r="I12" s="95">
        <v>7035</v>
      </c>
      <c r="J12" s="95">
        <v>170</v>
      </c>
      <c r="K12" s="95">
        <v>22976</v>
      </c>
      <c r="L12" s="95">
        <v>1031</v>
      </c>
      <c r="M12" s="95">
        <v>3745</v>
      </c>
      <c r="N12" s="95">
        <v>5644</v>
      </c>
      <c r="O12" s="95">
        <v>2392</v>
      </c>
      <c r="P12" s="95">
        <v>168</v>
      </c>
      <c r="Q12" s="95">
        <v>5174</v>
      </c>
      <c r="R12" s="95">
        <v>79</v>
      </c>
      <c r="S12" s="95">
        <v>110</v>
      </c>
      <c r="T12" s="95">
        <v>213</v>
      </c>
      <c r="U12" s="95">
        <v>864</v>
      </c>
      <c r="V12" s="95">
        <v>31</v>
      </c>
      <c r="W12" s="77"/>
      <c r="X12" s="77">
        <f si="0" t="shared"/>
        <v>71615</v>
      </c>
    </row>
    <row r="13" spans="2:24" x14ac:dyDescent="0.25">
      <c r="B13" s="95">
        <v>10</v>
      </c>
      <c r="C13" s="95">
        <v>2588</v>
      </c>
      <c r="D13" s="95">
        <v>1056</v>
      </c>
      <c r="E13" s="95">
        <v>749</v>
      </c>
      <c r="F13" s="95">
        <v>1069</v>
      </c>
      <c r="G13" s="95">
        <v>1875</v>
      </c>
      <c r="H13" s="95">
        <v>8327</v>
      </c>
      <c r="I13" s="95">
        <v>858</v>
      </c>
      <c r="J13" s="95">
        <v>84</v>
      </c>
      <c r="K13" s="95">
        <v>861</v>
      </c>
      <c r="L13" s="95">
        <v>6526</v>
      </c>
      <c r="M13" s="95">
        <v>931</v>
      </c>
      <c r="N13" s="95">
        <v>5458</v>
      </c>
      <c r="O13" s="95">
        <v>226</v>
      </c>
      <c r="P13" s="95">
        <v>52</v>
      </c>
      <c r="Q13" s="95">
        <v>97</v>
      </c>
      <c r="R13" s="95">
        <v>903</v>
      </c>
      <c r="S13" s="95">
        <v>84</v>
      </c>
      <c r="T13" s="95">
        <v>62</v>
      </c>
      <c r="U13" s="95">
        <v>79</v>
      </c>
      <c r="V13" s="95">
        <v>48</v>
      </c>
      <c r="W13" s="77"/>
      <c r="X13" s="77">
        <f si="0" t="shared"/>
        <v>31933</v>
      </c>
    </row>
    <row r="14" spans="2:24" x14ac:dyDescent="0.25">
      <c r="B14" s="95">
        <v>11</v>
      </c>
      <c r="C14" s="95">
        <v>4066</v>
      </c>
      <c r="D14" s="95">
        <v>2906</v>
      </c>
      <c r="E14" s="95">
        <v>4390</v>
      </c>
      <c r="F14" s="95">
        <v>2260</v>
      </c>
      <c r="G14" s="95">
        <v>2138</v>
      </c>
      <c r="H14" s="95">
        <v>6954</v>
      </c>
      <c r="I14" s="95">
        <v>2111</v>
      </c>
      <c r="J14" s="95">
        <v>1294</v>
      </c>
      <c r="K14" s="95">
        <v>4448</v>
      </c>
      <c r="L14" s="95">
        <v>878</v>
      </c>
      <c r="M14" s="95">
        <v>27038</v>
      </c>
      <c r="N14" s="95">
        <v>3052</v>
      </c>
      <c r="O14" s="95">
        <v>691</v>
      </c>
      <c r="P14" s="95">
        <v>577</v>
      </c>
      <c r="Q14" s="95">
        <v>826</v>
      </c>
      <c r="R14" s="95">
        <v>83</v>
      </c>
      <c r="S14" s="95">
        <v>1556</v>
      </c>
      <c r="T14" s="95">
        <v>83</v>
      </c>
      <c r="U14" s="95">
        <v>5397</v>
      </c>
      <c r="V14" s="95">
        <v>49</v>
      </c>
      <c r="W14" s="77"/>
      <c r="X14" s="77">
        <f si="0" t="shared"/>
        <v>70797</v>
      </c>
    </row>
    <row r="15" spans="2:24" x14ac:dyDescent="0.25">
      <c r="B15" s="95">
        <v>12</v>
      </c>
      <c r="C15" s="95">
        <v>7753</v>
      </c>
      <c r="D15" s="95">
        <v>4528</v>
      </c>
      <c r="E15" s="95">
        <v>2094</v>
      </c>
      <c r="F15" s="95">
        <v>1793</v>
      </c>
      <c r="G15" s="95">
        <v>3161</v>
      </c>
      <c r="H15" s="95">
        <v>18970</v>
      </c>
      <c r="I15" s="95">
        <v>8909</v>
      </c>
      <c r="J15" s="95">
        <v>268</v>
      </c>
      <c r="K15" s="95">
        <v>3208</v>
      </c>
      <c r="L15" s="95">
        <v>2332</v>
      </c>
      <c r="M15" s="95">
        <v>1776</v>
      </c>
      <c r="N15" s="95">
        <v>70005</v>
      </c>
      <c r="O15" s="95">
        <v>2592</v>
      </c>
      <c r="P15" s="95">
        <v>88</v>
      </c>
      <c r="Q15" s="95">
        <v>484</v>
      </c>
      <c r="R15" s="95">
        <v>588</v>
      </c>
      <c r="S15" s="95">
        <v>141</v>
      </c>
      <c r="T15" s="95">
        <v>3685</v>
      </c>
      <c r="U15" s="95">
        <v>197</v>
      </c>
      <c r="V15" s="95">
        <v>1029</v>
      </c>
      <c r="W15" s="77"/>
      <c r="X15" s="77">
        <f si="0" t="shared"/>
        <v>133601</v>
      </c>
    </row>
    <row r="16" spans="2:24" x14ac:dyDescent="0.25">
      <c r="B16" s="95">
        <v>13</v>
      </c>
      <c r="C16" s="95">
        <v>1538</v>
      </c>
      <c r="D16" s="95">
        <v>1710</v>
      </c>
      <c r="E16" s="95">
        <v>436</v>
      </c>
      <c r="F16" s="95">
        <v>367</v>
      </c>
      <c r="G16" s="95">
        <v>442</v>
      </c>
      <c r="H16" s="95">
        <v>3206</v>
      </c>
      <c r="I16" s="95">
        <v>14766</v>
      </c>
      <c r="J16" s="95">
        <v>23</v>
      </c>
      <c r="K16" s="95">
        <v>1837</v>
      </c>
      <c r="L16" s="95">
        <v>434</v>
      </c>
      <c r="M16" s="95">
        <v>451</v>
      </c>
      <c r="N16" s="95">
        <v>6539</v>
      </c>
      <c r="O16" s="95">
        <v>72129</v>
      </c>
      <c r="P16" s="95">
        <v>29</v>
      </c>
      <c r="Q16" s="95">
        <v>2425</v>
      </c>
      <c r="R16" s="95">
        <v>91</v>
      </c>
      <c r="S16" s="95">
        <v>39</v>
      </c>
      <c r="T16" s="95">
        <v>2433</v>
      </c>
      <c r="U16" s="95">
        <v>103</v>
      </c>
      <c r="V16" s="95">
        <v>306</v>
      </c>
      <c r="W16" s="77"/>
      <c r="X16" s="77">
        <f si="0" t="shared"/>
        <v>109304</v>
      </c>
    </row>
    <row r="17" spans="2:24" x14ac:dyDescent="0.25">
      <c r="B17" s="95">
        <v>14</v>
      </c>
      <c r="C17" s="95">
        <v>758</v>
      </c>
      <c r="D17" s="95">
        <v>1001</v>
      </c>
      <c r="E17" s="95">
        <v>408</v>
      </c>
      <c r="F17" s="95">
        <v>421</v>
      </c>
      <c r="G17" s="95">
        <v>378</v>
      </c>
      <c r="H17" s="95">
        <v>2097</v>
      </c>
      <c r="I17" s="95">
        <v>546</v>
      </c>
      <c r="J17" s="95">
        <v>276</v>
      </c>
      <c r="K17" s="95">
        <v>443</v>
      </c>
      <c r="L17" s="95">
        <v>255</v>
      </c>
      <c r="M17" s="95">
        <v>2229</v>
      </c>
      <c r="N17" s="95">
        <v>681</v>
      </c>
      <c r="O17" s="95">
        <v>61</v>
      </c>
      <c r="P17" s="95">
        <v>11913</v>
      </c>
      <c r="Q17" s="95">
        <v>89</v>
      </c>
      <c r="R17" s="95">
        <v>13</v>
      </c>
      <c r="S17" s="95">
        <v>1887</v>
      </c>
      <c r="T17" s="95">
        <v>11</v>
      </c>
      <c r="U17" s="95">
        <v>456</v>
      </c>
      <c r="V17" s="95">
        <v>4</v>
      </c>
      <c r="W17" s="77"/>
      <c r="X17" s="77">
        <f si="0" t="shared"/>
        <v>23927</v>
      </c>
    </row>
    <row r="18" spans="2:24" x14ac:dyDescent="0.25">
      <c r="B18" s="95">
        <v>15</v>
      </c>
      <c r="C18" s="95">
        <v>932</v>
      </c>
      <c r="D18" s="95">
        <v>1576</v>
      </c>
      <c r="E18" s="95">
        <v>220</v>
      </c>
      <c r="F18" s="95">
        <v>331</v>
      </c>
      <c r="G18" s="95">
        <v>349</v>
      </c>
      <c r="H18" s="95">
        <v>1671</v>
      </c>
      <c r="I18" s="95">
        <v>2774</v>
      </c>
      <c r="J18" s="95">
        <v>36</v>
      </c>
      <c r="K18" s="95">
        <v>5037</v>
      </c>
      <c r="L18" s="95">
        <v>161</v>
      </c>
      <c r="M18" s="95">
        <v>780</v>
      </c>
      <c r="N18" s="95">
        <v>1779</v>
      </c>
      <c r="O18" s="95">
        <v>4021</v>
      </c>
      <c r="P18" s="95">
        <v>16</v>
      </c>
      <c r="Q18" s="95">
        <v>24840</v>
      </c>
      <c r="R18" s="95">
        <v>23</v>
      </c>
      <c r="S18" s="95">
        <v>148</v>
      </c>
      <c r="T18" s="95">
        <v>111</v>
      </c>
      <c r="U18" s="95">
        <v>881</v>
      </c>
      <c r="V18" s="95">
        <v>18</v>
      </c>
      <c r="W18" s="77"/>
      <c r="X18" s="77">
        <f si="0" t="shared"/>
        <v>45704</v>
      </c>
    </row>
    <row r="19" spans="2:24" x14ac:dyDescent="0.25">
      <c r="B19" s="95">
        <v>16</v>
      </c>
      <c r="C19" s="95">
        <v>1163</v>
      </c>
      <c r="D19" s="95">
        <v>558</v>
      </c>
      <c r="E19" s="95">
        <v>305</v>
      </c>
      <c r="F19" s="95">
        <v>347</v>
      </c>
      <c r="G19" s="95">
        <v>487</v>
      </c>
      <c r="H19" s="95">
        <v>2993</v>
      </c>
      <c r="I19" s="95">
        <v>384</v>
      </c>
      <c r="J19" s="95">
        <v>59</v>
      </c>
      <c r="K19" s="95">
        <v>393</v>
      </c>
      <c r="L19" s="95">
        <v>1674</v>
      </c>
      <c r="M19" s="95">
        <v>276</v>
      </c>
      <c r="N19" s="95">
        <v>4050</v>
      </c>
      <c r="O19" s="95">
        <v>60</v>
      </c>
      <c r="P19" s="95">
        <v>31</v>
      </c>
      <c r="Q19" s="95">
        <v>11</v>
      </c>
      <c r="R19" s="95">
        <v>2408</v>
      </c>
      <c r="S19" s="95">
        <v>10</v>
      </c>
      <c r="T19" s="95">
        <v>236</v>
      </c>
      <c r="U19" s="95">
        <v>64</v>
      </c>
      <c r="V19" s="95">
        <v>69</v>
      </c>
      <c r="W19" s="77"/>
      <c r="X19" s="77">
        <f si="0" t="shared"/>
        <v>15578</v>
      </c>
    </row>
    <row r="20" spans="2:24" x14ac:dyDescent="0.25">
      <c r="B20" s="95">
        <v>17</v>
      </c>
      <c r="C20" s="95">
        <v>819</v>
      </c>
      <c r="D20" s="95">
        <v>880</v>
      </c>
      <c r="E20" s="95">
        <v>366</v>
      </c>
      <c r="F20" s="95">
        <v>394</v>
      </c>
      <c r="G20" s="95">
        <v>351</v>
      </c>
      <c r="H20" s="95">
        <v>1478</v>
      </c>
      <c r="I20" s="95">
        <v>475</v>
      </c>
      <c r="J20" s="95">
        <v>269</v>
      </c>
      <c r="K20" s="95">
        <v>554</v>
      </c>
      <c r="L20" s="95">
        <v>115</v>
      </c>
      <c r="M20" s="95">
        <v>3607</v>
      </c>
      <c r="N20" s="95">
        <v>597</v>
      </c>
      <c r="O20" s="95">
        <v>156</v>
      </c>
      <c r="P20" s="95">
        <v>1524</v>
      </c>
      <c r="Q20" s="95">
        <v>150</v>
      </c>
      <c r="R20" s="95">
        <v>10</v>
      </c>
      <c r="S20" s="95">
        <v>7060</v>
      </c>
      <c r="T20" s="95">
        <v>0</v>
      </c>
      <c r="U20" s="95">
        <v>3004</v>
      </c>
      <c r="V20" s="95">
        <v>5</v>
      </c>
      <c r="W20" s="77"/>
      <c r="X20" s="77">
        <f si="0" t="shared"/>
        <v>21814</v>
      </c>
    </row>
    <row r="21" spans="2:24" x14ac:dyDescent="0.25">
      <c r="B21" s="95">
        <v>18</v>
      </c>
      <c r="C21" s="95">
        <v>954</v>
      </c>
      <c r="D21" s="95">
        <v>787</v>
      </c>
      <c r="E21" s="95">
        <v>307</v>
      </c>
      <c r="F21" s="95">
        <v>369</v>
      </c>
      <c r="G21" s="95">
        <v>714</v>
      </c>
      <c r="H21" s="95">
        <v>2614</v>
      </c>
      <c r="I21" s="95">
        <v>2460</v>
      </c>
      <c r="J21" s="95">
        <v>79</v>
      </c>
      <c r="K21" s="95">
        <v>443</v>
      </c>
      <c r="L21" s="95">
        <v>269</v>
      </c>
      <c r="M21" s="95">
        <v>129</v>
      </c>
      <c r="N21" s="95">
        <v>15041</v>
      </c>
      <c r="O21" s="95">
        <v>5509</v>
      </c>
      <c r="P21" s="95">
        <v>9</v>
      </c>
      <c r="Q21" s="95">
        <v>161</v>
      </c>
      <c r="R21" s="95">
        <v>207</v>
      </c>
      <c r="S21" s="95">
        <v>16</v>
      </c>
      <c r="T21" s="95">
        <v>11488</v>
      </c>
      <c r="U21" s="95">
        <v>60</v>
      </c>
      <c r="V21" s="95">
        <v>3700</v>
      </c>
      <c r="W21" s="77"/>
      <c r="X21" s="77">
        <f si="0" t="shared"/>
        <v>45316</v>
      </c>
    </row>
    <row r="22" spans="2:24" x14ac:dyDescent="0.25">
      <c r="B22" s="95">
        <v>19</v>
      </c>
      <c r="C22" s="95">
        <v>1223</v>
      </c>
      <c r="D22" s="95">
        <v>1032</v>
      </c>
      <c r="E22" s="95">
        <v>490</v>
      </c>
      <c r="F22" s="95">
        <v>358</v>
      </c>
      <c r="G22" s="95">
        <v>356</v>
      </c>
      <c r="H22" s="95">
        <v>1696</v>
      </c>
      <c r="I22" s="95">
        <v>725</v>
      </c>
      <c r="J22" s="95">
        <v>189</v>
      </c>
      <c r="K22" s="95">
        <v>947</v>
      </c>
      <c r="L22" s="95">
        <v>154</v>
      </c>
      <c r="M22" s="95">
        <v>8626</v>
      </c>
      <c r="N22" s="95">
        <v>1479</v>
      </c>
      <c r="O22" s="95">
        <v>277</v>
      </c>
      <c r="P22" s="95">
        <v>427</v>
      </c>
      <c r="Q22" s="95">
        <v>1969</v>
      </c>
      <c r="R22" s="95">
        <v>42</v>
      </c>
      <c r="S22" s="95">
        <v>3716</v>
      </c>
      <c r="T22" s="95">
        <v>12</v>
      </c>
      <c r="U22" s="95">
        <v>24748</v>
      </c>
      <c r="V22" s="95">
        <v>11</v>
      </c>
      <c r="W22" s="77"/>
      <c r="X22" s="77">
        <f si="0" t="shared"/>
        <v>48477</v>
      </c>
    </row>
    <row r="23" spans="2:24" x14ac:dyDescent="0.25">
      <c r="B23" s="95">
        <v>20</v>
      </c>
      <c r="C23" s="95">
        <v>362</v>
      </c>
      <c r="D23" s="95">
        <v>369</v>
      </c>
      <c r="E23" s="95">
        <v>50</v>
      </c>
      <c r="F23" s="95">
        <v>50</v>
      </c>
      <c r="G23" s="95">
        <v>120</v>
      </c>
      <c r="H23" s="95">
        <v>521</v>
      </c>
      <c r="I23" s="95">
        <v>386</v>
      </c>
      <c r="J23" s="95">
        <v>4</v>
      </c>
      <c r="K23" s="95">
        <v>143</v>
      </c>
      <c r="L23" s="95">
        <v>172</v>
      </c>
      <c r="M23" s="95">
        <v>68</v>
      </c>
      <c r="N23" s="95">
        <v>5749</v>
      </c>
      <c r="O23" s="95">
        <v>557</v>
      </c>
      <c r="P23" s="95">
        <v>10</v>
      </c>
      <c r="Q23" s="95">
        <v>5</v>
      </c>
      <c r="R23" s="95">
        <v>87</v>
      </c>
      <c r="S23" s="95">
        <v>20</v>
      </c>
      <c r="T23" s="95">
        <v>4273</v>
      </c>
      <c r="U23" s="95">
        <v>11</v>
      </c>
      <c r="V23" s="95">
        <v>24535</v>
      </c>
      <c r="W23" s="58"/>
      <c r="X23" s="77">
        <f si="0" t="shared"/>
        <v>37492</v>
      </c>
    </row>
    <row r="24" spans="2:24" x14ac:dyDescent="0.25">
      <c r="B24" s="101" t="s">
        <v>15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77">
        <f si="0" t="shared"/>
        <v>0</v>
      </c>
    </row>
    <row ht="15.75" r="25" spans="2:24" thickBot="1" x14ac:dyDescent="0.3">
      <c r="B25" s="1" t="s">
        <v>3</v>
      </c>
      <c r="C25" s="107">
        <f>SUM(C4:C24)</f>
        <v>50465</v>
      </c>
      <c r="D25" s="107">
        <f ref="D25:X25" si="1" t="shared">SUM(D4:D24)</f>
        <v>41849</v>
      </c>
      <c r="E25" s="107">
        <f si="1" t="shared"/>
        <v>26730</v>
      </c>
      <c r="F25" s="107">
        <f si="1" t="shared"/>
        <v>18661</v>
      </c>
      <c r="G25" s="107">
        <f si="1" t="shared"/>
        <v>24148</v>
      </c>
      <c r="H25" s="107">
        <f si="1" t="shared"/>
        <v>106455</v>
      </c>
      <c r="I25" s="107">
        <f si="1" t="shared"/>
        <v>86378</v>
      </c>
      <c r="J25" s="107">
        <f si="1" t="shared"/>
        <v>5098</v>
      </c>
      <c r="K25" s="107">
        <f si="1" t="shared"/>
        <v>52399</v>
      </c>
      <c r="L25" s="107">
        <f si="1" t="shared"/>
        <v>20410</v>
      </c>
      <c r="M25" s="107">
        <f si="1" t="shared"/>
        <v>57960</v>
      </c>
      <c r="N25" s="107">
        <f si="1" t="shared"/>
        <v>148223</v>
      </c>
      <c r="O25" s="107">
        <f si="1" t="shared"/>
        <v>100852</v>
      </c>
      <c r="P25" s="107">
        <f si="1" t="shared"/>
        <v>15338</v>
      </c>
      <c r="Q25" s="107">
        <f si="1" t="shared"/>
        <v>37987</v>
      </c>
      <c r="R25" s="107">
        <f si="1" t="shared"/>
        <v>5063</v>
      </c>
      <c r="S25" s="107">
        <f si="1" t="shared"/>
        <v>15286</v>
      </c>
      <c r="T25" s="107">
        <f si="1" t="shared"/>
        <v>23663</v>
      </c>
      <c r="U25" s="107">
        <f si="1" t="shared"/>
        <v>36765</v>
      </c>
      <c r="V25" s="107">
        <f si="1" t="shared"/>
        <v>30183</v>
      </c>
      <c r="W25" s="107">
        <f si="1" t="shared"/>
        <v>0</v>
      </c>
      <c r="X25" s="107">
        <f si="1" t="shared"/>
        <v>903913</v>
      </c>
    </row>
    <row r="26" spans="2:24" x14ac:dyDescent="0.25"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</row>
    <row r="27" spans="2:24" x14ac:dyDescent="0.25"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</row>
    <row r="28" spans="2:24" x14ac:dyDescent="0.25"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</row>
    <row ht="15.75" r="29" spans="2:24" thickBot="1" x14ac:dyDescent="0.3">
      <c r="B29" s="4" t="s">
        <v>355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7"/>
      <c r="Q29" s="7"/>
      <c r="R29" s="7"/>
      <c r="S29" s="7"/>
      <c r="T29" s="7"/>
      <c r="U29" s="7"/>
      <c r="V29" s="7"/>
      <c r="W29" s="7"/>
      <c r="X29" s="7"/>
    </row>
    <row r="30" spans="2:24" x14ac:dyDescent="0.25">
      <c r="B30" s="2" t="s">
        <v>14</v>
      </c>
      <c r="C30" s="2">
        <v>1</v>
      </c>
      <c r="D30" s="2">
        <v>2</v>
      </c>
      <c r="E30" s="2">
        <v>3</v>
      </c>
      <c r="F30" s="2">
        <v>4</v>
      </c>
      <c r="G30" s="2">
        <v>5</v>
      </c>
      <c r="H30" s="2">
        <v>6</v>
      </c>
      <c r="I30" s="2">
        <v>7</v>
      </c>
      <c r="J30" s="2">
        <v>8</v>
      </c>
      <c r="K30" s="2">
        <v>9</v>
      </c>
      <c r="L30" s="2">
        <v>10</v>
      </c>
      <c r="M30" s="2">
        <v>11</v>
      </c>
      <c r="N30" s="2">
        <v>12</v>
      </c>
      <c r="O30" s="2">
        <v>13</v>
      </c>
      <c r="P30" s="2">
        <v>14</v>
      </c>
      <c r="Q30" s="2">
        <v>15</v>
      </c>
      <c r="R30" s="2">
        <v>16</v>
      </c>
      <c r="S30" s="2">
        <v>17</v>
      </c>
      <c r="T30" s="2">
        <v>18</v>
      </c>
      <c r="U30" s="2">
        <v>19</v>
      </c>
      <c r="V30" s="2">
        <v>20</v>
      </c>
      <c r="W30" s="3" t="s">
        <v>15</v>
      </c>
      <c r="X30" s="3" t="s">
        <v>3</v>
      </c>
    </row>
    <row r="31" spans="2:24" x14ac:dyDescent="0.25">
      <c r="B31" s="31">
        <v>1</v>
      </c>
      <c r="C31" s="77">
        <f>IF($X4&gt;0,(C4/$X4)*County_Flow!$BS7,0)</f>
        <v>4240.0203316602074</v>
      </c>
      <c r="D31" s="77">
        <f>IF($X4&gt;0,(D4/$X4)*County_Flow!$BS7,0)</f>
        <v>536.1458796619861</v>
      </c>
      <c r="E31" s="77">
        <f>IF($X4&gt;0,(E4/$X4)*County_Flow!$BS7,0)</f>
        <v>296.36952792426456</v>
      </c>
      <c r="F31" s="77">
        <f>IF($X4&gt;0,(F4/$X4)*County_Flow!$BS7,0)</f>
        <v>396.15223330580091</v>
      </c>
      <c r="G31" s="77">
        <f>IF($X4&gt;0,(G4/$X4)*County_Flow!$BS7,0)</f>
        <v>503.38140923819816</v>
      </c>
      <c r="H31" s="77">
        <f>IF($X4&gt;0,(H4/$X4)*County_Flow!$BS7,0)</f>
        <v>2767.8531037550033</v>
      </c>
      <c r="I31" s="77">
        <f>IF($X4&gt;0,(I4/$X4)*County_Flow!$BS7,0)</f>
        <v>449.02217421691341</v>
      </c>
      <c r="J31" s="77">
        <f>IF($X4&gt;0,(J4/$X4)*County_Flow!$BS7,0)</f>
        <v>43.934176250079418</v>
      </c>
      <c r="K31" s="77">
        <f>IF($X4&gt;0,(K4/$X4)*County_Flow!$BS7,0)</f>
        <v>355.19664527606585</v>
      </c>
      <c r="L31" s="77">
        <f>IF($X4&gt;0,(L4/$X4)*County_Flow!$BS7,0)</f>
        <v>155.63123451299322</v>
      </c>
      <c r="M31" s="77">
        <f>IF($X4&gt;0,(M4/$X4)*County_Flow!$BS7,0)</f>
        <v>349.23946883537707</v>
      </c>
      <c r="N31" s="77">
        <f>IF($X4&gt;0,(N4/$X4)*County_Flow!$BS7,0)</f>
        <v>1224.9444056166212</v>
      </c>
      <c r="O31" s="77">
        <f>IF($X4&gt;0,(O4/$X4)*County_Flow!$BS7,0)</f>
        <v>154.8865874579071</v>
      </c>
      <c r="P31" s="77">
        <f>IF($X4&gt;0,(P4/$X4)*County_Flow!$BS7,0)</f>
        <v>34.253764533960222</v>
      </c>
      <c r="Q31" s="77">
        <f>IF($X4&gt;0,(Q4/$X4)*County_Flow!$BS7,0)</f>
        <v>34.99841158904632</v>
      </c>
      <c r="R31" s="77">
        <f>IF($X4&gt;0,(R4/$X4)*County_Flow!$BS7,0)</f>
        <v>9.6804117161191936</v>
      </c>
      <c r="S31" s="77">
        <f>IF($X4&gt;0,(S4/$X4)*County_Flow!$BS7,0)</f>
        <v>15.637588156807929</v>
      </c>
      <c r="T31" s="77">
        <f>IF($X4&gt;0,(T4/$X4)*County_Flow!$BS7,0)</f>
        <v>29.785882203443673</v>
      </c>
      <c r="U31" s="77">
        <f>IF($X4&gt;0,(U4/$X4)*County_Flow!$BS7,0)</f>
        <v>111.69705826291377</v>
      </c>
      <c r="V31" s="77">
        <f>IF($X4&gt;0,(V4/$X4)*County_Flow!$BS7,0)</f>
        <v>11.169705826291377</v>
      </c>
      <c r="W31" s="77">
        <f>IF($X4&gt;0,(W4/$X4)*County_Flow!$BS7,0)</f>
        <v>0</v>
      </c>
      <c r="X31" s="77">
        <f>IF($X4&gt;0,(X4/$X4)*County_Flow!$BS7,0)</f>
        <v>11720</v>
      </c>
    </row>
    <row r="32" spans="2:24" x14ac:dyDescent="0.25">
      <c r="B32" s="95">
        <v>2</v>
      </c>
      <c r="C32" s="77">
        <f>IF($X5&gt;0,(C5/$X5)*County_Flow!$BS8,0)</f>
        <v>1269.0474980949962</v>
      </c>
      <c r="D32" s="77">
        <f>IF($X5&gt;0,(D5/$X5)*County_Flow!$BS8,0)</f>
        <v>4605.248666497333</v>
      </c>
      <c r="E32" s="77">
        <f>IF($X5&gt;0,(E5/$X5)*County_Flow!$BS8,0)</f>
        <v>417.39192278384553</v>
      </c>
      <c r="F32" s="77">
        <f>IF($X5&gt;0,(F5/$X5)*County_Flow!$BS8,0)</f>
        <v>323.49707899415796</v>
      </c>
      <c r="G32" s="77">
        <f>IF($X5&gt;0,(G5/$X5)*County_Flow!$BS8,0)</f>
        <v>382.18135636271273</v>
      </c>
      <c r="H32" s="77">
        <f>IF($X5&gt;0,(H5/$X5)*County_Flow!$BS8,0)</f>
        <v>2309.9598679197356</v>
      </c>
      <c r="I32" s="77">
        <f>IF($X5&gt;0,(I5/$X5)*County_Flow!$BS8,0)</f>
        <v>1318.1955803911608</v>
      </c>
      <c r="J32" s="77">
        <f>IF($X5&gt;0,(J5/$X5)*County_Flow!$BS8,0)</f>
        <v>79.223774447548905</v>
      </c>
      <c r="K32" s="77">
        <f>IF($X5&gt;0,(K5/$X5)*County_Flow!$BS8,0)</f>
        <v>1009.3695707391414</v>
      </c>
      <c r="L32" s="77">
        <f>IF($X5&gt;0,(L5/$X5)*County_Flow!$BS8,0)</f>
        <v>263.34569469138938</v>
      </c>
      <c r="M32" s="77">
        <f>IF($X5&gt;0,(M5/$X5)*County_Flow!$BS8,0)</f>
        <v>505.41833883667766</v>
      </c>
      <c r="N32" s="77">
        <f>IF($X5&gt;0,(N5/$X5)*County_Flow!$BS8,0)</f>
        <v>1470.0411480822961</v>
      </c>
      <c r="O32" s="77">
        <f>IF($X5&gt;0,(O5/$X5)*County_Flow!$BS8,0)</f>
        <v>201.72720345440692</v>
      </c>
      <c r="P32" s="77">
        <f>IF($X5&gt;0,(P5/$X5)*County_Flow!$BS8,0)</f>
        <v>30.075692151384299</v>
      </c>
      <c r="Q32" s="77">
        <f>IF($X5&gt;0,(Q5/$X5)*County_Flow!$BS8,0)</f>
        <v>125.43764287528576</v>
      </c>
      <c r="R32" s="77">
        <f>IF($X5&gt;0,(R5/$X5)*County_Flow!$BS8,0)</f>
        <v>16.138176276352553</v>
      </c>
      <c r="S32" s="77">
        <f>IF($X5&gt;0,(S5/$X5)*County_Flow!$BS8,0)</f>
        <v>17.605283210566419</v>
      </c>
      <c r="T32" s="77">
        <f>IF($X5&gt;0,(T5/$X5)*County_Flow!$BS8,0)</f>
        <v>30.809245618491236</v>
      </c>
      <c r="U32" s="77">
        <f>IF($X5&gt;0,(U5/$X5)*County_Flow!$BS8,0)</f>
        <v>57.217170434340872</v>
      </c>
      <c r="V32" s="77">
        <f>IF($X5&gt;0,(V5/$X5)*County_Flow!$BS8,0)</f>
        <v>8.0690881381762765</v>
      </c>
      <c r="W32" s="77">
        <f>IF($X5&gt;0,(W5/$X5)*County_Flow!$BS8,0)</f>
        <v>0</v>
      </c>
      <c r="X32" s="77">
        <f>IF($X5&gt;0,(X5/$X5)*County_Flow!$BS8,0)</f>
        <v>14440</v>
      </c>
    </row>
    <row r="33" spans="2:24" x14ac:dyDescent="0.25">
      <c r="B33" s="95">
        <v>3</v>
      </c>
      <c r="C33" s="77">
        <f>IF($X6&gt;0,(C6/$X6)*County_Flow!$BS9,0)</f>
        <v>4174.0111207737109</v>
      </c>
      <c r="D33" s="77">
        <f>IF($X6&gt;0,(D6/$X6)*County_Flow!$BS9,0)</f>
        <v>2525.3242680580811</v>
      </c>
      <c r="E33" s="77">
        <f>IF($X6&gt;0,(E6/$X6)*County_Flow!$BS9,0)</f>
        <v>7632.0699923577622</v>
      </c>
      <c r="F33" s="77">
        <f>IF($X6&gt;0,(F6/$X6)*County_Flow!$BS9,0)</f>
        <v>1645.8344533164677</v>
      </c>
      <c r="G33" s="77">
        <f>IF($X6&gt;0,(G6/$X6)*County_Flow!$BS9,0)</f>
        <v>1704.7840408991487</v>
      </c>
      <c r="H33" s="77">
        <f>IF($X6&gt;0,(H6/$X6)*County_Flow!$BS9,0)</f>
        <v>6103.1839144069354</v>
      </c>
      <c r="I33" s="77">
        <f>IF($X6&gt;0,(I6/$X6)*County_Flow!$BS9,0)</f>
        <v>1356.7913142013861</v>
      </c>
      <c r="J33" s="77">
        <f>IF($X6&gt;0,(J6/$X6)*County_Flow!$BS9,0)</f>
        <v>616.11827021898966</v>
      </c>
      <c r="K33" s="77">
        <f>IF($X6&gt;0,(K6/$X6)*County_Flow!$BS9,0)</f>
        <v>2293.3291169262393</v>
      </c>
      <c r="L33" s="77">
        <f>IF($X6&gt;0,(L6/$X6)*County_Flow!$BS9,0)</f>
        <v>1277.874930824571</v>
      </c>
      <c r="M33" s="77">
        <f>IF($X6&gt;0,(M6/$X6)*County_Flow!$BS9,0)</f>
        <v>2630.8630458270745</v>
      </c>
      <c r="N33" s="77">
        <f>IF($X6&gt;0,(N6/$X6)*County_Flow!$BS9,0)</f>
        <v>3014.0353651145019</v>
      </c>
      <c r="O33" s="77">
        <f>IF($X6&gt;0,(O6/$X6)*County_Flow!$BS9,0)</f>
        <v>325.17353150446672</v>
      </c>
      <c r="P33" s="77">
        <f>IF($X6&gt;0,(P6/$X6)*County_Flow!$BS9,0)</f>
        <v>99.833978970669605</v>
      </c>
      <c r="Q33" s="77">
        <f>IF($X6&gt;0,(Q6/$X6)*County_Flow!$BS9,0)</f>
        <v>181.60276174664665</v>
      </c>
      <c r="R33" s="77">
        <f>IF($X6&gt;0,(R6/$X6)*County_Flow!$BS9,0)</f>
        <v>112.19437636703825</v>
      </c>
      <c r="S33" s="77">
        <f>IF($X6&gt;0,(S6/$X6)*County_Flow!$BS9,0)</f>
        <v>136.91517115977547</v>
      </c>
      <c r="T33" s="77">
        <f>IF($X6&gt;0,(T6/$X6)*County_Flow!$BS9,0)</f>
        <v>35.17959258966453</v>
      </c>
      <c r="U33" s="77">
        <f>IF($X6&gt;0,(U6/$X6)*County_Flow!$BS9,0)</f>
        <v>191.11075974385327</v>
      </c>
      <c r="V33" s="77">
        <f>IF($X6&gt;0,(V6/$X6)*County_Flow!$BS9,0)</f>
        <v>23.769994993016578</v>
      </c>
      <c r="W33" s="77">
        <f>IF($X6&gt;0,(W6/$X6)*County_Flow!$BS9,0)</f>
        <v>0</v>
      </c>
      <c r="X33" s="77">
        <f>IF($X6&gt;0,(X6/$X6)*County_Flow!$BS9,0)</f>
        <v>36080</v>
      </c>
    </row>
    <row r="34" spans="2:24" x14ac:dyDescent="0.25">
      <c r="B34" s="95">
        <v>4</v>
      </c>
      <c r="C34" s="77">
        <f>IF($X7&gt;0,(C7/$X7)*County_Flow!$BS10,0)</f>
        <v>1279.9784787141032</v>
      </c>
      <c r="D34" s="77">
        <f>IF($X7&gt;0,(D7/$X7)*County_Flow!$BS10,0)</f>
        <v>764.14015737440309</v>
      </c>
      <c r="E34" s="77">
        <f>IF($X7&gt;0,(E7/$X7)*County_Flow!$BS10,0)</f>
        <v>980.09281054542998</v>
      </c>
      <c r="F34" s="77">
        <f>IF($X7&gt;0,(F7/$X7)*County_Flow!$BS10,0)</f>
        <v>2846.7280920034973</v>
      </c>
      <c r="G34" s="77">
        <f>IF($X7&gt;0,(G7/$X7)*County_Flow!$BS10,0)</f>
        <v>1168.9420942901338</v>
      </c>
      <c r="H34" s="77">
        <f>IF($X7&gt;0,(H7/$X7)*County_Flow!$BS10,0)</f>
        <v>2156.9036249915935</v>
      </c>
      <c r="I34" s="77">
        <f>IF($X7&gt;0,(I7/$X7)*County_Flow!$BS10,0)</f>
        <v>526.32994821440582</v>
      </c>
      <c r="J34" s="77">
        <f>IF($X7&gt;0,(J7/$X7)*County_Flow!$BS10,0)</f>
        <v>451.13995561234788</v>
      </c>
      <c r="K34" s="77">
        <f>IF($X7&gt;0,(K7/$X7)*County_Flow!$BS10,0)</f>
        <v>317.37171295984933</v>
      </c>
      <c r="L34" s="77">
        <f>IF($X7&gt;0,(L7/$X7)*County_Flow!$BS10,0)</f>
        <v>624.25179904499294</v>
      </c>
      <c r="M34" s="77">
        <f>IF($X7&gt;0,(M7/$X7)*County_Flow!$BS10,0)</f>
        <v>547.31320196381739</v>
      </c>
      <c r="N34" s="77">
        <f>IF($X7&gt;0,(N7/$X7)*County_Flow!$BS10,0)</f>
        <v>1054.4085009079292</v>
      </c>
      <c r="O34" s="77">
        <f>IF($X7&gt;0,(O7/$X7)*County_Flow!$BS10,0)</f>
        <v>103.16766426794</v>
      </c>
      <c r="P34" s="77">
        <f>IF($X7&gt;0,(P7/$X7)*County_Flow!$BS10,0)</f>
        <v>24.48046270764678</v>
      </c>
      <c r="Q34" s="77">
        <f>IF($X7&gt;0,(Q7/$X7)*County_Flow!$BS10,0)</f>
        <v>54.206738852646446</v>
      </c>
      <c r="R34" s="77">
        <f>IF($X7&gt;0,(R7/$X7)*County_Flow!$BS10,0)</f>
        <v>20.983253749411528</v>
      </c>
      <c r="S34" s="77">
        <f>IF($X7&gt;0,(S7/$X7)*County_Flow!$BS10,0)</f>
        <v>20.108951509852712</v>
      </c>
      <c r="T34" s="77">
        <f>IF($X7&gt;0,(T7/$X7)*County_Flow!$BS10,0)</f>
        <v>25.354764947205595</v>
      </c>
      <c r="U34" s="77">
        <f>IF($X7&gt;0,(U7/$X7)*County_Flow!$BS10,0)</f>
        <v>30.600578384558478</v>
      </c>
      <c r="V34" s="77">
        <f>IF($X7&gt;0,(V7/$X7)*County_Flow!$BS10,0)</f>
        <v>3.4972089582352548</v>
      </c>
      <c r="W34" s="77">
        <f>IF($X7&gt;0,(W7/$X7)*County_Flow!$BS10,0)</f>
        <v>0</v>
      </c>
      <c r="X34" s="77">
        <f>IF($X7&gt;0,(X7/$X7)*County_Flow!$BS10,0)</f>
        <v>13000</v>
      </c>
    </row>
    <row r="35" spans="2:24" x14ac:dyDescent="0.25">
      <c r="B35" s="95">
        <v>5</v>
      </c>
      <c r="C35" s="77">
        <f>IF($X8&gt;0,(C8/$X8)*County_Flow!$BS11,0)</f>
        <v>1594.7656503932913</v>
      </c>
      <c r="D35" s="77">
        <f>IF($X8&gt;0,(D8/$X8)*County_Flow!$BS11,0)</f>
        <v>517.87817720860687</v>
      </c>
      <c r="E35" s="77">
        <f>IF($X8&gt;0,(E8/$X8)*County_Flow!$BS11,0)</f>
        <v>558.07449782227138</v>
      </c>
      <c r="F35" s="77">
        <f>IF($X8&gt;0,(F8/$X8)*County_Flow!$BS11,0)</f>
        <v>731.01215627640897</v>
      </c>
      <c r="G35" s="77">
        <f>IF($X8&gt;0,(G8/$X8)*County_Flow!$BS11,0)</f>
        <v>3160.5525580185918</v>
      </c>
      <c r="H35" s="77">
        <f>IF($X8&gt;0,(H8/$X8)*County_Flow!$BS11,0)</f>
        <v>3764.432165377365</v>
      </c>
      <c r="I35" s="77">
        <f>IF($X8&gt;0,(I8/$X8)*County_Flow!$BS11,0)</f>
        <v>443.09432490411496</v>
      </c>
      <c r="J35" s="77">
        <f>IF($X8&gt;0,(J8/$X8)*County_Flow!$BS11,0)</f>
        <v>128.0673470714425</v>
      </c>
      <c r="K35" s="77">
        <f>IF($X8&gt;0,(K8/$X8)*County_Flow!$BS11,0)</f>
        <v>336.5273353702139</v>
      </c>
      <c r="L35" s="77">
        <f>IF($X8&gt;0,(L8/$X8)*County_Flow!$BS11,0)</f>
        <v>903.01501657674066</v>
      </c>
      <c r="M35" s="77">
        <f>IF($X8&gt;0,(M8/$X8)*County_Flow!$BS11,0)</f>
        <v>373.91926152245986</v>
      </c>
      <c r="N35" s="77">
        <f>IF($X8&gt;0,(N8/$X8)*County_Flow!$BS11,0)</f>
        <v>1555.5041279334332</v>
      </c>
      <c r="O35" s="77">
        <f>IF($X8&gt;0,(O8/$X8)*County_Flow!$BS11,0)</f>
        <v>80.392641227328866</v>
      </c>
      <c r="P35" s="77">
        <f>IF($X8&gt;0,(P8/$X8)*County_Flow!$BS11,0)</f>
        <v>12.152375999479947</v>
      </c>
      <c r="Q35" s="77">
        <f>IF($X8&gt;0,(Q8/$X8)*County_Flow!$BS11,0)</f>
        <v>20.565559383735291</v>
      </c>
      <c r="R35" s="77">
        <f>IF($X8&gt;0,(R8/$X8)*County_Flow!$BS11,0)</f>
        <v>114.04537476435026</v>
      </c>
      <c r="S35" s="77">
        <f>IF($X8&gt;0,(S8/$X8)*County_Flow!$BS11,0)</f>
        <v>16.826366768510692</v>
      </c>
      <c r="T35" s="77">
        <f>IF($X8&gt;0,(T8/$X8)*County_Flow!$BS11,0)</f>
        <v>14.956770460898394</v>
      </c>
      <c r="U35" s="77">
        <f>IF($X8&gt;0,(U8/$X8)*County_Flow!$BS11,0)</f>
        <v>46.739907690307483</v>
      </c>
      <c r="V35" s="77">
        <f>IF($X8&gt;0,(V8/$X8)*County_Flow!$BS11,0)</f>
        <v>7.4783852304491969</v>
      </c>
      <c r="W35" s="77">
        <f>IF($X8&gt;0,(W8/$X8)*County_Flow!$BS11,0)</f>
        <v>0</v>
      </c>
      <c r="X35" s="77">
        <f>IF($X8&gt;0,(X8/$X8)*County_Flow!$BS11,0)</f>
        <v>14380</v>
      </c>
    </row>
    <row r="36" spans="2:24" x14ac:dyDescent="0.25">
      <c r="B36" s="95">
        <v>6</v>
      </c>
      <c r="C36" s="77">
        <f>IF($X9&gt;0,(C9/$X9)*County_Flow!$BS12,0)</f>
        <v>3121.3529716527278</v>
      </c>
      <c r="D36" s="77">
        <f>IF($X9&gt;0,(D9/$X9)*County_Flow!$BS12,0)</f>
        <v>1511.2737769225075</v>
      </c>
      <c r="E36" s="77">
        <f>IF($X9&gt;0,(E9/$X9)*County_Flow!$BS12,0)</f>
        <v>786.70071299928452</v>
      </c>
      <c r="F36" s="77">
        <f>IF($X9&gt;0,(F9/$X9)*County_Flow!$BS12,0)</f>
        <v>814.39617102114323</v>
      </c>
      <c r="G36" s="77">
        <f>IF($X9&gt;0,(G9/$X9)*County_Flow!$BS12,0)</f>
        <v>1326.3878814792886</v>
      </c>
      <c r="H36" s="77">
        <f>IF($X9&gt;0,(H9/$X9)*County_Flow!$BS12,0)</f>
        <v>14906.893148792342</v>
      </c>
      <c r="I36" s="77">
        <f>IF($X9&gt;0,(I9/$X9)*County_Flow!$BS12,0)</f>
        <v>869.78708706486077</v>
      </c>
      <c r="J36" s="77">
        <f>IF($X9&gt;0,(J9/$X9)*County_Flow!$BS12,0)</f>
        <v>72.607011570818841</v>
      </c>
      <c r="K36" s="77">
        <f>IF($X9&gt;0,(K9/$X9)*County_Flow!$BS12,0)</f>
        <v>733.55537463301505</v>
      </c>
      <c r="L36" s="77">
        <f>IF($X9&gt;0,(L9/$X9)*County_Flow!$BS12,0)</f>
        <v>770.9816692571485</v>
      </c>
      <c r="M36" s="77">
        <f>IF($X9&gt;0,(M9/$X9)*County_Flow!$BS12,0)</f>
        <v>475.31394172649448</v>
      </c>
      <c r="N36" s="77">
        <f>IF($X9&gt;0,(N9/$X9)*County_Flow!$BS12,0)</f>
        <v>4232.9139219894905</v>
      </c>
      <c r="O36" s="77">
        <f>IF($X9&gt;0,(O9/$X9)*County_Flow!$BS12,0)</f>
        <v>220.06661238990452</v>
      </c>
      <c r="P36" s="77">
        <f>IF($X9&gt;0,(P9/$X9)*County_Flow!$BS12,0)</f>
        <v>41.168924086546767</v>
      </c>
      <c r="Q36" s="77">
        <f>IF($X9&gt;0,(Q9/$X9)*County_Flow!$BS12,0)</f>
        <v>112.27888387240027</v>
      </c>
      <c r="R36" s="77">
        <f>IF($X9&gt;0,(R9/$X9)*County_Flow!$BS12,0)</f>
        <v>81.589322280610858</v>
      </c>
      <c r="S36" s="77">
        <f>IF($X9&gt;0,(S9/$X9)*County_Flow!$BS12,0)</f>
        <v>58.38501961364814</v>
      </c>
      <c r="T36" s="77">
        <f>IF($X9&gt;0,(T9/$X9)*County_Flow!$BS12,0)</f>
        <v>71.858485678336166</v>
      </c>
      <c r="U36" s="77">
        <f>IF($X9&gt;0,(U9/$X9)*County_Flow!$BS12,0)</f>
        <v>107.78772851750425</v>
      </c>
      <c r="V36" s="77">
        <f>IF($X9&gt;0,(V9/$X9)*County_Flow!$BS12,0)</f>
        <v>24.701354451928058</v>
      </c>
      <c r="W36" s="77">
        <f>IF($X9&gt;0,(W9/$X9)*County_Flow!$BS12,0)</f>
        <v>0</v>
      </c>
      <c r="X36" s="77">
        <f>IF($X9&gt;0,(X9/$X9)*County_Flow!$BS12,0)</f>
        <v>30340</v>
      </c>
    </row>
    <row r="37" spans="2:24" x14ac:dyDescent="0.25">
      <c r="B37" s="95">
        <v>7</v>
      </c>
      <c r="C37" s="77">
        <f>IF($X10&gt;0,(C10/$X10)*County_Flow!$BS13,0)</f>
        <v>4259.497615134067</v>
      </c>
      <c r="D37" s="77">
        <f>IF($X10&gt;0,(D10/$X10)*County_Flow!$BS13,0)</f>
        <v>5823.5025764619286</v>
      </c>
      <c r="E37" s="77">
        <f>IF($X10&gt;0,(E10/$X10)*County_Flow!$BS13,0)</f>
        <v>2257.3460929543094</v>
      </c>
      <c r="F37" s="77">
        <f>IF($X10&gt;0,(F10/$X10)*County_Flow!$BS13,0)</f>
        <v>1375.423679248137</v>
      </c>
      <c r="G37" s="77">
        <f>IF($X10&gt;0,(G10/$X10)*County_Flow!$BS13,0)</f>
        <v>2304.2568596408078</v>
      </c>
      <c r="H37" s="77">
        <f>IF($X10&gt;0,(H10/$X10)*County_Flow!$BS13,0)</f>
        <v>7978.5831980396706</v>
      </c>
      <c r="I37" s="77">
        <f>IF($X10&gt;0,(I10/$X10)*County_Flow!$BS13,0)</f>
        <v>36322.068430022082</v>
      </c>
      <c r="J37" s="77">
        <f>IF($X10&gt;0,(J10/$X10)*County_Flow!$BS13,0)</f>
        <v>257.07100144201195</v>
      </c>
      <c r="K37" s="77">
        <f>IF($X10&gt;0,(K10/$X10)*County_Flow!$BS13,0)</f>
        <v>4662.9302086379539</v>
      </c>
      <c r="L37" s="77">
        <f>IF($X10&gt;0,(L10/$X10)*County_Flow!$BS13,0)</f>
        <v>1466.4305666199441</v>
      </c>
      <c r="M37" s="77">
        <f>IF($X10&gt;0,(M10/$X10)*County_Flow!$BS13,0)</f>
        <v>1944.9203868222291</v>
      </c>
      <c r="N37" s="77">
        <f>IF($X10&gt;0,(N10/$X10)*County_Flow!$BS13,0)</f>
        <v>11746.455978299233</v>
      </c>
      <c r="O37" s="77">
        <f>IF($X10&gt;0,(O10/$X10)*County_Flow!$BS13,0)</f>
        <v>10159.933848961853</v>
      </c>
      <c r="P37" s="77">
        <f>IF($X10&gt;0,(P10/$X10)*County_Flow!$BS13,0)</f>
        <v>69.427934696017829</v>
      </c>
      <c r="Q37" s="77">
        <f>IF($X10&gt;0,(Q10/$X10)*County_Flow!$BS13,0)</f>
        <v>1031.0986517692377</v>
      </c>
      <c r="R37" s="77">
        <f>IF($X10&gt;0,(R10/$X10)*County_Flow!$BS13,0)</f>
        <v>91.94510270553711</v>
      </c>
      <c r="S37" s="77">
        <f>IF($X10&gt;0,(S10/$X10)*County_Flow!$BS13,0)</f>
        <v>106.01833271148668</v>
      </c>
      <c r="T37" s="77">
        <f>IF($X10&gt;0,(T10/$X10)*County_Flow!$BS13,0)</f>
        <v>739.31368297921688</v>
      </c>
      <c r="U37" s="77">
        <f>IF($X10&gt;0,(U10/$X10)*County_Flow!$BS13,0)</f>
        <v>198.90165075075379</v>
      </c>
      <c r="V37" s="77">
        <f>IF($X10&gt;0,(V10/$X10)*County_Flow!$BS13,0)</f>
        <v>244.87420210352232</v>
      </c>
      <c r="W37" s="77">
        <f>IF($X10&gt;0,(W10/$X10)*County_Flow!$BS13,0)</f>
        <v>0</v>
      </c>
      <c r="X37" s="77">
        <f>IF($X10&gt;0,(X10/$X10)*County_Flow!$BS13,0)</f>
        <v>93040</v>
      </c>
    </row>
    <row r="38" spans="2:24" x14ac:dyDescent="0.25">
      <c r="B38" s="95">
        <v>8</v>
      </c>
      <c r="C38" s="77">
        <f>IF($X11&gt;0,(C11/$X11)*County_Flow!$BS14,0)</f>
        <v>454.72178060413353</v>
      </c>
      <c r="D38" s="77">
        <f>IF($X11&gt;0,(D11/$X11)*County_Flow!$BS14,0)</f>
        <v>350.55643879173289</v>
      </c>
      <c r="E38" s="77">
        <f>IF($X11&gt;0,(E11/$X11)*County_Flow!$BS14,0)</f>
        <v>523.83147853736091</v>
      </c>
      <c r="F38" s="77">
        <f>IF($X11&gt;0,(F11/$X11)*County_Flow!$BS14,0)</f>
        <v>256.40699523052467</v>
      </c>
      <c r="G38" s="77">
        <f>IF($X11&gt;0,(G11/$X11)*County_Flow!$BS14,0)</f>
        <v>284.45151033386327</v>
      </c>
      <c r="H38" s="77">
        <f>IF($X11&gt;0,(H11/$X11)*County_Flow!$BS14,0)</f>
        <v>827.31319554848972</v>
      </c>
      <c r="I38" s="77">
        <f>IF($X11&gt;0,(I11/$X11)*County_Flow!$BS14,0)</f>
        <v>170.27027027027029</v>
      </c>
      <c r="J38" s="77">
        <f>IF($X11&gt;0,(J11/$X11)*County_Flow!$BS14,0)</f>
        <v>508.80763116057238</v>
      </c>
      <c r="K38" s="77">
        <f>IF($X11&gt;0,(K11/$X11)*County_Flow!$BS14,0)</f>
        <v>171.27186009538951</v>
      </c>
      <c r="L38" s="77">
        <f>IF($X11&gt;0,(L11/$X11)*County_Flow!$BS14,0)</f>
        <v>224.35612082670906</v>
      </c>
      <c r="M38" s="77">
        <f>IF($X11&gt;0,(M11/$X11)*County_Flow!$BS14,0)</f>
        <v>646.02543720190783</v>
      </c>
      <c r="N38" s="77">
        <f>IF($X11&gt;0,(N11/$X11)*County_Flow!$BS14,0)</f>
        <v>285.45310015898252</v>
      </c>
      <c r="O38" s="77">
        <f>IF($X11&gt;0,(O11/$X11)*County_Flow!$BS14,0)</f>
        <v>29.046104928457869</v>
      </c>
      <c r="P38" s="77">
        <f>IF($X11&gt;0,(P11/$X11)*County_Flow!$BS14,0)</f>
        <v>132.20985691573927</v>
      </c>
      <c r="Q38" s="77">
        <f>IF($X11&gt;0,(Q11/$X11)*County_Flow!$BS14,0)</f>
        <v>14.022257551669316</v>
      </c>
      <c r="R38" s="77">
        <f>IF($X11&gt;0,(R11/$X11)*County_Flow!$BS14,0)</f>
        <v>23.036565977742448</v>
      </c>
      <c r="S38" s="77">
        <f>IF($X11&gt;0,(S11/$X11)*County_Flow!$BS14,0)</f>
        <v>78.124006359300481</v>
      </c>
      <c r="T38" s="77">
        <f>IF($X11&gt;0,(T11/$X11)*County_Flow!$BS14,0)</f>
        <v>8.012718600953896</v>
      </c>
      <c r="U38" s="77">
        <f>IF($X11&gt;0,(U11/$X11)*County_Flow!$BS14,0)</f>
        <v>31.049284578696344</v>
      </c>
      <c r="V38" s="77">
        <f>IF($X11&gt;0,(V11/$X11)*County_Flow!$BS14,0)</f>
        <v>21.033386327503976</v>
      </c>
      <c r="W38" s="77">
        <f>IF($X11&gt;0,(W11/$X11)*County_Flow!$BS14,0)</f>
        <v>0</v>
      </c>
      <c r="X38" s="77">
        <f>IF($X11&gt;0,(X11/$X11)*County_Flow!$BS14,0)</f>
        <v>5040</v>
      </c>
    </row>
    <row r="39" spans="2:24" x14ac:dyDescent="0.25">
      <c r="B39" s="95">
        <v>9</v>
      </c>
      <c r="C39" s="77">
        <f>IF($X12&gt;0,(C12/$X12)*County_Flow!$BS15,0)</f>
        <v>4026.4930531313275</v>
      </c>
      <c r="D39" s="77">
        <f>IF($X12&gt;0,(D12/$X12)*County_Flow!$BS15,0)</f>
        <v>5600.8992529498018</v>
      </c>
      <c r="E39" s="77">
        <f>IF($X12&gt;0,(E12/$X12)*County_Flow!$BS15,0)</f>
        <v>2151.1401242756406</v>
      </c>
      <c r="F39" s="77">
        <f>IF($X12&gt;0,(F12/$X12)*County_Flow!$BS15,0)</f>
        <v>1306.3603993576764</v>
      </c>
      <c r="G39" s="77">
        <f>IF($X12&gt;0,(G12/$X12)*County_Flow!$BS15,0)</f>
        <v>1506.6689939258536</v>
      </c>
      <c r="H39" s="77">
        <f>IF($X12&gt;0,(H12/$X12)*County_Flow!$BS15,0)</f>
        <v>6680.823849752147</v>
      </c>
      <c r="I39" s="77">
        <f>IF($X12&gt;0,(I12/$X12)*County_Flow!$BS15,0)</f>
        <v>6807.5891922083365</v>
      </c>
      <c r="J39" s="77">
        <f>IF($X12&gt;0,(J12/$X12)*County_Flow!$BS15,0)</f>
        <v>164.50464288207777</v>
      </c>
      <c r="K39" s="77">
        <f>IF($X12&gt;0,(K12/$X12)*County_Flow!$BS15,0)</f>
        <v>22233.286322697757</v>
      </c>
      <c r="L39" s="77">
        <f>IF($X12&gt;0,(L12/$X12)*County_Flow!$BS15,0)</f>
        <v>997.67227536130702</v>
      </c>
      <c r="M39" s="77">
        <f>IF($X12&gt;0,(M12/$X12)*County_Flow!$BS15,0)</f>
        <v>3623.940515255184</v>
      </c>
      <c r="N39" s="77">
        <f>IF($X12&gt;0,(N12/$X12)*County_Flow!$BS15,0)</f>
        <v>5461.5541436849817</v>
      </c>
      <c r="O39" s="77">
        <f>IF($X12&gt;0,(O12/$X12)*County_Flow!$BS15,0)</f>
        <v>2314.6770927878238</v>
      </c>
      <c r="P39" s="77">
        <f>IF($X12&gt;0,(P12/$X12)*County_Flow!$BS15,0)</f>
        <v>162.56929414228861</v>
      </c>
      <c r="Q39" s="77">
        <f>IF($X12&gt;0,(Q12/$X12)*County_Flow!$BS15,0)</f>
        <v>5006.747189834532</v>
      </c>
      <c r="R39" s="77">
        <f>IF($X12&gt;0,(R12/$X12)*County_Flow!$BS15,0)</f>
        <v>76.446275221671442</v>
      </c>
      <c r="S39" s="77">
        <f>IF($X12&gt;0,(S12/$X12)*County_Flow!$BS15,0)</f>
        <v>106.44418068840326</v>
      </c>
      <c r="T39" s="77">
        <f>IF($X12&gt;0,(T12/$X12)*County_Flow!$BS15,0)</f>
        <v>206.11464078754449</v>
      </c>
      <c r="U39" s="77">
        <f>IF($X12&gt;0,(U12/$X12)*County_Flow!$BS15,0)</f>
        <v>836.07065558891293</v>
      </c>
      <c r="V39" s="77">
        <f>IF($X12&gt;0,(V12/$X12)*County_Flow!$BS15,0)</f>
        <v>29.997905466731829</v>
      </c>
      <c r="W39" s="77">
        <f>IF($X12&gt;0,(W12/$X12)*County_Flow!$BS15,0)</f>
        <v>0</v>
      </c>
      <c r="X39" s="77">
        <f>IF($X12&gt;0,(X12/$X12)*County_Flow!$BS15,0)</f>
        <v>69300</v>
      </c>
    </row>
    <row r="40" spans="2:24" x14ac:dyDescent="0.25">
      <c r="B40" s="95">
        <v>10</v>
      </c>
      <c r="C40" s="77">
        <f>IF($X13&gt;0,(C13/$X13)*County_Flow!$BS16,0)</f>
        <v>2325.9825259136314</v>
      </c>
      <c r="D40" s="77">
        <f>IF($X13&gt;0,(D13/$X13)*County_Flow!$BS16,0)</f>
        <v>949.08715122287288</v>
      </c>
      <c r="E40" s="77">
        <f>IF($X13&gt;0,(E13/$X13)*County_Flow!$BS16,0)</f>
        <v>673.16882222152628</v>
      </c>
      <c r="F40" s="77">
        <f>IF($X13&gt;0,(F13/$X13)*County_Flow!$BS16,0)</f>
        <v>960.77098925876055</v>
      </c>
      <c r="G40" s="77">
        <f>IF($X13&gt;0,(G13/$X13)*County_Flow!$BS16,0)</f>
        <v>1685.1689474837942</v>
      </c>
      <c r="H40" s="77">
        <f>IF($X13&gt;0,(H13/$X13)*County_Flow!$BS16,0)</f>
        <v>7483.94764037203</v>
      </c>
      <c r="I40" s="77">
        <f>IF($X13&gt;0,(I13/$X13)*County_Flow!$BS16,0)</f>
        <v>771.13331036858426</v>
      </c>
      <c r="J40" s="77">
        <f>IF($X13&gt;0,(J13/$X13)*County_Flow!$BS16,0)</f>
        <v>75.495568847273987</v>
      </c>
      <c r="K40" s="77">
        <f>IF($X13&gt;0,(K13/$X13)*County_Flow!$BS16,0)</f>
        <v>773.82958068455832</v>
      </c>
      <c r="L40" s="77">
        <f>IF($X13&gt;0,(L13/$X13)*County_Flow!$BS16,0)</f>
        <v>5865.2866940155955</v>
      </c>
      <c r="M40" s="77">
        <f>IF($X13&gt;0,(M13/$X13)*County_Flow!$BS16,0)</f>
        <v>836.74255472395328</v>
      </c>
      <c r="N40" s="77">
        <f>IF($X13&gt;0,(N13/$X13)*County_Flow!$BS16,0)</f>
        <v>4905.414461528826</v>
      </c>
      <c r="O40" s="77">
        <f>IF($X13&gt;0,(O13/$X13)*County_Flow!$BS16,0)</f>
        <v>203.11903047004665</v>
      </c>
      <c r="P40" s="77">
        <f>IF($X13&gt;0,(P13/$X13)*County_Flow!$BS16,0)</f>
        <v>46.735352143550557</v>
      </c>
      <c r="Q40" s="77">
        <f>IF($X13&gt;0,(Q13/$X13)*County_Flow!$BS16,0)</f>
        <v>87.179406883161619</v>
      </c>
      <c r="R40" s="77">
        <f>IF($X13&gt;0,(R13/$X13)*County_Flow!$BS16,0)</f>
        <v>811.57736510819529</v>
      </c>
      <c r="S40" s="77">
        <f>IF($X13&gt;0,(S13/$X13)*County_Flow!$BS16,0)</f>
        <v>75.495568847273987</v>
      </c>
      <c r="T40" s="77">
        <f>IF($X13&gt;0,(T13/$X13)*County_Flow!$BS16,0)</f>
        <v>55.722919863464128</v>
      </c>
      <c r="U40" s="77">
        <f>IF($X13&gt;0,(U13/$X13)*County_Flow!$BS16,0)</f>
        <v>71.001784987317194</v>
      </c>
      <c r="V40" s="77">
        <f>IF($X13&gt;0,(V13/$X13)*County_Flow!$BS16,0)</f>
        <v>43.14032505558513</v>
      </c>
      <c r="W40" s="77">
        <f>IF($X13&gt;0,(W13/$X13)*County_Flow!$BS16,0)</f>
        <v>0</v>
      </c>
      <c r="X40" s="77">
        <f>IF($X13&gt;0,(X13/$X13)*County_Flow!$BS16,0)</f>
        <v>28700</v>
      </c>
    </row>
    <row r="41" spans="2:24" x14ac:dyDescent="0.25">
      <c r="B41" s="95">
        <v>11</v>
      </c>
      <c r="C41" s="77">
        <f>IF($X14&gt;0,(C14/$X14)*County_Flow!$BS17,0)</f>
        <v>3421.7873638713504</v>
      </c>
      <c r="D41" s="77">
        <f>IF($X14&gt;0,(D14/$X14)*County_Flow!$BS17,0)</f>
        <v>2445.5765074791307</v>
      </c>
      <c r="E41" s="77">
        <f>IF($X14&gt;0,(E14/$X14)*County_Flow!$BS17,0)</f>
        <v>3694.4531547946949</v>
      </c>
      <c r="F41" s="77">
        <f>IF($X14&gt;0,(F14/$X14)*County_Flow!$BS17,0)</f>
        <v>1901.9280477986354</v>
      </c>
      <c r="G41" s="77">
        <f>IF($X14&gt;0,(G14/$X14)*County_Flow!$BS17,0)</f>
        <v>1799.257595660833</v>
      </c>
      <c r="H41" s="77">
        <f>IF($X14&gt;0,(H14/$X14)*County_Flow!$BS17,0)</f>
        <v>5852.2157718547396</v>
      </c>
      <c r="I41" s="77">
        <f>IF($X14&gt;0,(I14/$X14)*County_Flow!$BS17,0)</f>
        <v>1776.535446417221</v>
      </c>
      <c r="J41" s="77">
        <f>IF($X14&gt;0,(J14/$X14)*County_Flow!$BS17,0)</f>
        <v>1088.9800415271834</v>
      </c>
      <c r="K41" s="77">
        <f>IF($X14&gt;0,(K14/$X14)*County_Flow!$BS17,0)</f>
        <v>3743.2636976143053</v>
      </c>
      <c r="L41" s="77">
        <f>IF($X14&gt;0,(L14/$X14)*County_Flow!$BS17,0)</f>
        <v>738.89063095893891</v>
      </c>
      <c r="M41" s="77">
        <f>IF($X14&gt;0,(M14/$X14)*County_Flow!$BS17,0)</f>
        <v>22754.128564769693</v>
      </c>
      <c r="N41" s="77">
        <f>IF($X14&gt;0,(N14/$X14)*County_Flow!$BS17,0)</f>
        <v>2568.4444256112547</v>
      </c>
      <c r="O41" s="77">
        <f>IF($X14&gt;0,(O14/$X14)*County_Flow!$BS17,0)</f>
        <v>581.51870841984828</v>
      </c>
      <c r="P41" s="77">
        <f>IF($X14&gt;0,(P14/$X14)*County_Flow!$BS17,0)</f>
        <v>485.58074494681978</v>
      </c>
      <c r="Q41" s="77">
        <f>IF($X14&gt;0,(Q14/$X14)*County_Flow!$BS17,0)</f>
        <v>695.12945463790834</v>
      </c>
      <c r="R41" s="77">
        <f>IF($X14&gt;0,(R14/$X14)*County_Flow!$BS17,0)</f>
        <v>69.849569897029539</v>
      </c>
      <c r="S41" s="77">
        <f>IF($X14&gt;0,(S14/$X14)*County_Flow!$BS17,0)</f>
        <v>1309.4690452985296</v>
      </c>
      <c r="T41" s="77">
        <f>IF($X14&gt;0,(T14/$X14)*County_Flow!$BS17,0)</f>
        <v>69.849569897029539</v>
      </c>
      <c r="U41" s="77">
        <f>IF($X14&gt;0,(U14/$X14)*County_Flow!$BS17,0)</f>
        <v>4541.9051654731129</v>
      </c>
      <c r="V41" s="77">
        <f>IF($X14&gt;0,(V14/$X14)*County_Flow!$BS17,0)</f>
        <v>41.236493071740327</v>
      </c>
      <c r="W41" s="77">
        <f>IF($X14&gt;0,(W14/$X14)*County_Flow!$BS17,0)</f>
        <v>0</v>
      </c>
      <c r="X41" s="77">
        <f>IF($X14&gt;0,(X14/$X14)*County_Flow!$BS17,0)</f>
        <v>59580</v>
      </c>
    </row>
    <row r="42" spans="2:24" x14ac:dyDescent="0.25">
      <c r="B42" s="95">
        <v>12</v>
      </c>
      <c r="C42" s="77">
        <f>IF($X15&gt;0,(C15/$X15)*County_Flow!$BS18,0)</f>
        <v>6993.8964528708611</v>
      </c>
      <c r="D42" s="77">
        <f>IF($X15&gt;0,(D15/$X15)*County_Flow!$BS18,0)</f>
        <v>4084.6592465625258</v>
      </c>
      <c r="E42" s="77">
        <f>IF($X15&gt;0,(E15/$X15)*County_Flow!$BS18,0)</f>
        <v>1888.9744837239241</v>
      </c>
      <c r="F42" s="77">
        <f>IF($X15&gt;0,(F15/$X15)*County_Flow!$BS18,0)</f>
        <v>1617.445677801813</v>
      </c>
      <c r="G42" s="77">
        <f>IF($X15&gt;0,(G15/$X15)*County_Flow!$BS18,0)</f>
        <v>2851.503506710279</v>
      </c>
      <c r="H42" s="77">
        <f>IF($X15&gt;0,(H15/$X15)*County_Flow!$BS18,0)</f>
        <v>17112.629396486554</v>
      </c>
      <c r="I42" s="77">
        <f>IF($X15&gt;0,(I15/$X15)*County_Flow!$BS18,0)</f>
        <v>8036.7114018607635</v>
      </c>
      <c r="J42" s="77">
        <f>IF($X15&gt;0,(J15/$X15)*County_Flow!$BS18,0)</f>
        <v>241.75986706686328</v>
      </c>
      <c r="K42" s="77">
        <f>IF($X15&gt;0,(K15/$X15)*County_Flow!$BS18,0)</f>
        <v>2893.9016923526024</v>
      </c>
      <c r="L42" s="77">
        <f>IF($X15&gt;0,(L15/$X15)*County_Flow!$BS18,0)</f>
        <v>2103.6716791041981</v>
      </c>
      <c r="M42" s="77">
        <f>IF($X15&gt;0,(M15/$X15)*County_Flow!$BS18,0)</f>
        <v>1602.1101638460789</v>
      </c>
      <c r="N42" s="77">
        <f>IF($X15&gt;0,(N15/$X15)*County_Flow!$BS18,0)</f>
        <v>63150.744380655837</v>
      </c>
      <c r="O42" s="77">
        <f>IF($X15&gt;0,(O15/$X15)*County_Flow!$BS18,0)</f>
        <v>2338.2148337213043</v>
      </c>
      <c r="P42" s="77">
        <f>IF($X15&gt;0,(P15/$X15)*County_Flow!$BS18,0)</f>
        <v>79.383836947328234</v>
      </c>
      <c r="Q42" s="77">
        <f>IF($X15&gt;0,(Q15/$X15)*County_Flow!$BS18,0)</f>
        <v>436.61110321030532</v>
      </c>
      <c r="R42" s="77">
        <f>IF($X15&gt;0,(R15/$X15)*County_Flow!$BS18,0)</f>
        <v>530.42836505714774</v>
      </c>
      <c r="S42" s="77">
        <f>IF($X15&gt;0,(S15/$X15)*County_Flow!$BS18,0)</f>
        <v>127.1945569269691</v>
      </c>
      <c r="T42" s="77">
        <f>IF($X15&gt;0,(T15/$X15)*County_Flow!$BS18,0)</f>
        <v>3324.1981721693696</v>
      </c>
      <c r="U42" s="77">
        <f>IF($X15&gt;0,(U15/$X15)*County_Flow!$BS18,0)</f>
        <v>177.7115440752689</v>
      </c>
      <c r="V42" s="77">
        <f>IF($X15&gt;0,(V15/$X15)*County_Flow!$BS18,0)</f>
        <v>928.24963885000864</v>
      </c>
      <c r="W42" s="77">
        <f>IF($X15&gt;0,(W15/$X15)*County_Flow!$BS18,0)</f>
        <v>0</v>
      </c>
      <c r="X42" s="77">
        <f>IF($X15&gt;0,(X15/$X15)*County_Flow!$BS18,0)</f>
        <v>120520</v>
      </c>
    </row>
    <row r="43" spans="2:24" x14ac:dyDescent="0.25">
      <c r="B43" s="95">
        <v>13</v>
      </c>
      <c r="C43" s="77">
        <f>IF($X16&gt;0,(C16/$X16)*County_Flow!$BS19,0)</f>
        <v>1393.0139793603162</v>
      </c>
      <c r="D43" s="77">
        <f>IF($X16&gt;0,(D16/$X16)*County_Flow!$BS19,0)</f>
        <v>1548.79967796238</v>
      </c>
      <c r="E43" s="77">
        <f>IF($X16&gt;0,(E16/$X16)*County_Flow!$BS19,0)</f>
        <v>394.89863134011563</v>
      </c>
      <c r="F43" s="77">
        <f>IF($X16&gt;0,(F16/$X16)*County_Flow!$BS19,0)</f>
        <v>332.40320573812488</v>
      </c>
      <c r="G43" s="77">
        <f>IF($X16&gt;0,(G16/$X16)*County_Flow!$BS19,0)</f>
        <v>400.33301617507141</v>
      </c>
      <c r="H43" s="77">
        <f>IF($X16&gt;0,(H16/$X16)*County_Flow!$BS19,0)</f>
        <v>2903.7729634780062</v>
      </c>
      <c r="I43" s="77">
        <f>IF($X16&gt;0,(I16/$X16)*County_Flow!$BS19,0)</f>
        <v>13374.021078826026</v>
      </c>
      <c r="J43" s="77">
        <f>IF($X16&gt;0,(J16/$X16)*County_Flow!$BS19,0)</f>
        <v>20.831808533996924</v>
      </c>
      <c r="K43" s="77">
        <f>IF($X16&gt;0,(K16/$X16)*County_Flow!$BS19,0)</f>
        <v>1663.8274903022764</v>
      </c>
      <c r="L43" s="77">
        <f>IF($X16&gt;0,(L16/$X16)*County_Flow!$BS19,0)</f>
        <v>393.08716972846372</v>
      </c>
      <c r="M43" s="77">
        <f>IF($X16&gt;0,(M16/$X16)*County_Flow!$BS19,0)</f>
        <v>408.48459342750493</v>
      </c>
      <c r="N43" s="77">
        <f>IF($X16&gt;0,(N16/$X16)*County_Flow!$BS19,0)</f>
        <v>5922.5737392959081</v>
      </c>
      <c r="O43" s="77">
        <f>IF($X16&gt;0,(O16/$X16)*County_Flow!$BS19,0)</f>
        <v>65329.457293420186</v>
      </c>
      <c r="P43" s="77">
        <f>IF($X16&gt;0,(P16/$X16)*County_Flow!$BS19,0)</f>
        <v>26.266193368952646</v>
      </c>
      <c r="Q43" s="77">
        <f>IF($X16&gt;0,(Q16/$X16)*County_Flow!$BS19,0)</f>
        <v>2196.3972041279367</v>
      </c>
      <c r="R43" s="77">
        <f>IF($X16&gt;0,(R16/$X16)*County_Flow!$BS19,0)</f>
        <v>82.421503330161755</v>
      </c>
      <c r="S43" s="77">
        <f>IF($X16&gt;0,(S16/$X16)*County_Flow!$BS19,0)</f>
        <v>35.323501427212179</v>
      </c>
      <c r="T43" s="77">
        <f>IF($X16&gt;0,(T16/$X16)*County_Flow!$BS19,0)</f>
        <v>2203.6430505745443</v>
      </c>
      <c r="U43" s="77">
        <f>IF($X16&gt;0,(U16/$X16)*County_Flow!$BS19,0)</f>
        <v>93.290273000073185</v>
      </c>
      <c r="V43" s="77">
        <f>IF($X16&gt;0,(V16/$X16)*County_Flow!$BS19,0)</f>
        <v>277.15362658274171</v>
      </c>
      <c r="W43" s="77">
        <f>IF($X16&gt;0,(W16/$X16)*County_Flow!$BS19,0)</f>
        <v>0</v>
      </c>
      <c r="X43" s="77">
        <f>IF($X16&gt;0,(X16/$X16)*County_Flow!$BS19,0)</f>
        <v>99000</v>
      </c>
    </row>
    <row r="44" spans="2:24" x14ac:dyDescent="0.25">
      <c r="B44" s="95">
        <v>14</v>
      </c>
      <c r="C44" s="77">
        <f>IF($X17&gt;0,(C17/$X17)*County_Flow!$BS20,0)</f>
        <v>667.1743218957663</v>
      </c>
      <c r="D44" s="77">
        <f>IF($X17&gt;0,(D17/$X17)*County_Flow!$BS20,0)</f>
        <v>881.05738287290512</v>
      </c>
      <c r="E44" s="77">
        <f>IF($X17&gt;0,(E17/$X17)*County_Flow!$BS20,0)</f>
        <v>359.11229991223303</v>
      </c>
      <c r="F44" s="77">
        <f>IF($X17&gt;0,(F17/$X17)*County_Flow!$BS20,0)</f>
        <v>370.5546035859071</v>
      </c>
      <c r="G44" s="77">
        <f>IF($X17&gt;0,(G17/$X17)*County_Flow!$BS20,0)</f>
        <v>332.70698374221593</v>
      </c>
      <c r="H44" s="77">
        <f>IF($X17&gt;0,(H17/$X17)*County_Flow!$BS20,0)</f>
        <v>1845.7316002841978</v>
      </c>
      <c r="I44" s="77">
        <f>IF($X17&gt;0,(I17/$X17)*County_Flow!$BS20,0)</f>
        <v>480.57675429431191</v>
      </c>
      <c r="J44" s="77">
        <f>IF($X17&gt;0,(J17/$X17)*County_Flow!$BS20,0)</f>
        <v>242.92890876415763</v>
      </c>
      <c r="K44" s="77">
        <f>IF($X17&gt;0,(K17/$X17)*County_Flow!$BS20,0)</f>
        <v>389.91850211058636</v>
      </c>
      <c r="L44" s="77">
        <f>IF($X17&gt;0,(L17/$X17)*County_Flow!$BS20,0)</f>
        <v>224.44518744514565</v>
      </c>
      <c r="M44" s="77">
        <f>IF($X17&gt;0,(M17/$X17)*County_Flow!$BS20,0)</f>
        <v>1961.9149914322732</v>
      </c>
      <c r="N44" s="77">
        <f>IF($X17&gt;0,(N17/$X17)*County_Flow!$BS20,0)</f>
        <v>599.40067705938895</v>
      </c>
      <c r="O44" s="77">
        <f>IF($X17&gt;0,(O17/$X17)*County_Flow!$BS20,0)</f>
        <v>53.690809545701512</v>
      </c>
      <c r="P44" s="77">
        <f>IF($X17&gt;0,(P17/$X17)*County_Flow!$BS20,0)</f>
        <v>10485.551051113804</v>
      </c>
      <c r="Q44" s="77">
        <f>IF($X17&gt;0,(Q17/$X17)*County_Flow!$BS20,0)</f>
        <v>78.335771304384167</v>
      </c>
      <c r="R44" s="77">
        <f>IF($X17&gt;0,(R17/$X17)*County_Flow!$BS20,0)</f>
        <v>11.442303673674092</v>
      </c>
      <c r="S44" s="77">
        <f>IF($X17&gt;0,(S17/$X17)*County_Flow!$BS20,0)</f>
        <v>1660.8943870940777</v>
      </c>
      <c r="T44" s="77">
        <f>IF($X17&gt;0,(T17/$X17)*County_Flow!$BS20,0)</f>
        <v>9.6819492623396162</v>
      </c>
      <c r="U44" s="77">
        <f>IF($X17&gt;0,(U17/$X17)*County_Flow!$BS20,0)</f>
        <v>401.36080578426044</v>
      </c>
      <c r="V44" s="77">
        <f>IF($X17&gt;0,(V17/$X17)*County_Flow!$BS20,0)</f>
        <v>3.5207088226689511</v>
      </c>
      <c r="W44" s="77">
        <f>IF($X17&gt;0,(W17/$X17)*County_Flow!$BS20,0)</f>
        <v>0</v>
      </c>
      <c r="X44" s="77">
        <f>IF($X17&gt;0,(X17/$X17)*County_Flow!$BS20,0)</f>
        <v>21060</v>
      </c>
    </row>
    <row r="45" spans="2:24" x14ac:dyDescent="0.25">
      <c r="B45" s="95">
        <v>15</v>
      </c>
      <c r="C45" s="77">
        <f>IF($X18&gt;0,(C18/$X18)*County_Flow!$BS21,0)</f>
        <v>891.54209697181875</v>
      </c>
      <c r="D45" s="77">
        <f>IF($X18&gt;0,(D18/$X18)*County_Flow!$BS21,0)</f>
        <v>1507.5862068965516</v>
      </c>
      <c r="E45" s="77">
        <f>IF($X18&gt;0,(E18/$X18)*County_Flow!$BS21,0)</f>
        <v>210.44985121652371</v>
      </c>
      <c r="F45" s="77">
        <f>IF($X18&gt;0,(F18/$X18)*County_Flow!$BS21,0)</f>
        <v>316.63136705758797</v>
      </c>
      <c r="G45" s="77">
        <f>IF($X18&gt;0,(G18/$X18)*County_Flow!$BS21,0)</f>
        <v>333.84999124803079</v>
      </c>
      <c r="H45" s="77">
        <f>IF($X18&gt;0,(H18/$X18)*County_Flow!$BS21,0)</f>
        <v>1598.4622790127778</v>
      </c>
      <c r="I45" s="77">
        <f>IF($X18&gt;0,(I18/$X18)*County_Flow!$BS21,0)</f>
        <v>2653.5813057938035</v>
      </c>
      <c r="J45" s="77">
        <f>IF($X18&gt;0,(J18/$X18)*County_Flow!$BS21,0)</f>
        <v>34.437248380885698</v>
      </c>
      <c r="K45" s="77">
        <f>IF($X18&gt;0,(K18/$X18)*County_Flow!$BS21,0)</f>
        <v>4818.3450026255905</v>
      </c>
      <c r="L45" s="77">
        <f>IF($X18&gt;0,(L18/$X18)*County_Flow!$BS21,0)</f>
        <v>154.01102748118328</v>
      </c>
      <c r="M45" s="77">
        <f>IF($X18&gt;0,(M18/$X18)*County_Flow!$BS21,0)</f>
        <v>746.14038158585686</v>
      </c>
      <c r="N45" s="77">
        <f>IF($X18&gt;0,(N18/$X18)*County_Flow!$BS21,0)</f>
        <v>1701.774024155435</v>
      </c>
      <c r="O45" s="77">
        <f>IF($X18&gt;0,(O18/$X18)*County_Flow!$BS21,0)</f>
        <v>3846.4493260983722</v>
      </c>
      <c r="P45" s="77">
        <f>IF($X18&gt;0,(P18/$X18)*County_Flow!$BS21,0)</f>
        <v>15.305443724838089</v>
      </c>
      <c r="Q45" s="77">
        <f>IF($X18&gt;0,(Q18/$X18)*County_Flow!$BS21,0)</f>
        <v>23761.70138281113</v>
      </c>
      <c r="R45" s="77">
        <f>IF($X18&gt;0,(R18/$X18)*County_Flow!$BS21,0)</f>
        <v>22.001575354454754</v>
      </c>
      <c r="S45" s="77">
        <f>IF($X18&gt;0,(S18/$X18)*County_Flow!$BS21,0)</f>
        <v>141.57535445475233</v>
      </c>
      <c r="T45" s="77">
        <f>IF($X18&gt;0,(T18/$X18)*County_Flow!$BS21,0)</f>
        <v>106.18151584106423</v>
      </c>
      <c r="U45" s="77">
        <f>IF($X18&gt;0,(U18/$X18)*County_Flow!$BS21,0)</f>
        <v>842.75599509889719</v>
      </c>
      <c r="V45" s="77">
        <f>IF($X18&gt;0,(V18/$X18)*County_Flow!$BS21,0)</f>
        <v>17.218624190442849</v>
      </c>
      <c r="W45" s="77">
        <f>IF($X18&gt;0,(W18/$X18)*County_Flow!$BS21,0)</f>
        <v>0</v>
      </c>
      <c r="X45" s="77">
        <f>IF($X18&gt;0,(X18/$X18)*County_Flow!$BS21,0)</f>
        <v>43720</v>
      </c>
    </row>
    <row r="46" spans="2:24" x14ac:dyDescent="0.25">
      <c r="B46" s="95">
        <v>16</v>
      </c>
      <c r="C46" s="77">
        <f>IF($X19&gt;0,(C19/$X19)*County_Flow!$BS22,0)</f>
        <v>1231.833354731031</v>
      </c>
      <c r="D46" s="77">
        <f>IF($X19&gt;0,(D19/$X19)*County_Flow!$BS22,0)</f>
        <v>591.02580562331502</v>
      </c>
      <c r="E46" s="77">
        <f>IF($X19&gt;0,(E19/$X19)*County_Flow!$BS22,0)</f>
        <v>323.0517396328155</v>
      </c>
      <c r="F46" s="77">
        <f>IF($X19&gt;0,(F19/$X19)*County_Flow!$BS22,0)</f>
        <v>367.53755295930159</v>
      </c>
      <c r="G46" s="77">
        <f>IF($X19&gt;0,(G19/$X19)*County_Flow!$BS22,0)</f>
        <v>515.8235973809218</v>
      </c>
      <c r="H46" s="77">
        <f>IF($X19&gt;0,(H19/$X19)*County_Flow!$BS22,0)</f>
        <v>3170.1437925279238</v>
      </c>
      <c r="I46" s="77">
        <f>IF($X19&gt;0,(I19/$X19)*County_Flow!$BS22,0)</f>
        <v>406.72743612787264</v>
      </c>
      <c r="J46" s="77">
        <f>IF($X19&gt;0,(J19/$X19)*County_Flow!$BS22,0)</f>
        <v>62.491975863397094</v>
      </c>
      <c r="K46" s="77">
        <f>IF($X19&gt;0,(K19/$X19)*County_Flow!$BS22,0)</f>
        <v>416.26011041211967</v>
      </c>
      <c r="L46" s="77">
        <f>IF($X19&gt;0,(L19/$X19)*County_Flow!$BS22,0)</f>
        <v>1773.0774168699447</v>
      </c>
      <c r="M46" s="77">
        <f>IF($X19&gt;0,(M19/$X19)*County_Flow!$BS22,0)</f>
        <v>292.33534471690848</v>
      </c>
      <c r="N46" s="77">
        <f>IF($X19&gt;0,(N19/$X19)*County_Flow!$BS22,0)</f>
        <v>4289.7034279111567</v>
      </c>
      <c r="O46" s="77">
        <f>IF($X19&gt;0,(O19/$X19)*County_Flow!$BS22,0)</f>
        <v>63.551161894980098</v>
      </c>
      <c r="P46" s="77">
        <f>IF($X19&gt;0,(P19/$X19)*County_Flow!$BS22,0)</f>
        <v>32.834766979073052</v>
      </c>
      <c r="Q46" s="77">
        <f>IF($X19&gt;0,(Q19/$X19)*County_Flow!$BS22,0)</f>
        <v>11.651046347413018</v>
      </c>
      <c r="R46" s="77">
        <f>IF($X19&gt;0,(R19/$X19)*County_Flow!$BS22,0)</f>
        <v>2550.5199640518681</v>
      </c>
      <c r="S46" s="77">
        <f>IF($X19&gt;0,(S19/$X19)*County_Flow!$BS22,0)</f>
        <v>10.591860315830017</v>
      </c>
      <c r="T46" s="77">
        <f>IF($X19&gt;0,(T19/$X19)*County_Flow!$BS22,0)</f>
        <v>249.96790345358838</v>
      </c>
      <c r="U46" s="77">
        <f>IF($X19&gt;0,(U19/$X19)*County_Flow!$BS22,0)</f>
        <v>67.787906021312111</v>
      </c>
      <c r="V46" s="77">
        <f>IF($X19&gt;0,(V19/$X19)*County_Flow!$BS22,0)</f>
        <v>73.08383617922712</v>
      </c>
      <c r="W46" s="77">
        <f>IF($X19&gt;0,(W19/$X19)*County_Flow!$BS22,0)</f>
        <v>0</v>
      </c>
      <c r="X46" s="77">
        <f>IF($X19&gt;0,(X19/$X19)*County_Flow!$BS22,0)</f>
        <v>16500</v>
      </c>
    </row>
    <row r="47" spans="2:24" x14ac:dyDescent="0.25">
      <c r="B47" s="95">
        <v>17</v>
      </c>
      <c r="C47" s="77">
        <f>IF($X20&gt;0,(C20/$X20)*County_Flow!$BS23,0)</f>
        <v>902.57449344457689</v>
      </c>
      <c r="D47" s="77">
        <f>IF($X20&gt;0,(D20/$X20)*County_Flow!$BS23,0)</f>
        <v>969.79921151554038</v>
      </c>
      <c r="E47" s="77">
        <f>IF($X20&gt;0,(E20/$X20)*County_Flow!$BS23,0)</f>
        <v>403.34830842578162</v>
      </c>
      <c r="F47" s="77">
        <f>IF($X20&gt;0,(F20/$X20)*County_Flow!$BS23,0)</f>
        <v>434.2055560649124</v>
      </c>
      <c r="G47" s="77">
        <f>IF($X20&gt;0,(G20/$X20)*County_Flow!$BS23,0)</f>
        <v>386.81764004767587</v>
      </c>
      <c r="H47" s="77">
        <f>IF($X20&gt;0,(H20/$X20)*County_Flow!$BS23,0)</f>
        <v>1628.8218575226917</v>
      </c>
      <c r="I47" s="77">
        <f>IF($X20&gt;0,(I20/$X20)*County_Flow!$BS23,0)</f>
        <v>523.47116530668382</v>
      </c>
      <c r="J47" s="77">
        <f>IF($X20&gt;0,(J20/$X20)*County_Flow!$BS23,0)</f>
        <v>296.44998624736405</v>
      </c>
      <c r="K47" s="77">
        <f>IF($X20&gt;0,(K20/$X20)*County_Flow!$BS23,0)</f>
        <v>610.53268543137438</v>
      </c>
      <c r="L47" s="77">
        <f>IF($X20&gt;0,(L20/$X20)*County_Flow!$BS23,0)</f>
        <v>126.73512423214449</v>
      </c>
      <c r="M47" s="77">
        <f>IF($X20&gt;0,(M20/$X20)*County_Flow!$BS23,0)</f>
        <v>3975.0747226551757</v>
      </c>
      <c r="N47" s="77">
        <f>IF($X20&gt;0,(N20/$X20)*County_Flow!$BS23,0)</f>
        <v>657.92060144861102</v>
      </c>
      <c r="O47" s="77">
        <f>IF($X20&gt;0,(O20/$X20)*County_Flow!$BS23,0)</f>
        <v>171.91895113230035</v>
      </c>
      <c r="P47" s="77">
        <f>IF($X20&gt;0,(P20/$X20)*County_Flow!$BS23,0)</f>
        <v>1679.5159072155495</v>
      </c>
      <c r="Q47" s="77">
        <f>IF($X20&gt;0,(Q20/$X20)*County_Flow!$BS23,0)</f>
        <v>165.30668378105804</v>
      </c>
      <c r="R47" s="77">
        <f>IF($X20&gt;0,(R20/$X20)*County_Flow!$BS23,0)</f>
        <v>11.020445585403868</v>
      </c>
      <c r="S47" s="77">
        <f>IF($X20&gt;0,(S20/$X20)*County_Flow!$BS23,0)</f>
        <v>7780.4345832951312</v>
      </c>
      <c r="T47" s="77">
        <f>IF($X20&gt;0,(T20/$X20)*County_Flow!$BS23,0)</f>
        <v>0</v>
      </c>
      <c r="U47" s="77">
        <f>IF($X20&gt;0,(U20/$X20)*County_Flow!$BS23,0)</f>
        <v>3310.5418538553226</v>
      </c>
      <c r="V47" s="77">
        <f>IF($X20&gt;0,(V20/$X20)*County_Flow!$BS23,0)</f>
        <v>5.510222792701934</v>
      </c>
      <c r="W47" s="77">
        <f>IF($X20&gt;0,(W20/$X20)*County_Flow!$BS23,0)</f>
        <v>0</v>
      </c>
      <c r="X47" s="77">
        <f>IF($X20&gt;0,(X20/$X20)*County_Flow!$BS23,0)</f>
        <v>24040</v>
      </c>
    </row>
    <row r="48" spans="2:24" x14ac:dyDescent="0.25">
      <c r="B48" s="95">
        <v>18</v>
      </c>
      <c r="C48" s="77">
        <f>IF($X21&gt;0,(C21/$X21)*County_Flow!$BS24,0)</f>
        <v>1120.3963280077678</v>
      </c>
      <c r="D48" s="77">
        <f>IF($X21&gt;0,(D21/$X21)*County_Flow!$BS24,0)</f>
        <v>924.26824962485648</v>
      </c>
      <c r="E48" s="77">
        <f>IF($X21&gt;0,(E21/$X21)*County_Flow!$BS24,0)</f>
        <v>360.54682672786652</v>
      </c>
      <c r="F48" s="77">
        <f>IF($X21&gt;0,(F21/$X21)*County_Flow!$BS24,0)</f>
        <v>433.36084385206107</v>
      </c>
      <c r="G48" s="77">
        <f>IF($X21&gt;0,(G21/$X21)*County_Flow!$BS24,0)</f>
        <v>838.53561655927263</v>
      </c>
      <c r="H48" s="77">
        <f>IF($X21&gt;0,(H21/$X21)*County_Flow!$BS24,0)</f>
        <v>3069.9329155265245</v>
      </c>
      <c r="I48" s="77">
        <f>IF($X21&gt;0,(I21/$X21)*County_Flow!$BS24,0)</f>
        <v>2889.0722923470739</v>
      </c>
      <c r="J48" s="77">
        <f>IF($X21&gt;0,(J21/$X21)*County_Flow!$BS24,0)</f>
        <v>92.779150851796274</v>
      </c>
      <c r="K48" s="77">
        <f>IF($X21&gt;0,(K21/$X21)*County_Flow!$BS24,0)</f>
        <v>520.26789654868037</v>
      </c>
      <c r="L48" s="77">
        <f>IF($X21&gt;0,(L21/$X21)*County_Flow!$BS24,0)</f>
        <v>315.91888074852153</v>
      </c>
      <c r="M48" s="77">
        <f>IF($X21&gt;0,(M21/$X21)*County_Flow!$BS24,0)</f>
        <v>151.50013240356606</v>
      </c>
      <c r="N48" s="77">
        <f>IF($X21&gt;0,(N21/$X21)*County_Flow!$BS24,0)</f>
        <v>17664.445670403387</v>
      </c>
      <c r="O48" s="77">
        <f>IF($X21&gt;0,(O21/$X21)*County_Flow!$BS24,0)</f>
        <v>6469.8777473739956</v>
      </c>
      <c r="P48" s="77">
        <f>IF($X21&gt;0,(P21/$X21)*County_Flow!$BS24,0)</f>
        <v>10.569776679318563</v>
      </c>
      <c r="Q48" s="77">
        <f>IF($X21&gt;0,(Q21/$X21)*County_Flow!$BS24,0)</f>
        <v>189.08156059669875</v>
      </c>
      <c r="R48" s="77">
        <f>IF($X21&gt;0,(R21/$X21)*County_Flow!$BS24,0)</f>
        <v>243.10486362432695</v>
      </c>
      <c r="S48" s="77">
        <f>IF($X21&gt;0,(S21/$X21)*County_Flow!$BS24,0)</f>
        <v>18.790714096566333</v>
      </c>
      <c r="T48" s="77">
        <f>IF($X21&gt;0,(T21/$X21)*County_Flow!$BS24,0)</f>
        <v>13491.732721334629</v>
      </c>
      <c r="U48" s="77">
        <f>IF($X21&gt;0,(U21/$X21)*County_Flow!$BS24,0)</f>
        <v>70.465177862123753</v>
      </c>
      <c r="V48" s="77">
        <f>IF($X21&gt;0,(V21/$X21)*County_Flow!$BS24,0)</f>
        <v>4345.3526348309642</v>
      </c>
      <c r="W48" s="77">
        <f>IF($X21&gt;0,(W21/$X21)*County_Flow!$BS24,0)</f>
        <v>0</v>
      </c>
      <c r="X48" s="77">
        <f>IF($X21&gt;0,(X21/$X21)*County_Flow!$BS24,0)</f>
        <v>53220</v>
      </c>
    </row>
    <row r="49" spans="2:24" x14ac:dyDescent="0.25">
      <c r="B49" s="95">
        <v>19</v>
      </c>
      <c r="C49" s="77">
        <f>IF($X22&gt;0,(C22/$X22)*County_Flow!$BS25,0)</f>
        <v>1183.214720382862</v>
      </c>
      <c r="D49" s="77">
        <f>IF($X22&gt;0,(D22/$X22)*County_Flow!$BS25,0)</f>
        <v>998.42812055201432</v>
      </c>
      <c r="E49" s="77">
        <f>IF($X22&gt;0,(E22/$X22)*County_Flow!$BS25,0)</f>
        <v>474.05986344039439</v>
      </c>
      <c r="F49" s="77">
        <f>IF($X22&gt;0,(F22/$X22)*County_Flow!$BS25,0)</f>
        <v>346.35394104420652</v>
      </c>
      <c r="G49" s="77">
        <f>IF($X22&gt;0,(G22/$X22)*County_Flow!$BS25,0)</f>
        <v>344.41900282608248</v>
      </c>
      <c r="H49" s="77">
        <f>IF($X22&gt;0,(H22/$X22)*County_Flow!$BS25,0)</f>
        <v>1640.8276089692019</v>
      </c>
      <c r="I49" s="77">
        <f>IF($X22&gt;0,(I22/$X22)*County_Flow!$BS25,0)</f>
        <v>701.41510406997133</v>
      </c>
      <c r="J49" s="77">
        <f>IF($X22&gt;0,(J22/$X22)*County_Flow!$BS25,0)</f>
        <v>182.85166161272357</v>
      </c>
      <c r="K49" s="77">
        <f>IF($X22&gt;0,(K22/$X22)*County_Flow!$BS25,0)</f>
        <v>916.19324628174184</v>
      </c>
      <c r="L49" s="77">
        <f>IF($X22&gt;0,(L22/$X22)*County_Flow!$BS25,0)</f>
        <v>148.99024279555255</v>
      </c>
      <c r="M49" s="77">
        <f>IF($X22&gt;0,(M22/$X22)*County_Flow!$BS25,0)</f>
        <v>8345.3885347690666</v>
      </c>
      <c r="N49" s="77">
        <f>IF($X22&gt;0,(N22/$X22)*County_Flow!$BS25,0)</f>
        <v>1430.8868123027414</v>
      </c>
      <c r="O49" s="77">
        <f>IF($X22&gt;0,(O22/$X22)*County_Flow!$BS25,0)</f>
        <v>267.98894321018219</v>
      </c>
      <c r="P49" s="77">
        <f>IF($X22&gt;0,(P22/$X22)*County_Flow!$BS25,0)</f>
        <v>413.10930956948658</v>
      </c>
      <c r="Q49" s="77">
        <f>IF($X22&gt;0,(Q22/$X22)*County_Flow!$BS25,0)</f>
        <v>1904.9466757431358</v>
      </c>
      <c r="R49" s="77">
        <f>IF($X22&gt;0,(R22/$X22)*County_Flow!$BS25,0)</f>
        <v>40.633702580605238</v>
      </c>
      <c r="S49" s="77">
        <f>IF($X22&gt;0,(S22/$X22)*County_Flow!$BS25,0)</f>
        <v>3595.1152092745015</v>
      </c>
      <c r="T49" s="77">
        <f>IF($X22&gt;0,(T22/$X22)*County_Flow!$BS25,0)</f>
        <v>11.609629308744353</v>
      </c>
      <c r="U49" s="77">
        <f>IF($X22&gt;0,(U22/$X22)*County_Flow!$BS25,0)</f>
        <v>23942.925511067104</v>
      </c>
      <c r="V49" s="77">
        <f>IF($X22&gt;0,(V22/$X22)*County_Flow!$BS25,0)</f>
        <v>10.642160199682323</v>
      </c>
      <c r="W49" s="77">
        <f>IF($X22&gt;0,(W22/$X22)*County_Flow!$BS25,0)</f>
        <v>0</v>
      </c>
      <c r="X49" s="77">
        <f>IF($X22&gt;0,(X22/$X22)*County_Flow!$BS25,0)</f>
        <v>46900</v>
      </c>
    </row>
    <row r="50" spans="2:24" x14ac:dyDescent="0.25">
      <c r="B50" s="95">
        <v>20</v>
      </c>
      <c r="C50" s="58">
        <f>IF($X23&gt;0,(C23/$X23)*County_Flow!$BS26,0)</f>
        <v>288.31003947508799</v>
      </c>
      <c r="D50" s="58">
        <f>IF($X23&gt;0,(D23/$X23)*County_Flow!$BS26,0)</f>
        <v>293.88509548703723</v>
      </c>
      <c r="E50" s="58">
        <f>IF($X23&gt;0,(E23/$X23)*County_Flow!$BS26,0)</f>
        <v>39.821828656780113</v>
      </c>
      <c r="F50" s="58">
        <f>IF($X23&gt;0,(F23/$X23)*County_Flow!$BS26,0)</f>
        <v>39.821828656780113</v>
      </c>
      <c r="G50" s="58">
        <f>IF($X23&gt;0,(G23/$X23)*County_Flow!$BS26,0)</f>
        <v>95.572388776272263</v>
      </c>
      <c r="H50" s="58">
        <f>IF($X23&gt;0,(H23/$X23)*County_Flow!$BS26,0)</f>
        <v>414.94345460364877</v>
      </c>
      <c r="I50" s="58">
        <f>IF($X23&gt;0,(I23/$X23)*County_Flow!$BS26,0)</f>
        <v>307.42451723034247</v>
      </c>
      <c r="J50" s="58">
        <f>IF($X23&gt;0,(J23/$X23)*County_Flow!$BS26,0)</f>
        <v>3.1857462925424089</v>
      </c>
      <c r="K50" s="58">
        <f>IF($X23&gt;0,(K23/$X23)*County_Flow!$BS26,0)</f>
        <v>113.89042995839112</v>
      </c>
      <c r="L50" s="58">
        <f>IF($X23&gt;0,(L23/$X23)*County_Flow!$BS26,0)</f>
        <v>136.98709057932359</v>
      </c>
      <c r="M50" s="58">
        <f>IF($X23&gt;0,(M23/$X23)*County_Flow!$BS26,0)</f>
        <v>54.157686973220954</v>
      </c>
      <c r="N50" s="58">
        <f>IF($X23&gt;0,(N23/$X23)*County_Flow!$BS26,0)</f>
        <v>4578.7138589565775</v>
      </c>
      <c r="O50" s="58">
        <f>IF($X23&gt;0,(O23/$X23)*County_Flow!$BS26,0)</f>
        <v>443.6151712365305</v>
      </c>
      <c r="P50" s="58">
        <f>IF($X23&gt;0,(P23/$X23)*County_Flow!$BS26,0)</f>
        <v>7.9643657313560228</v>
      </c>
      <c r="Q50" s="58">
        <f>IF($X23&gt;0,(Q23/$X23)*County_Flow!$BS26,0)</f>
        <v>3.9821828656780114</v>
      </c>
      <c r="R50" s="58">
        <f>IF($X23&gt;0,(R23/$X23)*County_Flow!$BS26,0)</f>
        <v>69.28998186279739</v>
      </c>
      <c r="S50" s="58">
        <f>IF($X23&gt;0,(S23/$X23)*County_Flow!$BS26,0)</f>
        <v>15.928731462712046</v>
      </c>
      <c r="T50" s="58">
        <f>IF($X23&gt;0,(T23/$X23)*County_Flow!$BS26,0)</f>
        <v>3403.1734770084286</v>
      </c>
      <c r="U50" s="58">
        <f>IF($X23&gt;0,(U23/$X23)*County_Flow!$BS26,0)</f>
        <v>8.7608023044916248</v>
      </c>
      <c r="V50" s="58">
        <f>IF($X23&gt;0,(V23/$X23)*County_Flow!$BS26,0)</f>
        <v>19540.571321882002</v>
      </c>
      <c r="W50" s="58">
        <f>IF($X23&gt;0,(W23/$X23)*County_Flow!$BS26,0)</f>
        <v>0</v>
      </c>
      <c r="X50" s="77">
        <f>IF($X23&gt;0,(X23/$X23)*County_Flow!$BS26,0)</f>
        <v>29860</v>
      </c>
    </row>
    <row r="51" spans="2:24" x14ac:dyDescent="0.25">
      <c r="B51" s="101" t="s">
        <v>15</v>
      </c>
      <c r="C51" s="60">
        <f>IF($X24&gt;0,(C24/$X24)*County_Flow!$BS27,0)</f>
        <v>0</v>
      </c>
      <c r="D51" s="60">
        <f>IF($X24&gt;0,(D24/$X24)*County_Flow!$BS27,0)</f>
        <v>0</v>
      </c>
      <c r="E51" s="60">
        <f>IF($X24&gt;0,(E24/$X24)*County_Flow!$BS27,0)</f>
        <v>0</v>
      </c>
      <c r="F51" s="60">
        <f>IF($X24&gt;0,(F24/$X24)*County_Flow!$BS27,0)</f>
        <v>0</v>
      </c>
      <c r="G51" s="60">
        <f>IF($X24&gt;0,(G24/$X24)*County_Flow!$BS27,0)</f>
        <v>0</v>
      </c>
      <c r="H51" s="60">
        <f>IF($X24&gt;0,(H24/$X24)*County_Flow!$BS27,0)</f>
        <v>0</v>
      </c>
      <c r="I51" s="60">
        <f>IF($X24&gt;0,(I24/$X24)*County_Flow!$BS27,0)</f>
        <v>0</v>
      </c>
      <c r="J51" s="60">
        <f>IF($X24&gt;0,(J24/$X24)*County_Flow!$BS27,0)</f>
        <v>0</v>
      </c>
      <c r="K51" s="60">
        <f>IF($X24&gt;0,(K24/$X24)*County_Flow!$BS27,0)</f>
        <v>0</v>
      </c>
      <c r="L51" s="60">
        <f>IF($X24&gt;0,(L24/$X24)*County_Flow!$BS27,0)</f>
        <v>0</v>
      </c>
      <c r="M51" s="60">
        <f>IF($X24&gt;0,(M24/$X24)*County_Flow!$BS27,0)</f>
        <v>0</v>
      </c>
      <c r="N51" s="60">
        <f>IF($X24&gt;0,(N24/$X24)*County_Flow!$BS27,0)</f>
        <v>0</v>
      </c>
      <c r="O51" s="60">
        <f>IF($X24&gt;0,(O24/$X24)*County_Flow!$BS27,0)</f>
        <v>0</v>
      </c>
      <c r="P51" s="60">
        <f>IF($X24&gt;0,(P24/$X24)*County_Flow!$BS27,0)</f>
        <v>0</v>
      </c>
      <c r="Q51" s="60">
        <f>IF($X24&gt;0,(Q24/$X24)*County_Flow!$BS27,0)</f>
        <v>0</v>
      </c>
      <c r="R51" s="60">
        <f>IF($X24&gt;0,(R24/$X24)*County_Flow!$BS27,0)</f>
        <v>0</v>
      </c>
      <c r="S51" s="60">
        <f>IF($X24&gt;0,(S24/$X24)*County_Flow!$BS27,0)</f>
        <v>0</v>
      </c>
      <c r="T51" s="60">
        <f>IF($X24&gt;0,(T24/$X24)*County_Flow!$BS27,0)</f>
        <v>0</v>
      </c>
      <c r="U51" s="60">
        <f>IF($X24&gt;0,(U24/$X24)*County_Flow!$BS27,0)</f>
        <v>0</v>
      </c>
      <c r="V51" s="60">
        <f>IF($X24&gt;0,(V24/$X24)*County_Flow!$BS27,0)</f>
        <v>0</v>
      </c>
      <c r="W51" s="60">
        <f>IF($X24&gt;0,(W24/$X24)*County_Flow!$BS27,0)</f>
        <v>0</v>
      </c>
      <c r="X51" s="77">
        <f>IF($X24&gt;0,(X24/$X24)*County_Flow!$BS27,0)</f>
        <v>0</v>
      </c>
    </row>
    <row ht="15.75" r="52" spans="2:24" thickBot="1" x14ac:dyDescent="0.3">
      <c r="B52" s="1" t="s">
        <v>3</v>
      </c>
      <c r="C52" s="107">
        <f>IF($X25&gt;0,(C25/$X25)*County_Flow!$BS28,0)</f>
        <v>46363.04002708225</v>
      </c>
      <c r="D52" s="107">
        <f>IF($X25&gt;0,(D25/$X25)*County_Flow!$BS28,0)</f>
        <v>38447.376639123453</v>
      </c>
      <c r="E52" s="107">
        <f>IF($X25&gt;0,(E25/$X25)*County_Flow!$BS28,0)</f>
        <v>24557.298324064373</v>
      </c>
      <c r="F52" s="107">
        <f>IF($X25&gt;0,(F25/$X25)*County_Flow!$BS28,0)</f>
        <v>17144.172990099709</v>
      </c>
      <c r="G52" s="107">
        <f>IF($X25&gt;0,(G25/$X25)*County_Flow!$BS28,0)</f>
        <v>22185.171714534474</v>
      </c>
      <c r="H52" s="107">
        <f>IF($X25&gt;0,(H25/$X25)*County_Flow!$BS28,0)</f>
        <v>97801.990014525742</v>
      </c>
      <c r="I52" s="107">
        <f>IF($X25&gt;0,(I25/$X25)*County_Flow!$BS28,0)</f>
        <v>79356.914127797689</v>
      </c>
      <c r="J52" s="107">
        <f>IF($X25&gt;0,(J25/$X25)*County_Flow!$BS28,0)</f>
        <v>4683.6179145559363</v>
      </c>
      <c r="K52" s="107">
        <f>IF($X25&gt;0,(K25/$X25)*County_Flow!$BS28,0)</f>
        <v>48139.83819239241</v>
      </c>
      <c r="L52" s="107">
        <f>IF($X25&gt;0,(L25/$X25)*County_Flow!$BS28,0)</f>
        <v>18751.008559452071</v>
      </c>
      <c r="M52" s="107">
        <f>IF($X25&gt;0,(M25/$X25)*County_Flow!$BS28,0)</f>
        <v>53248.821955210289</v>
      </c>
      <c r="N52" s="107">
        <f>IF($X25&gt;0,(N25/$X25)*County_Flow!$BS28,0)</f>
        <v>136174.95059812171</v>
      </c>
      <c r="O52" s="107">
        <f>IF($X25&gt;0,(O25/$X25)*County_Flow!$BS28,0)</f>
        <v>92654.42014884176</v>
      </c>
      <c r="P52" s="107">
        <f>IF($X25&gt;0,(P25/$X25)*County_Flow!$BS28,0)</f>
        <v>14091.277280003716</v>
      </c>
      <c r="Q52" s="107">
        <f>IF($X25&gt;0,(Q25/$X25)*County_Flow!$BS28,0)</f>
        <v>34899.292608912583</v>
      </c>
      <c r="R52" s="107">
        <f>IF($X25&gt;0,(R25/$X25)*County_Flow!$BS28,0)</f>
        <v>4651.462828834191</v>
      </c>
      <c r="S52" s="107">
        <f>IF($X25&gt;0,(S25/$X25)*County_Flow!$BS28,0)</f>
        <v>14043.504009788552</v>
      </c>
      <c r="T52" s="107">
        <f>IF($X25&gt;0,(T25/$X25)*County_Flow!$BS28,0)</f>
        <v>21739.594098104575</v>
      </c>
      <c r="U52" s="107">
        <f>IF($X25&gt;0,(U25/$X25)*County_Flow!$BS28,0)</f>
        <v>33776.620758856217</v>
      </c>
      <c r="V52" s="107">
        <f>IF($X25&gt;0,(V25/$X25)*County_Flow!$BS28,0)</f>
        <v>27729.627209698276</v>
      </c>
      <c r="W52" s="107">
        <f>IF($X25&gt;0,(W25/$X25)*County_Flow!$BS28,0)</f>
        <v>0</v>
      </c>
      <c r="X52" s="107">
        <f>IF($X25&gt;0,(X25/$X25)*County_Flow!$BS28,0)</f>
        <v>830440</v>
      </c>
    </row>
    <row r="53" spans="2:24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</row>
    <row r="54" spans="2:24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</row>
    <row r="55" spans="2:24" x14ac:dyDescent="0.25"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</row>
    <row ht="15.75" r="56" spans="2:24" thickBot="1" x14ac:dyDescent="0.3">
      <c r="B56" s="4" t="s">
        <v>355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7"/>
      <c r="Q56" s="7"/>
      <c r="R56" s="7"/>
      <c r="S56" s="7"/>
      <c r="T56" s="7"/>
      <c r="U56" s="7"/>
      <c r="V56" s="7"/>
      <c r="W56" s="7"/>
      <c r="X56" s="7"/>
    </row>
    <row r="57" spans="2:24" x14ac:dyDescent="0.25">
      <c r="B57" s="2" t="s">
        <v>14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2">
        <v>6</v>
      </c>
      <c r="I57" s="2">
        <v>7</v>
      </c>
      <c r="J57" s="2">
        <v>8</v>
      </c>
      <c r="K57" s="2">
        <v>9</v>
      </c>
      <c r="L57" s="2">
        <v>10</v>
      </c>
      <c r="M57" s="2">
        <v>11</v>
      </c>
      <c r="N57" s="2">
        <v>12</v>
      </c>
      <c r="O57" s="2">
        <v>13</v>
      </c>
      <c r="P57" s="2">
        <v>14</v>
      </c>
      <c r="Q57" s="2">
        <v>15</v>
      </c>
      <c r="R57" s="2">
        <v>16</v>
      </c>
      <c r="S57" s="2">
        <v>17</v>
      </c>
      <c r="T57" s="2">
        <v>18</v>
      </c>
      <c r="U57" s="2">
        <v>19</v>
      </c>
      <c r="V57" s="2">
        <v>20</v>
      </c>
      <c r="W57" s="3" t="s">
        <v>15</v>
      </c>
      <c r="X57" s="3" t="s">
        <v>3</v>
      </c>
    </row>
    <row r="58" spans="2:24" x14ac:dyDescent="0.25">
      <c r="B58" s="31">
        <v>1</v>
      </c>
      <c r="C58" s="103">
        <f>IF($X$52&gt;0,C31/$X$52,0)</f>
        <v>5.1057515674343811E-3</v>
      </c>
      <c r="D58" s="103">
        <f ref="D58:X58" si="2" t="shared">IF($X$52&gt;0,D31/$X$52,0)</f>
        <v>6.4561663655650749E-4</v>
      </c>
      <c r="E58" s="103">
        <f si="2" t="shared"/>
        <v>3.5688252965206948E-4</v>
      </c>
      <c r="F58" s="103">
        <f si="2" t="shared"/>
        <v>4.7703895923341952E-4</v>
      </c>
      <c r="G58" s="103">
        <f si="2" t="shared"/>
        <v>6.0616228654472104E-4</v>
      </c>
      <c r="H58" s="103">
        <f si="2" t="shared"/>
        <v>3.3329958862229701E-3</v>
      </c>
      <c r="I58" s="103">
        <f si="2" t="shared"/>
        <v>5.4070393311607509E-4</v>
      </c>
      <c r="J58" s="103">
        <f si="2" t="shared"/>
        <v>5.2904696606713814E-5</v>
      </c>
      <c r="K58" s="103">
        <f si="2" t="shared"/>
        <v>4.277210217186863E-4</v>
      </c>
      <c r="L58" s="103">
        <f si="2" t="shared"/>
        <v>1.8740816255598624E-4</v>
      </c>
      <c r="M58" s="103">
        <f si="2" t="shared"/>
        <v>4.2054750353472505E-4</v>
      </c>
      <c r="N58" s="103">
        <f si="2" t="shared"/>
        <v>1.4750546765770209E-3</v>
      </c>
      <c r="O58" s="103">
        <f si="2" t="shared"/>
        <v>1.8651147278299105E-4</v>
      </c>
      <c r="P58" s="103">
        <f si="2" t="shared"/>
        <v>4.1247729557776868E-5</v>
      </c>
      <c r="Q58" s="103">
        <f si="2" t="shared"/>
        <v>4.2144419330772025E-5</v>
      </c>
      <c r="R58" s="103">
        <f si="2" t="shared"/>
        <v>1.1656967048936941E-5</v>
      </c>
      <c r="S58" s="103">
        <f si="2" t="shared"/>
        <v>1.8830485232898137E-5</v>
      </c>
      <c r="T58" s="103">
        <f si="2" t="shared"/>
        <v>3.5867590919805974E-5</v>
      </c>
      <c r="U58" s="103">
        <f si="2" t="shared"/>
        <v>1.3450346594927239E-4</v>
      </c>
      <c r="V58" s="103">
        <f si="2" t="shared"/>
        <v>1.3450346594927239E-5</v>
      </c>
      <c r="W58" s="103">
        <f si="2" t="shared"/>
        <v>0</v>
      </c>
      <c r="X58" s="103">
        <f si="2" t="shared"/>
        <v>1.4113000337170657E-2</v>
      </c>
    </row>
    <row r="59" spans="2:24" x14ac:dyDescent="0.25">
      <c r="B59" s="95">
        <v>2</v>
      </c>
      <c r="C59" s="104">
        <f ref="C59:X59" si="3" t="shared">IF($X$52&gt;0,C32/$X$52,0)</f>
        <v>1.5281627788822747E-3</v>
      </c>
      <c r="D59" s="104">
        <f si="3" t="shared"/>
        <v>5.5455525582791447E-3</v>
      </c>
      <c r="E59" s="104">
        <f si="3" t="shared"/>
        <v>5.0261538796763825E-4</v>
      </c>
      <c r="F59" s="104">
        <f si="3" t="shared"/>
        <v>3.8954900895207112E-4</v>
      </c>
      <c r="G59" s="104">
        <f si="3" t="shared"/>
        <v>4.6021549583680064E-4</v>
      </c>
      <c r="H59" s="104">
        <f si="3" t="shared"/>
        <v>2.7816095900001633E-3</v>
      </c>
      <c r="I59" s="104">
        <f si="3" t="shared"/>
        <v>1.5873459616482356E-3</v>
      </c>
      <c r="J59" s="104">
        <f si="3" t="shared"/>
        <v>9.5399757294384793E-5</v>
      </c>
      <c r="K59" s="104">
        <f si="3" t="shared"/>
        <v>1.2154635744173468E-3</v>
      </c>
      <c r="L59" s="104">
        <f si="3" t="shared"/>
        <v>3.1711585989522347E-4</v>
      </c>
      <c r="M59" s="104">
        <f si="3" t="shared"/>
        <v>6.0861511829473248E-4</v>
      </c>
      <c r="N59" s="104">
        <f si="3" t="shared"/>
        <v>1.7701954964624729E-3</v>
      </c>
      <c r="O59" s="104">
        <f si="3" t="shared"/>
        <v>2.4291604866625755E-4</v>
      </c>
      <c r="P59" s="104">
        <f si="3" t="shared"/>
        <v>3.6216574528423846E-5</v>
      </c>
      <c r="Q59" s="104">
        <f si="3" t="shared"/>
        <v>1.5104961571610925E-4</v>
      </c>
      <c r="R59" s="104">
        <f si="3" t="shared"/>
        <v>1.9433283893300603E-5</v>
      </c>
      <c r="S59" s="104">
        <f si="3" t="shared"/>
        <v>2.1199946065418837E-5</v>
      </c>
      <c r="T59" s="104">
        <f si="3" t="shared"/>
        <v>3.7099905614482966E-5</v>
      </c>
      <c r="U59" s="104">
        <f si="3" t="shared"/>
        <v>6.8899824712611237E-5</v>
      </c>
      <c r="V59" s="104">
        <f si="3" t="shared"/>
        <v>9.7166419466503017E-6</v>
      </c>
      <c r="W59" s="104">
        <f si="3" t="shared"/>
        <v>0</v>
      </c>
      <c r="X59" s="104">
        <f si="3" t="shared"/>
        <v>1.7388372429073744E-2</v>
      </c>
    </row>
    <row r="60" spans="2:24" x14ac:dyDescent="0.25">
      <c r="B60" s="95">
        <v>3</v>
      </c>
      <c r="C60" s="104">
        <f ref="C60:X60" si="4" t="shared">IF($X$52&gt;0,C33/$X$52,0)</f>
        <v>5.026264535395346E-3</v>
      </c>
      <c r="D60" s="104">
        <f si="4" t="shared"/>
        <v>3.0409472906628788E-3</v>
      </c>
      <c r="E60" s="104">
        <f si="4" t="shared"/>
        <v>9.1903930354483923E-3</v>
      </c>
      <c r="F60" s="104">
        <f si="4" t="shared"/>
        <v>1.9818824398107845E-3</v>
      </c>
      <c r="G60" s="104">
        <f si="4" t="shared"/>
        <v>2.052868408192222E-3</v>
      </c>
      <c r="H60" s="104">
        <f si="4" t="shared"/>
        <v>7.3493375974265874E-3</v>
      </c>
      <c r="I60" s="104">
        <f si="4" t="shared"/>
        <v>1.6338222077469607E-3</v>
      </c>
      <c r="J60" s="104">
        <f si="4" t="shared"/>
        <v>7.4191786308341326E-4</v>
      </c>
      <c r="K60" s="104">
        <f si="4" t="shared"/>
        <v>2.7615831570327047E-3</v>
      </c>
      <c r="L60" s="104">
        <f si="4" t="shared"/>
        <v>1.5387926049137458E-3</v>
      </c>
      <c r="M60" s="104">
        <f si="4" t="shared"/>
        <v>3.1680350727651299E-3</v>
      </c>
      <c r="N60" s="104">
        <f si="4" t="shared"/>
        <v>3.629443867244475E-3</v>
      </c>
      <c r="O60" s="104">
        <f si="4" t="shared"/>
        <v>3.9156776107180134E-4</v>
      </c>
      <c r="P60" s="104">
        <f si="4" t="shared"/>
        <v>1.2021817225888637E-4</v>
      </c>
      <c r="Q60" s="104">
        <f si="4" t="shared"/>
        <v>2.1868258001378385E-4</v>
      </c>
      <c r="R60" s="104">
        <f si="4" t="shared"/>
        <v>1.3510232691951043E-4</v>
      </c>
      <c r="S60" s="104">
        <f si="4" t="shared"/>
        <v>1.6487063624075847E-4</v>
      </c>
      <c r="T60" s="104">
        <f si="4" t="shared"/>
        <v>4.2362594034083776E-5</v>
      </c>
      <c r="U60" s="104">
        <f si="4" t="shared"/>
        <v>2.3013192975272539E-4</v>
      </c>
      <c r="V60" s="104">
        <f si="4" t="shared"/>
        <v>2.8623374347353907E-5</v>
      </c>
      <c r="W60" s="104">
        <f si="4" t="shared"/>
        <v>0</v>
      </c>
      <c r="X60" s="104">
        <f si="4" t="shared"/>
        <v>4.3446847454361545E-2</v>
      </c>
    </row>
    <row r="61" spans="2:24" x14ac:dyDescent="0.25">
      <c r="B61" s="95">
        <v>4</v>
      </c>
      <c r="C61" s="104">
        <f ref="C61:X61" si="5" t="shared">IF($X$52&gt;0,C34/$X$52,0)</f>
        <v>1.5413256571385086E-3</v>
      </c>
      <c r="D61" s="104">
        <f si="5" t="shared"/>
        <v>9.2016299476711512E-4</v>
      </c>
      <c r="E61" s="104">
        <f si="5" t="shared"/>
        <v>1.1802090585056476E-3</v>
      </c>
      <c r="F61" s="104">
        <f si="5" t="shared"/>
        <v>3.4279756418326398E-3</v>
      </c>
      <c r="G61" s="104">
        <f si="5" t="shared"/>
        <v>1.4076177620178866E-3</v>
      </c>
      <c r="H61" s="104">
        <f si="5" t="shared"/>
        <v>2.5973021831698778E-3</v>
      </c>
      <c r="I61" s="104">
        <f si="5" t="shared"/>
        <v>6.3379647923318455E-4</v>
      </c>
      <c r="J61" s="104">
        <f si="5" t="shared"/>
        <v>5.4325412505701538E-4</v>
      </c>
      <c r="K61" s="104">
        <f si="5" t="shared"/>
        <v>3.8217296006917939E-4</v>
      </c>
      <c r="L61" s="104">
        <f si="5" t="shared"/>
        <v>7.5171210327656772E-4</v>
      </c>
      <c r="M61" s="104">
        <f si="5" t="shared"/>
        <v>6.5906411295676677E-4</v>
      </c>
      <c r="N61" s="104">
        <f si="5" t="shared"/>
        <v>1.2696985946100011E-3</v>
      </c>
      <c r="O61" s="104">
        <f si="5" t="shared"/>
        <v>1.242325324742787E-4</v>
      </c>
      <c r="P61" s="104">
        <f si="5" t="shared"/>
        <v>2.9478906010845792E-5</v>
      </c>
      <c r="Q61" s="104">
        <f si="5" t="shared"/>
        <v>6.5274720452587114E-5</v>
      </c>
      <c r="R61" s="104">
        <f si="5" t="shared"/>
        <v>2.5267633723582112E-5</v>
      </c>
      <c r="S61" s="104">
        <f si="5" t="shared"/>
        <v>2.4214815651766186E-5</v>
      </c>
      <c r="T61" s="104">
        <f si="5" t="shared"/>
        <v>3.0531724082661718E-5</v>
      </c>
      <c r="U61" s="104">
        <f si="5" t="shared"/>
        <v>3.6848632513557247E-5</v>
      </c>
      <c r="V61" s="104">
        <f si="5" t="shared"/>
        <v>4.2112722872636854E-6</v>
      </c>
      <c r="W61" s="104">
        <f si="5" t="shared"/>
        <v>0</v>
      </c>
      <c r="X61" s="104">
        <f si="5" t="shared"/>
        <v>1.5654351909830933E-2</v>
      </c>
    </row>
    <row r="62" spans="2:24" x14ac:dyDescent="0.25">
      <c r="B62" s="95">
        <v>5</v>
      </c>
      <c r="C62" s="104">
        <f ref="C62:X62" si="6" t="shared">IF($X$52&gt;0,C35/$X$52,0)</f>
        <v>1.9203863619205376E-3</v>
      </c>
      <c r="D62" s="104">
        <f si="6" t="shared"/>
        <v>6.2361901788040902E-4</v>
      </c>
      <c r="E62" s="104">
        <f si="6" t="shared"/>
        <v>6.7202266006246257E-4</v>
      </c>
      <c r="F62" s="104">
        <f si="6" t="shared"/>
        <v>8.8027088805501781E-4</v>
      </c>
      <c r="G62" s="104">
        <f si="6" t="shared"/>
        <v>3.8058770748261063E-3</v>
      </c>
      <c r="H62" s="104">
        <f si="6" t="shared"/>
        <v>4.533057373654165E-3</v>
      </c>
      <c r="I62" s="104">
        <f si="6" t="shared"/>
        <v>5.3356573009984457E-4</v>
      </c>
      <c r="J62" s="104">
        <f si="6" t="shared"/>
        <v>1.5421625532421667E-4</v>
      </c>
      <c r="K62" s="104">
        <f si="6" t="shared"/>
        <v>4.0523979501254023E-4</v>
      </c>
      <c r="L62" s="104">
        <f si="6" t="shared"/>
        <v>1.0873934499503162E-3</v>
      </c>
      <c r="M62" s="104">
        <f si="6" t="shared"/>
        <v>4.5026643890282245E-4</v>
      </c>
      <c r="N62" s="104">
        <f si="6" t="shared"/>
        <v>1.8731083858357415E-3</v>
      </c>
      <c r="O62" s="104">
        <f si="6" t="shared"/>
        <v>9.6807284364106816E-5</v>
      </c>
      <c r="P62" s="104">
        <f si="6" t="shared"/>
        <v>1.463365926434173E-5</v>
      </c>
      <c r="Q62" s="104">
        <f si="6" t="shared"/>
        <v>2.4764654139655233E-5</v>
      </c>
      <c r="R62" s="104">
        <f si="6" t="shared"/>
        <v>1.3733126386536085E-4</v>
      </c>
      <c r="S62" s="104">
        <f si="6" t="shared"/>
        <v>2.0261989750627008E-5</v>
      </c>
      <c r="T62" s="104">
        <f si="6" t="shared"/>
        <v>1.8010657556112898E-5</v>
      </c>
      <c r="U62" s="104">
        <f si="6" t="shared"/>
        <v>5.6283304862852807E-5</v>
      </c>
      <c r="V62" s="104">
        <f si="6" t="shared"/>
        <v>9.0053287780564488E-6</v>
      </c>
      <c r="W62" s="104">
        <f si="6" t="shared"/>
        <v>0</v>
      </c>
      <c r="X62" s="104">
        <f si="6" t="shared"/>
        <v>1.7316121574105295E-2</v>
      </c>
    </row>
    <row r="63" spans="2:24" x14ac:dyDescent="0.25">
      <c r="B63" s="95">
        <v>6</v>
      </c>
      <c r="C63" s="104">
        <f ref="C63:X63" si="7" t="shared">IF($X$52&gt;0,C36/$X$52,0)</f>
        <v>3.7586736810037184E-3</v>
      </c>
      <c r="D63" s="104">
        <f si="7" t="shared"/>
        <v>1.8198470412341741E-3</v>
      </c>
      <c r="E63" s="104">
        <f si="7" t="shared"/>
        <v>9.4732998530813121E-4</v>
      </c>
      <c r="F63" s="104">
        <f si="7" t="shared"/>
        <v>9.8068032732183332E-4</v>
      </c>
      <c r="G63" s="104">
        <f si="7" t="shared"/>
        <v>1.5972109742778389E-3</v>
      </c>
      <c r="H63" s="104">
        <f si="7" t="shared"/>
        <v>1.7950596248726389E-2</v>
      </c>
      <c r="I63" s="104">
        <f si="7" t="shared"/>
        <v>1.0473810113492375E-3</v>
      </c>
      <c r="J63" s="104">
        <f si="7" t="shared"/>
        <v>8.7431977711597281E-5</v>
      </c>
      <c r="K63" s="104">
        <f si="7" t="shared"/>
        <v>8.833333830656219E-4</v>
      </c>
      <c r="L63" s="104">
        <f si="7" t="shared"/>
        <v>9.2840141281386797E-4</v>
      </c>
      <c r="M63" s="104">
        <f si="7" t="shared"/>
        <v>5.7236397780272442E-4</v>
      </c>
      <c r="N63" s="104">
        <f si="7" t="shared"/>
        <v>5.0971941645266252E-3</v>
      </c>
      <c r="O63" s="104">
        <f si="7" t="shared"/>
        <v>2.6500001491968657E-4</v>
      </c>
      <c r="P63" s="104">
        <f si="7" t="shared"/>
        <v>4.9574832723070623E-5</v>
      </c>
      <c r="Q63" s="104">
        <f si="7" t="shared"/>
        <v>1.3520408924473805E-4</v>
      </c>
      <c r="R63" s="104">
        <f si="7" t="shared"/>
        <v>9.8248304851176311E-5</v>
      </c>
      <c r="S63" s="104">
        <f si="7" t="shared"/>
        <v>7.0306126407263794E-5</v>
      </c>
      <c r="T63" s="104">
        <f si="7" t="shared"/>
        <v>8.6530617116632345E-5</v>
      </c>
      <c r="U63" s="104">
        <f si="7" t="shared"/>
        <v>1.2979592567494852E-4</v>
      </c>
      <c r="V63" s="104">
        <f si="7" t="shared"/>
        <v>2.9744899633842369E-5</v>
      </c>
      <c r="W63" s="104">
        <f si="7" t="shared"/>
        <v>0</v>
      </c>
      <c r="X63" s="104">
        <f si="7" t="shared"/>
        <v>3.6534848995713118E-2</v>
      </c>
    </row>
    <row r="64" spans="2:24" x14ac:dyDescent="0.25">
      <c r="B64" s="95">
        <v>7</v>
      </c>
      <c r="C64" s="104">
        <f ref="C64:X64" si="8" t="shared">IF($X$52&gt;0,C37/$X$52,0)</f>
        <v>5.1292057404918679E-3</v>
      </c>
      <c r="D64" s="104">
        <f si="8" t="shared"/>
        <v>7.0125506676724731E-3</v>
      </c>
      <c r="E64" s="104">
        <f si="8" t="shared"/>
        <v>2.7182530862606682E-3</v>
      </c>
      <c r="F64" s="104">
        <f si="8" t="shared"/>
        <v>1.6562589461588278E-3</v>
      </c>
      <c r="G64" s="104">
        <f si="8" t="shared"/>
        <v>2.774742136266085E-3</v>
      </c>
      <c r="H64" s="104">
        <f si="8" t="shared"/>
        <v>9.607657624921332E-3</v>
      </c>
      <c r="I64" s="104">
        <f si="8" t="shared"/>
        <v>4.373834163819431E-2</v>
      </c>
      <c r="J64" s="104">
        <f si="8" t="shared"/>
        <v>3.0955999402968538E-4</v>
      </c>
      <c r="K64" s="104">
        <f si="8" t="shared"/>
        <v>5.6150115705384546E-3</v>
      </c>
      <c r="L64" s="104">
        <f si="8" t="shared"/>
        <v>1.7658477031693369E-3</v>
      </c>
      <c r="M64" s="104">
        <f si="8" t="shared"/>
        <v>2.3420360132245907E-3</v>
      </c>
      <c r="N64" s="104">
        <f si="8" t="shared"/>
        <v>1.4144858121356428E-2</v>
      </c>
      <c r="O64" s="104">
        <f si="8" t="shared"/>
        <v>1.2234398450173226E-2</v>
      </c>
      <c r="P64" s="104">
        <f si="8" t="shared"/>
        <v>8.3603794008017232E-5</v>
      </c>
      <c r="Q64" s="104">
        <f si="8" t="shared"/>
        <v>1.2416293191190666E-3</v>
      </c>
      <c r="R64" s="104">
        <f si="8" t="shared"/>
        <v>1.107185380106174E-4</v>
      </c>
      <c r="S64" s="104">
        <f si="8" t="shared"/>
        <v>1.2766525301224251E-4</v>
      </c>
      <c r="T64" s="104">
        <f si="8" t="shared"/>
        <v>8.9026742808537263E-4</v>
      </c>
      <c r="U64" s="104">
        <f si="8" t="shared"/>
        <v>2.3951357202296828E-4</v>
      </c>
      <c r="V64" s="104">
        <f si="8" t="shared"/>
        <v>2.9487284102827697E-4</v>
      </c>
      <c r="W64" s="104">
        <f si="8" t="shared"/>
        <v>0</v>
      </c>
      <c r="X64" s="104">
        <f si="8" t="shared"/>
        <v>0.11203699243774384</v>
      </c>
    </row>
    <row r="65" spans="2:24" x14ac:dyDescent="0.25">
      <c r="B65" s="95">
        <v>8</v>
      </c>
      <c r="C65" s="104">
        <f ref="C65:X65" si="9" t="shared">IF($X$52&gt;0,C38/$X$52,0)</f>
        <v>5.4756729035708007E-4</v>
      </c>
      <c r="D65" s="104">
        <f si="9" t="shared"/>
        <v>4.2213337362329955E-4</v>
      </c>
      <c r="E65" s="104">
        <f si="9" t="shared"/>
        <v>6.3078786972853057E-4</v>
      </c>
      <c r="F65" s="104">
        <f si="9" t="shared"/>
        <v>3.0876041042161346E-4</v>
      </c>
      <c r="G65" s="104">
        <f si="9" t="shared"/>
        <v>3.4253108031147739E-4</v>
      </c>
      <c r="H65" s="104">
        <f si="9" t="shared"/>
        <v>9.9623476175098708E-4</v>
      </c>
      <c r="I65" s="104">
        <f si="9" t="shared"/>
        <v>2.0503621004560268E-4</v>
      </c>
      <c r="J65" s="104">
        <f si="9" t="shared"/>
        <v>6.1269643943038913E-4</v>
      </c>
      <c r="K65" s="104">
        <f si="9" t="shared"/>
        <v>2.062423053988121E-4</v>
      </c>
      <c r="L65" s="104">
        <f si="9" t="shared"/>
        <v>2.7016535911891174E-4</v>
      </c>
      <c r="M65" s="104">
        <f si="9" t="shared"/>
        <v>7.7793150282008075E-4</v>
      </c>
      <c r="N65" s="104">
        <f si="9" t="shared"/>
        <v>3.4373717566468684E-4</v>
      </c>
      <c r="O65" s="104">
        <f si="9" t="shared"/>
        <v>3.4976765243073395E-5</v>
      </c>
      <c r="P65" s="104">
        <f si="9" t="shared"/>
        <v>1.5920458662364441E-4</v>
      </c>
      <c r="Q65" s="104">
        <f si="9" t="shared"/>
        <v>1.6885334944931984E-5</v>
      </c>
      <c r="R65" s="104">
        <f si="9" t="shared"/>
        <v>2.774019312381683E-5</v>
      </c>
      <c r="S65" s="104">
        <f si="9" t="shared"/>
        <v>9.4075437550335343E-5</v>
      </c>
      <c r="T65" s="104">
        <f si="9" t="shared"/>
        <v>9.6487628256754207E-6</v>
      </c>
      <c r="U65" s="104">
        <f si="9" t="shared"/>
        <v>3.7388955949492249E-5</v>
      </c>
      <c r="V65" s="104">
        <f si="9" t="shared"/>
        <v>2.5328002417397976E-5</v>
      </c>
      <c r="W65" s="104">
        <f si="9" t="shared"/>
        <v>0</v>
      </c>
      <c r="X65" s="104">
        <f si="9" t="shared"/>
        <v>6.0690718173498385E-3</v>
      </c>
    </row>
    <row r="66" spans="2:24" x14ac:dyDescent="0.25">
      <c r="B66" s="95">
        <v>9</v>
      </c>
      <c r="C66" s="104">
        <f ref="C66:X66" si="10" t="shared">IF($X$52&gt;0,C39/$X$52,0)</f>
        <v>4.8486260935544142E-3</v>
      </c>
      <c r="D66" s="104">
        <f si="10" t="shared"/>
        <v>6.7444959936296444E-3</v>
      </c>
      <c r="E66" s="104">
        <f si="10" t="shared"/>
        <v>2.5903618855975634E-3</v>
      </c>
      <c r="F66" s="104">
        <f si="10" t="shared"/>
        <v>1.5730942625086417E-3</v>
      </c>
      <c r="G66" s="104">
        <f si="10" t="shared"/>
        <v>1.8143020494266336E-3</v>
      </c>
      <c r="H66" s="104">
        <f si="10" t="shared"/>
        <v>8.0449205839701211E-3</v>
      </c>
      <c r="I66" s="104">
        <f si="10" t="shared"/>
        <v>8.1975689901839215E-3</v>
      </c>
      <c r="J66" s="104">
        <f si="10" t="shared"/>
        <v>1.9809335157516228E-4</v>
      </c>
      <c r="K66" s="104">
        <f si="10" t="shared"/>
        <v>2.6772899092887815E-2</v>
      </c>
      <c r="L66" s="104">
        <f si="10" t="shared"/>
        <v>1.2013779145528961E-3</v>
      </c>
      <c r="M66" s="104">
        <f si="10" t="shared"/>
        <v>4.3638800096998985E-3</v>
      </c>
      <c r="N66" s="104">
        <f si="10" t="shared"/>
        <v>6.5766992722953877E-3</v>
      </c>
      <c r="O66" s="104">
        <f si="10" t="shared"/>
        <v>2.78728998216346E-3</v>
      </c>
      <c r="P66" s="104">
        <f si="10" t="shared"/>
        <v>1.9576284155663095E-4</v>
      </c>
      <c r="Q66" s="104">
        <f si="10" t="shared"/>
        <v>6.0290294179405277E-3</v>
      </c>
      <c r="R66" s="104">
        <f si="10" t="shared"/>
        <v>9.2055145731987186E-5</v>
      </c>
      <c r="S66" s="104">
        <f si="10" t="shared"/>
        <v>1.2817805101922265E-4</v>
      </c>
      <c r="T66" s="104">
        <f si="10" t="shared"/>
        <v>2.4819931697358567E-4</v>
      </c>
      <c r="U66" s="104">
        <f si="10" t="shared"/>
        <v>1.0067803280055308E-3</v>
      </c>
      <c r="V66" s="104">
        <f si="10" t="shared"/>
        <v>3.6122905287235479E-5</v>
      </c>
      <c r="W66" s="104">
        <f si="10" t="shared"/>
        <v>0</v>
      </c>
      <c r="X66" s="104">
        <f si="10" t="shared"/>
        <v>8.3449737488560286E-2</v>
      </c>
    </row>
    <row r="67" spans="2:24" x14ac:dyDescent="0.25">
      <c r="B67" s="95">
        <v>10</v>
      </c>
      <c r="C67" s="104">
        <f ref="C67:X67" si="11" t="shared">IF($X$52&gt;0,C40/$X$52,0)</f>
        <v>2.8009037689822641E-3</v>
      </c>
      <c r="D67" s="104">
        <f si="11" t="shared"/>
        <v>1.1428726352570599E-3</v>
      </c>
      <c r="E67" s="104">
        <f si="11" t="shared"/>
        <v>8.1061704906016849E-4</v>
      </c>
      <c r="F67" s="104">
        <f si="11" t="shared"/>
        <v>1.1569420900471564E-3</v>
      </c>
      <c r="G67" s="104">
        <f si="11" t="shared"/>
        <v>2.0292482870331321E-3</v>
      </c>
      <c r="H67" s="104">
        <f si="11" t="shared"/>
        <v>9.0120269259332756E-3</v>
      </c>
      <c r="I67" s="104">
        <f si="11" t="shared"/>
        <v>9.2858401614636125E-4</v>
      </c>
      <c r="J67" s="104">
        <f si="11" t="shared"/>
        <v>9.0910323259084331E-5</v>
      </c>
      <c r="K67" s="104">
        <f si="11" t="shared"/>
        <v>9.3183081340561427E-4</v>
      </c>
      <c r="L67" s="104">
        <f si="11" t="shared"/>
        <v>7.0628663046283843E-3</v>
      </c>
      <c r="M67" s="104">
        <f si="11" t="shared"/>
        <v>1.0075894161215178E-3</v>
      </c>
      <c r="N67" s="104">
        <f si="11" t="shared"/>
        <v>5.9070064803343116E-3</v>
      </c>
      <c r="O67" s="104">
        <f si="11" t="shared"/>
        <v>2.4459206019706019E-4</v>
      </c>
      <c r="P67" s="104">
        <f si="11" t="shared"/>
        <v>5.627781916038553E-5</v>
      </c>
      <c r="Q67" s="104">
        <f si="11" t="shared"/>
        <v>1.0497977804918069E-4</v>
      </c>
      <c r="R67" s="104">
        <f si="11" t="shared"/>
        <v>9.7728597503515639E-4</v>
      </c>
      <c r="S67" s="104">
        <f si="11" t="shared"/>
        <v>9.0910323259084331E-5</v>
      </c>
      <c r="T67" s="104">
        <f si="11" t="shared"/>
        <v>6.7100476691228894E-5</v>
      </c>
      <c r="U67" s="104">
        <f si="11" t="shared"/>
        <v>8.5498994493662632E-5</v>
      </c>
      <c r="V67" s="104">
        <f si="11" t="shared"/>
        <v>5.1948756148048179E-5</v>
      </c>
      <c r="W67" s="104">
        <f si="11" t="shared"/>
        <v>0</v>
      </c>
      <c r="X67" s="104">
        <f si="11" t="shared"/>
        <v>3.4559992293242137E-2</v>
      </c>
    </row>
    <row r="68" spans="2:24" x14ac:dyDescent="0.25">
      <c r="B68" s="95">
        <v>11</v>
      </c>
      <c r="C68" s="104">
        <f ref="C68:X68" si="12" t="shared">IF($X$52&gt;0,C41/$X$52,0)</f>
        <v>4.1204510426657561E-3</v>
      </c>
      <c r="D68" s="104">
        <f si="12" t="shared"/>
        <v>2.9449165592687378E-3</v>
      </c>
      <c r="E68" s="104">
        <f si="12" t="shared"/>
        <v>4.4487899845800961E-3</v>
      </c>
      <c r="F68" s="104">
        <f si="12" t="shared"/>
        <v>2.2902654590321219E-3</v>
      </c>
      <c r="G68" s="104">
        <f si="12" t="shared"/>
        <v>2.1666316599162289E-3</v>
      </c>
      <c r="H68" s="104">
        <f si="12" t="shared"/>
        <v>7.0471265496059197E-3</v>
      </c>
      <c r="I68" s="104">
        <f si="12" t="shared"/>
        <v>2.1392700814233672E-3</v>
      </c>
      <c r="J68" s="104">
        <f si="12" t="shared"/>
        <v>1.3113289840652948E-3</v>
      </c>
      <c r="K68" s="104">
        <f si="12" t="shared"/>
        <v>4.5075667087499461E-3</v>
      </c>
      <c r="L68" s="104">
        <f si="12" t="shared"/>
        <v>8.8975799691601916E-4</v>
      </c>
      <c r="M68" s="104">
        <f si="12" t="shared"/>
        <v>2.7400087381110848E-2</v>
      </c>
      <c r="N68" s="104">
        <f si="12" t="shared"/>
        <v>3.0928717614893968E-3</v>
      </c>
      <c r="O68" s="104">
        <f si="12" t="shared"/>
        <v>7.0025373105805152E-4</v>
      </c>
      <c r="P68" s="104">
        <f si="12" t="shared"/>
        <v>5.8472706631041349E-4</v>
      </c>
      <c r="Q68" s="104">
        <f si="12" t="shared"/>
        <v>8.3706162352235967E-4</v>
      </c>
      <c r="R68" s="104">
        <f si="12" t="shared"/>
        <v>8.4111519070648736E-5</v>
      </c>
      <c r="S68" s="104">
        <f si="12" t="shared"/>
        <v>1.5768376346256558E-3</v>
      </c>
      <c r="T68" s="104">
        <f si="12" t="shared"/>
        <v>8.4111519070648736E-5</v>
      </c>
      <c r="U68" s="104">
        <f si="12" t="shared"/>
        <v>5.4692755231842312E-3</v>
      </c>
      <c r="V68" s="104">
        <f si="12" t="shared"/>
        <v>4.9656198005563707E-5</v>
      </c>
      <c r="W68" s="104">
        <f si="12" t="shared"/>
        <v>0</v>
      </c>
      <c r="X68" s="104">
        <f si="12" t="shared"/>
        <v>7.1745098983671304E-2</v>
      </c>
    </row>
    <row r="69" spans="2:24" x14ac:dyDescent="0.25">
      <c r="B69" s="95">
        <v>12</v>
      </c>
      <c r="C69" s="104">
        <f ref="C69:X69" si="13" t="shared">IF($X$52&gt;0,C42/$X$52,0)</f>
        <v>8.4219166380122123E-3</v>
      </c>
      <c r="D69" s="104">
        <f si="13" t="shared"/>
        <v>4.9186687136488199E-3</v>
      </c>
      <c r="E69" s="104">
        <f si="13" t="shared"/>
        <v>2.2746670243773471E-3</v>
      </c>
      <c r="F69" s="104">
        <f si="13" t="shared"/>
        <v>1.9476972181034307E-3</v>
      </c>
      <c r="G69" s="104">
        <f si="13" t="shared"/>
        <v>3.4337261050892045E-3</v>
      </c>
      <c r="H69" s="104">
        <f si="13" t="shared"/>
        <v>2.0606701744239866E-2</v>
      </c>
      <c r="I69" s="104">
        <f si="13" t="shared"/>
        <v>9.6776544986522366E-3</v>
      </c>
      <c r="J69" s="104">
        <f si="13" t="shared"/>
        <v>2.9112261821066337E-4</v>
      </c>
      <c r="K69" s="104">
        <f si="13" t="shared"/>
        <v>3.484781191118687E-3</v>
      </c>
      <c r="L69" s="104">
        <f si="13" t="shared"/>
        <v>2.5332012898032345E-3</v>
      </c>
      <c r="M69" s="104">
        <f si="13" t="shared"/>
        <v>1.9292304848587242E-3</v>
      </c>
      <c r="N69" s="104">
        <f si="13" t="shared"/>
        <v>7.6044921223274206E-2</v>
      </c>
      <c r="O69" s="104">
        <f si="13" t="shared"/>
        <v>2.8156336806046244E-3</v>
      </c>
      <c r="P69" s="104">
        <f si="13" t="shared"/>
        <v>9.5592501502008855E-5</v>
      </c>
      <c r="Q69" s="104">
        <f si="13" t="shared"/>
        <v>5.2575875826104876E-4</v>
      </c>
      <c r="R69" s="104">
        <f si="13" t="shared"/>
        <v>6.3873171458160463E-4</v>
      </c>
      <c r="S69" s="104">
        <f si="13" t="shared"/>
        <v>1.5316525808844602E-4</v>
      </c>
      <c r="T69" s="104">
        <f si="13" t="shared"/>
        <v>4.0029360003966206E-3</v>
      </c>
      <c r="U69" s="104">
        <f si="13" t="shared"/>
        <v>2.1399684995336075E-4</v>
      </c>
      <c r="V69" s="104">
        <f si="13" t="shared"/>
        <v>1.1177805005178083E-3</v>
      </c>
      <c r="W69" s="104">
        <f si="13" t="shared"/>
        <v>0</v>
      </c>
      <c r="X69" s="104">
        <f si="13" t="shared"/>
        <v>0.14512788401329416</v>
      </c>
    </row>
    <row r="70" spans="2:24" x14ac:dyDescent="0.25">
      <c r="B70" s="95">
        <v>13</v>
      </c>
      <c r="C70" s="104">
        <f ref="C70:X70" si="14" t="shared">IF($X$52&gt;0,C43/$X$52,0)</f>
        <v>1.677440849863104E-3</v>
      </c>
      <c r="D70" s="104">
        <f si="14" t="shared"/>
        <v>1.8650350151273782E-3</v>
      </c>
      <c r="E70" s="104">
        <f si="14" t="shared"/>
        <v>4.7552939566990464E-4</v>
      </c>
      <c r="F70" s="104">
        <f si="14" t="shared"/>
        <v>4.0027359681388768E-4</v>
      </c>
      <c r="G70" s="104">
        <f si="14" t="shared"/>
        <v>4.8207337817912361E-4</v>
      </c>
      <c r="H70" s="104">
        <f si="14" t="shared"/>
        <v>3.4966679874259502E-3</v>
      </c>
      <c r="I70" s="104">
        <f si="14" t="shared"/>
        <v>1.6104740955187644E-2</v>
      </c>
      <c r="J70" s="104">
        <f si="14" t="shared"/>
        <v>2.5085266285339005E-5</v>
      </c>
      <c r="K70" s="104">
        <f si="14" t="shared"/>
        <v>2.0035493115725116E-3</v>
      </c>
      <c r="L70" s="104">
        <f si="14" t="shared"/>
        <v>4.7334806816683173E-4</v>
      </c>
      <c r="M70" s="104">
        <f si="14" t="shared"/>
        <v>4.918893519429518E-4</v>
      </c>
      <c r="N70" s="104">
        <f si="14" t="shared"/>
        <v>7.1318502712970329E-3</v>
      </c>
      <c r="O70" s="104">
        <f si="14" t="shared"/>
        <v>7.8668485734574661E-2</v>
      </c>
      <c r="P70" s="104">
        <f si="14" t="shared"/>
        <v>3.1629248794557877E-5</v>
      </c>
      <c r="Q70" s="104">
        <f si="14" t="shared"/>
        <v>2.6448595974759605E-3</v>
      </c>
      <c r="R70" s="104">
        <f si="14" t="shared"/>
        <v>9.9250401389819562E-5</v>
      </c>
      <c r="S70" s="104">
        <f si="14" t="shared"/>
        <v>4.2535886309922669E-5</v>
      </c>
      <c r="T70" s="104">
        <f si="14" t="shared"/>
        <v>2.6535849074882526E-3</v>
      </c>
      <c r="U70" s="104">
        <f si="14" t="shared"/>
        <v>1.1233836640825729E-4</v>
      </c>
      <c r="V70" s="104">
        <f si="14" t="shared"/>
        <v>3.3374310797016244E-4</v>
      </c>
      <c r="W70" s="104">
        <f si="14" t="shared"/>
        <v>0</v>
      </c>
      <c r="X70" s="104">
        <f si="14" t="shared"/>
        <v>0.11921391069794327</v>
      </c>
    </row>
    <row r="71" spans="2:24" x14ac:dyDescent="0.25">
      <c r="B71" s="95">
        <v>14</v>
      </c>
      <c r="C71" s="104">
        <f ref="C71:X71" si="15" t="shared">IF($X$52&gt;0,C44/$X$52,0)</f>
        <v>8.033985861660882E-4</v>
      </c>
      <c r="D71" s="104">
        <f si="15" t="shared"/>
        <v>1.0609524864805466E-3</v>
      </c>
      <c r="E71" s="104">
        <f si="15" t="shared"/>
        <v>4.3243617830575722E-4</v>
      </c>
      <c r="F71" s="104">
        <f si="15" t="shared"/>
        <v>4.462147820262838E-4</v>
      </c>
      <c r="G71" s="104">
        <f si="15" t="shared"/>
        <v>4.0063940048915746E-4</v>
      </c>
      <c r="H71" s="104">
        <f si="15" t="shared"/>
        <v>2.222594769380326E-3</v>
      </c>
      <c r="I71" s="104">
        <f si="15" t="shared"/>
        <v>5.7870135626211631E-4</v>
      </c>
      <c r="J71" s="104">
        <f si="15" t="shared"/>
        <v>2.9253035591271813E-4</v>
      </c>
      <c r="K71" s="104">
        <f si="15" t="shared"/>
        <v>4.6953241909179034E-4</v>
      </c>
      <c r="L71" s="104">
        <f si="15" t="shared"/>
        <v>2.7027261144109828E-4</v>
      </c>
      <c r="M71" s="104">
        <f si="15" t="shared"/>
        <v>2.3625005917733647E-3</v>
      </c>
      <c r="N71" s="104">
        <f si="15" t="shared"/>
        <v>7.2178685643681532E-4</v>
      </c>
      <c r="O71" s="104">
        <f si="15" t="shared"/>
        <v>6.4653448227086258E-5</v>
      </c>
      <c r="P71" s="104">
        <f si="15" t="shared"/>
        <v>1.2626500470971778E-2</v>
      </c>
      <c r="Q71" s="104">
        <f si="15" t="shared"/>
        <v>9.4330440855912729E-5</v>
      </c>
      <c r="R71" s="104">
        <f si="15" t="shared"/>
        <v>1.3778603720526578E-5</v>
      </c>
      <c r="S71" s="104">
        <f si="15" t="shared"/>
        <v>2.0000173246641269E-3</v>
      </c>
      <c r="T71" s="104">
        <f si="15" t="shared"/>
        <v>1.1658818532753258E-5</v>
      </c>
      <c r="U71" s="104">
        <f si="15" t="shared"/>
        <v>4.8331102281231686E-4</v>
      </c>
      <c r="V71" s="104">
        <f si="15" t="shared"/>
        <v>4.2395703755466393E-6</v>
      </c>
      <c r="W71" s="104">
        <f si="15" t="shared"/>
        <v>0</v>
      </c>
      <c r="X71" s="104">
        <f si="15" t="shared"/>
        <v>2.5360050093926112E-2</v>
      </c>
    </row>
    <row r="72" spans="2:24" x14ac:dyDescent="0.25">
      <c r="B72" s="95">
        <v>15</v>
      </c>
      <c r="C72" s="104">
        <f ref="C72:X72" si="16" t="shared">IF($X$52&gt;0,C45/$X$52,0)</f>
        <v>1.0735779791096512E-3</v>
      </c>
      <c r="D72" s="104">
        <f si="16" t="shared"/>
        <v>1.815406539781985E-3</v>
      </c>
      <c r="E72" s="104">
        <f si="16" t="shared"/>
        <v>2.5341969463961721E-4</v>
      </c>
      <c r="F72" s="104">
        <f si="16" t="shared"/>
        <v>3.8128144966233316E-4</v>
      </c>
      <c r="G72" s="104">
        <f si="16" t="shared"/>
        <v>4.0201578831466548E-4</v>
      </c>
      <c r="H72" s="104">
        <f si="16" t="shared"/>
        <v>1.9248377715581834E-3</v>
      </c>
      <c r="I72" s="104">
        <f si="16" t="shared"/>
        <v>3.1953919678649914E-3</v>
      </c>
      <c r="J72" s="104">
        <f si="16" t="shared"/>
        <v>4.1468677304664634E-5</v>
      </c>
      <c r="K72" s="104">
        <f si="16" t="shared"/>
        <v>5.8021590995443262E-3</v>
      </c>
      <c r="L72" s="104">
        <f si="16" t="shared"/>
        <v>1.8545714016808353E-4</v>
      </c>
      <c r="M72" s="104">
        <f si="16" t="shared"/>
        <v>8.9848800826773385E-4</v>
      </c>
      <c r="N72" s="104">
        <f si="16" t="shared"/>
        <v>2.0492438034721773E-3</v>
      </c>
      <c r="O72" s="104">
        <f si="16" t="shared"/>
        <v>4.6318208733904581E-3</v>
      </c>
      <c r="P72" s="104">
        <f si="16" t="shared"/>
        <v>1.8430523246517615E-5</v>
      </c>
      <c r="Q72" s="104">
        <f si="16" t="shared"/>
        <v>2.8613387340218597E-2</v>
      </c>
      <c r="R72" s="104">
        <f si="16" t="shared"/>
        <v>2.6493877166869076E-5</v>
      </c>
      <c r="S72" s="104">
        <f si="16" t="shared"/>
        <v>1.7048234003028796E-4</v>
      </c>
      <c r="T72" s="104">
        <f si="16" t="shared"/>
        <v>1.2786175502271595E-4</v>
      </c>
      <c r="U72" s="104">
        <f si="16" t="shared"/>
        <v>1.0148306862613761E-3</v>
      </c>
      <c r="V72" s="104">
        <f si="16" t="shared"/>
        <v>2.0734338652332317E-5</v>
      </c>
      <c r="W72" s="104">
        <f si="16" t="shared"/>
        <v>0</v>
      </c>
      <c r="X72" s="104">
        <f si="16" t="shared"/>
        <v>5.264678965367757E-2</v>
      </c>
    </row>
    <row r="73" spans="2:24" x14ac:dyDescent="0.25">
      <c r="B73" s="95">
        <v>16</v>
      </c>
      <c r="C73" s="104">
        <f ref="C73:X73" si="17" t="shared">IF($X$52&gt;0,C46/$X$52,0)</f>
        <v>1.4833502176328586E-3</v>
      </c>
      <c r="D73" s="104">
        <f si="17" t="shared"/>
        <v>7.1170199607836207E-4</v>
      </c>
      <c r="E73" s="104">
        <f si="17" t="shared"/>
        <v>3.890127397919362E-4</v>
      </c>
      <c r="F73" s="104">
        <f si="17" t="shared"/>
        <v>4.4258170723869463E-4</v>
      </c>
      <c r="G73" s="104">
        <f si="17" t="shared"/>
        <v>6.2114493206122271E-4</v>
      </c>
      <c r="H73" s="104">
        <f si="17" t="shared"/>
        <v>3.8174266563844755E-3</v>
      </c>
      <c r="I73" s="104">
        <f si="17" t="shared"/>
        <v>4.8977341665607703E-4</v>
      </c>
      <c r="J73" s="104">
        <f si="17" t="shared"/>
        <v>7.5251644746636832E-5</v>
      </c>
      <c r="K73" s="104">
        <f si="17" t="shared"/>
        <v>5.0125248110895388E-4</v>
      </c>
      <c r="L73" s="104">
        <f si="17" t="shared"/>
        <v>2.1351059882350858E-3</v>
      </c>
      <c r="M73" s="104">
        <f si="17" t="shared"/>
        <v>3.5202464322155543E-4</v>
      </c>
      <c r="N73" s="104">
        <f si="17" t="shared"/>
        <v>5.1655790037945628E-3</v>
      </c>
      <c r="O73" s="104">
        <f si="17" t="shared"/>
        <v>7.6527096352512036E-5</v>
      </c>
      <c r="P73" s="104">
        <f si="17" t="shared"/>
        <v>3.9538999782131222E-5</v>
      </c>
      <c r="Q73" s="104">
        <f si="17" t="shared"/>
        <v>1.4029967664627208E-5</v>
      </c>
      <c r="R73" s="104">
        <f si="17" t="shared"/>
        <v>3.0712874669474835E-3</v>
      </c>
      <c r="S73" s="104">
        <f si="17" t="shared"/>
        <v>1.2754516058752008E-5</v>
      </c>
      <c r="T73" s="104">
        <f si="17" t="shared"/>
        <v>3.0100657898654733E-4</v>
      </c>
      <c r="U73" s="104">
        <f si="17" t="shared"/>
        <v>8.1628902776012852E-5</v>
      </c>
      <c r="V73" s="104">
        <f si="17" t="shared"/>
        <v>8.8006160805388859E-5</v>
      </c>
      <c r="W73" s="104">
        <f si="17" t="shared"/>
        <v>0</v>
      </c>
      <c r="X73" s="104">
        <f si="17" t="shared"/>
        <v>1.9868985116323876E-2</v>
      </c>
    </row>
    <row r="74" spans="2:24" x14ac:dyDescent="0.25">
      <c r="B74" s="95">
        <v>17</v>
      </c>
      <c r="C74" s="104">
        <f ref="C74:X74" si="18" t="shared">IF($X$52&gt;0,C47/$X$52,0)</f>
        <v>1.0868629804014461E-3</v>
      </c>
      <c r="D74" s="104">
        <f si="18" t="shared"/>
        <v>1.1678137029954487E-3</v>
      </c>
      <c r="E74" s="104">
        <f si="18" t="shared"/>
        <v>4.8570433556401619E-4</v>
      </c>
      <c r="F74" s="104">
        <f si="18" t="shared"/>
        <v>5.2286204429568954E-4</v>
      </c>
      <c r="G74" s="104">
        <f si="18" t="shared"/>
        <v>4.6579842017204837E-4</v>
      </c>
      <c r="H74" s="104">
        <f si="18" t="shared"/>
        <v>1.9613961966219013E-3</v>
      </c>
      <c r="I74" s="104">
        <f si="18" t="shared"/>
        <v>6.3035398741231614E-4</v>
      </c>
      <c r="J74" s="104">
        <f si="18" t="shared"/>
        <v>3.5697941602929055E-4</v>
      </c>
      <c r="K74" s="104">
        <f si="18" t="shared"/>
        <v>7.351918084766803E-4</v>
      </c>
      <c r="L74" s="104">
        <f si="18" t="shared"/>
        <v>1.5261201800508705E-4</v>
      </c>
      <c r="M74" s="104">
        <f si="18" t="shared"/>
        <v>4.7867091212552091E-3</v>
      </c>
      <c r="N74" s="104">
        <f si="18" t="shared"/>
        <v>7.9225543260032151E-4</v>
      </c>
      <c r="O74" s="104">
        <f si="18" t="shared"/>
        <v>2.0702152007646591E-4</v>
      </c>
      <c r="P74" s="104">
        <f si="18" t="shared"/>
        <v>2.0224410038239362E-3</v>
      </c>
      <c r="Q74" s="104">
        <f si="18" t="shared"/>
        <v>1.9905915391967878E-4</v>
      </c>
      <c r="R74" s="104">
        <f si="18" t="shared"/>
        <v>1.3270610261311916E-5</v>
      </c>
      <c r="S74" s="104">
        <f si="18" t="shared"/>
        <v>9.3690508444862139E-3</v>
      </c>
      <c r="T74" s="104">
        <f si="18" t="shared"/>
        <v>0</v>
      </c>
      <c r="U74" s="104">
        <f si="18" t="shared"/>
        <v>3.9864913224981003E-3</v>
      </c>
      <c r="V74" s="104">
        <f si="18" t="shared"/>
        <v>6.635305130655958E-6</v>
      </c>
      <c r="W74" s="104">
        <f si="18" t="shared"/>
        <v>0</v>
      </c>
      <c r="X74" s="104">
        <f si="18" t="shared"/>
        <v>2.8948509224025816E-2</v>
      </c>
    </row>
    <row r="75" spans="2:24" x14ac:dyDescent="0.25">
      <c r="B75" s="95">
        <v>18</v>
      </c>
      <c r="C75" s="104">
        <f ref="C75:X75" si="19" t="shared">IF($X$52&gt;0,C48/$X$52,0)</f>
        <v>1.3491598767012281E-3</v>
      </c>
      <c r="D75" s="104">
        <f si="19" t="shared"/>
        <v>1.1129861875931511E-3</v>
      </c>
      <c r="E75" s="104">
        <f si="19" t="shared"/>
        <v>4.3416360812083537E-4</v>
      </c>
      <c r="F75" s="104">
        <f si="19" t="shared"/>
        <v>5.2184485796934286E-4</v>
      </c>
      <c r="G75" s="104">
        <f si="19" t="shared"/>
        <v>1.0097485869650698E-3</v>
      </c>
      <c r="H75" s="104">
        <f si="19" t="shared"/>
        <v>3.6967546307096534E-3</v>
      </c>
      <c r="I75" s="104">
        <f si="19" t="shared"/>
        <v>3.478965719795619E-3</v>
      </c>
      <c r="J75" s="104">
        <f si="19" t="shared"/>
        <v>1.1172288287148532E-4</v>
      </c>
      <c r="K75" s="104">
        <f si="19" t="shared"/>
        <v>6.2649667230465817E-4</v>
      </c>
      <c r="L75" s="104">
        <f si="19" t="shared"/>
        <v>3.8042348724594375E-4</v>
      </c>
      <c r="M75" s="104">
        <f si="19" t="shared"/>
        <v>1.8243356823318489E-4</v>
      </c>
      <c r="N75" s="104">
        <f si="19" t="shared"/>
        <v>2.1271188370506462E-2</v>
      </c>
      <c r="O75" s="104">
        <f si="19" t="shared"/>
        <v>7.790903313152059E-3</v>
      </c>
      <c r="P75" s="104">
        <f si="19" t="shared"/>
        <v>1.2727923365105924E-5</v>
      </c>
      <c r="Q75" s="104">
        <f si="19" t="shared"/>
        <v>2.2768840686467266E-4</v>
      </c>
      <c r="R75" s="104">
        <f si="19" t="shared"/>
        <v>2.9274223739743626E-4</v>
      </c>
      <c r="S75" s="104">
        <f si="19" t="shared"/>
        <v>2.2627419315743862E-5</v>
      </c>
      <c r="T75" s="104">
        <f si="19" t="shared"/>
        <v>1.6246487068704095E-2</v>
      </c>
      <c r="U75" s="104">
        <f si="19" t="shared"/>
        <v>8.4852822434039484E-5</v>
      </c>
      <c r="V75" s="104">
        <f si="19" t="shared"/>
        <v>5.2325907167657679E-3</v>
      </c>
      <c r="W75" s="104">
        <f si="19" t="shared"/>
        <v>0</v>
      </c>
      <c r="X75" s="104">
        <f si="19" t="shared"/>
        <v>6.4086508357015556E-2</v>
      </c>
    </row>
    <row r="76" spans="2:24" x14ac:dyDescent="0.25">
      <c r="B76" s="95">
        <v>19</v>
      </c>
      <c r="C76" s="104">
        <f ref="C76:X76" si="20" t="shared">IF($X$52&gt;0,C49/$X$52,0)</f>
        <v>1.4248045859819637E-3</v>
      </c>
      <c r="D76" s="104">
        <f si="20" t="shared"/>
        <v>1.2022880889071027E-3</v>
      </c>
      <c r="E76" s="104">
        <f si="20" t="shared"/>
        <v>5.7085384066325609E-4</v>
      </c>
      <c r="F76" s="104">
        <f si="20" t="shared"/>
        <v>4.1707280603560344E-4</v>
      </c>
      <c r="G76" s="104">
        <f si="20" t="shared"/>
        <v>4.1474279035942689E-4</v>
      </c>
      <c r="H76" s="104">
        <f si="20" t="shared"/>
        <v>1.9758532933977194E-3</v>
      </c>
      <c r="I76" s="104">
        <f si="20" t="shared"/>
        <v>8.4463068261400143E-4</v>
      </c>
      <c r="J76" s="104">
        <f si="20" t="shared"/>
        <v>2.2018648139868451E-4</v>
      </c>
      <c r="K76" s="104">
        <f si="20" t="shared"/>
        <v>1.103262422669599E-3</v>
      </c>
      <c r="L76" s="104">
        <f si="20" t="shared"/>
        <v>1.7941120706559479E-4</v>
      </c>
      <c r="M76" s="104">
        <f si="20" t="shared"/>
        <v>1.0049357611349485E-2</v>
      </c>
      <c r="N76" s="104">
        <f si="20" t="shared"/>
        <v>1.7230465925325627E-3</v>
      </c>
      <c r="O76" s="104">
        <f si="20" t="shared"/>
        <v>3.2270717115045301E-4</v>
      </c>
      <c r="P76" s="104">
        <f si="20" t="shared"/>
        <v>4.9745834686369466E-4</v>
      </c>
      <c r="Q76" s="104">
        <f si="20" t="shared"/>
        <v>2.2939004331958188E-3</v>
      </c>
      <c r="R76" s="104">
        <f si="20" t="shared"/>
        <v>4.8930329199707669E-5</v>
      </c>
      <c r="S76" s="104">
        <f si="20" t="shared"/>
        <v>4.3291691263360405E-3</v>
      </c>
      <c r="T76" s="104">
        <f si="20" t="shared"/>
        <v>1.3980094057059333E-5</v>
      </c>
      <c r="U76" s="104">
        <f si="20" t="shared"/>
        <v>2.8831613977008699E-2</v>
      </c>
      <c r="V76" s="104">
        <f si="20" t="shared"/>
        <v>1.2815086218971055E-5</v>
      </c>
      <c r="W76" s="104">
        <f si="20" t="shared"/>
        <v>0</v>
      </c>
      <c r="X76" s="104">
        <f si="20" t="shared"/>
        <v>5.6476084967005444E-2</v>
      </c>
    </row>
    <row r="77" spans="2:24" x14ac:dyDescent="0.25">
      <c r="B77" s="95">
        <v>20</v>
      </c>
      <c r="C77" s="104">
        <f ref="C77:X77" si="21" t="shared">IF($X$52&gt;0,C50/$X$52,0)</f>
        <v>3.4717744746771349E-4</v>
      </c>
      <c r="D77" s="104">
        <f si="21" t="shared"/>
        <v>3.5389082352371904E-4</v>
      </c>
      <c r="E77" s="104">
        <f si="21" t="shared"/>
        <v>4.7952686114325075E-5</v>
      </c>
      <c r="F77" s="104">
        <f si="21" t="shared"/>
        <v>4.7952686114325075E-5</v>
      </c>
      <c r="G77" s="104">
        <f si="21" t="shared"/>
        <v>1.1508644667438016E-4</v>
      </c>
      <c r="H77" s="104">
        <f si="21" t="shared"/>
        <v>4.996669893112673E-4</v>
      </c>
      <c r="I77" s="104">
        <f si="21" t="shared"/>
        <v>3.7019473680258955E-4</v>
      </c>
      <c r="J77" s="104">
        <f si="21" t="shared"/>
        <v>3.8362148891460055E-6</v>
      </c>
      <c r="K77" s="104">
        <f si="21" t="shared"/>
        <v>1.3714468228696972E-4</v>
      </c>
      <c r="L77" s="104">
        <f si="21" t="shared"/>
        <v>1.6495724023327826E-4</v>
      </c>
      <c r="M77" s="104">
        <f si="21" t="shared"/>
        <v>6.5215653115482098E-5</v>
      </c>
      <c r="N77" s="104">
        <f si="21" t="shared"/>
        <v>5.5135998494250972E-3</v>
      </c>
      <c r="O77" s="104">
        <f si="21" t="shared"/>
        <v>5.3419292331358136E-4</v>
      </c>
      <c r="P77" s="104">
        <f si="21" t="shared"/>
        <v>9.5905372228650142E-6</v>
      </c>
      <c r="Q77" s="104">
        <f si="21" t="shared"/>
        <v>4.7952686114325071E-6</v>
      </c>
      <c r="R77" s="104">
        <f si="21" t="shared"/>
        <v>8.3437673838925624E-5</v>
      </c>
      <c r="S77" s="104">
        <f si="21" t="shared"/>
        <v>1.9181074445730028E-5</v>
      </c>
      <c r="T77" s="104">
        <f si="21" t="shared"/>
        <v>4.0980365553302204E-3</v>
      </c>
      <c r="U77" s="104">
        <f si="21" t="shared"/>
        <v>1.0549590945151515E-5</v>
      </c>
      <c r="V77" s="104">
        <f si="21" t="shared"/>
        <v>2.3530383076299313E-2</v>
      </c>
      <c r="W77" s="104">
        <f si="21" t="shared"/>
        <v>0</v>
      </c>
      <c r="X77" s="104">
        <f si="21" t="shared"/>
        <v>3.5956842155965514E-2</v>
      </c>
    </row>
    <row r="78" spans="2:24" x14ac:dyDescent="0.25">
      <c r="B78" s="101" t="s">
        <v>15</v>
      </c>
      <c r="C78" s="105">
        <f ref="C78:X78" si="22" t="shared">IF($X$52&gt;0,C51/$X$52,0)</f>
        <v>0</v>
      </c>
      <c r="D78" s="105">
        <f si="22" t="shared"/>
        <v>0</v>
      </c>
      <c r="E78" s="105">
        <f si="22" t="shared"/>
        <v>0</v>
      </c>
      <c r="F78" s="105">
        <f si="22" t="shared"/>
        <v>0</v>
      </c>
      <c r="G78" s="105">
        <f si="22" t="shared"/>
        <v>0</v>
      </c>
      <c r="H78" s="105">
        <f si="22" t="shared"/>
        <v>0</v>
      </c>
      <c r="I78" s="105">
        <f si="22" t="shared"/>
        <v>0</v>
      </c>
      <c r="J78" s="105">
        <f si="22" t="shared"/>
        <v>0</v>
      </c>
      <c r="K78" s="105">
        <f si="22" t="shared"/>
        <v>0</v>
      </c>
      <c r="L78" s="105">
        <f si="22" t="shared"/>
        <v>0</v>
      </c>
      <c r="M78" s="105">
        <f si="22" t="shared"/>
        <v>0</v>
      </c>
      <c r="N78" s="105">
        <f si="22" t="shared"/>
        <v>0</v>
      </c>
      <c r="O78" s="105">
        <f si="22" t="shared"/>
        <v>0</v>
      </c>
      <c r="P78" s="105">
        <f si="22" t="shared"/>
        <v>0</v>
      </c>
      <c r="Q78" s="105">
        <f si="22" t="shared"/>
        <v>0</v>
      </c>
      <c r="R78" s="105">
        <f si="22" t="shared"/>
        <v>0</v>
      </c>
      <c r="S78" s="105">
        <f si="22" t="shared"/>
        <v>0</v>
      </c>
      <c r="T78" s="105">
        <f si="22" t="shared"/>
        <v>0</v>
      </c>
      <c r="U78" s="105">
        <f si="22" t="shared"/>
        <v>0</v>
      </c>
      <c r="V78" s="105">
        <f si="22" t="shared"/>
        <v>0</v>
      </c>
      <c r="W78" s="105">
        <f si="22" t="shared"/>
        <v>0</v>
      </c>
      <c r="X78" s="105">
        <f si="22" t="shared"/>
        <v>0</v>
      </c>
    </row>
    <row ht="15.75" r="79" spans="2:24" thickBot="1" x14ac:dyDescent="0.3">
      <c r="B79" s="1" t="s">
        <v>3</v>
      </c>
      <c r="C79" s="106">
        <f ref="C79:X79" si="23" t="shared">IF($X$52&gt;0,C52/$X$52,0)</f>
        <v>5.5829488014886387E-2</v>
      </c>
      <c r="D79" s="106">
        <f si="23" t="shared"/>
        <v>4.6297597224511648E-2</v>
      </c>
      <c r="E79" s="106">
        <f si="23" t="shared"/>
        <v>2.9571429993815776E-2</v>
      </c>
      <c r="F79" s="106">
        <f si="23" t="shared"/>
        <v>2.0644685937695327E-2</v>
      </c>
      <c r="G79" s="106">
        <f si="23" t="shared"/>
        <v>2.6714960399949996E-2</v>
      </c>
      <c r="H79" s="106">
        <f si="23" t="shared"/>
        <v>0.11777128993608899</v>
      </c>
      <c r="I79" s="106">
        <f si="23" t="shared"/>
        <v>9.5560081556521473E-2</v>
      </c>
      <c r="J79" s="106">
        <f si="23" t="shared"/>
        <v>5.6399233112036226E-3</v>
      </c>
      <c r="K79" s="106">
        <f si="23" t="shared"/>
        <v>5.7969074457386936E-2</v>
      </c>
      <c r="L79" s="106">
        <f si="23" t="shared"/>
        <v>2.2579606665685748E-2</v>
      </c>
      <c r="M79" s="106">
        <f si="23" t="shared"/>
        <v>6.4121215205445656E-2</v>
      </c>
      <c r="N79" s="106">
        <f si="23" t="shared"/>
        <v>0.16397927676667995</v>
      </c>
      <c r="O79" s="106">
        <f si="23" t="shared"/>
        <v>0.11157268453933067</v>
      </c>
      <c r="P79" s="106">
        <f si="23" t="shared"/>
        <v>1.6968447184629493E-2</v>
      </c>
      <c r="Q79" s="106">
        <f si="23" t="shared"/>
        <v>4.2025062146467639E-2</v>
      </c>
      <c r="R79" s="106">
        <f si="23" t="shared"/>
        <v>5.6012027706206242E-3</v>
      </c>
      <c r="S79" s="106">
        <f si="23" t="shared"/>
        <v>1.6910919524334753E-2</v>
      </c>
      <c r="T79" s="106">
        <f si="23" t="shared"/>
        <v>2.6178404337585587E-2</v>
      </c>
      <c r="U79" s="106">
        <f si="23" t="shared"/>
        <v>4.0673162129541231E-2</v>
      </c>
      <c r="V79" s="106">
        <f si="23" t="shared"/>
        <v>3.3391487897618463E-2</v>
      </c>
      <c r="W79" s="106">
        <f si="23" t="shared"/>
        <v>0</v>
      </c>
      <c r="X79" s="106">
        <f si="23" t="shared"/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T36"/>
  <sheetViews>
    <sheetView workbookViewId="0" zoomScaleNormal="100">
      <selection activeCell="L36" sqref="L36"/>
    </sheetView>
  </sheetViews>
  <sheetFormatPr defaultRowHeight="15" x14ac:dyDescent="0.25"/>
  <cols>
    <col min="2" max="2" bestFit="true" customWidth="true" width="11.140625" collapsed="true"/>
    <col min="3" max="4" bestFit="true" customWidth="true" width="9.28515625" collapsed="true"/>
    <col min="5" max="5" bestFit="true" customWidth="true" width="9.5703125" collapsed="true"/>
    <col min="9" max="9" bestFit="true" customWidth="true" width="11.140625" collapsed="true"/>
    <col min="14" max="15" bestFit="true" customWidth="true" width="9.5703125" collapsed="true"/>
  </cols>
  <sheetData>
    <row r="1" spans="1:19" x14ac:dyDescent="0.25">
      <c r="A1" t="s">
        <v>22</v>
      </c>
    </row>
    <row r="2" spans="1:19" x14ac:dyDescent="0.25">
      <c r="A2" t="s">
        <v>247</v>
      </c>
    </row>
    <row r="3" spans="1:19" x14ac:dyDescent="0.25">
      <c r="A3" t="s">
        <v>36</v>
      </c>
    </row>
    <row ht="15.75" r="5" spans="1:19" thickBot="1" x14ac:dyDescent="0.3">
      <c r="A5" s="4" t="s">
        <v>205</v>
      </c>
      <c r="B5" s="1"/>
      <c r="C5" s="1"/>
      <c r="D5" s="1"/>
      <c r="E5" s="1"/>
      <c r="H5" s="4" t="s">
        <v>37</v>
      </c>
      <c r="I5" s="1"/>
      <c r="J5" s="1"/>
      <c r="K5" s="1"/>
      <c r="L5" s="1"/>
      <c r="O5" s="4" t="s">
        <v>53</v>
      </c>
      <c r="P5" s="1"/>
      <c r="Q5" s="1"/>
      <c r="R5" s="1"/>
      <c r="S5" s="1"/>
    </row>
    <row r="6" spans="1:19" x14ac:dyDescent="0.25">
      <c r="A6" s="2"/>
      <c r="B6" s="3" t="s">
        <v>8</v>
      </c>
      <c r="C6" s="3" t="s">
        <v>9</v>
      </c>
      <c r="D6" s="3" t="s">
        <v>10</v>
      </c>
      <c r="E6" s="3" t="s">
        <v>3</v>
      </c>
      <c r="H6" s="2"/>
      <c r="I6" s="3" t="s">
        <v>8</v>
      </c>
      <c r="J6" s="3" t="s">
        <v>9</v>
      </c>
      <c r="K6" s="3" t="s">
        <v>10</v>
      </c>
      <c r="L6" s="3" t="s">
        <v>3</v>
      </c>
      <c r="O6" s="2"/>
      <c r="P6" s="3" t="s">
        <v>8</v>
      </c>
      <c r="Q6" s="3" t="s">
        <v>9</v>
      </c>
      <c r="R6" s="3" t="s">
        <v>10</v>
      </c>
      <c r="S6" s="3" t="s">
        <v>3</v>
      </c>
    </row>
    <row r="7" spans="1:19" x14ac:dyDescent="0.25">
      <c r="A7" s="31">
        <v>1</v>
      </c>
      <c r="B7" s="14" t="n">
        <v>6329.560990431574</v>
      </c>
      <c r="C7" s="14" t="n">
        <v>4282.935135821473</v>
      </c>
      <c r="D7" s="14" t="n">
        <v>488.6558633231063</v>
      </c>
      <c r="E7" s="14">
        <f ref="E7:E13" si="0" t="shared">SUM(B7:D7)</f>
        <v>11101.151989576154</v>
      </c>
      <c r="F7" s="14"/>
      <c r="G7" s="14"/>
      <c r="H7">
        <f>A7</f>
        <v>1</v>
      </c>
      <c r="I7" s="14" t="n">
        <v>16840.0</v>
      </c>
      <c r="J7" s="14" t="n">
        <v>6219.0</v>
      </c>
      <c r="K7" s="14" t="n">
        <v>748.0</v>
      </c>
      <c r="L7" s="14">
        <f>SUM(I7:K7)</f>
        <v>24180</v>
      </c>
      <c r="O7">
        <f>H7</f>
        <v>1</v>
      </c>
      <c r="P7" s="14">
        <f>I7-B7</f>
        <v>10830.439009568425</v>
      </c>
      <c r="Q7" s="14">
        <f>J7-C7</f>
        <v>2177.0648641785274</v>
      </c>
      <c r="R7" s="14">
        <f>K7-D7</f>
        <v>71.344136676893697</v>
      </c>
      <c r="S7" s="14">
        <f>L7-E7</f>
        <v>13078.848010423846</v>
      </c>
    </row>
    <row r="8" spans="1:19" x14ac:dyDescent="0.25">
      <c r="A8">
        <v>2</v>
      </c>
      <c r="B8" s="14" t="n">
        <v>320.3370971440732</v>
      </c>
      <c r="C8" s="14" t="n">
        <v>349.8210644614419</v>
      </c>
      <c r="D8" s="14" t="n">
        <v>144.501085937214</v>
      </c>
      <c r="E8" s="14">
        <f si="0" t="shared"/>
        <v>814.65924754272896</v>
      </c>
      <c r="F8" s="14"/>
      <c r="G8" s="14"/>
      <c r="H8">
        <f ref="H8:H13" si="1" t="shared">A8</f>
        <v>2</v>
      </c>
      <c r="I8" s="14" t="n">
        <v>2737.0</v>
      </c>
      <c r="J8" s="14" t="n">
        <v>761.0</v>
      </c>
      <c r="K8" s="14" t="n">
        <v>85.0</v>
      </c>
      <c r="L8" s="14">
        <f ref="L8:L13" si="2" t="shared">SUM(I8:K8)</f>
        <v>3680</v>
      </c>
      <c r="O8">
        <f ref="O8:O13" si="3" t="shared">H8</f>
        <v>2</v>
      </c>
      <c r="P8" s="14">
        <f ref="P8:P13" si="4" t="shared">I8-B8</f>
        <v>2639.6629028559269</v>
      </c>
      <c r="Q8" s="14">
        <f ref="Q8:Q13" si="5" t="shared">J8-C8</f>
        <v>310.17893553855811</v>
      </c>
      <c r="R8" s="14">
        <f ref="R8:R13" si="6" t="shared">K8-D8</f>
        <v>-84.501085937213986</v>
      </c>
      <c r="S8" s="14">
        <f ref="S8:S13" si="7" t="shared">L8-E8</f>
        <v>2865.3407524572713</v>
      </c>
    </row>
    <row r="9" spans="1:19" x14ac:dyDescent="0.25">
      <c r="A9">
        <v>3</v>
      </c>
      <c r="B9" s="14" t="n">
        <v>273.3049991235705</v>
      </c>
      <c r="C9" s="14" t="n">
        <v>0.0</v>
      </c>
      <c r="D9" s="14" t="n">
        <v>0.0</v>
      </c>
      <c r="E9" s="14">
        <f si="0" t="shared"/>
        <v>273.3049991235705</v>
      </c>
      <c r="F9" s="14"/>
      <c r="G9" s="14"/>
      <c r="H9">
        <f si="1" t="shared"/>
        <v>3</v>
      </c>
      <c r="I9" s="14" t="n">
        <v>2261.0</v>
      </c>
      <c r="J9" s="14" t="n">
        <v>629.0</v>
      </c>
      <c r="K9" s="14" t="n">
        <v>65.0</v>
      </c>
      <c r="L9" s="14">
        <f si="2" t="shared"/>
        <v>2680</v>
      </c>
      <c r="O9">
        <f si="3" t="shared"/>
        <v>3</v>
      </c>
      <c r="P9" s="14">
        <f si="4" t="shared"/>
        <v>1686.6950008764295</v>
      </c>
      <c r="Q9" s="14">
        <f si="5" t="shared"/>
        <v>640</v>
      </c>
      <c r="R9" s="14">
        <f si="6" t="shared"/>
        <v>80</v>
      </c>
      <c r="S9" s="14">
        <f si="7" t="shared"/>
        <v>2406.6950008764297</v>
      </c>
    </row>
    <row r="10" spans="1:19" x14ac:dyDescent="0.25">
      <c r="A10">
        <v>4</v>
      </c>
      <c r="B10" s="14" t="n">
        <v>2622.415802252654</v>
      </c>
      <c r="C10" s="14" t="n">
        <v>1546.4033596121374</v>
      </c>
      <c r="D10" s="14" t="n">
        <v>83.2590124178557</v>
      </c>
      <c r="E10" s="14">
        <f si="0" t="shared"/>
        <v>4252.0781742826475</v>
      </c>
      <c r="F10" s="14"/>
      <c r="G10" s="14"/>
      <c r="H10">
        <f si="1" t="shared"/>
        <v>4</v>
      </c>
      <c r="I10" s="14" t="n">
        <v>7556.0</v>
      </c>
      <c r="J10" s="14" t="n">
        <v>2710.0</v>
      </c>
      <c r="K10" s="14" t="n">
        <v>437.0</v>
      </c>
      <c r="L10" s="14">
        <f si="2" t="shared"/>
        <v>9980</v>
      </c>
      <c r="O10">
        <f si="3" t="shared"/>
        <v>4</v>
      </c>
      <c r="P10" s="14">
        <f si="4" t="shared"/>
        <v>4617.5841977473465</v>
      </c>
      <c r="Q10" s="14">
        <f si="5" t="shared"/>
        <v>753.59664038786264</v>
      </c>
      <c r="R10" s="14">
        <f si="6" t="shared"/>
        <v>356.74098758214427</v>
      </c>
      <c r="S10" s="14">
        <f si="7" t="shared"/>
        <v>5727.9218257173525</v>
      </c>
    </row>
    <row r="11" spans="1:19" x14ac:dyDescent="0.25">
      <c r="A11">
        <v>5</v>
      </c>
      <c r="B11" s="14" t="n">
        <v>2198.142672811044</v>
      </c>
      <c r="C11" s="14" t="n">
        <v>1648.138667517162</v>
      </c>
      <c r="D11" s="14" t="n">
        <v>81.50498294120669</v>
      </c>
      <c r="E11" s="14">
        <f si="0" t="shared"/>
        <v>3927.7863232694131</v>
      </c>
      <c r="F11" s="14"/>
      <c r="G11" s="14"/>
      <c r="H11">
        <f si="1" t="shared"/>
        <v>5</v>
      </c>
      <c r="I11" s="14" t="n">
        <v>5187.0</v>
      </c>
      <c r="J11" s="14" t="n">
        <v>1658.0</v>
      </c>
      <c r="K11" s="14" t="n">
        <v>212.0</v>
      </c>
      <c r="L11" s="14">
        <f si="2" t="shared"/>
        <v>6540</v>
      </c>
      <c r="O11">
        <f si="3" t="shared"/>
        <v>5</v>
      </c>
      <c r="P11" s="14">
        <f si="4" t="shared"/>
        <v>2481.8573271889559</v>
      </c>
      <c r="Q11" s="14">
        <f si="5" t="shared"/>
        <v>-8.1386675171620482</v>
      </c>
      <c r="R11" s="14">
        <f si="6" t="shared"/>
        <v>138.49501705879331</v>
      </c>
      <c r="S11" s="14">
        <f si="7" t="shared"/>
        <v>2612.2136767305869</v>
      </c>
    </row>
    <row r="12" spans="1:19" x14ac:dyDescent="0.25">
      <c r="A12">
        <v>6</v>
      </c>
      <c r="B12" s="15" t="n">
        <v>3329.4114657933656</v>
      </c>
      <c r="C12" s="15" t="n">
        <v>954.3899797079305</v>
      </c>
      <c r="D12" s="15" t="n">
        <v>0.0</v>
      </c>
      <c r="E12" s="15">
        <f si="0" t="shared"/>
        <v>4283.8014455012963</v>
      </c>
      <c r="F12" s="14"/>
      <c r="G12" s="14"/>
      <c r="H12">
        <f si="1" t="shared"/>
        <v>6</v>
      </c>
      <c r="I12" s="15" t="n">
        <v>5251.0</v>
      </c>
      <c r="J12" s="15" t="n">
        <v>2555.0</v>
      </c>
      <c r="K12" s="15" t="n">
        <v>332.0</v>
      </c>
      <c r="L12" s="14">
        <f si="2" t="shared"/>
        <v>8580</v>
      </c>
      <c r="O12">
        <f si="3" t="shared"/>
        <v>6</v>
      </c>
      <c r="P12" s="14">
        <f si="4" t="shared"/>
        <v>1890.5885342066344</v>
      </c>
      <c r="Q12" s="14">
        <f si="5" t="shared"/>
        <v>2005.6100202920695</v>
      </c>
      <c r="R12" s="14">
        <f si="6" t="shared"/>
        <v>400</v>
      </c>
      <c r="S12" s="14">
        <f si="7" t="shared"/>
        <v>4296.1985544987037</v>
      </c>
    </row>
    <row customFormat="1" r="13" s="95" spans="1:19" x14ac:dyDescent="0.25">
      <c r="A13" s="6">
        <v>7</v>
      </c>
      <c r="B13" s="16" t="n">
        <v>1796.4599355684743</v>
      </c>
      <c r="C13" s="16" t="n">
        <v>874.840771946554</v>
      </c>
      <c r="D13" s="16" t="n">
        <v>0.0</v>
      </c>
      <c r="E13" s="16">
        <f si="0" t="shared"/>
        <v>2671.3007075150281</v>
      </c>
      <c r="F13" s="14"/>
      <c r="G13" s="14"/>
      <c r="H13" s="6">
        <f si="1" t="shared"/>
        <v>7</v>
      </c>
      <c r="I13" s="16" t="n">
        <v>3864.0</v>
      </c>
      <c r="J13" s="16" t="n">
        <v>1219.0</v>
      </c>
      <c r="K13" s="16" t="n">
        <v>154.0</v>
      </c>
      <c r="L13" s="16">
        <f si="2" t="shared"/>
        <v>5220</v>
      </c>
      <c r="O13" s="6">
        <f si="3" t="shared"/>
        <v>7</v>
      </c>
      <c r="P13" s="16">
        <f si="4" t="shared"/>
        <v>2243.5400644315259</v>
      </c>
      <c r="Q13" s="16">
        <f si="5" t="shared"/>
        <v>225.15922805344599</v>
      </c>
      <c r="R13" s="16">
        <f si="6" t="shared"/>
        <v>80</v>
      </c>
      <c r="S13" s="16">
        <f si="7" t="shared"/>
        <v>2548.6992924849719</v>
      </c>
    </row>
    <row ht="15.75" r="14" spans="1:19" thickBot="1" x14ac:dyDescent="0.3">
      <c r="A14" s="17" t="s">
        <v>3</v>
      </c>
      <c r="B14" s="17">
        <f>SUM(B7:B13)</f>
        <v>16869.632963124757</v>
      </c>
      <c r="C14" s="17">
        <f>SUM(C7:C13)</f>
        <v>9656.5289790666975</v>
      </c>
      <c r="D14" s="17">
        <f>SUM(D7:D13)</f>
        <v>797.92094461938268</v>
      </c>
      <c r="E14" s="17">
        <f>SUM(E7:E13)</f>
        <v>27324.08288681084</v>
      </c>
      <c r="F14" s="14"/>
      <c r="G14" s="14"/>
      <c r="H14" s="17" t="s">
        <v>3</v>
      </c>
      <c r="I14" s="17">
        <f>SUM(I7:I13)</f>
        <v>43260</v>
      </c>
      <c r="J14" s="17">
        <f>SUM(J7:J13)</f>
        <v>15760</v>
      </c>
      <c r="K14" s="17">
        <f>SUM(K7:K13)</f>
        <v>1840</v>
      </c>
      <c r="L14" s="17">
        <f>SUM(L7:L13)</f>
        <v>60860</v>
      </c>
      <c r="O14" s="17" t="s">
        <v>3</v>
      </c>
      <c r="P14" s="17">
        <f>I14-B14</f>
        <v>26390.367036875243</v>
      </c>
      <c r="Q14" s="17">
        <f>J14-C14</f>
        <v>6103.4710209333025</v>
      </c>
      <c r="R14" s="17">
        <f>K14-D14</f>
        <v>1042.0790553806173</v>
      </c>
      <c r="S14" s="17">
        <f>L14-E14</f>
        <v>33535.917113189164</v>
      </c>
    </row>
    <row r="15" spans="1:19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O15" s="14"/>
      <c r="P15" s="14"/>
      <c r="Q15" s="14"/>
      <c r="R15" s="14"/>
      <c r="S15" s="14"/>
    </row>
    <row ht="15.75" r="16" spans="1:19" thickBot="1" x14ac:dyDescent="0.3">
      <c r="A16" s="4" t="s">
        <v>206</v>
      </c>
      <c r="B16" s="17"/>
      <c r="C16" s="17"/>
      <c r="D16" s="17"/>
      <c r="E16" s="17"/>
      <c r="F16" s="14"/>
      <c r="G16" s="14"/>
      <c r="H16" s="18" t="s">
        <v>38</v>
      </c>
      <c r="I16" s="17"/>
      <c r="J16" s="17"/>
      <c r="K16" s="17"/>
      <c r="L16" s="17"/>
      <c r="O16" s="18" t="s">
        <v>54</v>
      </c>
      <c r="P16" s="17"/>
      <c r="Q16" s="17"/>
      <c r="R16" s="17"/>
      <c r="S16" s="17"/>
    </row>
    <row r="17" spans="1:19" x14ac:dyDescent="0.25">
      <c r="A17" s="2"/>
      <c r="B17" s="3" t="str">
        <f>B6</f>
        <v>FT</v>
      </c>
      <c r="C17" s="196" t="str">
        <f>C6</f>
        <v>PT</v>
      </c>
      <c r="D17" s="196" t="str">
        <f>D6</f>
        <v>NotFTPT</v>
      </c>
      <c r="E17" s="196" t="str">
        <f>E6</f>
        <v>Total</v>
      </c>
      <c r="F17" s="14"/>
      <c r="G17" s="14"/>
      <c r="H17" s="20"/>
      <c r="I17" s="19" t="str">
        <f>I6</f>
        <v>FT</v>
      </c>
      <c r="J17" s="19" t="str">
        <f>J6</f>
        <v>PT</v>
      </c>
      <c r="K17" s="19" t="str">
        <f>K6</f>
        <v>NotFTPT</v>
      </c>
      <c r="L17" s="19" t="str">
        <f>L6</f>
        <v>Total</v>
      </c>
      <c r="O17" s="20"/>
      <c r="P17" s="19" t="s">
        <v>8</v>
      </c>
      <c r="Q17" s="19" t="s">
        <v>9</v>
      </c>
      <c r="R17" s="19" t="s">
        <v>10</v>
      </c>
      <c r="S17" s="19" t="s">
        <v>3</v>
      </c>
    </row>
    <row r="18" spans="1:19" x14ac:dyDescent="0.25">
      <c r="A18">
        <f ref="A18:A23" si="8" t="shared">A7</f>
        <v>1</v>
      </c>
      <c r="B18" s="14" t="n">
        <v>300060.8102832</v>
      </c>
      <c r="C18" s="14" t="n">
        <v>33330.63667390376</v>
      </c>
      <c r="D18" s="14" t="n">
        <v>11245.630724878492</v>
      </c>
      <c r="E18" s="14">
        <f>SUM(B18:D18)</f>
        <v>344637.07768198231</v>
      </c>
      <c r="F18" s="14"/>
      <c r="G18" s="14"/>
      <c r="H18" s="95">
        <f ref="H18:H23" si="9" t="shared">H7</f>
        <v>1</v>
      </c>
      <c r="I18" s="14" t="n">
        <v>345320.0</v>
      </c>
      <c r="J18" s="14" t="n">
        <v>44658.0</v>
      </c>
      <c r="K18" s="14" t="n">
        <v>16039.0</v>
      </c>
      <c r="L18" s="14">
        <f>SUM(I18:K18)</f>
        <v>403740</v>
      </c>
      <c r="O18" s="95">
        <f ref="O18:O23" si="10" t="shared">O7</f>
        <v>1</v>
      </c>
      <c r="P18" s="14">
        <f>I18-B18</f>
        <v>42679.1897168</v>
      </c>
      <c r="Q18" s="14">
        <f>J18-C18</f>
        <v>12409.363326096238</v>
      </c>
      <c r="R18" s="14">
        <f>K18-D18</f>
        <v>4014.3692751215076</v>
      </c>
      <c r="S18" s="14">
        <f>L18-E18</f>
        <v>59102.922318017692</v>
      </c>
    </row>
    <row r="19" spans="1:19" x14ac:dyDescent="0.25">
      <c r="A19">
        <f si="8" t="shared"/>
        <v>2</v>
      </c>
      <c r="B19" s="14" t="n">
        <v>40887.555650227296</v>
      </c>
      <c r="C19" s="14" t="n">
        <v>3531.503348669202</v>
      </c>
      <c r="D19" s="14" t="n">
        <v>889.9173867332458</v>
      </c>
      <c r="E19" s="14">
        <f ref="E19:E24" si="11" t="shared">SUM(B19:D19)</f>
        <v>45308.976385629743</v>
      </c>
      <c r="F19" s="14"/>
      <c r="G19" s="14"/>
      <c r="H19" s="95">
        <f si="9" t="shared"/>
        <v>2</v>
      </c>
      <c r="I19" s="14" t="n">
        <v>47273.0</v>
      </c>
      <c r="J19" s="14" t="n">
        <v>5065.0</v>
      </c>
      <c r="K19" s="14" t="n">
        <v>1533.0</v>
      </c>
      <c r="L19" s="14">
        <f ref="L19:L24" si="12" t="shared">SUM(I19:K19)</f>
        <v>53300</v>
      </c>
      <c r="O19" s="95">
        <f si="10" t="shared"/>
        <v>2</v>
      </c>
      <c r="P19" s="14">
        <f ref="P19:P24" si="13" t="shared">I19-B19</f>
        <v>5752.4443497727043</v>
      </c>
      <c r="Q19" s="14">
        <f ref="Q19:Q24" si="14" t="shared">J19-C19</f>
        <v>1568.4966513307982</v>
      </c>
      <c r="R19" s="14">
        <f ref="R19:R24" si="15" t="shared">K19-D19</f>
        <v>670.08261326675415</v>
      </c>
      <c r="S19" s="14">
        <f ref="S19:S24" si="16" t="shared">L19-E19</f>
        <v>7991.0236143702568</v>
      </c>
    </row>
    <row r="20" spans="1:19" x14ac:dyDescent="0.25">
      <c r="A20">
        <f si="8" t="shared"/>
        <v>3</v>
      </c>
      <c r="B20" s="14" t="n">
        <v>30078.054184797344</v>
      </c>
      <c r="C20" s="14" t="n">
        <v>2538.34209567798</v>
      </c>
      <c r="D20" s="14" t="n">
        <v>261.5523560997358</v>
      </c>
      <c r="E20" s="14">
        <f si="11" t="shared"/>
        <v>32877.948636575064</v>
      </c>
      <c r="F20" s="14"/>
      <c r="G20" s="14"/>
      <c r="H20" s="95">
        <f si="9" t="shared"/>
        <v>3</v>
      </c>
      <c r="I20" s="14" t="n">
        <v>33194.0</v>
      </c>
      <c r="J20" s="14" t="n">
        <v>3474.0</v>
      </c>
      <c r="K20" s="14" t="n">
        <v>943.0</v>
      </c>
      <c r="L20" s="14">
        <f si="12" t="shared"/>
        <v>37040</v>
      </c>
      <c r="O20" s="95">
        <f si="10" t="shared"/>
        <v>3</v>
      </c>
      <c r="P20" s="14">
        <f si="13" t="shared"/>
        <v>2801.9458152026564</v>
      </c>
      <c r="Q20" s="14">
        <f si="14" t="shared"/>
        <v>741.65790432201993</v>
      </c>
      <c r="R20" s="14">
        <f si="15" t="shared"/>
        <v>618.44764390026421</v>
      </c>
      <c r="S20" s="14">
        <f si="16" t="shared"/>
        <v>4162.0513634249364</v>
      </c>
    </row>
    <row r="21" spans="1:19" x14ac:dyDescent="0.25">
      <c r="A21">
        <f si="8" t="shared"/>
        <v>4</v>
      </c>
      <c r="B21" s="14" t="n">
        <v>137770.17228126264</v>
      </c>
      <c r="C21" s="14" t="n">
        <v>15619.13905221454</v>
      </c>
      <c r="D21" s="14" t="n">
        <v>6402.52488774559</v>
      </c>
      <c r="E21" s="14">
        <f si="11" t="shared"/>
        <v>159791.83622122277</v>
      </c>
      <c r="F21" s="14"/>
      <c r="G21" s="14"/>
      <c r="H21" s="95">
        <f si="9" t="shared"/>
        <v>4</v>
      </c>
      <c r="I21" s="14" t="n">
        <v>159441.0</v>
      </c>
      <c r="J21" s="14" t="n">
        <v>20012.0</v>
      </c>
      <c r="K21" s="14" t="n">
        <v>11149.0</v>
      </c>
      <c r="L21" s="14">
        <f si="12" t="shared"/>
        <v>188360</v>
      </c>
      <c r="O21" s="95">
        <f si="10" t="shared"/>
        <v>4</v>
      </c>
      <c r="P21" s="14">
        <f si="13" t="shared"/>
        <v>20529.827718737361</v>
      </c>
      <c r="Q21" s="14">
        <f si="14" t="shared"/>
        <v>3220.8609477854607</v>
      </c>
      <c r="R21" s="14">
        <f si="15" t="shared"/>
        <v>4817.4751122544103</v>
      </c>
      <c r="S21" s="14">
        <f si="16" t="shared"/>
        <v>28568.163778777234</v>
      </c>
    </row>
    <row r="22" spans="1:19" x14ac:dyDescent="0.25">
      <c r="A22">
        <f si="8" t="shared"/>
        <v>5</v>
      </c>
      <c r="B22" s="14" t="n">
        <v>73218.18672962855</v>
      </c>
      <c r="C22" s="14" t="n">
        <v>9371.099595845422</v>
      </c>
      <c r="D22" s="14" t="n">
        <v>2583.0631178512403</v>
      </c>
      <c r="E22" s="14">
        <f si="11" t="shared"/>
        <v>85172.34944332522</v>
      </c>
      <c r="F22" s="14"/>
      <c r="G22" s="14"/>
      <c r="H22" s="95">
        <f si="9" t="shared"/>
        <v>5</v>
      </c>
      <c r="I22" s="14" t="n">
        <v>88609.0</v>
      </c>
      <c r="J22" s="14" t="n">
        <v>10377.0</v>
      </c>
      <c r="K22" s="14" t="n">
        <v>3687.0</v>
      </c>
      <c r="L22" s="14">
        <f si="12" t="shared"/>
        <v>103300</v>
      </c>
      <c r="O22" s="95">
        <f si="10" t="shared"/>
        <v>5</v>
      </c>
      <c r="P22" s="14">
        <f si="13" t="shared"/>
        <v>15521.813270371451</v>
      </c>
      <c r="Q22" s="14">
        <f si="14" t="shared"/>
        <v>1408.9004041545777</v>
      </c>
      <c r="R22" s="14">
        <f si="15" t="shared"/>
        <v>1196.9368821487597</v>
      </c>
      <c r="S22" s="14">
        <f si="16" t="shared"/>
        <v>18127.65055667478</v>
      </c>
    </row>
    <row r="23" spans="1:19" x14ac:dyDescent="0.25">
      <c r="A23">
        <f si="8" t="shared"/>
        <v>6</v>
      </c>
      <c r="B23" s="15" t="n">
        <v>88521.93978408138</v>
      </c>
      <c r="C23" s="15" t="n">
        <v>14315.179648363242</v>
      </c>
      <c r="D23" s="15" t="n">
        <v>3707.5879208774845</v>
      </c>
      <c r="E23" s="14">
        <f si="11" t="shared"/>
        <v>106544.70735332211</v>
      </c>
      <c r="F23" s="14"/>
      <c r="G23" s="14"/>
      <c r="H23" s="95">
        <f si="9" t="shared"/>
        <v>6</v>
      </c>
      <c r="I23" s="15" t="n">
        <v>107501.0</v>
      </c>
      <c r="J23" s="15" t="n">
        <v>17263.0</v>
      </c>
      <c r="K23" s="15" t="n">
        <v>6216.0</v>
      </c>
      <c r="L23" s="14">
        <f si="12" t="shared"/>
        <v>131880</v>
      </c>
      <c r="O23" s="95">
        <f si="10" t="shared"/>
        <v>6</v>
      </c>
      <c r="P23" s="14">
        <f si="13" t="shared"/>
        <v>20238.060215918624</v>
      </c>
      <c r="Q23" s="14">
        <f si="14" t="shared"/>
        <v>2824.8203516367576</v>
      </c>
      <c r="R23" s="14">
        <f si="15" t="shared"/>
        <v>2272.4120791225155</v>
      </c>
      <c r="S23" s="14">
        <f si="16" t="shared"/>
        <v>25335.292646677888</v>
      </c>
    </row>
    <row customFormat="1" r="24" s="95" spans="1:19" x14ac:dyDescent="0.25">
      <c r="A24" s="6">
        <v>7</v>
      </c>
      <c r="B24" s="16" t="n">
        <v>59624.779145083354</v>
      </c>
      <c r="C24" s="16" t="n">
        <v>6856.728051344406</v>
      </c>
      <c r="D24" s="16" t="n">
        <v>3173.7606718599473</v>
      </c>
      <c r="E24" s="16">
        <f si="11" t="shared"/>
        <v>69655.267868287701</v>
      </c>
      <c r="F24" s="14"/>
      <c r="G24" s="14"/>
      <c r="H24" s="6">
        <v>7</v>
      </c>
      <c r="I24" s="16" t="n">
        <v>70677.0</v>
      </c>
      <c r="J24" s="16" t="n">
        <v>7776.0</v>
      </c>
      <c r="K24" s="16" t="n">
        <v>2287.0</v>
      </c>
      <c r="L24" s="16">
        <f si="12" t="shared"/>
        <v>82260</v>
      </c>
      <c r="O24" s="6">
        <v>7</v>
      </c>
      <c r="P24" s="16">
        <f si="13" t="shared"/>
        <v>13155.220854916646</v>
      </c>
      <c r="Q24" s="16">
        <f si="14" t="shared"/>
        <v>823.27194865559431</v>
      </c>
      <c r="R24" s="16">
        <f si="15" t="shared"/>
        <v>-1373.7606718599473</v>
      </c>
      <c r="S24" s="16">
        <f si="16" t="shared"/>
        <v>12604.732131712299</v>
      </c>
    </row>
    <row ht="15.75" r="25" spans="1:19" thickBot="1" x14ac:dyDescent="0.3">
      <c r="A25" s="17" t="s">
        <v>3</v>
      </c>
      <c r="B25" s="17">
        <f>SUM(B18:B24)</f>
        <v>730161.49805828067</v>
      </c>
      <c r="C25" s="17">
        <f>SUM(C18:C24)</f>
        <v>85562.628466018563</v>
      </c>
      <c r="D25" s="17">
        <f>SUM(D18:D24)</f>
        <v>28264.037066045741</v>
      </c>
      <c r="E25" s="17">
        <f>SUM(E18:E24)</f>
        <v>843988.16359034483</v>
      </c>
      <c r="F25" s="14"/>
      <c r="G25" s="14"/>
      <c r="H25" s="17" t="s">
        <v>3</v>
      </c>
      <c r="I25" s="17">
        <f>SUM(I18:I24)</f>
        <v>850840</v>
      </c>
      <c r="J25" s="17">
        <f>SUM(J18:J24)</f>
        <v>108560</v>
      </c>
      <c r="K25" s="17">
        <f>SUM(K18:K24)</f>
        <v>40480</v>
      </c>
      <c r="L25" s="17">
        <f>SUM(L18:L24)</f>
        <v>999880</v>
      </c>
      <c r="O25" s="17" t="s">
        <v>3</v>
      </c>
      <c r="P25" s="17">
        <f>I25-B25</f>
        <v>120678.50194171933</v>
      </c>
      <c r="Q25" s="17">
        <f>J25-C25</f>
        <v>22997.371533981437</v>
      </c>
      <c r="R25" s="17">
        <f>K25-D25</f>
        <v>12215.962933954259</v>
      </c>
      <c r="S25" s="17">
        <f>L25-E25</f>
        <v>155891.83640965517</v>
      </c>
    </row>
    <row ht="15.75" r="27" spans="1:19" thickBot="1" x14ac:dyDescent="0.3">
      <c r="A27" s="4" t="s">
        <v>207</v>
      </c>
      <c r="B27" s="1"/>
      <c r="C27" s="1"/>
      <c r="D27" s="1"/>
      <c r="E27" s="1"/>
      <c r="H27" s="4" t="s">
        <v>39</v>
      </c>
      <c r="I27" s="1"/>
      <c r="J27" s="1"/>
      <c r="K27" s="1"/>
      <c r="L27" s="1"/>
      <c r="O27" s="4" t="s">
        <v>55</v>
      </c>
      <c r="P27" s="1"/>
      <c r="Q27" s="1"/>
      <c r="R27" s="1"/>
      <c r="S27" s="1"/>
    </row>
    <row r="28" spans="1:19" x14ac:dyDescent="0.25">
      <c r="A28" s="2"/>
      <c r="B28" s="3" t="s">
        <v>8</v>
      </c>
      <c r="C28" s="3" t="s">
        <v>9</v>
      </c>
      <c r="D28" s="3" t="s">
        <v>10</v>
      </c>
      <c r="E28" s="3" t="s">
        <v>3</v>
      </c>
      <c r="H28" s="2"/>
      <c r="I28" s="3" t="s">
        <v>8</v>
      </c>
      <c r="J28" s="3" t="s">
        <v>9</v>
      </c>
      <c r="K28" s="3" t="s">
        <v>10</v>
      </c>
      <c r="L28" s="3" t="s">
        <v>3</v>
      </c>
      <c r="O28" s="2"/>
      <c r="P28" s="3" t="s">
        <v>8</v>
      </c>
      <c r="Q28" s="3" t="s">
        <v>9</v>
      </c>
      <c r="R28" s="3" t="s">
        <v>10</v>
      </c>
      <c r="S28" s="3" t="s">
        <v>3</v>
      </c>
    </row>
    <row r="29" spans="1:19" x14ac:dyDescent="0.25">
      <c r="A29" s="95">
        <f ref="A29:A34" si="17" t="shared">A18</f>
        <v>1</v>
      </c>
      <c r="B29" s="21">
        <f ref="B29:E36" si="18" t="shared">IF(B18&gt;0,B7/B18,0)</f>
        <v>2.109426080819311E-2</v>
      </c>
      <c r="C29" s="21">
        <f si="18" t="shared"/>
        <v>0.12849844957131584</v>
      </c>
      <c r="D29" s="21">
        <f si="18" t="shared"/>
        <v>4.3452952998186425E-2</v>
      </c>
      <c r="E29" s="21">
        <f si="18" t="shared"/>
        <v>3.221113660852204E-2</v>
      </c>
      <c r="F29" s="21"/>
      <c r="G29" s="21"/>
      <c r="H29" s="95">
        <f ref="H29:H34" si="19" t="shared">H18</f>
        <v>1</v>
      </c>
      <c r="I29" s="21">
        <f ref="I29:L36" si="20" t="shared">IF(I18&gt;0,I7/I18,0)</f>
        <v>5.0067106261305949E-2</v>
      </c>
      <c r="J29" s="21">
        <f si="20" t="shared"/>
        <v>0.14123305640577175</v>
      </c>
      <c r="K29" s="21">
        <f si="20" t="shared"/>
        <v>3.669724770642202E-2</v>
      </c>
      <c r="L29" s="21">
        <f si="20" t="shared"/>
        <v>5.9890028235993459E-2</v>
      </c>
      <c r="O29" s="95">
        <f ref="O29:O34" si="21" t="shared">O18</f>
        <v>1</v>
      </c>
      <c r="P29" s="21">
        <f>I29-B29</f>
        <v>2.8972845453112839E-2</v>
      </c>
      <c r="Q29" s="21">
        <f>J29-C29</f>
        <v>1.2734606834455903E-2</v>
      </c>
      <c r="R29" s="21">
        <f>K29-D29</f>
        <v>-6.755705291764405E-3</v>
      </c>
      <c r="S29" s="21">
        <f>L29-E29</f>
        <v>2.7678891627471419E-2</v>
      </c>
    </row>
    <row r="30" spans="1:19" x14ac:dyDescent="0.25">
      <c r="A30" s="95">
        <f si="17" t="shared"/>
        <v>2</v>
      </c>
      <c r="B30" s="21">
        <f si="18" t="shared"/>
        <v>7.8345866376654492E-3</v>
      </c>
      <c r="C30" s="21">
        <f si="18" t="shared"/>
        <v>9.9057265397544392E-2</v>
      </c>
      <c r="D30" s="21">
        <f si="18" t="shared"/>
        <v>0.16237584307421607</v>
      </c>
      <c r="E30" s="21">
        <f si="18" t="shared"/>
        <v>1.7980085019115712E-2</v>
      </c>
      <c r="F30" s="21"/>
      <c r="G30" s="21"/>
      <c r="H30" s="95">
        <f si="19" t="shared"/>
        <v>2</v>
      </c>
      <c r="I30" s="21">
        <f si="20" t="shared"/>
        <v>6.3464837049742706E-2</v>
      </c>
      <c r="J30" s="21">
        <f si="20" t="shared"/>
        <v>0.12941176470588237</v>
      </c>
      <c r="K30" s="21">
        <f si="20" t="shared"/>
        <v>3.8461538461538464E-2</v>
      </c>
      <c r="L30" s="21">
        <f si="20" t="shared"/>
        <v>6.9043151969981245E-2</v>
      </c>
      <c r="O30" s="95">
        <f si="21" t="shared"/>
        <v>2</v>
      </c>
      <c r="P30" s="21">
        <f ref="P30:P35" si="22" t="shared">I30-B30</f>
        <v>5.5630250412077253E-2</v>
      </c>
      <c r="Q30" s="21">
        <f ref="Q30:Q35" si="23" t="shared">J30-C30</f>
        <v>3.0354499308337973E-2</v>
      </c>
      <c r="R30" s="21">
        <f ref="R30:R35" si="24" t="shared">K30-D30</f>
        <v>-0.12391430461267761</v>
      </c>
      <c r="S30" s="21">
        <f ref="S30:S35" si="25" t="shared">L30-E30</f>
        <v>5.1063066950865529E-2</v>
      </c>
    </row>
    <row r="31" spans="1:19" x14ac:dyDescent="0.25">
      <c r="A31" s="95">
        <f si="17" t="shared"/>
        <v>3</v>
      </c>
      <c r="B31" s="21">
        <f si="18" t="shared"/>
        <v>9.0865252600585387E-3</v>
      </c>
      <c r="C31" s="21">
        <f si="18" t="shared"/>
        <v>0</v>
      </c>
      <c r="D31" s="21">
        <f si="18" t="shared"/>
        <v>0</v>
      </c>
      <c r="E31" s="21">
        <f si="18" t="shared"/>
        <v>8.3127144623473381E-3</v>
      </c>
      <c r="F31" s="21"/>
      <c r="G31" s="21"/>
      <c r="H31" s="95">
        <f si="19" t="shared"/>
        <v>3</v>
      </c>
      <c r="I31" s="21">
        <f si="20" t="shared"/>
        <v>5.9610705596107053E-2</v>
      </c>
      <c r="J31" s="21">
        <f si="20" t="shared"/>
        <v>0.1951219512195122</v>
      </c>
      <c r="K31" s="21">
        <f si="20" t="shared"/>
        <v>9.0909090909090912E-2</v>
      </c>
      <c r="L31" s="21">
        <f si="20" t="shared"/>
        <v>7.235421166306695E-2</v>
      </c>
      <c r="O31" s="95">
        <f si="21" t="shared"/>
        <v>3</v>
      </c>
      <c r="P31" s="21">
        <f si="22" t="shared"/>
        <v>5.052418033604851E-2</v>
      </c>
      <c r="Q31" s="21">
        <f si="23" t="shared"/>
        <v>0.1951219512195122</v>
      </c>
      <c r="R31" s="21">
        <f si="24" t="shared"/>
        <v>9.0909090909090912E-2</v>
      </c>
      <c r="S31" s="21">
        <f si="25" t="shared"/>
        <v>6.404149720071961E-2</v>
      </c>
    </row>
    <row r="32" spans="1:19" x14ac:dyDescent="0.25">
      <c r="A32" s="95">
        <f si="17" t="shared"/>
        <v>4</v>
      </c>
      <c r="B32" s="21">
        <f si="18" t="shared"/>
        <v>1.9034713819613292E-2</v>
      </c>
      <c r="C32" s="21">
        <f si="18" t="shared"/>
        <v>9.9006952588265904E-2</v>
      </c>
      <c r="D32" s="21">
        <f si="18" t="shared"/>
        <v>1.3004090398338499E-2</v>
      </c>
      <c r="E32" s="21">
        <f si="18" t="shared"/>
        <v>2.6610108969496324E-2</v>
      </c>
      <c r="F32" s="21"/>
      <c r="G32" s="21"/>
      <c r="H32" s="95">
        <f si="19" t="shared"/>
        <v>4</v>
      </c>
      <c r="I32" s="21">
        <f si="20" t="shared"/>
        <v>4.573594440934934E-2</v>
      </c>
      <c r="J32" s="21">
        <f si="20" t="shared"/>
        <v>0.12208067940552017</v>
      </c>
      <c r="K32" s="21">
        <f si="20" t="shared"/>
        <v>3.9215686274509803E-2</v>
      </c>
      <c r="L32" s="21">
        <f si="20" t="shared"/>
        <v>5.2983648332979402E-2</v>
      </c>
      <c r="O32" s="95">
        <f si="21" t="shared"/>
        <v>4</v>
      </c>
      <c r="P32" s="21">
        <f si="22" t="shared"/>
        <v>2.6701230589736048E-2</v>
      </c>
      <c r="Q32" s="21">
        <f si="23" t="shared"/>
        <v>2.3073726817254267E-2</v>
      </c>
      <c r="R32" s="21">
        <f si="24" t="shared"/>
        <v>2.6211595876171306E-2</v>
      </c>
      <c r="S32" s="21">
        <f si="25" t="shared"/>
        <v>2.6373539363483078E-2</v>
      </c>
    </row>
    <row r="33" spans="1:19" x14ac:dyDescent="0.25">
      <c r="A33" s="95">
        <f si="17" t="shared"/>
        <v>5</v>
      </c>
      <c r="B33" s="21">
        <f si="18" t="shared"/>
        <v>3.0021812489403558E-2</v>
      </c>
      <c r="C33" s="21">
        <f si="18" t="shared"/>
        <v>0.1758746292962084</v>
      </c>
      <c r="D33" s="21">
        <f si="18" t="shared"/>
        <v>3.155361647105543E-2</v>
      </c>
      <c r="E33" s="21">
        <f si="18" t="shared"/>
        <v>4.6115744709883957E-2</v>
      </c>
      <c r="F33" s="21"/>
      <c r="G33" s="21"/>
      <c r="H33" s="95">
        <f si="19" t="shared"/>
        <v>5</v>
      </c>
      <c r="I33" s="21">
        <f si="20" t="shared"/>
        <v>5.2738336713995942E-2</v>
      </c>
      <c r="J33" s="21">
        <f si="20" t="shared"/>
        <v>0.15213358070500926</v>
      </c>
      <c r="K33" s="21">
        <f si="20" t="shared"/>
        <v>5.8201058201058198E-2</v>
      </c>
      <c r="L33" s="21">
        <f si="20" t="shared"/>
        <v>6.3310745401742502E-2</v>
      </c>
      <c r="O33" s="95">
        <f si="21" t="shared"/>
        <v>5</v>
      </c>
      <c r="P33" s="21">
        <f si="22" t="shared"/>
        <v>2.2716524224592385E-2</v>
      </c>
      <c r="Q33" s="21">
        <f si="23" t="shared"/>
        <v>-2.3741048591199132E-2</v>
      </c>
      <c r="R33" s="21">
        <f si="24" t="shared"/>
        <v>2.6647441730002767E-2</v>
      </c>
      <c r="S33" s="21">
        <f si="25" t="shared"/>
        <v>1.7195000691858545E-2</v>
      </c>
    </row>
    <row r="34" spans="1:19" x14ac:dyDescent="0.25">
      <c r="A34" s="95">
        <f si="17" t="shared"/>
        <v>6</v>
      </c>
      <c r="B34" s="21">
        <f si="18" t="shared"/>
        <v>3.7611144467849578E-2</v>
      </c>
      <c r="C34" s="21">
        <f si="18" t="shared"/>
        <v>6.6669787117694515E-2</v>
      </c>
      <c r="D34" s="21">
        <f si="18" t="shared"/>
        <v>0</v>
      </c>
      <c r="E34" s="21">
        <f si="18" t="shared"/>
        <v>4.020660952491438E-2</v>
      </c>
      <c r="F34" s="21"/>
      <c r="G34" s="21"/>
      <c r="H34" s="95">
        <f si="19" t="shared"/>
        <v>6</v>
      </c>
      <c r="I34" s="21">
        <f si="20" t="shared"/>
        <v>4.7995586612725266E-2</v>
      </c>
      <c r="J34" s="21">
        <f si="20" t="shared"/>
        <v>0.17269544924154026</v>
      </c>
      <c r="K34" s="21">
        <f si="20" t="shared"/>
        <v>6.6889632107023408E-2</v>
      </c>
      <c r="L34" s="21">
        <f si="20" t="shared"/>
        <v>6.5059144676979069E-2</v>
      </c>
      <c r="O34" s="95">
        <f si="21" t="shared"/>
        <v>6</v>
      </c>
      <c r="P34" s="21">
        <f si="22" t="shared"/>
        <v>1.0384442144875689E-2</v>
      </c>
      <c r="Q34" s="21">
        <f si="23" t="shared"/>
        <v>0.10602566212384575</v>
      </c>
      <c r="R34" s="21">
        <f si="24" t="shared"/>
        <v>6.6889632107023408E-2</v>
      </c>
      <c r="S34" s="21">
        <f si="25" t="shared"/>
        <v>2.4852535152064689E-2</v>
      </c>
    </row>
    <row customFormat="1" r="35" s="95" spans="1:19" x14ac:dyDescent="0.25">
      <c r="A35" s="6">
        <v>7</v>
      </c>
      <c r="B35" s="94">
        <f si="18" t="shared"/>
        <v>3.0129418696834033E-2</v>
      </c>
      <c r="C35" s="94">
        <f si="18" t="shared"/>
        <v>0.12758866406769961</v>
      </c>
      <c r="D35" s="94">
        <f si="18" t="shared"/>
        <v>0</v>
      </c>
      <c r="E35" s="94">
        <f si="18" t="shared"/>
        <v>3.8350304137315716E-2</v>
      </c>
      <c r="F35" s="21"/>
      <c r="G35" s="21"/>
      <c r="H35" s="6">
        <v>7</v>
      </c>
      <c r="I35" s="94">
        <f si="20" t="shared"/>
        <v>5.5509755427315198E-2</v>
      </c>
      <c r="J35" s="94">
        <f si="20" t="shared"/>
        <v>0.14322916666666666</v>
      </c>
      <c r="K35" s="94">
        <f si="20" t="shared"/>
        <v>4.4444444444444446E-2</v>
      </c>
      <c r="L35" s="94">
        <f si="20" t="shared"/>
        <v>6.3457330415754923E-2</v>
      </c>
      <c r="O35" s="6">
        <v>7</v>
      </c>
      <c r="P35" s="94">
        <f si="22" t="shared"/>
        <v>2.5380336730481165E-2</v>
      </c>
      <c r="Q35" s="94">
        <f si="23" t="shared"/>
        <v>1.5640502598967043E-2</v>
      </c>
      <c r="R35" s="94">
        <f si="24" t="shared"/>
        <v>4.4444444444444446E-2</v>
      </c>
      <c r="S35" s="94">
        <f si="25" t="shared"/>
        <v>2.5107026278439207E-2</v>
      </c>
    </row>
    <row ht="15.75" r="36" spans="1:19" thickBot="1" x14ac:dyDescent="0.3">
      <c r="A36" s="17" t="s">
        <v>3</v>
      </c>
      <c r="B36" s="22">
        <f si="18" t="shared"/>
        <v>2.3103974953467405E-2</v>
      </c>
      <c r="C36" s="22">
        <f si="18" t="shared"/>
        <v>0.11285919042215743</v>
      </c>
      <c r="D36" s="22">
        <f si="18" t="shared"/>
        <v>2.8230961583967921E-2</v>
      </c>
      <c r="E36" s="22">
        <f si="18" t="shared"/>
        <v>3.2374959822390838E-2</v>
      </c>
      <c r="F36" s="7"/>
      <c r="H36" s="17" t="s">
        <v>3</v>
      </c>
      <c r="I36" s="22">
        <f si="20" t="shared"/>
        <v>5.0843871938319775E-2</v>
      </c>
      <c r="J36" s="22">
        <f si="20" t="shared"/>
        <v>0.14517317612380251</v>
      </c>
      <c r="K36" s="22">
        <f si="20" t="shared"/>
        <v>4.5454545454545456E-2</v>
      </c>
      <c r="L36" s="22">
        <f si="20" t="shared"/>
        <v>6.086730407648918E-2</v>
      </c>
      <c r="O36" s="17" t="s">
        <v>3</v>
      </c>
      <c r="P36" s="22">
        <f>I36-B36</f>
        <v>2.773989698485237E-2</v>
      </c>
      <c r="Q36" s="22">
        <f>J36-C36</f>
        <v>3.2313985701645079E-2</v>
      </c>
      <c r="R36" s="22">
        <f>K36-D36</f>
        <v>1.7223583870577534E-2</v>
      </c>
      <c r="S36" s="22">
        <f>L36-E36</f>
        <v>2.8492344254098342E-2</v>
      </c>
    </row>
  </sheetData>
  <pageMargins bottom="0.75" footer="0.3" header="0.3" left="0.7" right="0.7" top="0.75"/>
  <pageSetup orientation="portrait" r:id="rId1"/>
  <ignoredErrors>
    <ignoredError formulaRange="1" sqref="E7:E12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T48"/>
  <sheetViews>
    <sheetView workbookViewId="0">
      <selection activeCell="N35" sqref="N35"/>
    </sheetView>
  </sheetViews>
  <sheetFormatPr defaultColWidth="8.85546875" defaultRowHeight="15" x14ac:dyDescent="0.25"/>
  <cols>
    <col min="1" max="16384" style="98" width="8.85546875" collapsed="true"/>
  </cols>
  <sheetData>
    <row r="1" spans="1:19" x14ac:dyDescent="0.25">
      <c r="A1" s="98" t="s">
        <v>415</v>
      </c>
    </row>
    <row r="2" spans="1:19" x14ac:dyDescent="0.25">
      <c r="A2" s="98" t="s">
        <v>247</v>
      </c>
    </row>
    <row r="3" spans="1:19" x14ac:dyDescent="0.25">
      <c r="A3" s="98" t="s">
        <v>416</v>
      </c>
    </row>
    <row ht="15.75" r="5" spans="1:19" thickBot="1" x14ac:dyDescent="0.3">
      <c r="A5" s="205" t="s">
        <v>417</v>
      </c>
      <c r="B5" s="206"/>
      <c r="C5" s="206"/>
      <c r="D5" s="206"/>
      <c r="E5" s="206"/>
      <c r="H5" s="205" t="s">
        <v>418</v>
      </c>
      <c r="I5" s="206"/>
      <c r="J5" s="206"/>
      <c r="K5" s="206"/>
      <c r="L5" s="206"/>
      <c r="O5" s="205" t="s">
        <v>419</v>
      </c>
      <c r="P5" s="206"/>
      <c r="Q5" s="206"/>
      <c r="R5" s="206"/>
      <c r="S5" s="206"/>
    </row>
    <row r="6" spans="1:19" x14ac:dyDescent="0.25">
      <c r="A6" s="207" t="s">
        <v>420</v>
      </c>
      <c r="B6" s="208" t="s">
        <v>8</v>
      </c>
      <c r="C6" s="208" t="s">
        <v>9</v>
      </c>
      <c r="D6" s="208" t="s">
        <v>10</v>
      </c>
      <c r="E6" s="208" t="s">
        <v>3</v>
      </c>
      <c r="H6" s="207" t="str">
        <f ref="H6:H17" si="0" t="shared">A6</f>
        <v>County/District</v>
      </c>
      <c r="I6" s="208" t="s">
        <v>8</v>
      </c>
      <c r="J6" s="208" t="s">
        <v>9</v>
      </c>
      <c r="K6" s="208" t="s">
        <v>10</v>
      </c>
      <c r="L6" s="208" t="s">
        <v>3</v>
      </c>
      <c r="O6" s="207" t="str">
        <f>A6</f>
        <v>County/District</v>
      </c>
      <c r="P6" s="208" t="s">
        <v>8</v>
      </c>
      <c r="Q6" s="208" t="s">
        <v>9</v>
      </c>
      <c r="R6" s="208" t="s">
        <v>10</v>
      </c>
      <c r="S6" s="208" t="s">
        <v>3</v>
      </c>
    </row>
    <row r="7" spans="1:19" x14ac:dyDescent="0.25">
      <c r="A7" s="99">
        <v>1</v>
      </c>
      <c r="B7" s="209">
        <v>0</v>
      </c>
      <c r="C7" s="209">
        <v>0</v>
      </c>
      <c r="D7" s="209">
        <v>0</v>
      </c>
      <c r="E7" s="209">
        <f ref="E7:E17" si="1" t="shared">SUM(B7:D7)</f>
        <v>0</v>
      </c>
      <c r="F7" s="209"/>
      <c r="G7" s="209"/>
      <c r="H7" s="98">
        <f si="0" t="shared"/>
        <v>1</v>
      </c>
      <c r="I7" s="209" t="n">
        <v>56267.0</v>
      </c>
      <c r="J7" s="209" t="n">
        <v>6213.0</v>
      </c>
      <c r="K7" s="209" t="n">
        <v>2487.0</v>
      </c>
      <c r="L7" s="209">
        <f ref="L7:L17" si="2" t="shared">SUM(I7:K7)</f>
        <v>63740</v>
      </c>
      <c r="O7" s="98">
        <f ref="O7:O17" si="3" t="shared">H7</f>
        <v>1</v>
      </c>
      <c r="P7" s="209"/>
      <c r="Q7" s="209"/>
      <c r="R7" s="209"/>
      <c r="S7" s="209">
        <f ref="S7:S18" si="4" t="shared">L7-E7</f>
        <v>63740</v>
      </c>
    </row>
    <row r="8" spans="1:19" x14ac:dyDescent="0.25">
      <c r="A8" s="98">
        <v>2</v>
      </c>
      <c r="B8" s="209">
        <v>0</v>
      </c>
      <c r="C8" s="209">
        <v>0</v>
      </c>
      <c r="D8" s="209">
        <v>0</v>
      </c>
      <c r="E8" s="209">
        <f si="1" t="shared"/>
        <v>0</v>
      </c>
      <c r="F8" s="209"/>
      <c r="G8" s="209"/>
      <c r="H8" s="98">
        <f si="0" t="shared"/>
        <v>2</v>
      </c>
      <c r="I8" s="209" t="n">
        <v>6848.0</v>
      </c>
      <c r="J8" s="209" t="n">
        <v>586.0</v>
      </c>
      <c r="K8" s="209" t="n">
        <v>222.0</v>
      </c>
      <c r="L8" s="209">
        <f si="2" t="shared"/>
        <v>6740</v>
      </c>
      <c r="O8" s="98">
        <f si="3" t="shared"/>
        <v>2</v>
      </c>
      <c r="P8" s="209"/>
      <c r="Q8" s="209"/>
      <c r="R8" s="209"/>
      <c r="S8" s="209">
        <f si="4" t="shared"/>
        <v>6740</v>
      </c>
    </row>
    <row r="9" spans="1:19" x14ac:dyDescent="0.25">
      <c r="A9" s="98">
        <v>3</v>
      </c>
      <c r="B9" s="209">
        <v>0</v>
      </c>
      <c r="C9" s="209">
        <v>0</v>
      </c>
      <c r="D9" s="209">
        <v>0</v>
      </c>
      <c r="E9" s="209">
        <f si="1" t="shared"/>
        <v>0</v>
      </c>
      <c r="F9" s="209"/>
      <c r="G9" s="209"/>
      <c r="H9" s="98">
        <f si="0" t="shared"/>
        <v>3</v>
      </c>
      <c r="I9" s="209" t="n">
        <v>4819.0</v>
      </c>
      <c r="J9" s="209" t="n">
        <v>422.0</v>
      </c>
      <c r="K9" s="209" t="n">
        <v>125.0</v>
      </c>
      <c r="L9" s="209">
        <f si="2" t="shared"/>
        <v>5620</v>
      </c>
      <c r="O9" s="98">
        <f si="3" t="shared"/>
        <v>3</v>
      </c>
      <c r="P9" s="209"/>
      <c r="Q9" s="209"/>
      <c r="R9" s="209"/>
      <c r="S9" s="209">
        <f si="4" t="shared"/>
        <v>5620</v>
      </c>
    </row>
    <row r="10" spans="1:19" x14ac:dyDescent="0.25">
      <c r="A10" s="98">
        <v>4</v>
      </c>
      <c r="B10" s="209">
        <v>0</v>
      </c>
      <c r="C10" s="209">
        <v>0</v>
      </c>
      <c r="D10" s="209">
        <v>0</v>
      </c>
      <c r="E10" s="209">
        <f si="1" t="shared"/>
        <v>0</v>
      </c>
      <c r="F10" s="209"/>
      <c r="G10" s="209"/>
      <c r="H10" s="98">
        <f si="0" t="shared"/>
        <v>4</v>
      </c>
      <c r="I10" s="209" t="n">
        <v>23908.0</v>
      </c>
      <c r="J10" s="209" t="n">
        <v>2597.0</v>
      </c>
      <c r="K10" s="209" t="n">
        <v>1544.0</v>
      </c>
      <c r="L10" s="209">
        <f si="2" t="shared"/>
        <v>27480</v>
      </c>
      <c r="O10" s="98">
        <f si="3" t="shared"/>
        <v>4</v>
      </c>
      <c r="P10" s="209"/>
      <c r="Q10" s="209"/>
      <c r="R10" s="209"/>
      <c r="S10" s="209">
        <f si="4" t="shared"/>
        <v>27480</v>
      </c>
    </row>
    <row r="11" spans="1:19" x14ac:dyDescent="0.25">
      <c r="A11" s="98">
        <v>5</v>
      </c>
      <c r="B11" s="209">
        <v>0</v>
      </c>
      <c r="C11" s="209">
        <v>0</v>
      </c>
      <c r="D11" s="209">
        <v>0</v>
      </c>
      <c r="E11" s="209">
        <f si="1" t="shared"/>
        <v>0</v>
      </c>
      <c r="F11" s="209"/>
      <c r="G11" s="209"/>
      <c r="H11" s="98">
        <f si="0" t="shared"/>
        <v>5</v>
      </c>
      <c r="I11" s="209" t="n">
        <v>13778.0</v>
      </c>
      <c r="J11" s="209" t="n">
        <v>1373.0</v>
      </c>
      <c r="K11" s="209" t="n">
        <v>555.0</v>
      </c>
      <c r="L11" s="209">
        <f si="2" t="shared"/>
        <v>15400</v>
      </c>
      <c r="O11" s="98">
        <f si="3" t="shared"/>
        <v>5</v>
      </c>
      <c r="P11" s="209"/>
      <c r="Q11" s="209"/>
      <c r="R11" s="209"/>
      <c r="S11" s="209">
        <f si="4" t="shared"/>
        <v>15400</v>
      </c>
    </row>
    <row r="12" spans="1:19" x14ac:dyDescent="0.25">
      <c r="A12" s="98">
        <v>6</v>
      </c>
      <c r="B12" s="209">
        <v>0</v>
      </c>
      <c r="C12" s="209">
        <v>0</v>
      </c>
      <c r="D12" s="209">
        <v>0</v>
      </c>
      <c r="E12" s="209">
        <f si="1" t="shared"/>
        <v>0</v>
      </c>
      <c r="F12" s="209"/>
      <c r="G12" s="209"/>
      <c r="H12" s="98">
        <f si="0" t="shared"/>
        <v>6</v>
      </c>
      <c r="I12" s="209" t="n">
        <v>18620.0</v>
      </c>
      <c r="J12" s="209" t="n">
        <v>2521.0</v>
      </c>
      <c r="K12" s="209" t="n">
        <v>1038.0</v>
      </c>
      <c r="L12" s="209">
        <f si="2" t="shared"/>
        <v>21400</v>
      </c>
      <c r="O12" s="98">
        <f si="3" t="shared"/>
        <v>6</v>
      </c>
      <c r="P12" s="209"/>
      <c r="Q12" s="209"/>
      <c r="R12" s="209"/>
      <c r="S12" s="209">
        <f si="4" t="shared"/>
        <v>21400</v>
      </c>
    </row>
    <row r="13" spans="1:19" x14ac:dyDescent="0.25">
      <c r="A13" s="98">
        <v>7</v>
      </c>
      <c r="B13" s="209">
        <v>0</v>
      </c>
      <c r="C13" s="209">
        <v>0</v>
      </c>
      <c r="D13" s="209">
        <v>0</v>
      </c>
      <c r="E13" s="209">
        <f si="1" t="shared"/>
        <v>0</v>
      </c>
      <c r="F13" s="209"/>
      <c r="G13" s="209"/>
      <c r="H13" s="98">
        <f si="0" t="shared"/>
        <v>7</v>
      </c>
      <c r="I13" s="209" t="n">
        <v>11266.0</v>
      </c>
      <c r="J13" s="209" t="n">
        <v>1004.0</v>
      </c>
      <c r="K13" s="209" t="n">
        <v>333.0</v>
      </c>
      <c r="L13" s="209">
        <f si="2" t="shared"/>
        <v>13560</v>
      </c>
      <c r="O13" s="98">
        <f si="3" t="shared"/>
        <v>7</v>
      </c>
      <c r="P13" s="209"/>
      <c r="Q13" s="209"/>
      <c r="R13" s="209"/>
      <c r="S13" s="209">
        <f si="4" t="shared"/>
        <v>13560</v>
      </c>
    </row>
    <row r="14" spans="1:19" x14ac:dyDescent="0.25">
      <c r="A14" s="98">
        <v>8</v>
      </c>
      <c r="B14" s="209">
        <v>5284.9459619472937</v>
      </c>
      <c r="C14" s="209">
        <v>36.828138704388302</v>
      </c>
      <c r="D14" s="209">
        <v>0</v>
      </c>
      <c r="E14" s="209">
        <f si="1" t="shared"/>
        <v>5321.7741006516817</v>
      </c>
      <c r="F14" s="209"/>
      <c r="G14" s="209"/>
      <c r="H14" s="98">
        <f si="0" t="shared"/>
        <v>8</v>
      </c>
      <c r="I14" s="209" t="n">
        <v>0.0</v>
      </c>
      <c r="J14" s="209" t="n">
        <v>0.0</v>
      </c>
      <c r="K14" s="209" t="n">
        <v>0.0</v>
      </c>
      <c r="L14" s="209">
        <f si="2" t="shared"/>
        <v>0</v>
      </c>
      <c r="O14" s="98">
        <f si="3" t="shared"/>
        <v>8</v>
      </c>
      <c r="P14" s="209"/>
      <c r="Q14" s="209"/>
      <c r="R14" s="209"/>
      <c r="S14" s="209">
        <f si="4" t="shared"/>
        <v>-5321.7741006516817</v>
      </c>
    </row>
    <row r="15" spans="1:19" x14ac:dyDescent="0.25">
      <c r="A15" s="98">
        <v>9</v>
      </c>
      <c r="B15" s="209">
        <v>0</v>
      </c>
      <c r="C15" s="209">
        <v>0</v>
      </c>
      <c r="D15" s="209">
        <v>0</v>
      </c>
      <c r="E15" s="209">
        <f si="1" t="shared"/>
        <v>0</v>
      </c>
      <c r="F15" s="209"/>
      <c r="G15" s="209"/>
      <c r="H15" s="98">
        <f si="0" t="shared"/>
        <v>9</v>
      </c>
      <c r="I15" s="209" t="n">
        <v>0.0</v>
      </c>
      <c r="J15" s="209" t="n">
        <v>0.0</v>
      </c>
      <c r="K15" s="209" t="n">
        <v>0.0</v>
      </c>
      <c r="L15" s="209">
        <f si="2" t="shared"/>
        <v>0</v>
      </c>
      <c r="O15" s="98">
        <f si="3" t="shared"/>
        <v>9</v>
      </c>
      <c r="P15" s="209"/>
      <c r="Q15" s="209"/>
      <c r="R15" s="209"/>
      <c r="S15" s="209">
        <f si="4" t="shared"/>
        <v>0</v>
      </c>
    </row>
    <row r="16" spans="1:19" x14ac:dyDescent="0.25">
      <c r="A16" s="98">
        <v>10</v>
      </c>
      <c r="B16" s="209">
        <v>19175.72917513263</v>
      </c>
      <c r="C16" s="209">
        <v>1727.0483447222211</v>
      </c>
      <c r="D16" s="209">
        <v>95.650391044409204</v>
      </c>
      <c r="E16" s="209">
        <f si="1" t="shared"/>
        <v>20998.42791089926</v>
      </c>
      <c r="F16" s="209"/>
      <c r="G16" s="209"/>
      <c r="H16" s="98">
        <f si="0" t="shared"/>
        <v>10</v>
      </c>
      <c r="I16" s="209" t="n">
        <v>0.0</v>
      </c>
      <c r="J16" s="209" t="n">
        <v>0.0</v>
      </c>
      <c r="K16" s="209" t="n">
        <v>0.0</v>
      </c>
      <c r="L16" s="209">
        <f si="2" t="shared"/>
        <v>0</v>
      </c>
      <c r="O16" s="98">
        <f si="3" t="shared"/>
        <v>10</v>
      </c>
      <c r="P16" s="209"/>
      <c r="Q16" s="209"/>
      <c r="R16" s="209"/>
      <c r="S16" s="209">
        <f si="4" t="shared"/>
        <v>-20998.42791089926</v>
      </c>
    </row>
    <row r="17" spans="1:19" x14ac:dyDescent="0.25">
      <c r="A17" s="210" t="s">
        <v>421</v>
      </c>
      <c r="B17" s="211">
        <v>0</v>
      </c>
      <c r="C17" s="211">
        <v>0</v>
      </c>
      <c r="D17" s="211">
        <v>0</v>
      </c>
      <c r="E17" s="211">
        <f si="1" t="shared"/>
        <v>0</v>
      </c>
      <c r="F17" s="209"/>
      <c r="G17" s="209"/>
      <c r="H17" s="210" t="str">
        <f si="0" t="shared"/>
        <v>Rest</v>
      </c>
      <c r="I17" s="211" t="n">
        <v>0.0</v>
      </c>
      <c r="J17" s="211" t="n">
        <v>0.0</v>
      </c>
      <c r="K17" s="211" t="n">
        <v>0.0</v>
      </c>
      <c r="L17" s="211">
        <f si="2" t="shared"/>
        <v>0</v>
      </c>
      <c r="O17" s="210" t="str">
        <f si="3" t="shared"/>
        <v>Rest</v>
      </c>
      <c r="P17" s="211"/>
      <c r="Q17" s="211"/>
      <c r="R17" s="211"/>
      <c r="S17" s="211">
        <f si="4" t="shared"/>
        <v>0</v>
      </c>
    </row>
    <row ht="15.75" r="18" spans="1:19" thickBot="1" x14ac:dyDescent="0.3">
      <c r="A18" s="212" t="s">
        <v>3</v>
      </c>
      <c r="B18" s="212">
        <f>SUM(B7:B17)</f>
        <v>24460.675137079925</v>
      </c>
      <c r="C18" s="212">
        <f>SUM(C7:C17)</f>
        <v>1763.8764834266094</v>
      </c>
      <c r="D18" s="212">
        <f>SUM(D7:D17)</f>
        <v>95.650391044409204</v>
      </c>
      <c r="E18" s="212">
        <f>SUM(E7:E17)</f>
        <v>26320.20201155094</v>
      </c>
      <c r="F18" s="209"/>
      <c r="G18" s="209"/>
      <c r="H18" s="212" t="s">
        <v>3</v>
      </c>
      <c r="I18" s="212">
        <f>SUM(I7:I17)</f>
        <v>133540</v>
      </c>
      <c r="J18" s="212">
        <f>SUM(J7:J17)</f>
        <v>14220</v>
      </c>
      <c r="K18" s="212">
        <f>SUM(K7:K17)</f>
        <v>6180</v>
      </c>
      <c r="L18" s="212">
        <f>SUM(L7:L17)</f>
        <v>153940</v>
      </c>
      <c r="O18" s="212" t="s">
        <v>3</v>
      </c>
      <c r="P18" s="212">
        <f>I18-B18</f>
        <v>109079.32486292007</v>
      </c>
      <c r="Q18" s="212">
        <f>J18-C18</f>
        <v>12456.123516573391</v>
      </c>
      <c r="R18" s="212">
        <f>K18-D18</f>
        <v>6084.3496089555911</v>
      </c>
      <c r="S18" s="212">
        <f si="4" t="shared"/>
        <v>127619.79798844906</v>
      </c>
    </row>
    <row r="19" spans="1:19" x14ac:dyDescent="0.25"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O19" s="209"/>
      <c r="P19" s="209"/>
      <c r="Q19" s="209"/>
      <c r="R19" s="209"/>
      <c r="S19" s="209"/>
    </row>
    <row ht="15.75" r="20" spans="1:19" thickBot="1" x14ac:dyDescent="0.3">
      <c r="A20" s="205" t="s">
        <v>206</v>
      </c>
      <c r="B20" s="212"/>
      <c r="C20" s="212"/>
      <c r="D20" s="212"/>
      <c r="E20" s="212"/>
      <c r="F20" s="209"/>
      <c r="G20" s="209"/>
      <c r="H20" s="213" t="s">
        <v>38</v>
      </c>
      <c r="I20" s="212"/>
      <c r="J20" s="212"/>
      <c r="K20" s="212"/>
      <c r="L20" s="212"/>
      <c r="O20" s="213" t="s">
        <v>54</v>
      </c>
      <c r="P20" s="212"/>
      <c r="Q20" s="212"/>
      <c r="R20" s="212"/>
      <c r="S20" s="212"/>
    </row>
    <row r="21" spans="1:19" x14ac:dyDescent="0.25">
      <c r="A21" s="207" t="str">
        <f ref="A21:A32" si="5" t="shared">A6</f>
        <v>County/District</v>
      </c>
      <c r="B21" s="208" t="s">
        <v>8</v>
      </c>
      <c r="C21" s="208" t="s">
        <v>9</v>
      </c>
      <c r="D21" s="208" t="s">
        <v>10</v>
      </c>
      <c r="E21" s="208" t="s">
        <v>3</v>
      </c>
      <c r="F21" s="209"/>
      <c r="G21" s="209"/>
      <c r="H21" s="214" t="str">
        <f ref="H21:H32" si="6" t="shared">A21</f>
        <v>County/District</v>
      </c>
      <c r="I21" s="215" t="s">
        <v>8</v>
      </c>
      <c r="J21" s="215" t="s">
        <v>9</v>
      </c>
      <c r="K21" s="215" t="s">
        <v>10</v>
      </c>
      <c r="L21" s="215" t="s">
        <v>3</v>
      </c>
      <c r="O21" s="214" t="str">
        <f>A21</f>
        <v>County/District</v>
      </c>
      <c r="P21" s="215" t="s">
        <v>8</v>
      </c>
      <c r="Q21" s="215" t="s">
        <v>9</v>
      </c>
      <c r="R21" s="215" t="s">
        <v>10</v>
      </c>
      <c r="S21" s="215" t="s">
        <v>3</v>
      </c>
    </row>
    <row r="22" spans="1:19" x14ac:dyDescent="0.25">
      <c r="A22" s="98">
        <f si="5" t="shared"/>
        <v>1</v>
      </c>
      <c r="B22" s="209">
        <v>0</v>
      </c>
      <c r="C22" s="209">
        <v>0</v>
      </c>
      <c r="D22" s="209">
        <v>0</v>
      </c>
      <c r="E22" s="209">
        <f ref="E22:E32" si="7" t="shared">SUM(B22:D22)</f>
        <v>0</v>
      </c>
      <c r="F22" s="209"/>
      <c r="G22" s="209"/>
      <c r="H22" s="98">
        <f si="6" t="shared"/>
        <v>1</v>
      </c>
      <c r="I22" s="209" t="n">
        <v>345320.0</v>
      </c>
      <c r="J22" s="209" t="n">
        <v>44658.0</v>
      </c>
      <c r="K22" s="209" t="n">
        <v>16039.0</v>
      </c>
      <c r="L22" s="209">
        <f ref="L22:L32" si="8" t="shared">SUM(I22:K22)</f>
        <v>403740</v>
      </c>
      <c r="O22" s="98">
        <f ref="O22:O32" si="9" t="shared">H22</f>
        <v>1</v>
      </c>
      <c r="P22" s="209"/>
      <c r="Q22" s="209"/>
      <c r="R22" s="209"/>
      <c r="S22" s="209">
        <f ref="S22:S33" si="10" t="shared">L22-E22</f>
        <v>403740</v>
      </c>
    </row>
    <row r="23" spans="1:19" x14ac:dyDescent="0.25">
      <c r="A23" s="98">
        <f si="5" t="shared"/>
        <v>2</v>
      </c>
      <c r="B23" s="209">
        <v>0</v>
      </c>
      <c r="C23" s="209">
        <v>0</v>
      </c>
      <c r="D23" s="209">
        <v>0</v>
      </c>
      <c r="E23" s="209">
        <f si="7" t="shared"/>
        <v>0</v>
      </c>
      <c r="F23" s="209"/>
      <c r="G23" s="209"/>
      <c r="H23" s="98">
        <f si="6" t="shared"/>
        <v>2</v>
      </c>
      <c r="I23" s="209" t="n">
        <v>47273.0</v>
      </c>
      <c r="J23" s="209" t="n">
        <v>5065.0</v>
      </c>
      <c r="K23" s="209" t="n">
        <v>1533.0</v>
      </c>
      <c r="L23" s="209">
        <f si="8" t="shared"/>
        <v>53300</v>
      </c>
      <c r="O23" s="98">
        <f si="9" t="shared"/>
        <v>2</v>
      </c>
      <c r="P23" s="209"/>
      <c r="Q23" s="209"/>
      <c r="R23" s="209"/>
      <c r="S23" s="209">
        <f si="10" t="shared"/>
        <v>53300</v>
      </c>
    </row>
    <row r="24" spans="1:19" x14ac:dyDescent="0.25">
      <c r="A24" s="98">
        <f si="5" t="shared"/>
        <v>3</v>
      </c>
      <c r="B24" s="209">
        <v>0</v>
      </c>
      <c r="C24" s="209">
        <v>0</v>
      </c>
      <c r="D24" s="209">
        <v>0</v>
      </c>
      <c r="E24" s="209">
        <f si="7" t="shared"/>
        <v>0</v>
      </c>
      <c r="F24" s="209"/>
      <c r="G24" s="209"/>
      <c r="H24" s="98">
        <f si="6" t="shared"/>
        <v>3</v>
      </c>
      <c r="I24" s="209" t="n">
        <v>33194.0</v>
      </c>
      <c r="J24" s="209" t="n">
        <v>3474.0</v>
      </c>
      <c r="K24" s="209" t="n">
        <v>943.0</v>
      </c>
      <c r="L24" s="209">
        <f si="8" t="shared"/>
        <v>37040</v>
      </c>
      <c r="O24" s="98">
        <f si="9" t="shared"/>
        <v>3</v>
      </c>
      <c r="P24" s="209"/>
      <c r="Q24" s="209"/>
      <c r="R24" s="209"/>
      <c r="S24" s="209">
        <f si="10" t="shared"/>
        <v>37040</v>
      </c>
    </row>
    <row r="25" spans="1:19" x14ac:dyDescent="0.25">
      <c r="A25" s="98">
        <f si="5" t="shared"/>
        <v>4</v>
      </c>
      <c r="B25" s="209">
        <v>0</v>
      </c>
      <c r="C25" s="209">
        <v>0</v>
      </c>
      <c r="D25" s="209">
        <v>0</v>
      </c>
      <c r="E25" s="209">
        <f si="7" t="shared"/>
        <v>0</v>
      </c>
      <c r="F25" s="209"/>
      <c r="G25" s="209"/>
      <c r="H25" s="98">
        <f si="6" t="shared"/>
        <v>4</v>
      </c>
      <c r="I25" s="209" t="n">
        <v>159441.0</v>
      </c>
      <c r="J25" s="209" t="n">
        <v>20012.0</v>
      </c>
      <c r="K25" s="209" t="n">
        <v>11149.0</v>
      </c>
      <c r="L25" s="209">
        <f si="8" t="shared"/>
        <v>188360</v>
      </c>
      <c r="O25" s="98">
        <f si="9" t="shared"/>
        <v>4</v>
      </c>
      <c r="P25" s="209"/>
      <c r="Q25" s="209"/>
      <c r="R25" s="209"/>
      <c r="S25" s="209">
        <f si="10" t="shared"/>
        <v>188360</v>
      </c>
    </row>
    <row r="26" spans="1:19" x14ac:dyDescent="0.25">
      <c r="A26" s="98">
        <f si="5" t="shared"/>
        <v>5</v>
      </c>
      <c r="B26" s="209">
        <v>0</v>
      </c>
      <c r="C26" s="209">
        <v>0</v>
      </c>
      <c r="D26" s="209">
        <v>0</v>
      </c>
      <c r="E26" s="209">
        <f si="7" t="shared"/>
        <v>0</v>
      </c>
      <c r="F26" s="209"/>
      <c r="G26" s="209"/>
      <c r="H26" s="98">
        <f si="6" t="shared"/>
        <v>5</v>
      </c>
      <c r="I26" s="209" t="n">
        <v>88609.0</v>
      </c>
      <c r="J26" s="209" t="n">
        <v>10377.0</v>
      </c>
      <c r="K26" s="209" t="n">
        <v>3687.0</v>
      </c>
      <c r="L26" s="209">
        <f si="8" t="shared"/>
        <v>103300</v>
      </c>
      <c r="O26" s="98">
        <f si="9" t="shared"/>
        <v>5</v>
      </c>
      <c r="P26" s="209"/>
      <c r="Q26" s="209"/>
      <c r="R26" s="209"/>
      <c r="S26" s="209">
        <f si="10" t="shared"/>
        <v>103300</v>
      </c>
    </row>
    <row r="27" spans="1:19" x14ac:dyDescent="0.25">
      <c r="A27" s="98">
        <f si="5" t="shared"/>
        <v>6</v>
      </c>
      <c r="B27" s="209">
        <v>0</v>
      </c>
      <c r="C27" s="209">
        <v>0</v>
      </c>
      <c r="D27" s="209">
        <v>0</v>
      </c>
      <c r="E27" s="209">
        <f si="7" t="shared"/>
        <v>0</v>
      </c>
      <c r="F27" s="209"/>
      <c r="G27" s="209"/>
      <c r="H27" s="98">
        <f si="6" t="shared"/>
        <v>6</v>
      </c>
      <c r="I27" s="209" t="n">
        <v>107501.0</v>
      </c>
      <c r="J27" s="209" t="n">
        <v>17263.0</v>
      </c>
      <c r="K27" s="209" t="n">
        <v>6216.0</v>
      </c>
      <c r="L27" s="209">
        <f si="8" t="shared"/>
        <v>131880</v>
      </c>
      <c r="O27" s="98">
        <f si="9" t="shared"/>
        <v>6</v>
      </c>
      <c r="P27" s="209"/>
      <c r="Q27" s="209"/>
      <c r="R27" s="209"/>
      <c r="S27" s="209">
        <f si="10" t="shared"/>
        <v>131880</v>
      </c>
    </row>
    <row r="28" spans="1:19" x14ac:dyDescent="0.25">
      <c r="A28" s="98">
        <f si="5" t="shared"/>
        <v>7</v>
      </c>
      <c r="B28" s="209">
        <v>0</v>
      </c>
      <c r="C28" s="209">
        <v>0</v>
      </c>
      <c r="D28" s="209">
        <v>0</v>
      </c>
      <c r="E28" s="209">
        <f si="7" t="shared"/>
        <v>0</v>
      </c>
      <c r="F28" s="209"/>
      <c r="G28" s="209"/>
      <c r="H28" s="98">
        <f si="6" t="shared"/>
        <v>7</v>
      </c>
      <c r="I28" s="209" t="n">
        <v>70677.0</v>
      </c>
      <c r="J28" s="209" t="n">
        <v>7776.0</v>
      </c>
      <c r="K28" s="209" t="n">
        <v>2287.0</v>
      </c>
      <c r="L28" s="209">
        <f si="8" t="shared"/>
        <v>82260</v>
      </c>
      <c r="O28" s="98">
        <f si="9" t="shared"/>
        <v>7</v>
      </c>
      <c r="P28" s="209"/>
      <c r="Q28" s="209"/>
      <c r="R28" s="209"/>
      <c r="S28" s="209">
        <f si="10" t="shared"/>
        <v>82260</v>
      </c>
    </row>
    <row r="29" spans="1:19" x14ac:dyDescent="0.25">
      <c r="A29" s="98">
        <f si="5" t="shared"/>
        <v>8</v>
      </c>
      <c r="B29" s="209">
        <v>98132.244080397184</v>
      </c>
      <c r="C29" s="209">
        <v>23619.182780257517</v>
      </c>
      <c r="D29" s="209">
        <v>4148.3300824863245</v>
      </c>
      <c r="E29" s="209">
        <f si="7" t="shared"/>
        <v>125899.75694314102</v>
      </c>
      <c r="F29" s="209"/>
      <c r="G29" s="209"/>
      <c r="H29" s="98">
        <f si="6" t="shared"/>
        <v>8</v>
      </c>
      <c r="I29" s="209" t="n">
        <v>0.0</v>
      </c>
      <c r="J29" s="209" t="n">
        <v>0.0</v>
      </c>
      <c r="K29" s="209" t="n">
        <v>0.0</v>
      </c>
      <c r="L29" s="209">
        <f si="8" t="shared"/>
        <v>0</v>
      </c>
      <c r="O29" s="98">
        <f si="9" t="shared"/>
        <v>8</v>
      </c>
      <c r="P29" s="209"/>
      <c r="Q29" s="209"/>
      <c r="R29" s="209"/>
      <c r="S29" s="209">
        <f si="10" t="shared"/>
        <v>-125899.75694314102</v>
      </c>
    </row>
    <row r="30" spans="1:19" x14ac:dyDescent="0.25">
      <c r="A30" s="98">
        <f si="5" t="shared"/>
        <v>9</v>
      </c>
      <c r="B30" s="209">
        <v>0</v>
      </c>
      <c r="C30" s="209">
        <v>0</v>
      </c>
      <c r="D30" s="209">
        <v>0</v>
      </c>
      <c r="E30" s="209">
        <f si="7" t="shared"/>
        <v>0</v>
      </c>
      <c r="F30" s="209"/>
      <c r="G30" s="209"/>
      <c r="H30" s="98">
        <f si="6" t="shared"/>
        <v>9</v>
      </c>
      <c r="I30" s="209" t="n">
        <v>0.0</v>
      </c>
      <c r="J30" s="209" t="n">
        <v>0.0</v>
      </c>
      <c r="K30" s="209" t="n">
        <v>0.0</v>
      </c>
      <c r="L30" s="209">
        <f si="8" t="shared"/>
        <v>0</v>
      </c>
      <c r="O30" s="98">
        <f si="9" t="shared"/>
        <v>9</v>
      </c>
      <c r="P30" s="209"/>
      <c r="Q30" s="209"/>
      <c r="R30" s="209"/>
      <c r="S30" s="209">
        <f si="10" t="shared"/>
        <v>0</v>
      </c>
    </row>
    <row r="31" spans="1:19" x14ac:dyDescent="0.25">
      <c r="A31" s="98">
        <f si="5" t="shared"/>
        <v>10</v>
      </c>
      <c r="B31" s="209">
        <v>211452.75591960264</v>
      </c>
      <c r="C31" s="209">
        <v>34060.81721974253</v>
      </c>
      <c r="D31" s="209">
        <v>8132.560116669415</v>
      </c>
      <c r="E31" s="209">
        <f si="7" t="shared"/>
        <v>253646.13325601458</v>
      </c>
      <c r="F31" s="209"/>
      <c r="G31" s="209"/>
      <c r="H31" s="98">
        <f si="6" t="shared"/>
        <v>10</v>
      </c>
      <c r="I31" s="209" t="n">
        <v>0.0</v>
      </c>
      <c r="J31" s="209" t="n">
        <v>0.0</v>
      </c>
      <c r="K31" s="209" t="n">
        <v>0.0</v>
      </c>
      <c r="L31" s="209">
        <f si="8" t="shared"/>
        <v>0</v>
      </c>
      <c r="O31" s="98">
        <f si="9" t="shared"/>
        <v>10</v>
      </c>
      <c r="P31" s="209"/>
      <c r="Q31" s="209"/>
      <c r="R31" s="209"/>
      <c r="S31" s="209">
        <f si="10" t="shared"/>
        <v>-253646.13325601458</v>
      </c>
    </row>
    <row r="32" spans="1:19" x14ac:dyDescent="0.25">
      <c r="A32" s="210" t="str">
        <f si="5" t="shared"/>
        <v>Rest</v>
      </c>
      <c r="B32" s="211">
        <v>0</v>
      </c>
      <c r="C32" s="211">
        <v>0</v>
      </c>
      <c r="D32" s="211">
        <v>0</v>
      </c>
      <c r="E32" s="211">
        <f si="7" t="shared"/>
        <v>0</v>
      </c>
      <c r="F32" s="209"/>
      <c r="G32" s="209"/>
      <c r="H32" s="210" t="str">
        <f si="6" t="shared"/>
        <v>Rest</v>
      </c>
      <c r="I32" s="211" t="n">
        <v>0.0</v>
      </c>
      <c r="J32" s="211" t="n">
        <v>0.0</v>
      </c>
      <c r="K32" s="211" t="n">
        <v>0.0</v>
      </c>
      <c r="L32" s="211">
        <f si="8" t="shared"/>
        <v>0</v>
      </c>
      <c r="O32" s="210" t="str">
        <f si="9" t="shared"/>
        <v>Rest</v>
      </c>
      <c r="P32" s="211"/>
      <c r="Q32" s="211"/>
      <c r="R32" s="211"/>
      <c r="S32" s="211">
        <f si="10" t="shared"/>
        <v>0</v>
      </c>
    </row>
    <row ht="15.75" r="33" spans="1:19" thickBot="1" x14ac:dyDescent="0.3">
      <c r="A33" s="212" t="s">
        <v>3</v>
      </c>
      <c r="B33" s="212">
        <f>SUM(B22:B32)</f>
        <v>309584.99999999983</v>
      </c>
      <c r="C33" s="212">
        <f>SUM(C22:C32)</f>
        <v>57680.000000000044</v>
      </c>
      <c r="D33" s="212">
        <f>SUM(D22:D32)</f>
        <v>12280.89019915574</v>
      </c>
      <c r="E33" s="212">
        <f>SUM(E22:E32)</f>
        <v>379545.8901991556</v>
      </c>
      <c r="F33" s="209"/>
      <c r="G33" s="209"/>
      <c r="H33" s="212" t="s">
        <v>3</v>
      </c>
      <c r="I33" s="212">
        <f>SUM(I22:I32)</f>
        <v>850840</v>
      </c>
      <c r="J33" s="212">
        <f>SUM(J22:J32)</f>
        <v>108560</v>
      </c>
      <c r="K33" s="212">
        <f>SUM(K22:K32)</f>
        <v>40480</v>
      </c>
      <c r="L33" s="212">
        <f>SUM(L22:L32)</f>
        <v>999880</v>
      </c>
      <c r="O33" s="212" t="s">
        <v>3</v>
      </c>
      <c r="P33" s="212">
        <f>I33-B33</f>
        <v>541255.00000000023</v>
      </c>
      <c r="Q33" s="212">
        <f>J33-C33</f>
        <v>50879.999999999956</v>
      </c>
      <c r="R33" s="212">
        <f>K33-D33</f>
        <v>28199.10980084426</v>
      </c>
      <c r="S33" s="212">
        <f si="10" t="shared"/>
        <v>620334.10980084445</v>
      </c>
    </row>
    <row ht="15.75" r="35" spans="1:19" thickBot="1" x14ac:dyDescent="0.3">
      <c r="A35" s="205" t="s">
        <v>422</v>
      </c>
      <c r="B35" s="206"/>
      <c r="C35" s="206"/>
      <c r="D35" s="206"/>
      <c r="E35" s="206"/>
      <c r="H35" s="205" t="s">
        <v>423</v>
      </c>
      <c r="I35" s="206"/>
      <c r="J35" s="206"/>
      <c r="K35" s="206"/>
      <c r="L35" s="206"/>
      <c r="O35" s="205" t="s">
        <v>424</v>
      </c>
      <c r="P35" s="206"/>
      <c r="Q35" s="206"/>
      <c r="R35" s="206"/>
      <c r="S35" s="206"/>
    </row>
    <row r="36" spans="1:19" x14ac:dyDescent="0.25">
      <c r="A36" s="207" t="str">
        <f ref="A36:A47" si="11" t="shared">A21</f>
        <v>County/District</v>
      </c>
      <c r="B36" s="208" t="s">
        <v>8</v>
      </c>
      <c r="C36" s="208" t="s">
        <v>9</v>
      </c>
      <c r="D36" s="208" t="s">
        <v>10</v>
      </c>
      <c r="E36" s="208" t="s">
        <v>3</v>
      </c>
      <c r="H36" s="207" t="str">
        <f ref="H36:H47" si="12" t="shared">A36</f>
        <v>County/District</v>
      </c>
      <c r="I36" s="208" t="s">
        <v>8</v>
      </c>
      <c r="J36" s="208" t="s">
        <v>9</v>
      </c>
      <c r="K36" s="208" t="s">
        <v>10</v>
      </c>
      <c r="L36" s="208" t="s">
        <v>3</v>
      </c>
      <c r="O36" s="207"/>
      <c r="P36" s="208" t="s">
        <v>8</v>
      </c>
      <c r="Q36" s="208" t="s">
        <v>9</v>
      </c>
      <c r="R36" s="208" t="s">
        <v>10</v>
      </c>
      <c r="S36" s="208" t="s">
        <v>3</v>
      </c>
    </row>
    <row r="37" spans="1:19" x14ac:dyDescent="0.25">
      <c r="A37" s="98">
        <f si="11" t="shared"/>
        <v>1</v>
      </c>
      <c r="B37" s="216">
        <f ref="B37:E48" si="13" t="shared">IFERROR(B7/B22,0)</f>
        <v>0</v>
      </c>
      <c r="C37" s="216">
        <f si="13" t="shared"/>
        <v>0</v>
      </c>
      <c r="D37" s="216">
        <f si="13" t="shared"/>
        <v>0</v>
      </c>
      <c r="E37" s="216">
        <f si="13" t="shared"/>
        <v>0</v>
      </c>
      <c r="F37" s="217"/>
      <c r="G37" s="217"/>
      <c r="H37" s="98">
        <f si="12" t="shared"/>
        <v>1</v>
      </c>
      <c r="I37" s="216">
        <f ref="I37:L48" si="14" t="shared">IFERROR(I7/I22,0)</f>
        <v>0.16070490751006594</v>
      </c>
      <c r="J37" s="216">
        <f si="14" t="shared"/>
        <v>0.1355487538259729</v>
      </c>
      <c r="K37" s="216">
        <f si="14" t="shared"/>
        <v>0.16120576671035386</v>
      </c>
      <c r="L37" s="216">
        <f si="14" t="shared"/>
        <v>0.15787387922920693</v>
      </c>
      <c r="O37" s="98">
        <f ref="O37:O47" si="15" t="shared">H37</f>
        <v>1</v>
      </c>
      <c r="P37" s="217">
        <f ref="P37:P48" si="16" t="shared">I37-B37</f>
        <v>0.16070490751006594</v>
      </c>
      <c r="Q37" s="217">
        <f ref="Q37:Q48" si="17" t="shared">J37-C37</f>
        <v>0.1355487538259729</v>
      </c>
      <c r="R37" s="217">
        <f ref="R37:R48" si="18" t="shared">K37-D37</f>
        <v>0.16120576671035386</v>
      </c>
      <c r="S37" s="217">
        <f ref="S37:S48" si="19" t="shared">L37-E37</f>
        <v>0.15787387922920693</v>
      </c>
    </row>
    <row r="38" spans="1:19" x14ac:dyDescent="0.25">
      <c r="A38" s="98">
        <f si="11" t="shared"/>
        <v>2</v>
      </c>
      <c r="B38" s="217">
        <f si="13" t="shared"/>
        <v>0</v>
      </c>
      <c r="C38" s="217">
        <f si="13" t="shared"/>
        <v>0</v>
      </c>
      <c r="D38" s="217">
        <f si="13" t="shared"/>
        <v>0</v>
      </c>
      <c r="E38" s="217">
        <f si="13" t="shared"/>
        <v>0</v>
      </c>
      <c r="F38" s="217"/>
      <c r="G38" s="217"/>
      <c r="H38" s="98">
        <f si="12" t="shared"/>
        <v>2</v>
      </c>
      <c r="I38" s="217">
        <f si="14" t="shared"/>
        <v>0.12993138936535162</v>
      </c>
      <c r="J38" s="217">
        <f si="14" t="shared"/>
        <v>9.8039215686274508E-2</v>
      </c>
      <c r="K38" s="217">
        <f si="14" t="shared"/>
        <v>0.11538461538461539</v>
      </c>
      <c r="L38" s="217">
        <f si="14" t="shared"/>
        <v>0.12645403377110695</v>
      </c>
      <c r="O38" s="98">
        <f si="15" t="shared"/>
        <v>2</v>
      </c>
      <c r="P38" s="217">
        <f si="16" t="shared"/>
        <v>0.12993138936535162</v>
      </c>
      <c r="Q38" s="217">
        <f si="17" t="shared"/>
        <v>9.8039215686274508E-2</v>
      </c>
      <c r="R38" s="217">
        <f si="18" t="shared"/>
        <v>0.11538461538461539</v>
      </c>
      <c r="S38" s="217">
        <f si="19" t="shared"/>
        <v>0.12645403377110695</v>
      </c>
    </row>
    <row r="39" spans="1:19" x14ac:dyDescent="0.25">
      <c r="A39" s="98">
        <f si="11" t="shared"/>
        <v>3</v>
      </c>
      <c r="B39" s="217">
        <f si="13" t="shared"/>
        <v>0</v>
      </c>
      <c r="C39" s="217">
        <f si="13" t="shared"/>
        <v>0</v>
      </c>
      <c r="D39" s="217">
        <f si="13" t="shared"/>
        <v>0</v>
      </c>
      <c r="E39" s="217">
        <f si="13" t="shared"/>
        <v>0</v>
      </c>
      <c r="F39" s="217"/>
      <c r="G39" s="217"/>
      <c r="H39" s="98">
        <f si="12" t="shared"/>
        <v>3</v>
      </c>
      <c r="I39" s="217">
        <f si="14" t="shared"/>
        <v>0.15389294403892945</v>
      </c>
      <c r="J39" s="217">
        <f si="14" t="shared"/>
        <v>0.1402439024390244</v>
      </c>
      <c r="K39" s="217">
        <f si="14" t="shared"/>
        <v>0.11363636363636363</v>
      </c>
      <c r="L39" s="217">
        <f si="14" t="shared"/>
        <v>0.15172786177105832</v>
      </c>
      <c r="O39" s="98">
        <f si="15" t="shared"/>
        <v>3</v>
      </c>
      <c r="P39" s="217">
        <f si="16" t="shared"/>
        <v>0.15389294403892945</v>
      </c>
      <c r="Q39" s="217">
        <f si="17" t="shared"/>
        <v>0.1402439024390244</v>
      </c>
      <c r="R39" s="217">
        <f si="18" t="shared"/>
        <v>0.11363636363636363</v>
      </c>
      <c r="S39" s="217">
        <f si="19" t="shared"/>
        <v>0.15172786177105832</v>
      </c>
    </row>
    <row r="40" spans="1:19" x14ac:dyDescent="0.25">
      <c r="A40" s="98">
        <f si="11" t="shared"/>
        <v>4</v>
      </c>
      <c r="B40" s="217">
        <f si="13" t="shared"/>
        <v>0</v>
      </c>
      <c r="C40" s="217">
        <f si="13" t="shared"/>
        <v>0</v>
      </c>
      <c r="D40" s="217">
        <f si="13" t="shared"/>
        <v>0</v>
      </c>
      <c r="E40" s="217">
        <f si="13" t="shared"/>
        <v>0</v>
      </c>
      <c r="F40" s="217"/>
      <c r="G40" s="217"/>
      <c r="H40" s="98">
        <f si="12" t="shared"/>
        <v>4</v>
      </c>
      <c r="I40" s="217">
        <f si="14" t="shared"/>
        <v>0.14857864813644978</v>
      </c>
      <c r="J40" s="217">
        <f si="14" t="shared"/>
        <v>0.13057324840764331</v>
      </c>
      <c r="K40" s="217">
        <f si="14" t="shared"/>
        <v>0.13368983957219252</v>
      </c>
      <c r="L40" s="217">
        <f si="14" t="shared"/>
        <v>0.1458908473136547</v>
      </c>
      <c r="O40" s="98">
        <f si="15" t="shared"/>
        <v>4</v>
      </c>
      <c r="P40" s="217">
        <f si="16" t="shared"/>
        <v>0.14857864813644978</v>
      </c>
      <c r="Q40" s="217">
        <f si="17" t="shared"/>
        <v>0.13057324840764331</v>
      </c>
      <c r="R40" s="217">
        <f si="18" t="shared"/>
        <v>0.13368983957219252</v>
      </c>
      <c r="S40" s="217">
        <f si="19" t="shared"/>
        <v>0.1458908473136547</v>
      </c>
    </row>
    <row r="41" spans="1:19" x14ac:dyDescent="0.25">
      <c r="A41" s="98">
        <f si="11" t="shared"/>
        <v>5</v>
      </c>
      <c r="B41" s="217">
        <f si="13" t="shared"/>
        <v>0</v>
      </c>
      <c r="C41" s="217">
        <f si="13" t="shared"/>
        <v>0</v>
      </c>
      <c r="D41" s="217">
        <f si="13" t="shared"/>
        <v>0</v>
      </c>
      <c r="E41" s="217">
        <f si="13" t="shared"/>
        <v>0</v>
      </c>
      <c r="F41" s="217"/>
      <c r="G41" s="217"/>
      <c r="H41" s="98">
        <f si="12" t="shared"/>
        <v>5</v>
      </c>
      <c r="I41" s="217">
        <f si="14" t="shared"/>
        <v>0.15122830741491999</v>
      </c>
      <c r="J41" s="217">
        <f si="14" t="shared"/>
        <v>0.13172541743970315</v>
      </c>
      <c r="K41" s="217">
        <f si="14" t="shared"/>
        <v>0.14814814814814814</v>
      </c>
      <c r="L41" s="217">
        <f si="14" t="shared"/>
        <v>0.14908034849951599</v>
      </c>
      <c r="O41" s="98">
        <f si="15" t="shared"/>
        <v>5</v>
      </c>
      <c r="P41" s="217">
        <f si="16" t="shared"/>
        <v>0.15122830741491999</v>
      </c>
      <c r="Q41" s="217">
        <f si="17" t="shared"/>
        <v>0.13172541743970315</v>
      </c>
      <c r="R41" s="217">
        <f si="18" t="shared"/>
        <v>0.14814814814814814</v>
      </c>
      <c r="S41" s="217">
        <f si="19" t="shared"/>
        <v>0.14908034849951599</v>
      </c>
    </row>
    <row r="42" spans="1:19" x14ac:dyDescent="0.25">
      <c r="A42" s="98">
        <f si="11" t="shared"/>
        <v>6</v>
      </c>
      <c r="B42" s="217">
        <f si="13" t="shared"/>
        <v>0</v>
      </c>
      <c r="C42" s="217">
        <f si="13" t="shared"/>
        <v>0</v>
      </c>
      <c r="D42" s="217">
        <f si="13" t="shared"/>
        <v>0</v>
      </c>
      <c r="E42" s="217">
        <f si="13" t="shared"/>
        <v>0</v>
      </c>
      <c r="F42" s="217"/>
      <c r="G42" s="217"/>
      <c r="H42" s="98">
        <f si="12" t="shared"/>
        <v>6</v>
      </c>
      <c r="I42" s="217">
        <f si="14" t="shared"/>
        <v>0.16660536962118425</v>
      </c>
      <c r="J42" s="217">
        <f si="14" t="shared"/>
        <v>0.12718786464410736</v>
      </c>
      <c r="K42" s="217">
        <f si="14" t="shared"/>
        <v>0.18394648829431437</v>
      </c>
      <c r="L42" s="217">
        <f si="14" t="shared"/>
        <v>0.16226872914771004</v>
      </c>
      <c r="O42" s="98">
        <f si="15" t="shared"/>
        <v>6</v>
      </c>
      <c r="P42" s="217">
        <f si="16" t="shared"/>
        <v>0.16660536962118425</v>
      </c>
      <c r="Q42" s="217">
        <f si="17" t="shared"/>
        <v>0.12718786464410736</v>
      </c>
      <c r="R42" s="217">
        <f si="18" t="shared"/>
        <v>0.18394648829431437</v>
      </c>
      <c r="S42" s="217">
        <f si="19" t="shared"/>
        <v>0.16226872914771004</v>
      </c>
    </row>
    <row r="43" spans="1:19" x14ac:dyDescent="0.25">
      <c r="A43" s="98">
        <f si="11" t="shared"/>
        <v>7</v>
      </c>
      <c r="B43" s="217">
        <f si="13" t="shared"/>
        <v>0</v>
      </c>
      <c r="C43" s="217">
        <f si="13" t="shared"/>
        <v>0</v>
      </c>
      <c r="D43" s="217">
        <f si="13" t="shared"/>
        <v>0</v>
      </c>
      <c r="E43" s="217">
        <f si="13" t="shared"/>
        <v>0</v>
      </c>
      <c r="F43" s="217"/>
      <c r="G43" s="217"/>
      <c r="H43" s="98">
        <f si="12" t="shared"/>
        <v>7</v>
      </c>
      <c r="I43" s="217">
        <f si="14" t="shared"/>
        <v>0.16872767243748282</v>
      </c>
      <c r="J43" s="217">
        <f si="14" t="shared"/>
        <v>0.13020833333333334</v>
      </c>
      <c r="K43" s="217">
        <f si="14" t="shared"/>
        <v>0.15555555555555556</v>
      </c>
      <c r="L43" s="217">
        <f si="14" t="shared"/>
        <v>0.16484318016046681</v>
      </c>
      <c r="O43" s="98">
        <f si="15" t="shared"/>
        <v>7</v>
      </c>
      <c r="P43" s="217">
        <f si="16" t="shared"/>
        <v>0.16872767243748282</v>
      </c>
      <c r="Q43" s="217">
        <f si="17" t="shared"/>
        <v>0.13020833333333334</v>
      </c>
      <c r="R43" s="217">
        <f si="18" t="shared"/>
        <v>0.15555555555555556</v>
      </c>
      <c r="S43" s="217">
        <f si="19" t="shared"/>
        <v>0.16484318016046681</v>
      </c>
    </row>
    <row r="44" spans="1:19" x14ac:dyDescent="0.25">
      <c r="A44" s="98">
        <f si="11" t="shared"/>
        <v>8</v>
      </c>
      <c r="B44" s="217">
        <f si="13" t="shared"/>
        <v>5.3855346033027385E-2</v>
      </c>
      <c r="C44" s="217">
        <f si="13" t="shared"/>
        <v>1.5592469496942844E-3</v>
      </c>
      <c r="D44" s="217">
        <f si="13" t="shared"/>
        <v>0</v>
      </c>
      <c r="E44" s="217">
        <f si="13" t="shared"/>
        <v>4.2269931490456387E-2</v>
      </c>
      <c r="F44" s="217"/>
      <c r="G44" s="217"/>
      <c r="H44" s="98">
        <f si="12" t="shared"/>
        <v>8</v>
      </c>
      <c r="I44" s="217">
        <f si="14" t="shared"/>
        <v>0</v>
      </c>
      <c r="J44" s="217">
        <f si="14" t="shared"/>
        <v>0</v>
      </c>
      <c r="K44" s="217">
        <f si="14" t="shared"/>
        <v>0</v>
      </c>
      <c r="L44" s="217">
        <f si="14" t="shared"/>
        <v>0</v>
      </c>
      <c r="O44" s="98">
        <f si="15" t="shared"/>
        <v>8</v>
      </c>
      <c r="P44" s="217">
        <f si="16" t="shared"/>
        <v>-5.3855346033027385E-2</v>
      </c>
      <c r="Q44" s="217">
        <f si="17" t="shared"/>
        <v>-1.5592469496942844E-3</v>
      </c>
      <c r="R44" s="217">
        <f si="18" t="shared"/>
        <v>0</v>
      </c>
      <c r="S44" s="217">
        <f si="19" t="shared"/>
        <v>-4.2269931490456387E-2</v>
      </c>
    </row>
    <row r="45" spans="1:19" x14ac:dyDescent="0.25">
      <c r="A45" s="98">
        <f si="11" t="shared"/>
        <v>9</v>
      </c>
      <c r="B45" s="217">
        <f si="13" t="shared"/>
        <v>0</v>
      </c>
      <c r="C45" s="217">
        <f si="13" t="shared"/>
        <v>0</v>
      </c>
      <c r="D45" s="217">
        <f si="13" t="shared"/>
        <v>0</v>
      </c>
      <c r="E45" s="217">
        <f si="13" t="shared"/>
        <v>0</v>
      </c>
      <c r="F45" s="217"/>
      <c r="G45" s="217"/>
      <c r="H45" s="98">
        <f si="12" t="shared"/>
        <v>9</v>
      </c>
      <c r="I45" s="217">
        <f si="14" t="shared"/>
        <v>0</v>
      </c>
      <c r="J45" s="217">
        <f si="14" t="shared"/>
        <v>0</v>
      </c>
      <c r="K45" s="217">
        <f si="14" t="shared"/>
        <v>0</v>
      </c>
      <c r="L45" s="217">
        <f si="14" t="shared"/>
        <v>0</v>
      </c>
      <c r="O45" s="98">
        <f si="15" t="shared"/>
        <v>9</v>
      </c>
      <c r="P45" s="217">
        <f si="16" t="shared"/>
        <v>0</v>
      </c>
      <c r="Q45" s="217">
        <f si="17" t="shared"/>
        <v>0</v>
      </c>
      <c r="R45" s="217">
        <f si="18" t="shared"/>
        <v>0</v>
      </c>
      <c r="S45" s="217">
        <f si="19" t="shared"/>
        <v>0</v>
      </c>
    </row>
    <row r="46" spans="1:19" x14ac:dyDescent="0.25">
      <c r="A46" s="98">
        <f si="11" t="shared"/>
        <v>10</v>
      </c>
      <c r="B46" s="217">
        <f si="13" t="shared"/>
        <v>9.068564319125505E-2</v>
      </c>
      <c r="C46" s="217">
        <f si="13" t="shared"/>
        <v>5.0704841683046266E-2</v>
      </c>
      <c r="D46" s="217">
        <f si="13" t="shared"/>
        <v>1.1761412110357887E-2</v>
      </c>
      <c r="E46" s="217">
        <f si="13" t="shared"/>
        <v>8.2786311943122567E-2</v>
      </c>
      <c r="F46" s="217"/>
      <c r="G46" s="217"/>
      <c r="H46" s="98">
        <f si="12" t="shared"/>
        <v>10</v>
      </c>
      <c r="I46" s="217">
        <f si="14" t="shared"/>
        <v>0</v>
      </c>
      <c r="J46" s="217">
        <f si="14" t="shared"/>
        <v>0</v>
      </c>
      <c r="K46" s="217">
        <f si="14" t="shared"/>
        <v>0</v>
      </c>
      <c r="L46" s="217">
        <f si="14" t="shared"/>
        <v>0</v>
      </c>
      <c r="O46" s="98">
        <f si="15" t="shared"/>
        <v>10</v>
      </c>
      <c r="P46" s="217">
        <f si="16" t="shared"/>
        <v>-9.068564319125505E-2</v>
      </c>
      <c r="Q46" s="217">
        <f si="17" t="shared"/>
        <v>-5.0704841683046266E-2</v>
      </c>
      <c r="R46" s="217">
        <f si="18" t="shared"/>
        <v>-1.1761412110357887E-2</v>
      </c>
      <c r="S46" s="217">
        <f si="19" t="shared"/>
        <v>-8.2786311943122567E-2</v>
      </c>
    </row>
    <row r="47" spans="1:19" x14ac:dyDescent="0.25">
      <c r="A47" s="210" t="str">
        <f si="11" t="shared"/>
        <v>Rest</v>
      </c>
      <c r="B47" s="218">
        <f si="13" t="shared"/>
        <v>0</v>
      </c>
      <c r="C47" s="218">
        <f si="13" t="shared"/>
        <v>0</v>
      </c>
      <c r="D47" s="218">
        <f si="13" t="shared"/>
        <v>0</v>
      </c>
      <c r="E47" s="218">
        <f si="13" t="shared"/>
        <v>0</v>
      </c>
      <c r="F47" s="217"/>
      <c r="G47" s="217"/>
      <c r="H47" s="210" t="str">
        <f si="12" t="shared"/>
        <v>Rest</v>
      </c>
      <c r="I47" s="218">
        <f si="14" t="shared"/>
        <v>0</v>
      </c>
      <c r="J47" s="218">
        <f si="14" t="shared"/>
        <v>0</v>
      </c>
      <c r="K47" s="218">
        <f si="14" t="shared"/>
        <v>0</v>
      </c>
      <c r="L47" s="218">
        <f si="14" t="shared"/>
        <v>0</v>
      </c>
      <c r="O47" s="210" t="str">
        <f si="15" t="shared"/>
        <v>Rest</v>
      </c>
      <c r="P47" s="218">
        <f si="16" t="shared"/>
        <v>0</v>
      </c>
      <c r="Q47" s="218">
        <f si="17" t="shared"/>
        <v>0</v>
      </c>
      <c r="R47" s="218">
        <f si="18" t="shared"/>
        <v>0</v>
      </c>
      <c r="S47" s="218">
        <f si="19" t="shared"/>
        <v>0</v>
      </c>
    </row>
    <row ht="15.75" r="48" spans="1:19" thickBot="1" x14ac:dyDescent="0.3">
      <c r="A48" s="212" t="s">
        <v>3</v>
      </c>
      <c r="B48" s="219">
        <f si="13" t="shared"/>
        <v>7.9011176694865515E-2</v>
      </c>
      <c r="C48" s="219">
        <f si="13" t="shared"/>
        <v>3.0580382861071568E-2</v>
      </c>
      <c r="D48" s="219">
        <f si="13" t="shared"/>
        <v>7.7885551855992304E-3</v>
      </c>
      <c r="E48" s="219">
        <f si="13" t="shared"/>
        <v>6.934656043236348E-2</v>
      </c>
      <c r="H48" s="212" t="s">
        <v>3</v>
      </c>
      <c r="I48" s="219">
        <f si="14" t="shared"/>
        <v>0.15695077805462837</v>
      </c>
      <c r="J48" s="219">
        <f si="14" t="shared"/>
        <v>0.13098747236551217</v>
      </c>
      <c r="K48" s="219">
        <f si="14" t="shared"/>
        <v>0.15266798418972333</v>
      </c>
      <c r="L48" s="219">
        <f si="14" t="shared"/>
        <v>0.15395847501700205</v>
      </c>
      <c r="O48" s="212" t="s">
        <v>3</v>
      </c>
      <c r="P48" s="219">
        <f si="16" t="shared"/>
        <v>7.7939601359762856E-2</v>
      </c>
      <c r="Q48" s="219">
        <f si="17" t="shared"/>
        <v>0.10040708950444061</v>
      </c>
      <c r="R48" s="219">
        <f si="18" t="shared"/>
        <v>0.14487942900412409</v>
      </c>
      <c r="S48" s="219">
        <f si="19" t="shared"/>
        <v>8.461191458463857E-2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3"/>
  <sheetViews>
    <sheetView topLeftCell="A4" workbookViewId="0" zoomScale="115" zoomScaleNormal="115">
      <selection activeCell="B21" sqref="B21"/>
    </sheetView>
  </sheetViews>
  <sheetFormatPr defaultRowHeight="15" x14ac:dyDescent="0.25"/>
  <sheetData>
    <row r="1" spans="1:2" x14ac:dyDescent="0.25">
      <c r="A1" s="10" t="s">
        <v>209</v>
      </c>
    </row>
    <row r="11" spans="1:2" x14ac:dyDescent="0.25">
      <c r="A11" s="10" t="s">
        <v>17</v>
      </c>
    </row>
    <row r="12" spans="1:2" x14ac:dyDescent="0.25">
      <c r="A12">
        <v>1</v>
      </c>
      <c r="B12" t="s">
        <v>41</v>
      </c>
    </row>
    <row r="14" spans="1:2" x14ac:dyDescent="0.25">
      <c r="A14">
        <v>2</v>
      </c>
      <c r="B14" t="s">
        <v>210</v>
      </c>
    </row>
    <row r="15" spans="1:2" x14ac:dyDescent="0.25">
      <c r="B15" t="s">
        <v>42</v>
      </c>
    </row>
    <row r="17" spans="1:4" x14ac:dyDescent="0.25">
      <c r="A17">
        <v>3</v>
      </c>
      <c r="B17" t="s">
        <v>43</v>
      </c>
    </row>
    <row r="18" spans="1:4" x14ac:dyDescent="0.25">
      <c r="B18" t="s">
        <v>211</v>
      </c>
    </row>
    <row r="19" spans="1:4" x14ac:dyDescent="0.25">
      <c r="B19" t="s">
        <v>8</v>
      </c>
      <c r="C19" t="s">
        <v>49</v>
      </c>
      <c r="D19" t="s">
        <v>18</v>
      </c>
    </row>
    <row r="20" spans="1:4" x14ac:dyDescent="0.25">
      <c r="B20" t="s">
        <v>9</v>
      </c>
      <c r="C20" t="s">
        <v>50</v>
      </c>
      <c r="D20" t="s">
        <v>19</v>
      </c>
    </row>
    <row r="21" spans="1:4" x14ac:dyDescent="0.25">
      <c r="B21" t="s">
        <v>10</v>
      </c>
      <c r="C21" t="s">
        <v>51</v>
      </c>
      <c r="D21" t="s">
        <v>20</v>
      </c>
    </row>
    <row r="23" spans="1:4" x14ac:dyDescent="0.25">
      <c r="A23" s="10" t="s">
        <v>44</v>
      </c>
    </row>
    <row r="24" spans="1:4" x14ac:dyDescent="0.25">
      <c r="A24">
        <v>1</v>
      </c>
      <c r="B24" t="s">
        <v>45</v>
      </c>
    </row>
    <row r="26" spans="1:4" x14ac:dyDescent="0.25">
      <c r="A26">
        <v>2</v>
      </c>
      <c r="B26" t="s">
        <v>46</v>
      </c>
    </row>
    <row r="28" spans="1:4" x14ac:dyDescent="0.25">
      <c r="A28" s="10" t="s">
        <v>47</v>
      </c>
    </row>
    <row r="29" spans="1:4" x14ac:dyDescent="0.25">
      <c r="A29">
        <v>1</v>
      </c>
      <c r="B29" t="s">
        <v>48</v>
      </c>
    </row>
    <row r="31" spans="1:4" x14ac:dyDescent="0.25">
      <c r="A31" s="10">
        <v>2</v>
      </c>
      <c r="B31" t="s">
        <v>212</v>
      </c>
    </row>
    <row r="33" spans="1:2" x14ac:dyDescent="0.25">
      <c r="A33">
        <v>3</v>
      </c>
      <c r="B33" t="s">
        <v>52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74"/>
  <sheetViews>
    <sheetView workbookViewId="0">
      <selection activeCell="A11" sqref="A10:E11"/>
    </sheetView>
  </sheetViews>
  <sheetFormatPr defaultRowHeight="15" x14ac:dyDescent="0.25"/>
  <cols>
    <col min="4" max="4" bestFit="true" customWidth="true" width="12.7109375" collapsed="true"/>
    <col min="5" max="5" bestFit="true" customWidth="true" style="34" width="94.7109375" collapsed="true"/>
  </cols>
  <sheetData>
    <row r="1" spans="1:5" x14ac:dyDescent="0.25">
      <c r="A1" t="s">
        <v>131</v>
      </c>
      <c r="B1" t="s">
        <v>132</v>
      </c>
      <c r="E1" s="34" t="s">
        <v>133</v>
      </c>
    </row>
    <row r="2" spans="1:5" x14ac:dyDescent="0.25">
      <c r="A2">
        <v>1</v>
      </c>
      <c r="B2" t="s">
        <v>56</v>
      </c>
      <c r="C2" t="s">
        <v>57</v>
      </c>
      <c r="D2">
        <v>1</v>
      </c>
      <c r="E2" s="34" t="s">
        <v>139</v>
      </c>
    </row>
    <row r="3" spans="1:5" x14ac:dyDescent="0.25">
      <c r="A3">
        <v>2</v>
      </c>
      <c r="B3" t="s">
        <v>58</v>
      </c>
      <c r="C3" t="s">
        <v>57</v>
      </c>
      <c r="D3">
        <v>0.7</v>
      </c>
      <c r="E3" s="34" t="s">
        <v>135</v>
      </c>
    </row>
    <row r="4" spans="1:5" x14ac:dyDescent="0.25">
      <c r="A4">
        <v>3</v>
      </c>
      <c r="B4" t="s">
        <v>59</v>
      </c>
      <c r="C4" t="s">
        <v>57</v>
      </c>
      <c r="D4">
        <v>1</v>
      </c>
      <c r="E4" s="34" t="s">
        <v>134</v>
      </c>
    </row>
    <row r="5" spans="1:5" x14ac:dyDescent="0.25">
      <c r="A5">
        <v>4</v>
      </c>
      <c r="B5" t="s">
        <v>60</v>
      </c>
      <c r="C5" t="s">
        <v>57</v>
      </c>
      <c r="D5">
        <v>0.5</v>
      </c>
      <c r="E5" s="34" t="s">
        <v>140</v>
      </c>
    </row>
    <row r="6" spans="1:5" x14ac:dyDescent="0.25">
      <c r="A6">
        <v>5</v>
      </c>
      <c r="B6" t="s">
        <v>61</v>
      </c>
      <c r="C6" t="s">
        <v>57</v>
      </c>
      <c r="D6">
        <v>0</v>
      </c>
      <c r="E6" s="34" t="s">
        <v>136</v>
      </c>
    </row>
    <row r="7" spans="1:5" x14ac:dyDescent="0.25">
      <c r="A7">
        <v>6</v>
      </c>
      <c r="B7" t="s">
        <v>62</v>
      </c>
      <c r="C7" t="s">
        <v>57</v>
      </c>
      <c r="D7">
        <v>-4.1530549264700003</v>
      </c>
      <c r="E7" s="34" t="s">
        <v>141</v>
      </c>
    </row>
    <row r="8" spans="1:5" x14ac:dyDescent="0.25">
      <c r="A8">
        <v>7</v>
      </c>
      <c r="B8" t="s">
        <v>63</v>
      </c>
      <c r="C8" t="s">
        <v>57</v>
      </c>
      <c r="D8">
        <v>-0.64354735537100005</v>
      </c>
      <c r="E8" s="34" t="s">
        <v>142</v>
      </c>
    </row>
    <row r="9" spans="1:5" x14ac:dyDescent="0.25">
      <c r="A9">
        <v>8</v>
      </c>
      <c r="B9" t="s">
        <v>64</v>
      </c>
      <c r="C9" t="s">
        <v>57</v>
      </c>
      <c r="D9">
        <v>-0.732358148145</v>
      </c>
      <c r="E9" s="34" t="s">
        <v>143</v>
      </c>
    </row>
    <row r="10" spans="1:5" x14ac:dyDescent="0.25">
      <c r="A10">
        <v>9</v>
      </c>
      <c r="B10" t="s">
        <v>65</v>
      </c>
      <c r="C10" t="s">
        <v>57</v>
      </c>
      <c r="D10">
        <v>-2.6263992007099999</v>
      </c>
      <c r="E10" s="34" t="s">
        <v>144</v>
      </c>
    </row>
    <row r="11" spans="1:5" x14ac:dyDescent="0.25">
      <c r="A11">
        <v>10</v>
      </c>
      <c r="B11" t="s">
        <v>66</v>
      </c>
      <c r="C11" t="s">
        <v>57</v>
      </c>
      <c r="D11">
        <v>-3.4653118418800002</v>
      </c>
      <c r="E11" s="34" t="s">
        <v>145</v>
      </c>
    </row>
    <row r="12" spans="1:5" x14ac:dyDescent="0.25">
      <c r="A12">
        <v>11</v>
      </c>
      <c r="B12" t="s">
        <v>67</v>
      </c>
      <c r="C12" t="s">
        <v>57</v>
      </c>
      <c r="D12">
        <v>0.125312575308</v>
      </c>
      <c r="E12" s="34" t="s">
        <v>146</v>
      </c>
    </row>
    <row r="13" spans="1:5" x14ac:dyDescent="0.25">
      <c r="A13">
        <v>12</v>
      </c>
      <c r="B13" t="s">
        <v>68</v>
      </c>
      <c r="C13" t="s">
        <v>57</v>
      </c>
      <c r="D13">
        <v>0.24676672684299999</v>
      </c>
      <c r="E13" s="34" t="s">
        <v>147</v>
      </c>
    </row>
    <row r="14" spans="1:5" x14ac:dyDescent="0.25">
      <c r="A14">
        <v>13</v>
      </c>
      <c r="B14" t="s">
        <v>69</v>
      </c>
      <c r="C14" t="s">
        <v>57</v>
      </c>
      <c r="D14">
        <v>0.40796503771199999</v>
      </c>
      <c r="E14" s="34" t="s">
        <v>148</v>
      </c>
    </row>
    <row r="15" spans="1:5" x14ac:dyDescent="0.25">
      <c r="A15">
        <v>14</v>
      </c>
      <c r="B15" t="s">
        <v>70</v>
      </c>
      <c r="C15" t="s">
        <v>57</v>
      </c>
      <c r="D15">
        <v>-0.50293651045300003</v>
      </c>
      <c r="E15" s="34" t="s">
        <v>149</v>
      </c>
    </row>
    <row r="16" spans="1:5" x14ac:dyDescent="0.25">
      <c r="A16">
        <v>15</v>
      </c>
      <c r="B16" t="s">
        <v>71</v>
      </c>
      <c r="C16" t="s">
        <v>57</v>
      </c>
      <c r="D16">
        <v>-1.61322160644</v>
      </c>
      <c r="E16" s="34" t="s">
        <v>150</v>
      </c>
    </row>
    <row r="17" spans="1:5" x14ac:dyDescent="0.25">
      <c r="A17">
        <v>16</v>
      </c>
      <c r="B17" t="s">
        <v>72</v>
      </c>
      <c r="C17" t="s">
        <v>57</v>
      </c>
      <c r="D17">
        <v>0.130749629122</v>
      </c>
      <c r="E17" s="34" t="s">
        <v>151</v>
      </c>
    </row>
    <row r="18" spans="1:5" x14ac:dyDescent="0.25">
      <c r="A18">
        <v>17</v>
      </c>
      <c r="B18" t="s">
        <v>73</v>
      </c>
      <c r="C18" t="s">
        <v>57</v>
      </c>
      <c r="D18" s="33">
        <v>8.4077289836199998E-2</v>
      </c>
      <c r="E18" s="34" t="s">
        <v>152</v>
      </c>
    </row>
    <row r="19" spans="1:5" x14ac:dyDescent="0.25">
      <c r="A19">
        <v>18</v>
      </c>
      <c r="B19" t="s">
        <v>74</v>
      </c>
      <c r="C19" t="s">
        <v>57</v>
      </c>
      <c r="D19">
        <v>0</v>
      </c>
      <c r="E19" s="34" t="s">
        <v>153</v>
      </c>
    </row>
    <row r="20" spans="1:5" x14ac:dyDescent="0.25">
      <c r="A20">
        <v>19</v>
      </c>
      <c r="B20" t="s">
        <v>75</v>
      </c>
      <c r="C20" t="s">
        <v>57</v>
      </c>
      <c r="D20">
        <v>0.106386053639</v>
      </c>
      <c r="E20" s="34" t="s">
        <v>137</v>
      </c>
    </row>
    <row r="21" spans="1:5" x14ac:dyDescent="0.25">
      <c r="A21">
        <v>20</v>
      </c>
      <c r="B21" t="s">
        <v>76</v>
      </c>
      <c r="C21" t="s">
        <v>57</v>
      </c>
      <c r="D21">
        <v>0.88087687792799996</v>
      </c>
      <c r="E21" s="34" t="s">
        <v>138</v>
      </c>
    </row>
    <row r="22" spans="1:5" x14ac:dyDescent="0.25">
      <c r="A22">
        <v>21</v>
      </c>
      <c r="B22" t="s">
        <v>77</v>
      </c>
      <c r="C22" t="s">
        <v>57</v>
      </c>
      <c r="D22">
        <v>-0.16458061134300001</v>
      </c>
      <c r="E22" s="34" t="s">
        <v>190</v>
      </c>
    </row>
    <row r="23" spans="1:5" x14ac:dyDescent="0.25">
      <c r="A23">
        <v>22</v>
      </c>
      <c r="B23" t="s">
        <v>78</v>
      </c>
      <c r="C23" t="s">
        <v>57</v>
      </c>
      <c r="D23">
        <v>0.154182014038</v>
      </c>
      <c r="E23" s="34" t="s">
        <v>191</v>
      </c>
    </row>
    <row r="24" spans="1:5" x14ac:dyDescent="0.25">
      <c r="A24">
        <v>23</v>
      </c>
      <c r="B24" t="s">
        <v>79</v>
      </c>
      <c r="C24" t="s">
        <v>57</v>
      </c>
      <c r="D24" s="33">
        <v>4.79448884421E-2</v>
      </c>
      <c r="E24" s="34" t="s">
        <v>192</v>
      </c>
    </row>
    <row r="25" spans="1:5" x14ac:dyDescent="0.25">
      <c r="A25">
        <v>24</v>
      </c>
      <c r="B25" t="s">
        <v>80</v>
      </c>
      <c r="C25" t="s">
        <v>57</v>
      </c>
      <c r="D25" s="33">
        <v>6.4843520043099998E-2</v>
      </c>
      <c r="E25" s="34" t="s">
        <v>193</v>
      </c>
    </row>
    <row r="26" spans="1:5" x14ac:dyDescent="0.25">
      <c r="A26">
        <v>25</v>
      </c>
      <c r="B26" t="s">
        <v>81</v>
      </c>
      <c r="C26" t="s">
        <v>57</v>
      </c>
      <c r="D26">
        <v>0.15272053169499999</v>
      </c>
      <c r="E26" s="34" t="s">
        <v>194</v>
      </c>
    </row>
    <row r="27" spans="1:5" x14ac:dyDescent="0.25">
      <c r="A27">
        <v>26</v>
      </c>
      <c r="B27" t="s">
        <v>82</v>
      </c>
      <c r="C27" t="s">
        <v>57</v>
      </c>
      <c r="D27" s="33">
        <v>7.2028590735099998E-2</v>
      </c>
      <c r="E27" s="34" t="s">
        <v>195</v>
      </c>
    </row>
    <row r="28" spans="1:5" x14ac:dyDescent="0.25">
      <c r="A28">
        <v>27</v>
      </c>
      <c r="B28" t="s">
        <v>83</v>
      </c>
      <c r="C28" t="s">
        <v>57</v>
      </c>
      <c r="D28">
        <v>-0.27934224041799999</v>
      </c>
      <c r="E28" s="34" t="s">
        <v>199</v>
      </c>
    </row>
    <row r="29" spans="1:5" x14ac:dyDescent="0.25">
      <c r="A29">
        <v>28</v>
      </c>
      <c r="B29" t="s">
        <v>84</v>
      </c>
      <c r="C29" t="s">
        <v>57</v>
      </c>
      <c r="D29" s="33">
        <v>4.3626229225700003E-2</v>
      </c>
      <c r="E29" s="34" t="s">
        <v>154</v>
      </c>
    </row>
    <row r="30" spans="1:5" x14ac:dyDescent="0.25">
      <c r="A30">
        <v>29</v>
      </c>
      <c r="B30" t="s">
        <v>85</v>
      </c>
      <c r="C30" t="s">
        <v>57</v>
      </c>
      <c r="D30" s="33">
        <v>-8.7886819411100006E-2</v>
      </c>
      <c r="E30" s="34" t="s">
        <v>174</v>
      </c>
    </row>
    <row r="31" spans="1:5" x14ac:dyDescent="0.25">
      <c r="A31">
        <v>30</v>
      </c>
      <c r="B31" t="s">
        <v>86</v>
      </c>
      <c r="C31" t="s">
        <v>57</v>
      </c>
      <c r="D31" s="33">
        <v>-4.2894941477000001E-2</v>
      </c>
      <c r="E31" s="34" t="s">
        <v>175</v>
      </c>
    </row>
    <row r="32" spans="1:5" x14ac:dyDescent="0.25">
      <c r="A32">
        <v>31</v>
      </c>
      <c r="B32" t="s">
        <v>87</v>
      </c>
      <c r="C32" t="s">
        <v>57</v>
      </c>
      <c r="D32">
        <v>-0.13045579928000001</v>
      </c>
      <c r="E32" s="34" t="s">
        <v>176</v>
      </c>
    </row>
    <row r="33" spans="1:5" x14ac:dyDescent="0.25">
      <c r="A33">
        <v>32</v>
      </c>
      <c r="B33" t="s">
        <v>88</v>
      </c>
      <c r="C33" t="s">
        <v>57</v>
      </c>
      <c r="D33">
        <v>0.18945088644899999</v>
      </c>
      <c r="E33" s="34" t="s">
        <v>177</v>
      </c>
    </row>
    <row r="34" spans="1:5" x14ac:dyDescent="0.25">
      <c r="A34">
        <v>33</v>
      </c>
      <c r="B34" t="s">
        <v>89</v>
      </c>
      <c r="C34" t="s">
        <v>57</v>
      </c>
      <c r="D34">
        <v>-0.179523169776</v>
      </c>
      <c r="E34" s="34" t="s">
        <v>178</v>
      </c>
    </row>
    <row r="35" spans="1:5" x14ac:dyDescent="0.25">
      <c r="A35">
        <v>34</v>
      </c>
      <c r="B35" t="s">
        <v>90</v>
      </c>
      <c r="C35" t="s">
        <v>57</v>
      </c>
      <c r="D35">
        <v>0.17233347539499999</v>
      </c>
      <c r="E35" s="34" t="s">
        <v>179</v>
      </c>
    </row>
    <row r="36" spans="1:5" x14ac:dyDescent="0.25">
      <c r="A36">
        <v>35</v>
      </c>
      <c r="B36" t="s">
        <v>91</v>
      </c>
      <c r="C36" t="s">
        <v>57</v>
      </c>
      <c r="D36">
        <v>-0.194698386872</v>
      </c>
      <c r="E36" s="34" t="s">
        <v>180</v>
      </c>
    </row>
    <row r="37" spans="1:5" x14ac:dyDescent="0.25">
      <c r="A37">
        <v>36</v>
      </c>
      <c r="B37" t="s">
        <v>92</v>
      </c>
      <c r="C37" t="s">
        <v>57</v>
      </c>
      <c r="D37">
        <v>0.38785322122799998</v>
      </c>
      <c r="E37" s="34" t="s">
        <v>181</v>
      </c>
    </row>
    <row r="38" spans="1:5" x14ac:dyDescent="0.25">
      <c r="A38">
        <v>41</v>
      </c>
      <c r="B38" t="s">
        <v>93</v>
      </c>
      <c r="C38" t="s">
        <v>94</v>
      </c>
      <c r="D38">
        <v>-2.9745332256100001</v>
      </c>
      <c r="E38" s="34" t="s">
        <v>213</v>
      </c>
    </row>
    <row r="39" spans="1:5" x14ac:dyDescent="0.25">
      <c r="A39">
        <v>42</v>
      </c>
      <c r="B39" t="s">
        <v>95</v>
      </c>
      <c r="C39" t="s">
        <v>94</v>
      </c>
      <c r="D39">
        <v>5.0782043482699999</v>
      </c>
      <c r="E39" s="34" t="s">
        <v>200</v>
      </c>
    </row>
    <row r="40" spans="1:5" x14ac:dyDescent="0.25">
      <c r="A40">
        <v>43</v>
      </c>
      <c r="B40" t="s">
        <v>96</v>
      </c>
      <c r="C40" t="s">
        <v>94</v>
      </c>
      <c r="D40">
        <v>-3.0391245094800001</v>
      </c>
      <c r="E40" s="34" t="s">
        <v>201</v>
      </c>
    </row>
    <row r="41" spans="1:5" x14ac:dyDescent="0.25">
      <c r="A41">
        <v>44</v>
      </c>
      <c r="B41" t="s">
        <v>97</v>
      </c>
      <c r="C41" t="s">
        <v>94</v>
      </c>
      <c r="D41">
        <v>-2.3320263859599999</v>
      </c>
      <c r="E41" s="34" t="s">
        <v>202</v>
      </c>
    </row>
    <row r="42" spans="1:5" x14ac:dyDescent="0.25">
      <c r="A42">
        <v>50</v>
      </c>
      <c r="B42" t="s">
        <v>98</v>
      </c>
      <c r="C42" t="s">
        <v>57</v>
      </c>
      <c r="D42">
        <v>0.33566647407</v>
      </c>
    </row>
    <row r="43" spans="1:5" x14ac:dyDescent="0.25">
      <c r="A43">
        <v>51</v>
      </c>
      <c r="B43" t="s">
        <v>99</v>
      </c>
      <c r="C43" t="s">
        <v>57</v>
      </c>
      <c r="D43">
        <v>-0.78911507665199998</v>
      </c>
      <c r="E43" s="34" t="s">
        <v>155</v>
      </c>
    </row>
    <row r="44" spans="1:5" x14ac:dyDescent="0.25">
      <c r="A44">
        <v>52</v>
      </c>
      <c r="B44" t="s">
        <v>100</v>
      </c>
      <c r="C44" t="s">
        <v>57</v>
      </c>
      <c r="D44">
        <v>0.56564055394500001</v>
      </c>
      <c r="E44" s="34" t="s">
        <v>156</v>
      </c>
    </row>
    <row r="45" spans="1:5" x14ac:dyDescent="0.25">
      <c r="A45">
        <v>53</v>
      </c>
      <c r="B45" t="s">
        <v>101</v>
      </c>
      <c r="C45" t="s">
        <v>57</v>
      </c>
      <c r="D45">
        <v>-1.85416848242</v>
      </c>
      <c r="E45" s="34" t="s">
        <v>157</v>
      </c>
    </row>
    <row r="46" spans="1:5" x14ac:dyDescent="0.25">
      <c r="A46">
        <v>54</v>
      </c>
      <c r="B46" t="s">
        <v>102</v>
      </c>
      <c r="C46" t="s">
        <v>57</v>
      </c>
      <c r="D46">
        <v>0</v>
      </c>
      <c r="E46" s="34" t="s">
        <v>158</v>
      </c>
    </row>
    <row r="47" spans="1:5" x14ac:dyDescent="0.25">
      <c r="A47">
        <v>55</v>
      </c>
      <c r="B47" t="s">
        <v>103</v>
      </c>
      <c r="C47" t="s">
        <v>57</v>
      </c>
      <c r="D47">
        <v>-1.1156286956100001</v>
      </c>
      <c r="E47" s="34" t="s">
        <v>159</v>
      </c>
    </row>
    <row r="48" spans="1:5" x14ac:dyDescent="0.25">
      <c r="A48">
        <v>56</v>
      </c>
      <c r="B48" t="s">
        <v>104</v>
      </c>
      <c r="C48" t="s">
        <v>57</v>
      </c>
      <c r="D48">
        <v>-0.81792869186600003</v>
      </c>
      <c r="E48" s="34" t="s">
        <v>160</v>
      </c>
    </row>
    <row r="49" spans="1:5" x14ac:dyDescent="0.25">
      <c r="A49">
        <v>57</v>
      </c>
      <c r="B49" t="s">
        <v>105</v>
      </c>
      <c r="C49" t="s">
        <v>57</v>
      </c>
      <c r="D49">
        <v>-1.04729487823</v>
      </c>
      <c r="E49" s="34" t="s">
        <v>161</v>
      </c>
    </row>
    <row r="50" spans="1:5" x14ac:dyDescent="0.25">
      <c r="A50">
        <v>58</v>
      </c>
      <c r="B50" t="s">
        <v>106</v>
      </c>
      <c r="C50" t="s">
        <v>57</v>
      </c>
      <c r="D50">
        <v>-2.0228517391</v>
      </c>
      <c r="E50" s="34" t="s">
        <v>162</v>
      </c>
    </row>
    <row r="51" spans="1:5" x14ac:dyDescent="0.25">
      <c r="A51">
        <v>59</v>
      </c>
      <c r="B51" t="s">
        <v>107</v>
      </c>
      <c r="C51" t="s">
        <v>57</v>
      </c>
      <c r="D51">
        <v>-1.2945321250099999</v>
      </c>
      <c r="E51" s="34" t="s">
        <v>163</v>
      </c>
    </row>
    <row r="52" spans="1:5" x14ac:dyDescent="0.25">
      <c r="A52">
        <v>60</v>
      </c>
      <c r="B52" t="s">
        <v>108</v>
      </c>
      <c r="C52" t="s">
        <v>57</v>
      </c>
      <c r="D52">
        <v>-0.66178028021599999</v>
      </c>
      <c r="E52" s="34" t="s">
        <v>182</v>
      </c>
    </row>
    <row r="53" spans="1:5" x14ac:dyDescent="0.25">
      <c r="A53">
        <v>61</v>
      </c>
      <c r="B53" t="s">
        <v>109</v>
      </c>
      <c r="C53" t="s">
        <v>57</v>
      </c>
      <c r="D53">
        <v>-0.55504741134900004</v>
      </c>
      <c r="E53" s="34" t="s">
        <v>183</v>
      </c>
    </row>
    <row r="54" spans="1:5" x14ac:dyDescent="0.25">
      <c r="A54">
        <v>62</v>
      </c>
      <c r="B54" t="s">
        <v>110</v>
      </c>
      <c r="C54" t="s">
        <v>57</v>
      </c>
      <c r="D54">
        <v>-1.7449233454799999</v>
      </c>
      <c r="E54" s="34" t="s">
        <v>184</v>
      </c>
    </row>
    <row r="55" spans="1:5" x14ac:dyDescent="0.25">
      <c r="A55">
        <v>63</v>
      </c>
      <c r="B55" t="s">
        <v>111</v>
      </c>
      <c r="C55" t="s">
        <v>57</v>
      </c>
      <c r="D55">
        <v>1.1995398853399999</v>
      </c>
      <c r="E55" s="34" t="s">
        <v>185</v>
      </c>
    </row>
    <row r="56" spans="1:5" x14ac:dyDescent="0.25">
      <c r="A56">
        <v>64</v>
      </c>
      <c r="B56" t="s">
        <v>112</v>
      </c>
      <c r="C56" t="s">
        <v>57</v>
      </c>
      <c r="D56">
        <v>0.19542046398099999</v>
      </c>
      <c r="E56" s="34" t="s">
        <v>186</v>
      </c>
    </row>
    <row r="57" spans="1:5" x14ac:dyDescent="0.25">
      <c r="A57">
        <v>65</v>
      </c>
      <c r="B57" t="s">
        <v>113</v>
      </c>
      <c r="C57" t="s">
        <v>57</v>
      </c>
      <c r="D57">
        <v>-0.90594458676599998</v>
      </c>
      <c r="E57" s="34" t="s">
        <v>187</v>
      </c>
    </row>
    <row r="58" spans="1:5" x14ac:dyDescent="0.25">
      <c r="A58">
        <v>66</v>
      </c>
      <c r="B58" t="s">
        <v>114</v>
      </c>
      <c r="C58" t="s">
        <v>57</v>
      </c>
      <c r="D58">
        <v>-2.05104130438</v>
      </c>
      <c r="E58" s="34" t="s">
        <v>164</v>
      </c>
    </row>
    <row r="59" spans="1:5" x14ac:dyDescent="0.25">
      <c r="A59">
        <v>67</v>
      </c>
      <c r="B59" t="s">
        <v>115</v>
      </c>
      <c r="C59" t="s">
        <v>57</v>
      </c>
      <c r="D59">
        <v>-2.2381608455899999</v>
      </c>
      <c r="E59" s="34" t="s">
        <v>165</v>
      </c>
    </row>
    <row r="60" spans="1:5" x14ac:dyDescent="0.25">
      <c r="A60">
        <v>68</v>
      </c>
      <c r="B60" t="s">
        <v>116</v>
      </c>
      <c r="C60" t="s">
        <v>57</v>
      </c>
      <c r="D60">
        <v>-0.40946320528300001</v>
      </c>
      <c r="E60" s="34" t="s">
        <v>166</v>
      </c>
    </row>
    <row r="61" spans="1:5" x14ac:dyDescent="0.25">
      <c r="A61">
        <v>69</v>
      </c>
      <c r="B61" t="s">
        <v>117</v>
      </c>
      <c r="C61" t="s">
        <v>57</v>
      </c>
      <c r="D61">
        <v>-1.1700902309500001</v>
      </c>
      <c r="E61" s="34" t="s">
        <v>167</v>
      </c>
    </row>
    <row r="62" spans="1:5" x14ac:dyDescent="0.25">
      <c r="A62">
        <v>70</v>
      </c>
      <c r="B62" t="s">
        <v>118</v>
      </c>
      <c r="C62" t="s">
        <v>57</v>
      </c>
      <c r="D62">
        <v>1.8412445021999999</v>
      </c>
      <c r="E62" s="34" t="s">
        <v>168</v>
      </c>
    </row>
    <row r="63" spans="1:5" x14ac:dyDescent="0.25">
      <c r="A63">
        <v>71</v>
      </c>
      <c r="B63" t="s">
        <v>119</v>
      </c>
      <c r="C63" t="s">
        <v>57</v>
      </c>
      <c r="D63">
        <v>0.71619685052500004</v>
      </c>
      <c r="E63" s="34" t="s">
        <v>169</v>
      </c>
    </row>
    <row r="64" spans="1:5" x14ac:dyDescent="0.25">
      <c r="A64">
        <v>72</v>
      </c>
      <c r="B64" t="s">
        <v>120</v>
      </c>
      <c r="C64" t="s">
        <v>57</v>
      </c>
      <c r="D64">
        <v>-0.101060642888</v>
      </c>
      <c r="E64" s="34" t="s">
        <v>170</v>
      </c>
    </row>
    <row r="65" spans="1:5" x14ac:dyDescent="0.25">
      <c r="A65">
        <v>73</v>
      </c>
      <c r="B65" t="s">
        <v>121</v>
      </c>
      <c r="C65" t="s">
        <v>57</v>
      </c>
      <c r="D65">
        <v>-0.34132571646100002</v>
      </c>
      <c r="E65" s="34" t="s">
        <v>171</v>
      </c>
    </row>
    <row r="66" spans="1:5" x14ac:dyDescent="0.25">
      <c r="A66">
        <v>74</v>
      </c>
      <c r="B66" t="s">
        <v>122</v>
      </c>
      <c r="C66" t="s">
        <v>57</v>
      </c>
      <c r="D66">
        <v>1.0486549950899999</v>
      </c>
      <c r="E66" s="34" t="s">
        <v>188</v>
      </c>
    </row>
    <row r="67" spans="1:5" x14ac:dyDescent="0.25">
      <c r="A67">
        <v>75</v>
      </c>
      <c r="B67" t="s">
        <v>123</v>
      </c>
      <c r="C67" t="s">
        <v>57</v>
      </c>
      <c r="D67">
        <v>-30</v>
      </c>
      <c r="E67" s="34" t="s">
        <v>196</v>
      </c>
    </row>
    <row r="68" spans="1:5" x14ac:dyDescent="0.25">
      <c r="A68">
        <v>76</v>
      </c>
      <c r="B68" t="s">
        <v>124</v>
      </c>
      <c r="C68" t="s">
        <v>57</v>
      </c>
      <c r="D68">
        <v>0.91468797064200003</v>
      </c>
      <c r="E68" s="34" t="s">
        <v>197</v>
      </c>
    </row>
    <row r="69" spans="1:5" x14ac:dyDescent="0.25">
      <c r="A69">
        <v>77</v>
      </c>
      <c r="B69" t="s">
        <v>125</v>
      </c>
      <c r="C69" t="s">
        <v>57</v>
      </c>
      <c r="D69">
        <v>-1.1830909132</v>
      </c>
      <c r="E69" s="34" t="s">
        <v>189</v>
      </c>
    </row>
    <row r="70" spans="1:5" x14ac:dyDescent="0.25">
      <c r="A70">
        <v>78</v>
      </c>
      <c r="B70" t="s">
        <v>126</v>
      </c>
      <c r="C70" t="s">
        <v>57</v>
      </c>
      <c r="D70">
        <v>1.4576625009499999</v>
      </c>
      <c r="E70" s="34" t="s">
        <v>198</v>
      </c>
    </row>
    <row r="71" spans="1:5" x14ac:dyDescent="0.25">
      <c r="A71">
        <v>79</v>
      </c>
      <c r="B71" t="s">
        <v>127</v>
      </c>
      <c r="C71" t="s">
        <v>57</v>
      </c>
      <c r="D71">
        <v>-1.62636517084</v>
      </c>
      <c r="E71" s="34" t="s">
        <v>172</v>
      </c>
    </row>
    <row r="72" spans="1:5" x14ac:dyDescent="0.25">
      <c r="A72">
        <v>80</v>
      </c>
      <c r="B72" t="s">
        <v>128</v>
      </c>
      <c r="C72" t="s">
        <v>57</v>
      </c>
      <c r="D72">
        <v>0</v>
      </c>
      <c r="E72" s="34" t="s">
        <v>173</v>
      </c>
    </row>
    <row r="73" spans="1:5" x14ac:dyDescent="0.25">
      <c r="A73">
        <v>90</v>
      </c>
      <c r="B73" t="s">
        <v>129</v>
      </c>
      <c r="C73" t="s">
        <v>57</v>
      </c>
      <c r="D73">
        <v>0</v>
      </c>
      <c r="E73" s="34">
        <v>100</v>
      </c>
    </row>
    <row r="74" spans="1:5" x14ac:dyDescent="0.25">
      <c r="A74">
        <v>98</v>
      </c>
      <c r="B74" t="s">
        <v>130</v>
      </c>
      <c r="C74" t="s">
        <v>94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B2" sqref="B2:B8"/>
    </sheetView>
  </sheetViews>
  <sheetFormatPr defaultRowHeight="15" x14ac:dyDescent="0.25"/>
  <sheetData>
    <row r="1" spans="1:2" x14ac:dyDescent="0.25">
      <c r="A1" t="s">
        <v>310</v>
      </c>
      <c r="B1" t="s">
        <v>311</v>
      </c>
    </row>
    <row r="2" spans="1:2" x14ac:dyDescent="0.25">
      <c r="A2">
        <v>1</v>
      </c>
      <c r="B2" s="99" t="s">
        <v>312</v>
      </c>
    </row>
    <row r="3" spans="1:2" x14ac:dyDescent="0.25">
      <c r="A3">
        <v>2</v>
      </c>
      <c r="B3" s="98" t="s">
        <v>313</v>
      </c>
    </row>
    <row r="4" spans="1:2" x14ac:dyDescent="0.25">
      <c r="A4">
        <v>3</v>
      </c>
      <c r="B4" s="98" t="s">
        <v>314</v>
      </c>
    </row>
    <row r="5" spans="1:2" x14ac:dyDescent="0.25">
      <c r="A5">
        <v>4</v>
      </c>
      <c r="B5" s="98" t="s">
        <v>315</v>
      </c>
    </row>
    <row r="6" spans="1:2" x14ac:dyDescent="0.25">
      <c r="A6">
        <v>5</v>
      </c>
      <c r="B6" s="98" t="s">
        <v>316</v>
      </c>
    </row>
    <row r="7" spans="1:2" x14ac:dyDescent="0.25">
      <c r="A7">
        <v>6</v>
      </c>
      <c r="B7" s="98" t="s">
        <v>317</v>
      </c>
    </row>
    <row r="8" spans="1:2" x14ac:dyDescent="0.25">
      <c r="A8">
        <v>7</v>
      </c>
      <c r="B8" s="98" t="s">
        <v>318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84"/>
  <sheetViews>
    <sheetView topLeftCell="A55" workbookViewId="0">
      <selection activeCell="C103" sqref="C103"/>
    </sheetView>
  </sheetViews>
  <sheetFormatPr defaultRowHeight="15" x14ac:dyDescent="0.25"/>
  <sheetData>
    <row r="1" spans="1:11" x14ac:dyDescent="0.25">
      <c r="A1" s="71" t="s">
        <v>234</v>
      </c>
      <c r="B1" s="72"/>
      <c r="C1" s="72"/>
      <c r="D1" s="72"/>
      <c r="E1" s="72"/>
      <c r="F1" s="72"/>
      <c r="G1" s="72"/>
      <c r="H1" s="72" t="s">
        <v>240</v>
      </c>
      <c r="I1" s="72"/>
      <c r="J1" s="72"/>
      <c r="K1" s="72"/>
    </row>
    <row r="2" spans="1:11" x14ac:dyDescent="0.25">
      <c r="A2" s="72">
        <v>1</v>
      </c>
      <c r="B2" s="72" t="s">
        <v>252</v>
      </c>
      <c r="C2" s="72"/>
      <c r="D2" s="72"/>
      <c r="E2" s="72"/>
      <c r="F2" s="72"/>
      <c r="G2" s="72"/>
      <c r="H2" s="72"/>
      <c r="I2" s="72"/>
      <c r="J2" s="72"/>
      <c r="K2" s="72"/>
    </row>
    <row r="3" spans="1:11" x14ac:dyDescent="0.25">
      <c r="A3" s="72">
        <v>2</v>
      </c>
      <c r="B3" s="72" t="s">
        <v>235</v>
      </c>
      <c r="C3" s="72"/>
      <c r="D3" s="72"/>
      <c r="E3" s="72"/>
      <c r="F3" s="72"/>
      <c r="G3" s="72"/>
      <c r="H3" s="72"/>
      <c r="I3" s="72"/>
      <c r="J3" s="72"/>
      <c r="K3" s="72"/>
    </row>
    <row r="4" spans="1:11" x14ac:dyDescent="0.25">
      <c r="A4" s="72">
        <v>3</v>
      </c>
      <c r="B4" s="72" t="s">
        <v>237</v>
      </c>
      <c r="C4" s="72"/>
      <c r="D4" s="72"/>
      <c r="E4" s="72"/>
      <c r="F4" s="72"/>
      <c r="G4" s="72"/>
      <c r="H4" s="72"/>
      <c r="I4" s="72"/>
      <c r="J4" s="72"/>
      <c r="K4" s="72"/>
    </row>
    <row r="5" spans="1:11" x14ac:dyDescent="0.25">
      <c r="A5" s="72">
        <v>4</v>
      </c>
      <c r="B5" s="72" t="s">
        <v>236</v>
      </c>
      <c r="C5" s="72"/>
      <c r="D5" s="72"/>
      <c r="E5" s="72"/>
      <c r="F5" s="72"/>
      <c r="G5" s="72"/>
      <c r="H5" s="72"/>
      <c r="I5" s="72"/>
      <c r="J5" s="72"/>
      <c r="K5" s="72"/>
    </row>
    <row r="6" spans="1:11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</row>
    <row r="8" spans="1:11" x14ac:dyDescent="0.25">
      <c r="A8" t="s">
        <v>226</v>
      </c>
      <c r="B8" t="s">
        <v>227</v>
      </c>
      <c r="C8" t="s">
        <v>301</v>
      </c>
      <c r="D8" t="s">
        <v>302</v>
      </c>
      <c r="E8" t="s">
        <v>303</v>
      </c>
      <c r="F8" t="s">
        <v>304</v>
      </c>
      <c r="G8" t="s">
        <v>305</v>
      </c>
      <c r="H8" t="s">
        <v>306</v>
      </c>
    </row>
    <row r="9" spans="1:11" x14ac:dyDescent="0.25">
      <c r="A9" t="s">
        <v>228</v>
      </c>
      <c r="B9" t="s">
        <v>229</v>
      </c>
      <c r="C9" t="s">
        <v>230</v>
      </c>
      <c r="D9" t="s">
        <v>231</v>
      </c>
      <c r="E9">
        <v>4</v>
      </c>
      <c r="F9" s="39">
        <v>0.67841435185185184</v>
      </c>
      <c r="G9" t="s">
        <v>232</v>
      </c>
      <c r="H9">
        <v>5</v>
      </c>
      <c r="I9" t="s">
        <v>307</v>
      </c>
      <c r="J9">
        <v>12</v>
      </c>
    </row>
    <row r="10" spans="1:11" x14ac:dyDescent="0.25">
      <c r="A10" t="s">
        <v>233</v>
      </c>
    </row>
    <row r="11" spans="1:11" x14ac:dyDescent="0.25">
      <c r="B11">
        <v>1</v>
      </c>
      <c r="C11" t="s">
        <v>56</v>
      </c>
      <c r="D11" t="s">
        <v>57</v>
      </c>
      <c r="E11">
        <v>1</v>
      </c>
    </row>
    <row r="12" spans="1:11" x14ac:dyDescent="0.25">
      <c r="B12">
        <v>2</v>
      </c>
      <c r="C12" t="s">
        <v>58</v>
      </c>
      <c r="D12" t="s">
        <v>57</v>
      </c>
      <c r="E12">
        <v>0.7</v>
      </c>
      <c r="F12" s="33"/>
    </row>
    <row r="13" spans="1:11" x14ac:dyDescent="0.25">
      <c r="B13">
        <v>3</v>
      </c>
      <c r="C13" t="s">
        <v>59</v>
      </c>
      <c r="D13" t="s">
        <v>57</v>
      </c>
      <c r="E13">
        <v>1</v>
      </c>
      <c r="F13" s="33"/>
    </row>
    <row r="14" spans="1:11" x14ac:dyDescent="0.25">
      <c r="B14">
        <v>4</v>
      </c>
      <c r="C14" t="s">
        <v>60</v>
      </c>
      <c r="D14" t="s">
        <v>57</v>
      </c>
      <c r="E14">
        <v>0.5</v>
      </c>
    </row>
    <row r="15" spans="1:11" x14ac:dyDescent="0.25">
      <c r="B15">
        <v>5</v>
      </c>
      <c r="C15" t="s">
        <v>61</v>
      </c>
      <c r="D15" t="s">
        <v>57</v>
      </c>
      <c r="E15">
        <v>0</v>
      </c>
    </row>
    <row r="16" spans="1:11" x14ac:dyDescent="0.25">
      <c r="B16">
        <v>6</v>
      </c>
      <c r="C16" t="s">
        <v>62</v>
      </c>
      <c r="D16" t="s">
        <v>57</v>
      </c>
      <c r="E16">
        <v>-4.1530549264700003</v>
      </c>
    </row>
    <row r="17" spans="2:6" x14ac:dyDescent="0.25">
      <c r="B17">
        <v>7</v>
      </c>
      <c r="C17" t="s">
        <v>63</v>
      </c>
      <c r="D17" t="s">
        <v>57</v>
      </c>
      <c r="E17">
        <v>0.16304005993109999</v>
      </c>
      <c r="F17" s="33"/>
    </row>
    <row r="18" spans="2:6" x14ac:dyDescent="0.25">
      <c r="B18">
        <v>8</v>
      </c>
      <c r="C18" t="s">
        <v>64</v>
      </c>
      <c r="D18" t="s">
        <v>57</v>
      </c>
      <c r="E18">
        <v>-0.66484078944180003</v>
      </c>
      <c r="F18" s="33"/>
    </row>
    <row r="19" spans="2:6" x14ac:dyDescent="0.25">
      <c r="B19">
        <v>9</v>
      </c>
      <c r="C19" t="s">
        <v>65</v>
      </c>
      <c r="D19" t="s">
        <v>57</v>
      </c>
      <c r="E19">
        <v>-2.1673496431996999</v>
      </c>
    </row>
    <row r="20" spans="2:6" x14ac:dyDescent="0.25">
      <c r="B20">
        <v>10</v>
      </c>
      <c r="C20" t="s">
        <v>66</v>
      </c>
      <c r="D20" t="s">
        <v>57</v>
      </c>
      <c r="E20">
        <v>-3.3544504276017002</v>
      </c>
    </row>
    <row r="21" spans="2:6" x14ac:dyDescent="0.25">
      <c r="B21">
        <v>11</v>
      </c>
      <c r="C21" t="s">
        <v>67</v>
      </c>
      <c r="D21" t="s">
        <v>57</v>
      </c>
      <c r="E21">
        <v>-0.22974879339000001</v>
      </c>
    </row>
    <row r="22" spans="2:6" x14ac:dyDescent="0.25">
      <c r="B22">
        <v>12</v>
      </c>
      <c r="C22" t="s">
        <v>68</v>
      </c>
      <c r="D22" t="s">
        <v>57</v>
      </c>
      <c r="E22" s="33">
        <v>-0.93478838755000004</v>
      </c>
      <c r="F22" s="33"/>
    </row>
    <row r="23" spans="2:6" x14ac:dyDescent="0.25">
      <c r="B23">
        <v>13</v>
      </c>
      <c r="C23" t="s">
        <v>69</v>
      </c>
      <c r="D23" t="s">
        <v>57</v>
      </c>
      <c r="E23" s="33">
        <v>0.40796503771199999</v>
      </c>
      <c r="F23" s="33"/>
    </row>
    <row r="24" spans="2:6" x14ac:dyDescent="0.25">
      <c r="B24">
        <v>14</v>
      </c>
      <c r="C24" t="s">
        <v>70</v>
      </c>
      <c r="D24" t="s">
        <v>57</v>
      </c>
      <c r="E24">
        <v>-0.50293651045300003</v>
      </c>
      <c r="F24" s="33"/>
    </row>
    <row r="25" spans="2:6" x14ac:dyDescent="0.25">
      <c r="B25">
        <v>15</v>
      </c>
      <c r="C25" t="s">
        <v>71</v>
      </c>
      <c r="D25" t="s">
        <v>57</v>
      </c>
      <c r="E25">
        <v>-1.61322160644</v>
      </c>
    </row>
    <row r="26" spans="2:6" x14ac:dyDescent="0.25">
      <c r="B26">
        <v>16</v>
      </c>
      <c r="C26" t="s">
        <v>72</v>
      </c>
      <c r="D26" t="s">
        <v>57</v>
      </c>
      <c r="E26">
        <v>0.130749629122</v>
      </c>
      <c r="F26" s="33"/>
    </row>
    <row r="27" spans="2:6" x14ac:dyDescent="0.25">
      <c r="B27">
        <v>17</v>
      </c>
      <c r="C27" t="s">
        <v>73</v>
      </c>
      <c r="D27" t="s">
        <v>57</v>
      </c>
      <c r="E27" s="33">
        <v>8.4077289836199998E-2</v>
      </c>
      <c r="F27" s="33"/>
    </row>
    <row r="28" spans="2:6" x14ac:dyDescent="0.25">
      <c r="B28">
        <v>18</v>
      </c>
      <c r="C28" t="s">
        <v>74</v>
      </c>
      <c r="D28" t="s">
        <v>57</v>
      </c>
      <c r="E28" s="33">
        <v>0</v>
      </c>
      <c r="F28" s="33"/>
    </row>
    <row r="29" spans="2:6" x14ac:dyDescent="0.25">
      <c r="B29">
        <v>19</v>
      </c>
      <c r="C29" t="s">
        <v>75</v>
      </c>
      <c r="D29" t="s">
        <v>57</v>
      </c>
      <c r="E29" s="33">
        <v>0.106386053639</v>
      </c>
      <c r="F29" s="33"/>
    </row>
    <row r="30" spans="2:6" x14ac:dyDescent="0.25">
      <c r="B30">
        <v>20</v>
      </c>
      <c r="C30" t="s">
        <v>76</v>
      </c>
      <c r="D30" t="s">
        <v>57</v>
      </c>
      <c r="E30">
        <v>0.88087687792799996</v>
      </c>
      <c r="F30" s="33"/>
    </row>
    <row r="31" spans="2:6" x14ac:dyDescent="0.25">
      <c r="B31">
        <v>21</v>
      </c>
      <c r="C31" t="s">
        <v>77</v>
      </c>
      <c r="D31" t="s">
        <v>57</v>
      </c>
      <c r="E31">
        <v>-0.16458061134300001</v>
      </c>
      <c r="F31" s="33"/>
    </row>
    <row r="32" spans="2:6" x14ac:dyDescent="0.25">
      <c r="B32">
        <v>22</v>
      </c>
      <c r="C32" t="s">
        <v>78</v>
      </c>
      <c r="D32" t="s">
        <v>57</v>
      </c>
      <c r="E32" s="33">
        <v>0.154182014038</v>
      </c>
      <c r="F32" s="33"/>
    </row>
    <row r="33" spans="2:6" x14ac:dyDescent="0.25">
      <c r="B33">
        <v>23</v>
      </c>
      <c r="C33" t="s">
        <v>79</v>
      </c>
      <c r="D33" t="s">
        <v>57</v>
      </c>
      <c r="E33" s="33">
        <v>4.79448884421E-2</v>
      </c>
      <c r="F33" s="33"/>
    </row>
    <row r="34" spans="2:6" x14ac:dyDescent="0.25">
      <c r="B34">
        <v>24</v>
      </c>
      <c r="C34" t="s">
        <v>80</v>
      </c>
      <c r="D34" t="s">
        <v>57</v>
      </c>
      <c r="E34" s="33">
        <v>6.4843520043099998E-2</v>
      </c>
      <c r="F34" s="33"/>
    </row>
    <row r="35" spans="2:6" x14ac:dyDescent="0.25">
      <c r="B35">
        <v>25</v>
      </c>
      <c r="C35" t="s">
        <v>81</v>
      </c>
      <c r="D35" t="s">
        <v>57</v>
      </c>
      <c r="E35">
        <v>0.15272053169499999</v>
      </c>
      <c r="F35" s="33"/>
    </row>
    <row r="36" spans="2:6" x14ac:dyDescent="0.25">
      <c r="B36">
        <v>26</v>
      </c>
      <c r="C36" t="s">
        <v>82</v>
      </c>
      <c r="D36" t="s">
        <v>57</v>
      </c>
      <c r="E36" s="33">
        <v>7.2028590735099998E-2</v>
      </c>
      <c r="F36" s="33"/>
    </row>
    <row r="37" spans="2:6" x14ac:dyDescent="0.25">
      <c r="B37">
        <v>27</v>
      </c>
      <c r="C37" t="s">
        <v>83</v>
      </c>
      <c r="D37" t="s">
        <v>57</v>
      </c>
      <c r="E37" s="33">
        <v>-0.27934224041799999</v>
      </c>
      <c r="F37" s="33"/>
    </row>
    <row r="38" spans="2:6" x14ac:dyDescent="0.25">
      <c r="B38">
        <v>28</v>
      </c>
      <c r="C38" t="s">
        <v>84</v>
      </c>
      <c r="D38" t="s">
        <v>57</v>
      </c>
      <c r="E38" s="33">
        <v>4.3626229225700003E-2</v>
      </c>
      <c r="F38" s="33"/>
    </row>
    <row r="39" spans="2:6" x14ac:dyDescent="0.25">
      <c r="B39">
        <v>29</v>
      </c>
      <c r="C39" t="s">
        <v>85</v>
      </c>
      <c r="D39" t="s">
        <v>57</v>
      </c>
      <c r="E39" s="33">
        <v>-8.7886819411100006E-2</v>
      </c>
      <c r="F39" s="33"/>
    </row>
    <row r="40" spans="2:6" x14ac:dyDescent="0.25">
      <c r="B40">
        <v>30</v>
      </c>
      <c r="C40" t="s">
        <v>86</v>
      </c>
      <c r="D40" t="s">
        <v>57</v>
      </c>
      <c r="E40" s="33">
        <v>-4.2894941477000001E-2</v>
      </c>
      <c r="F40" s="33"/>
    </row>
    <row r="41" spans="2:6" x14ac:dyDescent="0.25">
      <c r="B41">
        <v>31</v>
      </c>
      <c r="C41" t="s">
        <v>87</v>
      </c>
      <c r="D41" t="s">
        <v>57</v>
      </c>
      <c r="E41">
        <v>-0.13045579928000001</v>
      </c>
      <c r="F41" s="33"/>
    </row>
    <row r="42" spans="2:6" x14ac:dyDescent="0.25">
      <c r="B42">
        <v>32</v>
      </c>
      <c r="C42" t="s">
        <v>88</v>
      </c>
      <c r="D42" t="s">
        <v>57</v>
      </c>
      <c r="E42">
        <v>0.18945088644899999</v>
      </c>
      <c r="F42" s="33"/>
    </row>
    <row r="43" spans="2:6" x14ac:dyDescent="0.25">
      <c r="B43">
        <v>33</v>
      </c>
      <c r="C43" t="s">
        <v>89</v>
      </c>
      <c r="D43" t="s">
        <v>57</v>
      </c>
      <c r="E43">
        <v>-0.179523169776</v>
      </c>
      <c r="F43" s="33"/>
    </row>
    <row r="44" spans="2:6" x14ac:dyDescent="0.25">
      <c r="B44">
        <v>34</v>
      </c>
      <c r="C44" t="s">
        <v>90</v>
      </c>
      <c r="D44" t="s">
        <v>57</v>
      </c>
      <c r="E44" s="33">
        <v>0.17233347539499999</v>
      </c>
      <c r="F44" s="33"/>
    </row>
    <row r="45" spans="2:6" x14ac:dyDescent="0.25">
      <c r="B45">
        <v>35</v>
      </c>
      <c r="C45" t="s">
        <v>91</v>
      </c>
      <c r="D45" t="s">
        <v>57</v>
      </c>
      <c r="E45">
        <v>-0.194698386872</v>
      </c>
    </row>
    <row r="46" spans="2:6" x14ac:dyDescent="0.25">
      <c r="B46">
        <v>36</v>
      </c>
      <c r="C46" t="s">
        <v>92</v>
      </c>
      <c r="D46" t="s">
        <v>57</v>
      </c>
      <c r="E46">
        <v>0.38785322122799998</v>
      </c>
    </row>
    <row r="47" spans="2:6" x14ac:dyDescent="0.25">
      <c r="B47">
        <v>41</v>
      </c>
      <c r="C47" t="s">
        <v>93</v>
      </c>
      <c r="D47" t="s">
        <v>94</v>
      </c>
      <c r="E47">
        <v>-1.2033803293631999</v>
      </c>
    </row>
    <row r="48" spans="2:6" x14ac:dyDescent="0.25">
      <c r="B48">
        <v>42</v>
      </c>
      <c r="C48" t="s">
        <v>95</v>
      </c>
      <c r="D48" t="s">
        <v>94</v>
      </c>
      <c r="E48">
        <v>5.07828619993</v>
      </c>
    </row>
    <row r="49" spans="2:5" x14ac:dyDescent="0.25">
      <c r="B49">
        <v>43</v>
      </c>
      <c r="C49" t="s">
        <v>96</v>
      </c>
      <c r="D49" t="s">
        <v>94</v>
      </c>
      <c r="E49">
        <v>-3.0390882271000002</v>
      </c>
    </row>
    <row r="50" spans="2:5" x14ac:dyDescent="0.25">
      <c r="B50">
        <v>44</v>
      </c>
      <c r="C50" t="s">
        <v>97</v>
      </c>
      <c r="D50" t="s">
        <v>94</v>
      </c>
      <c r="E50">
        <v>-2.3320026601800001</v>
      </c>
    </row>
    <row r="51" spans="2:5" x14ac:dyDescent="0.25">
      <c r="B51">
        <v>50</v>
      </c>
      <c r="C51" t="s">
        <v>98</v>
      </c>
      <c r="D51" t="s">
        <v>57</v>
      </c>
      <c r="E51">
        <v>0.33566647407</v>
      </c>
    </row>
    <row r="52" spans="2:5" x14ac:dyDescent="0.25">
      <c r="B52">
        <v>51</v>
      </c>
      <c r="C52" t="s">
        <v>99</v>
      </c>
      <c r="D52" t="s">
        <v>57</v>
      </c>
      <c r="E52">
        <v>-0.78911507665199998</v>
      </c>
    </row>
    <row r="53" spans="2:5" x14ac:dyDescent="0.25">
      <c r="B53">
        <v>52</v>
      </c>
      <c r="C53" t="s">
        <v>100</v>
      </c>
      <c r="D53" t="s">
        <v>57</v>
      </c>
      <c r="E53">
        <v>0.56564055394500001</v>
      </c>
    </row>
    <row r="54" spans="2:5" x14ac:dyDescent="0.25">
      <c r="B54">
        <v>53</v>
      </c>
      <c r="C54" t="s">
        <v>101</v>
      </c>
      <c r="D54" t="s">
        <v>57</v>
      </c>
      <c r="E54">
        <v>-1.85416848242</v>
      </c>
    </row>
    <row r="55" spans="2:5" x14ac:dyDescent="0.25">
      <c r="B55">
        <v>54</v>
      </c>
      <c r="C55" t="s">
        <v>102</v>
      </c>
      <c r="D55" t="s">
        <v>57</v>
      </c>
      <c r="E55">
        <v>0</v>
      </c>
    </row>
    <row r="56" spans="2:5" x14ac:dyDescent="0.25">
      <c r="B56">
        <v>55</v>
      </c>
      <c r="C56" t="s">
        <v>103</v>
      </c>
      <c r="D56" t="s">
        <v>57</v>
      </c>
      <c r="E56">
        <v>-1.1156286956100001</v>
      </c>
    </row>
    <row r="57" spans="2:5" x14ac:dyDescent="0.25">
      <c r="B57">
        <v>56</v>
      </c>
      <c r="C57" t="s">
        <v>104</v>
      </c>
      <c r="D57" t="s">
        <v>57</v>
      </c>
      <c r="E57">
        <v>-0.81792869186600003</v>
      </c>
    </row>
    <row r="58" spans="2:5" x14ac:dyDescent="0.25">
      <c r="B58">
        <v>57</v>
      </c>
      <c r="C58" t="s">
        <v>105</v>
      </c>
      <c r="D58" t="s">
        <v>57</v>
      </c>
      <c r="E58">
        <v>-1.04729487823</v>
      </c>
    </row>
    <row r="59" spans="2:5" x14ac:dyDescent="0.25">
      <c r="B59">
        <v>58</v>
      </c>
      <c r="C59" t="s">
        <v>106</v>
      </c>
      <c r="D59" t="s">
        <v>57</v>
      </c>
      <c r="E59">
        <v>-2.0228517391</v>
      </c>
    </row>
    <row r="60" spans="2:5" x14ac:dyDescent="0.25">
      <c r="B60">
        <v>59</v>
      </c>
      <c r="C60" t="s">
        <v>107</v>
      </c>
      <c r="D60" t="s">
        <v>57</v>
      </c>
      <c r="E60">
        <v>-1.2945321250099999</v>
      </c>
    </row>
    <row r="61" spans="2:5" x14ac:dyDescent="0.25">
      <c r="B61">
        <v>60</v>
      </c>
      <c r="C61" t="s">
        <v>108</v>
      </c>
      <c r="D61" t="s">
        <v>57</v>
      </c>
      <c r="E61">
        <v>-0.66178028021599999</v>
      </c>
    </row>
    <row r="62" spans="2:5" x14ac:dyDescent="0.25">
      <c r="B62">
        <v>61</v>
      </c>
      <c r="C62" t="s">
        <v>109</v>
      </c>
      <c r="D62" t="s">
        <v>57</v>
      </c>
      <c r="E62" s="33">
        <v>-0.55504741134900004</v>
      </c>
    </row>
    <row r="63" spans="2:5" x14ac:dyDescent="0.25">
      <c r="B63">
        <v>62</v>
      </c>
      <c r="C63" t="s">
        <v>110</v>
      </c>
      <c r="D63" t="s">
        <v>57</v>
      </c>
      <c r="E63">
        <v>-1.7449233454799999</v>
      </c>
    </row>
    <row r="64" spans="2:5" x14ac:dyDescent="0.25">
      <c r="B64">
        <v>63</v>
      </c>
      <c r="C64" t="s">
        <v>111</v>
      </c>
      <c r="D64" t="s">
        <v>57</v>
      </c>
      <c r="E64">
        <v>1.1995398853399999</v>
      </c>
    </row>
    <row r="65" spans="2:5" x14ac:dyDescent="0.25">
      <c r="B65">
        <v>64</v>
      </c>
      <c r="C65" t="s">
        <v>112</v>
      </c>
      <c r="D65" t="s">
        <v>57</v>
      </c>
      <c r="E65" s="33">
        <v>0.19542046398099999</v>
      </c>
    </row>
    <row r="66" spans="2:5" x14ac:dyDescent="0.25">
      <c r="B66">
        <v>65</v>
      </c>
      <c r="C66" t="s">
        <v>113</v>
      </c>
      <c r="D66" t="s">
        <v>57</v>
      </c>
      <c r="E66">
        <v>-0.90594458676599998</v>
      </c>
    </row>
    <row r="67" spans="2:5" x14ac:dyDescent="0.25">
      <c r="B67">
        <v>66</v>
      </c>
      <c r="C67" t="s">
        <v>114</v>
      </c>
      <c r="D67" t="s">
        <v>57</v>
      </c>
      <c r="E67">
        <v>-2.05104130438</v>
      </c>
    </row>
    <row r="68" spans="2:5" x14ac:dyDescent="0.25">
      <c r="B68">
        <v>67</v>
      </c>
      <c r="C68" t="s">
        <v>115</v>
      </c>
      <c r="D68" t="s">
        <v>57</v>
      </c>
      <c r="E68">
        <v>-2.2381608455899999</v>
      </c>
    </row>
    <row r="69" spans="2:5" x14ac:dyDescent="0.25">
      <c r="B69">
        <v>68</v>
      </c>
      <c r="C69" t="s">
        <v>116</v>
      </c>
      <c r="D69" t="s">
        <v>57</v>
      </c>
      <c r="E69">
        <v>-0.40946320528300001</v>
      </c>
    </row>
    <row r="70" spans="2:5" x14ac:dyDescent="0.25">
      <c r="B70">
        <v>69</v>
      </c>
      <c r="C70" t="s">
        <v>117</v>
      </c>
      <c r="D70" t="s">
        <v>57</v>
      </c>
      <c r="E70">
        <v>-1.1700902309500001</v>
      </c>
    </row>
    <row r="71" spans="2:5" x14ac:dyDescent="0.25">
      <c r="B71">
        <v>70</v>
      </c>
      <c r="C71" t="s">
        <v>118</v>
      </c>
      <c r="D71" t="s">
        <v>57</v>
      </c>
      <c r="E71">
        <v>1.8412445021999999</v>
      </c>
    </row>
    <row r="72" spans="2:5" x14ac:dyDescent="0.25">
      <c r="B72">
        <v>71</v>
      </c>
      <c r="C72" t="s">
        <v>119</v>
      </c>
      <c r="D72" t="s">
        <v>57</v>
      </c>
      <c r="E72">
        <v>0.71619685052500004</v>
      </c>
    </row>
    <row r="73" spans="2:5" x14ac:dyDescent="0.25">
      <c r="B73">
        <v>72</v>
      </c>
      <c r="C73" t="s">
        <v>120</v>
      </c>
      <c r="D73" t="s">
        <v>57</v>
      </c>
      <c r="E73">
        <v>-0.101060642888</v>
      </c>
    </row>
    <row r="74" spans="2:5" x14ac:dyDescent="0.25">
      <c r="B74">
        <v>73</v>
      </c>
      <c r="C74" t="s">
        <v>121</v>
      </c>
      <c r="D74" t="s">
        <v>57</v>
      </c>
      <c r="E74">
        <v>-0.34132571646100002</v>
      </c>
    </row>
    <row r="75" spans="2:5" x14ac:dyDescent="0.25">
      <c r="B75">
        <v>74</v>
      </c>
      <c r="C75" t="s">
        <v>122</v>
      </c>
      <c r="D75" t="s">
        <v>57</v>
      </c>
      <c r="E75">
        <v>1.0486549950899999</v>
      </c>
    </row>
    <row r="76" spans="2:5" x14ac:dyDescent="0.25">
      <c r="B76">
        <v>75</v>
      </c>
      <c r="C76" t="s">
        <v>123</v>
      </c>
      <c r="D76" t="s">
        <v>57</v>
      </c>
      <c r="E76">
        <v>-30</v>
      </c>
    </row>
    <row r="77" spans="2:5" x14ac:dyDescent="0.25">
      <c r="B77">
        <v>76</v>
      </c>
      <c r="C77" t="s">
        <v>124</v>
      </c>
      <c r="D77" t="s">
        <v>57</v>
      </c>
      <c r="E77" s="33">
        <v>0.91468797064200003</v>
      </c>
    </row>
    <row r="78" spans="2:5" x14ac:dyDescent="0.25">
      <c r="B78">
        <v>77</v>
      </c>
      <c r="C78" t="s">
        <v>125</v>
      </c>
      <c r="D78" t="s">
        <v>57</v>
      </c>
      <c r="E78">
        <v>-1.1830909132</v>
      </c>
    </row>
    <row r="79" spans="2:5" x14ac:dyDescent="0.25">
      <c r="B79">
        <v>78</v>
      </c>
      <c r="C79" t="s">
        <v>126</v>
      </c>
      <c r="D79" t="s">
        <v>57</v>
      </c>
      <c r="E79">
        <v>1.4576625009499999</v>
      </c>
    </row>
    <row r="80" spans="2:5" x14ac:dyDescent="0.25">
      <c r="B80">
        <v>79</v>
      </c>
      <c r="C80" t="s">
        <v>127</v>
      </c>
      <c r="D80" t="s">
        <v>57</v>
      </c>
      <c r="E80">
        <v>-1.62636517084</v>
      </c>
    </row>
    <row r="81" spans="2:6" x14ac:dyDescent="0.25">
      <c r="B81">
        <v>80</v>
      </c>
      <c r="C81" t="s">
        <v>128</v>
      </c>
      <c r="D81" t="s">
        <v>57</v>
      </c>
      <c r="E81">
        <v>0</v>
      </c>
    </row>
    <row r="82" spans="2:6" x14ac:dyDescent="0.25">
      <c r="B82">
        <v>101</v>
      </c>
      <c r="C82" t="s">
        <v>372</v>
      </c>
      <c r="D82" t="s">
        <v>57</v>
      </c>
      <c r="E82">
        <v>0</v>
      </c>
      <c r="F82" s="33"/>
    </row>
    <row r="83" spans="2:6" x14ac:dyDescent="0.25">
      <c r="B83">
        <v>102</v>
      </c>
      <c r="C83" t="s">
        <v>373</v>
      </c>
      <c r="D83" t="s">
        <v>57</v>
      </c>
      <c r="E83">
        <v>6.1585552388600001E-2</v>
      </c>
      <c r="F83" s="33"/>
    </row>
    <row r="84" spans="2:6" x14ac:dyDescent="0.25">
      <c r="B84">
        <v>103</v>
      </c>
      <c r="C84" s="33" t="s">
        <v>374</v>
      </c>
      <c r="D84" s="33" t="s">
        <v>57</v>
      </c>
      <c r="E84" s="33">
        <v>-0.17738509358310001</v>
      </c>
      <c r="F84" s="33"/>
    </row>
    <row r="85" spans="2:6" x14ac:dyDescent="0.25">
      <c r="B85">
        <v>104</v>
      </c>
      <c r="C85" s="33" t="s">
        <v>375</v>
      </c>
      <c r="D85" s="33" t="s">
        <v>57</v>
      </c>
      <c r="E85" s="33">
        <v>0.2419007637824</v>
      </c>
    </row>
    <row r="86" spans="2:6" x14ac:dyDescent="0.25">
      <c r="B86">
        <v>105</v>
      </c>
      <c r="C86" s="33" t="s">
        <v>376</v>
      </c>
      <c r="D86" s="33" t="s">
        <v>57</v>
      </c>
      <c r="E86" s="33">
        <v>-3.3705109193499998E-2</v>
      </c>
    </row>
    <row r="87" spans="2:6" x14ac:dyDescent="0.25">
      <c r="B87">
        <v>106</v>
      </c>
      <c r="C87" t="s">
        <v>377</v>
      </c>
      <c r="D87" t="s">
        <v>57</v>
      </c>
      <c r="E87">
        <v>0.1143372177009</v>
      </c>
      <c r="F87" s="33"/>
    </row>
    <row r="88" spans="2:6" x14ac:dyDescent="0.25">
      <c r="B88">
        <v>107</v>
      </c>
      <c r="C88" t="s">
        <v>378</v>
      </c>
      <c r="D88" t="s">
        <v>57</v>
      </c>
      <c r="E88">
        <v>0.29549776405130002</v>
      </c>
      <c r="F88" s="33"/>
    </row>
    <row r="89" spans="2:6" x14ac:dyDescent="0.25">
      <c r="B89">
        <v>108</v>
      </c>
      <c r="C89" s="33" t="s">
        <v>379</v>
      </c>
      <c r="D89" s="33" t="s">
        <v>57</v>
      </c>
      <c r="E89" s="33">
        <v>-0.24958234591280001</v>
      </c>
    </row>
    <row r="90" spans="2:6" x14ac:dyDescent="0.25">
      <c r="B90">
        <v>109</v>
      </c>
      <c r="C90" s="33" t="s">
        <v>380</v>
      </c>
      <c r="D90" s="39" t="s">
        <v>57</v>
      </c>
      <c r="E90" s="33">
        <v>0.1613318461263</v>
      </c>
    </row>
    <row r="91" spans="2:6" x14ac:dyDescent="0.25">
      <c r="B91">
        <v>110</v>
      </c>
      <c r="C91" t="s">
        <v>381</v>
      </c>
      <c r="D91" t="s">
        <v>57</v>
      </c>
      <c r="E91">
        <v>-4.5588844644699998E-2</v>
      </c>
    </row>
    <row r="92" spans="2:6" x14ac:dyDescent="0.25">
      <c r="B92">
        <v>111</v>
      </c>
      <c r="C92" t="s">
        <v>382</v>
      </c>
      <c r="D92" t="s">
        <v>57</v>
      </c>
      <c r="E92">
        <v>-0.14910096747439999</v>
      </c>
    </row>
    <row r="93" spans="2:6" x14ac:dyDescent="0.25">
      <c r="B93">
        <v>112</v>
      </c>
      <c r="C93" t="s">
        <v>383</v>
      </c>
      <c r="D93" t="s">
        <v>57</v>
      </c>
      <c r="E93">
        <v>0.17468608903999999</v>
      </c>
    </row>
    <row r="94" spans="2:6" x14ac:dyDescent="0.25">
      <c r="B94">
        <v>113</v>
      </c>
      <c r="C94" t="s">
        <v>384</v>
      </c>
      <c r="D94" t="s">
        <v>57</v>
      </c>
      <c r="E94">
        <v>1.3048994599762</v>
      </c>
    </row>
    <row r="95" spans="2:6" x14ac:dyDescent="0.25">
      <c r="B95">
        <v>114</v>
      </c>
      <c r="C95" t="s">
        <v>385</v>
      </c>
      <c r="D95" t="s">
        <v>57</v>
      </c>
      <c r="E95">
        <v>4.9409553856600001E-2</v>
      </c>
    </row>
    <row r="96" spans="2:6" x14ac:dyDescent="0.25">
      <c r="B96">
        <v>115</v>
      </c>
      <c r="C96" t="s">
        <v>386</v>
      </c>
      <c r="D96" t="s">
        <v>57</v>
      </c>
      <c r="E96">
        <v>0.21697886195819999</v>
      </c>
    </row>
    <row r="97" spans="2:11" x14ac:dyDescent="0.25">
      <c r="B97">
        <v>116</v>
      </c>
      <c r="C97" t="s">
        <v>387</v>
      </c>
      <c r="D97" t="s">
        <v>57</v>
      </c>
      <c r="E97">
        <v>-0.46096256471820002</v>
      </c>
    </row>
    <row r="98" spans="2:11" x14ac:dyDescent="0.25">
      <c r="B98">
        <v>117</v>
      </c>
      <c r="C98" t="s">
        <v>388</v>
      </c>
      <c r="D98" t="s">
        <v>57</v>
      </c>
      <c r="E98">
        <v>-6.5598826231399995E-2</v>
      </c>
    </row>
    <row r="99" spans="2:11" x14ac:dyDescent="0.25">
      <c r="B99">
        <v>118</v>
      </c>
      <c r="C99" t="s">
        <v>389</v>
      </c>
      <c r="D99" t="s">
        <v>57</v>
      </c>
      <c r="E99">
        <v>0.30646725571720002</v>
      </c>
    </row>
    <row r="100" spans="2:11" x14ac:dyDescent="0.25">
      <c r="B100">
        <v>119</v>
      </c>
      <c r="C100" t="s">
        <v>390</v>
      </c>
      <c r="D100" t="s">
        <v>57</v>
      </c>
      <c r="E100">
        <v>0.1628137198364</v>
      </c>
    </row>
    <row r="101" spans="2:11" x14ac:dyDescent="0.25">
      <c r="B101">
        <v>120</v>
      </c>
      <c r="C101" t="s">
        <v>391</v>
      </c>
      <c r="D101" t="s">
        <v>57</v>
      </c>
      <c r="E101">
        <v>-0.40270863939919999</v>
      </c>
    </row>
    <row r="102" spans="2:11" x14ac:dyDescent="0.25">
      <c r="B102">
        <v>121</v>
      </c>
      <c r="C102" t="s">
        <v>413</v>
      </c>
      <c r="D102" t="s">
        <v>57</v>
      </c>
      <c r="E102">
        <v>-0.47819038789149998</v>
      </c>
    </row>
    <row r="103" spans="2:11" x14ac:dyDescent="0.25">
      <c r="B103">
        <v>122</v>
      </c>
      <c r="C103" t="s">
        <v>414</v>
      </c>
      <c r="D103" t="s">
        <v>57</v>
      </c>
      <c r="E103">
        <v>-1.0119832457914</v>
      </c>
    </row>
    <row r="104" spans="2:11" x14ac:dyDescent="0.25">
      <c r="B104">
        <v>98</v>
      </c>
      <c r="C104" s="33" t="s">
        <v>130</v>
      </c>
      <c r="D104" s="33" t="s">
        <v>94</v>
      </c>
      <c r="E104" s="33">
        <v>0.196143079927</v>
      </c>
    </row>
    <row r="105" spans="2:11" x14ac:dyDescent="0.25">
      <c r="B105">
        <v>-1</v>
      </c>
    </row>
    <row r="106" spans="2:11" x14ac:dyDescent="0.25">
      <c r="B106">
        <v>4094</v>
      </c>
      <c r="C106" s="33">
        <v>-7858.2822859199996</v>
      </c>
      <c r="D106" s="33">
        <v>-18684.837435699999</v>
      </c>
      <c r="E106" s="33">
        <v>-15176.5511826</v>
      </c>
    </row>
    <row r="107" spans="2:11" x14ac:dyDescent="0.25">
      <c r="B107">
        <v>4</v>
      </c>
      <c r="C107" t="s">
        <v>308</v>
      </c>
      <c r="D107" t="s">
        <v>232</v>
      </c>
      <c r="E107">
        <v>5</v>
      </c>
      <c r="F107" t="s">
        <v>307</v>
      </c>
      <c r="G107">
        <v>12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-93357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21016</v>
      </c>
    </row>
    <row r="182" spans="2:11" x14ac:dyDescent="0.25">
      <c r="B182">
        <v>-15064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61408</v>
      </c>
      <c r="J185">
        <v>-67476</v>
      </c>
      <c r="K185">
        <v>11445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99207</v>
      </c>
      <c r="E367">
        <v>-91957</v>
      </c>
      <c r="F367">
        <v>23803</v>
      </c>
      <c r="G367">
        <v>66371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-53851</v>
      </c>
      <c r="D376">
        <v>-1875</v>
      </c>
      <c r="E376">
        <v>0</v>
      </c>
      <c r="F376">
        <v>0</v>
      </c>
      <c r="G376">
        <v>-21781</v>
      </c>
      <c r="H376">
        <v>-20280</v>
      </c>
      <c r="I376">
        <v>-42228</v>
      </c>
      <c r="J376">
        <v>-2163</v>
      </c>
      <c r="K376">
        <v>-1012</v>
      </c>
    </row>
    <row r="377" spans="2:11" x14ac:dyDescent="0.25">
      <c r="B377">
        <v>-3960</v>
      </c>
      <c r="C377">
        <v>-2366</v>
      </c>
      <c r="D377">
        <v>300</v>
      </c>
      <c r="E377">
        <v>3832</v>
      </c>
      <c r="F377">
        <v>-1611</v>
      </c>
      <c r="G377">
        <v>0</v>
      </c>
      <c r="H377">
        <v>0</v>
      </c>
      <c r="I377">
        <v>0</v>
      </c>
      <c r="J377">
        <v>-6123</v>
      </c>
      <c r="K377">
        <v>-8113</v>
      </c>
    </row>
    <row r="378" spans="2:11" x14ac:dyDescent="0.25">
      <c r="B378">
        <v>0</v>
      </c>
      <c r="C378">
        <v>228</v>
      </c>
      <c r="D378">
        <v>0</v>
      </c>
      <c r="E378">
        <v>-699</v>
      </c>
      <c r="F378">
        <v>0</v>
      </c>
      <c r="G378">
        <v>1524</v>
      </c>
      <c r="H378">
        <v>-6490</v>
      </c>
      <c r="I378">
        <v>0</v>
      </c>
      <c r="J378">
        <v>4309</v>
      </c>
      <c r="K378">
        <v>1098</v>
      </c>
    </row>
    <row r="379" spans="2:11" x14ac:dyDescent="0.25">
      <c r="B379">
        <v>2508</v>
      </c>
      <c r="C379">
        <v>0</v>
      </c>
      <c r="D379">
        <v>0</v>
      </c>
      <c r="E379">
        <v>-12322</v>
      </c>
      <c r="F379">
        <v>0</v>
      </c>
      <c r="G379">
        <v>0</v>
      </c>
      <c r="H379">
        <v>0</v>
      </c>
      <c r="I379">
        <v>10347</v>
      </c>
      <c r="J379">
        <v>0</v>
      </c>
      <c r="K379">
        <v>52376</v>
      </c>
    </row>
    <row r="380" spans="2:11" x14ac:dyDescent="0.25">
      <c r="B380">
        <v>0</v>
      </c>
      <c r="C380">
        <v>0</v>
      </c>
      <c r="D380">
        <v>0</v>
      </c>
      <c r="E380">
        <v>0</v>
      </c>
      <c r="F380">
        <v>-31826</v>
      </c>
      <c r="G380">
        <v>-30459</v>
      </c>
      <c r="H380">
        <v>-31188</v>
      </c>
      <c r="I380">
        <v>0</v>
      </c>
      <c r="J380">
        <v>-28742</v>
      </c>
      <c r="K380">
        <v>-30971</v>
      </c>
    </row>
    <row r="381" spans="2:11" x14ac:dyDescent="0.25">
      <c r="B381">
        <v>-30536</v>
      </c>
      <c r="C381">
        <v>-29277</v>
      </c>
      <c r="D381">
        <v>-28272</v>
      </c>
      <c r="E381">
        <v>-26510</v>
      </c>
      <c r="F381">
        <v>-25917</v>
      </c>
      <c r="G381">
        <v>0</v>
      </c>
      <c r="H381">
        <v>-4294</v>
      </c>
      <c r="I381">
        <v>-13158</v>
      </c>
      <c r="J381">
        <v>-19171</v>
      </c>
      <c r="K381">
        <v>-20363</v>
      </c>
    </row>
    <row r="382" spans="2:11" x14ac:dyDescent="0.25">
      <c r="B382">
        <v>-6903</v>
      </c>
      <c r="C382">
        <v>0</v>
      </c>
      <c r="D382">
        <v>-17686</v>
      </c>
      <c r="E382">
        <v>-23766</v>
      </c>
      <c r="F382">
        <v>0</v>
      </c>
      <c r="G382">
        <v>-17253</v>
      </c>
      <c r="H382">
        <v>-24236</v>
      </c>
      <c r="I382">
        <v>-18126</v>
      </c>
      <c r="J382">
        <v>0</v>
      </c>
      <c r="K382">
        <v>41</v>
      </c>
    </row>
    <row r="383" spans="2:11" x14ac:dyDescent="0.25">
      <c r="B383">
        <v>0</v>
      </c>
      <c r="C383">
        <v>0</v>
      </c>
      <c r="D383">
        <v>0</v>
      </c>
      <c r="E383">
        <v>-894</v>
      </c>
      <c r="F383">
        <v>0</v>
      </c>
      <c r="G383">
        <v>0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C403"/>
  <sheetViews>
    <sheetView tabSelected="1" topLeftCell="R1" workbookViewId="0">
      <selection activeCell="AI26" sqref="AI26"/>
    </sheetView>
  </sheetViews>
  <sheetFormatPr defaultRowHeight="15" x14ac:dyDescent="0.25"/>
  <cols>
    <col min="3" max="3" bestFit="true" customWidth="true" width="19.28515625" collapsed="true"/>
    <col min="5" max="5" bestFit="true" customWidth="true" width="10.5703125" collapsed="true"/>
    <col min="6" max="6" bestFit="true" customWidth="true" width="9.0" collapsed="true"/>
    <col min="14" max="14" bestFit="true" customWidth="true" width="10.42578125" collapsed="true"/>
    <col min="16" max="16" bestFit="true" customWidth="true" width="10.28515625" collapsed="true"/>
    <col min="17" max="17" customWidth="true" width="18.28515625" collapsed="true"/>
    <col min="18" max="18" bestFit="true" customWidth="true" width="7.0" collapsed="true"/>
    <col min="19" max="19" bestFit="true" customWidth="true" width="10.140625" collapsed="true"/>
    <col min="21" max="21" bestFit="true" customWidth="true" width="12.28515625" collapsed="true"/>
    <col min="22" max="23" bestFit="true" customWidth="true" width="11.5703125" collapsed="true"/>
    <col min="24" max="24" bestFit="true" customWidth="true" width="9.8554687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2" max="102" bestFit="true" customWidth="true" width="9.5703125" collapsed="true"/>
  </cols>
  <sheetData>
    <row ht="15.75" r="1" spans="2:106" thickBot="1" x14ac:dyDescent="0.3">
      <c r="L1" s="7"/>
      <c r="M1" s="7"/>
      <c r="N1" s="7"/>
      <c r="O1" s="7"/>
      <c r="CS1" t="s">
        <v>406</v>
      </c>
      <c r="CU1" t="s">
        <v>407</v>
      </c>
      <c r="CV1" t="s">
        <v>405</v>
      </c>
      <c r="CW1" t="s">
        <v>227</v>
      </c>
      <c r="CX1" t="s">
        <v>365</v>
      </c>
      <c r="CY1" t="s">
        <v>345</v>
      </c>
      <c r="CZ1" t="s">
        <v>408</v>
      </c>
      <c r="DA1" t="s">
        <v>409</v>
      </c>
      <c r="DB1" t="s">
        <v>410</v>
      </c>
    </row>
    <row r="2" spans="2:106" x14ac:dyDescent="0.25">
      <c r="B2" s="242" t="s">
        <v>350</v>
      </c>
      <c r="C2" s="246"/>
      <c r="D2" s="247" t="s">
        <v>348</v>
      </c>
      <c r="E2" s="243"/>
      <c r="F2" s="243"/>
      <c r="G2" s="246"/>
      <c r="H2" s="247" t="s">
        <v>349</v>
      </c>
      <c r="I2" s="243"/>
      <c r="J2" s="243"/>
      <c r="K2" s="246"/>
      <c r="L2" s="247" t="s">
        <v>357</v>
      </c>
      <c r="M2" s="243"/>
      <c r="N2" s="243"/>
      <c r="O2" s="246"/>
      <c r="P2" s="247" t="s">
        <v>400</v>
      </c>
      <c r="Q2" s="246"/>
      <c r="R2" s="168"/>
      <c r="S2" s="154"/>
      <c r="T2" s="154"/>
      <c r="U2" s="245"/>
      <c r="V2" s="245"/>
      <c r="W2" s="245"/>
      <c r="X2" s="245"/>
      <c r="Y2" s="245"/>
      <c r="Z2" s="245"/>
      <c r="AA2" s="245"/>
      <c r="AB2" s="245"/>
      <c r="AC2" s="245"/>
      <c r="AD2" s="242" t="s">
        <v>363</v>
      </c>
      <c r="AE2" s="243"/>
      <c r="AF2" s="243"/>
      <c r="AG2" s="243"/>
      <c r="AH2" s="243"/>
      <c r="AI2" s="244"/>
      <c r="CS2">
        <v>20</v>
      </c>
      <c r="CU2">
        <v>1</v>
      </c>
      <c r="CV2">
        <v>1</v>
      </c>
      <c r="CW2">
        <f>MOD(ROW()-2,$CS$2)+1</f>
        <v>1</v>
      </c>
      <c r="CX2" s="58">
        <f>VLOOKUP($CV2,$B$30:$V$49,MATCH($CW2,$B$29:$V$29,0),0)</f>
        <v>4240.0203316602074</v>
      </c>
      <c r="CY2" s="58">
        <f>VLOOKUP($CV2,$AY$30:$BS$49,MATCH($CW2,$AY$29:$BS$29,0),0)</f>
        <v>2420.0000000000005</v>
      </c>
      <c r="CZ2" s="108">
        <f>CY2-CX2</f>
        <v>-1820.0203316602069</v>
      </c>
      <c r="DA2" s="78">
        <f>CZ2/CX2</f>
        <v>-0.42924801989040606</v>
      </c>
      <c r="DB2">
        <v>1000</v>
      </c>
    </row>
    <row r="3" spans="2:106" x14ac:dyDescent="0.25">
      <c r="B3" s="179" t="s">
        <v>351</v>
      </c>
      <c r="C3" s="180" t="s">
        <v>360</v>
      </c>
      <c r="D3" s="181" t="s">
        <v>343</v>
      </c>
      <c r="E3" s="182" t="s">
        <v>356</v>
      </c>
      <c r="F3" s="182" t="s">
        <v>428</v>
      </c>
      <c r="G3" s="182" t="s">
        <v>345</v>
      </c>
      <c r="H3" s="181" t="s">
        <v>343</v>
      </c>
      <c r="I3" s="182" t="s">
        <v>356</v>
      </c>
      <c r="J3" s="182" t="s">
        <v>428</v>
      </c>
      <c r="K3" s="182" t="s">
        <v>345</v>
      </c>
      <c r="L3" s="183" t="s">
        <v>343</v>
      </c>
      <c r="M3" s="184" t="s">
        <v>356</v>
      </c>
      <c r="N3" s="184" t="s">
        <v>428</v>
      </c>
      <c r="O3" s="185" t="s">
        <v>345</v>
      </c>
      <c r="P3" s="186" t="s">
        <v>358</v>
      </c>
      <c r="Q3" s="187" t="s">
        <v>429</v>
      </c>
      <c r="R3" s="188" t="s">
        <v>361</v>
      </c>
      <c r="T3" s="138"/>
      <c r="U3" s="199"/>
      <c r="V3" s="199"/>
      <c r="W3" s="199"/>
      <c r="X3" s="199"/>
      <c r="Y3" s="200"/>
      <c r="Z3" s="199"/>
      <c r="AA3" s="199"/>
      <c r="AB3" s="199"/>
      <c r="AC3" s="199"/>
      <c r="AD3" s="193" t="s">
        <v>396</v>
      </c>
      <c r="AE3" s="184" t="s">
        <v>362</v>
      </c>
      <c r="AF3" s="189" t="s">
        <v>364</v>
      </c>
      <c r="AG3" s="189" t="s">
        <v>397</v>
      </c>
      <c r="AH3" s="189" t="s">
        <v>398</v>
      </c>
      <c r="AI3" s="190" t="s">
        <v>268</v>
      </c>
      <c r="AK3" s="90" t="s">
        <v>399</v>
      </c>
      <c r="CU3" s="95">
        <v>2</v>
      </c>
      <c r="CV3" s="95">
        <f>IF(CW2&lt;$CS$2,CV2,CV2+1)</f>
        <v>1</v>
      </c>
      <c r="CW3" s="95">
        <f ref="CW3:CW66" si="0" t="shared">MOD(ROW()-2,$CS$2)+1</f>
        <v>2</v>
      </c>
      <c r="CX3" s="58">
        <f ref="CX3:CX66" si="1" t="shared">VLOOKUP($CV3,$B$30:$V$49,MATCH($CW3,$B$29:$V$29,0),0)</f>
        <v>536.1458796619861</v>
      </c>
      <c r="CY3" s="58">
        <f ref="CY3:CY66" si="2" t="shared">VLOOKUP($CV3,$AY$30:$BS$49,MATCH($CW3,$AY$29:$BS$29,0),0)</f>
        <v>580.00000000000011</v>
      </c>
      <c r="CZ3" s="108">
        <f ref="CZ3:CZ66" si="3" t="shared">CY3-CX3</f>
        <v>43.854120338014013</v>
      </c>
      <c r="DA3" s="78">
        <f ref="DA3:DA66" si="4" t="shared">CZ3/CX3</f>
        <v>8.1795127038301413E-2</v>
      </c>
      <c r="DB3" s="95">
        <v>2000</v>
      </c>
    </row>
    <row r="4" spans="2:106" x14ac:dyDescent="0.25">
      <c r="B4" s="169">
        <v>1</v>
      </c>
      <c r="C4" s="170" t="s">
        <v>323</v>
      </c>
      <c r="D4" s="132">
        <f>County_Flow!BX22</f>
        <v>83524.716672332506</v>
      </c>
      <c r="E4" s="133">
        <f>County_Flow!BY22</f>
        <v>50465</v>
      </c>
      <c r="F4" s="133">
        <f>County_Flow!BZ22</f>
        <v>70858</v>
      </c>
      <c r="G4" s="134">
        <f>County_Flow!CA22</f>
        <v>45640</v>
      </c>
      <c r="H4" s="132">
        <f>County_Flow!CB22</f>
        <v>88085.722011194797</v>
      </c>
      <c r="I4" s="133">
        <f>County_Flow!CC22</f>
        <v>46363.04002708225</v>
      </c>
      <c r="J4" s="133">
        <f>County_Flow!CD22</f>
        <v>61174.01482077979</v>
      </c>
      <c r="K4" s="134">
        <f>County_Flow!CE22</f>
        <v>45640</v>
      </c>
      <c r="L4" s="100">
        <f>County_Flow!CF22</f>
        <v>0.10607114543036794</v>
      </c>
      <c r="M4" s="100">
        <f>County_Flow!CG22</f>
        <v>5.582948801488638E-2</v>
      </c>
      <c r="N4" s="104">
        <f>County_Flow!CH22</f>
        <v>7.3664581210899999E-2</v>
      </c>
      <c r="O4" s="150">
        <f>County_Flow!CI22</f>
        <v>5.4958817012667985E-2</v>
      </c>
      <c r="P4" s="125">
        <f>County_Flow!CJ22</f>
        <v>-8.7067100221839555E-4</v>
      </c>
      <c r="Q4" s="121">
        <f>County_Flow!CK22</f>
        <v>-1.5595181564019477E-2</v>
      </c>
      <c r="R4" s="171">
        <f>M4/O4</f>
        <v>1.0158422442393129</v>
      </c>
      <c r="S4" s="140"/>
      <c r="T4" s="201"/>
      <c r="U4" s="202"/>
      <c r="V4" s="203"/>
      <c r="W4" s="203"/>
      <c r="X4" s="204"/>
      <c r="Y4" s="30"/>
      <c r="Z4" s="30"/>
      <c r="AA4" s="100"/>
      <c r="AB4" s="165"/>
      <c r="AC4" s="165"/>
      <c r="AD4" s="194">
        <v>101</v>
      </c>
      <c r="AE4" s="192">
        <f>LN(R4)</f>
        <v>1.5718065682436451E-2</v>
      </c>
      <c r="AF4" s="164">
        <f ref="AF4:AF23" si="5" t="shared">AE4-AE$4</f>
        <v>0</v>
      </c>
      <c r="AG4" s="7">
        <f>VLOOKUP(AD4,calibration_dist!$T:$W,3,FALSE)</f>
        <v>0</v>
      </c>
      <c r="AH4" s="167">
        <f>AG4+AF4*AI4</f>
        <v>0</v>
      </c>
      <c r="AI4" s="174">
        <v>1</v>
      </c>
      <c r="CU4" s="95">
        <v>3</v>
      </c>
      <c r="CV4" s="95">
        <f ref="CV4:CV67" si="6" t="shared">IF(CW3&lt;$CS$2,CV3,CV3+1)</f>
        <v>1</v>
      </c>
      <c r="CW4" s="95">
        <f si="0" t="shared"/>
        <v>3</v>
      </c>
      <c r="CX4" s="58">
        <f si="1" t="shared"/>
        <v>296.36952792426456</v>
      </c>
      <c r="CY4" s="58">
        <f si="2" t="shared"/>
        <v>500.00000000000006</v>
      </c>
      <c r="CZ4" s="108">
        <f si="3" t="shared"/>
        <v>203.6304720757355</v>
      </c>
      <c r="DA4" s="78">
        <f si="4" t="shared"/>
        <v>0.68708302605176075</v>
      </c>
      <c r="DB4" s="95">
        <v>3000</v>
      </c>
    </row>
    <row r="5" spans="2:106" x14ac:dyDescent="0.25">
      <c r="B5" s="144">
        <v>2</v>
      </c>
      <c r="C5" s="170" t="s">
        <v>324</v>
      </c>
      <c r="D5" s="115">
        <f>County_Flow!BX23</f>
        <v>33517.436176149633</v>
      </c>
      <c r="E5" s="116">
        <f>County_Flow!BY23</f>
        <v>41849</v>
      </c>
      <c r="F5" s="116">
        <f>County_Flow!BZ23</f>
        <v>75074</v>
      </c>
      <c r="G5" s="123">
        <f>County_Flow!CA23</f>
        <v>38180</v>
      </c>
      <c r="H5" s="115">
        <f>County_Flow!CB23</f>
        <v>35347.71123046818</v>
      </c>
      <c r="I5" s="116">
        <f>County_Flow!CC23</f>
        <v>38447.376639123453</v>
      </c>
      <c r="J5" s="116">
        <f>County_Flow!CD23</f>
        <v>64217.606341779516</v>
      </c>
      <c r="K5" s="123">
        <f>County_Flow!CE23</f>
        <v>38180</v>
      </c>
      <c r="L5" s="100">
        <f>County_Flow!CF23</f>
        <v>4.2565039292987043E-2</v>
      </c>
      <c r="M5" s="100">
        <f>County_Flow!CG23</f>
        <v>4.6297597224511641E-2</v>
      </c>
      <c r="N5" s="104">
        <f>County_Flow!CH23</f>
        <v>7.7329616037015936E-2</v>
      </c>
      <c r="O5" s="150">
        <f>County_Flow!CI23</f>
        <v>4.5975627378257312E-2</v>
      </c>
      <c r="P5" s="125">
        <f>County_Flow!CJ23</f>
        <v>-3.2196984625432884E-4</v>
      </c>
      <c r="Q5" s="121">
        <f>County_Flow!CK23</f>
        <v>-6.9543532614231669E-3</v>
      </c>
      <c r="R5" s="171">
        <f ref="R5:R23" si="7" t="shared">M5/O5</f>
        <v>1.0070030549796607</v>
      </c>
      <c r="S5" s="140"/>
      <c r="T5" s="201"/>
      <c r="U5" s="202"/>
      <c r="V5" s="203"/>
      <c r="W5" s="203"/>
      <c r="X5" s="204"/>
      <c r="Y5" s="30"/>
      <c r="Z5" s="30"/>
      <c r="AA5" s="100"/>
      <c r="AB5" s="165"/>
      <c r="AC5" s="165"/>
      <c r="AD5" s="194">
        <v>102</v>
      </c>
      <c r="AE5" s="163">
        <f ref="AE5:AE23" si="8" t="shared">LN(R5)</f>
        <v>6.978647475279951E-3</v>
      </c>
      <c r="AF5" s="164">
        <f si="5" t="shared"/>
        <v>-8.7394182071564991E-3</v>
      </c>
      <c r="AG5" s="7">
        <f>VLOOKUP(AD5,calibration_dist!$T:$W,3,FALSE)</f>
        <v>6.1585552388600001E-2</v>
      </c>
      <c r="AH5" s="167">
        <f ref="AH5:AH23" si="9" t="shared">AG5+AF5*AI5</f>
        <v>5.2846134181443502E-2</v>
      </c>
      <c r="AI5" s="174">
        <v>1</v>
      </c>
      <c r="AK5" s="108">
        <f>MIN($U$26)</f>
        <v>0</v>
      </c>
      <c r="CU5" s="95">
        <v>4</v>
      </c>
      <c r="CV5" s="95">
        <f si="6" t="shared"/>
        <v>1</v>
      </c>
      <c r="CW5" s="95">
        <f si="0" t="shared"/>
        <v>4</v>
      </c>
      <c r="CX5" s="58">
        <f si="1" t="shared"/>
        <v>396.15223330580091</v>
      </c>
      <c r="CY5" s="58">
        <f si="2" t="shared"/>
        <v>800.00000000000011</v>
      </c>
      <c r="CZ5" s="108">
        <f si="3" t="shared"/>
        <v>403.84776669419921</v>
      </c>
      <c r="DA5" s="78">
        <f si="4" t="shared"/>
        <v>1.0194256973491751</v>
      </c>
      <c r="DB5" s="95">
        <v>4000</v>
      </c>
    </row>
    <row r="6" spans="2:106" x14ac:dyDescent="0.25">
      <c r="B6" s="144">
        <v>3</v>
      </c>
      <c r="C6" s="170" t="s">
        <v>325</v>
      </c>
      <c r="D6" s="115">
        <f>County_Flow!BX24</f>
        <v>20342.761980711071</v>
      </c>
      <c r="E6" s="116">
        <f>County_Flow!BY24</f>
        <v>26730</v>
      </c>
      <c r="F6" s="116">
        <f>County_Flow!BZ24</f>
        <v>24294</v>
      </c>
      <c r="G6" s="123">
        <f>County_Flow!CA24</f>
        <v>24100</v>
      </c>
      <c r="H6" s="115">
        <f>County_Flow!CB24</f>
        <v>21453.612154141982</v>
      </c>
      <c r="I6" s="116">
        <f>County_Flow!CC24</f>
        <v>24557.298324064373</v>
      </c>
      <c r="J6" s="116">
        <f>County_Flow!CD24</f>
        <v>20808.902705694385</v>
      </c>
      <c r="K6" s="123">
        <f>County_Flow!CE24</f>
        <v>24100</v>
      </c>
      <c r="L6" s="100">
        <f>County_Flow!CF24</f>
        <v>2.5834030338304958E-2</v>
      </c>
      <c r="M6" s="100">
        <f>County_Flow!CG24</f>
        <v>2.9571429993815773E-2</v>
      </c>
      <c r="N6" s="104">
        <f>County_Flow!CH24</f>
        <v>2.5057683524028689E-2</v>
      </c>
      <c r="O6" s="150">
        <f>County_Flow!CI24</f>
        <v>2.9020760078994269E-2</v>
      </c>
      <c r="P6" s="125">
        <f>County_Flow!CJ24</f>
        <v>-5.5066991482150343E-4</v>
      </c>
      <c r="Q6" s="121">
        <f>County_Flow!CK24</f>
        <v>-1.8621687045119871E-2</v>
      </c>
      <c r="R6" s="171">
        <f si="7" t="shared"/>
        <v>1.0189750341935422</v>
      </c>
      <c r="S6" s="140"/>
      <c r="T6" s="201"/>
      <c r="U6" s="202"/>
      <c r="V6" s="203"/>
      <c r="W6" s="203"/>
      <c r="X6" s="204"/>
      <c r="Y6" s="30"/>
      <c r="Z6" s="30"/>
      <c r="AA6" s="100"/>
      <c r="AB6" s="165"/>
      <c r="AC6" s="165"/>
      <c r="AD6" s="194">
        <v>103</v>
      </c>
      <c r="AE6" s="163">
        <f si="8" t="shared"/>
        <v>1.8797253639706805E-2</v>
      </c>
      <c r="AF6" s="164">
        <f si="5" t="shared"/>
        <v>3.0791879572703539E-3</v>
      </c>
      <c r="AG6" s="7">
        <f>VLOOKUP(AD6,calibration_dist!$T:$W,3,FALSE)</f>
        <v>-0.17738509358310001</v>
      </c>
      <c r="AH6" s="167">
        <f si="9" t="shared"/>
        <v>-0.17430590562582965</v>
      </c>
      <c r="AI6" s="174">
        <v>1</v>
      </c>
      <c r="AK6">
        <f>COUNT($U$4:$U$23)</f>
        <v>0</v>
      </c>
      <c r="CU6" s="95">
        <v>5</v>
      </c>
      <c r="CV6" s="95">
        <f si="6" t="shared"/>
        <v>1</v>
      </c>
      <c r="CW6" s="95">
        <f si="0" t="shared"/>
        <v>5</v>
      </c>
      <c r="CX6" s="58">
        <f si="1" t="shared"/>
        <v>503.38140923819816</v>
      </c>
      <c r="CY6" s="58">
        <f si="2" t="shared"/>
        <v>640.00000000000011</v>
      </c>
      <c r="CZ6" s="108">
        <f si="3" t="shared"/>
        <v>136.61859076180195</v>
      </c>
      <c r="DA6" s="78">
        <f si="4" t="shared"/>
        <v>0.27140174081628543</v>
      </c>
      <c r="DB6" s="95">
        <v>5000</v>
      </c>
    </row>
    <row r="7" spans="2:106" x14ac:dyDescent="0.25">
      <c r="B7" s="144">
        <v>4</v>
      </c>
      <c r="C7" s="170" t="s">
        <v>326</v>
      </c>
      <c r="D7" s="115">
        <f>County_Flow!BX25</f>
        <v>24858.21125930726</v>
      </c>
      <c r="E7" s="116">
        <f>County_Flow!BY25</f>
        <v>18661</v>
      </c>
      <c r="F7" s="116">
        <f>County_Flow!BZ25</f>
        <v>23571</v>
      </c>
      <c r="G7" s="123">
        <f>County_Flow!CA25</f>
        <v>17520</v>
      </c>
      <c r="H7" s="115">
        <f>County_Flow!CB25</f>
        <v>26215.635011045928</v>
      </c>
      <c r="I7" s="116">
        <f>County_Flow!CC25</f>
        <v>17144.172990099709</v>
      </c>
      <c r="J7" s="116">
        <f>County_Flow!CD25</f>
        <v>19822.268308575189</v>
      </c>
      <c r="K7" s="123">
        <f>County_Flow!CE25</f>
        <v>17520</v>
      </c>
      <c r="L7" s="100">
        <f>County_Flow!CF25</f>
        <v>3.1568367384815173E-2</v>
      </c>
      <c r="M7" s="100">
        <f>County_Flow!CG25</f>
        <v>2.0644685937695327E-2</v>
      </c>
      <c r="N7" s="104">
        <f>County_Flow!CH25</f>
        <v>2.3869597211809628E-2</v>
      </c>
      <c r="O7" s="150">
        <f>County_Flow!CI25</f>
        <v>2.1097249650787533E-2</v>
      </c>
      <c r="P7" s="125">
        <f>County_Flow!CJ25</f>
        <v>4.5256371309220639E-4</v>
      </c>
      <c r="Q7" s="121">
        <f>County_Flow!CK25</f>
        <v>2.1921559594465186E-2</v>
      </c>
      <c r="R7" s="171">
        <f si="7" t="shared"/>
        <v>0.97854868664952677</v>
      </c>
      <c r="S7" s="140"/>
      <c r="T7" s="201"/>
      <c r="U7" s="202"/>
      <c r="V7" s="203"/>
      <c r="W7" s="203"/>
      <c r="X7" s="204"/>
      <c r="Y7" s="30"/>
      <c r="Z7" s="30"/>
      <c r="AA7" s="100"/>
      <c r="AB7" s="165"/>
      <c r="AC7" s="165"/>
      <c r="AD7" s="194">
        <v>104</v>
      </c>
      <c r="AE7" s="163">
        <f si="8" t="shared"/>
        <v>-2.1684736971422137E-2</v>
      </c>
      <c r="AF7" s="164">
        <f si="5" t="shared"/>
        <v>-3.7402802653858591E-2</v>
      </c>
      <c r="AG7" s="7">
        <f>VLOOKUP(AD7,calibration_dist!$T:$W,3,FALSE)</f>
        <v>0.2419007637824</v>
      </c>
      <c r="AH7" s="167">
        <f si="9" t="shared"/>
        <v>0.20449796112854141</v>
      </c>
      <c r="AI7" s="174">
        <v>1</v>
      </c>
      <c r="AK7" t="b">
        <f>$AC$160&lt;=1.5</f>
        <v>0</v>
      </c>
      <c r="CU7" s="95">
        <v>6</v>
      </c>
      <c r="CV7" s="95">
        <f si="6" t="shared"/>
        <v>1</v>
      </c>
      <c r="CW7" s="95">
        <f si="0" t="shared"/>
        <v>6</v>
      </c>
      <c r="CX7" s="58">
        <f si="1" t="shared"/>
        <v>2767.8531037550033</v>
      </c>
      <c r="CY7" s="58">
        <f si="2" t="shared"/>
        <v>3920.0000000000005</v>
      </c>
      <c r="CZ7" s="108">
        <f si="3" t="shared"/>
        <v>1152.1468962449972</v>
      </c>
      <c r="DA7" s="78">
        <f si="4" t="shared"/>
        <v>0.41626013124827288</v>
      </c>
      <c r="DB7" s="95">
        <v>6000</v>
      </c>
    </row>
    <row r="8" spans="2:106" x14ac:dyDescent="0.25">
      <c r="B8" s="144">
        <v>5</v>
      </c>
      <c r="C8" s="170" t="s">
        <v>327</v>
      </c>
      <c r="D8" s="115">
        <f>County_Flow!BX26</f>
        <v>23036.313694395729</v>
      </c>
      <c r="E8" s="116">
        <f>County_Flow!BY26</f>
        <v>24148</v>
      </c>
      <c r="F8" s="116">
        <f>County_Flow!BZ26</f>
        <v>27651</v>
      </c>
      <c r="G8" s="123">
        <f>County_Flow!CA26</f>
        <v>21740</v>
      </c>
      <c r="H8" s="115">
        <f>County_Flow!CB26</f>
        <v>24294.249715418468</v>
      </c>
      <c r="I8" s="116">
        <f>County_Flow!CC26</f>
        <v>22185.171714534474</v>
      </c>
      <c r="J8" s="116">
        <f>County_Flow!CD26</f>
        <v>23415.816431802981</v>
      </c>
      <c r="K8" s="123">
        <f>County_Flow!CE26</f>
        <v>21740</v>
      </c>
      <c r="L8" s="100">
        <f>County_Flow!CF26</f>
        <v>2.9254671879266961E-2</v>
      </c>
      <c r="M8" s="100">
        <f>County_Flow!CG26</f>
        <v>2.6714960399949993E-2</v>
      </c>
      <c r="N8" s="104">
        <f>County_Flow!CH26</f>
        <v>2.8196879283034274E-2</v>
      </c>
      <c r="O8" s="150">
        <f>County_Flow!CI26</f>
        <v>2.6178893116901882E-2</v>
      </c>
      <c r="P8" s="125">
        <f>County_Flow!CJ26</f>
        <v>-5.3606728304811044E-4</v>
      </c>
      <c r="Q8" s="121">
        <f>County_Flow!CK26</f>
        <v>-2.006618295601572E-2</v>
      </c>
      <c r="R8" s="171">
        <f si="7" t="shared"/>
        <v>1.0204770797853944</v>
      </c>
      <c r="S8" s="140"/>
      <c r="T8" s="201"/>
      <c r="U8" s="202"/>
      <c r="V8" s="203"/>
      <c r="W8" s="203"/>
      <c r="X8" s="204"/>
      <c r="Y8" s="30"/>
      <c r="Z8" s="30"/>
      <c r="AA8" s="100"/>
      <c r="AB8" s="165"/>
      <c r="AC8" s="165"/>
      <c r="AD8" s="194">
        <v>105</v>
      </c>
      <c r="AE8" s="163">
        <f si="8" t="shared"/>
        <v>2.0270243226605082E-2</v>
      </c>
      <c r="AF8" s="164">
        <f si="5" t="shared"/>
        <v>4.5521775441686313E-3</v>
      </c>
      <c r="AG8" s="7">
        <f>VLOOKUP(AD8,calibration_dist!$T:$W,3,FALSE)</f>
        <v>-3.3705109193499998E-2</v>
      </c>
      <c r="AH8" s="167">
        <f si="9" t="shared"/>
        <v>-2.9152931649331366E-2</v>
      </c>
      <c r="AI8" s="174">
        <v>1</v>
      </c>
      <c r="AK8" t="b">
        <f ref="AK8" t="array">$AC$4:$AC$23&lt;=0.02</f>
        <v>1</v>
      </c>
      <c r="CU8" s="95">
        <v>7</v>
      </c>
      <c r="CV8" s="95">
        <f si="6" t="shared"/>
        <v>1</v>
      </c>
      <c r="CW8" s="95">
        <f si="0" t="shared"/>
        <v>7</v>
      </c>
      <c r="CX8" s="58">
        <f si="1" t="shared"/>
        <v>449.02217421691341</v>
      </c>
      <c r="CY8" s="58">
        <f si="2" t="shared"/>
        <v>220.00000000000003</v>
      </c>
      <c r="CZ8" s="108">
        <f si="3" t="shared"/>
        <v>-229.02217421691338</v>
      </c>
      <c r="DA8" s="78">
        <f si="4" t="shared"/>
        <v>-0.51004646845408896</v>
      </c>
      <c r="DB8" s="95">
        <v>7000</v>
      </c>
    </row>
    <row r="9" spans="2:106" x14ac:dyDescent="0.25">
      <c r="B9" s="144">
        <v>6</v>
      </c>
      <c r="C9" s="170" t="s">
        <v>328</v>
      </c>
      <c r="D9" s="115">
        <f>County_Flow!BX27</f>
        <v>116219.36188648028</v>
      </c>
      <c r="E9" s="116">
        <f>County_Flow!BY27</f>
        <v>106455</v>
      </c>
      <c r="F9" s="116">
        <f>County_Flow!BZ27</f>
        <v>153058</v>
      </c>
      <c r="G9" s="123">
        <f>County_Flow!CA27</f>
        <v>96120</v>
      </c>
      <c r="H9" s="115">
        <f>County_Flow!CB27</f>
        <v>122565.71241793911</v>
      </c>
      <c r="I9" s="116">
        <f>County_Flow!CC27</f>
        <v>97801.990014525742</v>
      </c>
      <c r="J9" s="116">
        <f>County_Flow!CD27</f>
        <v>132106.68717930635</v>
      </c>
      <c r="K9" s="123">
        <f>County_Flow!CE27</f>
        <v>96120</v>
      </c>
      <c r="L9" s="100">
        <f>County_Flow!CF27</f>
        <v>0.14759129186688869</v>
      </c>
      <c r="M9" s="100">
        <f>County_Flow!CG27</f>
        <v>0.11777128993608897</v>
      </c>
      <c r="N9" s="104">
        <f>County_Flow!CH27</f>
        <v>0.15908035159590861</v>
      </c>
      <c r="O9" s="150">
        <f>County_Flow!CI27</f>
        <v>0.11574586965945764</v>
      </c>
      <c r="P9" s="125">
        <f>County_Flow!CJ27</f>
        <v>-2.025420276631329E-3</v>
      </c>
      <c r="Q9" s="121">
        <f>County_Flow!CK27</f>
        <v>-1.71979119675983E-2</v>
      </c>
      <c r="R9" s="171">
        <f si="7" t="shared"/>
        <v>1.0174988557482909</v>
      </c>
      <c r="S9" s="140"/>
      <c r="T9" s="201"/>
      <c r="U9" s="202"/>
      <c r="V9" s="203"/>
      <c r="W9" s="203"/>
      <c r="X9" s="204"/>
      <c r="Y9" s="30"/>
      <c r="Z9" s="30"/>
      <c r="AA9" s="100"/>
      <c r="AB9" s="165"/>
      <c r="AC9" s="165"/>
      <c r="AD9" s="194">
        <v>106</v>
      </c>
      <c r="AE9" s="163">
        <f si="8" t="shared"/>
        <v>1.7347513762276404E-2</v>
      </c>
      <c r="AF9" s="164">
        <f si="5" t="shared"/>
        <v>1.6294480798399527E-3</v>
      </c>
      <c r="AG9" s="7">
        <f>VLOOKUP(AD9,calibration_dist!$T:$W,3,FALSE)</f>
        <v>0.1143372177009</v>
      </c>
      <c r="AH9" s="167">
        <f si="9" t="shared"/>
        <v>0.11596666578073994</v>
      </c>
      <c r="AI9" s="174">
        <v>1</v>
      </c>
      <c r="AK9" t="b">
        <f ref="AK9" t="array">$AW$30:$AW$49&lt;=0.25</f>
        <v>1</v>
      </c>
      <c r="CU9" s="95">
        <v>8</v>
      </c>
      <c r="CV9" s="95">
        <f si="6" t="shared"/>
        <v>1</v>
      </c>
      <c r="CW9" s="95">
        <f si="0" t="shared"/>
        <v>8</v>
      </c>
      <c r="CX9" s="58">
        <f si="1" t="shared"/>
        <v>43.934176250079418</v>
      </c>
      <c r="CY9" s="58">
        <f si="2" t="shared"/>
        <v>60.000000000000007</v>
      </c>
      <c r="CZ9" s="108">
        <f si="3" t="shared"/>
        <v>16.06582374992059</v>
      </c>
      <c r="DA9" s="78">
        <f si="4" t="shared"/>
        <v>0.3656794122751203</v>
      </c>
      <c r="DB9" s="95">
        <v>8000</v>
      </c>
    </row>
    <row r="10" spans="2:106" x14ac:dyDescent="0.25">
      <c r="B10" s="144">
        <v>7</v>
      </c>
      <c r="C10" s="170" t="s">
        <v>329</v>
      </c>
      <c r="D10" s="115">
        <f>County_Flow!BX28</f>
        <v>74301.509013582981</v>
      </c>
      <c r="E10" s="116">
        <f>County_Flow!BY28</f>
        <v>86378</v>
      </c>
      <c r="F10" s="116">
        <f>County_Flow!BZ28</f>
        <v>84080</v>
      </c>
      <c r="G10" s="123">
        <f>County_Flow!CA28</f>
        <v>78260</v>
      </c>
      <c r="H10" s="115">
        <f>County_Flow!CB28</f>
        <v>78358.865839179183</v>
      </c>
      <c r="I10" s="116">
        <f>County_Flow!CC28</f>
        <v>79356.914127797689</v>
      </c>
      <c r="J10" s="116">
        <f>County_Flow!CD28</f>
        <v>74717.37105578382</v>
      </c>
      <c r="K10" s="123">
        <f>County_Flow!CE28</f>
        <v>78260</v>
      </c>
      <c r="L10" s="100">
        <f>County_Flow!CF28</f>
        <v>9.4358250853979989E-2</v>
      </c>
      <c r="M10" s="100">
        <f>County_Flow!CG28</f>
        <v>9.5560081556521459E-2</v>
      </c>
      <c r="N10" s="104">
        <f>County_Flow!CH28</f>
        <v>8.9973232329588912E-2</v>
      </c>
      <c r="O10" s="150">
        <f>County_Flow!CI28</f>
        <v>9.4239198497182222E-2</v>
      </c>
      <c r="P10" s="125">
        <f>County_Flow!CJ28</f>
        <v>-1.3208830593392368E-3</v>
      </c>
      <c r="Q10" s="121">
        <f>County_Flow!CK28</f>
        <v>-1.3822540100679823E-2</v>
      </c>
      <c r="R10" s="171">
        <f si="7" t="shared"/>
        <v>1.014016280702756</v>
      </c>
      <c r="S10" s="140"/>
      <c r="T10" s="201"/>
      <c r="U10" s="202"/>
      <c r="V10" s="203"/>
      <c r="W10" s="203"/>
      <c r="X10" s="204"/>
      <c r="Y10" s="30"/>
      <c r="Z10" s="30"/>
      <c r="AA10" s="100"/>
      <c r="AB10" s="165"/>
      <c r="AC10" s="165"/>
      <c r="AD10" s="194">
        <v>107</v>
      </c>
      <c r="AE10" s="163">
        <f si="8" t="shared"/>
        <v>1.3918960959974188E-2</v>
      </c>
      <c r="AF10" s="164">
        <f si="5" t="shared"/>
        <v>-1.7991047224622629E-3</v>
      </c>
      <c r="AG10" s="7">
        <f>VLOOKUP(AD10,calibration_dist!$T:$W,3,FALSE)</f>
        <v>0.29549776405130002</v>
      </c>
      <c r="AH10" s="167">
        <f si="9" t="shared"/>
        <v>0.29369865932883776</v>
      </c>
      <c r="AI10" s="174">
        <v>1</v>
      </c>
      <c r="AK10">
        <f>{32767,32767,0.000001,0.01,FALSE,FALSE,TRUE,1,1,1,0.0001,TRUE}</f>
        <v>32767</v>
      </c>
      <c r="CU10" s="95">
        <v>9</v>
      </c>
      <c r="CV10" s="95">
        <f si="6" t="shared"/>
        <v>1</v>
      </c>
      <c r="CW10" s="95">
        <f si="0" t="shared"/>
        <v>9</v>
      </c>
      <c r="CX10" s="58">
        <f si="1" t="shared"/>
        <v>355.19664527606585</v>
      </c>
      <c r="CY10" s="58">
        <f si="2" t="shared"/>
        <v>320.00000000000006</v>
      </c>
      <c r="CZ10" s="108">
        <f si="3" t="shared"/>
        <v>-35.196645276065794</v>
      </c>
      <c r="DA10" s="78">
        <f si="4" t="shared"/>
        <v>-9.9090590364980122E-2</v>
      </c>
      <c r="DB10" s="95">
        <v>9000</v>
      </c>
    </row>
    <row r="11" spans="2:106" x14ac:dyDescent="0.25">
      <c r="B11" s="144">
        <v>8</v>
      </c>
      <c r="C11" s="170" t="s">
        <v>330</v>
      </c>
      <c r="D11" s="115">
        <f>County_Flow!BX29</f>
        <v>3682.4775864874828</v>
      </c>
      <c r="E11" s="116">
        <f>County_Flow!BY29</f>
        <v>5098</v>
      </c>
      <c r="F11" s="116">
        <f>County_Flow!BZ29</f>
        <v>7355</v>
      </c>
      <c r="G11" s="123">
        <f>County_Flow!CA29</f>
        <v>4600</v>
      </c>
      <c r="H11" s="115">
        <f>County_Flow!CB29</f>
        <v>3883.5653674625451</v>
      </c>
      <c r="I11" s="116">
        <f>County_Flow!CC29</f>
        <v>4683.6179145559363</v>
      </c>
      <c r="J11" s="116">
        <f>County_Flow!CD29</f>
        <v>6021.0529187647726</v>
      </c>
      <c r="K11" s="123">
        <f>County_Flow!CE29</f>
        <v>4600</v>
      </c>
      <c r="L11" s="100">
        <f>County_Flow!CF29</f>
        <v>4.6765153020838866E-3</v>
      </c>
      <c r="M11" s="100">
        <f>County_Flow!CG29</f>
        <v>5.6399233112036217E-3</v>
      </c>
      <c r="N11" s="104">
        <f>County_Flow!CH29</f>
        <v>7.2504370198506482E-3</v>
      </c>
      <c r="O11" s="150">
        <f>County_Flow!CI29</f>
        <v>5.5392322142478684E-3</v>
      </c>
      <c r="P11" s="125">
        <f>County_Flow!CJ29</f>
        <v>-1.006910969557533E-4</v>
      </c>
      <c r="Q11" s="121">
        <f>County_Flow!CK29</f>
        <v>-1.7853274131535191E-2</v>
      </c>
      <c r="R11" s="171">
        <f si="7" t="shared"/>
        <v>1.0181778075121599</v>
      </c>
      <c r="S11" s="140"/>
      <c r="T11" s="201"/>
      <c r="U11" s="202"/>
      <c r="V11" s="203"/>
      <c r="W11" s="203"/>
      <c r="X11" s="204"/>
      <c r="Y11" s="30"/>
      <c r="Z11" s="30"/>
      <c r="AA11" s="100"/>
      <c r="AB11" s="165"/>
      <c r="AC11" s="165"/>
      <c r="AD11" s="194">
        <v>108</v>
      </c>
      <c r="AE11" s="163">
        <f si="8" t="shared"/>
        <v>1.8014566444363011E-2</v>
      </c>
      <c r="AF11" s="164">
        <f si="5" t="shared"/>
        <v>2.29650076192656E-3</v>
      </c>
      <c r="AG11" s="7">
        <f>VLOOKUP(AD11,calibration_dist!$T:$W,3,FALSE)</f>
        <v>-0.24958234591280001</v>
      </c>
      <c r="AH11" s="167">
        <f si="9" t="shared"/>
        <v>-0.24728584515087346</v>
      </c>
      <c r="AI11" s="174">
        <v>1</v>
      </c>
      <c r="AK11">
        <f>{0,0,1,100,0,FALSE,TRUE,0.075,0,0,FALSE,30}</f>
        <v>0</v>
      </c>
      <c r="CU11" s="95">
        <v>10</v>
      </c>
      <c r="CV11" s="95">
        <f si="6" t="shared"/>
        <v>1</v>
      </c>
      <c r="CW11" s="95">
        <f si="0" t="shared"/>
        <v>10</v>
      </c>
      <c r="CX11" s="58">
        <f si="1" t="shared"/>
        <v>155.63123451299322</v>
      </c>
      <c r="CY11" s="58">
        <f si="2" t="shared"/>
        <v>220.00000000000003</v>
      </c>
      <c r="CZ11" s="108">
        <f si="3" t="shared"/>
        <v>64.368765487006812</v>
      </c>
      <c r="DA11" s="78">
        <f si="4" t="shared"/>
        <v>0.41359798814442256</v>
      </c>
      <c r="DB11" s="95">
        <v>10000</v>
      </c>
    </row>
    <row r="12" spans="2:106" x14ac:dyDescent="0.25">
      <c r="B12" s="144">
        <v>9</v>
      </c>
      <c r="C12" s="170" t="s">
        <v>331</v>
      </c>
      <c r="D12" s="115">
        <f>County_Flow!BX30</f>
        <v>54879.130936305446</v>
      </c>
      <c r="E12" s="116">
        <f>County_Flow!BY30</f>
        <v>52399</v>
      </c>
      <c r="F12" s="116">
        <f>County_Flow!BZ30</f>
        <v>57234</v>
      </c>
      <c r="G12" s="123">
        <f>County_Flow!CA30</f>
        <v>46940</v>
      </c>
      <c r="H12" s="115">
        <f>County_Flow!CB30</f>
        <v>57875.896674219344</v>
      </c>
      <c r="I12" s="116">
        <f>County_Flow!CC30</f>
        <v>48139.83819239241</v>
      </c>
      <c r="J12" s="116">
        <f>County_Flow!CD30</f>
        <v>49532.125904975524</v>
      </c>
      <c r="K12" s="123">
        <f>County_Flow!CE30</f>
        <v>46940</v>
      </c>
      <c r="L12" s="100">
        <f>County_Flow!CF30</f>
        <v>6.9693050279634058E-2</v>
      </c>
      <c r="M12" s="100">
        <f>County_Flow!CG30</f>
        <v>5.7969074457386929E-2</v>
      </c>
      <c r="N12" s="104">
        <f>County_Flow!CH30</f>
        <v>5.9645640750656911E-2</v>
      </c>
      <c r="O12" s="150">
        <f>County_Flow!CI30</f>
        <v>5.6524252203651079E-2</v>
      </c>
      <c r="P12" s="125">
        <f>County_Flow!CJ30</f>
        <v>-1.4448222537358502E-3</v>
      </c>
      <c r="Q12" s="121">
        <f>County_Flow!CK30</f>
        <v>-2.4924017974410673E-2</v>
      </c>
      <c r="R12" s="171">
        <f si="7" t="shared"/>
        <v>1.0255611033743588</v>
      </c>
      <c r="S12" s="140"/>
      <c r="T12" s="201"/>
      <c r="U12" s="202"/>
      <c r="V12" s="203"/>
      <c r="W12" s="203"/>
      <c r="X12" s="204"/>
      <c r="Y12" s="30"/>
      <c r="Z12" s="30"/>
      <c r="AA12" s="100"/>
      <c r="AB12" s="165"/>
      <c r="AC12" s="165"/>
      <c r="AD12" s="194">
        <v>109</v>
      </c>
      <c r="AE12" s="163">
        <f si="8" t="shared"/>
        <v>2.5239880738040718E-2</v>
      </c>
      <c r="AF12" s="164">
        <f si="5" t="shared"/>
        <v>9.5218150556042672E-3</v>
      </c>
      <c r="AG12" s="7">
        <f>VLOOKUP(AD12,calibration_dist!$T:$W,3,FALSE)</f>
        <v>0.1613318461263</v>
      </c>
      <c r="AH12" s="167">
        <f si="9" t="shared"/>
        <v>0.17085366118190426</v>
      </c>
      <c r="AI12" s="174">
        <v>1</v>
      </c>
      <c r="CU12" s="95">
        <v>11</v>
      </c>
      <c r="CV12" s="95">
        <f si="6" t="shared"/>
        <v>1</v>
      </c>
      <c r="CW12" s="95">
        <f si="0" t="shared"/>
        <v>11</v>
      </c>
      <c r="CX12" s="58">
        <f si="1" t="shared"/>
        <v>349.23946883537707</v>
      </c>
      <c r="CY12" s="58">
        <f si="2" t="shared"/>
        <v>460.00000000000006</v>
      </c>
      <c r="CZ12" s="108">
        <f si="3" t="shared"/>
        <v>110.76053116462299</v>
      </c>
      <c r="DA12" s="78">
        <f si="4" t="shared"/>
        <v>0.31714780558446215</v>
      </c>
      <c r="DB12" s="95">
        <v>11000</v>
      </c>
    </row>
    <row r="13" spans="2:106" x14ac:dyDescent="0.25">
      <c r="B13" s="144">
        <v>10</v>
      </c>
      <c r="C13" s="170" t="s">
        <v>332</v>
      </c>
      <c r="D13" s="115">
        <f>County_Flow!BX31</f>
        <v>14021.229546144357</v>
      </c>
      <c r="E13" s="116">
        <f>County_Flow!BY31</f>
        <v>20410</v>
      </c>
      <c r="F13" s="116">
        <f>County_Flow!BZ31</f>
        <v>21817</v>
      </c>
      <c r="G13" s="123">
        <f>County_Flow!CA31</f>
        <v>17920</v>
      </c>
      <c r="H13" s="115">
        <f>County_Flow!CB31</f>
        <v>14786.881982515468</v>
      </c>
      <c r="I13" s="116">
        <f>County_Flow!CC31</f>
        <v>18751.008559452071</v>
      </c>
      <c r="J13" s="116">
        <f>County_Flow!CD31</f>
        <v>18395.653387144645</v>
      </c>
      <c r="K13" s="123">
        <f>County_Flow!CE31</f>
        <v>17920</v>
      </c>
      <c r="L13" s="100">
        <f>County_Flow!CF31</f>
        <v>1.7806081092571962E-2</v>
      </c>
      <c r="M13" s="100">
        <f>County_Flow!CG31</f>
        <v>2.2579606665685745E-2</v>
      </c>
      <c r="N13" s="104">
        <f>County_Flow!CH31</f>
        <v>2.2151694748741204E-2</v>
      </c>
      <c r="O13" s="150">
        <f>County_Flow!CI31</f>
        <v>2.157892201724387E-2</v>
      </c>
      <c r="P13" s="125">
        <f>County_Flow!CJ31</f>
        <v>-1.0006846484418748E-3</v>
      </c>
      <c r="Q13" s="121">
        <f>County_Flow!CK31</f>
        <v>-4.4318072642187234E-2</v>
      </c>
      <c r="R13" s="171">
        <f si="7" t="shared"/>
        <v>1.0463732455051378</v>
      </c>
      <c r="S13" s="140"/>
      <c r="T13" s="201"/>
      <c r="U13" s="202"/>
      <c r="V13" s="203"/>
      <c r="W13" s="203"/>
      <c r="X13" s="204"/>
      <c r="Y13" s="30"/>
      <c r="Z13" s="30"/>
      <c r="AA13" s="100"/>
      <c r="AB13" s="165"/>
      <c r="AC13" s="165"/>
      <c r="AD13" s="194">
        <v>110</v>
      </c>
      <c r="AE13" s="163">
        <f si="8" t="shared"/>
        <v>4.533013326045765E-2</v>
      </c>
      <c r="AF13" s="164">
        <f si="5" t="shared"/>
        <v>2.9612067578021199E-2</v>
      </c>
      <c r="AG13" s="7">
        <f>VLOOKUP(AD13,calibration_dist!$T:$W,3,FALSE)</f>
        <v>-4.5588844644699998E-2</v>
      </c>
      <c r="AH13" s="167">
        <f si="9" t="shared"/>
        <v>-1.5976777066678799E-2</v>
      </c>
      <c r="AI13" s="174">
        <v>1</v>
      </c>
      <c r="CU13" s="95">
        <v>12</v>
      </c>
      <c r="CV13" s="95">
        <f si="6" t="shared"/>
        <v>1</v>
      </c>
      <c r="CW13" s="95">
        <f si="0" t="shared"/>
        <v>12</v>
      </c>
      <c r="CX13" s="58">
        <f si="1" t="shared"/>
        <v>1224.9444056166212</v>
      </c>
      <c r="CY13" s="58">
        <f si="2" t="shared"/>
        <v>1220.0000000000002</v>
      </c>
      <c r="CZ13" s="108">
        <f si="3" t="shared"/>
        <v>-4.9444056166209975</v>
      </c>
      <c r="DA13" s="78">
        <f si="4" t="shared"/>
        <v>-4.0364326690663548E-3</v>
      </c>
      <c r="DB13" s="95">
        <v>12000</v>
      </c>
    </row>
    <row r="14" spans="2:106" x14ac:dyDescent="0.25">
      <c r="B14" s="144">
        <v>11</v>
      </c>
      <c r="C14" s="170" t="s">
        <v>333</v>
      </c>
      <c r="D14" s="115">
        <f>County_Flow!BX32</f>
        <v>40033.491243339275</v>
      </c>
      <c r="E14" s="116">
        <f>County_Flow!BY32</f>
        <v>57960</v>
      </c>
      <c r="F14" s="116">
        <f>County_Flow!BZ32</f>
        <v>50898</v>
      </c>
      <c r="G14" s="123">
        <f>County_Flow!CA32</f>
        <v>50980</v>
      </c>
      <c r="H14" s="115">
        <f>County_Flow!CB32</f>
        <v>42219.586264894147</v>
      </c>
      <c r="I14" s="116">
        <f>County_Flow!CC32</f>
        <v>53248.821955210289</v>
      </c>
      <c r="J14" s="116">
        <f>County_Flow!CD32</f>
        <v>43204.818688939769</v>
      </c>
      <c r="K14" s="123">
        <f>County_Flow!CE32</f>
        <v>50980</v>
      </c>
      <c r="L14" s="100">
        <f>County_Flow!CF32</f>
        <v>5.0840020067547474E-2</v>
      </c>
      <c r="M14" s="100">
        <f>County_Flow!CG32</f>
        <v>6.4121215205445642E-2</v>
      </c>
      <c r="N14" s="104">
        <f>County_Flow!CH32</f>
        <v>5.202641815054642E-2</v>
      </c>
      <c r="O14" s="150">
        <f>County_Flow!CI32</f>
        <v>6.1389143104860072E-2</v>
      </c>
      <c r="P14" s="125">
        <f>County_Flow!CJ32</f>
        <v>-2.7320721005855697E-3</v>
      </c>
      <c r="Q14" s="121">
        <f>County_Flow!CK32</f>
        <v>-4.2607927685586848E-2</v>
      </c>
      <c r="R14" s="171">
        <f si="7" t="shared"/>
        <v>1.0445041576149525</v>
      </c>
      <c r="S14" s="140"/>
      <c r="T14" s="201"/>
      <c r="U14" s="202"/>
      <c r="V14" s="203"/>
      <c r="W14" s="203"/>
      <c r="X14" s="204"/>
      <c r="Y14" s="30"/>
      <c r="Z14" s="30"/>
      <c r="AA14" s="100"/>
      <c r="AB14" s="165"/>
      <c r="AC14" s="165"/>
      <c r="AD14" s="194">
        <v>111</v>
      </c>
      <c r="AE14" s="163">
        <f si="8" t="shared"/>
        <v>4.3542282490000785E-2</v>
      </c>
      <c r="AF14" s="164">
        <f si="5" t="shared"/>
        <v>2.7824216807564334E-2</v>
      </c>
      <c r="AG14" s="7">
        <f>VLOOKUP(AD14,calibration_dist!$T:$W,3,FALSE)</f>
        <v>-0.14910096747439999</v>
      </c>
      <c r="AH14" s="167">
        <f si="9" t="shared"/>
        <v>-0.12127675066683566</v>
      </c>
      <c r="AI14" s="174">
        <v>1</v>
      </c>
      <c r="CU14" s="95">
        <v>13</v>
      </c>
      <c r="CV14" s="95">
        <f si="6" t="shared"/>
        <v>1</v>
      </c>
      <c r="CW14" s="95">
        <f si="0" t="shared"/>
        <v>13</v>
      </c>
      <c r="CX14" s="58">
        <f si="1" t="shared"/>
        <v>154.8865874579071</v>
      </c>
      <c r="CY14" s="58">
        <f si="2" t="shared"/>
        <v>80.000000000000014</v>
      </c>
      <c r="CZ14" s="108">
        <f si="3" t="shared"/>
        <v>-74.886587457907083</v>
      </c>
      <c r="DA14" s="78">
        <f si="4" t="shared"/>
        <v>-0.48349304279338395</v>
      </c>
      <c r="DB14" s="95">
        <v>13000</v>
      </c>
    </row>
    <row r="15" spans="2:106" x14ac:dyDescent="0.25">
      <c r="B15" s="144">
        <v>12</v>
      </c>
      <c r="C15" s="170" t="s">
        <v>334</v>
      </c>
      <c r="D15" s="115">
        <f>County_Flow!BX33</f>
        <v>150051.4119853304</v>
      </c>
      <c r="E15" s="116">
        <f>County_Flow!BY33</f>
        <v>148223</v>
      </c>
      <c r="F15" s="116">
        <f>County_Flow!BZ33</f>
        <v>162784</v>
      </c>
      <c r="G15" s="123">
        <f>County_Flow!CA33</f>
        <v>148580</v>
      </c>
      <c r="H15" s="115">
        <f>County_Flow!CB33</f>
        <v>158245.21758486042</v>
      </c>
      <c r="I15" s="116">
        <f>County_Flow!CC33</f>
        <v>136174.95059812171</v>
      </c>
      <c r="J15" s="116">
        <f>County_Flow!CD33</f>
        <v>142158.79224035979</v>
      </c>
      <c r="K15" s="123">
        <f>County_Flow!CE33</f>
        <v>148580</v>
      </c>
      <c r="L15" s="100">
        <f>County_Flow!CF33</f>
        <v>0.19055587108624383</v>
      </c>
      <c r="M15" s="100">
        <f>County_Flow!CG33</f>
        <v>0.16397927676667995</v>
      </c>
      <c r="N15" s="104">
        <f>County_Flow!CH33</f>
        <v>0.17118490467747194</v>
      </c>
      <c r="O15" s="150">
        <f>County_Flow!CI33</f>
        <v>0.17891720052020615</v>
      </c>
      <c r="P15" s="125">
        <f>County_Flow!CJ33</f>
        <v>1.4937923753526205E-2</v>
      </c>
      <c r="Q15" s="121">
        <f>County_Flow!CK33</f>
        <v>9.1096411986136591E-2</v>
      </c>
      <c r="R15" s="171">
        <f si="7" t="shared"/>
        <v>0.9165092919512835</v>
      </c>
      <c r="S15" s="140"/>
      <c r="T15" s="201"/>
      <c r="U15" s="202"/>
      <c r="V15" s="203"/>
      <c r="W15" s="203"/>
      <c r="X15" s="204"/>
      <c r="Y15" s="30"/>
      <c r="Z15" s="30"/>
      <c r="AA15" s="100"/>
      <c r="AB15" s="165"/>
      <c r="AC15" s="165"/>
      <c r="AD15" s="194">
        <v>112</v>
      </c>
      <c r="AE15" s="163">
        <f si="8" t="shared"/>
        <v>-8.7183073236277497E-2</v>
      </c>
      <c r="AF15" s="164">
        <f si="5" t="shared"/>
        <v>-0.10290113891871394</v>
      </c>
      <c r="AG15" s="7">
        <f>VLOOKUP(AD15,calibration_dist!$T:$W,3,FALSE)</f>
        <v>0.17468608903999999</v>
      </c>
      <c r="AH15" s="167">
        <f si="9" t="shared"/>
        <v>7.1784950121286051E-2</v>
      </c>
      <c r="AI15" s="174">
        <v>1</v>
      </c>
      <c r="CU15" s="95">
        <v>14</v>
      </c>
      <c r="CV15" s="95">
        <f si="6" t="shared"/>
        <v>1</v>
      </c>
      <c r="CW15" s="95">
        <f si="0" t="shared"/>
        <v>14</v>
      </c>
      <c r="CX15" s="58">
        <f si="1" t="shared"/>
        <v>34.253764533960222</v>
      </c>
      <c r="CY15" s="58">
        <f si="2" t="shared"/>
        <v>0</v>
      </c>
      <c r="CZ15" s="108">
        <f si="3" t="shared"/>
        <v>-34.253764533960222</v>
      </c>
      <c r="DA15" s="78">
        <f si="4" t="shared"/>
        <v>-1</v>
      </c>
      <c r="DB15" s="95">
        <v>14000</v>
      </c>
    </row>
    <row r="16" spans="2:106" x14ac:dyDescent="0.25">
      <c r="B16" s="144">
        <v>13</v>
      </c>
      <c r="C16" s="170" t="s">
        <v>335</v>
      </c>
      <c r="D16" s="115">
        <f>County_Flow!BX34</f>
        <v>58699.074960954094</v>
      </c>
      <c r="E16" s="116">
        <f>County_Flow!BY34</f>
        <v>100852</v>
      </c>
      <c r="F16" s="116">
        <f>County_Flow!BZ34</f>
        <v>65336</v>
      </c>
      <c r="G16" s="123">
        <f>County_Flow!CA34</f>
        <v>91740</v>
      </c>
      <c r="H16" s="115">
        <f>County_Flow!CB34</f>
        <v>61904.435062126082</v>
      </c>
      <c r="I16" s="116">
        <f>County_Flow!CC34</f>
        <v>92654.42014884176</v>
      </c>
      <c r="J16" s="116">
        <f>County_Flow!CD34</f>
        <v>59900.080192953021</v>
      </c>
      <c r="K16" s="123">
        <f>County_Flow!CE34</f>
        <v>91740</v>
      </c>
      <c r="L16" s="100">
        <f>County_Flow!CF34</f>
        <v>7.4544139326292141E-2</v>
      </c>
      <c r="M16" s="100">
        <f>County_Flow!CG34</f>
        <v>0.11157268453933065</v>
      </c>
      <c r="N16" s="104">
        <f>County_Flow!CH34</f>
        <v>7.2130533443660008E-2</v>
      </c>
      <c r="O16" s="150">
        <f>County_Flow!CI34</f>
        <v>0.11047155724676075</v>
      </c>
      <c r="P16" s="125">
        <f>County_Flow!CJ34</f>
        <v>-1.1011272925699062E-3</v>
      </c>
      <c r="Q16" s="121">
        <f>County_Flow!CK34</f>
        <v>-9.8691476064802844E-3</v>
      </c>
      <c r="R16" s="171">
        <f si="7" t="shared"/>
        <v>1.0099675185180048</v>
      </c>
      <c r="S16" s="140"/>
      <c r="T16" s="201"/>
      <c r="U16" s="202"/>
      <c r="V16" s="203"/>
      <c r="W16" s="203"/>
      <c r="X16" s="204"/>
      <c r="Y16" s="30"/>
      <c r="Z16" s="30"/>
      <c r="AA16" s="100"/>
      <c r="AB16" s="165"/>
      <c r="AC16" s="165"/>
      <c r="AD16" s="194">
        <v>113</v>
      </c>
      <c r="AE16" s="163">
        <f si="8" t="shared"/>
        <v>9.9181704528644027E-3</v>
      </c>
      <c r="AF16" s="164">
        <f si="5" t="shared"/>
        <v>-5.7998952295720482E-3</v>
      </c>
      <c r="AG16" s="7">
        <f>VLOOKUP(AD16,calibration_dist!$T:$W,3,FALSE)</f>
        <v>1.3048994599762</v>
      </c>
      <c r="AH16" s="167">
        <f si="9" t="shared"/>
        <v>1.2990995647466279</v>
      </c>
      <c r="AI16" s="174">
        <v>1</v>
      </c>
      <c r="CU16" s="95">
        <v>15</v>
      </c>
      <c r="CV16" s="95">
        <f si="6" t="shared"/>
        <v>1</v>
      </c>
      <c r="CW16" s="95">
        <f si="0" t="shared"/>
        <v>15</v>
      </c>
      <c r="CX16" s="58">
        <f si="1" t="shared"/>
        <v>34.99841158904632</v>
      </c>
      <c r="CY16" s="58">
        <f si="2" t="shared"/>
        <v>60.000000000000007</v>
      </c>
      <c r="CZ16" s="108">
        <f si="3" t="shared"/>
        <v>25.001588410953687</v>
      </c>
      <c r="DA16" s="78">
        <f si="4" t="shared"/>
        <v>0.7143635175368529</v>
      </c>
      <c r="DB16" s="95">
        <v>15000</v>
      </c>
    </row>
    <row r="17" spans="2:106" x14ac:dyDescent="0.25">
      <c r="B17" s="144">
        <v>14</v>
      </c>
      <c r="C17" s="170" t="s">
        <v>336</v>
      </c>
      <c r="D17" s="115">
        <f>County_Flow!BX35</f>
        <v>13303.423145710443</v>
      </c>
      <c r="E17" s="116">
        <f>County_Flow!BY35</f>
        <v>15338</v>
      </c>
      <c r="F17" s="116">
        <f>County_Flow!BZ35</f>
        <v>11928</v>
      </c>
      <c r="G17" s="123">
        <f>County_Flow!CA35</f>
        <v>13760</v>
      </c>
      <c r="H17" s="115">
        <f>County_Flow!CB35</f>
        <v>14029.878576032528</v>
      </c>
      <c r="I17" s="116">
        <f>County_Flow!CC35</f>
        <v>14091.277280003716</v>
      </c>
      <c r="J17" s="116">
        <f>County_Flow!CD35</f>
        <v>9269.9427502366107</v>
      </c>
      <c r="K17" s="123">
        <f>County_Flow!CE35</f>
        <v>13760</v>
      </c>
      <c r="L17" s="100">
        <f>County_Flow!CF35</f>
        <v>1.6894512037031597E-2</v>
      </c>
      <c r="M17" s="100">
        <f>County_Flow!CG35</f>
        <v>1.696844718462949E-2</v>
      </c>
      <c r="N17" s="104">
        <f>County_Flow!CH35</f>
        <v>1.1162688153553068E-2</v>
      </c>
      <c r="O17" s="150">
        <f>County_Flow!CI35</f>
        <v>1.6569529406097971E-2</v>
      </c>
      <c r="P17" s="125">
        <f>County_Flow!CJ35</f>
        <v>-3.9891777853151913E-4</v>
      </c>
      <c r="Q17" s="121">
        <f>County_Flow!CK35</f>
        <v>-2.3509386226741615E-2</v>
      </c>
      <c r="R17" s="171">
        <f si="7" t="shared"/>
        <v>1.0240753837212002</v>
      </c>
      <c r="S17" s="140"/>
      <c r="T17" s="201"/>
      <c r="U17" s="202"/>
      <c r="V17" s="203"/>
      <c r="W17" s="203"/>
      <c r="X17" s="204"/>
      <c r="Y17" s="30"/>
      <c r="Z17" s="30"/>
      <c r="AA17" s="100"/>
      <c r="AB17" s="165"/>
      <c r="AC17" s="165"/>
      <c r="AD17" s="194">
        <v>114</v>
      </c>
      <c r="AE17" s="163">
        <f si="8" t="shared"/>
        <v>2.3790140822958505E-2</v>
      </c>
      <c r="AF17" s="164">
        <f si="5" t="shared"/>
        <v>8.0720751405220538E-3</v>
      </c>
      <c r="AG17" s="7">
        <f>VLOOKUP(AD17,calibration_dist!$T:$W,3,FALSE)</f>
        <v>4.9409553856600001E-2</v>
      </c>
      <c r="AH17" s="167">
        <f si="9" t="shared"/>
        <v>5.7481628997122058E-2</v>
      </c>
      <c r="AI17" s="174">
        <v>1</v>
      </c>
      <c r="CU17" s="95">
        <v>16</v>
      </c>
      <c r="CV17" s="95">
        <f si="6" t="shared"/>
        <v>1</v>
      </c>
      <c r="CW17" s="95">
        <f si="0" t="shared"/>
        <v>16</v>
      </c>
      <c r="CX17" s="58">
        <f si="1" t="shared"/>
        <v>9.6804117161191936</v>
      </c>
      <c r="CY17" s="58">
        <f si="2" t="shared"/>
        <v>60.000000000000007</v>
      </c>
      <c r="CZ17" s="108">
        <f si="3" t="shared"/>
        <v>50.319588283880812</v>
      </c>
      <c r="DA17" s="78">
        <f si="4" t="shared"/>
        <v>5.1980834864793923</v>
      </c>
      <c r="DB17" s="95">
        <v>16000</v>
      </c>
    </row>
    <row r="18" spans="2:106" x14ac:dyDescent="0.25">
      <c r="B18" s="144">
        <v>15</v>
      </c>
      <c r="C18" s="170" t="s">
        <v>337</v>
      </c>
      <c r="D18" s="115">
        <f>County_Flow!BX36</f>
        <v>18530.92040310935</v>
      </c>
      <c r="E18" s="116">
        <f>County_Flow!BY36</f>
        <v>37987</v>
      </c>
      <c r="F18" s="116">
        <f>County_Flow!BZ36</f>
        <v>31047</v>
      </c>
      <c r="G18" s="123">
        <f>County_Flow!CA36</f>
        <v>34800</v>
      </c>
      <c r="H18" s="115">
        <f>County_Flow!CB36</f>
        <v>19542.831969648203</v>
      </c>
      <c r="I18" s="116">
        <f>County_Flow!CC36</f>
        <v>34899.292608912583</v>
      </c>
      <c r="J18" s="116">
        <f>County_Flow!CD36</f>
        <v>27335.016297045593</v>
      </c>
      <c r="K18" s="123">
        <f>County_Flow!CE36</f>
        <v>34800</v>
      </c>
      <c r="L18" s="100">
        <f>County_Flow!CF36</f>
        <v>2.3533105305197477E-2</v>
      </c>
      <c r="M18" s="100">
        <f>County_Flow!CG36</f>
        <v>4.2025062146467632E-2</v>
      </c>
      <c r="N18" s="104">
        <f>County_Flow!CH36</f>
        <v>3.2916304967301184E-2</v>
      </c>
      <c r="O18" s="150">
        <f>County_Flow!CI36</f>
        <v>4.1905495881701268E-2</v>
      </c>
      <c r="P18" s="125">
        <f>County_Flow!CJ36</f>
        <v>-1.1956626476636312E-4</v>
      </c>
      <c r="Q18" s="121">
        <f>County_Flow!CK36</f>
        <v>-2.8451180952368572E-3</v>
      </c>
      <c r="R18" s="171">
        <f si="7" t="shared"/>
        <v>1.0028532358882924</v>
      </c>
      <c r="S18" s="140"/>
      <c r="T18" s="201"/>
      <c r="U18" s="202"/>
      <c r="V18" s="203"/>
      <c r="W18" s="203"/>
      <c r="X18" s="204"/>
      <c r="Y18" s="30"/>
      <c r="Z18" s="30"/>
      <c r="AA18" s="100"/>
      <c r="AB18" s="165"/>
      <c r="AC18" s="165"/>
      <c r="AD18" s="194">
        <v>115</v>
      </c>
      <c r="AE18" s="163">
        <f si="8" t="shared"/>
        <v>2.849173136932628E-3</v>
      </c>
      <c r="AF18" s="164">
        <f si="5" t="shared"/>
        <v>-1.2868892545503822E-2</v>
      </c>
      <c r="AG18" s="7">
        <f>VLOOKUP(AD18,calibration_dist!$T:$W,3,FALSE)</f>
        <v>0.21697886195819999</v>
      </c>
      <c r="AH18" s="167">
        <f si="9" t="shared"/>
        <v>0.20410996941269616</v>
      </c>
      <c r="AI18" s="174">
        <v>1</v>
      </c>
      <c r="CU18" s="95">
        <v>17</v>
      </c>
      <c r="CV18" s="95">
        <f si="6" t="shared"/>
        <v>1</v>
      </c>
      <c r="CW18" s="95">
        <f si="0" t="shared"/>
        <v>17</v>
      </c>
      <c r="CX18" s="58">
        <f si="1" t="shared"/>
        <v>15.637588156807929</v>
      </c>
      <c r="CY18" s="58">
        <f si="2" t="shared"/>
        <v>20.000000000000004</v>
      </c>
      <c r="CZ18" s="108">
        <f si="3" t="shared"/>
        <v>4.3624118431920742</v>
      </c>
      <c r="DA18" s="78">
        <f si="4" t="shared"/>
        <v>0.27896960832114437</v>
      </c>
      <c r="DB18" s="95">
        <v>17000</v>
      </c>
    </row>
    <row r="19" spans="2:106" x14ac:dyDescent="0.25">
      <c r="B19" s="144">
        <v>16</v>
      </c>
      <c r="C19" s="170" t="s">
        <v>338</v>
      </c>
      <c r="D19" s="115">
        <f>County_Flow!BX37</f>
        <v>2059.7893251669652</v>
      </c>
      <c r="E19" s="116">
        <f>County_Flow!BY37</f>
        <v>5063</v>
      </c>
      <c r="F19" s="116">
        <f>County_Flow!BZ37</f>
        <v>5518</v>
      </c>
      <c r="G19" s="123">
        <f>County_Flow!CA37</f>
        <v>4560</v>
      </c>
      <c r="H19" s="115">
        <f>County_Flow!CB37</f>
        <v>2172.2675290245552</v>
      </c>
      <c r="I19" s="116">
        <f>County_Flow!CC37</f>
        <v>4651.462828834191</v>
      </c>
      <c r="J19" s="116">
        <f>County_Flow!CD37</f>
        <v>4592.3025114762449</v>
      </c>
      <c r="K19" s="123">
        <f>County_Flow!CE37</f>
        <v>4560</v>
      </c>
      <c r="L19" s="100">
        <f>County_Flow!CF37</f>
        <v>2.6158031032037883E-3</v>
      </c>
      <c r="M19" s="100">
        <f>County_Flow!CG37</f>
        <v>5.6012027706206233E-3</v>
      </c>
      <c r="N19" s="104">
        <f>County_Flow!CH37</f>
        <v>5.52996304546535E-3</v>
      </c>
      <c r="O19" s="150">
        <f>County_Flow!CI37</f>
        <v>5.4910649776022348E-3</v>
      </c>
      <c r="P19" s="125">
        <f>County_Flow!CJ37</f>
        <v>-1.1013779301838854E-4</v>
      </c>
      <c r="Q19" s="121">
        <f>County_Flow!CK37</f>
        <v>-1.9663239759160789E-2</v>
      </c>
      <c r="R19" s="171">
        <f si="7" t="shared"/>
        <v>1.0200576379022348</v>
      </c>
      <c r="S19" s="140"/>
      <c r="T19" s="201"/>
      <c r="U19" s="202"/>
      <c r="V19" s="203"/>
      <c r="W19" s="203"/>
      <c r="X19" s="204"/>
      <c r="Y19" s="30"/>
      <c r="Z19" s="30"/>
      <c r="AA19" s="100"/>
      <c r="AB19" s="165"/>
      <c r="AC19" s="165"/>
      <c r="AD19" s="194">
        <v>116</v>
      </c>
      <c r="AE19" s="163">
        <f si="8" t="shared"/>
        <v>1.9859133446966128E-2</v>
      </c>
      <c r="AF19" s="164">
        <f si="5" t="shared"/>
        <v>4.1410677645296774E-3</v>
      </c>
      <c r="AG19" s="7">
        <f>VLOOKUP(AD19,calibration_dist!$T:$W,3,FALSE)</f>
        <v>-0.46096256471820002</v>
      </c>
      <c r="AH19" s="167">
        <f si="9" t="shared"/>
        <v>-0.45682149695367036</v>
      </c>
      <c r="AI19" s="174">
        <v>1</v>
      </c>
      <c r="CU19" s="95">
        <v>18</v>
      </c>
      <c r="CV19" s="95">
        <f si="6" t="shared"/>
        <v>1</v>
      </c>
      <c r="CW19" s="95">
        <f si="0" t="shared"/>
        <v>18</v>
      </c>
      <c r="CX19" s="58">
        <f si="1" t="shared"/>
        <v>29.785882203443673</v>
      </c>
      <c r="CY19" s="58">
        <f si="2" t="shared"/>
        <v>60.000000000000007</v>
      </c>
      <c r="CZ19" s="108">
        <f si="3" t="shared"/>
        <v>30.214117796556334</v>
      </c>
      <c r="DA19" s="78">
        <f si="4" t="shared"/>
        <v>1.0143771331058025</v>
      </c>
      <c r="DB19" s="95">
        <v>18000</v>
      </c>
    </row>
    <row r="20" spans="2:106" x14ac:dyDescent="0.25">
      <c r="B20" s="144">
        <v>17</v>
      </c>
      <c r="C20" s="170" t="s">
        <v>339</v>
      </c>
      <c r="D20" s="115">
        <f>County_Flow!BX38</f>
        <v>9135.2817345814929</v>
      </c>
      <c r="E20" s="116">
        <f>County_Flow!BY38</f>
        <v>15286</v>
      </c>
      <c r="F20" s="116">
        <f>County_Flow!BZ38</f>
        <v>11837</v>
      </c>
      <c r="G20" s="123">
        <f>County_Flow!CA38</f>
        <v>13940</v>
      </c>
      <c r="H20" s="115">
        <f>County_Flow!CB38</f>
        <v>9634.1289072919772</v>
      </c>
      <c r="I20" s="116">
        <f>County_Flow!CC38</f>
        <v>14043.504009788552</v>
      </c>
      <c r="J20" s="116">
        <f>County_Flow!CD38</f>
        <v>9979.3540055568101</v>
      </c>
      <c r="K20" s="123">
        <f>County_Flow!CE38</f>
        <v>13940</v>
      </c>
      <c r="L20" s="100">
        <f>County_Flow!CF38</f>
        <v>1.1601234173801806E-2</v>
      </c>
      <c r="M20" s="100">
        <f>County_Flow!CG38</f>
        <v>1.6910919524334749E-2</v>
      </c>
      <c r="N20" s="104">
        <f>County_Flow!CH38</f>
        <v>1.2016947648905171E-2</v>
      </c>
      <c r="O20" s="150">
        <f>County_Flow!CI38</f>
        <v>1.6786281971003323E-2</v>
      </c>
      <c r="P20" s="125">
        <f>County_Flow!CJ38</f>
        <v>-1.2463755333142618E-4</v>
      </c>
      <c r="Q20" s="121">
        <f>County_Flow!CK38</f>
        <v>-7.3702410535439128E-3</v>
      </c>
      <c r="R20" s="171">
        <f si="7" t="shared"/>
        <v>1.0074249648341858</v>
      </c>
      <c r="S20" s="140"/>
      <c r="T20" s="201"/>
      <c r="U20" s="202"/>
      <c r="V20" s="203"/>
      <c r="W20" s="203"/>
      <c r="X20" s="204"/>
      <c r="Y20" s="30"/>
      <c r="Z20" s="30"/>
      <c r="AA20" s="100"/>
      <c r="AB20" s="165"/>
      <c r="AC20" s="165"/>
      <c r="AD20" s="194">
        <v>117</v>
      </c>
      <c r="AE20" s="163">
        <f si="8" t="shared"/>
        <v>7.3975354738030508E-3</v>
      </c>
      <c r="AF20" s="164">
        <f si="5" t="shared"/>
        <v>-8.3205302086334001E-3</v>
      </c>
      <c r="AG20" s="7">
        <f>VLOOKUP(AD20,calibration_dist!$T:$W,3,FALSE)</f>
        <v>-6.5598826231399995E-2</v>
      </c>
      <c r="AH20" s="167">
        <f si="9" t="shared"/>
        <v>-7.391935644003339E-2</v>
      </c>
      <c r="AI20" s="174">
        <v>1</v>
      </c>
      <c r="CU20" s="95">
        <v>19</v>
      </c>
      <c r="CV20" s="95">
        <f si="6" t="shared"/>
        <v>1</v>
      </c>
      <c r="CW20" s="95">
        <f si="0" t="shared"/>
        <v>19</v>
      </c>
      <c r="CX20" s="58">
        <f si="1" t="shared"/>
        <v>111.69705826291377</v>
      </c>
      <c r="CY20" s="58">
        <f si="2" t="shared"/>
        <v>80.000000000000014</v>
      </c>
      <c r="CZ20" s="108">
        <f si="3" t="shared"/>
        <v>-31.697058262913757</v>
      </c>
      <c r="DA20" s="78">
        <f si="4" t="shared"/>
        <v>-0.28377701934015909</v>
      </c>
      <c r="DB20" s="95">
        <v>19000</v>
      </c>
    </row>
    <row r="21" spans="2:106" x14ac:dyDescent="0.25">
      <c r="B21" s="144">
        <v>18</v>
      </c>
      <c r="C21" s="170" t="s">
        <v>340</v>
      </c>
      <c r="D21" s="115">
        <f>County_Flow!BX39</f>
        <v>13074.167718361357</v>
      </c>
      <c r="E21" s="116">
        <f>County_Flow!BY39</f>
        <v>23663</v>
      </c>
      <c r="F21" s="116">
        <f>County_Flow!BZ39</f>
        <v>23748</v>
      </c>
      <c r="G21" s="123">
        <f>County_Flow!CA39</f>
        <v>21140</v>
      </c>
      <c r="H21" s="115">
        <f>County_Flow!CB39</f>
        <v>13788.104276788261</v>
      </c>
      <c r="I21" s="116">
        <f>County_Flow!CC39</f>
        <v>21739.594098104575</v>
      </c>
      <c r="J21" s="116">
        <f>County_Flow!CD39</f>
        <v>20272.916255149597</v>
      </c>
      <c r="K21" s="123">
        <f>County_Flow!CE39</f>
        <v>21140</v>
      </c>
      <c r="L21" s="100">
        <f>County_Flow!CF39</f>
        <v>1.6603372039868326E-2</v>
      </c>
      <c r="M21" s="100">
        <f>County_Flow!CG39</f>
        <v>2.6178404337585583E-2</v>
      </c>
      <c r="N21" s="104">
        <f>County_Flow!CH39</f>
        <v>2.4412258868972591E-2</v>
      </c>
      <c r="O21" s="150">
        <f>County_Flow!CI39</f>
        <v>2.5456384567217379E-2</v>
      </c>
      <c r="P21" s="125">
        <f>County_Flow!CJ39</f>
        <v>-7.2201977036820408E-4</v>
      </c>
      <c r="Q21" s="121">
        <f>County_Flow!CK39</f>
        <v>-2.7580740256638567E-2</v>
      </c>
      <c r="R21" s="171">
        <f si="7" t="shared"/>
        <v>1.0283630131553723</v>
      </c>
      <c r="S21" s="140"/>
      <c r="T21" s="201"/>
      <c r="U21" s="202"/>
      <c r="V21" s="203"/>
      <c r="W21" s="203"/>
      <c r="X21" s="204"/>
      <c r="Y21" s="30"/>
      <c r="Z21" s="30"/>
      <c r="AA21" s="100"/>
      <c r="AB21" s="165"/>
      <c r="AC21" s="165"/>
      <c r="AD21" s="194">
        <v>118</v>
      </c>
      <c r="AE21" s="163">
        <f si="8" t="shared"/>
        <v>2.7968230336311184E-2</v>
      </c>
      <c r="AF21" s="164">
        <f si="5" t="shared"/>
        <v>1.2250164653874733E-2</v>
      </c>
      <c r="AG21" s="7">
        <f>VLOOKUP(AD21,calibration_dist!$T:$W,3,FALSE)</f>
        <v>0.30646725571720002</v>
      </c>
      <c r="AH21" s="167">
        <f si="9" t="shared"/>
        <v>0.31871742037107476</v>
      </c>
      <c r="AI21" s="174">
        <v>1</v>
      </c>
      <c r="CU21" s="95">
        <v>20</v>
      </c>
      <c r="CV21" s="95">
        <f si="6" t="shared"/>
        <v>1</v>
      </c>
      <c r="CW21" s="95">
        <f si="0" t="shared"/>
        <v>20</v>
      </c>
      <c r="CX21" s="58">
        <f si="1" t="shared"/>
        <v>11.169705826291377</v>
      </c>
      <c r="CY21" s="58">
        <f si="2" t="shared"/>
        <v>0</v>
      </c>
      <c r="CZ21" s="108">
        <f si="3" t="shared"/>
        <v>-11.169705826291377</v>
      </c>
      <c r="DA21" s="78">
        <f si="4" t="shared"/>
        <v>-1</v>
      </c>
      <c r="DB21" s="95">
        <v>20000</v>
      </c>
    </row>
    <row r="22" spans="2:106" x14ac:dyDescent="0.25">
      <c r="B22" s="144">
        <v>19</v>
      </c>
      <c r="C22" s="170" t="s">
        <v>341</v>
      </c>
      <c r="D22" s="115">
        <f>County_Flow!BX40</f>
        <v>16912.63761576551</v>
      </c>
      <c r="E22" s="116">
        <f>County_Flow!BY40</f>
        <v>36765</v>
      </c>
      <c r="F22" s="116">
        <f>County_Flow!BZ40</f>
        <v>29164</v>
      </c>
      <c r="G22" s="123">
        <f>County_Flow!CA40</f>
        <v>33420</v>
      </c>
      <c r="H22" s="115">
        <f>County_Flow!CB40</f>
        <v>17836.180173381894</v>
      </c>
      <c r="I22" s="116">
        <f>County_Flow!CC40</f>
        <v>33776.620758856217</v>
      </c>
      <c r="J22" s="116">
        <f>County_Flow!CD40</f>
        <v>25273.504982024671</v>
      </c>
      <c r="K22" s="123">
        <f>County_Flow!CE40</f>
        <v>33420</v>
      </c>
      <c r="L22" s="100">
        <f>County_Flow!CF40</f>
        <v>2.14779877816361E-2</v>
      </c>
      <c r="M22" s="100">
        <f>County_Flow!CG40</f>
        <v>4.0673162129541224E-2</v>
      </c>
      <c r="N22" s="104">
        <f>County_Flow!CH40</f>
        <v>3.0433872383344579E-2</v>
      </c>
      <c r="O22" s="150">
        <f>County_Flow!CI40</f>
        <v>4.0243726217426903E-2</v>
      </c>
      <c r="P22" s="125">
        <f>County_Flow!CJ40</f>
        <v>-4.2943591211432042E-4</v>
      </c>
      <c r="Q22" s="121">
        <f>County_Flow!CK40</f>
        <v>-1.0558213072949626E-2</v>
      </c>
      <c r="R22" s="171">
        <f si="7" t="shared"/>
        <v>1.0106708784816343</v>
      </c>
      <c r="S22" s="140"/>
      <c r="T22" s="201"/>
      <c r="U22" s="202"/>
      <c r="V22" s="203"/>
      <c r="W22" s="203"/>
      <c r="X22" s="204"/>
      <c r="Y22" s="30"/>
      <c r="Z22" s="30"/>
      <c r="AA22" s="100"/>
      <c r="AB22" s="165"/>
      <c r="AC22" s="165"/>
      <c r="AD22" s="194">
        <v>119</v>
      </c>
      <c r="AE22" s="163">
        <f si="8" t="shared"/>
        <v>1.0614346466426706E-2</v>
      </c>
      <c r="AF22" s="164">
        <f si="5" t="shared"/>
        <v>-5.1037192160097444E-3</v>
      </c>
      <c r="AG22" s="7">
        <f>VLOOKUP(AD22,calibration_dist!$T:$W,3,FALSE)</f>
        <v>0.1628137198364</v>
      </c>
      <c r="AH22" s="167">
        <f si="9" t="shared"/>
        <v>0.15771000062039026</v>
      </c>
      <c r="AI22" s="174">
        <v>1</v>
      </c>
      <c r="CU22" s="95">
        <v>21</v>
      </c>
      <c r="CV22" s="95">
        <f si="6" t="shared"/>
        <v>2</v>
      </c>
      <c r="CW22" s="95">
        <f si="0" t="shared"/>
        <v>1</v>
      </c>
      <c r="CX22" s="58">
        <f si="1" t="shared"/>
        <v>1269.0474980949962</v>
      </c>
      <c r="CY22" s="58">
        <f si="2" t="shared"/>
        <v>1600.0000000000002</v>
      </c>
      <c r="CZ22" s="108">
        <f si="3" t="shared"/>
        <v>330.95250190500406</v>
      </c>
      <c r="DA22" s="78">
        <f si="4" t="shared"/>
        <v>0.26078811266072105</v>
      </c>
      <c r="DB22" s="95">
        <v>21000</v>
      </c>
    </row>
    <row r="23" spans="2:106" x14ac:dyDescent="0.25">
      <c r="B23" s="144">
        <v>20</v>
      </c>
      <c r="C23" s="170" t="s">
        <v>342</v>
      </c>
      <c r="D23" s="115">
        <f>County_Flow!BX41</f>
        <v>17257.161403342958</v>
      </c>
      <c r="E23" s="116">
        <f>County_Flow!BY41</f>
        <v>30183</v>
      </c>
      <c r="F23" s="116">
        <f>County_Flow!BZ41</f>
        <v>22156</v>
      </c>
      <c r="G23" s="123">
        <f>County_Flow!CA41</f>
        <v>26500</v>
      </c>
      <c r="H23" s="115">
        <f>County_Flow!CB41</f>
        <v>18199.517252367084</v>
      </c>
      <c r="I23" s="116">
        <f>County_Flow!CC41</f>
        <v>27729.627209698276</v>
      </c>
      <c r="J23" s="116">
        <f>County_Flow!CD41</f>
        <v>18241.773021650915</v>
      </c>
      <c r="K23" s="123">
        <f>County_Flow!CE41</f>
        <v>26500</v>
      </c>
      <c r="L23" s="100">
        <f>County_Flow!CF41</f>
        <v>2.1915511358276425E-2</v>
      </c>
      <c r="M23" s="100">
        <f>County_Flow!CG41</f>
        <v>3.3391487897618456E-2</v>
      </c>
      <c r="N23" s="104">
        <f>County_Flow!CH41</f>
        <v>2.1966394949244877E-2</v>
      </c>
      <c r="O23" s="150">
        <f>County_Flow!CI41</f>
        <v>3.1910794277732288E-2</v>
      </c>
      <c r="P23" s="126">
        <f>County_Flow!CJ41</f>
        <v>-1.4806936198861684E-3</v>
      </c>
      <c r="Q23" s="122">
        <f>Flow_ODData!CK41</f>
        <v>0</v>
      </c>
      <c r="R23" s="172">
        <f si="7" t="shared"/>
        <v>1.0464010267810668</v>
      </c>
      <c r="S23" s="140"/>
      <c r="T23" s="201"/>
      <c r="U23" s="202"/>
      <c r="V23" s="203"/>
      <c r="W23" s="203"/>
      <c r="X23" s="204"/>
      <c r="Y23" s="30"/>
      <c r="Z23" s="30"/>
      <c r="AA23" s="100"/>
      <c r="AB23" s="165"/>
      <c r="AC23" s="165"/>
      <c r="AD23" s="194">
        <v>120</v>
      </c>
      <c r="AE23" s="163">
        <f si="8" t="shared"/>
        <v>4.5356682971335306E-2</v>
      </c>
      <c r="AF23" s="164">
        <f si="5" t="shared"/>
        <v>2.9638617288898855E-2</v>
      </c>
      <c r="AG23" s="7">
        <f>VLOOKUP(AD23,calibration_dist!$T:$W,3,FALSE)</f>
        <v>-0.40270863939919999</v>
      </c>
      <c r="AH23" s="167">
        <f si="9" t="shared"/>
        <v>-0.37307002211030116</v>
      </c>
      <c r="AI23" s="174">
        <v>1</v>
      </c>
      <c r="CU23" s="95">
        <v>22</v>
      </c>
      <c r="CV23" s="95">
        <f si="6" t="shared"/>
        <v>2</v>
      </c>
      <c r="CW23" s="95">
        <f si="0" t="shared"/>
        <v>2</v>
      </c>
      <c r="CX23" s="58">
        <f si="1" t="shared"/>
        <v>4605.248666497333</v>
      </c>
      <c r="CY23" s="58">
        <f si="2" t="shared"/>
        <v>2280.0000000000005</v>
      </c>
      <c r="CZ23" s="108">
        <f si="3" t="shared"/>
        <v>-2325.2486664973326</v>
      </c>
      <c r="DA23" s="78">
        <f si="4" t="shared"/>
        <v>-0.50491272782146501</v>
      </c>
      <c r="DB23" s="95">
        <v>22000</v>
      </c>
    </row>
    <row ht="15.75" r="24" spans="2:106" thickBot="1" x14ac:dyDescent="0.3">
      <c r="B24" s="173"/>
      <c r="C24" s="110" t="s">
        <v>218</v>
      </c>
      <c r="D24" s="117">
        <f>County_Flow!BX42</f>
        <v>787440.5082875588</v>
      </c>
      <c r="E24" s="111">
        <f>County_Flow!BY42</f>
        <v>903913</v>
      </c>
      <c r="F24" s="111">
        <f>County_Flow!BZ42</f>
        <v>959408</v>
      </c>
      <c r="G24" s="124">
        <f>County_Flow!CA42</f>
        <v>830440</v>
      </c>
      <c r="H24" s="117">
        <f>County_Flow!CB42</f>
        <v>830440.00000000047</v>
      </c>
      <c r="I24" s="111">
        <f>County_Flow!CC42</f>
        <v>830440.00000000012</v>
      </c>
      <c r="J24" s="111">
        <f>County_Flow!CD42</f>
        <v>830440</v>
      </c>
      <c r="K24" s="124">
        <f>County_Flow!CE42</f>
        <v>830440</v>
      </c>
      <c r="L24" s="130">
        <f>County_Flow!CF42</f>
        <v>1</v>
      </c>
      <c r="M24" s="130">
        <f>County_Flow!CG42</f>
        <v>1</v>
      </c>
      <c r="N24" s="130">
        <f>County_Flow!CH42</f>
        <v>1</v>
      </c>
      <c r="O24" s="131">
        <f>County_Flow!CI42</f>
        <v>1</v>
      </c>
      <c r="P24" s="119"/>
      <c r="Q24" s="137"/>
      <c r="R24" s="172">
        <f>V24/W24</f>
        <v>1.130113535802717</v>
      </c>
      <c r="S24" t="s">
        <v>411</v>
      </c>
      <c r="T24" s="141"/>
      <c r="V24" s="108">
        <f>N41</f>
        <v>63150.744380655837</v>
      </c>
      <c r="W24" s="108">
        <f>BK41</f>
        <v>55880.000000000007</v>
      </c>
      <c r="X24" s="30">
        <f>M68</f>
        <v>1.9292304848587244E-3</v>
      </c>
      <c r="Y24" s="30">
        <f>AK68</f>
        <v>1.9989403207937963E-3</v>
      </c>
      <c r="Z24" s="166"/>
      <c r="AA24" s="166"/>
      <c r="AB24" s="7"/>
      <c r="AC24" s="41"/>
      <c r="AD24" s="194">
        <v>121</v>
      </c>
      <c r="AE24" s="163">
        <f>LN(R24)</f>
        <v>0.12231810183875515</v>
      </c>
      <c r="AF24" s="164">
        <f>AE24-AF14</f>
        <v>9.4493885031190814E-2</v>
      </c>
      <c r="AG24" s="7">
        <f>VLOOKUP(AD24,calibration_dist!$T:$W,3,FALSE)</f>
        <v>-0.47819038789149998</v>
      </c>
      <c r="AH24" s="167">
        <f>AG24+AI24*(AF24-(AF15*AI15))</f>
        <v>-0.47819038789149998</v>
      </c>
      <c r="AI24" s="174">
        <v>0</v>
      </c>
      <c r="CU24" s="95">
        <v>23</v>
      </c>
      <c r="CV24" s="95">
        <f si="6" t="shared"/>
        <v>2</v>
      </c>
      <c r="CW24" s="95">
        <f si="0" t="shared"/>
        <v>3</v>
      </c>
      <c r="CX24" s="58">
        <f si="1" t="shared"/>
        <v>417.39192278384553</v>
      </c>
      <c r="CY24" s="58">
        <f si="2" t="shared"/>
        <v>500.00000000000006</v>
      </c>
      <c r="CZ24" s="108">
        <f si="3" t="shared"/>
        <v>82.608077216154527</v>
      </c>
      <c r="DA24" s="78">
        <f si="4" t="shared"/>
        <v>0.19791489175255247</v>
      </c>
      <c r="DB24" s="95">
        <v>23000</v>
      </c>
    </row>
    <row ht="15.75" r="25" spans="2:106" thickBot="1" x14ac:dyDescent="0.3">
      <c r="R25" s="172">
        <f>V25/W25</f>
        <v>1.2349613855088883</v>
      </c>
      <c r="S25" s="95" t="s">
        <v>412</v>
      </c>
      <c r="U25" s="41"/>
      <c r="V25" s="108">
        <f>O42</f>
        <v>65329.457293420186</v>
      </c>
      <c r="W25" s="108">
        <f>BL42</f>
        <v>52899.999999999993</v>
      </c>
      <c r="X25" s="30">
        <f>M69</f>
        <v>4.9188935194295191E-4</v>
      </c>
      <c r="Y25" s="30">
        <f>AK69</f>
        <v>5.7800683974760364E-4</v>
      </c>
      <c r="Z25" s="7"/>
      <c r="AA25" s="7"/>
      <c r="AB25" s="7"/>
      <c r="AD25" s="195">
        <v>122</v>
      </c>
      <c r="AE25" s="175">
        <f>LN(R25)</f>
        <v>0.21103970279670173</v>
      </c>
      <c r="AF25" s="176">
        <f>AE25-AF14</f>
        <v>0.18321548598913739</v>
      </c>
      <c r="AG25" s="1">
        <f>VLOOKUP(AD25,calibration_dist!$T:$W,3,FALSE)</f>
        <v>-1.0119832457914</v>
      </c>
      <c r="AH25" s="177">
        <f>AG25+AI25*(AF25-(AF16*AI16))</f>
        <v>-1.0119832457914</v>
      </c>
      <c r="AI25" s="178">
        <v>0</v>
      </c>
      <c r="CU25" s="95">
        <v>24</v>
      </c>
      <c r="CV25" s="95">
        <f si="6" t="shared"/>
        <v>2</v>
      </c>
      <c r="CW25" s="95">
        <f si="0" t="shared"/>
        <v>4</v>
      </c>
      <c r="CX25" s="58">
        <f si="1" t="shared"/>
        <v>323.49707899415796</v>
      </c>
      <c r="CY25" s="58">
        <f si="2" t="shared"/>
        <v>500.00000000000006</v>
      </c>
      <c r="CZ25" s="108">
        <f si="3" t="shared"/>
        <v>176.5029210058421</v>
      </c>
      <c r="DA25" s="78">
        <f si="4" t="shared"/>
        <v>0.54560900999365614</v>
      </c>
      <c r="DB25" s="95">
        <v>24000</v>
      </c>
    </row>
    <row r="26" spans="2:106" x14ac:dyDescent="0.25">
      <c r="U26" s="143"/>
      <c r="AH26" s="141"/>
      <c r="CU26" s="95">
        <v>25</v>
      </c>
      <c r="CV26" s="95">
        <f si="6" t="shared"/>
        <v>2</v>
      </c>
      <c r="CW26" s="95">
        <f si="0" t="shared"/>
        <v>5</v>
      </c>
      <c r="CX26" s="58">
        <f si="1" t="shared"/>
        <v>382.18135636271273</v>
      </c>
      <c r="CY26" s="58">
        <f si="2" t="shared"/>
        <v>440.00000000000006</v>
      </c>
      <c r="CZ26" s="108">
        <f si="3" t="shared"/>
        <v>57.818643637287323</v>
      </c>
      <c r="DA26" s="78">
        <f si="4" t="shared"/>
        <v>0.15128588214652211</v>
      </c>
      <c r="DB26" s="95">
        <v>25000</v>
      </c>
    </row>
    <row r="27" spans="2:106" x14ac:dyDescent="0.25">
      <c r="B27" s="142" t="s">
        <v>355</v>
      </c>
      <c r="Z27" s="142" t="s">
        <v>321</v>
      </c>
      <c r="AH27" s="141"/>
      <c r="AY27" s="142" t="s">
        <v>401</v>
      </c>
      <c r="BW27" s="142" t="s">
        <v>402</v>
      </c>
      <c r="CU27" s="95">
        <v>26</v>
      </c>
      <c r="CV27" s="95">
        <f si="6" t="shared"/>
        <v>2</v>
      </c>
      <c r="CW27" s="95">
        <f si="0" t="shared"/>
        <v>6</v>
      </c>
      <c r="CX27" s="58">
        <f si="1" t="shared"/>
        <v>2309.9598679197356</v>
      </c>
      <c r="CY27" s="58">
        <f si="2" t="shared"/>
        <v>3000.0000000000005</v>
      </c>
      <c r="CZ27" s="108">
        <f si="3" t="shared"/>
        <v>690.04013208026481</v>
      </c>
      <c r="DA27" s="78">
        <f si="4" t="shared"/>
        <v>0.2987238616840947</v>
      </c>
      <c r="DB27" s="95">
        <v>26000</v>
      </c>
    </row>
    <row ht="15.75" r="28" spans="2:106" thickBot="1" x14ac:dyDescent="0.3">
      <c r="W28" s="7"/>
      <c r="X28" s="7"/>
      <c r="Y28" s="95"/>
      <c r="Z28" t="s">
        <v>403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>
        <v>1</v>
      </c>
      <c r="AI28" s="191">
        <v>1</v>
      </c>
      <c r="AJ28" s="191">
        <v>1</v>
      </c>
      <c r="AK28" s="191">
        <v>1</v>
      </c>
      <c r="AL28" s="191">
        <v>1</v>
      </c>
      <c r="AM28" s="191">
        <v>1</v>
      </c>
      <c r="AN28" s="191">
        <v>1</v>
      </c>
      <c r="AO28" s="191">
        <v>1</v>
      </c>
      <c r="AP28" s="191">
        <v>1</v>
      </c>
      <c r="AQ28" s="191">
        <v>1</v>
      </c>
      <c r="AR28" s="191">
        <v>1</v>
      </c>
      <c r="AS28" s="191">
        <v>1</v>
      </c>
      <c r="AT28" s="191">
        <v>1</v>
      </c>
      <c r="AU28" s="95"/>
      <c r="AV28" s="95"/>
      <c r="CU28" s="95">
        <v>27</v>
      </c>
      <c r="CV28" s="95">
        <f si="6" t="shared"/>
        <v>2</v>
      </c>
      <c r="CW28" s="95">
        <f si="0" t="shared"/>
        <v>7</v>
      </c>
      <c r="CX28" s="58">
        <f si="1" t="shared"/>
        <v>1318.1955803911608</v>
      </c>
      <c r="CY28" s="58">
        <f si="2" t="shared"/>
        <v>1260.0000000000002</v>
      </c>
      <c r="CZ28" s="108">
        <f si="3" t="shared"/>
        <v>-58.195580391160547</v>
      </c>
      <c r="DA28" s="78">
        <f si="4" t="shared"/>
        <v>-4.414791041393995E-2</v>
      </c>
      <c r="DB28" s="95">
        <v>27000</v>
      </c>
    </row>
    <row r="29" spans="2:106" x14ac:dyDescent="0.25">
      <c r="B29" s="2" t="s">
        <v>14</v>
      </c>
      <c r="C29" s="2">
        <v>1</v>
      </c>
      <c r="D29" s="2">
        <v>2</v>
      </c>
      <c r="E29" s="2">
        <v>3</v>
      </c>
      <c r="F29" s="2">
        <v>4</v>
      </c>
      <c r="G29" s="2">
        <v>5</v>
      </c>
      <c r="H29" s="2">
        <v>6</v>
      </c>
      <c r="I29" s="2">
        <v>7</v>
      </c>
      <c r="J29" s="2">
        <v>8</v>
      </c>
      <c r="K29" s="2">
        <v>9</v>
      </c>
      <c r="L29" s="2">
        <v>10</v>
      </c>
      <c r="M29" s="2">
        <v>11</v>
      </c>
      <c r="N29" s="2">
        <v>12</v>
      </c>
      <c r="O29" s="2">
        <v>13</v>
      </c>
      <c r="P29" s="2">
        <v>14</v>
      </c>
      <c r="Q29" s="2">
        <v>15</v>
      </c>
      <c r="R29" s="2">
        <v>16</v>
      </c>
      <c r="S29" s="2">
        <v>17</v>
      </c>
      <c r="T29" s="2">
        <v>18</v>
      </c>
      <c r="U29" s="2">
        <v>19</v>
      </c>
      <c r="V29" s="2">
        <v>20</v>
      </c>
      <c r="W29" s="3" t="s">
        <v>15</v>
      </c>
      <c r="X29" s="3" t="s">
        <v>3</v>
      </c>
      <c r="Y29" s="95"/>
      <c r="Z29" s="2" t="s">
        <v>14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P29" s="2">
        <v>16</v>
      </c>
      <c r="AQ29" s="2">
        <v>17</v>
      </c>
      <c r="AR29" s="2">
        <v>18</v>
      </c>
      <c r="AS29" s="2">
        <v>19</v>
      </c>
      <c r="AT29" s="2">
        <v>20</v>
      </c>
      <c r="AU29" s="3" t="s">
        <v>15</v>
      </c>
      <c r="AV29" s="3" t="s">
        <v>3</v>
      </c>
      <c r="AY29" s="2" t="s">
        <v>14</v>
      </c>
      <c r="AZ29" s="2">
        <v>1</v>
      </c>
      <c r="BA29" s="2">
        <v>2</v>
      </c>
      <c r="BB29" s="2">
        <v>3</v>
      </c>
      <c r="BC29" s="2">
        <v>4</v>
      </c>
      <c r="BD29" s="2">
        <v>5</v>
      </c>
      <c r="BE29" s="2">
        <v>6</v>
      </c>
      <c r="BF29" s="2">
        <v>7</v>
      </c>
      <c r="BG29" s="2">
        <v>8</v>
      </c>
      <c r="BH29" s="2">
        <v>9</v>
      </c>
      <c r="BI29" s="2">
        <v>10</v>
      </c>
      <c r="BJ29" s="2">
        <v>11</v>
      </c>
      <c r="BK29" s="2">
        <v>12</v>
      </c>
      <c r="BL29" s="2">
        <v>13</v>
      </c>
      <c r="BM29" s="2">
        <v>14</v>
      </c>
      <c r="BN29" s="2">
        <v>15</v>
      </c>
      <c r="BO29" s="2">
        <v>16</v>
      </c>
      <c r="BP29" s="2">
        <v>17</v>
      </c>
      <c r="BQ29" s="2">
        <v>18</v>
      </c>
      <c r="BR29" s="2">
        <v>19</v>
      </c>
      <c r="BS29" s="2">
        <v>20</v>
      </c>
      <c r="BT29" s="3" t="s">
        <v>15</v>
      </c>
      <c r="BU29" s="3" t="s">
        <v>3</v>
      </c>
      <c r="BW29" s="2" t="s">
        <v>14</v>
      </c>
      <c r="BX29" s="2">
        <v>1</v>
      </c>
      <c r="BY29" s="2">
        <v>2</v>
      </c>
      <c r="BZ29" s="2">
        <v>3</v>
      </c>
      <c r="CA29" s="2">
        <v>4</v>
      </c>
      <c r="CB29" s="2">
        <v>5</v>
      </c>
      <c r="CC29" s="2">
        <v>6</v>
      </c>
      <c r="CD29" s="2">
        <v>7</v>
      </c>
      <c r="CE29" s="2">
        <v>8</v>
      </c>
      <c r="CF29" s="2">
        <v>9</v>
      </c>
      <c r="CG29" s="2">
        <v>10</v>
      </c>
      <c r="CH29" s="2">
        <v>11</v>
      </c>
      <c r="CI29" s="2">
        <v>12</v>
      </c>
      <c r="CJ29" s="2">
        <v>13</v>
      </c>
      <c r="CK29" s="2">
        <v>14</v>
      </c>
      <c r="CL29" s="2">
        <v>15</v>
      </c>
      <c r="CM29" s="2">
        <v>16</v>
      </c>
      <c r="CN29" s="2">
        <v>17</v>
      </c>
      <c r="CO29" s="2">
        <v>18</v>
      </c>
      <c r="CP29" s="2">
        <v>19</v>
      </c>
      <c r="CQ29" s="2">
        <v>20</v>
      </c>
      <c r="CR29" s="3" t="s">
        <v>15</v>
      </c>
      <c r="CS29" s="3" t="s">
        <v>3</v>
      </c>
      <c r="CU29" s="95">
        <v>28</v>
      </c>
      <c r="CV29" s="95">
        <f si="6" t="shared"/>
        <v>2</v>
      </c>
      <c r="CW29" s="95">
        <f si="0" t="shared"/>
        <v>8</v>
      </c>
      <c r="CX29" s="58">
        <f si="1" t="shared"/>
        <v>79.223774447548905</v>
      </c>
      <c r="CY29" s="58">
        <f si="2" t="shared"/>
        <v>60.000000000000007</v>
      </c>
      <c r="CZ29" s="108">
        <f si="3" t="shared"/>
        <v>-19.223774447548898</v>
      </c>
      <c r="DA29" s="78">
        <f si="4" t="shared"/>
        <v>-0.24265158510310866</v>
      </c>
      <c r="DB29" s="95">
        <v>28000</v>
      </c>
    </row>
    <row r="30" spans="2:106" x14ac:dyDescent="0.25">
      <c r="B30" s="31">
        <v>1</v>
      </c>
      <c r="C30" s="77">
        <f>Flow_ODData!C31</f>
        <v>4240.0203316602074</v>
      </c>
      <c r="D30" s="77">
        <f>Flow_ODData!D31</f>
        <v>536.1458796619861</v>
      </c>
      <c r="E30" s="77">
        <f>Flow_ODData!E31</f>
        <v>296.36952792426456</v>
      </c>
      <c r="F30" s="77">
        <f>Flow_ODData!F31</f>
        <v>396.15223330580091</v>
      </c>
      <c r="G30" s="77">
        <f>Flow_ODData!G31</f>
        <v>503.38140923819816</v>
      </c>
      <c r="H30" s="77">
        <f>Flow_ODData!H31</f>
        <v>2767.8531037550033</v>
      </c>
      <c r="I30" s="77">
        <f>Flow_ODData!I31</f>
        <v>449.02217421691341</v>
      </c>
      <c r="J30" s="77">
        <f>Flow_ODData!J31</f>
        <v>43.934176250079418</v>
      </c>
      <c r="K30" s="77">
        <f>Flow_ODData!K31</f>
        <v>355.19664527606585</v>
      </c>
      <c r="L30" s="77">
        <f>Flow_ODData!L31</f>
        <v>155.63123451299322</v>
      </c>
      <c r="M30" s="77">
        <f>Flow_ODData!M31</f>
        <v>349.23946883537707</v>
      </c>
      <c r="N30" s="77">
        <f>Flow_ODData!N31</f>
        <v>1224.9444056166212</v>
      </c>
      <c r="O30" s="77">
        <f>Flow_ODData!O31</f>
        <v>154.8865874579071</v>
      </c>
      <c r="P30" s="77">
        <f>Flow_ODData!P31</f>
        <v>34.253764533960222</v>
      </c>
      <c r="Q30" s="77">
        <f>Flow_ODData!Q31</f>
        <v>34.99841158904632</v>
      </c>
      <c r="R30" s="77">
        <f>Flow_ODData!R31</f>
        <v>9.6804117161191936</v>
      </c>
      <c r="S30" s="77">
        <f>Flow_ODData!S31</f>
        <v>15.637588156807929</v>
      </c>
      <c r="T30" s="77">
        <f>Flow_ODData!T31</f>
        <v>29.785882203443673</v>
      </c>
      <c r="U30" s="77">
        <f>Flow_ODData!U31</f>
        <v>111.69705826291377</v>
      </c>
      <c r="V30" s="77">
        <f>Flow_ODData!V31</f>
        <v>11.169705826291377</v>
      </c>
      <c r="W30" s="77">
        <f>Flow_ODData!W31</f>
        <v>0</v>
      </c>
      <c r="X30" s="77">
        <f>SUM(C30:W30)</f>
        <v>11720.000000000002</v>
      </c>
      <c r="Y30" s="95"/>
      <c r="Z30" s="31">
        <v>1</v>
      </c>
      <c r="AA30" s="77">
        <f>County_Flow!AX34*AA$28</f>
        <v>2420</v>
      </c>
      <c r="AB30" s="77">
        <f>County_Flow!AY34*AB$28</f>
        <v>580</v>
      </c>
      <c r="AC30" s="77">
        <f>County_Flow!AZ34*AC$28</f>
        <v>500</v>
      </c>
      <c r="AD30" s="77">
        <f>County_Flow!BA34*AD$28</f>
        <v>800</v>
      </c>
      <c r="AE30" s="77">
        <f>County_Flow!BB34*AE$28</f>
        <v>640</v>
      </c>
      <c r="AF30" s="77">
        <f>County_Flow!BC34*AF$28</f>
        <v>3920</v>
      </c>
      <c r="AG30" s="77">
        <f>County_Flow!BD34*AG$28</f>
        <v>220</v>
      </c>
      <c r="AH30" s="77">
        <f>County_Flow!BE34*AH$28</f>
        <v>60</v>
      </c>
      <c r="AI30" s="77">
        <f>County_Flow!BF34*AI$28</f>
        <v>320</v>
      </c>
      <c r="AJ30" s="77">
        <f>County_Flow!BG34*AJ$28</f>
        <v>220</v>
      </c>
      <c r="AK30" s="77">
        <f>County_Flow!BH34*AK$28</f>
        <v>460</v>
      </c>
      <c r="AL30" s="77">
        <f>County_Flow!BI34*AL$28</f>
        <v>1220</v>
      </c>
      <c r="AM30" s="77">
        <f>County_Flow!BJ34*AM$28</f>
        <v>80</v>
      </c>
      <c r="AN30" s="77">
        <f>County_Flow!BK34*AN$28</f>
        <v>0</v>
      </c>
      <c r="AO30" s="77">
        <f>County_Flow!BL34*AO$28</f>
        <v>60</v>
      </c>
      <c r="AP30" s="77">
        <f>County_Flow!BM34*AP$28</f>
        <v>60</v>
      </c>
      <c r="AQ30" s="77">
        <f>County_Flow!BN34*AQ$28</f>
        <v>20</v>
      </c>
      <c r="AR30" s="77">
        <f>County_Flow!BO34*AR$28</f>
        <v>60</v>
      </c>
      <c r="AS30" s="77">
        <f>County_Flow!BP34*AS$28</f>
        <v>80</v>
      </c>
      <c r="AT30" s="77">
        <f>County_Flow!BQ34*AT$28</f>
        <v>0</v>
      </c>
      <c r="AU30" s="77">
        <f>County_Flow!BR34</f>
        <v>0</v>
      </c>
      <c r="AV30" s="97">
        <f>SUM(AA30:AU30)</f>
        <v>11720</v>
      </c>
      <c r="AW30" s="139">
        <f>ABS((AV30-X30)/X30)</f>
        <v>1.5520387402268398E-16</v>
      </c>
      <c r="AY30" s="31">
        <v>1</v>
      </c>
      <c r="AZ30" s="77">
        <f>AA30*$X30/$AV30</f>
        <v>2420.0000000000005</v>
      </c>
      <c r="BA30" s="77">
        <f ref="BA30:BS30" si="10" t="shared">AB30*$X30/$AV30</f>
        <v>580.00000000000011</v>
      </c>
      <c r="BB30" s="77">
        <f si="10" t="shared"/>
        <v>500.00000000000006</v>
      </c>
      <c r="BC30" s="77">
        <f si="10" t="shared"/>
        <v>800.00000000000011</v>
      </c>
      <c r="BD30" s="77">
        <f si="10" t="shared"/>
        <v>640.00000000000011</v>
      </c>
      <c r="BE30" s="77">
        <f si="10" t="shared"/>
        <v>3920.0000000000005</v>
      </c>
      <c r="BF30" s="77">
        <f si="10" t="shared"/>
        <v>220.00000000000003</v>
      </c>
      <c r="BG30" s="77">
        <f si="10" t="shared"/>
        <v>60.000000000000007</v>
      </c>
      <c r="BH30" s="77">
        <f si="10" t="shared"/>
        <v>320.00000000000006</v>
      </c>
      <c r="BI30" s="77">
        <f si="10" t="shared"/>
        <v>220.00000000000003</v>
      </c>
      <c r="BJ30" s="77">
        <f si="10" t="shared"/>
        <v>460.00000000000006</v>
      </c>
      <c r="BK30" s="77">
        <f si="10" t="shared"/>
        <v>1220.0000000000002</v>
      </c>
      <c r="BL30" s="77">
        <f si="10" t="shared"/>
        <v>80.000000000000014</v>
      </c>
      <c r="BM30" s="77">
        <f si="10" t="shared"/>
        <v>0</v>
      </c>
      <c r="BN30" s="77">
        <f si="10" t="shared"/>
        <v>60.000000000000007</v>
      </c>
      <c r="BO30" s="77">
        <f si="10" t="shared"/>
        <v>60.000000000000007</v>
      </c>
      <c r="BP30" s="77">
        <f si="10" t="shared"/>
        <v>20.000000000000004</v>
      </c>
      <c r="BQ30" s="77">
        <f si="10" t="shared"/>
        <v>60.000000000000007</v>
      </c>
      <c r="BR30" s="77">
        <f si="10" t="shared"/>
        <v>80.000000000000014</v>
      </c>
      <c r="BS30" s="77">
        <f si="10" t="shared"/>
        <v>0</v>
      </c>
      <c r="BT30" s="77">
        <f>AU30*$X30/$AV30</f>
        <v>0</v>
      </c>
      <c r="BU30" s="77">
        <f ref="BU30:BU49" si="11" t="shared">AV30*$X30/$AV30</f>
        <v>11720.000000000002</v>
      </c>
      <c r="BW30" s="31">
        <v>1</v>
      </c>
      <c r="BX30" s="77">
        <f>ABS(AZ30-C30)</f>
        <v>1820.0203316602069</v>
      </c>
      <c r="BY30" s="77">
        <f ref="BY30:CS30" si="12" t="shared">ABS(BA30-D30)</f>
        <v>43.854120338014013</v>
      </c>
      <c r="BZ30" s="77">
        <f si="12" t="shared"/>
        <v>203.6304720757355</v>
      </c>
      <c r="CA30" s="77">
        <f si="12" t="shared"/>
        <v>403.84776669419921</v>
      </c>
      <c r="CB30" s="77">
        <f si="12" t="shared"/>
        <v>136.61859076180195</v>
      </c>
      <c r="CC30" s="77">
        <f si="12" t="shared"/>
        <v>1152.1468962449972</v>
      </c>
      <c r="CD30" s="77">
        <f si="12" t="shared"/>
        <v>229.02217421691338</v>
      </c>
      <c r="CE30" s="77">
        <f si="12" t="shared"/>
        <v>16.06582374992059</v>
      </c>
      <c r="CF30" s="77">
        <f si="12" t="shared"/>
        <v>35.196645276065794</v>
      </c>
      <c r="CG30" s="77">
        <f si="12" t="shared"/>
        <v>64.368765487006812</v>
      </c>
      <c r="CH30" s="77">
        <f si="12" t="shared"/>
        <v>110.76053116462299</v>
      </c>
      <c r="CI30" s="77">
        <f si="12" t="shared"/>
        <v>4.9444056166209975</v>
      </c>
      <c r="CJ30" s="77">
        <f si="12" t="shared"/>
        <v>74.886587457907083</v>
      </c>
      <c r="CK30" s="77">
        <f si="12" t="shared"/>
        <v>34.253764533960222</v>
      </c>
      <c r="CL30" s="77">
        <f si="12" t="shared"/>
        <v>25.001588410953687</v>
      </c>
      <c r="CM30" s="77">
        <f si="12" t="shared"/>
        <v>50.319588283880812</v>
      </c>
      <c r="CN30" s="77">
        <f si="12" t="shared"/>
        <v>4.3624118431920742</v>
      </c>
      <c r="CO30" s="77">
        <f si="12" t="shared"/>
        <v>30.214117796556334</v>
      </c>
      <c r="CP30" s="77">
        <f si="12" t="shared"/>
        <v>31.697058262913757</v>
      </c>
      <c r="CQ30" s="77">
        <f si="12" t="shared"/>
        <v>11.169705826291377</v>
      </c>
      <c r="CR30" s="77">
        <f si="12" t="shared"/>
        <v>0</v>
      </c>
      <c r="CS30" s="77">
        <f si="12" t="shared"/>
        <v>0</v>
      </c>
      <c r="CU30" s="95">
        <v>29</v>
      </c>
      <c r="CV30" s="95">
        <f si="6" t="shared"/>
        <v>2</v>
      </c>
      <c r="CW30" s="95">
        <f si="0" t="shared"/>
        <v>9</v>
      </c>
      <c r="CX30" s="58">
        <f si="1" t="shared"/>
        <v>1009.3695707391414</v>
      </c>
      <c r="CY30" s="58">
        <f si="2" t="shared"/>
        <v>1200.0000000000002</v>
      </c>
      <c r="CZ30" s="108">
        <f si="3" t="shared"/>
        <v>190.63042926085882</v>
      </c>
      <c r="DA30" s="78">
        <f si="4" t="shared"/>
        <v>0.18886088384977162</v>
      </c>
      <c r="DB30" s="95">
        <v>29000</v>
      </c>
    </row>
    <row r="31" spans="2:106" x14ac:dyDescent="0.25">
      <c r="B31" s="95">
        <v>2</v>
      </c>
      <c r="C31" s="77">
        <f>Flow_ODData!C32</f>
        <v>1269.0474980949962</v>
      </c>
      <c r="D31" s="77">
        <f>Flow_ODData!D32</f>
        <v>4605.248666497333</v>
      </c>
      <c r="E31" s="77">
        <f>Flow_ODData!E32</f>
        <v>417.39192278384553</v>
      </c>
      <c r="F31" s="77">
        <f>Flow_ODData!F32</f>
        <v>323.49707899415796</v>
      </c>
      <c r="G31" s="77">
        <f>Flow_ODData!G32</f>
        <v>382.18135636271273</v>
      </c>
      <c r="H31" s="77">
        <f>Flow_ODData!H32</f>
        <v>2309.9598679197356</v>
      </c>
      <c r="I31" s="77">
        <f>Flow_ODData!I32</f>
        <v>1318.1955803911608</v>
      </c>
      <c r="J31" s="77">
        <f>Flow_ODData!J32</f>
        <v>79.223774447548905</v>
      </c>
      <c r="K31" s="77">
        <f>Flow_ODData!K32</f>
        <v>1009.3695707391414</v>
      </c>
      <c r="L31" s="77">
        <f>Flow_ODData!L32</f>
        <v>263.34569469138938</v>
      </c>
      <c r="M31" s="77">
        <f>Flow_ODData!M32</f>
        <v>505.41833883667766</v>
      </c>
      <c r="N31" s="77">
        <f>Flow_ODData!N32</f>
        <v>1470.0411480822961</v>
      </c>
      <c r="O31" s="77">
        <f>Flow_ODData!O32</f>
        <v>201.72720345440692</v>
      </c>
      <c r="P31" s="77">
        <f>Flow_ODData!P32</f>
        <v>30.075692151384299</v>
      </c>
      <c r="Q31" s="77">
        <f>Flow_ODData!Q32</f>
        <v>125.43764287528576</v>
      </c>
      <c r="R31" s="77">
        <f>Flow_ODData!R32</f>
        <v>16.138176276352553</v>
      </c>
      <c r="S31" s="77">
        <f>Flow_ODData!S32</f>
        <v>17.605283210566419</v>
      </c>
      <c r="T31" s="77">
        <f>Flow_ODData!T32</f>
        <v>30.809245618491236</v>
      </c>
      <c r="U31" s="77">
        <f>Flow_ODData!U32</f>
        <v>57.217170434340872</v>
      </c>
      <c r="V31" s="77">
        <f>Flow_ODData!V32</f>
        <v>8.0690881381762765</v>
      </c>
      <c r="W31" s="77">
        <f>Flow_ODData!W32</f>
        <v>0</v>
      </c>
      <c r="X31" s="77">
        <f ref="X31:X51" si="13" t="shared">SUM(C31:W31)</f>
        <v>14440.000000000002</v>
      </c>
      <c r="Y31" s="95"/>
      <c r="Z31" s="95">
        <v>2</v>
      </c>
      <c r="AA31" s="77">
        <f>County_Flow!AX35*AA$28</f>
        <v>1600</v>
      </c>
      <c r="AB31" s="77">
        <f>County_Flow!AY35*AB$28</f>
        <v>2280</v>
      </c>
      <c r="AC31" s="77">
        <f>County_Flow!AZ35*AC$28</f>
        <v>500</v>
      </c>
      <c r="AD31" s="77">
        <f>County_Flow!BA35*AD$28</f>
        <v>500</v>
      </c>
      <c r="AE31" s="77">
        <f>County_Flow!BB35*AE$28</f>
        <v>440</v>
      </c>
      <c r="AF31" s="77">
        <f>County_Flow!BC35*AF$28</f>
        <v>3000</v>
      </c>
      <c r="AG31" s="77">
        <f>County_Flow!BD35*AG$28</f>
        <v>1260</v>
      </c>
      <c r="AH31" s="77">
        <f>County_Flow!BE35*AH$28</f>
        <v>60</v>
      </c>
      <c r="AI31" s="77">
        <f>County_Flow!BF35*AI$28</f>
        <v>1200</v>
      </c>
      <c r="AJ31" s="77">
        <f>County_Flow!BG35*AJ$28</f>
        <v>220</v>
      </c>
      <c r="AK31" s="77">
        <f>County_Flow!BH35*AK$28</f>
        <v>580</v>
      </c>
      <c r="AL31" s="77">
        <f>County_Flow!BI35*AL$28</f>
        <v>2020</v>
      </c>
      <c r="AM31" s="77">
        <f>County_Flow!BJ35*AM$28</f>
        <v>280</v>
      </c>
      <c r="AN31" s="77">
        <f>County_Flow!BK35*AN$28</f>
        <v>40</v>
      </c>
      <c r="AO31" s="77">
        <f>County_Flow!BL35*AO$28</f>
        <v>260</v>
      </c>
      <c r="AP31" s="77">
        <f>County_Flow!BM35*AP$28</f>
        <v>40</v>
      </c>
      <c r="AQ31" s="77">
        <f>County_Flow!BN35*AQ$28</f>
        <v>20</v>
      </c>
      <c r="AR31" s="77">
        <f>County_Flow!BO35*AR$28</f>
        <v>60</v>
      </c>
      <c r="AS31" s="77">
        <f>County_Flow!BP35*AS$28</f>
        <v>80</v>
      </c>
      <c r="AT31" s="77">
        <f>County_Flow!BQ35*AT$28</f>
        <v>0</v>
      </c>
      <c r="AU31" s="77">
        <f>County_Flow!BR35</f>
        <v>0</v>
      </c>
      <c r="AV31" s="15">
        <f ref="AV31:AV49" si="14" t="shared">SUM(AA31:AU31)</f>
        <v>14440</v>
      </c>
      <c r="AW31" s="139">
        <f ref="AW31:AW49" si="15" t="shared">ABS((AV31-X31)/X31)</f>
        <v>1.2596879525940833E-16</v>
      </c>
      <c r="AY31" s="95">
        <v>2</v>
      </c>
      <c r="AZ31" s="77">
        <f ref="AZ31:AZ49" si="16" t="shared">AA31*$X31/$AV31</f>
        <v>1600.0000000000002</v>
      </c>
      <c r="BA31" s="77">
        <f ref="BA31:BA49" si="17" t="shared">AB31*$X31/$AV31</f>
        <v>2280.0000000000005</v>
      </c>
      <c r="BB31" s="77">
        <f ref="BB31:BB49" si="18" t="shared">AC31*$X31/$AV31</f>
        <v>500.00000000000006</v>
      </c>
      <c r="BC31" s="77">
        <f ref="BC31:BC49" si="19" t="shared">AD31*$X31/$AV31</f>
        <v>500.00000000000006</v>
      </c>
      <c r="BD31" s="77">
        <f ref="BD31:BD49" si="20" t="shared">AE31*$X31/$AV31</f>
        <v>440.00000000000006</v>
      </c>
      <c r="BE31" s="77">
        <f ref="BE31:BE49" si="21" t="shared">AF31*$X31/$AV31</f>
        <v>3000.0000000000005</v>
      </c>
      <c r="BF31" s="77">
        <f ref="BF31:BF49" si="22" t="shared">AG31*$X31/$AV31</f>
        <v>1260.0000000000002</v>
      </c>
      <c r="BG31" s="77">
        <f ref="BG31:BG49" si="23" t="shared">AH31*$X31/$AV31</f>
        <v>60.000000000000007</v>
      </c>
      <c r="BH31" s="77">
        <f ref="BH31:BH49" si="24" t="shared">AI31*$X31/$AV31</f>
        <v>1200.0000000000002</v>
      </c>
      <c r="BI31" s="77">
        <f ref="BI31:BI49" si="25" t="shared">AJ31*$X31/$AV31</f>
        <v>220.00000000000003</v>
      </c>
      <c r="BJ31" s="77">
        <f ref="BJ31:BJ49" si="26" t="shared">AK31*$X31/$AV31</f>
        <v>580.00000000000011</v>
      </c>
      <c r="BK31" s="77">
        <f ref="BK31:BK49" si="27" t="shared">AL31*$X31/$AV31</f>
        <v>2020.0000000000002</v>
      </c>
      <c r="BL31" s="77">
        <f ref="BL31:BL49" si="28" t="shared">AM31*$X31/$AV31</f>
        <v>280.00000000000006</v>
      </c>
      <c r="BM31" s="77">
        <f ref="BM31:BM49" si="29" t="shared">AN31*$X31/$AV31</f>
        <v>40.000000000000007</v>
      </c>
      <c r="BN31" s="77">
        <f ref="BN31:BN49" si="30" t="shared">AO31*$X31/$AV31</f>
        <v>260.00000000000006</v>
      </c>
      <c r="BO31" s="77">
        <f ref="BO31:BO49" si="31" t="shared">AP31*$X31/$AV31</f>
        <v>40.000000000000007</v>
      </c>
      <c r="BP31" s="77">
        <f ref="BP31:BP49" si="32" t="shared">AQ31*$X31/$AV31</f>
        <v>20.000000000000004</v>
      </c>
      <c r="BQ31" s="77">
        <f ref="BQ31:BQ49" si="33" t="shared">AR31*$X31/$AV31</f>
        <v>60.000000000000007</v>
      </c>
      <c r="BR31" s="77">
        <f ref="BR31:BR49" si="34" t="shared">AS31*$X31/$AV31</f>
        <v>80.000000000000014</v>
      </c>
      <c r="BS31" s="77">
        <f ref="BS31:BS49" si="35" t="shared">AT31*$X31/$AV31</f>
        <v>0</v>
      </c>
      <c r="BT31" s="77">
        <f ref="BT31:BT50" si="36" t="shared">ABS(AU31-W31)</f>
        <v>0</v>
      </c>
      <c r="BU31" s="77">
        <f si="11" t="shared"/>
        <v>14440.000000000002</v>
      </c>
      <c r="BV31" s="95"/>
      <c r="BW31" s="95">
        <v>2</v>
      </c>
      <c r="BX31" s="77">
        <f ref="BX31:BX49" si="37" t="shared">ABS(AZ31-C31)</f>
        <v>330.95250190500406</v>
      </c>
      <c r="BY31" s="77">
        <f ref="BY31:BY49" si="38" t="shared">ABS(BA31-D31)</f>
        <v>2325.2486664973326</v>
      </c>
      <c r="BZ31" s="77">
        <f ref="BZ31:BZ49" si="39" t="shared">ABS(BB31-E31)</f>
        <v>82.608077216154527</v>
      </c>
      <c r="CA31" s="77">
        <f ref="CA31:CA49" si="40" t="shared">ABS(BC31-F31)</f>
        <v>176.5029210058421</v>
      </c>
      <c r="CB31" s="77">
        <f ref="CB31:CB49" si="41" t="shared">ABS(BD31-G31)</f>
        <v>57.818643637287323</v>
      </c>
      <c r="CC31" s="77">
        <f ref="CC31:CC49" si="42" t="shared">ABS(BE31-H31)</f>
        <v>690.04013208026481</v>
      </c>
      <c r="CD31" s="77">
        <f ref="CD31:CD49" si="43" t="shared">ABS(BF31-I31)</f>
        <v>58.195580391160547</v>
      </c>
      <c r="CE31" s="77">
        <f ref="CE31:CE49" si="44" t="shared">ABS(BG31-J31)</f>
        <v>19.223774447548898</v>
      </c>
      <c r="CF31" s="77">
        <f ref="CF31:CF49" si="45" t="shared">ABS(BH31-K31)</f>
        <v>190.63042926085882</v>
      </c>
      <c r="CG31" s="77">
        <f ref="CG31:CG49" si="46" t="shared">ABS(BI31-L31)</f>
        <v>43.345694691389355</v>
      </c>
      <c r="CH31" s="77">
        <f ref="CH31:CH49" si="47" t="shared">ABS(BJ31-M31)</f>
        <v>74.581661163322451</v>
      </c>
      <c r="CI31" s="77">
        <f ref="CI31:CI49" si="48" t="shared">ABS(BK31-N31)</f>
        <v>549.95885191770412</v>
      </c>
      <c r="CJ31" s="77">
        <f ref="CJ31:CJ49" si="49" t="shared">ABS(BL31-O31)</f>
        <v>78.272796545593138</v>
      </c>
      <c r="CK31" s="77">
        <f ref="CK31:CK49" si="50" t="shared">ABS(BM31-P31)</f>
        <v>9.9243078486157081</v>
      </c>
      <c r="CL31" s="77">
        <f ref="CL31:CL49" si="51" t="shared">ABS(BN31-Q31)</f>
        <v>134.56235712471431</v>
      </c>
      <c r="CM31" s="77">
        <f ref="CM31:CM49" si="52" t="shared">ABS(BO31-R31)</f>
        <v>23.861823723647454</v>
      </c>
      <c r="CN31" s="77">
        <f ref="CN31:CN49" si="53" t="shared">ABS(BP31-S31)</f>
        <v>2.3947167894335841</v>
      </c>
      <c r="CO31" s="77">
        <f ref="CO31:CO49" si="54" t="shared">ABS(BQ31-T31)</f>
        <v>29.190754381508771</v>
      </c>
      <c r="CP31" s="77">
        <f ref="CP31:CP49" si="55" t="shared">ABS(BR31-U31)</f>
        <v>22.782829565659142</v>
      </c>
      <c r="CQ31" s="77">
        <f ref="CQ31:CQ49" si="56" t="shared">ABS(BS31-V31)</f>
        <v>8.0690881381762765</v>
      </c>
      <c r="CR31" s="77">
        <f ref="CR31:CR49" si="57" t="shared">ABS(BT31-W31)</f>
        <v>0</v>
      </c>
      <c r="CS31" s="77">
        <f ref="CS31:CS49" si="58" t="shared">ABS(BU31-X31)</f>
        <v>0</v>
      </c>
      <c r="CU31" s="95">
        <v>30</v>
      </c>
      <c r="CV31" s="95">
        <f si="6" t="shared"/>
        <v>2</v>
      </c>
      <c r="CW31" s="95">
        <f si="0" t="shared"/>
        <v>10</v>
      </c>
      <c r="CX31" s="58">
        <f si="1" t="shared"/>
        <v>263.34569469138938</v>
      </c>
      <c r="CY31" s="58">
        <f si="2" t="shared"/>
        <v>220.00000000000003</v>
      </c>
      <c r="CZ31" s="108">
        <f si="3" t="shared"/>
        <v>-43.345694691389355</v>
      </c>
      <c r="DA31" s="78">
        <f si="4" t="shared"/>
        <v>-0.16459617743964064</v>
      </c>
      <c r="DB31" s="95">
        <v>30000</v>
      </c>
    </row>
    <row r="32" spans="2:106" x14ac:dyDescent="0.25">
      <c r="B32" s="95">
        <v>3</v>
      </c>
      <c r="C32" s="77">
        <f>Flow_ODData!C33</f>
        <v>4174.0111207737109</v>
      </c>
      <c r="D32" s="77">
        <f>Flow_ODData!D33</f>
        <v>2525.3242680580811</v>
      </c>
      <c r="E32" s="77">
        <f>Flow_ODData!E33</f>
        <v>7632.0699923577622</v>
      </c>
      <c r="F32" s="77">
        <f>Flow_ODData!F33</f>
        <v>1645.8344533164677</v>
      </c>
      <c r="G32" s="77">
        <f>Flow_ODData!G33</f>
        <v>1704.7840408991487</v>
      </c>
      <c r="H32" s="77">
        <f>Flow_ODData!H33</f>
        <v>6103.1839144069354</v>
      </c>
      <c r="I32" s="77">
        <f>Flow_ODData!I33</f>
        <v>1356.7913142013861</v>
      </c>
      <c r="J32" s="77">
        <f>Flow_ODData!J33</f>
        <v>616.11827021898966</v>
      </c>
      <c r="K32" s="77">
        <f>Flow_ODData!K33</f>
        <v>2293.3291169262393</v>
      </c>
      <c r="L32" s="77">
        <f>Flow_ODData!L33</f>
        <v>1277.874930824571</v>
      </c>
      <c r="M32" s="77">
        <f>Flow_ODData!M33</f>
        <v>2630.8630458270745</v>
      </c>
      <c r="N32" s="77">
        <f>Flow_ODData!N33</f>
        <v>3014.0353651145019</v>
      </c>
      <c r="O32" s="77">
        <f>Flow_ODData!O33</f>
        <v>325.17353150446672</v>
      </c>
      <c r="P32" s="77">
        <f>Flow_ODData!P33</f>
        <v>99.833978970669605</v>
      </c>
      <c r="Q32" s="77">
        <f>Flow_ODData!Q33</f>
        <v>181.60276174664665</v>
      </c>
      <c r="R32" s="77">
        <f>Flow_ODData!R33</f>
        <v>112.19437636703825</v>
      </c>
      <c r="S32" s="77">
        <f>Flow_ODData!S33</f>
        <v>136.91517115977547</v>
      </c>
      <c r="T32" s="77">
        <f>Flow_ODData!T33</f>
        <v>35.17959258966453</v>
      </c>
      <c r="U32" s="77">
        <f>Flow_ODData!U33</f>
        <v>191.11075974385327</v>
      </c>
      <c r="V32" s="77">
        <f>Flow_ODData!V33</f>
        <v>23.769994993016578</v>
      </c>
      <c r="W32" s="77">
        <f>Flow_ODData!W33</f>
        <v>0</v>
      </c>
      <c r="X32" s="77">
        <f si="13" t="shared"/>
        <v>36079.999999999993</v>
      </c>
      <c r="Y32" s="95"/>
      <c r="Z32" s="95">
        <v>3</v>
      </c>
      <c r="AA32" s="77">
        <f>County_Flow!AX36*AA$28</f>
        <v>4880</v>
      </c>
      <c r="AB32" s="77">
        <f>County_Flow!AY36*AB$28</f>
        <v>2620</v>
      </c>
      <c r="AC32" s="77">
        <f>County_Flow!AZ36*AC$28</f>
        <v>4120</v>
      </c>
      <c r="AD32" s="77">
        <f>County_Flow!BA36*AD$28</f>
        <v>1760</v>
      </c>
      <c r="AE32" s="77">
        <f>County_Flow!BB36*AE$28</f>
        <v>1480</v>
      </c>
      <c r="AF32" s="77">
        <f>County_Flow!BC36*AF$28</f>
        <v>7360</v>
      </c>
      <c r="AG32" s="77">
        <f>County_Flow!BD36*AG$28</f>
        <v>1400</v>
      </c>
      <c r="AH32" s="77">
        <f>County_Flow!BE36*AH$28</f>
        <v>520</v>
      </c>
      <c r="AI32" s="77">
        <f>County_Flow!BF36*AI$28</f>
        <v>1900</v>
      </c>
      <c r="AJ32" s="77">
        <f>County_Flow!BG36*AJ$28</f>
        <v>1080</v>
      </c>
      <c r="AK32" s="77">
        <f>County_Flow!BH36*AK$28</f>
        <v>3260</v>
      </c>
      <c r="AL32" s="77">
        <f>County_Flow!BI36*AL$28</f>
        <v>4020</v>
      </c>
      <c r="AM32" s="77">
        <f>County_Flow!BJ36*AM$28</f>
        <v>360</v>
      </c>
      <c r="AN32" s="77">
        <f>County_Flow!BK36*AN$28</f>
        <v>60</v>
      </c>
      <c r="AO32" s="77">
        <f>County_Flow!BL36*AO$28</f>
        <v>300</v>
      </c>
      <c r="AP32" s="77">
        <f>County_Flow!BM36*AP$28</f>
        <v>200</v>
      </c>
      <c r="AQ32" s="77">
        <f>County_Flow!BN36*AQ$28</f>
        <v>200</v>
      </c>
      <c r="AR32" s="77">
        <f>County_Flow!BO36*AR$28</f>
        <v>100</v>
      </c>
      <c r="AS32" s="77">
        <f>County_Flow!BP36*AS$28</f>
        <v>460</v>
      </c>
      <c r="AT32" s="77">
        <f>County_Flow!BQ36*AT$28</f>
        <v>0</v>
      </c>
      <c r="AU32" s="77">
        <f>County_Flow!BR36</f>
        <v>0</v>
      </c>
      <c r="AV32" s="15">
        <f si="14" t="shared"/>
        <v>36080</v>
      </c>
      <c r="AW32" s="139">
        <f si="15" t="shared"/>
        <v>2.016617964019797E-16</v>
      </c>
      <c r="AY32" s="95">
        <v>3</v>
      </c>
      <c r="AZ32" s="77">
        <f si="16" t="shared"/>
        <v>4879.9999999999991</v>
      </c>
      <c r="BA32" s="77">
        <f si="17" t="shared"/>
        <v>2619.9999999999995</v>
      </c>
      <c r="BB32" s="77">
        <f si="18" t="shared"/>
        <v>4119.9999999999991</v>
      </c>
      <c r="BC32" s="77">
        <f si="19" t="shared"/>
        <v>1759.9999999999995</v>
      </c>
      <c r="BD32" s="77">
        <f si="20" t="shared"/>
        <v>1479.9999999999998</v>
      </c>
      <c r="BE32" s="77">
        <f si="21" t="shared"/>
        <v>7359.9999999999982</v>
      </c>
      <c r="BF32" s="77">
        <f si="22" t="shared"/>
        <v>1399.9999999999998</v>
      </c>
      <c r="BG32" s="77">
        <f si="23" t="shared"/>
        <v>519.99999999999989</v>
      </c>
      <c r="BH32" s="77">
        <f si="24" t="shared"/>
        <v>1899.9999999999995</v>
      </c>
      <c r="BI32" s="77">
        <f si="25" t="shared"/>
        <v>1079.9999999999998</v>
      </c>
      <c r="BJ32" s="77">
        <f si="26" t="shared"/>
        <v>3259.9999999999991</v>
      </c>
      <c r="BK32" s="77">
        <f si="27" t="shared"/>
        <v>4019.9999999999991</v>
      </c>
      <c r="BL32" s="77">
        <f si="28" t="shared"/>
        <v>359.99999999999994</v>
      </c>
      <c r="BM32" s="77">
        <f si="29" t="shared"/>
        <v>59.999999999999986</v>
      </c>
      <c r="BN32" s="77">
        <f si="30" t="shared"/>
        <v>299.99999999999994</v>
      </c>
      <c r="BO32" s="77">
        <f si="31" t="shared"/>
        <v>199.99999999999994</v>
      </c>
      <c r="BP32" s="77">
        <f si="32" t="shared"/>
        <v>199.99999999999994</v>
      </c>
      <c r="BQ32" s="77">
        <f si="33" t="shared"/>
        <v>99.999999999999972</v>
      </c>
      <c r="BR32" s="77">
        <f si="34" t="shared"/>
        <v>459.99999999999989</v>
      </c>
      <c r="BS32" s="77">
        <f si="35" t="shared"/>
        <v>0</v>
      </c>
      <c r="BT32" s="77">
        <f si="36" t="shared"/>
        <v>0</v>
      </c>
      <c r="BU32" s="77">
        <f si="11" t="shared"/>
        <v>36079.999999999993</v>
      </c>
      <c r="BV32" s="95"/>
      <c r="BW32" s="95">
        <v>3</v>
      </c>
      <c r="BX32" s="77">
        <f si="37" t="shared"/>
        <v>705.98887922628819</v>
      </c>
      <c r="BY32" s="77">
        <f si="38" t="shared"/>
        <v>94.675731941918457</v>
      </c>
      <c r="BZ32" s="77">
        <f si="39" t="shared"/>
        <v>3512.0699923577631</v>
      </c>
      <c r="CA32" s="77">
        <f si="40" t="shared"/>
        <v>114.16554668353183</v>
      </c>
      <c r="CB32" s="77">
        <f si="41" t="shared"/>
        <v>224.78404089914898</v>
      </c>
      <c r="CC32" s="77">
        <f si="42" t="shared"/>
        <v>1256.8160855930628</v>
      </c>
      <c r="CD32" s="77">
        <f si="43" t="shared"/>
        <v>43.208685798613715</v>
      </c>
      <c r="CE32" s="77">
        <f si="44" t="shared"/>
        <v>96.118270218989778</v>
      </c>
      <c r="CF32" s="77">
        <f si="45" t="shared"/>
        <v>393.32911692623975</v>
      </c>
      <c r="CG32" s="77">
        <f si="46" t="shared"/>
        <v>197.87493082457127</v>
      </c>
      <c r="CH32" s="77">
        <f si="47" t="shared"/>
        <v>629.13695417292456</v>
      </c>
      <c r="CI32" s="77">
        <f si="48" t="shared"/>
        <v>1005.9646348854972</v>
      </c>
      <c r="CJ32" s="77">
        <f si="49" t="shared"/>
        <v>34.82646849553322</v>
      </c>
      <c r="CK32" s="77">
        <f si="50" t="shared"/>
        <v>39.833978970669619</v>
      </c>
      <c r="CL32" s="77">
        <f si="51" t="shared"/>
        <v>118.39723825335329</v>
      </c>
      <c r="CM32" s="77">
        <f si="52" t="shared"/>
        <v>87.805623632961698</v>
      </c>
      <c r="CN32" s="77">
        <f si="53" t="shared"/>
        <v>63.084828840224475</v>
      </c>
      <c r="CO32" s="77">
        <f si="54" t="shared"/>
        <v>64.820407410335434</v>
      </c>
      <c r="CP32" s="77">
        <f si="55" t="shared"/>
        <v>268.88924025614665</v>
      </c>
      <c r="CQ32" s="77">
        <f si="56" t="shared"/>
        <v>23.769994993016578</v>
      </c>
      <c r="CR32" s="77">
        <f si="57" t="shared"/>
        <v>0</v>
      </c>
      <c r="CS32" s="77">
        <f si="58" t="shared"/>
        <v>0</v>
      </c>
      <c r="CU32" s="95">
        <v>31</v>
      </c>
      <c r="CV32" s="95">
        <f si="6" t="shared"/>
        <v>2</v>
      </c>
      <c r="CW32" s="95">
        <f si="0" t="shared"/>
        <v>11</v>
      </c>
      <c r="CX32" s="58">
        <f si="1" t="shared"/>
        <v>505.41833883667766</v>
      </c>
      <c r="CY32" s="58">
        <f si="2" t="shared"/>
        <v>580.00000000000011</v>
      </c>
      <c r="CZ32" s="108">
        <f si="3" t="shared"/>
        <v>74.581661163322451</v>
      </c>
      <c r="DA32" s="78">
        <f si="4" t="shared"/>
        <v>0.14756421647656712</v>
      </c>
      <c r="DB32" s="95">
        <v>31000</v>
      </c>
    </row>
    <row r="33" spans="2:106" x14ac:dyDescent="0.25">
      <c r="B33" s="95">
        <v>4</v>
      </c>
      <c r="C33" s="77">
        <f>Flow_ODData!C34</f>
        <v>1279.9784787141032</v>
      </c>
      <c r="D33" s="77">
        <f>Flow_ODData!D34</f>
        <v>764.14015737440309</v>
      </c>
      <c r="E33" s="77">
        <f>Flow_ODData!E34</f>
        <v>980.09281054542998</v>
      </c>
      <c r="F33" s="77">
        <f>Flow_ODData!F34</f>
        <v>2846.7280920034973</v>
      </c>
      <c r="G33" s="77">
        <f>Flow_ODData!G34</f>
        <v>1168.9420942901338</v>
      </c>
      <c r="H33" s="77">
        <f>Flow_ODData!H34</f>
        <v>2156.9036249915935</v>
      </c>
      <c r="I33" s="77">
        <f>Flow_ODData!I34</f>
        <v>526.32994821440582</v>
      </c>
      <c r="J33" s="77">
        <f>Flow_ODData!J34</f>
        <v>451.13995561234788</v>
      </c>
      <c r="K33" s="77">
        <f>Flow_ODData!K34</f>
        <v>317.37171295984933</v>
      </c>
      <c r="L33" s="77">
        <f>Flow_ODData!L34</f>
        <v>624.25179904499294</v>
      </c>
      <c r="M33" s="77">
        <f>Flow_ODData!M34</f>
        <v>547.31320196381739</v>
      </c>
      <c r="N33" s="77">
        <f>Flow_ODData!N34</f>
        <v>1054.4085009079292</v>
      </c>
      <c r="O33" s="77">
        <f>Flow_ODData!O34</f>
        <v>103.16766426794</v>
      </c>
      <c r="P33" s="77">
        <f>Flow_ODData!P34</f>
        <v>24.48046270764678</v>
      </c>
      <c r="Q33" s="77">
        <f>Flow_ODData!Q34</f>
        <v>54.206738852646446</v>
      </c>
      <c r="R33" s="77">
        <f>Flow_ODData!R34</f>
        <v>20.983253749411528</v>
      </c>
      <c r="S33" s="77">
        <f>Flow_ODData!S34</f>
        <v>20.108951509852712</v>
      </c>
      <c r="T33" s="77">
        <f>Flow_ODData!T34</f>
        <v>25.354764947205595</v>
      </c>
      <c r="U33" s="77">
        <f>Flow_ODData!U34</f>
        <v>30.600578384558478</v>
      </c>
      <c r="V33" s="77">
        <f>Flow_ODData!V34</f>
        <v>3.4972089582352548</v>
      </c>
      <c r="W33" s="77">
        <f>Flow_ODData!W34</f>
        <v>0</v>
      </c>
      <c r="X33" s="77">
        <f si="13" t="shared"/>
        <v>12999.999999999998</v>
      </c>
      <c r="Y33" s="95"/>
      <c r="Z33" s="95">
        <v>4</v>
      </c>
      <c r="AA33" s="77">
        <f>County_Flow!AX37*AA$28</f>
        <v>1900</v>
      </c>
      <c r="AB33" s="77">
        <f>County_Flow!AY37*AB$28</f>
        <v>660</v>
      </c>
      <c r="AC33" s="77">
        <f>County_Flow!AZ37*AC$28</f>
        <v>860</v>
      </c>
      <c r="AD33" s="77">
        <f>County_Flow!BA37*AD$28</f>
        <v>1100</v>
      </c>
      <c r="AE33" s="77">
        <f>County_Flow!BB37*AE$28</f>
        <v>940</v>
      </c>
      <c r="AF33" s="77">
        <f>County_Flow!BC37*AF$28</f>
        <v>3200</v>
      </c>
      <c r="AG33" s="77">
        <f>County_Flow!BD37*AG$28</f>
        <v>360</v>
      </c>
      <c r="AH33" s="77">
        <f>County_Flow!BE37*AH$28</f>
        <v>340</v>
      </c>
      <c r="AI33" s="77">
        <f>County_Flow!BF37*AI$28</f>
        <v>500</v>
      </c>
      <c r="AJ33" s="77">
        <f>County_Flow!BG37*AJ$28</f>
        <v>620</v>
      </c>
      <c r="AK33" s="77">
        <f>County_Flow!BH37*AK$28</f>
        <v>680</v>
      </c>
      <c r="AL33" s="77">
        <f>County_Flow!BI37*AL$28</f>
        <v>1560</v>
      </c>
      <c r="AM33" s="77">
        <f>County_Flow!BJ37*AM$28</f>
        <v>60</v>
      </c>
      <c r="AN33" s="77">
        <f>County_Flow!BK37*AN$28</f>
        <v>20</v>
      </c>
      <c r="AO33" s="77">
        <f>County_Flow!BL37*AO$28</f>
        <v>40</v>
      </c>
      <c r="AP33" s="77">
        <f>County_Flow!BM37*AP$28</f>
        <v>40</v>
      </c>
      <c r="AQ33" s="77">
        <f>County_Flow!BN37*AQ$28</f>
        <v>40</v>
      </c>
      <c r="AR33" s="77">
        <f>County_Flow!BO37*AR$28</f>
        <v>20</v>
      </c>
      <c r="AS33" s="77">
        <f>County_Flow!BP37*AS$28</f>
        <v>60</v>
      </c>
      <c r="AT33" s="77">
        <f>County_Flow!BQ37*AT$28</f>
        <v>0</v>
      </c>
      <c r="AU33" s="77">
        <f>County_Flow!BR37</f>
        <v>0</v>
      </c>
      <c r="AV33" s="15">
        <f si="14" t="shared"/>
        <v>13000</v>
      </c>
      <c r="AW33" s="139">
        <f si="15" t="shared"/>
        <v>1.3992226181121976E-16</v>
      </c>
      <c r="AY33" s="95">
        <v>4</v>
      </c>
      <c r="AZ33" s="77">
        <f si="16" t="shared"/>
        <v>1899.9999999999998</v>
      </c>
      <c r="BA33" s="77">
        <f si="17" t="shared"/>
        <v>659.99999999999989</v>
      </c>
      <c r="BB33" s="77">
        <f si="18" t="shared"/>
        <v>859.99999999999989</v>
      </c>
      <c r="BC33" s="77">
        <f si="19" t="shared"/>
        <v>1099.9999999999998</v>
      </c>
      <c r="BD33" s="77">
        <f si="20" t="shared"/>
        <v>939.99999999999989</v>
      </c>
      <c r="BE33" s="77">
        <f si="21" t="shared"/>
        <v>3199.9999999999995</v>
      </c>
      <c r="BF33" s="77">
        <f si="22" t="shared"/>
        <v>359.99999999999994</v>
      </c>
      <c r="BG33" s="77">
        <f si="23" t="shared"/>
        <v>339.99999999999994</v>
      </c>
      <c r="BH33" s="77">
        <f si="24" t="shared"/>
        <v>499.99999999999994</v>
      </c>
      <c r="BI33" s="77">
        <f si="25" t="shared"/>
        <v>619.99999999999989</v>
      </c>
      <c r="BJ33" s="77">
        <f si="26" t="shared"/>
        <v>679.99999999999989</v>
      </c>
      <c r="BK33" s="77">
        <f si="27" t="shared"/>
        <v>1559.9999999999998</v>
      </c>
      <c r="BL33" s="77">
        <f si="28" t="shared"/>
        <v>59.999999999999993</v>
      </c>
      <c r="BM33" s="77">
        <f si="29" t="shared"/>
        <v>19.999999999999996</v>
      </c>
      <c r="BN33" s="77">
        <f si="30" t="shared"/>
        <v>39.999999999999993</v>
      </c>
      <c r="BO33" s="77">
        <f si="31" t="shared"/>
        <v>39.999999999999993</v>
      </c>
      <c r="BP33" s="77">
        <f si="32" t="shared"/>
        <v>39.999999999999993</v>
      </c>
      <c r="BQ33" s="77">
        <f si="33" t="shared"/>
        <v>19.999999999999996</v>
      </c>
      <c r="BR33" s="77">
        <f si="34" t="shared"/>
        <v>59.999999999999993</v>
      </c>
      <c r="BS33" s="77">
        <f si="35" t="shared"/>
        <v>0</v>
      </c>
      <c r="BT33" s="77">
        <f si="36" t="shared"/>
        <v>0</v>
      </c>
      <c r="BU33" s="77">
        <f si="11" t="shared"/>
        <v>12999.999999999998</v>
      </c>
      <c r="BV33" s="95"/>
      <c r="BW33" s="95">
        <v>4</v>
      </c>
      <c r="BX33" s="77">
        <f si="37" t="shared"/>
        <v>620.0215212858966</v>
      </c>
      <c r="BY33" s="77">
        <f si="38" t="shared"/>
        <v>104.1401573744032</v>
      </c>
      <c r="BZ33" s="77">
        <f si="39" t="shared"/>
        <v>120.0928105454301</v>
      </c>
      <c r="CA33" s="77">
        <f si="40" t="shared"/>
        <v>1746.7280920034975</v>
      </c>
      <c r="CB33" s="77">
        <f si="41" t="shared"/>
        <v>228.94209429013392</v>
      </c>
      <c r="CC33" s="77">
        <f si="42" t="shared"/>
        <v>1043.0963750084061</v>
      </c>
      <c r="CD33" s="77">
        <f si="43" t="shared"/>
        <v>166.32994821440587</v>
      </c>
      <c r="CE33" s="77">
        <f si="44" t="shared"/>
        <v>111.13995561234793</v>
      </c>
      <c r="CF33" s="77">
        <f si="45" t="shared"/>
        <v>182.62828704015061</v>
      </c>
      <c r="CG33" s="77">
        <f si="46" t="shared"/>
        <v>4.2517990449930494</v>
      </c>
      <c r="CH33" s="77">
        <f si="47" t="shared"/>
        <v>132.68679803618249</v>
      </c>
      <c r="CI33" s="77">
        <f si="48" t="shared"/>
        <v>505.59149909207053</v>
      </c>
      <c r="CJ33" s="77">
        <f si="49" t="shared"/>
        <v>43.167664267940005</v>
      </c>
      <c r="CK33" s="77">
        <f si="50" t="shared"/>
        <v>4.4804627076467831</v>
      </c>
      <c r="CL33" s="77">
        <f si="51" t="shared"/>
        <v>14.206738852646453</v>
      </c>
      <c r="CM33" s="77">
        <f si="52" t="shared"/>
        <v>19.016746250588465</v>
      </c>
      <c r="CN33" s="77">
        <f si="53" t="shared"/>
        <v>19.891048490147281</v>
      </c>
      <c r="CO33" s="77">
        <f si="54" t="shared"/>
        <v>5.3547649472055987</v>
      </c>
      <c r="CP33" s="77">
        <f si="55" t="shared"/>
        <v>29.399421615441515</v>
      </c>
      <c r="CQ33" s="77">
        <f si="56" t="shared"/>
        <v>3.4972089582352548</v>
      </c>
      <c r="CR33" s="77">
        <f si="57" t="shared"/>
        <v>0</v>
      </c>
      <c r="CS33" s="77">
        <f si="58" t="shared"/>
        <v>0</v>
      </c>
      <c r="CU33" s="95">
        <v>32</v>
      </c>
      <c r="CV33" s="95">
        <f si="6" t="shared"/>
        <v>2</v>
      </c>
      <c r="CW33" s="95">
        <f si="0" t="shared"/>
        <v>12</v>
      </c>
      <c r="CX33" s="58">
        <f si="1" t="shared"/>
        <v>1470.0411480822961</v>
      </c>
      <c r="CY33" s="58">
        <f si="2" t="shared"/>
        <v>2020.0000000000002</v>
      </c>
      <c r="CZ33" s="108">
        <f si="3" t="shared"/>
        <v>549.95885191770412</v>
      </c>
      <c r="DA33" s="78">
        <f si="4" t="shared"/>
        <v>0.37411119589076713</v>
      </c>
      <c r="DB33" s="95">
        <v>32000</v>
      </c>
    </row>
    <row r="34" spans="2:106" x14ac:dyDescent="0.25">
      <c r="B34" s="95">
        <v>5</v>
      </c>
      <c r="C34" s="77">
        <f>Flow_ODData!C35</f>
        <v>1594.7656503932913</v>
      </c>
      <c r="D34" s="77">
        <f>Flow_ODData!D35</f>
        <v>517.87817720860687</v>
      </c>
      <c r="E34" s="77">
        <f>Flow_ODData!E35</f>
        <v>558.07449782227138</v>
      </c>
      <c r="F34" s="77">
        <f>Flow_ODData!F35</f>
        <v>731.01215627640897</v>
      </c>
      <c r="G34" s="77">
        <f>Flow_ODData!G35</f>
        <v>3160.5525580185918</v>
      </c>
      <c r="H34" s="77">
        <f>Flow_ODData!H35</f>
        <v>3764.432165377365</v>
      </c>
      <c r="I34" s="77">
        <f>Flow_ODData!I35</f>
        <v>443.09432490411496</v>
      </c>
      <c r="J34" s="77">
        <f>Flow_ODData!J35</f>
        <v>128.0673470714425</v>
      </c>
      <c r="K34" s="77">
        <f>Flow_ODData!K35</f>
        <v>336.5273353702139</v>
      </c>
      <c r="L34" s="77">
        <f>Flow_ODData!L35</f>
        <v>903.01501657674066</v>
      </c>
      <c r="M34" s="77">
        <f>Flow_ODData!M35</f>
        <v>373.91926152245986</v>
      </c>
      <c r="N34" s="77">
        <f>Flow_ODData!N35</f>
        <v>1555.5041279334332</v>
      </c>
      <c r="O34" s="77">
        <f>Flow_ODData!O35</f>
        <v>80.392641227328866</v>
      </c>
      <c r="P34" s="77">
        <f>Flow_ODData!P35</f>
        <v>12.152375999479947</v>
      </c>
      <c r="Q34" s="77">
        <f>Flow_ODData!Q35</f>
        <v>20.565559383735291</v>
      </c>
      <c r="R34" s="77">
        <f>Flow_ODData!R35</f>
        <v>114.04537476435026</v>
      </c>
      <c r="S34" s="77">
        <f>Flow_ODData!S35</f>
        <v>16.826366768510692</v>
      </c>
      <c r="T34" s="77">
        <f>Flow_ODData!T35</f>
        <v>14.956770460898394</v>
      </c>
      <c r="U34" s="77">
        <f>Flow_ODData!U35</f>
        <v>46.739907690307483</v>
      </c>
      <c r="V34" s="77">
        <f>Flow_ODData!V35</f>
        <v>7.4783852304491969</v>
      </c>
      <c r="W34" s="77">
        <f>Flow_ODData!W35</f>
        <v>0</v>
      </c>
      <c r="X34" s="77">
        <f si="13" t="shared"/>
        <v>14380</v>
      </c>
      <c r="Y34" s="95"/>
      <c r="Z34" s="95">
        <v>5</v>
      </c>
      <c r="AA34" s="77">
        <f>County_Flow!AX38*AA$28</f>
        <v>1360</v>
      </c>
      <c r="AB34" s="77">
        <f>County_Flow!AY38*AB$28</f>
        <v>900</v>
      </c>
      <c r="AC34" s="77">
        <f>County_Flow!AZ38*AC$28</f>
        <v>620</v>
      </c>
      <c r="AD34" s="77">
        <f>County_Flow!BA38*AD$28</f>
        <v>560</v>
      </c>
      <c r="AE34" s="77">
        <f>County_Flow!BB38*AE$28</f>
        <v>1680</v>
      </c>
      <c r="AF34" s="77">
        <f>County_Flow!BC38*AF$28</f>
        <v>5040</v>
      </c>
      <c r="AG34" s="77">
        <f>County_Flow!BD38*AG$28</f>
        <v>400</v>
      </c>
      <c r="AH34" s="77">
        <f>County_Flow!BE38*AH$28</f>
        <v>60</v>
      </c>
      <c r="AI34" s="77">
        <f>County_Flow!BF38*AI$28</f>
        <v>440</v>
      </c>
      <c r="AJ34" s="77">
        <f>County_Flow!BG38*AJ$28</f>
        <v>780</v>
      </c>
      <c r="AK34" s="77">
        <f>County_Flow!BH38*AK$28</f>
        <v>420</v>
      </c>
      <c r="AL34" s="77">
        <f>County_Flow!BI38*AL$28</f>
        <v>1740</v>
      </c>
      <c r="AM34" s="77">
        <f>County_Flow!BJ38*AM$28</f>
        <v>140</v>
      </c>
      <c r="AN34" s="77">
        <f>County_Flow!BK38*AN$28</f>
        <v>60</v>
      </c>
      <c r="AO34" s="77">
        <f>County_Flow!BL38*AO$28</f>
        <v>60</v>
      </c>
      <c r="AP34" s="77">
        <f>County_Flow!BM38*AP$28</f>
        <v>80</v>
      </c>
      <c r="AQ34" s="77">
        <f>County_Flow!BN38*AQ$28</f>
        <v>20</v>
      </c>
      <c r="AR34" s="77">
        <f>County_Flow!BO38*AR$28</f>
        <v>0</v>
      </c>
      <c r="AS34" s="77">
        <f>County_Flow!BP38*AS$28</f>
        <v>20</v>
      </c>
      <c r="AT34" s="77">
        <f>County_Flow!BQ38*AT$28</f>
        <v>0</v>
      </c>
      <c r="AU34" s="77">
        <f>County_Flow!BR38</f>
        <v>0</v>
      </c>
      <c r="AV34" s="15">
        <f si="14" t="shared"/>
        <v>14380</v>
      </c>
      <c r="AW34" s="139">
        <f si="15" t="shared"/>
        <v>0</v>
      </c>
      <c r="AY34" s="95">
        <v>5</v>
      </c>
      <c r="AZ34" s="77">
        <f si="16" t="shared"/>
        <v>1360</v>
      </c>
      <c r="BA34" s="77">
        <f si="17" t="shared"/>
        <v>900</v>
      </c>
      <c r="BB34" s="77">
        <f si="18" t="shared"/>
        <v>620</v>
      </c>
      <c r="BC34" s="77">
        <f si="19" t="shared"/>
        <v>560</v>
      </c>
      <c r="BD34" s="77">
        <f si="20" t="shared"/>
        <v>1680</v>
      </c>
      <c r="BE34" s="77">
        <f si="21" t="shared"/>
        <v>5040</v>
      </c>
      <c r="BF34" s="77">
        <f si="22" t="shared"/>
        <v>400</v>
      </c>
      <c r="BG34" s="77">
        <f si="23" t="shared"/>
        <v>60</v>
      </c>
      <c r="BH34" s="77">
        <f si="24" t="shared"/>
        <v>440</v>
      </c>
      <c r="BI34" s="77">
        <f si="25" t="shared"/>
        <v>780</v>
      </c>
      <c r="BJ34" s="77">
        <f si="26" t="shared"/>
        <v>420</v>
      </c>
      <c r="BK34" s="77">
        <f si="27" t="shared"/>
        <v>1740</v>
      </c>
      <c r="BL34" s="77">
        <f si="28" t="shared"/>
        <v>140</v>
      </c>
      <c r="BM34" s="77">
        <f si="29" t="shared"/>
        <v>60</v>
      </c>
      <c r="BN34" s="77">
        <f si="30" t="shared"/>
        <v>60</v>
      </c>
      <c r="BO34" s="77">
        <f si="31" t="shared"/>
        <v>80</v>
      </c>
      <c r="BP34" s="77">
        <f si="32" t="shared"/>
        <v>20</v>
      </c>
      <c r="BQ34" s="77">
        <f si="33" t="shared"/>
        <v>0</v>
      </c>
      <c r="BR34" s="77">
        <f si="34" t="shared"/>
        <v>20</v>
      </c>
      <c r="BS34" s="77">
        <f si="35" t="shared"/>
        <v>0</v>
      </c>
      <c r="BT34" s="77">
        <f si="36" t="shared"/>
        <v>0</v>
      </c>
      <c r="BU34" s="77">
        <f si="11" t="shared"/>
        <v>14380</v>
      </c>
      <c r="BV34" s="95"/>
      <c r="BW34" s="95">
        <v>5</v>
      </c>
      <c r="BX34" s="77">
        <f si="37" t="shared"/>
        <v>234.76565039329125</v>
      </c>
      <c r="BY34" s="77">
        <f si="38" t="shared"/>
        <v>382.12182279139313</v>
      </c>
      <c r="BZ34" s="77">
        <f si="39" t="shared"/>
        <v>61.925502177728617</v>
      </c>
      <c r="CA34" s="77">
        <f si="40" t="shared"/>
        <v>171.01215627640897</v>
      </c>
      <c r="CB34" s="77">
        <f si="41" t="shared"/>
        <v>1480.5525580185918</v>
      </c>
      <c r="CC34" s="77">
        <f si="42" t="shared"/>
        <v>1275.567834622635</v>
      </c>
      <c r="CD34" s="77">
        <f si="43" t="shared"/>
        <v>43.094324904114956</v>
      </c>
      <c r="CE34" s="77">
        <f si="44" t="shared"/>
        <v>68.067347071442498</v>
      </c>
      <c r="CF34" s="77">
        <f si="45" t="shared"/>
        <v>103.4726646297861</v>
      </c>
      <c r="CG34" s="77">
        <f si="46" t="shared"/>
        <v>123.01501657674066</v>
      </c>
      <c r="CH34" s="77">
        <f si="47" t="shared"/>
        <v>46.080738477540137</v>
      </c>
      <c r="CI34" s="77">
        <f si="48" t="shared"/>
        <v>184.49587206656679</v>
      </c>
      <c r="CJ34" s="77">
        <f si="49" t="shared"/>
        <v>59.607358772671134</v>
      </c>
      <c r="CK34" s="77">
        <f si="50" t="shared"/>
        <v>47.847624000520057</v>
      </c>
      <c r="CL34" s="77">
        <f si="51" t="shared"/>
        <v>39.434440616264709</v>
      </c>
      <c r="CM34" s="77">
        <f si="52" t="shared"/>
        <v>34.045374764350257</v>
      </c>
      <c r="CN34" s="77">
        <f si="53" t="shared"/>
        <v>3.1736332314893083</v>
      </c>
      <c r="CO34" s="77">
        <f si="54" t="shared"/>
        <v>14.956770460898394</v>
      </c>
      <c r="CP34" s="77">
        <f si="55" t="shared"/>
        <v>26.739907690307483</v>
      </c>
      <c r="CQ34" s="77">
        <f si="56" t="shared"/>
        <v>7.4783852304491969</v>
      </c>
      <c r="CR34" s="77">
        <f si="57" t="shared"/>
        <v>0</v>
      </c>
      <c r="CS34" s="77">
        <f si="58" t="shared"/>
        <v>0</v>
      </c>
      <c r="CU34" s="95">
        <v>33</v>
      </c>
      <c r="CV34" s="95">
        <f si="6" t="shared"/>
        <v>2</v>
      </c>
      <c r="CW34" s="95">
        <f si="0" t="shared"/>
        <v>13</v>
      </c>
      <c r="CX34" s="58">
        <f si="1" t="shared"/>
        <v>201.72720345440692</v>
      </c>
      <c r="CY34" s="58">
        <f si="2" t="shared"/>
        <v>280.00000000000006</v>
      </c>
      <c r="CZ34" s="108">
        <f si="3" t="shared"/>
        <v>78.272796545593138</v>
      </c>
      <c r="DA34" s="78">
        <f si="4" t="shared"/>
        <v>0.38801309493830288</v>
      </c>
      <c r="DB34" s="95">
        <v>33000</v>
      </c>
    </row>
    <row r="35" spans="2:106" x14ac:dyDescent="0.25">
      <c r="B35" s="95">
        <v>6</v>
      </c>
      <c r="C35" s="77">
        <f>Flow_ODData!C36</f>
        <v>3121.3529716527278</v>
      </c>
      <c r="D35" s="77">
        <f>Flow_ODData!D36</f>
        <v>1511.2737769225075</v>
      </c>
      <c r="E35" s="77">
        <f>Flow_ODData!E36</f>
        <v>786.70071299928452</v>
      </c>
      <c r="F35" s="77">
        <f>Flow_ODData!F36</f>
        <v>814.39617102114323</v>
      </c>
      <c r="G35" s="77">
        <f>Flow_ODData!G36</f>
        <v>1326.3878814792886</v>
      </c>
      <c r="H35" s="77">
        <f>Flow_ODData!H36</f>
        <v>14906.893148792342</v>
      </c>
      <c r="I35" s="77">
        <f>Flow_ODData!I36</f>
        <v>869.78708706486077</v>
      </c>
      <c r="J35" s="77">
        <f>Flow_ODData!J36</f>
        <v>72.607011570818841</v>
      </c>
      <c r="K35" s="77">
        <f>Flow_ODData!K36</f>
        <v>733.55537463301505</v>
      </c>
      <c r="L35" s="77">
        <f>Flow_ODData!L36</f>
        <v>770.9816692571485</v>
      </c>
      <c r="M35" s="77">
        <f>Flow_ODData!M36</f>
        <v>475.31394172649448</v>
      </c>
      <c r="N35" s="77">
        <f>Flow_ODData!N36</f>
        <v>4232.9139219894905</v>
      </c>
      <c r="O35" s="77">
        <f>Flow_ODData!O36</f>
        <v>220.06661238990452</v>
      </c>
      <c r="P35" s="77">
        <f>Flow_ODData!P36</f>
        <v>41.168924086546767</v>
      </c>
      <c r="Q35" s="77">
        <f>Flow_ODData!Q36</f>
        <v>112.27888387240027</v>
      </c>
      <c r="R35" s="77">
        <f>Flow_ODData!R36</f>
        <v>81.589322280610858</v>
      </c>
      <c r="S35" s="77">
        <f>Flow_ODData!S36</f>
        <v>58.38501961364814</v>
      </c>
      <c r="T35" s="77">
        <f>Flow_ODData!T36</f>
        <v>71.858485678336166</v>
      </c>
      <c r="U35" s="77">
        <f>Flow_ODData!U36</f>
        <v>107.78772851750425</v>
      </c>
      <c r="V35" s="77">
        <f>Flow_ODData!V36</f>
        <v>24.701354451928058</v>
      </c>
      <c r="W35" s="77">
        <f>Flow_ODData!W36</f>
        <v>0</v>
      </c>
      <c r="X35" s="77">
        <f si="13" t="shared"/>
        <v>30339.999999999996</v>
      </c>
      <c r="Y35" s="95"/>
      <c r="Z35" s="95">
        <v>6</v>
      </c>
      <c r="AA35" s="77">
        <f>County_Flow!AX39*AA$28</f>
        <v>3380</v>
      </c>
      <c r="AB35" s="77">
        <f>County_Flow!AY39*AB$28</f>
        <v>1760</v>
      </c>
      <c r="AC35" s="77">
        <f>County_Flow!AZ39*AC$28</f>
        <v>760</v>
      </c>
      <c r="AD35" s="77">
        <f>County_Flow!BA39*AD$28</f>
        <v>660</v>
      </c>
      <c r="AE35" s="77">
        <f>County_Flow!BB39*AE$28</f>
        <v>1820</v>
      </c>
      <c r="AF35" s="77">
        <f>County_Flow!BC39*AF$28</f>
        <v>12200</v>
      </c>
      <c r="AG35" s="77">
        <f>County_Flow!BD39*AG$28</f>
        <v>1160</v>
      </c>
      <c r="AH35" s="77">
        <f>County_Flow!BE39*AH$28</f>
        <v>140</v>
      </c>
      <c r="AI35" s="77">
        <f>County_Flow!BF39*AI$28</f>
        <v>1000</v>
      </c>
      <c r="AJ35" s="77">
        <f>County_Flow!BG39*AJ$28</f>
        <v>1180</v>
      </c>
      <c r="AK35" s="77">
        <f>County_Flow!BH39*AK$28</f>
        <v>700</v>
      </c>
      <c r="AL35" s="77">
        <f>County_Flow!BI39*AL$28</f>
        <v>4640</v>
      </c>
      <c r="AM35" s="77">
        <f>County_Flow!BJ39*AM$28</f>
        <v>160</v>
      </c>
      <c r="AN35" s="77">
        <f>County_Flow!BK39*AN$28</f>
        <v>40</v>
      </c>
      <c r="AO35" s="77">
        <f>County_Flow!BL39*AO$28</f>
        <v>140</v>
      </c>
      <c r="AP35" s="77">
        <f>County_Flow!BM39*AP$28</f>
        <v>200</v>
      </c>
      <c r="AQ35" s="77">
        <f>County_Flow!BN39*AQ$28</f>
        <v>140</v>
      </c>
      <c r="AR35" s="77">
        <f>County_Flow!BO39*AR$28</f>
        <v>100</v>
      </c>
      <c r="AS35" s="77">
        <f>County_Flow!BP39*AS$28</f>
        <v>140</v>
      </c>
      <c r="AT35" s="77">
        <f>County_Flow!BQ39*AT$28</f>
        <v>20</v>
      </c>
      <c r="AU35" s="77">
        <f>County_Flow!BR39</f>
        <v>0</v>
      </c>
      <c r="AV35" s="15">
        <f si="14" t="shared"/>
        <v>30340</v>
      </c>
      <c r="AW35" s="139">
        <f si="15" t="shared"/>
        <v>1.1990701407685279E-16</v>
      </c>
      <c r="AY35" s="95">
        <v>6</v>
      </c>
      <c r="AZ35" s="77">
        <f si="16" t="shared"/>
        <v>3379.9999999999995</v>
      </c>
      <c r="BA35" s="77">
        <f si="17" t="shared"/>
        <v>1759.9999999999998</v>
      </c>
      <c r="BB35" s="77">
        <f si="18" t="shared"/>
        <v>759.99999999999989</v>
      </c>
      <c r="BC35" s="77">
        <f si="19" t="shared"/>
        <v>659.99999999999989</v>
      </c>
      <c r="BD35" s="77">
        <f si="20" t="shared"/>
        <v>1819.9999999999998</v>
      </c>
      <c r="BE35" s="77">
        <f si="21" t="shared"/>
        <v>12199.999999999998</v>
      </c>
      <c r="BF35" s="77">
        <f si="22" t="shared"/>
        <v>1159.9999999999998</v>
      </c>
      <c r="BG35" s="77">
        <f si="23" t="shared"/>
        <v>139.99999999999997</v>
      </c>
      <c r="BH35" s="77">
        <f si="24" t="shared"/>
        <v>999.99999999999989</v>
      </c>
      <c r="BI35" s="77">
        <f si="25" t="shared"/>
        <v>1179.9999999999998</v>
      </c>
      <c r="BJ35" s="77">
        <f si="26" t="shared"/>
        <v>699.99999999999989</v>
      </c>
      <c r="BK35" s="77">
        <f si="27" t="shared"/>
        <v>4639.9999999999991</v>
      </c>
      <c r="BL35" s="77">
        <f si="28" t="shared"/>
        <v>159.99999999999997</v>
      </c>
      <c r="BM35" s="77">
        <f si="29" t="shared"/>
        <v>39.999999999999993</v>
      </c>
      <c r="BN35" s="77">
        <f si="30" t="shared"/>
        <v>139.99999999999997</v>
      </c>
      <c r="BO35" s="77">
        <f si="31" t="shared"/>
        <v>199.99999999999997</v>
      </c>
      <c r="BP35" s="77">
        <f si="32" t="shared"/>
        <v>139.99999999999997</v>
      </c>
      <c r="BQ35" s="77">
        <f si="33" t="shared"/>
        <v>99.999999999999986</v>
      </c>
      <c r="BR35" s="77">
        <f si="34" t="shared"/>
        <v>139.99999999999997</v>
      </c>
      <c r="BS35" s="77">
        <f si="35" t="shared"/>
        <v>19.999999999999996</v>
      </c>
      <c r="BT35" s="77">
        <f si="36" t="shared"/>
        <v>0</v>
      </c>
      <c r="BU35" s="77">
        <f si="11" t="shared"/>
        <v>30339.999999999996</v>
      </c>
      <c r="BV35" s="95"/>
      <c r="BW35" s="95">
        <v>6</v>
      </c>
      <c r="BX35" s="77">
        <f si="37" t="shared"/>
        <v>258.64702834727177</v>
      </c>
      <c r="BY35" s="77">
        <f si="38" t="shared"/>
        <v>248.72622307749225</v>
      </c>
      <c r="BZ35" s="77">
        <f si="39" t="shared"/>
        <v>26.700712999284633</v>
      </c>
      <c r="CA35" s="77">
        <f si="40" t="shared"/>
        <v>154.39617102114335</v>
      </c>
      <c r="CB35" s="77">
        <f si="41" t="shared"/>
        <v>493.61211852071119</v>
      </c>
      <c r="CC35" s="77">
        <f si="42" t="shared"/>
        <v>2706.8931487923437</v>
      </c>
      <c r="CD35" s="77">
        <f si="43" t="shared"/>
        <v>290.212912935139</v>
      </c>
      <c r="CE35" s="77">
        <f si="44" t="shared"/>
        <v>67.392988429181131</v>
      </c>
      <c r="CF35" s="77">
        <f si="45" t="shared"/>
        <v>266.44462536698484</v>
      </c>
      <c r="CG35" s="77">
        <f si="46" t="shared"/>
        <v>409.01833074285128</v>
      </c>
      <c r="CH35" s="77">
        <f si="47" t="shared"/>
        <v>224.68605827350541</v>
      </c>
      <c r="CI35" s="77">
        <f si="48" t="shared"/>
        <v>407.08607801050857</v>
      </c>
      <c r="CJ35" s="77">
        <f si="49" t="shared"/>
        <v>60.066612389904549</v>
      </c>
      <c r="CK35" s="77">
        <f si="50" t="shared"/>
        <v>1.1689240865467738</v>
      </c>
      <c r="CL35" s="77">
        <f si="51" t="shared"/>
        <v>27.7211161275997</v>
      </c>
      <c r="CM35" s="77">
        <f si="52" t="shared"/>
        <v>118.41067771938911</v>
      </c>
      <c r="CN35" s="77">
        <f si="53" t="shared"/>
        <v>81.614980386351831</v>
      </c>
      <c r="CO35" s="77">
        <f si="54" t="shared"/>
        <v>28.14151432166382</v>
      </c>
      <c r="CP35" s="77">
        <f si="55" t="shared"/>
        <v>32.212271482495723</v>
      </c>
      <c r="CQ35" s="77">
        <f si="56" t="shared"/>
        <v>4.7013544519280615</v>
      </c>
      <c r="CR35" s="77">
        <f si="57" t="shared"/>
        <v>0</v>
      </c>
      <c r="CS35" s="77">
        <f si="58" t="shared"/>
        <v>0</v>
      </c>
      <c r="CU35" s="95">
        <v>34</v>
      </c>
      <c r="CV35" s="95">
        <f si="6" t="shared"/>
        <v>2</v>
      </c>
      <c r="CW35" s="95">
        <f si="0" t="shared"/>
        <v>14</v>
      </c>
      <c r="CX35" s="58">
        <f si="1" t="shared"/>
        <v>30.075692151384299</v>
      </c>
      <c r="CY35" s="58">
        <f si="2" t="shared"/>
        <v>40.000000000000007</v>
      </c>
      <c r="CZ35" s="108">
        <f si="3" t="shared"/>
        <v>9.9243078486157081</v>
      </c>
      <c r="DA35" s="78">
        <f si="4" t="shared"/>
        <v>0.32997770420917544</v>
      </c>
      <c r="DB35" s="95">
        <v>34000</v>
      </c>
    </row>
    <row r="36" spans="2:106" x14ac:dyDescent="0.25">
      <c r="B36" s="95">
        <v>7</v>
      </c>
      <c r="C36" s="77">
        <f>Flow_ODData!C37</f>
        <v>4259.497615134067</v>
      </c>
      <c r="D36" s="77">
        <f>Flow_ODData!D37</f>
        <v>5823.5025764619286</v>
      </c>
      <c r="E36" s="77">
        <f>Flow_ODData!E37</f>
        <v>2257.3460929543094</v>
      </c>
      <c r="F36" s="77">
        <f>Flow_ODData!F37</f>
        <v>1375.423679248137</v>
      </c>
      <c r="G36" s="77">
        <f>Flow_ODData!G37</f>
        <v>2304.2568596408078</v>
      </c>
      <c r="H36" s="77">
        <f>Flow_ODData!H37</f>
        <v>7978.5831980396706</v>
      </c>
      <c r="I36" s="77">
        <f>Flow_ODData!I37</f>
        <v>36322.068430022082</v>
      </c>
      <c r="J36" s="77">
        <f>Flow_ODData!J37</f>
        <v>257.07100144201195</v>
      </c>
      <c r="K36" s="77">
        <f>Flow_ODData!K37</f>
        <v>4662.9302086379539</v>
      </c>
      <c r="L36" s="77">
        <f>Flow_ODData!L37</f>
        <v>1466.4305666199441</v>
      </c>
      <c r="M36" s="77">
        <f>Flow_ODData!M37</f>
        <v>1944.9203868222291</v>
      </c>
      <c r="N36" s="77">
        <f>Flow_ODData!N37</f>
        <v>11746.455978299233</v>
      </c>
      <c r="O36" s="77">
        <f>Flow_ODData!O37</f>
        <v>10159.933848961853</v>
      </c>
      <c r="P36" s="77">
        <f>Flow_ODData!P37</f>
        <v>69.427934696017829</v>
      </c>
      <c r="Q36" s="77">
        <f>Flow_ODData!Q37</f>
        <v>1031.0986517692377</v>
      </c>
      <c r="R36" s="77">
        <f>Flow_ODData!R37</f>
        <v>91.94510270553711</v>
      </c>
      <c r="S36" s="77">
        <f>Flow_ODData!S37</f>
        <v>106.01833271148668</v>
      </c>
      <c r="T36" s="77">
        <f>Flow_ODData!T37</f>
        <v>739.31368297921688</v>
      </c>
      <c r="U36" s="77">
        <f>Flow_ODData!U37</f>
        <v>198.90165075075379</v>
      </c>
      <c r="V36" s="77">
        <f>Flow_ODData!V37</f>
        <v>244.87420210352232</v>
      </c>
      <c r="W36" s="77">
        <f>Flow_ODData!W37</f>
        <v>0</v>
      </c>
      <c r="X36" s="77">
        <f si="13" t="shared"/>
        <v>93040</v>
      </c>
      <c r="Y36" s="95"/>
      <c r="Z36" s="95">
        <v>7</v>
      </c>
      <c r="AA36" s="77">
        <f>County_Flow!AX40*AA$28</f>
        <v>4060</v>
      </c>
      <c r="AB36" s="77">
        <f>County_Flow!AY40*AB$28</f>
        <v>5500</v>
      </c>
      <c r="AC36" s="77">
        <f>County_Flow!AZ40*AC$28</f>
        <v>1640</v>
      </c>
      <c r="AD36" s="77">
        <f>County_Flow!BA40*AD$28</f>
        <v>1380</v>
      </c>
      <c r="AE36" s="77">
        <f>County_Flow!BB40*AE$28</f>
        <v>1560</v>
      </c>
      <c r="AF36" s="77">
        <f>County_Flow!BC40*AF$28</f>
        <v>8120</v>
      </c>
      <c r="AG36" s="77">
        <f>County_Flow!BD40*AG$28</f>
        <v>27580</v>
      </c>
      <c r="AH36" s="77">
        <f>County_Flow!BE40*AH$28</f>
        <v>120</v>
      </c>
      <c r="AI36" s="77">
        <f>County_Flow!BF40*AI$28</f>
        <v>6020</v>
      </c>
      <c r="AJ36" s="77">
        <f>County_Flow!BG40*AJ$28</f>
        <v>1060</v>
      </c>
      <c r="AK36" s="77">
        <f>County_Flow!BH40*AK$28</f>
        <v>1260</v>
      </c>
      <c r="AL36" s="77">
        <f>County_Flow!BI40*AL$28</f>
        <v>18520</v>
      </c>
      <c r="AM36" s="77">
        <f>County_Flow!BJ40*AM$28</f>
        <v>13340</v>
      </c>
      <c r="AN36" s="77">
        <f>County_Flow!BK40*AN$28</f>
        <v>100</v>
      </c>
      <c r="AO36" s="77">
        <f>County_Flow!BL40*AO$28</f>
        <v>1580</v>
      </c>
      <c r="AP36" s="77">
        <f>County_Flow!BM40*AP$28</f>
        <v>160</v>
      </c>
      <c r="AQ36" s="77">
        <f>County_Flow!BN40*AQ$28</f>
        <v>120</v>
      </c>
      <c r="AR36" s="77">
        <f>County_Flow!BO40*AR$28</f>
        <v>700</v>
      </c>
      <c r="AS36" s="77">
        <f>County_Flow!BP40*AS$28</f>
        <v>200</v>
      </c>
      <c r="AT36" s="77">
        <f>County_Flow!BQ40*AT$28</f>
        <v>20</v>
      </c>
      <c r="AU36" s="77">
        <f>County_Flow!BR40</f>
        <v>0</v>
      </c>
      <c r="AV36" s="15">
        <f si="14" t="shared"/>
        <v>93040</v>
      </c>
      <c r="AW36" s="139">
        <f si="15" t="shared"/>
        <v>0</v>
      </c>
      <c r="AY36" s="95">
        <v>7</v>
      </c>
      <c r="AZ36" s="77">
        <f si="16" t="shared"/>
        <v>4060</v>
      </c>
      <c r="BA36" s="77">
        <f si="17" t="shared"/>
        <v>5500</v>
      </c>
      <c r="BB36" s="77">
        <f si="18" t="shared"/>
        <v>1640</v>
      </c>
      <c r="BC36" s="77">
        <f si="19" t="shared"/>
        <v>1380</v>
      </c>
      <c r="BD36" s="77">
        <f si="20" t="shared"/>
        <v>1560</v>
      </c>
      <c r="BE36" s="77">
        <f si="21" t="shared"/>
        <v>8120</v>
      </c>
      <c r="BF36" s="77">
        <f si="22" t="shared"/>
        <v>27580</v>
      </c>
      <c r="BG36" s="77">
        <f si="23" t="shared"/>
        <v>120</v>
      </c>
      <c r="BH36" s="77">
        <f si="24" t="shared"/>
        <v>6020</v>
      </c>
      <c r="BI36" s="77">
        <f si="25" t="shared"/>
        <v>1060</v>
      </c>
      <c r="BJ36" s="77">
        <f si="26" t="shared"/>
        <v>1260</v>
      </c>
      <c r="BK36" s="77">
        <f si="27" t="shared"/>
        <v>18520</v>
      </c>
      <c r="BL36" s="77">
        <f si="28" t="shared"/>
        <v>13340</v>
      </c>
      <c r="BM36" s="77">
        <f si="29" t="shared"/>
        <v>100</v>
      </c>
      <c r="BN36" s="77">
        <f si="30" t="shared"/>
        <v>1580</v>
      </c>
      <c r="BO36" s="77">
        <f si="31" t="shared"/>
        <v>160</v>
      </c>
      <c r="BP36" s="77">
        <f si="32" t="shared"/>
        <v>120</v>
      </c>
      <c r="BQ36" s="77">
        <f si="33" t="shared"/>
        <v>700</v>
      </c>
      <c r="BR36" s="77">
        <f si="34" t="shared"/>
        <v>200</v>
      </c>
      <c r="BS36" s="77">
        <f si="35" t="shared"/>
        <v>20</v>
      </c>
      <c r="BT36" s="77">
        <f si="36" t="shared"/>
        <v>0</v>
      </c>
      <c r="BU36" s="77">
        <f si="11" t="shared"/>
        <v>93040</v>
      </c>
      <c r="BV36" s="95"/>
      <c r="BW36" s="95">
        <v>7</v>
      </c>
      <c r="BX36" s="77">
        <f si="37" t="shared"/>
        <v>199.49761513406702</v>
      </c>
      <c r="BY36" s="77">
        <f si="38" t="shared"/>
        <v>323.50257646192858</v>
      </c>
      <c r="BZ36" s="77">
        <f si="39" t="shared"/>
        <v>617.34609295430937</v>
      </c>
      <c r="CA36" s="77">
        <f si="40" t="shared"/>
        <v>4.5763207518630225</v>
      </c>
      <c r="CB36" s="77">
        <f si="41" t="shared"/>
        <v>744.25685964080776</v>
      </c>
      <c r="CC36" s="77">
        <f si="42" t="shared"/>
        <v>141.41680196032939</v>
      </c>
      <c r="CD36" s="77">
        <f si="43" t="shared"/>
        <v>8742.0684300220819</v>
      </c>
      <c r="CE36" s="77">
        <f si="44" t="shared"/>
        <v>137.07100144201195</v>
      </c>
      <c r="CF36" s="77">
        <f si="45" t="shared"/>
        <v>1357.0697913620461</v>
      </c>
      <c r="CG36" s="77">
        <f si="46" t="shared"/>
        <v>406.4305666199441</v>
      </c>
      <c r="CH36" s="77">
        <f si="47" t="shared"/>
        <v>684.92038682222915</v>
      </c>
      <c r="CI36" s="77">
        <f si="48" t="shared"/>
        <v>6773.5440217007672</v>
      </c>
      <c r="CJ36" s="77">
        <f si="49" t="shared"/>
        <v>3180.0661510381469</v>
      </c>
      <c r="CK36" s="77">
        <f si="50" t="shared"/>
        <v>30.572065303982171</v>
      </c>
      <c r="CL36" s="77">
        <f si="51" t="shared"/>
        <v>548.90134823076232</v>
      </c>
      <c r="CM36" s="77">
        <f si="52" t="shared"/>
        <v>68.05489729446289</v>
      </c>
      <c r="CN36" s="77">
        <f si="53" t="shared"/>
        <v>13.981667288513322</v>
      </c>
      <c r="CO36" s="77">
        <f si="54" t="shared"/>
        <v>39.313682979216878</v>
      </c>
      <c r="CP36" s="77">
        <f si="55" t="shared"/>
        <v>1.0983492492462119</v>
      </c>
      <c r="CQ36" s="77">
        <f si="56" t="shared"/>
        <v>224.87420210352232</v>
      </c>
      <c r="CR36" s="77">
        <f si="57" t="shared"/>
        <v>0</v>
      </c>
      <c r="CS36" s="77">
        <f si="58" t="shared"/>
        <v>0</v>
      </c>
      <c r="CU36" s="95">
        <v>35</v>
      </c>
      <c r="CV36" s="95">
        <f si="6" t="shared"/>
        <v>2</v>
      </c>
      <c r="CW36" s="95">
        <f si="0" t="shared"/>
        <v>15</v>
      </c>
      <c r="CX36" s="58">
        <f si="1" t="shared"/>
        <v>125.43764287528576</v>
      </c>
      <c r="CY36" s="58">
        <f si="2" t="shared"/>
        <v>260.00000000000006</v>
      </c>
      <c r="CZ36" s="108">
        <f si="3" t="shared"/>
        <v>134.56235712471431</v>
      </c>
      <c r="DA36" s="78">
        <f si="4" t="shared"/>
        <v>1.0727430302441241</v>
      </c>
      <c r="DB36" s="95">
        <v>35000</v>
      </c>
    </row>
    <row r="37" spans="2:106" x14ac:dyDescent="0.25">
      <c r="B37" s="95">
        <v>8</v>
      </c>
      <c r="C37" s="77">
        <f>Flow_ODData!C38</f>
        <v>454.72178060413353</v>
      </c>
      <c r="D37" s="77">
        <f>Flow_ODData!D38</f>
        <v>350.55643879173289</v>
      </c>
      <c r="E37" s="77">
        <f>Flow_ODData!E38</f>
        <v>523.83147853736091</v>
      </c>
      <c r="F37" s="77">
        <f>Flow_ODData!F38</f>
        <v>256.40699523052467</v>
      </c>
      <c r="G37" s="77">
        <f>Flow_ODData!G38</f>
        <v>284.45151033386327</v>
      </c>
      <c r="H37" s="77">
        <f>Flow_ODData!H38</f>
        <v>827.31319554848972</v>
      </c>
      <c r="I37" s="77">
        <f>Flow_ODData!I38</f>
        <v>170.27027027027029</v>
      </c>
      <c r="J37" s="77">
        <f>Flow_ODData!J38</f>
        <v>508.80763116057238</v>
      </c>
      <c r="K37" s="77">
        <f>Flow_ODData!K38</f>
        <v>171.27186009538951</v>
      </c>
      <c r="L37" s="77">
        <f>Flow_ODData!L38</f>
        <v>224.35612082670906</v>
      </c>
      <c r="M37" s="77">
        <f>Flow_ODData!M38</f>
        <v>646.02543720190783</v>
      </c>
      <c r="N37" s="77">
        <f>Flow_ODData!N38</f>
        <v>285.45310015898252</v>
      </c>
      <c r="O37" s="77">
        <f>Flow_ODData!O38</f>
        <v>29.046104928457869</v>
      </c>
      <c r="P37" s="77">
        <f>Flow_ODData!P38</f>
        <v>132.20985691573927</v>
      </c>
      <c r="Q37" s="77">
        <f>Flow_ODData!Q38</f>
        <v>14.022257551669316</v>
      </c>
      <c r="R37" s="77">
        <f>Flow_ODData!R38</f>
        <v>23.036565977742448</v>
      </c>
      <c r="S37" s="77">
        <f>Flow_ODData!S38</f>
        <v>78.124006359300481</v>
      </c>
      <c r="T37" s="77">
        <f>Flow_ODData!T38</f>
        <v>8.012718600953896</v>
      </c>
      <c r="U37" s="77">
        <f>Flow_ODData!U38</f>
        <v>31.049284578696344</v>
      </c>
      <c r="V37" s="77">
        <f>Flow_ODData!V38</f>
        <v>21.033386327503976</v>
      </c>
      <c r="W37" s="77">
        <f>Flow_ODData!W38</f>
        <v>0</v>
      </c>
      <c r="X37" s="77">
        <f si="13" t="shared"/>
        <v>5040</v>
      </c>
      <c r="Y37" s="95"/>
      <c r="Z37" s="95">
        <v>8</v>
      </c>
      <c r="AA37" s="77">
        <f>County_Flow!AX41*AA$28</f>
        <v>440</v>
      </c>
      <c r="AB37" s="77">
        <f>County_Flow!AY41*AB$28</f>
        <v>300</v>
      </c>
      <c r="AC37" s="77">
        <f>County_Flow!AZ41*AC$28</f>
        <v>520</v>
      </c>
      <c r="AD37" s="77">
        <f>County_Flow!BA41*AD$28</f>
        <v>220</v>
      </c>
      <c r="AE37" s="77">
        <f>County_Flow!BB41*AE$28</f>
        <v>400</v>
      </c>
      <c r="AF37" s="77">
        <f>County_Flow!BC41*AF$28</f>
        <v>740</v>
      </c>
      <c r="AG37" s="77">
        <f>County_Flow!BD41*AG$28</f>
        <v>140</v>
      </c>
      <c r="AH37" s="77">
        <f>County_Flow!BE41*AH$28</f>
        <v>260</v>
      </c>
      <c r="AI37" s="77">
        <f>County_Flow!BF41*AI$28</f>
        <v>280</v>
      </c>
      <c r="AJ37" s="77">
        <f>County_Flow!BG41*AJ$28</f>
        <v>260</v>
      </c>
      <c r="AK37" s="77">
        <f>County_Flow!BH41*AK$28</f>
        <v>640</v>
      </c>
      <c r="AL37" s="77">
        <f>County_Flow!BI41*AL$28</f>
        <v>520</v>
      </c>
      <c r="AM37" s="77">
        <f>County_Flow!BJ41*AM$28</f>
        <v>0</v>
      </c>
      <c r="AN37" s="77">
        <f>County_Flow!BK41*AN$28</f>
        <v>120</v>
      </c>
      <c r="AO37" s="77">
        <f>County_Flow!BL41*AO$28</f>
        <v>40</v>
      </c>
      <c r="AP37" s="77">
        <f>County_Flow!BM41*AP$28</f>
        <v>40</v>
      </c>
      <c r="AQ37" s="77">
        <f>County_Flow!BN41*AQ$28</f>
        <v>80</v>
      </c>
      <c r="AR37" s="77">
        <f>County_Flow!BO41*AR$28</f>
        <v>0</v>
      </c>
      <c r="AS37" s="77">
        <f>County_Flow!BP41*AS$28</f>
        <v>40</v>
      </c>
      <c r="AT37" s="77">
        <f>County_Flow!BQ41*AT$28</f>
        <v>0</v>
      </c>
      <c r="AU37" s="77">
        <f>County_Flow!BR41</f>
        <v>0</v>
      </c>
      <c r="AV37" s="15">
        <f si="14" t="shared"/>
        <v>5040</v>
      </c>
      <c r="AW37" s="139">
        <f si="15" t="shared"/>
        <v>0</v>
      </c>
      <c r="AY37" s="95">
        <v>8</v>
      </c>
      <c r="AZ37" s="77">
        <f si="16" t="shared"/>
        <v>440</v>
      </c>
      <c r="BA37" s="77">
        <f si="17" t="shared"/>
        <v>300</v>
      </c>
      <c r="BB37" s="77">
        <f si="18" t="shared"/>
        <v>520</v>
      </c>
      <c r="BC37" s="77">
        <f si="19" t="shared"/>
        <v>220</v>
      </c>
      <c r="BD37" s="77">
        <f si="20" t="shared"/>
        <v>400</v>
      </c>
      <c r="BE37" s="77">
        <f si="21" t="shared"/>
        <v>740</v>
      </c>
      <c r="BF37" s="77">
        <f si="22" t="shared"/>
        <v>140</v>
      </c>
      <c r="BG37" s="77">
        <f si="23" t="shared"/>
        <v>260</v>
      </c>
      <c r="BH37" s="77">
        <f si="24" t="shared"/>
        <v>280</v>
      </c>
      <c r="BI37" s="77">
        <f si="25" t="shared"/>
        <v>260</v>
      </c>
      <c r="BJ37" s="77">
        <f si="26" t="shared"/>
        <v>640</v>
      </c>
      <c r="BK37" s="77">
        <f si="27" t="shared"/>
        <v>520</v>
      </c>
      <c r="BL37" s="77">
        <f si="28" t="shared"/>
        <v>0</v>
      </c>
      <c r="BM37" s="77">
        <f si="29" t="shared"/>
        <v>120</v>
      </c>
      <c r="BN37" s="77">
        <f si="30" t="shared"/>
        <v>40</v>
      </c>
      <c r="BO37" s="77">
        <f si="31" t="shared"/>
        <v>40</v>
      </c>
      <c r="BP37" s="77">
        <f si="32" t="shared"/>
        <v>80</v>
      </c>
      <c r="BQ37" s="77">
        <f si="33" t="shared"/>
        <v>0</v>
      </c>
      <c r="BR37" s="77">
        <f si="34" t="shared"/>
        <v>40</v>
      </c>
      <c r="BS37" s="77">
        <f si="35" t="shared"/>
        <v>0</v>
      </c>
      <c r="BT37" s="77">
        <f si="36" t="shared"/>
        <v>0</v>
      </c>
      <c r="BU37" s="77">
        <f si="11" t="shared"/>
        <v>5040</v>
      </c>
      <c r="BV37" s="95"/>
      <c r="BW37" s="95">
        <v>8</v>
      </c>
      <c r="BX37" s="77">
        <f si="37" t="shared"/>
        <v>14.721780604133528</v>
      </c>
      <c r="BY37" s="77">
        <f si="38" t="shared"/>
        <v>50.556438791732887</v>
      </c>
      <c r="BZ37" s="77">
        <f si="39" t="shared"/>
        <v>3.8314785373609084</v>
      </c>
      <c r="CA37" s="77">
        <f si="40" t="shared"/>
        <v>36.406995230524672</v>
      </c>
      <c r="CB37" s="77">
        <f si="41" t="shared"/>
        <v>115.54848966613673</v>
      </c>
      <c r="CC37" s="77">
        <f si="42" t="shared"/>
        <v>87.313195548489716</v>
      </c>
      <c r="CD37" s="77">
        <f si="43" t="shared"/>
        <v>30.270270270270288</v>
      </c>
      <c r="CE37" s="77">
        <f si="44" t="shared"/>
        <v>248.80763116057238</v>
      </c>
      <c r="CF37" s="77">
        <f si="45" t="shared"/>
        <v>108.72813990461049</v>
      </c>
      <c r="CG37" s="77">
        <f si="46" t="shared"/>
        <v>35.643879173290941</v>
      </c>
      <c r="CH37" s="77">
        <f si="47" t="shared"/>
        <v>6.0254372019078346</v>
      </c>
      <c r="CI37" s="77">
        <f si="48" t="shared"/>
        <v>234.54689984101748</v>
      </c>
      <c r="CJ37" s="77">
        <f si="49" t="shared"/>
        <v>29.046104928457869</v>
      </c>
      <c r="CK37" s="77">
        <f si="50" t="shared"/>
        <v>12.209856915739266</v>
      </c>
      <c r="CL37" s="77">
        <f si="51" t="shared"/>
        <v>25.977742448330684</v>
      </c>
      <c r="CM37" s="77">
        <f si="52" t="shared"/>
        <v>16.963434022257552</v>
      </c>
      <c r="CN37" s="77">
        <f si="53" t="shared"/>
        <v>1.8759936406995195</v>
      </c>
      <c r="CO37" s="77">
        <f si="54" t="shared"/>
        <v>8.012718600953896</v>
      </c>
      <c r="CP37" s="77">
        <f si="55" t="shared"/>
        <v>8.9507154213036557</v>
      </c>
      <c r="CQ37" s="77">
        <f si="56" t="shared"/>
        <v>21.033386327503976</v>
      </c>
      <c r="CR37" s="77">
        <f si="57" t="shared"/>
        <v>0</v>
      </c>
      <c r="CS37" s="77">
        <f si="58" t="shared"/>
        <v>0</v>
      </c>
      <c r="CU37" s="95">
        <v>36</v>
      </c>
      <c r="CV37" s="95">
        <f si="6" t="shared"/>
        <v>2</v>
      </c>
      <c r="CW37" s="95">
        <f si="0" t="shared"/>
        <v>16</v>
      </c>
      <c r="CX37" s="58">
        <f si="1" t="shared"/>
        <v>16.138176276352553</v>
      </c>
      <c r="CY37" s="58">
        <f si="2" t="shared"/>
        <v>40.000000000000007</v>
      </c>
      <c r="CZ37" s="108">
        <f si="3" t="shared"/>
        <v>23.861823723647454</v>
      </c>
      <c r="DA37" s="78">
        <f si="4" t="shared"/>
        <v>1.4785948123898267</v>
      </c>
      <c r="DB37" s="95">
        <v>36000</v>
      </c>
    </row>
    <row r="38" spans="2:106" x14ac:dyDescent="0.25">
      <c r="B38" s="95">
        <v>9</v>
      </c>
      <c r="C38" s="77">
        <f>Flow_ODData!C39</f>
        <v>4026.4930531313275</v>
      </c>
      <c r="D38" s="77">
        <f>Flow_ODData!D39</f>
        <v>5600.8992529498018</v>
      </c>
      <c r="E38" s="77">
        <f>Flow_ODData!E39</f>
        <v>2151.1401242756406</v>
      </c>
      <c r="F38" s="77">
        <f>Flow_ODData!F39</f>
        <v>1306.3603993576764</v>
      </c>
      <c r="G38" s="77">
        <f>Flow_ODData!G39</f>
        <v>1506.6689939258536</v>
      </c>
      <c r="H38" s="77">
        <f>Flow_ODData!H39</f>
        <v>6680.823849752147</v>
      </c>
      <c r="I38" s="77">
        <f>Flow_ODData!I39</f>
        <v>6807.5891922083365</v>
      </c>
      <c r="J38" s="77">
        <f>Flow_ODData!J39</f>
        <v>164.50464288207777</v>
      </c>
      <c r="K38" s="77">
        <f>Flow_ODData!K39</f>
        <v>22233.286322697757</v>
      </c>
      <c r="L38" s="77">
        <f>Flow_ODData!L39</f>
        <v>997.67227536130702</v>
      </c>
      <c r="M38" s="77">
        <f>Flow_ODData!M39</f>
        <v>3623.940515255184</v>
      </c>
      <c r="N38" s="77">
        <f>Flow_ODData!N39</f>
        <v>5461.5541436849817</v>
      </c>
      <c r="O38" s="77">
        <f>Flow_ODData!O39</f>
        <v>2314.6770927878238</v>
      </c>
      <c r="P38" s="77">
        <f>Flow_ODData!P39</f>
        <v>162.56929414228861</v>
      </c>
      <c r="Q38" s="77">
        <f>Flow_ODData!Q39</f>
        <v>5006.747189834532</v>
      </c>
      <c r="R38" s="77">
        <f>Flow_ODData!R39</f>
        <v>76.446275221671442</v>
      </c>
      <c r="S38" s="77">
        <f>Flow_ODData!S39</f>
        <v>106.44418068840326</v>
      </c>
      <c r="T38" s="77">
        <f>Flow_ODData!T39</f>
        <v>206.11464078754449</v>
      </c>
      <c r="U38" s="77">
        <f>Flow_ODData!U39</f>
        <v>836.07065558891293</v>
      </c>
      <c r="V38" s="77">
        <f>Flow_ODData!V39</f>
        <v>29.997905466731829</v>
      </c>
      <c r="W38" s="77">
        <f>Flow_ODData!W39</f>
        <v>0</v>
      </c>
      <c r="X38" s="77">
        <f si="13" t="shared"/>
        <v>69300.000000000015</v>
      </c>
      <c r="Y38" s="95"/>
      <c r="Z38" s="95">
        <v>9</v>
      </c>
      <c r="AA38" s="77">
        <f>County_Flow!AX42*AA$28</f>
        <v>4360</v>
      </c>
      <c r="AB38" s="77">
        <f>County_Flow!AY42*AB$28</f>
        <v>6500</v>
      </c>
      <c r="AC38" s="77">
        <f>County_Flow!AZ42*AC$28</f>
        <v>2680</v>
      </c>
      <c r="AD38" s="77">
        <f>County_Flow!BA42*AD$28</f>
        <v>1380</v>
      </c>
      <c r="AE38" s="77">
        <f>County_Flow!BB42*AE$28</f>
        <v>2080</v>
      </c>
      <c r="AF38" s="77">
        <f>County_Flow!BC42*AF$28</f>
        <v>7720</v>
      </c>
      <c r="AG38" s="77">
        <f>County_Flow!BD42*AG$28</f>
        <v>6560</v>
      </c>
      <c r="AH38" s="77">
        <f>County_Flow!BE42*AH$28</f>
        <v>500</v>
      </c>
      <c r="AI38" s="77">
        <f>County_Flow!BF42*AI$28</f>
        <v>15640</v>
      </c>
      <c r="AJ38" s="77">
        <f>County_Flow!BG42*AJ$28</f>
        <v>620</v>
      </c>
      <c r="AK38" s="77">
        <f>County_Flow!BH42*AK$28</f>
        <v>3960</v>
      </c>
      <c r="AL38" s="77">
        <f>County_Flow!BI42*AL$28</f>
        <v>7260</v>
      </c>
      <c r="AM38" s="77">
        <f>County_Flow!BJ42*AM$28</f>
        <v>2960</v>
      </c>
      <c r="AN38" s="77">
        <f>County_Flow!BK42*AN$28</f>
        <v>240</v>
      </c>
      <c r="AO38" s="77">
        <f>County_Flow!BL42*AO$28</f>
        <v>5460</v>
      </c>
      <c r="AP38" s="77">
        <f>County_Flow!BM42*AP$28</f>
        <v>80</v>
      </c>
      <c r="AQ38" s="77">
        <f>County_Flow!BN42*AQ$28</f>
        <v>180</v>
      </c>
      <c r="AR38" s="77">
        <f>County_Flow!BO42*AR$28</f>
        <v>160</v>
      </c>
      <c r="AS38" s="77">
        <f>County_Flow!BP42*AS$28</f>
        <v>900</v>
      </c>
      <c r="AT38" s="77">
        <f>County_Flow!BQ42*AT$28</f>
        <v>60</v>
      </c>
      <c r="AU38" s="77">
        <f>County_Flow!BR42</f>
        <v>0</v>
      </c>
      <c r="AV38" s="15">
        <f si="14" t="shared"/>
        <v>69300</v>
      </c>
      <c r="AW38" s="139">
        <f si="15" t="shared"/>
        <v>2.0998434672968035E-16</v>
      </c>
      <c r="AY38" s="95">
        <v>9</v>
      </c>
      <c r="AZ38" s="77">
        <f si="16" t="shared"/>
        <v>4360.0000000000009</v>
      </c>
      <c r="BA38" s="77">
        <f si="17" t="shared"/>
        <v>6500.0000000000018</v>
      </c>
      <c r="BB38" s="77">
        <f si="18" t="shared"/>
        <v>2680.0000000000005</v>
      </c>
      <c r="BC38" s="77">
        <f si="19" t="shared"/>
        <v>1380.0000000000002</v>
      </c>
      <c r="BD38" s="77">
        <f si="20" t="shared"/>
        <v>2080.0000000000005</v>
      </c>
      <c r="BE38" s="77">
        <f si="21" t="shared"/>
        <v>7720.0000000000018</v>
      </c>
      <c r="BF38" s="77">
        <f si="22" t="shared"/>
        <v>6560.0000000000018</v>
      </c>
      <c r="BG38" s="77">
        <f si="23" t="shared"/>
        <v>500.00000000000011</v>
      </c>
      <c r="BH38" s="77">
        <f si="24" t="shared"/>
        <v>15640.000000000004</v>
      </c>
      <c r="BI38" s="77">
        <f si="25" t="shared"/>
        <v>620.00000000000011</v>
      </c>
      <c r="BJ38" s="77">
        <f si="26" t="shared"/>
        <v>3960.0000000000009</v>
      </c>
      <c r="BK38" s="77">
        <f si="27" t="shared"/>
        <v>7260.0000000000018</v>
      </c>
      <c r="BL38" s="77">
        <f si="28" t="shared"/>
        <v>2960.0000000000005</v>
      </c>
      <c r="BM38" s="77">
        <f si="29" t="shared"/>
        <v>240.00000000000006</v>
      </c>
      <c r="BN38" s="77">
        <f si="30" t="shared"/>
        <v>5460.0000000000009</v>
      </c>
      <c r="BO38" s="77">
        <f si="31" t="shared"/>
        <v>80.000000000000014</v>
      </c>
      <c r="BP38" s="77">
        <f si="32" t="shared"/>
        <v>180.00000000000003</v>
      </c>
      <c r="BQ38" s="77">
        <f si="33" t="shared"/>
        <v>160.00000000000003</v>
      </c>
      <c r="BR38" s="77">
        <f si="34" t="shared"/>
        <v>900.00000000000023</v>
      </c>
      <c r="BS38" s="77">
        <f si="35" t="shared"/>
        <v>60.000000000000014</v>
      </c>
      <c r="BT38" s="77">
        <f si="36" t="shared"/>
        <v>0</v>
      </c>
      <c r="BU38" s="77">
        <f si="11" t="shared"/>
        <v>69300.000000000015</v>
      </c>
      <c r="BV38" s="95"/>
      <c r="BW38" s="95">
        <v>9</v>
      </c>
      <c r="BX38" s="77">
        <f si="37" t="shared"/>
        <v>333.50694686867337</v>
      </c>
      <c r="BY38" s="77">
        <f si="38" t="shared"/>
        <v>899.10074705019997</v>
      </c>
      <c r="BZ38" s="77">
        <f si="39" t="shared"/>
        <v>528.85987572435988</v>
      </c>
      <c r="CA38" s="77">
        <f si="40" t="shared"/>
        <v>73.639600642323785</v>
      </c>
      <c r="CB38" s="77">
        <f si="41" t="shared"/>
        <v>573.3310060741469</v>
      </c>
      <c r="CC38" s="77">
        <f si="42" t="shared"/>
        <v>1039.1761502478548</v>
      </c>
      <c r="CD38" s="77">
        <f si="43" t="shared"/>
        <v>247.58919220833468</v>
      </c>
      <c r="CE38" s="77">
        <f si="44" t="shared"/>
        <v>335.49535711792237</v>
      </c>
      <c r="CF38" s="77">
        <f si="45" t="shared"/>
        <v>6593.2863226977533</v>
      </c>
      <c r="CG38" s="77">
        <f si="46" t="shared"/>
        <v>377.6722753613069</v>
      </c>
      <c r="CH38" s="77">
        <f si="47" t="shared"/>
        <v>336.05948474481693</v>
      </c>
      <c r="CI38" s="77">
        <f si="48" t="shared"/>
        <v>1798.4458563150201</v>
      </c>
      <c r="CJ38" s="77">
        <f si="49" t="shared"/>
        <v>645.32290721217669</v>
      </c>
      <c r="CK38" s="77">
        <f si="50" t="shared"/>
        <v>77.430705857711445</v>
      </c>
      <c r="CL38" s="77">
        <f si="51" t="shared"/>
        <v>453.25281016546887</v>
      </c>
      <c r="CM38" s="77">
        <f si="52" t="shared"/>
        <v>3.5537247783285721</v>
      </c>
      <c r="CN38" s="77">
        <f si="53" t="shared"/>
        <v>73.555819311596764</v>
      </c>
      <c r="CO38" s="77">
        <f si="54" t="shared"/>
        <v>46.114640787544459</v>
      </c>
      <c r="CP38" s="77">
        <f si="55" t="shared"/>
        <v>63.9293444110873</v>
      </c>
      <c r="CQ38" s="77">
        <f si="56" t="shared"/>
        <v>30.002094533268185</v>
      </c>
      <c r="CR38" s="77">
        <f si="57" t="shared"/>
        <v>0</v>
      </c>
      <c r="CS38" s="77">
        <f si="58" t="shared"/>
        <v>0</v>
      </c>
      <c r="CU38" s="95">
        <v>37</v>
      </c>
      <c r="CV38" s="95">
        <f si="6" t="shared"/>
        <v>2</v>
      </c>
      <c r="CW38" s="95">
        <f si="0" t="shared"/>
        <v>17</v>
      </c>
      <c r="CX38" s="58">
        <f si="1" t="shared"/>
        <v>17.605283210566419</v>
      </c>
      <c r="CY38" s="58">
        <f si="2" t="shared"/>
        <v>20.000000000000004</v>
      </c>
      <c r="CZ38" s="108">
        <f si="3" t="shared"/>
        <v>2.3947167894335841</v>
      </c>
      <c r="DA38" s="78">
        <f si="4" t="shared"/>
        <v>0.13602262234533735</v>
      </c>
      <c r="DB38" s="95">
        <v>37000</v>
      </c>
    </row>
    <row r="39" spans="2:106" x14ac:dyDescent="0.25">
      <c r="B39" s="95">
        <v>10</v>
      </c>
      <c r="C39" s="77">
        <f>Flow_ODData!C40</f>
        <v>2325.9825259136314</v>
      </c>
      <c r="D39" s="77">
        <f>Flow_ODData!D40</f>
        <v>949.08715122287288</v>
      </c>
      <c r="E39" s="77">
        <f>Flow_ODData!E40</f>
        <v>673.16882222152628</v>
      </c>
      <c r="F39" s="77">
        <f>Flow_ODData!F40</f>
        <v>960.77098925876055</v>
      </c>
      <c r="G39" s="77">
        <f>Flow_ODData!G40</f>
        <v>1685.1689474837942</v>
      </c>
      <c r="H39" s="77">
        <f>Flow_ODData!H40</f>
        <v>7483.94764037203</v>
      </c>
      <c r="I39" s="77">
        <f>Flow_ODData!I40</f>
        <v>771.13331036858426</v>
      </c>
      <c r="J39" s="77">
        <f>Flow_ODData!J40</f>
        <v>75.495568847273987</v>
      </c>
      <c r="K39" s="77">
        <f>Flow_ODData!K40</f>
        <v>773.82958068455832</v>
      </c>
      <c r="L39" s="77">
        <f>Flow_ODData!L40</f>
        <v>5865.2866940155955</v>
      </c>
      <c r="M39" s="77">
        <f>Flow_ODData!M40</f>
        <v>836.74255472395328</v>
      </c>
      <c r="N39" s="77">
        <f>Flow_ODData!N40</f>
        <v>4905.414461528826</v>
      </c>
      <c r="O39" s="77">
        <f>Flow_ODData!O40</f>
        <v>203.11903047004665</v>
      </c>
      <c r="P39" s="77">
        <f>Flow_ODData!P40</f>
        <v>46.735352143550557</v>
      </c>
      <c r="Q39" s="77">
        <f>Flow_ODData!Q40</f>
        <v>87.179406883161619</v>
      </c>
      <c r="R39" s="77">
        <f>Flow_ODData!R40</f>
        <v>811.57736510819529</v>
      </c>
      <c r="S39" s="77">
        <f>Flow_ODData!S40</f>
        <v>75.495568847273987</v>
      </c>
      <c r="T39" s="77">
        <f>Flow_ODData!T40</f>
        <v>55.722919863464128</v>
      </c>
      <c r="U39" s="77">
        <f>Flow_ODData!U40</f>
        <v>71.001784987317194</v>
      </c>
      <c r="V39" s="77">
        <f>Flow_ODData!V40</f>
        <v>43.14032505558513</v>
      </c>
      <c r="W39" s="77">
        <f>Flow_ODData!W40</f>
        <v>0</v>
      </c>
      <c r="X39" s="77">
        <f si="13" t="shared"/>
        <v>28700</v>
      </c>
      <c r="Y39" s="95"/>
      <c r="Z39" s="95">
        <v>10</v>
      </c>
      <c r="AA39" s="77">
        <f>County_Flow!AX43*AA$28</f>
        <v>2140</v>
      </c>
      <c r="AB39" s="77">
        <f>County_Flow!AY43*AB$28</f>
        <v>1420</v>
      </c>
      <c r="AC39" s="77">
        <f>County_Flow!AZ43*AC$28</f>
        <v>680</v>
      </c>
      <c r="AD39" s="77">
        <f>County_Flow!BA43*AD$28</f>
        <v>1160</v>
      </c>
      <c r="AE39" s="77">
        <f>County_Flow!BB43*AE$28</f>
        <v>1860</v>
      </c>
      <c r="AF39" s="77">
        <f>County_Flow!BC43*AF$28</f>
        <v>6680</v>
      </c>
      <c r="AG39" s="77">
        <f>County_Flow!BD43*AG$28</f>
        <v>960</v>
      </c>
      <c r="AH39" s="77">
        <f>County_Flow!BE43*AH$28</f>
        <v>260</v>
      </c>
      <c r="AI39" s="77">
        <f>County_Flow!BF43*AI$28</f>
        <v>640</v>
      </c>
      <c r="AJ39" s="77">
        <f>County_Flow!BG43*AJ$28</f>
        <v>4120</v>
      </c>
      <c r="AK39" s="77">
        <f>County_Flow!BH43*AK$28</f>
        <v>580</v>
      </c>
      <c r="AL39" s="77">
        <f>County_Flow!BI43*AL$28</f>
        <v>6660</v>
      </c>
      <c r="AM39" s="77">
        <f>County_Flow!BJ43*AM$28</f>
        <v>280</v>
      </c>
      <c r="AN39" s="77">
        <f>County_Flow!BK43*AN$28</f>
        <v>60</v>
      </c>
      <c r="AO39" s="77">
        <f>County_Flow!BL43*AO$28</f>
        <v>80</v>
      </c>
      <c r="AP39" s="77">
        <f>County_Flow!BM43*AP$28</f>
        <v>860</v>
      </c>
      <c r="AQ39" s="77">
        <f>County_Flow!BN43*AQ$28</f>
        <v>0</v>
      </c>
      <c r="AR39" s="77">
        <f>County_Flow!BO43*AR$28</f>
        <v>100</v>
      </c>
      <c r="AS39" s="77">
        <f>County_Flow!BP43*AS$28</f>
        <v>120</v>
      </c>
      <c r="AT39" s="77">
        <f>County_Flow!BQ43*AT$28</f>
        <v>40</v>
      </c>
      <c r="AU39" s="77">
        <f>County_Flow!BR43</f>
        <v>0</v>
      </c>
      <c r="AV39" s="15">
        <f si="14" t="shared"/>
        <v>28700</v>
      </c>
      <c r="AW39" s="139">
        <f si="15" t="shared"/>
        <v>0</v>
      </c>
      <c r="AY39" s="95">
        <v>10</v>
      </c>
      <c r="AZ39" s="77">
        <f si="16" t="shared"/>
        <v>2140</v>
      </c>
      <c r="BA39" s="77">
        <f si="17" t="shared"/>
        <v>1420</v>
      </c>
      <c r="BB39" s="77">
        <f si="18" t="shared"/>
        <v>680</v>
      </c>
      <c r="BC39" s="77">
        <f si="19" t="shared"/>
        <v>1160</v>
      </c>
      <c r="BD39" s="77">
        <f si="20" t="shared"/>
        <v>1860</v>
      </c>
      <c r="BE39" s="77">
        <f si="21" t="shared"/>
        <v>6680</v>
      </c>
      <c r="BF39" s="77">
        <f si="22" t="shared"/>
        <v>960</v>
      </c>
      <c r="BG39" s="77">
        <f si="23" t="shared"/>
        <v>260</v>
      </c>
      <c r="BH39" s="77">
        <f si="24" t="shared"/>
        <v>640</v>
      </c>
      <c r="BI39" s="77">
        <f si="25" t="shared"/>
        <v>4120</v>
      </c>
      <c r="BJ39" s="77">
        <f si="26" t="shared"/>
        <v>580</v>
      </c>
      <c r="BK39" s="77">
        <f si="27" t="shared"/>
        <v>6660</v>
      </c>
      <c r="BL39" s="77">
        <f si="28" t="shared"/>
        <v>280</v>
      </c>
      <c r="BM39" s="77">
        <f si="29" t="shared"/>
        <v>60</v>
      </c>
      <c r="BN39" s="77">
        <f si="30" t="shared"/>
        <v>80</v>
      </c>
      <c r="BO39" s="77">
        <f si="31" t="shared"/>
        <v>860</v>
      </c>
      <c r="BP39" s="77">
        <f si="32" t="shared"/>
        <v>0</v>
      </c>
      <c r="BQ39" s="77">
        <f si="33" t="shared"/>
        <v>100</v>
      </c>
      <c r="BR39" s="77">
        <f si="34" t="shared"/>
        <v>120</v>
      </c>
      <c r="BS39" s="77">
        <f si="35" t="shared"/>
        <v>40</v>
      </c>
      <c r="BT39" s="77">
        <f si="36" t="shared"/>
        <v>0</v>
      </c>
      <c r="BU39" s="77">
        <f si="11" t="shared"/>
        <v>28700</v>
      </c>
      <c r="BV39" s="95"/>
      <c r="BW39" s="95">
        <v>10</v>
      </c>
      <c r="BX39" s="77">
        <f si="37" t="shared"/>
        <v>185.98252591363143</v>
      </c>
      <c r="BY39" s="77">
        <f si="38" t="shared"/>
        <v>470.91284877712712</v>
      </c>
      <c r="BZ39" s="77">
        <f si="39" t="shared"/>
        <v>6.831177778473716</v>
      </c>
      <c r="CA39" s="77">
        <f si="40" t="shared"/>
        <v>199.22901074123945</v>
      </c>
      <c r="CB39" s="77">
        <f si="41" t="shared"/>
        <v>174.83105251620577</v>
      </c>
      <c r="CC39" s="77">
        <f si="42" t="shared"/>
        <v>803.94764037203004</v>
      </c>
      <c r="CD39" s="77">
        <f si="43" t="shared"/>
        <v>188.86668963141574</v>
      </c>
      <c r="CE39" s="77">
        <f si="44" t="shared"/>
        <v>184.504431152726</v>
      </c>
      <c r="CF39" s="77">
        <f si="45" t="shared"/>
        <v>133.82958068455832</v>
      </c>
      <c r="CG39" s="77">
        <f si="46" t="shared"/>
        <v>1745.2866940155955</v>
      </c>
      <c r="CH39" s="77">
        <f si="47" t="shared"/>
        <v>256.74255472395328</v>
      </c>
      <c r="CI39" s="77">
        <f si="48" t="shared"/>
        <v>1754.585538471174</v>
      </c>
      <c r="CJ39" s="77">
        <f si="49" t="shared"/>
        <v>76.880969529953347</v>
      </c>
      <c r="CK39" s="77">
        <f si="50" t="shared"/>
        <v>13.264647856449443</v>
      </c>
      <c r="CL39" s="77">
        <f si="51" t="shared"/>
        <v>7.1794068831616187</v>
      </c>
      <c r="CM39" s="77">
        <f si="52" t="shared"/>
        <v>48.422634891804705</v>
      </c>
      <c r="CN39" s="77">
        <f si="53" t="shared"/>
        <v>75.495568847273987</v>
      </c>
      <c r="CO39" s="77">
        <f si="54" t="shared"/>
        <v>44.277080136535872</v>
      </c>
      <c r="CP39" s="77">
        <f si="55" t="shared"/>
        <v>48.998215012682806</v>
      </c>
      <c r="CQ39" s="77">
        <f si="56" t="shared"/>
        <v>3.1403250555851301</v>
      </c>
      <c r="CR39" s="77">
        <f si="57" t="shared"/>
        <v>0</v>
      </c>
      <c r="CS39" s="77">
        <f si="58" t="shared"/>
        <v>0</v>
      </c>
      <c r="CU39" s="95">
        <v>38</v>
      </c>
      <c r="CV39" s="95">
        <f si="6" t="shared"/>
        <v>2</v>
      </c>
      <c r="CW39" s="95">
        <f si="0" t="shared"/>
        <v>18</v>
      </c>
      <c r="CX39" s="58">
        <f si="1" t="shared"/>
        <v>30.809245618491236</v>
      </c>
      <c r="CY39" s="58">
        <f si="2" t="shared"/>
        <v>60.000000000000007</v>
      </c>
      <c r="CZ39" s="108">
        <f si="3" t="shared"/>
        <v>29.190754381508771</v>
      </c>
      <c r="DA39" s="78">
        <f si="4" t="shared"/>
        <v>0.94746735259200665</v>
      </c>
      <c r="DB39" s="95">
        <v>38000</v>
      </c>
    </row>
    <row r="40" spans="2:106" x14ac:dyDescent="0.25">
      <c r="B40" s="95">
        <v>11</v>
      </c>
      <c r="C40" s="77">
        <f>Flow_ODData!C41</f>
        <v>3421.7873638713504</v>
      </c>
      <c r="D40" s="77">
        <f>Flow_ODData!D41</f>
        <v>2445.5765074791307</v>
      </c>
      <c r="E40" s="77">
        <f>Flow_ODData!E41</f>
        <v>3694.4531547946949</v>
      </c>
      <c r="F40" s="77">
        <f>Flow_ODData!F41</f>
        <v>1901.9280477986354</v>
      </c>
      <c r="G40" s="77">
        <f>Flow_ODData!G41</f>
        <v>1799.257595660833</v>
      </c>
      <c r="H40" s="77">
        <f>Flow_ODData!H41</f>
        <v>5852.2157718547396</v>
      </c>
      <c r="I40" s="77">
        <f>Flow_ODData!I41</f>
        <v>1776.535446417221</v>
      </c>
      <c r="J40" s="77">
        <f>Flow_ODData!J41</f>
        <v>1088.9800415271834</v>
      </c>
      <c r="K40" s="77">
        <f>Flow_ODData!K41</f>
        <v>3743.2636976143053</v>
      </c>
      <c r="L40" s="77">
        <f>Flow_ODData!L41</f>
        <v>738.89063095893891</v>
      </c>
      <c r="M40" s="77">
        <f>Flow_ODData!M41</f>
        <v>22754.128564769693</v>
      </c>
      <c r="N40" s="77">
        <f>Flow_ODData!N41</f>
        <v>2568.4444256112547</v>
      </c>
      <c r="O40" s="77">
        <f>Flow_ODData!O41</f>
        <v>581.51870841984828</v>
      </c>
      <c r="P40" s="77">
        <f>Flow_ODData!P41</f>
        <v>485.58074494681978</v>
      </c>
      <c r="Q40" s="77">
        <f>Flow_ODData!Q41</f>
        <v>695.12945463790834</v>
      </c>
      <c r="R40" s="77">
        <f>Flow_ODData!R41</f>
        <v>69.849569897029539</v>
      </c>
      <c r="S40" s="77">
        <f>Flow_ODData!S41</f>
        <v>1309.4690452985296</v>
      </c>
      <c r="T40" s="77">
        <f>Flow_ODData!T41</f>
        <v>69.849569897029539</v>
      </c>
      <c r="U40" s="77">
        <f>Flow_ODData!U41</f>
        <v>4541.9051654731129</v>
      </c>
      <c r="V40" s="77">
        <f>Flow_ODData!V41</f>
        <v>41.236493071740327</v>
      </c>
      <c r="W40" s="77">
        <f>Flow_ODData!W41</f>
        <v>0</v>
      </c>
      <c r="X40" s="77">
        <f si="13" t="shared"/>
        <v>59579.999999999993</v>
      </c>
      <c r="Y40" s="95"/>
      <c r="Z40" s="95">
        <v>11</v>
      </c>
      <c r="AA40" s="77">
        <f>County_Flow!AX44*AA$28</f>
        <v>4180</v>
      </c>
      <c r="AB40" s="77">
        <f>County_Flow!AY44*AB$28</f>
        <v>3160</v>
      </c>
      <c r="AC40" s="77">
        <f>County_Flow!AZ44*AC$28</f>
        <v>4180</v>
      </c>
      <c r="AD40" s="77">
        <f>County_Flow!BA44*AD$28</f>
        <v>1900</v>
      </c>
      <c r="AE40" s="77">
        <f>County_Flow!BB44*AE$28</f>
        <v>1160</v>
      </c>
      <c r="AF40" s="77">
        <f>County_Flow!BC44*AF$28</f>
        <v>6240</v>
      </c>
      <c r="AG40" s="77">
        <f>County_Flow!BD44*AG$28</f>
        <v>1380</v>
      </c>
      <c r="AH40" s="77">
        <f>County_Flow!BE44*AH$28</f>
        <v>860</v>
      </c>
      <c r="AI40" s="77">
        <f>County_Flow!BF44*AI$28</f>
        <v>4120</v>
      </c>
      <c r="AJ40" s="77">
        <f>County_Flow!BG44*AJ$28</f>
        <v>1420</v>
      </c>
      <c r="AK40" s="77">
        <f>County_Flow!BH44*AK$28</f>
        <v>18700</v>
      </c>
      <c r="AL40" s="77">
        <f>County_Flow!BI44*AL$28</f>
        <v>3980</v>
      </c>
      <c r="AM40" s="77">
        <f>County_Flow!BJ44*AM$28</f>
        <v>440</v>
      </c>
      <c r="AN40" s="77">
        <f>County_Flow!BK44*AN$28</f>
        <v>780</v>
      </c>
      <c r="AO40" s="77">
        <f>County_Flow!BL44*AO$28</f>
        <v>1100</v>
      </c>
      <c r="AP40" s="77">
        <f>County_Flow!BM44*AP$28</f>
        <v>160</v>
      </c>
      <c r="AQ40" s="77">
        <f>County_Flow!BN44*AQ$28</f>
        <v>1040</v>
      </c>
      <c r="AR40" s="77">
        <f>County_Flow!BO44*AR$28</f>
        <v>60</v>
      </c>
      <c r="AS40" s="77">
        <f>County_Flow!BP44*AS$28</f>
        <v>4720</v>
      </c>
      <c r="AT40" s="77">
        <f>County_Flow!BQ44*AT$28</f>
        <v>0</v>
      </c>
      <c r="AU40" s="77">
        <f>County_Flow!BR44</f>
        <v>0</v>
      </c>
      <c r="AV40" s="15">
        <f si="14" t="shared"/>
        <v>59580</v>
      </c>
      <c r="AW40" s="139">
        <f si="15" t="shared"/>
        <v>1.2212080587753319E-16</v>
      </c>
      <c r="AY40" s="95">
        <v>11</v>
      </c>
      <c r="AZ40" s="77">
        <f si="16" t="shared"/>
        <v>4179.9999999999991</v>
      </c>
      <c r="BA40" s="77">
        <f si="17" t="shared"/>
        <v>3159.9999999999995</v>
      </c>
      <c r="BB40" s="77">
        <f si="18" t="shared"/>
        <v>4179.9999999999991</v>
      </c>
      <c r="BC40" s="77">
        <f si="19" t="shared"/>
        <v>1899.9999999999998</v>
      </c>
      <c r="BD40" s="77">
        <f si="20" t="shared"/>
        <v>1159.9999999999998</v>
      </c>
      <c r="BE40" s="77">
        <f si="21" t="shared"/>
        <v>6239.9999999999991</v>
      </c>
      <c r="BF40" s="77">
        <f si="22" t="shared"/>
        <v>1379.9999999999998</v>
      </c>
      <c r="BG40" s="77">
        <f si="23" t="shared"/>
        <v>859.99999999999989</v>
      </c>
      <c r="BH40" s="77">
        <f si="24" t="shared"/>
        <v>4119.9999999999991</v>
      </c>
      <c r="BI40" s="77">
        <f si="25" t="shared"/>
        <v>1419.9999999999998</v>
      </c>
      <c r="BJ40" s="77">
        <f si="26" t="shared"/>
        <v>18699.999999999996</v>
      </c>
      <c r="BK40" s="77">
        <f si="27" t="shared"/>
        <v>3979.9999999999995</v>
      </c>
      <c r="BL40" s="77">
        <f si="28" t="shared"/>
        <v>439.99999999999994</v>
      </c>
      <c r="BM40" s="77">
        <f si="29" t="shared"/>
        <v>779.99999999999989</v>
      </c>
      <c r="BN40" s="77">
        <f si="30" t="shared"/>
        <v>1099.9999999999998</v>
      </c>
      <c r="BO40" s="77">
        <f si="31" t="shared"/>
        <v>159.99999999999997</v>
      </c>
      <c r="BP40" s="77">
        <f si="32" t="shared"/>
        <v>1039.9999999999998</v>
      </c>
      <c r="BQ40" s="77">
        <f si="33" t="shared"/>
        <v>59.999999999999993</v>
      </c>
      <c r="BR40" s="77">
        <f si="34" t="shared"/>
        <v>4719.9999999999991</v>
      </c>
      <c r="BS40" s="77">
        <f si="35" t="shared"/>
        <v>0</v>
      </c>
      <c r="BT40" s="77">
        <f si="36" t="shared"/>
        <v>0</v>
      </c>
      <c r="BU40" s="77">
        <f si="11" t="shared"/>
        <v>59579.999999999993</v>
      </c>
      <c r="BV40" s="95"/>
      <c r="BW40" s="95">
        <v>11</v>
      </c>
      <c r="BX40" s="77">
        <f si="37" t="shared"/>
        <v>758.21263612864868</v>
      </c>
      <c r="BY40" s="77">
        <f si="38" t="shared"/>
        <v>714.42349252086888</v>
      </c>
      <c r="BZ40" s="77">
        <f si="39" t="shared"/>
        <v>485.54684520530418</v>
      </c>
      <c r="CA40" s="77">
        <f si="40" t="shared"/>
        <v>1.9280477986355891</v>
      </c>
      <c r="CB40" s="77">
        <f si="41" t="shared"/>
        <v>639.2575956608332</v>
      </c>
      <c r="CC40" s="77">
        <f si="42" t="shared"/>
        <v>387.78422814525948</v>
      </c>
      <c r="CD40" s="77">
        <f si="43" t="shared"/>
        <v>396.53544641722124</v>
      </c>
      <c r="CE40" s="77">
        <f si="44" t="shared"/>
        <v>228.98004152718352</v>
      </c>
      <c r="CF40" s="77">
        <f si="45" t="shared"/>
        <v>376.73630238569376</v>
      </c>
      <c r="CG40" s="77">
        <f si="46" t="shared"/>
        <v>681.10936904106086</v>
      </c>
      <c r="CH40" s="77">
        <f si="47" t="shared"/>
        <v>4054.1285647696968</v>
      </c>
      <c r="CI40" s="77">
        <f si="48" t="shared"/>
        <v>1411.5555743887448</v>
      </c>
      <c r="CJ40" s="77">
        <f si="49" t="shared"/>
        <v>141.51870841984834</v>
      </c>
      <c r="CK40" s="77">
        <f si="50" t="shared"/>
        <v>294.41925505318011</v>
      </c>
      <c r="CL40" s="77">
        <f si="51" t="shared"/>
        <v>404.87054536209143</v>
      </c>
      <c r="CM40" s="77">
        <f si="52" t="shared"/>
        <v>90.150430102970432</v>
      </c>
      <c r="CN40" s="77">
        <f si="53" t="shared"/>
        <v>269.46904529852986</v>
      </c>
      <c r="CO40" s="77">
        <f si="54" t="shared"/>
        <v>9.8495698970295464</v>
      </c>
      <c r="CP40" s="77">
        <f si="55" t="shared"/>
        <v>178.09483452688619</v>
      </c>
      <c r="CQ40" s="77">
        <f si="56" t="shared"/>
        <v>41.236493071740327</v>
      </c>
      <c r="CR40" s="77">
        <f si="57" t="shared"/>
        <v>0</v>
      </c>
      <c r="CS40" s="77">
        <f si="58" t="shared"/>
        <v>0</v>
      </c>
      <c r="CU40" s="95">
        <v>39</v>
      </c>
      <c r="CV40" s="95">
        <f si="6" t="shared"/>
        <v>2</v>
      </c>
      <c r="CW40" s="95">
        <f si="0" t="shared"/>
        <v>19</v>
      </c>
      <c r="CX40" s="58">
        <f si="1" t="shared"/>
        <v>57.217170434340872</v>
      </c>
      <c r="CY40" s="58">
        <f si="2" t="shared"/>
        <v>80.000000000000014</v>
      </c>
      <c r="CZ40" s="108">
        <f si="3" t="shared"/>
        <v>22.782829565659142</v>
      </c>
      <c r="DA40" s="78">
        <f si="4" t="shared"/>
        <v>0.39818168904041495</v>
      </c>
      <c r="DB40" s="95">
        <v>39000</v>
      </c>
    </row>
    <row r="41" spans="2:106" x14ac:dyDescent="0.25">
      <c r="B41" s="95">
        <v>12</v>
      </c>
      <c r="C41" s="77">
        <f>Flow_ODData!C42</f>
        <v>6993.8964528708611</v>
      </c>
      <c r="D41" s="77">
        <f>Flow_ODData!D42</f>
        <v>4084.6592465625258</v>
      </c>
      <c r="E41" s="77">
        <f>Flow_ODData!E42</f>
        <v>1888.9744837239241</v>
      </c>
      <c r="F41" s="77">
        <f>Flow_ODData!F42</f>
        <v>1617.445677801813</v>
      </c>
      <c r="G41" s="77">
        <f>Flow_ODData!G42</f>
        <v>2851.503506710279</v>
      </c>
      <c r="H41" s="77">
        <f>Flow_ODData!H42</f>
        <v>17112.629396486554</v>
      </c>
      <c r="I41" s="77">
        <f>Flow_ODData!I42</f>
        <v>8036.7114018607635</v>
      </c>
      <c r="J41" s="77">
        <f>Flow_ODData!J42</f>
        <v>241.75986706686328</v>
      </c>
      <c r="K41" s="77">
        <f>Flow_ODData!K42</f>
        <v>2893.9016923526024</v>
      </c>
      <c r="L41" s="77">
        <f>Flow_ODData!L42</f>
        <v>2103.6716791041981</v>
      </c>
      <c r="M41" s="77">
        <f>Flow_ODData!M42</f>
        <v>1602.1101638460789</v>
      </c>
      <c r="N41" s="77">
        <f>Flow_ODData!N42</f>
        <v>63150.744380655837</v>
      </c>
      <c r="O41" s="77">
        <f>Flow_ODData!O42</f>
        <v>2338.2148337213043</v>
      </c>
      <c r="P41" s="77">
        <f>Flow_ODData!P42</f>
        <v>79.383836947328234</v>
      </c>
      <c r="Q41" s="77">
        <f>Flow_ODData!Q42</f>
        <v>436.61110321030532</v>
      </c>
      <c r="R41" s="77">
        <f>Flow_ODData!R42</f>
        <v>530.42836505714774</v>
      </c>
      <c r="S41" s="77">
        <f>Flow_ODData!S42</f>
        <v>127.1945569269691</v>
      </c>
      <c r="T41" s="77">
        <f>Flow_ODData!T42</f>
        <v>3324.1981721693696</v>
      </c>
      <c r="U41" s="77">
        <f>Flow_ODData!U42</f>
        <v>177.7115440752689</v>
      </c>
      <c r="V41" s="77">
        <f>Flow_ODData!V42</f>
        <v>928.24963885000864</v>
      </c>
      <c r="W41" s="77">
        <f>Flow_ODData!W42</f>
        <v>0</v>
      </c>
      <c r="X41" s="77">
        <f si="13" t="shared"/>
        <v>120520.00000000001</v>
      </c>
      <c r="Y41" s="95"/>
      <c r="Z41" s="95">
        <v>12</v>
      </c>
      <c r="AA41" s="77">
        <f>County_Flow!AX45*AA$28</f>
        <v>6400</v>
      </c>
      <c r="AB41" s="77">
        <f>County_Flow!AY45*AB$28</f>
        <v>5320</v>
      </c>
      <c r="AC41" s="77">
        <f>County_Flow!AZ45*AC$28</f>
        <v>2080</v>
      </c>
      <c r="AD41" s="77">
        <f>County_Flow!BA45*AD$28</f>
        <v>2460</v>
      </c>
      <c r="AE41" s="77">
        <f>County_Flow!BB45*AE$28</f>
        <v>3860</v>
      </c>
      <c r="AF41" s="77">
        <f>County_Flow!BC45*AF$28</f>
        <v>15960</v>
      </c>
      <c r="AG41" s="77">
        <f>County_Flow!BD45*AG$28</f>
        <v>10600</v>
      </c>
      <c r="AH41" s="77">
        <f>County_Flow!BE45*AH$28</f>
        <v>200</v>
      </c>
      <c r="AI41" s="77">
        <f>County_Flow!BF45*AI$28</f>
        <v>4040</v>
      </c>
      <c r="AJ41" s="77">
        <f>County_Flow!BG45*AJ$28</f>
        <v>2900</v>
      </c>
      <c r="AK41" s="77">
        <f>County_Flow!BH45*AK$28</f>
        <v>1660</v>
      </c>
      <c r="AL41" s="77">
        <f>County_Flow!BI45*AL$28</f>
        <v>55880</v>
      </c>
      <c r="AM41" s="77">
        <f>County_Flow!BJ45*AM$28</f>
        <v>4740</v>
      </c>
      <c r="AN41" s="77">
        <f>County_Flow!BK45*AN$28</f>
        <v>120</v>
      </c>
      <c r="AO41" s="77">
        <f>County_Flow!BL45*AO$28</f>
        <v>620</v>
      </c>
      <c r="AP41" s="77">
        <f>County_Flow!BM45*AP$28</f>
        <v>560</v>
      </c>
      <c r="AQ41" s="77">
        <f>County_Flow!BN45*AQ$28</f>
        <v>160</v>
      </c>
      <c r="AR41" s="77">
        <f>County_Flow!BO45*AR$28</f>
        <v>2300</v>
      </c>
      <c r="AS41" s="77">
        <f>County_Flow!BP45*AS$28</f>
        <v>240</v>
      </c>
      <c r="AT41" s="77">
        <f>County_Flow!BQ45*AT$28</f>
        <v>420</v>
      </c>
      <c r="AU41" s="77">
        <f>County_Flow!BR45</f>
        <v>0</v>
      </c>
      <c r="AV41" s="15">
        <f si="14" t="shared"/>
        <v>120520</v>
      </c>
      <c r="AW41" s="139">
        <f si="15" t="shared"/>
        <v>1.2074274168907112E-16</v>
      </c>
      <c r="AY41" s="95">
        <v>12</v>
      </c>
      <c r="AZ41" s="77">
        <f si="16" t="shared"/>
        <v>6400.0000000000009</v>
      </c>
      <c r="BA41" s="77">
        <f si="17" t="shared"/>
        <v>5320.0000000000009</v>
      </c>
      <c r="BB41" s="77">
        <f si="18" t="shared"/>
        <v>2080.0000000000005</v>
      </c>
      <c r="BC41" s="77">
        <f si="19" t="shared"/>
        <v>2460.0000000000005</v>
      </c>
      <c r="BD41" s="77">
        <f si="20" t="shared"/>
        <v>3860.0000000000005</v>
      </c>
      <c r="BE41" s="77">
        <f si="21" t="shared"/>
        <v>15960.000000000002</v>
      </c>
      <c r="BF41" s="77">
        <f si="22" t="shared"/>
        <v>10600.000000000002</v>
      </c>
      <c r="BG41" s="77">
        <f si="23" t="shared"/>
        <v>200.00000000000003</v>
      </c>
      <c r="BH41" s="77">
        <f si="24" t="shared"/>
        <v>4040.0000000000005</v>
      </c>
      <c r="BI41" s="77">
        <f si="25" t="shared"/>
        <v>2900.0000000000005</v>
      </c>
      <c r="BJ41" s="77">
        <f si="26" t="shared"/>
        <v>1660.0000000000002</v>
      </c>
      <c r="BK41" s="77">
        <f si="27" t="shared"/>
        <v>55880.000000000007</v>
      </c>
      <c r="BL41" s="77">
        <f si="28" t="shared"/>
        <v>4740.0000000000009</v>
      </c>
      <c r="BM41" s="77">
        <f si="29" t="shared"/>
        <v>120.00000000000001</v>
      </c>
      <c r="BN41" s="77">
        <f si="30" t="shared"/>
        <v>620.00000000000011</v>
      </c>
      <c r="BO41" s="77">
        <f si="31" t="shared"/>
        <v>560.00000000000011</v>
      </c>
      <c r="BP41" s="77">
        <f si="32" t="shared"/>
        <v>160.00000000000003</v>
      </c>
      <c r="BQ41" s="77">
        <f si="33" t="shared"/>
        <v>2300.0000000000005</v>
      </c>
      <c r="BR41" s="77">
        <f si="34" t="shared"/>
        <v>240.00000000000003</v>
      </c>
      <c r="BS41" s="77">
        <f si="35" t="shared"/>
        <v>420.00000000000006</v>
      </c>
      <c r="BT41" s="77">
        <f si="36" t="shared"/>
        <v>0</v>
      </c>
      <c r="BU41" s="77">
        <f si="11" t="shared"/>
        <v>120520.00000000001</v>
      </c>
      <c r="BV41" s="95"/>
      <c r="BW41" s="95">
        <v>12</v>
      </c>
      <c r="BX41" s="77">
        <f si="37" t="shared"/>
        <v>593.89645287086023</v>
      </c>
      <c r="BY41" s="77">
        <f si="38" t="shared"/>
        <v>1235.3407534374751</v>
      </c>
      <c r="BZ41" s="77">
        <f si="39" t="shared"/>
        <v>191.02551627607636</v>
      </c>
      <c r="CA41" s="77">
        <f si="40" t="shared"/>
        <v>842.55432219818749</v>
      </c>
      <c r="CB41" s="77">
        <f si="41" t="shared"/>
        <v>1008.4964932897215</v>
      </c>
      <c r="CC41" s="77">
        <f si="42" t="shared"/>
        <v>1152.6293964865527</v>
      </c>
      <c r="CD41" s="77">
        <f si="43" t="shared"/>
        <v>2563.2885981392383</v>
      </c>
      <c r="CE41" s="77">
        <f si="44" t="shared"/>
        <v>41.759867066863251</v>
      </c>
      <c r="CF41" s="77">
        <f si="45" t="shared"/>
        <v>1146.0983076473981</v>
      </c>
      <c r="CG41" s="77">
        <f si="46" t="shared"/>
        <v>796.32832089580234</v>
      </c>
      <c r="CH41" s="77">
        <f si="47" t="shared"/>
        <v>57.889836153921351</v>
      </c>
      <c r="CI41" s="77">
        <f si="48" t="shared"/>
        <v>7270.7443806558294</v>
      </c>
      <c r="CJ41" s="77">
        <f si="49" t="shared"/>
        <v>2401.7851662786966</v>
      </c>
      <c r="CK41" s="77">
        <f si="50" t="shared"/>
        <v>40.61616305267178</v>
      </c>
      <c r="CL41" s="77">
        <f si="51" t="shared"/>
        <v>183.3888967896948</v>
      </c>
      <c r="CM41" s="77">
        <f si="52" t="shared"/>
        <v>29.57163494285237</v>
      </c>
      <c r="CN41" s="77">
        <f si="53" t="shared"/>
        <v>32.805443073030929</v>
      </c>
      <c r="CO41" s="77">
        <f si="54" t="shared"/>
        <v>1024.1981721693692</v>
      </c>
      <c r="CP41" s="77">
        <f si="55" t="shared"/>
        <v>62.288455924731124</v>
      </c>
      <c r="CQ41" s="77">
        <f si="56" t="shared"/>
        <v>508.24963885000858</v>
      </c>
      <c r="CR41" s="77">
        <f si="57" t="shared"/>
        <v>0</v>
      </c>
      <c r="CS41" s="77">
        <f si="58" t="shared"/>
        <v>0</v>
      </c>
      <c r="CU41" s="95">
        <v>40</v>
      </c>
      <c r="CV41" s="95">
        <f si="6" t="shared"/>
        <v>2</v>
      </c>
      <c r="CW41" s="95">
        <f si="0" t="shared"/>
        <v>20</v>
      </c>
      <c r="CX41" s="58">
        <f si="1" t="shared"/>
        <v>8.0690881381762765</v>
      </c>
      <c r="CY41" s="58">
        <f si="2" t="shared"/>
        <v>0</v>
      </c>
      <c r="CZ41" s="108">
        <f si="3" t="shared"/>
        <v>-8.0690881381762765</v>
      </c>
      <c r="DA41" s="78">
        <f si="4" t="shared"/>
        <v>-1</v>
      </c>
      <c r="DB41" s="95">
        <v>40000</v>
      </c>
    </row>
    <row r="42" spans="2:106" x14ac:dyDescent="0.25">
      <c r="B42" s="95">
        <v>13</v>
      </c>
      <c r="C42" s="77">
        <f>Flow_ODData!C43</f>
        <v>1393.0139793603162</v>
      </c>
      <c r="D42" s="77">
        <f>Flow_ODData!D43</f>
        <v>1548.79967796238</v>
      </c>
      <c r="E42" s="77">
        <f>Flow_ODData!E43</f>
        <v>394.89863134011563</v>
      </c>
      <c r="F42" s="77">
        <f>Flow_ODData!F43</f>
        <v>332.40320573812488</v>
      </c>
      <c r="G42" s="77">
        <f>Flow_ODData!G43</f>
        <v>400.33301617507141</v>
      </c>
      <c r="H42" s="77">
        <f>Flow_ODData!H43</f>
        <v>2903.7729634780062</v>
      </c>
      <c r="I42" s="77">
        <f>Flow_ODData!I43</f>
        <v>13374.021078826026</v>
      </c>
      <c r="J42" s="77">
        <f>Flow_ODData!J43</f>
        <v>20.831808533996924</v>
      </c>
      <c r="K42" s="77">
        <f>Flow_ODData!K43</f>
        <v>1663.8274903022764</v>
      </c>
      <c r="L42" s="77">
        <f>Flow_ODData!L43</f>
        <v>393.08716972846372</v>
      </c>
      <c r="M42" s="77">
        <f>Flow_ODData!M43</f>
        <v>408.48459342750493</v>
      </c>
      <c r="N42" s="77">
        <f>Flow_ODData!N43</f>
        <v>5922.5737392959081</v>
      </c>
      <c r="O42" s="77">
        <f>Flow_ODData!O43</f>
        <v>65329.457293420186</v>
      </c>
      <c r="P42" s="77">
        <f>Flow_ODData!P43</f>
        <v>26.266193368952646</v>
      </c>
      <c r="Q42" s="77">
        <f>Flow_ODData!Q43</f>
        <v>2196.3972041279367</v>
      </c>
      <c r="R42" s="77">
        <f>Flow_ODData!R43</f>
        <v>82.421503330161755</v>
      </c>
      <c r="S42" s="77">
        <f>Flow_ODData!S43</f>
        <v>35.323501427212179</v>
      </c>
      <c r="T42" s="77">
        <f>Flow_ODData!T43</f>
        <v>2203.6430505745443</v>
      </c>
      <c r="U42" s="77">
        <f>Flow_ODData!U43</f>
        <v>93.290273000073185</v>
      </c>
      <c r="V42" s="77">
        <f>Flow_ODData!V43</f>
        <v>277.15362658274171</v>
      </c>
      <c r="W42" s="77">
        <f>Flow_ODData!W43</f>
        <v>0</v>
      </c>
      <c r="X42" s="77">
        <f si="13" t="shared"/>
        <v>98999.999999999985</v>
      </c>
      <c r="Y42" s="95"/>
      <c r="Z42" s="95">
        <v>13</v>
      </c>
      <c r="AA42" s="77">
        <f>County_Flow!AX46*AA$28</f>
        <v>1680</v>
      </c>
      <c r="AB42" s="77">
        <f>County_Flow!AY46*AB$28</f>
        <v>2040</v>
      </c>
      <c r="AC42" s="77">
        <f>County_Flow!AZ46*AC$28</f>
        <v>620</v>
      </c>
      <c r="AD42" s="77">
        <f>County_Flow!BA46*AD$28</f>
        <v>520</v>
      </c>
      <c r="AE42" s="77">
        <f>County_Flow!BB46*AE$28</f>
        <v>440</v>
      </c>
      <c r="AF42" s="77">
        <f>County_Flow!BC46*AF$28</f>
        <v>2900</v>
      </c>
      <c r="AG42" s="77">
        <f>County_Flow!BD46*AG$28</f>
        <v>18680</v>
      </c>
      <c r="AH42" s="77">
        <f>County_Flow!BE46*AH$28</f>
        <v>40</v>
      </c>
      <c r="AI42" s="77">
        <f>County_Flow!BF46*AI$28</f>
        <v>2600</v>
      </c>
      <c r="AJ42" s="77">
        <f>County_Flow!BG46*AJ$28</f>
        <v>440</v>
      </c>
      <c r="AK42" s="77">
        <f>County_Flow!BH46*AK$28</f>
        <v>480</v>
      </c>
      <c r="AL42" s="77">
        <f>County_Flow!BI46*AL$28</f>
        <v>9420</v>
      </c>
      <c r="AM42" s="77">
        <f>County_Flow!BJ46*AM$28</f>
        <v>52900</v>
      </c>
      <c r="AN42" s="77">
        <f>County_Flow!BK46*AN$28</f>
        <v>40</v>
      </c>
      <c r="AO42" s="77">
        <f>County_Flow!BL46*AO$28</f>
        <v>3780</v>
      </c>
      <c r="AP42" s="77">
        <f>County_Flow!BM46*AP$28</f>
        <v>120</v>
      </c>
      <c r="AQ42" s="77">
        <f>County_Flow!BN46*AQ$28</f>
        <v>20</v>
      </c>
      <c r="AR42" s="77">
        <f>County_Flow!BO46*AR$28</f>
        <v>1980</v>
      </c>
      <c r="AS42" s="77">
        <f>County_Flow!BP46*AS$28</f>
        <v>120</v>
      </c>
      <c r="AT42" s="77">
        <f>County_Flow!BQ46*AT$28</f>
        <v>180</v>
      </c>
      <c r="AU42" s="77">
        <f>County_Flow!BR46</f>
        <v>0</v>
      </c>
      <c r="AV42" s="15">
        <f si="14" t="shared"/>
        <v>99000</v>
      </c>
      <c r="AW42" s="139">
        <f si="15" t="shared"/>
        <v>1.4698904271077631E-16</v>
      </c>
      <c r="AY42" s="95">
        <v>13</v>
      </c>
      <c r="AZ42" s="77">
        <f si="16" t="shared"/>
        <v>1679.9999999999998</v>
      </c>
      <c r="BA42" s="77">
        <f si="17" t="shared"/>
        <v>2039.9999999999998</v>
      </c>
      <c r="BB42" s="77">
        <f si="18" t="shared"/>
        <v>619.99999999999989</v>
      </c>
      <c r="BC42" s="77">
        <f si="19" t="shared"/>
        <v>519.99999999999989</v>
      </c>
      <c r="BD42" s="77">
        <f si="20" t="shared"/>
        <v>439.99999999999994</v>
      </c>
      <c r="BE42" s="77">
        <f si="21" t="shared"/>
        <v>2899.9999999999995</v>
      </c>
      <c r="BF42" s="77">
        <f si="22" t="shared"/>
        <v>18679.999999999996</v>
      </c>
      <c r="BG42" s="77">
        <f si="23" t="shared"/>
        <v>39.999999999999993</v>
      </c>
      <c r="BH42" s="77">
        <f si="24" t="shared"/>
        <v>2599.9999999999995</v>
      </c>
      <c r="BI42" s="77">
        <f si="25" t="shared"/>
        <v>439.99999999999994</v>
      </c>
      <c r="BJ42" s="77">
        <f si="26" t="shared"/>
        <v>479.99999999999994</v>
      </c>
      <c r="BK42" s="77">
        <f si="27" t="shared"/>
        <v>9419.9999999999982</v>
      </c>
      <c r="BL42" s="77">
        <f si="28" t="shared"/>
        <v>52899.999999999993</v>
      </c>
      <c r="BM42" s="77">
        <f si="29" t="shared"/>
        <v>39.999999999999993</v>
      </c>
      <c r="BN42" s="77">
        <f si="30" t="shared"/>
        <v>3779.9999999999995</v>
      </c>
      <c r="BO42" s="77">
        <f si="31" t="shared"/>
        <v>119.99999999999999</v>
      </c>
      <c r="BP42" s="77">
        <f si="32" t="shared"/>
        <v>19.999999999999996</v>
      </c>
      <c r="BQ42" s="77">
        <f si="33" t="shared"/>
        <v>1979.9999999999998</v>
      </c>
      <c r="BR42" s="77">
        <f si="34" t="shared"/>
        <v>119.99999999999999</v>
      </c>
      <c r="BS42" s="77">
        <f si="35" t="shared"/>
        <v>179.99999999999997</v>
      </c>
      <c r="BT42" s="77">
        <f si="36" t="shared"/>
        <v>0</v>
      </c>
      <c r="BU42" s="77">
        <f si="11" t="shared"/>
        <v>98999.999999999985</v>
      </c>
      <c r="BV42" s="95"/>
      <c r="BW42" s="95">
        <v>13</v>
      </c>
      <c r="BX42" s="77">
        <f si="37" t="shared"/>
        <v>286.9860206396836</v>
      </c>
      <c r="BY42" s="77">
        <f si="38" t="shared"/>
        <v>491.2003220376198</v>
      </c>
      <c r="BZ42" s="77">
        <f si="39" t="shared"/>
        <v>225.10136865988426</v>
      </c>
      <c r="CA42" s="77">
        <f si="40" t="shared"/>
        <v>187.596794261875</v>
      </c>
      <c r="CB42" s="77">
        <f si="41" t="shared"/>
        <v>39.666983824928536</v>
      </c>
      <c r="CC42" s="77">
        <f si="42" t="shared"/>
        <v>3.772963478006659</v>
      </c>
      <c r="CD42" s="77">
        <f si="43" t="shared"/>
        <v>5305.9789211739699</v>
      </c>
      <c r="CE42" s="77">
        <f si="44" t="shared"/>
        <v>19.168191466003069</v>
      </c>
      <c r="CF42" s="77">
        <f si="45" t="shared"/>
        <v>936.17250969772317</v>
      </c>
      <c r="CG42" s="77">
        <f si="46" t="shared"/>
        <v>46.912830271536222</v>
      </c>
      <c r="CH42" s="77">
        <f si="47" t="shared"/>
        <v>71.51540657249501</v>
      </c>
      <c r="CI42" s="77">
        <f si="48" t="shared"/>
        <v>3497.4262607040901</v>
      </c>
      <c r="CJ42" s="77">
        <f si="49" t="shared"/>
        <v>12429.457293420193</v>
      </c>
      <c r="CK42" s="77">
        <f si="50" t="shared"/>
        <v>13.733806631047347</v>
      </c>
      <c r="CL42" s="77">
        <f si="51" t="shared"/>
        <v>1583.6027958720629</v>
      </c>
      <c r="CM42" s="77">
        <f si="52" t="shared"/>
        <v>37.578496669838231</v>
      </c>
      <c r="CN42" s="77">
        <f si="53" t="shared"/>
        <v>15.323501427212182</v>
      </c>
      <c r="CO42" s="77">
        <f si="54" t="shared"/>
        <v>223.64305057454453</v>
      </c>
      <c r="CP42" s="77">
        <f si="55" t="shared"/>
        <v>26.709726999926801</v>
      </c>
      <c r="CQ42" s="77">
        <f si="56" t="shared"/>
        <v>97.153626582741737</v>
      </c>
      <c r="CR42" s="77">
        <f si="57" t="shared"/>
        <v>0</v>
      </c>
      <c r="CS42" s="77">
        <f si="58" t="shared"/>
        <v>0</v>
      </c>
      <c r="CU42" s="95">
        <v>41</v>
      </c>
      <c r="CV42" s="95">
        <f si="6" t="shared"/>
        <v>3</v>
      </c>
      <c r="CW42" s="95">
        <f si="0" t="shared"/>
        <v>1</v>
      </c>
      <c r="CX42" s="58">
        <f si="1" t="shared"/>
        <v>4174.0111207737109</v>
      </c>
      <c r="CY42" s="58">
        <f si="2" t="shared"/>
        <v>4879.9999999999991</v>
      </c>
      <c r="CZ42" s="108">
        <f si="3" t="shared"/>
        <v>705.98887922628819</v>
      </c>
      <c r="DA42" s="78">
        <f si="4" t="shared"/>
        <v>0.16913919460172003</v>
      </c>
      <c r="DB42" s="95">
        <v>41000</v>
      </c>
    </row>
    <row r="43" spans="2:106" x14ac:dyDescent="0.25">
      <c r="B43" s="95">
        <v>14</v>
      </c>
      <c r="C43" s="77">
        <f>Flow_ODData!C44</f>
        <v>667.1743218957663</v>
      </c>
      <c r="D43" s="77">
        <f>Flow_ODData!D44</f>
        <v>881.05738287290512</v>
      </c>
      <c r="E43" s="77">
        <f>Flow_ODData!E44</f>
        <v>359.11229991223303</v>
      </c>
      <c r="F43" s="77">
        <f>Flow_ODData!F44</f>
        <v>370.5546035859071</v>
      </c>
      <c r="G43" s="77">
        <f>Flow_ODData!G44</f>
        <v>332.70698374221593</v>
      </c>
      <c r="H43" s="77">
        <f>Flow_ODData!H44</f>
        <v>1845.7316002841978</v>
      </c>
      <c r="I43" s="77">
        <f>Flow_ODData!I44</f>
        <v>480.57675429431191</v>
      </c>
      <c r="J43" s="77">
        <f>Flow_ODData!J44</f>
        <v>242.92890876415763</v>
      </c>
      <c r="K43" s="77">
        <f>Flow_ODData!K44</f>
        <v>389.91850211058636</v>
      </c>
      <c r="L43" s="77">
        <f>Flow_ODData!L44</f>
        <v>224.44518744514565</v>
      </c>
      <c r="M43" s="77">
        <f>Flow_ODData!M44</f>
        <v>1961.9149914322732</v>
      </c>
      <c r="N43" s="77">
        <f>Flow_ODData!N44</f>
        <v>599.40067705938895</v>
      </c>
      <c r="O43" s="77">
        <f>Flow_ODData!O44</f>
        <v>53.690809545701512</v>
      </c>
      <c r="P43" s="77">
        <f>Flow_ODData!P44</f>
        <v>10485.551051113804</v>
      </c>
      <c r="Q43" s="77">
        <f>Flow_ODData!Q44</f>
        <v>78.335771304384167</v>
      </c>
      <c r="R43" s="77">
        <f>Flow_ODData!R44</f>
        <v>11.442303673674092</v>
      </c>
      <c r="S43" s="77">
        <f>Flow_ODData!S44</f>
        <v>1660.8943870940777</v>
      </c>
      <c r="T43" s="77">
        <f>Flow_ODData!T44</f>
        <v>9.6819492623396162</v>
      </c>
      <c r="U43" s="77">
        <f>Flow_ODData!U44</f>
        <v>401.36080578426044</v>
      </c>
      <c r="V43" s="77">
        <f>Flow_ODData!V44</f>
        <v>3.5207088226689511</v>
      </c>
      <c r="W43" s="77">
        <f>Flow_ODData!W44</f>
        <v>0</v>
      </c>
      <c r="X43" s="77">
        <f si="13" t="shared"/>
        <v>21060.000000000004</v>
      </c>
      <c r="Y43" s="95"/>
      <c r="Z43" s="95">
        <v>14</v>
      </c>
      <c r="AA43" s="77">
        <f>County_Flow!AX47*AA$28</f>
        <v>1220</v>
      </c>
      <c r="AB43" s="77">
        <f>County_Flow!AY47*AB$28</f>
        <v>520</v>
      </c>
      <c r="AC43" s="77">
        <f>County_Flow!AZ47*AC$28</f>
        <v>800</v>
      </c>
      <c r="AD43" s="77">
        <f>County_Flow!BA47*AD$28</f>
        <v>600</v>
      </c>
      <c r="AE43" s="77">
        <f>County_Flow!BB47*AE$28</f>
        <v>520</v>
      </c>
      <c r="AF43" s="77">
        <f>County_Flow!BC47*AF$28</f>
        <v>1500</v>
      </c>
      <c r="AG43" s="77">
        <f>County_Flow!BD47*AG$28</f>
        <v>340</v>
      </c>
      <c r="AH43" s="77">
        <f>County_Flow!BE47*AH$28</f>
        <v>440</v>
      </c>
      <c r="AI43" s="77">
        <f>County_Flow!BF47*AI$28</f>
        <v>580</v>
      </c>
      <c r="AJ43" s="77">
        <f>County_Flow!BG47*AJ$28</f>
        <v>360</v>
      </c>
      <c r="AK43" s="77">
        <f>County_Flow!BH47*AK$28</f>
        <v>2540</v>
      </c>
      <c r="AL43" s="77">
        <f>County_Flow!BI47*AL$28</f>
        <v>760</v>
      </c>
      <c r="AM43" s="77">
        <f>County_Flow!BJ47*AM$28</f>
        <v>60</v>
      </c>
      <c r="AN43" s="77">
        <f>County_Flow!BK47*AN$28</f>
        <v>8380</v>
      </c>
      <c r="AO43" s="77">
        <f>County_Flow!BL47*AO$28</f>
        <v>80</v>
      </c>
      <c r="AP43" s="77">
        <f>County_Flow!BM47*AP$28</f>
        <v>20</v>
      </c>
      <c r="AQ43" s="77">
        <f>County_Flow!BN47*AQ$28</f>
        <v>1580</v>
      </c>
      <c r="AR43" s="77">
        <f>County_Flow!BO47*AR$28</f>
        <v>40</v>
      </c>
      <c r="AS43" s="77">
        <f>County_Flow!BP47*AS$28</f>
        <v>720</v>
      </c>
      <c r="AT43" s="77">
        <f>County_Flow!BQ47*AT$28</f>
        <v>0</v>
      </c>
      <c r="AU43" s="77">
        <f>County_Flow!BR47</f>
        <v>0</v>
      </c>
      <c r="AV43" s="15">
        <f si="14" t="shared"/>
        <v>21060</v>
      </c>
      <c r="AW43" s="139">
        <f si="15" t="shared"/>
        <v>1.7274353310027123E-16</v>
      </c>
      <c r="AY43" s="95">
        <v>14</v>
      </c>
      <c r="AZ43" s="77">
        <f si="16" t="shared"/>
        <v>1220.0000000000002</v>
      </c>
      <c r="BA43" s="77">
        <f si="17" t="shared"/>
        <v>520.00000000000011</v>
      </c>
      <c r="BB43" s="77">
        <f si="18" t="shared"/>
        <v>800.00000000000023</v>
      </c>
      <c r="BC43" s="77">
        <f si="19" t="shared"/>
        <v>600.00000000000011</v>
      </c>
      <c r="BD43" s="77">
        <f si="20" t="shared"/>
        <v>520.00000000000011</v>
      </c>
      <c r="BE43" s="77">
        <f si="21" t="shared"/>
        <v>1500.0000000000002</v>
      </c>
      <c r="BF43" s="77">
        <f si="22" t="shared"/>
        <v>340.00000000000006</v>
      </c>
      <c r="BG43" s="77">
        <f si="23" t="shared"/>
        <v>440.00000000000011</v>
      </c>
      <c r="BH43" s="77">
        <f si="24" t="shared"/>
        <v>580.00000000000011</v>
      </c>
      <c r="BI43" s="77">
        <f si="25" t="shared"/>
        <v>360.00000000000006</v>
      </c>
      <c r="BJ43" s="77">
        <f si="26" t="shared"/>
        <v>2540.0000000000005</v>
      </c>
      <c r="BK43" s="77">
        <f si="27" t="shared"/>
        <v>760.00000000000011</v>
      </c>
      <c r="BL43" s="77">
        <f si="28" t="shared"/>
        <v>60.000000000000014</v>
      </c>
      <c r="BM43" s="77">
        <f si="29" t="shared"/>
        <v>8380.0000000000018</v>
      </c>
      <c r="BN43" s="77">
        <f si="30" t="shared"/>
        <v>80.000000000000014</v>
      </c>
      <c r="BO43" s="77">
        <f si="31" t="shared"/>
        <v>20.000000000000004</v>
      </c>
      <c r="BP43" s="77">
        <f si="32" t="shared"/>
        <v>1580.0000000000005</v>
      </c>
      <c r="BQ43" s="77">
        <f si="33" t="shared"/>
        <v>40.000000000000007</v>
      </c>
      <c r="BR43" s="77">
        <f si="34" t="shared"/>
        <v>720.00000000000011</v>
      </c>
      <c r="BS43" s="77">
        <f si="35" t="shared"/>
        <v>0</v>
      </c>
      <c r="BT43" s="77">
        <f si="36" t="shared"/>
        <v>0</v>
      </c>
      <c r="BU43" s="77">
        <f si="11" t="shared"/>
        <v>21060.000000000004</v>
      </c>
      <c r="BV43" s="95"/>
      <c r="BW43" s="95">
        <v>14</v>
      </c>
      <c r="BX43" s="77">
        <f si="37" t="shared"/>
        <v>552.82567810423393</v>
      </c>
      <c r="BY43" s="77">
        <f si="38" t="shared"/>
        <v>361.05738287290501</v>
      </c>
      <c r="BZ43" s="77">
        <f si="39" t="shared"/>
        <v>440.8877000877672</v>
      </c>
      <c r="CA43" s="77">
        <f si="40" t="shared"/>
        <v>229.44539641409301</v>
      </c>
      <c r="CB43" s="77">
        <f si="41" t="shared"/>
        <v>187.29301625778419</v>
      </c>
      <c r="CC43" s="77">
        <f si="42" t="shared"/>
        <v>345.73160028419761</v>
      </c>
      <c r="CD43" s="77">
        <f si="43" t="shared"/>
        <v>140.57675429431185</v>
      </c>
      <c r="CE43" s="77">
        <f si="44" t="shared"/>
        <v>197.07109123584249</v>
      </c>
      <c r="CF43" s="77">
        <f si="45" t="shared"/>
        <v>190.08149788941375</v>
      </c>
      <c r="CG43" s="77">
        <f si="46" t="shared"/>
        <v>135.55481255485441</v>
      </c>
      <c r="CH43" s="77">
        <f si="47" t="shared"/>
        <v>578.0850085677273</v>
      </c>
      <c r="CI43" s="77">
        <f si="48" t="shared"/>
        <v>160.59932294061116</v>
      </c>
      <c r="CJ43" s="77">
        <f si="49" t="shared"/>
        <v>6.309190454298502</v>
      </c>
      <c r="CK43" s="77">
        <f si="50" t="shared"/>
        <v>2105.5510511138018</v>
      </c>
      <c r="CL43" s="77">
        <f si="51" t="shared"/>
        <v>1.6642286956158472</v>
      </c>
      <c r="CM43" s="77">
        <f si="52" t="shared"/>
        <v>8.557696326325912</v>
      </c>
      <c r="CN43" s="77">
        <f si="53" t="shared"/>
        <v>80.894387094077274</v>
      </c>
      <c r="CO43" s="77">
        <f si="54" t="shared"/>
        <v>30.318050737660393</v>
      </c>
      <c r="CP43" s="77">
        <f si="55" t="shared"/>
        <v>318.63919421573968</v>
      </c>
      <c r="CQ43" s="77">
        <f si="56" t="shared"/>
        <v>3.5207088226689511</v>
      </c>
      <c r="CR43" s="77">
        <f si="57" t="shared"/>
        <v>0</v>
      </c>
      <c r="CS43" s="77">
        <f si="58" t="shared"/>
        <v>0</v>
      </c>
      <c r="CU43" s="95">
        <v>42</v>
      </c>
      <c r="CV43" s="95">
        <f si="6" t="shared"/>
        <v>3</v>
      </c>
      <c r="CW43" s="95">
        <f si="0" t="shared"/>
        <v>2</v>
      </c>
      <c r="CX43" s="58">
        <f si="1" t="shared"/>
        <v>2525.3242680580811</v>
      </c>
      <c r="CY43" s="58">
        <f si="2" t="shared"/>
        <v>2619.9999999999995</v>
      </c>
      <c r="CZ43" s="108">
        <f si="3" t="shared"/>
        <v>94.675731941918457</v>
      </c>
      <c r="DA43" s="78">
        <f si="4" t="shared"/>
        <v>3.7490524737530839E-2</v>
      </c>
      <c r="DB43" s="95">
        <v>42000</v>
      </c>
    </row>
    <row r="44" spans="2:106" x14ac:dyDescent="0.25">
      <c r="B44" s="95">
        <v>15</v>
      </c>
      <c r="C44" s="77">
        <f>Flow_ODData!C45</f>
        <v>891.54209697181875</v>
      </c>
      <c r="D44" s="77">
        <f>Flow_ODData!D45</f>
        <v>1507.5862068965516</v>
      </c>
      <c r="E44" s="77">
        <f>Flow_ODData!E45</f>
        <v>210.44985121652371</v>
      </c>
      <c r="F44" s="77">
        <f>Flow_ODData!F45</f>
        <v>316.63136705758797</v>
      </c>
      <c r="G44" s="77">
        <f>Flow_ODData!G45</f>
        <v>333.84999124803079</v>
      </c>
      <c r="H44" s="77">
        <f>Flow_ODData!H45</f>
        <v>1598.4622790127778</v>
      </c>
      <c r="I44" s="77">
        <f>Flow_ODData!I45</f>
        <v>2653.5813057938035</v>
      </c>
      <c r="J44" s="77">
        <f>Flow_ODData!J45</f>
        <v>34.437248380885698</v>
      </c>
      <c r="K44" s="77">
        <f>Flow_ODData!K45</f>
        <v>4818.3450026255905</v>
      </c>
      <c r="L44" s="77">
        <f>Flow_ODData!L45</f>
        <v>154.01102748118328</v>
      </c>
      <c r="M44" s="77">
        <f>Flow_ODData!M45</f>
        <v>746.14038158585686</v>
      </c>
      <c r="N44" s="77">
        <f>Flow_ODData!N45</f>
        <v>1701.774024155435</v>
      </c>
      <c r="O44" s="77">
        <f>Flow_ODData!O45</f>
        <v>3846.4493260983722</v>
      </c>
      <c r="P44" s="77">
        <f>Flow_ODData!P45</f>
        <v>15.305443724838089</v>
      </c>
      <c r="Q44" s="77">
        <f>Flow_ODData!Q45</f>
        <v>23761.70138281113</v>
      </c>
      <c r="R44" s="77">
        <f>Flow_ODData!R45</f>
        <v>22.001575354454754</v>
      </c>
      <c r="S44" s="77">
        <f>Flow_ODData!S45</f>
        <v>141.57535445475233</v>
      </c>
      <c r="T44" s="77">
        <f>Flow_ODData!T45</f>
        <v>106.18151584106423</v>
      </c>
      <c r="U44" s="77">
        <f>Flow_ODData!U45</f>
        <v>842.75599509889719</v>
      </c>
      <c r="V44" s="77">
        <f>Flow_ODData!V45</f>
        <v>17.218624190442849</v>
      </c>
      <c r="W44" s="77">
        <f>Flow_ODData!W45</f>
        <v>0</v>
      </c>
      <c r="X44" s="77">
        <f si="13" t="shared"/>
        <v>43719.999999999993</v>
      </c>
      <c r="Y44" s="95"/>
      <c r="Z44" s="95">
        <v>15</v>
      </c>
      <c r="AA44" s="77">
        <f>County_Flow!AX48*AA$28</f>
        <v>1180</v>
      </c>
      <c r="AB44" s="77">
        <f>County_Flow!AY48*AB$28</f>
        <v>1500</v>
      </c>
      <c r="AC44" s="77">
        <f>County_Flow!AZ48*AC$28</f>
        <v>720</v>
      </c>
      <c r="AD44" s="77">
        <f>County_Flow!BA48*AD$28</f>
        <v>360</v>
      </c>
      <c r="AE44" s="77">
        <f>County_Flow!BB48*AE$28</f>
        <v>480</v>
      </c>
      <c r="AF44" s="77">
        <f>County_Flow!BC48*AF$28</f>
        <v>1960</v>
      </c>
      <c r="AG44" s="77">
        <f>County_Flow!BD48*AG$28</f>
        <v>2600</v>
      </c>
      <c r="AH44" s="77">
        <f>County_Flow!BE48*AH$28</f>
        <v>20</v>
      </c>
      <c r="AI44" s="77">
        <f>County_Flow!BF48*AI$28</f>
        <v>4680</v>
      </c>
      <c r="AJ44" s="77">
        <f>County_Flow!BG48*AJ$28</f>
        <v>260</v>
      </c>
      <c r="AK44" s="77">
        <f>County_Flow!BH48*AK$28</f>
        <v>1320</v>
      </c>
      <c r="AL44" s="77">
        <f>County_Flow!BI48*AL$28</f>
        <v>1900</v>
      </c>
      <c r="AM44" s="77">
        <f>County_Flow!BJ48*AM$28</f>
        <v>6600</v>
      </c>
      <c r="AN44" s="77">
        <f>County_Flow!BK48*AN$28</f>
        <v>100</v>
      </c>
      <c r="AO44" s="77">
        <f>County_Flow!BL48*AO$28</f>
        <v>18580</v>
      </c>
      <c r="AP44" s="77">
        <f>County_Flow!BM48*AP$28</f>
        <v>0</v>
      </c>
      <c r="AQ44" s="77">
        <f>County_Flow!BN48*AQ$28</f>
        <v>160</v>
      </c>
      <c r="AR44" s="77">
        <f>County_Flow!BO48*AR$28</f>
        <v>60</v>
      </c>
      <c r="AS44" s="77">
        <f>County_Flow!BP48*AS$28</f>
        <v>1220</v>
      </c>
      <c r="AT44" s="77">
        <f>County_Flow!BQ48*AT$28</f>
        <v>20</v>
      </c>
      <c r="AU44" s="77">
        <f>County_Flow!BR48</f>
        <v>0</v>
      </c>
      <c r="AV44" s="15">
        <f si="14" t="shared"/>
        <v>43720</v>
      </c>
      <c r="AW44" s="139">
        <f si="15" t="shared"/>
        <v>1.664217203610116E-16</v>
      </c>
      <c r="AY44" s="95">
        <v>15</v>
      </c>
      <c r="AZ44" s="77">
        <f si="16" t="shared"/>
        <v>1179.9999999999998</v>
      </c>
      <c r="BA44" s="77">
        <f si="17" t="shared"/>
        <v>1499.9999999999998</v>
      </c>
      <c r="BB44" s="77">
        <f si="18" t="shared"/>
        <v>719.99999999999989</v>
      </c>
      <c r="BC44" s="77">
        <f si="19" t="shared"/>
        <v>359.99999999999994</v>
      </c>
      <c r="BD44" s="77">
        <f si="20" t="shared"/>
        <v>479.99999999999994</v>
      </c>
      <c r="BE44" s="77">
        <f si="21" t="shared"/>
        <v>1959.9999999999998</v>
      </c>
      <c r="BF44" s="77">
        <f si="22" t="shared"/>
        <v>2599.9999999999995</v>
      </c>
      <c r="BG44" s="77">
        <f si="23" t="shared"/>
        <v>19.999999999999996</v>
      </c>
      <c r="BH44" s="77">
        <f si="24" t="shared"/>
        <v>4679.9999999999991</v>
      </c>
      <c r="BI44" s="77">
        <f si="25" t="shared"/>
        <v>259.99999999999994</v>
      </c>
      <c r="BJ44" s="77">
        <f si="26" t="shared"/>
        <v>1319.9999999999998</v>
      </c>
      <c r="BK44" s="77">
        <f si="27" t="shared"/>
        <v>1899.9999999999998</v>
      </c>
      <c r="BL44" s="77">
        <f si="28" t="shared"/>
        <v>6599.9999999999991</v>
      </c>
      <c r="BM44" s="77">
        <f si="29" t="shared"/>
        <v>99.999999999999986</v>
      </c>
      <c r="BN44" s="77">
        <f si="30" t="shared"/>
        <v>18579.999999999996</v>
      </c>
      <c r="BO44" s="77">
        <f si="31" t="shared"/>
        <v>0</v>
      </c>
      <c r="BP44" s="77">
        <f si="32" t="shared"/>
        <v>159.99999999999997</v>
      </c>
      <c r="BQ44" s="77">
        <f si="33" t="shared"/>
        <v>59.999999999999993</v>
      </c>
      <c r="BR44" s="77">
        <f si="34" t="shared"/>
        <v>1219.9999999999998</v>
      </c>
      <c r="BS44" s="77">
        <f si="35" t="shared"/>
        <v>19.999999999999996</v>
      </c>
      <c r="BT44" s="77">
        <f si="36" t="shared"/>
        <v>0</v>
      </c>
      <c r="BU44" s="77">
        <f si="11" t="shared"/>
        <v>43719.999999999993</v>
      </c>
      <c r="BV44" s="95"/>
      <c r="BW44" s="95">
        <v>15</v>
      </c>
      <c r="BX44" s="77">
        <f si="37" t="shared"/>
        <v>288.45790302818102</v>
      </c>
      <c r="BY44" s="77">
        <f si="38" t="shared"/>
        <v>7.5862068965518574</v>
      </c>
      <c r="BZ44" s="77">
        <f si="39" t="shared"/>
        <v>509.55014878347617</v>
      </c>
      <c r="CA44" s="77">
        <f si="40" t="shared"/>
        <v>43.368632942411978</v>
      </c>
      <c r="CB44" s="77">
        <f si="41" t="shared"/>
        <v>146.15000875196915</v>
      </c>
      <c r="CC44" s="77">
        <f si="42" t="shared"/>
        <v>361.53772098722197</v>
      </c>
      <c r="CD44" s="77">
        <f si="43" t="shared"/>
        <v>53.581305793803949</v>
      </c>
      <c r="CE44" s="77">
        <f si="44" t="shared"/>
        <v>14.437248380885702</v>
      </c>
      <c r="CF44" s="77">
        <f si="45" t="shared"/>
        <v>138.34500262559141</v>
      </c>
      <c r="CG44" s="77">
        <f si="46" t="shared"/>
        <v>105.98897251881667</v>
      </c>
      <c r="CH44" s="77">
        <f si="47" t="shared"/>
        <v>573.85961841414291</v>
      </c>
      <c r="CI44" s="77">
        <f si="48" t="shared"/>
        <v>198.2259758445648</v>
      </c>
      <c r="CJ44" s="77">
        <f si="49" t="shared"/>
        <v>2753.5506739016269</v>
      </c>
      <c r="CK44" s="77">
        <f si="50" t="shared"/>
        <v>84.694556275161901</v>
      </c>
      <c r="CL44" s="77">
        <f si="51" t="shared"/>
        <v>5181.701382811134</v>
      </c>
      <c r="CM44" s="77">
        <f si="52" t="shared"/>
        <v>22.001575354454754</v>
      </c>
      <c r="CN44" s="77">
        <f si="53" t="shared"/>
        <v>18.424645545247643</v>
      </c>
      <c r="CO44" s="77">
        <f si="54" t="shared"/>
        <v>46.181515841064233</v>
      </c>
      <c r="CP44" s="77">
        <f si="55" t="shared"/>
        <v>377.24400490110258</v>
      </c>
      <c r="CQ44" s="77">
        <f si="56" t="shared"/>
        <v>2.7813758095571472</v>
      </c>
      <c r="CR44" s="77">
        <f si="57" t="shared"/>
        <v>0</v>
      </c>
      <c r="CS44" s="77">
        <f si="58" t="shared"/>
        <v>0</v>
      </c>
      <c r="CU44" s="95">
        <v>43</v>
      </c>
      <c r="CV44" s="95">
        <f si="6" t="shared"/>
        <v>3</v>
      </c>
      <c r="CW44" s="95">
        <f si="0" t="shared"/>
        <v>3</v>
      </c>
      <c r="CX44" s="58">
        <f si="1" t="shared"/>
        <v>7632.0699923577622</v>
      </c>
      <c r="CY44" s="58">
        <f si="2" t="shared"/>
        <v>4119.9999999999991</v>
      </c>
      <c r="CZ44" s="108">
        <f si="3" t="shared"/>
        <v>-3512.0699923577631</v>
      </c>
      <c r="DA44" s="78">
        <f si="4" t="shared"/>
        <v>-0.46017266559066045</v>
      </c>
      <c r="DB44" s="95">
        <v>43000</v>
      </c>
    </row>
    <row r="45" spans="2:106" x14ac:dyDescent="0.25">
      <c r="B45" s="95">
        <v>16</v>
      </c>
      <c r="C45" s="77">
        <f>Flow_ODData!C46</f>
        <v>1231.833354731031</v>
      </c>
      <c r="D45" s="77">
        <f>Flow_ODData!D46</f>
        <v>591.02580562331502</v>
      </c>
      <c r="E45" s="77">
        <f>Flow_ODData!E46</f>
        <v>323.0517396328155</v>
      </c>
      <c r="F45" s="77">
        <f>Flow_ODData!F46</f>
        <v>367.53755295930159</v>
      </c>
      <c r="G45" s="77">
        <f>Flow_ODData!G46</f>
        <v>515.8235973809218</v>
      </c>
      <c r="H45" s="77">
        <f>Flow_ODData!H46</f>
        <v>3170.1437925279238</v>
      </c>
      <c r="I45" s="77">
        <f>Flow_ODData!I46</f>
        <v>406.72743612787264</v>
      </c>
      <c r="J45" s="77">
        <f>Flow_ODData!J46</f>
        <v>62.491975863397094</v>
      </c>
      <c r="K45" s="77">
        <f>Flow_ODData!K46</f>
        <v>416.26011041211967</v>
      </c>
      <c r="L45" s="77">
        <f>Flow_ODData!L46</f>
        <v>1773.0774168699447</v>
      </c>
      <c r="M45" s="77">
        <f>Flow_ODData!M46</f>
        <v>292.33534471690848</v>
      </c>
      <c r="N45" s="77">
        <f>Flow_ODData!N46</f>
        <v>4289.7034279111567</v>
      </c>
      <c r="O45" s="77">
        <f>Flow_ODData!O46</f>
        <v>63.551161894980098</v>
      </c>
      <c r="P45" s="77">
        <f>Flow_ODData!P46</f>
        <v>32.834766979073052</v>
      </c>
      <c r="Q45" s="77">
        <f>Flow_ODData!Q46</f>
        <v>11.651046347413018</v>
      </c>
      <c r="R45" s="77">
        <f>Flow_ODData!R46</f>
        <v>2550.5199640518681</v>
      </c>
      <c r="S45" s="77">
        <f>Flow_ODData!S46</f>
        <v>10.591860315830017</v>
      </c>
      <c r="T45" s="77">
        <f>Flow_ODData!T46</f>
        <v>249.96790345358838</v>
      </c>
      <c r="U45" s="77">
        <f>Flow_ODData!U46</f>
        <v>67.787906021312111</v>
      </c>
      <c r="V45" s="77">
        <f>Flow_ODData!V46</f>
        <v>73.08383617922712</v>
      </c>
      <c r="W45" s="77">
        <f>Flow_ODData!W46</f>
        <v>0</v>
      </c>
      <c r="X45" s="77">
        <f si="13" t="shared"/>
        <v>16499.999999999996</v>
      </c>
      <c r="Y45" s="95"/>
      <c r="Z45" s="95">
        <v>16</v>
      </c>
      <c r="AA45" s="77">
        <f>County_Flow!AX49*AA$28</f>
        <v>1200</v>
      </c>
      <c r="AB45" s="77">
        <f>County_Flow!AY49*AB$28</f>
        <v>420</v>
      </c>
      <c r="AC45" s="77">
        <f>County_Flow!AZ49*AC$28</f>
        <v>340</v>
      </c>
      <c r="AD45" s="77">
        <f>County_Flow!BA49*AD$28</f>
        <v>540</v>
      </c>
      <c r="AE45" s="77">
        <f>County_Flow!BB49*AE$28</f>
        <v>700</v>
      </c>
      <c r="AF45" s="77">
        <f>County_Flow!BC49*AF$28</f>
        <v>2620</v>
      </c>
      <c r="AG45" s="77">
        <f>County_Flow!BD49*AG$28</f>
        <v>440</v>
      </c>
      <c r="AH45" s="77">
        <f>County_Flow!BE49*AH$28</f>
        <v>40</v>
      </c>
      <c r="AI45" s="77">
        <f>County_Flow!BF49*AI$28</f>
        <v>400</v>
      </c>
      <c r="AJ45" s="77">
        <f>County_Flow!BG49*AJ$28</f>
        <v>1180</v>
      </c>
      <c r="AK45" s="77">
        <f>County_Flow!BH49*AK$28</f>
        <v>180</v>
      </c>
      <c r="AL45" s="77">
        <f>County_Flow!BI49*AL$28</f>
        <v>5700</v>
      </c>
      <c r="AM45" s="77">
        <f>County_Flow!BJ49*AM$28</f>
        <v>200</v>
      </c>
      <c r="AN45" s="77">
        <f>County_Flow!BK49*AN$28</f>
        <v>20</v>
      </c>
      <c r="AO45" s="77">
        <f>County_Flow!BL49*AO$28</f>
        <v>100</v>
      </c>
      <c r="AP45" s="77">
        <f>County_Flow!BM49*AP$28</f>
        <v>1520</v>
      </c>
      <c r="AQ45" s="77">
        <f>County_Flow!BN49*AQ$28</f>
        <v>20</v>
      </c>
      <c r="AR45" s="77">
        <f>County_Flow!BO49*AR$28</f>
        <v>520</v>
      </c>
      <c r="AS45" s="77">
        <f>County_Flow!BP49*AS$28</f>
        <v>60</v>
      </c>
      <c r="AT45" s="77">
        <f>County_Flow!BQ49*AT$28</f>
        <v>300</v>
      </c>
      <c r="AU45" s="77">
        <f>County_Flow!BR49</f>
        <v>0</v>
      </c>
      <c r="AV45" s="15">
        <f si="14" t="shared"/>
        <v>16500</v>
      </c>
      <c r="AW45" s="139">
        <f si="15" t="shared"/>
        <v>2.2048356406616447E-16</v>
      </c>
      <c r="AY45" s="95">
        <v>16</v>
      </c>
      <c r="AZ45" s="77">
        <f si="16" t="shared"/>
        <v>1199.9999999999998</v>
      </c>
      <c r="BA45" s="77">
        <f si="17" t="shared"/>
        <v>419.99999999999989</v>
      </c>
      <c r="BB45" s="77">
        <f si="18" t="shared"/>
        <v>339.99999999999994</v>
      </c>
      <c r="BC45" s="77">
        <f si="19" t="shared"/>
        <v>539.99999999999989</v>
      </c>
      <c r="BD45" s="77">
        <f si="20" t="shared"/>
        <v>699.99999999999989</v>
      </c>
      <c r="BE45" s="77">
        <f si="21" t="shared"/>
        <v>2619.9999999999995</v>
      </c>
      <c r="BF45" s="77">
        <f si="22" t="shared"/>
        <v>439.99999999999989</v>
      </c>
      <c r="BG45" s="77">
        <f si="23" t="shared"/>
        <v>39.999999999999993</v>
      </c>
      <c r="BH45" s="77">
        <f si="24" t="shared"/>
        <v>399.99999999999989</v>
      </c>
      <c r="BI45" s="77">
        <f si="25" t="shared"/>
        <v>1179.9999999999998</v>
      </c>
      <c r="BJ45" s="77">
        <f si="26" t="shared"/>
        <v>179.99999999999997</v>
      </c>
      <c r="BK45" s="77">
        <f si="27" t="shared"/>
        <v>5699.9999999999991</v>
      </c>
      <c r="BL45" s="77">
        <f si="28" t="shared"/>
        <v>199.99999999999994</v>
      </c>
      <c r="BM45" s="77">
        <f si="29" t="shared"/>
        <v>19.999999999999996</v>
      </c>
      <c r="BN45" s="77">
        <f si="30" t="shared"/>
        <v>99.999999999999972</v>
      </c>
      <c r="BO45" s="77">
        <f si="31" t="shared"/>
        <v>1519.9999999999998</v>
      </c>
      <c r="BP45" s="77">
        <f si="32" t="shared"/>
        <v>19.999999999999996</v>
      </c>
      <c r="BQ45" s="77">
        <f si="33" t="shared"/>
        <v>519.99999999999989</v>
      </c>
      <c r="BR45" s="77">
        <f si="34" t="shared"/>
        <v>59.999999999999986</v>
      </c>
      <c r="BS45" s="77">
        <f si="35" t="shared"/>
        <v>299.99999999999994</v>
      </c>
      <c r="BT45" s="77">
        <f si="36" t="shared"/>
        <v>0</v>
      </c>
      <c r="BU45" s="77">
        <f si="11" t="shared"/>
        <v>16499.999999999996</v>
      </c>
      <c r="BV45" s="95"/>
      <c r="BW45" s="95">
        <v>16</v>
      </c>
      <c r="BX45" s="77">
        <f si="37" t="shared"/>
        <v>31.83335473103125</v>
      </c>
      <c r="BY45" s="77">
        <f si="38" t="shared"/>
        <v>171.02580562331514</v>
      </c>
      <c r="BZ45" s="77">
        <f si="39" t="shared"/>
        <v>16.948260367184446</v>
      </c>
      <c r="CA45" s="77">
        <f si="40" t="shared"/>
        <v>172.46244704069829</v>
      </c>
      <c r="CB45" s="77">
        <f si="41" t="shared"/>
        <v>184.17640261907809</v>
      </c>
      <c r="CC45" s="77">
        <f si="42" t="shared"/>
        <v>550.14379252792423</v>
      </c>
      <c r="CD45" s="77">
        <f si="43" t="shared"/>
        <v>33.27256387212725</v>
      </c>
      <c r="CE45" s="77">
        <f si="44" t="shared"/>
        <v>22.491975863397101</v>
      </c>
      <c r="CF45" s="77">
        <f si="45" t="shared"/>
        <v>16.260110412119786</v>
      </c>
      <c r="CG45" s="77">
        <f si="46" t="shared"/>
        <v>593.07741686994495</v>
      </c>
      <c r="CH45" s="77">
        <f si="47" t="shared"/>
        <v>112.33534471690851</v>
      </c>
      <c r="CI45" s="77">
        <f si="48" t="shared"/>
        <v>1410.2965720888424</v>
      </c>
      <c r="CJ45" s="77">
        <f si="49" t="shared"/>
        <v>136.44883810501983</v>
      </c>
      <c r="CK45" s="77">
        <f si="50" t="shared"/>
        <v>12.834766979073056</v>
      </c>
      <c r="CL45" s="77">
        <f si="51" t="shared"/>
        <v>88.348953652586957</v>
      </c>
      <c r="CM45" s="77">
        <f si="52" t="shared"/>
        <v>1030.5199640518683</v>
      </c>
      <c r="CN45" s="77">
        <f si="53" t="shared"/>
        <v>9.4081396841699796</v>
      </c>
      <c r="CO45" s="77">
        <f si="54" t="shared"/>
        <v>270.03209654641148</v>
      </c>
      <c r="CP45" s="77">
        <f si="55" t="shared"/>
        <v>7.7879060213121249</v>
      </c>
      <c r="CQ45" s="77">
        <f si="56" t="shared"/>
        <v>226.91616382077282</v>
      </c>
      <c r="CR45" s="77">
        <f si="57" t="shared"/>
        <v>0</v>
      </c>
      <c r="CS45" s="77">
        <f si="58" t="shared"/>
        <v>0</v>
      </c>
      <c r="CU45" s="95">
        <v>44</v>
      </c>
      <c r="CV45" s="95">
        <f si="6" t="shared"/>
        <v>3</v>
      </c>
      <c r="CW45" s="95">
        <f si="0" t="shared"/>
        <v>4</v>
      </c>
      <c r="CX45" s="58">
        <f si="1" t="shared"/>
        <v>1645.8344533164677</v>
      </c>
      <c r="CY45" s="58">
        <f si="2" t="shared"/>
        <v>1759.9999999999995</v>
      </c>
      <c r="CZ45" s="108">
        <f si="3" t="shared"/>
        <v>114.16554668353183</v>
      </c>
      <c r="DA45" s="78">
        <f si="4" t="shared"/>
        <v>6.936636090797621E-2</v>
      </c>
      <c r="DB45" s="95">
        <v>44000</v>
      </c>
    </row>
    <row r="46" spans="2:106" x14ac:dyDescent="0.25">
      <c r="B46" s="95">
        <v>17</v>
      </c>
      <c r="C46" s="77">
        <f>Flow_ODData!C47</f>
        <v>902.57449344457689</v>
      </c>
      <c r="D46" s="77">
        <f>Flow_ODData!D47</f>
        <v>969.79921151554038</v>
      </c>
      <c r="E46" s="77">
        <f>Flow_ODData!E47</f>
        <v>403.34830842578162</v>
      </c>
      <c r="F46" s="77">
        <f>Flow_ODData!F47</f>
        <v>434.2055560649124</v>
      </c>
      <c r="G46" s="77">
        <f>Flow_ODData!G47</f>
        <v>386.81764004767587</v>
      </c>
      <c r="H46" s="77">
        <f>Flow_ODData!H47</f>
        <v>1628.8218575226917</v>
      </c>
      <c r="I46" s="77">
        <f>Flow_ODData!I47</f>
        <v>523.47116530668382</v>
      </c>
      <c r="J46" s="77">
        <f>Flow_ODData!J47</f>
        <v>296.44998624736405</v>
      </c>
      <c r="K46" s="77">
        <f>Flow_ODData!K47</f>
        <v>610.53268543137438</v>
      </c>
      <c r="L46" s="77">
        <f>Flow_ODData!L47</f>
        <v>126.73512423214449</v>
      </c>
      <c r="M46" s="77">
        <f>Flow_ODData!M47</f>
        <v>3975.0747226551757</v>
      </c>
      <c r="N46" s="77">
        <f>Flow_ODData!N47</f>
        <v>657.92060144861102</v>
      </c>
      <c r="O46" s="77">
        <f>Flow_ODData!O47</f>
        <v>171.91895113230035</v>
      </c>
      <c r="P46" s="77">
        <f>Flow_ODData!P47</f>
        <v>1679.5159072155495</v>
      </c>
      <c r="Q46" s="77">
        <f>Flow_ODData!Q47</f>
        <v>165.30668378105804</v>
      </c>
      <c r="R46" s="77">
        <f>Flow_ODData!R47</f>
        <v>11.020445585403868</v>
      </c>
      <c r="S46" s="77">
        <f>Flow_ODData!S47</f>
        <v>7780.4345832951312</v>
      </c>
      <c r="T46" s="77">
        <f>Flow_ODData!T47</f>
        <v>0</v>
      </c>
      <c r="U46" s="77">
        <f>Flow_ODData!U47</f>
        <v>3310.5418538553226</v>
      </c>
      <c r="V46" s="77">
        <f>Flow_ODData!V47</f>
        <v>5.510222792701934</v>
      </c>
      <c r="W46" s="77">
        <f>Flow_ODData!W47</f>
        <v>0</v>
      </c>
      <c r="X46" s="77">
        <f si="13" t="shared"/>
        <v>24040</v>
      </c>
      <c r="Y46" s="95"/>
      <c r="Z46" s="95">
        <v>17</v>
      </c>
      <c r="AA46" s="77">
        <f>County_Flow!AX50*AA$28</f>
        <v>860</v>
      </c>
      <c r="AB46" s="77">
        <f>County_Flow!AY50*AB$28</f>
        <v>620</v>
      </c>
      <c r="AC46" s="77">
        <f>County_Flow!AZ50*AC$28</f>
        <v>840</v>
      </c>
      <c r="AD46" s="77">
        <f>County_Flow!BA50*AD$28</f>
        <v>460</v>
      </c>
      <c r="AE46" s="77">
        <f>County_Flow!BB50*AE$28</f>
        <v>340</v>
      </c>
      <c r="AF46" s="77">
        <f>County_Flow!BC50*AF$28</f>
        <v>1740</v>
      </c>
      <c r="AG46" s="77">
        <f>County_Flow!BD50*AG$28</f>
        <v>200</v>
      </c>
      <c r="AH46" s="77">
        <f>County_Flow!BE50*AH$28</f>
        <v>360</v>
      </c>
      <c r="AI46" s="77">
        <f>County_Flow!BF50*AI$28</f>
        <v>700</v>
      </c>
      <c r="AJ46" s="77">
        <f>County_Flow!BG50*AJ$28</f>
        <v>160</v>
      </c>
      <c r="AK46" s="77">
        <f>County_Flow!BH50*AK$28</f>
        <v>3960</v>
      </c>
      <c r="AL46" s="77">
        <f>County_Flow!BI50*AL$28</f>
        <v>820</v>
      </c>
      <c r="AM46" s="77">
        <f>County_Flow!BJ50*AM$28</f>
        <v>80</v>
      </c>
      <c r="AN46" s="77">
        <f>County_Flow!BK50*AN$28</f>
        <v>2700</v>
      </c>
      <c r="AO46" s="77">
        <f>County_Flow!BL50*AO$28</f>
        <v>360</v>
      </c>
      <c r="AP46" s="77">
        <f>County_Flow!BM50*AP$28</f>
        <v>0</v>
      </c>
      <c r="AQ46" s="77">
        <f>County_Flow!BN50*AQ$28</f>
        <v>5720</v>
      </c>
      <c r="AR46" s="77">
        <f>County_Flow!BO50*AR$28</f>
        <v>0</v>
      </c>
      <c r="AS46" s="77">
        <f>County_Flow!BP50*AS$28</f>
        <v>4120</v>
      </c>
      <c r="AT46" s="77">
        <f>County_Flow!BQ50*AT$28</f>
        <v>0</v>
      </c>
      <c r="AU46" s="77">
        <f>County_Flow!BR50</f>
        <v>0</v>
      </c>
      <c r="AV46" s="15">
        <f si="14" t="shared"/>
        <v>24040</v>
      </c>
      <c r="AW46" s="139">
        <f si="15" t="shared"/>
        <v>0</v>
      </c>
      <c r="AY46" s="95">
        <v>17</v>
      </c>
      <c r="AZ46" s="77">
        <f si="16" t="shared"/>
        <v>860</v>
      </c>
      <c r="BA46" s="77">
        <f si="17" t="shared"/>
        <v>620</v>
      </c>
      <c r="BB46" s="77">
        <f si="18" t="shared"/>
        <v>840</v>
      </c>
      <c r="BC46" s="77">
        <f si="19" t="shared"/>
        <v>460</v>
      </c>
      <c r="BD46" s="77">
        <f si="20" t="shared"/>
        <v>340</v>
      </c>
      <c r="BE46" s="77">
        <f si="21" t="shared"/>
        <v>1740</v>
      </c>
      <c r="BF46" s="77">
        <f si="22" t="shared"/>
        <v>200</v>
      </c>
      <c r="BG46" s="77">
        <f si="23" t="shared"/>
        <v>360</v>
      </c>
      <c r="BH46" s="77">
        <f si="24" t="shared"/>
        <v>700</v>
      </c>
      <c r="BI46" s="77">
        <f si="25" t="shared"/>
        <v>160</v>
      </c>
      <c r="BJ46" s="77">
        <f si="26" t="shared"/>
        <v>3960</v>
      </c>
      <c r="BK46" s="77">
        <f si="27" t="shared"/>
        <v>820</v>
      </c>
      <c r="BL46" s="77">
        <f si="28" t="shared"/>
        <v>80</v>
      </c>
      <c r="BM46" s="77">
        <f si="29" t="shared"/>
        <v>2700</v>
      </c>
      <c r="BN46" s="77">
        <f si="30" t="shared"/>
        <v>360</v>
      </c>
      <c r="BO46" s="77">
        <f si="31" t="shared"/>
        <v>0</v>
      </c>
      <c r="BP46" s="77">
        <f si="32" t="shared"/>
        <v>5720</v>
      </c>
      <c r="BQ46" s="77">
        <f si="33" t="shared"/>
        <v>0</v>
      </c>
      <c r="BR46" s="77">
        <f si="34" t="shared"/>
        <v>4120</v>
      </c>
      <c r="BS46" s="77">
        <f si="35" t="shared"/>
        <v>0</v>
      </c>
      <c r="BT46" s="77">
        <f si="36" t="shared"/>
        <v>0</v>
      </c>
      <c r="BU46" s="77">
        <f si="11" t="shared"/>
        <v>24040</v>
      </c>
      <c r="BV46" s="95"/>
      <c r="BW46" s="95">
        <v>17</v>
      </c>
      <c r="BX46" s="77">
        <f si="37" t="shared"/>
        <v>42.574493444576888</v>
      </c>
      <c r="BY46" s="77">
        <f si="38" t="shared"/>
        <v>349.79921151554038</v>
      </c>
      <c r="BZ46" s="77">
        <f si="39" t="shared"/>
        <v>436.65169157421838</v>
      </c>
      <c r="CA46" s="77">
        <f si="40" t="shared"/>
        <v>25.7944439350876</v>
      </c>
      <c r="CB46" s="77">
        <f si="41" t="shared"/>
        <v>46.817640047675866</v>
      </c>
      <c r="CC46" s="77">
        <f si="42" t="shared"/>
        <v>111.17814247730826</v>
      </c>
      <c r="CD46" s="77">
        <f si="43" t="shared"/>
        <v>323.47116530668382</v>
      </c>
      <c r="CE46" s="77">
        <f si="44" t="shared"/>
        <v>63.550013752635948</v>
      </c>
      <c r="CF46" s="77">
        <f si="45" t="shared"/>
        <v>89.467314568625625</v>
      </c>
      <c r="CG46" s="77">
        <f si="46" t="shared"/>
        <v>33.264875767855514</v>
      </c>
      <c r="CH46" s="77">
        <f si="47" t="shared"/>
        <v>15.074722655175719</v>
      </c>
      <c r="CI46" s="77">
        <f si="48" t="shared"/>
        <v>162.07939855138898</v>
      </c>
      <c r="CJ46" s="77">
        <f si="49" t="shared"/>
        <v>91.91895113230035</v>
      </c>
      <c r="CK46" s="77">
        <f si="50" t="shared"/>
        <v>1020.4840927844505</v>
      </c>
      <c r="CL46" s="77">
        <f si="51" t="shared"/>
        <v>194.69331621894196</v>
      </c>
      <c r="CM46" s="77">
        <f si="52" t="shared"/>
        <v>11.020445585403868</v>
      </c>
      <c r="CN46" s="77">
        <f si="53" t="shared"/>
        <v>2060.4345832951312</v>
      </c>
      <c r="CO46" s="77">
        <f si="54" t="shared"/>
        <v>0</v>
      </c>
      <c r="CP46" s="77">
        <f si="55" t="shared"/>
        <v>809.45814614467736</v>
      </c>
      <c r="CQ46" s="77">
        <f si="56" t="shared"/>
        <v>5.510222792701934</v>
      </c>
      <c r="CR46" s="77">
        <f si="57" t="shared"/>
        <v>0</v>
      </c>
      <c r="CS46" s="77">
        <f si="58" t="shared"/>
        <v>0</v>
      </c>
      <c r="CU46" s="95">
        <v>45</v>
      </c>
      <c r="CV46" s="95">
        <f si="6" t="shared"/>
        <v>3</v>
      </c>
      <c r="CW46" s="95">
        <f si="0" t="shared"/>
        <v>5</v>
      </c>
      <c r="CX46" s="58">
        <f si="1" t="shared"/>
        <v>1704.7840408991487</v>
      </c>
      <c r="CY46" s="58">
        <f si="2" t="shared"/>
        <v>1479.9999999999998</v>
      </c>
      <c r="CZ46" s="108">
        <f si="3" t="shared"/>
        <v>-224.78404089914898</v>
      </c>
      <c r="DA46" s="78">
        <f si="4" t="shared"/>
        <v>-0.13185484818393295</v>
      </c>
      <c r="DB46" s="95">
        <v>45000</v>
      </c>
    </row>
    <row r="47" spans="2:106" x14ac:dyDescent="0.25">
      <c r="B47" s="95">
        <v>18</v>
      </c>
      <c r="C47" s="77">
        <f>Flow_ODData!C48</f>
        <v>1120.3963280077678</v>
      </c>
      <c r="D47" s="77">
        <f>Flow_ODData!D48</f>
        <v>924.26824962485648</v>
      </c>
      <c r="E47" s="77">
        <f>Flow_ODData!E48</f>
        <v>360.54682672786652</v>
      </c>
      <c r="F47" s="77">
        <f>Flow_ODData!F48</f>
        <v>433.36084385206107</v>
      </c>
      <c r="G47" s="77">
        <f>Flow_ODData!G48</f>
        <v>838.53561655927263</v>
      </c>
      <c r="H47" s="77">
        <f>Flow_ODData!H48</f>
        <v>3069.9329155265245</v>
      </c>
      <c r="I47" s="77">
        <f>Flow_ODData!I48</f>
        <v>2889.0722923470739</v>
      </c>
      <c r="J47" s="77">
        <f>Flow_ODData!J48</f>
        <v>92.779150851796274</v>
      </c>
      <c r="K47" s="77">
        <f>Flow_ODData!K48</f>
        <v>520.26789654868037</v>
      </c>
      <c r="L47" s="77">
        <f>Flow_ODData!L48</f>
        <v>315.91888074852153</v>
      </c>
      <c r="M47" s="77">
        <f>Flow_ODData!M48</f>
        <v>151.50013240356606</v>
      </c>
      <c r="N47" s="77">
        <f>Flow_ODData!N48</f>
        <v>17664.445670403387</v>
      </c>
      <c r="O47" s="77">
        <f>Flow_ODData!O48</f>
        <v>6469.8777473739956</v>
      </c>
      <c r="P47" s="77">
        <f>Flow_ODData!P48</f>
        <v>10.569776679318563</v>
      </c>
      <c r="Q47" s="77">
        <f>Flow_ODData!Q48</f>
        <v>189.08156059669875</v>
      </c>
      <c r="R47" s="77">
        <f>Flow_ODData!R48</f>
        <v>243.10486362432695</v>
      </c>
      <c r="S47" s="77">
        <f>Flow_ODData!S48</f>
        <v>18.790714096566333</v>
      </c>
      <c r="T47" s="77">
        <f>Flow_ODData!T48</f>
        <v>13491.732721334629</v>
      </c>
      <c r="U47" s="77">
        <f>Flow_ODData!U48</f>
        <v>70.465177862123753</v>
      </c>
      <c r="V47" s="77">
        <f>Flow_ODData!V48</f>
        <v>4345.3526348309642</v>
      </c>
      <c r="W47" s="77">
        <f>Flow_ODData!W48</f>
        <v>0</v>
      </c>
      <c r="X47" s="77">
        <f si="13" t="shared"/>
        <v>53220</v>
      </c>
      <c r="Y47" s="95"/>
      <c r="Z47" s="95">
        <v>18</v>
      </c>
      <c r="AA47" s="77">
        <f>County_Flow!AX51*AA$28</f>
        <v>1140</v>
      </c>
      <c r="AB47" s="77">
        <f>County_Flow!AY51*AB$28</f>
        <v>1040</v>
      </c>
      <c r="AC47" s="77">
        <f>County_Flow!AZ51*AC$28</f>
        <v>520</v>
      </c>
      <c r="AD47" s="77">
        <f>County_Flow!BA51*AD$28</f>
        <v>400</v>
      </c>
      <c r="AE47" s="77">
        <f>County_Flow!BB51*AE$28</f>
        <v>700</v>
      </c>
      <c r="AF47" s="77">
        <f>County_Flow!BC51*AF$28</f>
        <v>2740</v>
      </c>
      <c r="AG47" s="77">
        <f>County_Flow!BD51*AG$28</f>
        <v>2840</v>
      </c>
      <c r="AH47" s="77">
        <f>County_Flow!BE51*AH$28</f>
        <v>60</v>
      </c>
      <c r="AI47" s="77">
        <f>County_Flow!BF51*AI$28</f>
        <v>440</v>
      </c>
      <c r="AJ47" s="77">
        <f>County_Flow!BG51*AJ$28</f>
        <v>660</v>
      </c>
      <c r="AK47" s="77">
        <f>County_Flow!BH51*AK$28</f>
        <v>280</v>
      </c>
      <c r="AL47" s="77">
        <f>County_Flow!BI51*AL$28</f>
        <v>17440</v>
      </c>
      <c r="AM47" s="77">
        <f>County_Flow!BJ51*AM$28</f>
        <v>8400</v>
      </c>
      <c r="AN47" s="77">
        <f>County_Flow!BK51*AN$28</f>
        <v>0</v>
      </c>
      <c r="AO47" s="77">
        <f>County_Flow!BL51*AO$28</f>
        <v>160</v>
      </c>
      <c r="AP47" s="77">
        <f>County_Flow!BM51*AP$28</f>
        <v>240</v>
      </c>
      <c r="AQ47" s="77">
        <f>County_Flow!BN51*AQ$28</f>
        <v>20</v>
      </c>
      <c r="AR47" s="77">
        <f>County_Flow!BO51*AR$28</f>
        <v>11100</v>
      </c>
      <c r="AS47" s="77">
        <f>County_Flow!BP51*AS$28</f>
        <v>60</v>
      </c>
      <c r="AT47" s="77">
        <f>County_Flow!BQ51*AT$28</f>
        <v>4980</v>
      </c>
      <c r="AU47" s="77">
        <f>County_Flow!BR51</f>
        <v>0</v>
      </c>
      <c r="AV47" s="15">
        <f si="14" t="shared"/>
        <v>53220</v>
      </c>
      <c r="AW47" s="139">
        <f si="15" t="shared"/>
        <v>0</v>
      </c>
      <c r="AY47" s="95">
        <v>18</v>
      </c>
      <c r="AZ47" s="77">
        <f si="16" t="shared"/>
        <v>1140</v>
      </c>
      <c r="BA47" s="77">
        <f si="17" t="shared"/>
        <v>1040</v>
      </c>
      <c r="BB47" s="77">
        <f si="18" t="shared"/>
        <v>520</v>
      </c>
      <c r="BC47" s="77">
        <f si="19" t="shared"/>
        <v>400</v>
      </c>
      <c r="BD47" s="77">
        <f si="20" t="shared"/>
        <v>700</v>
      </c>
      <c r="BE47" s="77">
        <f si="21" t="shared"/>
        <v>2740</v>
      </c>
      <c r="BF47" s="77">
        <f si="22" t="shared"/>
        <v>2840</v>
      </c>
      <c r="BG47" s="77">
        <f si="23" t="shared"/>
        <v>60</v>
      </c>
      <c r="BH47" s="77">
        <f si="24" t="shared"/>
        <v>440</v>
      </c>
      <c r="BI47" s="77">
        <f si="25" t="shared"/>
        <v>660</v>
      </c>
      <c r="BJ47" s="77">
        <f si="26" t="shared"/>
        <v>280</v>
      </c>
      <c r="BK47" s="77">
        <f si="27" t="shared"/>
        <v>17440</v>
      </c>
      <c r="BL47" s="77">
        <f si="28" t="shared"/>
        <v>8400</v>
      </c>
      <c r="BM47" s="77">
        <f si="29" t="shared"/>
        <v>0</v>
      </c>
      <c r="BN47" s="77">
        <f si="30" t="shared"/>
        <v>160</v>
      </c>
      <c r="BO47" s="77">
        <f si="31" t="shared"/>
        <v>240</v>
      </c>
      <c r="BP47" s="77">
        <f si="32" t="shared"/>
        <v>20</v>
      </c>
      <c r="BQ47" s="77">
        <f si="33" t="shared"/>
        <v>11100</v>
      </c>
      <c r="BR47" s="77">
        <f si="34" t="shared"/>
        <v>60</v>
      </c>
      <c r="BS47" s="77">
        <f si="35" t="shared"/>
        <v>4980</v>
      </c>
      <c r="BT47" s="77">
        <f si="36" t="shared"/>
        <v>0</v>
      </c>
      <c r="BU47" s="77">
        <f si="11" t="shared"/>
        <v>53220</v>
      </c>
      <c r="BV47" s="95"/>
      <c r="BW47" s="95">
        <v>18</v>
      </c>
      <c r="BX47" s="77">
        <f si="37" t="shared"/>
        <v>19.603671992232194</v>
      </c>
      <c r="BY47" s="77">
        <f si="38" t="shared"/>
        <v>115.73175037514352</v>
      </c>
      <c r="BZ47" s="77">
        <f si="39" t="shared"/>
        <v>159.45317327213348</v>
      </c>
      <c r="CA47" s="77">
        <f si="40" t="shared"/>
        <v>33.360843852061066</v>
      </c>
      <c r="CB47" s="77">
        <f si="41" t="shared"/>
        <v>138.53561655927263</v>
      </c>
      <c r="CC47" s="77">
        <f si="42" t="shared"/>
        <v>329.93291552652454</v>
      </c>
      <c r="CD47" s="77">
        <f si="43" t="shared"/>
        <v>49.072292347073926</v>
      </c>
      <c r="CE47" s="77">
        <f si="44" t="shared"/>
        <v>32.779150851796274</v>
      </c>
      <c r="CF47" s="77">
        <f si="45" t="shared"/>
        <v>80.267896548680369</v>
      </c>
      <c r="CG47" s="77">
        <f si="46" t="shared"/>
        <v>344.08111925147847</v>
      </c>
      <c r="CH47" s="77">
        <f si="47" t="shared"/>
        <v>128.49986759643394</v>
      </c>
      <c r="CI47" s="77">
        <f si="48" t="shared"/>
        <v>224.44567040338734</v>
      </c>
      <c r="CJ47" s="77">
        <f si="49" t="shared"/>
        <v>1930.1222526260044</v>
      </c>
      <c r="CK47" s="77">
        <f si="50" t="shared"/>
        <v>10.569776679318563</v>
      </c>
      <c r="CL47" s="77">
        <f si="51" t="shared"/>
        <v>29.08156059669875</v>
      </c>
      <c r="CM47" s="77">
        <f si="52" t="shared"/>
        <v>3.1048636243269527</v>
      </c>
      <c r="CN47" s="77">
        <f si="53" t="shared"/>
        <v>1.2092859034336669</v>
      </c>
      <c r="CO47" s="77">
        <f si="54" t="shared"/>
        <v>2391.7327213346289</v>
      </c>
      <c r="CP47" s="77">
        <f si="55" t="shared"/>
        <v>10.465177862123753</v>
      </c>
      <c r="CQ47" s="77">
        <f si="56" t="shared"/>
        <v>634.64736516903577</v>
      </c>
      <c r="CR47" s="77">
        <f si="57" t="shared"/>
        <v>0</v>
      </c>
      <c r="CS47" s="77">
        <f si="58" t="shared"/>
        <v>0</v>
      </c>
      <c r="CU47" s="95">
        <v>46</v>
      </c>
      <c r="CV47" s="95">
        <f si="6" t="shared"/>
        <v>3</v>
      </c>
      <c r="CW47" s="95">
        <f si="0" t="shared"/>
        <v>6</v>
      </c>
      <c r="CX47" s="58">
        <f si="1" t="shared"/>
        <v>6103.1839144069354</v>
      </c>
      <c r="CY47" s="58">
        <f si="2" t="shared"/>
        <v>7359.9999999999982</v>
      </c>
      <c r="CZ47" s="108">
        <f si="3" t="shared"/>
        <v>1256.8160855930628</v>
      </c>
      <c r="DA47" s="78">
        <f si="4" t="shared"/>
        <v>0.20592793912473656</v>
      </c>
      <c r="DB47" s="95">
        <v>46000</v>
      </c>
    </row>
    <row r="48" spans="2:106" x14ac:dyDescent="0.25">
      <c r="B48" s="95">
        <v>19</v>
      </c>
      <c r="C48" s="77">
        <f>Flow_ODData!C49</f>
        <v>1183.214720382862</v>
      </c>
      <c r="D48" s="77">
        <f>Flow_ODData!D49</f>
        <v>998.42812055201432</v>
      </c>
      <c r="E48" s="77">
        <f>Flow_ODData!E49</f>
        <v>474.05986344039439</v>
      </c>
      <c r="F48" s="77">
        <f>Flow_ODData!F49</f>
        <v>346.35394104420652</v>
      </c>
      <c r="G48" s="77">
        <f>Flow_ODData!G49</f>
        <v>344.41900282608248</v>
      </c>
      <c r="H48" s="77">
        <f>Flow_ODData!H49</f>
        <v>1640.8276089692019</v>
      </c>
      <c r="I48" s="77">
        <f>Flow_ODData!I49</f>
        <v>701.41510406997133</v>
      </c>
      <c r="J48" s="77">
        <f>Flow_ODData!J49</f>
        <v>182.85166161272357</v>
      </c>
      <c r="K48" s="77">
        <f>Flow_ODData!K49</f>
        <v>916.19324628174184</v>
      </c>
      <c r="L48" s="77">
        <f>Flow_ODData!L49</f>
        <v>148.99024279555255</v>
      </c>
      <c r="M48" s="77">
        <f>Flow_ODData!M49</f>
        <v>8345.3885347690666</v>
      </c>
      <c r="N48" s="77">
        <f>Flow_ODData!N49</f>
        <v>1430.8868123027414</v>
      </c>
      <c r="O48" s="77">
        <f>Flow_ODData!O49</f>
        <v>267.98894321018219</v>
      </c>
      <c r="P48" s="77">
        <f>Flow_ODData!P49</f>
        <v>413.10930956948658</v>
      </c>
      <c r="Q48" s="77">
        <f>Flow_ODData!Q49</f>
        <v>1904.9466757431358</v>
      </c>
      <c r="R48" s="77">
        <f>Flow_ODData!R49</f>
        <v>40.633702580605238</v>
      </c>
      <c r="S48" s="77">
        <f>Flow_ODData!S49</f>
        <v>3595.1152092745015</v>
      </c>
      <c r="T48" s="77">
        <f>Flow_ODData!T49</f>
        <v>11.609629308744353</v>
      </c>
      <c r="U48" s="77">
        <f>Flow_ODData!U49</f>
        <v>23942.925511067104</v>
      </c>
      <c r="V48" s="77">
        <f>Flow_ODData!V49</f>
        <v>10.642160199682323</v>
      </c>
      <c r="W48" s="77">
        <f>Flow_ODData!W49</f>
        <v>0</v>
      </c>
      <c r="X48" s="77">
        <f si="13" t="shared"/>
        <v>46900</v>
      </c>
      <c r="Y48" s="95"/>
      <c r="Z48" s="95">
        <v>19</v>
      </c>
      <c r="AA48" s="77">
        <f>County_Flow!AX52*AA$28</f>
        <v>1120</v>
      </c>
      <c r="AB48" s="77">
        <f>County_Flow!AY52*AB$28</f>
        <v>860</v>
      </c>
      <c r="AC48" s="77">
        <f>County_Flow!AZ52*AC$28</f>
        <v>1040</v>
      </c>
      <c r="AD48" s="77">
        <f>County_Flow!BA52*AD$28</f>
        <v>700</v>
      </c>
      <c r="AE48" s="77">
        <f>County_Flow!BB52*AE$28</f>
        <v>500</v>
      </c>
      <c r="AF48" s="77">
        <f>County_Flow!BC52*AF$28</f>
        <v>1980</v>
      </c>
      <c r="AG48" s="77">
        <f>County_Flow!BD52*AG$28</f>
        <v>720</v>
      </c>
      <c r="AH48" s="77">
        <f>County_Flow!BE52*AH$28</f>
        <v>260</v>
      </c>
      <c r="AI48" s="77">
        <f>County_Flow!BF52*AI$28</f>
        <v>1360</v>
      </c>
      <c r="AJ48" s="77">
        <f>County_Flow!BG52*AJ$28</f>
        <v>300</v>
      </c>
      <c r="AK48" s="77">
        <f>County_Flow!BH52*AK$28</f>
        <v>9280</v>
      </c>
      <c r="AL48" s="77">
        <f>County_Flow!BI52*AL$28</f>
        <v>1120</v>
      </c>
      <c r="AM48" s="77">
        <f>County_Flow!BJ52*AM$28</f>
        <v>280</v>
      </c>
      <c r="AN48" s="77">
        <f>County_Flow!BK52*AN$28</f>
        <v>880</v>
      </c>
      <c r="AO48" s="77">
        <f>County_Flow!BL52*AO$28</f>
        <v>1960</v>
      </c>
      <c r="AP48" s="77">
        <f>County_Flow!BM52*AP$28</f>
        <v>40</v>
      </c>
      <c r="AQ48" s="77">
        <f>County_Flow!BN52*AQ$28</f>
        <v>4400</v>
      </c>
      <c r="AR48" s="77">
        <f>County_Flow!BO52*AR$28</f>
        <v>40</v>
      </c>
      <c r="AS48" s="77">
        <f>County_Flow!BP52*AS$28</f>
        <v>20060</v>
      </c>
      <c r="AT48" s="77">
        <f>County_Flow!BQ52*AT$28</f>
        <v>0</v>
      </c>
      <c r="AU48" s="77">
        <f>County_Flow!BR52</f>
        <v>0</v>
      </c>
      <c r="AV48" s="15">
        <f si="14" t="shared"/>
        <v>46900</v>
      </c>
      <c r="AW48" s="139">
        <f si="15" t="shared"/>
        <v>0</v>
      </c>
      <c r="AY48" s="95">
        <v>19</v>
      </c>
      <c r="AZ48" s="77">
        <f si="16" t="shared"/>
        <v>1120</v>
      </c>
      <c r="BA48" s="77">
        <f si="17" t="shared"/>
        <v>860</v>
      </c>
      <c r="BB48" s="77">
        <f si="18" t="shared"/>
        <v>1040</v>
      </c>
      <c r="BC48" s="77">
        <f si="19" t="shared"/>
        <v>700</v>
      </c>
      <c r="BD48" s="77">
        <f si="20" t="shared"/>
        <v>500</v>
      </c>
      <c r="BE48" s="77">
        <f si="21" t="shared"/>
        <v>1980</v>
      </c>
      <c r="BF48" s="77">
        <f si="22" t="shared"/>
        <v>720</v>
      </c>
      <c r="BG48" s="77">
        <f si="23" t="shared"/>
        <v>260</v>
      </c>
      <c r="BH48" s="77">
        <f si="24" t="shared"/>
        <v>1360</v>
      </c>
      <c r="BI48" s="77">
        <f si="25" t="shared"/>
        <v>300</v>
      </c>
      <c r="BJ48" s="77">
        <f si="26" t="shared"/>
        <v>9280</v>
      </c>
      <c r="BK48" s="77">
        <f si="27" t="shared"/>
        <v>1120</v>
      </c>
      <c r="BL48" s="77">
        <f si="28" t="shared"/>
        <v>280</v>
      </c>
      <c r="BM48" s="77">
        <f si="29" t="shared"/>
        <v>880</v>
      </c>
      <c r="BN48" s="77">
        <f si="30" t="shared"/>
        <v>1960</v>
      </c>
      <c r="BO48" s="77">
        <f si="31" t="shared"/>
        <v>40</v>
      </c>
      <c r="BP48" s="77">
        <f si="32" t="shared"/>
        <v>4400</v>
      </c>
      <c r="BQ48" s="77">
        <f si="33" t="shared"/>
        <v>40</v>
      </c>
      <c r="BR48" s="77">
        <f si="34" t="shared"/>
        <v>20060</v>
      </c>
      <c r="BS48" s="77">
        <f si="35" t="shared"/>
        <v>0</v>
      </c>
      <c r="BT48" s="77">
        <f si="36" t="shared"/>
        <v>0</v>
      </c>
      <c r="BU48" s="77">
        <f si="11" t="shared"/>
        <v>46900</v>
      </c>
      <c r="BV48" s="95"/>
      <c r="BW48" s="95">
        <v>19</v>
      </c>
      <c r="BX48" s="77">
        <f si="37" t="shared"/>
        <v>63.214720382861969</v>
      </c>
      <c r="BY48" s="77">
        <f si="38" t="shared"/>
        <v>138.42812055201432</v>
      </c>
      <c r="BZ48" s="77">
        <f si="39" t="shared"/>
        <v>565.94013655960566</v>
      </c>
      <c r="CA48" s="77">
        <f si="40" t="shared"/>
        <v>353.64605895579348</v>
      </c>
      <c r="CB48" s="77">
        <f si="41" t="shared"/>
        <v>155.58099717391752</v>
      </c>
      <c r="CC48" s="77">
        <f si="42" t="shared"/>
        <v>339.17239103079805</v>
      </c>
      <c r="CD48" s="77">
        <f si="43" t="shared"/>
        <v>18.584895930028665</v>
      </c>
      <c r="CE48" s="77">
        <f si="44" t="shared"/>
        <v>77.148338387276425</v>
      </c>
      <c r="CF48" s="77">
        <f si="45" t="shared"/>
        <v>443.80675371825816</v>
      </c>
      <c r="CG48" s="77">
        <f si="46" t="shared"/>
        <v>151.00975720444745</v>
      </c>
      <c r="CH48" s="77">
        <f si="47" t="shared"/>
        <v>934.61146523093339</v>
      </c>
      <c r="CI48" s="77">
        <f si="48" t="shared"/>
        <v>310.88681230274142</v>
      </c>
      <c r="CJ48" s="77">
        <f si="49" t="shared"/>
        <v>12.011056789817815</v>
      </c>
      <c r="CK48" s="77">
        <f si="50" t="shared"/>
        <v>466.89069043051342</v>
      </c>
      <c r="CL48" s="77">
        <f si="51" t="shared"/>
        <v>55.053324256864244</v>
      </c>
      <c r="CM48" s="77">
        <f si="52" t="shared"/>
        <v>0.6337025806052381</v>
      </c>
      <c r="CN48" s="77">
        <f si="53" t="shared"/>
        <v>804.88479072549853</v>
      </c>
      <c r="CO48" s="77">
        <f si="54" t="shared"/>
        <v>28.390370691255647</v>
      </c>
      <c r="CP48" s="77">
        <f si="55" t="shared"/>
        <v>3882.9255110671038</v>
      </c>
      <c r="CQ48" s="77">
        <f si="56" t="shared"/>
        <v>10.642160199682323</v>
      </c>
      <c r="CR48" s="77">
        <f si="57" t="shared"/>
        <v>0</v>
      </c>
      <c r="CS48" s="77">
        <f si="58" t="shared"/>
        <v>0</v>
      </c>
      <c r="CU48" s="95">
        <v>47</v>
      </c>
      <c r="CV48" s="95">
        <f si="6" t="shared"/>
        <v>3</v>
      </c>
      <c r="CW48" s="95">
        <f si="0" t="shared"/>
        <v>7</v>
      </c>
      <c r="CX48" s="58">
        <f si="1" t="shared"/>
        <v>1356.7913142013861</v>
      </c>
      <c r="CY48" s="58">
        <f si="2" t="shared"/>
        <v>1399.9999999999998</v>
      </c>
      <c r="CZ48" s="108">
        <f si="3" t="shared"/>
        <v>43.208685798613715</v>
      </c>
      <c r="DA48" s="78">
        <f si="4" t="shared"/>
        <v>3.1846228190255302E-2</v>
      </c>
      <c r="DB48" s="95">
        <v>47000</v>
      </c>
    </row>
    <row r="49" spans="2:106" x14ac:dyDescent="0.25">
      <c r="B49" s="95">
        <v>20</v>
      </c>
      <c r="C49" s="77">
        <f>Flow_ODData!C50</f>
        <v>288.31003947508799</v>
      </c>
      <c r="D49" s="77">
        <f>Flow_ODData!D50</f>
        <v>293.88509548703723</v>
      </c>
      <c r="E49" s="77">
        <f>Flow_ODData!E50</f>
        <v>39.821828656780113</v>
      </c>
      <c r="F49" s="77">
        <f>Flow_ODData!F50</f>
        <v>39.821828656780113</v>
      </c>
      <c r="G49" s="77">
        <f>Flow_ODData!G50</f>
        <v>95.572388776272263</v>
      </c>
      <c r="H49" s="77">
        <f>Flow_ODData!H50</f>
        <v>414.94345460364877</v>
      </c>
      <c r="I49" s="77">
        <f>Flow_ODData!I50</f>
        <v>307.42451723034247</v>
      </c>
      <c r="J49" s="77">
        <f>Flow_ODData!J50</f>
        <v>3.1857462925424089</v>
      </c>
      <c r="K49" s="77">
        <f>Flow_ODData!K50</f>
        <v>113.89042995839112</v>
      </c>
      <c r="L49" s="77">
        <f>Flow_ODData!L50</f>
        <v>136.98709057932359</v>
      </c>
      <c r="M49" s="77">
        <f>Flow_ODData!M50</f>
        <v>54.157686973220954</v>
      </c>
      <c r="N49" s="77">
        <f>Flow_ODData!N50</f>
        <v>4578.7138589565775</v>
      </c>
      <c r="O49" s="77">
        <f>Flow_ODData!O50</f>
        <v>443.6151712365305</v>
      </c>
      <c r="P49" s="77">
        <f>Flow_ODData!P50</f>
        <v>7.9643657313560228</v>
      </c>
      <c r="Q49" s="77">
        <f>Flow_ODData!Q50</f>
        <v>3.9821828656780114</v>
      </c>
      <c r="R49" s="77">
        <f>Flow_ODData!R50</f>
        <v>69.28998186279739</v>
      </c>
      <c r="S49" s="77">
        <f>Flow_ODData!S50</f>
        <v>15.928731462712046</v>
      </c>
      <c r="T49" s="77">
        <f>Flow_ODData!T50</f>
        <v>3403.1734770084286</v>
      </c>
      <c r="U49" s="77">
        <f>Flow_ODData!U50</f>
        <v>8.7608023044916248</v>
      </c>
      <c r="V49" s="77">
        <f>Flow_ODData!V50</f>
        <v>19540.571321882002</v>
      </c>
      <c r="W49" s="77">
        <f>Flow_ODData!W50</f>
        <v>0</v>
      </c>
      <c r="X49" s="77">
        <f si="13" t="shared"/>
        <v>29860</v>
      </c>
      <c r="Y49" s="95"/>
      <c r="Z49" s="95">
        <v>20</v>
      </c>
      <c r="AA49" s="77">
        <f>County_Flow!AX53*AA$28</f>
        <v>120</v>
      </c>
      <c r="AB49" s="77">
        <f>County_Flow!AY53*AB$28</f>
        <v>180</v>
      </c>
      <c r="AC49" s="77">
        <f>County_Flow!AZ53*AC$28</f>
        <v>80</v>
      </c>
      <c r="AD49" s="77">
        <f>County_Flow!BA53*AD$28</f>
        <v>60</v>
      </c>
      <c r="AE49" s="77">
        <f>County_Flow!BB53*AE$28</f>
        <v>140</v>
      </c>
      <c r="AF49" s="77">
        <f>County_Flow!BC53*AF$28</f>
        <v>500</v>
      </c>
      <c r="AG49" s="77">
        <f>County_Flow!BD53*AG$28</f>
        <v>420</v>
      </c>
      <c r="AH49" s="77">
        <f>County_Flow!BE53*AH$28</f>
        <v>0</v>
      </c>
      <c r="AI49" s="77">
        <f>County_Flow!BF53*AI$28</f>
        <v>80</v>
      </c>
      <c r="AJ49" s="77">
        <f>County_Flow!BG53*AJ$28</f>
        <v>80</v>
      </c>
      <c r="AK49" s="77">
        <f>County_Flow!BH53*AK$28</f>
        <v>40</v>
      </c>
      <c r="AL49" s="77">
        <f>County_Flow!BI53*AL$28</f>
        <v>3400</v>
      </c>
      <c r="AM49" s="77">
        <f>County_Flow!BJ53*AM$28</f>
        <v>380</v>
      </c>
      <c r="AN49" s="77">
        <f>County_Flow!BK53*AN$28</f>
        <v>0</v>
      </c>
      <c r="AO49" s="77">
        <f>County_Flow!BL53*AO$28</f>
        <v>40</v>
      </c>
      <c r="AP49" s="77">
        <f>County_Flow!BM53*AP$28</f>
        <v>140</v>
      </c>
      <c r="AQ49" s="77">
        <f>County_Flow!BN53*AQ$28</f>
        <v>0</v>
      </c>
      <c r="AR49" s="77">
        <f>County_Flow!BO53*AR$28</f>
        <v>3740</v>
      </c>
      <c r="AS49" s="77">
        <f>County_Flow!BP53*AS$28</f>
        <v>0</v>
      </c>
      <c r="AT49" s="77">
        <f>County_Flow!BQ53*AT$28</f>
        <v>20460</v>
      </c>
      <c r="AU49" s="77">
        <f>County_Flow!BR53</f>
        <v>0</v>
      </c>
      <c r="AV49" s="15">
        <f si="14" t="shared"/>
        <v>29860</v>
      </c>
      <c r="AW49" s="139">
        <f si="15" t="shared"/>
        <v>0</v>
      </c>
      <c r="AY49" s="95">
        <v>20</v>
      </c>
      <c r="AZ49" s="77">
        <f si="16" t="shared"/>
        <v>120</v>
      </c>
      <c r="BA49" s="77">
        <f si="17" t="shared"/>
        <v>180</v>
      </c>
      <c r="BB49" s="77">
        <f si="18" t="shared"/>
        <v>80</v>
      </c>
      <c r="BC49" s="77">
        <f si="19" t="shared"/>
        <v>60</v>
      </c>
      <c r="BD49" s="77">
        <f si="20" t="shared"/>
        <v>140</v>
      </c>
      <c r="BE49" s="77">
        <f si="21" t="shared"/>
        <v>500</v>
      </c>
      <c r="BF49" s="77">
        <f si="22" t="shared"/>
        <v>420</v>
      </c>
      <c r="BG49" s="77">
        <f si="23" t="shared"/>
        <v>0</v>
      </c>
      <c r="BH49" s="77">
        <f si="24" t="shared"/>
        <v>80</v>
      </c>
      <c r="BI49" s="77">
        <f si="25" t="shared"/>
        <v>80</v>
      </c>
      <c r="BJ49" s="77">
        <f si="26" t="shared"/>
        <v>40</v>
      </c>
      <c r="BK49" s="77">
        <f si="27" t="shared"/>
        <v>3400</v>
      </c>
      <c r="BL49" s="77">
        <f si="28" t="shared"/>
        <v>380</v>
      </c>
      <c r="BM49" s="77">
        <f si="29" t="shared"/>
        <v>0</v>
      </c>
      <c r="BN49" s="77">
        <f si="30" t="shared"/>
        <v>40</v>
      </c>
      <c r="BO49" s="77">
        <f si="31" t="shared"/>
        <v>140</v>
      </c>
      <c r="BP49" s="77">
        <f si="32" t="shared"/>
        <v>0</v>
      </c>
      <c r="BQ49" s="77">
        <f si="33" t="shared"/>
        <v>3740</v>
      </c>
      <c r="BR49" s="77">
        <f si="34" t="shared"/>
        <v>0</v>
      </c>
      <c r="BS49" s="77">
        <f si="35" t="shared"/>
        <v>20460</v>
      </c>
      <c r="BT49" s="77">
        <f si="36" t="shared"/>
        <v>0</v>
      </c>
      <c r="BU49" s="77">
        <f si="11" t="shared"/>
        <v>29860</v>
      </c>
      <c r="BV49" s="95"/>
      <c r="BW49" s="95">
        <v>20</v>
      </c>
      <c r="BX49" s="77">
        <f si="37" t="shared"/>
        <v>168.31003947508799</v>
      </c>
      <c r="BY49" s="77">
        <f si="38" t="shared"/>
        <v>113.88509548703723</v>
      </c>
      <c r="BZ49" s="77">
        <f si="39" t="shared"/>
        <v>40.178171343219887</v>
      </c>
      <c r="CA49" s="77">
        <f si="40" t="shared"/>
        <v>20.178171343219887</v>
      </c>
      <c r="CB49" s="77">
        <f si="41" t="shared"/>
        <v>44.427611223727737</v>
      </c>
      <c r="CC49" s="77">
        <f si="42" t="shared"/>
        <v>85.056545396351225</v>
      </c>
      <c r="CD49" s="77">
        <f si="43" t="shared"/>
        <v>112.57548276965753</v>
      </c>
      <c r="CE49" s="77">
        <f si="44" t="shared"/>
        <v>3.1857462925424089</v>
      </c>
      <c r="CF49" s="77">
        <f si="45" t="shared"/>
        <v>33.890429958391124</v>
      </c>
      <c r="CG49" s="77">
        <f si="46" t="shared"/>
        <v>56.987090579323592</v>
      </c>
      <c r="CH49" s="77">
        <f si="47" t="shared"/>
        <v>14.157686973220954</v>
      </c>
      <c r="CI49" s="77">
        <f si="48" t="shared"/>
        <v>1178.7138589565775</v>
      </c>
      <c r="CJ49" s="77">
        <f si="49" t="shared"/>
        <v>63.6151712365305</v>
      </c>
      <c r="CK49" s="77">
        <f si="50" t="shared"/>
        <v>7.9643657313560228</v>
      </c>
      <c r="CL49" s="77">
        <f si="51" t="shared"/>
        <v>36.017817134321987</v>
      </c>
      <c r="CM49" s="77">
        <f si="52" t="shared"/>
        <v>70.71001813720261</v>
      </c>
      <c r="CN49" s="77">
        <f si="53" t="shared"/>
        <v>15.928731462712046</v>
      </c>
      <c r="CO49" s="77">
        <f si="54" t="shared"/>
        <v>336.82652299157144</v>
      </c>
      <c r="CP49" s="77">
        <f si="55" t="shared"/>
        <v>8.7608023044916248</v>
      </c>
      <c r="CQ49" s="77">
        <f si="56" t="shared"/>
        <v>919.42867811799806</v>
      </c>
      <c r="CR49" s="77">
        <f si="57" t="shared"/>
        <v>0</v>
      </c>
      <c r="CS49" s="77">
        <f si="58" t="shared"/>
        <v>0</v>
      </c>
      <c r="CU49" s="95">
        <v>48</v>
      </c>
      <c r="CV49" s="95">
        <f si="6" t="shared"/>
        <v>3</v>
      </c>
      <c r="CW49" s="95">
        <f si="0" t="shared"/>
        <v>8</v>
      </c>
      <c r="CX49" s="58">
        <f si="1" t="shared"/>
        <v>616.11827021898966</v>
      </c>
      <c r="CY49" s="58">
        <f si="2" t="shared"/>
        <v>519.99999999999989</v>
      </c>
      <c r="CZ49" s="108">
        <f si="3" t="shared"/>
        <v>-96.118270218989778</v>
      </c>
      <c r="DA49" s="78">
        <f si="4" t="shared"/>
        <v>-0.15600620021351749</v>
      </c>
      <c r="DB49" s="95">
        <v>48000</v>
      </c>
    </row>
    <row r="50" spans="2:106" x14ac:dyDescent="0.25">
      <c r="B50" s="101" t="s">
        <v>15</v>
      </c>
      <c r="C50" s="77">
        <f>Flow_ODData!C51</f>
        <v>0</v>
      </c>
      <c r="D50" s="77">
        <f>Flow_ODData!D51</f>
        <v>0</v>
      </c>
      <c r="E50" s="77">
        <f>Flow_ODData!E51</f>
        <v>0</v>
      </c>
      <c r="F50" s="77">
        <f>Flow_ODData!F51</f>
        <v>0</v>
      </c>
      <c r="G50" s="77">
        <f>Flow_ODData!G51</f>
        <v>0</v>
      </c>
      <c r="H50" s="77">
        <f>Flow_ODData!H51</f>
        <v>0</v>
      </c>
      <c r="I50" s="77">
        <f>Flow_ODData!I51</f>
        <v>0</v>
      </c>
      <c r="J50" s="77">
        <f>Flow_ODData!J51</f>
        <v>0</v>
      </c>
      <c r="K50" s="77">
        <f>Flow_ODData!K51</f>
        <v>0</v>
      </c>
      <c r="L50" s="77">
        <f>Flow_ODData!L51</f>
        <v>0</v>
      </c>
      <c r="M50" s="77">
        <f>Flow_ODData!M51</f>
        <v>0</v>
      </c>
      <c r="N50" s="77">
        <f>Flow_ODData!N51</f>
        <v>0</v>
      </c>
      <c r="O50" s="77">
        <f>Flow_ODData!O51</f>
        <v>0</v>
      </c>
      <c r="P50" s="77">
        <f>Flow_ODData!P51</f>
        <v>0</v>
      </c>
      <c r="Q50" s="77">
        <f>Flow_ODData!Q51</f>
        <v>0</v>
      </c>
      <c r="R50" s="77">
        <f>Flow_ODData!R51</f>
        <v>0</v>
      </c>
      <c r="S50" s="77">
        <f>Flow_ODData!S51</f>
        <v>0</v>
      </c>
      <c r="T50" s="77">
        <f>Flow_ODData!T51</f>
        <v>0</v>
      </c>
      <c r="U50" s="77">
        <f>Flow_ODData!U51</f>
        <v>0</v>
      </c>
      <c r="V50" s="77">
        <f>Flow_ODData!V51</f>
        <v>0</v>
      </c>
      <c r="W50" s="77">
        <f>Flow_ODData!W51</f>
        <v>0</v>
      </c>
      <c r="X50" s="77">
        <f si="13" t="shared"/>
        <v>0</v>
      </c>
      <c r="Y50" s="95"/>
      <c r="Z50" s="101" t="s">
        <v>15</v>
      </c>
      <c r="AA50" s="77">
        <f>County_Flow!AX54</f>
        <v>0</v>
      </c>
      <c r="AB50" s="77">
        <f>County_Flow!AY54</f>
        <v>0</v>
      </c>
      <c r="AC50" s="77">
        <f>County_Flow!AZ54</f>
        <v>0</v>
      </c>
      <c r="AD50" s="77">
        <f>County_Flow!BA54</f>
        <v>0</v>
      </c>
      <c r="AE50" s="77">
        <f>County_Flow!BB54</f>
        <v>0</v>
      </c>
      <c r="AF50" s="77">
        <f>County_Flow!BC54</f>
        <v>0</v>
      </c>
      <c r="AG50" s="77">
        <f>County_Flow!BD54</f>
        <v>0</v>
      </c>
      <c r="AH50" s="77">
        <f>County_Flow!BE54</f>
        <v>0</v>
      </c>
      <c r="AI50" s="77">
        <f>County_Flow!BF54</f>
        <v>0</v>
      </c>
      <c r="AJ50" s="77">
        <f>County_Flow!BG54</f>
        <v>0</v>
      </c>
      <c r="AK50" s="77">
        <f>County_Flow!BH54</f>
        <v>0</v>
      </c>
      <c r="AL50" s="77">
        <f>County_Flow!BI54</f>
        <v>0</v>
      </c>
      <c r="AM50" s="77">
        <f>County_Flow!BJ54</f>
        <v>0</v>
      </c>
      <c r="AN50" s="77">
        <f>County_Flow!BK54</f>
        <v>0</v>
      </c>
      <c r="AO50" s="77">
        <f>County_Flow!BL54</f>
        <v>0</v>
      </c>
      <c r="AP50" s="77">
        <f>County_Flow!BM54</f>
        <v>0</v>
      </c>
      <c r="AQ50" s="77">
        <f>County_Flow!BN54</f>
        <v>0</v>
      </c>
      <c r="AR50" s="77">
        <f>County_Flow!BO54</f>
        <v>0</v>
      </c>
      <c r="AS50" s="77">
        <f>County_Flow!BP54</f>
        <v>0</v>
      </c>
      <c r="AT50" s="77">
        <f>County_Flow!BQ54</f>
        <v>0</v>
      </c>
      <c r="AU50" s="77">
        <f>County_Flow!BR54</f>
        <v>0</v>
      </c>
      <c r="AV50" s="16">
        <f>SUM(AA50:AU50)</f>
        <v>0</v>
      </c>
      <c r="AY50" s="101" t="s">
        <v>15</v>
      </c>
      <c r="AZ50" s="77">
        <f ref="AZ50:BS50" si="59" t="shared">ABS(AA50-C50)</f>
        <v>0</v>
      </c>
      <c r="BA50" s="77">
        <f si="59" t="shared"/>
        <v>0</v>
      </c>
      <c r="BB50" s="77">
        <f si="59" t="shared"/>
        <v>0</v>
      </c>
      <c r="BC50" s="77">
        <f si="59" t="shared"/>
        <v>0</v>
      </c>
      <c r="BD50" s="77">
        <f si="59" t="shared"/>
        <v>0</v>
      </c>
      <c r="BE50" s="77">
        <f si="59" t="shared"/>
        <v>0</v>
      </c>
      <c r="BF50" s="77">
        <f si="59" t="shared"/>
        <v>0</v>
      </c>
      <c r="BG50" s="77">
        <f si="59" t="shared"/>
        <v>0</v>
      </c>
      <c r="BH50" s="77">
        <f si="59" t="shared"/>
        <v>0</v>
      </c>
      <c r="BI50" s="77">
        <f si="59" t="shared"/>
        <v>0</v>
      </c>
      <c r="BJ50" s="77">
        <f si="59" t="shared"/>
        <v>0</v>
      </c>
      <c r="BK50" s="77">
        <f si="59" t="shared"/>
        <v>0</v>
      </c>
      <c r="BL50" s="77">
        <f si="59" t="shared"/>
        <v>0</v>
      </c>
      <c r="BM50" s="77">
        <f si="59" t="shared"/>
        <v>0</v>
      </c>
      <c r="BN50" s="77">
        <f si="59" t="shared"/>
        <v>0</v>
      </c>
      <c r="BO50" s="77">
        <f si="59" t="shared"/>
        <v>0</v>
      </c>
      <c r="BP50" s="77">
        <f si="59" t="shared"/>
        <v>0</v>
      </c>
      <c r="BQ50" s="77">
        <f si="59" t="shared"/>
        <v>0</v>
      </c>
      <c r="BR50" s="77">
        <f si="59" t="shared"/>
        <v>0</v>
      </c>
      <c r="BS50" s="77">
        <f si="59" t="shared"/>
        <v>0</v>
      </c>
      <c r="BT50" s="77">
        <f si="36" t="shared"/>
        <v>0</v>
      </c>
      <c r="BU50" s="16"/>
      <c r="BW50" s="101" t="s">
        <v>15</v>
      </c>
      <c r="BX50" s="77">
        <f ref="BX50:CS50" si="60" t="shared">ABS(AZ50-C50)</f>
        <v>0</v>
      </c>
      <c r="BY50" s="77">
        <f si="60" t="shared"/>
        <v>0</v>
      </c>
      <c r="BZ50" s="77">
        <f si="60" t="shared"/>
        <v>0</v>
      </c>
      <c r="CA50" s="77">
        <f si="60" t="shared"/>
        <v>0</v>
      </c>
      <c r="CB50" s="77">
        <f si="60" t="shared"/>
        <v>0</v>
      </c>
      <c r="CC50" s="77">
        <f si="60" t="shared"/>
        <v>0</v>
      </c>
      <c r="CD50" s="77">
        <f si="60" t="shared"/>
        <v>0</v>
      </c>
      <c r="CE50" s="77">
        <f si="60" t="shared"/>
        <v>0</v>
      </c>
      <c r="CF50" s="77">
        <f si="60" t="shared"/>
        <v>0</v>
      </c>
      <c r="CG50" s="77">
        <f si="60" t="shared"/>
        <v>0</v>
      </c>
      <c r="CH50" s="77">
        <f si="60" t="shared"/>
        <v>0</v>
      </c>
      <c r="CI50" s="77">
        <f si="60" t="shared"/>
        <v>0</v>
      </c>
      <c r="CJ50" s="77">
        <f si="60" t="shared"/>
        <v>0</v>
      </c>
      <c r="CK50" s="77">
        <f si="60" t="shared"/>
        <v>0</v>
      </c>
      <c r="CL50" s="77">
        <f si="60" t="shared"/>
        <v>0</v>
      </c>
      <c r="CM50" s="77">
        <f si="60" t="shared"/>
        <v>0</v>
      </c>
      <c r="CN50" s="77">
        <f si="60" t="shared"/>
        <v>0</v>
      </c>
      <c r="CO50" s="77">
        <f si="60" t="shared"/>
        <v>0</v>
      </c>
      <c r="CP50" s="77">
        <f si="60" t="shared"/>
        <v>0</v>
      </c>
      <c r="CQ50" s="77">
        <f si="60" t="shared"/>
        <v>0</v>
      </c>
      <c r="CR50" s="77">
        <f si="60" t="shared"/>
        <v>0</v>
      </c>
      <c r="CS50" s="16">
        <f si="60" t="shared"/>
        <v>0</v>
      </c>
      <c r="CU50" s="95">
        <v>49</v>
      </c>
      <c r="CV50" s="95">
        <f si="6" t="shared"/>
        <v>3</v>
      </c>
      <c r="CW50" s="95">
        <f si="0" t="shared"/>
        <v>9</v>
      </c>
      <c r="CX50" s="58">
        <f si="1" t="shared"/>
        <v>2293.3291169262393</v>
      </c>
      <c r="CY50" s="58">
        <f si="2" t="shared"/>
        <v>1899.9999999999995</v>
      </c>
      <c r="CZ50" s="108">
        <f si="3" t="shared"/>
        <v>-393.32911692623975</v>
      </c>
      <c r="DA50" s="78">
        <f si="4" t="shared"/>
        <v>-0.1715101046872072</v>
      </c>
      <c r="DB50" s="95">
        <v>49000</v>
      </c>
    </row>
    <row ht="15.75" r="51" spans="2:106" thickBot="1" x14ac:dyDescent="0.3">
      <c r="B51" s="1" t="s">
        <v>3</v>
      </c>
      <c r="C51" s="107">
        <f>SUM(C30:C50)</f>
        <v>44839.614177083633</v>
      </c>
      <c r="D51" s="107">
        <f ref="D51:W51" si="61" t="shared">SUM(D30:D50)</f>
        <v>37429.141849725522</v>
      </c>
      <c r="E51" s="107">
        <f si="61" t="shared"/>
        <v>24424.90297029282</v>
      </c>
      <c r="F51" s="107">
        <f si="61" t="shared"/>
        <v>16816.824872571906</v>
      </c>
      <c r="G51" s="107">
        <f si="61" t="shared"/>
        <v>21925.594990799043</v>
      </c>
      <c r="H51" s="107">
        <f si="61" t="shared"/>
        <v>94217.375349221591</v>
      </c>
      <c r="I51" s="107">
        <f si="61" t="shared"/>
        <v>80183.818134136178</v>
      </c>
      <c r="J51" s="107">
        <f si="61" t="shared"/>
        <v>4663.6657746440751</v>
      </c>
      <c r="K51" s="107">
        <f si="61" t="shared"/>
        <v>48973.068481657843</v>
      </c>
      <c r="L51" s="107">
        <f si="61" t="shared"/>
        <v>18664.660451674812</v>
      </c>
      <c r="M51" s="107">
        <f si="61" t="shared"/>
        <v>52224.931269294524</v>
      </c>
      <c r="N51" s="107">
        <f si="61" t="shared"/>
        <v>137515.33277111661</v>
      </c>
      <c r="O51" s="107">
        <f si="61" t="shared"/>
        <v>93358.473263503533</v>
      </c>
      <c r="P51" s="107">
        <f si="61" t="shared"/>
        <v>13888.989032623809</v>
      </c>
      <c r="Q51" s="107">
        <f si="61" t="shared"/>
        <v>36111.280569784009</v>
      </c>
      <c r="R51" s="107">
        <f si="61" t="shared"/>
        <v>4988.3484991844989</v>
      </c>
      <c r="S51" s="107">
        <f si="61" t="shared"/>
        <v>15326.878412671909</v>
      </c>
      <c r="T51" s="107">
        <f si="61" t="shared"/>
        <v>24087.146692578957</v>
      </c>
      <c r="U51" s="107">
        <f si="61" t="shared"/>
        <v>35139.681613481123</v>
      </c>
      <c r="V51" s="107">
        <f si="61" t="shared"/>
        <v>25660.270823953622</v>
      </c>
      <c r="W51" s="107">
        <f si="61" t="shared"/>
        <v>0</v>
      </c>
      <c r="X51" s="107">
        <f si="13" t="shared"/>
        <v>830439.99999999988</v>
      </c>
      <c r="Y51" s="95"/>
      <c r="Z51" s="1" t="s">
        <v>3</v>
      </c>
      <c r="AA51" s="96">
        <f>SUM(AA30:AA50)</f>
        <v>45640</v>
      </c>
      <c r="AB51" s="96">
        <f ref="AB51:AV51" si="62" t="shared">SUM(AB30:AB50)</f>
        <v>38180</v>
      </c>
      <c r="AC51" s="96">
        <f si="62" t="shared"/>
        <v>24100</v>
      </c>
      <c r="AD51" s="96">
        <f si="62" t="shared"/>
        <v>17520</v>
      </c>
      <c r="AE51" s="96">
        <f si="62" t="shared"/>
        <v>21740</v>
      </c>
      <c r="AF51" s="96">
        <f si="62" t="shared"/>
        <v>96120</v>
      </c>
      <c r="AG51" s="96">
        <f si="62" t="shared"/>
        <v>78260</v>
      </c>
      <c r="AH51" s="96">
        <f si="62" t="shared"/>
        <v>4600</v>
      </c>
      <c r="AI51" s="96">
        <f si="62" t="shared"/>
        <v>46940</v>
      </c>
      <c r="AJ51" s="96">
        <f si="62" t="shared"/>
        <v>17920</v>
      </c>
      <c r="AK51" s="96">
        <f si="62" t="shared"/>
        <v>50980</v>
      </c>
      <c r="AL51" s="96">
        <f si="62" t="shared"/>
        <v>148580</v>
      </c>
      <c r="AM51" s="96">
        <f si="62" t="shared"/>
        <v>91740</v>
      </c>
      <c r="AN51" s="96">
        <f si="62" t="shared"/>
        <v>13760</v>
      </c>
      <c r="AO51" s="96">
        <f si="62" t="shared"/>
        <v>34800</v>
      </c>
      <c r="AP51" s="96">
        <f si="62" t="shared"/>
        <v>4560</v>
      </c>
      <c r="AQ51" s="96">
        <f si="62" t="shared"/>
        <v>13940</v>
      </c>
      <c r="AR51" s="96">
        <f si="62" t="shared"/>
        <v>21140</v>
      </c>
      <c r="AS51" s="96">
        <f si="62" t="shared"/>
        <v>33420</v>
      </c>
      <c r="AT51" s="96">
        <f si="62" t="shared"/>
        <v>26500</v>
      </c>
      <c r="AU51" s="96">
        <f si="62" t="shared"/>
        <v>0</v>
      </c>
      <c r="AV51" s="96">
        <f si="62" t="shared"/>
        <v>830440</v>
      </c>
      <c r="AY51" s="1" t="s">
        <v>3</v>
      </c>
      <c r="AZ51" s="96">
        <f>ABS(SUM(AZ30:AZ50))</f>
        <v>45640</v>
      </c>
      <c r="BA51" s="96">
        <f ref="BA51:BS51" si="63" t="shared">ABS(SUM(BA30:BA50))</f>
        <v>38180</v>
      </c>
      <c r="BB51" s="96">
        <f si="63" t="shared"/>
        <v>24100</v>
      </c>
      <c r="BC51" s="96">
        <f si="63" t="shared"/>
        <v>17520</v>
      </c>
      <c r="BD51" s="96">
        <f si="63" t="shared"/>
        <v>21740</v>
      </c>
      <c r="BE51" s="96">
        <f si="63" t="shared"/>
        <v>96120</v>
      </c>
      <c r="BF51" s="96">
        <f si="63" t="shared"/>
        <v>78260</v>
      </c>
      <c r="BG51" s="96">
        <f si="63" t="shared"/>
        <v>4600</v>
      </c>
      <c r="BH51" s="96">
        <f si="63" t="shared"/>
        <v>46940.000000000007</v>
      </c>
      <c r="BI51" s="96">
        <f si="63" t="shared"/>
        <v>17920</v>
      </c>
      <c r="BJ51" s="96">
        <f si="63" t="shared"/>
        <v>50980</v>
      </c>
      <c r="BK51" s="96">
        <f si="63" t="shared"/>
        <v>148580</v>
      </c>
      <c r="BL51" s="96">
        <f si="63" t="shared"/>
        <v>91740</v>
      </c>
      <c r="BM51" s="96">
        <f si="63" t="shared"/>
        <v>13760.000000000002</v>
      </c>
      <c r="BN51" s="96">
        <f si="63" t="shared"/>
        <v>34800</v>
      </c>
      <c r="BO51" s="96">
        <f si="63" t="shared"/>
        <v>4560</v>
      </c>
      <c r="BP51" s="96">
        <f si="63" t="shared"/>
        <v>13940</v>
      </c>
      <c r="BQ51" s="96">
        <f si="63" t="shared"/>
        <v>21140</v>
      </c>
      <c r="BR51" s="96">
        <f si="63" t="shared"/>
        <v>33420</v>
      </c>
      <c r="BS51" s="96">
        <f si="63" t="shared"/>
        <v>26500</v>
      </c>
      <c r="BT51" s="96">
        <f>ABS(SUM(BT30:BT50))</f>
        <v>0</v>
      </c>
      <c r="BU51" s="96">
        <f>ABS(SUM(BU30:BU50))</f>
        <v>830440</v>
      </c>
      <c r="BW51" s="1" t="s">
        <v>3</v>
      </c>
      <c r="BX51" s="96">
        <f>SUM(BX30:BX49)</f>
        <v>7510.0197521358614</v>
      </c>
      <c r="BY51" s="96">
        <f ref="BY51:CQ51" si="64" t="shared">SUM(BY30:BY49)</f>
        <v>8641.3174744200132</v>
      </c>
      <c r="BZ51" s="96">
        <f si="64" t="shared"/>
        <v>8235.1792044954691</v>
      </c>
      <c r="CA51" s="96">
        <f si="64" t="shared"/>
        <v>4990.8397397926374</v>
      </c>
      <c r="CB51" s="96">
        <f si="64" t="shared"/>
        <v>6820.6978194338808</v>
      </c>
      <c r="CC51" s="96">
        <f si="64" t="shared"/>
        <v>13863.353956810559</v>
      </c>
      <c r="CD51" s="96">
        <f si="64" t="shared"/>
        <v>19035.795634636565</v>
      </c>
      <c r="CE51" s="96">
        <f si="64" t="shared"/>
        <v>1984.4582452270897</v>
      </c>
      <c r="CF51" s="96">
        <f si="64" t="shared"/>
        <v>12815.741728600951</v>
      </c>
      <c r="CG51" s="96">
        <f si="64" t="shared"/>
        <v>6351.2225174928108</v>
      </c>
      <c r="CH51" s="96">
        <f si="64" t="shared"/>
        <v>9041.8381264316613</v>
      </c>
      <c r="CI51" s="96">
        <f si="64" t="shared"/>
        <v>29044.13748475373</v>
      </c>
      <c r="CJ51" s="96">
        <f si="64" t="shared"/>
        <v>24248.880923002627</v>
      </c>
      <c r="CK51" s="96">
        <f si="64" t="shared"/>
        <v>4328.7448628124175</v>
      </c>
      <c r="CL51" s="96">
        <f si="64" t="shared"/>
        <v>9153.0576085032662</v>
      </c>
      <c r="CM51" s="96">
        <f si="64" t="shared"/>
        <v>1774.3033527375201</v>
      </c>
      <c r="CN51" s="96">
        <f si="64" t="shared"/>
        <v>3648.2132221779657</v>
      </c>
      <c r="CO51" s="96">
        <f si="64" t="shared"/>
        <v>4671.568522605955</v>
      </c>
      <c r="CP51" s="96">
        <f si="64" t="shared"/>
        <v>6217.0711129353795</v>
      </c>
      <c r="CQ51" s="96">
        <f si="64" t="shared"/>
        <v>2787.822178854884</v>
      </c>
      <c r="CR51" s="96">
        <f>ABS(BT51-W51)</f>
        <v>0</v>
      </c>
      <c r="CS51" s="96">
        <f>ABS(BU51-X51)</f>
        <v>1.1641532182693481E-10</v>
      </c>
      <c r="CU51" s="95">
        <v>50</v>
      </c>
      <c r="CV51" s="95">
        <f si="6" t="shared"/>
        <v>3</v>
      </c>
      <c r="CW51" s="95">
        <f si="0" t="shared"/>
        <v>10</v>
      </c>
      <c r="CX51" s="58">
        <f si="1" t="shared"/>
        <v>1277.874930824571</v>
      </c>
      <c r="CY51" s="58">
        <f si="2" t="shared"/>
        <v>1079.9999999999998</v>
      </c>
      <c r="CZ51" s="108">
        <f si="3" t="shared"/>
        <v>-197.87493082457127</v>
      </c>
      <c r="DA51" s="78">
        <f si="4" t="shared"/>
        <v>-0.15484686807095357</v>
      </c>
      <c r="DB51" s="95">
        <v>50000</v>
      </c>
    </row>
    <row r="52" spans="2:106" x14ac:dyDescent="0.25"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CU52" s="95">
        <v>51</v>
      </c>
      <c r="CV52" s="95">
        <f si="6" t="shared"/>
        <v>3</v>
      </c>
      <c r="CW52" s="95">
        <f si="0" t="shared"/>
        <v>11</v>
      </c>
      <c r="CX52" s="58">
        <f si="1" t="shared"/>
        <v>2630.8630458270745</v>
      </c>
      <c r="CY52" s="58">
        <f si="2" t="shared"/>
        <v>3259.9999999999991</v>
      </c>
      <c r="CZ52" s="108">
        <f si="3" t="shared"/>
        <v>629.13695417292456</v>
      </c>
      <c r="DA52" s="78">
        <f si="4" t="shared"/>
        <v>0.23913709806020722</v>
      </c>
      <c r="DB52" s="95">
        <v>51000</v>
      </c>
    </row>
    <row r="53" spans="2:106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CU53" s="95">
        <v>52</v>
      </c>
      <c r="CV53" s="95">
        <f si="6" t="shared"/>
        <v>3</v>
      </c>
      <c r="CW53" s="95">
        <f si="0" t="shared"/>
        <v>12</v>
      </c>
      <c r="CX53" s="58">
        <f si="1" t="shared"/>
        <v>3014.0353651145019</v>
      </c>
      <c r="CY53" s="58">
        <f si="2" t="shared"/>
        <v>4019.9999999999991</v>
      </c>
      <c r="CZ53" s="108">
        <f si="3" t="shared"/>
        <v>1005.9646348854972</v>
      </c>
      <c r="DA53" s="78">
        <f si="4" t="shared"/>
        <v>0.33376006351115955</v>
      </c>
      <c r="DB53" s="95">
        <v>52000</v>
      </c>
    </row>
    <row r="54" spans="2:106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CU54" s="95">
        <v>53</v>
      </c>
      <c r="CV54" s="95">
        <f si="6" t="shared"/>
        <v>3</v>
      </c>
      <c r="CW54" s="95">
        <f si="0" t="shared"/>
        <v>13</v>
      </c>
      <c r="CX54" s="58">
        <f si="1" t="shared"/>
        <v>325.17353150446672</v>
      </c>
      <c r="CY54" s="58">
        <f si="2" t="shared"/>
        <v>359.99999999999994</v>
      </c>
      <c r="CZ54" s="108">
        <f si="3" t="shared"/>
        <v>34.82646849553322</v>
      </c>
      <c r="DA54" s="78">
        <f si="4" t="shared"/>
        <v>0.10710117866728901</v>
      </c>
      <c r="DB54" s="95">
        <v>53000</v>
      </c>
    </row>
    <row ht="15.75" r="55" spans="2:106" thickBot="1" x14ac:dyDescent="0.3">
      <c r="B55" s="4" t="s">
        <v>355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7"/>
      <c r="Q55" s="7"/>
      <c r="R55" s="7"/>
      <c r="S55" s="7"/>
      <c r="T55" s="7"/>
      <c r="U55" s="7"/>
      <c r="V55" s="7"/>
      <c r="W55" s="7"/>
      <c r="X55" s="7"/>
      <c r="Y55" s="95"/>
      <c r="Z55" s="4" t="s">
        <v>321</v>
      </c>
      <c r="AA55" s="1"/>
      <c r="AB55" s="1"/>
      <c r="AC55" s="1"/>
      <c r="AD55" s="1"/>
      <c r="AE55" s="1"/>
      <c r="AF55" s="1"/>
      <c r="AG55" s="1"/>
      <c r="AH55" s="1"/>
      <c r="AI55" s="1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Y55" s="10" t="s">
        <v>366</v>
      </c>
      <c r="CU55" s="95">
        <v>54</v>
      </c>
      <c r="CV55" s="95">
        <f si="6" t="shared"/>
        <v>3</v>
      </c>
      <c r="CW55" s="95">
        <f si="0" t="shared"/>
        <v>14</v>
      </c>
      <c r="CX55" s="58">
        <f si="1" t="shared"/>
        <v>99.833978970669605</v>
      </c>
      <c r="CY55" s="58">
        <f si="2" t="shared"/>
        <v>59.999999999999986</v>
      </c>
      <c r="CZ55" s="108">
        <f si="3" t="shared"/>
        <v>-39.833978970669619</v>
      </c>
      <c r="DA55" s="78">
        <f si="4" t="shared"/>
        <v>-0.39900221729490026</v>
      </c>
      <c r="DB55" s="95">
        <v>54000</v>
      </c>
    </row>
    <row r="56" spans="2:106" x14ac:dyDescent="0.25">
      <c r="B56" s="2" t="s">
        <v>14</v>
      </c>
      <c r="C56" s="2">
        <v>1</v>
      </c>
      <c r="D56" s="2">
        <v>2</v>
      </c>
      <c r="E56" s="2">
        <v>3</v>
      </c>
      <c r="F56" s="2">
        <v>4</v>
      </c>
      <c r="G56" s="2">
        <v>5</v>
      </c>
      <c r="H56" s="2">
        <v>6</v>
      </c>
      <c r="I56" s="2">
        <v>7</v>
      </c>
      <c r="J56" s="2">
        <v>8</v>
      </c>
      <c r="K56" s="2">
        <v>9</v>
      </c>
      <c r="L56" s="2">
        <v>10</v>
      </c>
      <c r="M56" s="2">
        <v>11</v>
      </c>
      <c r="N56" s="2">
        <v>12</v>
      </c>
      <c r="O56" s="2">
        <v>13</v>
      </c>
      <c r="P56" s="2">
        <v>14</v>
      </c>
      <c r="Q56" s="2">
        <v>15</v>
      </c>
      <c r="R56" s="2">
        <v>16</v>
      </c>
      <c r="S56" s="2">
        <v>17</v>
      </c>
      <c r="T56" s="2">
        <v>18</v>
      </c>
      <c r="U56" s="2">
        <v>19</v>
      </c>
      <c r="V56" s="2">
        <v>20</v>
      </c>
      <c r="W56" s="3" t="s">
        <v>15</v>
      </c>
      <c r="X56" s="3" t="s">
        <v>3</v>
      </c>
      <c r="Y56" s="95"/>
      <c r="Z56" s="2" t="s">
        <v>14</v>
      </c>
      <c r="AA56" s="2">
        <v>1</v>
      </c>
      <c r="AB56" s="2">
        <v>2</v>
      </c>
      <c r="AC56" s="2">
        <v>3</v>
      </c>
      <c r="AD56" s="2">
        <v>4</v>
      </c>
      <c r="AE56" s="2">
        <v>5</v>
      </c>
      <c r="AF56" s="2">
        <v>6</v>
      </c>
      <c r="AG56" s="2">
        <v>7</v>
      </c>
      <c r="AH56" s="2">
        <v>8</v>
      </c>
      <c r="AI56" s="2">
        <v>9</v>
      </c>
      <c r="AJ56" s="2">
        <v>10</v>
      </c>
      <c r="AK56" s="2">
        <v>11</v>
      </c>
      <c r="AL56" s="2">
        <v>12</v>
      </c>
      <c r="AM56" s="2">
        <v>13</v>
      </c>
      <c r="AN56" s="2">
        <v>14</v>
      </c>
      <c r="AO56" s="2">
        <v>15</v>
      </c>
      <c r="AP56" s="2">
        <v>16</v>
      </c>
      <c r="AQ56" s="2">
        <v>17</v>
      </c>
      <c r="AR56" s="2">
        <v>18</v>
      </c>
      <c r="AS56" s="2">
        <v>19</v>
      </c>
      <c r="AT56" s="2">
        <v>20</v>
      </c>
      <c r="AU56" s="3" t="s">
        <v>15</v>
      </c>
      <c r="AV56" s="3" t="s">
        <v>3</v>
      </c>
      <c r="AY56" s="148" t="s">
        <v>359</v>
      </c>
      <c r="AZ56" s="2">
        <v>1</v>
      </c>
      <c r="BA56" s="2">
        <v>2</v>
      </c>
      <c r="BB56" s="2">
        <v>3</v>
      </c>
      <c r="BC56" s="2">
        <v>4</v>
      </c>
      <c r="BD56" s="2">
        <v>5</v>
      </c>
      <c r="BE56" s="2">
        <v>6</v>
      </c>
      <c r="BF56" s="2">
        <v>7</v>
      </c>
      <c r="BG56" s="2">
        <v>8</v>
      </c>
      <c r="BH56" s="2">
        <v>9</v>
      </c>
      <c r="BI56" s="2">
        <v>10</v>
      </c>
      <c r="BJ56" s="2">
        <v>11</v>
      </c>
      <c r="BK56" s="2">
        <v>12</v>
      </c>
      <c r="BL56" s="2">
        <v>13</v>
      </c>
      <c r="BM56" s="2">
        <v>14</v>
      </c>
      <c r="BN56" s="2">
        <v>15</v>
      </c>
      <c r="BO56" s="2">
        <v>16</v>
      </c>
      <c r="BP56" s="2">
        <v>17</v>
      </c>
      <c r="BQ56" s="2">
        <v>18</v>
      </c>
      <c r="BR56" s="2">
        <v>19</v>
      </c>
      <c r="BS56" s="2">
        <v>20</v>
      </c>
      <c r="BT56" s="3" t="s">
        <v>15</v>
      </c>
      <c r="BU56" s="149" t="s">
        <v>3</v>
      </c>
      <c r="CU56" s="95">
        <v>55</v>
      </c>
      <c r="CV56" s="95">
        <f si="6" t="shared"/>
        <v>3</v>
      </c>
      <c r="CW56" s="95">
        <f si="0" t="shared"/>
        <v>15</v>
      </c>
      <c r="CX56" s="58">
        <f si="1" t="shared"/>
        <v>181.60276174664665</v>
      </c>
      <c r="CY56" s="58">
        <f si="2" t="shared"/>
        <v>299.99999999999994</v>
      </c>
      <c r="CZ56" s="108">
        <f si="3" t="shared"/>
        <v>118.39723825335329</v>
      </c>
      <c r="DA56" s="78">
        <f si="4" t="shared"/>
        <v>0.65195725612658273</v>
      </c>
      <c r="DB56" s="95">
        <v>55000</v>
      </c>
    </row>
    <row r="57" spans="2:106" x14ac:dyDescent="0.25">
      <c r="B57" s="31">
        <v>1</v>
      </c>
      <c r="C57" s="103">
        <f>IF($X$51&gt;0,C30/$X$51,0)</f>
        <v>5.105751567434382E-3</v>
      </c>
      <c r="D57" s="103">
        <f ref="D57:X57" si="65" t="shared">IF($X$51&gt;0,D30/$X$51,0)</f>
        <v>6.456166365565076E-4</v>
      </c>
      <c r="E57" s="103">
        <f si="65" t="shared"/>
        <v>3.5688252965206953E-4</v>
      </c>
      <c r="F57" s="103">
        <f si="65" t="shared"/>
        <v>4.7703895923341958E-4</v>
      </c>
      <c r="G57" s="103">
        <f si="65" t="shared"/>
        <v>6.0616228654472115E-4</v>
      </c>
      <c r="H57" s="103">
        <f si="65" t="shared"/>
        <v>3.3329958862229705E-3</v>
      </c>
      <c r="I57" s="103">
        <f si="65" t="shared"/>
        <v>5.407039331160752E-4</v>
      </c>
      <c r="J57" s="103">
        <f si="65" t="shared"/>
        <v>5.2904696606713821E-5</v>
      </c>
      <c r="K57" s="103">
        <f si="65" t="shared"/>
        <v>4.2772102171868636E-4</v>
      </c>
      <c r="L57" s="103">
        <f si="65" t="shared"/>
        <v>1.8740816255598627E-4</v>
      </c>
      <c r="M57" s="103">
        <f si="65" t="shared"/>
        <v>4.205475035347251E-4</v>
      </c>
      <c r="N57" s="103">
        <f si="65" t="shared"/>
        <v>1.4750546765770211E-3</v>
      </c>
      <c r="O57" s="103">
        <f si="65" t="shared"/>
        <v>1.8651147278299108E-4</v>
      </c>
      <c r="P57" s="103">
        <f si="65" t="shared"/>
        <v>4.1247729557776875E-5</v>
      </c>
      <c r="Q57" s="103">
        <f si="65" t="shared"/>
        <v>4.2144419330772032E-5</v>
      </c>
      <c r="R57" s="103">
        <f si="65" t="shared"/>
        <v>1.1656967048936942E-5</v>
      </c>
      <c r="S57" s="103">
        <f si="65" t="shared"/>
        <v>1.8830485232898141E-5</v>
      </c>
      <c r="T57" s="103">
        <f si="65" t="shared"/>
        <v>3.5867590919805981E-5</v>
      </c>
      <c r="U57" s="103">
        <f si="65" t="shared"/>
        <v>1.3450346594927242E-4</v>
      </c>
      <c r="V57" s="103">
        <f si="65" t="shared"/>
        <v>1.3450346594927241E-5</v>
      </c>
      <c r="W57" s="103">
        <f si="65" t="shared"/>
        <v>0</v>
      </c>
      <c r="X57" s="103">
        <f si="65" t="shared"/>
        <v>1.411300033717066E-2</v>
      </c>
      <c r="Y57" s="95"/>
      <c r="Z57" s="31">
        <v>1</v>
      </c>
      <c r="AA57" s="103">
        <f>IF($BU$51&gt;0,AZ30/$BU$51,0)</f>
        <v>2.9141178170608356E-3</v>
      </c>
      <c r="AB57" s="103">
        <f ref="AB57:AV57" si="66" t="shared">IF($BU$51&gt;0,BA30/$BU$51,0)</f>
        <v>6.9842493136168787E-4</v>
      </c>
      <c r="AC57" s="103">
        <f si="66" t="shared"/>
        <v>6.0209045807042057E-4</v>
      </c>
      <c r="AD57" s="103">
        <f si="66" t="shared"/>
        <v>9.6334473291267292E-4</v>
      </c>
      <c r="AE57" s="103">
        <f si="66" t="shared"/>
        <v>7.7067578633013833E-4</v>
      </c>
      <c r="AF57" s="103">
        <f si="66" t="shared"/>
        <v>4.7203891912720973E-3</v>
      </c>
      <c r="AG57" s="103">
        <f si="66" t="shared"/>
        <v>2.6491980155098505E-4</v>
      </c>
      <c r="AH57" s="103">
        <f si="66" t="shared"/>
        <v>7.2250854968450469E-5</v>
      </c>
      <c r="AI57" s="103">
        <f si="66" t="shared"/>
        <v>3.8533789316506917E-4</v>
      </c>
      <c r="AJ57" s="103">
        <f si="66" t="shared"/>
        <v>2.6491980155098505E-4</v>
      </c>
      <c r="AK57" s="103">
        <f si="66" t="shared"/>
        <v>5.5392322142478693E-4</v>
      </c>
      <c r="AL57" s="103">
        <f si="66" t="shared"/>
        <v>1.4691007176918262E-3</v>
      </c>
      <c r="AM57" s="103">
        <f si="66" t="shared"/>
        <v>9.6334473291267292E-5</v>
      </c>
      <c r="AN57" s="103">
        <f si="66" t="shared"/>
        <v>0</v>
      </c>
      <c r="AO57" s="103">
        <f si="66" t="shared"/>
        <v>7.2250854968450469E-5</v>
      </c>
      <c r="AP57" s="103">
        <f si="66" t="shared"/>
        <v>7.2250854968450469E-5</v>
      </c>
      <c r="AQ57" s="103">
        <f si="66" t="shared"/>
        <v>2.4083618322816823E-5</v>
      </c>
      <c r="AR57" s="103">
        <f si="66" t="shared"/>
        <v>7.2250854968450469E-5</v>
      </c>
      <c r="AS57" s="103">
        <f si="66" t="shared"/>
        <v>9.6334473291267292E-5</v>
      </c>
      <c r="AT57" s="103">
        <f si="66" t="shared"/>
        <v>0</v>
      </c>
      <c r="AU57" s="103">
        <f si="66" t="shared"/>
        <v>0</v>
      </c>
      <c r="AV57" s="103">
        <f si="66" t="shared"/>
        <v>1.4113000337170658E-2</v>
      </c>
      <c r="AX57" t="s">
        <v>220</v>
      </c>
      <c r="AY57" s="144" t="s">
        <v>365</v>
      </c>
      <c r="AZ57" s="116">
        <f>C51</f>
        <v>44839.614177083633</v>
      </c>
      <c r="BA57" s="116">
        <f ref="BA57:BU57" si="67" t="shared">D51</f>
        <v>37429.141849725522</v>
      </c>
      <c r="BB57" s="116">
        <f si="67" t="shared"/>
        <v>24424.90297029282</v>
      </c>
      <c r="BC57" s="116">
        <f si="67" t="shared"/>
        <v>16816.824872571906</v>
      </c>
      <c r="BD57" s="116">
        <f si="67" t="shared"/>
        <v>21925.594990799043</v>
      </c>
      <c r="BE57" s="116">
        <f si="67" t="shared"/>
        <v>94217.375349221591</v>
      </c>
      <c r="BF57" s="116">
        <f si="67" t="shared"/>
        <v>80183.818134136178</v>
      </c>
      <c r="BG57" s="116">
        <f si="67" t="shared"/>
        <v>4663.6657746440751</v>
      </c>
      <c r="BH57" s="116">
        <f si="67" t="shared"/>
        <v>48973.068481657843</v>
      </c>
      <c r="BI57" s="116">
        <f si="67" t="shared"/>
        <v>18664.660451674812</v>
      </c>
      <c r="BJ57" s="116">
        <f si="67" t="shared"/>
        <v>52224.931269294524</v>
      </c>
      <c r="BK57" s="116">
        <f si="67" t="shared"/>
        <v>137515.33277111661</v>
      </c>
      <c r="BL57" s="116">
        <f si="67" t="shared"/>
        <v>93358.473263503533</v>
      </c>
      <c r="BM57" s="116">
        <f si="67" t="shared"/>
        <v>13888.989032623809</v>
      </c>
      <c r="BN57" s="116">
        <f si="67" t="shared"/>
        <v>36111.280569784009</v>
      </c>
      <c r="BO57" s="116">
        <f si="67" t="shared"/>
        <v>4988.3484991844989</v>
      </c>
      <c r="BP57" s="116">
        <f si="67" t="shared"/>
        <v>15326.878412671909</v>
      </c>
      <c r="BQ57" s="116">
        <f si="67" t="shared"/>
        <v>24087.146692578957</v>
      </c>
      <c r="BR57" s="116">
        <f si="67" t="shared"/>
        <v>35139.681613481123</v>
      </c>
      <c r="BS57" s="116">
        <f si="67" t="shared"/>
        <v>25660.270823953622</v>
      </c>
      <c r="BT57" s="116">
        <f si="67" t="shared"/>
        <v>0</v>
      </c>
      <c r="BU57" s="152">
        <f si="67" t="shared"/>
        <v>830439.99999999988</v>
      </c>
      <c r="CU57" s="95">
        <v>56</v>
      </c>
      <c r="CV57" s="95">
        <f si="6" t="shared"/>
        <v>3</v>
      </c>
      <c r="CW57" s="95">
        <f si="0" t="shared"/>
        <v>16</v>
      </c>
      <c r="CX57" s="58">
        <f si="1" t="shared"/>
        <v>112.19437636703825</v>
      </c>
      <c r="CY57" s="58">
        <f si="2" t="shared"/>
        <v>199.99999999999994</v>
      </c>
      <c r="CZ57" s="108">
        <f si="3" t="shared"/>
        <v>87.805623632961698</v>
      </c>
      <c r="DA57" s="78">
        <f si="4" t="shared"/>
        <v>0.78262054192190544</v>
      </c>
      <c r="DB57" s="95">
        <v>56000</v>
      </c>
    </row>
    <row r="58" spans="2:106" x14ac:dyDescent="0.25">
      <c r="B58" s="95">
        <v>2</v>
      </c>
      <c r="C58" s="104">
        <f ref="C58:X58" si="68" t="shared">IF($X$51&gt;0,C31/$X$51,0)</f>
        <v>1.5281627788822749E-3</v>
      </c>
      <c r="D58" s="104">
        <f si="68" t="shared"/>
        <v>5.5455525582791456E-3</v>
      </c>
      <c r="E58" s="104">
        <f si="68" t="shared"/>
        <v>5.0261538796763836E-4</v>
      </c>
      <c r="F58" s="104">
        <f si="68" t="shared"/>
        <v>3.8954900895207117E-4</v>
      </c>
      <c r="G58" s="104">
        <f si="68" t="shared"/>
        <v>4.6021549583680069E-4</v>
      </c>
      <c r="H58" s="104">
        <f si="68" t="shared"/>
        <v>2.7816095900001637E-3</v>
      </c>
      <c r="I58" s="104">
        <f si="68" t="shared"/>
        <v>1.5873459616482359E-3</v>
      </c>
      <c r="J58" s="104">
        <f si="68" t="shared"/>
        <v>9.5399757294384807E-5</v>
      </c>
      <c r="K58" s="104">
        <f si="68" t="shared"/>
        <v>1.215463574417347E-3</v>
      </c>
      <c r="L58" s="104">
        <f si="68" t="shared"/>
        <v>3.1711585989522352E-4</v>
      </c>
      <c r="M58" s="104">
        <f si="68" t="shared"/>
        <v>6.0861511829473258E-4</v>
      </c>
      <c r="N58" s="104">
        <f si="68" t="shared"/>
        <v>1.7701954964624734E-3</v>
      </c>
      <c r="O58" s="104">
        <f si="68" t="shared"/>
        <v>2.4291604866625758E-4</v>
      </c>
      <c r="P58" s="104">
        <f si="68" t="shared"/>
        <v>3.6216574528423852E-5</v>
      </c>
      <c r="Q58" s="104">
        <f si="68" t="shared"/>
        <v>1.5104961571610925E-4</v>
      </c>
      <c r="R58" s="104">
        <f si="68" t="shared"/>
        <v>1.9433283893300607E-5</v>
      </c>
      <c r="S58" s="104">
        <f si="68" t="shared"/>
        <v>2.1199946065418841E-5</v>
      </c>
      <c r="T58" s="104">
        <f si="68" t="shared"/>
        <v>3.7099905614482973E-5</v>
      </c>
      <c r="U58" s="104">
        <f si="68" t="shared"/>
        <v>6.8899824712611237E-5</v>
      </c>
      <c r="V58" s="104">
        <f si="68" t="shared"/>
        <v>9.7166419466503034E-6</v>
      </c>
      <c r="W58" s="104">
        <f si="68" t="shared"/>
        <v>0</v>
      </c>
      <c r="X58" s="104">
        <f si="68" t="shared"/>
        <v>1.7388372429073748E-2</v>
      </c>
      <c r="Y58" s="95"/>
      <c r="Z58" s="95">
        <v>2</v>
      </c>
      <c r="AA58" s="104">
        <f ref="AA58:AA78" si="69" t="shared">IF($BU$51&gt;0,AZ31/$BU$51,0)</f>
        <v>1.9266894658253458E-3</v>
      </c>
      <c r="AB58" s="104">
        <f ref="AB58:AB78" si="70" t="shared">IF($BU$51&gt;0,BA31/$BU$51,0)</f>
        <v>2.7455324888011178E-3</v>
      </c>
      <c r="AC58" s="104">
        <f ref="AC58:AC78" si="71" t="shared">IF($BU$51&gt;0,BB31/$BU$51,0)</f>
        <v>6.0209045807042057E-4</v>
      </c>
      <c r="AD58" s="104">
        <f ref="AD58:AD78" si="72" t="shared">IF($BU$51&gt;0,BC31/$BU$51,0)</f>
        <v>6.0209045807042057E-4</v>
      </c>
      <c r="AE58" s="104">
        <f ref="AE58:AE78" si="73" t="shared">IF($BU$51&gt;0,BD31/$BU$51,0)</f>
        <v>5.2983960310197011E-4</v>
      </c>
      <c r="AF58" s="104">
        <f ref="AF58:AF78" si="74" t="shared">IF($BU$51&gt;0,BE31/$BU$51,0)</f>
        <v>3.6125427484225234E-3</v>
      </c>
      <c r="AG58" s="104">
        <f ref="AG58:AG78" si="75" t="shared">IF($BU$51&gt;0,BF31/$BU$51,0)</f>
        <v>1.5172679543374598E-3</v>
      </c>
      <c r="AH58" s="104">
        <f ref="AH58:AH78" si="76" t="shared">IF($BU$51&gt;0,BG31/$BU$51,0)</f>
        <v>7.2250854968450469E-5</v>
      </c>
      <c r="AI58" s="104">
        <f ref="AI58:AI78" si="77" t="shared">IF($BU$51&gt;0,BH31/$BU$51,0)</f>
        <v>1.4450170993690094E-3</v>
      </c>
      <c r="AJ58" s="104">
        <f ref="AJ58:AJ78" si="78" t="shared">IF($BU$51&gt;0,BI31/$BU$51,0)</f>
        <v>2.6491980155098505E-4</v>
      </c>
      <c r="AK58" s="104">
        <f ref="AK58:AK78" si="79" t="shared">IF($BU$51&gt;0,BJ31/$BU$51,0)</f>
        <v>6.9842493136168787E-4</v>
      </c>
      <c r="AL58" s="104">
        <f ref="AL58:AL78" si="80" t="shared">IF($BU$51&gt;0,BK31/$BU$51,0)</f>
        <v>2.4324454506044991E-3</v>
      </c>
      <c r="AM58" s="104">
        <f ref="AM58:AM78" si="81" t="shared">IF($BU$51&gt;0,BL31/$BU$51,0)</f>
        <v>3.3717065651943552E-4</v>
      </c>
      <c r="AN58" s="104">
        <f ref="AN58:AN78" si="82" t="shared">IF($BU$51&gt;0,BM31/$BU$51,0)</f>
        <v>4.8167236645633646E-5</v>
      </c>
      <c r="AO58" s="104">
        <f ref="AO58:AO78" si="83" t="shared">IF($BU$51&gt;0,BN31/$BU$51,0)</f>
        <v>3.1308703819661875E-4</v>
      </c>
      <c r="AP58" s="104">
        <f ref="AP58:AP78" si="84" t="shared">IF($BU$51&gt;0,BO31/$BU$51,0)</f>
        <v>4.8167236645633646E-5</v>
      </c>
      <c r="AQ58" s="104">
        <f ref="AQ58:AQ78" si="85" t="shared">IF($BU$51&gt;0,BP31/$BU$51,0)</f>
        <v>2.4083618322816823E-5</v>
      </c>
      <c r="AR58" s="104">
        <f ref="AR58:AR78" si="86" t="shared">IF($BU$51&gt;0,BQ31/$BU$51,0)</f>
        <v>7.2250854968450469E-5</v>
      </c>
      <c r="AS58" s="104">
        <f ref="AS58:AS78" si="87" t="shared">IF($BU$51&gt;0,BR31/$BU$51,0)</f>
        <v>9.6334473291267292E-5</v>
      </c>
      <c r="AT58" s="104">
        <f ref="AT58:AT78" si="88" t="shared">IF($BU$51&gt;0,BS31/$BU$51,0)</f>
        <v>0</v>
      </c>
      <c r="AU58" s="104">
        <f ref="AU58:AU78" si="89" t="shared">IF($BU$51&gt;0,BT31/$BU$51,0)</f>
        <v>0</v>
      </c>
      <c r="AV58" s="104">
        <f ref="AV58:AV78" si="90" t="shared">IF($BU$51&gt;0,BU31/$BU$51,0)</f>
        <v>1.7388372429073748E-2</v>
      </c>
      <c r="AY58" s="151" t="s">
        <v>345</v>
      </c>
      <c r="AZ58" s="60">
        <f>AZ51</f>
        <v>45640</v>
      </c>
      <c r="BA58" s="60">
        <f ref="BA58:BU58" si="91" t="shared">BA51</f>
        <v>38180</v>
      </c>
      <c r="BB58" s="60">
        <f si="91" t="shared"/>
        <v>24100</v>
      </c>
      <c r="BC58" s="60">
        <f si="91" t="shared"/>
        <v>17520</v>
      </c>
      <c r="BD58" s="60">
        <f si="91" t="shared"/>
        <v>21740</v>
      </c>
      <c r="BE58" s="60">
        <f si="91" t="shared"/>
        <v>96120</v>
      </c>
      <c r="BF58" s="60">
        <f si="91" t="shared"/>
        <v>78260</v>
      </c>
      <c r="BG58" s="60">
        <f si="91" t="shared"/>
        <v>4600</v>
      </c>
      <c r="BH58" s="60">
        <f si="91" t="shared"/>
        <v>46940.000000000007</v>
      </c>
      <c r="BI58" s="60">
        <f si="91" t="shared"/>
        <v>17920</v>
      </c>
      <c r="BJ58" s="60">
        <f si="91" t="shared"/>
        <v>50980</v>
      </c>
      <c r="BK58" s="60">
        <f si="91" t="shared"/>
        <v>148580</v>
      </c>
      <c r="BL58" s="60">
        <f si="91" t="shared"/>
        <v>91740</v>
      </c>
      <c r="BM58" s="60">
        <f si="91" t="shared"/>
        <v>13760.000000000002</v>
      </c>
      <c r="BN58" s="60">
        <f si="91" t="shared"/>
        <v>34800</v>
      </c>
      <c r="BO58" s="60">
        <f si="91" t="shared"/>
        <v>4560</v>
      </c>
      <c r="BP58" s="60">
        <f si="91" t="shared"/>
        <v>13940</v>
      </c>
      <c r="BQ58" s="60">
        <f si="91" t="shared"/>
        <v>21140</v>
      </c>
      <c r="BR58" s="60">
        <f si="91" t="shared"/>
        <v>33420</v>
      </c>
      <c r="BS58" s="60">
        <f si="91" t="shared"/>
        <v>26500</v>
      </c>
      <c r="BT58" s="60">
        <f si="91" t="shared"/>
        <v>0</v>
      </c>
      <c r="BU58" s="153">
        <f si="91" t="shared"/>
        <v>830440</v>
      </c>
      <c r="CU58" s="95">
        <v>57</v>
      </c>
      <c r="CV58" s="95">
        <f si="6" t="shared"/>
        <v>3</v>
      </c>
      <c r="CW58" s="95">
        <f si="0" t="shared"/>
        <v>17</v>
      </c>
      <c r="CX58" s="58">
        <f si="1" t="shared"/>
        <v>136.91517115977547</v>
      </c>
      <c r="CY58" s="58">
        <f si="2" t="shared"/>
        <v>199.99999999999994</v>
      </c>
      <c r="CZ58" s="108">
        <f si="3" t="shared"/>
        <v>63.084828840224475</v>
      </c>
      <c r="DA58" s="78">
        <f si="4" t="shared"/>
        <v>0.46075849963045051</v>
      </c>
      <c r="DB58" s="95">
        <v>57000</v>
      </c>
    </row>
    <row r="59" spans="2:106" x14ac:dyDescent="0.25">
      <c r="B59" s="95">
        <v>3</v>
      </c>
      <c r="C59" s="104">
        <f ref="C59:X59" si="92" t="shared">IF($X$51&gt;0,C32/$X$51,0)</f>
        <v>5.026264535395346E-3</v>
      </c>
      <c r="D59" s="104">
        <f si="92" t="shared"/>
        <v>3.0409472906628792E-3</v>
      </c>
      <c r="E59" s="104">
        <f si="92" t="shared"/>
        <v>9.1903930354483923E-3</v>
      </c>
      <c r="F59" s="104">
        <f si="92" t="shared"/>
        <v>1.9818824398107845E-3</v>
      </c>
      <c r="G59" s="104">
        <f si="92" t="shared"/>
        <v>2.052868408192222E-3</v>
      </c>
      <c r="H59" s="104">
        <f si="92" t="shared"/>
        <v>7.3493375974265883E-3</v>
      </c>
      <c r="I59" s="104">
        <f si="92" t="shared"/>
        <v>1.633822207746961E-3</v>
      </c>
      <c r="J59" s="104">
        <f si="92" t="shared"/>
        <v>7.4191786308341336E-4</v>
      </c>
      <c r="K59" s="104">
        <f si="92" t="shared"/>
        <v>2.7615831570327052E-3</v>
      </c>
      <c r="L59" s="104">
        <f si="92" t="shared"/>
        <v>1.538792604913746E-3</v>
      </c>
      <c r="M59" s="104">
        <f si="92" t="shared"/>
        <v>3.1680350727651303E-3</v>
      </c>
      <c r="N59" s="104">
        <f si="92" t="shared"/>
        <v>3.6294438672444754E-3</v>
      </c>
      <c r="O59" s="104">
        <f si="92" t="shared"/>
        <v>3.9156776107180139E-4</v>
      </c>
      <c r="P59" s="104">
        <f si="92" t="shared"/>
        <v>1.202181722588864E-4</v>
      </c>
      <c r="Q59" s="104">
        <f si="92" t="shared"/>
        <v>2.1868258001378387E-4</v>
      </c>
      <c r="R59" s="104">
        <f si="92" t="shared"/>
        <v>1.3510232691951046E-4</v>
      </c>
      <c r="S59" s="104">
        <f si="92" t="shared"/>
        <v>1.648706362407585E-4</v>
      </c>
      <c r="T59" s="104">
        <f si="92" t="shared"/>
        <v>4.2362594034083783E-5</v>
      </c>
      <c r="U59" s="104">
        <f si="92" t="shared"/>
        <v>2.3013192975272542E-4</v>
      </c>
      <c r="V59" s="104">
        <f si="92" t="shared"/>
        <v>2.862337434735391E-5</v>
      </c>
      <c r="W59" s="104">
        <f si="92" t="shared"/>
        <v>0</v>
      </c>
      <c r="X59" s="104">
        <f si="92" t="shared"/>
        <v>4.3446847454361538E-2</v>
      </c>
      <c r="Y59" s="95"/>
      <c r="Z59" s="95">
        <v>3</v>
      </c>
      <c r="AA59" s="104">
        <f si="69" t="shared"/>
        <v>5.8764028707673031E-3</v>
      </c>
      <c r="AB59" s="104">
        <f si="70" t="shared"/>
        <v>3.1549540002890029E-3</v>
      </c>
      <c r="AC59" s="104">
        <f si="71" t="shared"/>
        <v>4.9612253745002638E-3</v>
      </c>
      <c r="AD59" s="104">
        <f si="72" t="shared"/>
        <v>2.1193584124078796E-3</v>
      </c>
      <c r="AE59" s="104">
        <f si="73" t="shared"/>
        <v>1.7821877558884445E-3</v>
      </c>
      <c r="AF59" s="104">
        <f si="74" t="shared"/>
        <v>8.8627715427965874E-3</v>
      </c>
      <c r="AG59" s="104">
        <f si="75" t="shared"/>
        <v>1.6858532825971772E-3</v>
      </c>
      <c r="AH59" s="104">
        <f si="76" t="shared"/>
        <v>6.2617407639323718E-4</v>
      </c>
      <c r="AI59" s="104">
        <f si="77" t="shared"/>
        <v>2.2879437406675973E-3</v>
      </c>
      <c r="AJ59" s="104">
        <f si="78" t="shared"/>
        <v>1.300515389432108E-3</v>
      </c>
      <c r="AK59" s="104">
        <f si="79" t="shared"/>
        <v>3.9256297866191404E-3</v>
      </c>
      <c r="AL59" s="104">
        <f si="80" t="shared"/>
        <v>4.8408072828861797E-3</v>
      </c>
      <c r="AM59" s="104">
        <f si="81" t="shared"/>
        <v>4.335051298107027E-4</v>
      </c>
      <c r="AN59" s="104">
        <f si="82" t="shared"/>
        <v>7.2250854968450442E-5</v>
      </c>
      <c r="AO59" s="104">
        <f si="83" t="shared"/>
        <v>3.6125427484225224E-4</v>
      </c>
      <c r="AP59" s="104">
        <f si="84" t="shared"/>
        <v>2.4083618322816812E-4</v>
      </c>
      <c r="AQ59" s="104">
        <f si="85" t="shared"/>
        <v>2.4083618322816812E-4</v>
      </c>
      <c r="AR59" s="104">
        <f si="86" t="shared"/>
        <v>1.2041809161408406E-4</v>
      </c>
      <c r="AS59" s="104">
        <f si="87" t="shared"/>
        <v>5.5392322142478671E-4</v>
      </c>
      <c r="AT59" s="104">
        <f si="88" t="shared"/>
        <v>0</v>
      </c>
      <c r="AU59" s="104">
        <f si="89" t="shared"/>
        <v>0</v>
      </c>
      <c r="AV59" s="104">
        <f si="90" t="shared"/>
        <v>4.3446847454361531E-2</v>
      </c>
      <c r="AX59" t="s">
        <v>357</v>
      </c>
      <c r="AY59" s="144" t="s">
        <v>365</v>
      </c>
      <c r="AZ59" s="104">
        <f ref="AZ59:BU59" si="93" t="shared">C78</f>
        <v>5.3995007679162418E-2</v>
      </c>
      <c r="BA59" s="104">
        <f si="93" t="shared"/>
        <v>4.507145832296798E-2</v>
      </c>
      <c r="BB59" s="104">
        <f si="93" t="shared"/>
        <v>2.9412002035418362E-2</v>
      </c>
      <c r="BC59" s="104">
        <f si="93" t="shared"/>
        <v>2.0250499581633722E-2</v>
      </c>
      <c r="BD59" s="104">
        <f si="93" t="shared"/>
        <v>2.6402383062953429E-2</v>
      </c>
      <c r="BE59" s="104">
        <f si="93" t="shared"/>
        <v>0.11345476536441117</v>
      </c>
      <c r="BF59" s="104">
        <f si="93" t="shared"/>
        <v>9.6555823580434699E-2</v>
      </c>
      <c r="BG59" s="104">
        <f si="93" t="shared"/>
        <v>5.6158973250855877E-3</v>
      </c>
      <c r="BH59" s="104">
        <f si="93" t="shared"/>
        <v>5.8972434470470896E-2</v>
      </c>
      <c r="BI59" s="104">
        <f si="93" t="shared"/>
        <v>2.2475627922155503E-2</v>
      </c>
      <c r="BJ59" s="104">
        <f si="93" t="shared"/>
        <v>6.2888265581251546E-2</v>
      </c>
      <c r="BK59" s="104">
        <f si="93" t="shared"/>
        <v>0.16559333939973583</v>
      </c>
      <c r="BL59" s="104">
        <f si="93" t="shared"/>
        <v>0.1124204918639559</v>
      </c>
      <c r="BM59" s="104">
        <f si="93" t="shared"/>
        <v>1.6724855537575033E-2</v>
      </c>
      <c r="BN59" s="104">
        <f si="93" t="shared"/>
        <v>4.3484514919541466E-2</v>
      </c>
      <c r="BO59" s="104">
        <f si="93" t="shared"/>
        <v>6.0068740657777796E-3</v>
      </c>
      <c r="BP59" s="104">
        <f si="93" t="shared"/>
        <v>1.8456334488550542E-2</v>
      </c>
      <c r="BQ59" s="104">
        <f si="93" t="shared"/>
        <v>2.9005282371488562E-2</v>
      </c>
      <c r="BR59" s="104">
        <f si="93" t="shared"/>
        <v>4.2314533998219168E-2</v>
      </c>
      <c r="BS59" s="104">
        <f si="93" t="shared"/>
        <v>3.0899608429210572E-2</v>
      </c>
      <c r="BT59" s="104">
        <f si="93" t="shared"/>
        <v>0</v>
      </c>
      <c r="BU59" s="145">
        <f si="93" t="shared"/>
        <v>1</v>
      </c>
      <c r="CU59" s="95">
        <v>58</v>
      </c>
      <c r="CV59" s="95">
        <f si="6" t="shared"/>
        <v>3</v>
      </c>
      <c r="CW59" s="95">
        <f si="0" t="shared"/>
        <v>18</v>
      </c>
      <c r="CX59" s="58">
        <f si="1" t="shared"/>
        <v>35.17959258966453</v>
      </c>
      <c r="CY59" s="58">
        <f si="2" t="shared"/>
        <v>99.999999999999972</v>
      </c>
      <c r="CZ59" s="108">
        <f si="3" t="shared"/>
        <v>64.820407410335434</v>
      </c>
      <c r="DA59" s="78">
        <f si="4" t="shared"/>
        <v>1.8425570803619575</v>
      </c>
      <c r="DB59" s="95">
        <v>58000</v>
      </c>
    </row>
    <row ht="15.75" r="60" spans="2:106" thickBot="1" x14ac:dyDescent="0.3">
      <c r="B60" s="95">
        <v>4</v>
      </c>
      <c r="C60" s="104">
        <f ref="C60:X60" si="94" t="shared">IF($X$51&gt;0,C33/$X$51,0)</f>
        <v>1.5413256571385088E-3</v>
      </c>
      <c r="D60" s="104">
        <f si="94" t="shared"/>
        <v>9.2016299476711523E-4</v>
      </c>
      <c r="E60" s="104">
        <f si="94" t="shared"/>
        <v>1.1802090585056478E-3</v>
      </c>
      <c r="F60" s="104">
        <f si="94" t="shared"/>
        <v>3.4279756418326402E-3</v>
      </c>
      <c r="G60" s="104">
        <f si="94" t="shared"/>
        <v>1.4076177620178868E-3</v>
      </c>
      <c r="H60" s="104">
        <f si="94" t="shared"/>
        <v>2.5973021831698783E-3</v>
      </c>
      <c r="I60" s="104">
        <f si="94" t="shared"/>
        <v>6.3379647923318466E-4</v>
      </c>
      <c r="J60" s="104">
        <f si="94" t="shared"/>
        <v>5.4325412505701548E-4</v>
      </c>
      <c r="K60" s="104">
        <f si="94" t="shared"/>
        <v>3.8217296006917944E-4</v>
      </c>
      <c r="L60" s="104">
        <f si="94" t="shared"/>
        <v>7.5171210327656783E-4</v>
      </c>
      <c r="M60" s="104">
        <f si="94" t="shared"/>
        <v>6.5906411295676688E-4</v>
      </c>
      <c r="N60" s="104">
        <f si="94" t="shared"/>
        <v>1.2696985946100011E-3</v>
      </c>
      <c r="O60" s="104">
        <f si="94" t="shared"/>
        <v>1.242325324742787E-4</v>
      </c>
      <c r="P60" s="104">
        <f si="94" t="shared"/>
        <v>2.9478906010845796E-5</v>
      </c>
      <c r="Q60" s="104">
        <f si="94" t="shared"/>
        <v>6.5274720452587127E-5</v>
      </c>
      <c r="R60" s="104">
        <f si="94" t="shared"/>
        <v>2.5267633723582116E-5</v>
      </c>
      <c r="S60" s="104">
        <f si="94" t="shared"/>
        <v>2.421481565176619E-5</v>
      </c>
      <c r="T60" s="104">
        <f si="94" t="shared"/>
        <v>3.0531724082661718E-5</v>
      </c>
      <c r="U60" s="104">
        <f si="94" t="shared"/>
        <v>3.6848632513557247E-5</v>
      </c>
      <c r="V60" s="104">
        <f si="94" t="shared"/>
        <v>4.2112722872636862E-6</v>
      </c>
      <c r="W60" s="104">
        <f si="94" t="shared"/>
        <v>0</v>
      </c>
      <c r="X60" s="104">
        <f si="94" t="shared"/>
        <v>1.5654351909830933E-2</v>
      </c>
      <c r="Y60" s="95"/>
      <c r="Z60" s="95">
        <v>4</v>
      </c>
      <c r="AA60" s="104">
        <f si="69" t="shared"/>
        <v>2.2879437406675977E-3</v>
      </c>
      <c r="AB60" s="104">
        <f si="70" t="shared"/>
        <v>7.9475940465295494E-4</v>
      </c>
      <c r="AC60" s="104">
        <f si="71" t="shared"/>
        <v>1.0355955878811232E-3</v>
      </c>
      <c r="AD60" s="104">
        <f si="72" t="shared"/>
        <v>1.3245990077549248E-3</v>
      </c>
      <c r="AE60" s="104">
        <f si="73" t="shared"/>
        <v>1.1319300611723905E-3</v>
      </c>
      <c r="AF60" s="104">
        <f si="74" t="shared"/>
        <v>3.8533789316506908E-3</v>
      </c>
      <c r="AG60" s="104">
        <f si="75" t="shared"/>
        <v>4.335051298107027E-4</v>
      </c>
      <c r="AH60" s="104">
        <f si="76" t="shared"/>
        <v>4.0942151148788588E-4</v>
      </c>
      <c r="AI60" s="104">
        <f si="77" t="shared"/>
        <v>6.0209045807042047E-4</v>
      </c>
      <c r="AJ60" s="104">
        <f si="78" t="shared"/>
        <v>7.465921680073213E-4</v>
      </c>
      <c r="AK60" s="104">
        <f si="79" t="shared"/>
        <v>8.1884302297577176E-4</v>
      </c>
      <c r="AL60" s="104">
        <f si="80" t="shared"/>
        <v>1.8785222291797118E-3</v>
      </c>
      <c r="AM60" s="104">
        <f si="81" t="shared"/>
        <v>7.2250854968450455E-5</v>
      </c>
      <c r="AN60" s="104">
        <f si="82" t="shared"/>
        <v>2.4083618322816816E-5</v>
      </c>
      <c r="AO60" s="104">
        <f si="83" t="shared"/>
        <v>4.8167236645633632E-5</v>
      </c>
      <c r="AP60" s="104">
        <f si="84" t="shared"/>
        <v>4.8167236645633632E-5</v>
      </c>
      <c r="AQ60" s="104">
        <f si="85" t="shared"/>
        <v>4.8167236645633632E-5</v>
      </c>
      <c r="AR60" s="104">
        <f si="86" t="shared"/>
        <v>2.4083618322816816E-5</v>
      </c>
      <c r="AS60" s="104">
        <f si="87" t="shared"/>
        <v>7.2250854968450455E-5</v>
      </c>
      <c r="AT60" s="104">
        <f si="88" t="shared"/>
        <v>0</v>
      </c>
      <c r="AU60" s="104">
        <f si="89" t="shared"/>
        <v>0</v>
      </c>
      <c r="AV60" s="104">
        <f si="90" t="shared"/>
        <v>1.565435190983093E-2</v>
      </c>
      <c r="AY60" s="146" t="s">
        <v>345</v>
      </c>
      <c r="AZ60" s="106">
        <f ref="AZ60:BU60" si="95" t="shared">AA78</f>
        <v>5.4958817012667985E-2</v>
      </c>
      <c r="BA60" s="106">
        <f si="95" t="shared"/>
        <v>4.5975627378257312E-2</v>
      </c>
      <c r="BB60" s="106">
        <f si="95" t="shared"/>
        <v>2.9020760078994269E-2</v>
      </c>
      <c r="BC60" s="106">
        <f si="95" t="shared"/>
        <v>2.1097249650787533E-2</v>
      </c>
      <c r="BD60" s="106">
        <f si="95" t="shared"/>
        <v>2.6178893116901882E-2</v>
      </c>
      <c r="BE60" s="106">
        <f si="95" t="shared"/>
        <v>0.11574586965945764</v>
      </c>
      <c r="BF60" s="106">
        <f si="95" t="shared"/>
        <v>9.4239198497182222E-2</v>
      </c>
      <c r="BG60" s="106">
        <f si="95" t="shared"/>
        <v>5.5392322142478684E-3</v>
      </c>
      <c r="BH60" s="106">
        <f si="95" t="shared"/>
        <v>5.6524252203651086E-2</v>
      </c>
      <c r="BI60" s="106">
        <f si="95" t="shared"/>
        <v>2.157892201724387E-2</v>
      </c>
      <c r="BJ60" s="106">
        <f si="95" t="shared"/>
        <v>6.1389143104860072E-2</v>
      </c>
      <c r="BK60" s="106">
        <f si="95" t="shared"/>
        <v>0.17891720052020615</v>
      </c>
      <c r="BL60" s="106">
        <f si="95" t="shared"/>
        <v>0.11047155724676075</v>
      </c>
      <c r="BM60" s="106">
        <f si="95" t="shared"/>
        <v>1.6569529406097974E-2</v>
      </c>
      <c r="BN60" s="106">
        <f si="95" t="shared"/>
        <v>4.1905495881701268E-2</v>
      </c>
      <c r="BO60" s="106">
        <f si="95" t="shared"/>
        <v>5.4910649776022348E-3</v>
      </c>
      <c r="BP60" s="106">
        <f si="95" t="shared"/>
        <v>1.6786281971003323E-2</v>
      </c>
      <c r="BQ60" s="106">
        <f si="95" t="shared"/>
        <v>2.5456384567217379E-2</v>
      </c>
      <c r="BR60" s="106">
        <f si="95" t="shared"/>
        <v>4.0243726217426903E-2</v>
      </c>
      <c r="BS60" s="106">
        <f si="95" t="shared"/>
        <v>3.1910794277732288E-2</v>
      </c>
      <c r="BT60" s="106">
        <f si="95" t="shared"/>
        <v>0</v>
      </c>
      <c r="BU60" s="147">
        <f si="95" t="shared"/>
        <v>1</v>
      </c>
      <c r="CU60" s="95">
        <v>59</v>
      </c>
      <c r="CV60" s="95">
        <f si="6" t="shared"/>
        <v>3</v>
      </c>
      <c r="CW60" s="95">
        <f si="0" t="shared"/>
        <v>19</v>
      </c>
      <c r="CX60" s="58">
        <f si="1" t="shared"/>
        <v>191.11075974385327</v>
      </c>
      <c r="CY60" s="58">
        <f si="2" t="shared"/>
        <v>459.99999999999989</v>
      </c>
      <c r="CZ60" s="108">
        <f si="3" t="shared"/>
        <v>268.88924025614665</v>
      </c>
      <c r="DA60" s="78">
        <f si="4" t="shared"/>
        <v>1.4069811695403245</v>
      </c>
      <c r="DB60" s="95">
        <v>59000</v>
      </c>
    </row>
    <row r="61" spans="2:106" x14ac:dyDescent="0.25">
      <c r="B61" s="95">
        <v>5</v>
      </c>
      <c r="C61" s="104">
        <f ref="C61:X61" si="96" t="shared">IF($X$51&gt;0,C34/$X$51,0)</f>
        <v>1.9203863619205379E-3</v>
      </c>
      <c r="D61" s="104">
        <f si="96" t="shared"/>
        <v>6.2361901788040913E-4</v>
      </c>
      <c r="E61" s="104">
        <f si="96" t="shared"/>
        <v>6.7202266006246257E-4</v>
      </c>
      <c r="F61" s="104">
        <f si="96" t="shared"/>
        <v>8.8027088805501792E-4</v>
      </c>
      <c r="G61" s="104">
        <f si="96" t="shared"/>
        <v>3.8058770748261067E-3</v>
      </c>
      <c r="H61" s="104">
        <f si="96" t="shared"/>
        <v>4.5330573736541658E-3</v>
      </c>
      <c r="I61" s="104">
        <f si="96" t="shared"/>
        <v>5.3356573009984468E-4</v>
      </c>
      <c r="J61" s="104">
        <f si="96" t="shared"/>
        <v>1.542162553242167E-4</v>
      </c>
      <c r="K61" s="104">
        <f si="96" t="shared"/>
        <v>4.0523979501254028E-4</v>
      </c>
      <c r="L61" s="104">
        <f si="96" t="shared"/>
        <v>1.0873934499503165E-3</v>
      </c>
      <c r="M61" s="104">
        <f si="96" t="shared"/>
        <v>4.5026643890282251E-4</v>
      </c>
      <c r="N61" s="104">
        <f si="96" t="shared"/>
        <v>1.8731083858357419E-3</v>
      </c>
      <c r="O61" s="104">
        <f si="96" t="shared"/>
        <v>9.680728436410683E-5</v>
      </c>
      <c r="P61" s="104">
        <f si="96" t="shared"/>
        <v>1.4633659264341734E-5</v>
      </c>
      <c r="Q61" s="104">
        <f si="96" t="shared"/>
        <v>2.4764654139655236E-5</v>
      </c>
      <c r="R61" s="104">
        <f si="96" t="shared"/>
        <v>1.3733126386536085E-4</v>
      </c>
      <c r="S61" s="104">
        <f si="96" t="shared"/>
        <v>2.0261989750627012E-5</v>
      </c>
      <c r="T61" s="104">
        <f si="96" t="shared"/>
        <v>1.8010657556112898E-5</v>
      </c>
      <c r="U61" s="104">
        <f si="96" t="shared"/>
        <v>5.6283304862852813E-5</v>
      </c>
      <c r="V61" s="104">
        <f si="96" t="shared"/>
        <v>9.0053287780564488E-6</v>
      </c>
      <c r="W61" s="104">
        <f si="96" t="shared"/>
        <v>0</v>
      </c>
      <c r="X61" s="104">
        <f si="96" t="shared"/>
        <v>1.7316121574105295E-2</v>
      </c>
      <c r="Y61" s="95"/>
      <c r="Z61" s="95">
        <v>5</v>
      </c>
      <c r="AA61" s="104">
        <f si="69" t="shared"/>
        <v>1.6376860459515437E-3</v>
      </c>
      <c r="AB61" s="104">
        <f si="70" t="shared"/>
        <v>1.0837628245267568E-3</v>
      </c>
      <c r="AC61" s="104">
        <f si="71" t="shared"/>
        <v>7.465921680073214E-4</v>
      </c>
      <c r="AD61" s="104">
        <f si="72" t="shared"/>
        <v>6.7434131303887093E-4</v>
      </c>
      <c r="AE61" s="104">
        <f si="73" t="shared"/>
        <v>2.0230239391166127E-3</v>
      </c>
      <c r="AF61" s="104">
        <f si="74" t="shared"/>
        <v>6.0690718173498385E-3</v>
      </c>
      <c r="AG61" s="104">
        <f si="75" t="shared"/>
        <v>4.8167236645633641E-4</v>
      </c>
      <c r="AH61" s="104">
        <f si="76" t="shared"/>
        <v>7.2250854968450455E-5</v>
      </c>
      <c r="AI61" s="104">
        <f si="77" t="shared"/>
        <v>5.2983960310197E-4</v>
      </c>
      <c r="AJ61" s="104">
        <f si="78" t="shared"/>
        <v>9.3926111458985599E-4</v>
      </c>
      <c r="AK61" s="104">
        <f si="79" t="shared"/>
        <v>5.0575598477915317E-4</v>
      </c>
      <c r="AL61" s="104">
        <f si="80" t="shared"/>
        <v>2.0952747940850632E-3</v>
      </c>
      <c r="AM61" s="104">
        <f si="81" t="shared"/>
        <v>1.6858532825971773E-4</v>
      </c>
      <c r="AN61" s="104">
        <f si="82" t="shared"/>
        <v>7.2250854968450455E-5</v>
      </c>
      <c r="AO61" s="104">
        <f si="83" t="shared"/>
        <v>7.2250854968450455E-5</v>
      </c>
      <c r="AP61" s="104">
        <f si="84" t="shared"/>
        <v>9.6334473291267278E-5</v>
      </c>
      <c r="AQ61" s="104">
        <f si="85" t="shared"/>
        <v>2.408361832281682E-5</v>
      </c>
      <c r="AR61" s="104">
        <f si="86" t="shared"/>
        <v>0</v>
      </c>
      <c r="AS61" s="104">
        <f si="87" t="shared"/>
        <v>2.408361832281682E-5</v>
      </c>
      <c r="AT61" s="104">
        <f si="88" t="shared"/>
        <v>0</v>
      </c>
      <c r="AU61" s="104">
        <f si="89" t="shared"/>
        <v>0</v>
      </c>
      <c r="AV61" s="104">
        <f si="90" t="shared"/>
        <v>1.7316121574105295E-2</v>
      </c>
      <c r="CU61" s="95">
        <v>60</v>
      </c>
      <c r="CV61" s="95">
        <f si="6" t="shared"/>
        <v>3</v>
      </c>
      <c r="CW61" s="95">
        <f si="0" t="shared"/>
        <v>20</v>
      </c>
      <c r="CX61" s="58">
        <f si="1" t="shared"/>
        <v>23.769994993016578</v>
      </c>
      <c r="CY61" s="58">
        <f si="2" t="shared"/>
        <v>0</v>
      </c>
      <c r="CZ61" s="108">
        <f si="3" t="shared"/>
        <v>-23.769994993016578</v>
      </c>
      <c r="DA61" s="78">
        <f si="4" t="shared"/>
        <v>-1</v>
      </c>
      <c r="DB61" s="95">
        <v>60000</v>
      </c>
    </row>
    <row r="62" spans="2:106" x14ac:dyDescent="0.25">
      <c r="B62" s="95">
        <v>6</v>
      </c>
      <c r="C62" s="104">
        <f ref="C62:X62" si="97" t="shared">IF($X$51&gt;0,C35/$X$51,0)</f>
        <v>3.7586736810037188E-3</v>
      </c>
      <c r="D62" s="104">
        <f si="97" t="shared"/>
        <v>1.8198470412341744E-3</v>
      </c>
      <c r="E62" s="104">
        <f si="97" t="shared"/>
        <v>9.4732998530813143E-4</v>
      </c>
      <c r="F62" s="104">
        <f si="97" t="shared"/>
        <v>9.8068032732183332E-4</v>
      </c>
      <c r="G62" s="104">
        <f si="97" t="shared"/>
        <v>1.5972109742778391E-3</v>
      </c>
      <c r="H62" s="104">
        <f si="97" t="shared"/>
        <v>1.7950596248726389E-2</v>
      </c>
      <c r="I62" s="104">
        <f si="97" t="shared"/>
        <v>1.0473810113492375E-3</v>
      </c>
      <c r="J62" s="104">
        <f si="97" t="shared"/>
        <v>8.7431977711597281E-5</v>
      </c>
      <c r="K62" s="104">
        <f si="97" t="shared"/>
        <v>8.8333338306562201E-4</v>
      </c>
      <c r="L62" s="104">
        <f si="97" t="shared"/>
        <v>9.2840141281386808E-4</v>
      </c>
      <c r="M62" s="104">
        <f si="97" t="shared"/>
        <v>5.7236397780272453E-4</v>
      </c>
      <c r="N62" s="104">
        <f si="97" t="shared"/>
        <v>5.097194164526626E-3</v>
      </c>
      <c r="O62" s="104">
        <f si="97" t="shared"/>
        <v>2.6500001491968662E-4</v>
      </c>
      <c r="P62" s="104">
        <f si="97" t="shared"/>
        <v>4.957483272307063E-5</v>
      </c>
      <c r="Q62" s="104">
        <f si="97" t="shared"/>
        <v>1.3520408924473808E-4</v>
      </c>
      <c r="R62" s="104">
        <f si="97" t="shared"/>
        <v>9.8248304851176324E-5</v>
      </c>
      <c r="S62" s="104">
        <f si="97" t="shared"/>
        <v>7.0306126407263794E-5</v>
      </c>
      <c r="T62" s="104">
        <f si="97" t="shared"/>
        <v>8.6530617116632359E-5</v>
      </c>
      <c r="U62" s="104">
        <f si="97" t="shared"/>
        <v>1.2979592567494854E-4</v>
      </c>
      <c r="V62" s="104">
        <f si="97" t="shared"/>
        <v>2.9744899633842375E-5</v>
      </c>
      <c r="W62" s="104">
        <f si="97" t="shared"/>
        <v>0</v>
      </c>
      <c r="X62" s="104">
        <f si="97" t="shared"/>
        <v>3.6534848995713118E-2</v>
      </c>
      <c r="Y62" s="95"/>
      <c r="Z62" s="95">
        <v>6</v>
      </c>
      <c r="AA62" s="104">
        <f si="69" t="shared"/>
        <v>4.0701314965560422E-3</v>
      </c>
      <c r="AB62" s="104">
        <f si="70" t="shared"/>
        <v>2.11935841240788E-3</v>
      </c>
      <c r="AC62" s="104">
        <f si="71" t="shared"/>
        <v>9.1517749626703906E-4</v>
      </c>
      <c r="AD62" s="104">
        <f si="72" t="shared"/>
        <v>7.9475940465295494E-4</v>
      </c>
      <c r="AE62" s="104">
        <f si="73" t="shared"/>
        <v>2.1916092673763305E-3</v>
      </c>
      <c r="AF62" s="104">
        <f si="74" t="shared"/>
        <v>1.4691007176918259E-2</v>
      </c>
      <c r="AG62" s="104">
        <f si="75" t="shared"/>
        <v>1.3968498627233753E-3</v>
      </c>
      <c r="AH62" s="104">
        <f si="76" t="shared"/>
        <v>1.6858532825971771E-4</v>
      </c>
      <c r="AI62" s="104">
        <f si="77" t="shared"/>
        <v>1.2041809161408409E-3</v>
      </c>
      <c r="AJ62" s="104">
        <f si="78" t="shared"/>
        <v>1.4209334810461921E-3</v>
      </c>
      <c r="AK62" s="104">
        <f si="79" t="shared"/>
        <v>8.4292664129858859E-4</v>
      </c>
      <c r="AL62" s="104">
        <f si="80" t="shared"/>
        <v>5.5873994508935012E-3</v>
      </c>
      <c r="AM62" s="104">
        <f si="81" t="shared"/>
        <v>1.9266894658253453E-4</v>
      </c>
      <c r="AN62" s="104">
        <f si="82" t="shared"/>
        <v>4.8167236645633632E-5</v>
      </c>
      <c r="AO62" s="104">
        <f si="83" t="shared"/>
        <v>1.6858532825971771E-4</v>
      </c>
      <c r="AP62" s="104">
        <f si="84" t="shared"/>
        <v>2.4083618322816818E-4</v>
      </c>
      <c r="AQ62" s="104">
        <f si="85" t="shared"/>
        <v>1.6858532825971771E-4</v>
      </c>
      <c r="AR62" s="104">
        <f si="86" t="shared"/>
        <v>1.2041809161408409E-4</v>
      </c>
      <c r="AS62" s="104">
        <f si="87" t="shared"/>
        <v>1.6858532825971771E-4</v>
      </c>
      <c r="AT62" s="104">
        <f si="88" t="shared"/>
        <v>2.4083618322816816E-5</v>
      </c>
      <c r="AU62" s="104">
        <f si="89" t="shared"/>
        <v>0</v>
      </c>
      <c r="AV62" s="104">
        <f si="90" t="shared"/>
        <v>3.6534848995713111E-2</v>
      </c>
      <c r="CU62" s="95">
        <v>61</v>
      </c>
      <c r="CV62" s="95">
        <f si="6" t="shared"/>
        <v>4</v>
      </c>
      <c r="CW62" s="95">
        <f si="0" t="shared"/>
        <v>1</v>
      </c>
      <c r="CX62" s="58">
        <f si="1" t="shared"/>
        <v>1279.9784787141032</v>
      </c>
      <c r="CY62" s="58">
        <f si="2" t="shared"/>
        <v>1899.9999999999998</v>
      </c>
      <c r="CZ62" s="108">
        <f si="3" t="shared"/>
        <v>620.0215212858966</v>
      </c>
      <c r="DA62" s="78">
        <f si="4" t="shared"/>
        <v>0.48439995796553154</v>
      </c>
      <c r="DB62" s="95">
        <v>61000</v>
      </c>
    </row>
    <row r="63" spans="2:106" x14ac:dyDescent="0.25">
      <c r="B63" s="95">
        <v>7</v>
      </c>
      <c r="C63" s="104">
        <f ref="C63:X63" si="98" t="shared">IF($X$51&gt;0,C36/$X$51,0)</f>
        <v>5.1292057404918687E-3</v>
      </c>
      <c r="D63" s="104">
        <f si="98" t="shared"/>
        <v>7.0125506676724739E-3</v>
      </c>
      <c r="E63" s="104">
        <f si="98" t="shared"/>
        <v>2.7182530862606686E-3</v>
      </c>
      <c r="F63" s="104">
        <f si="98" t="shared"/>
        <v>1.656258946158828E-3</v>
      </c>
      <c r="G63" s="104">
        <f si="98" t="shared"/>
        <v>2.7747421362660854E-3</v>
      </c>
      <c r="H63" s="104">
        <f si="98" t="shared"/>
        <v>9.6076576249213338E-3</v>
      </c>
      <c r="I63" s="104">
        <f si="98" t="shared"/>
        <v>4.3738341638194317E-2</v>
      </c>
      <c r="J63" s="104">
        <f si="98" t="shared"/>
        <v>3.0955999402968544E-4</v>
      </c>
      <c r="K63" s="104">
        <f si="98" t="shared"/>
        <v>5.6150115705384546E-3</v>
      </c>
      <c r="L63" s="104">
        <f si="98" t="shared"/>
        <v>1.7658477031693371E-3</v>
      </c>
      <c r="M63" s="104">
        <f si="98" t="shared"/>
        <v>2.3420360132245912E-3</v>
      </c>
      <c r="N63" s="104">
        <f si="98" t="shared"/>
        <v>1.4144858121356432E-2</v>
      </c>
      <c r="O63" s="104">
        <f si="98" t="shared"/>
        <v>1.2234398450173227E-2</v>
      </c>
      <c r="P63" s="104">
        <f si="98" t="shared"/>
        <v>8.3603794008017246E-5</v>
      </c>
      <c r="Q63" s="104">
        <f si="98" t="shared"/>
        <v>1.2416293191190668E-3</v>
      </c>
      <c r="R63" s="104">
        <f si="98" t="shared"/>
        <v>1.1071853801061741E-4</v>
      </c>
      <c r="S63" s="104">
        <f si="98" t="shared"/>
        <v>1.2766525301224254E-4</v>
      </c>
      <c r="T63" s="104">
        <f si="98" t="shared"/>
        <v>8.9026742808537274E-4</v>
      </c>
      <c r="U63" s="104">
        <f si="98" t="shared"/>
        <v>2.3951357202296834E-4</v>
      </c>
      <c r="V63" s="104">
        <f si="98" t="shared"/>
        <v>2.9487284102827703E-4</v>
      </c>
      <c r="W63" s="104">
        <f si="98" t="shared"/>
        <v>0</v>
      </c>
      <c r="X63" s="104">
        <f si="98" t="shared"/>
        <v>0.11203699243774386</v>
      </c>
      <c r="Y63" s="95"/>
      <c r="Z63" s="95">
        <v>7</v>
      </c>
      <c r="AA63" s="104">
        <f si="69" t="shared"/>
        <v>4.8889745195318142E-3</v>
      </c>
      <c r="AB63" s="104">
        <f si="70" t="shared"/>
        <v>6.6229950387746254E-3</v>
      </c>
      <c r="AC63" s="104">
        <f si="71" t="shared"/>
        <v>1.974856702470979E-3</v>
      </c>
      <c r="AD63" s="104">
        <f si="72" t="shared"/>
        <v>1.6617696642743606E-3</v>
      </c>
      <c r="AE63" s="104">
        <f si="73" t="shared"/>
        <v>1.878522229179712E-3</v>
      </c>
      <c r="AF63" s="104">
        <f si="74" t="shared"/>
        <v>9.7779490390636284E-3</v>
      </c>
      <c r="AG63" s="104">
        <f si="75" t="shared"/>
        <v>3.3211309667164395E-2</v>
      </c>
      <c r="AH63" s="104">
        <f si="76" t="shared"/>
        <v>1.4450170993690091E-4</v>
      </c>
      <c r="AI63" s="104">
        <f si="77" t="shared"/>
        <v>7.2491691151678628E-3</v>
      </c>
      <c r="AJ63" s="104">
        <f si="78" t="shared"/>
        <v>1.2764317711092914E-3</v>
      </c>
      <c r="AK63" s="104">
        <f si="79" t="shared"/>
        <v>1.5172679543374596E-3</v>
      </c>
      <c r="AL63" s="104">
        <f si="80" t="shared"/>
        <v>2.2301430566928376E-2</v>
      </c>
      <c r="AM63" s="104">
        <f si="81" t="shared"/>
        <v>1.606377342131882E-2</v>
      </c>
      <c r="AN63" s="104">
        <f si="82" t="shared"/>
        <v>1.204180916140841E-4</v>
      </c>
      <c r="AO63" s="104">
        <f si="83" t="shared"/>
        <v>1.9026058475025288E-3</v>
      </c>
      <c r="AP63" s="104">
        <f si="84" t="shared"/>
        <v>1.9266894658253456E-4</v>
      </c>
      <c r="AQ63" s="104">
        <f si="85" t="shared"/>
        <v>1.4450170993690091E-4</v>
      </c>
      <c r="AR63" s="104">
        <f si="86" t="shared"/>
        <v>8.429266412985887E-4</v>
      </c>
      <c r="AS63" s="104">
        <f si="87" t="shared"/>
        <v>2.408361832281682E-4</v>
      </c>
      <c r="AT63" s="104">
        <f si="88" t="shared"/>
        <v>2.408361832281682E-5</v>
      </c>
      <c r="AU63" s="104">
        <f si="89" t="shared"/>
        <v>0</v>
      </c>
      <c r="AV63" s="104">
        <f si="90" t="shared"/>
        <v>0.11203699243774384</v>
      </c>
      <c r="CU63" s="95">
        <v>62</v>
      </c>
      <c r="CV63" s="95">
        <f si="6" t="shared"/>
        <v>4</v>
      </c>
      <c r="CW63" s="95">
        <f si="0" t="shared"/>
        <v>2</v>
      </c>
      <c r="CX63" s="58">
        <f si="1" t="shared"/>
        <v>764.14015737440309</v>
      </c>
      <c r="CY63" s="58">
        <f si="2" t="shared"/>
        <v>659.99999999999989</v>
      </c>
      <c r="CZ63" s="108">
        <f si="3" t="shared"/>
        <v>-104.1401573744032</v>
      </c>
      <c r="DA63" s="78">
        <f si="4" t="shared"/>
        <v>-0.13628410491110732</v>
      </c>
      <c r="DB63" s="95">
        <v>62000</v>
      </c>
    </row>
    <row r="64" spans="2:106" x14ac:dyDescent="0.25">
      <c r="B64" s="95">
        <v>8</v>
      </c>
      <c r="C64" s="104">
        <f ref="C64:X64" si="99" t="shared">IF($X$51&gt;0,C37/$X$51,0)</f>
        <v>5.4756729035708007E-4</v>
      </c>
      <c r="D64" s="104">
        <f si="99" t="shared"/>
        <v>4.2213337362329961E-4</v>
      </c>
      <c r="E64" s="104">
        <f si="99" t="shared"/>
        <v>6.3078786972853068E-4</v>
      </c>
      <c r="F64" s="104">
        <f si="99" t="shared"/>
        <v>3.0876041042161352E-4</v>
      </c>
      <c r="G64" s="104">
        <f si="99" t="shared"/>
        <v>3.4253108031147744E-4</v>
      </c>
      <c r="H64" s="104">
        <f si="99" t="shared"/>
        <v>9.962347617509873E-4</v>
      </c>
      <c r="I64" s="104">
        <f si="99" t="shared"/>
        <v>2.050362100456027E-4</v>
      </c>
      <c r="J64" s="104">
        <f si="99" t="shared"/>
        <v>6.1269643943038924E-4</v>
      </c>
      <c r="K64" s="104">
        <f si="99" t="shared"/>
        <v>2.0624230539881212E-4</v>
      </c>
      <c r="L64" s="104">
        <f si="99" t="shared"/>
        <v>2.7016535911891174E-4</v>
      </c>
      <c r="M64" s="104">
        <f si="99" t="shared"/>
        <v>7.7793150282008086E-4</v>
      </c>
      <c r="N64" s="104">
        <f si="99" t="shared"/>
        <v>3.4373717566468689E-4</v>
      </c>
      <c r="O64" s="104">
        <f si="99" t="shared"/>
        <v>3.4976765243073395E-5</v>
      </c>
      <c r="P64" s="104">
        <f si="99" t="shared"/>
        <v>1.5920458662364444E-4</v>
      </c>
      <c r="Q64" s="104">
        <f si="99" t="shared"/>
        <v>1.6885334944931984E-5</v>
      </c>
      <c r="R64" s="104">
        <f si="99" t="shared"/>
        <v>2.7740193123816833E-5</v>
      </c>
      <c r="S64" s="104">
        <f si="99" t="shared"/>
        <v>9.4075437550335356E-5</v>
      </c>
      <c r="T64" s="104">
        <f si="99" t="shared"/>
        <v>9.6487628256754224E-6</v>
      </c>
      <c r="U64" s="104">
        <f si="99" t="shared"/>
        <v>3.7388955949492256E-5</v>
      </c>
      <c r="V64" s="104">
        <f si="99" t="shared"/>
        <v>2.5328002417397979E-5</v>
      </c>
      <c r="W64" s="104">
        <f si="99" t="shared"/>
        <v>0</v>
      </c>
      <c r="X64" s="104">
        <f si="99" t="shared"/>
        <v>6.0690718173498394E-3</v>
      </c>
      <c r="Y64" s="95"/>
      <c r="Z64" s="95">
        <v>8</v>
      </c>
      <c r="AA64" s="104">
        <f si="69" t="shared"/>
        <v>5.2983960310197E-4</v>
      </c>
      <c r="AB64" s="104">
        <f si="70" t="shared"/>
        <v>3.6125427484225229E-4</v>
      </c>
      <c r="AC64" s="104">
        <f si="71" t="shared"/>
        <v>6.2617407639323729E-4</v>
      </c>
      <c r="AD64" s="104">
        <f si="72" t="shared"/>
        <v>2.64919801550985E-4</v>
      </c>
      <c r="AE64" s="104">
        <f si="73" t="shared"/>
        <v>4.8167236645633641E-4</v>
      </c>
      <c r="AF64" s="104">
        <f si="74" t="shared"/>
        <v>8.9109387794422234E-4</v>
      </c>
      <c r="AG64" s="104">
        <f si="75" t="shared"/>
        <v>1.6858532825971773E-4</v>
      </c>
      <c r="AH64" s="104">
        <f si="76" t="shared"/>
        <v>3.1308703819661864E-4</v>
      </c>
      <c r="AI64" s="104">
        <f si="77" t="shared"/>
        <v>3.3717065651943547E-4</v>
      </c>
      <c r="AJ64" s="104">
        <f si="78" t="shared"/>
        <v>3.1308703819661864E-4</v>
      </c>
      <c r="AK64" s="104">
        <f si="79" t="shared"/>
        <v>7.7067578633013823E-4</v>
      </c>
      <c r="AL64" s="104">
        <f si="80" t="shared"/>
        <v>6.2617407639323729E-4</v>
      </c>
      <c r="AM64" s="104">
        <f si="81" t="shared"/>
        <v>0</v>
      </c>
      <c r="AN64" s="104">
        <f si="82" t="shared"/>
        <v>1.4450170993690091E-4</v>
      </c>
      <c r="AO64" s="104">
        <f si="83" t="shared"/>
        <v>4.8167236645633639E-5</v>
      </c>
      <c r="AP64" s="104">
        <f si="84" t="shared"/>
        <v>4.8167236645633639E-5</v>
      </c>
      <c r="AQ64" s="104">
        <f si="85" t="shared"/>
        <v>9.6334473291267278E-5</v>
      </c>
      <c r="AR64" s="104">
        <f si="86" t="shared"/>
        <v>0</v>
      </c>
      <c r="AS64" s="104">
        <f si="87" t="shared"/>
        <v>4.8167236645633639E-5</v>
      </c>
      <c r="AT64" s="104">
        <f si="88" t="shared"/>
        <v>0</v>
      </c>
      <c r="AU64" s="104">
        <f si="89" t="shared"/>
        <v>0</v>
      </c>
      <c r="AV64" s="104">
        <f si="90" t="shared"/>
        <v>6.0690718173498385E-3</v>
      </c>
      <c r="CU64" s="95">
        <v>63</v>
      </c>
      <c r="CV64" s="95">
        <f si="6" t="shared"/>
        <v>4</v>
      </c>
      <c r="CW64" s="95">
        <f si="0" t="shared"/>
        <v>3</v>
      </c>
      <c r="CX64" s="58">
        <f si="1" t="shared"/>
        <v>980.09281054542998</v>
      </c>
      <c r="CY64" s="58">
        <f si="2" t="shared"/>
        <v>859.99999999999989</v>
      </c>
      <c r="CZ64" s="108">
        <f si="3" t="shared"/>
        <v>-120.0928105454301</v>
      </c>
      <c r="DA64" s="78">
        <f si="4" t="shared"/>
        <v>-0.12253207987373912</v>
      </c>
      <c r="DB64" s="95">
        <v>63000</v>
      </c>
    </row>
    <row r="65" spans="2:106" x14ac:dyDescent="0.25">
      <c r="B65" s="95">
        <v>9</v>
      </c>
      <c r="C65" s="104">
        <f ref="C65:X65" si="100" t="shared">IF($X$51&gt;0,C38/$X$51,0)</f>
        <v>4.8486260935544151E-3</v>
      </c>
      <c r="D65" s="104">
        <f si="100" t="shared"/>
        <v>6.7444959936296452E-3</v>
      </c>
      <c r="E65" s="104">
        <f si="100" t="shared"/>
        <v>2.5903618855975638E-3</v>
      </c>
      <c r="F65" s="104">
        <f si="100" t="shared"/>
        <v>1.5730942625086419E-3</v>
      </c>
      <c r="G65" s="104">
        <f si="100" t="shared"/>
        <v>1.8143020494266339E-3</v>
      </c>
      <c r="H65" s="104">
        <f si="100" t="shared"/>
        <v>8.0449205839701211E-3</v>
      </c>
      <c r="I65" s="104">
        <f si="100" t="shared"/>
        <v>8.1975689901839233E-3</v>
      </c>
      <c r="J65" s="104">
        <f si="100" t="shared"/>
        <v>1.9809335157516231E-4</v>
      </c>
      <c r="K65" s="104">
        <f si="100" t="shared"/>
        <v>2.6772899092887818E-2</v>
      </c>
      <c r="L65" s="104">
        <f si="100" t="shared"/>
        <v>1.2013779145528963E-3</v>
      </c>
      <c r="M65" s="104">
        <f si="100" t="shared"/>
        <v>4.3638800096998994E-3</v>
      </c>
      <c r="N65" s="104">
        <f si="100" t="shared"/>
        <v>6.5766992722953886E-3</v>
      </c>
      <c r="O65" s="104">
        <f si="100" t="shared"/>
        <v>2.7872899821634605E-3</v>
      </c>
      <c r="P65" s="104">
        <f si="100" t="shared"/>
        <v>1.9576284155663098E-4</v>
      </c>
      <c r="Q65" s="104">
        <f si="100" t="shared"/>
        <v>6.0290294179405285E-3</v>
      </c>
      <c r="R65" s="104">
        <f si="100" t="shared"/>
        <v>9.20551457319872E-5</v>
      </c>
      <c r="S65" s="104">
        <f si="100" t="shared"/>
        <v>1.2817805101922268E-4</v>
      </c>
      <c r="T65" s="104">
        <f si="100" t="shared"/>
        <v>2.4819931697358573E-4</v>
      </c>
      <c r="U65" s="104">
        <f si="100" t="shared"/>
        <v>1.0067803280055308E-3</v>
      </c>
      <c r="V65" s="104">
        <f si="100" t="shared"/>
        <v>3.6122905287235479E-5</v>
      </c>
      <c r="W65" s="104">
        <f si="100" t="shared"/>
        <v>0</v>
      </c>
      <c r="X65" s="104">
        <f si="100" t="shared"/>
        <v>8.3449737488560313E-2</v>
      </c>
      <c r="Y65" s="95"/>
      <c r="Z65" s="95">
        <v>9</v>
      </c>
      <c r="AA65" s="104">
        <f si="69" t="shared"/>
        <v>5.2502287943740683E-3</v>
      </c>
      <c r="AB65" s="104">
        <f si="70" t="shared"/>
        <v>7.8271759549154683E-3</v>
      </c>
      <c r="AC65" s="104">
        <f si="71" t="shared"/>
        <v>3.2272048552574543E-3</v>
      </c>
      <c r="AD65" s="104">
        <f si="72" t="shared"/>
        <v>1.6617696642743608E-3</v>
      </c>
      <c r="AE65" s="104">
        <f si="73" t="shared"/>
        <v>2.50469630557295E-3</v>
      </c>
      <c r="AF65" s="104">
        <f si="74" t="shared"/>
        <v>9.2962766726072954E-3</v>
      </c>
      <c r="AG65" s="104">
        <f si="75" t="shared"/>
        <v>7.8994268098839197E-3</v>
      </c>
      <c r="AH65" s="104">
        <f si="76" t="shared"/>
        <v>6.0209045807042068E-4</v>
      </c>
      <c r="AI65" s="104">
        <f si="77" t="shared"/>
        <v>1.8833389528442757E-2</v>
      </c>
      <c r="AJ65" s="104">
        <f si="78" t="shared"/>
        <v>7.4659216800732151E-4</v>
      </c>
      <c r="AK65" s="104">
        <f si="79" t="shared"/>
        <v>4.7685564279177318E-3</v>
      </c>
      <c r="AL65" s="104">
        <f si="80" t="shared"/>
        <v>8.7423534511825076E-3</v>
      </c>
      <c r="AM65" s="104">
        <f si="81" t="shared"/>
        <v>3.5643755117768898E-3</v>
      </c>
      <c r="AN65" s="104">
        <f si="82" t="shared"/>
        <v>2.8900341987380193E-4</v>
      </c>
      <c r="AO65" s="104">
        <f si="83" t="shared"/>
        <v>6.5748278021289927E-3</v>
      </c>
      <c r="AP65" s="104">
        <f si="84" t="shared"/>
        <v>9.6334473291267292E-5</v>
      </c>
      <c r="AQ65" s="104">
        <f si="85" t="shared"/>
        <v>2.1675256490535141E-4</v>
      </c>
      <c r="AR65" s="104">
        <f si="86" t="shared"/>
        <v>1.9266894658253458E-4</v>
      </c>
      <c r="AS65" s="104">
        <f si="87" t="shared"/>
        <v>1.0837628245267573E-3</v>
      </c>
      <c r="AT65" s="104">
        <f si="88" t="shared"/>
        <v>7.2250854968450482E-5</v>
      </c>
      <c r="AU65" s="104">
        <f si="89" t="shared"/>
        <v>0</v>
      </c>
      <c r="AV65" s="104">
        <f si="90" t="shared"/>
        <v>8.3449737488560299E-2</v>
      </c>
      <c r="CU65" s="95">
        <v>64</v>
      </c>
      <c r="CV65" s="95">
        <f si="6" t="shared"/>
        <v>4</v>
      </c>
      <c r="CW65" s="95">
        <f si="0" t="shared"/>
        <v>4</v>
      </c>
      <c r="CX65" s="58">
        <f si="1" t="shared"/>
        <v>2846.7280920034973</v>
      </c>
      <c r="CY65" s="58">
        <f si="2" t="shared"/>
        <v>1099.9999999999998</v>
      </c>
      <c r="CZ65" s="108">
        <f si="3" t="shared"/>
        <v>-1746.7280920034975</v>
      </c>
      <c r="DA65" s="78">
        <f si="4" t="shared"/>
        <v>-0.61359147609147613</v>
      </c>
      <c r="DB65" s="95">
        <v>64000</v>
      </c>
    </row>
    <row r="66" spans="2:106" x14ac:dyDescent="0.25">
      <c r="B66" s="95">
        <v>10</v>
      </c>
      <c r="C66" s="104">
        <f ref="C66:X66" si="101" t="shared">IF($X$51&gt;0,C39/$X$51,0)</f>
        <v>2.8009037689822646E-3</v>
      </c>
      <c r="D66" s="104">
        <f si="101" t="shared"/>
        <v>1.1428726352570601E-3</v>
      </c>
      <c r="E66" s="104">
        <f si="101" t="shared"/>
        <v>8.106170490601686E-4</v>
      </c>
      <c r="F66" s="104">
        <f si="101" t="shared"/>
        <v>1.1569420900471566E-3</v>
      </c>
      <c r="G66" s="104">
        <f si="101" t="shared"/>
        <v>2.0292482870331325E-3</v>
      </c>
      <c r="H66" s="104">
        <f si="101" t="shared"/>
        <v>9.0120269259332773E-3</v>
      </c>
      <c r="I66" s="104">
        <f si="101" t="shared"/>
        <v>9.2858401614636136E-4</v>
      </c>
      <c r="J66" s="104">
        <f si="101" t="shared"/>
        <v>9.0910323259084331E-5</v>
      </c>
      <c r="K66" s="104">
        <f si="101" t="shared"/>
        <v>9.3183081340561438E-4</v>
      </c>
      <c r="L66" s="104">
        <f si="101" t="shared"/>
        <v>7.0628663046283851E-3</v>
      </c>
      <c r="M66" s="104">
        <f si="101" t="shared"/>
        <v>1.007589416121518E-3</v>
      </c>
      <c r="N66" s="104">
        <f si="101" t="shared"/>
        <v>5.9070064803343125E-3</v>
      </c>
      <c r="O66" s="104">
        <f si="101" t="shared"/>
        <v>2.4459206019706019E-4</v>
      </c>
      <c r="P66" s="104">
        <f si="101" t="shared"/>
        <v>5.6277819160385537E-5</v>
      </c>
      <c r="Q66" s="104">
        <f si="101" t="shared"/>
        <v>1.0497977804918072E-4</v>
      </c>
      <c r="R66" s="104">
        <f si="101" t="shared"/>
        <v>9.7728597503515661E-4</v>
      </c>
      <c r="S66" s="104">
        <f si="101" t="shared"/>
        <v>9.0910323259084331E-5</v>
      </c>
      <c r="T66" s="104">
        <f si="101" t="shared"/>
        <v>6.7100476691228907E-5</v>
      </c>
      <c r="U66" s="104">
        <f si="101" t="shared"/>
        <v>8.5498994493662646E-5</v>
      </c>
      <c r="V66" s="104">
        <f si="101" t="shared"/>
        <v>5.1948756148048185E-5</v>
      </c>
      <c r="W66" s="104">
        <f si="101" t="shared"/>
        <v>0</v>
      </c>
      <c r="X66" s="104">
        <f si="101" t="shared"/>
        <v>3.4559992293242144E-2</v>
      </c>
      <c r="Y66" s="95"/>
      <c r="Z66" s="95">
        <v>10</v>
      </c>
      <c r="AA66" s="104">
        <f si="69" t="shared"/>
        <v>2.5769471605413996E-3</v>
      </c>
      <c r="AB66" s="104">
        <f si="70" t="shared"/>
        <v>1.7099369009199942E-3</v>
      </c>
      <c r="AC66" s="104">
        <f si="71" t="shared"/>
        <v>8.1884302297577187E-4</v>
      </c>
      <c r="AD66" s="104">
        <f si="72" t="shared"/>
        <v>1.3968498627233755E-3</v>
      </c>
      <c r="AE66" s="104">
        <f si="73" t="shared"/>
        <v>2.2397765040219641E-3</v>
      </c>
      <c r="AF66" s="104">
        <f si="74" t="shared"/>
        <v>8.0439285198208171E-3</v>
      </c>
      <c r="AG66" s="104">
        <f si="75" t="shared"/>
        <v>1.1560136794952073E-3</v>
      </c>
      <c r="AH66" s="104">
        <f si="76" t="shared"/>
        <v>3.1308703819661864E-4</v>
      </c>
      <c r="AI66" s="104">
        <f si="77" t="shared"/>
        <v>7.7067578633013823E-4</v>
      </c>
      <c r="AJ66" s="104">
        <f si="78" t="shared"/>
        <v>4.9612253745002647E-3</v>
      </c>
      <c r="AK66" s="104">
        <f si="79" t="shared"/>
        <v>6.9842493136168776E-4</v>
      </c>
      <c r="AL66" s="104">
        <f si="80" t="shared"/>
        <v>8.0198449014980012E-3</v>
      </c>
      <c r="AM66" s="104">
        <f si="81" t="shared"/>
        <v>3.3717065651943547E-4</v>
      </c>
      <c r="AN66" s="104">
        <f si="82" t="shared"/>
        <v>7.2250854968450455E-5</v>
      </c>
      <c r="AO66" s="104">
        <f si="83" t="shared"/>
        <v>9.6334473291267278E-5</v>
      </c>
      <c r="AP66" s="104">
        <f si="84" t="shared"/>
        <v>1.0355955878811232E-3</v>
      </c>
      <c r="AQ66" s="104">
        <f si="85" t="shared"/>
        <v>0</v>
      </c>
      <c r="AR66" s="104">
        <f si="86" t="shared"/>
        <v>1.204180916140841E-4</v>
      </c>
      <c r="AS66" s="104">
        <f si="87" t="shared"/>
        <v>1.4450170993690091E-4</v>
      </c>
      <c r="AT66" s="104">
        <f si="88" t="shared"/>
        <v>4.8167236645633639E-5</v>
      </c>
      <c r="AU66" s="104">
        <f si="89" t="shared"/>
        <v>0</v>
      </c>
      <c r="AV66" s="104">
        <f si="90" t="shared"/>
        <v>3.4559992293242137E-2</v>
      </c>
      <c r="CU66" s="95">
        <v>65</v>
      </c>
      <c r="CV66" s="95">
        <f si="6" t="shared"/>
        <v>4</v>
      </c>
      <c r="CW66" s="95">
        <f si="0" t="shared"/>
        <v>5</v>
      </c>
      <c r="CX66" s="58">
        <f si="1" t="shared"/>
        <v>1168.9420942901338</v>
      </c>
      <c r="CY66" s="58">
        <f si="2" t="shared"/>
        <v>939.99999999999989</v>
      </c>
      <c r="CZ66" s="108">
        <f si="3" t="shared"/>
        <v>-228.94209429013392</v>
      </c>
      <c r="DA66" s="78">
        <f si="4" t="shared"/>
        <v>-0.19585409355042871</v>
      </c>
      <c r="DB66" s="95">
        <v>65000</v>
      </c>
    </row>
    <row r="67" spans="2:106" x14ac:dyDescent="0.25">
      <c r="B67" s="95">
        <v>11</v>
      </c>
      <c r="C67" s="104">
        <f ref="C67:X67" si="102" t="shared">IF($X$51&gt;0,C40/$X$51,0)</f>
        <v>4.1204510426657561E-3</v>
      </c>
      <c r="D67" s="104">
        <f si="102" t="shared"/>
        <v>2.9449165592687382E-3</v>
      </c>
      <c r="E67" s="104">
        <f si="102" t="shared"/>
        <v>4.448789984580097E-3</v>
      </c>
      <c r="F67" s="104">
        <f si="102" t="shared"/>
        <v>2.2902654590321223E-3</v>
      </c>
      <c r="G67" s="104">
        <f si="102" t="shared"/>
        <v>2.1666316599162289E-3</v>
      </c>
      <c r="H67" s="104">
        <f si="102" t="shared"/>
        <v>7.0471265496059206E-3</v>
      </c>
      <c r="I67" s="104">
        <f si="102" t="shared"/>
        <v>2.1392700814233676E-3</v>
      </c>
      <c r="J67" s="104">
        <f si="102" t="shared"/>
        <v>1.311328984065295E-3</v>
      </c>
      <c r="K67" s="104">
        <f si="102" t="shared"/>
        <v>4.5075667087499469E-3</v>
      </c>
      <c r="L67" s="104">
        <f si="102" t="shared"/>
        <v>8.8975799691601927E-4</v>
      </c>
      <c r="M67" s="104">
        <f si="102" t="shared"/>
        <v>2.7400087381110851E-2</v>
      </c>
      <c r="N67" s="104">
        <f si="102" t="shared"/>
        <v>3.0928717614893972E-3</v>
      </c>
      <c r="O67" s="104">
        <f si="102" t="shared"/>
        <v>7.0025373105805163E-4</v>
      </c>
      <c r="P67" s="104">
        <f si="102" t="shared"/>
        <v>5.847270663104136E-4</v>
      </c>
      <c r="Q67" s="104">
        <f si="102" t="shared"/>
        <v>8.3706162352235978E-4</v>
      </c>
      <c r="R67" s="104">
        <f si="102" t="shared"/>
        <v>8.4111519070648749E-5</v>
      </c>
      <c r="S67" s="104">
        <f si="102" t="shared"/>
        <v>1.576837634625656E-3</v>
      </c>
      <c r="T67" s="104">
        <f si="102" t="shared"/>
        <v>8.4111519070648749E-5</v>
      </c>
      <c r="U67" s="104">
        <f si="102" t="shared"/>
        <v>5.4692755231842321E-3</v>
      </c>
      <c r="V67" s="104">
        <f si="102" t="shared"/>
        <v>4.9656198005563714E-5</v>
      </c>
      <c r="W67" s="104">
        <f si="102" t="shared"/>
        <v>0</v>
      </c>
      <c r="X67" s="104">
        <f si="102" t="shared"/>
        <v>7.1745098983671304E-2</v>
      </c>
      <c r="Y67" s="95"/>
      <c r="Z67" s="95">
        <v>11</v>
      </c>
      <c r="AA67" s="104">
        <f si="69" t="shared"/>
        <v>5.0334762294687143E-3</v>
      </c>
      <c r="AB67" s="104">
        <f si="70" t="shared"/>
        <v>3.8052116950050572E-3</v>
      </c>
      <c r="AC67" s="104">
        <f si="71" t="shared"/>
        <v>5.0334762294687143E-3</v>
      </c>
      <c r="AD67" s="104">
        <f si="72" t="shared"/>
        <v>2.2879437406675977E-3</v>
      </c>
      <c r="AE67" s="104">
        <f si="73" t="shared"/>
        <v>1.3968498627233753E-3</v>
      </c>
      <c r="AF67" s="104">
        <f si="74" t="shared"/>
        <v>7.514088916718847E-3</v>
      </c>
      <c r="AG67" s="104">
        <f si="75" t="shared"/>
        <v>1.6617696642743604E-3</v>
      </c>
      <c r="AH67" s="104">
        <f si="76" t="shared"/>
        <v>1.0355955878811232E-3</v>
      </c>
      <c r="AI67" s="104">
        <f si="77" t="shared"/>
        <v>4.9612253745002638E-3</v>
      </c>
      <c r="AJ67" s="104">
        <f si="78" t="shared"/>
        <v>1.709936900919994E-3</v>
      </c>
      <c r="AK67" s="104">
        <f si="79" t="shared"/>
        <v>2.2518183131833722E-2</v>
      </c>
      <c r="AL67" s="104">
        <f si="80" t="shared"/>
        <v>4.7926400462405469E-3</v>
      </c>
      <c r="AM67" s="104">
        <f si="81" t="shared"/>
        <v>5.2983960310197E-4</v>
      </c>
      <c r="AN67" s="104">
        <f si="82" t="shared"/>
        <v>9.3926111458985588E-4</v>
      </c>
      <c r="AO67" s="104">
        <f si="83" t="shared"/>
        <v>1.3245990077549248E-3</v>
      </c>
      <c r="AP67" s="104">
        <f si="84" t="shared"/>
        <v>1.9266894658253453E-4</v>
      </c>
      <c r="AQ67" s="104">
        <f si="85" t="shared"/>
        <v>1.2523481527864744E-3</v>
      </c>
      <c r="AR67" s="104">
        <f si="86" t="shared"/>
        <v>7.2250854968450455E-5</v>
      </c>
      <c r="AS67" s="104">
        <f si="87" t="shared"/>
        <v>5.6837339241847685E-3</v>
      </c>
      <c r="AT67" s="104">
        <f si="88" t="shared"/>
        <v>0</v>
      </c>
      <c r="AU67" s="104">
        <f si="89" t="shared"/>
        <v>0</v>
      </c>
      <c r="AV67" s="104">
        <f si="90" t="shared"/>
        <v>7.1745098983671304E-2</v>
      </c>
      <c r="CU67" s="95">
        <v>66</v>
      </c>
      <c r="CV67" s="95">
        <f si="6" t="shared"/>
        <v>4</v>
      </c>
      <c r="CW67" s="95">
        <f ref="CW67:CW130" si="103" t="shared">MOD(ROW()-2,$CS$2)+1</f>
        <v>6</v>
      </c>
      <c r="CX67" s="58">
        <f ref="CX67:CX130" si="104" t="shared">VLOOKUP($CV67,$B$30:$V$49,MATCH($CW67,$B$29:$V$29,0),0)</f>
        <v>2156.9036249915935</v>
      </c>
      <c r="CY67" s="58">
        <f ref="CY67:CY130" si="105" t="shared">VLOOKUP($CV67,$AY$30:$BS$49,MATCH($CW67,$AY$29:$BS$29,0),0)</f>
        <v>3199.9999999999995</v>
      </c>
      <c r="CZ67" s="108">
        <f ref="CZ67:CZ130" si="106" t="shared">CY67-CX67</f>
        <v>1043.0963750084061</v>
      </c>
      <c r="DA67" s="78">
        <f ref="DA67:DA130" si="107" t="shared">CZ67/CX67</f>
        <v>0.48360824420816279</v>
      </c>
    </row>
    <row r="68" spans="2:106" x14ac:dyDescent="0.25">
      <c r="B68" s="95">
        <v>12</v>
      </c>
      <c r="C68" s="104">
        <f ref="C68:X68" si="108" t="shared">IF($X$51&gt;0,C41/$X$51,0)</f>
        <v>8.4219166380122123E-3</v>
      </c>
      <c r="D68" s="104">
        <f si="108" t="shared"/>
        <v>4.9186687136488208E-3</v>
      </c>
      <c r="E68" s="104">
        <f si="108" t="shared"/>
        <v>2.2746670243773475E-3</v>
      </c>
      <c r="F68" s="104">
        <f si="108" t="shared"/>
        <v>1.9476972181034309E-3</v>
      </c>
      <c r="G68" s="104">
        <f si="108" t="shared"/>
        <v>3.4337261050892049E-3</v>
      </c>
      <c r="H68" s="104">
        <f si="108" t="shared"/>
        <v>2.0606701744239869E-2</v>
      </c>
      <c r="I68" s="104">
        <f si="108" t="shared"/>
        <v>9.6776544986522384E-3</v>
      </c>
      <c r="J68" s="104">
        <f si="108" t="shared"/>
        <v>2.9112261821066337E-4</v>
      </c>
      <c r="K68" s="104">
        <f si="108" t="shared"/>
        <v>3.4847811911186874E-3</v>
      </c>
      <c r="L68" s="104">
        <f si="108" t="shared"/>
        <v>2.5332012898032349E-3</v>
      </c>
      <c r="M68" s="104">
        <f si="108" t="shared"/>
        <v>1.9292304848587244E-3</v>
      </c>
      <c r="N68" s="104">
        <f si="108" t="shared"/>
        <v>7.604492122327422E-2</v>
      </c>
      <c r="O68" s="104">
        <f si="108" t="shared"/>
        <v>2.8156336806046249E-3</v>
      </c>
      <c r="P68" s="104">
        <f si="108" t="shared"/>
        <v>9.5592501502008868E-5</v>
      </c>
      <c r="Q68" s="104">
        <f si="108" t="shared"/>
        <v>5.2575875826104876E-4</v>
      </c>
      <c r="R68" s="104">
        <f si="108" t="shared"/>
        <v>6.3873171458160474E-4</v>
      </c>
      <c r="S68" s="104">
        <f si="108" t="shared"/>
        <v>1.5316525808844602E-4</v>
      </c>
      <c r="T68" s="104">
        <f si="108" t="shared"/>
        <v>4.0029360003966214E-3</v>
      </c>
      <c r="U68" s="104">
        <f si="108" t="shared"/>
        <v>2.1399684995336077E-4</v>
      </c>
      <c r="V68" s="104">
        <f si="108" t="shared"/>
        <v>1.1177805005178083E-3</v>
      </c>
      <c r="W68" s="104">
        <f si="108" t="shared"/>
        <v>0</v>
      </c>
      <c r="X68" s="104">
        <f si="108" t="shared"/>
        <v>0.14512788401329418</v>
      </c>
      <c r="Y68" s="95"/>
      <c r="Z68" s="95">
        <v>12</v>
      </c>
      <c r="AA68" s="104">
        <f si="69" t="shared"/>
        <v>7.7067578633013833E-3</v>
      </c>
      <c r="AB68" s="104">
        <f si="70" t="shared"/>
        <v>6.4062424738692749E-3</v>
      </c>
      <c r="AC68" s="104">
        <f si="71" t="shared"/>
        <v>2.50469630557295E-3</v>
      </c>
      <c r="AD68" s="104">
        <f si="72" t="shared"/>
        <v>2.9622850537064692E-3</v>
      </c>
      <c r="AE68" s="104">
        <f si="73" t="shared"/>
        <v>4.6481383363036468E-3</v>
      </c>
      <c r="AF68" s="104">
        <f si="74" t="shared"/>
        <v>1.9218727421607823E-2</v>
      </c>
      <c r="AG68" s="104">
        <f si="75" t="shared"/>
        <v>1.2764317711092916E-2</v>
      </c>
      <c r="AH68" s="104">
        <f si="76" t="shared"/>
        <v>2.4083618322816823E-4</v>
      </c>
      <c r="AI68" s="104">
        <f si="77" t="shared"/>
        <v>4.8648909012089982E-3</v>
      </c>
      <c r="AJ68" s="104">
        <f si="78" t="shared"/>
        <v>3.4921246568084393E-3</v>
      </c>
      <c r="AK68" s="104">
        <f si="79" t="shared"/>
        <v>1.9989403207937963E-3</v>
      </c>
      <c r="AL68" s="104">
        <f si="80" t="shared"/>
        <v>6.7289629593950198E-2</v>
      </c>
      <c r="AM68" s="104">
        <f si="81" t="shared"/>
        <v>5.707817542507587E-3</v>
      </c>
      <c r="AN68" s="104">
        <f si="82" t="shared"/>
        <v>1.4450170993690094E-4</v>
      </c>
      <c r="AO68" s="104">
        <f si="83" t="shared"/>
        <v>7.4659216800732151E-4</v>
      </c>
      <c r="AP68" s="104">
        <f si="84" t="shared"/>
        <v>6.7434131303887104E-4</v>
      </c>
      <c r="AQ68" s="104">
        <f si="85" t="shared"/>
        <v>1.9266894658253458E-4</v>
      </c>
      <c r="AR68" s="104">
        <f si="86" t="shared"/>
        <v>2.7696161071239346E-3</v>
      </c>
      <c r="AS68" s="104">
        <f si="87" t="shared"/>
        <v>2.8900341987380188E-4</v>
      </c>
      <c r="AT68" s="104">
        <f si="88" t="shared"/>
        <v>5.0575598477915328E-4</v>
      </c>
      <c r="AU68" s="104">
        <f si="89" t="shared"/>
        <v>0</v>
      </c>
      <c r="AV68" s="104">
        <f si="90" t="shared"/>
        <v>0.14512788401329418</v>
      </c>
      <c r="CU68" s="95">
        <v>67</v>
      </c>
      <c r="CV68" s="95">
        <f ref="CV68:CV131" si="109" t="shared">IF(CW67&lt;$CS$2,CV67,CV67+1)</f>
        <v>4</v>
      </c>
      <c r="CW68" s="95">
        <f si="103" t="shared"/>
        <v>7</v>
      </c>
      <c r="CX68" s="58">
        <f si="104" t="shared"/>
        <v>526.32994821440582</v>
      </c>
      <c r="CY68" s="58">
        <f si="105" t="shared"/>
        <v>359.99999999999994</v>
      </c>
      <c r="CZ68" s="108">
        <f si="106" t="shared"/>
        <v>-166.32994821440587</v>
      </c>
      <c r="DA68" s="78">
        <f si="107" t="shared"/>
        <v>-0.31601840020444683</v>
      </c>
    </row>
    <row r="69" spans="2:106" x14ac:dyDescent="0.25">
      <c r="B69" s="95">
        <v>13</v>
      </c>
      <c r="C69" s="104">
        <f ref="C69:X69" si="110" t="shared">IF($X$51&gt;0,C42/$X$51,0)</f>
        <v>1.6774408498631042E-3</v>
      </c>
      <c r="D69" s="104">
        <f si="110" t="shared"/>
        <v>1.8650350151273784E-3</v>
      </c>
      <c r="E69" s="104">
        <f si="110" t="shared"/>
        <v>4.7552939566990475E-4</v>
      </c>
      <c r="F69" s="104">
        <f si="110" t="shared"/>
        <v>4.0027359681388773E-4</v>
      </c>
      <c r="G69" s="104">
        <f si="110" t="shared"/>
        <v>4.8207337817912367E-4</v>
      </c>
      <c r="H69" s="104">
        <f si="110" t="shared"/>
        <v>3.4966679874259506E-3</v>
      </c>
      <c r="I69" s="104">
        <f si="110" t="shared"/>
        <v>1.6104740955187647E-2</v>
      </c>
      <c r="J69" s="104">
        <f si="110" t="shared"/>
        <v>2.5085266285339009E-5</v>
      </c>
      <c r="K69" s="104">
        <f si="110" t="shared"/>
        <v>2.0035493115725116E-3</v>
      </c>
      <c r="L69" s="104">
        <f si="110" t="shared"/>
        <v>4.7334806816683178E-4</v>
      </c>
      <c r="M69" s="104">
        <f si="110" t="shared"/>
        <v>4.9188935194295191E-4</v>
      </c>
      <c r="N69" s="104">
        <f si="110" t="shared"/>
        <v>7.1318502712970338E-3</v>
      </c>
      <c r="O69" s="104">
        <f si="110" t="shared"/>
        <v>7.8668485734574675E-2</v>
      </c>
      <c r="P69" s="104">
        <f si="110" t="shared"/>
        <v>3.1629248794557884E-5</v>
      </c>
      <c r="Q69" s="104">
        <f si="110" t="shared"/>
        <v>2.6448595974759609E-3</v>
      </c>
      <c r="R69" s="104">
        <f si="110" t="shared"/>
        <v>9.9250401389819576E-5</v>
      </c>
      <c r="S69" s="104">
        <f si="110" t="shared"/>
        <v>4.2535886309922669E-5</v>
      </c>
      <c r="T69" s="104">
        <f si="110" t="shared"/>
        <v>2.6535849074882526E-3</v>
      </c>
      <c r="U69" s="104">
        <f si="110" t="shared"/>
        <v>1.1233836640825731E-4</v>
      </c>
      <c r="V69" s="104">
        <f si="110" t="shared"/>
        <v>3.3374310797016249E-4</v>
      </c>
      <c r="W69" s="104">
        <f si="110" t="shared"/>
        <v>0</v>
      </c>
      <c r="X69" s="104">
        <f si="110" t="shared"/>
        <v>0.11921391069794327</v>
      </c>
      <c r="Y69" s="95"/>
      <c r="Z69" s="95">
        <v>13</v>
      </c>
      <c r="AA69" s="104">
        <f si="69" t="shared"/>
        <v>2.0230239391166127E-3</v>
      </c>
      <c r="AB69" s="104">
        <f si="70" t="shared"/>
        <v>2.4565290689273155E-3</v>
      </c>
      <c r="AC69" s="104">
        <f si="71" t="shared"/>
        <v>7.465921680073213E-4</v>
      </c>
      <c r="AD69" s="104">
        <f si="72" t="shared"/>
        <v>6.2617407639323718E-4</v>
      </c>
      <c r="AE69" s="104">
        <f si="73" t="shared"/>
        <v>5.2983960310197E-4</v>
      </c>
      <c r="AF69" s="104">
        <f si="74" t="shared"/>
        <v>3.4921246568084385E-3</v>
      </c>
      <c r="AG69" s="104">
        <f si="75" t="shared"/>
        <v>2.2494099513510904E-2</v>
      </c>
      <c r="AH69" s="104">
        <f si="76" t="shared"/>
        <v>4.8167236645633632E-5</v>
      </c>
      <c r="AI69" s="104">
        <f si="77" t="shared"/>
        <v>3.1308703819661861E-3</v>
      </c>
      <c r="AJ69" s="104">
        <f si="78" t="shared"/>
        <v>5.2983960310197E-4</v>
      </c>
      <c r="AK69" s="104">
        <f si="79" t="shared"/>
        <v>5.7800683974760364E-4</v>
      </c>
      <c r="AL69" s="104">
        <f si="80" t="shared"/>
        <v>1.1343384230046719E-2</v>
      </c>
      <c r="AM69" s="104">
        <f si="81" t="shared"/>
        <v>6.3701170463850473E-2</v>
      </c>
      <c r="AN69" s="104">
        <f si="82" t="shared"/>
        <v>4.8167236645633632E-5</v>
      </c>
      <c r="AO69" s="104">
        <f si="83" t="shared"/>
        <v>4.5518038630123787E-3</v>
      </c>
      <c r="AP69" s="104">
        <f si="84" t="shared"/>
        <v>1.4450170993690091E-4</v>
      </c>
      <c r="AQ69" s="104">
        <f si="85" t="shared"/>
        <v>2.4083618322816816E-5</v>
      </c>
      <c r="AR69" s="104">
        <f si="86" t="shared"/>
        <v>2.384278213958865E-3</v>
      </c>
      <c r="AS69" s="104">
        <f si="87" t="shared"/>
        <v>1.4450170993690091E-4</v>
      </c>
      <c r="AT69" s="104">
        <f si="88" t="shared"/>
        <v>2.1675256490535135E-4</v>
      </c>
      <c r="AU69" s="104">
        <f si="89" t="shared"/>
        <v>0</v>
      </c>
      <c r="AV69" s="104">
        <f si="90" t="shared"/>
        <v>0.11921391069794324</v>
      </c>
      <c r="CU69" s="95">
        <v>68</v>
      </c>
      <c r="CV69" s="95">
        <f si="109" t="shared"/>
        <v>4</v>
      </c>
      <c r="CW69" s="95">
        <f si="103" t="shared"/>
        <v>8</v>
      </c>
      <c r="CX69" s="58">
        <f si="104" t="shared"/>
        <v>451.13995561234788</v>
      </c>
      <c r="CY69" s="58">
        <f si="105" t="shared"/>
        <v>339.99999999999994</v>
      </c>
      <c r="CZ69" s="108">
        <f si="106" t="shared"/>
        <v>-111.13995561234793</v>
      </c>
      <c r="DA69" s="78">
        <f si="107" t="shared"/>
        <v>-0.24635360763267758</v>
      </c>
    </row>
    <row r="70" spans="2:106" x14ac:dyDescent="0.25">
      <c r="B70" s="95">
        <v>14</v>
      </c>
      <c r="C70" s="104">
        <f ref="C70:X70" si="111" t="shared">IF($X$51&gt;0,C43/$X$51,0)</f>
        <v>8.0339858616608831E-4</v>
      </c>
      <c r="D70" s="104">
        <f si="111" t="shared"/>
        <v>1.0609524864805468E-3</v>
      </c>
      <c r="E70" s="104">
        <f si="111" t="shared"/>
        <v>4.3243617830575728E-4</v>
      </c>
      <c r="F70" s="104">
        <f si="111" t="shared"/>
        <v>4.4621478202628385E-4</v>
      </c>
      <c r="G70" s="104">
        <f si="111" t="shared"/>
        <v>4.0063940048915751E-4</v>
      </c>
      <c r="H70" s="104">
        <f si="111" t="shared"/>
        <v>2.2225947693803264E-3</v>
      </c>
      <c r="I70" s="104">
        <f si="111" t="shared"/>
        <v>5.7870135626211642E-4</v>
      </c>
      <c r="J70" s="104">
        <f si="111" t="shared"/>
        <v>2.9253035591271813E-4</v>
      </c>
      <c r="K70" s="104">
        <f si="111" t="shared"/>
        <v>4.695324190917904E-4</v>
      </c>
      <c r="L70" s="104">
        <f si="111" t="shared"/>
        <v>2.7027261144109833E-4</v>
      </c>
      <c r="M70" s="104">
        <f si="111" t="shared"/>
        <v>2.3625005917733651E-3</v>
      </c>
      <c r="N70" s="104">
        <f si="111" t="shared"/>
        <v>7.2178685643681543E-4</v>
      </c>
      <c r="O70" s="104">
        <f si="111" t="shared"/>
        <v>6.4653448227086272E-5</v>
      </c>
      <c r="P70" s="104">
        <f si="111" t="shared"/>
        <v>1.262650047097178E-2</v>
      </c>
      <c r="Q70" s="104">
        <f si="111" t="shared"/>
        <v>9.4330440855912743E-5</v>
      </c>
      <c r="R70" s="104">
        <f si="111" t="shared"/>
        <v>1.377860372052658E-5</v>
      </c>
      <c r="S70" s="104">
        <f si="111" t="shared"/>
        <v>2.0000173246641274E-3</v>
      </c>
      <c r="T70" s="104">
        <f si="111" t="shared"/>
        <v>1.165881853275326E-5</v>
      </c>
      <c r="U70" s="104">
        <f si="111" t="shared"/>
        <v>4.8331102281231697E-4</v>
      </c>
      <c r="V70" s="104">
        <f si="111" t="shared"/>
        <v>4.2395703755466402E-6</v>
      </c>
      <c r="W70" s="104">
        <f si="111" t="shared"/>
        <v>0</v>
      </c>
      <c r="X70" s="104">
        <f si="111" t="shared"/>
        <v>2.5360050093926119E-2</v>
      </c>
      <c r="Y70" s="95"/>
      <c r="Z70" s="95">
        <v>14</v>
      </c>
      <c r="AA70" s="104">
        <f si="69" t="shared"/>
        <v>1.4691007176918262E-3</v>
      </c>
      <c r="AB70" s="104">
        <f si="70" t="shared"/>
        <v>6.2617407639323751E-4</v>
      </c>
      <c r="AC70" s="104">
        <f si="71" t="shared"/>
        <v>9.6334473291267303E-4</v>
      </c>
      <c r="AD70" s="104">
        <f si="72" t="shared"/>
        <v>7.2250854968450469E-4</v>
      </c>
      <c r="AE70" s="104">
        <f si="73" t="shared"/>
        <v>6.2617407639323751E-4</v>
      </c>
      <c r="AF70" s="104">
        <f si="74" t="shared"/>
        <v>1.8062713742112617E-3</v>
      </c>
      <c r="AG70" s="104">
        <f si="75" t="shared"/>
        <v>4.0942151148788599E-4</v>
      </c>
      <c r="AH70" s="104">
        <f si="76" t="shared"/>
        <v>5.2983960310197021E-4</v>
      </c>
      <c r="AI70" s="104">
        <f si="77" t="shared"/>
        <v>6.9842493136168787E-4</v>
      </c>
      <c r="AJ70" s="104">
        <f si="78" t="shared"/>
        <v>4.3350512981070281E-4</v>
      </c>
      <c r="AK70" s="104">
        <f si="79" t="shared"/>
        <v>3.0586195269977365E-3</v>
      </c>
      <c r="AL70" s="104">
        <f si="80" t="shared"/>
        <v>9.1517749626703927E-4</v>
      </c>
      <c r="AM70" s="104">
        <f si="81" t="shared"/>
        <v>7.2250854968450482E-5</v>
      </c>
      <c r="AN70" s="104">
        <f si="82" t="shared"/>
        <v>1.009103607726025E-2</v>
      </c>
      <c r="AO70" s="104">
        <f si="83" t="shared"/>
        <v>9.6334473291267292E-5</v>
      </c>
      <c r="AP70" s="104">
        <f si="84" t="shared"/>
        <v>2.4083618322816823E-5</v>
      </c>
      <c r="AQ70" s="104">
        <f si="85" t="shared"/>
        <v>1.9026058475025292E-3</v>
      </c>
      <c r="AR70" s="104">
        <f si="86" t="shared"/>
        <v>4.8167236645633646E-5</v>
      </c>
      <c r="AS70" s="104">
        <f si="87" t="shared"/>
        <v>8.6701025962140563E-4</v>
      </c>
      <c r="AT70" s="104">
        <f si="88" t="shared"/>
        <v>0</v>
      </c>
      <c r="AU70" s="104">
        <f si="89" t="shared"/>
        <v>0</v>
      </c>
      <c r="AV70" s="104">
        <f si="90" t="shared"/>
        <v>2.5360050093926115E-2</v>
      </c>
      <c r="CU70" s="95">
        <v>69</v>
      </c>
      <c r="CV70" s="95">
        <f si="109" t="shared"/>
        <v>4</v>
      </c>
      <c r="CW70" s="95">
        <f si="103" t="shared"/>
        <v>9</v>
      </c>
      <c r="CX70" s="58">
        <f si="104" t="shared"/>
        <v>317.37171295984933</v>
      </c>
      <c r="CY70" s="58">
        <f si="105" t="shared"/>
        <v>499.99999999999994</v>
      </c>
      <c r="CZ70" s="108">
        <f si="106" t="shared"/>
        <v>182.62828704015061</v>
      </c>
      <c r="DA70" s="78">
        <f si="107" t="shared"/>
        <v>0.57543971180334808</v>
      </c>
    </row>
    <row r="71" spans="2:106" x14ac:dyDescent="0.25">
      <c r="B71" s="95">
        <v>15</v>
      </c>
      <c r="C71" s="104">
        <f ref="C71:X71" si="112" t="shared">IF($X$51&gt;0,C44/$X$51,0)</f>
        <v>1.0735779791096515E-3</v>
      </c>
      <c r="D71" s="104">
        <f si="112" t="shared"/>
        <v>1.8154065397819853E-3</v>
      </c>
      <c r="E71" s="104">
        <f si="112" t="shared"/>
        <v>2.5341969463961726E-4</v>
      </c>
      <c r="F71" s="104">
        <f si="112" t="shared"/>
        <v>3.8128144966233322E-4</v>
      </c>
      <c r="G71" s="104">
        <f si="112" t="shared"/>
        <v>4.0201578831466553E-4</v>
      </c>
      <c r="H71" s="104">
        <f si="112" t="shared"/>
        <v>1.9248377715581837E-3</v>
      </c>
      <c r="I71" s="104">
        <f si="112" t="shared"/>
        <v>3.1953919678649918E-3</v>
      </c>
      <c r="J71" s="104">
        <f si="112" t="shared"/>
        <v>4.1468677304664641E-5</v>
      </c>
      <c r="K71" s="104">
        <f si="112" t="shared"/>
        <v>5.8021590995443271E-3</v>
      </c>
      <c r="L71" s="104">
        <f si="112" t="shared"/>
        <v>1.8545714016808356E-4</v>
      </c>
      <c r="M71" s="104">
        <f si="112" t="shared"/>
        <v>8.9848800826773396E-4</v>
      </c>
      <c r="N71" s="104">
        <f si="112" t="shared"/>
        <v>2.0492438034721778E-3</v>
      </c>
      <c r="O71" s="104">
        <f si="112" t="shared"/>
        <v>4.6318208733904589E-3</v>
      </c>
      <c r="P71" s="104">
        <f si="112" t="shared"/>
        <v>1.8430523246517618E-5</v>
      </c>
      <c r="Q71" s="104">
        <f si="112" t="shared"/>
        <v>2.86133873402186E-2</v>
      </c>
      <c r="R71" s="104">
        <f si="112" t="shared"/>
        <v>2.649387716686908E-5</v>
      </c>
      <c r="S71" s="104">
        <f si="112" t="shared"/>
        <v>1.7048234003028798E-4</v>
      </c>
      <c r="T71" s="104">
        <f si="112" t="shared"/>
        <v>1.2786175502271595E-4</v>
      </c>
      <c r="U71" s="104">
        <f si="112" t="shared"/>
        <v>1.0148306862613763E-3</v>
      </c>
      <c r="V71" s="104">
        <f si="112" t="shared"/>
        <v>2.0734338652332321E-5</v>
      </c>
      <c r="W71" s="104">
        <f si="112" t="shared"/>
        <v>0</v>
      </c>
      <c r="X71" s="104">
        <f si="112" t="shared"/>
        <v>5.264678965367757E-2</v>
      </c>
      <c r="Y71" s="95"/>
      <c r="Z71" s="95">
        <v>15</v>
      </c>
      <c r="AA71" s="104">
        <f si="69" t="shared"/>
        <v>1.4209334810461921E-3</v>
      </c>
      <c r="AB71" s="104">
        <f si="70" t="shared"/>
        <v>1.8062713742112613E-3</v>
      </c>
      <c r="AC71" s="104">
        <f si="71" t="shared"/>
        <v>8.6701025962140541E-4</v>
      </c>
      <c r="AD71" s="104">
        <f si="72" t="shared"/>
        <v>4.335051298107027E-4</v>
      </c>
      <c r="AE71" s="104">
        <f si="73" t="shared"/>
        <v>5.7800683974760364E-4</v>
      </c>
      <c r="AF71" s="104">
        <f si="74" t="shared"/>
        <v>2.3601945956360482E-3</v>
      </c>
      <c r="AG71" s="104">
        <f si="75" t="shared"/>
        <v>3.1308703819661861E-3</v>
      </c>
      <c r="AH71" s="104">
        <f si="76" t="shared"/>
        <v>2.4083618322816816E-5</v>
      </c>
      <c r="AI71" s="104">
        <f si="77" t="shared"/>
        <v>5.6355666875391348E-3</v>
      </c>
      <c r="AJ71" s="104">
        <f si="78" t="shared"/>
        <v>3.1308703819661859E-4</v>
      </c>
      <c r="AK71" s="104">
        <f si="79" t="shared"/>
        <v>1.5895188093059099E-3</v>
      </c>
      <c r="AL71" s="104">
        <f si="80" t="shared"/>
        <v>2.2879437406675977E-3</v>
      </c>
      <c r="AM71" s="104">
        <f si="81" t="shared"/>
        <v>7.9475940465295498E-3</v>
      </c>
      <c r="AN71" s="104">
        <f si="82" t="shared"/>
        <v>1.2041809161408409E-4</v>
      </c>
      <c r="AO71" s="104">
        <f si="83" t="shared"/>
        <v>2.2373681421896822E-2</v>
      </c>
      <c r="AP71" s="104">
        <f si="84" t="shared"/>
        <v>0</v>
      </c>
      <c r="AQ71" s="104">
        <f si="85" t="shared"/>
        <v>1.9266894658253453E-4</v>
      </c>
      <c r="AR71" s="104">
        <f si="86" t="shared"/>
        <v>7.2250854968450455E-5</v>
      </c>
      <c r="AS71" s="104">
        <f si="87" t="shared"/>
        <v>1.4691007176918258E-3</v>
      </c>
      <c r="AT71" s="104">
        <f si="88" t="shared"/>
        <v>2.4083618322816816E-5</v>
      </c>
      <c r="AU71" s="104">
        <f si="89" t="shared"/>
        <v>0</v>
      </c>
      <c r="AV71" s="104">
        <f si="90" t="shared"/>
        <v>5.2646789653677563E-2</v>
      </c>
      <c r="CU71" s="95">
        <v>70</v>
      </c>
      <c r="CV71" s="95">
        <f si="109" t="shared"/>
        <v>4</v>
      </c>
      <c r="CW71" s="95">
        <f si="103" t="shared"/>
        <v>10</v>
      </c>
      <c r="CX71" s="58">
        <f si="104" t="shared"/>
        <v>624.25179904499294</v>
      </c>
      <c r="CY71" s="58">
        <f si="105" t="shared"/>
        <v>619.99999999999989</v>
      </c>
      <c r="CZ71" s="108">
        <f si="106" t="shared"/>
        <v>-4.2517990449930494</v>
      </c>
      <c r="DA71" s="78">
        <f si="107" t="shared"/>
        <v>-6.8110321051499303E-3</v>
      </c>
    </row>
    <row r="72" spans="2:106" x14ac:dyDescent="0.25">
      <c r="B72" s="95">
        <v>16</v>
      </c>
      <c r="C72" s="104">
        <f ref="C72:X72" si="113" t="shared">IF($X$51&gt;0,C45/$X$51,0)</f>
        <v>1.4833502176328588E-3</v>
      </c>
      <c r="D72" s="104">
        <f si="113" t="shared"/>
        <v>7.1170199607836218E-4</v>
      </c>
      <c r="E72" s="104">
        <f si="113" t="shared"/>
        <v>3.8901273979193626E-4</v>
      </c>
      <c r="F72" s="104">
        <f si="113" t="shared"/>
        <v>4.4258170723869474E-4</v>
      </c>
      <c r="G72" s="104">
        <f si="113" t="shared"/>
        <v>6.2114493206122281E-4</v>
      </c>
      <c r="H72" s="104">
        <f si="113" t="shared"/>
        <v>3.8174266563844759E-3</v>
      </c>
      <c r="I72" s="104">
        <f si="113" t="shared"/>
        <v>4.8977341665607714E-4</v>
      </c>
      <c r="J72" s="104">
        <f si="113" t="shared"/>
        <v>7.5251644746636846E-5</v>
      </c>
      <c r="K72" s="104">
        <f si="113" t="shared"/>
        <v>5.0125248110895399E-4</v>
      </c>
      <c r="L72" s="104">
        <f si="113" t="shared"/>
        <v>2.1351059882350862E-3</v>
      </c>
      <c r="M72" s="104">
        <f si="113" t="shared"/>
        <v>3.5202464322155549E-4</v>
      </c>
      <c r="N72" s="104">
        <f si="113" t="shared"/>
        <v>5.1655790037945636E-3</v>
      </c>
      <c r="O72" s="104">
        <f si="113" t="shared"/>
        <v>7.652709635251205E-5</v>
      </c>
      <c r="P72" s="104">
        <f si="113" t="shared"/>
        <v>3.9538999782131229E-5</v>
      </c>
      <c r="Q72" s="104">
        <f si="113" t="shared"/>
        <v>1.402996766462721E-5</v>
      </c>
      <c r="R72" s="104">
        <f si="113" t="shared"/>
        <v>3.071287466947484E-3</v>
      </c>
      <c r="S72" s="104">
        <f si="113" t="shared"/>
        <v>1.2754516058752009E-5</v>
      </c>
      <c r="T72" s="104">
        <f si="113" t="shared"/>
        <v>3.0100657898654738E-4</v>
      </c>
      <c r="U72" s="104">
        <f si="113" t="shared"/>
        <v>8.1628902776012866E-5</v>
      </c>
      <c r="V72" s="104">
        <f si="113" t="shared"/>
        <v>8.8006160805388872E-5</v>
      </c>
      <c r="W72" s="104">
        <f si="113" t="shared"/>
        <v>0</v>
      </c>
      <c r="X72" s="104">
        <f si="113" t="shared"/>
        <v>1.9868985116323876E-2</v>
      </c>
      <c r="Y72" s="95"/>
      <c r="Z72" s="95">
        <v>16</v>
      </c>
      <c r="AA72" s="104">
        <f si="69" t="shared"/>
        <v>1.4450170993690089E-3</v>
      </c>
      <c r="AB72" s="104">
        <f si="70" t="shared"/>
        <v>5.0575598477915307E-4</v>
      </c>
      <c r="AC72" s="104">
        <f si="71" t="shared"/>
        <v>4.0942151148788588E-4</v>
      </c>
      <c r="AD72" s="104">
        <f si="72" t="shared"/>
        <v>6.50257694716054E-4</v>
      </c>
      <c r="AE72" s="104">
        <f si="73" t="shared"/>
        <v>8.4292664129858859E-4</v>
      </c>
      <c r="AF72" s="104">
        <f si="74" t="shared"/>
        <v>3.1549540002890029E-3</v>
      </c>
      <c r="AG72" s="104">
        <f si="75" t="shared"/>
        <v>5.2983960310196989E-4</v>
      </c>
      <c r="AH72" s="104">
        <f si="76" t="shared"/>
        <v>4.8167236645633632E-5</v>
      </c>
      <c r="AI72" s="104">
        <f si="77" t="shared"/>
        <v>4.8167236645633624E-4</v>
      </c>
      <c r="AJ72" s="104">
        <f si="78" t="shared"/>
        <v>1.4209334810461921E-3</v>
      </c>
      <c r="AK72" s="104">
        <f si="79" t="shared"/>
        <v>2.1675256490535135E-4</v>
      </c>
      <c r="AL72" s="104">
        <f si="80" t="shared"/>
        <v>6.8638312220027928E-3</v>
      </c>
      <c r="AM72" s="104">
        <f si="81" t="shared"/>
        <v>2.4083618322816812E-4</v>
      </c>
      <c r="AN72" s="104">
        <f si="82" t="shared"/>
        <v>2.4083618322816816E-5</v>
      </c>
      <c r="AO72" s="104">
        <f si="83" t="shared"/>
        <v>1.2041809161408406E-4</v>
      </c>
      <c r="AP72" s="104">
        <f si="84" t="shared"/>
        <v>1.8303549925340781E-3</v>
      </c>
      <c r="AQ72" s="104">
        <f si="85" t="shared"/>
        <v>2.4083618322816816E-5</v>
      </c>
      <c r="AR72" s="104">
        <f si="86" t="shared"/>
        <v>6.2617407639323718E-4</v>
      </c>
      <c r="AS72" s="104">
        <f si="87" t="shared"/>
        <v>7.2250854968450442E-5</v>
      </c>
      <c r="AT72" s="104">
        <f si="88" t="shared"/>
        <v>3.6125427484225224E-4</v>
      </c>
      <c r="AU72" s="104">
        <f si="89" t="shared"/>
        <v>0</v>
      </c>
      <c r="AV72" s="104">
        <f si="90" t="shared"/>
        <v>1.9868985116323873E-2</v>
      </c>
      <c r="CU72" s="95">
        <v>71</v>
      </c>
      <c r="CV72" s="95">
        <f si="109" t="shared"/>
        <v>4</v>
      </c>
      <c r="CW72" s="95">
        <f si="103" t="shared"/>
        <v>11</v>
      </c>
      <c r="CX72" s="58">
        <f si="104" t="shared"/>
        <v>547.31320196381739</v>
      </c>
      <c r="CY72" s="58">
        <f si="105" t="shared"/>
        <v>679.99999999999989</v>
      </c>
      <c r="CZ72" s="108">
        <f si="106" t="shared"/>
        <v>132.68679803618249</v>
      </c>
      <c r="DA72" s="78">
        <f si="107" t="shared"/>
        <v>0.24243303022855706</v>
      </c>
    </row>
    <row r="73" spans="2:106" x14ac:dyDescent="0.25">
      <c r="B73" s="95">
        <v>17</v>
      </c>
      <c r="C73" s="104">
        <f ref="C73:X73" si="114" t="shared">IF($X$51&gt;0,C46/$X$51,0)</f>
        <v>1.0868629804014463E-3</v>
      </c>
      <c r="D73" s="104">
        <f si="114" t="shared"/>
        <v>1.1678137029954487E-3</v>
      </c>
      <c r="E73" s="104">
        <f si="114" t="shared"/>
        <v>4.857043355640163E-4</v>
      </c>
      <c r="F73" s="104">
        <f si="114" t="shared"/>
        <v>5.2286204429568954E-4</v>
      </c>
      <c r="G73" s="104">
        <f si="114" t="shared"/>
        <v>4.6579842017204848E-4</v>
      </c>
      <c r="H73" s="104">
        <f si="114" t="shared"/>
        <v>1.9613961966219017E-3</v>
      </c>
      <c r="I73" s="104">
        <f si="114" t="shared"/>
        <v>6.3035398741231625E-4</v>
      </c>
      <c r="J73" s="104">
        <f si="114" t="shared"/>
        <v>3.5697941602929061E-4</v>
      </c>
      <c r="K73" s="104">
        <f si="114" t="shared"/>
        <v>7.3519180847668041E-4</v>
      </c>
      <c r="L73" s="104">
        <f si="114" t="shared"/>
        <v>1.5261201800508705E-4</v>
      </c>
      <c r="M73" s="104">
        <f si="114" t="shared"/>
        <v>4.78670912125521E-3</v>
      </c>
      <c r="N73" s="104">
        <f si="114" t="shared"/>
        <v>7.9225543260032162E-4</v>
      </c>
      <c r="O73" s="104">
        <f si="114" t="shared"/>
        <v>2.0702152007646594E-4</v>
      </c>
      <c r="P73" s="104">
        <f si="114" t="shared"/>
        <v>2.0224410038239362E-3</v>
      </c>
      <c r="Q73" s="104">
        <f si="114" t="shared"/>
        <v>1.9905915391967881E-4</v>
      </c>
      <c r="R73" s="104">
        <f si="114" t="shared"/>
        <v>1.3270610261311919E-5</v>
      </c>
      <c r="S73" s="104">
        <f si="114" t="shared"/>
        <v>9.3690508444862156E-3</v>
      </c>
      <c r="T73" s="104">
        <f si="114" t="shared"/>
        <v>0</v>
      </c>
      <c r="U73" s="104">
        <f si="114" t="shared"/>
        <v>3.9864913224981011E-3</v>
      </c>
      <c r="V73" s="104">
        <f si="114" t="shared"/>
        <v>6.6353051306559597E-6</v>
      </c>
      <c r="W73" s="104">
        <f si="114" t="shared"/>
        <v>0</v>
      </c>
      <c r="X73" s="104">
        <f si="114" t="shared"/>
        <v>2.8948509224025823E-2</v>
      </c>
      <c r="Y73" s="95"/>
      <c r="Z73" s="95">
        <v>17</v>
      </c>
      <c r="AA73" s="104">
        <f si="69" t="shared"/>
        <v>1.0355955878811232E-3</v>
      </c>
      <c r="AB73" s="104">
        <f si="70" t="shared"/>
        <v>7.465921680073214E-4</v>
      </c>
      <c r="AC73" s="104">
        <f si="71" t="shared"/>
        <v>1.0115119695583063E-3</v>
      </c>
      <c r="AD73" s="104">
        <f si="72" t="shared"/>
        <v>5.5392322142478682E-4</v>
      </c>
      <c r="AE73" s="104">
        <f si="73" t="shared"/>
        <v>4.0942151148788594E-4</v>
      </c>
      <c r="AF73" s="104">
        <f si="74" t="shared"/>
        <v>2.0952747940850632E-3</v>
      </c>
      <c r="AG73" s="104">
        <f si="75" t="shared"/>
        <v>2.408361832281682E-4</v>
      </c>
      <c r="AH73" s="104">
        <f si="76" t="shared"/>
        <v>4.3350512981070276E-4</v>
      </c>
      <c r="AI73" s="104">
        <f si="77" t="shared"/>
        <v>8.429266412985887E-4</v>
      </c>
      <c r="AJ73" s="104">
        <f si="78" t="shared"/>
        <v>1.9266894658253456E-4</v>
      </c>
      <c r="AK73" s="104">
        <f si="79" t="shared"/>
        <v>4.7685564279177301E-3</v>
      </c>
      <c r="AL73" s="104">
        <f si="80" t="shared"/>
        <v>9.8742835123548952E-4</v>
      </c>
      <c r="AM73" s="104">
        <f si="81" t="shared"/>
        <v>9.6334473291267278E-5</v>
      </c>
      <c r="AN73" s="104">
        <f si="82" t="shared"/>
        <v>3.2512884735802707E-3</v>
      </c>
      <c r="AO73" s="104">
        <f si="83" t="shared"/>
        <v>4.3350512981070276E-4</v>
      </c>
      <c r="AP73" s="104">
        <f si="84" t="shared"/>
        <v>0</v>
      </c>
      <c r="AQ73" s="104">
        <f si="85" t="shared"/>
        <v>6.8879148403256105E-3</v>
      </c>
      <c r="AR73" s="104">
        <f si="86" t="shared"/>
        <v>0</v>
      </c>
      <c r="AS73" s="104">
        <f si="87" t="shared"/>
        <v>4.9612253745002647E-3</v>
      </c>
      <c r="AT73" s="104">
        <f si="88" t="shared"/>
        <v>0</v>
      </c>
      <c r="AU73" s="104">
        <f si="89" t="shared"/>
        <v>0</v>
      </c>
      <c r="AV73" s="104">
        <f si="90" t="shared"/>
        <v>2.8948509224025816E-2</v>
      </c>
      <c r="CU73" s="95">
        <v>72</v>
      </c>
      <c r="CV73" s="95">
        <f si="109" t="shared"/>
        <v>4</v>
      </c>
      <c r="CW73" s="95">
        <f si="103" t="shared"/>
        <v>12</v>
      </c>
      <c r="CX73" s="58">
        <f si="104" t="shared"/>
        <v>1054.4085009079292</v>
      </c>
      <c r="CY73" s="58">
        <f si="105" t="shared"/>
        <v>1559.9999999999998</v>
      </c>
      <c r="CZ73" s="108">
        <f si="106" t="shared"/>
        <v>505.59149909207053</v>
      </c>
      <c r="DA73" s="78">
        <f si="107" t="shared"/>
        <v>0.47950248756218883</v>
      </c>
    </row>
    <row r="74" spans="2:106" x14ac:dyDescent="0.25">
      <c r="B74" s="95">
        <v>18</v>
      </c>
      <c r="C74" s="104">
        <f ref="C74:X74" si="115" t="shared">IF($X$51&gt;0,C47/$X$51,0)</f>
        <v>1.3491598767012283E-3</v>
      </c>
      <c r="D74" s="104">
        <f si="115" t="shared"/>
        <v>1.1129861875931514E-3</v>
      </c>
      <c r="E74" s="104">
        <f si="115" t="shared"/>
        <v>4.3416360812083542E-4</v>
      </c>
      <c r="F74" s="104">
        <f si="115" t="shared"/>
        <v>5.2184485796934296E-4</v>
      </c>
      <c r="G74" s="104">
        <f si="115" t="shared"/>
        <v>1.0097485869650701E-3</v>
      </c>
      <c r="H74" s="104">
        <f si="115" t="shared"/>
        <v>3.6967546307096538E-3</v>
      </c>
      <c r="I74" s="104">
        <f si="115" t="shared"/>
        <v>3.4789657197956195E-3</v>
      </c>
      <c r="J74" s="104">
        <f si="115" t="shared"/>
        <v>1.1172288287148534E-4</v>
      </c>
      <c r="K74" s="104">
        <f si="115" t="shared"/>
        <v>6.2649667230465827E-4</v>
      </c>
      <c r="L74" s="104">
        <f si="115" t="shared"/>
        <v>3.804234872459438E-4</v>
      </c>
      <c r="M74" s="104">
        <f si="115" t="shared"/>
        <v>1.8243356823318492E-4</v>
      </c>
      <c r="N74" s="104">
        <f si="115" t="shared"/>
        <v>2.1271188370506466E-2</v>
      </c>
      <c r="O74" s="104">
        <f si="115" t="shared"/>
        <v>7.7909033131520599E-3</v>
      </c>
      <c r="P74" s="104">
        <f si="115" t="shared"/>
        <v>1.2727923365105925E-5</v>
      </c>
      <c r="Q74" s="104">
        <f si="115" t="shared"/>
        <v>2.2768840686467268E-4</v>
      </c>
      <c r="R74" s="104">
        <f si="115" t="shared"/>
        <v>2.9274223739743626E-4</v>
      </c>
      <c r="S74" s="104">
        <f si="115" t="shared"/>
        <v>2.2627419315743865E-5</v>
      </c>
      <c r="T74" s="104">
        <f si="115" t="shared"/>
        <v>1.6246487068704098E-2</v>
      </c>
      <c r="U74" s="104">
        <f si="115" t="shared"/>
        <v>8.4852822434039498E-5</v>
      </c>
      <c r="V74" s="104">
        <f si="115" t="shared"/>
        <v>5.2325907167657688E-3</v>
      </c>
      <c r="W74" s="104">
        <f si="115" t="shared"/>
        <v>0</v>
      </c>
      <c r="X74" s="104">
        <f si="115" t="shared"/>
        <v>6.408650835701557E-2</v>
      </c>
      <c r="Y74" s="95"/>
      <c r="Z74" s="95">
        <v>18</v>
      </c>
      <c r="AA74" s="104">
        <f si="69" t="shared"/>
        <v>1.3727662444005587E-3</v>
      </c>
      <c r="AB74" s="104">
        <f si="70" t="shared"/>
        <v>1.2523481527864746E-3</v>
      </c>
      <c r="AC74" s="104">
        <f si="71" t="shared"/>
        <v>6.2617407639323729E-4</v>
      </c>
      <c r="AD74" s="104">
        <f si="72" t="shared"/>
        <v>4.8167236645633641E-4</v>
      </c>
      <c r="AE74" s="104">
        <f si="73" t="shared"/>
        <v>8.429266412985887E-4</v>
      </c>
      <c r="AF74" s="104">
        <f si="74" t="shared"/>
        <v>3.2994557102259043E-3</v>
      </c>
      <c r="AG74" s="104">
        <f si="75" t="shared"/>
        <v>3.4198738018399884E-3</v>
      </c>
      <c r="AH74" s="104">
        <f si="76" t="shared"/>
        <v>7.2250854968450455E-5</v>
      </c>
      <c r="AI74" s="104">
        <f si="77" t="shared"/>
        <v>5.2983960310197E-4</v>
      </c>
      <c r="AJ74" s="104">
        <f si="78" t="shared"/>
        <v>7.9475940465295505E-4</v>
      </c>
      <c r="AK74" s="104">
        <f si="79" t="shared"/>
        <v>3.3717065651943547E-4</v>
      </c>
      <c r="AL74" s="104">
        <f si="80" t="shared"/>
        <v>2.1000915177496266E-2</v>
      </c>
      <c r="AM74" s="104">
        <f si="81" t="shared"/>
        <v>1.0115119695583064E-2</v>
      </c>
      <c r="AN74" s="104">
        <f si="82" t="shared"/>
        <v>0</v>
      </c>
      <c r="AO74" s="104">
        <f si="83" t="shared"/>
        <v>1.9266894658253456E-4</v>
      </c>
      <c r="AP74" s="104">
        <f si="84" t="shared"/>
        <v>2.8900341987380182E-4</v>
      </c>
      <c r="AQ74" s="104">
        <f si="85" t="shared"/>
        <v>2.408361832281682E-5</v>
      </c>
      <c r="AR74" s="104">
        <f si="86" t="shared"/>
        <v>1.3366408169163336E-2</v>
      </c>
      <c r="AS74" s="104">
        <f si="87" t="shared"/>
        <v>7.2250854968450455E-5</v>
      </c>
      <c r="AT74" s="104">
        <f si="88" t="shared"/>
        <v>5.9968209623813881E-3</v>
      </c>
      <c r="AU74" s="104">
        <f si="89" t="shared"/>
        <v>0</v>
      </c>
      <c r="AV74" s="104">
        <f si="90" t="shared"/>
        <v>6.4086508357015556E-2</v>
      </c>
      <c r="CU74" s="95">
        <v>73</v>
      </c>
      <c r="CV74" s="95">
        <f si="109" t="shared"/>
        <v>4</v>
      </c>
      <c r="CW74" s="95">
        <f si="103" t="shared"/>
        <v>13</v>
      </c>
      <c r="CX74" s="58">
        <f si="104" t="shared"/>
        <v>103.16766426794</v>
      </c>
      <c r="CY74" s="58">
        <f si="105" t="shared"/>
        <v>59.999999999999993</v>
      </c>
      <c r="CZ74" s="108">
        <f si="106" t="shared"/>
        <v>-43.167664267940005</v>
      </c>
      <c r="DA74" s="78">
        <f si="107" t="shared"/>
        <v>-0.41842242503259452</v>
      </c>
    </row>
    <row r="75" spans="2:106" x14ac:dyDescent="0.25">
      <c r="B75" s="95">
        <v>19</v>
      </c>
      <c r="C75" s="104">
        <f ref="C75:X75" si="116" t="shared">IF($X$51&gt;0,C48/$X$51,0)</f>
        <v>1.4248045859819639E-3</v>
      </c>
      <c r="D75" s="104">
        <f si="116" t="shared"/>
        <v>1.2022880889071027E-3</v>
      </c>
      <c r="E75" s="104">
        <f si="116" t="shared"/>
        <v>5.708538406632562E-4</v>
      </c>
      <c r="F75" s="104">
        <f si="116" t="shared"/>
        <v>4.1707280603560349E-4</v>
      </c>
      <c r="G75" s="104">
        <f si="116" t="shared"/>
        <v>4.1474279035942695E-4</v>
      </c>
      <c r="H75" s="104">
        <f si="116" t="shared"/>
        <v>1.9758532933977194E-3</v>
      </c>
      <c r="I75" s="104">
        <f si="116" t="shared"/>
        <v>8.4463068261400153E-4</v>
      </c>
      <c r="J75" s="104">
        <f si="116" t="shared"/>
        <v>2.2018648139868454E-4</v>
      </c>
      <c r="K75" s="104">
        <f si="116" t="shared"/>
        <v>1.1032624226695992E-3</v>
      </c>
      <c r="L75" s="104">
        <f si="116" t="shared"/>
        <v>1.7941120706559482E-4</v>
      </c>
      <c r="M75" s="104">
        <f si="116" t="shared"/>
        <v>1.0049357611349487E-2</v>
      </c>
      <c r="N75" s="104">
        <f si="116" t="shared"/>
        <v>1.7230465925325629E-3</v>
      </c>
      <c r="O75" s="104">
        <f si="116" t="shared"/>
        <v>3.2270717115045306E-4</v>
      </c>
      <c r="P75" s="104">
        <f si="116" t="shared"/>
        <v>4.9745834686369477E-4</v>
      </c>
      <c r="Q75" s="104">
        <f si="116" t="shared"/>
        <v>2.2939004331958193E-3</v>
      </c>
      <c r="R75" s="104">
        <f si="116" t="shared"/>
        <v>4.8930329199707676E-5</v>
      </c>
      <c r="S75" s="104">
        <f si="116" t="shared"/>
        <v>4.3291691263360414E-3</v>
      </c>
      <c r="T75" s="104">
        <f si="116" t="shared"/>
        <v>1.3980094057059335E-5</v>
      </c>
      <c r="U75" s="104">
        <f si="116" t="shared"/>
        <v>2.8831613977008702E-2</v>
      </c>
      <c r="V75" s="104">
        <f si="116" t="shared"/>
        <v>1.2815086218971056E-5</v>
      </c>
      <c r="W75" s="104">
        <f si="116" t="shared"/>
        <v>0</v>
      </c>
      <c r="X75" s="104">
        <f si="116" t="shared"/>
        <v>5.6476084967005451E-2</v>
      </c>
      <c r="Y75" s="95"/>
      <c r="Z75" s="95">
        <v>19</v>
      </c>
      <c r="AA75" s="104">
        <f si="69" t="shared"/>
        <v>1.3486826260777419E-3</v>
      </c>
      <c r="AB75" s="104">
        <f si="70" t="shared"/>
        <v>1.0355955878811232E-3</v>
      </c>
      <c r="AC75" s="104">
        <f si="71" t="shared"/>
        <v>1.2523481527864746E-3</v>
      </c>
      <c r="AD75" s="104">
        <f si="72" t="shared"/>
        <v>8.429266412985887E-4</v>
      </c>
      <c r="AE75" s="104">
        <f si="73" t="shared"/>
        <v>6.0209045807042047E-4</v>
      </c>
      <c r="AF75" s="104">
        <f si="74" t="shared"/>
        <v>2.384278213958865E-3</v>
      </c>
      <c r="AG75" s="104">
        <f si="75" t="shared"/>
        <v>8.6701025962140552E-4</v>
      </c>
      <c r="AH75" s="104">
        <f si="76" t="shared"/>
        <v>3.1308703819661864E-4</v>
      </c>
      <c r="AI75" s="104">
        <f si="77" t="shared"/>
        <v>1.6376860459515437E-3</v>
      </c>
      <c r="AJ75" s="104">
        <f si="78" t="shared"/>
        <v>3.6125427484225229E-4</v>
      </c>
      <c r="AK75" s="104">
        <f si="79" t="shared"/>
        <v>1.1174798901787004E-2</v>
      </c>
      <c r="AL75" s="104">
        <f si="80" t="shared"/>
        <v>1.3486826260777419E-3</v>
      </c>
      <c r="AM75" s="104">
        <f si="81" t="shared"/>
        <v>3.3717065651943547E-4</v>
      </c>
      <c r="AN75" s="104">
        <f si="82" t="shared"/>
        <v>1.05967920620394E-3</v>
      </c>
      <c r="AO75" s="104">
        <f si="83" t="shared"/>
        <v>2.3601945956360482E-3</v>
      </c>
      <c r="AP75" s="104">
        <f si="84" t="shared"/>
        <v>4.8167236645633639E-5</v>
      </c>
      <c r="AQ75" s="104">
        <f si="85" t="shared"/>
        <v>5.2983960310197002E-3</v>
      </c>
      <c r="AR75" s="104">
        <f si="86" t="shared"/>
        <v>4.8167236645633639E-5</v>
      </c>
      <c r="AS75" s="104">
        <f si="87" t="shared"/>
        <v>2.4155869177785269E-2</v>
      </c>
      <c r="AT75" s="104">
        <f si="88" t="shared"/>
        <v>0</v>
      </c>
      <c r="AU75" s="104">
        <f si="89" t="shared"/>
        <v>0</v>
      </c>
      <c r="AV75" s="104">
        <f si="90" t="shared"/>
        <v>5.6476084967005444E-2</v>
      </c>
      <c r="CU75" s="95">
        <v>74</v>
      </c>
      <c r="CV75" s="95">
        <f si="109" t="shared"/>
        <v>4</v>
      </c>
      <c r="CW75" s="95">
        <f si="103" t="shared"/>
        <v>14</v>
      </c>
      <c r="CX75" s="58">
        <f si="104" t="shared"/>
        <v>24.48046270764678</v>
      </c>
      <c r="CY75" s="58">
        <f si="105" t="shared"/>
        <v>19.999999999999996</v>
      </c>
      <c r="CZ75" s="108">
        <f si="106" t="shared"/>
        <v>-4.4804627076467831</v>
      </c>
      <c r="DA75" s="78">
        <f si="107" t="shared"/>
        <v>-0.18302197802197809</v>
      </c>
    </row>
    <row r="76" spans="2:106" x14ac:dyDescent="0.25">
      <c r="B76" s="95">
        <v>20</v>
      </c>
      <c r="C76" s="104">
        <f ref="C76:X76" si="117" t="shared">IF($X$51&gt;0,C49/$X$51,0)</f>
        <v>3.4717744746771354E-4</v>
      </c>
      <c r="D76" s="104">
        <f si="117" t="shared"/>
        <v>3.538908235237191E-4</v>
      </c>
      <c r="E76" s="104">
        <f si="117" t="shared"/>
        <v>4.7952686114325081E-5</v>
      </c>
      <c r="F76" s="104">
        <f si="117" t="shared"/>
        <v>4.7952686114325081E-5</v>
      </c>
      <c r="G76" s="104">
        <f si="117" t="shared"/>
        <v>1.1508644667438018E-4</v>
      </c>
      <c r="H76" s="104">
        <f si="117" t="shared"/>
        <v>4.996669893112673E-4</v>
      </c>
      <c r="I76" s="104">
        <f si="117" t="shared"/>
        <v>3.701947368025896E-4</v>
      </c>
      <c r="J76" s="104">
        <f si="117" t="shared"/>
        <v>3.8362148891460064E-6</v>
      </c>
      <c r="K76" s="104">
        <f si="117" t="shared"/>
        <v>1.3714468228696972E-4</v>
      </c>
      <c r="L76" s="104">
        <f si="117" t="shared"/>
        <v>1.6495724023327828E-4</v>
      </c>
      <c r="M76" s="104">
        <f si="117" t="shared"/>
        <v>6.5215653115482112E-5</v>
      </c>
      <c r="N76" s="104">
        <f si="117" t="shared"/>
        <v>5.5135998494250981E-3</v>
      </c>
      <c r="O76" s="104">
        <f si="117" t="shared"/>
        <v>5.3419292331358147E-4</v>
      </c>
      <c r="P76" s="104">
        <f si="117" t="shared"/>
        <v>9.5905372228650159E-6</v>
      </c>
      <c r="Q76" s="104">
        <f si="117" t="shared"/>
        <v>4.795268611432508E-6</v>
      </c>
      <c r="R76" s="104">
        <f si="117" t="shared"/>
        <v>8.3437673838925624E-5</v>
      </c>
      <c r="S76" s="104">
        <f si="117" t="shared"/>
        <v>1.9181074445730032E-5</v>
      </c>
      <c r="T76" s="104">
        <f si="117" t="shared"/>
        <v>4.0980365553302213E-3</v>
      </c>
      <c r="U76" s="104">
        <f si="117" t="shared"/>
        <v>1.0549590945151517E-5</v>
      </c>
      <c r="V76" s="104">
        <f si="117" t="shared"/>
        <v>2.3530383076299316E-2</v>
      </c>
      <c r="W76" s="104">
        <f si="117" t="shared"/>
        <v>0</v>
      </c>
      <c r="X76" s="104">
        <f si="117" t="shared"/>
        <v>3.5956842155965514E-2</v>
      </c>
      <c r="Y76" s="95"/>
      <c r="Z76" s="95">
        <v>20</v>
      </c>
      <c r="AA76" s="104">
        <f si="69" t="shared"/>
        <v>1.4450170993690091E-4</v>
      </c>
      <c r="AB76" s="104">
        <f si="70" t="shared"/>
        <v>2.1675256490535138E-4</v>
      </c>
      <c r="AC76" s="104">
        <f si="71" t="shared"/>
        <v>9.6334473291267278E-5</v>
      </c>
      <c r="AD76" s="104">
        <f si="72" t="shared"/>
        <v>7.2250854968450455E-5</v>
      </c>
      <c r="AE76" s="104">
        <f si="73" t="shared"/>
        <v>1.6858532825971773E-4</v>
      </c>
      <c r="AF76" s="104">
        <f si="74" t="shared"/>
        <v>6.0209045807042047E-4</v>
      </c>
      <c r="AG76" s="104">
        <f si="75" t="shared"/>
        <v>5.0575598477915317E-4</v>
      </c>
      <c r="AH76" s="104">
        <f si="76" t="shared"/>
        <v>0</v>
      </c>
      <c r="AI76" s="104">
        <f si="77" t="shared"/>
        <v>9.6334473291267278E-5</v>
      </c>
      <c r="AJ76" s="104">
        <f si="78" t="shared"/>
        <v>9.6334473291267278E-5</v>
      </c>
      <c r="AK76" s="104">
        <f si="79" t="shared"/>
        <v>4.8167236645633639E-5</v>
      </c>
      <c r="AL76" s="104">
        <f si="80" t="shared"/>
        <v>4.094215114878859E-3</v>
      </c>
      <c r="AM76" s="104">
        <f si="81" t="shared"/>
        <v>4.5758874813351958E-4</v>
      </c>
      <c r="AN76" s="104">
        <f si="82" t="shared"/>
        <v>0</v>
      </c>
      <c r="AO76" s="104">
        <f si="83" t="shared"/>
        <v>4.8167236645633639E-5</v>
      </c>
      <c r="AP76" s="104">
        <f si="84" t="shared"/>
        <v>1.6858532825971773E-4</v>
      </c>
      <c r="AQ76" s="104">
        <f si="85" t="shared"/>
        <v>0</v>
      </c>
      <c r="AR76" s="104">
        <f si="86" t="shared"/>
        <v>4.503636626366745E-3</v>
      </c>
      <c r="AS76" s="104">
        <f si="87" t="shared"/>
        <v>0</v>
      </c>
      <c r="AT76" s="104">
        <f si="88" t="shared"/>
        <v>2.4637541544241606E-2</v>
      </c>
      <c r="AU76" s="104">
        <f si="89" t="shared"/>
        <v>0</v>
      </c>
      <c r="AV76" s="104">
        <f si="90" t="shared"/>
        <v>3.5956842155965514E-2</v>
      </c>
      <c r="CU76" s="95">
        <v>75</v>
      </c>
      <c r="CV76" s="95">
        <f si="109" t="shared"/>
        <v>4</v>
      </c>
      <c r="CW76" s="95">
        <f si="103" t="shared"/>
        <v>15</v>
      </c>
      <c r="CX76" s="58">
        <f si="104" t="shared"/>
        <v>54.206738852646446</v>
      </c>
      <c r="CY76" s="58">
        <f si="105" t="shared"/>
        <v>39.999999999999993</v>
      </c>
      <c r="CZ76" s="108">
        <f si="106" t="shared"/>
        <v>-14.206738852646453</v>
      </c>
      <c r="DA76" s="78">
        <f si="107" t="shared"/>
        <v>-0.2620843672456577</v>
      </c>
    </row>
    <row r="77" spans="2:106" x14ac:dyDescent="0.25">
      <c r="B77" s="101" t="s">
        <v>15</v>
      </c>
      <c r="C77" s="105">
        <f ref="C77:X77" si="118" t="shared">IF($X$51&gt;0,C50/$X$51,0)</f>
        <v>0</v>
      </c>
      <c r="D77" s="105">
        <f si="118" t="shared"/>
        <v>0</v>
      </c>
      <c r="E77" s="105">
        <f si="118" t="shared"/>
        <v>0</v>
      </c>
      <c r="F77" s="105">
        <f si="118" t="shared"/>
        <v>0</v>
      </c>
      <c r="G77" s="105">
        <f si="118" t="shared"/>
        <v>0</v>
      </c>
      <c r="H77" s="105">
        <f si="118" t="shared"/>
        <v>0</v>
      </c>
      <c r="I77" s="105">
        <f si="118" t="shared"/>
        <v>0</v>
      </c>
      <c r="J77" s="105">
        <f si="118" t="shared"/>
        <v>0</v>
      </c>
      <c r="K77" s="105">
        <f si="118" t="shared"/>
        <v>0</v>
      </c>
      <c r="L77" s="105">
        <f si="118" t="shared"/>
        <v>0</v>
      </c>
      <c r="M77" s="105">
        <f si="118" t="shared"/>
        <v>0</v>
      </c>
      <c r="N77" s="105">
        <f si="118" t="shared"/>
        <v>0</v>
      </c>
      <c r="O77" s="105">
        <f si="118" t="shared"/>
        <v>0</v>
      </c>
      <c r="P77" s="105">
        <f si="118" t="shared"/>
        <v>0</v>
      </c>
      <c r="Q77" s="105">
        <f si="118" t="shared"/>
        <v>0</v>
      </c>
      <c r="R77" s="105">
        <f si="118" t="shared"/>
        <v>0</v>
      </c>
      <c r="S77" s="105">
        <f si="118" t="shared"/>
        <v>0</v>
      </c>
      <c r="T77" s="105">
        <f si="118" t="shared"/>
        <v>0</v>
      </c>
      <c r="U77" s="105">
        <f si="118" t="shared"/>
        <v>0</v>
      </c>
      <c r="V77" s="105">
        <f si="118" t="shared"/>
        <v>0</v>
      </c>
      <c r="W77" s="105">
        <f si="118" t="shared"/>
        <v>0</v>
      </c>
      <c r="X77" s="105">
        <f si="118" t="shared"/>
        <v>0</v>
      </c>
      <c r="Y77" s="95"/>
      <c r="Z77" s="101" t="s">
        <v>15</v>
      </c>
      <c r="AA77" s="105">
        <f si="69" t="shared"/>
        <v>0</v>
      </c>
      <c r="AB77" s="105">
        <f si="70" t="shared"/>
        <v>0</v>
      </c>
      <c r="AC77" s="105">
        <f si="71" t="shared"/>
        <v>0</v>
      </c>
      <c r="AD77" s="105">
        <f si="72" t="shared"/>
        <v>0</v>
      </c>
      <c r="AE77" s="105">
        <f si="73" t="shared"/>
        <v>0</v>
      </c>
      <c r="AF77" s="105">
        <f si="74" t="shared"/>
        <v>0</v>
      </c>
      <c r="AG77" s="105">
        <f si="75" t="shared"/>
        <v>0</v>
      </c>
      <c r="AH77" s="105">
        <f si="76" t="shared"/>
        <v>0</v>
      </c>
      <c r="AI77" s="105">
        <f si="77" t="shared"/>
        <v>0</v>
      </c>
      <c r="AJ77" s="105">
        <f si="78" t="shared"/>
        <v>0</v>
      </c>
      <c r="AK77" s="105">
        <f si="79" t="shared"/>
        <v>0</v>
      </c>
      <c r="AL77" s="105">
        <f si="80" t="shared"/>
        <v>0</v>
      </c>
      <c r="AM77" s="105">
        <f si="81" t="shared"/>
        <v>0</v>
      </c>
      <c r="AN77" s="105">
        <f si="82" t="shared"/>
        <v>0</v>
      </c>
      <c r="AO77" s="105">
        <f si="83" t="shared"/>
        <v>0</v>
      </c>
      <c r="AP77" s="105">
        <f si="84" t="shared"/>
        <v>0</v>
      </c>
      <c r="AQ77" s="105">
        <f si="85" t="shared"/>
        <v>0</v>
      </c>
      <c r="AR77" s="105">
        <f si="86" t="shared"/>
        <v>0</v>
      </c>
      <c r="AS77" s="105">
        <f si="87" t="shared"/>
        <v>0</v>
      </c>
      <c r="AT77" s="105">
        <f si="88" t="shared"/>
        <v>0</v>
      </c>
      <c r="AU77" s="105">
        <f si="89" t="shared"/>
        <v>0</v>
      </c>
      <c r="AV77" s="105">
        <f si="90" t="shared"/>
        <v>0</v>
      </c>
      <c r="CU77" s="95">
        <v>76</v>
      </c>
      <c r="CV77" s="95">
        <f si="109" t="shared"/>
        <v>4</v>
      </c>
      <c r="CW77" s="95">
        <f si="103" t="shared"/>
        <v>16</v>
      </c>
      <c r="CX77" s="58">
        <f si="104" t="shared"/>
        <v>20.983253749411528</v>
      </c>
      <c r="CY77" s="58">
        <f si="105" t="shared"/>
        <v>39.999999999999993</v>
      </c>
      <c r="CZ77" s="108">
        <f si="106" t="shared"/>
        <v>19.016746250588465</v>
      </c>
      <c r="DA77" s="78">
        <f si="107" t="shared"/>
        <v>0.90628205128205086</v>
      </c>
    </row>
    <row ht="15.75" r="78" spans="2:106" thickBot="1" x14ac:dyDescent="0.3">
      <c r="B78" s="1" t="s">
        <v>3</v>
      </c>
      <c r="C78" s="106">
        <f ref="C78:X78" si="119" t="shared">IF($X$51&gt;0,C51/$X$51,0)</f>
        <v>5.3995007679162418E-2</v>
      </c>
      <c r="D78" s="106">
        <f si="119" t="shared"/>
        <v>4.507145832296798E-2</v>
      </c>
      <c r="E78" s="106">
        <f si="119" t="shared"/>
        <v>2.9412002035418362E-2</v>
      </c>
      <c r="F78" s="106">
        <f si="119" t="shared"/>
        <v>2.0250499581633722E-2</v>
      </c>
      <c r="G78" s="106">
        <f si="119" t="shared"/>
        <v>2.6402383062953429E-2</v>
      </c>
      <c r="H78" s="106">
        <f si="119" t="shared"/>
        <v>0.11345476536441117</v>
      </c>
      <c r="I78" s="106">
        <f si="119" t="shared"/>
        <v>9.6555823580434699E-2</v>
      </c>
      <c r="J78" s="106">
        <f si="119" t="shared"/>
        <v>5.6158973250855877E-3</v>
      </c>
      <c r="K78" s="106">
        <f si="119" t="shared"/>
        <v>5.8972434470470896E-2</v>
      </c>
      <c r="L78" s="106">
        <f si="119" t="shared"/>
        <v>2.2475627922155503E-2</v>
      </c>
      <c r="M78" s="106">
        <f si="119" t="shared"/>
        <v>6.2888265581251546E-2</v>
      </c>
      <c r="N78" s="106">
        <f si="119" t="shared"/>
        <v>0.16559333939973583</v>
      </c>
      <c r="O78" s="106">
        <f si="119" t="shared"/>
        <v>0.1124204918639559</v>
      </c>
      <c r="P78" s="106">
        <f si="119" t="shared"/>
        <v>1.6724855537575033E-2</v>
      </c>
      <c r="Q78" s="106">
        <f si="119" t="shared"/>
        <v>4.3484514919541466E-2</v>
      </c>
      <c r="R78" s="106">
        <f si="119" t="shared"/>
        <v>6.0068740657777796E-3</v>
      </c>
      <c r="S78" s="106">
        <f si="119" t="shared"/>
        <v>1.8456334488550542E-2</v>
      </c>
      <c r="T78" s="106">
        <f si="119" t="shared"/>
        <v>2.9005282371488562E-2</v>
      </c>
      <c r="U78" s="106">
        <f si="119" t="shared"/>
        <v>4.2314533998219168E-2</v>
      </c>
      <c r="V78" s="106">
        <f si="119" t="shared"/>
        <v>3.0899608429210572E-2</v>
      </c>
      <c r="W78" s="106">
        <f si="119" t="shared"/>
        <v>0</v>
      </c>
      <c r="X78" s="106">
        <f si="119" t="shared"/>
        <v>1</v>
      </c>
      <c r="Y78" s="95"/>
      <c r="Z78" s="1" t="s">
        <v>3</v>
      </c>
      <c r="AA78" s="106">
        <f si="69" t="shared"/>
        <v>5.4958817012667985E-2</v>
      </c>
      <c r="AB78" s="106">
        <f si="70" t="shared"/>
        <v>4.5975627378257312E-2</v>
      </c>
      <c r="AC78" s="106">
        <f si="71" t="shared"/>
        <v>2.9020760078994269E-2</v>
      </c>
      <c r="AD78" s="106">
        <f si="72" t="shared"/>
        <v>2.1097249650787533E-2</v>
      </c>
      <c r="AE78" s="106">
        <f si="73" t="shared"/>
        <v>2.6178893116901882E-2</v>
      </c>
      <c r="AF78" s="106">
        <f si="74" t="shared"/>
        <v>0.11574586965945764</v>
      </c>
      <c r="AG78" s="106">
        <f si="75" t="shared"/>
        <v>9.4239198497182222E-2</v>
      </c>
      <c r="AH78" s="106">
        <f si="76" t="shared"/>
        <v>5.5392322142478684E-3</v>
      </c>
      <c r="AI78" s="106">
        <f si="77" t="shared"/>
        <v>5.6524252203651086E-2</v>
      </c>
      <c r="AJ78" s="106">
        <f si="78" t="shared"/>
        <v>2.157892201724387E-2</v>
      </c>
      <c r="AK78" s="106">
        <f si="79" t="shared"/>
        <v>6.1389143104860072E-2</v>
      </c>
      <c r="AL78" s="106">
        <f si="80" t="shared"/>
        <v>0.17891720052020615</v>
      </c>
      <c r="AM78" s="106">
        <f si="81" t="shared"/>
        <v>0.11047155724676075</v>
      </c>
      <c r="AN78" s="106">
        <f si="82" t="shared"/>
        <v>1.6569529406097974E-2</v>
      </c>
      <c r="AO78" s="106">
        <f si="83" t="shared"/>
        <v>4.1905495881701268E-2</v>
      </c>
      <c r="AP78" s="106">
        <f si="84" t="shared"/>
        <v>5.4910649776022348E-3</v>
      </c>
      <c r="AQ78" s="106">
        <f si="85" t="shared"/>
        <v>1.6786281971003323E-2</v>
      </c>
      <c r="AR78" s="106">
        <f si="86" t="shared"/>
        <v>2.5456384567217379E-2</v>
      </c>
      <c r="AS78" s="106">
        <f si="87" t="shared"/>
        <v>4.0243726217426903E-2</v>
      </c>
      <c r="AT78" s="106">
        <f si="88" t="shared"/>
        <v>3.1910794277732288E-2</v>
      </c>
      <c r="AU78" s="106">
        <f si="89" t="shared"/>
        <v>0</v>
      </c>
      <c r="AV78" s="106">
        <f si="90" t="shared"/>
        <v>1</v>
      </c>
      <c r="CU78" s="95">
        <v>77</v>
      </c>
      <c r="CV78" s="95">
        <f si="109" t="shared"/>
        <v>4</v>
      </c>
      <c r="CW78" s="95">
        <f si="103" t="shared"/>
        <v>17</v>
      </c>
      <c r="CX78" s="58">
        <f si="104" t="shared"/>
        <v>20.108951509852712</v>
      </c>
      <c r="CY78" s="58">
        <f si="105" t="shared"/>
        <v>39.999999999999993</v>
      </c>
      <c r="CZ78" s="108">
        <f si="106" t="shared"/>
        <v>19.891048490147281</v>
      </c>
      <c r="DA78" s="78">
        <f si="107" t="shared"/>
        <v>0.98916387959866203</v>
      </c>
    </row>
    <row r="79" spans="2:106" x14ac:dyDescent="0.25"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CU79" s="95">
        <v>78</v>
      </c>
      <c r="CV79" s="95">
        <f si="109" t="shared"/>
        <v>4</v>
      </c>
      <c r="CW79" s="95">
        <f si="103" t="shared"/>
        <v>18</v>
      </c>
      <c r="CX79" s="58">
        <f si="104" t="shared"/>
        <v>25.354764947205595</v>
      </c>
      <c r="CY79" s="58">
        <f si="105" t="shared"/>
        <v>19.999999999999996</v>
      </c>
      <c r="CZ79" s="108">
        <f si="106" t="shared"/>
        <v>-5.3547649472055987</v>
      </c>
      <c r="DA79" s="78">
        <f si="107" t="shared"/>
        <v>-0.21119363395225477</v>
      </c>
    </row>
    <row r="80" spans="2:106" x14ac:dyDescent="0.25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CU80" s="95">
        <v>79</v>
      </c>
      <c r="CV80" s="95">
        <f si="109" t="shared"/>
        <v>4</v>
      </c>
      <c r="CW80" s="95">
        <f si="103" t="shared"/>
        <v>19</v>
      </c>
      <c r="CX80" s="58">
        <f si="104" t="shared"/>
        <v>30.600578384558478</v>
      </c>
      <c r="CY80" s="58">
        <f si="105" t="shared"/>
        <v>59.999999999999993</v>
      </c>
      <c r="CZ80" s="108">
        <f si="106" t="shared"/>
        <v>29.399421615441515</v>
      </c>
      <c r="DA80" s="78">
        <f si="107" t="shared"/>
        <v>0.96074725274725248</v>
      </c>
    </row>
    <row r="81" spans="2:105" x14ac:dyDescent="0.25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CU81" s="95">
        <v>80</v>
      </c>
      <c r="CV81" s="95">
        <f si="109" t="shared"/>
        <v>4</v>
      </c>
      <c r="CW81" s="95">
        <f si="103" t="shared"/>
        <v>20</v>
      </c>
      <c r="CX81" s="58">
        <f si="104" t="shared"/>
        <v>3.4972089582352548</v>
      </c>
      <c r="CY81" s="58">
        <f si="105" t="shared"/>
        <v>0</v>
      </c>
      <c r="CZ81" s="108">
        <f si="106" t="shared"/>
        <v>-3.4972089582352548</v>
      </c>
      <c r="DA81" s="78">
        <f si="107" t="shared"/>
        <v>-1</v>
      </c>
    </row>
    <row ht="15.75" r="82" spans="2:105" thickBot="1" x14ac:dyDescent="0.3"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23" t="s">
        <v>434</v>
      </c>
      <c r="AA82" s="24"/>
      <c r="AB82" s="24"/>
      <c r="AC82" s="24"/>
      <c r="AD82" s="24"/>
      <c r="AE82" s="24"/>
      <c r="AF82" s="24"/>
      <c r="AG82" s="24"/>
      <c r="AH82" s="24"/>
      <c r="AI82" s="24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CU82" s="95">
        <v>81</v>
      </c>
      <c r="CV82" s="95">
        <f si="109" t="shared"/>
        <v>5</v>
      </c>
      <c r="CW82" s="95">
        <f si="103" t="shared"/>
        <v>1</v>
      </c>
      <c r="CX82" s="58">
        <f si="104" t="shared"/>
        <v>1594.7656503932913</v>
      </c>
      <c r="CY82" s="58">
        <f si="105" t="shared"/>
        <v>1360</v>
      </c>
      <c r="CZ82" s="108">
        <f si="106" t="shared"/>
        <v>-234.76565039329125</v>
      </c>
      <c r="DA82" s="78">
        <f si="107" t="shared"/>
        <v>-0.1472101247825314</v>
      </c>
    </row>
    <row r="83" spans="2:105" x14ac:dyDescent="0.25"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2" t="s">
        <v>14</v>
      </c>
      <c r="AA83" s="2">
        <v>1</v>
      </c>
      <c r="AB83" s="2">
        <v>2</v>
      </c>
      <c r="AC83" s="2">
        <v>3</v>
      </c>
      <c r="AD83" s="2">
        <v>4</v>
      </c>
      <c r="AE83" s="2">
        <v>5</v>
      </c>
      <c r="AF83" s="2">
        <v>6</v>
      </c>
      <c r="AG83" s="2">
        <v>7</v>
      </c>
      <c r="AH83" s="2">
        <v>8</v>
      </c>
      <c r="AI83" s="2">
        <v>9</v>
      </c>
      <c r="AJ83" s="2">
        <v>10</v>
      </c>
      <c r="AK83" s="2">
        <v>11</v>
      </c>
      <c r="AL83" s="2">
        <v>12</v>
      </c>
      <c r="AM83" s="2">
        <v>13</v>
      </c>
      <c r="AN83" s="2">
        <v>14</v>
      </c>
      <c r="AO83" s="2">
        <v>15</v>
      </c>
      <c r="AP83" s="2">
        <v>16</v>
      </c>
      <c r="AQ83" s="2">
        <v>17</v>
      </c>
      <c r="AR83" s="2">
        <v>18</v>
      </c>
      <c r="AS83" s="2">
        <v>19</v>
      </c>
      <c r="AT83" s="2">
        <v>20</v>
      </c>
      <c r="AU83" s="3" t="s">
        <v>15</v>
      </c>
      <c r="AV83" s="3" t="s">
        <v>3</v>
      </c>
      <c r="CU83" s="95">
        <v>82</v>
      </c>
      <c r="CV83" s="95">
        <f si="109" t="shared"/>
        <v>5</v>
      </c>
      <c r="CW83" s="95">
        <f si="103" t="shared"/>
        <v>2</v>
      </c>
      <c r="CX83" s="58">
        <f si="104" t="shared"/>
        <v>517.87817720860687</v>
      </c>
      <c r="CY83" s="58">
        <f si="105" t="shared"/>
        <v>900</v>
      </c>
      <c r="CZ83" s="108">
        <f si="106" t="shared"/>
        <v>382.12182279139313</v>
      </c>
      <c r="DA83" s="78">
        <f si="107" t="shared"/>
        <v>0.73786044596636935</v>
      </c>
    </row>
    <row r="84" spans="2:105" x14ac:dyDescent="0.25"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31">
        <v>1</v>
      </c>
      <c r="AA84" s="103">
        <f ref="AA84:AA100" si="120" t="shared">AA57-C57</f>
        <v>-2.1916337503735464E-3</v>
      </c>
      <c r="AB84" s="103">
        <f ref="AB84:AV96" si="121" t="shared">AB57-D57</f>
        <v>5.2808294805180267E-5</v>
      </c>
      <c r="AC84" s="103">
        <f si="121" t="shared"/>
        <v>2.4520792841835104E-4</v>
      </c>
      <c r="AD84" s="103">
        <f si="121" t="shared"/>
        <v>4.8630577367925334E-4</v>
      </c>
      <c r="AE84" s="103">
        <f si="121" t="shared"/>
        <v>1.6451349978541718E-4</v>
      </c>
      <c r="AF84" s="103">
        <f si="121" t="shared"/>
        <v>1.3873933050491268E-3</v>
      </c>
      <c r="AG84" s="103">
        <f si="121" t="shared"/>
        <v>-2.7578413156509015E-4</v>
      </c>
      <c r="AH84" s="103">
        <f si="121" t="shared"/>
        <v>1.9346158361736648E-5</v>
      </c>
      <c r="AI84" s="103">
        <f si="121" t="shared"/>
        <v>-4.2383128553617191E-5</v>
      </c>
      <c r="AJ84" s="103">
        <f si="121" t="shared"/>
        <v>7.7511638994998784E-5</v>
      </c>
      <c r="AK84" s="103">
        <f si="121" t="shared"/>
        <v>1.3337571789006183E-4</v>
      </c>
      <c r="AL84" s="103">
        <f si="121" t="shared"/>
        <v>-5.9539588851949352E-6</v>
      </c>
      <c r="AM84" s="103">
        <f si="121" t="shared"/>
        <v>-9.0176999491723786E-5</v>
      </c>
      <c r="AN84" s="103">
        <f si="121" t="shared"/>
        <v>-4.1247729557776875E-5</v>
      </c>
      <c r="AO84" s="103">
        <f si="121" t="shared"/>
        <v>3.0106435637678437E-5</v>
      </c>
      <c r="AP84" s="103">
        <f si="121" t="shared"/>
        <v>6.059388791951353E-5</v>
      </c>
      <c r="AQ84" s="103">
        <f si="121" t="shared"/>
        <v>5.2531330899186824E-6</v>
      </c>
      <c r="AR84" s="103">
        <f si="121" t="shared"/>
        <v>3.6383264048644488E-5</v>
      </c>
      <c r="AS84" s="103">
        <f si="121" t="shared"/>
        <v>-3.8168992658005129E-5</v>
      </c>
      <c r="AT84" s="103">
        <f si="121" t="shared"/>
        <v>-1.3450346594927241E-5</v>
      </c>
      <c r="AU84" s="103">
        <f si="121" t="shared"/>
        <v>0</v>
      </c>
      <c r="AV84" s="103">
        <f si="121" t="shared"/>
        <v>0</v>
      </c>
      <c r="CU84" s="95">
        <v>83</v>
      </c>
      <c r="CV84" s="95">
        <f si="109" t="shared"/>
        <v>5</v>
      </c>
      <c r="CW84" s="95">
        <f si="103" t="shared"/>
        <v>3</v>
      </c>
      <c r="CX84" s="58">
        <f si="104" t="shared"/>
        <v>558.07449782227138</v>
      </c>
      <c r="CY84" s="58">
        <f si="105" t="shared"/>
        <v>620</v>
      </c>
      <c r="CZ84" s="108">
        <f si="106" t="shared"/>
        <v>61.925502177728617</v>
      </c>
      <c r="DA84" s="78">
        <f si="107" t="shared"/>
        <v>0.11096278797790519</v>
      </c>
    </row>
    <row r="85" spans="2:105" x14ac:dyDescent="0.25"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>
        <v>2</v>
      </c>
      <c r="AA85" s="104">
        <f si="120" t="shared"/>
        <v>3.9852668694307096E-4</v>
      </c>
      <c r="AB85" s="104">
        <f si="121" t="shared"/>
        <v>-2.8000200694780278E-3</v>
      </c>
      <c r="AC85" s="104">
        <f si="121" t="shared"/>
        <v>9.9475070102782214E-5</v>
      </c>
      <c r="AD85" s="104">
        <f si="121" t="shared"/>
        <v>2.125414491183494E-4</v>
      </c>
      <c r="AE85" s="104">
        <f si="121" t="shared"/>
        <v>6.9624107265169413E-5</v>
      </c>
      <c r="AF85" s="104">
        <f si="121" t="shared"/>
        <v>8.3093315842235971E-4</v>
      </c>
      <c r="AG85" s="104">
        <f si="121" t="shared"/>
        <v>-7.007800731077601E-5</v>
      </c>
      <c r="AH85" s="104">
        <f si="121" t="shared"/>
        <v>-2.3148902325934338E-5</v>
      </c>
      <c r="AI85" s="104">
        <f si="121" t="shared"/>
        <v>2.295535249516624E-4</v>
      </c>
      <c r="AJ85" s="104">
        <f si="121" t="shared"/>
        <v>-5.2196058344238471E-5</v>
      </c>
      <c r="AK85" s="104">
        <f si="121" t="shared"/>
        <v>8.9809813066955282E-5</v>
      </c>
      <c r="AL85" s="104">
        <f si="121" t="shared"/>
        <v>6.6224995414202576E-4</v>
      </c>
      <c r="AM85" s="104">
        <f si="121" t="shared"/>
        <v>9.4254607853177944E-5</v>
      </c>
      <c r="AN85" s="104">
        <f si="121" t="shared"/>
        <v>1.1950662117209793E-5</v>
      </c>
      <c r="AO85" s="104">
        <f si="121" t="shared"/>
        <v>1.620374224805095E-4</v>
      </c>
      <c r="AP85" s="104">
        <f si="121" t="shared"/>
        <v>2.8733952752333039E-5</v>
      </c>
      <c r="AQ85" s="104">
        <f si="121" t="shared"/>
        <v>2.8836722573979823E-6</v>
      </c>
      <c r="AR85" s="104">
        <f si="121" t="shared"/>
        <v>3.5150949353967496E-5</v>
      </c>
      <c r="AS85" s="104">
        <f si="121" t="shared"/>
        <v>2.7434648578656055E-5</v>
      </c>
      <c r="AT85" s="104">
        <f si="121" t="shared"/>
        <v>-9.7166419466503034E-6</v>
      </c>
      <c r="AU85" s="104">
        <f si="121" t="shared"/>
        <v>0</v>
      </c>
      <c r="AV85" s="104">
        <f si="121" t="shared"/>
        <v>0</v>
      </c>
      <c r="CU85" s="95">
        <v>84</v>
      </c>
      <c r="CV85" s="95">
        <f si="109" t="shared"/>
        <v>5</v>
      </c>
      <c r="CW85" s="95">
        <f si="103" t="shared"/>
        <v>4</v>
      </c>
      <c r="CX85" s="58">
        <f si="104" t="shared"/>
        <v>731.01215627640897</v>
      </c>
      <c r="CY85" s="58">
        <f si="105" t="shared"/>
        <v>560</v>
      </c>
      <c r="CZ85" s="108">
        <f si="106" t="shared"/>
        <v>-171.01215627640897</v>
      </c>
      <c r="DA85" s="78">
        <f si="107" t="shared"/>
        <v>-0.23393886792184365</v>
      </c>
    </row>
    <row r="86" spans="2:105" x14ac:dyDescent="0.25"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>
        <v>3</v>
      </c>
      <c r="AA86" s="104">
        <f si="120" t="shared"/>
        <v>8.5013833537195705E-4</v>
      </c>
      <c r="AB86" s="104">
        <f si="121" t="shared"/>
        <v>1.1400670962612375E-4</v>
      </c>
      <c r="AC86" s="104">
        <f si="121" t="shared"/>
        <v>-4.2291676609481285E-3</v>
      </c>
      <c r="AD86" s="104">
        <f si="121" t="shared"/>
        <v>1.3747597259709506E-4</v>
      </c>
      <c r="AE86" s="104">
        <f si="121" t="shared"/>
        <v>-2.7068065230377754E-4</v>
      </c>
      <c r="AF86" s="104">
        <f si="121" t="shared"/>
        <v>1.5134339453699991E-3</v>
      </c>
      <c r="AG86" s="104">
        <f si="121" t="shared"/>
        <v>5.2031074850216212E-5</v>
      </c>
      <c r="AH86" s="104">
        <f si="121" t="shared"/>
        <v>-1.1574378669017618E-4</v>
      </c>
      <c r="AI86" s="104">
        <f si="121" t="shared"/>
        <v>-4.7363941636510785E-4</v>
      </c>
      <c r="AJ86" s="104">
        <f si="121" t="shared"/>
        <v>-2.3827721548163802E-4</v>
      </c>
      <c r="AK86" s="104">
        <f si="121" t="shared"/>
        <v>7.5759471385401008E-4</v>
      </c>
      <c r="AL86" s="104">
        <f si="121" t="shared"/>
        <v>1.2113634156417042E-3</v>
      </c>
      <c r="AM86" s="104">
        <f si="121" t="shared"/>
        <v>4.1937368738901313E-5</v>
      </c>
      <c r="AN86" s="104">
        <f si="121" t="shared"/>
        <v>-4.796731729043596E-5</v>
      </c>
      <c r="AO86" s="104">
        <f si="121" t="shared"/>
        <v>1.4257169482846836E-4</v>
      </c>
      <c r="AP86" s="104">
        <f si="121" t="shared"/>
        <v>1.0573385630865766E-4</v>
      </c>
      <c r="AQ86" s="104">
        <f si="121" t="shared"/>
        <v>7.5965546987409626E-5</v>
      </c>
      <c r="AR86" s="104">
        <f si="121" t="shared"/>
        <v>7.8055497580000285E-5</v>
      </c>
      <c r="AS86" s="104">
        <f si="121" t="shared"/>
        <v>3.2379129167206132E-4</v>
      </c>
      <c r="AT86" s="104">
        <f si="121" t="shared"/>
        <v>-2.862337434735391E-5</v>
      </c>
      <c r="AU86" s="104">
        <f si="121" t="shared"/>
        <v>0</v>
      </c>
      <c r="AV86" s="104">
        <f si="121" t="shared"/>
        <v>0</v>
      </c>
      <c r="CU86" s="95">
        <v>85</v>
      </c>
      <c r="CV86" s="95">
        <f si="109" t="shared"/>
        <v>5</v>
      </c>
      <c r="CW86" s="95">
        <f si="103" t="shared"/>
        <v>5</v>
      </c>
      <c r="CX86" s="58">
        <f si="104" t="shared"/>
        <v>3160.5525580185918</v>
      </c>
      <c r="CY86" s="58">
        <f si="105" t="shared"/>
        <v>1680</v>
      </c>
      <c r="CZ86" s="108">
        <f si="106" t="shared"/>
        <v>-1480.5525580185918</v>
      </c>
      <c r="DA86" s="78">
        <f si="107" t="shared"/>
        <v>-0.46844737774168743</v>
      </c>
    </row>
    <row r="87" spans="2:105" x14ac:dyDescent="0.25"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>
        <v>4</v>
      </c>
      <c r="AA87" s="104">
        <f si="120" t="shared"/>
        <v>7.4661808352908892E-4</v>
      </c>
      <c r="AB87" s="104">
        <f si="121" t="shared"/>
        <v>-1.2540359011416029E-4</v>
      </c>
      <c r="AC87" s="104">
        <f si="121" t="shared"/>
        <v>-1.4461347062452463E-4</v>
      </c>
      <c r="AD87" s="104">
        <f si="121" t="shared"/>
        <v>-2.1033766340777154E-3</v>
      </c>
      <c r="AE87" s="104">
        <f si="121" t="shared"/>
        <v>-2.7568770084549638E-4</v>
      </c>
      <c r="AF87" s="104">
        <f si="121" t="shared"/>
        <v>1.2560767484808126E-3</v>
      </c>
      <c r="AG87" s="104">
        <f si="121" t="shared"/>
        <v>-2.0029134942248195E-4</v>
      </c>
      <c r="AH87" s="104">
        <f si="121" t="shared"/>
        <v>-1.338326135691296E-4</v>
      </c>
      <c r="AI87" s="104">
        <f si="121" t="shared"/>
        <v>2.1991749800124102E-4</v>
      </c>
      <c r="AJ87" s="104">
        <f si="121" t="shared"/>
        <v>-5.119935269246533E-6</v>
      </c>
      <c r="AK87" s="104">
        <f si="121" t="shared"/>
        <v>1.5977891001900488E-4</v>
      </c>
      <c r="AL87" s="104">
        <f si="121" t="shared"/>
        <v>6.0882363456971067E-4</v>
      </c>
      <c r="AM87" s="104">
        <f si="121" t="shared"/>
        <v>-5.1981677505828243E-5</v>
      </c>
      <c r="AN87" s="104">
        <f si="121" t="shared"/>
        <v>-5.3952876880289796E-6</v>
      </c>
      <c r="AO87" s="104">
        <f si="121" t="shared"/>
        <v>-1.7107483806953495E-5</v>
      </c>
      <c r="AP87" s="104">
        <f si="121" t="shared"/>
        <v>2.2899602922051517E-5</v>
      </c>
      <c r="AQ87" s="104">
        <f si="121" t="shared"/>
        <v>2.3952420993867443E-5</v>
      </c>
      <c r="AR87" s="104">
        <f si="121" t="shared"/>
        <v>-6.4481057598449022E-6</v>
      </c>
      <c r="AS87" s="104">
        <f si="121" t="shared"/>
        <v>3.5402222454893208E-5</v>
      </c>
      <c r="AT87" s="104">
        <f si="121" t="shared"/>
        <v>-4.2112722872636862E-6</v>
      </c>
      <c r="AU87" s="104">
        <f si="121" t="shared"/>
        <v>0</v>
      </c>
      <c r="AV87" s="104">
        <f si="121" t="shared"/>
        <v>0</v>
      </c>
      <c r="CU87" s="95">
        <v>86</v>
      </c>
      <c r="CV87" s="95">
        <f si="109" t="shared"/>
        <v>5</v>
      </c>
      <c r="CW87" s="95">
        <f si="103" t="shared"/>
        <v>6</v>
      </c>
      <c r="CX87" s="58">
        <f si="104" t="shared"/>
        <v>3764.432165377365</v>
      </c>
      <c r="CY87" s="58">
        <f si="105" t="shared"/>
        <v>5040</v>
      </c>
      <c r="CZ87" s="108">
        <f si="106" t="shared"/>
        <v>1275.567834622635</v>
      </c>
      <c r="DA87" s="78">
        <f si="107" t="shared"/>
        <v>0.33884734233078306</v>
      </c>
    </row>
    <row r="88" spans="2:105" x14ac:dyDescent="0.25"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>
        <v>5</v>
      </c>
      <c r="AA88" s="104">
        <f si="120" t="shared"/>
        <v>-2.8270031596899412E-4</v>
      </c>
      <c r="AB88" s="104">
        <f si="121" t="shared"/>
        <v>4.6014380664634769E-4</v>
      </c>
      <c r="AC88" s="104">
        <f si="121" t="shared"/>
        <v>7.4569507944858833E-5</v>
      </c>
      <c r="AD88" s="104">
        <f si="121" t="shared"/>
        <v>-2.0592957501614699E-4</v>
      </c>
      <c r="AE88" s="104">
        <f si="121" t="shared"/>
        <v>-1.782853135709494E-3</v>
      </c>
      <c r="AF88" s="104">
        <f si="121" t="shared"/>
        <v>1.5360144436956727E-3</v>
      </c>
      <c r="AG88" s="104">
        <f si="121" t="shared"/>
        <v>-5.1893363643508276E-5</v>
      </c>
      <c r="AH88" s="104">
        <f si="121" t="shared"/>
        <v>-8.1965400355766245E-5</v>
      </c>
      <c r="AI88" s="104">
        <f si="121" t="shared"/>
        <v>1.2459980808942971E-4</v>
      </c>
      <c r="AJ88" s="104">
        <f si="121" t="shared"/>
        <v>-1.4813233536046047E-4</v>
      </c>
      <c r="AK88" s="104">
        <f si="121" t="shared"/>
        <v>5.5489545876330666E-5</v>
      </c>
      <c r="AL88" s="104">
        <f si="121" t="shared"/>
        <v>2.2216640824932127E-4</v>
      </c>
      <c r="AM88" s="104">
        <f si="121" t="shared"/>
        <v>7.1778043895610904E-5</v>
      </c>
      <c r="AN88" s="104">
        <f si="121" t="shared"/>
        <v>5.7617195704108722E-5</v>
      </c>
      <c r="AO88" s="104">
        <f si="121" t="shared"/>
        <v>4.7486200828795216E-5</v>
      </c>
      <c r="AP88" s="104">
        <f si="121" t="shared"/>
        <v>-4.0996790574093574E-5</v>
      </c>
      <c r="AQ88" s="104">
        <f si="121" t="shared"/>
        <v>3.8216285721898081E-6</v>
      </c>
      <c r="AR88" s="104">
        <f si="121" t="shared"/>
        <v>-1.8010657556112898E-5</v>
      </c>
      <c r="AS88" s="104">
        <f si="121" t="shared"/>
        <v>-3.2199686540035997E-5</v>
      </c>
      <c r="AT88" s="104">
        <f si="121" t="shared"/>
        <v>-9.0053287780564488E-6</v>
      </c>
      <c r="AU88" s="104">
        <f si="121" t="shared"/>
        <v>0</v>
      </c>
      <c r="AV88" s="104">
        <f si="121" t="shared"/>
        <v>0</v>
      </c>
      <c r="CU88" s="95">
        <v>87</v>
      </c>
      <c r="CV88" s="95">
        <f si="109" t="shared"/>
        <v>5</v>
      </c>
      <c r="CW88" s="95">
        <f si="103" t="shared"/>
        <v>7</v>
      </c>
      <c r="CX88" s="58">
        <f si="104" t="shared"/>
        <v>443.09432490411496</v>
      </c>
      <c r="CY88" s="58">
        <f si="105" t="shared"/>
        <v>400</v>
      </c>
      <c r="CZ88" s="108">
        <f si="106" t="shared"/>
        <v>-43.094324904114956</v>
      </c>
      <c r="DA88" s="78">
        <f si="107" t="shared"/>
        <v>-9.7257677388308941E-2</v>
      </c>
    </row>
    <row r="89" spans="2:105" x14ac:dyDescent="0.25"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>
        <v>6</v>
      </c>
      <c r="AA89" s="104">
        <f si="120" t="shared"/>
        <v>3.1145781555232338E-4</v>
      </c>
      <c r="AB89" s="104">
        <f si="121" t="shared"/>
        <v>2.9951137117370562E-4</v>
      </c>
      <c r="AC89" s="104">
        <f si="121" t="shared"/>
        <v>-3.2152489041092371E-5</v>
      </c>
      <c r="AD89" s="104">
        <f si="121" t="shared"/>
        <v>-1.8592092266887838E-4</v>
      </c>
      <c r="AE89" s="104">
        <f si="121" t="shared"/>
        <v>5.9439829309849133E-4</v>
      </c>
      <c r="AF89" s="104">
        <f si="121" t="shared"/>
        <v>-3.2595890718081309E-3</v>
      </c>
      <c r="AG89" s="104">
        <f si="121" t="shared"/>
        <v>3.4946885137413777E-4</v>
      </c>
      <c r="AH89" s="104">
        <f si="121" t="shared"/>
        <v>8.1153350548120425E-5</v>
      </c>
      <c r="AI89" s="104">
        <f si="121" t="shared"/>
        <v>3.2084753307521892E-4</v>
      </c>
      <c r="AJ89" s="104">
        <f si="121" t="shared"/>
        <v>4.9253206823232404E-4</v>
      </c>
      <c r="AK89" s="104">
        <f si="121" t="shared"/>
        <v>2.7056266349586406E-4</v>
      </c>
      <c r="AL89" s="104">
        <f si="121" t="shared"/>
        <v>4.9020528636687516E-4</v>
      </c>
      <c r="AM89" s="104">
        <f si="121" t="shared"/>
        <v>-7.2331068337152095E-5</v>
      </c>
      <c r="AN89" s="104">
        <f si="121" t="shared"/>
        <v>-1.4075960774369978E-6</v>
      </c>
      <c r="AO89" s="104">
        <f si="121" t="shared"/>
        <v>3.3381239014979627E-5</v>
      </c>
      <c r="AP89" s="104">
        <f si="121" t="shared"/>
        <v>1.4258787837699186E-4</v>
      </c>
      <c r="AQ89" s="104">
        <f si="121" t="shared"/>
        <v>9.8279201852453913E-5</v>
      </c>
      <c r="AR89" s="104">
        <f si="121" t="shared"/>
        <v>3.3887474497451729E-5</v>
      </c>
      <c r="AS89" s="104">
        <f si="121" t="shared"/>
        <v>3.8789402584769162E-5</v>
      </c>
      <c r="AT89" s="104">
        <f si="121" t="shared"/>
        <v>-5.6612813110255592E-6</v>
      </c>
      <c r="AU89" s="104">
        <f si="121" t="shared"/>
        <v>0</v>
      </c>
      <c r="AV89" s="104">
        <f si="121" t="shared"/>
        <v>0</v>
      </c>
      <c r="CU89" s="95">
        <v>88</v>
      </c>
      <c r="CV89" s="95">
        <f si="109" t="shared"/>
        <v>5</v>
      </c>
      <c r="CW89" s="95">
        <f si="103" t="shared"/>
        <v>8</v>
      </c>
      <c r="CX89" s="58">
        <f si="104" t="shared"/>
        <v>128.0673470714425</v>
      </c>
      <c r="CY89" s="58">
        <f si="105" t="shared"/>
        <v>60</v>
      </c>
      <c r="CZ89" s="108">
        <f si="106" t="shared"/>
        <v>-68.067347071442498</v>
      </c>
      <c r="DA89" s="78">
        <f si="107" t="shared"/>
        <v>-0.53149650264458947</v>
      </c>
    </row>
    <row r="90" spans="2:105" x14ac:dyDescent="0.25"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>
        <v>7</v>
      </c>
      <c r="AA90" s="104">
        <f si="120" t="shared"/>
        <v>-2.4023122096005455E-4</v>
      </c>
      <c r="AB90" s="104">
        <f si="121" t="shared"/>
        <v>-3.8955562889784849E-4</v>
      </c>
      <c r="AC90" s="104">
        <f si="121" t="shared"/>
        <v>-7.433963837896896E-4</v>
      </c>
      <c r="AD90" s="104">
        <f si="121" t="shared"/>
        <v>5.5107181155325535E-6</v>
      </c>
      <c r="AE90" s="104">
        <f si="121" t="shared"/>
        <v>-8.9621990708637343E-4</v>
      </c>
      <c r="AF90" s="104">
        <f si="121" t="shared"/>
        <v>1.7029141414229461E-4</v>
      </c>
      <c r="AG90" s="104">
        <f si="121" t="shared"/>
        <v>-1.0527031971029922E-2</v>
      </c>
      <c r="AH90" s="104">
        <f si="121" t="shared"/>
        <v>-1.6505828409278453E-4</v>
      </c>
      <c r="AI90" s="104">
        <f si="121" t="shared"/>
        <v>1.6341575446294082E-3</v>
      </c>
      <c r="AJ90" s="104">
        <f si="121" t="shared"/>
        <v>-4.8941593206004567E-4</v>
      </c>
      <c r="AK90" s="104">
        <f si="121" t="shared"/>
        <v>-8.2476805888713153E-4</v>
      </c>
      <c r="AL90" s="104">
        <f si="121" t="shared"/>
        <v>8.1565724455719447E-3</v>
      </c>
      <c r="AM90" s="104">
        <f si="121" t="shared"/>
        <v>3.8293749711455927E-3</v>
      </c>
      <c r="AN90" s="104">
        <f si="121" t="shared"/>
        <v>3.6814297606066856E-5</v>
      </c>
      <c r="AO90" s="104">
        <f si="121" t="shared"/>
        <v>6.6097652838346195E-4</v>
      </c>
      <c r="AP90" s="104">
        <f si="121" t="shared"/>
        <v>8.1950408571917143E-5</v>
      </c>
      <c r="AQ90" s="104">
        <f si="121" t="shared"/>
        <v>1.6836456924658374E-5</v>
      </c>
      <c r="AR90" s="104">
        <f si="121" t="shared"/>
        <v>-4.7340786786784043E-5</v>
      </c>
      <c r="AS90" s="104">
        <f si="121" t="shared"/>
        <v>1.3226112051998673E-6</v>
      </c>
      <c r="AT90" s="104">
        <f si="121" t="shared"/>
        <v>-2.7078922270546021E-4</v>
      </c>
      <c r="AU90" s="104">
        <f si="121" t="shared"/>
        <v>0</v>
      </c>
      <c r="AV90" s="104">
        <f si="121" t="shared"/>
        <v>0</v>
      </c>
      <c r="CU90" s="95">
        <v>89</v>
      </c>
      <c r="CV90" s="95">
        <f si="109" t="shared"/>
        <v>5</v>
      </c>
      <c r="CW90" s="95">
        <f si="103" t="shared"/>
        <v>9</v>
      </c>
      <c r="CX90" s="58">
        <f si="104" t="shared"/>
        <v>336.5273353702139</v>
      </c>
      <c r="CY90" s="58">
        <f si="105" t="shared"/>
        <v>440</v>
      </c>
      <c r="CZ90" s="108">
        <f si="106" t="shared"/>
        <v>103.4726646297861</v>
      </c>
      <c r="DA90" s="78">
        <f si="107" t="shared"/>
        <v>0.30747179724926582</v>
      </c>
    </row>
    <row r="91" spans="2:105" x14ac:dyDescent="0.25"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>
        <v>8</v>
      </c>
      <c r="AA91" s="104">
        <f si="120" t="shared"/>
        <v>-1.7727687255110068E-5</v>
      </c>
      <c r="AB91" s="104">
        <f si="121" t="shared"/>
        <v>-6.0879098781047318E-5</v>
      </c>
      <c r="AC91" s="104">
        <f si="121" t="shared"/>
        <v>-4.6137933352933917E-6</v>
      </c>
      <c r="AD91" s="104">
        <f si="121" t="shared"/>
        <v>-4.3840608870628517E-5</v>
      </c>
      <c r="AE91" s="104">
        <f si="121" t="shared"/>
        <v>1.3914128614485896E-4</v>
      </c>
      <c r="AF91" s="104">
        <f si="121" t="shared"/>
        <v>-1.0514088380676496E-4</v>
      </c>
      <c r="AG91" s="104">
        <f si="121" t="shared"/>
        <v>-3.645088178588497E-5</v>
      </c>
      <c r="AH91" s="104">
        <f si="121" t="shared"/>
        <v>-2.996094012337706E-4</v>
      </c>
      <c r="AI91" s="104">
        <f si="121" t="shared"/>
        <v>1.3092835112062334E-4</v>
      </c>
      <c r="AJ91" s="104">
        <f si="121" t="shared"/>
        <v>4.2921679077706899E-5</v>
      </c>
      <c r="AK91" s="104">
        <f si="121" t="shared"/>
        <v>-7.2557164899426365E-6</v>
      </c>
      <c r="AL91" s="104">
        <f si="121" t="shared"/>
        <v>2.824369007285504E-4</v>
      </c>
      <c r="AM91" s="104">
        <f si="121" t="shared"/>
        <v>-3.4976765243073395E-5</v>
      </c>
      <c r="AN91" s="104">
        <f si="121" t="shared"/>
        <v>-1.4702876686743528E-5</v>
      </c>
      <c r="AO91" s="104">
        <f si="121" t="shared"/>
        <v>3.1281901700701655E-5</v>
      </c>
      <c r="AP91" s="104">
        <f si="121" t="shared"/>
        <v>2.0427043521816806E-5</v>
      </c>
      <c r="AQ91" s="104">
        <f si="121" t="shared"/>
        <v>2.2590357409319221E-6</v>
      </c>
      <c r="AR91" s="104">
        <f si="121" t="shared"/>
        <v>-9.6487628256754224E-6</v>
      </c>
      <c r="AS91" s="104">
        <f si="121" t="shared"/>
        <v>1.0778280696141383E-5</v>
      </c>
      <c r="AT91" s="104">
        <f si="121" t="shared"/>
        <v>-2.5328002417397979E-5</v>
      </c>
      <c r="AU91" s="104">
        <f si="121" t="shared"/>
        <v>0</v>
      </c>
      <c r="AV91" s="104">
        <f si="121" t="shared"/>
        <v>0</v>
      </c>
      <c r="CU91" s="95">
        <v>90</v>
      </c>
      <c r="CV91" s="95">
        <f si="109" t="shared"/>
        <v>5</v>
      </c>
      <c r="CW91" s="95">
        <f si="103" t="shared"/>
        <v>10</v>
      </c>
      <c r="CX91" s="58">
        <f si="104" t="shared"/>
        <v>903.01501657674066</v>
      </c>
      <c r="CY91" s="58">
        <f si="105" t="shared"/>
        <v>780</v>
      </c>
      <c r="CZ91" s="108">
        <f si="106" t="shared"/>
        <v>-123.01501657674066</v>
      </c>
      <c r="DA91" s="78">
        <f si="107" t="shared"/>
        <v>-0.13622698883024223</v>
      </c>
    </row>
    <row r="92" spans="2:105" x14ac:dyDescent="0.25"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>
        <v>9</v>
      </c>
      <c r="AA92" s="104">
        <f si="120" t="shared"/>
        <v>4.0160270081965321E-4</v>
      </c>
      <c r="AB92" s="104">
        <f si="121" t="shared"/>
        <v>1.0826799612858231E-3</v>
      </c>
      <c r="AC92" s="104">
        <f si="121" t="shared"/>
        <v>6.3684296965989045E-4</v>
      </c>
      <c r="AD92" s="104">
        <f si="121" t="shared"/>
        <v>8.8675401765718866E-5</v>
      </c>
      <c r="AE92" s="104">
        <f si="121" t="shared"/>
        <v>6.9039425614631617E-4</v>
      </c>
      <c r="AF92" s="104">
        <f si="121" t="shared"/>
        <v>1.2513560886371743E-3</v>
      </c>
      <c r="AG92" s="104">
        <f si="121" t="shared"/>
        <v>-2.981421803000036E-4</v>
      </c>
      <c r="AH92" s="104">
        <f si="121" t="shared"/>
        <v>4.0399710649525837E-4</v>
      </c>
      <c r="AI92" s="104">
        <f si="121" t="shared"/>
        <v>-7.939509564445061E-3</v>
      </c>
      <c r="AJ92" s="104">
        <f si="121" t="shared"/>
        <v>-4.5478574654557479E-4</v>
      </c>
      <c r="AK92" s="104">
        <f si="121" t="shared"/>
        <v>4.0467641821783241E-4</v>
      </c>
      <c r="AL92" s="104">
        <f si="121" t="shared"/>
        <v>2.165654178887119E-3</v>
      </c>
      <c r="AM92" s="104">
        <f si="121" t="shared"/>
        <v>7.7708552961342934E-4</v>
      </c>
      <c r="AN92" s="104">
        <f si="121" t="shared"/>
        <v>9.3240578317170948E-5</v>
      </c>
      <c r="AO92" s="104">
        <f si="121" t="shared"/>
        <v>5.4579838418846414E-4</v>
      </c>
      <c r="AP92" s="104">
        <f si="121" t="shared"/>
        <v>4.2793275592800922E-6</v>
      </c>
      <c r="AQ92" s="104">
        <f si="121" t="shared"/>
        <v>8.8574513886128728E-5</v>
      </c>
      <c r="AR92" s="104">
        <f si="121" t="shared"/>
        <v>-5.5530370391051141E-5</v>
      </c>
      <c r="AS92" s="104">
        <f si="121" t="shared"/>
        <v>7.698249652122644E-5</v>
      </c>
      <c r="AT92" s="104">
        <f si="121" t="shared"/>
        <v>3.6127949681215003E-5</v>
      </c>
      <c r="AU92" s="104">
        <f si="121" t="shared"/>
        <v>0</v>
      </c>
      <c r="AV92" s="104">
        <f si="121" t="shared"/>
        <v>0</v>
      </c>
      <c r="CU92" s="95">
        <v>91</v>
      </c>
      <c r="CV92" s="95">
        <f si="109" t="shared"/>
        <v>5</v>
      </c>
      <c r="CW92" s="95">
        <f si="103" t="shared"/>
        <v>11</v>
      </c>
      <c r="CX92" s="58">
        <f si="104" t="shared"/>
        <v>373.91926152245986</v>
      </c>
      <c r="CY92" s="58">
        <f si="105" t="shared"/>
        <v>420</v>
      </c>
      <c r="CZ92" s="108">
        <f si="106" t="shared"/>
        <v>46.080738477540137</v>
      </c>
      <c r="DA92" s="78">
        <f si="107" t="shared"/>
        <v>0.12323713490959665</v>
      </c>
    </row>
    <row r="93" spans="2:105" x14ac:dyDescent="0.25"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>
        <v>10</v>
      </c>
      <c r="AA93" s="104">
        <f si="120" t="shared"/>
        <v>-2.2395660844086495E-4</v>
      </c>
      <c r="AB93" s="104">
        <f si="121" t="shared"/>
        <v>5.6706426566293408E-4</v>
      </c>
      <c r="AC93" s="104">
        <f si="121" t="shared"/>
        <v>8.2259739156032713E-6</v>
      </c>
      <c r="AD93" s="104">
        <f si="121" t="shared"/>
        <v>2.3990777267621894E-4</v>
      </c>
      <c r="AE93" s="104">
        <f si="121" t="shared"/>
        <v>2.1052821698883161E-4</v>
      </c>
      <c r="AF93" s="104">
        <f si="121" t="shared"/>
        <v>-9.680984061124602E-4</v>
      </c>
      <c r="AG93" s="104">
        <f si="121" t="shared"/>
        <v>2.2742966334884593E-4</v>
      </c>
      <c r="AH93" s="104">
        <f si="121" t="shared"/>
        <v>2.2217671493753431E-4</v>
      </c>
      <c r="AI93" s="104">
        <f si="121" t="shared"/>
        <v>-1.6115502707547615E-4</v>
      </c>
      <c r="AJ93" s="104">
        <f si="121" t="shared"/>
        <v>-2.1016409301281205E-3</v>
      </c>
      <c r="AK93" s="104">
        <f si="121" t="shared"/>
        <v>-3.0916448475983027E-4</v>
      </c>
      <c r="AL93" s="104">
        <f si="121" t="shared"/>
        <v>2.1128384211636887E-3</v>
      </c>
      <c r="AM93" s="104">
        <f si="121" t="shared"/>
        <v>9.2578596322375275E-5</v>
      </c>
      <c r="AN93" s="104">
        <f si="121" t="shared"/>
        <v>1.5973035808064919E-5</v>
      </c>
      <c r="AO93" s="104">
        <f si="121" t="shared"/>
        <v>-8.6453047579134406E-6</v>
      </c>
      <c r="AP93" s="104">
        <f si="121" t="shared"/>
        <v>5.8309612845966561E-5</v>
      </c>
      <c r="AQ93" s="104">
        <f si="121" t="shared"/>
        <v>-9.0910323259084331E-5</v>
      </c>
      <c r="AR93" s="104">
        <f si="121" t="shared"/>
        <v>5.3317614922855194E-5</v>
      </c>
      <c r="AS93" s="104">
        <f si="121" t="shared"/>
        <v>5.9002715443238265E-5</v>
      </c>
      <c r="AT93" s="104">
        <f si="121" t="shared"/>
        <v>-3.7815195024145463E-6</v>
      </c>
      <c r="AU93" s="104">
        <f si="121" t="shared"/>
        <v>0</v>
      </c>
      <c r="AV93" s="104">
        <f si="121" t="shared"/>
        <v>0</v>
      </c>
      <c r="CU93" s="95">
        <v>92</v>
      </c>
      <c r="CV93" s="95">
        <f si="109" t="shared"/>
        <v>5</v>
      </c>
      <c r="CW93" s="95">
        <f si="103" t="shared"/>
        <v>12</v>
      </c>
      <c r="CX93" s="58">
        <f si="104" t="shared"/>
        <v>1555.5041279334332</v>
      </c>
      <c r="CY93" s="58">
        <f si="105" t="shared"/>
        <v>1740</v>
      </c>
      <c r="CZ93" s="108">
        <f si="106" t="shared"/>
        <v>184.49587206656679</v>
      </c>
      <c r="DA93" s="78">
        <f si="107" t="shared"/>
        <v>0.11860841045255148</v>
      </c>
    </row>
    <row r="94" spans="2:105" x14ac:dyDescent="0.25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>
        <v>11</v>
      </c>
      <c r="AA94" s="104">
        <f si="120" t="shared"/>
        <v>9.1302518680295812E-4</v>
      </c>
      <c r="AB94" s="104">
        <f si="121" t="shared"/>
        <v>8.6029513573631896E-4</v>
      </c>
      <c r="AC94" s="104">
        <f si="121" t="shared"/>
        <v>5.8468624488861726E-4</v>
      </c>
      <c r="AD94" s="104">
        <f si="121" t="shared"/>
        <v>-2.3217183645245568E-6</v>
      </c>
      <c r="AE94" s="104">
        <f si="121" t="shared"/>
        <v>-7.6978179719285359E-4</v>
      </c>
      <c r="AF94" s="104">
        <f si="121" t="shared"/>
        <v>4.6696236711292645E-4</v>
      </c>
      <c r="AG94" s="104">
        <f si="121" t="shared"/>
        <v>-4.7750041714900724E-4</v>
      </c>
      <c r="AH94" s="104">
        <f si="121" t="shared"/>
        <v>-2.7573339618417185E-4</v>
      </c>
      <c r="AI94" s="104">
        <f si="121" t="shared"/>
        <v>4.5365866575031687E-4</v>
      </c>
      <c r="AJ94" s="104">
        <f si="121" t="shared"/>
        <v>8.2017890400397473E-4</v>
      </c>
      <c r="AK94" s="104">
        <f si="121" t="shared"/>
        <v>-4.8819042492771296E-3</v>
      </c>
      <c r="AL94" s="104">
        <f si="121" t="shared"/>
        <v>1.6997682847511497E-3</v>
      </c>
      <c r="AM94" s="104">
        <f si="121" t="shared"/>
        <v>-1.7041412795608163E-4</v>
      </c>
      <c r="AN94" s="104">
        <f si="121" t="shared"/>
        <v>3.5453404827944228E-4</v>
      </c>
      <c r="AO94" s="104">
        <f si="121" t="shared"/>
        <v>4.8753738423256505E-4</v>
      </c>
      <c r="AP94" s="104">
        <f si="121" t="shared"/>
        <v>1.0855742751188578E-4</v>
      </c>
      <c r="AQ94" s="104">
        <f si="121" t="shared"/>
        <v>-3.2448948183918169E-4</v>
      </c>
      <c r="AR94" s="104">
        <f si="121" t="shared"/>
        <v>-1.1860664102198294E-5</v>
      </c>
      <c r="AS94" s="104">
        <f si="121" t="shared"/>
        <v>2.1445840100053643E-4</v>
      </c>
      <c r="AT94" s="104">
        <f si="121" t="shared"/>
        <v>-4.9656198005563714E-5</v>
      </c>
      <c r="AU94" s="104">
        <f si="121" t="shared"/>
        <v>0</v>
      </c>
      <c r="AV94" s="104">
        <f si="121" t="shared"/>
        <v>0</v>
      </c>
      <c r="CU94" s="95">
        <v>93</v>
      </c>
      <c r="CV94" s="95">
        <f si="109" t="shared"/>
        <v>5</v>
      </c>
      <c r="CW94" s="95">
        <f si="103" t="shared"/>
        <v>13</v>
      </c>
      <c r="CX94" s="58">
        <f si="104" t="shared"/>
        <v>80.392641227328866</v>
      </c>
      <c r="CY94" s="58">
        <f si="105" t="shared"/>
        <v>140</v>
      </c>
      <c r="CZ94" s="108">
        <f si="106" t="shared"/>
        <v>59.607358772671134</v>
      </c>
      <c r="DA94" s="78">
        <f si="107" t="shared"/>
        <v>0.74145292234046001</v>
      </c>
    </row>
    <row r="95" spans="2:105" x14ac:dyDescent="0.25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>
        <v>12</v>
      </c>
      <c r="AA95" s="104">
        <f si="120" t="shared"/>
        <v>-7.1515877471082893E-4</v>
      </c>
      <c r="AB95" s="104">
        <f si="121" t="shared"/>
        <v>1.4875737602204541E-3</v>
      </c>
      <c r="AC95" s="104">
        <f si="121" t="shared"/>
        <v>2.3002928119560248E-4</v>
      </c>
      <c r="AD95" s="104">
        <f si="121" t="shared"/>
        <v>1.0145878356030383E-3</v>
      </c>
      <c r="AE95" s="104">
        <f si="121" t="shared"/>
        <v>1.2144122312144419E-3</v>
      </c>
      <c r="AF95" s="104">
        <f si="121" t="shared"/>
        <v>-1.3879743226320462E-3</v>
      </c>
      <c r="AG95" s="104">
        <f si="121" t="shared"/>
        <v>3.0866632124406778E-3</v>
      </c>
      <c r="AH95" s="104">
        <f si="121" t="shared"/>
        <v>-5.0286434982495145E-5</v>
      </c>
      <c r="AI95" s="104">
        <f si="121" t="shared"/>
        <v>1.3801097100903108E-3</v>
      </c>
      <c r="AJ95" s="104">
        <f si="121" t="shared"/>
        <v>9.5892336700520442E-4</v>
      </c>
      <c r="AK95" s="104">
        <f si="121" t="shared"/>
        <v>6.9709835935071861E-5</v>
      </c>
      <c r="AL95" s="104">
        <f si="121" t="shared"/>
        <v>-8.7552916293240218E-3</v>
      </c>
      <c r="AM95" s="104">
        <f si="121" t="shared"/>
        <v>2.8921838619029622E-3</v>
      </c>
      <c r="AN95" s="104">
        <f si="121" t="shared"/>
        <v>4.890920843489207E-5</v>
      </c>
      <c r="AO95" s="104">
        <f si="121" t="shared"/>
        <v>2.2083340974627275E-4</v>
      </c>
      <c r="AP95" s="104">
        <f si="121" t="shared"/>
        <v>3.5609598457266305E-5</v>
      </c>
      <c r="AQ95" s="104">
        <f si="121" t="shared"/>
        <v>3.9503688494088568E-5</v>
      </c>
      <c r="AR95" s="104">
        <f si="121" t="shared"/>
        <v>-1.2333198932726868E-3</v>
      </c>
      <c r="AS95" s="104">
        <f si="121" t="shared"/>
        <v>7.5006569920441101E-5</v>
      </c>
      <c r="AT95" s="104">
        <f si="121" t="shared"/>
        <v>-6.1202451573865498E-4</v>
      </c>
      <c r="AU95" s="104">
        <f si="121" t="shared"/>
        <v>0</v>
      </c>
      <c r="AV95" s="104">
        <f si="121" t="shared"/>
        <v>0</v>
      </c>
      <c r="CU95" s="95">
        <v>94</v>
      </c>
      <c r="CV95" s="95">
        <f si="109" t="shared"/>
        <v>5</v>
      </c>
      <c r="CW95" s="95">
        <f si="103" t="shared"/>
        <v>14</v>
      </c>
      <c r="CX95" s="58">
        <f si="104" t="shared"/>
        <v>12.152375999479947</v>
      </c>
      <c r="CY95" s="58">
        <f si="105" t="shared"/>
        <v>60</v>
      </c>
      <c r="CZ95" s="108">
        <f si="106" t="shared"/>
        <v>47.847624000520057</v>
      </c>
      <c r="DA95" s="78">
        <f si="107" t="shared"/>
        <v>3.9373060875147101</v>
      </c>
    </row>
    <row r="96" spans="2:105" x14ac:dyDescent="0.25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>
        <v>13</v>
      </c>
      <c r="AA96" s="104">
        <f si="120" t="shared"/>
        <v>3.4558308925350845E-4</v>
      </c>
      <c r="AB96" s="104">
        <f si="121" t="shared"/>
        <v>5.9149405379993708E-4</v>
      </c>
      <c r="AC96" s="104">
        <f si="121" t="shared"/>
        <v>2.7106277233741654E-4</v>
      </c>
      <c r="AD96" s="104">
        <f si="121" t="shared"/>
        <v>2.2590047957934945E-4</v>
      </c>
      <c r="AE96" s="104">
        <f ref="AE96:AV105" si="122" t="shared">AE69-G69</f>
        <v>4.7766224922846329E-5</v>
      </c>
      <c r="AF96" s="104">
        <f si="122" t="shared"/>
        <v>-4.543330617512182E-6</v>
      </c>
      <c r="AG96" s="104">
        <f si="122" t="shared"/>
        <v>6.3893585583232569E-3</v>
      </c>
      <c r="AH96" s="104">
        <f si="122" t="shared"/>
        <v>2.3081970360294624E-5</v>
      </c>
      <c r="AI96" s="104">
        <f si="122" t="shared"/>
        <v>1.1273210703936745E-3</v>
      </c>
      <c r="AJ96" s="104">
        <f si="122" t="shared"/>
        <v>5.6491534935138217E-5</v>
      </c>
      <c r="AK96" s="104">
        <f si="122" t="shared"/>
        <v>8.6117487804651736E-5</v>
      </c>
      <c r="AL96" s="104">
        <f si="122" t="shared"/>
        <v>4.2115339587496855E-3</v>
      </c>
      <c r="AM96" s="104">
        <f si="122" t="shared"/>
        <v>-1.4967315270724202E-2</v>
      </c>
      <c r="AN96" s="104">
        <f si="122" t="shared"/>
        <v>1.6537987851075748E-5</v>
      </c>
      <c r="AO96" s="104">
        <f si="122" t="shared"/>
        <v>1.9069442655364178E-3</v>
      </c>
      <c r="AP96" s="104">
        <f si="122" t="shared"/>
        <v>4.5251308547081335E-5</v>
      </c>
      <c r="AQ96" s="104">
        <f si="122" t="shared"/>
        <v>-1.8452267987105853E-5</v>
      </c>
      <c r="AR96" s="104">
        <f si="122" t="shared"/>
        <v>-2.6930669352938754E-4</v>
      </c>
      <c r="AS96" s="104">
        <f si="122" t="shared"/>
        <v>3.2163343528643598E-5</v>
      </c>
      <c r="AT96" s="104">
        <f si="122" t="shared"/>
        <v>-1.1699054306481114E-4</v>
      </c>
      <c r="AU96" s="104">
        <f si="122" t="shared"/>
        <v>0</v>
      </c>
      <c r="AV96" s="104">
        <f si="122" t="shared"/>
        <v>0</v>
      </c>
      <c r="CU96" s="95">
        <v>95</v>
      </c>
      <c r="CV96" s="95">
        <f si="109" t="shared"/>
        <v>5</v>
      </c>
      <c r="CW96" s="95">
        <f si="103" t="shared"/>
        <v>15</v>
      </c>
      <c r="CX96" s="58">
        <f si="104" t="shared"/>
        <v>20.565559383735291</v>
      </c>
      <c r="CY96" s="58">
        <f si="105" t="shared"/>
        <v>60</v>
      </c>
      <c r="CZ96" s="108">
        <f si="106" t="shared"/>
        <v>39.434440616264709</v>
      </c>
      <c r="DA96" s="78">
        <f si="107" t="shared"/>
        <v>1.9174990517132382</v>
      </c>
    </row>
    <row r="97" spans="2:105" x14ac:dyDescent="0.25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>
        <v>14</v>
      </c>
      <c r="AA97" s="104">
        <f si="120" t="shared"/>
        <v>6.657021315257379E-4</v>
      </c>
      <c r="AB97" s="104">
        <f ref="AB97:AD100" si="123" t="shared">AB70-D70</f>
        <v>-4.347784100873093E-4</v>
      </c>
      <c r="AC97" s="104">
        <f si="123" t="shared"/>
        <v>5.3090855460691581E-4</v>
      </c>
      <c r="AD97" s="104">
        <f si="123" t="shared"/>
        <v>2.7629376765822084E-4</v>
      </c>
      <c r="AE97" s="104">
        <f si="122" t="shared"/>
        <v>2.2553467590407999E-4</v>
      </c>
      <c r="AF97" s="104">
        <f si="122" t="shared"/>
        <v>-4.163233951690647E-4</v>
      </c>
      <c r="AG97" s="104">
        <f si="122" t="shared"/>
        <v>-1.6927984477423043E-4</v>
      </c>
      <c r="AH97" s="104">
        <f si="122" t="shared"/>
        <v>2.3730924718925209E-4</v>
      </c>
      <c r="AI97" s="104">
        <f si="122" t="shared"/>
        <v>2.2889251226989747E-4</v>
      </c>
      <c r="AJ97" s="104">
        <f si="122" t="shared"/>
        <v>1.6323251836960448E-4</v>
      </c>
      <c r="AK97" s="104">
        <f si="122" t="shared"/>
        <v>6.9611893522437138E-4</v>
      </c>
      <c r="AL97" s="104">
        <f si="122" t="shared"/>
        <v>1.9339063983022384E-4</v>
      </c>
      <c r="AM97" s="104">
        <f si="122" t="shared"/>
        <v>7.5974067413642107E-6</v>
      </c>
      <c r="AN97" s="104">
        <f si="122" t="shared"/>
        <v>-2.5354643937115298E-3</v>
      </c>
      <c r="AO97" s="104">
        <f si="122" t="shared"/>
        <v>2.0040324353545492E-6</v>
      </c>
      <c r="AP97" s="104">
        <f si="122" t="shared"/>
        <v>1.0305014602290243E-5</v>
      </c>
      <c r="AQ97" s="104">
        <f si="122" t="shared"/>
        <v>-9.741147716159815E-5</v>
      </c>
      <c r="AR97" s="104">
        <f si="122" t="shared"/>
        <v>3.6508418112880388E-5</v>
      </c>
      <c r="AS97" s="104">
        <f si="122" t="shared"/>
        <v>3.8369923680908866E-4</v>
      </c>
      <c r="AT97" s="104">
        <f si="122" t="shared"/>
        <v>-4.2395703755466402E-6</v>
      </c>
      <c r="AU97" s="104">
        <f si="122" t="shared"/>
        <v>0</v>
      </c>
      <c r="AV97" s="104">
        <f si="122" t="shared"/>
        <v>0</v>
      </c>
      <c r="CU97" s="95">
        <v>96</v>
      </c>
      <c r="CV97" s="95">
        <f si="109" t="shared"/>
        <v>5</v>
      </c>
      <c r="CW97" s="95">
        <f si="103" t="shared"/>
        <v>16</v>
      </c>
      <c r="CX97" s="58">
        <f si="104" t="shared"/>
        <v>114.04537476435026</v>
      </c>
      <c r="CY97" s="58">
        <f si="105" t="shared"/>
        <v>80</v>
      </c>
      <c r="CZ97" s="108">
        <f si="106" t="shared"/>
        <v>-34.045374764350257</v>
      </c>
      <c r="DA97" s="78">
        <f si="107" t="shared"/>
        <v>-0.29852481816730886</v>
      </c>
    </row>
    <row r="98" spans="2:105" x14ac:dyDescent="0.25"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>
        <v>15</v>
      </c>
      <c r="AA98" s="104">
        <f si="120" t="shared"/>
        <v>3.4735550193654065E-4</v>
      </c>
      <c r="AB98" s="104">
        <f si="123" t="shared"/>
        <v>-9.1351655707239739E-6</v>
      </c>
      <c r="AC98" s="104">
        <f si="123" t="shared"/>
        <v>6.1359056498178815E-4</v>
      </c>
      <c r="AD98" s="104">
        <f si="123" t="shared"/>
        <v>5.2223680148369487E-5</v>
      </c>
      <c r="AE98" s="104">
        <f si="122" t="shared"/>
        <v>1.7599105143293811E-4</v>
      </c>
      <c r="AF98" s="104">
        <f si="122" t="shared"/>
        <v>4.3535682407786457E-4</v>
      </c>
      <c r="AG98" s="104">
        <f si="122" t="shared"/>
        <v>-6.452158589880571E-5</v>
      </c>
      <c r="AH98" s="104">
        <f si="122" t="shared"/>
        <v>-1.7385058981847825E-5</v>
      </c>
      <c r="AI98" s="104">
        <f si="122" t="shared"/>
        <v>-1.6659241200519224E-4</v>
      </c>
      <c r="AJ98" s="104">
        <f si="122" t="shared"/>
        <v>1.2762989802853503E-4</v>
      </c>
      <c r="AK98" s="104">
        <f si="122" t="shared"/>
        <v>6.9103080103817592E-4</v>
      </c>
      <c r="AL98" s="104">
        <f si="122" t="shared"/>
        <v>2.3869993719542E-4</v>
      </c>
      <c r="AM98" s="104">
        <f si="122" t="shared"/>
        <v>3.3157731731390909E-3</v>
      </c>
      <c r="AN98" s="104">
        <f si="122" t="shared"/>
        <v>1.0198756836756647E-4</v>
      </c>
      <c r="AO98" s="104">
        <f si="122" t="shared"/>
        <v>-6.2397059183217779E-3</v>
      </c>
      <c r="AP98" s="104">
        <f si="122" t="shared"/>
        <v>-2.649387716686908E-5</v>
      </c>
      <c r="AQ98" s="104">
        <f si="122" t="shared"/>
        <v>2.2186606552246547E-5</v>
      </c>
      <c r="AR98" s="104">
        <f si="122" t="shared"/>
        <v>-5.5610900054265498E-5</v>
      </c>
      <c r="AS98" s="104">
        <f si="122" t="shared"/>
        <v>4.542700314304495E-4</v>
      </c>
      <c r="AT98" s="104">
        <f si="122" t="shared"/>
        <v>3.3492796704844957E-6</v>
      </c>
      <c r="AU98" s="104">
        <f si="122" t="shared"/>
        <v>0</v>
      </c>
      <c r="AV98" s="104">
        <f si="122" t="shared"/>
        <v>0</v>
      </c>
      <c r="CU98" s="95">
        <v>97</v>
      </c>
      <c r="CV98" s="95">
        <f si="109" t="shared"/>
        <v>5</v>
      </c>
      <c r="CW98" s="95">
        <f si="103" t="shared"/>
        <v>17</v>
      </c>
      <c r="CX98" s="58">
        <f si="104" t="shared"/>
        <v>16.826366768510692</v>
      </c>
      <c r="CY98" s="58">
        <f si="105" t="shared"/>
        <v>20</v>
      </c>
      <c r="CZ98" s="108">
        <f si="106" t="shared"/>
        <v>3.1736332314893083</v>
      </c>
      <c r="DA98" s="78">
        <f si="107" t="shared"/>
        <v>0.18861072477206009</v>
      </c>
    </row>
    <row r="99" spans="2:105" x14ac:dyDescent="0.25"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>
        <v>16</v>
      </c>
      <c r="AA99" s="104">
        <f si="120" t="shared"/>
        <v>-3.8333118263849872E-5</v>
      </c>
      <c r="AB99" s="104">
        <f si="123" t="shared"/>
        <v>-2.0594601129920911E-4</v>
      </c>
      <c r="AC99" s="104">
        <f si="123" t="shared"/>
        <v>2.0408771695949626E-5</v>
      </c>
      <c r="AD99" s="104">
        <f si="123" t="shared"/>
        <v>2.0767598747735926E-4</v>
      </c>
      <c r="AE99" s="104">
        <f si="122" t="shared"/>
        <v>2.2178170923736577E-4</v>
      </c>
      <c r="AF99" s="104">
        <f si="122" t="shared"/>
        <v>-6.6247265609547298E-4</v>
      </c>
      <c r="AG99" s="104">
        <f si="122" t="shared"/>
        <v>4.0066186445892747E-5</v>
      </c>
      <c r="AH99" s="104">
        <f si="122" t="shared"/>
        <v>-2.7084408101003214E-5</v>
      </c>
      <c r="AI99" s="104">
        <f si="122" t="shared"/>
        <v>-1.9580114652617748E-5</v>
      </c>
      <c r="AJ99" s="104">
        <f si="122" t="shared"/>
        <v>-7.1417250718889408E-4</v>
      </c>
      <c r="AK99" s="104">
        <f si="122" t="shared"/>
        <v>-1.3527207831620414E-4</v>
      </c>
      <c r="AL99" s="104">
        <f si="122" t="shared"/>
        <v>1.6982522182082292E-3</v>
      </c>
      <c r="AM99" s="104">
        <f si="122" t="shared"/>
        <v>1.6430908687565607E-4</v>
      </c>
      <c r="AN99" s="104">
        <f si="122" t="shared"/>
        <v>-1.5455381459314413E-5</v>
      </c>
      <c r="AO99" s="104">
        <f si="122" t="shared"/>
        <v>1.0638812394945686E-4</v>
      </c>
      <c r="AP99" s="104">
        <f si="122" t="shared"/>
        <v>-1.2409324744134058E-3</v>
      </c>
      <c r="AQ99" s="104">
        <f si="122" t="shared"/>
        <v>1.1329102264064807E-5</v>
      </c>
      <c r="AR99" s="104">
        <f si="122" t="shared"/>
        <v>3.251674974066898E-4</v>
      </c>
      <c r="AS99" s="104">
        <f si="122" t="shared"/>
        <v>-9.3780478075624241E-6</v>
      </c>
      <c r="AT99" s="104">
        <f si="122" t="shared"/>
        <v>2.7324811403686336E-4</v>
      </c>
      <c r="AU99" s="104">
        <f si="122" t="shared"/>
        <v>0</v>
      </c>
      <c r="AV99" s="104">
        <f si="122" t="shared"/>
        <v>0</v>
      </c>
      <c r="CU99" s="95">
        <v>98</v>
      </c>
      <c r="CV99" s="95">
        <f si="109" t="shared"/>
        <v>5</v>
      </c>
      <c r="CW99" s="95">
        <f si="103" t="shared"/>
        <v>18</v>
      </c>
      <c r="CX99" s="58">
        <f si="104" t="shared"/>
        <v>14.956770460898394</v>
      </c>
      <c r="CY99" s="58">
        <f si="105" t="shared"/>
        <v>0</v>
      </c>
      <c r="CZ99" s="108">
        <f si="106" t="shared"/>
        <v>-14.956770460898394</v>
      </c>
      <c r="DA99" s="78">
        <f si="107" t="shared"/>
        <v>-1</v>
      </c>
    </row>
    <row r="100" spans="2:105" x14ac:dyDescent="0.25"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>
        <v>17</v>
      </c>
      <c r="AA100" s="104">
        <f si="120" t="shared"/>
        <v>-5.1267392520323125E-5</v>
      </c>
      <c r="AB100" s="104">
        <f si="123" t="shared"/>
        <v>-4.2122153498812731E-4</v>
      </c>
      <c r="AC100" s="104">
        <f si="123" t="shared"/>
        <v>5.2580763399429011E-4</v>
      </c>
      <c r="AD100" s="104">
        <f si="123" t="shared"/>
        <v>3.1061177129097285E-5</v>
      </c>
      <c r="AE100" s="104">
        <f si="122" t="shared"/>
        <v>-5.6376908684162546E-5</v>
      </c>
      <c r="AF100" s="104">
        <f si="122" t="shared"/>
        <v>1.3387859746316145E-4</v>
      </c>
      <c r="AG100" s="104">
        <f si="122" t="shared"/>
        <v>-3.8951780418414802E-4</v>
      </c>
      <c r="AH100" s="104">
        <f si="122" t="shared"/>
        <v>7.6525713781412153E-5</v>
      </c>
      <c r="AI100" s="104">
        <f si="122" t="shared"/>
        <v>1.0773483282190829E-4</v>
      </c>
      <c r="AJ100" s="104">
        <f si="122" t="shared"/>
        <v>4.0056928577447503E-5</v>
      </c>
      <c r="AK100" s="104">
        <f si="122" t="shared"/>
        <v>-1.8152693337479889E-5</v>
      </c>
      <c r="AL100" s="104">
        <f si="122" t="shared"/>
        <v>1.951729186351679E-4</v>
      </c>
      <c r="AM100" s="104">
        <f si="122" t="shared"/>
        <v>-1.1068704678519866E-4</v>
      </c>
      <c r="AN100" s="104">
        <f si="122" t="shared"/>
        <v>1.2288474697563345E-3</v>
      </c>
      <c r="AO100" s="104">
        <f si="122" t="shared"/>
        <v>2.3444597589102395E-4</v>
      </c>
      <c r="AP100" s="104">
        <f si="122" t="shared"/>
        <v>-1.3270610261311919E-5</v>
      </c>
      <c r="AQ100" s="104">
        <f si="122" t="shared"/>
        <v>-2.4811360041606051E-3</v>
      </c>
      <c r="AR100" s="104">
        <f si="122" t="shared"/>
        <v>0</v>
      </c>
      <c r="AS100" s="104">
        <f si="122" t="shared"/>
        <v>9.7473405200216353E-4</v>
      </c>
      <c r="AT100" s="104">
        <f si="122" t="shared"/>
        <v>-6.6353051306559597E-6</v>
      </c>
      <c r="AU100" s="104">
        <f si="122" t="shared"/>
        <v>0</v>
      </c>
      <c r="AV100" s="104">
        <f si="122" t="shared"/>
        <v>0</v>
      </c>
      <c r="CU100" s="95">
        <v>99</v>
      </c>
      <c r="CV100" s="95">
        <f si="109" t="shared"/>
        <v>5</v>
      </c>
      <c r="CW100" s="95">
        <f si="103" t="shared"/>
        <v>19</v>
      </c>
      <c r="CX100" s="58">
        <f si="104" t="shared"/>
        <v>46.739907690307483</v>
      </c>
      <c r="CY100" s="58">
        <f si="105" t="shared"/>
        <v>20</v>
      </c>
      <c r="CZ100" s="108">
        <f si="106" t="shared"/>
        <v>-26.739907690307483</v>
      </c>
      <c r="DA100" s="78">
        <f si="107" t="shared"/>
        <v>-0.57210013908205837</v>
      </c>
    </row>
    <row r="101" spans="2:105" x14ac:dyDescent="0.25"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>
        <v>18</v>
      </c>
      <c r="AA101" s="104">
        <f ref="AA101:AD105" si="124" t="shared">AA74-C74</f>
        <v>2.360636769933042E-5</v>
      </c>
      <c r="AB101" s="104">
        <f si="124" t="shared"/>
        <v>1.3936196519332322E-4</v>
      </c>
      <c r="AC101" s="104">
        <f si="124" t="shared"/>
        <v>1.9201046827240187E-4</v>
      </c>
      <c r="AD101" s="104">
        <f si="124" t="shared"/>
        <v>-4.0172491513006559E-5</v>
      </c>
      <c r="AE101" s="104">
        <f si="122" t="shared"/>
        <v>-1.6682194566648137E-4</v>
      </c>
      <c r="AF101" s="104">
        <f si="122" t="shared"/>
        <v>-3.9729892048374947E-4</v>
      </c>
      <c r="AG101" s="104">
        <f si="122" t="shared"/>
        <v>-5.9091917955631044E-5</v>
      </c>
      <c r="AH101" s="104">
        <f si="122" t="shared"/>
        <v>-3.9472027903034881E-5</v>
      </c>
      <c r="AI101" s="104">
        <f si="122" t="shared"/>
        <v>-9.6657069202688278E-5</v>
      </c>
      <c r="AJ101" s="104">
        <f si="122" t="shared"/>
        <v>4.1433591740701125E-4</v>
      </c>
      <c r="AK101" s="104">
        <f si="122" t="shared"/>
        <v>1.5473708828625055E-4</v>
      </c>
      <c r="AL101" s="104">
        <f si="122" t="shared"/>
        <v>-2.7027319301019953E-4</v>
      </c>
      <c r="AM101" s="104">
        <f si="122" t="shared"/>
        <v>2.324216382431004E-3</v>
      </c>
      <c r="AN101" s="104">
        <f si="122" t="shared"/>
        <v>-1.2727923365105925E-5</v>
      </c>
      <c r="AO101" s="104">
        <f si="122" t="shared"/>
        <v>-3.5019460282138126E-5</v>
      </c>
      <c r="AP101" s="104">
        <f si="122" t="shared"/>
        <v>-3.7388175236344385E-6</v>
      </c>
      <c r="AQ101" s="104">
        <f si="122" t="shared"/>
        <v>1.4561990070729541E-6</v>
      </c>
      <c r="AR101" s="104">
        <f si="122" t="shared"/>
        <v>-2.8800788995407625E-3</v>
      </c>
      <c r="AS101" s="104">
        <f si="122" t="shared"/>
        <v>-1.2601967465589043E-5</v>
      </c>
      <c r="AT101" s="104">
        <f si="122" t="shared"/>
        <v>7.6423024561561928E-4</v>
      </c>
      <c r="AU101" s="104">
        <f si="122" t="shared"/>
        <v>0</v>
      </c>
      <c r="AV101" s="104">
        <f si="122" t="shared"/>
        <v>0</v>
      </c>
      <c r="CU101" s="95">
        <v>100</v>
      </c>
      <c r="CV101" s="95">
        <f si="109" t="shared"/>
        <v>5</v>
      </c>
      <c r="CW101" s="95">
        <f si="103" t="shared"/>
        <v>20</v>
      </c>
      <c r="CX101" s="58">
        <f si="104" t="shared"/>
        <v>7.4783852304491969</v>
      </c>
      <c r="CY101" s="58">
        <f si="105" t="shared"/>
        <v>0</v>
      </c>
      <c r="CZ101" s="108">
        <f si="106" t="shared"/>
        <v>-7.4783852304491969</v>
      </c>
      <c r="DA101" s="78">
        <f si="107" t="shared"/>
        <v>-1</v>
      </c>
    </row>
    <row r="102" spans="2:105" x14ac:dyDescent="0.25"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>
        <v>19</v>
      </c>
      <c r="AA102" s="104">
        <f si="124" t="shared"/>
        <v>-7.6121959904222039E-5</v>
      </c>
      <c r="AB102" s="104">
        <f si="124" t="shared"/>
        <v>-1.6669250102597957E-4</v>
      </c>
      <c r="AC102" s="104">
        <f si="124" t="shared"/>
        <v>6.8149431212321838E-4</v>
      </c>
      <c r="AD102" s="104">
        <f si="124" t="shared"/>
        <v>4.258538352629852E-4</v>
      </c>
      <c r="AE102" s="104">
        <f si="122" t="shared"/>
        <v>1.8734766771099352E-4</v>
      </c>
      <c r="AF102" s="104">
        <f si="122" t="shared"/>
        <v>4.0842492056114565E-4</v>
      </c>
      <c r="AG102" s="104">
        <f si="122" t="shared"/>
        <v>2.2379577007403985E-5</v>
      </c>
      <c r="AH102" s="104">
        <f si="122" t="shared"/>
        <v>9.2900556797934102E-5</v>
      </c>
      <c r="AI102" s="104">
        <f si="122" t="shared"/>
        <v>5.3442362328194452E-4</v>
      </c>
      <c r="AJ102" s="104">
        <f si="122" t="shared"/>
        <v>1.8184306777665747E-4</v>
      </c>
      <c r="AK102" s="104">
        <f si="122" t="shared"/>
        <v>1.1254412904375174E-3</v>
      </c>
      <c r="AL102" s="104">
        <f si="122" t="shared"/>
        <v>-3.7436396645482107E-4</v>
      </c>
      <c r="AM102" s="104">
        <f si="122" t="shared"/>
        <v>1.4463485368982406E-5</v>
      </c>
      <c r="AN102" s="104">
        <f si="122" t="shared"/>
        <v>5.6222085934024522E-4</v>
      </c>
      <c r="AO102" s="104">
        <f si="122" t="shared"/>
        <v>6.6294162440228965E-5</v>
      </c>
      <c r="AP102" s="104">
        <f si="122" t="shared"/>
        <v>-7.6309255407403686E-7</v>
      </c>
      <c r="AQ102" s="104">
        <f si="122" t="shared"/>
        <v>9.6922690468365883E-4</v>
      </c>
      <c r="AR102" s="104">
        <f si="122" t="shared"/>
        <v>3.4187142588574306E-5</v>
      </c>
      <c r="AS102" s="104">
        <f si="122" t="shared"/>
        <v>-4.675744799223433E-3</v>
      </c>
      <c r="AT102" s="104">
        <f si="122" t="shared"/>
        <v>-1.2815086218971056E-5</v>
      </c>
      <c r="AU102" s="104">
        <f si="122" t="shared"/>
        <v>0</v>
      </c>
      <c r="AV102" s="104">
        <f si="122" t="shared"/>
        <v>0</v>
      </c>
      <c r="CU102" s="95">
        <v>101</v>
      </c>
      <c r="CV102" s="95">
        <f si="109" t="shared"/>
        <v>6</v>
      </c>
      <c r="CW102" s="95">
        <f si="103" t="shared"/>
        <v>1</v>
      </c>
      <c r="CX102" s="58">
        <f si="104" t="shared"/>
        <v>3121.3529716527278</v>
      </c>
      <c r="CY102" s="58">
        <f si="105" t="shared"/>
        <v>3379.9999999999995</v>
      </c>
      <c r="CZ102" s="108">
        <f si="106" t="shared"/>
        <v>258.64702834727177</v>
      </c>
      <c r="DA102" s="78">
        <f si="107" t="shared"/>
        <v>8.2863755139592737E-2</v>
      </c>
    </row>
    <row r="103" spans="2:105" x14ac:dyDescent="0.25"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>
        <v>20</v>
      </c>
      <c r="AA103" s="104">
        <f si="124" t="shared"/>
        <v>-2.0267573753081263E-4</v>
      </c>
      <c r="AB103" s="104">
        <f si="124" t="shared"/>
        <v>-1.3713825861836772E-4</v>
      </c>
      <c r="AC103" s="104">
        <f si="124" t="shared"/>
        <v>4.8381787176942197E-5</v>
      </c>
      <c r="AD103" s="104">
        <f si="124" t="shared"/>
        <v>2.4298168854125374E-5</v>
      </c>
      <c r="AE103" s="104">
        <f si="122" t="shared"/>
        <v>5.3498881585337549E-5</v>
      </c>
      <c r="AF103" s="104">
        <f si="122" t="shared"/>
        <v>1.0242346875915316E-4</v>
      </c>
      <c r="AG103" s="104">
        <f si="122" t="shared"/>
        <v>1.3556124797656357E-4</v>
      </c>
      <c r="AH103" s="104">
        <f si="122" t="shared"/>
        <v>-3.8362148891460064E-6</v>
      </c>
      <c r="AI103" s="104">
        <f si="122" t="shared"/>
        <v>-4.0810208995702442E-5</v>
      </c>
      <c r="AJ103" s="104">
        <f si="122" t="shared"/>
        <v>-6.8622766942011006E-5</v>
      </c>
      <c r="AK103" s="104">
        <f si="122" t="shared"/>
        <v>-1.7048416469848473E-5</v>
      </c>
      <c r="AL103" s="104">
        <f si="122" t="shared"/>
        <v>-1.419384734546239E-3</v>
      </c>
      <c r="AM103" s="104">
        <f si="122" t="shared"/>
        <v>-7.660417518006189E-5</v>
      </c>
      <c r="AN103" s="104">
        <f si="122" t="shared"/>
        <v>-9.5905372228650159E-6</v>
      </c>
      <c r="AO103" s="104">
        <f si="122" t="shared"/>
        <v>4.3371968034201134E-5</v>
      </c>
      <c r="AP103" s="104">
        <f si="122" t="shared"/>
        <v>8.514765442079211E-5</v>
      </c>
      <c r="AQ103" s="104">
        <f si="122" t="shared"/>
        <v>-1.9181074445730032E-5</v>
      </c>
      <c r="AR103" s="104">
        <f si="122" t="shared"/>
        <v>4.0560007103652377E-4</v>
      </c>
      <c r="AS103" s="104">
        <f si="122" t="shared"/>
        <v>-1.0549590945151517E-5</v>
      </c>
      <c r="AT103" s="104">
        <f si="122" t="shared"/>
        <v>1.1071584679422895E-3</v>
      </c>
      <c r="AU103" s="104">
        <f si="122" t="shared"/>
        <v>0</v>
      </c>
      <c r="AV103" s="104">
        <f si="122" t="shared"/>
        <v>0</v>
      </c>
      <c r="CU103" s="95">
        <v>102</v>
      </c>
      <c r="CV103" s="95">
        <f si="109" t="shared"/>
        <v>6</v>
      </c>
      <c r="CW103" s="95">
        <f si="103" t="shared"/>
        <v>2</v>
      </c>
      <c r="CX103" s="58">
        <f si="104" t="shared"/>
        <v>1511.2737769225075</v>
      </c>
      <c r="CY103" s="58">
        <f si="105" t="shared"/>
        <v>1759.9999999999998</v>
      </c>
      <c r="CZ103" s="108">
        <f si="106" t="shared"/>
        <v>248.72622307749225</v>
      </c>
      <c r="DA103" s="78">
        <f si="107" t="shared"/>
        <v>0.16458051934440865</v>
      </c>
    </row>
    <row r="104" spans="2:105" x14ac:dyDescent="0.25"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101" t="s">
        <v>15</v>
      </c>
      <c r="AA104" s="105">
        <f si="124" t="shared"/>
        <v>0</v>
      </c>
      <c r="AB104" s="105">
        <f si="124" t="shared"/>
        <v>0</v>
      </c>
      <c r="AC104" s="105">
        <f si="124" t="shared"/>
        <v>0</v>
      </c>
      <c r="AD104" s="105">
        <f si="124" t="shared"/>
        <v>0</v>
      </c>
      <c r="AE104" s="105">
        <f si="122" t="shared"/>
        <v>0</v>
      </c>
      <c r="AF104" s="105">
        <f si="122" t="shared"/>
        <v>0</v>
      </c>
      <c r="AG104" s="105">
        <f si="122" t="shared"/>
        <v>0</v>
      </c>
      <c r="AH104" s="105">
        <f si="122" t="shared"/>
        <v>0</v>
      </c>
      <c r="AI104" s="105">
        <f si="122" t="shared"/>
        <v>0</v>
      </c>
      <c r="AJ104" s="105">
        <f si="122" t="shared"/>
        <v>0</v>
      </c>
      <c r="AK104" s="105">
        <f si="122" t="shared"/>
        <v>0</v>
      </c>
      <c r="AL104" s="105">
        <f si="122" t="shared"/>
        <v>0</v>
      </c>
      <c r="AM104" s="105">
        <f si="122" t="shared"/>
        <v>0</v>
      </c>
      <c r="AN104" s="105">
        <f si="122" t="shared"/>
        <v>0</v>
      </c>
      <c r="AO104" s="105">
        <f si="122" t="shared"/>
        <v>0</v>
      </c>
      <c r="AP104" s="105">
        <f si="122" t="shared"/>
        <v>0</v>
      </c>
      <c r="AQ104" s="105">
        <f si="122" t="shared"/>
        <v>0</v>
      </c>
      <c r="AR104" s="105">
        <f si="122" t="shared"/>
        <v>0</v>
      </c>
      <c r="AS104" s="105">
        <f si="122" t="shared"/>
        <v>0</v>
      </c>
      <c r="AT104" s="105">
        <f si="122" t="shared"/>
        <v>0</v>
      </c>
      <c r="AU104" s="105">
        <f si="122" t="shared"/>
        <v>0</v>
      </c>
      <c r="AV104" s="105">
        <f si="122" t="shared"/>
        <v>0</v>
      </c>
      <c r="CU104" s="95">
        <v>103</v>
      </c>
      <c r="CV104" s="95">
        <f si="109" t="shared"/>
        <v>6</v>
      </c>
      <c r="CW104" s="95">
        <f si="103" t="shared"/>
        <v>3</v>
      </c>
      <c r="CX104" s="58">
        <f si="104" t="shared"/>
        <v>786.70071299928452</v>
      </c>
      <c r="CY104" s="58">
        <f si="105" t="shared"/>
        <v>759.99999999999989</v>
      </c>
      <c r="CZ104" s="108">
        <f si="106" t="shared"/>
        <v>-26.700712999284633</v>
      </c>
      <c r="DA104" s="78">
        <f si="107" t="shared"/>
        <v>-3.3940115418846603E-2</v>
      </c>
    </row>
    <row ht="15.75" r="105" spans="2:105" thickBot="1" x14ac:dyDescent="0.3"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1" t="s">
        <v>3</v>
      </c>
      <c r="AA105" s="106">
        <f si="124" t="shared"/>
        <v>9.6380933350556641E-4</v>
      </c>
      <c r="AB105" s="106">
        <f si="124" t="shared"/>
        <v>9.0416905528933195E-4</v>
      </c>
      <c r="AC105" s="106">
        <f si="124" t="shared"/>
        <v>-3.9124195642409321E-4</v>
      </c>
      <c r="AD105" s="106">
        <f si="124" t="shared"/>
        <v>8.4675006915381143E-4</v>
      </c>
      <c r="AE105" s="106">
        <f si="122" t="shared"/>
        <v>-2.2348994605154646E-4</v>
      </c>
      <c r="AF105" s="106">
        <f si="122" t="shared"/>
        <v>2.2911042950464755E-3</v>
      </c>
      <c r="AG105" s="106">
        <f si="122" t="shared"/>
        <v>-2.3166250832524771E-3</v>
      </c>
      <c r="AH105" s="106">
        <f si="122" t="shared"/>
        <v>-7.6665110837719277E-5</v>
      </c>
      <c r="AI105" s="106">
        <f si="122" t="shared"/>
        <v>-2.4481822668198094E-3</v>
      </c>
      <c r="AJ105" s="106">
        <f si="122" t="shared"/>
        <v>-8.9670590491163285E-4</v>
      </c>
      <c r="AK105" s="106">
        <f si="122" t="shared"/>
        <v>-1.4991224763914734E-3</v>
      </c>
      <c r="AL105" s="106">
        <f si="122" t="shared"/>
        <v>1.3323861120470321E-2</v>
      </c>
      <c r="AM105" s="106">
        <f si="122" t="shared"/>
        <v>-1.9489346171951555E-3</v>
      </c>
      <c r="AN105" s="106">
        <f si="122" t="shared"/>
        <v>-1.5532613147705918E-4</v>
      </c>
      <c r="AO105" s="106">
        <f si="122" t="shared"/>
        <v>-1.5790190378401972E-3</v>
      </c>
      <c r="AP105" s="106">
        <f si="122" t="shared"/>
        <v>-5.1580908817554488E-4</v>
      </c>
      <c r="AQ105" s="106">
        <f si="122" t="shared"/>
        <v>-1.6700525175472186E-3</v>
      </c>
      <c r="AR105" s="106">
        <f si="122" t="shared"/>
        <v>-3.5488978042711831E-3</v>
      </c>
      <c r="AS105" s="106">
        <f si="122" t="shared"/>
        <v>-2.0708077807922651E-3</v>
      </c>
      <c r="AT105" s="106">
        <f si="122" t="shared"/>
        <v>1.0111858485217159E-3</v>
      </c>
      <c r="AU105" s="106">
        <f si="122" t="shared"/>
        <v>0</v>
      </c>
      <c r="AV105" s="106">
        <f si="122" t="shared"/>
        <v>0</v>
      </c>
      <c r="CU105" s="95">
        <v>104</v>
      </c>
      <c r="CV105" s="95">
        <f si="109" t="shared"/>
        <v>6</v>
      </c>
      <c r="CW105" s="95">
        <f si="103" t="shared"/>
        <v>4</v>
      </c>
      <c r="CX105" s="58">
        <f si="104" t="shared"/>
        <v>814.39617102114323</v>
      </c>
      <c r="CY105" s="58">
        <f si="105" t="shared"/>
        <v>659.99999999999989</v>
      </c>
      <c r="CZ105" s="108">
        <f si="106" t="shared"/>
        <v>-154.39617102114335</v>
      </c>
      <c r="DA105" s="78">
        <f si="107" t="shared"/>
        <v>-0.18958361607662191</v>
      </c>
    </row>
    <row r="106" spans="2:105" x14ac:dyDescent="0.25"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CU106" s="95">
        <v>105</v>
      </c>
      <c r="CV106" s="95">
        <f si="109" t="shared"/>
        <v>6</v>
      </c>
      <c r="CW106" s="95">
        <f si="103" t="shared"/>
        <v>5</v>
      </c>
      <c r="CX106" s="58">
        <f si="104" t="shared"/>
        <v>1326.3878814792886</v>
      </c>
      <c r="CY106" s="58">
        <f si="105" t="shared"/>
        <v>1819.9999999999998</v>
      </c>
      <c r="CZ106" s="108">
        <f si="106" t="shared"/>
        <v>493.61211852071119</v>
      </c>
      <c r="DA106" s="78">
        <f si="107" t="shared"/>
        <v>0.37214763902260434</v>
      </c>
    </row>
    <row r="107" spans="2:105" x14ac:dyDescent="0.25">
      <c r="CU107" s="95">
        <v>106</v>
      </c>
      <c r="CV107" s="95">
        <f si="109" t="shared"/>
        <v>6</v>
      </c>
      <c r="CW107" s="95">
        <f si="103" t="shared"/>
        <v>6</v>
      </c>
      <c r="CX107" s="58">
        <f si="104" t="shared"/>
        <v>14906.893148792342</v>
      </c>
      <c r="CY107" s="58">
        <f si="105" t="shared"/>
        <v>12199.999999999998</v>
      </c>
      <c r="CZ107" s="108">
        <f si="106" t="shared"/>
        <v>-2706.8931487923437</v>
      </c>
      <c r="DA107" s="78">
        <f si="107" t="shared"/>
        <v>-0.1815866741495788</v>
      </c>
    </row>
    <row ht="15.75" r="108" spans="2:105" thickBot="1" x14ac:dyDescent="0.3">
      <c r="Z108" s="23" t="s">
        <v>435</v>
      </c>
      <c r="AA108" s="24"/>
      <c r="AB108" s="24"/>
      <c r="AC108" s="24"/>
      <c r="AD108" s="24"/>
      <c r="AE108" s="24"/>
      <c r="AF108" s="24"/>
      <c r="AG108" s="24"/>
      <c r="AH108" s="24"/>
      <c r="AI108" s="24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CU108" s="95">
        <v>107</v>
      </c>
      <c r="CV108" s="95">
        <f si="109" t="shared"/>
        <v>6</v>
      </c>
      <c r="CW108" s="95">
        <f si="103" t="shared"/>
        <v>7</v>
      </c>
      <c r="CX108" s="58">
        <f si="104" t="shared"/>
        <v>869.78708706486077</v>
      </c>
      <c r="CY108" s="58">
        <f si="105" t="shared"/>
        <v>1159.9999999999998</v>
      </c>
      <c r="CZ108" s="108">
        <f si="106" t="shared"/>
        <v>290.212912935139</v>
      </c>
      <c r="DA108" s="78">
        <f si="107" t="shared"/>
        <v>0.33365971655715965</v>
      </c>
    </row>
    <row r="109" spans="2:105" x14ac:dyDescent="0.25">
      <c r="Z109" s="2" t="s">
        <v>14</v>
      </c>
      <c r="AA109" s="2">
        <v>1</v>
      </c>
      <c r="AB109" s="2">
        <v>2</v>
      </c>
      <c r="AC109" s="2">
        <v>3</v>
      </c>
      <c r="AD109" s="2">
        <v>4</v>
      </c>
      <c r="AE109" s="2">
        <v>5</v>
      </c>
      <c r="AF109" s="2">
        <v>6</v>
      </c>
      <c r="AG109" s="2">
        <v>7</v>
      </c>
      <c r="AH109" s="2">
        <v>8</v>
      </c>
      <c r="AI109" s="2">
        <v>9</v>
      </c>
      <c r="AJ109" s="2">
        <v>10</v>
      </c>
      <c r="AK109" s="2">
        <v>11</v>
      </c>
      <c r="AL109" s="2">
        <v>12</v>
      </c>
      <c r="AM109" s="2">
        <v>13</v>
      </c>
      <c r="AN109" s="2">
        <v>14</v>
      </c>
      <c r="AO109" s="2">
        <v>15</v>
      </c>
      <c r="AP109" s="2">
        <v>16</v>
      </c>
      <c r="AQ109" s="2">
        <v>17</v>
      </c>
      <c r="AR109" s="2">
        <v>18</v>
      </c>
      <c r="AS109" s="2">
        <v>19</v>
      </c>
      <c r="AT109" s="2">
        <v>20</v>
      </c>
      <c r="AU109" s="3" t="s">
        <v>15</v>
      </c>
      <c r="AV109" s="3" t="s">
        <v>3</v>
      </c>
      <c r="CU109" s="95">
        <v>108</v>
      </c>
      <c r="CV109" s="95">
        <f si="109" t="shared"/>
        <v>6</v>
      </c>
      <c r="CW109" s="95">
        <f si="103" t="shared"/>
        <v>8</v>
      </c>
      <c r="CX109" s="58">
        <f si="104" t="shared"/>
        <v>72.607011570818841</v>
      </c>
      <c r="CY109" s="58">
        <f si="105" t="shared"/>
        <v>139.99999999999997</v>
      </c>
      <c r="CZ109" s="108">
        <f si="106" t="shared"/>
        <v>67.392988429181131</v>
      </c>
      <c r="DA109" s="78">
        <f si="107" t="shared"/>
        <v>0.92818843485174851</v>
      </c>
    </row>
    <row r="110" spans="2:105" x14ac:dyDescent="0.25">
      <c r="Z110" s="31">
        <v>1</v>
      </c>
      <c r="AA110" s="103">
        <f>IF(C30&gt;0,(AZ30-C30)/C30,0)</f>
        <v>-0.42924801989040606</v>
      </c>
      <c r="AB110" s="103">
        <f ref="AB110:AV110" si="125" t="shared">IF(D30&gt;0,(BA30-D30)/D30,0)</f>
        <v>8.1795127038301413E-2</v>
      </c>
      <c r="AC110" s="103">
        <f si="125" t="shared"/>
        <v>0.68708302605176075</v>
      </c>
      <c r="AD110" s="103">
        <f si="125" t="shared"/>
        <v>1.0194256973491751</v>
      </c>
      <c r="AE110" s="103">
        <f si="125" t="shared"/>
        <v>0.27140174081628543</v>
      </c>
      <c r="AF110" s="103">
        <f si="125" t="shared"/>
        <v>0.41626013124827288</v>
      </c>
      <c r="AG110" s="103">
        <f si="125" t="shared"/>
        <v>-0.51004646845408896</v>
      </c>
      <c r="AH110" s="103">
        <f si="125" t="shared"/>
        <v>0.3656794122751203</v>
      </c>
      <c r="AI110" s="103">
        <f si="125" t="shared"/>
        <v>-9.9090590364980122E-2</v>
      </c>
      <c r="AJ110" s="103">
        <f si="125" t="shared"/>
        <v>0.41359798814442256</v>
      </c>
      <c r="AK110" s="103">
        <f si="125" t="shared"/>
        <v>0.31714780558446215</v>
      </c>
      <c r="AL110" s="103">
        <f si="125" t="shared"/>
        <v>-4.0364326690663548E-3</v>
      </c>
      <c r="AM110" s="103">
        <f si="125" t="shared"/>
        <v>-0.48349304279338395</v>
      </c>
      <c r="AN110" s="103">
        <f si="125" t="shared"/>
        <v>-1</v>
      </c>
      <c r="AO110" s="103">
        <f si="125" t="shared"/>
        <v>0.7143635175368529</v>
      </c>
      <c r="AP110" s="103">
        <f si="125" t="shared"/>
        <v>5.1980834864793923</v>
      </c>
      <c r="AQ110" s="103">
        <f si="125" t="shared"/>
        <v>0.27896960832114437</v>
      </c>
      <c r="AR110" s="103">
        <f si="125" t="shared"/>
        <v>1.0143771331058025</v>
      </c>
      <c r="AS110" s="103">
        <f si="125" t="shared"/>
        <v>-0.28377701934015909</v>
      </c>
      <c r="AT110" s="103">
        <f si="125" t="shared"/>
        <v>-1</v>
      </c>
      <c r="AU110" s="103">
        <f si="125" t="shared"/>
        <v>0</v>
      </c>
      <c r="AV110" s="103">
        <f si="125" t="shared"/>
        <v>0</v>
      </c>
      <c r="CU110" s="95">
        <v>109</v>
      </c>
      <c r="CV110" s="95">
        <f si="109" t="shared"/>
        <v>6</v>
      </c>
      <c r="CW110" s="95">
        <f si="103" t="shared"/>
        <v>9</v>
      </c>
      <c r="CX110" s="58">
        <f si="104" t="shared"/>
        <v>733.55537463301505</v>
      </c>
      <c r="CY110" s="58">
        <f si="105" t="shared"/>
        <v>999.99999999999989</v>
      </c>
      <c r="CZ110" s="108">
        <f si="106" t="shared"/>
        <v>266.44462536698484</v>
      </c>
      <c r="DA110" s="78">
        <f si="107" t="shared"/>
        <v>0.36322360189955999</v>
      </c>
    </row>
    <row r="111" spans="2:105" x14ac:dyDescent="0.25">
      <c r="Z111" s="95">
        <v>2</v>
      </c>
      <c r="AA111" s="104">
        <f ref="AA111:AA131" si="126" t="shared">IF(C31&gt;0,(AZ31-C31)/C31,0)</f>
        <v>0.26078811266072105</v>
      </c>
      <c r="AB111" s="104">
        <f ref="AB111:AB131" si="127" t="shared">IF(D31&gt;0,(BA31-D31)/D31,0)</f>
        <v>-0.50491272782146501</v>
      </c>
      <c r="AC111" s="104">
        <f ref="AC111:AC131" si="128" t="shared">IF(E31&gt;0,(BB31-E31)/E31,0)</f>
        <v>0.19791489175255247</v>
      </c>
      <c r="AD111" s="104">
        <f ref="AD111:AD131" si="129" t="shared">IF(F31&gt;0,(BC31-F31)/F31,0)</f>
        <v>0.54560900999365614</v>
      </c>
      <c r="AE111" s="104">
        <f ref="AE111:AE131" si="130" t="shared">IF(G31&gt;0,(BD31-G31)/G31,0)</f>
        <v>0.15128588214652211</v>
      </c>
      <c r="AF111" s="104">
        <f ref="AF111:AF131" si="131" t="shared">IF(H31&gt;0,(BE31-H31)/H31,0)</f>
        <v>0.2987238616840947</v>
      </c>
      <c r="AG111" s="104">
        <f ref="AG111:AG131" si="132" t="shared">IF(I31&gt;0,(BF31-I31)/I31,0)</f>
        <v>-4.414791041393995E-2</v>
      </c>
      <c r="AH111" s="104">
        <f ref="AH111:AH131" si="133" t="shared">IF(J31&gt;0,(BG31-J31)/J31,0)</f>
        <v>-0.24265158510310866</v>
      </c>
      <c r="AI111" s="104">
        <f ref="AI111:AI131" si="134" t="shared">IF(K31&gt;0,(BH31-K31)/K31,0)</f>
        <v>0.18886088384977162</v>
      </c>
      <c r="AJ111" s="104">
        <f ref="AJ111:AJ131" si="135" t="shared">IF(L31&gt;0,(BI31-L31)/L31,0)</f>
        <v>-0.16459617743964064</v>
      </c>
      <c r="AK111" s="104">
        <f ref="AK111:AK131" si="136" t="shared">IF(M31&gt;0,(BJ31-M31)/M31,0)</f>
        <v>0.14756421647656712</v>
      </c>
      <c r="AL111" s="104">
        <f ref="AL111:AL131" si="137" t="shared">IF(N31&gt;0,(BK31-N31)/N31,0)</f>
        <v>0.37411119589076713</v>
      </c>
      <c r="AM111" s="104">
        <f ref="AM111:AM131" si="138" t="shared">IF(O31&gt;0,(BL31-O31)/O31,0)</f>
        <v>0.38801309493830288</v>
      </c>
      <c r="AN111" s="104">
        <f ref="AN111:AN131" si="139" t="shared">IF(P31&gt;0,(BM31-P31)/P31,0)</f>
        <v>0.32997770420917544</v>
      </c>
      <c r="AO111" s="104">
        <f ref="AO111:AO131" si="140" t="shared">IF(Q31&gt;0,(BN31-Q31)/Q31,0)</f>
        <v>1.0727430302441241</v>
      </c>
      <c r="AP111" s="104">
        <f ref="AP111:AP131" si="141" t="shared">IF(R31&gt;0,(BO31-R31)/R31,0)</f>
        <v>1.4785948123898267</v>
      </c>
      <c r="AQ111" s="104">
        <f ref="AQ111:AQ131" si="142" t="shared">IF(S31&gt;0,(BP31-S31)/S31,0)</f>
        <v>0.13602262234533735</v>
      </c>
      <c r="AR111" s="104">
        <f ref="AR111:AR131" si="143" t="shared">IF(T31&gt;0,(BQ31-T31)/T31,0)</f>
        <v>0.94746735259200665</v>
      </c>
      <c r="AS111" s="104">
        <f ref="AS111:AS131" si="144" t="shared">IF(U31&gt;0,(BR31-U31)/U31,0)</f>
        <v>0.39818168904041495</v>
      </c>
      <c r="AT111" s="104">
        <f ref="AT111:AT131" si="145" t="shared">IF(V31&gt;0,(BS31-V31)/V31,0)</f>
        <v>-1</v>
      </c>
      <c r="AU111" s="104">
        <f ref="AU111:AU131" si="146" t="shared">IF(W31&gt;0,(BT31-W31)/W31,0)</f>
        <v>0</v>
      </c>
      <c r="AV111" s="104">
        <f ref="AV111:AV131" si="147" t="shared">IF(X31&gt;0,(BU31-X31)/X31,0)</f>
        <v>0</v>
      </c>
      <c r="CU111" s="95">
        <v>110</v>
      </c>
      <c r="CV111" s="95">
        <f si="109" t="shared"/>
        <v>6</v>
      </c>
      <c r="CW111" s="95">
        <f si="103" t="shared"/>
        <v>10</v>
      </c>
      <c r="CX111" s="58">
        <f si="104" t="shared"/>
        <v>770.9816692571485</v>
      </c>
      <c r="CY111" s="58">
        <f si="105" t="shared"/>
        <v>1179.9999999999998</v>
      </c>
      <c r="CZ111" s="108">
        <f si="106" t="shared"/>
        <v>409.01833074285128</v>
      </c>
      <c r="DA111" s="78">
        <f si="107" t="shared"/>
        <v>0.53051628469577761</v>
      </c>
    </row>
    <row r="112" spans="2:105" x14ac:dyDescent="0.25">
      <c r="Z112" s="95">
        <v>3</v>
      </c>
      <c r="AA112" s="104">
        <f si="126" t="shared"/>
        <v>0.16913919460172003</v>
      </c>
      <c r="AB112" s="104">
        <f si="127" t="shared"/>
        <v>3.7490524737530839E-2</v>
      </c>
      <c r="AC112" s="104">
        <f si="128" t="shared"/>
        <v>-0.46017266559066045</v>
      </c>
      <c r="AD112" s="104">
        <f si="129" t="shared"/>
        <v>6.936636090797621E-2</v>
      </c>
      <c r="AE112" s="104">
        <f si="130" t="shared"/>
        <v>-0.13185484818393295</v>
      </c>
      <c r="AF112" s="104">
        <f si="131" t="shared"/>
        <v>0.20592793912473656</v>
      </c>
      <c r="AG112" s="104">
        <f si="132" t="shared"/>
        <v>3.1846228190255302E-2</v>
      </c>
      <c r="AH112" s="104">
        <f si="133" t="shared"/>
        <v>-0.15600620021351749</v>
      </c>
      <c r="AI112" s="104">
        <f si="134" t="shared"/>
        <v>-0.1715101046872072</v>
      </c>
      <c r="AJ112" s="104">
        <f si="135" t="shared"/>
        <v>-0.15484686807095357</v>
      </c>
      <c r="AK112" s="104">
        <f si="136" t="shared"/>
        <v>0.23913709806020722</v>
      </c>
      <c r="AL112" s="104">
        <f si="137" t="shared"/>
        <v>0.33376006351115955</v>
      </c>
      <c r="AM112" s="104">
        <f si="138" t="shared"/>
        <v>0.10710117866728901</v>
      </c>
      <c r="AN112" s="104">
        <f si="139" t="shared"/>
        <v>-0.39900221729490026</v>
      </c>
      <c r="AO112" s="104">
        <f si="140" t="shared"/>
        <v>0.65195725612658273</v>
      </c>
      <c r="AP112" s="104">
        <f si="141" t="shared"/>
        <v>0.78262054192190544</v>
      </c>
      <c r="AQ112" s="104">
        <f si="142" t="shared"/>
        <v>0.46075849963045051</v>
      </c>
      <c r="AR112" s="104">
        <f si="143" t="shared"/>
        <v>1.8425570803619575</v>
      </c>
      <c r="AS112" s="104">
        <f si="144" t="shared"/>
        <v>1.4069811695403245</v>
      </c>
      <c r="AT112" s="104">
        <f si="145" t="shared"/>
        <v>-1</v>
      </c>
      <c r="AU112" s="104">
        <f si="146" t="shared"/>
        <v>0</v>
      </c>
      <c r="AV112" s="104">
        <f si="147" t="shared"/>
        <v>0</v>
      </c>
      <c r="CU112" s="95">
        <v>111</v>
      </c>
      <c r="CV112" s="95">
        <f si="109" t="shared"/>
        <v>6</v>
      </c>
      <c r="CW112" s="95">
        <f si="103" t="shared"/>
        <v>11</v>
      </c>
      <c r="CX112" s="58">
        <f si="104" t="shared"/>
        <v>475.31394172649448</v>
      </c>
      <c r="CY112" s="58">
        <f si="105" t="shared"/>
        <v>699.99999999999989</v>
      </c>
      <c r="CZ112" s="108">
        <f si="106" t="shared"/>
        <v>224.68605827350541</v>
      </c>
      <c r="DA112" s="78">
        <f si="107" t="shared"/>
        <v>0.47271085181590244</v>
      </c>
    </row>
    <row r="113" spans="26:105" x14ac:dyDescent="0.25">
      <c r="Z113" s="95">
        <v>4</v>
      </c>
      <c r="AA113" s="104">
        <f si="126" t="shared"/>
        <v>0.48439995796553154</v>
      </c>
      <c r="AB113" s="104">
        <f si="127" t="shared"/>
        <v>-0.13628410491110732</v>
      </c>
      <c r="AC113" s="104">
        <f si="128" t="shared"/>
        <v>-0.12253207987373912</v>
      </c>
      <c r="AD113" s="104">
        <f si="129" t="shared"/>
        <v>-0.61359147609147613</v>
      </c>
      <c r="AE113" s="104">
        <f si="130" t="shared"/>
        <v>-0.19585409355042871</v>
      </c>
      <c r="AF113" s="104">
        <f si="131" t="shared"/>
        <v>0.48360824420816279</v>
      </c>
      <c r="AG113" s="104">
        <f si="132" t="shared"/>
        <v>-0.31601840020444683</v>
      </c>
      <c r="AH113" s="104">
        <f si="133" t="shared"/>
        <v>-0.24635360763267758</v>
      </c>
      <c r="AI113" s="104">
        <f si="134" t="shared"/>
        <v>0.57543971180334808</v>
      </c>
      <c r="AJ113" s="104">
        <f si="135" t="shared"/>
        <v>-6.8110321051499303E-3</v>
      </c>
      <c r="AK113" s="104">
        <f si="136" t="shared"/>
        <v>0.24243303022855706</v>
      </c>
      <c r="AL113" s="104">
        <f si="137" t="shared"/>
        <v>0.47950248756218883</v>
      </c>
      <c r="AM113" s="104">
        <f si="138" t="shared"/>
        <v>-0.41842242503259452</v>
      </c>
      <c r="AN113" s="104">
        <f si="139" t="shared"/>
        <v>-0.18302197802197809</v>
      </c>
      <c r="AO113" s="104">
        <f si="140" t="shared"/>
        <v>-0.2620843672456577</v>
      </c>
      <c r="AP113" s="104">
        <f si="141" t="shared"/>
        <v>0.90628205128205086</v>
      </c>
      <c r="AQ113" s="104">
        <f si="142" t="shared"/>
        <v>0.98916387959866203</v>
      </c>
      <c r="AR113" s="104">
        <f si="143" t="shared"/>
        <v>-0.21119363395225477</v>
      </c>
      <c r="AS113" s="104">
        <f si="144" t="shared"/>
        <v>0.96074725274725248</v>
      </c>
      <c r="AT113" s="104">
        <f si="145" t="shared"/>
        <v>-1</v>
      </c>
      <c r="AU113" s="104">
        <f si="146" t="shared"/>
        <v>0</v>
      </c>
      <c r="AV113" s="104">
        <f si="147" t="shared"/>
        <v>0</v>
      </c>
      <c r="CU113" s="95">
        <v>112</v>
      </c>
      <c r="CV113" s="95">
        <f si="109" t="shared"/>
        <v>6</v>
      </c>
      <c r="CW113" s="95">
        <f si="103" t="shared"/>
        <v>12</v>
      </c>
      <c r="CX113" s="58">
        <f si="104" t="shared"/>
        <v>4232.9139219894905</v>
      </c>
      <c r="CY113" s="58">
        <f si="105" t="shared"/>
        <v>4639.9999999999991</v>
      </c>
      <c r="CZ113" s="108">
        <f si="106" t="shared"/>
        <v>407.08607801050857</v>
      </c>
      <c r="DA113" s="78">
        <f si="107" t="shared"/>
        <v>9.6171593732569005E-2</v>
      </c>
    </row>
    <row r="114" spans="26:105" x14ac:dyDescent="0.25">
      <c r="Z114" s="95">
        <v>5</v>
      </c>
      <c r="AA114" s="104">
        <f si="126" t="shared"/>
        <v>-0.1472101247825314</v>
      </c>
      <c r="AB114" s="104">
        <f si="127" t="shared"/>
        <v>0.73786044596636935</v>
      </c>
      <c r="AC114" s="104">
        <f si="128" t="shared"/>
        <v>0.11096278797790519</v>
      </c>
      <c r="AD114" s="104">
        <f si="129" t="shared"/>
        <v>-0.23393886792184365</v>
      </c>
      <c r="AE114" s="104">
        <f si="130" t="shared"/>
        <v>-0.46844737774168743</v>
      </c>
      <c r="AF114" s="104">
        <f si="131" t="shared"/>
        <v>0.33884734233078306</v>
      </c>
      <c r="AG114" s="104">
        <f si="132" t="shared"/>
        <v>-9.7257677388308941E-2</v>
      </c>
      <c r="AH114" s="104">
        <f si="133" t="shared"/>
        <v>-0.53149650264458947</v>
      </c>
      <c r="AI114" s="104">
        <f si="134" t="shared"/>
        <v>0.30747179724926582</v>
      </c>
      <c r="AJ114" s="104">
        <f si="135" t="shared"/>
        <v>-0.13622698883024223</v>
      </c>
      <c r="AK114" s="104">
        <f si="136" t="shared"/>
        <v>0.12323713490959665</v>
      </c>
      <c r="AL114" s="104">
        <f si="137" t="shared"/>
        <v>0.11860841045255148</v>
      </c>
      <c r="AM114" s="104">
        <f si="138" t="shared"/>
        <v>0.74145292234046001</v>
      </c>
      <c r="AN114" s="104">
        <f si="139" t="shared"/>
        <v>3.9373060875147101</v>
      </c>
      <c r="AO114" s="104">
        <f si="140" t="shared"/>
        <v>1.9174990517132382</v>
      </c>
      <c r="AP114" s="104">
        <f si="141" t="shared"/>
        <v>-0.29852481816730886</v>
      </c>
      <c r="AQ114" s="104">
        <f si="142" t="shared"/>
        <v>0.18861072477206009</v>
      </c>
      <c r="AR114" s="104">
        <f si="143" t="shared"/>
        <v>-1</v>
      </c>
      <c r="AS114" s="104">
        <f si="144" t="shared"/>
        <v>-0.57210013908205837</v>
      </c>
      <c r="AT114" s="104">
        <f si="145" t="shared"/>
        <v>-1</v>
      </c>
      <c r="AU114" s="104">
        <f si="146" t="shared"/>
        <v>0</v>
      </c>
      <c r="AV114" s="104">
        <f si="147" t="shared"/>
        <v>0</v>
      </c>
      <c r="CU114" s="95">
        <v>113</v>
      </c>
      <c r="CV114" s="95">
        <f si="109" t="shared"/>
        <v>6</v>
      </c>
      <c r="CW114" s="95">
        <f si="103" t="shared"/>
        <v>13</v>
      </c>
      <c r="CX114" s="58">
        <f si="104" t="shared"/>
        <v>220.06661238990452</v>
      </c>
      <c r="CY114" s="58">
        <f si="105" t="shared"/>
        <v>159.99999999999997</v>
      </c>
      <c r="CZ114" s="108">
        <f si="106" t="shared"/>
        <v>-60.066612389904549</v>
      </c>
      <c r="DA114" s="78">
        <f si="107" t="shared"/>
        <v>-0.27294741232023473</v>
      </c>
    </row>
    <row r="115" spans="26:105" x14ac:dyDescent="0.25">
      <c r="Z115" s="95">
        <v>6</v>
      </c>
      <c r="AA115" s="104">
        <f si="126" t="shared"/>
        <v>8.2863755139592737E-2</v>
      </c>
      <c r="AB115" s="104">
        <f si="127" t="shared"/>
        <v>0.16458051934440865</v>
      </c>
      <c r="AC115" s="104">
        <f si="128" t="shared"/>
        <v>-3.3940115418846603E-2</v>
      </c>
      <c r="AD115" s="104">
        <f si="129" t="shared"/>
        <v>-0.18958361607662191</v>
      </c>
      <c r="AE115" s="104">
        <f si="130" t="shared"/>
        <v>0.37214763902260434</v>
      </c>
      <c r="AF115" s="104">
        <f si="131" t="shared"/>
        <v>-0.1815866741495788</v>
      </c>
      <c r="AG115" s="104">
        <f si="132" t="shared"/>
        <v>0.33365971655715965</v>
      </c>
      <c r="AH115" s="104">
        <f si="133" t="shared"/>
        <v>0.92818843485174851</v>
      </c>
      <c r="AI115" s="104">
        <f si="134" t="shared"/>
        <v>0.36322360189955999</v>
      </c>
      <c r="AJ115" s="104">
        <f si="135" t="shared"/>
        <v>0.53051628469577761</v>
      </c>
      <c r="AK115" s="104">
        <f si="136" t="shared"/>
        <v>0.47271085181590244</v>
      </c>
      <c r="AL115" s="104">
        <f si="137" t="shared"/>
        <v>9.6171593732569005E-2</v>
      </c>
      <c r="AM115" s="104">
        <f si="138" t="shared"/>
        <v>-0.27294741232023473</v>
      </c>
      <c r="AN115" s="104">
        <f si="139" t="shared"/>
        <v>-2.8393360100677403E-2</v>
      </c>
      <c r="AO115" s="104">
        <f si="140" t="shared"/>
        <v>0.24689518787079731</v>
      </c>
      <c r="AP115" s="104">
        <f si="141" t="shared"/>
        <v>1.4513011557093005</v>
      </c>
      <c r="AQ115" s="104">
        <f si="142" t="shared"/>
        <v>1.3978753612899948</v>
      </c>
      <c r="AR115" s="104">
        <f si="143" t="shared"/>
        <v>0.3916240936058008</v>
      </c>
      <c r="AS115" s="104">
        <f si="144" t="shared"/>
        <v>0.29884915403208068</v>
      </c>
      <c r="AT115" s="104">
        <f si="145" t="shared"/>
        <v>-0.19032780008389777</v>
      </c>
      <c r="AU115" s="104">
        <f si="146" t="shared"/>
        <v>0</v>
      </c>
      <c r="AV115" s="104">
        <f si="147" t="shared"/>
        <v>0</v>
      </c>
      <c r="CU115" s="95">
        <v>114</v>
      </c>
      <c r="CV115" s="95">
        <f si="109" t="shared"/>
        <v>6</v>
      </c>
      <c r="CW115" s="95">
        <f si="103" t="shared"/>
        <v>14</v>
      </c>
      <c r="CX115" s="58">
        <f si="104" t="shared"/>
        <v>41.168924086546767</v>
      </c>
      <c r="CY115" s="58">
        <f si="105" t="shared"/>
        <v>39.999999999999993</v>
      </c>
      <c r="CZ115" s="108">
        <f si="106" t="shared"/>
        <v>-1.1689240865467738</v>
      </c>
      <c r="DA115" s="78">
        <f si="107" t="shared"/>
        <v>-2.8393360100677403E-2</v>
      </c>
    </row>
    <row r="116" spans="26:105" x14ac:dyDescent="0.25">
      <c r="Z116" s="95">
        <v>7</v>
      </c>
      <c r="AA116" s="104">
        <f si="126" t="shared"/>
        <v>-4.6835949485039885E-2</v>
      </c>
      <c r="AB116" s="104">
        <f si="127" t="shared"/>
        <v>-5.5551203457777587E-2</v>
      </c>
      <c r="AC116" s="104">
        <f si="128" t="shared"/>
        <v>-0.27348313795619861</v>
      </c>
      <c r="AD116" s="104">
        <f si="129" t="shared"/>
        <v>3.3272080602572054E-3</v>
      </c>
      <c r="AE116" s="104">
        <f si="130" t="shared"/>
        <v>-0.32299214235900076</v>
      </c>
      <c r="AF116" s="104">
        <f si="131" t="shared"/>
        <v>1.7724550643913241E-2</v>
      </c>
      <c r="AG116" s="104">
        <f si="132" t="shared"/>
        <v>-0.24068200980526502</v>
      </c>
      <c r="AH116" s="104">
        <f si="133" t="shared"/>
        <v>-0.533202892092562</v>
      </c>
      <c r="AI116" s="104">
        <f si="134" t="shared"/>
        <v>0.29103369140033675</v>
      </c>
      <c r="AJ116" s="104">
        <f si="135" t="shared"/>
        <v>-0.2771563658528669</v>
      </c>
      <c r="AK116" s="104">
        <f si="136" t="shared"/>
        <v>-0.35215857238316495</v>
      </c>
      <c r="AL116" s="104">
        <f si="137" t="shared"/>
        <v>0.57664575887522351</v>
      </c>
      <c r="AM116" s="104">
        <f si="138" t="shared"/>
        <v>0.31300067483835908</v>
      </c>
      <c r="AN116" s="104">
        <f si="139" t="shared"/>
        <v>0.4403424275522298</v>
      </c>
      <c r="AO116" s="104">
        <f si="140" t="shared"/>
        <v>0.53234610217840506</v>
      </c>
      <c r="AP116" s="104">
        <f si="141" t="shared"/>
        <v>0.74016881043044935</v>
      </c>
      <c r="AQ116" s="104">
        <f si="142" t="shared"/>
        <v>0.13187971297909745</v>
      </c>
      <c r="AR116" s="104">
        <f si="143" t="shared"/>
        <v>-5.3175916913635754E-2</v>
      </c>
      <c r="AS116" s="104">
        <f si="144" t="shared"/>
        <v>5.5220720647641457E-3</v>
      </c>
      <c r="AT116" s="104">
        <f si="145" t="shared"/>
        <v>-0.91832541023841763</v>
      </c>
      <c r="AU116" s="104">
        <f si="146" t="shared"/>
        <v>0</v>
      </c>
      <c r="AV116" s="104">
        <f si="147" t="shared"/>
        <v>0</v>
      </c>
      <c r="CU116" s="95">
        <v>115</v>
      </c>
      <c r="CV116" s="95">
        <f si="109" t="shared"/>
        <v>6</v>
      </c>
      <c r="CW116" s="95">
        <f si="103" t="shared"/>
        <v>15</v>
      </c>
      <c r="CX116" s="58">
        <f si="104" t="shared"/>
        <v>112.27888387240027</v>
      </c>
      <c r="CY116" s="58">
        <f si="105" t="shared"/>
        <v>139.99999999999997</v>
      </c>
      <c r="CZ116" s="108">
        <f si="106" t="shared"/>
        <v>27.7211161275997</v>
      </c>
      <c r="DA116" s="78">
        <f si="107" t="shared"/>
        <v>0.24689518787079731</v>
      </c>
    </row>
    <row r="117" spans="26:105" x14ac:dyDescent="0.25">
      <c r="Z117" s="95">
        <v>8</v>
      </c>
      <c r="AA117" s="104">
        <f si="126" t="shared"/>
        <v>-3.2375358366547757E-2</v>
      </c>
      <c r="AB117" s="104">
        <f si="127" t="shared"/>
        <v>-0.14421768707482988</v>
      </c>
      <c r="AC117" s="104">
        <f si="128" t="shared"/>
        <v>-7.3143342741813448E-3</v>
      </c>
      <c r="AD117" s="104">
        <f si="129" t="shared"/>
        <v>-0.14198908730158741</v>
      </c>
      <c r="AE117" s="104">
        <f si="130" t="shared"/>
        <v>0.40621506818689923</v>
      </c>
      <c r="AF117" s="104">
        <f si="131" t="shared"/>
        <v>-0.10553826050194094</v>
      </c>
      <c r="AG117" s="104">
        <f si="132" t="shared"/>
        <v>-0.17777777777777787</v>
      </c>
      <c r="AH117" s="104">
        <f si="133" t="shared"/>
        <v>-0.48900137482814654</v>
      </c>
      <c r="AI117" s="104">
        <f si="134" t="shared"/>
        <v>0.63482781026640667</v>
      </c>
      <c r="AJ117" s="104">
        <f si="135" t="shared"/>
        <v>0.15887188208616781</v>
      </c>
      <c r="AK117" s="104">
        <f si="136" t="shared"/>
        <v>-9.3269349083303262E-3</v>
      </c>
      <c r="AL117" s="104">
        <f si="137" t="shared"/>
        <v>0.82166527429685321</v>
      </c>
      <c r="AM117" s="104">
        <f si="138" t="shared"/>
        <v>-1</v>
      </c>
      <c r="AN117" s="104">
        <f si="139" t="shared"/>
        <v>-9.2352092352092338E-2</v>
      </c>
      <c r="AO117" s="104">
        <f si="140" t="shared"/>
        <v>1.8526077097505669</v>
      </c>
      <c r="AP117" s="104">
        <f si="141" t="shared"/>
        <v>0.73636991028295373</v>
      </c>
      <c r="AQ117" s="104">
        <f si="142" t="shared"/>
        <v>2.4013024013023965E-2</v>
      </c>
      <c r="AR117" s="104">
        <f si="143" t="shared"/>
        <v>-1</v>
      </c>
      <c r="AS117" s="104">
        <f si="144" t="shared"/>
        <v>0.28827444956477211</v>
      </c>
      <c r="AT117" s="104">
        <f si="145" t="shared"/>
        <v>-1</v>
      </c>
      <c r="AU117" s="104">
        <f si="146" t="shared"/>
        <v>0</v>
      </c>
      <c r="AV117" s="104">
        <f si="147" t="shared"/>
        <v>0</v>
      </c>
      <c r="CU117" s="95">
        <v>116</v>
      </c>
      <c r="CV117" s="95">
        <f si="109" t="shared"/>
        <v>6</v>
      </c>
      <c r="CW117" s="95">
        <f si="103" t="shared"/>
        <v>16</v>
      </c>
      <c r="CX117" s="58">
        <f si="104" t="shared"/>
        <v>81.589322280610858</v>
      </c>
      <c r="CY117" s="58">
        <f si="105" t="shared"/>
        <v>199.99999999999997</v>
      </c>
      <c r="CZ117" s="108">
        <f si="106" t="shared"/>
        <v>118.41067771938911</v>
      </c>
      <c r="DA117" s="78">
        <f si="107" t="shared"/>
        <v>1.4513011557093005</v>
      </c>
    </row>
    <row r="118" spans="26:105" x14ac:dyDescent="0.25">
      <c r="Z118" s="95">
        <v>9</v>
      </c>
      <c r="AA118" s="104">
        <f si="126" t="shared"/>
        <v>8.2828144111489602E-2</v>
      </c>
      <c r="AB118" s="104">
        <f si="127" t="shared"/>
        <v>0.16052792711396735</v>
      </c>
      <c r="AC118" s="104">
        <f si="128" t="shared"/>
        <v>0.24585096514921098</v>
      </c>
      <c r="AD118" s="104">
        <f si="129" t="shared"/>
        <v>5.6370049703383232E-2</v>
      </c>
      <c r="AE118" s="104">
        <f si="130" t="shared"/>
        <v>0.38052884102980467</v>
      </c>
      <c r="AF118" s="104">
        <f si="131" t="shared"/>
        <v>0.15554610832710511</v>
      </c>
      <c r="AG118" s="104">
        <f si="132" t="shared"/>
        <v>-3.6369584770437419E-2</v>
      </c>
      <c r="AH118" s="104">
        <f si="133" t="shared"/>
        <v>2.0394278923690696</v>
      </c>
      <c r="AI118" s="104">
        <f si="134" t="shared"/>
        <v>-0.29655023674870451</v>
      </c>
      <c r="AJ118" s="104">
        <f si="135" t="shared"/>
        <v>-0.37855344353889447</v>
      </c>
      <c r="AK118" s="104">
        <f si="136" t="shared"/>
        <v>9.2733168033568819E-2</v>
      </c>
      <c r="AL118" s="104">
        <f si="137" t="shared"/>
        <v>0.32929195774695469</v>
      </c>
      <c r="AM118" s="104">
        <f si="138" t="shared"/>
        <v>0.27879608314390941</v>
      </c>
      <c r="AN118" s="104">
        <f si="139" t="shared"/>
        <v>0.47629354772211963</v>
      </c>
      <c r="AO118" s="104">
        <f si="140" t="shared"/>
        <v>9.0528399573625851E-2</v>
      </c>
      <c r="AP118" s="104">
        <f si="141" t="shared"/>
        <v>4.6486565473907372E-2</v>
      </c>
      <c r="AQ118" s="104">
        <f si="142" t="shared"/>
        <v>0.69102715466351861</v>
      </c>
      <c r="AR118" s="104">
        <f si="143" t="shared"/>
        <v>-0.22373297021184324</v>
      </c>
      <c r="AS118" s="104">
        <f si="144" t="shared"/>
        <v>7.6464045214045498E-2</v>
      </c>
      <c r="AT118" s="104">
        <f si="145" t="shared"/>
        <v>1.0001396453009361</v>
      </c>
      <c r="AU118" s="104">
        <f si="146" t="shared"/>
        <v>0</v>
      </c>
      <c r="AV118" s="104">
        <f si="147" t="shared"/>
        <v>0</v>
      </c>
      <c r="CU118" s="95">
        <v>117</v>
      </c>
      <c r="CV118" s="95">
        <f si="109" t="shared"/>
        <v>6</v>
      </c>
      <c r="CW118" s="95">
        <f si="103" t="shared"/>
        <v>17</v>
      </c>
      <c r="CX118" s="58">
        <f si="104" t="shared"/>
        <v>58.38501961364814</v>
      </c>
      <c r="CY118" s="58">
        <f si="105" t="shared"/>
        <v>139.99999999999997</v>
      </c>
      <c r="CZ118" s="108">
        <f si="106" t="shared"/>
        <v>81.614980386351831</v>
      </c>
      <c r="DA118" s="78">
        <f si="107" t="shared"/>
        <v>1.3978753612899948</v>
      </c>
    </row>
    <row r="119" spans="26:105" x14ac:dyDescent="0.25">
      <c r="Z119" s="95">
        <v>10</v>
      </c>
      <c r="AA119" s="104">
        <f si="126" t="shared"/>
        <v>-7.9958694376080344E-2</v>
      </c>
      <c r="AB119" s="104">
        <f si="127" t="shared"/>
        <v>0.49617450638792104</v>
      </c>
      <c r="AC119" s="104">
        <f si="128" t="shared"/>
        <v>1.0147792875983363E-2</v>
      </c>
      <c r="AD119" s="104">
        <f si="129" t="shared"/>
        <v>0.20736368288445678</v>
      </c>
      <c r="AE119" s="104">
        <f si="130" t="shared"/>
        <v>0.10374689895470381</v>
      </c>
      <c r="AF119" s="104">
        <f si="131" t="shared"/>
        <v>-0.10742293759982338</v>
      </c>
      <c r="AG119" s="104">
        <f si="132" t="shared"/>
        <v>0.24492093272581072</v>
      </c>
      <c r="AH119" s="104">
        <f si="133" t="shared"/>
        <v>2.443910735025717</v>
      </c>
      <c r="AI119" s="104">
        <f si="134" t="shared"/>
        <v>-0.17294451391502469</v>
      </c>
      <c r="AJ119" s="104">
        <f si="135" t="shared"/>
        <v>-0.29756204343707993</v>
      </c>
      <c r="AK119" s="104">
        <f si="136" t="shared"/>
        <v>-0.30683578034184517</v>
      </c>
      <c r="AL119" s="104">
        <f si="137" t="shared"/>
        <v>0.35768344392337814</v>
      </c>
      <c r="AM119" s="104">
        <f si="138" t="shared"/>
        <v>0.37850205050723079</v>
      </c>
      <c r="AN119" s="104">
        <f si="139" t="shared"/>
        <v>0.2838247118734924</v>
      </c>
      <c r="AO119" s="104">
        <f si="140" t="shared"/>
        <v>-8.2352095980459061E-2</v>
      </c>
      <c r="AP119" s="104">
        <f si="141" t="shared"/>
        <v>5.9664841546374636E-2</v>
      </c>
      <c r="AQ119" s="104">
        <f si="142" t="shared"/>
        <v>-1</v>
      </c>
      <c r="AR119" s="104">
        <f si="143" t="shared"/>
        <v>0.79459368326402158</v>
      </c>
      <c r="AS119" s="104">
        <f si="144" t="shared"/>
        <v>0.69009835487143301</v>
      </c>
      <c r="AT119" s="104">
        <f si="145" t="shared"/>
        <v>-7.2793263646922152E-2</v>
      </c>
      <c r="AU119" s="104">
        <f si="146" t="shared"/>
        <v>0</v>
      </c>
      <c r="AV119" s="104">
        <f si="147" t="shared"/>
        <v>0</v>
      </c>
      <c r="CU119" s="95">
        <v>118</v>
      </c>
      <c r="CV119" s="95">
        <f si="109" t="shared"/>
        <v>6</v>
      </c>
      <c r="CW119" s="95">
        <f si="103" t="shared"/>
        <v>18</v>
      </c>
      <c r="CX119" s="58">
        <f si="104" t="shared"/>
        <v>71.858485678336166</v>
      </c>
      <c r="CY119" s="58">
        <f si="105" t="shared"/>
        <v>99.999999999999986</v>
      </c>
      <c r="CZ119" s="108">
        <f si="106" t="shared"/>
        <v>28.14151432166382</v>
      </c>
      <c r="DA119" s="78">
        <f si="107" t="shared"/>
        <v>0.3916240936058008</v>
      </c>
    </row>
    <row r="120" spans="26:105" x14ac:dyDescent="0.25">
      <c r="Z120" s="95">
        <v>11</v>
      </c>
      <c r="AA120" s="104">
        <f si="126" t="shared"/>
        <v>0.22158379685838228</v>
      </c>
      <c r="AB120" s="104">
        <f si="127" t="shared"/>
        <v>0.29212886627590628</v>
      </c>
      <c r="AC120" s="104">
        <f si="128" t="shared"/>
        <v>0.13142590387840133</v>
      </c>
      <c r="AD120" s="104">
        <f si="129" t="shared"/>
        <v>-1.0137333012503736E-3</v>
      </c>
      <c r="AE120" s="104">
        <f si="130" t="shared"/>
        <v>-0.35528964679793174</v>
      </c>
      <c r="AF120" s="104">
        <f si="131" t="shared"/>
        <v>6.6262804254457491E-2</v>
      </c>
      <c r="AG120" s="104">
        <f si="132" t="shared"/>
        <v>-0.22320716832130943</v>
      </c>
      <c r="AH120" s="104">
        <f si="133" t="shared"/>
        <v>-0.21027019118372672</v>
      </c>
      <c r="AI120" s="104">
        <f si="134" t="shared"/>
        <v>0.10064380519753367</v>
      </c>
      <c r="AJ120" s="104">
        <f si="135" t="shared"/>
        <v>0.921799980271926</v>
      </c>
      <c r="AK120" s="104">
        <f si="136" t="shared"/>
        <v>-0.1781711197257943</v>
      </c>
      <c r="AL120" s="104">
        <f si="137" t="shared"/>
        <v>0.54957606258224334</v>
      </c>
      <c r="AM120" s="104">
        <f si="138" t="shared"/>
        <v>-0.24336054261159529</v>
      </c>
      <c r="AN120" s="104">
        <f si="139" t="shared"/>
        <v>0.60632399063810605</v>
      </c>
      <c r="AO120" s="104">
        <f si="140" t="shared"/>
        <v>0.58243905888434511</v>
      </c>
      <c r="AP120" s="104">
        <f si="141" t="shared"/>
        <v>1.2906368677125415</v>
      </c>
      <c r="AQ120" s="104">
        <f si="142" t="shared"/>
        <v>-0.20578496778218758</v>
      </c>
      <c r="AR120" s="104">
        <f si="143" t="shared"/>
        <v>-0.14101117460779689</v>
      </c>
      <c r="AS120" s="104">
        <f si="144" t="shared"/>
        <v>3.9211482415074758E-2</v>
      </c>
      <c r="AT120" s="104">
        <f si="145" t="shared"/>
        <v>-1</v>
      </c>
      <c r="AU120" s="104">
        <f si="146" t="shared"/>
        <v>0</v>
      </c>
      <c r="AV120" s="104">
        <f si="147" t="shared"/>
        <v>0</v>
      </c>
      <c r="CU120" s="95">
        <v>119</v>
      </c>
      <c r="CV120" s="95">
        <f si="109" t="shared"/>
        <v>6</v>
      </c>
      <c r="CW120" s="95">
        <f si="103" t="shared"/>
        <v>19</v>
      </c>
      <c r="CX120" s="58">
        <f si="104" t="shared"/>
        <v>107.78772851750425</v>
      </c>
      <c r="CY120" s="58">
        <f si="105" t="shared"/>
        <v>139.99999999999997</v>
      </c>
      <c r="CZ120" s="108">
        <f si="106" t="shared"/>
        <v>32.212271482495723</v>
      </c>
      <c r="DA120" s="78">
        <f si="107" t="shared"/>
        <v>0.29884915403208068</v>
      </c>
    </row>
    <row r="121" spans="26:105" x14ac:dyDescent="0.25">
      <c r="Z121" s="95">
        <v>12</v>
      </c>
      <c r="AA121" s="104">
        <f si="126" t="shared"/>
        <v>-8.4916392010218722E-2</v>
      </c>
      <c r="AB121" s="104">
        <f si="127" t="shared"/>
        <v>0.30243422495452588</v>
      </c>
      <c r="AC121" s="104">
        <f si="128" t="shared"/>
        <v>0.1011265731337401</v>
      </c>
      <c r="AD121" s="104">
        <f si="129" t="shared"/>
        <v>0.52091661176730186</v>
      </c>
      <c r="AE121" s="104">
        <f si="130" t="shared"/>
        <v>0.35367184045766897</v>
      </c>
      <c r="AF121" s="104">
        <f si="131" t="shared"/>
        <v>-6.735548171943713E-2</v>
      </c>
      <c r="AG121" s="104">
        <f si="132" t="shared"/>
        <v>0.31894744877186365</v>
      </c>
      <c r="AH121" s="104">
        <f si="133" t="shared"/>
        <v>-0.17273283433479789</v>
      </c>
      <c r="AI121" s="104">
        <f si="134" t="shared"/>
        <v>0.39603912968988092</v>
      </c>
      <c r="AJ121" s="104">
        <f si="135" t="shared"/>
        <v>0.37854211225342022</v>
      </c>
      <c r="AK121" s="104">
        <f si="136" t="shared"/>
        <v>3.6133492852294932E-2</v>
      </c>
      <c r="AL121" s="104">
        <f si="137" t="shared"/>
        <v>-0.11513315404217125</v>
      </c>
      <c r="AM121" s="104">
        <f si="138" t="shared"/>
        <v>1.0271875499379239</v>
      </c>
      <c r="AN121" s="104">
        <f si="139" t="shared"/>
        <v>0.51164272998823312</v>
      </c>
      <c r="AO121" s="104">
        <f si="140" t="shared"/>
        <v>0.42002801907985532</v>
      </c>
      <c r="AP121" s="104">
        <f si="141" t="shared"/>
        <v>5.5750478087020015E-2</v>
      </c>
      <c r="AQ121" s="104">
        <f si="142" t="shared"/>
        <v>0.2579154632526196</v>
      </c>
      <c r="AR121" s="104">
        <f si="143" t="shared"/>
        <v>-0.30810382508001261</v>
      </c>
      <c r="AS121" s="104">
        <f si="144" t="shared"/>
        <v>0.35050314963415735</v>
      </c>
      <c r="AT121" s="104">
        <f si="145" t="shared"/>
        <v>-0.54753550939127715</v>
      </c>
      <c r="AU121" s="104">
        <f si="146" t="shared"/>
        <v>0</v>
      </c>
      <c r="AV121" s="104">
        <f si="147" t="shared"/>
        <v>0</v>
      </c>
      <c r="CU121" s="95">
        <v>120</v>
      </c>
      <c r="CV121" s="95">
        <f si="109" t="shared"/>
        <v>6</v>
      </c>
      <c r="CW121" s="95">
        <f si="103" t="shared"/>
        <v>20</v>
      </c>
      <c r="CX121" s="58">
        <f si="104" t="shared"/>
        <v>24.701354451928058</v>
      </c>
      <c r="CY121" s="58">
        <f si="105" t="shared"/>
        <v>19.999999999999996</v>
      </c>
      <c r="CZ121" s="108">
        <f si="106" t="shared"/>
        <v>-4.7013544519280615</v>
      </c>
      <c r="DA121" s="78">
        <f si="107" t="shared"/>
        <v>-0.19032780008389777</v>
      </c>
    </row>
    <row r="122" spans="26:105" x14ac:dyDescent="0.25">
      <c r="Z122" s="95">
        <v>13</v>
      </c>
      <c r="AA122" s="104">
        <f si="126" t="shared"/>
        <v>0.20601804783859384</v>
      </c>
      <c r="AB122" s="104">
        <f si="127" t="shared"/>
        <v>0.31714903420166579</v>
      </c>
      <c r="AC122" s="104">
        <f si="128" t="shared"/>
        <v>0.57002316745435988</v>
      </c>
      <c r="AD122" s="104">
        <f si="129" t="shared"/>
        <v>0.56436517766217997</v>
      </c>
      <c r="AE122" s="104">
        <f si="130" t="shared"/>
        <v>9.9084967320261175E-2</v>
      </c>
      <c r="AF122" s="104">
        <f si="131" t="shared"/>
        <v>-1.2993314303359229E-3</v>
      </c>
      <c r="AG122" s="104">
        <f si="132" t="shared"/>
        <v>0.39673774176821691</v>
      </c>
      <c r="AH122" s="104">
        <f si="133" t="shared"/>
        <v>0.9201405357927096</v>
      </c>
      <c r="AI122" s="104">
        <f si="134" t="shared"/>
        <v>0.56266200381605891</v>
      </c>
      <c r="AJ122" s="104">
        <f si="135" t="shared"/>
        <v>0.11934459805427537</v>
      </c>
      <c r="AK122" s="104">
        <f si="136" t="shared"/>
        <v>0.17507491769132555</v>
      </c>
      <c r="AL122" s="104">
        <f si="137" t="shared"/>
        <v>0.59052473040544595</v>
      </c>
      <c r="AM122" s="104">
        <f si="138" t="shared"/>
        <v>-0.19025808277565556</v>
      </c>
      <c r="AN122" s="104">
        <f si="139" t="shared"/>
        <v>0.52287008011145919</v>
      </c>
      <c r="AO122" s="104">
        <f si="140" t="shared"/>
        <v>0.72100018744142447</v>
      </c>
      <c r="AP122" s="104">
        <f si="141" t="shared"/>
        <v>0.45593073593073569</v>
      </c>
      <c r="AQ122" s="104">
        <f si="142" t="shared"/>
        <v>-0.43380471380471392</v>
      </c>
      <c r="AR122" s="104">
        <f si="143" t="shared"/>
        <v>-0.10148787505137696</v>
      </c>
      <c r="AS122" s="104">
        <f si="144" t="shared"/>
        <v>0.28630773756987343</v>
      </c>
      <c r="AT122" s="104">
        <f si="145" t="shared"/>
        <v>-0.35054070112893654</v>
      </c>
      <c r="AU122" s="104">
        <f si="146" t="shared"/>
        <v>0</v>
      </c>
      <c r="AV122" s="104">
        <f si="147" t="shared"/>
        <v>0</v>
      </c>
      <c r="CU122" s="95">
        <v>121</v>
      </c>
      <c r="CV122" s="95">
        <f si="109" t="shared"/>
        <v>7</v>
      </c>
      <c r="CW122" s="95">
        <f si="103" t="shared"/>
        <v>1</v>
      </c>
      <c r="CX122" s="58">
        <f si="104" t="shared"/>
        <v>4259.497615134067</v>
      </c>
      <c r="CY122" s="58">
        <f si="105" t="shared"/>
        <v>4060</v>
      </c>
      <c r="CZ122" s="108">
        <f si="106" t="shared"/>
        <v>-199.49761513406702</v>
      </c>
      <c r="DA122" s="78">
        <f si="107" t="shared"/>
        <v>-4.6835949485039885E-2</v>
      </c>
    </row>
    <row r="123" spans="26:105" x14ac:dyDescent="0.25">
      <c r="Z123" s="95">
        <v>14</v>
      </c>
      <c r="AA123" s="104">
        <f si="126" t="shared"/>
        <v>0.82860754672540105</v>
      </c>
      <c r="AB123" s="104">
        <f si="127" t="shared"/>
        <v>-0.40980007646674305</v>
      </c>
      <c r="AC123" s="104">
        <f si="128" t="shared"/>
        <v>1.227715397650039</v>
      </c>
      <c r="AD123" s="104">
        <f si="129" t="shared"/>
        <v>0.61919456456273603</v>
      </c>
      <c r="AE123" s="104">
        <f si="130" t="shared"/>
        <v>0.56293683454177301</v>
      </c>
      <c r="AF123" s="104">
        <f si="131" t="shared"/>
        <v>-0.18731412532080144</v>
      </c>
      <c r="AG123" s="104">
        <f si="132" t="shared"/>
        <v>-0.29251675832872409</v>
      </c>
      <c r="AH123" s="104">
        <f si="133" t="shared"/>
        <v>0.8112294754806838</v>
      </c>
      <c r="AI123" s="104">
        <f si="134" t="shared"/>
        <v>0.48749032646700097</v>
      </c>
      <c r="AJ123" s="104">
        <f si="135" t="shared"/>
        <v>0.60395508630802774</v>
      </c>
      <c r="AK123" s="104">
        <f si="136" t="shared"/>
        <v>0.29465344374870345</v>
      </c>
      <c r="AL123" s="104">
        <f si="137" t="shared"/>
        <v>0.26793316905896469</v>
      </c>
      <c r="AM123" s="104">
        <f si="138" t="shared"/>
        <v>0.11750969128018328</v>
      </c>
      <c r="AN123" s="104">
        <f si="139" t="shared"/>
        <v>-0.20080499735778259</v>
      </c>
      <c r="AO123" s="104">
        <f si="140" t="shared"/>
        <v>2.1244811506983992E-2</v>
      </c>
      <c r="AP123" s="104">
        <f si="141" t="shared"/>
        <v>0.74789977354079962</v>
      </c>
      <c r="AQ123" s="104">
        <f si="142" t="shared"/>
        <v>-4.8705316679172564E-2</v>
      </c>
      <c r="AR123" s="104">
        <f si="143" t="shared"/>
        <v>3.131399464732799</v>
      </c>
      <c r="AS123" s="104">
        <f si="144" t="shared"/>
        <v>0.79389713600239953</v>
      </c>
      <c r="AT123" s="104">
        <f si="145" t="shared"/>
        <v>-1</v>
      </c>
      <c r="AU123" s="104">
        <f si="146" t="shared"/>
        <v>0</v>
      </c>
      <c r="AV123" s="104">
        <f si="147" t="shared"/>
        <v>0</v>
      </c>
      <c r="CU123" s="95">
        <v>122</v>
      </c>
      <c r="CV123" s="95">
        <f si="109" t="shared"/>
        <v>7</v>
      </c>
      <c r="CW123" s="95">
        <f si="103" t="shared"/>
        <v>2</v>
      </c>
      <c r="CX123" s="58">
        <f si="104" t="shared"/>
        <v>5823.5025764619286</v>
      </c>
      <c r="CY123" s="58">
        <f si="105" t="shared"/>
        <v>5500</v>
      </c>
      <c r="CZ123" s="108">
        <f si="106" t="shared"/>
        <v>-323.50257646192858</v>
      </c>
      <c r="DA123" s="78">
        <f si="107" t="shared"/>
        <v>-5.5551203457777587E-2</v>
      </c>
    </row>
    <row r="124" spans="26:105" x14ac:dyDescent="0.25">
      <c r="Z124" s="95">
        <v>15</v>
      </c>
      <c r="AA124" s="104">
        <f si="126" t="shared"/>
        <v>0.32354939156316592</v>
      </c>
      <c r="AB124" s="104">
        <f si="127" t="shared"/>
        <v>-5.0320219579140868E-3</v>
      </c>
      <c r="AC124" s="104">
        <f si="128" t="shared"/>
        <v>2.4212426183148961</v>
      </c>
      <c r="AD124" s="104">
        <f si="129" t="shared"/>
        <v>0.13696884596567535</v>
      </c>
      <c r="AE124" s="104">
        <f si="130" t="shared"/>
        <v>0.43777149193749221</v>
      </c>
      <c r="AF124" s="104">
        <f si="131" t="shared"/>
        <v>0.22617845021060512</v>
      </c>
      <c r="AG124" s="104">
        <f si="132" t="shared"/>
        <v>-2.0192072380377058E-2</v>
      </c>
      <c r="AH124" s="104">
        <f si="133" t="shared"/>
        <v>-0.41923350615024912</v>
      </c>
      <c r="AI124" s="104">
        <f si="134" t="shared"/>
        <v>-2.8712141316199872E-2</v>
      </c>
      <c r="AJ124" s="104">
        <f si="135" t="shared"/>
        <v>0.68819080199803329</v>
      </c>
      <c r="AK124" s="104">
        <f si="136" t="shared"/>
        <v>0.76910408895770244</v>
      </c>
      <c r="AL124" s="104">
        <f si="137" t="shared"/>
        <v>0.11648196119513658</v>
      </c>
      <c r="AM124" s="104">
        <f si="138" t="shared"/>
        <v>0.7158681787950858</v>
      </c>
      <c r="AN124" s="104">
        <f si="139" t="shared"/>
        <v>5.5336230558096977</v>
      </c>
      <c r="AO124" s="104">
        <f si="140" t="shared"/>
        <v>-0.21806945972982816</v>
      </c>
      <c r="AP124" s="104">
        <f si="141" t="shared"/>
        <v>-1</v>
      </c>
      <c r="AQ124" s="104">
        <f si="142" t="shared"/>
        <v>0.13014020424816372</v>
      </c>
      <c r="AR124" s="104">
        <f si="143" t="shared"/>
        <v>-0.43492989787591801</v>
      </c>
      <c r="AS124" s="104">
        <f si="144" t="shared"/>
        <v>0.4476313512985845</v>
      </c>
      <c r="AT124" s="104">
        <f si="145" t="shared"/>
        <v>0.1615329876995017</v>
      </c>
      <c r="AU124" s="104">
        <f si="146" t="shared"/>
        <v>0</v>
      </c>
      <c r="AV124" s="104">
        <f si="147" t="shared"/>
        <v>0</v>
      </c>
      <c r="CU124" s="95">
        <v>123</v>
      </c>
      <c r="CV124" s="95">
        <f si="109" t="shared"/>
        <v>7</v>
      </c>
      <c r="CW124" s="95">
        <f si="103" t="shared"/>
        <v>3</v>
      </c>
      <c r="CX124" s="58">
        <f si="104" t="shared"/>
        <v>2257.3460929543094</v>
      </c>
      <c r="CY124" s="58">
        <f si="105" t="shared"/>
        <v>1640</v>
      </c>
      <c r="CZ124" s="108">
        <f si="106" t="shared"/>
        <v>-617.34609295430937</v>
      </c>
      <c r="DA124" s="78">
        <f si="107" t="shared"/>
        <v>-0.27348313795619861</v>
      </c>
    </row>
    <row r="125" spans="26:105" x14ac:dyDescent="0.25">
      <c r="Z125" s="95">
        <v>16</v>
      </c>
      <c r="AA125" s="104">
        <f si="126" t="shared"/>
        <v>-2.584225748456212E-2</v>
      </c>
      <c r="AB125" s="104">
        <f si="127" t="shared"/>
        <v>-0.28937113066145354</v>
      </c>
      <c r="AC125" s="104">
        <f si="128" t="shared"/>
        <v>5.2462990561351078E-2</v>
      </c>
      <c r="AD125" s="104">
        <f si="129" t="shared"/>
        <v>0.46923762116845652</v>
      </c>
      <c r="AE125" s="104">
        <f si="130" t="shared"/>
        <v>0.3570530769709413</v>
      </c>
      <c r="AF125" s="104">
        <f si="131" t="shared"/>
        <v>-0.1735390659012444</v>
      </c>
      <c r="AG125" s="104">
        <f si="132" t="shared"/>
        <v>8.1805555555555284E-2</v>
      </c>
      <c r="AH125" s="104">
        <f si="133" t="shared"/>
        <v>-0.35991782229070374</v>
      </c>
      <c r="AI125" s="104">
        <f si="134" t="shared"/>
        <v>-3.9062379520395096E-2</v>
      </c>
      <c r="AJ125" s="104">
        <f si="135" t="shared"/>
        <v>-0.33449042395278966</v>
      </c>
      <c r="AK125" s="104">
        <f si="136" t="shared"/>
        <v>-0.38426877470355747</v>
      </c>
      <c r="AL125" s="104">
        <f si="137" t="shared"/>
        <v>0.32876318742985389</v>
      </c>
      <c r="AM125" s="104">
        <f si="138" t="shared"/>
        <v>2.1470707070707062</v>
      </c>
      <c r="AN125" s="104">
        <f si="139" t="shared"/>
        <v>-0.39088954056696001</v>
      </c>
      <c r="AO125" s="104">
        <f si="140" t="shared"/>
        <v>7.582920110192835</v>
      </c>
      <c r="AP125" s="104">
        <f si="141" t="shared"/>
        <v>-0.4040430886942516</v>
      </c>
      <c r="AQ125" s="104">
        <f si="142" t="shared"/>
        <v>0.88824242424242383</v>
      </c>
      <c r="AR125" s="104">
        <f si="143" t="shared"/>
        <v>1.0802670775552128</v>
      </c>
      <c r="AS125" s="104">
        <f si="144" t="shared"/>
        <v>-0.1148863636363639</v>
      </c>
      <c r="AT125" s="104">
        <f si="145" t="shared"/>
        <v>3.1048748353096167</v>
      </c>
      <c r="AU125" s="104">
        <f si="146" t="shared"/>
        <v>0</v>
      </c>
      <c r="AV125" s="104">
        <f si="147" t="shared"/>
        <v>0</v>
      </c>
      <c r="CU125" s="95">
        <v>124</v>
      </c>
      <c r="CV125" s="95">
        <f si="109" t="shared"/>
        <v>7</v>
      </c>
      <c r="CW125" s="95">
        <f si="103" t="shared"/>
        <v>4</v>
      </c>
      <c r="CX125" s="58">
        <f si="104" t="shared"/>
        <v>1375.423679248137</v>
      </c>
      <c r="CY125" s="58">
        <f si="105" t="shared"/>
        <v>1380</v>
      </c>
      <c r="CZ125" s="108">
        <f si="106" t="shared"/>
        <v>4.5763207518630225</v>
      </c>
      <c r="DA125" s="78">
        <f si="107" t="shared"/>
        <v>3.3272080602572054E-3</v>
      </c>
    </row>
    <row r="126" spans="26:105" x14ac:dyDescent="0.25">
      <c r="Z126" s="95">
        <v>17</v>
      </c>
      <c r="AA126" s="104">
        <f si="126" t="shared"/>
        <v>-4.717006048120858E-2</v>
      </c>
      <c r="AB126" s="104">
        <f si="127" t="shared"/>
        <v>-0.36069240659506874</v>
      </c>
      <c r="AC126" s="104">
        <f si="128" t="shared"/>
        <v>1.0825673058563596</v>
      </c>
      <c r="AD126" s="104">
        <f si="129" t="shared"/>
        <v>5.9406066032078618E-2</v>
      </c>
      <c r="AE126" s="104">
        <f si="130" t="shared"/>
        <v>-0.12103284649041735</v>
      </c>
      <c r="AF126" s="104">
        <f si="131" t="shared"/>
        <v>6.8256784475130602E-2</v>
      </c>
      <c r="AG126" s="104">
        <f si="132" t="shared"/>
        <v>-0.61793502057973559</v>
      </c>
      <c r="AH126" s="104">
        <f si="133" t="shared"/>
        <v>0.21437010187481842</v>
      </c>
      <c r="AI126" s="104">
        <f si="134" t="shared"/>
        <v>0.14653976224943982</v>
      </c>
      <c r="AJ126" s="104">
        <f si="135" t="shared"/>
        <v>0.26247558417130878</v>
      </c>
      <c r="AK126" s="104">
        <f si="136" t="shared"/>
        <v>-3.7923117694518369E-3</v>
      </c>
      <c r="AL126" s="104">
        <f si="137" t="shared"/>
        <v>0.24635100070513402</v>
      </c>
      <c r="AM126" s="104">
        <f si="138" t="shared"/>
        <v>-0.53466444814198555</v>
      </c>
      <c r="AN126" s="104">
        <f si="139" t="shared"/>
        <v>0.60760608958821927</v>
      </c>
      <c r="AO126" s="104">
        <f si="140" t="shared"/>
        <v>1.1777703826955075</v>
      </c>
      <c r="AP126" s="104">
        <f si="141" t="shared"/>
        <v>-1</v>
      </c>
      <c r="AQ126" s="104">
        <f si="142" t="shared"/>
        <v>-0.26482255730534093</v>
      </c>
      <c r="AR126" s="104">
        <f si="143" t="shared"/>
        <v>0</v>
      </c>
      <c r="AS126" s="104">
        <f si="144" t="shared"/>
        <v>0.24450926219283869</v>
      </c>
      <c r="AT126" s="104">
        <f si="145" t="shared"/>
        <v>-1</v>
      </c>
      <c r="AU126" s="104">
        <f si="146" t="shared"/>
        <v>0</v>
      </c>
      <c r="AV126" s="104">
        <f si="147" t="shared"/>
        <v>0</v>
      </c>
      <c r="CU126" s="95">
        <v>125</v>
      </c>
      <c r="CV126" s="95">
        <f si="109" t="shared"/>
        <v>7</v>
      </c>
      <c r="CW126" s="95">
        <f si="103" t="shared"/>
        <v>5</v>
      </c>
      <c r="CX126" s="58">
        <f si="104" t="shared"/>
        <v>2304.2568596408078</v>
      </c>
      <c r="CY126" s="58">
        <f si="105" t="shared"/>
        <v>1560</v>
      </c>
      <c r="CZ126" s="108">
        <f si="106" t="shared"/>
        <v>-744.25685964080776</v>
      </c>
      <c r="DA126" s="78">
        <f si="107" t="shared"/>
        <v>-0.32299214235900076</v>
      </c>
    </row>
    <row r="127" spans="26:105" x14ac:dyDescent="0.25">
      <c r="Z127" s="95">
        <v>18</v>
      </c>
      <c r="AA127" s="104">
        <f si="126" t="shared"/>
        <v>1.7497086970188893E-2</v>
      </c>
      <c r="AB127" s="104">
        <f si="127" t="shared"/>
        <v>0.1252144606526481</v>
      </c>
      <c r="AC127" s="104">
        <f si="128" t="shared"/>
        <v>0.44225371422415966</v>
      </c>
      <c r="AD127" s="104">
        <f si="129" t="shared"/>
        <v>-7.6981675491313309E-2</v>
      </c>
      <c r="AE127" s="104">
        <f si="130" t="shared"/>
        <v>-0.16521136827523189</v>
      </c>
      <c r="AF127" s="104">
        <f si="131" t="shared"/>
        <v>-0.10747235350253173</v>
      </c>
      <c r="AG127" s="104">
        <f si="132" t="shared"/>
        <v>-1.6985484398248731E-2</v>
      </c>
      <c r="AH127" s="104">
        <f si="133" t="shared"/>
        <v>-0.35330298403093918</v>
      </c>
      <c r="AI127" s="104">
        <f si="134" t="shared"/>
        <v>-0.15428185571540426</v>
      </c>
      <c r="AJ127" s="104">
        <f si="135" t="shared"/>
        <v>1.0891438917364826</v>
      </c>
      <c r="AK127" s="104">
        <f si="136" t="shared"/>
        <v>0.84818320326041696</v>
      </c>
      <c r="AL127" s="104">
        <f si="137" t="shared"/>
        <v>-1.2706069275609591E-2</v>
      </c>
      <c r="AM127" s="104">
        <f si="138" t="shared"/>
        <v>0.29832437767613235</v>
      </c>
      <c r="AN127" s="104">
        <f si="139" t="shared"/>
        <v>-1</v>
      </c>
      <c r="AO127" s="104">
        <f si="140" t="shared"/>
        <v>-0.15380431864917926</v>
      </c>
      <c r="AP127" s="104">
        <f si="141" t="shared"/>
        <v>-1.2771705090709079E-2</v>
      </c>
      <c r="AQ127" s="104">
        <f si="142" t="shared"/>
        <v>6.435550544907935E-2</v>
      </c>
      <c r="AR127" s="104">
        <f si="143" t="shared"/>
        <v>-0.17727394773782873</v>
      </c>
      <c r="AS127" s="104">
        <f si="144" t="shared"/>
        <v>-0.14851559564073655</v>
      </c>
      <c r="AT127" s="104">
        <f si="145" t="shared"/>
        <v>0.1460519820835493</v>
      </c>
      <c r="AU127" s="104">
        <f si="146" t="shared"/>
        <v>0</v>
      </c>
      <c r="AV127" s="104">
        <f si="147" t="shared"/>
        <v>0</v>
      </c>
      <c r="CU127" s="95">
        <v>126</v>
      </c>
      <c r="CV127" s="95">
        <f si="109" t="shared"/>
        <v>7</v>
      </c>
      <c r="CW127" s="95">
        <f si="103" t="shared"/>
        <v>6</v>
      </c>
      <c r="CX127" s="58">
        <f si="104" t="shared"/>
        <v>7978.5831980396706</v>
      </c>
      <c r="CY127" s="58">
        <f si="105" t="shared"/>
        <v>8120</v>
      </c>
      <c r="CZ127" s="108">
        <f si="106" t="shared"/>
        <v>141.41680196032939</v>
      </c>
      <c r="DA127" s="78">
        <f si="107" t="shared"/>
        <v>1.7724550643913241E-2</v>
      </c>
    </row>
    <row r="128" spans="26:105" x14ac:dyDescent="0.25">
      <c r="Z128" s="95">
        <v>19</v>
      </c>
      <c r="AA128" s="104">
        <f si="126" t="shared"/>
        <v>-5.3426245713379131E-2</v>
      </c>
      <c r="AB128" s="104">
        <f si="127" t="shared"/>
        <v>-0.13864605543710018</v>
      </c>
      <c r="AC128" s="104">
        <f si="128" t="shared"/>
        <v>1.1938157608459163</v>
      </c>
      <c r="AD128" s="104">
        <f si="129" t="shared"/>
        <v>1.0210539481364129</v>
      </c>
      <c r="AE128" s="104">
        <f si="130" t="shared"/>
        <v>0.45172013128578614</v>
      </c>
      <c r="AF128" s="104">
        <f si="131" t="shared"/>
        <v>0.20670812044896805</v>
      </c>
      <c r="AG128" s="104">
        <f si="132" t="shared"/>
        <v>2.6496287037717801E-2</v>
      </c>
      <c r="AH128" s="104">
        <f si="133" t="shared"/>
        <v>0.4219176227705011</v>
      </c>
      <c r="AI128" s="104">
        <f si="134" t="shared"/>
        <v>0.48440299633226241</v>
      </c>
      <c r="AJ128" s="104">
        <f si="135" t="shared"/>
        <v>1.0135546756015836</v>
      </c>
      <c r="AK128" s="104">
        <f si="136" t="shared"/>
        <v>0.11199136640997577</v>
      </c>
      <c r="AL128" s="104">
        <f si="137" t="shared"/>
        <v>-0.21726862644182732</v>
      </c>
      <c r="AM128" s="104">
        <f si="138" t="shared"/>
        <v>4.4819225173769996E-2</v>
      </c>
      <c r="AN128" s="104">
        <f si="139" t="shared"/>
        <v>1.1301868043522767</v>
      </c>
      <c r="AO128" s="104">
        <f si="140" t="shared"/>
        <v>2.890019177853757E-2</v>
      </c>
      <c r="AP128" s="104">
        <f si="141" t="shared"/>
        <v>-1.5595491928114593E-2</v>
      </c>
      <c r="AQ128" s="104">
        <f si="142" t="shared"/>
        <v>0.22388289216687585</v>
      </c>
      <c r="AR128" s="104">
        <f si="143" t="shared"/>
        <v>2.4454157782515993</v>
      </c>
      <c r="AS128" s="104">
        <f si="144" t="shared"/>
        <v>-0.16217423009866963</v>
      </c>
      <c r="AT128" s="104">
        <f si="145" t="shared"/>
        <v>-1</v>
      </c>
      <c r="AU128" s="104">
        <f si="146" t="shared"/>
        <v>0</v>
      </c>
      <c r="AV128" s="104">
        <f si="147" t="shared"/>
        <v>0</v>
      </c>
      <c r="CU128" s="95">
        <v>127</v>
      </c>
      <c r="CV128" s="95">
        <f si="109" t="shared"/>
        <v>7</v>
      </c>
      <c r="CW128" s="95">
        <f si="103" t="shared"/>
        <v>7</v>
      </c>
      <c r="CX128" s="58">
        <f si="104" t="shared"/>
        <v>36322.068430022082</v>
      </c>
      <c r="CY128" s="58">
        <f si="105" t="shared"/>
        <v>27580</v>
      </c>
      <c r="CZ128" s="108">
        <f si="106" t="shared"/>
        <v>-8742.0684300220819</v>
      </c>
      <c r="DA128" s="78">
        <f si="107" t="shared"/>
        <v>-0.24068200980526502</v>
      </c>
    </row>
    <row r="129" spans="26:105" x14ac:dyDescent="0.25">
      <c r="Z129" s="95">
        <v>20</v>
      </c>
      <c r="AA129" s="104">
        <f si="126" t="shared"/>
        <v>-0.58378140345553653</v>
      </c>
      <c r="AB129" s="104">
        <f si="127" t="shared"/>
        <v>-0.38751572378416349</v>
      </c>
      <c r="AC129" s="104">
        <f si="128" t="shared"/>
        <v>1.0089484259879438</v>
      </c>
      <c r="AD129" s="104">
        <f si="129" t="shared"/>
        <v>0.50671131949095782</v>
      </c>
      <c r="AE129" s="104">
        <f si="130" t="shared"/>
        <v>0.46485822728287579</v>
      </c>
      <c r="AF129" s="104">
        <f si="131" t="shared"/>
        <v>0.20498346088528296</v>
      </c>
      <c r="AG129" s="104">
        <f si="132" t="shared"/>
        <v>0.36618902026382183</v>
      </c>
      <c r="AH129" s="104">
        <f si="133" t="shared"/>
        <v>-1</v>
      </c>
      <c r="AI129" s="104">
        <f si="134" t="shared"/>
        <v>-0.29757048042379591</v>
      </c>
      <c r="AJ129" s="104">
        <f si="135" t="shared"/>
        <v>-0.41600336453838849</v>
      </c>
      <c r="AK129" s="104">
        <f si="136" t="shared"/>
        <v>-0.26141601985737362</v>
      </c>
      <c r="AL129" s="104">
        <f si="137" t="shared"/>
        <v>-0.25743339620379541</v>
      </c>
      <c r="AM129" s="104">
        <f si="138" t="shared"/>
        <v>-0.14340170346115513</v>
      </c>
      <c r="AN129" s="104">
        <f si="139" t="shared"/>
        <v>-1</v>
      </c>
      <c r="AO129" s="104">
        <f si="140" t="shared"/>
        <v>9.0447421299397188</v>
      </c>
      <c r="AP129" s="104">
        <f si="141" t="shared"/>
        <v>1.0204941065970701</v>
      </c>
      <c r="AQ129" s="104">
        <f si="142" t="shared"/>
        <v>-1</v>
      </c>
      <c r="AR129" s="104">
        <f si="143" t="shared"/>
        <v>9.8974244265578826E-2</v>
      </c>
      <c r="AS129" s="104">
        <f si="144" t="shared"/>
        <v>-1</v>
      </c>
      <c r="AT129" s="104">
        <f si="145" t="shared"/>
        <v>4.7052292533964944E-2</v>
      </c>
      <c r="AU129" s="104">
        <f si="146" t="shared"/>
        <v>0</v>
      </c>
      <c r="AV129" s="104">
        <f si="147" t="shared"/>
        <v>0</v>
      </c>
      <c r="CU129" s="95">
        <v>128</v>
      </c>
      <c r="CV129" s="95">
        <f si="109" t="shared"/>
        <v>7</v>
      </c>
      <c r="CW129" s="95">
        <f si="103" t="shared"/>
        <v>8</v>
      </c>
      <c r="CX129" s="58">
        <f si="104" t="shared"/>
        <v>257.07100144201195</v>
      </c>
      <c r="CY129" s="58">
        <f si="105" t="shared"/>
        <v>120</v>
      </c>
      <c r="CZ129" s="108">
        <f si="106" t="shared"/>
        <v>-137.07100144201195</v>
      </c>
      <c r="DA129" s="78">
        <f si="107" t="shared"/>
        <v>-0.533202892092562</v>
      </c>
    </row>
    <row r="130" spans="26:105" x14ac:dyDescent="0.25">
      <c r="Z130" s="101" t="s">
        <v>15</v>
      </c>
      <c r="AA130" s="105">
        <f si="126" t="shared"/>
        <v>0</v>
      </c>
      <c r="AB130" s="105">
        <f si="127" t="shared"/>
        <v>0</v>
      </c>
      <c r="AC130" s="105">
        <f si="128" t="shared"/>
        <v>0</v>
      </c>
      <c r="AD130" s="105">
        <f si="129" t="shared"/>
        <v>0</v>
      </c>
      <c r="AE130" s="105">
        <f si="130" t="shared"/>
        <v>0</v>
      </c>
      <c r="AF130" s="105">
        <f si="131" t="shared"/>
        <v>0</v>
      </c>
      <c r="AG130" s="105">
        <f si="132" t="shared"/>
        <v>0</v>
      </c>
      <c r="AH130" s="105">
        <f si="133" t="shared"/>
        <v>0</v>
      </c>
      <c r="AI130" s="105">
        <f si="134" t="shared"/>
        <v>0</v>
      </c>
      <c r="AJ130" s="105">
        <f si="135" t="shared"/>
        <v>0</v>
      </c>
      <c r="AK130" s="105">
        <f si="136" t="shared"/>
        <v>0</v>
      </c>
      <c r="AL130" s="105">
        <f si="137" t="shared"/>
        <v>0</v>
      </c>
      <c r="AM130" s="105">
        <f si="138" t="shared"/>
        <v>0</v>
      </c>
      <c r="AN130" s="105">
        <f si="139" t="shared"/>
        <v>0</v>
      </c>
      <c r="AO130" s="105">
        <f si="140" t="shared"/>
        <v>0</v>
      </c>
      <c r="AP130" s="105">
        <f si="141" t="shared"/>
        <v>0</v>
      </c>
      <c r="AQ130" s="105">
        <f si="142" t="shared"/>
        <v>0</v>
      </c>
      <c r="AR130" s="105">
        <f si="143" t="shared"/>
        <v>0</v>
      </c>
      <c r="AS130" s="105">
        <f si="144" t="shared"/>
        <v>0</v>
      </c>
      <c r="AT130" s="105">
        <f si="145" t="shared"/>
        <v>0</v>
      </c>
      <c r="AU130" s="105">
        <f si="146" t="shared"/>
        <v>0</v>
      </c>
      <c r="AV130" s="105">
        <f si="147" t="shared"/>
        <v>0</v>
      </c>
      <c r="CU130" s="95">
        <v>129</v>
      </c>
      <c r="CV130" s="95">
        <f si="109" t="shared"/>
        <v>7</v>
      </c>
      <c r="CW130" s="95">
        <f si="103" t="shared"/>
        <v>9</v>
      </c>
      <c r="CX130" s="58">
        <f si="104" t="shared"/>
        <v>4662.9302086379539</v>
      </c>
      <c r="CY130" s="58">
        <f si="105" t="shared"/>
        <v>6020</v>
      </c>
      <c r="CZ130" s="108">
        <f si="106" t="shared"/>
        <v>1357.0697913620461</v>
      </c>
      <c r="DA130" s="78">
        <f si="107" t="shared"/>
        <v>0.29103369140033675</v>
      </c>
    </row>
    <row ht="15.75" r="131" spans="26:105" thickBot="1" x14ac:dyDescent="0.3">
      <c r="Z131" s="1" t="s">
        <v>3</v>
      </c>
      <c r="AA131" s="106">
        <f si="126" t="shared"/>
        <v>1.7849971227571881E-2</v>
      </c>
      <c r="AB131" s="106">
        <f si="127" t="shared"/>
        <v>2.0060789886369904E-2</v>
      </c>
      <c r="AC131" s="106">
        <f si="128" t="shared"/>
        <v>-1.3302119180902726E-2</v>
      </c>
      <c r="AD131" s="106">
        <f si="129" t="shared"/>
        <v>4.1813786654516849E-2</v>
      </c>
      <c r="AE131" s="106">
        <f si="130" t="shared"/>
        <v>-8.4647641661230802E-3</v>
      </c>
      <c r="AF131" s="106">
        <f si="131" t="shared"/>
        <v>2.019398909942282E-2</v>
      </c>
      <c r="AG131" s="106">
        <f si="132" t="shared"/>
        <v>-2.3992598243674335E-2</v>
      </c>
      <c r="AH131" s="106">
        <f si="133" t="shared"/>
        <v>-1.3651444533229654E-2</v>
      </c>
      <c r="AI131" s="106">
        <f si="134" t="shared"/>
        <v>-4.1514010550907025E-2</v>
      </c>
      <c r="AJ131" s="106">
        <f si="135" t="shared"/>
        <v>-3.9896812138792079E-2</v>
      </c>
      <c r="AK131" s="106">
        <f si="136" t="shared"/>
        <v>-2.383787281356323E-2</v>
      </c>
      <c r="AL131" s="106">
        <f si="137" t="shared"/>
        <v>8.0461334790205966E-2</v>
      </c>
      <c r="AM131" s="106">
        <f si="138" t="shared"/>
        <v>-1.7336115372574751E-2</v>
      </c>
      <c r="AN131" s="106">
        <f si="139" t="shared"/>
        <v>-9.2871433853699056E-3</v>
      </c>
      <c r="AO131" s="106">
        <f si="140" t="shared"/>
        <v>-3.63122146070117E-2</v>
      </c>
      <c r="AP131" s="106">
        <f si="141" t="shared"/>
        <v>-8.5869802251090879E-2</v>
      </c>
      <c r="AQ131" s="106">
        <f si="142" t="shared"/>
        <v>-9.0486684589685937E-2</v>
      </c>
      <c r="AR131" s="106">
        <f si="143" t="shared"/>
        <v>-0.12235349957356915</v>
      </c>
      <c r="AS131" s="106">
        <f si="144" t="shared"/>
        <v>-4.8938451759374453E-2</v>
      </c>
      <c r="AT131" s="106">
        <f si="145" t="shared"/>
        <v>3.2724875813177248E-2</v>
      </c>
      <c r="AU131" s="106">
        <f si="146" t="shared"/>
        <v>0</v>
      </c>
      <c r="AV131" s="106">
        <f si="147" t="shared"/>
        <v>1.4018510889038922E-16</v>
      </c>
      <c r="CU131" s="95">
        <v>130</v>
      </c>
      <c r="CV131" s="95">
        <f si="109" t="shared"/>
        <v>7</v>
      </c>
      <c r="CW131" s="95">
        <f ref="CW131:CW194" si="148" t="shared">MOD(ROW()-2,$CS$2)+1</f>
        <v>10</v>
      </c>
      <c r="CX131" s="58">
        <f ref="CX131:CX194" si="149" t="shared">VLOOKUP($CV131,$B$30:$V$49,MATCH($CW131,$B$29:$V$29,0),0)</f>
        <v>1466.4305666199441</v>
      </c>
      <c r="CY131" s="58">
        <f ref="CY131:CY194" si="150" t="shared">VLOOKUP($CV131,$AY$30:$BS$49,MATCH($CW131,$AY$29:$BS$29,0),0)</f>
        <v>1060</v>
      </c>
      <c r="CZ131" s="108">
        <f ref="CZ131:CZ194" si="151" t="shared">CY131-CX131</f>
        <v>-406.4305666199441</v>
      </c>
      <c r="DA131" s="78">
        <f ref="DA131:DA194" si="152" t="shared">CZ131/CX131</f>
        <v>-0.2771563658528669</v>
      </c>
    </row>
    <row r="132" spans="26:105" x14ac:dyDescent="0.25">
      <c r="CU132" s="95">
        <v>131</v>
      </c>
      <c r="CV132" s="95">
        <f ref="CV132:CV195" si="153" t="shared">IF(CW131&lt;$CS$2,CV131,CV131+1)</f>
        <v>7</v>
      </c>
      <c r="CW132" s="95">
        <f si="148" t="shared"/>
        <v>11</v>
      </c>
      <c r="CX132" s="58">
        <f si="149" t="shared"/>
        <v>1944.9203868222291</v>
      </c>
      <c r="CY132" s="58">
        <f si="150" t="shared"/>
        <v>1260</v>
      </c>
      <c r="CZ132" s="108">
        <f si="151" t="shared"/>
        <v>-684.92038682222915</v>
      </c>
      <c r="DA132" s="78">
        <f si="152" t="shared"/>
        <v>-0.35215857238316495</v>
      </c>
    </row>
    <row r="133" spans="26:105" x14ac:dyDescent="0.25">
      <c r="CU133" s="95">
        <v>132</v>
      </c>
      <c r="CV133" s="95">
        <f si="153" t="shared"/>
        <v>7</v>
      </c>
      <c r="CW133" s="95">
        <f si="148" t="shared"/>
        <v>12</v>
      </c>
      <c r="CX133" s="58">
        <f si="149" t="shared"/>
        <v>11746.455978299233</v>
      </c>
      <c r="CY133" s="58">
        <f si="150" t="shared"/>
        <v>18520</v>
      </c>
      <c r="CZ133" s="108">
        <f si="151" t="shared"/>
        <v>6773.5440217007672</v>
      </c>
      <c r="DA133" s="78">
        <f si="152" t="shared"/>
        <v>0.57664575887522351</v>
      </c>
    </row>
    <row ht="15.75" r="134" spans="26:105" thickBot="1" x14ac:dyDescent="0.3">
      <c r="Z134" s="23" t="s">
        <v>435</v>
      </c>
      <c r="AA134" s="24"/>
      <c r="AB134" s="24"/>
      <c r="AC134" s="24"/>
      <c r="AD134" s="24"/>
      <c r="AE134" s="24"/>
      <c r="AF134" s="24"/>
      <c r="AG134" s="24"/>
      <c r="AH134" s="24"/>
      <c r="AI134" s="24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CU134" s="95">
        <v>133</v>
      </c>
      <c r="CV134" s="95">
        <f si="153" t="shared"/>
        <v>7</v>
      </c>
      <c r="CW134" s="95">
        <f si="148" t="shared"/>
        <v>13</v>
      </c>
      <c r="CX134" s="58">
        <f si="149" t="shared"/>
        <v>10159.933848961853</v>
      </c>
      <c r="CY134" s="58">
        <f si="150" t="shared"/>
        <v>13340</v>
      </c>
      <c r="CZ134" s="108">
        <f si="151" t="shared"/>
        <v>3180.0661510381469</v>
      </c>
      <c r="DA134" s="78">
        <f si="152" t="shared"/>
        <v>0.31300067483835908</v>
      </c>
    </row>
    <row r="135" spans="26:105" x14ac:dyDescent="0.25">
      <c r="Z135" s="2" t="s">
        <v>14</v>
      </c>
      <c r="AA135" s="2">
        <v>1</v>
      </c>
      <c r="AB135" s="2">
        <v>2</v>
      </c>
      <c r="AC135" s="2">
        <v>3</v>
      </c>
      <c r="AD135" s="2">
        <v>4</v>
      </c>
      <c r="AE135" s="2">
        <v>5</v>
      </c>
      <c r="AF135" s="2">
        <v>6</v>
      </c>
      <c r="AG135" s="2">
        <v>7</v>
      </c>
      <c r="AH135" s="2">
        <v>8</v>
      </c>
      <c r="AI135" s="2">
        <v>9</v>
      </c>
      <c r="AJ135" s="2">
        <v>10</v>
      </c>
      <c r="AK135" s="2">
        <v>11</v>
      </c>
      <c r="AL135" s="2">
        <v>12</v>
      </c>
      <c r="AM135" s="2">
        <v>13</v>
      </c>
      <c r="AN135" s="2">
        <v>14</v>
      </c>
      <c r="AO135" s="2">
        <v>15</v>
      </c>
      <c r="AP135" s="2">
        <v>16</v>
      </c>
      <c r="AQ135" s="2">
        <v>17</v>
      </c>
      <c r="AR135" s="2">
        <v>18</v>
      </c>
      <c r="AS135" s="2">
        <v>19</v>
      </c>
      <c r="AT135" s="2">
        <v>20</v>
      </c>
      <c r="AU135" s="3" t="s">
        <v>15</v>
      </c>
      <c r="AV135" s="3" t="s">
        <v>3</v>
      </c>
      <c r="CU135" s="95">
        <v>134</v>
      </c>
      <c r="CV135" s="95">
        <f si="153" t="shared"/>
        <v>7</v>
      </c>
      <c r="CW135" s="95">
        <f si="148" t="shared"/>
        <v>14</v>
      </c>
      <c r="CX135" s="58">
        <f si="149" t="shared"/>
        <v>69.427934696017829</v>
      </c>
      <c r="CY135" s="58">
        <f si="150" t="shared"/>
        <v>100</v>
      </c>
      <c r="CZ135" s="108">
        <f si="151" t="shared"/>
        <v>30.572065303982171</v>
      </c>
      <c r="DA135" s="78">
        <f si="152" t="shared"/>
        <v>0.4403424275522298</v>
      </c>
    </row>
    <row r="136" spans="26:105" x14ac:dyDescent="0.25">
      <c r="Z136" s="31">
        <v>1</v>
      </c>
      <c r="AA136" s="103">
        <f>ABS(AA110)</f>
        <v>0.42924801989040606</v>
      </c>
      <c r="AB136" s="103">
        <f ref="AB136:AV136" si="154" t="shared">ABS(AB110)</f>
        <v>8.1795127038301413E-2</v>
      </c>
      <c r="AC136" s="103">
        <f si="154" t="shared"/>
        <v>0.68708302605176075</v>
      </c>
      <c r="AD136" s="103">
        <f si="154" t="shared"/>
        <v>1.0194256973491751</v>
      </c>
      <c r="AE136" s="103">
        <f si="154" t="shared"/>
        <v>0.27140174081628543</v>
      </c>
      <c r="AF136" s="103">
        <f si="154" t="shared"/>
        <v>0.41626013124827288</v>
      </c>
      <c r="AG136" s="103">
        <f si="154" t="shared"/>
        <v>0.51004646845408896</v>
      </c>
      <c r="AH136" s="103">
        <f si="154" t="shared"/>
        <v>0.3656794122751203</v>
      </c>
      <c r="AI136" s="103">
        <f si="154" t="shared"/>
        <v>9.9090590364980122E-2</v>
      </c>
      <c r="AJ136" s="103">
        <f si="154" t="shared"/>
        <v>0.41359798814442256</v>
      </c>
      <c r="AK136" s="103">
        <f si="154" t="shared"/>
        <v>0.31714780558446215</v>
      </c>
      <c r="AL136" s="103">
        <f si="154" t="shared"/>
        <v>4.0364326690663548E-3</v>
      </c>
      <c r="AM136" s="103">
        <f si="154" t="shared"/>
        <v>0.48349304279338395</v>
      </c>
      <c r="AN136" s="103">
        <f si="154" t="shared"/>
        <v>1</v>
      </c>
      <c r="AO136" s="103">
        <f si="154" t="shared"/>
        <v>0.7143635175368529</v>
      </c>
      <c r="AP136" s="103">
        <f si="154" t="shared"/>
        <v>5.1980834864793923</v>
      </c>
      <c r="AQ136" s="103">
        <f si="154" t="shared"/>
        <v>0.27896960832114437</v>
      </c>
      <c r="AR136" s="103">
        <f si="154" t="shared"/>
        <v>1.0143771331058025</v>
      </c>
      <c r="AS136" s="103">
        <f si="154" t="shared"/>
        <v>0.28377701934015909</v>
      </c>
      <c r="AT136" s="103">
        <f si="154" t="shared"/>
        <v>1</v>
      </c>
      <c r="AU136" s="103">
        <f si="154" t="shared"/>
        <v>0</v>
      </c>
      <c r="AV136" s="103">
        <f si="154" t="shared"/>
        <v>0</v>
      </c>
      <c r="CU136" s="95">
        <v>135</v>
      </c>
      <c r="CV136" s="95">
        <f si="153" t="shared"/>
        <v>7</v>
      </c>
      <c r="CW136" s="95">
        <f si="148" t="shared"/>
        <v>15</v>
      </c>
      <c r="CX136" s="58">
        <f si="149" t="shared"/>
        <v>1031.0986517692377</v>
      </c>
      <c r="CY136" s="58">
        <f si="150" t="shared"/>
        <v>1580</v>
      </c>
      <c r="CZ136" s="108">
        <f si="151" t="shared"/>
        <v>548.90134823076232</v>
      </c>
      <c r="DA136" s="78">
        <f si="152" t="shared"/>
        <v>0.53234610217840506</v>
      </c>
    </row>
    <row r="137" spans="26:105" x14ac:dyDescent="0.25">
      <c r="Z137" s="95">
        <v>2</v>
      </c>
      <c r="AA137" s="104">
        <f ref="AA137:AV137" si="155" t="shared">ABS(AA111)</f>
        <v>0.26078811266072105</v>
      </c>
      <c r="AB137" s="104">
        <f si="155" t="shared"/>
        <v>0.50491272782146501</v>
      </c>
      <c r="AC137" s="104">
        <f si="155" t="shared"/>
        <v>0.19791489175255247</v>
      </c>
      <c r="AD137" s="104">
        <f si="155" t="shared"/>
        <v>0.54560900999365614</v>
      </c>
      <c r="AE137" s="104">
        <f si="155" t="shared"/>
        <v>0.15128588214652211</v>
      </c>
      <c r="AF137" s="104">
        <f si="155" t="shared"/>
        <v>0.2987238616840947</v>
      </c>
      <c r="AG137" s="104">
        <f si="155" t="shared"/>
        <v>4.414791041393995E-2</v>
      </c>
      <c r="AH137" s="104">
        <f si="155" t="shared"/>
        <v>0.24265158510310866</v>
      </c>
      <c r="AI137" s="104">
        <f si="155" t="shared"/>
        <v>0.18886088384977162</v>
      </c>
      <c r="AJ137" s="104">
        <f si="155" t="shared"/>
        <v>0.16459617743964064</v>
      </c>
      <c r="AK137" s="104">
        <f si="155" t="shared"/>
        <v>0.14756421647656712</v>
      </c>
      <c r="AL137" s="104">
        <f si="155" t="shared"/>
        <v>0.37411119589076713</v>
      </c>
      <c r="AM137" s="104">
        <f si="155" t="shared"/>
        <v>0.38801309493830288</v>
      </c>
      <c r="AN137" s="104">
        <f si="155" t="shared"/>
        <v>0.32997770420917544</v>
      </c>
      <c r="AO137" s="104">
        <f si="155" t="shared"/>
        <v>1.0727430302441241</v>
      </c>
      <c r="AP137" s="104">
        <f si="155" t="shared"/>
        <v>1.4785948123898267</v>
      </c>
      <c r="AQ137" s="104">
        <f si="155" t="shared"/>
        <v>0.13602262234533735</v>
      </c>
      <c r="AR137" s="104">
        <f si="155" t="shared"/>
        <v>0.94746735259200665</v>
      </c>
      <c r="AS137" s="104">
        <f si="155" t="shared"/>
        <v>0.39818168904041495</v>
      </c>
      <c r="AT137" s="104">
        <f si="155" t="shared"/>
        <v>1</v>
      </c>
      <c r="AU137" s="104">
        <f si="155" t="shared"/>
        <v>0</v>
      </c>
      <c r="AV137" s="104">
        <f si="155" t="shared"/>
        <v>0</v>
      </c>
      <c r="CU137" s="95">
        <v>136</v>
      </c>
      <c r="CV137" s="95">
        <f si="153" t="shared"/>
        <v>7</v>
      </c>
      <c r="CW137" s="95">
        <f si="148" t="shared"/>
        <v>16</v>
      </c>
      <c r="CX137" s="58">
        <f si="149" t="shared"/>
        <v>91.94510270553711</v>
      </c>
      <c r="CY137" s="58">
        <f si="150" t="shared"/>
        <v>160</v>
      </c>
      <c r="CZ137" s="108">
        <f si="151" t="shared"/>
        <v>68.05489729446289</v>
      </c>
      <c r="DA137" s="78">
        <f si="152" t="shared"/>
        <v>0.74016881043044935</v>
      </c>
    </row>
    <row r="138" spans="26:105" x14ac:dyDescent="0.25">
      <c r="Z138" s="95">
        <v>3</v>
      </c>
      <c r="AA138" s="104">
        <f ref="AA138:AV138" si="156" t="shared">ABS(AA112)</f>
        <v>0.16913919460172003</v>
      </c>
      <c r="AB138" s="104">
        <f si="156" t="shared"/>
        <v>3.7490524737530839E-2</v>
      </c>
      <c r="AC138" s="104">
        <f si="156" t="shared"/>
        <v>0.46017266559066045</v>
      </c>
      <c r="AD138" s="104">
        <f si="156" t="shared"/>
        <v>6.936636090797621E-2</v>
      </c>
      <c r="AE138" s="104">
        <f si="156" t="shared"/>
        <v>0.13185484818393295</v>
      </c>
      <c r="AF138" s="104">
        <f si="156" t="shared"/>
        <v>0.20592793912473656</v>
      </c>
      <c r="AG138" s="104">
        <f si="156" t="shared"/>
        <v>3.1846228190255302E-2</v>
      </c>
      <c r="AH138" s="104">
        <f si="156" t="shared"/>
        <v>0.15600620021351749</v>
      </c>
      <c r="AI138" s="104">
        <f si="156" t="shared"/>
        <v>0.1715101046872072</v>
      </c>
      <c r="AJ138" s="104">
        <f si="156" t="shared"/>
        <v>0.15484686807095357</v>
      </c>
      <c r="AK138" s="104">
        <f si="156" t="shared"/>
        <v>0.23913709806020722</v>
      </c>
      <c r="AL138" s="104">
        <f si="156" t="shared"/>
        <v>0.33376006351115955</v>
      </c>
      <c r="AM138" s="104">
        <f si="156" t="shared"/>
        <v>0.10710117866728901</v>
      </c>
      <c r="AN138" s="104">
        <f si="156" t="shared"/>
        <v>0.39900221729490026</v>
      </c>
      <c r="AO138" s="104">
        <f si="156" t="shared"/>
        <v>0.65195725612658273</v>
      </c>
      <c r="AP138" s="104">
        <f si="156" t="shared"/>
        <v>0.78262054192190544</v>
      </c>
      <c r="AQ138" s="104">
        <f si="156" t="shared"/>
        <v>0.46075849963045051</v>
      </c>
      <c r="AR138" s="104">
        <f si="156" t="shared"/>
        <v>1.8425570803619575</v>
      </c>
      <c r="AS138" s="104">
        <f si="156" t="shared"/>
        <v>1.4069811695403245</v>
      </c>
      <c r="AT138" s="104">
        <f si="156" t="shared"/>
        <v>1</v>
      </c>
      <c r="AU138" s="104">
        <f si="156" t="shared"/>
        <v>0</v>
      </c>
      <c r="AV138" s="104">
        <f si="156" t="shared"/>
        <v>0</v>
      </c>
      <c r="CU138" s="95">
        <v>137</v>
      </c>
      <c r="CV138" s="95">
        <f si="153" t="shared"/>
        <v>7</v>
      </c>
      <c r="CW138" s="95">
        <f si="148" t="shared"/>
        <v>17</v>
      </c>
      <c r="CX138" s="58">
        <f si="149" t="shared"/>
        <v>106.01833271148668</v>
      </c>
      <c r="CY138" s="58">
        <f si="150" t="shared"/>
        <v>120</v>
      </c>
      <c r="CZ138" s="108">
        <f si="151" t="shared"/>
        <v>13.981667288513322</v>
      </c>
      <c r="DA138" s="78">
        <f si="152" t="shared"/>
        <v>0.13187971297909745</v>
      </c>
    </row>
    <row r="139" spans="26:105" x14ac:dyDescent="0.25">
      <c r="Z139" s="95">
        <v>4</v>
      </c>
      <c r="AA139" s="104">
        <f ref="AA139:AV139" si="157" t="shared">ABS(AA113)</f>
        <v>0.48439995796553154</v>
      </c>
      <c r="AB139" s="104">
        <f si="157" t="shared"/>
        <v>0.13628410491110732</v>
      </c>
      <c r="AC139" s="104">
        <f si="157" t="shared"/>
        <v>0.12253207987373912</v>
      </c>
      <c r="AD139" s="104">
        <f si="157" t="shared"/>
        <v>0.61359147609147613</v>
      </c>
      <c r="AE139" s="104">
        <f si="157" t="shared"/>
        <v>0.19585409355042871</v>
      </c>
      <c r="AF139" s="104">
        <f si="157" t="shared"/>
        <v>0.48360824420816279</v>
      </c>
      <c r="AG139" s="104">
        <f si="157" t="shared"/>
        <v>0.31601840020444683</v>
      </c>
      <c r="AH139" s="104">
        <f si="157" t="shared"/>
        <v>0.24635360763267758</v>
      </c>
      <c r="AI139" s="104">
        <f si="157" t="shared"/>
        <v>0.57543971180334808</v>
      </c>
      <c r="AJ139" s="104">
        <f si="157" t="shared"/>
        <v>6.8110321051499303E-3</v>
      </c>
      <c r="AK139" s="104">
        <f si="157" t="shared"/>
        <v>0.24243303022855706</v>
      </c>
      <c r="AL139" s="104">
        <f si="157" t="shared"/>
        <v>0.47950248756218883</v>
      </c>
      <c r="AM139" s="104">
        <f si="157" t="shared"/>
        <v>0.41842242503259452</v>
      </c>
      <c r="AN139" s="104">
        <f si="157" t="shared"/>
        <v>0.18302197802197809</v>
      </c>
      <c r="AO139" s="104">
        <f si="157" t="shared"/>
        <v>0.2620843672456577</v>
      </c>
      <c r="AP139" s="104">
        <f si="157" t="shared"/>
        <v>0.90628205128205086</v>
      </c>
      <c r="AQ139" s="104">
        <f si="157" t="shared"/>
        <v>0.98916387959866203</v>
      </c>
      <c r="AR139" s="104">
        <f si="157" t="shared"/>
        <v>0.21119363395225477</v>
      </c>
      <c r="AS139" s="104">
        <f si="157" t="shared"/>
        <v>0.96074725274725248</v>
      </c>
      <c r="AT139" s="104">
        <f si="157" t="shared"/>
        <v>1</v>
      </c>
      <c r="AU139" s="104">
        <f si="157" t="shared"/>
        <v>0</v>
      </c>
      <c r="AV139" s="104">
        <f si="157" t="shared"/>
        <v>0</v>
      </c>
      <c r="CU139" s="95">
        <v>138</v>
      </c>
      <c r="CV139" s="95">
        <f si="153" t="shared"/>
        <v>7</v>
      </c>
      <c r="CW139" s="95">
        <f si="148" t="shared"/>
        <v>18</v>
      </c>
      <c r="CX139" s="58">
        <f si="149" t="shared"/>
        <v>739.31368297921688</v>
      </c>
      <c r="CY139" s="58">
        <f si="150" t="shared"/>
        <v>700</v>
      </c>
      <c r="CZ139" s="108">
        <f si="151" t="shared"/>
        <v>-39.313682979216878</v>
      </c>
      <c r="DA139" s="78">
        <f si="152" t="shared"/>
        <v>-5.3175916913635754E-2</v>
      </c>
    </row>
    <row r="140" spans="26:105" x14ac:dyDescent="0.25">
      <c r="Z140" s="95">
        <v>5</v>
      </c>
      <c r="AA140" s="104">
        <f ref="AA140:AV140" si="158" t="shared">ABS(AA114)</f>
        <v>0.1472101247825314</v>
      </c>
      <c r="AB140" s="104">
        <f si="158" t="shared"/>
        <v>0.73786044596636935</v>
      </c>
      <c r="AC140" s="104">
        <f si="158" t="shared"/>
        <v>0.11096278797790519</v>
      </c>
      <c r="AD140" s="104">
        <f si="158" t="shared"/>
        <v>0.23393886792184365</v>
      </c>
      <c r="AE140" s="104">
        <f si="158" t="shared"/>
        <v>0.46844737774168743</v>
      </c>
      <c r="AF140" s="104">
        <f si="158" t="shared"/>
        <v>0.33884734233078306</v>
      </c>
      <c r="AG140" s="104">
        <f si="158" t="shared"/>
        <v>9.7257677388308941E-2</v>
      </c>
      <c r="AH140" s="104">
        <f si="158" t="shared"/>
        <v>0.53149650264458947</v>
      </c>
      <c r="AI140" s="104">
        <f si="158" t="shared"/>
        <v>0.30747179724926582</v>
      </c>
      <c r="AJ140" s="104">
        <f si="158" t="shared"/>
        <v>0.13622698883024223</v>
      </c>
      <c r="AK140" s="104">
        <f si="158" t="shared"/>
        <v>0.12323713490959665</v>
      </c>
      <c r="AL140" s="104">
        <f si="158" t="shared"/>
        <v>0.11860841045255148</v>
      </c>
      <c r="AM140" s="104">
        <f si="158" t="shared"/>
        <v>0.74145292234046001</v>
      </c>
      <c r="AN140" s="104">
        <f si="158" t="shared"/>
        <v>3.9373060875147101</v>
      </c>
      <c r="AO140" s="104">
        <f si="158" t="shared"/>
        <v>1.9174990517132382</v>
      </c>
      <c r="AP140" s="104">
        <f si="158" t="shared"/>
        <v>0.29852481816730886</v>
      </c>
      <c r="AQ140" s="104">
        <f si="158" t="shared"/>
        <v>0.18861072477206009</v>
      </c>
      <c r="AR140" s="104">
        <f si="158" t="shared"/>
        <v>1</v>
      </c>
      <c r="AS140" s="104">
        <f si="158" t="shared"/>
        <v>0.57210013908205837</v>
      </c>
      <c r="AT140" s="104">
        <f si="158" t="shared"/>
        <v>1</v>
      </c>
      <c r="AU140" s="104">
        <f si="158" t="shared"/>
        <v>0</v>
      </c>
      <c r="AV140" s="104">
        <f si="158" t="shared"/>
        <v>0</v>
      </c>
      <c r="CU140" s="95">
        <v>139</v>
      </c>
      <c r="CV140" s="95">
        <f si="153" t="shared"/>
        <v>7</v>
      </c>
      <c r="CW140" s="95">
        <f si="148" t="shared"/>
        <v>19</v>
      </c>
      <c r="CX140" s="58">
        <f si="149" t="shared"/>
        <v>198.90165075075379</v>
      </c>
      <c r="CY140" s="58">
        <f si="150" t="shared"/>
        <v>200</v>
      </c>
      <c r="CZ140" s="108">
        <f si="151" t="shared"/>
        <v>1.0983492492462119</v>
      </c>
      <c r="DA140" s="78">
        <f si="152" t="shared"/>
        <v>5.5220720647641457E-3</v>
      </c>
    </row>
    <row r="141" spans="26:105" x14ac:dyDescent="0.25">
      <c r="Z141" s="95">
        <v>6</v>
      </c>
      <c r="AA141" s="104">
        <f ref="AA141:AV141" si="159" t="shared">ABS(AA115)</f>
        <v>8.2863755139592737E-2</v>
      </c>
      <c r="AB141" s="104">
        <f si="159" t="shared"/>
        <v>0.16458051934440865</v>
      </c>
      <c r="AC141" s="104">
        <f si="159" t="shared"/>
        <v>3.3940115418846603E-2</v>
      </c>
      <c r="AD141" s="104">
        <f si="159" t="shared"/>
        <v>0.18958361607662191</v>
      </c>
      <c r="AE141" s="104">
        <f si="159" t="shared"/>
        <v>0.37214763902260434</v>
      </c>
      <c r="AF141" s="104">
        <f si="159" t="shared"/>
        <v>0.1815866741495788</v>
      </c>
      <c r="AG141" s="104">
        <f si="159" t="shared"/>
        <v>0.33365971655715965</v>
      </c>
      <c r="AH141" s="104">
        <f si="159" t="shared"/>
        <v>0.92818843485174851</v>
      </c>
      <c r="AI141" s="104">
        <f si="159" t="shared"/>
        <v>0.36322360189955999</v>
      </c>
      <c r="AJ141" s="104">
        <f si="159" t="shared"/>
        <v>0.53051628469577761</v>
      </c>
      <c r="AK141" s="104">
        <f si="159" t="shared"/>
        <v>0.47271085181590244</v>
      </c>
      <c r="AL141" s="104">
        <f si="159" t="shared"/>
        <v>9.6171593732569005E-2</v>
      </c>
      <c r="AM141" s="104">
        <f si="159" t="shared"/>
        <v>0.27294741232023473</v>
      </c>
      <c r="AN141" s="104">
        <f si="159" t="shared"/>
        <v>2.8393360100677403E-2</v>
      </c>
      <c r="AO141" s="104">
        <f si="159" t="shared"/>
        <v>0.24689518787079731</v>
      </c>
      <c r="AP141" s="104">
        <f si="159" t="shared"/>
        <v>1.4513011557093005</v>
      </c>
      <c r="AQ141" s="104">
        <f si="159" t="shared"/>
        <v>1.3978753612899948</v>
      </c>
      <c r="AR141" s="104">
        <f si="159" t="shared"/>
        <v>0.3916240936058008</v>
      </c>
      <c r="AS141" s="104">
        <f si="159" t="shared"/>
        <v>0.29884915403208068</v>
      </c>
      <c r="AT141" s="104">
        <f si="159" t="shared"/>
        <v>0.19032780008389777</v>
      </c>
      <c r="AU141" s="104">
        <f si="159" t="shared"/>
        <v>0</v>
      </c>
      <c r="AV141" s="104">
        <f si="159" t="shared"/>
        <v>0</v>
      </c>
      <c r="CU141" s="95">
        <v>140</v>
      </c>
      <c r="CV141" s="95">
        <f si="153" t="shared"/>
        <v>7</v>
      </c>
      <c r="CW141" s="95">
        <f si="148" t="shared"/>
        <v>20</v>
      </c>
      <c r="CX141" s="58">
        <f si="149" t="shared"/>
        <v>244.87420210352232</v>
      </c>
      <c r="CY141" s="58">
        <f si="150" t="shared"/>
        <v>20</v>
      </c>
      <c r="CZ141" s="108">
        <f si="151" t="shared"/>
        <v>-224.87420210352232</v>
      </c>
      <c r="DA141" s="78">
        <f si="152" t="shared"/>
        <v>-0.91832541023841763</v>
      </c>
    </row>
    <row r="142" spans="26:105" x14ac:dyDescent="0.25">
      <c r="Z142" s="95">
        <v>7</v>
      </c>
      <c r="AA142" s="104">
        <f ref="AA142:AV142" si="160" t="shared">ABS(AA116)</f>
        <v>4.6835949485039885E-2</v>
      </c>
      <c r="AB142" s="104">
        <f si="160" t="shared"/>
        <v>5.5551203457777587E-2</v>
      </c>
      <c r="AC142" s="104">
        <f si="160" t="shared"/>
        <v>0.27348313795619861</v>
      </c>
      <c r="AD142" s="104">
        <f si="160" t="shared"/>
        <v>3.3272080602572054E-3</v>
      </c>
      <c r="AE142" s="104">
        <f si="160" t="shared"/>
        <v>0.32299214235900076</v>
      </c>
      <c r="AF142" s="104">
        <f si="160" t="shared"/>
        <v>1.7724550643913241E-2</v>
      </c>
      <c r="AG142" s="104">
        <f si="160" t="shared"/>
        <v>0.24068200980526502</v>
      </c>
      <c r="AH142" s="104">
        <f si="160" t="shared"/>
        <v>0.533202892092562</v>
      </c>
      <c r="AI142" s="104">
        <f si="160" t="shared"/>
        <v>0.29103369140033675</v>
      </c>
      <c r="AJ142" s="104">
        <f si="160" t="shared"/>
        <v>0.2771563658528669</v>
      </c>
      <c r="AK142" s="104">
        <f si="160" t="shared"/>
        <v>0.35215857238316495</v>
      </c>
      <c r="AL142" s="104">
        <f si="160" t="shared"/>
        <v>0.57664575887522351</v>
      </c>
      <c r="AM142" s="104">
        <f si="160" t="shared"/>
        <v>0.31300067483835908</v>
      </c>
      <c r="AN142" s="104">
        <f si="160" t="shared"/>
        <v>0.4403424275522298</v>
      </c>
      <c r="AO142" s="104">
        <f si="160" t="shared"/>
        <v>0.53234610217840506</v>
      </c>
      <c r="AP142" s="104">
        <f si="160" t="shared"/>
        <v>0.74016881043044935</v>
      </c>
      <c r="AQ142" s="104">
        <f si="160" t="shared"/>
        <v>0.13187971297909745</v>
      </c>
      <c r="AR142" s="104">
        <f si="160" t="shared"/>
        <v>5.3175916913635754E-2</v>
      </c>
      <c r="AS142" s="104">
        <f si="160" t="shared"/>
        <v>5.5220720647641457E-3</v>
      </c>
      <c r="AT142" s="104">
        <f si="160" t="shared"/>
        <v>0.91832541023841763</v>
      </c>
      <c r="AU142" s="104">
        <f si="160" t="shared"/>
        <v>0</v>
      </c>
      <c r="AV142" s="104">
        <f si="160" t="shared"/>
        <v>0</v>
      </c>
      <c r="CU142" s="95">
        <v>141</v>
      </c>
      <c r="CV142" s="95">
        <f si="153" t="shared"/>
        <v>8</v>
      </c>
      <c r="CW142" s="95">
        <f si="148" t="shared"/>
        <v>1</v>
      </c>
      <c r="CX142" s="58">
        <f si="149" t="shared"/>
        <v>454.72178060413353</v>
      </c>
      <c r="CY142" s="58">
        <f si="150" t="shared"/>
        <v>440</v>
      </c>
      <c r="CZ142" s="108">
        <f si="151" t="shared"/>
        <v>-14.721780604133528</v>
      </c>
      <c r="DA142" s="78">
        <f si="152" t="shared"/>
        <v>-3.2375358366547757E-2</v>
      </c>
    </row>
    <row r="143" spans="26:105" x14ac:dyDescent="0.25">
      <c r="Z143" s="95">
        <v>8</v>
      </c>
      <c r="AA143" s="104">
        <f ref="AA143:AV143" si="161" t="shared">ABS(AA117)</f>
        <v>3.2375358366547757E-2</v>
      </c>
      <c r="AB143" s="104">
        <f si="161" t="shared"/>
        <v>0.14421768707482988</v>
      </c>
      <c r="AC143" s="104">
        <f si="161" t="shared"/>
        <v>7.3143342741813448E-3</v>
      </c>
      <c r="AD143" s="104">
        <f si="161" t="shared"/>
        <v>0.14198908730158741</v>
      </c>
      <c r="AE143" s="104">
        <f si="161" t="shared"/>
        <v>0.40621506818689923</v>
      </c>
      <c r="AF143" s="104">
        <f si="161" t="shared"/>
        <v>0.10553826050194094</v>
      </c>
      <c r="AG143" s="104">
        <f si="161" t="shared"/>
        <v>0.17777777777777787</v>
      </c>
      <c r="AH143" s="104">
        <f si="161" t="shared"/>
        <v>0.48900137482814654</v>
      </c>
      <c r="AI143" s="104">
        <f si="161" t="shared"/>
        <v>0.63482781026640667</v>
      </c>
      <c r="AJ143" s="104">
        <f si="161" t="shared"/>
        <v>0.15887188208616781</v>
      </c>
      <c r="AK143" s="104">
        <f si="161" t="shared"/>
        <v>9.3269349083303262E-3</v>
      </c>
      <c r="AL143" s="104">
        <f si="161" t="shared"/>
        <v>0.82166527429685321</v>
      </c>
      <c r="AM143" s="104">
        <f si="161" t="shared"/>
        <v>1</v>
      </c>
      <c r="AN143" s="104">
        <f si="161" t="shared"/>
        <v>9.2352092352092338E-2</v>
      </c>
      <c r="AO143" s="104">
        <f si="161" t="shared"/>
        <v>1.8526077097505669</v>
      </c>
      <c r="AP143" s="104">
        <f si="161" t="shared"/>
        <v>0.73636991028295373</v>
      </c>
      <c r="AQ143" s="104">
        <f si="161" t="shared"/>
        <v>2.4013024013023965E-2</v>
      </c>
      <c r="AR143" s="104">
        <f si="161" t="shared"/>
        <v>1</v>
      </c>
      <c r="AS143" s="104">
        <f si="161" t="shared"/>
        <v>0.28827444956477211</v>
      </c>
      <c r="AT143" s="104">
        <f si="161" t="shared"/>
        <v>1</v>
      </c>
      <c r="AU143" s="104">
        <f si="161" t="shared"/>
        <v>0</v>
      </c>
      <c r="AV143" s="104">
        <f si="161" t="shared"/>
        <v>0</v>
      </c>
      <c r="CU143" s="95">
        <v>142</v>
      </c>
      <c r="CV143" s="95">
        <f si="153" t="shared"/>
        <v>8</v>
      </c>
      <c r="CW143" s="95">
        <f si="148" t="shared"/>
        <v>2</v>
      </c>
      <c r="CX143" s="58">
        <f si="149" t="shared"/>
        <v>350.55643879173289</v>
      </c>
      <c r="CY143" s="58">
        <f si="150" t="shared"/>
        <v>300</v>
      </c>
      <c r="CZ143" s="108">
        <f si="151" t="shared"/>
        <v>-50.556438791732887</v>
      </c>
      <c r="DA143" s="78">
        <f si="152" t="shared"/>
        <v>-0.14421768707482988</v>
      </c>
    </row>
    <row r="144" spans="26:105" x14ac:dyDescent="0.25">
      <c r="Z144" s="95">
        <v>9</v>
      </c>
      <c r="AA144" s="104">
        <f ref="AA144:AV144" si="162" t="shared">ABS(AA118)</f>
        <v>8.2828144111489602E-2</v>
      </c>
      <c r="AB144" s="104">
        <f si="162" t="shared"/>
        <v>0.16052792711396735</v>
      </c>
      <c r="AC144" s="104">
        <f si="162" t="shared"/>
        <v>0.24585096514921098</v>
      </c>
      <c r="AD144" s="104">
        <f si="162" t="shared"/>
        <v>5.6370049703383232E-2</v>
      </c>
      <c r="AE144" s="104">
        <f si="162" t="shared"/>
        <v>0.38052884102980467</v>
      </c>
      <c r="AF144" s="104">
        <f si="162" t="shared"/>
        <v>0.15554610832710511</v>
      </c>
      <c r="AG144" s="104">
        <f si="162" t="shared"/>
        <v>3.6369584770437419E-2</v>
      </c>
      <c r="AH144" s="104">
        <f si="162" t="shared"/>
        <v>2.0394278923690696</v>
      </c>
      <c r="AI144" s="104">
        <f si="162" t="shared"/>
        <v>0.29655023674870451</v>
      </c>
      <c r="AJ144" s="104">
        <f si="162" t="shared"/>
        <v>0.37855344353889447</v>
      </c>
      <c r="AK144" s="104">
        <f si="162" t="shared"/>
        <v>9.2733168033568819E-2</v>
      </c>
      <c r="AL144" s="104">
        <f si="162" t="shared"/>
        <v>0.32929195774695469</v>
      </c>
      <c r="AM144" s="104">
        <f si="162" t="shared"/>
        <v>0.27879608314390941</v>
      </c>
      <c r="AN144" s="104">
        <f si="162" t="shared"/>
        <v>0.47629354772211963</v>
      </c>
      <c r="AO144" s="104">
        <f si="162" t="shared"/>
        <v>9.0528399573625851E-2</v>
      </c>
      <c r="AP144" s="104">
        <f si="162" t="shared"/>
        <v>4.6486565473907372E-2</v>
      </c>
      <c r="AQ144" s="104">
        <f si="162" t="shared"/>
        <v>0.69102715466351861</v>
      </c>
      <c r="AR144" s="104">
        <f si="162" t="shared"/>
        <v>0.22373297021184324</v>
      </c>
      <c r="AS144" s="104">
        <f si="162" t="shared"/>
        <v>7.6464045214045498E-2</v>
      </c>
      <c r="AT144" s="104">
        <f si="162" t="shared"/>
        <v>1.0001396453009361</v>
      </c>
      <c r="AU144" s="104">
        <f si="162" t="shared"/>
        <v>0</v>
      </c>
      <c r="AV144" s="104">
        <f si="162" t="shared"/>
        <v>0</v>
      </c>
      <c r="CU144" s="95">
        <v>143</v>
      </c>
      <c r="CV144" s="95">
        <f si="153" t="shared"/>
        <v>8</v>
      </c>
      <c r="CW144" s="95">
        <f si="148" t="shared"/>
        <v>3</v>
      </c>
      <c r="CX144" s="58">
        <f si="149" t="shared"/>
        <v>523.83147853736091</v>
      </c>
      <c r="CY144" s="58">
        <f si="150" t="shared"/>
        <v>520</v>
      </c>
      <c r="CZ144" s="108">
        <f si="151" t="shared"/>
        <v>-3.8314785373609084</v>
      </c>
      <c r="DA144" s="78">
        <f si="152" t="shared"/>
        <v>-7.3143342741813448E-3</v>
      </c>
    </row>
    <row r="145" spans="26:105" x14ac:dyDescent="0.25">
      <c r="Z145" s="95">
        <v>10</v>
      </c>
      <c r="AA145" s="104">
        <f ref="AA145:AV145" si="163" t="shared">ABS(AA119)</f>
        <v>7.9958694376080344E-2</v>
      </c>
      <c r="AB145" s="104">
        <f si="163" t="shared"/>
        <v>0.49617450638792104</v>
      </c>
      <c r="AC145" s="104">
        <f si="163" t="shared"/>
        <v>1.0147792875983363E-2</v>
      </c>
      <c r="AD145" s="104">
        <f si="163" t="shared"/>
        <v>0.20736368288445678</v>
      </c>
      <c r="AE145" s="104">
        <f si="163" t="shared"/>
        <v>0.10374689895470381</v>
      </c>
      <c r="AF145" s="104">
        <f si="163" t="shared"/>
        <v>0.10742293759982338</v>
      </c>
      <c r="AG145" s="104">
        <f si="163" t="shared"/>
        <v>0.24492093272581072</v>
      </c>
      <c r="AH145" s="104">
        <f si="163" t="shared"/>
        <v>2.443910735025717</v>
      </c>
      <c r="AI145" s="104">
        <f si="163" t="shared"/>
        <v>0.17294451391502469</v>
      </c>
      <c r="AJ145" s="104">
        <f si="163" t="shared"/>
        <v>0.29756204343707993</v>
      </c>
      <c r="AK145" s="104">
        <f si="163" t="shared"/>
        <v>0.30683578034184517</v>
      </c>
      <c r="AL145" s="104">
        <f si="163" t="shared"/>
        <v>0.35768344392337814</v>
      </c>
      <c r="AM145" s="104">
        <f si="163" t="shared"/>
        <v>0.37850205050723079</v>
      </c>
      <c r="AN145" s="104">
        <f si="163" t="shared"/>
        <v>0.2838247118734924</v>
      </c>
      <c r="AO145" s="104">
        <f si="163" t="shared"/>
        <v>8.2352095980459061E-2</v>
      </c>
      <c r="AP145" s="104">
        <f si="163" t="shared"/>
        <v>5.9664841546374636E-2</v>
      </c>
      <c r="AQ145" s="104">
        <f si="163" t="shared"/>
        <v>1</v>
      </c>
      <c r="AR145" s="104">
        <f si="163" t="shared"/>
        <v>0.79459368326402158</v>
      </c>
      <c r="AS145" s="104">
        <f si="163" t="shared"/>
        <v>0.69009835487143301</v>
      </c>
      <c r="AT145" s="104">
        <f si="163" t="shared"/>
        <v>7.2793263646922152E-2</v>
      </c>
      <c r="AU145" s="104">
        <f si="163" t="shared"/>
        <v>0</v>
      </c>
      <c r="AV145" s="104">
        <f si="163" t="shared"/>
        <v>0</v>
      </c>
      <c r="CU145" s="95">
        <v>144</v>
      </c>
      <c r="CV145" s="95">
        <f si="153" t="shared"/>
        <v>8</v>
      </c>
      <c r="CW145" s="95">
        <f si="148" t="shared"/>
        <v>4</v>
      </c>
      <c r="CX145" s="58">
        <f si="149" t="shared"/>
        <v>256.40699523052467</v>
      </c>
      <c r="CY145" s="58">
        <f si="150" t="shared"/>
        <v>220</v>
      </c>
      <c r="CZ145" s="108">
        <f si="151" t="shared"/>
        <v>-36.406995230524672</v>
      </c>
      <c r="DA145" s="78">
        <f si="152" t="shared"/>
        <v>-0.14198908730158741</v>
      </c>
    </row>
    <row r="146" spans="26:105" x14ac:dyDescent="0.25">
      <c r="Z146" s="95">
        <v>11</v>
      </c>
      <c r="AA146" s="104">
        <f ref="AA146:AV146" si="164" t="shared">ABS(AA120)</f>
        <v>0.22158379685838228</v>
      </c>
      <c r="AB146" s="104">
        <f si="164" t="shared"/>
        <v>0.29212886627590628</v>
      </c>
      <c r="AC146" s="104">
        <f si="164" t="shared"/>
        <v>0.13142590387840133</v>
      </c>
      <c r="AD146" s="104">
        <f si="164" t="shared"/>
        <v>1.0137333012503736E-3</v>
      </c>
      <c r="AE146" s="104">
        <f si="164" t="shared"/>
        <v>0.35528964679793174</v>
      </c>
      <c r="AF146" s="104">
        <f si="164" t="shared"/>
        <v>6.6262804254457491E-2</v>
      </c>
      <c r="AG146" s="104">
        <f si="164" t="shared"/>
        <v>0.22320716832130943</v>
      </c>
      <c r="AH146" s="104">
        <f si="164" t="shared"/>
        <v>0.21027019118372672</v>
      </c>
      <c r="AI146" s="104">
        <f si="164" t="shared"/>
        <v>0.10064380519753367</v>
      </c>
      <c r="AJ146" s="104">
        <f si="164" t="shared"/>
        <v>0.921799980271926</v>
      </c>
      <c r="AK146" s="104">
        <f si="164" t="shared"/>
        <v>0.1781711197257943</v>
      </c>
      <c r="AL146" s="104">
        <f si="164" t="shared"/>
        <v>0.54957606258224334</v>
      </c>
      <c r="AM146" s="104">
        <f si="164" t="shared"/>
        <v>0.24336054261159529</v>
      </c>
      <c r="AN146" s="104">
        <f si="164" t="shared"/>
        <v>0.60632399063810605</v>
      </c>
      <c r="AO146" s="104">
        <f si="164" t="shared"/>
        <v>0.58243905888434511</v>
      </c>
      <c r="AP146" s="104">
        <f si="164" t="shared"/>
        <v>1.2906368677125415</v>
      </c>
      <c r="AQ146" s="104">
        <f si="164" t="shared"/>
        <v>0.20578496778218758</v>
      </c>
      <c r="AR146" s="104">
        <f si="164" t="shared"/>
        <v>0.14101117460779689</v>
      </c>
      <c r="AS146" s="104">
        <f si="164" t="shared"/>
        <v>3.9211482415074758E-2</v>
      </c>
      <c r="AT146" s="104">
        <f si="164" t="shared"/>
        <v>1</v>
      </c>
      <c r="AU146" s="104">
        <f si="164" t="shared"/>
        <v>0</v>
      </c>
      <c r="AV146" s="104">
        <f si="164" t="shared"/>
        <v>0</v>
      </c>
      <c r="CU146" s="95">
        <v>145</v>
      </c>
      <c r="CV146" s="95">
        <f si="153" t="shared"/>
        <v>8</v>
      </c>
      <c r="CW146" s="95">
        <f si="148" t="shared"/>
        <v>5</v>
      </c>
      <c r="CX146" s="58">
        <f si="149" t="shared"/>
        <v>284.45151033386327</v>
      </c>
      <c r="CY146" s="58">
        <f si="150" t="shared"/>
        <v>400</v>
      </c>
      <c r="CZ146" s="108">
        <f si="151" t="shared"/>
        <v>115.54848966613673</v>
      </c>
      <c r="DA146" s="78">
        <f si="152" t="shared"/>
        <v>0.40621506818689923</v>
      </c>
    </row>
    <row r="147" spans="26:105" x14ac:dyDescent="0.25">
      <c r="Z147" s="95">
        <v>12</v>
      </c>
      <c r="AA147" s="104">
        <f ref="AA147:AV147" si="165" t="shared">ABS(AA121)</f>
        <v>8.4916392010218722E-2</v>
      </c>
      <c r="AB147" s="104">
        <f si="165" t="shared"/>
        <v>0.30243422495452588</v>
      </c>
      <c r="AC147" s="104">
        <f si="165" t="shared"/>
        <v>0.1011265731337401</v>
      </c>
      <c r="AD147" s="104">
        <f si="165" t="shared"/>
        <v>0.52091661176730186</v>
      </c>
      <c r="AE147" s="104">
        <f si="165" t="shared"/>
        <v>0.35367184045766897</v>
      </c>
      <c r="AF147" s="104">
        <f si="165" t="shared"/>
        <v>6.735548171943713E-2</v>
      </c>
      <c r="AG147" s="104">
        <f si="165" t="shared"/>
        <v>0.31894744877186365</v>
      </c>
      <c r="AH147" s="104">
        <f si="165" t="shared"/>
        <v>0.17273283433479789</v>
      </c>
      <c r="AI147" s="104">
        <f si="165" t="shared"/>
        <v>0.39603912968988092</v>
      </c>
      <c r="AJ147" s="104">
        <f si="165" t="shared"/>
        <v>0.37854211225342022</v>
      </c>
      <c r="AK147" s="104">
        <f si="165" t="shared"/>
        <v>3.6133492852294932E-2</v>
      </c>
      <c r="AL147" s="104">
        <f si="165" t="shared"/>
        <v>0.11513315404217125</v>
      </c>
      <c r="AM147" s="104">
        <f si="165" t="shared"/>
        <v>1.0271875499379239</v>
      </c>
      <c r="AN147" s="104">
        <f si="165" t="shared"/>
        <v>0.51164272998823312</v>
      </c>
      <c r="AO147" s="104">
        <f si="165" t="shared"/>
        <v>0.42002801907985532</v>
      </c>
      <c r="AP147" s="104">
        <f si="165" t="shared"/>
        <v>5.5750478087020015E-2</v>
      </c>
      <c r="AQ147" s="104">
        <f si="165" t="shared"/>
        <v>0.2579154632526196</v>
      </c>
      <c r="AR147" s="104">
        <f si="165" t="shared"/>
        <v>0.30810382508001261</v>
      </c>
      <c r="AS147" s="104">
        <f si="165" t="shared"/>
        <v>0.35050314963415735</v>
      </c>
      <c r="AT147" s="104">
        <f si="165" t="shared"/>
        <v>0.54753550939127715</v>
      </c>
      <c r="AU147" s="104">
        <f si="165" t="shared"/>
        <v>0</v>
      </c>
      <c r="AV147" s="104">
        <f si="165" t="shared"/>
        <v>0</v>
      </c>
      <c r="CU147" s="95">
        <v>146</v>
      </c>
      <c r="CV147" s="95">
        <f si="153" t="shared"/>
        <v>8</v>
      </c>
      <c r="CW147" s="95">
        <f si="148" t="shared"/>
        <v>6</v>
      </c>
      <c r="CX147" s="58">
        <f si="149" t="shared"/>
        <v>827.31319554848972</v>
      </c>
      <c r="CY147" s="58">
        <f si="150" t="shared"/>
        <v>740</v>
      </c>
      <c r="CZ147" s="108">
        <f si="151" t="shared"/>
        <v>-87.313195548489716</v>
      </c>
      <c r="DA147" s="78">
        <f si="152" t="shared"/>
        <v>-0.10553826050194094</v>
      </c>
    </row>
    <row r="148" spans="26:105" x14ac:dyDescent="0.25">
      <c r="Z148" s="95">
        <v>13</v>
      </c>
      <c r="AA148" s="104">
        <f ref="AA148:AV148" si="166" t="shared">ABS(AA122)</f>
        <v>0.20601804783859384</v>
      </c>
      <c r="AB148" s="104">
        <f si="166" t="shared"/>
        <v>0.31714903420166579</v>
      </c>
      <c r="AC148" s="104">
        <f si="166" t="shared"/>
        <v>0.57002316745435988</v>
      </c>
      <c r="AD148" s="104">
        <f si="166" t="shared"/>
        <v>0.56436517766217997</v>
      </c>
      <c r="AE148" s="104">
        <f si="166" t="shared"/>
        <v>9.9084967320261175E-2</v>
      </c>
      <c r="AF148" s="104">
        <f si="166" t="shared"/>
        <v>1.2993314303359229E-3</v>
      </c>
      <c r="AG148" s="104">
        <f si="166" t="shared"/>
        <v>0.39673774176821691</v>
      </c>
      <c r="AH148" s="104">
        <f si="166" t="shared"/>
        <v>0.9201405357927096</v>
      </c>
      <c r="AI148" s="104">
        <f si="166" t="shared"/>
        <v>0.56266200381605891</v>
      </c>
      <c r="AJ148" s="104">
        <f si="166" t="shared"/>
        <v>0.11934459805427537</v>
      </c>
      <c r="AK148" s="104">
        <f si="166" t="shared"/>
        <v>0.17507491769132555</v>
      </c>
      <c r="AL148" s="104">
        <f si="166" t="shared"/>
        <v>0.59052473040544595</v>
      </c>
      <c r="AM148" s="104">
        <f si="166" t="shared"/>
        <v>0.19025808277565556</v>
      </c>
      <c r="AN148" s="104">
        <f si="166" t="shared"/>
        <v>0.52287008011145919</v>
      </c>
      <c r="AO148" s="104">
        <f si="166" t="shared"/>
        <v>0.72100018744142447</v>
      </c>
      <c r="AP148" s="104">
        <f si="166" t="shared"/>
        <v>0.45593073593073569</v>
      </c>
      <c r="AQ148" s="104">
        <f si="166" t="shared"/>
        <v>0.43380471380471392</v>
      </c>
      <c r="AR148" s="104">
        <f si="166" t="shared"/>
        <v>0.10148787505137696</v>
      </c>
      <c r="AS148" s="104">
        <f si="166" t="shared"/>
        <v>0.28630773756987343</v>
      </c>
      <c r="AT148" s="104">
        <f si="166" t="shared"/>
        <v>0.35054070112893654</v>
      </c>
      <c r="AU148" s="104">
        <f si="166" t="shared"/>
        <v>0</v>
      </c>
      <c r="AV148" s="104">
        <f si="166" t="shared"/>
        <v>0</v>
      </c>
      <c r="CU148" s="95">
        <v>147</v>
      </c>
      <c r="CV148" s="95">
        <f si="153" t="shared"/>
        <v>8</v>
      </c>
      <c r="CW148" s="95">
        <f si="148" t="shared"/>
        <v>7</v>
      </c>
      <c r="CX148" s="58">
        <f si="149" t="shared"/>
        <v>170.27027027027029</v>
      </c>
      <c r="CY148" s="58">
        <f si="150" t="shared"/>
        <v>140</v>
      </c>
      <c r="CZ148" s="108">
        <f si="151" t="shared"/>
        <v>-30.270270270270288</v>
      </c>
      <c r="DA148" s="78">
        <f si="152" t="shared"/>
        <v>-0.17777777777777787</v>
      </c>
    </row>
    <row r="149" spans="26:105" x14ac:dyDescent="0.25">
      <c r="Z149" s="95">
        <v>14</v>
      </c>
      <c r="AA149" s="104">
        <f ref="AA149:AV149" si="167" t="shared">ABS(AA123)</f>
        <v>0.82860754672540105</v>
      </c>
      <c r="AB149" s="104">
        <f si="167" t="shared"/>
        <v>0.40980007646674305</v>
      </c>
      <c r="AC149" s="104">
        <f si="167" t="shared"/>
        <v>1.227715397650039</v>
      </c>
      <c r="AD149" s="104">
        <f si="167" t="shared"/>
        <v>0.61919456456273603</v>
      </c>
      <c r="AE149" s="104">
        <f si="167" t="shared"/>
        <v>0.56293683454177301</v>
      </c>
      <c r="AF149" s="104">
        <f si="167" t="shared"/>
        <v>0.18731412532080144</v>
      </c>
      <c r="AG149" s="104">
        <f si="167" t="shared"/>
        <v>0.29251675832872409</v>
      </c>
      <c r="AH149" s="104">
        <f si="167" t="shared"/>
        <v>0.8112294754806838</v>
      </c>
      <c r="AI149" s="104">
        <f si="167" t="shared"/>
        <v>0.48749032646700097</v>
      </c>
      <c r="AJ149" s="104">
        <f si="167" t="shared"/>
        <v>0.60395508630802774</v>
      </c>
      <c r="AK149" s="104">
        <f si="167" t="shared"/>
        <v>0.29465344374870345</v>
      </c>
      <c r="AL149" s="104">
        <f si="167" t="shared"/>
        <v>0.26793316905896469</v>
      </c>
      <c r="AM149" s="104">
        <f si="167" t="shared"/>
        <v>0.11750969128018328</v>
      </c>
      <c r="AN149" s="104">
        <f si="167" t="shared"/>
        <v>0.20080499735778259</v>
      </c>
      <c r="AO149" s="104">
        <f si="167" t="shared"/>
        <v>2.1244811506983992E-2</v>
      </c>
      <c r="AP149" s="104">
        <f si="167" t="shared"/>
        <v>0.74789977354079962</v>
      </c>
      <c r="AQ149" s="104">
        <f si="167" t="shared"/>
        <v>4.8705316679172564E-2</v>
      </c>
      <c r="AR149" s="104">
        <f si="167" t="shared"/>
        <v>3.131399464732799</v>
      </c>
      <c r="AS149" s="104">
        <f si="167" t="shared"/>
        <v>0.79389713600239953</v>
      </c>
      <c r="AT149" s="104">
        <f si="167" t="shared"/>
        <v>1</v>
      </c>
      <c r="AU149" s="104">
        <f si="167" t="shared"/>
        <v>0</v>
      </c>
      <c r="AV149" s="104">
        <f si="167" t="shared"/>
        <v>0</v>
      </c>
      <c r="CU149" s="95">
        <v>148</v>
      </c>
      <c r="CV149" s="95">
        <f si="153" t="shared"/>
        <v>8</v>
      </c>
      <c r="CW149" s="95">
        <f si="148" t="shared"/>
        <v>8</v>
      </c>
      <c r="CX149" s="58">
        <f si="149" t="shared"/>
        <v>508.80763116057238</v>
      </c>
      <c r="CY149" s="58">
        <f si="150" t="shared"/>
        <v>260</v>
      </c>
      <c r="CZ149" s="108">
        <f si="151" t="shared"/>
        <v>-248.80763116057238</v>
      </c>
      <c r="DA149" s="78">
        <f si="152" t="shared"/>
        <v>-0.48900137482814654</v>
      </c>
    </row>
    <row r="150" spans="26:105" x14ac:dyDescent="0.25">
      <c r="Z150" s="95">
        <v>15</v>
      </c>
      <c r="AA150" s="104">
        <f ref="AA150:AV150" si="168" t="shared">ABS(AA124)</f>
        <v>0.32354939156316592</v>
      </c>
      <c r="AB150" s="104">
        <f si="168" t="shared"/>
        <v>5.0320219579140868E-3</v>
      </c>
      <c r="AC150" s="104">
        <f si="168" t="shared"/>
        <v>2.4212426183148961</v>
      </c>
      <c r="AD150" s="104">
        <f si="168" t="shared"/>
        <v>0.13696884596567535</v>
      </c>
      <c r="AE150" s="104">
        <f si="168" t="shared"/>
        <v>0.43777149193749221</v>
      </c>
      <c r="AF150" s="104">
        <f si="168" t="shared"/>
        <v>0.22617845021060512</v>
      </c>
      <c r="AG150" s="104">
        <f si="168" t="shared"/>
        <v>2.0192072380377058E-2</v>
      </c>
      <c r="AH150" s="104">
        <f si="168" t="shared"/>
        <v>0.41923350615024912</v>
      </c>
      <c r="AI150" s="104">
        <f si="168" t="shared"/>
        <v>2.8712141316199872E-2</v>
      </c>
      <c r="AJ150" s="104">
        <f si="168" t="shared"/>
        <v>0.68819080199803329</v>
      </c>
      <c r="AK150" s="104">
        <f si="168" t="shared"/>
        <v>0.76910408895770244</v>
      </c>
      <c r="AL150" s="104">
        <f si="168" t="shared"/>
        <v>0.11648196119513658</v>
      </c>
      <c r="AM150" s="104">
        <f si="168" t="shared"/>
        <v>0.7158681787950858</v>
      </c>
      <c r="AN150" s="104">
        <f si="168" t="shared"/>
        <v>5.5336230558096977</v>
      </c>
      <c r="AO150" s="104">
        <f si="168" t="shared"/>
        <v>0.21806945972982816</v>
      </c>
      <c r="AP150" s="104">
        <f si="168" t="shared"/>
        <v>1</v>
      </c>
      <c r="AQ150" s="104">
        <f si="168" t="shared"/>
        <v>0.13014020424816372</v>
      </c>
      <c r="AR150" s="104">
        <f si="168" t="shared"/>
        <v>0.43492989787591801</v>
      </c>
      <c r="AS150" s="104">
        <f si="168" t="shared"/>
        <v>0.4476313512985845</v>
      </c>
      <c r="AT150" s="104">
        <f si="168" t="shared"/>
        <v>0.1615329876995017</v>
      </c>
      <c r="AU150" s="104">
        <f si="168" t="shared"/>
        <v>0</v>
      </c>
      <c r="AV150" s="104">
        <f si="168" t="shared"/>
        <v>0</v>
      </c>
      <c r="CU150" s="95">
        <v>149</v>
      </c>
      <c r="CV150" s="95">
        <f si="153" t="shared"/>
        <v>8</v>
      </c>
      <c r="CW150" s="95">
        <f si="148" t="shared"/>
        <v>9</v>
      </c>
      <c r="CX150" s="58">
        <f si="149" t="shared"/>
        <v>171.27186009538951</v>
      </c>
      <c r="CY150" s="58">
        <f si="150" t="shared"/>
        <v>280</v>
      </c>
      <c r="CZ150" s="108">
        <f si="151" t="shared"/>
        <v>108.72813990461049</v>
      </c>
      <c r="DA150" s="78">
        <f si="152" t="shared"/>
        <v>0.63482781026640667</v>
      </c>
    </row>
    <row r="151" spans="26:105" x14ac:dyDescent="0.25">
      <c r="Z151" s="95">
        <v>16</v>
      </c>
      <c r="AA151" s="104">
        <f ref="AA151:AV151" si="169" t="shared">ABS(AA125)</f>
        <v>2.584225748456212E-2</v>
      </c>
      <c r="AB151" s="104">
        <f si="169" t="shared"/>
        <v>0.28937113066145354</v>
      </c>
      <c r="AC151" s="104">
        <f si="169" t="shared"/>
        <v>5.2462990561351078E-2</v>
      </c>
      <c r="AD151" s="104">
        <f si="169" t="shared"/>
        <v>0.46923762116845652</v>
      </c>
      <c r="AE151" s="104">
        <f si="169" t="shared"/>
        <v>0.3570530769709413</v>
      </c>
      <c r="AF151" s="104">
        <f si="169" t="shared"/>
        <v>0.1735390659012444</v>
      </c>
      <c r="AG151" s="104">
        <f si="169" t="shared"/>
        <v>8.1805555555555284E-2</v>
      </c>
      <c r="AH151" s="104">
        <f si="169" t="shared"/>
        <v>0.35991782229070374</v>
      </c>
      <c r="AI151" s="104">
        <f si="169" t="shared"/>
        <v>3.9062379520395096E-2</v>
      </c>
      <c r="AJ151" s="104">
        <f si="169" t="shared"/>
        <v>0.33449042395278966</v>
      </c>
      <c r="AK151" s="104">
        <f si="169" t="shared"/>
        <v>0.38426877470355747</v>
      </c>
      <c r="AL151" s="104">
        <f si="169" t="shared"/>
        <v>0.32876318742985389</v>
      </c>
      <c r="AM151" s="104">
        <f si="169" t="shared"/>
        <v>2.1470707070707062</v>
      </c>
      <c r="AN151" s="104">
        <f si="169" t="shared"/>
        <v>0.39088954056696001</v>
      </c>
      <c r="AO151" s="104">
        <f si="169" t="shared"/>
        <v>7.582920110192835</v>
      </c>
      <c r="AP151" s="104">
        <f si="169" t="shared"/>
        <v>0.4040430886942516</v>
      </c>
      <c r="AQ151" s="104">
        <f si="169" t="shared"/>
        <v>0.88824242424242383</v>
      </c>
      <c r="AR151" s="104">
        <f si="169" t="shared"/>
        <v>1.0802670775552128</v>
      </c>
      <c r="AS151" s="104">
        <f si="169" t="shared"/>
        <v>0.1148863636363639</v>
      </c>
      <c r="AT151" s="104">
        <f si="169" t="shared"/>
        <v>3.1048748353096167</v>
      </c>
      <c r="AU151" s="104">
        <f si="169" t="shared"/>
        <v>0</v>
      </c>
      <c r="AV151" s="104">
        <f si="169" t="shared"/>
        <v>0</v>
      </c>
      <c r="CU151" s="95">
        <v>150</v>
      </c>
      <c r="CV151" s="95">
        <f si="153" t="shared"/>
        <v>8</v>
      </c>
      <c r="CW151" s="95">
        <f si="148" t="shared"/>
        <v>10</v>
      </c>
      <c r="CX151" s="58">
        <f si="149" t="shared"/>
        <v>224.35612082670906</v>
      </c>
      <c r="CY151" s="58">
        <f si="150" t="shared"/>
        <v>260</v>
      </c>
      <c r="CZ151" s="108">
        <f si="151" t="shared"/>
        <v>35.643879173290941</v>
      </c>
      <c r="DA151" s="78">
        <f si="152" t="shared"/>
        <v>0.15887188208616781</v>
      </c>
    </row>
    <row r="152" spans="26:105" x14ac:dyDescent="0.25">
      <c r="Z152" s="95">
        <v>17</v>
      </c>
      <c r="AA152" s="104">
        <f ref="AA152:AV152" si="170" t="shared">ABS(AA126)</f>
        <v>4.717006048120858E-2</v>
      </c>
      <c r="AB152" s="104">
        <f si="170" t="shared"/>
        <v>0.36069240659506874</v>
      </c>
      <c r="AC152" s="104">
        <f si="170" t="shared"/>
        <v>1.0825673058563596</v>
      </c>
      <c r="AD152" s="104">
        <f si="170" t="shared"/>
        <v>5.9406066032078618E-2</v>
      </c>
      <c r="AE152" s="104">
        <f si="170" t="shared"/>
        <v>0.12103284649041735</v>
      </c>
      <c r="AF152" s="104">
        <f si="170" t="shared"/>
        <v>6.8256784475130602E-2</v>
      </c>
      <c r="AG152" s="104">
        <f si="170" t="shared"/>
        <v>0.61793502057973559</v>
      </c>
      <c r="AH152" s="104">
        <f si="170" t="shared"/>
        <v>0.21437010187481842</v>
      </c>
      <c r="AI152" s="104">
        <f si="170" t="shared"/>
        <v>0.14653976224943982</v>
      </c>
      <c r="AJ152" s="104">
        <f si="170" t="shared"/>
        <v>0.26247558417130878</v>
      </c>
      <c r="AK152" s="104">
        <f si="170" t="shared"/>
        <v>3.7923117694518369E-3</v>
      </c>
      <c r="AL152" s="104">
        <f si="170" t="shared"/>
        <v>0.24635100070513402</v>
      </c>
      <c r="AM152" s="104">
        <f si="170" t="shared"/>
        <v>0.53466444814198555</v>
      </c>
      <c r="AN152" s="104">
        <f si="170" t="shared"/>
        <v>0.60760608958821927</v>
      </c>
      <c r="AO152" s="104">
        <f si="170" t="shared"/>
        <v>1.1777703826955075</v>
      </c>
      <c r="AP152" s="104">
        <f si="170" t="shared"/>
        <v>1</v>
      </c>
      <c r="AQ152" s="104">
        <f si="170" t="shared"/>
        <v>0.26482255730534093</v>
      </c>
      <c r="AR152" s="104">
        <f si="170" t="shared"/>
        <v>0</v>
      </c>
      <c r="AS152" s="104">
        <f si="170" t="shared"/>
        <v>0.24450926219283869</v>
      </c>
      <c r="AT152" s="104">
        <f si="170" t="shared"/>
        <v>1</v>
      </c>
      <c r="AU152" s="104">
        <f si="170" t="shared"/>
        <v>0</v>
      </c>
      <c r="AV152" s="104">
        <f si="170" t="shared"/>
        <v>0</v>
      </c>
      <c r="CU152" s="95">
        <v>151</v>
      </c>
      <c r="CV152" s="95">
        <f si="153" t="shared"/>
        <v>8</v>
      </c>
      <c r="CW152" s="95">
        <f si="148" t="shared"/>
        <v>11</v>
      </c>
      <c r="CX152" s="58">
        <f si="149" t="shared"/>
        <v>646.02543720190783</v>
      </c>
      <c r="CY152" s="58">
        <f si="150" t="shared"/>
        <v>640</v>
      </c>
      <c r="CZ152" s="108">
        <f si="151" t="shared"/>
        <v>-6.0254372019078346</v>
      </c>
      <c r="DA152" s="78">
        <f si="152" t="shared"/>
        <v>-9.3269349083303262E-3</v>
      </c>
    </row>
    <row r="153" spans="26:105" x14ac:dyDescent="0.25">
      <c r="Z153" s="95">
        <v>18</v>
      </c>
      <c r="AA153" s="104">
        <f ref="AA153:AV153" si="171" t="shared">ABS(AA127)</f>
        <v>1.7497086970188893E-2</v>
      </c>
      <c r="AB153" s="104">
        <f si="171" t="shared"/>
        <v>0.1252144606526481</v>
      </c>
      <c r="AC153" s="104">
        <f si="171" t="shared"/>
        <v>0.44225371422415966</v>
      </c>
      <c r="AD153" s="104">
        <f si="171" t="shared"/>
        <v>7.6981675491313309E-2</v>
      </c>
      <c r="AE153" s="104">
        <f si="171" t="shared"/>
        <v>0.16521136827523189</v>
      </c>
      <c r="AF153" s="104">
        <f si="171" t="shared"/>
        <v>0.10747235350253173</v>
      </c>
      <c r="AG153" s="104">
        <f si="171" t="shared"/>
        <v>1.6985484398248731E-2</v>
      </c>
      <c r="AH153" s="104">
        <f si="171" t="shared"/>
        <v>0.35330298403093918</v>
      </c>
      <c r="AI153" s="104">
        <f si="171" t="shared"/>
        <v>0.15428185571540426</v>
      </c>
      <c r="AJ153" s="104">
        <f si="171" t="shared"/>
        <v>1.0891438917364826</v>
      </c>
      <c r="AK153" s="104">
        <f si="171" t="shared"/>
        <v>0.84818320326041696</v>
      </c>
      <c r="AL153" s="104">
        <f si="171" t="shared"/>
        <v>1.2706069275609591E-2</v>
      </c>
      <c r="AM153" s="104">
        <f si="171" t="shared"/>
        <v>0.29832437767613235</v>
      </c>
      <c r="AN153" s="104">
        <f si="171" t="shared"/>
        <v>1</v>
      </c>
      <c r="AO153" s="104">
        <f si="171" t="shared"/>
        <v>0.15380431864917926</v>
      </c>
      <c r="AP153" s="104">
        <f si="171" t="shared"/>
        <v>1.2771705090709079E-2</v>
      </c>
      <c r="AQ153" s="104">
        <f si="171" t="shared"/>
        <v>6.435550544907935E-2</v>
      </c>
      <c r="AR153" s="104">
        <f si="171" t="shared"/>
        <v>0.17727394773782873</v>
      </c>
      <c r="AS153" s="104">
        <f si="171" t="shared"/>
        <v>0.14851559564073655</v>
      </c>
      <c r="AT153" s="104">
        <f si="171" t="shared"/>
        <v>0.1460519820835493</v>
      </c>
      <c r="AU153" s="104">
        <f si="171" t="shared"/>
        <v>0</v>
      </c>
      <c r="AV153" s="104">
        <f si="171" t="shared"/>
        <v>0</v>
      </c>
      <c r="CU153" s="95">
        <v>152</v>
      </c>
      <c r="CV153" s="95">
        <f si="153" t="shared"/>
        <v>8</v>
      </c>
      <c r="CW153" s="95">
        <f si="148" t="shared"/>
        <v>12</v>
      </c>
      <c r="CX153" s="58">
        <f si="149" t="shared"/>
        <v>285.45310015898252</v>
      </c>
      <c r="CY153" s="58">
        <f si="150" t="shared"/>
        <v>520</v>
      </c>
      <c r="CZ153" s="108">
        <f si="151" t="shared"/>
        <v>234.54689984101748</v>
      </c>
      <c r="DA153" s="78">
        <f si="152" t="shared"/>
        <v>0.82166527429685321</v>
      </c>
    </row>
    <row r="154" spans="26:105" x14ac:dyDescent="0.25">
      <c r="Z154" s="95">
        <v>19</v>
      </c>
      <c r="AA154" s="104">
        <f ref="AA154:AV154" si="172" t="shared">ABS(AA128)</f>
        <v>5.3426245713379131E-2</v>
      </c>
      <c r="AB154" s="104">
        <f si="172" t="shared"/>
        <v>0.13864605543710018</v>
      </c>
      <c r="AC154" s="104">
        <f si="172" t="shared"/>
        <v>1.1938157608459163</v>
      </c>
      <c r="AD154" s="104">
        <f si="172" t="shared"/>
        <v>1.0210539481364129</v>
      </c>
      <c r="AE154" s="104">
        <f si="172" t="shared"/>
        <v>0.45172013128578614</v>
      </c>
      <c r="AF154" s="104">
        <f si="172" t="shared"/>
        <v>0.20670812044896805</v>
      </c>
      <c r="AG154" s="104">
        <f si="172" t="shared"/>
        <v>2.6496287037717801E-2</v>
      </c>
      <c r="AH154" s="104">
        <f si="172" t="shared"/>
        <v>0.4219176227705011</v>
      </c>
      <c r="AI154" s="104">
        <f si="172" t="shared"/>
        <v>0.48440299633226241</v>
      </c>
      <c r="AJ154" s="104">
        <f si="172" t="shared"/>
        <v>1.0135546756015836</v>
      </c>
      <c r="AK154" s="104">
        <f si="172" t="shared"/>
        <v>0.11199136640997577</v>
      </c>
      <c r="AL154" s="104">
        <f si="172" t="shared"/>
        <v>0.21726862644182732</v>
      </c>
      <c r="AM154" s="104">
        <f si="172" t="shared"/>
        <v>4.4819225173769996E-2</v>
      </c>
      <c r="AN154" s="104">
        <f si="172" t="shared"/>
        <v>1.1301868043522767</v>
      </c>
      <c r="AO154" s="104">
        <f si="172" t="shared"/>
        <v>2.890019177853757E-2</v>
      </c>
      <c r="AP154" s="104">
        <f si="172" t="shared"/>
        <v>1.5595491928114593E-2</v>
      </c>
      <c r="AQ154" s="104">
        <f si="172" t="shared"/>
        <v>0.22388289216687585</v>
      </c>
      <c r="AR154" s="104">
        <f si="172" t="shared"/>
        <v>2.4454157782515993</v>
      </c>
      <c r="AS154" s="104">
        <f si="172" t="shared"/>
        <v>0.16217423009866963</v>
      </c>
      <c r="AT154" s="104">
        <f si="172" t="shared"/>
        <v>1</v>
      </c>
      <c r="AU154" s="104">
        <f si="172" t="shared"/>
        <v>0</v>
      </c>
      <c r="AV154" s="104">
        <f si="172" t="shared"/>
        <v>0</v>
      </c>
      <c r="CU154" s="95">
        <v>153</v>
      </c>
      <c r="CV154" s="95">
        <f si="153" t="shared"/>
        <v>8</v>
      </c>
      <c r="CW154" s="95">
        <f si="148" t="shared"/>
        <v>13</v>
      </c>
      <c r="CX154" s="58">
        <f si="149" t="shared"/>
        <v>29.046104928457869</v>
      </c>
      <c r="CY154" s="58">
        <f si="150" t="shared"/>
        <v>0</v>
      </c>
      <c r="CZ154" s="108">
        <f si="151" t="shared"/>
        <v>-29.046104928457869</v>
      </c>
      <c r="DA154" s="78">
        <f si="152" t="shared"/>
        <v>-1</v>
      </c>
    </row>
    <row r="155" spans="26:105" x14ac:dyDescent="0.25">
      <c r="Z155" s="95">
        <v>20</v>
      </c>
      <c r="AA155" s="104">
        <f ref="AA155:AV155" si="173" t="shared">ABS(AA129)</f>
        <v>0.58378140345553653</v>
      </c>
      <c r="AB155" s="104">
        <f si="173" t="shared"/>
        <v>0.38751572378416349</v>
      </c>
      <c r="AC155" s="104">
        <f si="173" t="shared"/>
        <v>1.0089484259879438</v>
      </c>
      <c r="AD155" s="104">
        <f si="173" t="shared"/>
        <v>0.50671131949095782</v>
      </c>
      <c r="AE155" s="104">
        <f si="173" t="shared"/>
        <v>0.46485822728287579</v>
      </c>
      <c r="AF155" s="104">
        <f si="173" t="shared"/>
        <v>0.20498346088528296</v>
      </c>
      <c r="AG155" s="104">
        <f si="173" t="shared"/>
        <v>0.36618902026382183</v>
      </c>
      <c r="AH155" s="104">
        <f si="173" t="shared"/>
        <v>1</v>
      </c>
      <c r="AI155" s="104">
        <f si="173" t="shared"/>
        <v>0.29757048042379591</v>
      </c>
      <c r="AJ155" s="104">
        <f si="173" t="shared"/>
        <v>0.41600336453838849</v>
      </c>
      <c r="AK155" s="104">
        <f si="173" t="shared"/>
        <v>0.26141601985737362</v>
      </c>
      <c r="AL155" s="104">
        <f si="173" t="shared"/>
        <v>0.25743339620379541</v>
      </c>
      <c r="AM155" s="104">
        <f si="173" t="shared"/>
        <v>0.14340170346115513</v>
      </c>
      <c r="AN155" s="104">
        <f si="173" t="shared"/>
        <v>1</v>
      </c>
      <c r="AO155" s="104">
        <f si="173" t="shared"/>
        <v>9.0447421299397188</v>
      </c>
      <c r="AP155" s="104">
        <f si="173" t="shared"/>
        <v>1.0204941065970701</v>
      </c>
      <c r="AQ155" s="104">
        <f si="173" t="shared"/>
        <v>1</v>
      </c>
      <c r="AR155" s="104">
        <f si="173" t="shared"/>
        <v>9.8974244265578826E-2</v>
      </c>
      <c r="AS155" s="104">
        <f si="173" t="shared"/>
        <v>1</v>
      </c>
      <c r="AT155" s="104">
        <f si="173" t="shared"/>
        <v>4.7052292533964944E-2</v>
      </c>
      <c r="AU155" s="104">
        <f si="173" t="shared"/>
        <v>0</v>
      </c>
      <c r="AV155" s="104">
        <f si="173" t="shared"/>
        <v>0</v>
      </c>
      <c r="CU155" s="95">
        <v>154</v>
      </c>
      <c r="CV155" s="95">
        <f si="153" t="shared"/>
        <v>8</v>
      </c>
      <c r="CW155" s="95">
        <f si="148" t="shared"/>
        <v>14</v>
      </c>
      <c r="CX155" s="58">
        <f si="149" t="shared"/>
        <v>132.20985691573927</v>
      </c>
      <c r="CY155" s="58">
        <f si="150" t="shared"/>
        <v>120</v>
      </c>
      <c r="CZ155" s="108">
        <f si="151" t="shared"/>
        <v>-12.209856915739266</v>
      </c>
      <c r="DA155" s="78">
        <f si="152" t="shared"/>
        <v>-9.2352092352092338E-2</v>
      </c>
    </row>
    <row r="156" spans="26:105" x14ac:dyDescent="0.25">
      <c r="Z156" s="101" t="s">
        <v>15</v>
      </c>
      <c r="AA156" s="105">
        <f ref="AA156:AV156" si="174" t="shared">ABS(AA130)</f>
        <v>0</v>
      </c>
      <c r="AB156" s="105">
        <f si="174" t="shared"/>
        <v>0</v>
      </c>
      <c r="AC156" s="105">
        <f si="174" t="shared"/>
        <v>0</v>
      </c>
      <c r="AD156" s="105">
        <f si="174" t="shared"/>
        <v>0</v>
      </c>
      <c r="AE156" s="105">
        <f si="174" t="shared"/>
        <v>0</v>
      </c>
      <c r="AF156" s="105">
        <f si="174" t="shared"/>
        <v>0</v>
      </c>
      <c r="AG156" s="105">
        <f si="174" t="shared"/>
        <v>0</v>
      </c>
      <c r="AH156" s="105">
        <f si="174" t="shared"/>
        <v>0</v>
      </c>
      <c r="AI156" s="105">
        <f si="174" t="shared"/>
        <v>0</v>
      </c>
      <c r="AJ156" s="105">
        <f si="174" t="shared"/>
        <v>0</v>
      </c>
      <c r="AK156" s="105">
        <f si="174" t="shared"/>
        <v>0</v>
      </c>
      <c r="AL156" s="105">
        <f si="174" t="shared"/>
        <v>0</v>
      </c>
      <c r="AM156" s="105">
        <f si="174" t="shared"/>
        <v>0</v>
      </c>
      <c r="AN156" s="105">
        <f si="174" t="shared"/>
        <v>0</v>
      </c>
      <c r="AO156" s="105">
        <f si="174" t="shared"/>
        <v>0</v>
      </c>
      <c r="AP156" s="105">
        <f si="174" t="shared"/>
        <v>0</v>
      </c>
      <c r="AQ156" s="105">
        <f si="174" t="shared"/>
        <v>0</v>
      </c>
      <c r="AR156" s="105">
        <f si="174" t="shared"/>
        <v>0</v>
      </c>
      <c r="AS156" s="105">
        <f si="174" t="shared"/>
        <v>0</v>
      </c>
      <c r="AT156" s="105">
        <f si="174" t="shared"/>
        <v>0</v>
      </c>
      <c r="AU156" s="105">
        <f si="174" t="shared"/>
        <v>0</v>
      </c>
      <c r="AV156" s="105">
        <f si="174" t="shared"/>
        <v>0</v>
      </c>
      <c r="CU156" s="95">
        <v>155</v>
      </c>
      <c r="CV156" s="95">
        <f si="153" t="shared"/>
        <v>8</v>
      </c>
      <c r="CW156" s="95">
        <f si="148" t="shared"/>
        <v>15</v>
      </c>
      <c r="CX156" s="58">
        <f si="149" t="shared"/>
        <v>14.022257551669316</v>
      </c>
      <c r="CY156" s="58">
        <f si="150" t="shared"/>
        <v>40</v>
      </c>
      <c r="CZ156" s="108">
        <f si="151" t="shared"/>
        <v>25.977742448330684</v>
      </c>
      <c r="DA156" s="78">
        <f si="152" t="shared"/>
        <v>1.8526077097505669</v>
      </c>
    </row>
    <row ht="15.75" r="157" spans="26:105" thickBot="1" x14ac:dyDescent="0.3">
      <c r="Z157" s="1" t="s">
        <v>3</v>
      </c>
      <c r="AA157" s="106">
        <f ref="AA157:AV157" si="175" t="shared">ABS(AA131)</f>
        <v>1.7849971227571881E-2</v>
      </c>
      <c r="AB157" s="106">
        <f si="175" t="shared"/>
        <v>2.0060789886369904E-2</v>
      </c>
      <c r="AC157" s="106">
        <f si="175" t="shared"/>
        <v>1.3302119180902726E-2</v>
      </c>
      <c r="AD157" s="106">
        <f si="175" t="shared"/>
        <v>4.1813786654516849E-2</v>
      </c>
      <c r="AE157" s="106">
        <f si="175" t="shared"/>
        <v>8.4647641661230802E-3</v>
      </c>
      <c r="AF157" s="106">
        <f si="175" t="shared"/>
        <v>2.019398909942282E-2</v>
      </c>
      <c r="AG157" s="106">
        <f si="175" t="shared"/>
        <v>2.3992598243674335E-2</v>
      </c>
      <c r="AH157" s="106">
        <f si="175" t="shared"/>
        <v>1.3651444533229654E-2</v>
      </c>
      <c r="AI157" s="106">
        <f si="175" t="shared"/>
        <v>4.1514010550907025E-2</v>
      </c>
      <c r="AJ157" s="106">
        <f si="175" t="shared"/>
        <v>3.9896812138792079E-2</v>
      </c>
      <c r="AK157" s="106">
        <f si="175" t="shared"/>
        <v>2.383787281356323E-2</v>
      </c>
      <c r="AL157" s="106">
        <f si="175" t="shared"/>
        <v>8.0461334790205966E-2</v>
      </c>
      <c r="AM157" s="106">
        <f si="175" t="shared"/>
        <v>1.7336115372574751E-2</v>
      </c>
      <c r="AN157" s="106">
        <f si="175" t="shared"/>
        <v>9.2871433853699056E-3</v>
      </c>
      <c r="AO157" s="106">
        <f si="175" t="shared"/>
        <v>3.63122146070117E-2</v>
      </c>
      <c r="AP157" s="106">
        <f si="175" t="shared"/>
        <v>8.5869802251090879E-2</v>
      </c>
      <c r="AQ157" s="106">
        <f si="175" t="shared"/>
        <v>9.0486684589685937E-2</v>
      </c>
      <c r="AR157" s="106">
        <f si="175" t="shared"/>
        <v>0.12235349957356915</v>
      </c>
      <c r="AS157" s="106">
        <f si="175" t="shared"/>
        <v>4.8938451759374453E-2</v>
      </c>
      <c r="AT157" s="106">
        <f si="175" t="shared"/>
        <v>3.2724875813177248E-2</v>
      </c>
      <c r="AU157" s="106">
        <f si="175" t="shared"/>
        <v>0</v>
      </c>
      <c r="AV157" s="106">
        <f si="175" t="shared"/>
        <v>1.4018510889038922E-16</v>
      </c>
      <c r="CU157" s="95">
        <v>156</v>
      </c>
      <c r="CV157" s="95">
        <f si="153" t="shared"/>
        <v>8</v>
      </c>
      <c r="CW157" s="95">
        <f si="148" t="shared"/>
        <v>16</v>
      </c>
      <c r="CX157" s="58">
        <f si="149" t="shared"/>
        <v>23.036565977742448</v>
      </c>
      <c r="CY157" s="58">
        <f si="150" t="shared"/>
        <v>40</v>
      </c>
      <c r="CZ157" s="108">
        <f si="151" t="shared"/>
        <v>16.963434022257552</v>
      </c>
      <c r="DA157" s="78">
        <f si="152" t="shared"/>
        <v>0.73636991028295373</v>
      </c>
    </row>
    <row r="158" spans="26:105" x14ac:dyDescent="0.25">
      <c r="CU158" s="95">
        <v>157</v>
      </c>
      <c r="CV158" s="95">
        <f si="153" t="shared"/>
        <v>8</v>
      </c>
      <c r="CW158" s="95">
        <f si="148" t="shared"/>
        <v>17</v>
      </c>
      <c r="CX158" s="58">
        <f si="149" t="shared"/>
        <v>78.124006359300481</v>
      </c>
      <c r="CY158" s="58">
        <f si="150" t="shared"/>
        <v>80</v>
      </c>
      <c r="CZ158" s="108">
        <f si="151" t="shared"/>
        <v>1.8759936406995195</v>
      </c>
      <c r="DA158" s="78">
        <f si="152" t="shared"/>
        <v>2.4013024013023965E-2</v>
      </c>
    </row>
    <row r="159" spans="26:105" x14ac:dyDescent="0.25">
      <c r="AA159" s="127" t="s">
        <v>368</v>
      </c>
      <c r="AB159" s="127" t="s">
        <v>369</v>
      </c>
      <c r="AC159" s="127" t="s">
        <v>370</v>
      </c>
      <c r="CU159" s="95">
        <v>158</v>
      </c>
      <c r="CV159" s="95">
        <f si="153" t="shared"/>
        <v>8</v>
      </c>
      <c r="CW159" s="95">
        <f si="148" t="shared"/>
        <v>18</v>
      </c>
      <c r="CX159" s="58">
        <f si="149" t="shared"/>
        <v>8.012718600953896</v>
      </c>
      <c r="CY159" s="58">
        <f si="150" t="shared"/>
        <v>0</v>
      </c>
      <c r="CZ159" s="108">
        <f si="151" t="shared"/>
        <v>-8.012718600953896</v>
      </c>
      <c r="DA159" s="78">
        <f si="152" t="shared"/>
        <v>-1</v>
      </c>
    </row>
    <row r="160" spans="26:105" x14ac:dyDescent="0.25">
      <c r="Z160" t="s">
        <v>367</v>
      </c>
      <c r="AA160" s="8">
        <f>SUM(AA136:AL155)</f>
        <v>79.543569279695816</v>
      </c>
      <c r="AB160" s="8">
        <f>MIN($AA$136:$AL$155)</f>
        <v>1.0137333012503736E-3</v>
      </c>
      <c r="AC160" s="8">
        <f>MAX($AA$136:$AL$154)</f>
        <v>2.443910735025717</v>
      </c>
      <c r="CU160" s="95">
        <v>159</v>
      </c>
      <c r="CV160" s="95">
        <f si="153" t="shared"/>
        <v>8</v>
      </c>
      <c r="CW160" s="95">
        <f si="148" t="shared"/>
        <v>19</v>
      </c>
      <c r="CX160" s="58">
        <f si="149" t="shared"/>
        <v>31.049284578696344</v>
      </c>
      <c r="CY160" s="58">
        <f si="150" t="shared"/>
        <v>40</v>
      </c>
      <c r="CZ160" s="108">
        <f si="151" t="shared"/>
        <v>8.9507154213036557</v>
      </c>
      <c r="DA160" s="78">
        <f si="152" t="shared"/>
        <v>0.28827444956477211</v>
      </c>
    </row>
    <row r="161" spans="26:105" x14ac:dyDescent="0.25">
      <c r="Z161" t="s">
        <v>371</v>
      </c>
      <c r="AA161" s="8">
        <f>SUM(AM136:AT155)</f>
        <v>122.91553529905561</v>
      </c>
      <c r="AB161" s="8">
        <f>MIN($AM$136:$AT$155)</f>
        <v>0</v>
      </c>
      <c r="AC161" s="8">
        <f>MAX($AM$136:$AT$155)</f>
        <v>9.0447421299397188</v>
      </c>
      <c r="CU161" s="95">
        <v>160</v>
      </c>
      <c r="CV161" s="95">
        <f si="153" t="shared"/>
        <v>8</v>
      </c>
      <c r="CW161" s="95">
        <f si="148" t="shared"/>
        <v>20</v>
      </c>
      <c r="CX161" s="58">
        <f si="149" t="shared"/>
        <v>21.033386327503976</v>
      </c>
      <c r="CY161" s="58">
        <f si="150" t="shared"/>
        <v>0</v>
      </c>
      <c r="CZ161" s="108">
        <f si="151" t="shared"/>
        <v>-21.033386327503976</v>
      </c>
      <c r="DA161" s="78">
        <f si="152" t="shared"/>
        <v>-1</v>
      </c>
    </row>
    <row r="162" spans="26:105" x14ac:dyDescent="0.25">
      <c r="CU162" s="95">
        <v>161</v>
      </c>
      <c r="CV162" s="95">
        <f si="153" t="shared"/>
        <v>9</v>
      </c>
      <c r="CW162" s="95">
        <f si="148" t="shared"/>
        <v>1</v>
      </c>
      <c r="CX162" s="58">
        <f si="149" t="shared"/>
        <v>4026.4930531313275</v>
      </c>
      <c r="CY162" s="58">
        <f si="150" t="shared"/>
        <v>4360.0000000000009</v>
      </c>
      <c r="CZ162" s="108">
        <f si="151" t="shared"/>
        <v>333.50694686867337</v>
      </c>
      <c r="DA162" s="78">
        <f si="152" t="shared"/>
        <v>8.2828144111489602E-2</v>
      </c>
    </row>
    <row r="163" spans="26:105" x14ac:dyDescent="0.25">
      <c r="CU163" s="95">
        <v>162</v>
      </c>
      <c r="CV163" s="95">
        <f si="153" t="shared"/>
        <v>9</v>
      </c>
      <c r="CW163" s="95">
        <f si="148" t="shared"/>
        <v>2</v>
      </c>
      <c r="CX163" s="58">
        <f si="149" t="shared"/>
        <v>5600.8992529498018</v>
      </c>
      <c r="CY163" s="58">
        <f si="150" t="shared"/>
        <v>6500.0000000000018</v>
      </c>
      <c r="CZ163" s="108">
        <f si="151" t="shared"/>
        <v>899.10074705019997</v>
      </c>
      <c r="DA163" s="78">
        <f si="152" t="shared"/>
        <v>0.16052792711396735</v>
      </c>
    </row>
    <row r="164" spans="26:105" x14ac:dyDescent="0.25">
      <c r="CU164" s="95">
        <v>163</v>
      </c>
      <c r="CV164" s="95">
        <f si="153" t="shared"/>
        <v>9</v>
      </c>
      <c r="CW164" s="95">
        <f si="148" t="shared"/>
        <v>3</v>
      </c>
      <c r="CX164" s="58">
        <f si="149" t="shared"/>
        <v>2151.1401242756406</v>
      </c>
      <c r="CY164" s="58">
        <f si="150" t="shared"/>
        <v>2680.0000000000005</v>
      </c>
      <c r="CZ164" s="108">
        <f si="151" t="shared"/>
        <v>528.85987572435988</v>
      </c>
      <c r="DA164" s="78">
        <f si="152" t="shared"/>
        <v>0.24585096514921098</v>
      </c>
    </row>
    <row r="165" spans="26:105" x14ac:dyDescent="0.25">
      <c r="CU165" s="95">
        <v>164</v>
      </c>
      <c r="CV165" s="95">
        <f si="153" t="shared"/>
        <v>9</v>
      </c>
      <c r="CW165" s="95">
        <f si="148" t="shared"/>
        <v>4</v>
      </c>
      <c r="CX165" s="58">
        <f si="149" t="shared"/>
        <v>1306.3603993576764</v>
      </c>
      <c r="CY165" s="58">
        <f si="150" t="shared"/>
        <v>1380.0000000000002</v>
      </c>
      <c r="CZ165" s="108">
        <f si="151" t="shared"/>
        <v>73.639600642323785</v>
      </c>
      <c r="DA165" s="78">
        <f si="152" t="shared"/>
        <v>5.6370049703383232E-2</v>
      </c>
    </row>
    <row r="166" spans="26:105" x14ac:dyDescent="0.25">
      <c r="CU166" s="95">
        <v>165</v>
      </c>
      <c r="CV166" s="95">
        <f si="153" t="shared"/>
        <v>9</v>
      </c>
      <c r="CW166" s="95">
        <f si="148" t="shared"/>
        <v>5</v>
      </c>
      <c r="CX166" s="58">
        <f si="149" t="shared"/>
        <v>1506.6689939258536</v>
      </c>
      <c r="CY166" s="58">
        <f si="150" t="shared"/>
        <v>2080.0000000000005</v>
      </c>
      <c r="CZ166" s="108">
        <f si="151" t="shared"/>
        <v>573.3310060741469</v>
      </c>
      <c r="DA166" s="78">
        <f si="152" t="shared"/>
        <v>0.38052884102980467</v>
      </c>
    </row>
    <row r="167" spans="26:105" x14ac:dyDescent="0.25">
      <c r="CU167" s="95">
        <v>166</v>
      </c>
      <c r="CV167" s="95">
        <f si="153" t="shared"/>
        <v>9</v>
      </c>
      <c r="CW167" s="95">
        <f si="148" t="shared"/>
        <v>6</v>
      </c>
      <c r="CX167" s="58">
        <f si="149" t="shared"/>
        <v>6680.823849752147</v>
      </c>
      <c r="CY167" s="58">
        <f si="150" t="shared"/>
        <v>7720.0000000000018</v>
      </c>
      <c r="CZ167" s="108">
        <f si="151" t="shared"/>
        <v>1039.1761502478548</v>
      </c>
      <c r="DA167" s="78">
        <f si="152" t="shared"/>
        <v>0.15554610832710511</v>
      </c>
    </row>
    <row r="168" spans="26:105" x14ac:dyDescent="0.25">
      <c r="CU168" s="95">
        <v>167</v>
      </c>
      <c r="CV168" s="95">
        <f si="153" t="shared"/>
        <v>9</v>
      </c>
      <c r="CW168" s="95">
        <f si="148" t="shared"/>
        <v>7</v>
      </c>
      <c r="CX168" s="58">
        <f si="149" t="shared"/>
        <v>6807.5891922083365</v>
      </c>
      <c r="CY168" s="58">
        <f si="150" t="shared"/>
        <v>6560.0000000000018</v>
      </c>
      <c r="CZ168" s="108">
        <f si="151" t="shared"/>
        <v>-247.58919220833468</v>
      </c>
      <c r="DA168" s="78">
        <f si="152" t="shared"/>
        <v>-3.6369584770437419E-2</v>
      </c>
    </row>
    <row r="169" spans="26:105" x14ac:dyDescent="0.25">
      <c r="CU169" s="95">
        <v>168</v>
      </c>
      <c r="CV169" s="95">
        <f si="153" t="shared"/>
        <v>9</v>
      </c>
      <c r="CW169" s="95">
        <f si="148" t="shared"/>
        <v>8</v>
      </c>
      <c r="CX169" s="58">
        <f si="149" t="shared"/>
        <v>164.50464288207777</v>
      </c>
      <c r="CY169" s="58">
        <f si="150" t="shared"/>
        <v>500.00000000000011</v>
      </c>
      <c r="CZ169" s="108">
        <f si="151" t="shared"/>
        <v>335.49535711792237</v>
      </c>
      <c r="DA169" s="78">
        <f si="152" t="shared"/>
        <v>2.0394278923690696</v>
      </c>
    </row>
    <row r="170" spans="26:105" x14ac:dyDescent="0.25">
      <c r="CU170" s="95">
        <v>169</v>
      </c>
      <c r="CV170" s="95">
        <f si="153" t="shared"/>
        <v>9</v>
      </c>
      <c r="CW170" s="95">
        <f si="148" t="shared"/>
        <v>9</v>
      </c>
      <c r="CX170" s="58">
        <f si="149" t="shared"/>
        <v>22233.286322697757</v>
      </c>
      <c r="CY170" s="58">
        <f si="150" t="shared"/>
        <v>15640.000000000004</v>
      </c>
      <c r="CZ170" s="108">
        <f si="151" t="shared"/>
        <v>-6593.2863226977533</v>
      </c>
      <c r="DA170" s="78">
        <f si="152" t="shared"/>
        <v>-0.29655023674870451</v>
      </c>
    </row>
    <row r="171" spans="26:105" x14ac:dyDescent="0.25">
      <c r="CU171" s="95">
        <v>170</v>
      </c>
      <c r="CV171" s="95">
        <f si="153" t="shared"/>
        <v>9</v>
      </c>
      <c r="CW171" s="95">
        <f si="148" t="shared"/>
        <v>10</v>
      </c>
      <c r="CX171" s="58">
        <f si="149" t="shared"/>
        <v>997.67227536130702</v>
      </c>
      <c r="CY171" s="58">
        <f si="150" t="shared"/>
        <v>620.00000000000011</v>
      </c>
      <c r="CZ171" s="108">
        <f si="151" t="shared"/>
        <v>-377.6722753613069</v>
      </c>
      <c r="DA171" s="78">
        <f si="152" t="shared"/>
        <v>-0.37855344353889447</v>
      </c>
    </row>
    <row r="172" spans="26:105" x14ac:dyDescent="0.25">
      <c r="CU172" s="95">
        <v>171</v>
      </c>
      <c r="CV172" s="95">
        <f si="153" t="shared"/>
        <v>9</v>
      </c>
      <c r="CW172" s="95">
        <f si="148" t="shared"/>
        <v>11</v>
      </c>
      <c r="CX172" s="58">
        <f si="149" t="shared"/>
        <v>3623.940515255184</v>
      </c>
      <c r="CY172" s="58">
        <f si="150" t="shared"/>
        <v>3960.0000000000009</v>
      </c>
      <c r="CZ172" s="108">
        <f si="151" t="shared"/>
        <v>336.05948474481693</v>
      </c>
      <c r="DA172" s="78">
        <f si="152" t="shared"/>
        <v>9.2733168033568819E-2</v>
      </c>
    </row>
    <row r="173" spans="26:105" x14ac:dyDescent="0.25">
      <c r="CU173" s="95">
        <v>172</v>
      </c>
      <c r="CV173" s="95">
        <f si="153" t="shared"/>
        <v>9</v>
      </c>
      <c r="CW173" s="95">
        <f si="148" t="shared"/>
        <v>12</v>
      </c>
      <c r="CX173" s="58">
        <f si="149" t="shared"/>
        <v>5461.5541436849817</v>
      </c>
      <c r="CY173" s="58">
        <f si="150" t="shared"/>
        <v>7260.0000000000018</v>
      </c>
      <c r="CZ173" s="108">
        <f si="151" t="shared"/>
        <v>1798.4458563150201</v>
      </c>
      <c r="DA173" s="78">
        <f si="152" t="shared"/>
        <v>0.32929195774695469</v>
      </c>
    </row>
    <row r="174" spans="26:105" x14ac:dyDescent="0.25">
      <c r="CU174" s="95">
        <v>173</v>
      </c>
      <c r="CV174" s="95">
        <f si="153" t="shared"/>
        <v>9</v>
      </c>
      <c r="CW174" s="95">
        <f si="148" t="shared"/>
        <v>13</v>
      </c>
      <c r="CX174" s="58">
        <f si="149" t="shared"/>
        <v>2314.6770927878238</v>
      </c>
      <c r="CY174" s="58">
        <f si="150" t="shared"/>
        <v>2960.0000000000005</v>
      </c>
      <c r="CZ174" s="108">
        <f si="151" t="shared"/>
        <v>645.32290721217669</v>
      </c>
      <c r="DA174" s="78">
        <f si="152" t="shared"/>
        <v>0.27879608314390941</v>
      </c>
    </row>
    <row r="175" spans="26:105" x14ac:dyDescent="0.25">
      <c r="CU175" s="95">
        <v>174</v>
      </c>
      <c r="CV175" s="95">
        <f si="153" t="shared"/>
        <v>9</v>
      </c>
      <c r="CW175" s="95">
        <f si="148" t="shared"/>
        <v>14</v>
      </c>
      <c r="CX175" s="58">
        <f si="149" t="shared"/>
        <v>162.56929414228861</v>
      </c>
      <c r="CY175" s="58">
        <f si="150" t="shared"/>
        <v>240.00000000000006</v>
      </c>
      <c r="CZ175" s="108">
        <f si="151" t="shared"/>
        <v>77.430705857711445</v>
      </c>
      <c r="DA175" s="78">
        <f si="152" t="shared"/>
        <v>0.47629354772211963</v>
      </c>
    </row>
    <row r="176" spans="26:105" x14ac:dyDescent="0.25">
      <c r="CU176" s="95">
        <v>175</v>
      </c>
      <c r="CV176" s="95">
        <f si="153" t="shared"/>
        <v>9</v>
      </c>
      <c r="CW176" s="95">
        <f si="148" t="shared"/>
        <v>15</v>
      </c>
      <c r="CX176" s="58">
        <f si="149" t="shared"/>
        <v>5006.747189834532</v>
      </c>
      <c r="CY176" s="58">
        <f si="150" t="shared"/>
        <v>5460.0000000000009</v>
      </c>
      <c r="CZ176" s="108">
        <f si="151" t="shared"/>
        <v>453.25281016546887</v>
      </c>
      <c r="DA176" s="78">
        <f si="152" t="shared"/>
        <v>9.0528399573625851E-2</v>
      </c>
    </row>
    <row r="177" spans="99:105" x14ac:dyDescent="0.25">
      <c r="CU177" s="95">
        <v>176</v>
      </c>
      <c r="CV177" s="95">
        <f si="153" t="shared"/>
        <v>9</v>
      </c>
      <c r="CW177" s="95">
        <f si="148" t="shared"/>
        <v>16</v>
      </c>
      <c r="CX177" s="58">
        <f si="149" t="shared"/>
        <v>76.446275221671442</v>
      </c>
      <c r="CY177" s="58">
        <f si="150" t="shared"/>
        <v>80.000000000000014</v>
      </c>
      <c r="CZ177" s="108">
        <f si="151" t="shared"/>
        <v>3.5537247783285721</v>
      </c>
      <c r="DA177" s="78">
        <f si="152" t="shared"/>
        <v>4.6486565473907372E-2</v>
      </c>
    </row>
    <row r="178" spans="99:105" x14ac:dyDescent="0.25">
      <c r="CU178" s="95">
        <v>177</v>
      </c>
      <c r="CV178" s="95">
        <f si="153" t="shared"/>
        <v>9</v>
      </c>
      <c r="CW178" s="95">
        <f si="148" t="shared"/>
        <v>17</v>
      </c>
      <c r="CX178" s="58">
        <f si="149" t="shared"/>
        <v>106.44418068840326</v>
      </c>
      <c r="CY178" s="58">
        <f si="150" t="shared"/>
        <v>180.00000000000003</v>
      </c>
      <c r="CZ178" s="108">
        <f si="151" t="shared"/>
        <v>73.555819311596764</v>
      </c>
      <c r="DA178" s="78">
        <f si="152" t="shared"/>
        <v>0.69102715466351861</v>
      </c>
    </row>
    <row r="179" spans="99:105" x14ac:dyDescent="0.25">
      <c r="CU179" s="95">
        <v>178</v>
      </c>
      <c r="CV179" s="95">
        <f si="153" t="shared"/>
        <v>9</v>
      </c>
      <c r="CW179" s="95">
        <f si="148" t="shared"/>
        <v>18</v>
      </c>
      <c r="CX179" s="58">
        <f si="149" t="shared"/>
        <v>206.11464078754449</v>
      </c>
      <c r="CY179" s="58">
        <f si="150" t="shared"/>
        <v>160.00000000000003</v>
      </c>
      <c r="CZ179" s="108">
        <f si="151" t="shared"/>
        <v>-46.114640787544459</v>
      </c>
      <c r="DA179" s="78">
        <f si="152" t="shared"/>
        <v>-0.22373297021184324</v>
      </c>
    </row>
    <row r="180" spans="99:105" x14ac:dyDescent="0.25">
      <c r="CU180" s="95">
        <v>179</v>
      </c>
      <c r="CV180" s="95">
        <f si="153" t="shared"/>
        <v>9</v>
      </c>
      <c r="CW180" s="95">
        <f si="148" t="shared"/>
        <v>19</v>
      </c>
      <c r="CX180" s="58">
        <f si="149" t="shared"/>
        <v>836.07065558891293</v>
      </c>
      <c r="CY180" s="58">
        <f si="150" t="shared"/>
        <v>900.00000000000023</v>
      </c>
      <c r="CZ180" s="108">
        <f si="151" t="shared"/>
        <v>63.9293444110873</v>
      </c>
      <c r="DA180" s="78">
        <f si="152" t="shared"/>
        <v>7.6464045214045498E-2</v>
      </c>
    </row>
    <row r="181" spans="99:105" x14ac:dyDescent="0.25">
      <c r="CU181" s="95">
        <v>180</v>
      </c>
      <c r="CV181" s="95">
        <f si="153" t="shared"/>
        <v>9</v>
      </c>
      <c r="CW181" s="95">
        <f si="148" t="shared"/>
        <v>20</v>
      </c>
      <c r="CX181" s="58">
        <f si="149" t="shared"/>
        <v>29.997905466731829</v>
      </c>
      <c r="CY181" s="58">
        <f si="150" t="shared"/>
        <v>60.000000000000014</v>
      </c>
      <c r="CZ181" s="108">
        <f si="151" t="shared"/>
        <v>30.002094533268185</v>
      </c>
      <c r="DA181" s="78">
        <f si="152" t="shared"/>
        <v>1.0001396453009361</v>
      </c>
    </row>
    <row r="182" spans="99:105" x14ac:dyDescent="0.25">
      <c r="CU182" s="95">
        <v>181</v>
      </c>
      <c r="CV182" s="95">
        <f si="153" t="shared"/>
        <v>10</v>
      </c>
      <c r="CW182" s="95">
        <f si="148" t="shared"/>
        <v>1</v>
      </c>
      <c r="CX182" s="58">
        <f si="149" t="shared"/>
        <v>2325.9825259136314</v>
      </c>
      <c r="CY182" s="58">
        <f si="150" t="shared"/>
        <v>2140</v>
      </c>
      <c r="CZ182" s="108">
        <f si="151" t="shared"/>
        <v>-185.98252591363143</v>
      </c>
      <c r="DA182" s="78">
        <f si="152" t="shared"/>
        <v>-7.9958694376080344E-2</v>
      </c>
    </row>
    <row r="183" spans="99:105" x14ac:dyDescent="0.25">
      <c r="CU183" s="95">
        <v>182</v>
      </c>
      <c r="CV183" s="95">
        <f si="153" t="shared"/>
        <v>10</v>
      </c>
      <c r="CW183" s="95">
        <f si="148" t="shared"/>
        <v>2</v>
      </c>
      <c r="CX183" s="58">
        <f si="149" t="shared"/>
        <v>949.08715122287288</v>
      </c>
      <c r="CY183" s="58">
        <f si="150" t="shared"/>
        <v>1420</v>
      </c>
      <c r="CZ183" s="108">
        <f si="151" t="shared"/>
        <v>470.91284877712712</v>
      </c>
      <c r="DA183" s="78">
        <f si="152" t="shared"/>
        <v>0.49617450638792104</v>
      </c>
    </row>
    <row r="184" spans="99:105" x14ac:dyDescent="0.25">
      <c r="CU184" s="95">
        <v>183</v>
      </c>
      <c r="CV184" s="95">
        <f si="153" t="shared"/>
        <v>10</v>
      </c>
      <c r="CW184" s="95">
        <f si="148" t="shared"/>
        <v>3</v>
      </c>
      <c r="CX184" s="58">
        <f si="149" t="shared"/>
        <v>673.16882222152628</v>
      </c>
      <c r="CY184" s="58">
        <f si="150" t="shared"/>
        <v>680</v>
      </c>
      <c r="CZ184" s="108">
        <f si="151" t="shared"/>
        <v>6.831177778473716</v>
      </c>
      <c r="DA184" s="78">
        <f si="152" t="shared"/>
        <v>1.0147792875983363E-2</v>
      </c>
    </row>
    <row r="185" spans="99:105" x14ac:dyDescent="0.25">
      <c r="CU185" s="95">
        <v>184</v>
      </c>
      <c r="CV185" s="95">
        <f si="153" t="shared"/>
        <v>10</v>
      </c>
      <c r="CW185" s="95">
        <f si="148" t="shared"/>
        <v>4</v>
      </c>
      <c r="CX185" s="58">
        <f si="149" t="shared"/>
        <v>960.77098925876055</v>
      </c>
      <c r="CY185" s="58">
        <f si="150" t="shared"/>
        <v>1160</v>
      </c>
      <c r="CZ185" s="108">
        <f si="151" t="shared"/>
        <v>199.22901074123945</v>
      </c>
      <c r="DA185" s="78">
        <f si="152" t="shared"/>
        <v>0.20736368288445678</v>
      </c>
    </row>
    <row r="186" spans="99:105" x14ac:dyDescent="0.25">
      <c r="CU186" s="95">
        <v>185</v>
      </c>
      <c r="CV186" s="95">
        <f si="153" t="shared"/>
        <v>10</v>
      </c>
      <c r="CW186" s="95">
        <f si="148" t="shared"/>
        <v>5</v>
      </c>
      <c r="CX186" s="58">
        <f si="149" t="shared"/>
        <v>1685.1689474837942</v>
      </c>
      <c r="CY186" s="58">
        <f si="150" t="shared"/>
        <v>1860</v>
      </c>
      <c r="CZ186" s="108">
        <f si="151" t="shared"/>
        <v>174.83105251620577</v>
      </c>
      <c r="DA186" s="78">
        <f si="152" t="shared"/>
        <v>0.10374689895470381</v>
      </c>
    </row>
    <row r="187" spans="99:105" x14ac:dyDescent="0.25">
      <c r="CU187" s="95">
        <v>186</v>
      </c>
      <c r="CV187" s="95">
        <f si="153" t="shared"/>
        <v>10</v>
      </c>
      <c r="CW187" s="95">
        <f si="148" t="shared"/>
        <v>6</v>
      </c>
      <c r="CX187" s="58">
        <f si="149" t="shared"/>
        <v>7483.94764037203</v>
      </c>
      <c r="CY187" s="58">
        <f si="150" t="shared"/>
        <v>6680</v>
      </c>
      <c r="CZ187" s="108">
        <f si="151" t="shared"/>
        <v>-803.94764037203004</v>
      </c>
      <c r="DA187" s="78">
        <f si="152" t="shared"/>
        <v>-0.10742293759982338</v>
      </c>
    </row>
    <row r="188" spans="99:105" x14ac:dyDescent="0.25">
      <c r="CU188" s="95">
        <v>187</v>
      </c>
      <c r="CV188" s="95">
        <f si="153" t="shared"/>
        <v>10</v>
      </c>
      <c r="CW188" s="95">
        <f si="148" t="shared"/>
        <v>7</v>
      </c>
      <c r="CX188" s="58">
        <f si="149" t="shared"/>
        <v>771.13331036858426</v>
      </c>
      <c r="CY188" s="58">
        <f si="150" t="shared"/>
        <v>960</v>
      </c>
      <c r="CZ188" s="108">
        <f si="151" t="shared"/>
        <v>188.86668963141574</v>
      </c>
      <c r="DA188" s="78">
        <f si="152" t="shared"/>
        <v>0.24492093272581072</v>
      </c>
    </row>
    <row r="189" spans="99:105" x14ac:dyDescent="0.25">
      <c r="CU189" s="95">
        <v>188</v>
      </c>
      <c r="CV189" s="95">
        <f si="153" t="shared"/>
        <v>10</v>
      </c>
      <c r="CW189" s="95">
        <f si="148" t="shared"/>
        <v>8</v>
      </c>
      <c r="CX189" s="58">
        <f si="149" t="shared"/>
        <v>75.495568847273987</v>
      </c>
      <c r="CY189" s="58">
        <f si="150" t="shared"/>
        <v>260</v>
      </c>
      <c r="CZ189" s="108">
        <f si="151" t="shared"/>
        <v>184.504431152726</v>
      </c>
      <c r="DA189" s="78">
        <f si="152" t="shared"/>
        <v>2.443910735025717</v>
      </c>
    </row>
    <row r="190" spans="99:105" x14ac:dyDescent="0.25">
      <c r="CU190" s="95">
        <v>189</v>
      </c>
      <c r="CV190" s="95">
        <f si="153" t="shared"/>
        <v>10</v>
      </c>
      <c r="CW190" s="95">
        <f si="148" t="shared"/>
        <v>9</v>
      </c>
      <c r="CX190" s="58">
        <f si="149" t="shared"/>
        <v>773.82958068455832</v>
      </c>
      <c r="CY190" s="58">
        <f si="150" t="shared"/>
        <v>640</v>
      </c>
      <c r="CZ190" s="108">
        <f si="151" t="shared"/>
        <v>-133.82958068455832</v>
      </c>
      <c r="DA190" s="78">
        <f si="152" t="shared"/>
        <v>-0.17294451391502469</v>
      </c>
    </row>
    <row r="191" spans="99:105" x14ac:dyDescent="0.25">
      <c r="CU191" s="95">
        <v>190</v>
      </c>
      <c r="CV191" s="95">
        <f si="153" t="shared"/>
        <v>10</v>
      </c>
      <c r="CW191" s="95">
        <f si="148" t="shared"/>
        <v>10</v>
      </c>
      <c r="CX191" s="58">
        <f si="149" t="shared"/>
        <v>5865.2866940155955</v>
      </c>
      <c r="CY191" s="58">
        <f si="150" t="shared"/>
        <v>4120</v>
      </c>
      <c r="CZ191" s="108">
        <f si="151" t="shared"/>
        <v>-1745.2866940155955</v>
      </c>
      <c r="DA191" s="78">
        <f si="152" t="shared"/>
        <v>-0.29756204343707993</v>
      </c>
    </row>
    <row r="192" spans="99:105" x14ac:dyDescent="0.25">
      <c r="CU192" s="95">
        <v>191</v>
      </c>
      <c r="CV192" s="95">
        <f si="153" t="shared"/>
        <v>10</v>
      </c>
      <c r="CW192" s="95">
        <f si="148" t="shared"/>
        <v>11</v>
      </c>
      <c r="CX192" s="58">
        <f si="149" t="shared"/>
        <v>836.74255472395328</v>
      </c>
      <c r="CY192" s="58">
        <f si="150" t="shared"/>
        <v>580</v>
      </c>
      <c r="CZ192" s="108">
        <f si="151" t="shared"/>
        <v>-256.74255472395328</v>
      </c>
      <c r="DA192" s="78">
        <f si="152" t="shared"/>
        <v>-0.30683578034184517</v>
      </c>
    </row>
    <row r="193" spans="99:105" x14ac:dyDescent="0.25">
      <c r="CU193" s="95">
        <v>192</v>
      </c>
      <c r="CV193" s="95">
        <f si="153" t="shared"/>
        <v>10</v>
      </c>
      <c r="CW193" s="95">
        <f si="148" t="shared"/>
        <v>12</v>
      </c>
      <c r="CX193" s="58">
        <f si="149" t="shared"/>
        <v>4905.414461528826</v>
      </c>
      <c r="CY193" s="58">
        <f si="150" t="shared"/>
        <v>6660</v>
      </c>
      <c r="CZ193" s="108">
        <f si="151" t="shared"/>
        <v>1754.585538471174</v>
      </c>
      <c r="DA193" s="78">
        <f si="152" t="shared"/>
        <v>0.35768344392337814</v>
      </c>
    </row>
    <row r="194" spans="99:105" x14ac:dyDescent="0.25">
      <c r="CU194" s="95">
        <v>193</v>
      </c>
      <c r="CV194" s="95">
        <f si="153" t="shared"/>
        <v>10</v>
      </c>
      <c r="CW194" s="95">
        <f si="148" t="shared"/>
        <v>13</v>
      </c>
      <c r="CX194" s="58">
        <f si="149" t="shared"/>
        <v>203.11903047004665</v>
      </c>
      <c r="CY194" s="58">
        <f si="150" t="shared"/>
        <v>280</v>
      </c>
      <c r="CZ194" s="108">
        <f si="151" t="shared"/>
        <v>76.880969529953347</v>
      </c>
      <c r="DA194" s="78">
        <f si="152" t="shared"/>
        <v>0.37850205050723079</v>
      </c>
    </row>
    <row r="195" spans="99:105" x14ac:dyDescent="0.25">
      <c r="CU195" s="95">
        <v>194</v>
      </c>
      <c r="CV195" s="95">
        <f si="153" t="shared"/>
        <v>10</v>
      </c>
      <c r="CW195" s="95">
        <f ref="CW195:CW258" si="176" t="shared">MOD(ROW()-2,$CS$2)+1</f>
        <v>14</v>
      </c>
      <c r="CX195" s="58">
        <f ref="CX195:CX258" si="177" t="shared">VLOOKUP($CV195,$B$30:$V$49,MATCH($CW195,$B$29:$V$29,0),0)</f>
        <v>46.735352143550557</v>
      </c>
      <c r="CY195" s="58">
        <f ref="CY195:CY258" si="178" t="shared">VLOOKUP($CV195,$AY$30:$BS$49,MATCH($CW195,$AY$29:$BS$29,0),0)</f>
        <v>60</v>
      </c>
      <c r="CZ195" s="108">
        <f ref="CZ195:CZ258" si="179" t="shared">CY195-CX195</f>
        <v>13.264647856449443</v>
      </c>
      <c r="DA195" s="78">
        <f ref="DA195:DA258" si="180" t="shared">CZ195/CX195</f>
        <v>0.2838247118734924</v>
      </c>
    </row>
    <row r="196" spans="99:105" x14ac:dyDescent="0.25">
      <c r="CU196" s="95">
        <v>195</v>
      </c>
      <c r="CV196" s="95">
        <f ref="CV196:CV259" si="181" t="shared">IF(CW195&lt;$CS$2,CV195,CV195+1)</f>
        <v>10</v>
      </c>
      <c r="CW196" s="95">
        <f si="176" t="shared"/>
        <v>15</v>
      </c>
      <c r="CX196" s="58">
        <f si="177" t="shared"/>
        <v>87.179406883161619</v>
      </c>
      <c r="CY196" s="58">
        <f si="178" t="shared"/>
        <v>80</v>
      </c>
      <c r="CZ196" s="108">
        <f si="179" t="shared"/>
        <v>-7.1794068831616187</v>
      </c>
      <c r="DA196" s="78">
        <f si="180" t="shared"/>
        <v>-8.2352095980459061E-2</v>
      </c>
    </row>
    <row r="197" spans="99:105" x14ac:dyDescent="0.25">
      <c r="CU197" s="95">
        <v>196</v>
      </c>
      <c r="CV197" s="95">
        <f si="181" t="shared"/>
        <v>10</v>
      </c>
      <c r="CW197" s="95">
        <f si="176" t="shared"/>
        <v>16</v>
      </c>
      <c r="CX197" s="58">
        <f si="177" t="shared"/>
        <v>811.57736510819529</v>
      </c>
      <c r="CY197" s="58">
        <f si="178" t="shared"/>
        <v>860</v>
      </c>
      <c r="CZ197" s="108">
        <f si="179" t="shared"/>
        <v>48.422634891804705</v>
      </c>
      <c r="DA197" s="78">
        <f si="180" t="shared"/>
        <v>5.9664841546374636E-2</v>
      </c>
    </row>
    <row r="198" spans="99:105" x14ac:dyDescent="0.25">
      <c r="CU198" s="95">
        <v>197</v>
      </c>
      <c r="CV198" s="95">
        <f si="181" t="shared"/>
        <v>10</v>
      </c>
      <c r="CW198" s="95">
        <f si="176" t="shared"/>
        <v>17</v>
      </c>
      <c r="CX198" s="58">
        <f si="177" t="shared"/>
        <v>75.495568847273987</v>
      </c>
      <c r="CY198" s="58">
        <f si="178" t="shared"/>
        <v>0</v>
      </c>
      <c r="CZ198" s="108">
        <f si="179" t="shared"/>
        <v>-75.495568847273987</v>
      </c>
      <c r="DA198" s="78">
        <f si="180" t="shared"/>
        <v>-1</v>
      </c>
    </row>
    <row r="199" spans="99:105" x14ac:dyDescent="0.25">
      <c r="CU199" s="95">
        <v>198</v>
      </c>
      <c r="CV199" s="95">
        <f si="181" t="shared"/>
        <v>10</v>
      </c>
      <c r="CW199" s="95">
        <f si="176" t="shared"/>
        <v>18</v>
      </c>
      <c r="CX199" s="58">
        <f si="177" t="shared"/>
        <v>55.722919863464128</v>
      </c>
      <c r="CY199" s="58">
        <f si="178" t="shared"/>
        <v>100</v>
      </c>
      <c r="CZ199" s="108">
        <f si="179" t="shared"/>
        <v>44.277080136535872</v>
      </c>
      <c r="DA199" s="78">
        <f si="180" t="shared"/>
        <v>0.79459368326402158</v>
      </c>
    </row>
    <row r="200" spans="99:105" x14ac:dyDescent="0.25">
      <c r="CU200" s="95">
        <v>199</v>
      </c>
      <c r="CV200" s="95">
        <f si="181" t="shared"/>
        <v>10</v>
      </c>
      <c r="CW200" s="95">
        <f si="176" t="shared"/>
        <v>19</v>
      </c>
      <c r="CX200" s="58">
        <f si="177" t="shared"/>
        <v>71.001784987317194</v>
      </c>
      <c r="CY200" s="58">
        <f si="178" t="shared"/>
        <v>120</v>
      </c>
      <c r="CZ200" s="108">
        <f si="179" t="shared"/>
        <v>48.998215012682806</v>
      </c>
      <c r="DA200" s="78">
        <f si="180" t="shared"/>
        <v>0.69009835487143301</v>
      </c>
    </row>
    <row r="201" spans="99:105" x14ac:dyDescent="0.25">
      <c r="CU201" s="95">
        <v>200</v>
      </c>
      <c r="CV201" s="95">
        <f si="181" t="shared"/>
        <v>10</v>
      </c>
      <c r="CW201" s="95">
        <f si="176" t="shared"/>
        <v>20</v>
      </c>
      <c r="CX201" s="58">
        <f si="177" t="shared"/>
        <v>43.14032505558513</v>
      </c>
      <c r="CY201" s="58">
        <f si="178" t="shared"/>
        <v>40</v>
      </c>
      <c r="CZ201" s="108">
        <f si="179" t="shared"/>
        <v>-3.1403250555851301</v>
      </c>
      <c r="DA201" s="78">
        <f si="180" t="shared"/>
        <v>-7.2793263646922152E-2</v>
      </c>
    </row>
    <row r="202" spans="99:105" x14ac:dyDescent="0.25">
      <c r="CU202" s="95">
        <v>201</v>
      </c>
      <c r="CV202" s="95">
        <f si="181" t="shared"/>
        <v>11</v>
      </c>
      <c r="CW202" s="95">
        <f si="176" t="shared"/>
        <v>1</v>
      </c>
      <c r="CX202" s="58">
        <f si="177" t="shared"/>
        <v>3421.7873638713504</v>
      </c>
      <c r="CY202" s="58">
        <f si="178" t="shared"/>
        <v>4179.9999999999991</v>
      </c>
      <c r="CZ202" s="108">
        <f si="179" t="shared"/>
        <v>758.21263612864868</v>
      </c>
      <c r="DA202" s="78">
        <f si="180" t="shared"/>
        <v>0.22158379685838228</v>
      </c>
    </row>
    <row r="203" spans="99:105" x14ac:dyDescent="0.25">
      <c r="CU203" s="95">
        <v>202</v>
      </c>
      <c r="CV203" s="95">
        <f si="181" t="shared"/>
        <v>11</v>
      </c>
      <c r="CW203" s="95">
        <f si="176" t="shared"/>
        <v>2</v>
      </c>
      <c r="CX203" s="58">
        <f si="177" t="shared"/>
        <v>2445.5765074791307</v>
      </c>
      <c r="CY203" s="58">
        <f si="178" t="shared"/>
        <v>3159.9999999999995</v>
      </c>
      <c r="CZ203" s="108">
        <f si="179" t="shared"/>
        <v>714.42349252086888</v>
      </c>
      <c r="DA203" s="78">
        <f si="180" t="shared"/>
        <v>0.29212886627590628</v>
      </c>
    </row>
    <row r="204" spans="99:105" x14ac:dyDescent="0.25">
      <c r="CU204" s="95">
        <v>203</v>
      </c>
      <c r="CV204" s="95">
        <f si="181" t="shared"/>
        <v>11</v>
      </c>
      <c r="CW204" s="95">
        <f si="176" t="shared"/>
        <v>3</v>
      </c>
      <c r="CX204" s="58">
        <f si="177" t="shared"/>
        <v>3694.4531547946949</v>
      </c>
      <c r="CY204" s="58">
        <f si="178" t="shared"/>
        <v>4179.9999999999991</v>
      </c>
      <c r="CZ204" s="108">
        <f si="179" t="shared"/>
        <v>485.54684520530418</v>
      </c>
      <c r="DA204" s="78">
        <f si="180" t="shared"/>
        <v>0.13142590387840133</v>
      </c>
    </row>
    <row r="205" spans="99:105" x14ac:dyDescent="0.25">
      <c r="CU205" s="95">
        <v>204</v>
      </c>
      <c r="CV205" s="95">
        <f si="181" t="shared"/>
        <v>11</v>
      </c>
      <c r="CW205" s="95">
        <f si="176" t="shared"/>
        <v>4</v>
      </c>
      <c r="CX205" s="58">
        <f si="177" t="shared"/>
        <v>1901.9280477986354</v>
      </c>
      <c r="CY205" s="58">
        <f si="178" t="shared"/>
        <v>1899.9999999999998</v>
      </c>
      <c r="CZ205" s="108">
        <f si="179" t="shared"/>
        <v>-1.9280477986355891</v>
      </c>
      <c r="DA205" s="78">
        <f si="180" t="shared"/>
        <v>-1.0137333012503736E-3</v>
      </c>
    </row>
    <row r="206" spans="99:105" x14ac:dyDescent="0.25">
      <c r="CU206" s="95">
        <v>205</v>
      </c>
      <c r="CV206" s="95">
        <f si="181" t="shared"/>
        <v>11</v>
      </c>
      <c r="CW206" s="95">
        <f si="176" t="shared"/>
        <v>5</v>
      </c>
      <c r="CX206" s="58">
        <f si="177" t="shared"/>
        <v>1799.257595660833</v>
      </c>
      <c r="CY206" s="58">
        <f si="178" t="shared"/>
        <v>1159.9999999999998</v>
      </c>
      <c r="CZ206" s="108">
        <f si="179" t="shared"/>
        <v>-639.2575956608332</v>
      </c>
      <c r="DA206" s="78">
        <f si="180" t="shared"/>
        <v>-0.35528964679793174</v>
      </c>
    </row>
    <row r="207" spans="99:105" x14ac:dyDescent="0.25">
      <c r="CU207" s="95">
        <v>206</v>
      </c>
      <c r="CV207" s="95">
        <f si="181" t="shared"/>
        <v>11</v>
      </c>
      <c r="CW207" s="95">
        <f si="176" t="shared"/>
        <v>6</v>
      </c>
      <c r="CX207" s="58">
        <f si="177" t="shared"/>
        <v>5852.2157718547396</v>
      </c>
      <c r="CY207" s="58">
        <f si="178" t="shared"/>
        <v>6239.9999999999991</v>
      </c>
      <c r="CZ207" s="108">
        <f si="179" t="shared"/>
        <v>387.78422814525948</v>
      </c>
      <c r="DA207" s="78">
        <f si="180" t="shared"/>
        <v>6.6262804254457491E-2</v>
      </c>
    </row>
    <row r="208" spans="99:105" x14ac:dyDescent="0.25">
      <c r="CU208" s="95">
        <v>207</v>
      </c>
      <c r="CV208" s="95">
        <f si="181" t="shared"/>
        <v>11</v>
      </c>
      <c r="CW208" s="95">
        <f si="176" t="shared"/>
        <v>7</v>
      </c>
      <c r="CX208" s="58">
        <f si="177" t="shared"/>
        <v>1776.535446417221</v>
      </c>
      <c r="CY208" s="58">
        <f si="178" t="shared"/>
        <v>1379.9999999999998</v>
      </c>
      <c r="CZ208" s="108">
        <f si="179" t="shared"/>
        <v>-396.53544641722124</v>
      </c>
      <c r="DA208" s="78">
        <f si="180" t="shared"/>
        <v>-0.22320716832130943</v>
      </c>
    </row>
    <row r="209" spans="99:105" x14ac:dyDescent="0.25">
      <c r="CU209" s="95">
        <v>208</v>
      </c>
      <c r="CV209" s="95">
        <f si="181" t="shared"/>
        <v>11</v>
      </c>
      <c r="CW209" s="95">
        <f si="176" t="shared"/>
        <v>8</v>
      </c>
      <c r="CX209" s="58">
        <f si="177" t="shared"/>
        <v>1088.9800415271834</v>
      </c>
      <c r="CY209" s="58">
        <f si="178" t="shared"/>
        <v>859.99999999999989</v>
      </c>
      <c r="CZ209" s="108">
        <f si="179" t="shared"/>
        <v>-228.98004152718352</v>
      </c>
      <c r="DA209" s="78">
        <f si="180" t="shared"/>
        <v>-0.21027019118372672</v>
      </c>
    </row>
    <row r="210" spans="99:105" x14ac:dyDescent="0.25">
      <c r="CU210" s="95">
        <v>209</v>
      </c>
      <c r="CV210" s="95">
        <f si="181" t="shared"/>
        <v>11</v>
      </c>
      <c r="CW210" s="95">
        <f si="176" t="shared"/>
        <v>9</v>
      </c>
      <c r="CX210" s="58">
        <f si="177" t="shared"/>
        <v>3743.2636976143053</v>
      </c>
      <c r="CY210" s="58">
        <f si="178" t="shared"/>
        <v>4119.9999999999991</v>
      </c>
      <c r="CZ210" s="108">
        <f si="179" t="shared"/>
        <v>376.73630238569376</v>
      </c>
      <c r="DA210" s="78">
        <f si="180" t="shared"/>
        <v>0.10064380519753367</v>
      </c>
    </row>
    <row r="211" spans="99:105" x14ac:dyDescent="0.25">
      <c r="CU211" s="95">
        <v>210</v>
      </c>
      <c r="CV211" s="95">
        <f si="181" t="shared"/>
        <v>11</v>
      </c>
      <c r="CW211" s="95">
        <f si="176" t="shared"/>
        <v>10</v>
      </c>
      <c r="CX211" s="58">
        <f si="177" t="shared"/>
        <v>738.89063095893891</v>
      </c>
      <c r="CY211" s="58">
        <f si="178" t="shared"/>
        <v>1419.9999999999998</v>
      </c>
      <c r="CZ211" s="108">
        <f si="179" t="shared"/>
        <v>681.10936904106086</v>
      </c>
      <c r="DA211" s="78">
        <f si="180" t="shared"/>
        <v>0.921799980271926</v>
      </c>
    </row>
    <row r="212" spans="99:105" x14ac:dyDescent="0.25">
      <c r="CU212" s="95">
        <v>211</v>
      </c>
      <c r="CV212" s="95">
        <f si="181" t="shared"/>
        <v>11</v>
      </c>
      <c r="CW212" s="95">
        <f si="176" t="shared"/>
        <v>11</v>
      </c>
      <c r="CX212" s="58">
        <f si="177" t="shared"/>
        <v>22754.128564769693</v>
      </c>
      <c r="CY212" s="58">
        <f si="178" t="shared"/>
        <v>18699.999999999996</v>
      </c>
      <c r="CZ212" s="108">
        <f si="179" t="shared"/>
        <v>-4054.1285647696968</v>
      </c>
      <c r="DA212" s="78">
        <f si="180" t="shared"/>
        <v>-0.1781711197257943</v>
      </c>
    </row>
    <row r="213" spans="99:105" x14ac:dyDescent="0.25">
      <c r="CU213" s="95">
        <v>212</v>
      </c>
      <c r="CV213" s="95">
        <f si="181" t="shared"/>
        <v>11</v>
      </c>
      <c r="CW213" s="95">
        <f si="176" t="shared"/>
        <v>12</v>
      </c>
      <c r="CX213" s="58">
        <f si="177" t="shared"/>
        <v>2568.4444256112547</v>
      </c>
      <c r="CY213" s="58">
        <f si="178" t="shared"/>
        <v>3979.9999999999995</v>
      </c>
      <c r="CZ213" s="108">
        <f si="179" t="shared"/>
        <v>1411.5555743887448</v>
      </c>
      <c r="DA213" s="78">
        <f si="180" t="shared"/>
        <v>0.54957606258224334</v>
      </c>
    </row>
    <row r="214" spans="99:105" x14ac:dyDescent="0.25">
      <c r="CU214" s="95">
        <v>213</v>
      </c>
      <c r="CV214" s="95">
        <f si="181" t="shared"/>
        <v>11</v>
      </c>
      <c r="CW214" s="95">
        <f si="176" t="shared"/>
        <v>13</v>
      </c>
      <c r="CX214" s="58">
        <f si="177" t="shared"/>
        <v>581.51870841984828</v>
      </c>
      <c r="CY214" s="58">
        <f si="178" t="shared"/>
        <v>439.99999999999994</v>
      </c>
      <c r="CZ214" s="108">
        <f si="179" t="shared"/>
        <v>-141.51870841984834</v>
      </c>
      <c r="DA214" s="78">
        <f si="180" t="shared"/>
        <v>-0.24336054261159529</v>
      </c>
    </row>
    <row r="215" spans="99:105" x14ac:dyDescent="0.25">
      <c r="CU215" s="95">
        <v>214</v>
      </c>
      <c r="CV215" s="95">
        <f si="181" t="shared"/>
        <v>11</v>
      </c>
      <c r="CW215" s="95">
        <f si="176" t="shared"/>
        <v>14</v>
      </c>
      <c r="CX215" s="58">
        <f si="177" t="shared"/>
        <v>485.58074494681978</v>
      </c>
      <c r="CY215" s="58">
        <f si="178" t="shared"/>
        <v>779.99999999999989</v>
      </c>
      <c r="CZ215" s="108">
        <f si="179" t="shared"/>
        <v>294.41925505318011</v>
      </c>
      <c r="DA215" s="78">
        <f si="180" t="shared"/>
        <v>0.60632399063810605</v>
      </c>
    </row>
    <row r="216" spans="99:105" x14ac:dyDescent="0.25">
      <c r="CU216" s="95">
        <v>215</v>
      </c>
      <c r="CV216" s="95">
        <f si="181" t="shared"/>
        <v>11</v>
      </c>
      <c r="CW216" s="95">
        <f si="176" t="shared"/>
        <v>15</v>
      </c>
      <c r="CX216" s="58">
        <f si="177" t="shared"/>
        <v>695.12945463790834</v>
      </c>
      <c r="CY216" s="58">
        <f si="178" t="shared"/>
        <v>1099.9999999999998</v>
      </c>
      <c r="CZ216" s="108">
        <f si="179" t="shared"/>
        <v>404.87054536209143</v>
      </c>
      <c r="DA216" s="78">
        <f si="180" t="shared"/>
        <v>0.58243905888434511</v>
      </c>
    </row>
    <row r="217" spans="99:105" x14ac:dyDescent="0.25">
      <c r="CU217" s="95">
        <v>216</v>
      </c>
      <c r="CV217" s="95">
        <f si="181" t="shared"/>
        <v>11</v>
      </c>
      <c r="CW217" s="95">
        <f si="176" t="shared"/>
        <v>16</v>
      </c>
      <c r="CX217" s="58">
        <f si="177" t="shared"/>
        <v>69.849569897029539</v>
      </c>
      <c r="CY217" s="58">
        <f si="178" t="shared"/>
        <v>159.99999999999997</v>
      </c>
      <c r="CZ217" s="108">
        <f si="179" t="shared"/>
        <v>90.150430102970432</v>
      </c>
      <c r="DA217" s="78">
        <f si="180" t="shared"/>
        <v>1.2906368677125415</v>
      </c>
    </row>
    <row r="218" spans="99:105" x14ac:dyDescent="0.25">
      <c r="CU218" s="95">
        <v>217</v>
      </c>
      <c r="CV218" s="95">
        <f si="181" t="shared"/>
        <v>11</v>
      </c>
      <c r="CW218" s="95">
        <f si="176" t="shared"/>
        <v>17</v>
      </c>
      <c r="CX218" s="58">
        <f si="177" t="shared"/>
        <v>1309.4690452985296</v>
      </c>
      <c r="CY218" s="58">
        <f si="178" t="shared"/>
        <v>1039.9999999999998</v>
      </c>
      <c r="CZ218" s="108">
        <f si="179" t="shared"/>
        <v>-269.46904529852986</v>
      </c>
      <c r="DA218" s="78">
        <f si="180" t="shared"/>
        <v>-0.20578496778218758</v>
      </c>
    </row>
    <row r="219" spans="99:105" x14ac:dyDescent="0.25">
      <c r="CU219" s="95">
        <v>218</v>
      </c>
      <c r="CV219" s="95">
        <f si="181" t="shared"/>
        <v>11</v>
      </c>
      <c r="CW219" s="95">
        <f si="176" t="shared"/>
        <v>18</v>
      </c>
      <c r="CX219" s="58">
        <f si="177" t="shared"/>
        <v>69.849569897029539</v>
      </c>
      <c r="CY219" s="58">
        <f si="178" t="shared"/>
        <v>59.999999999999993</v>
      </c>
      <c r="CZ219" s="108">
        <f si="179" t="shared"/>
        <v>-9.8495698970295464</v>
      </c>
      <c r="DA219" s="78">
        <f si="180" t="shared"/>
        <v>-0.14101117460779689</v>
      </c>
    </row>
    <row r="220" spans="99:105" x14ac:dyDescent="0.25">
      <c r="CU220" s="95">
        <v>219</v>
      </c>
      <c r="CV220" s="95">
        <f si="181" t="shared"/>
        <v>11</v>
      </c>
      <c r="CW220" s="95">
        <f si="176" t="shared"/>
        <v>19</v>
      </c>
      <c r="CX220" s="58">
        <f si="177" t="shared"/>
        <v>4541.9051654731129</v>
      </c>
      <c r="CY220" s="58">
        <f si="178" t="shared"/>
        <v>4719.9999999999991</v>
      </c>
      <c r="CZ220" s="108">
        <f si="179" t="shared"/>
        <v>178.09483452688619</v>
      </c>
      <c r="DA220" s="78">
        <f si="180" t="shared"/>
        <v>3.9211482415074758E-2</v>
      </c>
    </row>
    <row r="221" spans="99:105" x14ac:dyDescent="0.25">
      <c r="CU221" s="95">
        <v>220</v>
      </c>
      <c r="CV221" s="95">
        <f si="181" t="shared"/>
        <v>11</v>
      </c>
      <c r="CW221" s="95">
        <f si="176" t="shared"/>
        <v>20</v>
      </c>
      <c r="CX221" s="58">
        <f si="177" t="shared"/>
        <v>41.236493071740327</v>
      </c>
      <c r="CY221" s="58">
        <f si="178" t="shared"/>
        <v>0</v>
      </c>
      <c r="CZ221" s="108">
        <f si="179" t="shared"/>
        <v>-41.236493071740327</v>
      </c>
      <c r="DA221" s="78">
        <f si="180" t="shared"/>
        <v>-1</v>
      </c>
    </row>
    <row r="222" spans="99:105" x14ac:dyDescent="0.25">
      <c r="CU222" s="95">
        <v>221</v>
      </c>
      <c r="CV222" s="95">
        <f si="181" t="shared"/>
        <v>12</v>
      </c>
      <c r="CW222" s="95">
        <f si="176" t="shared"/>
        <v>1</v>
      </c>
      <c r="CX222" s="58">
        <f si="177" t="shared"/>
        <v>6993.8964528708611</v>
      </c>
      <c r="CY222" s="58">
        <f si="178" t="shared"/>
        <v>6400.0000000000009</v>
      </c>
      <c r="CZ222" s="108">
        <f si="179" t="shared"/>
        <v>-593.89645287086023</v>
      </c>
      <c r="DA222" s="78">
        <f si="180" t="shared"/>
        <v>-8.4916392010218722E-2</v>
      </c>
    </row>
    <row r="223" spans="99:105" x14ac:dyDescent="0.25">
      <c r="CU223" s="95">
        <v>222</v>
      </c>
      <c r="CV223" s="95">
        <f si="181" t="shared"/>
        <v>12</v>
      </c>
      <c r="CW223" s="95">
        <f si="176" t="shared"/>
        <v>2</v>
      </c>
      <c r="CX223" s="58">
        <f si="177" t="shared"/>
        <v>4084.6592465625258</v>
      </c>
      <c r="CY223" s="58">
        <f si="178" t="shared"/>
        <v>5320.0000000000009</v>
      </c>
      <c r="CZ223" s="108">
        <f si="179" t="shared"/>
        <v>1235.3407534374751</v>
      </c>
      <c r="DA223" s="78">
        <f si="180" t="shared"/>
        <v>0.30243422495452588</v>
      </c>
    </row>
    <row r="224" spans="99:105" x14ac:dyDescent="0.25">
      <c r="CU224" s="95">
        <v>223</v>
      </c>
      <c r="CV224" s="95">
        <f si="181" t="shared"/>
        <v>12</v>
      </c>
      <c r="CW224" s="95">
        <f si="176" t="shared"/>
        <v>3</v>
      </c>
      <c r="CX224" s="58">
        <f si="177" t="shared"/>
        <v>1888.9744837239241</v>
      </c>
      <c r="CY224" s="58">
        <f si="178" t="shared"/>
        <v>2080.0000000000005</v>
      </c>
      <c r="CZ224" s="108">
        <f si="179" t="shared"/>
        <v>191.02551627607636</v>
      </c>
      <c r="DA224" s="78">
        <f si="180" t="shared"/>
        <v>0.1011265731337401</v>
      </c>
    </row>
    <row r="225" spans="99:105" x14ac:dyDescent="0.25">
      <c r="CU225" s="95">
        <v>224</v>
      </c>
      <c r="CV225" s="95">
        <f si="181" t="shared"/>
        <v>12</v>
      </c>
      <c r="CW225" s="95">
        <f si="176" t="shared"/>
        <v>4</v>
      </c>
      <c r="CX225" s="58">
        <f si="177" t="shared"/>
        <v>1617.445677801813</v>
      </c>
      <c r="CY225" s="58">
        <f si="178" t="shared"/>
        <v>2460.0000000000005</v>
      </c>
      <c r="CZ225" s="108">
        <f si="179" t="shared"/>
        <v>842.55432219818749</v>
      </c>
      <c r="DA225" s="78">
        <f si="180" t="shared"/>
        <v>0.52091661176730186</v>
      </c>
    </row>
    <row r="226" spans="99:105" x14ac:dyDescent="0.25">
      <c r="CU226" s="95">
        <v>225</v>
      </c>
      <c r="CV226" s="95">
        <f si="181" t="shared"/>
        <v>12</v>
      </c>
      <c r="CW226" s="95">
        <f si="176" t="shared"/>
        <v>5</v>
      </c>
      <c r="CX226" s="58">
        <f si="177" t="shared"/>
        <v>2851.503506710279</v>
      </c>
      <c r="CY226" s="58">
        <f si="178" t="shared"/>
        <v>3860.0000000000005</v>
      </c>
      <c r="CZ226" s="108">
        <f si="179" t="shared"/>
        <v>1008.4964932897215</v>
      </c>
      <c r="DA226" s="78">
        <f si="180" t="shared"/>
        <v>0.35367184045766897</v>
      </c>
    </row>
    <row r="227" spans="99:105" x14ac:dyDescent="0.25">
      <c r="CU227" s="95">
        <v>226</v>
      </c>
      <c r="CV227" s="95">
        <f si="181" t="shared"/>
        <v>12</v>
      </c>
      <c r="CW227" s="95">
        <f si="176" t="shared"/>
        <v>6</v>
      </c>
      <c r="CX227" s="58">
        <f si="177" t="shared"/>
        <v>17112.629396486554</v>
      </c>
      <c r="CY227" s="58">
        <f si="178" t="shared"/>
        <v>15960.000000000002</v>
      </c>
      <c r="CZ227" s="108">
        <f si="179" t="shared"/>
        <v>-1152.6293964865527</v>
      </c>
      <c r="DA227" s="78">
        <f si="180" t="shared"/>
        <v>-6.735548171943713E-2</v>
      </c>
    </row>
    <row r="228" spans="99:105" x14ac:dyDescent="0.25">
      <c r="CU228" s="95">
        <v>227</v>
      </c>
      <c r="CV228" s="95">
        <f si="181" t="shared"/>
        <v>12</v>
      </c>
      <c r="CW228" s="95">
        <f si="176" t="shared"/>
        <v>7</v>
      </c>
      <c r="CX228" s="58">
        <f si="177" t="shared"/>
        <v>8036.7114018607635</v>
      </c>
      <c r="CY228" s="58">
        <f si="178" t="shared"/>
        <v>10600.000000000002</v>
      </c>
      <c r="CZ228" s="108">
        <f si="179" t="shared"/>
        <v>2563.2885981392383</v>
      </c>
      <c r="DA228" s="78">
        <f si="180" t="shared"/>
        <v>0.31894744877186365</v>
      </c>
    </row>
    <row r="229" spans="99:105" x14ac:dyDescent="0.25">
      <c r="CU229" s="95">
        <v>228</v>
      </c>
      <c r="CV229" s="95">
        <f si="181" t="shared"/>
        <v>12</v>
      </c>
      <c r="CW229" s="95">
        <f si="176" t="shared"/>
        <v>8</v>
      </c>
      <c r="CX229" s="58">
        <f si="177" t="shared"/>
        <v>241.75986706686328</v>
      </c>
      <c r="CY229" s="58">
        <f si="178" t="shared"/>
        <v>200.00000000000003</v>
      </c>
      <c r="CZ229" s="108">
        <f si="179" t="shared"/>
        <v>-41.759867066863251</v>
      </c>
      <c r="DA229" s="78">
        <f si="180" t="shared"/>
        <v>-0.17273283433479789</v>
      </c>
    </row>
    <row r="230" spans="99:105" x14ac:dyDescent="0.25">
      <c r="CU230" s="95">
        <v>229</v>
      </c>
      <c r="CV230" s="95">
        <f si="181" t="shared"/>
        <v>12</v>
      </c>
      <c r="CW230" s="95">
        <f si="176" t="shared"/>
        <v>9</v>
      </c>
      <c r="CX230" s="58">
        <f si="177" t="shared"/>
        <v>2893.9016923526024</v>
      </c>
      <c r="CY230" s="58">
        <f si="178" t="shared"/>
        <v>4040.0000000000005</v>
      </c>
      <c r="CZ230" s="108">
        <f si="179" t="shared"/>
        <v>1146.0983076473981</v>
      </c>
      <c r="DA230" s="78">
        <f si="180" t="shared"/>
        <v>0.39603912968988092</v>
      </c>
    </row>
    <row r="231" spans="99:105" x14ac:dyDescent="0.25">
      <c r="CU231" s="95">
        <v>230</v>
      </c>
      <c r="CV231" s="95">
        <f si="181" t="shared"/>
        <v>12</v>
      </c>
      <c r="CW231" s="95">
        <f si="176" t="shared"/>
        <v>10</v>
      </c>
      <c r="CX231" s="58">
        <f si="177" t="shared"/>
        <v>2103.6716791041981</v>
      </c>
      <c r="CY231" s="58">
        <f si="178" t="shared"/>
        <v>2900.0000000000005</v>
      </c>
      <c r="CZ231" s="108">
        <f si="179" t="shared"/>
        <v>796.32832089580234</v>
      </c>
      <c r="DA231" s="78">
        <f si="180" t="shared"/>
        <v>0.37854211225342022</v>
      </c>
    </row>
    <row r="232" spans="99:105" x14ac:dyDescent="0.25">
      <c r="CU232" s="95">
        <v>231</v>
      </c>
      <c r="CV232" s="95">
        <f si="181" t="shared"/>
        <v>12</v>
      </c>
      <c r="CW232" s="95">
        <f si="176" t="shared"/>
        <v>11</v>
      </c>
      <c r="CX232" s="58">
        <f si="177" t="shared"/>
        <v>1602.1101638460789</v>
      </c>
      <c r="CY232" s="58">
        <f si="178" t="shared"/>
        <v>1660.0000000000002</v>
      </c>
      <c r="CZ232" s="108">
        <f si="179" t="shared"/>
        <v>57.889836153921351</v>
      </c>
      <c r="DA232" s="78">
        <f si="180" t="shared"/>
        <v>3.6133492852294932E-2</v>
      </c>
    </row>
    <row r="233" spans="99:105" x14ac:dyDescent="0.25">
      <c r="CU233" s="95">
        <v>232</v>
      </c>
      <c r="CV233" s="95">
        <f si="181" t="shared"/>
        <v>12</v>
      </c>
      <c r="CW233" s="95">
        <f si="176" t="shared"/>
        <v>12</v>
      </c>
      <c r="CX233" s="58">
        <f si="177" t="shared"/>
        <v>63150.744380655837</v>
      </c>
      <c r="CY233" s="58">
        <f si="178" t="shared"/>
        <v>55880.000000000007</v>
      </c>
      <c r="CZ233" s="108">
        <f si="179" t="shared"/>
        <v>-7270.7443806558294</v>
      </c>
      <c r="DA233" s="78">
        <f si="180" t="shared"/>
        <v>-0.11513315404217125</v>
      </c>
    </row>
    <row r="234" spans="99:105" x14ac:dyDescent="0.25">
      <c r="CU234" s="95">
        <v>233</v>
      </c>
      <c r="CV234" s="95">
        <f si="181" t="shared"/>
        <v>12</v>
      </c>
      <c r="CW234" s="95">
        <f si="176" t="shared"/>
        <v>13</v>
      </c>
      <c r="CX234" s="58">
        <f si="177" t="shared"/>
        <v>2338.2148337213043</v>
      </c>
      <c r="CY234" s="58">
        <f si="178" t="shared"/>
        <v>4740.0000000000009</v>
      </c>
      <c r="CZ234" s="108">
        <f si="179" t="shared"/>
        <v>2401.7851662786966</v>
      </c>
      <c r="DA234" s="78">
        <f si="180" t="shared"/>
        <v>1.0271875499379239</v>
      </c>
    </row>
    <row r="235" spans="99:105" x14ac:dyDescent="0.25">
      <c r="CU235" s="95">
        <v>234</v>
      </c>
      <c r="CV235" s="95">
        <f si="181" t="shared"/>
        <v>12</v>
      </c>
      <c r="CW235" s="95">
        <f si="176" t="shared"/>
        <v>14</v>
      </c>
      <c r="CX235" s="58">
        <f si="177" t="shared"/>
        <v>79.383836947328234</v>
      </c>
      <c r="CY235" s="58">
        <f si="178" t="shared"/>
        <v>120.00000000000001</v>
      </c>
      <c r="CZ235" s="108">
        <f si="179" t="shared"/>
        <v>40.61616305267178</v>
      </c>
      <c r="DA235" s="78">
        <f si="180" t="shared"/>
        <v>0.51164272998823312</v>
      </c>
    </row>
    <row r="236" spans="99:105" x14ac:dyDescent="0.25">
      <c r="CU236" s="95">
        <v>235</v>
      </c>
      <c r="CV236" s="95">
        <f si="181" t="shared"/>
        <v>12</v>
      </c>
      <c r="CW236" s="95">
        <f si="176" t="shared"/>
        <v>15</v>
      </c>
      <c r="CX236" s="58">
        <f si="177" t="shared"/>
        <v>436.61110321030532</v>
      </c>
      <c r="CY236" s="58">
        <f si="178" t="shared"/>
        <v>620.00000000000011</v>
      </c>
      <c r="CZ236" s="108">
        <f si="179" t="shared"/>
        <v>183.3888967896948</v>
      </c>
      <c r="DA236" s="78">
        <f si="180" t="shared"/>
        <v>0.42002801907985532</v>
      </c>
    </row>
    <row r="237" spans="99:105" x14ac:dyDescent="0.25">
      <c r="CU237" s="95">
        <v>236</v>
      </c>
      <c r="CV237" s="95">
        <f si="181" t="shared"/>
        <v>12</v>
      </c>
      <c r="CW237" s="95">
        <f si="176" t="shared"/>
        <v>16</v>
      </c>
      <c r="CX237" s="58">
        <f si="177" t="shared"/>
        <v>530.42836505714774</v>
      </c>
      <c r="CY237" s="58">
        <f si="178" t="shared"/>
        <v>560.00000000000011</v>
      </c>
      <c r="CZ237" s="108">
        <f si="179" t="shared"/>
        <v>29.57163494285237</v>
      </c>
      <c r="DA237" s="78">
        <f si="180" t="shared"/>
        <v>5.5750478087020015E-2</v>
      </c>
    </row>
    <row r="238" spans="99:105" x14ac:dyDescent="0.25">
      <c r="CU238" s="95">
        <v>237</v>
      </c>
      <c r="CV238" s="95">
        <f si="181" t="shared"/>
        <v>12</v>
      </c>
      <c r="CW238" s="95">
        <f si="176" t="shared"/>
        <v>17</v>
      </c>
      <c r="CX238" s="58">
        <f si="177" t="shared"/>
        <v>127.1945569269691</v>
      </c>
      <c r="CY238" s="58">
        <f si="178" t="shared"/>
        <v>160.00000000000003</v>
      </c>
      <c r="CZ238" s="108">
        <f si="179" t="shared"/>
        <v>32.805443073030929</v>
      </c>
      <c r="DA238" s="78">
        <f si="180" t="shared"/>
        <v>0.2579154632526196</v>
      </c>
    </row>
    <row r="239" spans="99:105" x14ac:dyDescent="0.25">
      <c r="CU239" s="95">
        <v>238</v>
      </c>
      <c r="CV239" s="95">
        <f si="181" t="shared"/>
        <v>12</v>
      </c>
      <c r="CW239" s="95">
        <f si="176" t="shared"/>
        <v>18</v>
      </c>
      <c r="CX239" s="58">
        <f si="177" t="shared"/>
        <v>3324.1981721693696</v>
      </c>
      <c r="CY239" s="58">
        <f si="178" t="shared"/>
        <v>2300.0000000000005</v>
      </c>
      <c r="CZ239" s="108">
        <f si="179" t="shared"/>
        <v>-1024.1981721693692</v>
      </c>
      <c r="DA239" s="78">
        <f si="180" t="shared"/>
        <v>-0.30810382508001261</v>
      </c>
    </row>
    <row r="240" spans="99:105" x14ac:dyDescent="0.25">
      <c r="CU240" s="95">
        <v>239</v>
      </c>
      <c r="CV240" s="95">
        <f si="181" t="shared"/>
        <v>12</v>
      </c>
      <c r="CW240" s="95">
        <f si="176" t="shared"/>
        <v>19</v>
      </c>
      <c r="CX240" s="58">
        <f si="177" t="shared"/>
        <v>177.7115440752689</v>
      </c>
      <c r="CY240" s="58">
        <f si="178" t="shared"/>
        <v>240.00000000000003</v>
      </c>
      <c r="CZ240" s="108">
        <f si="179" t="shared"/>
        <v>62.288455924731124</v>
      </c>
      <c r="DA240" s="78">
        <f si="180" t="shared"/>
        <v>0.35050314963415735</v>
      </c>
    </row>
    <row r="241" spans="99:105" x14ac:dyDescent="0.25">
      <c r="CU241" s="95">
        <v>240</v>
      </c>
      <c r="CV241" s="95">
        <f si="181" t="shared"/>
        <v>12</v>
      </c>
      <c r="CW241" s="95">
        <f si="176" t="shared"/>
        <v>20</v>
      </c>
      <c r="CX241" s="58">
        <f si="177" t="shared"/>
        <v>928.24963885000864</v>
      </c>
      <c r="CY241" s="58">
        <f si="178" t="shared"/>
        <v>420.00000000000006</v>
      </c>
      <c r="CZ241" s="108">
        <f si="179" t="shared"/>
        <v>-508.24963885000858</v>
      </c>
      <c r="DA241" s="78">
        <f si="180" t="shared"/>
        <v>-0.54753550939127715</v>
      </c>
    </row>
    <row r="242" spans="99:105" x14ac:dyDescent="0.25">
      <c r="CU242" s="95">
        <v>241</v>
      </c>
      <c r="CV242" s="95">
        <f si="181" t="shared"/>
        <v>13</v>
      </c>
      <c r="CW242" s="95">
        <f si="176" t="shared"/>
        <v>1</v>
      </c>
      <c r="CX242" s="58">
        <f si="177" t="shared"/>
        <v>1393.0139793603162</v>
      </c>
      <c r="CY242" s="58">
        <f si="178" t="shared"/>
        <v>1679.9999999999998</v>
      </c>
      <c r="CZ242" s="108">
        <f si="179" t="shared"/>
        <v>286.9860206396836</v>
      </c>
      <c r="DA242" s="78">
        <f si="180" t="shared"/>
        <v>0.20601804783859384</v>
      </c>
    </row>
    <row r="243" spans="99:105" x14ac:dyDescent="0.25">
      <c r="CU243" s="95">
        <v>242</v>
      </c>
      <c r="CV243" s="95">
        <f si="181" t="shared"/>
        <v>13</v>
      </c>
      <c r="CW243" s="95">
        <f si="176" t="shared"/>
        <v>2</v>
      </c>
      <c r="CX243" s="58">
        <f si="177" t="shared"/>
        <v>1548.79967796238</v>
      </c>
      <c r="CY243" s="58">
        <f si="178" t="shared"/>
        <v>2039.9999999999998</v>
      </c>
      <c r="CZ243" s="108">
        <f si="179" t="shared"/>
        <v>491.2003220376198</v>
      </c>
      <c r="DA243" s="78">
        <f si="180" t="shared"/>
        <v>0.31714903420166579</v>
      </c>
    </row>
    <row r="244" spans="99:105" x14ac:dyDescent="0.25">
      <c r="CU244" s="95">
        <v>243</v>
      </c>
      <c r="CV244" s="95">
        <f si="181" t="shared"/>
        <v>13</v>
      </c>
      <c r="CW244" s="95">
        <f si="176" t="shared"/>
        <v>3</v>
      </c>
      <c r="CX244" s="58">
        <f si="177" t="shared"/>
        <v>394.89863134011563</v>
      </c>
      <c r="CY244" s="58">
        <f si="178" t="shared"/>
        <v>619.99999999999989</v>
      </c>
      <c r="CZ244" s="108">
        <f si="179" t="shared"/>
        <v>225.10136865988426</v>
      </c>
      <c r="DA244" s="78">
        <f si="180" t="shared"/>
        <v>0.57002316745435988</v>
      </c>
    </row>
    <row r="245" spans="99:105" x14ac:dyDescent="0.25">
      <c r="CU245" s="95">
        <v>244</v>
      </c>
      <c r="CV245" s="95">
        <f si="181" t="shared"/>
        <v>13</v>
      </c>
      <c r="CW245" s="95">
        <f si="176" t="shared"/>
        <v>4</v>
      </c>
      <c r="CX245" s="58">
        <f si="177" t="shared"/>
        <v>332.40320573812488</v>
      </c>
      <c r="CY245" s="58">
        <f si="178" t="shared"/>
        <v>519.99999999999989</v>
      </c>
      <c r="CZ245" s="108">
        <f si="179" t="shared"/>
        <v>187.596794261875</v>
      </c>
      <c r="DA245" s="78">
        <f si="180" t="shared"/>
        <v>0.56436517766217997</v>
      </c>
    </row>
    <row r="246" spans="99:105" x14ac:dyDescent="0.25">
      <c r="CU246" s="95">
        <v>245</v>
      </c>
      <c r="CV246" s="95">
        <f si="181" t="shared"/>
        <v>13</v>
      </c>
      <c r="CW246" s="95">
        <f si="176" t="shared"/>
        <v>5</v>
      </c>
      <c r="CX246" s="58">
        <f si="177" t="shared"/>
        <v>400.33301617507141</v>
      </c>
      <c r="CY246" s="58">
        <f si="178" t="shared"/>
        <v>439.99999999999994</v>
      </c>
      <c r="CZ246" s="108">
        <f si="179" t="shared"/>
        <v>39.666983824928536</v>
      </c>
      <c r="DA246" s="78">
        <f si="180" t="shared"/>
        <v>9.9084967320261175E-2</v>
      </c>
    </row>
    <row r="247" spans="99:105" x14ac:dyDescent="0.25">
      <c r="CU247" s="95">
        <v>246</v>
      </c>
      <c r="CV247" s="95">
        <f si="181" t="shared"/>
        <v>13</v>
      </c>
      <c r="CW247" s="95">
        <f si="176" t="shared"/>
        <v>6</v>
      </c>
      <c r="CX247" s="58">
        <f si="177" t="shared"/>
        <v>2903.7729634780062</v>
      </c>
      <c r="CY247" s="58">
        <f si="178" t="shared"/>
        <v>2899.9999999999995</v>
      </c>
      <c r="CZ247" s="108">
        <f si="179" t="shared"/>
        <v>-3.772963478006659</v>
      </c>
      <c r="DA247" s="78">
        <f si="180" t="shared"/>
        <v>-1.2993314303359229E-3</v>
      </c>
    </row>
    <row r="248" spans="99:105" x14ac:dyDescent="0.25">
      <c r="CU248" s="95">
        <v>247</v>
      </c>
      <c r="CV248" s="95">
        <f si="181" t="shared"/>
        <v>13</v>
      </c>
      <c r="CW248" s="95">
        <f si="176" t="shared"/>
        <v>7</v>
      </c>
      <c r="CX248" s="58">
        <f si="177" t="shared"/>
        <v>13374.021078826026</v>
      </c>
      <c r="CY248" s="58">
        <f si="178" t="shared"/>
        <v>18679.999999999996</v>
      </c>
      <c r="CZ248" s="108">
        <f si="179" t="shared"/>
        <v>5305.9789211739699</v>
      </c>
      <c r="DA248" s="78">
        <f si="180" t="shared"/>
        <v>0.39673774176821691</v>
      </c>
    </row>
    <row r="249" spans="99:105" x14ac:dyDescent="0.25">
      <c r="CU249" s="95">
        <v>248</v>
      </c>
      <c r="CV249" s="95">
        <f si="181" t="shared"/>
        <v>13</v>
      </c>
      <c r="CW249" s="95">
        <f si="176" t="shared"/>
        <v>8</v>
      </c>
      <c r="CX249" s="58">
        <f si="177" t="shared"/>
        <v>20.831808533996924</v>
      </c>
      <c r="CY249" s="58">
        <f si="178" t="shared"/>
        <v>39.999999999999993</v>
      </c>
      <c r="CZ249" s="108">
        <f si="179" t="shared"/>
        <v>19.168191466003069</v>
      </c>
      <c r="DA249" s="78">
        <f si="180" t="shared"/>
        <v>0.9201405357927096</v>
      </c>
    </row>
    <row r="250" spans="99:105" x14ac:dyDescent="0.25">
      <c r="CU250" s="95">
        <v>249</v>
      </c>
      <c r="CV250" s="95">
        <f si="181" t="shared"/>
        <v>13</v>
      </c>
      <c r="CW250" s="95">
        <f si="176" t="shared"/>
        <v>9</v>
      </c>
      <c r="CX250" s="58">
        <f si="177" t="shared"/>
        <v>1663.8274903022764</v>
      </c>
      <c r="CY250" s="58">
        <f si="178" t="shared"/>
        <v>2599.9999999999995</v>
      </c>
      <c r="CZ250" s="108">
        <f si="179" t="shared"/>
        <v>936.17250969772317</v>
      </c>
      <c r="DA250" s="78">
        <f si="180" t="shared"/>
        <v>0.56266200381605891</v>
      </c>
    </row>
    <row r="251" spans="99:105" x14ac:dyDescent="0.25">
      <c r="CU251" s="95">
        <v>250</v>
      </c>
      <c r="CV251" s="95">
        <f si="181" t="shared"/>
        <v>13</v>
      </c>
      <c r="CW251" s="95">
        <f si="176" t="shared"/>
        <v>10</v>
      </c>
      <c r="CX251" s="58">
        <f si="177" t="shared"/>
        <v>393.08716972846372</v>
      </c>
      <c r="CY251" s="58">
        <f si="178" t="shared"/>
        <v>439.99999999999994</v>
      </c>
      <c r="CZ251" s="108">
        <f si="179" t="shared"/>
        <v>46.912830271536222</v>
      </c>
      <c r="DA251" s="78">
        <f si="180" t="shared"/>
        <v>0.11934459805427537</v>
      </c>
    </row>
    <row r="252" spans="99:105" x14ac:dyDescent="0.25">
      <c r="CU252" s="95">
        <v>251</v>
      </c>
      <c r="CV252" s="95">
        <f si="181" t="shared"/>
        <v>13</v>
      </c>
      <c r="CW252" s="95">
        <f si="176" t="shared"/>
        <v>11</v>
      </c>
      <c r="CX252" s="58">
        <f si="177" t="shared"/>
        <v>408.48459342750493</v>
      </c>
      <c r="CY252" s="58">
        <f si="178" t="shared"/>
        <v>479.99999999999994</v>
      </c>
      <c r="CZ252" s="108">
        <f si="179" t="shared"/>
        <v>71.51540657249501</v>
      </c>
      <c r="DA252" s="78">
        <f si="180" t="shared"/>
        <v>0.17507491769132555</v>
      </c>
    </row>
    <row r="253" spans="99:105" x14ac:dyDescent="0.25">
      <c r="CU253" s="95">
        <v>252</v>
      </c>
      <c r="CV253" s="95">
        <f si="181" t="shared"/>
        <v>13</v>
      </c>
      <c r="CW253" s="95">
        <f si="176" t="shared"/>
        <v>12</v>
      </c>
      <c r="CX253" s="58">
        <f si="177" t="shared"/>
        <v>5922.5737392959081</v>
      </c>
      <c r="CY253" s="58">
        <f si="178" t="shared"/>
        <v>9419.9999999999982</v>
      </c>
      <c r="CZ253" s="108">
        <f si="179" t="shared"/>
        <v>3497.4262607040901</v>
      </c>
      <c r="DA253" s="78">
        <f si="180" t="shared"/>
        <v>0.59052473040544595</v>
      </c>
    </row>
    <row r="254" spans="99:105" x14ac:dyDescent="0.25">
      <c r="CU254" s="95">
        <v>253</v>
      </c>
      <c r="CV254" s="95">
        <f si="181" t="shared"/>
        <v>13</v>
      </c>
      <c r="CW254" s="95">
        <f si="176" t="shared"/>
        <v>13</v>
      </c>
      <c r="CX254" s="58">
        <f si="177" t="shared"/>
        <v>65329.457293420186</v>
      </c>
      <c r="CY254" s="58">
        <f si="178" t="shared"/>
        <v>52899.999999999993</v>
      </c>
      <c r="CZ254" s="108">
        <f si="179" t="shared"/>
        <v>-12429.457293420193</v>
      </c>
      <c r="DA254" s="78">
        <f si="180" t="shared"/>
        <v>-0.19025808277565556</v>
      </c>
    </row>
    <row r="255" spans="99:105" x14ac:dyDescent="0.25">
      <c r="CU255" s="95">
        <v>254</v>
      </c>
      <c r="CV255" s="95">
        <f si="181" t="shared"/>
        <v>13</v>
      </c>
      <c r="CW255" s="95">
        <f si="176" t="shared"/>
        <v>14</v>
      </c>
      <c r="CX255" s="58">
        <f si="177" t="shared"/>
        <v>26.266193368952646</v>
      </c>
      <c r="CY255" s="58">
        <f si="178" t="shared"/>
        <v>39.999999999999993</v>
      </c>
      <c r="CZ255" s="108">
        <f si="179" t="shared"/>
        <v>13.733806631047347</v>
      </c>
      <c r="DA255" s="78">
        <f si="180" t="shared"/>
        <v>0.52287008011145919</v>
      </c>
    </row>
    <row r="256" spans="99:105" x14ac:dyDescent="0.25">
      <c r="CU256" s="95">
        <v>255</v>
      </c>
      <c r="CV256" s="95">
        <f si="181" t="shared"/>
        <v>13</v>
      </c>
      <c r="CW256" s="95">
        <f si="176" t="shared"/>
        <v>15</v>
      </c>
      <c r="CX256" s="58">
        <f si="177" t="shared"/>
        <v>2196.3972041279367</v>
      </c>
      <c r="CY256" s="58">
        <f si="178" t="shared"/>
        <v>3779.9999999999995</v>
      </c>
      <c r="CZ256" s="108">
        <f si="179" t="shared"/>
        <v>1583.6027958720629</v>
      </c>
      <c r="DA256" s="78">
        <f si="180" t="shared"/>
        <v>0.72100018744142447</v>
      </c>
    </row>
    <row r="257" spans="99:105" x14ac:dyDescent="0.25">
      <c r="CU257" s="95">
        <v>256</v>
      </c>
      <c r="CV257" s="95">
        <f si="181" t="shared"/>
        <v>13</v>
      </c>
      <c r="CW257" s="95">
        <f si="176" t="shared"/>
        <v>16</v>
      </c>
      <c r="CX257" s="58">
        <f si="177" t="shared"/>
        <v>82.421503330161755</v>
      </c>
      <c r="CY257" s="58">
        <f si="178" t="shared"/>
        <v>119.99999999999999</v>
      </c>
      <c r="CZ257" s="108">
        <f si="179" t="shared"/>
        <v>37.578496669838231</v>
      </c>
      <c r="DA257" s="78">
        <f si="180" t="shared"/>
        <v>0.45593073593073569</v>
      </c>
    </row>
    <row r="258" spans="99:105" x14ac:dyDescent="0.25">
      <c r="CU258" s="95">
        <v>257</v>
      </c>
      <c r="CV258" s="95">
        <f si="181" t="shared"/>
        <v>13</v>
      </c>
      <c r="CW258" s="95">
        <f si="176" t="shared"/>
        <v>17</v>
      </c>
      <c r="CX258" s="58">
        <f si="177" t="shared"/>
        <v>35.323501427212179</v>
      </c>
      <c r="CY258" s="58">
        <f si="178" t="shared"/>
        <v>19.999999999999996</v>
      </c>
      <c r="CZ258" s="108">
        <f si="179" t="shared"/>
        <v>-15.323501427212182</v>
      </c>
      <c r="DA258" s="78">
        <f si="180" t="shared"/>
        <v>-0.43380471380471392</v>
      </c>
    </row>
    <row r="259" spans="99:105" x14ac:dyDescent="0.25">
      <c r="CU259" s="95">
        <v>258</v>
      </c>
      <c r="CV259" s="95">
        <f si="181" t="shared"/>
        <v>13</v>
      </c>
      <c r="CW259" s="95">
        <f ref="CW259:CW322" si="182" t="shared">MOD(ROW()-2,$CS$2)+1</f>
        <v>18</v>
      </c>
      <c r="CX259" s="58">
        <f ref="CX259:CX322" si="183" t="shared">VLOOKUP($CV259,$B$30:$V$49,MATCH($CW259,$B$29:$V$29,0),0)</f>
        <v>2203.6430505745443</v>
      </c>
      <c r="CY259" s="58">
        <f ref="CY259:CY322" si="184" t="shared">VLOOKUP($CV259,$AY$30:$BS$49,MATCH($CW259,$AY$29:$BS$29,0),0)</f>
        <v>1979.9999999999998</v>
      </c>
      <c r="CZ259" s="108">
        <f ref="CZ259:CZ322" si="185" t="shared">CY259-CX259</f>
        <v>-223.64305057454453</v>
      </c>
      <c r="DA259" s="78">
        <f ref="DA259:DA322" si="186" t="shared">CZ259/CX259</f>
        <v>-0.10148787505137696</v>
      </c>
    </row>
    <row r="260" spans="99:105" x14ac:dyDescent="0.25">
      <c r="CU260" s="95">
        <v>259</v>
      </c>
      <c r="CV260" s="95">
        <f ref="CV260:CV323" si="187" t="shared">IF(CW259&lt;$CS$2,CV259,CV259+1)</f>
        <v>13</v>
      </c>
      <c r="CW260" s="95">
        <f si="182" t="shared"/>
        <v>19</v>
      </c>
      <c r="CX260" s="58">
        <f si="183" t="shared"/>
        <v>93.290273000073185</v>
      </c>
      <c r="CY260" s="58">
        <f si="184" t="shared"/>
        <v>119.99999999999999</v>
      </c>
      <c r="CZ260" s="108">
        <f si="185" t="shared"/>
        <v>26.709726999926801</v>
      </c>
      <c r="DA260" s="78">
        <f si="186" t="shared"/>
        <v>0.28630773756987343</v>
      </c>
    </row>
    <row r="261" spans="99:105" x14ac:dyDescent="0.25">
      <c r="CU261" s="95">
        <v>260</v>
      </c>
      <c r="CV261" s="95">
        <f si="187" t="shared"/>
        <v>13</v>
      </c>
      <c r="CW261" s="95">
        <f si="182" t="shared"/>
        <v>20</v>
      </c>
      <c r="CX261" s="58">
        <f si="183" t="shared"/>
        <v>277.15362658274171</v>
      </c>
      <c r="CY261" s="58">
        <f si="184" t="shared"/>
        <v>179.99999999999997</v>
      </c>
      <c r="CZ261" s="108">
        <f si="185" t="shared"/>
        <v>-97.153626582741737</v>
      </c>
      <c r="DA261" s="78">
        <f si="186" t="shared"/>
        <v>-0.35054070112893654</v>
      </c>
    </row>
    <row r="262" spans="99:105" x14ac:dyDescent="0.25">
      <c r="CU262" s="95">
        <v>261</v>
      </c>
      <c r="CV262" s="95">
        <f si="187" t="shared"/>
        <v>14</v>
      </c>
      <c r="CW262" s="95">
        <f si="182" t="shared"/>
        <v>1</v>
      </c>
      <c r="CX262" s="58">
        <f si="183" t="shared"/>
        <v>667.1743218957663</v>
      </c>
      <c r="CY262" s="58">
        <f si="184" t="shared"/>
        <v>1220.0000000000002</v>
      </c>
      <c r="CZ262" s="108">
        <f si="185" t="shared"/>
        <v>552.82567810423393</v>
      </c>
      <c r="DA262" s="78">
        <f si="186" t="shared"/>
        <v>0.82860754672540105</v>
      </c>
    </row>
    <row r="263" spans="99:105" x14ac:dyDescent="0.25">
      <c r="CU263" s="95">
        <v>262</v>
      </c>
      <c r="CV263" s="95">
        <f si="187" t="shared"/>
        <v>14</v>
      </c>
      <c r="CW263" s="95">
        <f si="182" t="shared"/>
        <v>2</v>
      </c>
      <c r="CX263" s="58">
        <f si="183" t="shared"/>
        <v>881.05738287290512</v>
      </c>
      <c r="CY263" s="58">
        <f si="184" t="shared"/>
        <v>520.00000000000011</v>
      </c>
      <c r="CZ263" s="108">
        <f si="185" t="shared"/>
        <v>-361.05738287290501</v>
      </c>
      <c r="DA263" s="78">
        <f si="186" t="shared"/>
        <v>-0.40980007646674305</v>
      </c>
    </row>
    <row r="264" spans="99:105" x14ac:dyDescent="0.25">
      <c r="CU264" s="95">
        <v>263</v>
      </c>
      <c r="CV264" s="95">
        <f si="187" t="shared"/>
        <v>14</v>
      </c>
      <c r="CW264" s="95">
        <f si="182" t="shared"/>
        <v>3</v>
      </c>
      <c r="CX264" s="58">
        <f si="183" t="shared"/>
        <v>359.11229991223303</v>
      </c>
      <c r="CY264" s="58">
        <f si="184" t="shared"/>
        <v>800.00000000000023</v>
      </c>
      <c r="CZ264" s="108">
        <f si="185" t="shared"/>
        <v>440.8877000877672</v>
      </c>
      <c r="DA264" s="78">
        <f si="186" t="shared"/>
        <v>1.227715397650039</v>
      </c>
    </row>
    <row r="265" spans="99:105" x14ac:dyDescent="0.25">
      <c r="CU265" s="95">
        <v>264</v>
      </c>
      <c r="CV265" s="95">
        <f si="187" t="shared"/>
        <v>14</v>
      </c>
      <c r="CW265" s="95">
        <f si="182" t="shared"/>
        <v>4</v>
      </c>
      <c r="CX265" s="58">
        <f si="183" t="shared"/>
        <v>370.5546035859071</v>
      </c>
      <c r="CY265" s="58">
        <f si="184" t="shared"/>
        <v>600.00000000000011</v>
      </c>
      <c r="CZ265" s="108">
        <f si="185" t="shared"/>
        <v>229.44539641409301</v>
      </c>
      <c r="DA265" s="78">
        <f si="186" t="shared"/>
        <v>0.61919456456273603</v>
      </c>
    </row>
    <row r="266" spans="99:105" x14ac:dyDescent="0.25">
      <c r="CU266" s="95">
        <v>265</v>
      </c>
      <c r="CV266" s="95">
        <f si="187" t="shared"/>
        <v>14</v>
      </c>
      <c r="CW266" s="95">
        <f si="182" t="shared"/>
        <v>5</v>
      </c>
      <c r="CX266" s="58">
        <f si="183" t="shared"/>
        <v>332.70698374221593</v>
      </c>
      <c r="CY266" s="58">
        <f si="184" t="shared"/>
        <v>520.00000000000011</v>
      </c>
      <c r="CZ266" s="108">
        <f si="185" t="shared"/>
        <v>187.29301625778419</v>
      </c>
      <c r="DA266" s="78">
        <f si="186" t="shared"/>
        <v>0.56293683454177301</v>
      </c>
    </row>
    <row r="267" spans="99:105" x14ac:dyDescent="0.25">
      <c r="CU267" s="95">
        <v>266</v>
      </c>
      <c r="CV267" s="95">
        <f si="187" t="shared"/>
        <v>14</v>
      </c>
      <c r="CW267" s="95">
        <f si="182" t="shared"/>
        <v>6</v>
      </c>
      <c r="CX267" s="58">
        <f si="183" t="shared"/>
        <v>1845.7316002841978</v>
      </c>
      <c r="CY267" s="58">
        <f si="184" t="shared"/>
        <v>1500.0000000000002</v>
      </c>
      <c r="CZ267" s="108">
        <f si="185" t="shared"/>
        <v>-345.73160028419761</v>
      </c>
      <c r="DA267" s="78">
        <f si="186" t="shared"/>
        <v>-0.18731412532080144</v>
      </c>
    </row>
    <row r="268" spans="99:105" x14ac:dyDescent="0.25">
      <c r="CU268" s="95">
        <v>267</v>
      </c>
      <c r="CV268" s="95">
        <f si="187" t="shared"/>
        <v>14</v>
      </c>
      <c r="CW268" s="95">
        <f si="182" t="shared"/>
        <v>7</v>
      </c>
      <c r="CX268" s="58">
        <f si="183" t="shared"/>
        <v>480.57675429431191</v>
      </c>
      <c r="CY268" s="58">
        <f si="184" t="shared"/>
        <v>340.00000000000006</v>
      </c>
      <c r="CZ268" s="108">
        <f si="185" t="shared"/>
        <v>-140.57675429431185</v>
      </c>
      <c r="DA268" s="78">
        <f si="186" t="shared"/>
        <v>-0.29251675832872409</v>
      </c>
    </row>
    <row r="269" spans="99:105" x14ac:dyDescent="0.25">
      <c r="CU269" s="95">
        <v>268</v>
      </c>
      <c r="CV269" s="95">
        <f si="187" t="shared"/>
        <v>14</v>
      </c>
      <c r="CW269" s="95">
        <f si="182" t="shared"/>
        <v>8</v>
      </c>
      <c r="CX269" s="58">
        <f si="183" t="shared"/>
        <v>242.92890876415763</v>
      </c>
      <c r="CY269" s="58">
        <f si="184" t="shared"/>
        <v>440.00000000000011</v>
      </c>
      <c r="CZ269" s="108">
        <f si="185" t="shared"/>
        <v>197.07109123584249</v>
      </c>
      <c r="DA269" s="78">
        <f si="186" t="shared"/>
        <v>0.8112294754806838</v>
      </c>
    </row>
    <row r="270" spans="99:105" x14ac:dyDescent="0.25">
      <c r="CU270" s="95">
        <v>269</v>
      </c>
      <c r="CV270" s="95">
        <f si="187" t="shared"/>
        <v>14</v>
      </c>
      <c r="CW270" s="95">
        <f si="182" t="shared"/>
        <v>9</v>
      </c>
      <c r="CX270" s="58">
        <f si="183" t="shared"/>
        <v>389.91850211058636</v>
      </c>
      <c r="CY270" s="58">
        <f si="184" t="shared"/>
        <v>580.00000000000011</v>
      </c>
      <c r="CZ270" s="108">
        <f si="185" t="shared"/>
        <v>190.08149788941375</v>
      </c>
      <c r="DA270" s="78">
        <f si="186" t="shared"/>
        <v>0.48749032646700097</v>
      </c>
    </row>
    <row r="271" spans="99:105" x14ac:dyDescent="0.25">
      <c r="CU271" s="95">
        <v>270</v>
      </c>
      <c r="CV271" s="95">
        <f si="187" t="shared"/>
        <v>14</v>
      </c>
      <c r="CW271" s="95">
        <f si="182" t="shared"/>
        <v>10</v>
      </c>
      <c r="CX271" s="58">
        <f si="183" t="shared"/>
        <v>224.44518744514565</v>
      </c>
      <c r="CY271" s="58">
        <f si="184" t="shared"/>
        <v>360.00000000000006</v>
      </c>
      <c r="CZ271" s="108">
        <f si="185" t="shared"/>
        <v>135.55481255485441</v>
      </c>
      <c r="DA271" s="78">
        <f si="186" t="shared"/>
        <v>0.60395508630802774</v>
      </c>
    </row>
    <row r="272" spans="99:105" x14ac:dyDescent="0.25">
      <c r="CU272" s="95">
        <v>271</v>
      </c>
      <c r="CV272" s="95">
        <f si="187" t="shared"/>
        <v>14</v>
      </c>
      <c r="CW272" s="95">
        <f si="182" t="shared"/>
        <v>11</v>
      </c>
      <c r="CX272" s="58">
        <f si="183" t="shared"/>
        <v>1961.9149914322732</v>
      </c>
      <c r="CY272" s="58">
        <f si="184" t="shared"/>
        <v>2540.0000000000005</v>
      </c>
      <c r="CZ272" s="108">
        <f si="185" t="shared"/>
        <v>578.0850085677273</v>
      </c>
      <c r="DA272" s="78">
        <f si="186" t="shared"/>
        <v>0.29465344374870345</v>
      </c>
    </row>
    <row r="273" spans="99:105" x14ac:dyDescent="0.25">
      <c r="CU273" s="95">
        <v>272</v>
      </c>
      <c r="CV273" s="95">
        <f si="187" t="shared"/>
        <v>14</v>
      </c>
      <c r="CW273" s="95">
        <f si="182" t="shared"/>
        <v>12</v>
      </c>
      <c r="CX273" s="58">
        <f si="183" t="shared"/>
        <v>599.40067705938895</v>
      </c>
      <c r="CY273" s="58">
        <f si="184" t="shared"/>
        <v>760.00000000000011</v>
      </c>
      <c r="CZ273" s="108">
        <f si="185" t="shared"/>
        <v>160.59932294061116</v>
      </c>
      <c r="DA273" s="78">
        <f si="186" t="shared"/>
        <v>0.26793316905896469</v>
      </c>
    </row>
    <row r="274" spans="99:105" x14ac:dyDescent="0.25">
      <c r="CU274" s="95">
        <v>273</v>
      </c>
      <c r="CV274" s="95">
        <f si="187" t="shared"/>
        <v>14</v>
      </c>
      <c r="CW274" s="95">
        <f si="182" t="shared"/>
        <v>13</v>
      </c>
      <c r="CX274" s="58">
        <f si="183" t="shared"/>
        <v>53.690809545701512</v>
      </c>
      <c r="CY274" s="58">
        <f si="184" t="shared"/>
        <v>60.000000000000014</v>
      </c>
      <c r="CZ274" s="108">
        <f si="185" t="shared"/>
        <v>6.309190454298502</v>
      </c>
      <c r="DA274" s="78">
        <f si="186" t="shared"/>
        <v>0.11750969128018328</v>
      </c>
    </row>
    <row r="275" spans="99:105" x14ac:dyDescent="0.25">
      <c r="CU275" s="95">
        <v>274</v>
      </c>
      <c r="CV275" s="95">
        <f si="187" t="shared"/>
        <v>14</v>
      </c>
      <c r="CW275" s="95">
        <f si="182" t="shared"/>
        <v>14</v>
      </c>
      <c r="CX275" s="58">
        <f si="183" t="shared"/>
        <v>10485.551051113804</v>
      </c>
      <c r="CY275" s="58">
        <f si="184" t="shared"/>
        <v>8380.0000000000018</v>
      </c>
      <c r="CZ275" s="108">
        <f si="185" t="shared"/>
        <v>-2105.5510511138018</v>
      </c>
      <c r="DA275" s="78">
        <f si="186" t="shared"/>
        <v>-0.20080499735778259</v>
      </c>
    </row>
    <row r="276" spans="99:105" x14ac:dyDescent="0.25">
      <c r="CU276" s="95">
        <v>275</v>
      </c>
      <c r="CV276" s="95">
        <f si="187" t="shared"/>
        <v>14</v>
      </c>
      <c r="CW276" s="95">
        <f si="182" t="shared"/>
        <v>15</v>
      </c>
      <c r="CX276" s="58">
        <f si="183" t="shared"/>
        <v>78.335771304384167</v>
      </c>
      <c r="CY276" s="58">
        <f si="184" t="shared"/>
        <v>80.000000000000014</v>
      </c>
      <c r="CZ276" s="108">
        <f si="185" t="shared"/>
        <v>1.6642286956158472</v>
      </c>
      <c r="DA276" s="78">
        <f si="186" t="shared"/>
        <v>2.1244811506983992E-2</v>
      </c>
    </row>
    <row r="277" spans="99:105" x14ac:dyDescent="0.25">
      <c r="CU277" s="95">
        <v>276</v>
      </c>
      <c r="CV277" s="95">
        <f si="187" t="shared"/>
        <v>14</v>
      </c>
      <c r="CW277" s="95">
        <f si="182" t="shared"/>
        <v>16</v>
      </c>
      <c r="CX277" s="58">
        <f si="183" t="shared"/>
        <v>11.442303673674092</v>
      </c>
      <c r="CY277" s="58">
        <f si="184" t="shared"/>
        <v>20.000000000000004</v>
      </c>
      <c r="CZ277" s="108">
        <f si="185" t="shared"/>
        <v>8.557696326325912</v>
      </c>
      <c r="DA277" s="78">
        <f si="186" t="shared"/>
        <v>0.74789977354079962</v>
      </c>
    </row>
    <row r="278" spans="99:105" x14ac:dyDescent="0.25">
      <c r="CU278" s="95">
        <v>277</v>
      </c>
      <c r="CV278" s="95">
        <f si="187" t="shared"/>
        <v>14</v>
      </c>
      <c r="CW278" s="95">
        <f si="182" t="shared"/>
        <v>17</v>
      </c>
      <c r="CX278" s="58">
        <f si="183" t="shared"/>
        <v>1660.8943870940777</v>
      </c>
      <c r="CY278" s="58">
        <f si="184" t="shared"/>
        <v>1580.0000000000005</v>
      </c>
      <c r="CZ278" s="108">
        <f si="185" t="shared"/>
        <v>-80.894387094077274</v>
      </c>
      <c r="DA278" s="78">
        <f si="186" t="shared"/>
        <v>-4.8705316679172564E-2</v>
      </c>
    </row>
    <row r="279" spans="99:105" x14ac:dyDescent="0.25">
      <c r="CU279" s="95">
        <v>278</v>
      </c>
      <c r="CV279" s="95">
        <f si="187" t="shared"/>
        <v>14</v>
      </c>
      <c r="CW279" s="95">
        <f si="182" t="shared"/>
        <v>18</v>
      </c>
      <c r="CX279" s="58">
        <f si="183" t="shared"/>
        <v>9.6819492623396162</v>
      </c>
      <c r="CY279" s="58">
        <f si="184" t="shared"/>
        <v>40.000000000000007</v>
      </c>
      <c r="CZ279" s="108">
        <f si="185" t="shared"/>
        <v>30.318050737660393</v>
      </c>
      <c r="DA279" s="78">
        <f si="186" t="shared"/>
        <v>3.131399464732799</v>
      </c>
    </row>
    <row r="280" spans="99:105" x14ac:dyDescent="0.25">
      <c r="CU280" s="95">
        <v>279</v>
      </c>
      <c r="CV280" s="95">
        <f si="187" t="shared"/>
        <v>14</v>
      </c>
      <c r="CW280" s="95">
        <f si="182" t="shared"/>
        <v>19</v>
      </c>
      <c r="CX280" s="58">
        <f si="183" t="shared"/>
        <v>401.36080578426044</v>
      </c>
      <c r="CY280" s="58">
        <f si="184" t="shared"/>
        <v>720.00000000000011</v>
      </c>
      <c r="CZ280" s="108">
        <f si="185" t="shared"/>
        <v>318.63919421573968</v>
      </c>
      <c r="DA280" s="78">
        <f si="186" t="shared"/>
        <v>0.79389713600239953</v>
      </c>
    </row>
    <row r="281" spans="99:105" x14ac:dyDescent="0.25">
      <c r="CU281" s="95">
        <v>280</v>
      </c>
      <c r="CV281" s="95">
        <f si="187" t="shared"/>
        <v>14</v>
      </c>
      <c r="CW281" s="95">
        <f si="182" t="shared"/>
        <v>20</v>
      </c>
      <c r="CX281" s="58">
        <f si="183" t="shared"/>
        <v>3.5207088226689511</v>
      </c>
      <c r="CY281" s="58">
        <f si="184" t="shared"/>
        <v>0</v>
      </c>
      <c r="CZ281" s="108">
        <f si="185" t="shared"/>
        <v>-3.5207088226689511</v>
      </c>
      <c r="DA281" s="78">
        <f si="186" t="shared"/>
        <v>-1</v>
      </c>
    </row>
    <row r="282" spans="99:105" x14ac:dyDescent="0.25">
      <c r="CU282" s="95">
        <v>281</v>
      </c>
      <c r="CV282" s="95">
        <f si="187" t="shared"/>
        <v>15</v>
      </c>
      <c r="CW282" s="95">
        <f si="182" t="shared"/>
        <v>1</v>
      </c>
      <c r="CX282" s="58">
        <f si="183" t="shared"/>
        <v>891.54209697181875</v>
      </c>
      <c r="CY282" s="58">
        <f si="184" t="shared"/>
        <v>1179.9999999999998</v>
      </c>
      <c r="CZ282" s="108">
        <f si="185" t="shared"/>
        <v>288.45790302818102</v>
      </c>
      <c r="DA282" s="78">
        <f si="186" t="shared"/>
        <v>0.32354939156316592</v>
      </c>
    </row>
    <row r="283" spans="99:105" x14ac:dyDescent="0.25">
      <c r="CU283" s="95">
        <v>282</v>
      </c>
      <c r="CV283" s="95">
        <f si="187" t="shared"/>
        <v>15</v>
      </c>
      <c r="CW283" s="95">
        <f si="182" t="shared"/>
        <v>2</v>
      </c>
      <c r="CX283" s="58">
        <f si="183" t="shared"/>
        <v>1507.5862068965516</v>
      </c>
      <c r="CY283" s="58">
        <f si="184" t="shared"/>
        <v>1499.9999999999998</v>
      </c>
      <c r="CZ283" s="108">
        <f si="185" t="shared"/>
        <v>-7.5862068965518574</v>
      </c>
      <c r="DA283" s="78">
        <f si="186" t="shared"/>
        <v>-5.0320219579140868E-3</v>
      </c>
    </row>
    <row r="284" spans="99:105" x14ac:dyDescent="0.25">
      <c r="CU284" s="95">
        <v>283</v>
      </c>
      <c r="CV284" s="95">
        <f si="187" t="shared"/>
        <v>15</v>
      </c>
      <c r="CW284" s="95">
        <f si="182" t="shared"/>
        <v>3</v>
      </c>
      <c r="CX284" s="58">
        <f si="183" t="shared"/>
        <v>210.44985121652371</v>
      </c>
      <c r="CY284" s="58">
        <f si="184" t="shared"/>
        <v>719.99999999999989</v>
      </c>
      <c r="CZ284" s="108">
        <f si="185" t="shared"/>
        <v>509.55014878347617</v>
      </c>
      <c r="DA284" s="78">
        <f si="186" t="shared"/>
        <v>2.4212426183148961</v>
      </c>
    </row>
    <row r="285" spans="99:105" x14ac:dyDescent="0.25">
      <c r="CU285" s="95">
        <v>284</v>
      </c>
      <c r="CV285" s="95">
        <f si="187" t="shared"/>
        <v>15</v>
      </c>
      <c r="CW285" s="95">
        <f si="182" t="shared"/>
        <v>4</v>
      </c>
      <c r="CX285" s="58">
        <f si="183" t="shared"/>
        <v>316.63136705758797</v>
      </c>
      <c r="CY285" s="58">
        <f si="184" t="shared"/>
        <v>359.99999999999994</v>
      </c>
      <c r="CZ285" s="108">
        <f si="185" t="shared"/>
        <v>43.368632942411978</v>
      </c>
      <c r="DA285" s="78">
        <f si="186" t="shared"/>
        <v>0.13696884596567535</v>
      </c>
    </row>
    <row r="286" spans="99:105" x14ac:dyDescent="0.25">
      <c r="CU286" s="95">
        <v>285</v>
      </c>
      <c r="CV286" s="95">
        <f si="187" t="shared"/>
        <v>15</v>
      </c>
      <c r="CW286" s="95">
        <f si="182" t="shared"/>
        <v>5</v>
      </c>
      <c r="CX286" s="58">
        <f si="183" t="shared"/>
        <v>333.84999124803079</v>
      </c>
      <c r="CY286" s="58">
        <f si="184" t="shared"/>
        <v>479.99999999999994</v>
      </c>
      <c r="CZ286" s="108">
        <f si="185" t="shared"/>
        <v>146.15000875196915</v>
      </c>
      <c r="DA286" s="78">
        <f si="186" t="shared"/>
        <v>0.43777149193749221</v>
      </c>
    </row>
    <row r="287" spans="99:105" x14ac:dyDescent="0.25">
      <c r="CU287" s="95">
        <v>286</v>
      </c>
      <c r="CV287" s="95">
        <f si="187" t="shared"/>
        <v>15</v>
      </c>
      <c r="CW287" s="95">
        <f si="182" t="shared"/>
        <v>6</v>
      </c>
      <c r="CX287" s="58">
        <f si="183" t="shared"/>
        <v>1598.4622790127778</v>
      </c>
      <c r="CY287" s="58">
        <f si="184" t="shared"/>
        <v>1959.9999999999998</v>
      </c>
      <c r="CZ287" s="108">
        <f si="185" t="shared"/>
        <v>361.53772098722197</v>
      </c>
      <c r="DA287" s="78">
        <f si="186" t="shared"/>
        <v>0.22617845021060512</v>
      </c>
    </row>
    <row r="288" spans="99:105" x14ac:dyDescent="0.25">
      <c r="CU288" s="95">
        <v>287</v>
      </c>
      <c r="CV288" s="95">
        <f si="187" t="shared"/>
        <v>15</v>
      </c>
      <c r="CW288" s="95">
        <f si="182" t="shared"/>
        <v>7</v>
      </c>
      <c r="CX288" s="58">
        <f si="183" t="shared"/>
        <v>2653.5813057938035</v>
      </c>
      <c r="CY288" s="58">
        <f si="184" t="shared"/>
        <v>2599.9999999999995</v>
      </c>
      <c r="CZ288" s="108">
        <f si="185" t="shared"/>
        <v>-53.581305793803949</v>
      </c>
      <c r="DA288" s="78">
        <f si="186" t="shared"/>
        <v>-2.0192072380377058E-2</v>
      </c>
    </row>
    <row r="289" spans="99:105" x14ac:dyDescent="0.25">
      <c r="CU289" s="95">
        <v>288</v>
      </c>
      <c r="CV289" s="95">
        <f si="187" t="shared"/>
        <v>15</v>
      </c>
      <c r="CW289" s="95">
        <f si="182" t="shared"/>
        <v>8</v>
      </c>
      <c r="CX289" s="58">
        <f si="183" t="shared"/>
        <v>34.437248380885698</v>
      </c>
      <c r="CY289" s="58">
        <f si="184" t="shared"/>
        <v>19.999999999999996</v>
      </c>
      <c r="CZ289" s="108">
        <f si="185" t="shared"/>
        <v>-14.437248380885702</v>
      </c>
      <c r="DA289" s="78">
        <f si="186" t="shared"/>
        <v>-0.41923350615024912</v>
      </c>
    </row>
    <row r="290" spans="99:105" x14ac:dyDescent="0.25">
      <c r="CU290" s="95">
        <v>289</v>
      </c>
      <c r="CV290" s="95">
        <f si="187" t="shared"/>
        <v>15</v>
      </c>
      <c r="CW290" s="95">
        <f si="182" t="shared"/>
        <v>9</v>
      </c>
      <c r="CX290" s="58">
        <f si="183" t="shared"/>
        <v>4818.3450026255905</v>
      </c>
      <c r="CY290" s="58">
        <f si="184" t="shared"/>
        <v>4679.9999999999991</v>
      </c>
      <c r="CZ290" s="108">
        <f si="185" t="shared"/>
        <v>-138.34500262559141</v>
      </c>
      <c r="DA290" s="78">
        <f si="186" t="shared"/>
        <v>-2.8712141316199872E-2</v>
      </c>
    </row>
    <row r="291" spans="99:105" x14ac:dyDescent="0.25">
      <c r="CU291" s="95">
        <v>290</v>
      </c>
      <c r="CV291" s="95">
        <f si="187" t="shared"/>
        <v>15</v>
      </c>
      <c r="CW291" s="95">
        <f si="182" t="shared"/>
        <v>10</v>
      </c>
      <c r="CX291" s="58">
        <f si="183" t="shared"/>
        <v>154.01102748118328</v>
      </c>
      <c r="CY291" s="58">
        <f si="184" t="shared"/>
        <v>259.99999999999994</v>
      </c>
      <c r="CZ291" s="108">
        <f si="185" t="shared"/>
        <v>105.98897251881667</v>
      </c>
      <c r="DA291" s="78">
        <f si="186" t="shared"/>
        <v>0.68819080199803329</v>
      </c>
    </row>
    <row r="292" spans="99:105" x14ac:dyDescent="0.25">
      <c r="CU292" s="95">
        <v>291</v>
      </c>
      <c r="CV292" s="95">
        <f si="187" t="shared"/>
        <v>15</v>
      </c>
      <c r="CW292" s="95">
        <f si="182" t="shared"/>
        <v>11</v>
      </c>
      <c r="CX292" s="58">
        <f si="183" t="shared"/>
        <v>746.14038158585686</v>
      </c>
      <c r="CY292" s="58">
        <f si="184" t="shared"/>
        <v>1319.9999999999998</v>
      </c>
      <c r="CZ292" s="108">
        <f si="185" t="shared"/>
        <v>573.85961841414291</v>
      </c>
      <c r="DA292" s="78">
        <f si="186" t="shared"/>
        <v>0.76910408895770244</v>
      </c>
    </row>
    <row r="293" spans="99:105" x14ac:dyDescent="0.25">
      <c r="CU293" s="95">
        <v>292</v>
      </c>
      <c r="CV293" s="95">
        <f si="187" t="shared"/>
        <v>15</v>
      </c>
      <c r="CW293" s="95">
        <f si="182" t="shared"/>
        <v>12</v>
      </c>
      <c r="CX293" s="58">
        <f si="183" t="shared"/>
        <v>1701.774024155435</v>
      </c>
      <c r="CY293" s="58">
        <f si="184" t="shared"/>
        <v>1899.9999999999998</v>
      </c>
      <c r="CZ293" s="108">
        <f si="185" t="shared"/>
        <v>198.2259758445648</v>
      </c>
      <c r="DA293" s="78">
        <f si="186" t="shared"/>
        <v>0.11648196119513658</v>
      </c>
    </row>
    <row r="294" spans="99:105" x14ac:dyDescent="0.25">
      <c r="CU294" s="95">
        <v>293</v>
      </c>
      <c r="CV294" s="95">
        <f si="187" t="shared"/>
        <v>15</v>
      </c>
      <c r="CW294" s="95">
        <f si="182" t="shared"/>
        <v>13</v>
      </c>
      <c r="CX294" s="58">
        <f si="183" t="shared"/>
        <v>3846.4493260983722</v>
      </c>
      <c r="CY294" s="58">
        <f si="184" t="shared"/>
        <v>6599.9999999999991</v>
      </c>
      <c r="CZ294" s="108">
        <f si="185" t="shared"/>
        <v>2753.5506739016269</v>
      </c>
      <c r="DA294" s="78">
        <f si="186" t="shared"/>
        <v>0.7158681787950858</v>
      </c>
    </row>
    <row r="295" spans="99:105" x14ac:dyDescent="0.25">
      <c r="CU295" s="95">
        <v>294</v>
      </c>
      <c r="CV295" s="95">
        <f si="187" t="shared"/>
        <v>15</v>
      </c>
      <c r="CW295" s="95">
        <f si="182" t="shared"/>
        <v>14</v>
      </c>
      <c r="CX295" s="58">
        <f si="183" t="shared"/>
        <v>15.305443724838089</v>
      </c>
      <c r="CY295" s="58">
        <f si="184" t="shared"/>
        <v>99.999999999999986</v>
      </c>
      <c r="CZ295" s="108">
        <f si="185" t="shared"/>
        <v>84.694556275161901</v>
      </c>
      <c r="DA295" s="78">
        <f si="186" t="shared"/>
        <v>5.5336230558096977</v>
      </c>
    </row>
    <row r="296" spans="99:105" x14ac:dyDescent="0.25">
      <c r="CU296" s="95">
        <v>295</v>
      </c>
      <c r="CV296" s="95">
        <f si="187" t="shared"/>
        <v>15</v>
      </c>
      <c r="CW296" s="95">
        <f si="182" t="shared"/>
        <v>15</v>
      </c>
      <c r="CX296" s="58">
        <f si="183" t="shared"/>
        <v>23761.70138281113</v>
      </c>
      <c r="CY296" s="58">
        <f si="184" t="shared"/>
        <v>18579.999999999996</v>
      </c>
      <c r="CZ296" s="108">
        <f si="185" t="shared"/>
        <v>-5181.701382811134</v>
      </c>
      <c r="DA296" s="78">
        <f si="186" t="shared"/>
        <v>-0.21806945972982816</v>
      </c>
    </row>
    <row r="297" spans="99:105" x14ac:dyDescent="0.25">
      <c r="CU297" s="95">
        <v>296</v>
      </c>
      <c r="CV297" s="95">
        <f si="187" t="shared"/>
        <v>15</v>
      </c>
      <c r="CW297" s="95">
        <f si="182" t="shared"/>
        <v>16</v>
      </c>
      <c r="CX297" s="58">
        <f si="183" t="shared"/>
        <v>22.001575354454754</v>
      </c>
      <c r="CY297" s="58">
        <f si="184" t="shared"/>
        <v>0</v>
      </c>
      <c r="CZ297" s="108">
        <f si="185" t="shared"/>
        <v>-22.001575354454754</v>
      </c>
      <c r="DA297" s="78">
        <f si="186" t="shared"/>
        <v>-1</v>
      </c>
    </row>
    <row r="298" spans="99:105" x14ac:dyDescent="0.25">
      <c r="CU298" s="95">
        <v>297</v>
      </c>
      <c r="CV298" s="95">
        <f si="187" t="shared"/>
        <v>15</v>
      </c>
      <c r="CW298" s="95">
        <f si="182" t="shared"/>
        <v>17</v>
      </c>
      <c r="CX298" s="58">
        <f si="183" t="shared"/>
        <v>141.57535445475233</v>
      </c>
      <c r="CY298" s="58">
        <f si="184" t="shared"/>
        <v>159.99999999999997</v>
      </c>
      <c r="CZ298" s="108">
        <f si="185" t="shared"/>
        <v>18.424645545247643</v>
      </c>
      <c r="DA298" s="78">
        <f si="186" t="shared"/>
        <v>0.13014020424816372</v>
      </c>
    </row>
    <row r="299" spans="99:105" x14ac:dyDescent="0.25">
      <c r="CU299" s="95">
        <v>298</v>
      </c>
      <c r="CV299" s="95">
        <f si="187" t="shared"/>
        <v>15</v>
      </c>
      <c r="CW299" s="95">
        <f si="182" t="shared"/>
        <v>18</v>
      </c>
      <c r="CX299" s="58">
        <f si="183" t="shared"/>
        <v>106.18151584106423</v>
      </c>
      <c r="CY299" s="58">
        <f si="184" t="shared"/>
        <v>59.999999999999993</v>
      </c>
      <c r="CZ299" s="108">
        <f si="185" t="shared"/>
        <v>-46.181515841064233</v>
      </c>
      <c r="DA299" s="78">
        <f si="186" t="shared"/>
        <v>-0.43492989787591801</v>
      </c>
    </row>
    <row r="300" spans="99:105" x14ac:dyDescent="0.25">
      <c r="CU300" s="95">
        <v>299</v>
      </c>
      <c r="CV300" s="95">
        <f si="187" t="shared"/>
        <v>15</v>
      </c>
      <c r="CW300" s="95">
        <f si="182" t="shared"/>
        <v>19</v>
      </c>
      <c r="CX300" s="58">
        <f si="183" t="shared"/>
        <v>842.75599509889719</v>
      </c>
      <c r="CY300" s="58">
        <f si="184" t="shared"/>
        <v>1219.9999999999998</v>
      </c>
      <c r="CZ300" s="108">
        <f si="185" t="shared"/>
        <v>377.24400490110258</v>
      </c>
      <c r="DA300" s="78">
        <f si="186" t="shared"/>
        <v>0.4476313512985845</v>
      </c>
    </row>
    <row r="301" spans="99:105" x14ac:dyDescent="0.25">
      <c r="CU301" s="95">
        <v>300</v>
      </c>
      <c r="CV301" s="95">
        <f si="187" t="shared"/>
        <v>15</v>
      </c>
      <c r="CW301" s="95">
        <f si="182" t="shared"/>
        <v>20</v>
      </c>
      <c r="CX301" s="58">
        <f si="183" t="shared"/>
        <v>17.218624190442849</v>
      </c>
      <c r="CY301" s="58">
        <f si="184" t="shared"/>
        <v>19.999999999999996</v>
      </c>
      <c r="CZ301" s="108">
        <f si="185" t="shared"/>
        <v>2.7813758095571472</v>
      </c>
      <c r="DA301" s="78">
        <f si="186" t="shared"/>
        <v>0.1615329876995017</v>
      </c>
    </row>
    <row r="302" spans="99:105" x14ac:dyDescent="0.25">
      <c r="CU302" s="95">
        <v>301</v>
      </c>
      <c r="CV302" s="95">
        <f si="187" t="shared"/>
        <v>16</v>
      </c>
      <c r="CW302" s="95">
        <f si="182" t="shared"/>
        <v>1</v>
      </c>
      <c r="CX302" s="58">
        <f si="183" t="shared"/>
        <v>1231.833354731031</v>
      </c>
      <c r="CY302" s="58">
        <f si="184" t="shared"/>
        <v>1199.9999999999998</v>
      </c>
      <c r="CZ302" s="108">
        <f si="185" t="shared"/>
        <v>-31.83335473103125</v>
      </c>
      <c r="DA302" s="78">
        <f si="186" t="shared"/>
        <v>-2.584225748456212E-2</v>
      </c>
    </row>
    <row r="303" spans="99:105" x14ac:dyDescent="0.25">
      <c r="CU303" s="95">
        <v>302</v>
      </c>
      <c r="CV303" s="95">
        <f si="187" t="shared"/>
        <v>16</v>
      </c>
      <c r="CW303" s="95">
        <f si="182" t="shared"/>
        <v>2</v>
      </c>
      <c r="CX303" s="58">
        <f si="183" t="shared"/>
        <v>591.02580562331502</v>
      </c>
      <c r="CY303" s="58">
        <f si="184" t="shared"/>
        <v>419.99999999999989</v>
      </c>
      <c r="CZ303" s="108">
        <f si="185" t="shared"/>
        <v>-171.02580562331514</v>
      </c>
      <c r="DA303" s="78">
        <f si="186" t="shared"/>
        <v>-0.28937113066145354</v>
      </c>
    </row>
    <row r="304" spans="99:105" x14ac:dyDescent="0.25">
      <c r="CU304" s="95">
        <v>303</v>
      </c>
      <c r="CV304" s="95">
        <f si="187" t="shared"/>
        <v>16</v>
      </c>
      <c r="CW304" s="95">
        <f si="182" t="shared"/>
        <v>3</v>
      </c>
      <c r="CX304" s="58">
        <f si="183" t="shared"/>
        <v>323.0517396328155</v>
      </c>
      <c r="CY304" s="58">
        <f si="184" t="shared"/>
        <v>339.99999999999994</v>
      </c>
      <c r="CZ304" s="108">
        <f si="185" t="shared"/>
        <v>16.948260367184446</v>
      </c>
      <c r="DA304" s="78">
        <f si="186" t="shared"/>
        <v>5.2462990561351078E-2</v>
      </c>
    </row>
    <row r="305" spans="99:105" x14ac:dyDescent="0.25">
      <c r="CU305" s="95">
        <v>304</v>
      </c>
      <c r="CV305" s="95">
        <f si="187" t="shared"/>
        <v>16</v>
      </c>
      <c r="CW305" s="95">
        <f si="182" t="shared"/>
        <v>4</v>
      </c>
      <c r="CX305" s="58">
        <f si="183" t="shared"/>
        <v>367.53755295930159</v>
      </c>
      <c r="CY305" s="58">
        <f si="184" t="shared"/>
        <v>539.99999999999989</v>
      </c>
      <c r="CZ305" s="108">
        <f si="185" t="shared"/>
        <v>172.46244704069829</v>
      </c>
      <c r="DA305" s="78">
        <f si="186" t="shared"/>
        <v>0.46923762116845652</v>
      </c>
    </row>
    <row r="306" spans="99:105" x14ac:dyDescent="0.25">
      <c r="CU306" s="95">
        <v>305</v>
      </c>
      <c r="CV306" s="95">
        <f si="187" t="shared"/>
        <v>16</v>
      </c>
      <c r="CW306" s="95">
        <f si="182" t="shared"/>
        <v>5</v>
      </c>
      <c r="CX306" s="58">
        <f si="183" t="shared"/>
        <v>515.8235973809218</v>
      </c>
      <c r="CY306" s="58">
        <f si="184" t="shared"/>
        <v>699.99999999999989</v>
      </c>
      <c r="CZ306" s="108">
        <f si="185" t="shared"/>
        <v>184.17640261907809</v>
      </c>
      <c r="DA306" s="78">
        <f si="186" t="shared"/>
        <v>0.3570530769709413</v>
      </c>
    </row>
    <row r="307" spans="99:105" x14ac:dyDescent="0.25">
      <c r="CU307" s="95">
        <v>306</v>
      </c>
      <c r="CV307" s="95">
        <f si="187" t="shared"/>
        <v>16</v>
      </c>
      <c r="CW307" s="95">
        <f si="182" t="shared"/>
        <v>6</v>
      </c>
      <c r="CX307" s="58">
        <f si="183" t="shared"/>
        <v>3170.1437925279238</v>
      </c>
      <c r="CY307" s="58">
        <f si="184" t="shared"/>
        <v>2619.9999999999995</v>
      </c>
      <c r="CZ307" s="108">
        <f si="185" t="shared"/>
        <v>-550.14379252792423</v>
      </c>
      <c r="DA307" s="78">
        <f si="186" t="shared"/>
        <v>-0.1735390659012444</v>
      </c>
    </row>
    <row r="308" spans="99:105" x14ac:dyDescent="0.25">
      <c r="CU308" s="95">
        <v>307</v>
      </c>
      <c r="CV308" s="95">
        <f si="187" t="shared"/>
        <v>16</v>
      </c>
      <c r="CW308" s="95">
        <f si="182" t="shared"/>
        <v>7</v>
      </c>
      <c r="CX308" s="58">
        <f si="183" t="shared"/>
        <v>406.72743612787264</v>
      </c>
      <c r="CY308" s="58">
        <f si="184" t="shared"/>
        <v>439.99999999999989</v>
      </c>
      <c r="CZ308" s="108">
        <f si="185" t="shared"/>
        <v>33.27256387212725</v>
      </c>
      <c r="DA308" s="78">
        <f si="186" t="shared"/>
        <v>8.1805555555555284E-2</v>
      </c>
    </row>
    <row r="309" spans="99:105" x14ac:dyDescent="0.25">
      <c r="CU309" s="95">
        <v>308</v>
      </c>
      <c r="CV309" s="95">
        <f si="187" t="shared"/>
        <v>16</v>
      </c>
      <c r="CW309" s="95">
        <f si="182" t="shared"/>
        <v>8</v>
      </c>
      <c r="CX309" s="58">
        <f si="183" t="shared"/>
        <v>62.491975863397094</v>
      </c>
      <c r="CY309" s="58">
        <f si="184" t="shared"/>
        <v>39.999999999999993</v>
      </c>
      <c r="CZ309" s="108">
        <f si="185" t="shared"/>
        <v>-22.491975863397101</v>
      </c>
      <c r="DA309" s="78">
        <f si="186" t="shared"/>
        <v>-0.35991782229070374</v>
      </c>
    </row>
    <row r="310" spans="99:105" x14ac:dyDescent="0.25">
      <c r="CU310" s="95">
        <v>309</v>
      </c>
      <c r="CV310" s="95">
        <f si="187" t="shared"/>
        <v>16</v>
      </c>
      <c r="CW310" s="95">
        <f si="182" t="shared"/>
        <v>9</v>
      </c>
      <c r="CX310" s="58">
        <f si="183" t="shared"/>
        <v>416.26011041211967</v>
      </c>
      <c r="CY310" s="58">
        <f si="184" t="shared"/>
        <v>399.99999999999989</v>
      </c>
      <c r="CZ310" s="108">
        <f si="185" t="shared"/>
        <v>-16.260110412119786</v>
      </c>
      <c r="DA310" s="78">
        <f si="186" t="shared"/>
        <v>-3.9062379520395096E-2</v>
      </c>
    </row>
    <row r="311" spans="99:105" x14ac:dyDescent="0.25">
      <c r="CU311" s="95">
        <v>310</v>
      </c>
      <c r="CV311" s="95">
        <f si="187" t="shared"/>
        <v>16</v>
      </c>
      <c r="CW311" s="95">
        <f si="182" t="shared"/>
        <v>10</v>
      </c>
      <c r="CX311" s="58">
        <f si="183" t="shared"/>
        <v>1773.0774168699447</v>
      </c>
      <c r="CY311" s="58">
        <f si="184" t="shared"/>
        <v>1179.9999999999998</v>
      </c>
      <c r="CZ311" s="108">
        <f si="185" t="shared"/>
        <v>-593.07741686994495</v>
      </c>
      <c r="DA311" s="78">
        <f si="186" t="shared"/>
        <v>-0.33449042395278966</v>
      </c>
    </row>
    <row r="312" spans="99:105" x14ac:dyDescent="0.25">
      <c r="CU312" s="95">
        <v>311</v>
      </c>
      <c r="CV312" s="95">
        <f si="187" t="shared"/>
        <v>16</v>
      </c>
      <c r="CW312" s="95">
        <f si="182" t="shared"/>
        <v>11</v>
      </c>
      <c r="CX312" s="58">
        <f si="183" t="shared"/>
        <v>292.33534471690848</v>
      </c>
      <c r="CY312" s="58">
        <f si="184" t="shared"/>
        <v>179.99999999999997</v>
      </c>
      <c r="CZ312" s="108">
        <f si="185" t="shared"/>
        <v>-112.33534471690851</v>
      </c>
      <c r="DA312" s="78">
        <f si="186" t="shared"/>
        <v>-0.38426877470355747</v>
      </c>
    </row>
    <row r="313" spans="99:105" x14ac:dyDescent="0.25">
      <c r="CU313" s="95">
        <v>312</v>
      </c>
      <c r="CV313" s="95">
        <f si="187" t="shared"/>
        <v>16</v>
      </c>
      <c r="CW313" s="95">
        <f si="182" t="shared"/>
        <v>12</v>
      </c>
      <c r="CX313" s="58">
        <f si="183" t="shared"/>
        <v>4289.7034279111567</v>
      </c>
      <c r="CY313" s="58">
        <f si="184" t="shared"/>
        <v>5699.9999999999991</v>
      </c>
      <c r="CZ313" s="108">
        <f si="185" t="shared"/>
        <v>1410.2965720888424</v>
      </c>
      <c r="DA313" s="78">
        <f si="186" t="shared"/>
        <v>0.32876318742985389</v>
      </c>
    </row>
    <row r="314" spans="99:105" x14ac:dyDescent="0.25">
      <c r="CU314" s="95">
        <v>313</v>
      </c>
      <c r="CV314" s="95">
        <f si="187" t="shared"/>
        <v>16</v>
      </c>
      <c r="CW314" s="95">
        <f si="182" t="shared"/>
        <v>13</v>
      </c>
      <c r="CX314" s="58">
        <f si="183" t="shared"/>
        <v>63.551161894980098</v>
      </c>
      <c r="CY314" s="58">
        <f si="184" t="shared"/>
        <v>199.99999999999994</v>
      </c>
      <c r="CZ314" s="108">
        <f si="185" t="shared"/>
        <v>136.44883810501983</v>
      </c>
      <c r="DA314" s="78">
        <f si="186" t="shared"/>
        <v>2.1470707070707062</v>
      </c>
    </row>
    <row r="315" spans="99:105" x14ac:dyDescent="0.25">
      <c r="CU315" s="95">
        <v>314</v>
      </c>
      <c r="CV315" s="95">
        <f si="187" t="shared"/>
        <v>16</v>
      </c>
      <c r="CW315" s="95">
        <f si="182" t="shared"/>
        <v>14</v>
      </c>
      <c r="CX315" s="58">
        <f si="183" t="shared"/>
        <v>32.834766979073052</v>
      </c>
      <c r="CY315" s="58">
        <f si="184" t="shared"/>
        <v>19.999999999999996</v>
      </c>
      <c r="CZ315" s="108">
        <f si="185" t="shared"/>
        <v>-12.834766979073056</v>
      </c>
      <c r="DA315" s="78">
        <f si="186" t="shared"/>
        <v>-0.39088954056696001</v>
      </c>
    </row>
    <row r="316" spans="99:105" x14ac:dyDescent="0.25">
      <c r="CU316" s="95">
        <v>315</v>
      </c>
      <c r="CV316" s="95">
        <f si="187" t="shared"/>
        <v>16</v>
      </c>
      <c r="CW316" s="95">
        <f si="182" t="shared"/>
        <v>15</v>
      </c>
      <c r="CX316" s="58">
        <f si="183" t="shared"/>
        <v>11.651046347413018</v>
      </c>
      <c r="CY316" s="58">
        <f si="184" t="shared"/>
        <v>99.999999999999972</v>
      </c>
      <c r="CZ316" s="108">
        <f si="185" t="shared"/>
        <v>88.348953652586957</v>
      </c>
      <c r="DA316" s="78">
        <f si="186" t="shared"/>
        <v>7.582920110192835</v>
      </c>
    </row>
    <row r="317" spans="99:105" x14ac:dyDescent="0.25">
      <c r="CU317" s="95">
        <v>316</v>
      </c>
      <c r="CV317" s="95">
        <f si="187" t="shared"/>
        <v>16</v>
      </c>
      <c r="CW317" s="95">
        <f si="182" t="shared"/>
        <v>16</v>
      </c>
      <c r="CX317" s="58">
        <f si="183" t="shared"/>
        <v>2550.5199640518681</v>
      </c>
      <c r="CY317" s="58">
        <f si="184" t="shared"/>
        <v>1519.9999999999998</v>
      </c>
      <c r="CZ317" s="108">
        <f si="185" t="shared"/>
        <v>-1030.5199640518683</v>
      </c>
      <c r="DA317" s="78">
        <f si="186" t="shared"/>
        <v>-0.4040430886942516</v>
      </c>
    </row>
    <row r="318" spans="99:105" x14ac:dyDescent="0.25">
      <c r="CU318" s="95">
        <v>317</v>
      </c>
      <c r="CV318" s="95">
        <f si="187" t="shared"/>
        <v>16</v>
      </c>
      <c r="CW318" s="95">
        <f si="182" t="shared"/>
        <v>17</v>
      </c>
      <c r="CX318" s="58">
        <f si="183" t="shared"/>
        <v>10.591860315830017</v>
      </c>
      <c r="CY318" s="58">
        <f si="184" t="shared"/>
        <v>19.999999999999996</v>
      </c>
      <c r="CZ318" s="108">
        <f si="185" t="shared"/>
        <v>9.4081396841699796</v>
      </c>
      <c r="DA318" s="78">
        <f si="186" t="shared"/>
        <v>0.88824242424242383</v>
      </c>
    </row>
    <row r="319" spans="99:105" x14ac:dyDescent="0.25">
      <c r="CU319" s="95">
        <v>318</v>
      </c>
      <c r="CV319" s="95">
        <f si="187" t="shared"/>
        <v>16</v>
      </c>
      <c r="CW319" s="95">
        <f si="182" t="shared"/>
        <v>18</v>
      </c>
      <c r="CX319" s="58">
        <f si="183" t="shared"/>
        <v>249.96790345358838</v>
      </c>
      <c r="CY319" s="58">
        <f si="184" t="shared"/>
        <v>519.99999999999989</v>
      </c>
      <c r="CZ319" s="108">
        <f si="185" t="shared"/>
        <v>270.03209654641148</v>
      </c>
      <c r="DA319" s="78">
        <f si="186" t="shared"/>
        <v>1.0802670775552128</v>
      </c>
    </row>
    <row r="320" spans="99:105" x14ac:dyDescent="0.25">
      <c r="CU320" s="95">
        <v>319</v>
      </c>
      <c r="CV320" s="95">
        <f si="187" t="shared"/>
        <v>16</v>
      </c>
      <c r="CW320" s="95">
        <f si="182" t="shared"/>
        <v>19</v>
      </c>
      <c r="CX320" s="58">
        <f si="183" t="shared"/>
        <v>67.787906021312111</v>
      </c>
      <c r="CY320" s="58">
        <f si="184" t="shared"/>
        <v>59.999999999999986</v>
      </c>
      <c r="CZ320" s="108">
        <f si="185" t="shared"/>
        <v>-7.7879060213121249</v>
      </c>
      <c r="DA320" s="78">
        <f si="186" t="shared"/>
        <v>-0.1148863636363639</v>
      </c>
    </row>
    <row r="321" spans="99:105" x14ac:dyDescent="0.25">
      <c r="CU321" s="95">
        <v>320</v>
      </c>
      <c r="CV321" s="95">
        <f si="187" t="shared"/>
        <v>16</v>
      </c>
      <c r="CW321" s="95">
        <f si="182" t="shared"/>
        <v>20</v>
      </c>
      <c r="CX321" s="58">
        <f si="183" t="shared"/>
        <v>73.08383617922712</v>
      </c>
      <c r="CY321" s="58">
        <f si="184" t="shared"/>
        <v>299.99999999999994</v>
      </c>
      <c r="CZ321" s="108">
        <f si="185" t="shared"/>
        <v>226.91616382077282</v>
      </c>
      <c r="DA321" s="78">
        <f si="186" t="shared"/>
        <v>3.1048748353096167</v>
      </c>
    </row>
    <row r="322" spans="99:105" x14ac:dyDescent="0.25">
      <c r="CU322" s="95">
        <v>321</v>
      </c>
      <c r="CV322" s="95">
        <f si="187" t="shared"/>
        <v>17</v>
      </c>
      <c r="CW322" s="95">
        <f si="182" t="shared"/>
        <v>1</v>
      </c>
      <c r="CX322" s="58">
        <f si="183" t="shared"/>
        <v>902.57449344457689</v>
      </c>
      <c r="CY322" s="58">
        <f si="184" t="shared"/>
        <v>860</v>
      </c>
      <c r="CZ322" s="108">
        <f si="185" t="shared"/>
        <v>-42.574493444576888</v>
      </c>
      <c r="DA322" s="78">
        <f si="186" t="shared"/>
        <v>-4.717006048120858E-2</v>
      </c>
    </row>
    <row r="323" spans="99:105" x14ac:dyDescent="0.25">
      <c r="CU323" s="95">
        <v>322</v>
      </c>
      <c r="CV323" s="95">
        <f si="187" t="shared"/>
        <v>17</v>
      </c>
      <c r="CW323" s="95">
        <f ref="CW323:CW386" si="188" t="shared">MOD(ROW()-2,$CS$2)+1</f>
        <v>2</v>
      </c>
      <c r="CX323" s="58">
        <f ref="CX323:CX386" si="189" t="shared">VLOOKUP($CV323,$B$30:$V$49,MATCH($CW323,$B$29:$V$29,0),0)</f>
        <v>969.79921151554038</v>
      </c>
      <c r="CY323" s="58">
        <f ref="CY323:CY386" si="190" t="shared">VLOOKUP($CV323,$AY$30:$BS$49,MATCH($CW323,$AY$29:$BS$29,0),0)</f>
        <v>620</v>
      </c>
      <c r="CZ323" s="108">
        <f ref="CZ323:CZ386" si="191" t="shared">CY323-CX323</f>
        <v>-349.79921151554038</v>
      </c>
      <c r="DA323" s="78">
        <f ref="DA323:DA386" si="192" t="shared">CZ323/CX323</f>
        <v>-0.36069240659506874</v>
      </c>
    </row>
    <row r="324" spans="99:105" x14ac:dyDescent="0.25">
      <c r="CU324" s="95">
        <v>323</v>
      </c>
      <c r="CV324" s="95">
        <f ref="CV324:CV387" si="193" t="shared">IF(CW323&lt;$CS$2,CV323,CV323+1)</f>
        <v>17</v>
      </c>
      <c r="CW324" s="95">
        <f si="188" t="shared"/>
        <v>3</v>
      </c>
      <c r="CX324" s="58">
        <f si="189" t="shared"/>
        <v>403.34830842578162</v>
      </c>
      <c r="CY324" s="58">
        <f si="190" t="shared"/>
        <v>840</v>
      </c>
      <c r="CZ324" s="108">
        <f si="191" t="shared"/>
        <v>436.65169157421838</v>
      </c>
      <c r="DA324" s="78">
        <f si="192" t="shared"/>
        <v>1.0825673058563596</v>
      </c>
    </row>
    <row r="325" spans="99:105" x14ac:dyDescent="0.25">
      <c r="CU325" s="95">
        <v>324</v>
      </c>
      <c r="CV325" s="95">
        <f si="193" t="shared"/>
        <v>17</v>
      </c>
      <c r="CW325" s="95">
        <f si="188" t="shared"/>
        <v>4</v>
      </c>
      <c r="CX325" s="58">
        <f si="189" t="shared"/>
        <v>434.2055560649124</v>
      </c>
      <c r="CY325" s="58">
        <f si="190" t="shared"/>
        <v>460</v>
      </c>
      <c r="CZ325" s="108">
        <f si="191" t="shared"/>
        <v>25.7944439350876</v>
      </c>
      <c r="DA325" s="78">
        <f si="192" t="shared"/>
        <v>5.9406066032078618E-2</v>
      </c>
    </row>
    <row r="326" spans="99:105" x14ac:dyDescent="0.25">
      <c r="CU326" s="95">
        <v>325</v>
      </c>
      <c r="CV326" s="95">
        <f si="193" t="shared"/>
        <v>17</v>
      </c>
      <c r="CW326" s="95">
        <f si="188" t="shared"/>
        <v>5</v>
      </c>
      <c r="CX326" s="58">
        <f si="189" t="shared"/>
        <v>386.81764004767587</v>
      </c>
      <c r="CY326" s="58">
        <f si="190" t="shared"/>
        <v>340</v>
      </c>
      <c r="CZ326" s="108">
        <f si="191" t="shared"/>
        <v>-46.817640047675866</v>
      </c>
      <c r="DA326" s="78">
        <f si="192" t="shared"/>
        <v>-0.12103284649041735</v>
      </c>
    </row>
    <row r="327" spans="99:105" x14ac:dyDescent="0.25">
      <c r="CU327" s="95">
        <v>326</v>
      </c>
      <c r="CV327" s="95">
        <f si="193" t="shared"/>
        <v>17</v>
      </c>
      <c r="CW327" s="95">
        <f si="188" t="shared"/>
        <v>6</v>
      </c>
      <c r="CX327" s="58">
        <f si="189" t="shared"/>
        <v>1628.8218575226917</v>
      </c>
      <c r="CY327" s="58">
        <f si="190" t="shared"/>
        <v>1740</v>
      </c>
      <c r="CZ327" s="108">
        <f si="191" t="shared"/>
        <v>111.17814247730826</v>
      </c>
      <c r="DA327" s="78">
        <f si="192" t="shared"/>
        <v>6.8256784475130602E-2</v>
      </c>
    </row>
    <row r="328" spans="99:105" x14ac:dyDescent="0.25">
      <c r="CU328" s="95">
        <v>327</v>
      </c>
      <c r="CV328" s="95">
        <f si="193" t="shared"/>
        <v>17</v>
      </c>
      <c r="CW328" s="95">
        <f si="188" t="shared"/>
        <v>7</v>
      </c>
      <c r="CX328" s="58">
        <f si="189" t="shared"/>
        <v>523.47116530668382</v>
      </c>
      <c r="CY328" s="58">
        <f si="190" t="shared"/>
        <v>200</v>
      </c>
      <c r="CZ328" s="108">
        <f si="191" t="shared"/>
        <v>-323.47116530668382</v>
      </c>
      <c r="DA328" s="78">
        <f si="192" t="shared"/>
        <v>-0.61793502057973559</v>
      </c>
    </row>
    <row r="329" spans="99:105" x14ac:dyDescent="0.25">
      <c r="CU329" s="95">
        <v>328</v>
      </c>
      <c r="CV329" s="95">
        <f si="193" t="shared"/>
        <v>17</v>
      </c>
      <c r="CW329" s="95">
        <f si="188" t="shared"/>
        <v>8</v>
      </c>
      <c r="CX329" s="58">
        <f si="189" t="shared"/>
        <v>296.44998624736405</v>
      </c>
      <c r="CY329" s="58">
        <f si="190" t="shared"/>
        <v>360</v>
      </c>
      <c r="CZ329" s="108">
        <f si="191" t="shared"/>
        <v>63.550013752635948</v>
      </c>
      <c r="DA329" s="78">
        <f si="192" t="shared"/>
        <v>0.21437010187481842</v>
      </c>
    </row>
    <row r="330" spans="99:105" x14ac:dyDescent="0.25">
      <c r="CU330" s="95">
        <v>329</v>
      </c>
      <c r="CV330" s="95">
        <f si="193" t="shared"/>
        <v>17</v>
      </c>
      <c r="CW330" s="95">
        <f si="188" t="shared"/>
        <v>9</v>
      </c>
      <c r="CX330" s="58">
        <f si="189" t="shared"/>
        <v>610.53268543137438</v>
      </c>
      <c r="CY330" s="58">
        <f si="190" t="shared"/>
        <v>700</v>
      </c>
      <c r="CZ330" s="108">
        <f si="191" t="shared"/>
        <v>89.467314568625625</v>
      </c>
      <c r="DA330" s="78">
        <f si="192" t="shared"/>
        <v>0.14653976224943982</v>
      </c>
    </row>
    <row r="331" spans="99:105" x14ac:dyDescent="0.25">
      <c r="CU331" s="95">
        <v>330</v>
      </c>
      <c r="CV331" s="95">
        <f si="193" t="shared"/>
        <v>17</v>
      </c>
      <c r="CW331" s="95">
        <f si="188" t="shared"/>
        <v>10</v>
      </c>
      <c r="CX331" s="58">
        <f si="189" t="shared"/>
        <v>126.73512423214449</v>
      </c>
      <c r="CY331" s="58">
        <f si="190" t="shared"/>
        <v>160</v>
      </c>
      <c r="CZ331" s="108">
        <f si="191" t="shared"/>
        <v>33.264875767855514</v>
      </c>
      <c r="DA331" s="78">
        <f si="192" t="shared"/>
        <v>0.26247558417130878</v>
      </c>
    </row>
    <row r="332" spans="99:105" x14ac:dyDescent="0.25">
      <c r="CU332" s="95">
        <v>331</v>
      </c>
      <c r="CV332" s="95">
        <f si="193" t="shared"/>
        <v>17</v>
      </c>
      <c r="CW332" s="95">
        <f si="188" t="shared"/>
        <v>11</v>
      </c>
      <c r="CX332" s="58">
        <f si="189" t="shared"/>
        <v>3975.0747226551757</v>
      </c>
      <c r="CY332" s="58">
        <f si="190" t="shared"/>
        <v>3960</v>
      </c>
      <c r="CZ332" s="108">
        <f si="191" t="shared"/>
        <v>-15.074722655175719</v>
      </c>
      <c r="DA332" s="78">
        <f si="192" t="shared"/>
        <v>-3.7923117694518369E-3</v>
      </c>
    </row>
    <row r="333" spans="99:105" x14ac:dyDescent="0.25">
      <c r="CU333" s="95">
        <v>332</v>
      </c>
      <c r="CV333" s="95">
        <f si="193" t="shared"/>
        <v>17</v>
      </c>
      <c r="CW333" s="95">
        <f si="188" t="shared"/>
        <v>12</v>
      </c>
      <c r="CX333" s="58">
        <f si="189" t="shared"/>
        <v>657.92060144861102</v>
      </c>
      <c r="CY333" s="58">
        <f si="190" t="shared"/>
        <v>820</v>
      </c>
      <c r="CZ333" s="108">
        <f si="191" t="shared"/>
        <v>162.07939855138898</v>
      </c>
      <c r="DA333" s="78">
        <f si="192" t="shared"/>
        <v>0.24635100070513402</v>
      </c>
    </row>
    <row r="334" spans="99:105" x14ac:dyDescent="0.25">
      <c r="CU334" s="95">
        <v>333</v>
      </c>
      <c r="CV334" s="95">
        <f si="193" t="shared"/>
        <v>17</v>
      </c>
      <c r="CW334" s="95">
        <f si="188" t="shared"/>
        <v>13</v>
      </c>
      <c r="CX334" s="58">
        <f si="189" t="shared"/>
        <v>171.91895113230035</v>
      </c>
      <c r="CY334" s="58">
        <f si="190" t="shared"/>
        <v>80</v>
      </c>
      <c r="CZ334" s="108">
        <f si="191" t="shared"/>
        <v>-91.91895113230035</v>
      </c>
      <c r="DA334" s="78">
        <f si="192" t="shared"/>
        <v>-0.53466444814198555</v>
      </c>
    </row>
    <row r="335" spans="99:105" x14ac:dyDescent="0.25">
      <c r="CU335" s="95">
        <v>334</v>
      </c>
      <c r="CV335" s="95">
        <f si="193" t="shared"/>
        <v>17</v>
      </c>
      <c r="CW335" s="95">
        <f si="188" t="shared"/>
        <v>14</v>
      </c>
      <c r="CX335" s="58">
        <f si="189" t="shared"/>
        <v>1679.5159072155495</v>
      </c>
      <c r="CY335" s="58">
        <f si="190" t="shared"/>
        <v>2700</v>
      </c>
      <c r="CZ335" s="108">
        <f si="191" t="shared"/>
        <v>1020.4840927844505</v>
      </c>
      <c r="DA335" s="78">
        <f si="192" t="shared"/>
        <v>0.60760608958821927</v>
      </c>
    </row>
    <row r="336" spans="99:105" x14ac:dyDescent="0.25">
      <c r="CU336" s="95">
        <v>335</v>
      </c>
      <c r="CV336" s="95">
        <f si="193" t="shared"/>
        <v>17</v>
      </c>
      <c r="CW336" s="95">
        <f si="188" t="shared"/>
        <v>15</v>
      </c>
      <c r="CX336" s="58">
        <f si="189" t="shared"/>
        <v>165.30668378105804</v>
      </c>
      <c r="CY336" s="58">
        <f si="190" t="shared"/>
        <v>360</v>
      </c>
      <c r="CZ336" s="108">
        <f si="191" t="shared"/>
        <v>194.69331621894196</v>
      </c>
      <c r="DA336" s="78">
        <f si="192" t="shared"/>
        <v>1.1777703826955075</v>
      </c>
    </row>
    <row r="337" spans="99:105" x14ac:dyDescent="0.25">
      <c r="CU337" s="95">
        <v>336</v>
      </c>
      <c r="CV337" s="95">
        <f si="193" t="shared"/>
        <v>17</v>
      </c>
      <c r="CW337" s="95">
        <f si="188" t="shared"/>
        <v>16</v>
      </c>
      <c r="CX337" s="58">
        <f si="189" t="shared"/>
        <v>11.020445585403868</v>
      </c>
      <c r="CY337" s="58">
        <f si="190" t="shared"/>
        <v>0</v>
      </c>
      <c r="CZ337" s="108">
        <f si="191" t="shared"/>
        <v>-11.020445585403868</v>
      </c>
      <c r="DA337" s="78">
        <f si="192" t="shared"/>
        <v>-1</v>
      </c>
    </row>
    <row r="338" spans="99:105" x14ac:dyDescent="0.25">
      <c r="CU338" s="95">
        <v>337</v>
      </c>
      <c r="CV338" s="95">
        <f si="193" t="shared"/>
        <v>17</v>
      </c>
      <c r="CW338" s="95">
        <f si="188" t="shared"/>
        <v>17</v>
      </c>
      <c r="CX338" s="58">
        <f si="189" t="shared"/>
        <v>7780.4345832951312</v>
      </c>
      <c r="CY338" s="58">
        <f si="190" t="shared"/>
        <v>5720</v>
      </c>
      <c r="CZ338" s="108">
        <f si="191" t="shared"/>
        <v>-2060.4345832951312</v>
      </c>
      <c r="DA338" s="78">
        <f si="192" t="shared"/>
        <v>-0.26482255730534093</v>
      </c>
    </row>
    <row r="339" spans="99:105" x14ac:dyDescent="0.25">
      <c r="CU339" s="95">
        <v>338</v>
      </c>
      <c r="CV339" s="95">
        <f si="193" t="shared"/>
        <v>17</v>
      </c>
      <c r="CW339" s="95">
        <f si="188" t="shared"/>
        <v>18</v>
      </c>
      <c r="CX339" s="58">
        <f si="189" t="shared"/>
        <v>0</v>
      </c>
      <c r="CY339" s="58">
        <f si="190" t="shared"/>
        <v>0</v>
      </c>
      <c r="CZ339" s="108">
        <f si="191" t="shared"/>
        <v>0</v>
      </c>
      <c r="DA339" s="78" t="e">
        <f si="192" t="shared"/>
        <v>#DIV/0!</v>
      </c>
    </row>
    <row r="340" spans="99:105" x14ac:dyDescent="0.25">
      <c r="CU340" s="95">
        <v>339</v>
      </c>
      <c r="CV340" s="95">
        <f si="193" t="shared"/>
        <v>17</v>
      </c>
      <c r="CW340" s="95">
        <f si="188" t="shared"/>
        <v>19</v>
      </c>
      <c r="CX340" s="58">
        <f si="189" t="shared"/>
        <v>3310.5418538553226</v>
      </c>
      <c r="CY340" s="58">
        <f si="190" t="shared"/>
        <v>4120</v>
      </c>
      <c r="CZ340" s="108">
        <f si="191" t="shared"/>
        <v>809.45814614467736</v>
      </c>
      <c r="DA340" s="78">
        <f si="192" t="shared"/>
        <v>0.24450926219283869</v>
      </c>
    </row>
    <row r="341" spans="99:105" x14ac:dyDescent="0.25">
      <c r="CU341" s="95">
        <v>340</v>
      </c>
      <c r="CV341" s="95">
        <f si="193" t="shared"/>
        <v>17</v>
      </c>
      <c r="CW341" s="95">
        <f si="188" t="shared"/>
        <v>20</v>
      </c>
      <c r="CX341" s="58">
        <f si="189" t="shared"/>
        <v>5.510222792701934</v>
      </c>
      <c r="CY341" s="58">
        <f si="190" t="shared"/>
        <v>0</v>
      </c>
      <c r="CZ341" s="108">
        <f si="191" t="shared"/>
        <v>-5.510222792701934</v>
      </c>
      <c r="DA341" s="78">
        <f si="192" t="shared"/>
        <v>-1</v>
      </c>
    </row>
    <row r="342" spans="99:105" x14ac:dyDescent="0.25">
      <c r="CU342" s="95">
        <v>341</v>
      </c>
      <c r="CV342" s="95">
        <f si="193" t="shared"/>
        <v>18</v>
      </c>
      <c r="CW342" s="95">
        <f si="188" t="shared"/>
        <v>1</v>
      </c>
      <c r="CX342" s="58">
        <f si="189" t="shared"/>
        <v>1120.3963280077678</v>
      </c>
      <c r="CY342" s="58">
        <f si="190" t="shared"/>
        <v>1140</v>
      </c>
      <c r="CZ342" s="108">
        <f si="191" t="shared"/>
        <v>19.603671992232194</v>
      </c>
      <c r="DA342" s="78">
        <f si="192" t="shared"/>
        <v>1.7497086970188893E-2</v>
      </c>
    </row>
    <row r="343" spans="99:105" x14ac:dyDescent="0.25">
      <c r="CU343" s="95">
        <v>342</v>
      </c>
      <c r="CV343" s="95">
        <f si="193" t="shared"/>
        <v>18</v>
      </c>
      <c r="CW343" s="95">
        <f si="188" t="shared"/>
        <v>2</v>
      </c>
      <c r="CX343" s="58">
        <f si="189" t="shared"/>
        <v>924.26824962485648</v>
      </c>
      <c r="CY343" s="58">
        <f si="190" t="shared"/>
        <v>1040</v>
      </c>
      <c r="CZ343" s="108">
        <f si="191" t="shared"/>
        <v>115.73175037514352</v>
      </c>
      <c r="DA343" s="78">
        <f si="192" t="shared"/>
        <v>0.1252144606526481</v>
      </c>
    </row>
    <row r="344" spans="99:105" x14ac:dyDescent="0.25">
      <c r="CU344" s="95">
        <v>343</v>
      </c>
      <c r="CV344" s="95">
        <f si="193" t="shared"/>
        <v>18</v>
      </c>
      <c r="CW344" s="95">
        <f si="188" t="shared"/>
        <v>3</v>
      </c>
      <c r="CX344" s="58">
        <f si="189" t="shared"/>
        <v>360.54682672786652</v>
      </c>
      <c r="CY344" s="58">
        <f si="190" t="shared"/>
        <v>520</v>
      </c>
      <c r="CZ344" s="108">
        <f si="191" t="shared"/>
        <v>159.45317327213348</v>
      </c>
      <c r="DA344" s="78">
        <f si="192" t="shared"/>
        <v>0.44225371422415966</v>
      </c>
    </row>
    <row r="345" spans="99:105" x14ac:dyDescent="0.25">
      <c r="CU345" s="95">
        <v>344</v>
      </c>
      <c r="CV345" s="95">
        <f si="193" t="shared"/>
        <v>18</v>
      </c>
      <c r="CW345" s="95">
        <f si="188" t="shared"/>
        <v>4</v>
      </c>
      <c r="CX345" s="58">
        <f si="189" t="shared"/>
        <v>433.36084385206107</v>
      </c>
      <c r="CY345" s="58">
        <f si="190" t="shared"/>
        <v>400</v>
      </c>
      <c r="CZ345" s="108">
        <f si="191" t="shared"/>
        <v>-33.360843852061066</v>
      </c>
      <c r="DA345" s="78">
        <f si="192" t="shared"/>
        <v>-7.6981675491313309E-2</v>
      </c>
    </row>
    <row r="346" spans="99:105" x14ac:dyDescent="0.25">
      <c r="CU346" s="95">
        <v>345</v>
      </c>
      <c r="CV346" s="95">
        <f si="193" t="shared"/>
        <v>18</v>
      </c>
      <c r="CW346" s="95">
        <f si="188" t="shared"/>
        <v>5</v>
      </c>
      <c r="CX346" s="58">
        <f si="189" t="shared"/>
        <v>838.53561655927263</v>
      </c>
      <c r="CY346" s="58">
        <f si="190" t="shared"/>
        <v>700</v>
      </c>
      <c r="CZ346" s="108">
        <f si="191" t="shared"/>
        <v>-138.53561655927263</v>
      </c>
      <c r="DA346" s="78">
        <f si="192" t="shared"/>
        <v>-0.16521136827523189</v>
      </c>
    </row>
    <row r="347" spans="99:105" x14ac:dyDescent="0.25">
      <c r="CU347" s="95">
        <v>346</v>
      </c>
      <c r="CV347" s="95">
        <f si="193" t="shared"/>
        <v>18</v>
      </c>
      <c r="CW347" s="95">
        <f si="188" t="shared"/>
        <v>6</v>
      </c>
      <c r="CX347" s="58">
        <f si="189" t="shared"/>
        <v>3069.9329155265245</v>
      </c>
      <c r="CY347" s="58">
        <f si="190" t="shared"/>
        <v>2740</v>
      </c>
      <c r="CZ347" s="108">
        <f si="191" t="shared"/>
        <v>-329.93291552652454</v>
      </c>
      <c r="DA347" s="78">
        <f si="192" t="shared"/>
        <v>-0.10747235350253173</v>
      </c>
    </row>
    <row r="348" spans="99:105" x14ac:dyDescent="0.25">
      <c r="CU348" s="95">
        <v>347</v>
      </c>
      <c r="CV348" s="95">
        <f si="193" t="shared"/>
        <v>18</v>
      </c>
      <c r="CW348" s="95">
        <f si="188" t="shared"/>
        <v>7</v>
      </c>
      <c r="CX348" s="58">
        <f si="189" t="shared"/>
        <v>2889.0722923470739</v>
      </c>
      <c r="CY348" s="58">
        <f si="190" t="shared"/>
        <v>2840</v>
      </c>
      <c r="CZ348" s="108">
        <f si="191" t="shared"/>
        <v>-49.072292347073926</v>
      </c>
      <c r="DA348" s="78">
        <f si="192" t="shared"/>
        <v>-1.6985484398248731E-2</v>
      </c>
    </row>
    <row r="349" spans="99:105" x14ac:dyDescent="0.25">
      <c r="CU349" s="95">
        <v>348</v>
      </c>
      <c r="CV349" s="95">
        <f si="193" t="shared"/>
        <v>18</v>
      </c>
      <c r="CW349" s="95">
        <f si="188" t="shared"/>
        <v>8</v>
      </c>
      <c r="CX349" s="58">
        <f si="189" t="shared"/>
        <v>92.779150851796274</v>
      </c>
      <c r="CY349" s="58">
        <f si="190" t="shared"/>
        <v>60</v>
      </c>
      <c r="CZ349" s="108">
        <f si="191" t="shared"/>
        <v>-32.779150851796274</v>
      </c>
      <c r="DA349" s="78">
        <f si="192" t="shared"/>
        <v>-0.35330298403093918</v>
      </c>
    </row>
    <row r="350" spans="99:105" x14ac:dyDescent="0.25">
      <c r="CU350" s="95">
        <v>349</v>
      </c>
      <c r="CV350" s="95">
        <f si="193" t="shared"/>
        <v>18</v>
      </c>
      <c r="CW350" s="95">
        <f si="188" t="shared"/>
        <v>9</v>
      </c>
      <c r="CX350" s="58">
        <f si="189" t="shared"/>
        <v>520.26789654868037</v>
      </c>
      <c r="CY350" s="58">
        <f si="190" t="shared"/>
        <v>440</v>
      </c>
      <c r="CZ350" s="108">
        <f si="191" t="shared"/>
        <v>-80.267896548680369</v>
      </c>
      <c r="DA350" s="78">
        <f si="192" t="shared"/>
        <v>-0.15428185571540426</v>
      </c>
    </row>
    <row r="351" spans="99:105" x14ac:dyDescent="0.25">
      <c r="CU351" s="95">
        <v>350</v>
      </c>
      <c r="CV351" s="95">
        <f si="193" t="shared"/>
        <v>18</v>
      </c>
      <c r="CW351" s="95">
        <f si="188" t="shared"/>
        <v>10</v>
      </c>
      <c r="CX351" s="58">
        <f si="189" t="shared"/>
        <v>315.91888074852153</v>
      </c>
      <c r="CY351" s="58">
        <f si="190" t="shared"/>
        <v>660</v>
      </c>
      <c r="CZ351" s="108">
        <f si="191" t="shared"/>
        <v>344.08111925147847</v>
      </c>
      <c r="DA351" s="78">
        <f si="192" t="shared"/>
        <v>1.0891438917364826</v>
      </c>
    </row>
    <row r="352" spans="99:105" x14ac:dyDescent="0.25">
      <c r="CU352" s="95">
        <v>351</v>
      </c>
      <c r="CV352" s="95">
        <f si="193" t="shared"/>
        <v>18</v>
      </c>
      <c r="CW352" s="95">
        <f si="188" t="shared"/>
        <v>11</v>
      </c>
      <c r="CX352" s="58">
        <f si="189" t="shared"/>
        <v>151.50013240356606</v>
      </c>
      <c r="CY352" s="58">
        <f si="190" t="shared"/>
        <v>280</v>
      </c>
      <c r="CZ352" s="108">
        <f si="191" t="shared"/>
        <v>128.49986759643394</v>
      </c>
      <c r="DA352" s="78">
        <f si="192" t="shared"/>
        <v>0.84818320326041696</v>
      </c>
    </row>
    <row r="353" spans="99:105" x14ac:dyDescent="0.25">
      <c r="CU353" s="95">
        <v>352</v>
      </c>
      <c r="CV353" s="95">
        <f si="193" t="shared"/>
        <v>18</v>
      </c>
      <c r="CW353" s="95">
        <f si="188" t="shared"/>
        <v>12</v>
      </c>
      <c r="CX353" s="58">
        <f si="189" t="shared"/>
        <v>17664.445670403387</v>
      </c>
      <c r="CY353" s="58">
        <f si="190" t="shared"/>
        <v>17440</v>
      </c>
      <c r="CZ353" s="108">
        <f si="191" t="shared"/>
        <v>-224.44567040338734</v>
      </c>
      <c r="DA353" s="78">
        <f si="192" t="shared"/>
        <v>-1.2706069275609591E-2</v>
      </c>
    </row>
    <row r="354" spans="99:105" x14ac:dyDescent="0.25">
      <c r="CU354" s="95">
        <v>353</v>
      </c>
      <c r="CV354" s="95">
        <f si="193" t="shared"/>
        <v>18</v>
      </c>
      <c r="CW354" s="95">
        <f si="188" t="shared"/>
        <v>13</v>
      </c>
      <c r="CX354" s="58">
        <f si="189" t="shared"/>
        <v>6469.8777473739956</v>
      </c>
      <c r="CY354" s="58">
        <f si="190" t="shared"/>
        <v>8400</v>
      </c>
      <c r="CZ354" s="108">
        <f si="191" t="shared"/>
        <v>1930.1222526260044</v>
      </c>
      <c r="DA354" s="78">
        <f si="192" t="shared"/>
        <v>0.29832437767613235</v>
      </c>
    </row>
    <row r="355" spans="99:105" x14ac:dyDescent="0.25">
      <c r="CU355" s="95">
        <v>354</v>
      </c>
      <c r="CV355" s="95">
        <f si="193" t="shared"/>
        <v>18</v>
      </c>
      <c r="CW355" s="95">
        <f si="188" t="shared"/>
        <v>14</v>
      </c>
      <c r="CX355" s="58">
        <f si="189" t="shared"/>
        <v>10.569776679318563</v>
      </c>
      <c r="CY355" s="58">
        <f si="190" t="shared"/>
        <v>0</v>
      </c>
      <c r="CZ355" s="108">
        <f si="191" t="shared"/>
        <v>-10.569776679318563</v>
      </c>
      <c r="DA355" s="78">
        <f si="192" t="shared"/>
        <v>-1</v>
      </c>
    </row>
    <row r="356" spans="99:105" x14ac:dyDescent="0.25">
      <c r="CU356" s="95">
        <v>355</v>
      </c>
      <c r="CV356" s="95">
        <f si="193" t="shared"/>
        <v>18</v>
      </c>
      <c r="CW356" s="95">
        <f si="188" t="shared"/>
        <v>15</v>
      </c>
      <c r="CX356" s="58">
        <f si="189" t="shared"/>
        <v>189.08156059669875</v>
      </c>
      <c r="CY356" s="58">
        <f si="190" t="shared"/>
        <v>160</v>
      </c>
      <c r="CZ356" s="108">
        <f si="191" t="shared"/>
        <v>-29.08156059669875</v>
      </c>
      <c r="DA356" s="78">
        <f si="192" t="shared"/>
        <v>-0.15380431864917926</v>
      </c>
    </row>
    <row r="357" spans="99:105" x14ac:dyDescent="0.25">
      <c r="CU357" s="95">
        <v>356</v>
      </c>
      <c r="CV357" s="95">
        <f si="193" t="shared"/>
        <v>18</v>
      </c>
      <c r="CW357" s="95">
        <f si="188" t="shared"/>
        <v>16</v>
      </c>
      <c r="CX357" s="58">
        <f si="189" t="shared"/>
        <v>243.10486362432695</v>
      </c>
      <c r="CY357" s="58">
        <f si="190" t="shared"/>
        <v>240</v>
      </c>
      <c r="CZ357" s="108">
        <f si="191" t="shared"/>
        <v>-3.1048636243269527</v>
      </c>
      <c r="DA357" s="78">
        <f si="192" t="shared"/>
        <v>-1.2771705090709079E-2</v>
      </c>
    </row>
    <row r="358" spans="99:105" x14ac:dyDescent="0.25">
      <c r="CU358" s="95">
        <v>357</v>
      </c>
      <c r="CV358" s="95">
        <f si="193" t="shared"/>
        <v>18</v>
      </c>
      <c r="CW358" s="95">
        <f si="188" t="shared"/>
        <v>17</v>
      </c>
      <c r="CX358" s="58">
        <f si="189" t="shared"/>
        <v>18.790714096566333</v>
      </c>
      <c r="CY358" s="58">
        <f si="190" t="shared"/>
        <v>20</v>
      </c>
      <c r="CZ358" s="108">
        <f si="191" t="shared"/>
        <v>1.2092859034336669</v>
      </c>
      <c r="DA358" s="78">
        <f si="192" t="shared"/>
        <v>6.435550544907935E-2</v>
      </c>
    </row>
    <row r="359" spans="99:105" x14ac:dyDescent="0.25">
      <c r="CU359" s="95">
        <v>358</v>
      </c>
      <c r="CV359" s="95">
        <f si="193" t="shared"/>
        <v>18</v>
      </c>
      <c r="CW359" s="95">
        <f si="188" t="shared"/>
        <v>18</v>
      </c>
      <c r="CX359" s="58">
        <f si="189" t="shared"/>
        <v>13491.732721334629</v>
      </c>
      <c r="CY359" s="58">
        <f si="190" t="shared"/>
        <v>11100</v>
      </c>
      <c r="CZ359" s="108">
        <f si="191" t="shared"/>
        <v>-2391.7327213346289</v>
      </c>
      <c r="DA359" s="78">
        <f si="192" t="shared"/>
        <v>-0.17727394773782873</v>
      </c>
    </row>
    <row r="360" spans="99:105" x14ac:dyDescent="0.25">
      <c r="CU360" s="95">
        <v>359</v>
      </c>
      <c r="CV360" s="95">
        <f si="193" t="shared"/>
        <v>18</v>
      </c>
      <c r="CW360" s="95">
        <f si="188" t="shared"/>
        <v>19</v>
      </c>
      <c r="CX360" s="58">
        <f si="189" t="shared"/>
        <v>70.465177862123753</v>
      </c>
      <c r="CY360" s="58">
        <f si="190" t="shared"/>
        <v>60</v>
      </c>
      <c r="CZ360" s="108">
        <f si="191" t="shared"/>
        <v>-10.465177862123753</v>
      </c>
      <c r="DA360" s="78">
        <f si="192" t="shared"/>
        <v>-0.14851559564073655</v>
      </c>
    </row>
    <row r="361" spans="99:105" x14ac:dyDescent="0.25">
      <c r="CU361" s="95">
        <v>360</v>
      </c>
      <c r="CV361" s="95">
        <f si="193" t="shared"/>
        <v>18</v>
      </c>
      <c r="CW361" s="95">
        <f si="188" t="shared"/>
        <v>20</v>
      </c>
      <c r="CX361" s="58">
        <f si="189" t="shared"/>
        <v>4345.3526348309642</v>
      </c>
      <c r="CY361" s="58">
        <f si="190" t="shared"/>
        <v>4980</v>
      </c>
      <c r="CZ361" s="108">
        <f si="191" t="shared"/>
        <v>634.64736516903577</v>
      </c>
      <c r="DA361" s="78">
        <f si="192" t="shared"/>
        <v>0.1460519820835493</v>
      </c>
    </row>
    <row r="362" spans="99:105" x14ac:dyDescent="0.25">
      <c r="CU362" s="95">
        <v>361</v>
      </c>
      <c r="CV362" s="95">
        <f si="193" t="shared"/>
        <v>19</v>
      </c>
      <c r="CW362" s="95">
        <f si="188" t="shared"/>
        <v>1</v>
      </c>
      <c r="CX362" s="58">
        <f si="189" t="shared"/>
        <v>1183.214720382862</v>
      </c>
      <c r="CY362" s="58">
        <f si="190" t="shared"/>
        <v>1120</v>
      </c>
      <c r="CZ362" s="108">
        <f si="191" t="shared"/>
        <v>-63.214720382861969</v>
      </c>
      <c r="DA362" s="78">
        <f si="192" t="shared"/>
        <v>-5.3426245713379131E-2</v>
      </c>
    </row>
    <row r="363" spans="99:105" x14ac:dyDescent="0.25">
      <c r="CU363" s="95">
        <v>362</v>
      </c>
      <c r="CV363" s="95">
        <f si="193" t="shared"/>
        <v>19</v>
      </c>
      <c r="CW363" s="95">
        <f si="188" t="shared"/>
        <v>2</v>
      </c>
      <c r="CX363" s="58">
        <f si="189" t="shared"/>
        <v>998.42812055201432</v>
      </c>
      <c r="CY363" s="58">
        <f si="190" t="shared"/>
        <v>860</v>
      </c>
      <c r="CZ363" s="108">
        <f si="191" t="shared"/>
        <v>-138.42812055201432</v>
      </c>
      <c r="DA363" s="78">
        <f si="192" t="shared"/>
        <v>-0.13864605543710018</v>
      </c>
    </row>
    <row r="364" spans="99:105" x14ac:dyDescent="0.25">
      <c r="CU364" s="95">
        <v>363</v>
      </c>
      <c r="CV364" s="95">
        <f si="193" t="shared"/>
        <v>19</v>
      </c>
      <c r="CW364" s="95">
        <f si="188" t="shared"/>
        <v>3</v>
      </c>
      <c r="CX364" s="58">
        <f si="189" t="shared"/>
        <v>474.05986344039439</v>
      </c>
      <c r="CY364" s="58">
        <f si="190" t="shared"/>
        <v>1040</v>
      </c>
      <c r="CZ364" s="108">
        <f si="191" t="shared"/>
        <v>565.94013655960566</v>
      </c>
      <c r="DA364" s="78">
        <f si="192" t="shared"/>
        <v>1.1938157608459163</v>
      </c>
    </row>
    <row r="365" spans="99:105" x14ac:dyDescent="0.25">
      <c r="CU365" s="95">
        <v>364</v>
      </c>
      <c r="CV365" s="95">
        <f si="193" t="shared"/>
        <v>19</v>
      </c>
      <c r="CW365" s="95">
        <f si="188" t="shared"/>
        <v>4</v>
      </c>
      <c r="CX365" s="58">
        <f si="189" t="shared"/>
        <v>346.35394104420652</v>
      </c>
      <c r="CY365" s="58">
        <f si="190" t="shared"/>
        <v>700</v>
      </c>
      <c r="CZ365" s="108">
        <f si="191" t="shared"/>
        <v>353.64605895579348</v>
      </c>
      <c r="DA365" s="78">
        <f si="192" t="shared"/>
        <v>1.0210539481364129</v>
      </c>
    </row>
    <row r="366" spans="99:105" x14ac:dyDescent="0.25">
      <c r="CU366" s="95">
        <v>365</v>
      </c>
      <c r="CV366" s="95">
        <f si="193" t="shared"/>
        <v>19</v>
      </c>
      <c r="CW366" s="95">
        <f si="188" t="shared"/>
        <v>5</v>
      </c>
      <c r="CX366" s="58">
        <f si="189" t="shared"/>
        <v>344.41900282608248</v>
      </c>
      <c r="CY366" s="58">
        <f si="190" t="shared"/>
        <v>500</v>
      </c>
      <c r="CZ366" s="108">
        <f si="191" t="shared"/>
        <v>155.58099717391752</v>
      </c>
      <c r="DA366" s="78">
        <f si="192" t="shared"/>
        <v>0.45172013128578614</v>
      </c>
    </row>
    <row r="367" spans="99:105" x14ac:dyDescent="0.25">
      <c r="CU367" s="95">
        <v>366</v>
      </c>
      <c r="CV367" s="95">
        <f si="193" t="shared"/>
        <v>19</v>
      </c>
      <c r="CW367" s="95">
        <f si="188" t="shared"/>
        <v>6</v>
      </c>
      <c r="CX367" s="58">
        <f si="189" t="shared"/>
        <v>1640.8276089692019</v>
      </c>
      <c r="CY367" s="58">
        <f si="190" t="shared"/>
        <v>1980</v>
      </c>
      <c r="CZ367" s="108">
        <f si="191" t="shared"/>
        <v>339.17239103079805</v>
      </c>
      <c r="DA367" s="78">
        <f si="192" t="shared"/>
        <v>0.20670812044896805</v>
      </c>
    </row>
    <row r="368" spans="99:105" x14ac:dyDescent="0.25">
      <c r="CU368" s="95">
        <v>367</v>
      </c>
      <c r="CV368" s="95">
        <f si="193" t="shared"/>
        <v>19</v>
      </c>
      <c r="CW368" s="95">
        <f si="188" t="shared"/>
        <v>7</v>
      </c>
      <c r="CX368" s="58">
        <f si="189" t="shared"/>
        <v>701.41510406997133</v>
      </c>
      <c r="CY368" s="58">
        <f si="190" t="shared"/>
        <v>720</v>
      </c>
      <c r="CZ368" s="108">
        <f si="191" t="shared"/>
        <v>18.584895930028665</v>
      </c>
      <c r="DA368" s="78">
        <f si="192" t="shared"/>
        <v>2.6496287037717801E-2</v>
      </c>
    </row>
    <row r="369" spans="99:105" x14ac:dyDescent="0.25">
      <c r="CU369" s="95">
        <v>368</v>
      </c>
      <c r="CV369" s="95">
        <f si="193" t="shared"/>
        <v>19</v>
      </c>
      <c r="CW369" s="95">
        <f si="188" t="shared"/>
        <v>8</v>
      </c>
      <c r="CX369" s="58">
        <f si="189" t="shared"/>
        <v>182.85166161272357</v>
      </c>
      <c r="CY369" s="58">
        <f si="190" t="shared"/>
        <v>260</v>
      </c>
      <c r="CZ369" s="108">
        <f si="191" t="shared"/>
        <v>77.148338387276425</v>
      </c>
      <c r="DA369" s="78">
        <f si="192" t="shared"/>
        <v>0.4219176227705011</v>
      </c>
    </row>
    <row r="370" spans="99:105" x14ac:dyDescent="0.25">
      <c r="CU370" s="95">
        <v>369</v>
      </c>
      <c r="CV370" s="95">
        <f si="193" t="shared"/>
        <v>19</v>
      </c>
      <c r="CW370" s="95">
        <f si="188" t="shared"/>
        <v>9</v>
      </c>
      <c r="CX370" s="58">
        <f si="189" t="shared"/>
        <v>916.19324628174184</v>
      </c>
      <c r="CY370" s="58">
        <f si="190" t="shared"/>
        <v>1360</v>
      </c>
      <c r="CZ370" s="108">
        <f si="191" t="shared"/>
        <v>443.80675371825816</v>
      </c>
      <c r="DA370" s="78">
        <f si="192" t="shared"/>
        <v>0.48440299633226241</v>
      </c>
    </row>
    <row r="371" spans="99:105" x14ac:dyDescent="0.25">
      <c r="CU371" s="95">
        <v>370</v>
      </c>
      <c r="CV371" s="95">
        <f si="193" t="shared"/>
        <v>19</v>
      </c>
      <c r="CW371" s="95">
        <f si="188" t="shared"/>
        <v>10</v>
      </c>
      <c r="CX371" s="58">
        <f si="189" t="shared"/>
        <v>148.99024279555255</v>
      </c>
      <c r="CY371" s="58">
        <f si="190" t="shared"/>
        <v>300</v>
      </c>
      <c r="CZ371" s="108">
        <f si="191" t="shared"/>
        <v>151.00975720444745</v>
      </c>
      <c r="DA371" s="78">
        <f si="192" t="shared"/>
        <v>1.0135546756015836</v>
      </c>
    </row>
    <row r="372" spans="99:105" x14ac:dyDescent="0.25">
      <c r="CU372" s="95">
        <v>371</v>
      </c>
      <c r="CV372" s="95">
        <f si="193" t="shared"/>
        <v>19</v>
      </c>
      <c r="CW372" s="95">
        <f si="188" t="shared"/>
        <v>11</v>
      </c>
      <c r="CX372" s="58">
        <f si="189" t="shared"/>
        <v>8345.3885347690666</v>
      </c>
      <c r="CY372" s="58">
        <f si="190" t="shared"/>
        <v>9280</v>
      </c>
      <c r="CZ372" s="108">
        <f si="191" t="shared"/>
        <v>934.61146523093339</v>
      </c>
      <c r="DA372" s="78">
        <f si="192" t="shared"/>
        <v>0.11199136640997577</v>
      </c>
    </row>
    <row r="373" spans="99:105" x14ac:dyDescent="0.25">
      <c r="CU373" s="95">
        <v>372</v>
      </c>
      <c r="CV373" s="95">
        <f si="193" t="shared"/>
        <v>19</v>
      </c>
      <c r="CW373" s="95">
        <f si="188" t="shared"/>
        <v>12</v>
      </c>
      <c r="CX373" s="58">
        <f si="189" t="shared"/>
        <v>1430.8868123027414</v>
      </c>
      <c r="CY373" s="58">
        <f si="190" t="shared"/>
        <v>1120</v>
      </c>
      <c r="CZ373" s="108">
        <f si="191" t="shared"/>
        <v>-310.88681230274142</v>
      </c>
      <c r="DA373" s="78">
        <f si="192" t="shared"/>
        <v>-0.21726862644182732</v>
      </c>
    </row>
    <row r="374" spans="99:105" x14ac:dyDescent="0.25">
      <c r="CU374" s="95">
        <v>373</v>
      </c>
      <c r="CV374" s="95">
        <f si="193" t="shared"/>
        <v>19</v>
      </c>
      <c r="CW374" s="95">
        <f si="188" t="shared"/>
        <v>13</v>
      </c>
      <c r="CX374" s="58">
        <f si="189" t="shared"/>
        <v>267.98894321018219</v>
      </c>
      <c r="CY374" s="58">
        <f si="190" t="shared"/>
        <v>280</v>
      </c>
      <c r="CZ374" s="108">
        <f si="191" t="shared"/>
        <v>12.011056789817815</v>
      </c>
      <c r="DA374" s="78">
        <f si="192" t="shared"/>
        <v>4.4819225173769996E-2</v>
      </c>
    </row>
    <row r="375" spans="99:105" x14ac:dyDescent="0.25">
      <c r="CU375" s="95">
        <v>374</v>
      </c>
      <c r="CV375" s="95">
        <f si="193" t="shared"/>
        <v>19</v>
      </c>
      <c r="CW375" s="95">
        <f si="188" t="shared"/>
        <v>14</v>
      </c>
      <c r="CX375" s="58">
        <f si="189" t="shared"/>
        <v>413.10930956948658</v>
      </c>
      <c r="CY375" s="58">
        <f si="190" t="shared"/>
        <v>880</v>
      </c>
      <c r="CZ375" s="108">
        <f si="191" t="shared"/>
        <v>466.89069043051342</v>
      </c>
      <c r="DA375" s="78">
        <f si="192" t="shared"/>
        <v>1.1301868043522767</v>
      </c>
    </row>
    <row r="376" spans="99:105" x14ac:dyDescent="0.25">
      <c r="CU376" s="95">
        <v>375</v>
      </c>
      <c r="CV376" s="95">
        <f si="193" t="shared"/>
        <v>19</v>
      </c>
      <c r="CW376" s="95">
        <f si="188" t="shared"/>
        <v>15</v>
      </c>
      <c r="CX376" s="58">
        <f si="189" t="shared"/>
        <v>1904.9466757431358</v>
      </c>
      <c r="CY376" s="58">
        <f si="190" t="shared"/>
        <v>1960</v>
      </c>
      <c r="CZ376" s="108">
        <f si="191" t="shared"/>
        <v>55.053324256864244</v>
      </c>
      <c r="DA376" s="78">
        <f si="192" t="shared"/>
        <v>2.890019177853757E-2</v>
      </c>
    </row>
    <row r="377" spans="99:105" x14ac:dyDescent="0.25">
      <c r="CU377" s="95">
        <v>376</v>
      </c>
      <c r="CV377" s="95">
        <f si="193" t="shared"/>
        <v>19</v>
      </c>
      <c r="CW377" s="95">
        <f si="188" t="shared"/>
        <v>16</v>
      </c>
      <c r="CX377" s="58">
        <f si="189" t="shared"/>
        <v>40.633702580605238</v>
      </c>
      <c r="CY377" s="58">
        <f si="190" t="shared"/>
        <v>40</v>
      </c>
      <c r="CZ377" s="108">
        <f si="191" t="shared"/>
        <v>-0.6337025806052381</v>
      </c>
      <c r="DA377" s="78">
        <f si="192" t="shared"/>
        <v>-1.5595491928114593E-2</v>
      </c>
    </row>
    <row r="378" spans="99:105" x14ac:dyDescent="0.25">
      <c r="CU378" s="95">
        <v>377</v>
      </c>
      <c r="CV378" s="95">
        <f si="193" t="shared"/>
        <v>19</v>
      </c>
      <c r="CW378" s="95">
        <f si="188" t="shared"/>
        <v>17</v>
      </c>
      <c r="CX378" s="58">
        <f si="189" t="shared"/>
        <v>3595.1152092745015</v>
      </c>
      <c r="CY378" s="58">
        <f si="190" t="shared"/>
        <v>4400</v>
      </c>
      <c r="CZ378" s="108">
        <f si="191" t="shared"/>
        <v>804.88479072549853</v>
      </c>
      <c r="DA378" s="78">
        <f si="192" t="shared"/>
        <v>0.22388289216687585</v>
      </c>
    </row>
    <row r="379" spans="99:105" x14ac:dyDescent="0.25">
      <c r="CU379" s="95">
        <v>378</v>
      </c>
      <c r="CV379" s="95">
        <f si="193" t="shared"/>
        <v>19</v>
      </c>
      <c r="CW379" s="95">
        <f si="188" t="shared"/>
        <v>18</v>
      </c>
      <c r="CX379" s="58">
        <f si="189" t="shared"/>
        <v>11.609629308744353</v>
      </c>
      <c r="CY379" s="58">
        <f si="190" t="shared"/>
        <v>40</v>
      </c>
      <c r="CZ379" s="108">
        <f si="191" t="shared"/>
        <v>28.390370691255647</v>
      </c>
      <c r="DA379" s="78">
        <f si="192" t="shared"/>
        <v>2.4454157782515993</v>
      </c>
    </row>
    <row r="380" spans="99:105" x14ac:dyDescent="0.25">
      <c r="CU380" s="95">
        <v>379</v>
      </c>
      <c r="CV380" s="95">
        <f si="193" t="shared"/>
        <v>19</v>
      </c>
      <c r="CW380" s="95">
        <f si="188" t="shared"/>
        <v>19</v>
      </c>
      <c r="CX380" s="58">
        <f si="189" t="shared"/>
        <v>23942.925511067104</v>
      </c>
      <c r="CY380" s="58">
        <f si="190" t="shared"/>
        <v>20060</v>
      </c>
      <c r="CZ380" s="108">
        <f si="191" t="shared"/>
        <v>-3882.9255110671038</v>
      </c>
      <c r="DA380" s="78">
        <f si="192" t="shared"/>
        <v>-0.16217423009866963</v>
      </c>
    </row>
    <row r="381" spans="99:105" x14ac:dyDescent="0.25">
      <c r="CU381" s="95">
        <v>380</v>
      </c>
      <c r="CV381" s="95">
        <f si="193" t="shared"/>
        <v>19</v>
      </c>
      <c r="CW381" s="95">
        <f si="188" t="shared"/>
        <v>20</v>
      </c>
      <c r="CX381" s="58">
        <f si="189" t="shared"/>
        <v>10.642160199682323</v>
      </c>
      <c r="CY381" s="58">
        <f si="190" t="shared"/>
        <v>0</v>
      </c>
      <c r="CZ381" s="108">
        <f si="191" t="shared"/>
        <v>-10.642160199682323</v>
      </c>
      <c r="DA381" s="78">
        <f si="192" t="shared"/>
        <v>-1</v>
      </c>
    </row>
    <row r="382" spans="99:105" x14ac:dyDescent="0.25">
      <c r="CU382" s="95">
        <v>381</v>
      </c>
      <c r="CV382" s="95">
        <f si="193" t="shared"/>
        <v>20</v>
      </c>
      <c r="CW382" s="95">
        <f si="188" t="shared"/>
        <v>1</v>
      </c>
      <c r="CX382" s="58">
        <f si="189" t="shared"/>
        <v>288.31003947508799</v>
      </c>
      <c r="CY382" s="58">
        <f si="190" t="shared"/>
        <v>120</v>
      </c>
      <c r="CZ382" s="108">
        <f si="191" t="shared"/>
        <v>-168.31003947508799</v>
      </c>
      <c r="DA382" s="78">
        <f si="192" t="shared"/>
        <v>-0.58378140345553653</v>
      </c>
    </row>
    <row r="383" spans="99:105" x14ac:dyDescent="0.25">
      <c r="CU383" s="95">
        <v>382</v>
      </c>
      <c r="CV383" s="95">
        <f si="193" t="shared"/>
        <v>20</v>
      </c>
      <c r="CW383" s="95">
        <f si="188" t="shared"/>
        <v>2</v>
      </c>
      <c r="CX383" s="58">
        <f si="189" t="shared"/>
        <v>293.88509548703723</v>
      </c>
      <c r="CY383" s="58">
        <f si="190" t="shared"/>
        <v>180</v>
      </c>
      <c r="CZ383" s="108">
        <f si="191" t="shared"/>
        <v>-113.88509548703723</v>
      </c>
      <c r="DA383" s="78">
        <f si="192" t="shared"/>
        <v>-0.38751572378416349</v>
      </c>
    </row>
    <row r="384" spans="99:105" x14ac:dyDescent="0.25">
      <c r="CU384" s="95">
        <v>383</v>
      </c>
      <c r="CV384" s="95">
        <f si="193" t="shared"/>
        <v>20</v>
      </c>
      <c r="CW384" s="95">
        <f si="188" t="shared"/>
        <v>3</v>
      </c>
      <c r="CX384" s="58">
        <f si="189" t="shared"/>
        <v>39.821828656780113</v>
      </c>
      <c r="CY384" s="58">
        <f si="190" t="shared"/>
        <v>80</v>
      </c>
      <c r="CZ384" s="108">
        <f si="191" t="shared"/>
        <v>40.178171343219887</v>
      </c>
      <c r="DA384" s="78">
        <f si="192" t="shared"/>
        <v>1.0089484259879438</v>
      </c>
    </row>
    <row r="385" spans="99:105" x14ac:dyDescent="0.25">
      <c r="CU385" s="95">
        <v>384</v>
      </c>
      <c r="CV385" s="95">
        <f si="193" t="shared"/>
        <v>20</v>
      </c>
      <c r="CW385" s="95">
        <f si="188" t="shared"/>
        <v>4</v>
      </c>
      <c r="CX385" s="58">
        <f si="189" t="shared"/>
        <v>39.821828656780113</v>
      </c>
      <c r="CY385" s="58">
        <f si="190" t="shared"/>
        <v>60</v>
      </c>
      <c r="CZ385" s="108">
        <f si="191" t="shared"/>
        <v>20.178171343219887</v>
      </c>
      <c r="DA385" s="78">
        <f si="192" t="shared"/>
        <v>0.50671131949095782</v>
      </c>
    </row>
    <row r="386" spans="99:105" x14ac:dyDescent="0.25">
      <c r="CU386" s="95">
        <v>385</v>
      </c>
      <c r="CV386" s="95">
        <f si="193" t="shared"/>
        <v>20</v>
      </c>
      <c r="CW386" s="95">
        <f si="188" t="shared"/>
        <v>5</v>
      </c>
      <c r="CX386" s="58">
        <f si="189" t="shared"/>
        <v>95.572388776272263</v>
      </c>
      <c r="CY386" s="58">
        <f si="190" t="shared"/>
        <v>140</v>
      </c>
      <c r="CZ386" s="108">
        <f si="191" t="shared"/>
        <v>44.427611223727737</v>
      </c>
      <c r="DA386" s="78">
        <f si="192" t="shared"/>
        <v>0.46485822728287579</v>
      </c>
    </row>
    <row r="387" spans="99:105" x14ac:dyDescent="0.25">
      <c r="CU387" s="95">
        <v>386</v>
      </c>
      <c r="CV387" s="95">
        <f si="193" t="shared"/>
        <v>20</v>
      </c>
      <c r="CW387" s="95">
        <f ref="CW387:CW401" si="194" t="shared">MOD(ROW()-2,$CS$2)+1</f>
        <v>6</v>
      </c>
      <c r="CX387" s="58">
        <f ref="CX387:CX401" si="195" t="shared">VLOOKUP($CV387,$B$30:$V$49,MATCH($CW387,$B$29:$V$29,0),0)</f>
        <v>414.94345460364877</v>
      </c>
      <c r="CY387" s="58">
        <f ref="CY387:CY401" si="196" t="shared">VLOOKUP($CV387,$AY$30:$BS$49,MATCH($CW387,$AY$29:$BS$29,0),0)</f>
        <v>500</v>
      </c>
      <c r="CZ387" s="108">
        <f ref="CZ387:CZ401" si="197" t="shared">CY387-CX387</f>
        <v>85.056545396351225</v>
      </c>
      <c r="DA387" s="78">
        <f ref="DA387:DA401" si="198" t="shared">CZ387/CX387</f>
        <v>0.20498346088528296</v>
      </c>
    </row>
    <row r="388" spans="99:105" x14ac:dyDescent="0.25">
      <c r="CU388" s="95">
        <v>387</v>
      </c>
      <c r="CV388" s="95">
        <f ref="CV388:CV401" si="199" t="shared">IF(CW387&lt;$CS$2,CV387,CV387+1)</f>
        <v>20</v>
      </c>
      <c r="CW388" s="95">
        <f si="194" t="shared"/>
        <v>7</v>
      </c>
      <c r="CX388" s="58">
        <f si="195" t="shared"/>
        <v>307.42451723034247</v>
      </c>
      <c r="CY388" s="58">
        <f si="196" t="shared"/>
        <v>420</v>
      </c>
      <c r="CZ388" s="108">
        <f si="197" t="shared"/>
        <v>112.57548276965753</v>
      </c>
      <c r="DA388" s="78">
        <f si="198" t="shared"/>
        <v>0.36618902026382183</v>
      </c>
    </row>
    <row r="389" spans="99:105" x14ac:dyDescent="0.25">
      <c r="CU389" s="95">
        <v>388</v>
      </c>
      <c r="CV389" s="95">
        <f si="199" t="shared"/>
        <v>20</v>
      </c>
      <c r="CW389" s="95">
        <f si="194" t="shared"/>
        <v>8</v>
      </c>
      <c r="CX389" s="58">
        <f si="195" t="shared"/>
        <v>3.1857462925424089</v>
      </c>
      <c r="CY389" s="58">
        <f si="196" t="shared"/>
        <v>0</v>
      </c>
      <c r="CZ389" s="108">
        <f si="197" t="shared"/>
        <v>-3.1857462925424089</v>
      </c>
      <c r="DA389" s="78">
        <f si="198" t="shared"/>
        <v>-1</v>
      </c>
    </row>
    <row r="390" spans="99:105" x14ac:dyDescent="0.25">
      <c r="CU390" s="95">
        <v>389</v>
      </c>
      <c r="CV390" s="95">
        <f si="199" t="shared"/>
        <v>20</v>
      </c>
      <c r="CW390" s="95">
        <f si="194" t="shared"/>
        <v>9</v>
      </c>
      <c r="CX390" s="58">
        <f si="195" t="shared"/>
        <v>113.89042995839112</v>
      </c>
      <c r="CY390" s="58">
        <f si="196" t="shared"/>
        <v>80</v>
      </c>
      <c r="CZ390" s="108">
        <f si="197" t="shared"/>
        <v>-33.890429958391124</v>
      </c>
      <c r="DA390" s="78">
        <f si="198" t="shared"/>
        <v>-0.29757048042379591</v>
      </c>
    </row>
    <row r="391" spans="99:105" x14ac:dyDescent="0.25">
      <c r="CU391" s="95">
        <v>390</v>
      </c>
      <c r="CV391" s="95">
        <f si="199" t="shared"/>
        <v>20</v>
      </c>
      <c r="CW391" s="95">
        <f si="194" t="shared"/>
        <v>10</v>
      </c>
      <c r="CX391" s="58">
        <f si="195" t="shared"/>
        <v>136.98709057932359</v>
      </c>
      <c r="CY391" s="58">
        <f si="196" t="shared"/>
        <v>80</v>
      </c>
      <c r="CZ391" s="108">
        <f si="197" t="shared"/>
        <v>-56.987090579323592</v>
      </c>
      <c r="DA391" s="78">
        <f si="198" t="shared"/>
        <v>-0.41600336453838849</v>
      </c>
    </row>
    <row r="392" spans="99:105" x14ac:dyDescent="0.25">
      <c r="CU392" s="95">
        <v>391</v>
      </c>
      <c r="CV392" s="95">
        <f si="199" t="shared"/>
        <v>20</v>
      </c>
      <c r="CW392" s="95">
        <f si="194" t="shared"/>
        <v>11</v>
      </c>
      <c r="CX392" s="58">
        <f si="195" t="shared"/>
        <v>54.157686973220954</v>
      </c>
      <c r="CY392" s="58">
        <f si="196" t="shared"/>
        <v>40</v>
      </c>
      <c r="CZ392" s="108">
        <f si="197" t="shared"/>
        <v>-14.157686973220954</v>
      </c>
      <c r="DA392" s="78">
        <f si="198" t="shared"/>
        <v>-0.26141601985737362</v>
      </c>
    </row>
    <row r="393" spans="99:105" x14ac:dyDescent="0.25">
      <c r="CU393" s="95">
        <v>392</v>
      </c>
      <c r="CV393" s="95">
        <f si="199" t="shared"/>
        <v>20</v>
      </c>
      <c r="CW393" s="95">
        <f si="194" t="shared"/>
        <v>12</v>
      </c>
      <c r="CX393" s="58">
        <f si="195" t="shared"/>
        <v>4578.7138589565775</v>
      </c>
      <c r="CY393" s="58">
        <f si="196" t="shared"/>
        <v>3400</v>
      </c>
      <c r="CZ393" s="108">
        <f si="197" t="shared"/>
        <v>-1178.7138589565775</v>
      </c>
      <c r="DA393" s="78">
        <f si="198" t="shared"/>
        <v>-0.25743339620379541</v>
      </c>
    </row>
    <row r="394" spans="99:105" x14ac:dyDescent="0.25">
      <c r="CU394" s="95">
        <v>393</v>
      </c>
      <c r="CV394" s="95">
        <f si="199" t="shared"/>
        <v>20</v>
      </c>
      <c r="CW394" s="95">
        <f si="194" t="shared"/>
        <v>13</v>
      </c>
      <c r="CX394" s="58">
        <f si="195" t="shared"/>
        <v>443.6151712365305</v>
      </c>
      <c r="CY394" s="58">
        <f si="196" t="shared"/>
        <v>380</v>
      </c>
      <c r="CZ394" s="108">
        <f si="197" t="shared"/>
        <v>-63.6151712365305</v>
      </c>
      <c r="DA394" s="78">
        <f si="198" t="shared"/>
        <v>-0.14340170346115513</v>
      </c>
    </row>
    <row r="395" spans="99:105" x14ac:dyDescent="0.25">
      <c r="CU395" s="95">
        <v>394</v>
      </c>
      <c r="CV395" s="95">
        <f si="199" t="shared"/>
        <v>20</v>
      </c>
      <c r="CW395" s="95">
        <f si="194" t="shared"/>
        <v>14</v>
      </c>
      <c r="CX395" s="58">
        <f si="195" t="shared"/>
        <v>7.9643657313560228</v>
      </c>
      <c r="CY395" s="58">
        <f si="196" t="shared"/>
        <v>0</v>
      </c>
      <c r="CZ395" s="108">
        <f si="197" t="shared"/>
        <v>-7.9643657313560228</v>
      </c>
      <c r="DA395" s="78">
        <f si="198" t="shared"/>
        <v>-1</v>
      </c>
    </row>
    <row r="396" spans="99:105" x14ac:dyDescent="0.25">
      <c r="CU396" s="95">
        <v>395</v>
      </c>
      <c r="CV396" s="95">
        <f si="199" t="shared"/>
        <v>20</v>
      </c>
      <c r="CW396" s="95">
        <f si="194" t="shared"/>
        <v>15</v>
      </c>
      <c r="CX396" s="58">
        <f si="195" t="shared"/>
        <v>3.9821828656780114</v>
      </c>
      <c r="CY396" s="58">
        <f si="196" t="shared"/>
        <v>40</v>
      </c>
      <c r="CZ396" s="108">
        <f si="197" t="shared"/>
        <v>36.017817134321987</v>
      </c>
      <c r="DA396" s="78">
        <f si="198" t="shared"/>
        <v>9.0447421299397188</v>
      </c>
    </row>
    <row r="397" spans="99:105" x14ac:dyDescent="0.25">
      <c r="CU397" s="95">
        <v>396</v>
      </c>
      <c r="CV397" s="95">
        <f si="199" t="shared"/>
        <v>20</v>
      </c>
      <c r="CW397" s="95">
        <f si="194" t="shared"/>
        <v>16</v>
      </c>
      <c r="CX397" s="58">
        <f si="195" t="shared"/>
        <v>69.28998186279739</v>
      </c>
      <c r="CY397" s="58">
        <f si="196" t="shared"/>
        <v>140</v>
      </c>
      <c r="CZ397" s="108">
        <f si="197" t="shared"/>
        <v>70.71001813720261</v>
      </c>
      <c r="DA397" s="78">
        <f si="198" t="shared"/>
        <v>1.0204941065970701</v>
      </c>
    </row>
    <row r="398" spans="99:105" x14ac:dyDescent="0.25">
      <c r="CU398" s="95">
        <v>397</v>
      </c>
      <c r="CV398" s="95">
        <f si="199" t="shared"/>
        <v>20</v>
      </c>
      <c r="CW398" s="95">
        <f si="194" t="shared"/>
        <v>17</v>
      </c>
      <c r="CX398" s="58">
        <f si="195" t="shared"/>
        <v>15.928731462712046</v>
      </c>
      <c r="CY398" s="58">
        <f si="196" t="shared"/>
        <v>0</v>
      </c>
      <c r="CZ398" s="108">
        <f si="197" t="shared"/>
        <v>-15.928731462712046</v>
      </c>
      <c r="DA398" s="78">
        <f si="198" t="shared"/>
        <v>-1</v>
      </c>
    </row>
    <row r="399" spans="99:105" x14ac:dyDescent="0.25">
      <c r="CU399" s="95">
        <v>398</v>
      </c>
      <c r="CV399" s="95">
        <f si="199" t="shared"/>
        <v>20</v>
      </c>
      <c r="CW399" s="95">
        <f si="194" t="shared"/>
        <v>18</v>
      </c>
      <c r="CX399" s="58">
        <f si="195" t="shared"/>
        <v>3403.1734770084286</v>
      </c>
      <c r="CY399" s="58">
        <f si="196" t="shared"/>
        <v>3740</v>
      </c>
      <c r="CZ399" s="108">
        <f si="197" t="shared"/>
        <v>336.82652299157144</v>
      </c>
      <c r="DA399" s="78">
        <f si="198" t="shared"/>
        <v>9.8974244265578826E-2</v>
      </c>
    </row>
    <row r="400" spans="99:105" x14ac:dyDescent="0.25">
      <c r="CU400" s="95">
        <v>399</v>
      </c>
      <c r="CV400" s="95">
        <f si="199" t="shared"/>
        <v>20</v>
      </c>
      <c r="CW400" s="95">
        <f si="194" t="shared"/>
        <v>19</v>
      </c>
      <c r="CX400" s="58">
        <f si="195" t="shared"/>
        <v>8.7608023044916248</v>
      </c>
      <c r="CY400" s="58">
        <f si="196" t="shared"/>
        <v>0</v>
      </c>
      <c r="CZ400" s="108">
        <f si="197" t="shared"/>
        <v>-8.7608023044916248</v>
      </c>
      <c r="DA400" s="78">
        <f si="198" t="shared"/>
        <v>-1</v>
      </c>
    </row>
    <row r="401" spans="99:105" x14ac:dyDescent="0.25">
      <c r="CU401" s="95">
        <v>400</v>
      </c>
      <c r="CV401" s="95">
        <f si="199" t="shared"/>
        <v>20</v>
      </c>
      <c r="CW401" s="95">
        <f si="194" t="shared"/>
        <v>20</v>
      </c>
      <c r="CX401" s="58">
        <f si="195" t="shared"/>
        <v>19540.571321882002</v>
      </c>
      <c r="CY401" s="58">
        <f si="196" t="shared"/>
        <v>20460</v>
      </c>
      <c r="CZ401" s="108">
        <f si="197" t="shared"/>
        <v>919.42867811799806</v>
      </c>
      <c r="DA401" s="78">
        <f si="198" t="shared"/>
        <v>4.7052292533964944E-2</v>
      </c>
    </row>
    <row r="402" spans="99:105" x14ac:dyDescent="0.25">
      <c r="CU402" s="95"/>
      <c r="CV402" s="95"/>
      <c r="CW402" s="95"/>
    </row>
    <row r="403" spans="99:105" x14ac:dyDescent="0.25">
      <c r="CU403" s="95"/>
      <c r="CV403" s="95"/>
      <c r="CW403" s="95"/>
    </row>
  </sheetData>
  <mergeCells count="7">
    <mergeCell ref="AD2:AI2"/>
    <mergeCell ref="U2:AC2"/>
    <mergeCell ref="B2:C2"/>
    <mergeCell ref="D2:G2"/>
    <mergeCell ref="H2:K2"/>
    <mergeCell ref="L2:O2"/>
    <mergeCell ref="P2:Q2"/>
  </mergeCells>
  <conditionalFormatting sqref="P4:P23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23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84:AU104">
    <cfRule priority="2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5:AU105">
    <cfRule priority="2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84:AV104">
    <cfRule priority="2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0:AT129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31:AT13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127"/>
  <sheetViews>
    <sheetView workbookViewId="0">
      <selection activeCell="W75" sqref="W75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9" bestFit="true" customWidth="true" width="10.5703125" collapsed="true"/>
    <col min="10" max="10" customWidth="true" width="7.42578125" collapsed="true"/>
    <col min="11" max="11" bestFit="true" customWidth="true" width="11.5703125" collapsed="true"/>
    <col min="13" max="13" bestFit="true" customWidth="true" width="42.42578125" collapsed="true"/>
    <col min="14" max="14" bestFit="true" customWidth="true" width="16.42578125" collapsed="true"/>
    <col min="15" max="15" bestFit="true" customWidth="true" width="9.42578125" collapsed="true"/>
    <col min="16" max="16" bestFit="true" customWidth="true" width="13.42578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  <col min="24" max="24" bestFit="true" customWidth="true" width="11.5703125" collapsed="true"/>
  </cols>
  <sheetData>
    <row r="1" spans="1:31" x14ac:dyDescent="0.25">
      <c r="M1" s="36"/>
      <c r="T1" s="36" t="s">
        <v>267</v>
      </c>
      <c r="Z1" s="36" t="s">
        <v>266</v>
      </c>
    </row>
    <row r="2" spans="1:31" x14ac:dyDescent="0.25">
      <c r="V2" s="41" t="s">
        <v>238</v>
      </c>
      <c r="W2" s="41" t="s">
        <v>239</v>
      </c>
      <c r="X2" s="41" t="s">
        <v>395</v>
      </c>
      <c r="Z2" s="75"/>
      <c r="AA2" s="36" t="s">
        <v>254</v>
      </c>
      <c r="AC2" s="75"/>
      <c r="AD2" s="75"/>
      <c r="AE2" s="75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40">
        <f>WorkLocationCoefficients!E11</f>
        <v>1</v>
      </c>
      <c r="W3" s="162">
        <f>_xlfn.IFNA(VLOOKUP(T3,$M$13:$Q$39,5,FALSE),_xlfn.IFNA(VLOOKUP(T3,calibration_flow!$AD$3:$AH$25,5,FALSE),V3))</f>
        <v>1</v>
      </c>
      <c r="X3">
        <f>IF(W3=V3,0,1)</f>
        <v>0</v>
      </c>
      <c r="Z3">
        <v>1</v>
      </c>
      <c r="AA3" s="31" t="s">
        <v>309</v>
      </c>
      <c r="AC3" s="75"/>
      <c r="AD3" s="75"/>
      <c r="AE3" s="75"/>
    </row>
    <row r="4" spans="1:31" x14ac:dyDescent="0.25">
      <c r="C4" s="10" t="s">
        <v>298</v>
      </c>
      <c r="I4" s="10" t="s">
        <v>219</v>
      </c>
      <c r="T4">
        <f>WorkLocationCoefficients!B12</f>
        <v>2</v>
      </c>
      <c r="U4" t="str">
        <f>WorkLocationCoefficients!C12</f>
        <v>Beta00002</v>
      </c>
      <c r="V4" s="40">
        <f>WorkLocationCoefficients!E12</f>
        <v>0.7</v>
      </c>
      <c r="W4" s="162">
        <f>_xlfn.IFNA(VLOOKUP(T4,$M$13:$Q$39,5,FALSE),_xlfn.IFNA(VLOOKUP(T4,calibration_flow!$AD$3:$AH$25,5,FALSE),V4))</f>
        <v>0.7</v>
      </c>
      <c r="X4" s="95">
        <f ref="X4:X67" si="0" t="shared">IF(W4=V4,0,1)</f>
        <v>0</v>
      </c>
      <c r="Z4">
        <v>2</v>
      </c>
      <c r="AA4" s="31" t="s">
        <v>261</v>
      </c>
      <c r="AC4" s="75"/>
      <c r="AD4" s="75"/>
      <c r="AE4" s="75"/>
    </row>
    <row ht="15.75" r="5" spans="1:31" thickBot="1" x14ac:dyDescent="0.3">
      <c r="A5" s="36" t="s">
        <v>220</v>
      </c>
      <c r="M5" s="53"/>
      <c r="N5" s="32"/>
      <c r="O5" s="32"/>
      <c r="P5" s="32"/>
      <c r="Q5" s="32"/>
      <c r="T5">
        <f>WorkLocationCoefficients!B13</f>
        <v>3</v>
      </c>
      <c r="U5" t="str">
        <f>WorkLocationCoefficients!C13</f>
        <v>Beta00003</v>
      </c>
      <c r="V5" s="40">
        <f>WorkLocationCoefficients!E13</f>
        <v>1</v>
      </c>
      <c r="W5" s="162">
        <f>_xlfn.IFNA(VLOOKUP(T5,$M$13:$Q$39,5,FALSE),_xlfn.IFNA(VLOOKUP(T5,calibration_flow!$AD$3:$AH$25,5,FALSE),V5))</f>
        <v>1</v>
      </c>
      <c r="X5" s="95">
        <f si="0" t="shared"/>
        <v>0</v>
      </c>
      <c r="Z5">
        <v>3</v>
      </c>
      <c r="AA5" s="75" t="s">
        <v>263</v>
      </c>
      <c r="AB5" s="75"/>
      <c r="AC5" s="75"/>
      <c r="AD5" s="75"/>
      <c r="AE5" s="75"/>
    </row>
    <row r="6" spans="1:31" x14ac:dyDescent="0.25">
      <c r="A6" s="5" t="s">
        <v>2</v>
      </c>
      <c r="B6" s="5" t="s">
        <v>8</v>
      </c>
      <c r="C6" s="5" t="s">
        <v>9</v>
      </c>
      <c r="D6" s="5" t="s">
        <v>10</v>
      </c>
      <c r="E6" s="5" t="s">
        <v>218</v>
      </c>
      <c r="G6" s="5" t="s">
        <v>2</v>
      </c>
      <c r="H6" s="5" t="s">
        <v>8</v>
      </c>
      <c r="I6" s="5" t="s">
        <v>9</v>
      </c>
      <c r="J6" s="5" t="s">
        <v>10</v>
      </c>
      <c r="K6" s="5" t="s">
        <v>218</v>
      </c>
      <c r="M6" s="54"/>
      <c r="N6" s="54"/>
      <c r="O6" s="54"/>
      <c r="P6" s="54"/>
      <c r="Q6" s="54"/>
      <c r="T6">
        <f>WorkLocationCoefficients!B14</f>
        <v>4</v>
      </c>
      <c r="U6" t="str">
        <f>WorkLocationCoefficients!C14</f>
        <v>Beta00004</v>
      </c>
      <c r="V6" s="40">
        <f>WorkLocationCoefficients!E14</f>
        <v>0.5</v>
      </c>
      <c r="W6" s="162">
        <f>_xlfn.IFNA(VLOOKUP(T6,$M$13:$Q$39,5,FALSE),_xlfn.IFNA(VLOOKUP(T6,calibration_flow!$AD$3:$AH$25,5,FALSE),V6))</f>
        <v>0.5</v>
      </c>
      <c r="X6" s="95">
        <f si="0" t="shared"/>
        <v>0</v>
      </c>
      <c r="Z6">
        <v>4</v>
      </c>
      <c r="AA6" s="75" t="s">
        <v>265</v>
      </c>
      <c r="AB6" s="75"/>
      <c r="AC6" s="75"/>
      <c r="AD6" s="75"/>
      <c r="AE6" s="75"/>
    </row>
    <row r="7" spans="1:31" x14ac:dyDescent="0.25">
      <c r="A7" s="35" t="s">
        <v>214</v>
      </c>
      <c r="B7" s="58">
        <f>SUM(TLFD!B11:B13)+0.5*(TLFD!B14)</f>
        <v>93835.825908944753</v>
      </c>
      <c r="C7" s="58">
        <f>SUM(TLFD!C11:C13)+0.5*(TLFD!C14)</f>
        <v>18136.61284219474</v>
      </c>
      <c r="D7" s="58">
        <f>SUM(TLFD!D11:D13)+0.5*(TLFD!D14)</f>
        <v>7086.7129284346656</v>
      </c>
      <c r="E7" s="58">
        <f>SUM(B7:D7)</f>
        <v>119059.15167957415</v>
      </c>
      <c r="G7" s="35" t="s">
        <v>214</v>
      </c>
      <c r="H7" s="58">
        <f>SUM(TLFD!H11:H13)+0.5*(TLFD!H14)</f>
        <v>105300</v>
      </c>
      <c r="I7" s="58">
        <f>SUM(TLFD!I11:I13)+0.5*(TLFD!I14)</f>
        <v>21630</v>
      </c>
      <c r="J7" s="58">
        <f>SUM(TLFD!J11:J13)+0.5*(TLFD!J14)</f>
        <v>10270</v>
      </c>
      <c r="K7" s="58">
        <f>SUM(H7:J7)</f>
        <v>137200</v>
      </c>
      <c r="M7" s="32"/>
      <c r="N7" s="45"/>
      <c r="O7" s="46"/>
      <c r="P7" s="46"/>
      <c r="Q7" s="45"/>
      <c r="T7">
        <f>WorkLocationCoefficients!B15</f>
        <v>5</v>
      </c>
      <c r="U7" t="str">
        <f>WorkLocationCoefficients!C15</f>
        <v>Beta00005</v>
      </c>
      <c r="V7" s="40">
        <f>WorkLocationCoefficients!E15</f>
        <v>0</v>
      </c>
      <c r="W7" s="162">
        <f>_xlfn.IFNA(VLOOKUP(T7,$M$13:$Q$39,5,FALSE),_xlfn.IFNA(VLOOKUP(T7,calibration_flow!$AD$3:$AH$25,5,FALSE),V7))</f>
        <v>0</v>
      </c>
      <c r="X7" s="95">
        <f si="0" t="shared"/>
        <v>0</v>
      </c>
      <c r="Z7" s="75">
        <v>5</v>
      </c>
      <c r="AA7" s="75" t="s">
        <v>255</v>
      </c>
      <c r="AB7" s="75"/>
      <c r="AC7" s="75"/>
      <c r="AD7" s="75"/>
      <c r="AE7" s="75"/>
    </row>
    <row r="8" spans="1:31" x14ac:dyDescent="0.25">
      <c r="A8" s="35" t="s">
        <v>215</v>
      </c>
      <c r="B8" s="58">
        <f>0.5*(TLFD!B14)+SUM(TLFD!B15:B20)</f>
        <v>214263.14743205707</v>
      </c>
      <c r="C8" s="58">
        <f>0.5*(TLFD!C14)+SUM(TLFD!C15:C20)</f>
        <v>27861.970074027286</v>
      </c>
      <c r="D8" s="58">
        <f>0.5*(TLFD!D14)+SUM(TLFD!D15:D20)</f>
        <v>11955.620798275151</v>
      </c>
      <c r="E8" s="58">
        <f>SUM(B8:D8)</f>
        <v>254080.73830435949</v>
      </c>
      <c r="G8" s="35" t="s">
        <v>215</v>
      </c>
      <c r="H8" s="58">
        <f>0.5*(TLFD!H14)+SUM(TLFD!H15:H20)</f>
        <v>213260</v>
      </c>
      <c r="I8" s="58">
        <f>0.5*(TLFD!I14)+SUM(TLFD!I15:I20)</f>
        <v>33810</v>
      </c>
      <c r="J8" s="58">
        <f>0.5*(TLFD!J14)+SUM(TLFD!J15:J20)</f>
        <v>15090</v>
      </c>
      <c r="K8" s="58">
        <f>SUM(H8:J8)</f>
        <v>262160</v>
      </c>
      <c r="M8" s="74" t="s">
        <v>244</v>
      </c>
      <c r="N8" s="45"/>
      <c r="O8" s="46"/>
      <c r="P8" s="46"/>
      <c r="Q8" s="45"/>
      <c r="T8" s="72">
        <f>WorkLocationCoefficients!B16</f>
        <v>6</v>
      </c>
      <c r="U8" s="72" t="str">
        <f>WorkLocationCoefficients!C16</f>
        <v>Beta00006</v>
      </c>
      <c r="V8" s="73">
        <f>WorkLocationCoefficients!E16</f>
        <v>-4.1530549264700003</v>
      </c>
      <c r="W8" s="162">
        <f>_xlfn.IFNA(VLOOKUP(T8,$M$13:$Q$39,5,FALSE),_xlfn.IFNA(VLOOKUP(T8,calibration_flow!$AD$3:$AH$25,5,FALSE),V8))</f>
        <v>-4.1530549264700003</v>
      </c>
      <c r="X8" s="95">
        <f si="0" t="shared"/>
        <v>0</v>
      </c>
      <c r="Z8" s="75"/>
      <c r="AA8" s="75"/>
      <c r="AB8" s="75"/>
      <c r="AC8" s="75"/>
      <c r="AD8" s="75"/>
      <c r="AE8" s="75"/>
    </row>
    <row r="9" spans="1:31" x14ac:dyDescent="0.25">
      <c r="A9" s="47" t="s">
        <v>216</v>
      </c>
      <c r="B9" s="60">
        <f>SUM(TLFD!B21:B101)</f>
        <v>378900.41553480143</v>
      </c>
      <c r="C9" s="60">
        <f>SUM(TLFD!C21:C101)</f>
        <v>27359.937934897298</v>
      </c>
      <c r="D9" s="60">
        <f>SUM(TLFD!D21:D101)</f>
        <v>8040.2648339261777</v>
      </c>
      <c r="E9" s="60">
        <f>SUM(B9:D9)</f>
        <v>414300.61830362491</v>
      </c>
      <c r="G9" s="47" t="s">
        <v>216</v>
      </c>
      <c r="H9" s="60">
        <f>SUM(TLFD!H21:H101)</f>
        <v>396220</v>
      </c>
      <c r="I9" s="60">
        <f>SUM(TLFD!I21:I101)</f>
        <v>26460</v>
      </c>
      <c r="J9" s="60">
        <f>SUM(TLFD!J21:J101)</f>
        <v>8400</v>
      </c>
      <c r="K9" s="60">
        <f>SUM(H9:J9)</f>
        <v>431080</v>
      </c>
      <c r="M9" s="32" t="s">
        <v>245</v>
      </c>
      <c r="N9" s="45"/>
      <c r="O9" s="46"/>
      <c r="P9" s="46"/>
      <c r="Q9" s="45"/>
      <c r="T9" s="72">
        <f>WorkLocationCoefficients!B17</f>
        <v>7</v>
      </c>
      <c r="U9" s="72" t="str">
        <f>WorkLocationCoefficients!C17</f>
        <v>Beta00007</v>
      </c>
      <c r="V9" s="73">
        <f>WorkLocationCoefficients!E17</f>
        <v>0.16304005993109999</v>
      </c>
      <c r="W9" s="162">
        <f>_xlfn.IFNA(VLOOKUP(T9,$M$13:$Q$39,5,FALSE),_xlfn.IFNA(VLOOKUP(T9,calibration_flow!$AD$3:$AH$25,5,FALSE),V9))</f>
        <v>0.16304005993109999</v>
      </c>
      <c r="X9" s="95">
        <f si="0" t="shared"/>
        <v>0</v>
      </c>
      <c r="Z9" s="75"/>
      <c r="AA9" s="76" t="s">
        <v>256</v>
      </c>
      <c r="AB9" s="75"/>
      <c r="AC9" s="75"/>
      <c r="AD9" s="75"/>
      <c r="AE9" s="75"/>
    </row>
    <row ht="15.75" r="10" spans="1:31" thickBot="1" x14ac:dyDescent="0.3">
      <c r="A10" s="49" t="s">
        <v>3</v>
      </c>
      <c r="B10" s="61">
        <f>SUM(B7:B9)</f>
        <v>686999.38887580321</v>
      </c>
      <c r="C10" s="61">
        <f>SUM(C7:C9)</f>
        <v>73358.52085111932</v>
      </c>
      <c r="D10" s="61">
        <f>SUM(D7:D9)</f>
        <v>27082.598560635997</v>
      </c>
      <c r="E10" s="61">
        <f>SUM(E7:E9)</f>
        <v>787440.50828755856</v>
      </c>
      <c r="F10" s="32"/>
      <c r="G10" s="49" t="s">
        <v>3</v>
      </c>
      <c r="H10" s="61">
        <f>SUM(H7:H9)</f>
        <v>714780</v>
      </c>
      <c r="I10" s="61">
        <f>SUM(I7:I9)</f>
        <v>81900</v>
      </c>
      <c r="J10" s="61">
        <f>SUM(J7:J9)</f>
        <v>33760</v>
      </c>
      <c r="K10" s="61">
        <f>SUM(K7:K9)</f>
        <v>830440</v>
      </c>
      <c r="L10" s="32"/>
      <c r="M10" s="32" t="s">
        <v>246</v>
      </c>
      <c r="N10" s="32"/>
      <c r="O10" s="32"/>
      <c r="P10" s="32"/>
      <c r="Q10" s="32"/>
      <c r="T10" s="72">
        <f>WorkLocationCoefficients!B18</f>
        <v>8</v>
      </c>
      <c r="U10" s="72" t="str">
        <f>WorkLocationCoefficients!C18</f>
        <v>Beta00008</v>
      </c>
      <c r="V10" s="73">
        <f>WorkLocationCoefficients!E18</f>
        <v>-0.66484078944180003</v>
      </c>
      <c r="W10" s="162">
        <f>_xlfn.IFNA(VLOOKUP(T10,$M$13:$Q$39,5,FALSE),_xlfn.IFNA(VLOOKUP(T10,calibration_flow!$AD$3:$AH$25,5,FALSE),V10))</f>
        <v>-0.66484078944180003</v>
      </c>
      <c r="X10" s="95">
        <f si="0" t="shared"/>
        <v>0</v>
      </c>
      <c r="Z10" s="75">
        <v>1</v>
      </c>
      <c r="AA10" s="31" t="s">
        <v>309</v>
      </c>
      <c r="AB10" s="75"/>
      <c r="AC10" s="75"/>
      <c r="AD10" s="75"/>
      <c r="AE10" s="75"/>
    </row>
    <row r="11" spans="1:31" x14ac:dyDescent="0.25">
      <c r="T11" s="72">
        <f>WorkLocationCoefficients!B19</f>
        <v>9</v>
      </c>
      <c r="U11" s="72" t="str">
        <f>WorkLocationCoefficients!C19</f>
        <v>Beta00009</v>
      </c>
      <c r="V11" s="73">
        <f>WorkLocationCoefficients!E19</f>
        <v>-2.1673496431996999</v>
      </c>
      <c r="W11" s="162">
        <f>_xlfn.IFNA(VLOOKUP(T11,$M$13:$Q$39,5,FALSE),_xlfn.IFNA(VLOOKUP(T11,calibration_flow!$AD$3:$AH$25,5,FALSE),V11))</f>
        <v>-2.1673496431996999</v>
      </c>
      <c r="X11" s="95">
        <f si="0" t="shared"/>
        <v>0</v>
      </c>
      <c r="Z11" s="75">
        <v>2</v>
      </c>
      <c r="AA11" s="75" t="s">
        <v>257</v>
      </c>
      <c r="AB11" s="75"/>
      <c r="AC11" s="75"/>
      <c r="AD11" s="75"/>
      <c r="AE11" s="75"/>
    </row>
    <row ht="15.75" r="12" spans="1:31" thickBot="1" x14ac:dyDescent="0.3">
      <c r="A12" s="42" t="s">
        <v>243</v>
      </c>
      <c r="M12" s="10" t="s">
        <v>393</v>
      </c>
      <c r="T12" s="72">
        <f>WorkLocationCoefficients!B20</f>
        <v>10</v>
      </c>
      <c r="U12" s="72" t="str">
        <f>WorkLocationCoefficients!C20</f>
        <v>Beta00010</v>
      </c>
      <c r="V12" s="73">
        <f>WorkLocationCoefficients!E20</f>
        <v>-3.3544504276017002</v>
      </c>
      <c r="W12" s="162">
        <f>_xlfn.IFNA(VLOOKUP(T12,$M$13:$Q$39,5,FALSE),_xlfn.IFNA(VLOOKUP(T12,calibration_flow!$AD$3:$AH$25,5,FALSE),V12))</f>
        <v>-3.3544504276017002</v>
      </c>
      <c r="X12" s="95">
        <f si="0" t="shared"/>
        <v>0</v>
      </c>
      <c r="Z12" s="75">
        <v>3</v>
      </c>
      <c r="AA12" s="75" t="s">
        <v>258</v>
      </c>
      <c r="AB12" s="75"/>
      <c r="AC12" s="75"/>
      <c r="AD12" s="75"/>
      <c r="AE12" s="75"/>
    </row>
    <row r="13" spans="1:31" x14ac:dyDescent="0.25">
      <c r="A13" s="5" t="s">
        <v>2</v>
      </c>
      <c r="B13" s="5" t="s">
        <v>8</v>
      </c>
      <c r="C13" s="5" t="s">
        <v>9</v>
      </c>
      <c r="D13" s="5" t="s">
        <v>10</v>
      </c>
      <c r="E13" s="5" t="s">
        <v>218</v>
      </c>
      <c r="G13" s="5" t="s">
        <v>2</v>
      </c>
      <c r="H13" s="5" t="s">
        <v>8</v>
      </c>
      <c r="I13" s="5" t="s">
        <v>9</v>
      </c>
      <c r="J13" s="5" t="s">
        <v>10</v>
      </c>
      <c r="K13" s="5" t="s">
        <v>218</v>
      </c>
      <c r="M13" s="5" t="s">
        <v>225</v>
      </c>
      <c r="N13" s="5" t="s">
        <v>223</v>
      </c>
      <c r="O13" s="5" t="s">
        <v>221</v>
      </c>
      <c r="P13" s="5" t="s">
        <v>222</v>
      </c>
      <c r="Q13" s="5" t="s">
        <v>224</v>
      </c>
      <c r="R13" s="54" t="s">
        <v>268</v>
      </c>
      <c r="T13">
        <f>WorkLocationCoefficients!B21</f>
        <v>11</v>
      </c>
      <c r="U13" t="str">
        <f>WorkLocationCoefficients!C21</f>
        <v>Beta00011</v>
      </c>
      <c r="V13" s="40">
        <f>WorkLocationCoefficients!E21</f>
        <v>-0.22974879339000001</v>
      </c>
      <c r="W13" s="162">
        <f>_xlfn.IFNA(VLOOKUP(T13,$M$13:$Q$39,5,FALSE),_xlfn.IFNA(VLOOKUP(T13,calibration_flow!$AD$3:$AH$25,5,FALSE),V13))</f>
        <v>-0.22974879339000001</v>
      </c>
      <c r="X13" s="95">
        <f si="0" t="shared"/>
        <v>0</v>
      </c>
      <c r="Z13" s="75">
        <v>4</v>
      </c>
      <c r="AA13" s="75" t="s">
        <v>259</v>
      </c>
      <c r="AB13" s="75"/>
      <c r="AC13" s="75"/>
      <c r="AD13" s="75"/>
      <c r="AE13" s="75"/>
    </row>
    <row r="14" spans="1:31" x14ac:dyDescent="0.25">
      <c r="A14" s="35" t="s">
        <v>214</v>
      </c>
      <c r="B14" s="50">
        <f ref="B14:E16" si="1" t="shared">B7/B$10</f>
        <v>0.1365879321413902</v>
      </c>
      <c r="C14" s="50">
        <f si="1" t="shared"/>
        <v>0.24723253184184135</v>
      </c>
      <c r="D14" s="50">
        <f si="1" t="shared"/>
        <v>0.26167034572284575</v>
      </c>
      <c r="E14" s="21">
        <f si="1" t="shared"/>
        <v>0.15119764658601481</v>
      </c>
      <c r="G14" s="35" t="s">
        <v>214</v>
      </c>
      <c r="H14" s="50">
        <f ref="H14:K16" si="2" t="shared">H7/H$10</f>
        <v>0.14731805590531352</v>
      </c>
      <c r="I14" s="50">
        <f si="2" t="shared"/>
        <v>0.26410256410256411</v>
      </c>
      <c r="J14" s="50">
        <f si="2" t="shared"/>
        <v>0.30420616113744076</v>
      </c>
      <c r="K14" s="21">
        <f si="2" t="shared"/>
        <v>0.16521362169452339</v>
      </c>
      <c r="M14">
        <v>6</v>
      </c>
      <c r="N14" s="157">
        <f>V8</f>
        <v>-4.1530549264700003</v>
      </c>
      <c r="O14" s="8">
        <f>B14/H14</f>
        <v>0.92716355304865039</v>
      </c>
      <c r="P14" s="141">
        <f>R14*(LN(O14)-LN(O14))</f>
        <v>0</v>
      </c>
      <c r="Q14" s="155">
        <f>N14+P14</f>
        <v>-4.1530549264700003</v>
      </c>
      <c r="R14" s="91">
        <v>0</v>
      </c>
      <c r="T14">
        <f>WorkLocationCoefficients!B22</f>
        <v>12</v>
      </c>
      <c r="U14" t="str">
        <f>WorkLocationCoefficients!C22</f>
        <v>Beta00012</v>
      </c>
      <c r="V14" s="40">
        <f>WorkLocationCoefficients!E22</f>
        <v>-0.93478838755000004</v>
      </c>
      <c r="W14" s="162">
        <f>_xlfn.IFNA(VLOOKUP(T14,$M$13:$Q$39,5,FALSE),_xlfn.IFNA(VLOOKUP(T14,calibration_flow!$AD$3:$AH$25,5,FALSE),V14))</f>
        <v>-0.93478838755000004</v>
      </c>
      <c r="X14" s="95">
        <f si="0" t="shared"/>
        <v>0</v>
      </c>
      <c r="Z14" s="75">
        <v>5</v>
      </c>
      <c r="AA14" s="75" t="s">
        <v>262</v>
      </c>
      <c r="AB14" s="75"/>
      <c r="AC14" s="75"/>
      <c r="AD14" s="75"/>
      <c r="AE14" s="75"/>
    </row>
    <row r="15" spans="1:31" x14ac:dyDescent="0.25">
      <c r="A15" s="35" t="s">
        <v>215</v>
      </c>
      <c r="B15" s="50">
        <f si="1" t="shared"/>
        <v>0.31188258810924779</v>
      </c>
      <c r="C15" s="50">
        <f si="1" t="shared"/>
        <v>0.37980550521967293</v>
      </c>
      <c r="D15" s="50">
        <f si="1" t="shared"/>
        <v>0.44145028297441152</v>
      </c>
      <c r="E15" s="50">
        <f si="1" t="shared"/>
        <v>0.32266658322786457</v>
      </c>
      <c r="G15" s="35" t="s">
        <v>215</v>
      </c>
      <c r="H15" s="50">
        <f si="2" t="shared"/>
        <v>0.29835753658468339</v>
      </c>
      <c r="I15" s="50">
        <f si="2" t="shared"/>
        <v>0.4128205128205128</v>
      </c>
      <c r="J15" s="50">
        <f si="2" t="shared"/>
        <v>0.44697867298578198</v>
      </c>
      <c r="K15" s="21">
        <f si="2" t="shared"/>
        <v>0.31568806897548285</v>
      </c>
      <c r="M15">
        <v>7</v>
      </c>
      <c r="N15" s="157">
        <f>V9</f>
        <v>0.16304005993109999</v>
      </c>
      <c r="O15" s="8">
        <f>B15/H15</f>
        <v>1.0453316905595431</v>
      </c>
      <c r="P15" s="141">
        <f>R15*(LN(O15)-LN(O14))</f>
        <v>0</v>
      </c>
      <c r="Q15" s="155">
        <f>N15+P15</f>
        <v>0.16304005993109999</v>
      </c>
      <c r="R15" s="91">
        <v>0</v>
      </c>
      <c r="T15">
        <f>WorkLocationCoefficients!B23</f>
        <v>13</v>
      </c>
      <c r="U15" t="str">
        <f>WorkLocationCoefficients!C23</f>
        <v>Beta00013</v>
      </c>
      <c r="V15" s="40">
        <f>WorkLocationCoefficients!E23</f>
        <v>0.40796503771199999</v>
      </c>
      <c r="W15" s="162">
        <f>_xlfn.IFNA(VLOOKUP(T15,$M$13:$Q$39,5,FALSE),_xlfn.IFNA(VLOOKUP(T15,calibration_flow!$AD$3:$AH$25,5,FALSE),V15))</f>
        <v>0.40796503771199999</v>
      </c>
      <c r="X15" s="95">
        <f si="0" t="shared"/>
        <v>0</v>
      </c>
      <c r="Z15" s="75">
        <v>6</v>
      </c>
      <c r="AA15" s="75" t="s">
        <v>264</v>
      </c>
      <c r="AB15" s="75"/>
      <c r="AC15" s="75"/>
      <c r="AD15" s="75"/>
      <c r="AE15" s="75"/>
    </row>
    <row r="16" spans="1:31" x14ac:dyDescent="0.25">
      <c r="A16" s="47" t="s">
        <v>216</v>
      </c>
      <c r="B16" s="50">
        <f si="1" t="shared"/>
        <v>0.55152947974936206</v>
      </c>
      <c r="C16" s="50">
        <f si="1" t="shared"/>
        <v>0.37296196293848577</v>
      </c>
      <c r="D16" s="50">
        <f si="1" t="shared"/>
        <v>0.29687937130274267</v>
      </c>
      <c r="E16" s="50">
        <f si="1" t="shared"/>
        <v>0.52613577018612057</v>
      </c>
      <c r="G16" s="47" t="s">
        <v>216</v>
      </c>
      <c r="H16" s="50">
        <f si="2" t="shared"/>
        <v>0.55432440751000311</v>
      </c>
      <c r="I16" s="50">
        <f si="2" t="shared"/>
        <v>0.32307692307692309</v>
      </c>
      <c r="J16" s="50">
        <f si="2" t="shared"/>
        <v>0.24881516587677724</v>
      </c>
      <c r="K16" s="21">
        <f si="2" t="shared"/>
        <v>0.51909830932999379</v>
      </c>
      <c r="L16" s="32"/>
      <c r="M16" s="6">
        <v>8</v>
      </c>
      <c r="N16" s="158">
        <f>V10</f>
        <v>-0.66484078944180003</v>
      </c>
      <c r="O16" s="13">
        <f>B16/H16</f>
        <v>0.99495795652730545</v>
      </c>
      <c r="P16" s="159">
        <f>R16*(LN(O16)-LN(O14)-LN(O15))</f>
        <v>0</v>
      </c>
      <c r="Q16" s="156">
        <f>N16+P16</f>
        <v>-0.66484078944180003</v>
      </c>
      <c r="R16" s="91">
        <v>0</v>
      </c>
      <c r="T16">
        <f>WorkLocationCoefficients!B24</f>
        <v>14</v>
      </c>
      <c r="U16" t="str">
        <f>WorkLocationCoefficients!C24</f>
        <v>Beta00014</v>
      </c>
      <c r="V16" s="40">
        <f>WorkLocationCoefficients!E24</f>
        <v>-0.50293651045300003</v>
      </c>
      <c r="W16" s="162">
        <f>_xlfn.IFNA(VLOOKUP(T16,$M$13:$Q$39,5,FALSE),_xlfn.IFNA(VLOOKUP(T16,calibration_flow!$AD$3:$AH$25,5,FALSE),V16))</f>
        <v>-0.50293651045300003</v>
      </c>
      <c r="X16" s="95">
        <f si="0" t="shared"/>
        <v>0</v>
      </c>
      <c r="Z16" s="75">
        <v>7</v>
      </c>
      <c r="AA16" s="75" t="s">
        <v>265</v>
      </c>
      <c r="AB16" s="75"/>
      <c r="AC16" s="75"/>
      <c r="AD16" s="75"/>
      <c r="AE16" s="75"/>
    </row>
    <row ht="15.75" r="17" spans="1:31" thickBot="1" x14ac:dyDescent="0.3">
      <c r="A17" s="49" t="s">
        <v>3</v>
      </c>
      <c r="B17" s="51">
        <f>SUM(B14:B16)</f>
        <v>1</v>
      </c>
      <c r="C17" s="51">
        <f>SUM(C14:C16)</f>
        <v>1</v>
      </c>
      <c r="D17" s="51">
        <f>SUM(D14:D16)</f>
        <v>1</v>
      </c>
      <c r="E17" s="51">
        <f>SUM(E14:E16)</f>
        <v>1</v>
      </c>
      <c r="F17" s="32"/>
      <c r="G17" s="49" t="s">
        <v>3</v>
      </c>
      <c r="H17" s="51">
        <f>SUM(H14:H16)</f>
        <v>1</v>
      </c>
      <c r="I17" s="51">
        <f>SUM(I14:I16)</f>
        <v>1</v>
      </c>
      <c r="J17" s="51">
        <f>SUM(J14:J16)</f>
        <v>1</v>
      </c>
      <c r="K17" s="51">
        <f>SUM(K14:K16)</f>
        <v>1</v>
      </c>
      <c r="L17" s="32"/>
      <c r="M17" s="32"/>
      <c r="N17" s="45"/>
      <c r="O17" s="46"/>
      <c r="P17" s="46"/>
      <c r="Q17" s="45"/>
      <c r="T17">
        <f>WorkLocationCoefficients!B25</f>
        <v>15</v>
      </c>
      <c r="U17" t="str">
        <f>WorkLocationCoefficients!C25</f>
        <v>Beta00015</v>
      </c>
      <c r="V17" s="40">
        <f>WorkLocationCoefficients!E25</f>
        <v>-1.61322160644</v>
      </c>
      <c r="W17" s="162">
        <f>_xlfn.IFNA(VLOOKUP(T17,$M$13:$Q$39,5,FALSE),_xlfn.IFNA(VLOOKUP(T17,calibration_flow!$AD$3:$AH$25,5,FALSE),V17))</f>
        <v>-1.61322160644</v>
      </c>
      <c r="X17" s="95">
        <f si="0" t="shared"/>
        <v>0</v>
      </c>
      <c r="Z17" s="75">
        <v>8</v>
      </c>
      <c r="AA17" s="75" t="s">
        <v>260</v>
      </c>
      <c r="AB17" s="75"/>
      <c r="AC17" s="75"/>
      <c r="AD17" s="75"/>
      <c r="AE17" s="75"/>
    </row>
    <row r="18" spans="1:31" x14ac:dyDescent="0.25">
      <c r="A18" s="43"/>
      <c r="B18" s="44"/>
      <c r="C18" s="44"/>
      <c r="D18" s="44"/>
      <c r="E18" s="44"/>
      <c r="F18" s="32"/>
      <c r="G18" s="43"/>
      <c r="H18" s="44"/>
      <c r="I18" s="44"/>
      <c r="J18" s="44"/>
      <c r="K18" s="44"/>
      <c r="L18" s="32"/>
      <c r="M18" s="32"/>
      <c r="N18" s="45"/>
      <c r="O18" s="46"/>
      <c r="P18" s="46"/>
      <c r="Q18" s="45"/>
      <c r="T18">
        <f>WorkLocationCoefficients!B26</f>
        <v>16</v>
      </c>
      <c r="U18" t="str">
        <f>WorkLocationCoefficients!C26</f>
        <v>Beta00016</v>
      </c>
      <c r="V18" s="40">
        <f>WorkLocationCoefficients!E26</f>
        <v>0.130749629122</v>
      </c>
      <c r="W18" s="162">
        <f>_xlfn.IFNA(VLOOKUP(T18,$M$13:$Q$39,5,FALSE),_xlfn.IFNA(VLOOKUP(T18,calibration_flow!$AD$3:$AH$25,5,FALSE),V18))</f>
        <v>0.130749629122</v>
      </c>
      <c r="X18" s="95">
        <f si="0" t="shared"/>
        <v>0</v>
      </c>
    </row>
    <row r="19" spans="1:31" x14ac:dyDescent="0.25">
      <c r="A19" s="43"/>
      <c r="B19" s="44"/>
      <c r="C19" s="44"/>
      <c r="D19" s="44"/>
      <c r="E19" s="44"/>
      <c r="F19" s="32"/>
      <c r="G19" s="43"/>
      <c r="H19" s="44"/>
      <c r="I19" s="44"/>
      <c r="J19" s="44"/>
      <c r="K19" s="44"/>
      <c r="L19" s="32"/>
      <c r="M19" s="32"/>
      <c r="N19" s="45"/>
      <c r="O19" s="46"/>
      <c r="P19" s="46"/>
      <c r="Q19" s="45"/>
      <c r="R19" s="7"/>
      <c r="T19">
        <f>WorkLocationCoefficients!B27</f>
        <v>17</v>
      </c>
      <c r="U19" t="str">
        <f>WorkLocationCoefficients!C27</f>
        <v>Beta00017</v>
      </c>
      <c r="V19" s="40">
        <f>WorkLocationCoefficients!E27</f>
        <v>8.4077289836199998E-2</v>
      </c>
      <c r="W19" s="162">
        <f>_xlfn.IFNA(VLOOKUP(T19,$M$13:$Q$39,5,FALSE),_xlfn.IFNA(VLOOKUP(T19,calibration_flow!$AD$3:$AH$25,5,FALSE),V19))</f>
        <v>8.4077289836199998E-2</v>
      </c>
      <c r="X19" s="95">
        <f si="0" t="shared"/>
        <v>0</v>
      </c>
    </row>
    <row r="20" spans="1:31" x14ac:dyDescent="0.25">
      <c r="A20" s="32"/>
      <c r="B20" s="44"/>
      <c r="C20" s="44"/>
      <c r="D20" s="44"/>
      <c r="E20" s="44"/>
      <c r="F20" s="32"/>
      <c r="G20" s="32"/>
      <c r="H20" s="44"/>
      <c r="I20" s="44"/>
      <c r="J20" s="44"/>
      <c r="K20" s="44"/>
      <c r="L20" s="32"/>
      <c r="M20" s="32"/>
      <c r="N20" s="32"/>
      <c r="O20" s="32"/>
      <c r="P20" s="46"/>
      <c r="Q20" s="32"/>
      <c r="T20">
        <f>WorkLocationCoefficients!B28</f>
        <v>18</v>
      </c>
      <c r="U20" t="str">
        <f>WorkLocationCoefficients!C28</f>
        <v>Beta00018</v>
      </c>
      <c r="V20" s="40">
        <f>WorkLocationCoefficients!E28</f>
        <v>0</v>
      </c>
      <c r="W20" s="162">
        <f>_xlfn.IFNA(VLOOKUP(T20,$M$13:$Q$39,5,FALSE),_xlfn.IFNA(VLOOKUP(T20,calibration_flow!$AD$3:$AH$25,5,FALSE),V20))</f>
        <v>0</v>
      </c>
      <c r="X20" s="95">
        <f si="0" t="shared"/>
        <v>0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40">
        <f>WorkLocationCoefficients!E29</f>
        <v>0.106386053639</v>
      </c>
      <c r="W21" s="162">
        <f>_xlfn.IFNA(VLOOKUP(T21,$M$13:$Q$39,5,FALSE),_xlfn.IFNA(VLOOKUP(T21,calibration_flow!$AD$3:$AH$25,5,FALSE),V21))</f>
        <v>0.106386053639</v>
      </c>
      <c r="X21" s="95">
        <f si="0" t="shared"/>
        <v>0</v>
      </c>
    </row>
    <row r="22" spans="1:31" x14ac:dyDescent="0.25">
      <c r="N22" s="37"/>
      <c r="Q22" s="38"/>
      <c r="T22">
        <f>WorkLocationCoefficients!B30</f>
        <v>20</v>
      </c>
      <c r="U22" t="str">
        <f>WorkLocationCoefficients!C30</f>
        <v>Beta00020</v>
      </c>
      <c r="V22" s="40">
        <f>WorkLocationCoefficients!E30</f>
        <v>0.88087687792799996</v>
      </c>
      <c r="W22" s="162">
        <f>_xlfn.IFNA(VLOOKUP(T22,$M$13:$Q$39,5,FALSE),_xlfn.IFNA(VLOOKUP(T22,calibration_flow!$AD$3:$AH$25,5,FALSE),V22))</f>
        <v>0.88087687792799996</v>
      </c>
      <c r="X22" s="95">
        <f si="0" t="shared"/>
        <v>0</v>
      </c>
    </row>
    <row r="23" spans="1:31" x14ac:dyDescent="0.25">
      <c r="A23" s="42" t="s">
        <v>242</v>
      </c>
      <c r="B23" s="32"/>
      <c r="C23" s="32"/>
      <c r="D23" s="32"/>
      <c r="E23" s="32"/>
      <c r="F23" s="32"/>
      <c r="G23" s="220" t="s">
        <v>425</v>
      </c>
      <c r="H23" s="98"/>
      <c r="I23" s="98"/>
      <c r="J23" s="32"/>
      <c r="K23" s="32"/>
      <c r="L23" s="32"/>
      <c r="M23" s="32"/>
      <c r="N23" s="32"/>
      <c r="O23" s="32"/>
      <c r="P23" s="32"/>
      <c r="Q23" s="32"/>
      <c r="T23">
        <f>WorkLocationCoefficients!B31</f>
        <v>21</v>
      </c>
      <c r="U23" t="str">
        <f>WorkLocationCoefficients!C31</f>
        <v>Beta00021</v>
      </c>
      <c r="V23" s="40">
        <f>WorkLocationCoefficients!E31</f>
        <v>-0.16458061134300001</v>
      </c>
      <c r="W23" s="162">
        <f>_xlfn.IFNA(VLOOKUP(T23,$M$13:$Q$39,5,FALSE),_xlfn.IFNA(VLOOKUP(T23,calibration_flow!$AD$3:$AH$25,5,FALSE),V23))</f>
        <v>-0.16458061134300001</v>
      </c>
      <c r="X23" s="95">
        <f si="0" t="shared"/>
        <v>0</v>
      </c>
    </row>
    <row ht="15.75" r="24" spans="1:31" thickBot="1" x14ac:dyDescent="0.3">
      <c r="A24" s="32"/>
      <c r="B24" s="32"/>
      <c r="C24" s="32"/>
      <c r="D24" s="32"/>
      <c r="E24" s="32"/>
      <c r="F24" s="32"/>
      <c r="G24" s="98"/>
      <c r="H24" s="98"/>
      <c r="I24" s="98"/>
      <c r="J24" s="32"/>
      <c r="K24" s="32"/>
      <c r="L24" s="32"/>
      <c r="M24" s="36" t="s">
        <v>431</v>
      </c>
      <c r="N24" s="95"/>
      <c r="O24" s="95"/>
      <c r="P24" s="95"/>
      <c r="Q24" s="95"/>
      <c r="R24" s="95"/>
      <c r="T24">
        <f>WorkLocationCoefficients!B32</f>
        <v>22</v>
      </c>
      <c r="U24" t="str">
        <f>WorkLocationCoefficients!C32</f>
        <v>Beta00022</v>
      </c>
      <c r="V24" s="40">
        <f>WorkLocationCoefficients!E32</f>
        <v>0.154182014038</v>
      </c>
      <c r="W24" s="162">
        <f>_xlfn.IFNA(VLOOKUP(T24,$M$13:$Q$39,5,FALSE),_xlfn.IFNA(VLOOKUP(T24,calibration_flow!$AD$3:$AH$25,5,FALSE),V24))</f>
        <v>0.154182014038</v>
      </c>
      <c r="X24" s="95">
        <f si="0" t="shared"/>
        <v>0</v>
      </c>
    </row>
    <row r="25" spans="1:31" x14ac:dyDescent="0.25">
      <c r="A25" s="5"/>
      <c r="B25" s="5" t="s">
        <v>203</v>
      </c>
      <c r="C25" s="5" t="s">
        <v>253</v>
      </c>
      <c r="D25" s="52"/>
      <c r="E25" s="52"/>
      <c r="G25" s="221"/>
      <c r="H25" s="221" t="s">
        <v>203</v>
      </c>
      <c r="I25" s="221" t="s">
        <v>253</v>
      </c>
      <c r="J25" s="52"/>
      <c r="K25" s="52"/>
      <c r="M25" s="228" t="s">
        <v>225</v>
      </c>
      <c r="N25" s="228" t="s">
        <v>223</v>
      </c>
      <c r="O25" s="228" t="s">
        <v>221</v>
      </c>
      <c r="P25" s="228" t="s">
        <v>222</v>
      </c>
      <c r="Q25" s="228" t="s">
        <v>224</v>
      </c>
      <c r="R25" s="229" t="str">
        <f>R13</f>
        <v>damp</v>
      </c>
      <c r="T25">
        <f>WorkLocationCoefficients!B33</f>
        <v>23</v>
      </c>
      <c r="U25" t="str">
        <f>WorkLocationCoefficients!C33</f>
        <v>Beta00023</v>
      </c>
      <c r="V25" s="40">
        <f>WorkLocationCoefficients!E33</f>
        <v>4.79448884421E-2</v>
      </c>
      <c r="W25" s="162">
        <f>_xlfn.IFNA(VLOOKUP(T25,$M$13:$Q$39,5,FALSE),_xlfn.IFNA(VLOOKUP(T25,calibration_flow!$AD$3:$AH$25,5,FALSE),V25))</f>
        <v>4.79448884421E-2</v>
      </c>
      <c r="X25" s="95">
        <f si="0" t="shared"/>
        <v>0</v>
      </c>
    </row>
    <row r="26" spans="1:31" x14ac:dyDescent="0.25">
      <c r="A26" s="48" t="s">
        <v>217</v>
      </c>
      <c r="B26" s="70">
        <f>WorkAtHome!E14</f>
        <v>27324.08288681084</v>
      </c>
      <c r="C26" s="70">
        <f>WorkAtHome!L14</f>
        <v>60860</v>
      </c>
      <c r="D26" s="55"/>
      <c r="E26" s="55"/>
      <c r="G26" s="222" t="s">
        <v>425</v>
      </c>
      <c r="H26" s="223">
        <f>Telecommute!E18</f>
        <v>26320.20201155094</v>
      </c>
      <c r="I26" s="223">
        <f>Telecommute!L18</f>
        <v>153940</v>
      </c>
      <c r="J26" s="55"/>
      <c r="K26" s="55"/>
      <c r="L26" s="32"/>
      <c r="M26" s="230" t="s">
        <v>430</v>
      </c>
      <c r="N26" s="231">
        <v>-1.9179999999999999</v>
      </c>
      <c r="O26" s="232">
        <f>IFERROR(J31/I31,1)</f>
        <v>1.0336078991814992</v>
      </c>
      <c r="P26" s="232">
        <f>R26*LN(O26)</f>
        <v>0</v>
      </c>
      <c r="Q26" s="233">
        <f>N26+P26</f>
        <v>-1.9179999999999999</v>
      </c>
      <c r="R26" s="91">
        <v>0</v>
      </c>
      <c r="T26">
        <f>WorkLocationCoefficients!B34</f>
        <v>24</v>
      </c>
      <c r="U26" t="str">
        <f>WorkLocationCoefficients!C34</f>
        <v>Beta00024</v>
      </c>
      <c r="V26" s="40">
        <f>WorkLocationCoefficients!E34</f>
        <v>6.4843520043099998E-2</v>
      </c>
      <c r="W26" s="162">
        <f>_xlfn.IFNA(VLOOKUP(T26,$M$13:$Q$39,5,FALSE),_xlfn.IFNA(VLOOKUP(T26,calibration_flow!$AD$3:$AH$25,5,FALSE),V26))</f>
        <v>6.4843520043099998E-2</v>
      </c>
      <c r="X26" s="95">
        <f si="0" t="shared"/>
        <v>0</v>
      </c>
    </row>
    <row ht="15.75" r="27" spans="1:31" thickBot="1" x14ac:dyDescent="0.3">
      <c r="A27" s="49" t="s">
        <v>3</v>
      </c>
      <c r="B27" s="61">
        <f>WorkAtHome!E25</f>
        <v>843988.16359034483</v>
      </c>
      <c r="C27" s="61">
        <f>WorkAtHome!L25</f>
        <v>999880</v>
      </c>
      <c r="D27" s="7"/>
      <c r="G27" s="224" t="s">
        <v>3</v>
      </c>
      <c r="H27" s="225">
        <f>Telecommute!E33</f>
        <v>379545.8901991556</v>
      </c>
      <c r="I27" s="225">
        <f>Telecommute!L33</f>
        <v>999880</v>
      </c>
      <c r="J27" s="7"/>
      <c r="K27" s="7"/>
      <c r="M27" s="32"/>
      <c r="N27" s="32"/>
      <c r="O27" s="32"/>
      <c r="P27" s="32"/>
      <c r="Q27" s="32"/>
      <c r="T27">
        <f>WorkLocationCoefficients!B35</f>
        <v>25</v>
      </c>
      <c r="U27" t="str">
        <f>WorkLocationCoefficients!C35</f>
        <v>Beta00025</v>
      </c>
      <c r="V27" s="40">
        <f>WorkLocationCoefficients!E35</f>
        <v>0.15272053169499999</v>
      </c>
      <c r="W27" s="162">
        <f>_xlfn.IFNA(VLOOKUP(T27,$M$13:$Q$39,5,FALSE),_xlfn.IFNA(VLOOKUP(T27,calibration_flow!$AD$3:$AH$25,5,FALSE),V27))</f>
        <v>0.15272053169499999</v>
      </c>
      <c r="X27" s="95">
        <f si="0" t="shared"/>
        <v>0</v>
      </c>
    </row>
    <row r="28" spans="1:31" x14ac:dyDescent="0.25">
      <c r="G28" s="98"/>
      <c r="H28" s="98"/>
      <c r="I28" s="98"/>
      <c r="T28">
        <f>WorkLocationCoefficients!B36</f>
        <v>26</v>
      </c>
      <c r="U28" t="str">
        <f>WorkLocationCoefficients!C36</f>
        <v>Beta00026</v>
      </c>
      <c r="V28" s="40">
        <f>WorkLocationCoefficients!E36</f>
        <v>7.2028590735099998E-2</v>
      </c>
      <c r="W28" s="162">
        <f>_xlfn.IFNA(VLOOKUP(T28,$M$13:$Q$39,5,FALSE),_xlfn.IFNA(VLOOKUP(T28,calibration_flow!$AD$3:$AH$25,5,FALSE),V28))</f>
        <v>7.2028590735099998E-2</v>
      </c>
      <c r="X28" s="95">
        <f si="0" t="shared"/>
        <v>0</v>
      </c>
    </row>
    <row ht="15.75" r="29" spans="1:31" thickBot="1" x14ac:dyDescent="0.3">
      <c r="A29" t="s">
        <v>243</v>
      </c>
      <c r="G29" s="98" t="s">
        <v>243</v>
      </c>
      <c r="H29" s="98"/>
      <c r="I29" s="98"/>
      <c r="M29" s="10" t="s">
        <v>392</v>
      </c>
      <c r="T29">
        <f>WorkLocationCoefficients!B37</f>
        <v>27</v>
      </c>
      <c r="U29" t="str">
        <f>WorkLocationCoefficients!C37</f>
        <v>Beta00027</v>
      </c>
      <c r="V29" s="40">
        <f>WorkLocationCoefficients!E37</f>
        <v>-0.27934224041799999</v>
      </c>
      <c r="W29" s="162">
        <f>_xlfn.IFNA(VLOOKUP(T29,$M$13:$Q$39,5,FALSE),_xlfn.IFNA(VLOOKUP(T29,calibration_flow!$AD$3:$AH$25,5,FALSE),V29))</f>
        <v>-0.27934224041799999</v>
      </c>
      <c r="X29" s="95">
        <f si="0" t="shared"/>
        <v>0</v>
      </c>
    </row>
    <row ht="45" r="30" spans="1:31" x14ac:dyDescent="0.25">
      <c r="A30" s="5"/>
      <c r="B30" s="5" t="s">
        <v>203</v>
      </c>
      <c r="C30" s="5" t="s">
        <v>253</v>
      </c>
      <c r="D30" s="52" t="s">
        <v>404</v>
      </c>
      <c r="E30" s="52"/>
      <c r="G30" s="221"/>
      <c r="H30" s="221" t="str">
        <f>H25</f>
        <v>Survey</v>
      </c>
      <c r="I30" s="221" t="str">
        <f>I25</f>
        <v>DaySim</v>
      </c>
      <c r="J30" s="234" t="s">
        <v>432</v>
      </c>
      <c r="K30" s="234" t="s">
        <v>433</v>
      </c>
      <c r="M30" s="5" t="s">
        <v>225</v>
      </c>
      <c r="N30" s="5" t="s">
        <v>223</v>
      </c>
      <c r="O30" s="5" t="s">
        <v>221</v>
      </c>
      <c r="P30" s="5" t="s">
        <v>222</v>
      </c>
      <c r="Q30" s="5" t="s">
        <v>224</v>
      </c>
      <c r="R30" s="54" t="s">
        <v>268</v>
      </c>
      <c r="T30">
        <f>WorkLocationCoefficients!B38</f>
        <v>28</v>
      </c>
      <c r="U30" t="str">
        <f>WorkLocationCoefficients!C38</f>
        <v>Beta00028</v>
      </c>
      <c r="V30" s="40">
        <f>WorkLocationCoefficients!E38</f>
        <v>4.3626229225700003E-2</v>
      </c>
      <c r="W30" s="162">
        <f>_xlfn.IFNA(VLOOKUP(T30,$M$13:$Q$39,5,FALSE),_xlfn.IFNA(VLOOKUP(T30,calibration_flow!$AD$3:$AH$25,5,FALSE),V30))</f>
        <v>4.3626229225700003E-2</v>
      </c>
      <c r="X30" s="95">
        <f si="0" t="shared"/>
        <v>0</v>
      </c>
    </row>
    <row r="31" spans="1:31" x14ac:dyDescent="0.25">
      <c r="A31" s="48" t="s">
        <v>217</v>
      </c>
      <c r="B31" s="57">
        <f>B26/B27</f>
        <v>3.2374959822390838E-2</v>
      </c>
      <c r="C31" s="57">
        <f>C26/C27</f>
        <v>6.086730407648918E-2</v>
      </c>
      <c r="D31" s="104">
        <f>C26/(K10+C26)</f>
        <v>6.8282284303825866E-2</v>
      </c>
      <c r="E31" s="55"/>
      <c r="G31" s="222" t="s">
        <v>425</v>
      </c>
      <c r="H31" s="226">
        <f>IFERROR(H26/H27,0)</f>
        <v>6.934656043236348E-2</v>
      </c>
      <c r="I31" s="226">
        <f>IFERROR(I26/I27,0)</f>
        <v>0.15395847501700205</v>
      </c>
      <c r="J31" s="235">
        <f>K31-C31</f>
        <v>0.15913269592351081</v>
      </c>
      <c r="K31" s="100">
        <v>0.22</v>
      </c>
      <c r="M31" s="6">
        <v>41</v>
      </c>
      <c r="N31" s="158">
        <f>V39</f>
        <v>-1.2033803293631999</v>
      </c>
      <c r="O31" s="13">
        <f>B31/C31</f>
        <v>0.53189409837680168</v>
      </c>
      <c r="P31" s="159">
        <f>R31*LN(O31)</f>
        <v>0</v>
      </c>
      <c r="Q31" s="160">
        <f>N31+P31</f>
        <v>-1.2033803293631999</v>
      </c>
      <c r="R31" s="91">
        <v>0</v>
      </c>
      <c r="T31">
        <f>WorkLocationCoefficients!B39</f>
        <v>29</v>
      </c>
      <c r="U31" t="str">
        <f>WorkLocationCoefficients!C39</f>
        <v>Beta00029</v>
      </c>
      <c r="V31" s="40">
        <f>WorkLocationCoefficients!E39</f>
        <v>-8.7886819411100006E-2</v>
      </c>
      <c r="W31" s="162">
        <f>_xlfn.IFNA(VLOOKUP(T31,$M$13:$Q$39,5,FALSE),_xlfn.IFNA(VLOOKUP(T31,calibration_flow!$AD$3:$AH$25,5,FALSE),V31))</f>
        <v>-8.7886819411100006E-2</v>
      </c>
      <c r="X31" s="95">
        <f si="0" t="shared"/>
        <v>0</v>
      </c>
    </row>
    <row ht="15.75" r="32" spans="1:31" thickBot="1" x14ac:dyDescent="0.3">
      <c r="A32" s="49" t="s">
        <v>3</v>
      </c>
      <c r="B32" s="56">
        <f>B27/B27</f>
        <v>1</v>
      </c>
      <c r="C32" s="56">
        <f>C27/C27</f>
        <v>1</v>
      </c>
      <c r="G32" s="224" t="s">
        <v>3</v>
      </c>
      <c r="H32" s="227">
        <f>IFERROR(H27/H27,0)</f>
        <v>1</v>
      </c>
      <c r="I32" s="227">
        <f>IFERROR(I27/I27,0)</f>
        <v>1</v>
      </c>
      <c r="T32">
        <f>WorkLocationCoefficients!B40</f>
        <v>30</v>
      </c>
      <c r="U32" t="str">
        <f>WorkLocationCoefficients!C40</f>
        <v>Beta00030</v>
      </c>
      <c r="V32" s="40">
        <f>WorkLocationCoefficients!E40</f>
        <v>-4.2894941477000001E-2</v>
      </c>
      <c r="W32" s="162">
        <f>_xlfn.IFNA(VLOOKUP(T32,$M$13:$Q$39,5,FALSE),_xlfn.IFNA(VLOOKUP(T32,calibration_flow!$AD$3:$AH$25,5,FALSE),V32))</f>
        <v>-4.2894941477000001E-2</v>
      </c>
      <c r="X32" s="95">
        <f si="0" t="shared"/>
        <v>0</v>
      </c>
    </row>
    <row r="33" spans="1:24" x14ac:dyDescent="0.25">
      <c r="T33">
        <f>WorkLocationCoefficients!B41</f>
        <v>31</v>
      </c>
      <c r="U33" t="str">
        <f>WorkLocationCoefficients!C41</f>
        <v>Beta00031</v>
      </c>
      <c r="V33" s="40">
        <f>WorkLocationCoefficients!E41</f>
        <v>-0.13045579928000001</v>
      </c>
      <c r="W33" s="162">
        <f>_xlfn.IFNA(VLOOKUP(T33,$M$13:$Q$39,5,FALSE),_xlfn.IFNA(VLOOKUP(T33,calibration_flow!$AD$3:$AH$25,5,FALSE),V33))</f>
        <v>-0.13045579928000001</v>
      </c>
      <c r="X33" s="95">
        <f si="0" t="shared"/>
        <v>0</v>
      </c>
    </row>
    <row ht="15.75" r="34" spans="1:24" thickBot="1" x14ac:dyDescent="0.3">
      <c r="A34" s="1"/>
      <c r="B34" s="1"/>
      <c r="C34" s="1"/>
      <c r="D34" s="1"/>
      <c r="E34" s="1"/>
      <c r="F34" s="1"/>
      <c r="G34" s="1"/>
      <c r="H34" s="1"/>
      <c r="T34">
        <f>WorkLocationCoefficients!B42</f>
        <v>32</v>
      </c>
      <c r="U34" t="str">
        <f>WorkLocationCoefficients!C42</f>
        <v>Beta00032</v>
      </c>
      <c r="V34" s="40">
        <f>WorkLocationCoefficients!E42</f>
        <v>0.18945088644899999</v>
      </c>
      <c r="W34" s="162">
        <f>_xlfn.IFNA(VLOOKUP(T34,$M$13:$Q$39,5,FALSE),_xlfn.IFNA(VLOOKUP(T34,calibration_flow!$AD$3:$AH$25,5,FALSE),V34))</f>
        <v>0.18945088644899999</v>
      </c>
      <c r="X34" s="95">
        <f si="0" t="shared"/>
        <v>0</v>
      </c>
    </row>
    <row r="35" spans="1:24" x14ac:dyDescent="0.25">
      <c r="A35" s="7"/>
      <c r="B35" s="7"/>
      <c r="C35" s="5" t="s">
        <v>9</v>
      </c>
      <c r="D35" s="5"/>
      <c r="E35" s="5" t="s">
        <v>10</v>
      </c>
      <c r="F35" s="5"/>
      <c r="G35" s="3" t="s">
        <v>269</v>
      </c>
      <c r="H35" s="3"/>
      <c r="M35" s="36"/>
      <c r="T35">
        <f>WorkLocationCoefficients!B43</f>
        <v>33</v>
      </c>
      <c r="U35" t="str">
        <f>WorkLocationCoefficients!C43</f>
        <v>Beta00033</v>
      </c>
      <c r="V35" s="40">
        <f>WorkLocationCoefficients!E43</f>
        <v>-0.179523169776</v>
      </c>
      <c r="W35" s="162">
        <f>_xlfn.IFNA(VLOOKUP(T35,$M$13:$Q$39,5,FALSE),_xlfn.IFNA(VLOOKUP(T35,calibration_flow!$AD$3:$AH$25,5,FALSE),V35))</f>
        <v>-0.179523169776</v>
      </c>
      <c r="X35" s="95">
        <f si="0" t="shared"/>
        <v>0</v>
      </c>
    </row>
    <row ht="15.75" r="36" spans="1:24" thickBot="1" x14ac:dyDescent="0.3">
      <c r="A36" s="6" t="s">
        <v>270</v>
      </c>
      <c r="B36" s="6" t="s">
        <v>271</v>
      </c>
      <c r="C36" s="6" t="s">
        <v>203</v>
      </c>
      <c r="D36" s="6" t="s">
        <v>219</v>
      </c>
      <c r="E36" s="6" t="s">
        <v>203</v>
      </c>
      <c r="F36" s="6" t="s">
        <v>219</v>
      </c>
      <c r="G36" s="80" t="s">
        <v>9</v>
      </c>
      <c r="H36" s="80" t="s">
        <v>10</v>
      </c>
      <c r="M36" s="10" t="s">
        <v>394</v>
      </c>
      <c r="T36">
        <f>WorkLocationCoefficients!B44</f>
        <v>34</v>
      </c>
      <c r="U36" t="str">
        <f>WorkLocationCoefficients!C44</f>
        <v>Beta00034</v>
      </c>
      <c r="V36" s="40">
        <f>WorkLocationCoefficients!E44</f>
        <v>0.17233347539499999</v>
      </c>
      <c r="W36" s="162">
        <f>_xlfn.IFNA(VLOOKUP(T36,$M$13:$Q$39,5,FALSE),_xlfn.IFNA(VLOOKUP(T36,calibration_flow!$AD$3:$AH$25,5,FALSE),V36))</f>
        <v>0.17233347539499999</v>
      </c>
      <c r="X36" s="95">
        <f si="0" t="shared"/>
        <v>0</v>
      </c>
    </row>
    <row r="37" spans="1:24" x14ac:dyDescent="0.25">
      <c r="A37">
        <f>TLFD!A11+0.5</f>
        <v>0.5</v>
      </c>
      <c r="B37" s="81">
        <f>LN(1+A37)</f>
        <v>0.40546510810816438</v>
      </c>
      <c r="C37" s="78">
        <f>TLFD!C11/SUM(TLFD!$C$11:$C$100)</f>
        <v>3.8974557477264138E-2</v>
      </c>
      <c r="D37" s="78">
        <f>TLFD!I11/SUM(TLFD!$I$11:$I$100)</f>
        <v>3.6630036630036632E-2</v>
      </c>
      <c r="E37" s="78">
        <f>TLFD!D11/SUM(TLFD!$D$11:$D$101)</f>
        <v>2.4485331414780317E-2</v>
      </c>
      <c r="F37" s="78">
        <f>TLFD!J11/SUM(TLFD!$J$11:$J$100)</f>
        <v>3.2582938388625596E-2</v>
      </c>
      <c r="G37" s="141">
        <f ref="G37:G100" si="3" t="shared">IF(AND(C37&gt;0, D37&gt;0),LN(C37/D37),0)</f>
        <v>6.2040484073128101E-2</v>
      </c>
      <c r="H37" s="141">
        <f>IF(AND(E37&gt;0, F37&gt;0),LN(E37/F37),0)</f>
        <v>-0.2857145685751451</v>
      </c>
      <c r="M37" s="82" t="s">
        <v>272</v>
      </c>
      <c r="N37" s="82" t="s">
        <v>273</v>
      </c>
      <c r="O37" s="82" t="s">
        <v>222</v>
      </c>
      <c r="P37" s="82" t="s">
        <v>223</v>
      </c>
      <c r="Q37" s="82" t="s">
        <v>224</v>
      </c>
      <c r="R37" s="54" t="s">
        <v>268</v>
      </c>
      <c r="T37">
        <f>WorkLocationCoefficients!B45</f>
        <v>35</v>
      </c>
      <c r="U37" t="str">
        <f>WorkLocationCoefficients!C45</f>
        <v>Beta00035</v>
      </c>
      <c r="V37" s="40">
        <f>WorkLocationCoefficients!E45</f>
        <v>-0.194698386872</v>
      </c>
      <c r="W37" s="162">
        <f>_xlfn.IFNA(VLOOKUP(T37,$M$13:$Q$39,5,FALSE),_xlfn.IFNA(VLOOKUP(T37,calibration_flow!$AD$3:$AH$25,5,FALSE),V37))</f>
        <v>-0.194698386872</v>
      </c>
      <c r="X37" s="95">
        <f si="0" t="shared"/>
        <v>0</v>
      </c>
    </row>
    <row r="38" spans="1:24" x14ac:dyDescent="0.25">
      <c r="A38">
        <f>TLFD!A12+0.5</f>
        <v>1.5</v>
      </c>
      <c r="B38" s="81">
        <f ref="B38:B101" si="4" t="shared">LN(1+A38)</f>
        <v>0.91629073187415511</v>
      </c>
      <c r="C38" s="78">
        <f>TLFD!C12/SUM(TLFD!$C$11:$C$100)</f>
        <v>9.5771206309127235E-2</v>
      </c>
      <c r="D38" s="78">
        <f>TLFD!I12/SUM(TLFD!$I$11:$I$100)</f>
        <v>8.2295482295482295E-2</v>
      </c>
      <c r="E38" s="78">
        <f>TLFD!D12/SUM(TLFD!$D$11:$D$101)</f>
        <v>0.14576601693827673</v>
      </c>
      <c r="F38" s="78">
        <f>TLFD!J12/SUM(TLFD!$J$11:$J$100)</f>
        <v>0.1066350710900474</v>
      </c>
      <c r="G38" s="141">
        <f si="3" t="shared"/>
        <v>0.15164586630461835</v>
      </c>
      <c r="H38" s="141">
        <f ref="H38:H101" si="5" t="shared">IF(AND(E38&gt;0, F38&gt;0),LN(E38/F38),0)</f>
        <v>0.312590257706367</v>
      </c>
      <c r="M38" s="92">
        <v>9</v>
      </c>
      <c r="N38" s="83"/>
      <c r="O38" s="161">
        <f>K64</f>
        <v>-2.3769499067547318E-2</v>
      </c>
      <c r="P38" s="161">
        <f>VLOOKUP(M38,$T:$W,3,FALSE)</f>
        <v>-2.1673496431996999</v>
      </c>
      <c r="Q38" s="161">
        <f>P38+O38*R38</f>
        <v>-2.1673496431996999</v>
      </c>
      <c r="R38" s="91">
        <v>0</v>
      </c>
      <c r="T38">
        <f>WorkLocationCoefficients!B46</f>
        <v>36</v>
      </c>
      <c r="U38" t="str">
        <f>WorkLocationCoefficients!C46</f>
        <v>Beta00036</v>
      </c>
      <c r="V38" s="40">
        <f>WorkLocationCoefficients!E46</f>
        <v>0.38785322122799998</v>
      </c>
      <c r="W38" s="162">
        <f>_xlfn.IFNA(VLOOKUP(T38,$M$13:$Q$39,5,FALSE),_xlfn.IFNA(VLOOKUP(T38,calibration_flow!$AD$3:$AH$25,5,FALSE),V38))</f>
        <v>0.38785322122799998</v>
      </c>
      <c r="X38" s="95">
        <f si="0" t="shared"/>
        <v>0</v>
      </c>
    </row>
    <row r="39" spans="1:24" x14ac:dyDescent="0.25">
      <c r="A39">
        <f>TLFD!A13+0.5</f>
        <v>2.5</v>
      </c>
      <c r="B39" s="81">
        <f si="4" t="shared"/>
        <v>1.2527629684953681</v>
      </c>
      <c r="C39" s="78">
        <f>TLFD!C13/SUM(TLFD!$C$11:$C$100)</f>
        <v>7.1907422183216593E-2</v>
      </c>
      <c r="D39" s="78">
        <f>TLFD!I13/SUM(TLFD!$I$11:$I$100)</f>
        <v>9.8168498168498167E-2</v>
      </c>
      <c r="E39" s="78">
        <f>TLFD!D13/SUM(TLFD!$D$11:$D$101)</f>
        <v>3.1224441352129154E-2</v>
      </c>
      <c r="F39" s="78">
        <f>TLFD!J13/SUM(TLFD!$J$11:$J$100)</f>
        <v>0.11196682464454977</v>
      </c>
      <c r="G39" s="141">
        <f si="3" t="shared"/>
        <v>-0.31130588266279063</v>
      </c>
      <c r="H39" s="141">
        <f si="5" t="shared"/>
        <v>-1.2770014540789851</v>
      </c>
      <c r="M39" s="93">
        <v>10</v>
      </c>
      <c r="N39" s="6"/>
      <c r="O39" s="159">
        <f>K90</f>
        <v>3.2297982090088391E-2</v>
      </c>
      <c r="P39" s="159">
        <f>VLOOKUP(M39,$T:$W,3,FALSE)</f>
        <v>-3.3544504276017002</v>
      </c>
      <c r="Q39" s="159">
        <f>P39+O39*R39</f>
        <v>-3.3544504276017002</v>
      </c>
      <c r="R39" s="91">
        <v>0</v>
      </c>
      <c r="T39" s="72">
        <f>WorkLocationCoefficients!B47</f>
        <v>41</v>
      </c>
      <c r="U39" s="72" t="str">
        <f>WorkLocationCoefficients!C47</f>
        <v>Beta00041</v>
      </c>
      <c r="V39" s="73">
        <f>WorkLocationCoefficients!E47</f>
        <v>-1.2033803293631999</v>
      </c>
      <c r="W39" s="162">
        <f>_xlfn.IFNA(VLOOKUP(T39,$M$13:$Q$39,5,FALSE),_xlfn.IFNA(VLOOKUP(T39,calibration_flow!$AD$3:$AH$25,5,FALSE),V39))</f>
        <v>-1.2033803293631999</v>
      </c>
      <c r="X39" s="95">
        <f si="0" t="shared"/>
        <v>0</v>
      </c>
    </row>
    <row r="40" spans="1:24" x14ac:dyDescent="0.25">
      <c r="A40">
        <f>TLFD!A14+0.5</f>
        <v>3.5</v>
      </c>
      <c r="B40" s="81">
        <f si="4" t="shared"/>
        <v>1.5040773967762742</v>
      </c>
      <c r="C40" s="78">
        <f>TLFD!C14/SUM(TLFD!$C$11:$C$100)</f>
        <v>8.1158691744466882E-2</v>
      </c>
      <c r="D40" s="78">
        <f>TLFD!I14/SUM(TLFD!$I$11:$I$100)</f>
        <v>9.4017094017094016E-2</v>
      </c>
      <c r="E40" s="78">
        <f>TLFD!D14/SUM(TLFD!$D$11:$D$101)</f>
        <v>0.120389112035319</v>
      </c>
      <c r="F40" s="78">
        <f>TLFD!J14/SUM(TLFD!$J$11:$J$100)</f>
        <v>0.10604265402843602</v>
      </c>
      <c r="G40" s="141">
        <f si="3" t="shared"/>
        <v>-0.14707022161702288</v>
      </c>
      <c r="H40" s="141">
        <f si="5" t="shared"/>
        <v>0.12688768751820689</v>
      </c>
      <c r="T40">
        <f>WorkLocationCoefficients!B48</f>
        <v>42</v>
      </c>
      <c r="U40" t="str">
        <f>WorkLocationCoefficients!C48</f>
        <v>Beta00042</v>
      </c>
      <c r="V40" s="40">
        <f>WorkLocationCoefficients!E48</f>
        <v>5.07828619993</v>
      </c>
      <c r="W40" s="162">
        <f>_xlfn.IFNA(VLOOKUP(T40,$M$13:$Q$39,5,FALSE),_xlfn.IFNA(VLOOKUP(T40,calibration_flow!$AD$3:$AH$25,5,FALSE),V40))</f>
        <v>5.07828619993</v>
      </c>
      <c r="X40" s="95">
        <f si="0" t="shared"/>
        <v>0</v>
      </c>
    </row>
    <row r="41" spans="1:24" x14ac:dyDescent="0.25">
      <c r="A41">
        <f>TLFD!A15+0.5</f>
        <v>4.5</v>
      </c>
      <c r="B41" s="81">
        <f si="4" t="shared"/>
        <v>1.7047480922384253</v>
      </c>
      <c r="C41" s="78">
        <f>TLFD!C15/SUM(TLFD!$C$11:$C$100)</f>
        <v>5.7744464587229004E-2</v>
      </c>
      <c r="D41" s="78">
        <f>TLFD!I15/SUM(TLFD!$I$11:$I$100)</f>
        <v>8.4981684981684985E-2</v>
      </c>
      <c r="E41" s="78">
        <f>TLFD!D15/SUM(TLFD!$D$11:$D$101)</f>
        <v>8.8576816294646504E-2</v>
      </c>
      <c r="F41" s="78">
        <f>TLFD!J15/SUM(TLFD!$J$11:$J$100)</f>
        <v>9.6563981042654026E-2</v>
      </c>
      <c r="G41" s="141">
        <f si="3" t="shared"/>
        <v>-0.38640826896496233</v>
      </c>
      <c r="H41" s="141">
        <f si="5" t="shared"/>
        <v>-8.6335648366084011E-2</v>
      </c>
      <c r="I41" s="7"/>
      <c r="J41" s="7"/>
      <c r="K41" s="7"/>
      <c r="L41" s="7"/>
      <c r="M41" s="7"/>
      <c r="N41" s="7"/>
      <c r="O41" s="7"/>
      <c r="P41" s="7"/>
      <c r="Q41" s="7"/>
      <c r="T41">
        <f>WorkLocationCoefficients!B49</f>
        <v>43</v>
      </c>
      <c r="U41" t="str">
        <f>WorkLocationCoefficients!C49</f>
        <v>Beta00043</v>
      </c>
      <c r="V41" s="40">
        <f>WorkLocationCoefficients!E49</f>
        <v>-3.0390882271000002</v>
      </c>
      <c r="W41" s="162">
        <f>_xlfn.IFNA(VLOOKUP(T41,$M$13:$Q$39,5,FALSE),_xlfn.IFNA(VLOOKUP(T41,calibration_flow!$AD$3:$AH$25,5,FALSE),V41))</f>
        <v>-3.0390882271000002</v>
      </c>
      <c r="X41" s="95">
        <f si="0" t="shared"/>
        <v>0</v>
      </c>
    </row>
    <row r="42" spans="1:24" x14ac:dyDescent="0.25">
      <c r="A42">
        <f>TLFD!A16+0.5</f>
        <v>5.5</v>
      </c>
      <c r="B42" s="81">
        <f si="4" t="shared"/>
        <v>1.8718021769015913</v>
      </c>
      <c r="C42" s="78">
        <f>TLFD!C16/SUM(TLFD!$C$11:$C$100)</f>
        <v>5.1242850337627155E-2</v>
      </c>
      <c r="D42" s="78">
        <f>TLFD!I16/SUM(TLFD!$I$11:$I$100)</f>
        <v>8.2295482295482295E-2</v>
      </c>
      <c r="E42" s="78">
        <f>TLFD!D16/SUM(TLFD!$D$11:$D$101)</f>
        <v>0.12940087568443501</v>
      </c>
      <c r="F42" s="78">
        <f>TLFD!J16/SUM(TLFD!$J$11:$J$100)</f>
        <v>8.2938388625592413E-2</v>
      </c>
      <c r="G42" s="141">
        <f si="3" t="shared"/>
        <v>-0.47374011036789876</v>
      </c>
      <c r="H42" s="141">
        <f si="5" t="shared"/>
        <v>0.44481712287602199</v>
      </c>
      <c r="I42" s="7"/>
      <c r="J42" s="7" t="s">
        <v>274</v>
      </c>
      <c r="K42" s="7"/>
      <c r="L42" s="7"/>
      <c r="M42" s="7"/>
      <c r="N42" s="7"/>
      <c r="O42" s="7"/>
      <c r="P42" s="7"/>
      <c r="Q42" s="7"/>
      <c r="T42">
        <f>WorkLocationCoefficients!B50</f>
        <v>44</v>
      </c>
      <c r="U42" t="str">
        <f>WorkLocationCoefficients!C50</f>
        <v>Beta00044</v>
      </c>
      <c r="V42" s="40">
        <f>WorkLocationCoefficients!E50</f>
        <v>-2.3320026601800001</v>
      </c>
      <c r="W42" s="162">
        <f>_xlfn.IFNA(VLOOKUP(T42,$M$13:$Q$39,5,FALSE),_xlfn.IFNA(VLOOKUP(T42,calibration_flow!$AD$3:$AH$25,5,FALSE),V42))</f>
        <v>-2.3320026601800001</v>
      </c>
      <c r="X42" s="95">
        <f si="0" t="shared"/>
        <v>0</v>
      </c>
    </row>
    <row r="43" spans="1:24" x14ac:dyDescent="0.25">
      <c r="A43">
        <f>TLFD!A17+0.5</f>
        <v>6.5</v>
      </c>
      <c r="B43" s="81">
        <f si="4" t="shared"/>
        <v>2.0149030205422647</v>
      </c>
      <c r="C43" s="78">
        <f>TLFD!C17/SUM(TLFD!$C$11:$C$100)</f>
        <v>6.4116033701630062E-2</v>
      </c>
      <c r="D43" s="78">
        <f>TLFD!I17/SUM(TLFD!$I$11:$I$100)</f>
        <v>5.9829059829059832E-2</v>
      </c>
      <c r="E43" s="78">
        <f>TLFD!D17/SUM(TLFD!$D$11:$D$101)</f>
        <v>3.7693760490288455E-2</v>
      </c>
      <c r="F43" s="78">
        <f>TLFD!J17/SUM(TLFD!$J$11:$J$100)</f>
        <v>6.220379146919431E-2</v>
      </c>
      <c r="G43" s="141">
        <f si="3" t="shared"/>
        <v>6.9202975159057961E-2</v>
      </c>
      <c r="H43" s="141">
        <f si="5" t="shared"/>
        <v>-0.50092137746351073</v>
      </c>
      <c r="I43" s="87"/>
      <c r="J43" s="7"/>
      <c r="K43" s="7"/>
      <c r="L43" s="7"/>
      <c r="M43" s="7"/>
      <c r="N43" s="7"/>
      <c r="O43" s="7"/>
      <c r="P43" s="7"/>
      <c r="Q43" s="7"/>
      <c r="T43">
        <f>WorkLocationCoefficients!B51</f>
        <v>50</v>
      </c>
      <c r="U43" t="str">
        <f>WorkLocationCoefficients!C51</f>
        <v>LSM_050</v>
      </c>
      <c r="V43" s="40">
        <f>WorkLocationCoefficients!E51</f>
        <v>0.33566647407</v>
      </c>
      <c r="W43" s="162">
        <f>_xlfn.IFNA(VLOOKUP(T43,$M$13:$Q$39,5,FALSE),_xlfn.IFNA(VLOOKUP(T43,calibration_flow!$AD$3:$AH$25,5,FALSE),V43))</f>
        <v>0.33566647407</v>
      </c>
      <c r="X43" s="95">
        <f si="0" t="shared"/>
        <v>0</v>
      </c>
    </row>
    <row r="44" spans="1:24" x14ac:dyDescent="0.25">
      <c r="A44">
        <f>TLFD!A18+0.5</f>
        <v>7.5</v>
      </c>
      <c r="B44" s="81">
        <f si="4" t="shared"/>
        <v>2.1400661634962708</v>
      </c>
      <c r="C44" s="78">
        <f>TLFD!C18/SUM(TLFD!$C$11:$C$100)</f>
        <v>8.1947931203981375E-2</v>
      </c>
      <c r="D44" s="78">
        <f>TLFD!I18/SUM(TLFD!$I$11:$I$100)</f>
        <v>5.1526251526251524E-2</v>
      </c>
      <c r="E44" s="78">
        <f>TLFD!D18/SUM(TLFD!$D$11:$D$101)</f>
        <v>3.4981618469079656E-2</v>
      </c>
      <c r="F44" s="78">
        <f>TLFD!J18/SUM(TLFD!$J$11:$J$100)</f>
        <v>5.8649289099526068E-2</v>
      </c>
      <c r="G44" s="141">
        <f si="3" t="shared"/>
        <v>0.46399264408735841</v>
      </c>
      <c r="H44" s="141">
        <f si="5" t="shared"/>
        <v>-0.51675271702792114</v>
      </c>
      <c r="I44" s="84"/>
      <c r="J44" s="7"/>
      <c r="K44" s="7"/>
      <c r="L44" s="7"/>
      <c r="M44" s="7"/>
      <c r="N44" s="7"/>
      <c r="O44" s="7"/>
      <c r="P44" s="7"/>
      <c r="Q44" s="7"/>
      <c r="T44">
        <f>WorkLocationCoefficients!B52</f>
        <v>51</v>
      </c>
      <c r="U44" t="str">
        <f>WorkLocationCoefficients!C52</f>
        <v>Gamma51</v>
      </c>
      <c r="V44" s="40">
        <f>WorkLocationCoefficients!E52</f>
        <v>-0.78911507665199998</v>
      </c>
      <c r="W44" s="162">
        <f>_xlfn.IFNA(VLOOKUP(T44,$M$13:$Q$39,5,FALSE),_xlfn.IFNA(VLOOKUP(T44,calibration_flow!$AD$3:$AH$25,5,FALSE),V44))</f>
        <v>-0.78911507665199998</v>
      </c>
      <c r="X44" s="95">
        <f si="0" t="shared"/>
        <v>0</v>
      </c>
    </row>
    <row r="45" spans="1:24" x14ac:dyDescent="0.25">
      <c r="A45">
        <f>TLFD!A19+0.5</f>
        <v>8.5</v>
      </c>
      <c r="B45" s="81">
        <f si="4" t="shared"/>
        <v>2.2512917986064953</v>
      </c>
      <c r="C45" s="78">
        <f>TLFD!C19/SUM(TLFD!$C$11:$C$100)</f>
        <v>5.1895818100729553E-2</v>
      </c>
      <c r="D45" s="78">
        <f>TLFD!I19/SUM(TLFD!$I$11:$I$100)</f>
        <v>4.5909645909645913E-2</v>
      </c>
      <c r="E45" s="78">
        <f>TLFD!D19/SUM(TLFD!$D$11:$D$101)</f>
        <v>5.635672655030774E-2</v>
      </c>
      <c r="F45" s="78">
        <f>TLFD!J19/SUM(TLFD!$J$11:$J$100)</f>
        <v>5.8056872037914695E-2</v>
      </c>
      <c r="G45" s="141">
        <f si="3" t="shared"/>
        <v>0.12256296530665564</v>
      </c>
      <c r="H45" s="141">
        <f si="5" t="shared"/>
        <v>-2.9721478233514606E-2</v>
      </c>
      <c r="I45" s="84"/>
      <c r="J45" s="85" t="s">
        <v>9</v>
      </c>
      <c r="K45" s="7" t="s">
        <v>299</v>
      </c>
      <c r="L45" s="7"/>
      <c r="M45" s="7"/>
      <c r="N45" s="7"/>
      <c r="O45" s="7"/>
      <c r="P45" s="7"/>
      <c r="Q45" s="7"/>
      <c r="T45">
        <f>WorkLocationCoefficients!B53</f>
        <v>52</v>
      </c>
      <c r="U45" t="str">
        <f>WorkLocationCoefficients!C53</f>
        <v>Gamma52</v>
      </c>
      <c r="V45" s="40">
        <f>WorkLocationCoefficients!E53</f>
        <v>0.56564055394500001</v>
      </c>
      <c r="W45" s="162">
        <f>_xlfn.IFNA(VLOOKUP(T45,$M$13:$Q$39,5,FALSE),_xlfn.IFNA(VLOOKUP(T45,calibration_flow!$AD$3:$AH$25,5,FALSE),V45))</f>
        <v>0.56564055394500001</v>
      </c>
      <c r="X45" s="95">
        <f si="0" t="shared"/>
        <v>0</v>
      </c>
    </row>
    <row r="46" spans="1:24" x14ac:dyDescent="0.25">
      <c r="A46">
        <f>TLFD!A20+0.5</f>
        <v>9.5</v>
      </c>
      <c r="B46" s="81">
        <f si="4" t="shared"/>
        <v>2.3513752571634776</v>
      </c>
      <c r="C46" s="78">
        <f>TLFD!C20/SUM(TLFD!$C$11:$C$100)</f>
        <v>3.2279061416242462E-2</v>
      </c>
      <c r="D46" s="78">
        <f>TLFD!I20/SUM(TLFD!$I$11:$I$100)</f>
        <v>4.1269841269841269E-2</v>
      </c>
      <c r="E46" s="78">
        <f>TLFD!D20/SUM(TLFD!$D$11:$D$101)</f>
        <v>3.4245929467994644E-2</v>
      </c>
      <c r="F46" s="78">
        <f>TLFD!J20/SUM(TLFD!$J$11:$J$100)</f>
        <v>3.5545023696682464E-2</v>
      </c>
      <c r="G46" s="141">
        <f si="3" t="shared"/>
        <v>-0.2457132309636002</v>
      </c>
      <c r="H46" s="141">
        <f si="5" t="shared"/>
        <v>-3.7232456052833977E-2</v>
      </c>
      <c r="I46" s="84"/>
      <c r="J46" s="7"/>
      <c r="K46" s="7"/>
      <c r="L46" s="7"/>
      <c r="M46" s="7"/>
      <c r="N46" s="7"/>
      <c r="O46" s="7"/>
      <c r="P46" s="7"/>
      <c r="Q46" s="7"/>
      <c r="T46">
        <f>WorkLocationCoefficients!B54</f>
        <v>53</v>
      </c>
      <c r="U46" t="str">
        <f>WorkLocationCoefficients!C54</f>
        <v>Gamma53</v>
      </c>
      <c r="V46" s="40">
        <f>WorkLocationCoefficients!E54</f>
        <v>-1.85416848242</v>
      </c>
      <c r="W46" s="162">
        <f>_xlfn.IFNA(VLOOKUP(T46,$M$13:$Q$39,5,FALSE),_xlfn.IFNA(VLOOKUP(T46,calibration_flow!$AD$3:$AH$25,5,FALSE),V46))</f>
        <v>-1.85416848242</v>
      </c>
      <c r="X46" s="95">
        <f si="0" t="shared"/>
        <v>0</v>
      </c>
    </row>
    <row r="47" spans="1:24" x14ac:dyDescent="0.25">
      <c r="A47">
        <f>TLFD!A21+0.5</f>
        <v>10.5</v>
      </c>
      <c r="B47" s="81">
        <f si="4" t="shared"/>
        <v>2.4423470353692043</v>
      </c>
      <c r="C47" s="78">
        <f>TLFD!C21/SUM(TLFD!$C$11:$C$100)</f>
        <v>3.3129592216586658E-2</v>
      </c>
      <c r="D47" s="78">
        <f>TLFD!I21/SUM(TLFD!$I$11:$I$100)</f>
        <v>3.6141636141636145E-2</v>
      </c>
      <c r="E47" s="78">
        <f>TLFD!D21/SUM(TLFD!$D$11:$D$101)</f>
        <v>4.7997188994550466E-2</v>
      </c>
      <c r="F47" s="78">
        <f>TLFD!J21/SUM(TLFD!$J$11:$J$100)</f>
        <v>2.7251184834123223E-2</v>
      </c>
      <c r="G47" s="141">
        <f si="3" t="shared"/>
        <v>-8.7018648807796486E-2</v>
      </c>
      <c r="H47" s="141">
        <f si="5" t="shared"/>
        <v>0.56604544626417252</v>
      </c>
      <c r="I47" s="84"/>
      <c r="J47" t="s">
        <v>275</v>
      </c>
      <c r="T47">
        <f>WorkLocationCoefficients!B55</f>
        <v>54</v>
      </c>
      <c r="U47" t="str">
        <f>WorkLocationCoefficients!C55</f>
        <v>Gamma54</v>
      </c>
      <c r="V47" s="40">
        <f>WorkLocationCoefficients!E55</f>
        <v>0</v>
      </c>
      <c r="W47" s="162">
        <f>_xlfn.IFNA(VLOOKUP(T47,$M$13:$Q$39,5,FALSE),_xlfn.IFNA(VLOOKUP(T47,calibration_flow!$AD$3:$AH$25,5,FALSE),V47))</f>
        <v>0</v>
      </c>
      <c r="X47" s="95">
        <f si="0" t="shared"/>
        <v>0</v>
      </c>
    </row>
    <row ht="15.75" r="48" spans="1:24" thickBot="1" x14ac:dyDescent="0.3">
      <c r="A48">
        <f>TLFD!A22+0.5</f>
        <v>11.5</v>
      </c>
      <c r="B48" s="81">
        <f si="4" t="shared"/>
        <v>2.5257286443082556</v>
      </c>
      <c r="C48" s="78">
        <f>TLFD!C22/SUM(TLFD!$C$11:$C$100)</f>
        <v>6.6762006677210564E-2</v>
      </c>
      <c r="D48" s="78">
        <f>TLFD!I22/SUM(TLFD!$I$11:$I$100)</f>
        <v>3.0769230769230771E-2</v>
      </c>
      <c r="E48" s="78">
        <f>TLFD!D22/SUM(TLFD!$D$11:$D$101)</f>
        <v>3.1838820339672426E-2</v>
      </c>
      <c r="F48" s="78">
        <f>TLFD!J22/SUM(TLFD!$J$11:$J$100)</f>
        <v>2.9028436018957347E-2</v>
      </c>
      <c r="G48" s="141">
        <f si="3" t="shared"/>
        <v>0.77461896677230502</v>
      </c>
      <c r="H48" s="141">
        <f si="5" t="shared"/>
        <v>9.2410408719562631E-2</v>
      </c>
      <c r="I48" s="84"/>
      <c r="T48">
        <f>WorkLocationCoefficients!B56</f>
        <v>55</v>
      </c>
      <c r="U48" t="str">
        <f>WorkLocationCoefficients!C56</f>
        <v>Gamma55</v>
      </c>
      <c r="V48" s="40">
        <f>WorkLocationCoefficients!E56</f>
        <v>-1.1156286956100001</v>
      </c>
      <c r="W48" s="162">
        <f>_xlfn.IFNA(VLOOKUP(T48,$M$13:$Q$39,5,FALSE),_xlfn.IFNA(VLOOKUP(T48,calibration_flow!$AD$3:$AH$25,5,FALSE),V48))</f>
        <v>-1.1156286956100001</v>
      </c>
      <c r="X48" s="95">
        <f si="0" t="shared"/>
        <v>0</v>
      </c>
    </row>
    <row r="49" spans="1:24" x14ac:dyDescent="0.25">
      <c r="A49">
        <f>TLFD!A23+0.5</f>
        <v>12.5</v>
      </c>
      <c r="B49" s="81">
        <f si="4" t="shared"/>
        <v>2.6026896854443837</v>
      </c>
      <c r="C49" s="78">
        <f>TLFD!C23/SUM(TLFD!$C$11:$C$100)</f>
        <v>3.3749251123266273E-2</v>
      </c>
      <c r="D49" s="78">
        <f>TLFD!I23/SUM(TLFD!$I$11:$I$100)</f>
        <v>2.9548229548229547E-2</v>
      </c>
      <c r="E49" s="78">
        <f>TLFD!D23/SUM(TLFD!$D$11:$D$101)</f>
        <v>4.6224430305383674E-2</v>
      </c>
      <c r="F49" s="78">
        <f>TLFD!J23/SUM(TLFD!$J$11:$J$100)</f>
        <v>2.7251184834123223E-2</v>
      </c>
      <c r="G49" s="141">
        <f si="3" t="shared"/>
        <v>0.13293439984039385</v>
      </c>
      <c r="H49" s="141">
        <f si="5" t="shared"/>
        <v>0.52841145249865018</v>
      </c>
      <c r="I49" s="7"/>
      <c r="J49" s="86" t="s">
        <v>276</v>
      </c>
      <c r="K49" s="86"/>
      <c r="T49">
        <f>WorkLocationCoefficients!B57</f>
        <v>56</v>
      </c>
      <c r="U49" t="str">
        <f>WorkLocationCoefficients!C57</f>
        <v>Gamma56</v>
      </c>
      <c r="V49" s="40">
        <f>WorkLocationCoefficients!E57</f>
        <v>-0.81792869186600003</v>
      </c>
      <c r="W49" s="162">
        <f>_xlfn.IFNA(VLOOKUP(T49,$M$13:$Q$39,5,FALSE),_xlfn.IFNA(VLOOKUP(T49,calibration_flow!$AD$3:$AH$25,5,FALSE),V49))</f>
        <v>-0.81792869186600003</v>
      </c>
      <c r="X49" s="95">
        <f si="0" t="shared"/>
        <v>0</v>
      </c>
    </row>
    <row r="50" spans="1:24" x14ac:dyDescent="0.25">
      <c r="A50">
        <f>TLFD!A24+0.5</f>
        <v>13.5</v>
      </c>
      <c r="B50" s="81">
        <f si="4" t="shared"/>
        <v>2.6741486494265287</v>
      </c>
      <c r="C50" s="78">
        <f>TLFD!C24/SUM(TLFD!$C$11:$C$100)</f>
        <v>2.8393230596119642E-2</v>
      </c>
      <c r="D50" s="78">
        <f>TLFD!I24/SUM(TLFD!$I$11:$I$100)</f>
        <v>3.3455433455433455E-2</v>
      </c>
      <c r="E50" s="78">
        <f>TLFD!D24/SUM(TLFD!$D$11:$D$101)</f>
        <v>5.9804923850010029E-3</v>
      </c>
      <c r="F50" s="78">
        <f>TLFD!J24/SUM(TLFD!$J$11:$J$100)</f>
        <v>2.132701421800948E-2</v>
      </c>
      <c r="G50" s="141">
        <f si="3" t="shared"/>
        <v>-0.16406345105958461</v>
      </c>
      <c r="H50" s="141">
        <f si="5" t="shared"/>
        <v>-1.271471639080513</v>
      </c>
      <c r="I50" s="7"/>
      <c r="J50" s="84" t="s">
        <v>277</v>
      </c>
      <c r="K50" s="84">
        <v>0.12440194136462766</v>
      </c>
      <c r="T50">
        <f>WorkLocationCoefficients!B58</f>
        <v>57</v>
      </c>
      <c r="U50" t="str">
        <f>WorkLocationCoefficients!C58</f>
        <v>Gamma57</v>
      </c>
      <c r="V50" s="40">
        <f>WorkLocationCoefficients!E58</f>
        <v>-1.04729487823</v>
      </c>
      <c r="W50" s="162">
        <f>_xlfn.IFNA(VLOOKUP(T50,$M$13:$Q$39,5,FALSE),_xlfn.IFNA(VLOOKUP(T50,calibration_flow!$AD$3:$AH$25,5,FALSE),V50))</f>
        <v>-1.04729487823</v>
      </c>
      <c r="X50" s="95">
        <f si="0" t="shared"/>
        <v>0</v>
      </c>
    </row>
    <row r="51" spans="1:24" x14ac:dyDescent="0.25">
      <c r="A51">
        <f>TLFD!A25+0.5</f>
        <v>14.5</v>
      </c>
      <c r="B51" s="81">
        <f si="4" t="shared"/>
        <v>2.7408400239252009</v>
      </c>
      <c r="C51" s="78">
        <f>TLFD!C25/SUM(TLFD!$C$11:$C$100)</f>
        <v>1.4468481154671631E-2</v>
      </c>
      <c r="D51" s="78">
        <f>TLFD!I25/SUM(TLFD!$I$11:$I$100)</f>
        <v>2.271062271062271E-2</v>
      </c>
      <c r="E51" s="78">
        <f>TLFD!D25/SUM(TLFD!$D$11:$D$101)</f>
        <v>1.1510401211261553E-2</v>
      </c>
      <c r="F51" s="78">
        <f>TLFD!J25/SUM(TLFD!$J$11:$J$100)</f>
        <v>2.1919431279620854E-2</v>
      </c>
      <c r="G51" s="141">
        <f si="3" t="shared"/>
        <v>-0.45086020583695502</v>
      </c>
      <c r="H51" s="141">
        <f si="5" t="shared"/>
        <v>-0.64412243671937164</v>
      </c>
      <c r="I51" s="87"/>
      <c r="J51" s="84" t="s">
        <v>278</v>
      </c>
      <c r="K51" s="84">
        <v>1.547584301528826E-2</v>
      </c>
      <c r="T51">
        <f>WorkLocationCoefficients!B59</f>
        <v>58</v>
      </c>
      <c r="U51" t="str">
        <f>WorkLocationCoefficients!C59</f>
        <v>Gamma58</v>
      </c>
      <c r="V51" s="40">
        <f>WorkLocationCoefficients!E59</f>
        <v>-2.0228517391</v>
      </c>
      <c r="W51" s="162">
        <f>_xlfn.IFNA(VLOOKUP(T51,$M$13:$Q$39,5,FALSE),_xlfn.IFNA(VLOOKUP(T51,calibration_flow!$AD$3:$AH$25,5,FALSE),V51))</f>
        <v>-2.0228517391</v>
      </c>
      <c r="X51" s="95">
        <f si="0" t="shared"/>
        <v>0</v>
      </c>
    </row>
    <row r="52" spans="1:24" x14ac:dyDescent="0.25">
      <c r="A52">
        <f>TLFD!A26+0.5</f>
        <v>15.5</v>
      </c>
      <c r="B52" s="81">
        <f si="4" t="shared"/>
        <v>2.8033603809065348</v>
      </c>
      <c r="C52" s="78">
        <f>TLFD!C26/SUM(TLFD!$C$11:$C$100)</f>
        <v>1.9226605584103683E-2</v>
      </c>
      <c r="D52" s="78">
        <f>TLFD!I26/SUM(TLFD!$I$11:$I$100)</f>
        <v>2.564102564102564E-2</v>
      </c>
      <c r="E52" s="78">
        <f>TLFD!D26/SUM(TLFD!$D$11:$D$101)</f>
        <v>1.3822591686516755E-2</v>
      </c>
      <c r="F52" s="78">
        <f>TLFD!J26/SUM(TLFD!$J$11:$J$100)</f>
        <v>1.481042654028436E-2</v>
      </c>
      <c r="G52" s="141">
        <f si="3" t="shared"/>
        <v>-0.2878986055199822</v>
      </c>
      <c r="H52" s="141">
        <f si="5" t="shared"/>
        <v>-6.902709635088905E-2</v>
      </c>
      <c r="I52" s="84"/>
      <c r="J52" s="84" t="s">
        <v>279</v>
      </c>
      <c r="K52" s="84">
        <v>4.2398879591084831E-3</v>
      </c>
      <c r="T52">
        <f>WorkLocationCoefficients!B60</f>
        <v>59</v>
      </c>
      <c r="U52" t="str">
        <f>WorkLocationCoefficients!C60</f>
        <v>Gamma59</v>
      </c>
      <c r="V52" s="40">
        <f>WorkLocationCoefficients!E60</f>
        <v>-1.2945321250099999</v>
      </c>
      <c r="W52" s="162">
        <f>_xlfn.IFNA(VLOOKUP(T52,$M$13:$Q$39,5,FALSE),_xlfn.IFNA(VLOOKUP(T52,calibration_flow!$AD$3:$AH$25,5,FALSE),V52))</f>
        <v>-1.2945321250099999</v>
      </c>
      <c r="X52" s="95">
        <f si="0" t="shared"/>
        <v>0</v>
      </c>
    </row>
    <row r="53" spans="1:24" x14ac:dyDescent="0.25">
      <c r="A53">
        <f>TLFD!A27+0.5</f>
        <v>16.5</v>
      </c>
      <c r="B53" s="81">
        <f si="4" t="shared"/>
        <v>2.8622008809294686</v>
      </c>
      <c r="C53" s="78">
        <f>TLFD!C27/SUM(TLFD!$C$11:$C$100)</f>
        <v>1.8726801619870892E-2</v>
      </c>
      <c r="D53" s="78">
        <f>TLFD!I27/SUM(TLFD!$I$11:$I$100)</f>
        <v>1.8559218559218559E-2</v>
      </c>
      <c r="E53" s="78">
        <f>TLFD!D27/SUM(TLFD!$D$11:$D$101)</f>
        <v>6.9480934772651127E-3</v>
      </c>
      <c r="F53" s="78">
        <f>TLFD!J27/SUM(TLFD!$J$11:$J$100)</f>
        <v>1.2440758293838863E-2</v>
      </c>
      <c r="G53" s="141">
        <f si="3" t="shared"/>
        <v>8.9891164730028072E-3</v>
      </c>
      <c r="H53" s="141">
        <f si="5" t="shared"/>
        <v>-0.58251073942348996</v>
      </c>
      <c r="I53" s="84"/>
      <c r="J53" s="84" t="s">
        <v>280</v>
      </c>
      <c r="K53" s="84">
        <v>0.69923901473582173</v>
      </c>
      <c r="T53">
        <f>WorkLocationCoefficients!B61</f>
        <v>60</v>
      </c>
      <c r="U53" t="str">
        <f>WorkLocationCoefficients!C61</f>
        <v>Gamma60</v>
      </c>
      <c r="V53" s="40">
        <f>WorkLocationCoefficients!E61</f>
        <v>-0.66178028021599999</v>
      </c>
      <c r="W53" s="162">
        <f>_xlfn.IFNA(VLOOKUP(T53,$M$13:$Q$39,5,FALSE),_xlfn.IFNA(VLOOKUP(T53,calibration_flow!$AD$3:$AH$25,5,FALSE),V53))</f>
        <v>-0.66178028021599999</v>
      </c>
      <c r="X53" s="95">
        <f si="0" t="shared"/>
        <v>0</v>
      </c>
    </row>
    <row ht="15.75" r="54" spans="1:24" thickBot="1" x14ac:dyDescent="0.3">
      <c r="A54">
        <f>TLFD!A28+0.5</f>
        <v>17.5</v>
      </c>
      <c r="B54" s="81">
        <f si="4" t="shared"/>
        <v>2.917770732084279</v>
      </c>
      <c r="C54" s="78">
        <f>TLFD!C28/SUM(TLFD!$C$11:$C$100)</f>
        <v>1.3904093309958145E-2</v>
      </c>
      <c r="D54" s="78">
        <f>TLFD!I28/SUM(TLFD!$I$11:$I$100)</f>
        <v>1.6849816849816849E-2</v>
      </c>
      <c r="E54" s="78">
        <f>TLFD!D28/SUM(TLFD!$D$11:$D$101)</f>
        <v>1.7221151288857467E-3</v>
      </c>
      <c r="F54" s="78">
        <f>TLFD!J28/SUM(TLFD!$J$11:$J$100)</f>
        <v>1.5402843601895734E-2</v>
      </c>
      <c r="G54" s="141">
        <f si="3" t="shared"/>
        <v>-0.19215650777630747</v>
      </c>
      <c r="H54" s="141">
        <f si="5" t="shared"/>
        <v>-2.1909988804198233</v>
      </c>
      <c r="I54" s="84"/>
      <c r="J54" s="88" t="s">
        <v>281</v>
      </c>
      <c r="K54" s="88">
        <v>90</v>
      </c>
      <c r="T54">
        <f>WorkLocationCoefficients!B62</f>
        <v>61</v>
      </c>
      <c r="U54" t="str">
        <f>WorkLocationCoefficients!C62</f>
        <v>Gamma61</v>
      </c>
      <c r="V54" s="40">
        <f>WorkLocationCoefficients!E62</f>
        <v>-0.55504741134900004</v>
      </c>
      <c r="W54" s="162">
        <f>_xlfn.IFNA(VLOOKUP(T54,$M$13:$Q$39,5,FALSE),_xlfn.IFNA(VLOOKUP(T54,calibration_flow!$AD$3:$AH$25,5,FALSE),V54))</f>
        <v>-0.55504741134900004</v>
      </c>
      <c r="X54" s="95">
        <f si="0" t="shared"/>
        <v>0</v>
      </c>
    </row>
    <row r="55" spans="1:24" x14ac:dyDescent="0.25">
      <c r="A55">
        <f>TLFD!A29+0.5</f>
        <v>18.5</v>
      </c>
      <c r="B55" s="81">
        <f si="4" t="shared"/>
        <v>2.9704144655697009</v>
      </c>
      <c r="C55" s="78">
        <f>TLFD!C29/SUM(TLFD!$C$11:$C$100)</f>
        <v>1.2708468819458696E-2</v>
      </c>
      <c r="D55" s="78">
        <f>TLFD!I29/SUM(TLFD!$I$11:$I$100)</f>
        <v>1.1965811965811967E-2</v>
      </c>
      <c r="E55" s="78">
        <f>TLFD!D29/SUM(TLFD!$D$11:$D$101)</f>
        <v>1.6268950777388918E-2</v>
      </c>
      <c r="F55" s="78">
        <f>TLFD!J29/SUM(TLFD!$J$11:$J$100)</f>
        <v>1.1255924170616114E-2</v>
      </c>
      <c r="G55" s="141">
        <f si="3" t="shared"/>
        <v>6.0215026600348963E-2</v>
      </c>
      <c r="H55" s="141">
        <f si="5" t="shared"/>
        <v>0.36836384798358401</v>
      </c>
      <c r="I55" s="7"/>
      <c r="T55">
        <f>WorkLocationCoefficients!B63</f>
        <v>62</v>
      </c>
      <c r="U55" t="str">
        <f>WorkLocationCoefficients!C63</f>
        <v>Gamma62</v>
      </c>
      <c r="V55" s="40">
        <f>WorkLocationCoefficients!E63</f>
        <v>-1.7449233454799999</v>
      </c>
      <c r="W55" s="162">
        <f>_xlfn.IFNA(VLOOKUP(T55,$M$13:$Q$39,5,FALSE),_xlfn.IFNA(VLOOKUP(T55,calibration_flow!$AD$3:$AH$25,5,FALSE),V55))</f>
        <v>-1.7449233454799999</v>
      </c>
      <c r="X55" s="95">
        <f si="0" t="shared"/>
        <v>0</v>
      </c>
    </row>
    <row ht="15.75" r="56" spans="1:24" thickBot="1" x14ac:dyDescent="0.3">
      <c r="A56">
        <f>TLFD!A30+0.5</f>
        <v>19.5</v>
      </c>
      <c r="B56" s="81">
        <f si="4" t="shared"/>
        <v>3.0204248861443626</v>
      </c>
      <c r="C56" s="78">
        <f>TLFD!C30/SUM(TLFD!$C$11:$C$100)</f>
        <v>1.6450674230155619E-2</v>
      </c>
      <c r="D56" s="78">
        <f>TLFD!I30/SUM(TLFD!$I$11:$I$100)</f>
        <v>1.2454212454212455E-2</v>
      </c>
      <c r="E56" s="78">
        <f>TLFD!D30/SUM(TLFD!$D$11:$D$101)</f>
        <v>2.6074931587577049E-2</v>
      </c>
      <c r="F56" s="78">
        <f>TLFD!J30/SUM(TLFD!$J$11:$J$100)</f>
        <v>9.4786729857819912E-3</v>
      </c>
      <c r="G56" s="141">
        <f si="3" t="shared"/>
        <v>0.27830754758775855</v>
      </c>
      <c r="H56" s="141">
        <f si="5" t="shared"/>
        <v>1.0119300511386458</v>
      </c>
      <c r="I56" s="7"/>
      <c r="J56" t="s">
        <v>282</v>
      </c>
      <c r="T56">
        <f>WorkLocationCoefficients!B64</f>
        <v>63</v>
      </c>
      <c r="U56" t="str">
        <f>WorkLocationCoefficients!C64</f>
        <v>Gamma63</v>
      </c>
      <c r="V56" s="40">
        <f>WorkLocationCoefficients!E64</f>
        <v>1.1995398853399999</v>
      </c>
      <c r="W56" s="162">
        <f>_xlfn.IFNA(VLOOKUP(T56,$M$13:$Q$39,5,FALSE),_xlfn.IFNA(VLOOKUP(T56,calibration_flow!$AD$3:$AH$25,5,FALSE),V56))</f>
        <v>1.1995398853399999</v>
      </c>
      <c r="X56" s="95">
        <f si="0" t="shared"/>
        <v>0</v>
      </c>
    </row>
    <row r="57" spans="1:24" x14ac:dyDescent="0.25">
      <c r="A57">
        <f>TLFD!A31+0.5</f>
        <v>20.5</v>
      </c>
      <c r="B57" s="81">
        <f si="4" t="shared"/>
        <v>3.068052935133617</v>
      </c>
      <c r="C57" s="78">
        <f>TLFD!C31/SUM(TLFD!$C$11:$C$100)</f>
        <v>2.2645494513742991E-2</v>
      </c>
      <c r="D57" s="78">
        <f>TLFD!I31/SUM(TLFD!$I$11:$I$100)</f>
        <v>9.5238095238095247E-3</v>
      </c>
      <c r="E57" s="78">
        <f>TLFD!D31/SUM(TLFD!$D$11:$D$101)</f>
        <v>0</v>
      </c>
      <c r="F57" s="78">
        <f>TLFD!J31/SUM(TLFD!$J$11:$J$100)</f>
        <v>7.701421800947867E-3</v>
      </c>
      <c r="G57" s="141">
        <f si="3" t="shared"/>
        <v>0.86616598560213531</v>
      </c>
      <c r="H57" s="141">
        <f si="5" t="shared"/>
        <v>0</v>
      </c>
      <c r="I57" s="7"/>
      <c r="J57" s="89"/>
      <c r="K57" s="89" t="s">
        <v>283</v>
      </c>
      <c r="L57" s="89" t="s">
        <v>284</v>
      </c>
      <c r="M57" s="89" t="s">
        <v>285</v>
      </c>
      <c r="N57" s="89" t="s">
        <v>94</v>
      </c>
      <c r="O57" s="89" t="s">
        <v>286</v>
      </c>
      <c r="T57">
        <f>WorkLocationCoefficients!B65</f>
        <v>64</v>
      </c>
      <c r="U57" t="str">
        <f>WorkLocationCoefficients!C65</f>
        <v>Gamma64</v>
      </c>
      <c r="V57" s="40">
        <f>WorkLocationCoefficients!E65</f>
        <v>0.19542046398099999</v>
      </c>
      <c r="W57" s="162">
        <f>_xlfn.IFNA(VLOOKUP(T57,$M$13:$Q$39,5,FALSE),_xlfn.IFNA(VLOOKUP(T57,calibration_flow!$AD$3:$AH$25,5,FALSE),V57))</f>
        <v>0.19542046398099999</v>
      </c>
      <c r="X57" s="95">
        <f si="0" t="shared"/>
        <v>0</v>
      </c>
    </row>
    <row r="58" spans="1:24" x14ac:dyDescent="0.25">
      <c r="A58">
        <f>TLFD!A32+0.5</f>
        <v>21.5</v>
      </c>
      <c r="B58" s="81">
        <f si="4" t="shared"/>
        <v>3.1135153092103742</v>
      </c>
      <c r="C58" s="78">
        <f>TLFD!C32/SUM(TLFD!$C$11:$C$100)</f>
        <v>1.1915102812552559E-2</v>
      </c>
      <c r="D58" s="78">
        <f>TLFD!I32/SUM(TLFD!$I$11:$I$100)</f>
        <v>9.2796092796092796E-3</v>
      </c>
      <c r="E58" s="78">
        <f>TLFD!D32/SUM(TLFD!$D$11:$D$101)</f>
        <v>1.1349845722941312E-2</v>
      </c>
      <c r="F58" s="78">
        <f>TLFD!J32/SUM(TLFD!$J$11:$J$100)</f>
        <v>5.9241706161137437E-3</v>
      </c>
      <c r="G58" s="141">
        <f si="3" t="shared"/>
        <v>0.24998729692574231</v>
      </c>
      <c r="H58" s="141">
        <f si="5" t="shared"/>
        <v>0.65016345432235456</v>
      </c>
      <c r="I58" s="7"/>
      <c r="J58" s="84" t="s">
        <v>287</v>
      </c>
      <c r="K58" s="84">
        <v>1</v>
      </c>
      <c r="L58" s="84">
        <v>0.68402070831395179</v>
      </c>
      <c r="M58" s="84">
        <v>0.68402070831395179</v>
      </c>
      <c r="N58" s="84">
        <v>1.3990007442570487</v>
      </c>
      <c r="O58" s="84">
        <v>0.2400767404253939</v>
      </c>
      <c r="T58">
        <f>WorkLocationCoefficients!B66</f>
        <v>65</v>
      </c>
      <c r="U58" t="str">
        <f>WorkLocationCoefficients!C66</f>
        <v>Gamma65</v>
      </c>
      <c r="V58" s="40">
        <f>WorkLocationCoefficients!E66</f>
        <v>-0.90594458676599998</v>
      </c>
      <c r="W58" s="162">
        <f>_xlfn.IFNA(VLOOKUP(T58,$M$13:$Q$39,5,FALSE),_xlfn.IFNA(VLOOKUP(T58,calibration_flow!$AD$3:$AH$25,5,FALSE),V58))</f>
        <v>-0.90594458676599998</v>
      </c>
      <c r="X58" s="95">
        <f si="0" t="shared"/>
        <v>0</v>
      </c>
    </row>
    <row r="59" spans="1:24" x14ac:dyDescent="0.25">
      <c r="A59">
        <f>TLFD!A33+0.5</f>
        <v>22.5</v>
      </c>
      <c r="B59" s="81">
        <f si="4" t="shared"/>
        <v>3.1570004211501135</v>
      </c>
      <c r="C59" s="78">
        <f>TLFD!C33/SUM(TLFD!$C$11:$C$100)</f>
        <v>9.99527112237035E-3</v>
      </c>
      <c r="D59" s="78">
        <f>TLFD!I33/SUM(TLFD!$I$11:$I$100)</f>
        <v>8.3028083028083028E-3</v>
      </c>
      <c r="E59" s="78">
        <f>TLFD!D33/SUM(TLFD!$D$11:$D$101)</f>
        <v>0</v>
      </c>
      <c r="F59" s="78">
        <f>TLFD!J33/SUM(TLFD!$J$11:$J$100)</f>
        <v>7.1090047393364926E-3</v>
      </c>
      <c r="G59" s="141">
        <f si="3" t="shared"/>
        <v>0.18551828607327178</v>
      </c>
      <c r="H59" s="141">
        <f si="5" t="shared"/>
        <v>0</v>
      </c>
      <c r="I59" s="7"/>
      <c r="J59" s="84" t="s">
        <v>288</v>
      </c>
      <c r="K59" s="84">
        <v>89</v>
      </c>
      <c r="L59" s="84">
        <v>43.515232775856319</v>
      </c>
      <c r="M59" s="84">
        <v>0.48893519972872268</v>
      </c>
      <c r="N59" s="84"/>
      <c r="O59" s="84"/>
      <c r="T59">
        <f>WorkLocationCoefficients!B67</f>
        <v>66</v>
      </c>
      <c r="U59" t="str">
        <f>WorkLocationCoefficients!C67</f>
        <v>Gamma66</v>
      </c>
      <c r="V59" s="40">
        <f>WorkLocationCoefficients!E67</f>
        <v>-2.05104130438</v>
      </c>
      <c r="W59" s="162">
        <f>_xlfn.IFNA(VLOOKUP(T59,$M$13:$Q$39,5,FALSE),_xlfn.IFNA(VLOOKUP(T59,calibration_flow!$AD$3:$AH$25,5,FALSE),V59))</f>
        <v>-2.05104130438</v>
      </c>
      <c r="X59" s="95">
        <f si="0" t="shared"/>
        <v>0</v>
      </c>
    </row>
    <row ht="15.75" r="60" spans="1:24" thickBot="1" x14ac:dyDescent="0.3">
      <c r="A60">
        <f>TLFD!A34+0.5</f>
        <v>23.5</v>
      </c>
      <c r="B60" s="81">
        <f si="4" t="shared"/>
        <v>3.1986731175506815</v>
      </c>
      <c r="C60" s="78">
        <f>TLFD!C34/SUM(TLFD!$C$11:$C$100)</f>
        <v>1.014599451121322E-2</v>
      </c>
      <c r="D60" s="78">
        <f>TLFD!I34/SUM(TLFD!$I$11:$I$100)</f>
        <v>8.0586080586080595E-3</v>
      </c>
      <c r="E60" s="78">
        <f>TLFD!D34/SUM(TLFD!$D$11:$D$101)</f>
        <v>1.9434264694504332E-3</v>
      </c>
      <c r="F60" s="78">
        <f>TLFD!J34/SUM(TLFD!$J$11:$J$100)</f>
        <v>4.7393364928909956E-3</v>
      </c>
      <c r="G60" s="141">
        <f si="3" t="shared"/>
        <v>0.2303381540025396</v>
      </c>
      <c r="H60" s="141">
        <f si="5" t="shared"/>
        <v>-0.89144450899941963</v>
      </c>
      <c r="J60" s="88" t="s">
        <v>3</v>
      </c>
      <c r="K60" s="88">
        <v>90</v>
      </c>
      <c r="L60" s="88">
        <v>44.199253484170271</v>
      </c>
      <c r="M60" s="88"/>
      <c r="N60" s="88"/>
      <c r="O60" s="88"/>
      <c r="T60">
        <f>WorkLocationCoefficients!B68</f>
        <v>67</v>
      </c>
      <c r="U60" t="str">
        <f>WorkLocationCoefficients!C68</f>
        <v>Gamma67</v>
      </c>
      <c r="V60" s="40">
        <f>WorkLocationCoefficients!E68</f>
        <v>-2.2381608455899999</v>
      </c>
      <c r="W60" s="162">
        <f>_xlfn.IFNA(VLOOKUP(T60,$M$13:$Q$39,5,FALSE),_xlfn.IFNA(VLOOKUP(T60,calibration_flow!$AD$3:$AH$25,5,FALSE),V60))</f>
        <v>-2.2381608455899999</v>
      </c>
      <c r="X60" s="95">
        <f si="0" t="shared"/>
        <v>0</v>
      </c>
    </row>
    <row ht="15.75" r="61" spans="1:24" thickBot="1" x14ac:dyDescent="0.3">
      <c r="A61">
        <f>TLFD!A35+0.5</f>
        <v>24.5</v>
      </c>
      <c r="B61" s="81">
        <f si="4" t="shared"/>
        <v>3.2386784521643803</v>
      </c>
      <c r="C61" s="78">
        <f>TLFD!C35/SUM(TLFD!$C$11:$C$100)</f>
        <v>5.7363533032195775E-3</v>
      </c>
      <c r="D61" s="78">
        <f>TLFD!I35/SUM(TLFD!$I$11:$I$100)</f>
        <v>5.1282051282051282E-3</v>
      </c>
      <c r="E61" s="78">
        <f>TLFD!D35/SUM(TLFD!$D$11:$D$101)</f>
        <v>1.0588096958583799E-2</v>
      </c>
      <c r="F61" s="78">
        <f>TLFD!J35/SUM(TLFD!$J$11:$J$100)</f>
        <v>3.5545023696682463E-3</v>
      </c>
      <c r="G61" s="141">
        <f si="3" t="shared"/>
        <v>0.11206797498829865</v>
      </c>
      <c r="H61" s="141">
        <f si="5" t="shared"/>
        <v>1.0915153686717154</v>
      </c>
      <c r="T61">
        <f>WorkLocationCoefficients!B69</f>
        <v>68</v>
      </c>
      <c r="U61" t="str">
        <f>WorkLocationCoefficients!C69</f>
        <v>Gamma68</v>
      </c>
      <c r="V61" s="40">
        <f>WorkLocationCoefficients!E69</f>
        <v>-0.40946320528300001</v>
      </c>
      <c r="W61" s="162">
        <f>_xlfn.IFNA(VLOOKUP(T61,$M$13:$Q$39,5,FALSE),_xlfn.IFNA(VLOOKUP(T61,calibration_flow!$AD$3:$AH$25,5,FALSE),V61))</f>
        <v>-0.40946320528300001</v>
      </c>
      <c r="X61" s="95">
        <f si="0" t="shared"/>
        <v>0</v>
      </c>
    </row>
    <row r="62" spans="1:24" x14ac:dyDescent="0.25">
      <c r="A62">
        <f>TLFD!A36+0.5</f>
        <v>25.5</v>
      </c>
      <c r="B62" s="81">
        <f si="4" t="shared"/>
        <v>3.2771447329921766</v>
      </c>
      <c r="C62" s="78">
        <f>TLFD!C36/SUM(TLFD!$C$11:$C$100)</f>
        <v>1.6727658026749303E-3</v>
      </c>
      <c r="D62" s="78">
        <f>TLFD!I36/SUM(TLFD!$I$11:$I$100)</f>
        <v>3.9072039072039072E-3</v>
      </c>
      <c r="E62" s="78">
        <f>TLFD!D36/SUM(TLFD!$D$11:$D$101)</f>
        <v>0</v>
      </c>
      <c r="F62" s="78">
        <f>TLFD!J36/SUM(TLFD!$J$11:$J$100)</f>
        <v>8.2938388625592423E-3</v>
      </c>
      <c r="G62" s="141">
        <f si="3" t="shared"/>
        <v>-0.84834357917562364</v>
      </c>
      <c r="H62" s="141">
        <f si="5" t="shared"/>
        <v>0</v>
      </c>
      <c r="J62" s="89"/>
      <c r="K62" s="89" t="s">
        <v>289</v>
      </c>
      <c r="L62" s="89" t="s">
        <v>280</v>
      </c>
      <c r="M62" s="89" t="s">
        <v>290</v>
      </c>
      <c r="N62" s="89" t="s">
        <v>291</v>
      </c>
      <c r="O62" s="89" t="s">
        <v>292</v>
      </c>
      <c r="P62" s="89" t="s">
        <v>293</v>
      </c>
      <c r="Q62" s="89" t="s">
        <v>294</v>
      </c>
      <c r="R62" s="89" t="s">
        <v>295</v>
      </c>
      <c r="T62">
        <f>WorkLocationCoefficients!B70</f>
        <v>69</v>
      </c>
      <c r="U62" t="str">
        <f>WorkLocationCoefficients!C70</f>
        <v>Gamma69</v>
      </c>
      <c r="V62" s="40">
        <f>WorkLocationCoefficients!E70</f>
        <v>-1.1700902309500001</v>
      </c>
      <c r="W62" s="162">
        <f>_xlfn.IFNA(VLOOKUP(T62,$M$13:$Q$39,5,FALSE),_xlfn.IFNA(VLOOKUP(T62,calibration_flow!$AD$3:$AH$25,5,FALSE),V62))</f>
        <v>-1.1700902309500001</v>
      </c>
      <c r="X62" s="95">
        <f si="0" t="shared"/>
        <v>0</v>
      </c>
    </row>
    <row r="63" spans="1:24" x14ac:dyDescent="0.25">
      <c r="A63">
        <f>TLFD!A37+0.5</f>
        <v>26.5</v>
      </c>
      <c r="B63" s="81">
        <f si="4" t="shared"/>
        <v>3.3141860046725258</v>
      </c>
      <c r="C63" s="78">
        <f>TLFD!C37/SUM(TLFD!$C$11:$C$100)</f>
        <v>1.4104902641739202E-2</v>
      </c>
      <c r="D63" s="78">
        <f>TLFD!I37/SUM(TLFD!$I$11:$I$100)</f>
        <v>3.663003663003663E-3</v>
      </c>
      <c r="E63" s="78">
        <f>TLFD!D37/SUM(TLFD!$D$11:$D$101)</f>
        <v>0</v>
      </c>
      <c r="F63" s="78">
        <f>TLFD!J37/SUM(TLFD!$J$11:$J$100)</f>
        <v>2.9620853080568718E-3</v>
      </c>
      <c r="G63" s="141">
        <f si="3" t="shared"/>
        <v>1.3482389582394265</v>
      </c>
      <c r="H63" s="141">
        <f si="5" t="shared"/>
        <v>0</v>
      </c>
      <c r="J63" s="84" t="s">
        <v>296</v>
      </c>
      <c r="K63" s="84">
        <v>0</v>
      </c>
      <c r="L63" s="84" t="e">
        <v>#N/A</v>
      </c>
      <c r="M63" s="84" t="e">
        <v>#N/A</v>
      </c>
      <c r="N63" s="84" t="e">
        <v>#N/A</v>
      </c>
      <c r="O63" s="84" t="e">
        <v>#N/A</v>
      </c>
      <c r="P63" s="84" t="e">
        <v>#N/A</v>
      </c>
      <c r="Q63" s="84" t="e">
        <v>#N/A</v>
      </c>
      <c r="R63" s="84" t="e">
        <v>#N/A</v>
      </c>
      <c r="T63">
        <f>WorkLocationCoefficients!B71</f>
        <v>70</v>
      </c>
      <c r="U63" t="str">
        <f>WorkLocationCoefficients!C71</f>
        <v>Gamma70</v>
      </c>
      <c r="V63" s="40">
        <f>WorkLocationCoefficients!E71</f>
        <v>1.8412445021999999</v>
      </c>
      <c r="W63" s="162">
        <f>_xlfn.IFNA(VLOOKUP(T63,$M$13:$Q$39,5,FALSE),_xlfn.IFNA(VLOOKUP(T63,calibration_flow!$AD$3:$AH$25,5,FALSE),V63))</f>
        <v>1.8412445021999999</v>
      </c>
      <c r="X63" s="95">
        <f si="0" t="shared"/>
        <v>0</v>
      </c>
    </row>
    <row ht="15.75" r="64" spans="1:24" thickBot="1" x14ac:dyDescent="0.3">
      <c r="A64">
        <f>TLFD!A38+0.5</f>
        <v>27.5</v>
      </c>
      <c r="B64" s="81">
        <f si="4" t="shared"/>
        <v>3.3499040872746049</v>
      </c>
      <c r="C64" s="78">
        <f>TLFD!C38/SUM(TLFD!$C$11:$C$100)</f>
        <v>7.3718874544496469E-3</v>
      </c>
      <c r="D64" s="78">
        <f>TLFD!I38/SUM(TLFD!$I$11:$I$100)</f>
        <v>5.6166056166056166E-3</v>
      </c>
      <c r="E64" s="78">
        <f>TLFD!D38/SUM(TLFD!$D$11:$D$101)</f>
        <v>0</v>
      </c>
      <c r="F64" s="78">
        <f>TLFD!J38/SUM(TLFD!$J$11:$J$100)</f>
        <v>4.7393364928909956E-3</v>
      </c>
      <c r="G64" s="141">
        <f si="3" t="shared"/>
        <v>0.27194627444316466</v>
      </c>
      <c r="H64" s="141">
        <f si="5" t="shared"/>
        <v>0</v>
      </c>
      <c r="J64" s="88" t="s">
        <v>297</v>
      </c>
      <c r="K64" s="88">
        <v>-2.3769499067547318E-2</v>
      </c>
      <c r="L64" s="88">
        <v>2.0096066374795992E-2</v>
      </c>
      <c r="M64" s="88">
        <v>-1.1827936186237151</v>
      </c>
      <c r="N64" s="88">
        <v>0.24004105373670998</v>
      </c>
      <c r="O64" s="88">
        <v>-6.3699954898131447E-2</v>
      </c>
      <c r="P64" s="88">
        <v>1.6160956763036808E-2</v>
      </c>
      <c r="Q64" s="88">
        <v>-6.3699954898131447E-2</v>
      </c>
      <c r="R64" s="88">
        <v>1.6160956763036808E-2</v>
      </c>
      <c r="T64">
        <f>WorkLocationCoefficients!B72</f>
        <v>71</v>
      </c>
      <c r="U64" t="str">
        <f>WorkLocationCoefficients!C72</f>
        <v>Gamma71</v>
      </c>
      <c r="V64" s="40">
        <f>WorkLocationCoefficients!E72</f>
        <v>0.71619685052500004</v>
      </c>
      <c r="W64" s="162">
        <f>_xlfn.IFNA(VLOOKUP(T64,$M$13:$Q$39,5,FALSE),_xlfn.IFNA(VLOOKUP(T64,calibration_flow!$AD$3:$AH$25,5,FALSE),V64))</f>
        <v>0.71619685052500004</v>
      </c>
      <c r="X64" s="95">
        <f si="0" t="shared"/>
        <v>0</v>
      </c>
    </row>
    <row r="65" spans="1:24" x14ac:dyDescent="0.25">
      <c r="A65">
        <f>TLFD!A39+0.5</f>
        <v>28.5</v>
      </c>
      <c r="B65" s="81">
        <f si="4" t="shared"/>
        <v>3.3843902633457743</v>
      </c>
      <c r="C65" s="78">
        <f>TLFD!C39/SUM(TLFD!$C$11:$C$100)</f>
        <v>1.1942790681050604E-3</v>
      </c>
      <c r="D65" s="78">
        <f>TLFD!I39/SUM(TLFD!$I$11:$I$100)</f>
        <v>5.8608058608058608E-3</v>
      </c>
      <c r="E65" s="78">
        <f>TLFD!D39/SUM(TLFD!$D$11:$D$101)</f>
        <v>9.9652196382421648E-3</v>
      </c>
      <c r="F65" s="78">
        <f>TLFD!J39/SUM(TLFD!$J$11:$J$100)</f>
        <v>4.7393364928909956E-3</v>
      </c>
      <c r="G65" s="141">
        <f si="3" t="shared"/>
        <v>-1.5907444000009017</v>
      </c>
      <c r="H65" s="141">
        <f si="5" t="shared"/>
        <v>0.74320384888339197</v>
      </c>
      <c r="T65">
        <f>WorkLocationCoefficients!B73</f>
        <v>72</v>
      </c>
      <c r="U65" t="str">
        <f>WorkLocationCoefficients!C73</f>
        <v>Gamma72</v>
      </c>
      <c r="V65" s="40">
        <f>WorkLocationCoefficients!E73</f>
        <v>-0.101060642888</v>
      </c>
      <c r="W65" s="162">
        <f>_xlfn.IFNA(VLOOKUP(T65,$M$13:$Q$39,5,FALSE),_xlfn.IFNA(VLOOKUP(T65,calibration_flow!$AD$3:$AH$25,5,FALSE),V65))</f>
        <v>-0.101060642888</v>
      </c>
      <c r="X65" s="95">
        <f si="0" t="shared"/>
        <v>0</v>
      </c>
    </row>
    <row r="66" spans="1:24" x14ac:dyDescent="0.25">
      <c r="A66">
        <f>TLFD!A40+0.5</f>
        <v>29.5</v>
      </c>
      <c r="B66" s="81">
        <f si="4" t="shared"/>
        <v>3.417726683613366</v>
      </c>
      <c r="C66" s="78">
        <f>TLFD!C40/SUM(TLFD!$C$11:$C$100)</f>
        <v>2.7137483427822451E-3</v>
      </c>
      <c r="D66" s="78">
        <f>TLFD!I40/SUM(TLFD!$I$11:$I$100)</f>
        <v>4.884004884004884E-3</v>
      </c>
      <c r="E66" s="78">
        <f>TLFD!D40/SUM(TLFD!$D$11:$D$101)</f>
        <v>0</v>
      </c>
      <c r="F66" s="78">
        <f>TLFD!J40/SUM(TLFD!$J$11:$J$100)</f>
        <v>5.9241706161137445E-4</v>
      </c>
      <c r="G66" s="141">
        <f si="3" t="shared"/>
        <v>-0.58763472471321787</v>
      </c>
      <c r="H66" s="141">
        <f si="5" t="shared"/>
        <v>0</v>
      </c>
      <c r="T66">
        <f>WorkLocationCoefficients!B74</f>
        <v>73</v>
      </c>
      <c r="U66" t="str">
        <f>WorkLocationCoefficients!C74</f>
        <v>Gamma73</v>
      </c>
      <c r="V66" s="40">
        <f>WorkLocationCoefficients!E74</f>
        <v>-0.34132571646100002</v>
      </c>
      <c r="W66" s="162">
        <f>_xlfn.IFNA(VLOOKUP(T66,$M$13:$Q$39,5,FALSE),_xlfn.IFNA(VLOOKUP(T66,calibration_flow!$AD$3:$AH$25,5,FALSE),V66))</f>
        <v>-0.34132571646100002</v>
      </c>
      <c r="X66" s="95">
        <f si="0" t="shared"/>
        <v>0</v>
      </c>
    </row>
    <row r="67" spans="1:24" x14ac:dyDescent="0.25">
      <c r="A67">
        <f>TLFD!A41+0.5</f>
        <v>30.5</v>
      </c>
      <c r="B67" s="81">
        <f si="4" t="shared"/>
        <v>3.4499875458315872</v>
      </c>
      <c r="C67" s="78">
        <f>TLFD!C41/SUM(TLFD!$C$11:$C$100)</f>
        <v>5.6809030549563252E-3</v>
      </c>
      <c r="D67" s="78">
        <f>TLFD!I41/SUM(TLFD!$I$11:$I$100)</f>
        <v>2.6862026862026862E-3</v>
      </c>
      <c r="E67" s="78">
        <f>TLFD!D41/SUM(TLFD!$D$11:$D$101)</f>
        <v>1.8464637214686888E-3</v>
      </c>
      <c r="F67" s="78">
        <f>TLFD!J41/SUM(TLFD!$J$11:$J$100)</f>
        <v>2.3696682464454978E-3</v>
      </c>
      <c r="G67" s="141">
        <f si="3" t="shared"/>
        <v>0.74898165315103116</v>
      </c>
      <c r="H67" s="141">
        <f si="5" t="shared"/>
        <v>-0.24947765701593222</v>
      </c>
      <c r="T67">
        <f>WorkLocationCoefficients!B75</f>
        <v>74</v>
      </c>
      <c r="U67" t="str">
        <f>WorkLocationCoefficients!C75</f>
        <v>Gamma74</v>
      </c>
      <c r="V67" s="40">
        <f>WorkLocationCoefficients!E75</f>
        <v>1.0486549950899999</v>
      </c>
      <c r="W67" s="162">
        <f>_xlfn.IFNA(VLOOKUP(T67,$M$13:$Q$39,5,FALSE),_xlfn.IFNA(VLOOKUP(T67,calibration_flow!$AD$3:$AH$25,5,FALSE),V67))</f>
        <v>1.0486549950899999</v>
      </c>
      <c r="X67" s="95">
        <f si="0" t="shared"/>
        <v>0</v>
      </c>
    </row>
    <row r="68" spans="1:24" x14ac:dyDescent="0.25">
      <c r="A68">
        <f>TLFD!A42+0.5</f>
        <v>31.5</v>
      </c>
      <c r="B68" s="81">
        <f si="4" t="shared"/>
        <v>3.4812400893356918</v>
      </c>
      <c r="C68" s="78">
        <f>TLFD!C42/SUM(TLFD!$C$11:$C$100)</f>
        <v>2.2760083457689815E-3</v>
      </c>
      <c r="D68" s="78">
        <f>TLFD!I42/SUM(TLFD!$I$11:$I$100)</f>
        <v>3.1746031746031746E-3</v>
      </c>
      <c r="E68" s="78">
        <f>TLFD!D42/SUM(TLFD!$D$11:$D$101)</f>
        <v>0</v>
      </c>
      <c r="F68" s="78">
        <f>TLFD!J42/SUM(TLFD!$J$11:$J$100)</f>
        <v>2.9620853080568718E-3</v>
      </c>
      <c r="G68" s="141">
        <f si="3" t="shared"/>
        <v>-0.33275945704106619</v>
      </c>
      <c r="H68" s="141">
        <f si="5" t="shared"/>
        <v>0</v>
      </c>
      <c r="J68" s="7"/>
      <c r="K68" s="7"/>
      <c r="T68">
        <f>WorkLocationCoefficients!B76</f>
        <v>75</v>
      </c>
      <c r="U68" t="str">
        <f>WorkLocationCoefficients!C76</f>
        <v>Gamma75</v>
      </c>
      <c r="V68" s="40">
        <f>WorkLocationCoefficients!E76</f>
        <v>-30</v>
      </c>
      <c r="W68" s="162">
        <f>_xlfn.IFNA(VLOOKUP(T68,$M$13:$Q$39,5,FALSE),_xlfn.IFNA(VLOOKUP(T68,calibration_flow!$AD$3:$AH$25,5,FALSE),V68))</f>
        <v>-30</v>
      </c>
      <c r="X68" s="95">
        <f ref="X68:X93" si="6" t="shared">IF(W68=V68,0,1)</f>
        <v>0</v>
      </c>
    </row>
    <row r="69" spans="1:24" x14ac:dyDescent="0.25">
      <c r="A69">
        <f>TLFD!A43+0.5</f>
        <v>32.5</v>
      </c>
      <c r="B69" s="81">
        <f si="4" t="shared"/>
        <v>3.5115454388310208</v>
      </c>
      <c r="C69" s="78">
        <f>TLFD!C43/SUM(TLFD!$C$11:$C$100)</f>
        <v>2.9533315967397943E-3</v>
      </c>
      <c r="D69" s="78">
        <f>TLFD!I43/SUM(TLFD!$I$11:$I$100)</f>
        <v>3.663003663003663E-3</v>
      </c>
      <c r="E69" s="78">
        <f>TLFD!D43/SUM(TLFD!$D$11:$D$101)</f>
        <v>0</v>
      </c>
      <c r="F69" s="78">
        <f>TLFD!J43/SUM(TLFD!$J$11:$J$100)</f>
        <v>0</v>
      </c>
      <c r="G69" s="141">
        <f si="3" t="shared"/>
        <v>-0.21534959585982663</v>
      </c>
      <c r="H69" s="141">
        <f si="5" t="shared"/>
        <v>0</v>
      </c>
      <c r="J69" s="7"/>
      <c r="K69" s="7"/>
      <c r="T69">
        <f>WorkLocationCoefficients!B77</f>
        <v>76</v>
      </c>
      <c r="U69" t="str">
        <f>WorkLocationCoefficients!C77</f>
        <v>Gamma76</v>
      </c>
      <c r="V69" s="40">
        <f>WorkLocationCoefficients!E77</f>
        <v>0.91468797064200003</v>
      </c>
      <c r="W69" s="162">
        <f>_xlfn.IFNA(VLOOKUP(T69,$M$13:$Q$39,5,FALSE),_xlfn.IFNA(VLOOKUP(T69,calibration_flow!$AD$3:$AH$25,5,FALSE),V69))</f>
        <v>0.91468797064200003</v>
      </c>
      <c r="X69" s="95">
        <f si="6" t="shared"/>
        <v>0</v>
      </c>
    </row>
    <row r="70" spans="1:24" x14ac:dyDescent="0.25">
      <c r="A70">
        <f>TLFD!A44+0.5</f>
        <v>33.5</v>
      </c>
      <c r="B70" s="81">
        <f si="4" t="shared"/>
        <v>3.5409593240373143</v>
      </c>
      <c r="C70" s="78">
        <f>TLFD!C44/SUM(TLFD!$C$11:$C$100)</f>
        <v>8.3020642816033076E-4</v>
      </c>
      <c r="D70" s="78">
        <f>TLFD!I44/SUM(TLFD!$I$11:$I$100)</f>
        <v>1.4652014652014652E-3</v>
      </c>
      <c r="E70" s="78">
        <f>TLFD!D44/SUM(TLFD!$D$11:$D$101)</f>
        <v>5.0441190296011962E-2</v>
      </c>
      <c r="F70" s="78">
        <f>TLFD!J44/SUM(TLFD!$J$11:$J$100)</f>
        <v>5.9241706161137445E-4</v>
      </c>
      <c r="G70" s="141">
        <f si="3" t="shared"/>
        <v>-0.56807365241047458</v>
      </c>
      <c r="H70" s="141">
        <f si="5" t="shared"/>
        <v>4.4443525052476396</v>
      </c>
      <c r="J70" s="90" t="s">
        <v>10</v>
      </c>
      <c r="K70" s="7" t="s">
        <v>300</v>
      </c>
      <c r="T70">
        <f>WorkLocationCoefficients!B78</f>
        <v>77</v>
      </c>
      <c r="U70" t="str">
        <f>WorkLocationCoefficients!C78</f>
        <v>Gamma77</v>
      </c>
      <c r="V70" s="40">
        <f>WorkLocationCoefficients!E78</f>
        <v>-1.1830909132</v>
      </c>
      <c r="W70" s="162">
        <f>_xlfn.IFNA(VLOOKUP(T70,$M$13:$Q$39,5,FALSE),_xlfn.IFNA(VLOOKUP(T70,calibration_flow!$AD$3:$AH$25,5,FALSE),V70))</f>
        <v>-1.1830909132</v>
      </c>
      <c r="X70" s="95">
        <f si="6" t="shared"/>
        <v>0</v>
      </c>
    </row>
    <row r="71" spans="1:24" x14ac:dyDescent="0.25">
      <c r="A71">
        <f>TLFD!A45+0.5</f>
        <v>34.5</v>
      </c>
      <c r="B71" s="81">
        <f si="4" t="shared"/>
        <v>3.5695326964813701</v>
      </c>
      <c r="C71" s="78">
        <f>TLFD!C45/SUM(TLFD!$C$11:$C$100)</f>
        <v>3.6796313489112649E-3</v>
      </c>
      <c r="D71" s="78">
        <f>TLFD!I45/SUM(TLFD!$I$11:$I$100)</f>
        <v>1.7094017094017094E-3</v>
      </c>
      <c r="E71" s="78">
        <f>TLFD!D45/SUM(TLFD!$D$11:$D$101)</f>
        <v>1.0139076318953588E-3</v>
      </c>
      <c r="F71" s="78">
        <f>TLFD!J45/SUM(TLFD!$J$11:$J$100)</f>
        <v>1.1848341232227489E-3</v>
      </c>
      <c r="G71" s="141">
        <f si="3" t="shared"/>
        <v>0.76666913848622897</v>
      </c>
      <c r="H71" s="141">
        <f si="5" t="shared"/>
        <v>-0.15579097617175622</v>
      </c>
      <c r="J71" s="84"/>
      <c r="K71" s="84"/>
      <c r="T71">
        <f>WorkLocationCoefficients!B79</f>
        <v>78</v>
      </c>
      <c r="U71" t="str">
        <f>WorkLocationCoefficients!C79</f>
        <v>Gamma78</v>
      </c>
      <c r="V71" s="40">
        <f>WorkLocationCoefficients!E79</f>
        <v>1.4576625009499999</v>
      </c>
      <c r="W71" s="162">
        <f>_xlfn.IFNA(VLOOKUP(T71,$M$13:$Q$39,5,FALSE),_xlfn.IFNA(VLOOKUP(T71,calibration_flow!$AD$3:$AH$25,5,FALSE),V71))</f>
        <v>1.4576625009499999</v>
      </c>
      <c r="X71" s="95">
        <f si="6" t="shared"/>
        <v>0</v>
      </c>
    </row>
    <row r="72" spans="1:24" x14ac:dyDescent="0.25">
      <c r="A72">
        <f>TLFD!A46+0.5</f>
        <v>35.5</v>
      </c>
      <c r="B72" s="81">
        <f si="4" t="shared"/>
        <v>3.597312260588446</v>
      </c>
      <c r="C72" s="78">
        <f>TLFD!C46/SUM(TLFD!$C$11:$C$100)</f>
        <v>2.0678584348070924E-3</v>
      </c>
      <c r="D72" s="78">
        <f>TLFD!I46/SUM(TLFD!$I$11:$I$100)</f>
        <v>7.326007326007326E-4</v>
      </c>
      <c r="E72" s="78">
        <f>TLFD!D46/SUM(TLFD!$D$11:$D$101)</f>
        <v>0</v>
      </c>
      <c r="F72" s="78">
        <f>TLFD!J46/SUM(TLFD!$J$11:$J$100)</f>
        <v>5.9241706161137445E-4</v>
      </c>
      <c r="G72" s="141">
        <f si="3" t="shared"/>
        <v>1.0376679278176513</v>
      </c>
      <c r="H72" s="141">
        <f si="5" t="shared"/>
        <v>0</v>
      </c>
      <c r="J72" s="84"/>
      <c r="K72" s="84"/>
      <c r="T72">
        <f>WorkLocationCoefficients!B80</f>
        <v>79</v>
      </c>
      <c r="U72" t="str">
        <f>WorkLocationCoefficients!C80</f>
        <v>Gamma79</v>
      </c>
      <c r="V72" s="40">
        <f>WorkLocationCoefficients!E80</f>
        <v>-1.62636517084</v>
      </c>
      <c r="W72" s="162">
        <f>_xlfn.IFNA(VLOOKUP(T72,$M$13:$Q$39,5,FALSE),_xlfn.IFNA(VLOOKUP(T72,calibration_flow!$AD$3:$AH$25,5,FALSE),V72))</f>
        <v>-1.62636517084</v>
      </c>
      <c r="X72" s="95">
        <f si="6" t="shared"/>
        <v>0</v>
      </c>
    </row>
    <row r="73" spans="1:24" x14ac:dyDescent="0.25">
      <c r="A73">
        <f>TLFD!A47+0.5</f>
        <v>36.5</v>
      </c>
      <c r="B73" s="81">
        <f si="4" t="shared"/>
        <v>3.6243409329763652</v>
      </c>
      <c r="C73" s="78">
        <f>TLFD!C47/SUM(TLFD!$C$11:$C$100)</f>
        <v>5.4111073180252876E-3</v>
      </c>
      <c r="D73" s="78">
        <f>TLFD!I47/SUM(TLFD!$I$11:$I$100)</f>
        <v>4.884004884004884E-4</v>
      </c>
      <c r="E73" s="78">
        <f>TLFD!D47/SUM(TLFD!$D$11:$D$101)</f>
        <v>0</v>
      </c>
      <c r="F73" s="78">
        <f>TLFD!J47/SUM(TLFD!$J$11:$J$100)</f>
        <v>0</v>
      </c>
      <c r="G73" s="141">
        <f si="3" t="shared"/>
        <v>2.4050732885162134</v>
      </c>
      <c r="H73" s="141">
        <f si="5" t="shared"/>
        <v>0</v>
      </c>
      <c r="J73" t="s">
        <v>275</v>
      </c>
      <c r="T73">
        <f>WorkLocationCoefficients!B81</f>
        <v>80</v>
      </c>
      <c r="U73" t="str">
        <f>WorkLocationCoefficients!C81</f>
        <v>Gamma80</v>
      </c>
      <c r="V73" s="40">
        <f>WorkLocationCoefficients!E81</f>
        <v>0</v>
      </c>
      <c r="W73" s="162">
        <f>_xlfn.IFNA(VLOOKUP(T73,$M$13:$Q$39,5,FALSE),_xlfn.IFNA(VLOOKUP(T73,calibration_flow!$AD$3:$AH$25,5,FALSE),V73))</f>
        <v>0</v>
      </c>
      <c r="X73" s="95">
        <f si="6" t="shared"/>
        <v>0</v>
      </c>
    </row>
    <row ht="15.75" r="74" spans="1:24" thickBot="1" x14ac:dyDescent="0.3">
      <c r="A74">
        <f>TLFD!A48+0.5</f>
        <v>37.5</v>
      </c>
      <c r="B74" s="81">
        <f si="4" t="shared"/>
        <v>3.6506582412937387</v>
      </c>
      <c r="C74" s="78">
        <f>TLFD!C48/SUM(TLFD!$C$11:$C$100)</f>
        <v>2.1502076769337052E-3</v>
      </c>
      <c r="D74" s="78">
        <f>TLFD!I48/SUM(TLFD!$I$11:$I$100)</f>
        <v>9.768009768009768E-4</v>
      </c>
      <c r="E74" s="78">
        <f>TLFD!D48/SUM(TLFD!$D$11:$D$101)</f>
        <v>0</v>
      </c>
      <c r="F74" s="78">
        <f>TLFD!J48/SUM(TLFD!$J$11:$J$100)</f>
        <v>0</v>
      </c>
      <c r="G74" s="141">
        <f si="3" t="shared"/>
        <v>0.78903678758247453</v>
      </c>
      <c r="H74" s="141">
        <f si="5" t="shared"/>
        <v>0</v>
      </c>
      <c r="T74" s="72">
        <f>WorkLocationCoefficients!B82</f>
        <v>101</v>
      </c>
      <c r="U74" s="72" t="str">
        <f>WorkLocationCoefficients!C82</f>
        <v>DestD_1</v>
      </c>
      <c r="V74" s="73">
        <f>WorkLocationCoefficients!E82</f>
        <v>0</v>
      </c>
      <c r="W74" s="162">
        <f>_xlfn.IFNA(VLOOKUP(T74,$M$13:$Q$39,5,FALSE),_xlfn.IFNA(VLOOKUP(T74,calibration_flow!$AD$3:$AH$25,5,FALSE),V74))</f>
        <v>0</v>
      </c>
      <c r="X74" s="95">
        <f si="6" t="shared"/>
        <v>0</v>
      </c>
    </row>
    <row r="75" spans="1:24" x14ac:dyDescent="0.25">
      <c r="A75">
        <f>TLFD!A49+0.5</f>
        <v>38.5</v>
      </c>
      <c r="B75" s="81">
        <f si="4" t="shared"/>
        <v>3.6763006719070761</v>
      </c>
      <c r="C75" s="78">
        <f>TLFD!C49/SUM(TLFD!$C$11:$C$100)</f>
        <v>0</v>
      </c>
      <c r="D75" s="78">
        <f>TLFD!I49/SUM(TLFD!$I$11:$I$100)</f>
        <v>7.326007326007326E-4</v>
      </c>
      <c r="E75" s="78">
        <f>TLFD!D49/SUM(TLFD!$D$11:$D$101)</f>
        <v>1.3432049706462485E-3</v>
      </c>
      <c r="F75" s="78">
        <f>TLFD!J49/SUM(TLFD!$J$11:$J$100)</f>
        <v>0</v>
      </c>
      <c r="G75" s="141">
        <f si="3" t="shared"/>
        <v>0</v>
      </c>
      <c r="H75" s="141">
        <f si="5" t="shared"/>
        <v>0</v>
      </c>
      <c r="J75" s="86" t="s">
        <v>276</v>
      </c>
      <c r="K75" s="86"/>
      <c r="T75" s="72">
        <f>WorkLocationCoefficients!B83</f>
        <v>102</v>
      </c>
      <c r="U75" s="72" t="str">
        <f>WorkLocationCoefficients!C83</f>
        <v>DestD_2</v>
      </c>
      <c r="V75" s="73">
        <f>WorkLocationCoefficients!E83</f>
        <v>6.1585552388600001E-2</v>
      </c>
      <c r="W75" s="162">
        <f>_xlfn.IFNA(VLOOKUP(T75,$M$13:$Q$39,5,FALSE),_xlfn.IFNA(VLOOKUP(T75,calibration_flow!$AD$3:$AH$25,5,FALSE),V75))</f>
        <v>5.2846134181443502E-2</v>
      </c>
      <c r="X75" s="95">
        <f si="6" t="shared"/>
        <v>1</v>
      </c>
    </row>
    <row r="76" spans="1:24" x14ac:dyDescent="0.25">
      <c r="A76">
        <f>TLFD!A50+0.5</f>
        <v>39.5</v>
      </c>
      <c r="B76" s="81">
        <f si="4" t="shared"/>
        <v>3.7013019741124933</v>
      </c>
      <c r="C76" s="78">
        <f>TLFD!C50/SUM(TLFD!$C$11:$C$100)</f>
        <v>0</v>
      </c>
      <c r="D76" s="78">
        <f>TLFD!I50/SUM(TLFD!$I$11:$I$100)</f>
        <v>4.884004884004884E-4</v>
      </c>
      <c r="E76" s="78">
        <f>TLFD!D50/SUM(TLFD!$D$11:$D$101)</f>
        <v>0</v>
      </c>
      <c r="F76" s="78">
        <f>TLFD!J50/SUM(TLFD!$J$11:$J$100)</f>
        <v>0</v>
      </c>
      <c r="G76" s="141">
        <f si="3" t="shared"/>
        <v>0</v>
      </c>
      <c r="H76" s="141">
        <f si="5" t="shared"/>
        <v>0</v>
      </c>
      <c r="J76" s="84" t="s">
        <v>277</v>
      </c>
      <c r="K76" s="84">
        <v>0.15401022166034731</v>
      </c>
      <c r="T76" s="72">
        <f>WorkLocationCoefficients!B84</f>
        <v>103</v>
      </c>
      <c r="U76" s="72" t="str">
        <f>WorkLocationCoefficients!C84</f>
        <v>DestD_3</v>
      </c>
      <c r="V76" s="73">
        <f>WorkLocationCoefficients!E84</f>
        <v>-0.17738509358310001</v>
      </c>
      <c r="W76" s="162">
        <f>_xlfn.IFNA(VLOOKUP(T76,$M$13:$Q$39,5,FALSE),_xlfn.IFNA(VLOOKUP(T76,calibration_flow!$AD$3:$AH$25,5,FALSE),V76))</f>
        <v>-0.17430590562582965</v>
      </c>
      <c r="X76" s="95">
        <f si="6" t="shared"/>
        <v>1</v>
      </c>
    </row>
    <row r="77" spans="1:24" x14ac:dyDescent="0.25">
      <c r="A77">
        <f>TLFD!A51+0.5</f>
        <v>40.5</v>
      </c>
      <c r="B77" s="81">
        <f si="4" t="shared"/>
        <v>3.7256934272366524</v>
      </c>
      <c r="C77" s="78">
        <f>TLFD!C51/SUM(TLFD!$C$11:$C$100)</f>
        <v>0</v>
      </c>
      <c r="D77" s="78">
        <f>TLFD!I51/SUM(TLFD!$I$11:$I$100)</f>
        <v>9.768009768009768E-4</v>
      </c>
      <c r="E77" s="78">
        <f>TLFD!D51/SUM(TLFD!$D$11:$D$101)</f>
        <v>0</v>
      </c>
      <c r="F77" s="78">
        <f>TLFD!J51/SUM(TLFD!$J$11:$J$100)</f>
        <v>0</v>
      </c>
      <c r="G77" s="141">
        <f si="3" t="shared"/>
        <v>0</v>
      </c>
      <c r="H77" s="141">
        <f si="5" t="shared"/>
        <v>0</v>
      </c>
      <c r="J77" s="84" t="s">
        <v>278</v>
      </c>
      <c r="K77" s="84">
        <v>2.371914837586931E-2</v>
      </c>
      <c r="T77" s="72">
        <f>WorkLocationCoefficients!B85</f>
        <v>104</v>
      </c>
      <c r="U77" s="72" t="str">
        <f>WorkLocationCoefficients!C85</f>
        <v>DestD_4</v>
      </c>
      <c r="V77" s="73">
        <f>WorkLocationCoefficients!E85</f>
        <v>0.2419007637824</v>
      </c>
      <c r="W77" s="162">
        <f>_xlfn.IFNA(VLOOKUP(T77,$M$13:$Q$39,5,FALSE),_xlfn.IFNA(VLOOKUP(T77,calibration_flow!$AD$3:$AH$25,5,FALSE),V77))</f>
        <v>0.20449796112854141</v>
      </c>
      <c r="X77" s="95">
        <f si="6" t="shared"/>
        <v>1</v>
      </c>
    </row>
    <row r="78" spans="1:24" x14ac:dyDescent="0.25">
      <c r="A78">
        <f>TLFD!A52+0.5</f>
        <v>41.5</v>
      </c>
      <c r="B78" s="81">
        <f si="4" t="shared"/>
        <v>3.7495040759303713</v>
      </c>
      <c r="C78" s="78">
        <f>TLFD!C52/SUM(TLFD!$C$11:$C$100)</f>
        <v>0</v>
      </c>
      <c r="D78" s="78">
        <f>TLFD!I52/SUM(TLFD!$I$11:$I$100)</f>
        <v>2.442002442002442E-4</v>
      </c>
      <c r="E78" s="78">
        <f>TLFD!D52/SUM(TLFD!$D$11:$D$101)</f>
        <v>0</v>
      </c>
      <c r="F78" s="78">
        <f>TLFD!J52/SUM(TLFD!$J$11:$J$100)</f>
        <v>0</v>
      </c>
      <c r="G78" s="141">
        <f si="3" t="shared"/>
        <v>0</v>
      </c>
      <c r="H78" s="141">
        <f si="5" t="shared"/>
        <v>0</v>
      </c>
      <c r="J78" s="84" t="s">
        <v>279</v>
      </c>
      <c r="K78" s="84">
        <v>1.2483193319689537E-2</v>
      </c>
      <c r="T78" s="72">
        <f>WorkLocationCoefficients!B86</f>
        <v>105</v>
      </c>
      <c r="U78" s="72" t="str">
        <f>WorkLocationCoefficients!C86</f>
        <v>DestD_5</v>
      </c>
      <c r="V78" s="73">
        <f>WorkLocationCoefficients!E86</f>
        <v>-3.3705109193499998E-2</v>
      </c>
      <c r="W78" s="162">
        <f>_xlfn.IFNA(VLOOKUP(T78,$M$13:$Q$39,5,FALSE),_xlfn.IFNA(VLOOKUP(T78,calibration_flow!$AD$3:$AH$25,5,FALSE),V78))</f>
        <v>-2.9152931649331366E-2</v>
      </c>
      <c r="X78" s="95">
        <f si="6" t="shared"/>
        <v>1</v>
      </c>
    </row>
    <row r="79" spans="1:24" x14ac:dyDescent="0.25">
      <c r="A79">
        <f>TLFD!A53+0.5</f>
        <v>42.5</v>
      </c>
      <c r="B79" s="81">
        <f si="4" t="shared"/>
        <v>3.7727609380946383</v>
      </c>
      <c r="C79" s="78">
        <f>TLFD!C53/SUM(TLFD!$C$11:$C$100)</f>
        <v>4.3855659549884749E-4</v>
      </c>
      <c r="D79" s="78">
        <f>TLFD!I53/SUM(TLFD!$I$11:$I$100)</f>
        <v>2.442002442002442E-4</v>
      </c>
      <c r="E79" s="78">
        <f>TLFD!D53/SUM(TLFD!$D$11:$D$101)</f>
        <v>0</v>
      </c>
      <c r="F79" s="78">
        <f>TLFD!J53/SUM(TLFD!$J$11:$J$100)</f>
        <v>0</v>
      </c>
      <c r="G79" s="141">
        <f si="3" t="shared"/>
        <v>0.5855003079387382</v>
      </c>
      <c r="H79" s="141">
        <f si="5" t="shared"/>
        <v>0</v>
      </c>
      <c r="J79" s="84" t="s">
        <v>280</v>
      </c>
      <c r="K79" s="84">
        <v>0.76424537909254264</v>
      </c>
      <c r="T79" s="72">
        <f>WorkLocationCoefficients!B87</f>
        <v>106</v>
      </c>
      <c r="U79" s="72" t="str">
        <f>WorkLocationCoefficients!C87</f>
        <v>DestD_6</v>
      </c>
      <c r="V79" s="73">
        <f>WorkLocationCoefficients!E87</f>
        <v>0.1143372177009</v>
      </c>
      <c r="W79" s="162">
        <f>_xlfn.IFNA(VLOOKUP(T79,$M$13:$Q$39,5,FALSE),_xlfn.IFNA(VLOOKUP(T79,calibration_flow!$AD$3:$AH$25,5,FALSE),V79))</f>
        <v>0.11596666578073994</v>
      </c>
      <c r="X79" s="95">
        <f si="6" t="shared"/>
        <v>1</v>
      </c>
    </row>
    <row ht="15.75" r="80" spans="1:24" thickBot="1" x14ac:dyDescent="0.3">
      <c r="A80">
        <f>TLFD!A54+0.5</f>
        <v>43.5</v>
      </c>
      <c r="B80" s="81">
        <f si="4" t="shared"/>
        <v>3.7954891891721947</v>
      </c>
      <c r="C80" s="78">
        <f>TLFD!C54/SUM(TLFD!$C$11:$C$100)</f>
        <v>1.2340435841774245E-3</v>
      </c>
      <c r="D80" s="78">
        <f>TLFD!I54/SUM(TLFD!$I$11:$I$100)</f>
        <v>4.884004884004884E-4</v>
      </c>
      <c r="E80" s="78">
        <f>TLFD!D54/SUM(TLFD!$D$11:$D$101)</f>
        <v>0</v>
      </c>
      <c r="F80" s="78">
        <f>TLFD!J54/SUM(TLFD!$J$11:$J$100)</f>
        <v>0</v>
      </c>
      <c r="G80" s="141">
        <f si="3" t="shared"/>
        <v>0.9269157810352191</v>
      </c>
      <c r="H80" s="141">
        <f si="5" t="shared"/>
        <v>0</v>
      </c>
      <c r="J80" s="88" t="s">
        <v>281</v>
      </c>
      <c r="K80" s="88">
        <v>90</v>
      </c>
      <c r="T80" s="72">
        <f>WorkLocationCoefficients!B88</f>
        <v>107</v>
      </c>
      <c r="U80" s="72" t="str">
        <f>WorkLocationCoefficients!C88</f>
        <v>DestD_7</v>
      </c>
      <c r="V80" s="73">
        <f>WorkLocationCoefficients!E88</f>
        <v>0.29549776405130002</v>
      </c>
      <c r="W80" s="162">
        <f>_xlfn.IFNA(VLOOKUP(T80,$M$13:$Q$39,5,FALSE),_xlfn.IFNA(VLOOKUP(T80,calibration_flow!$AD$3:$AH$25,5,FALSE),V80))</f>
        <v>0.29369865932883776</v>
      </c>
      <c r="X80" s="95">
        <f si="6" t="shared"/>
        <v>1</v>
      </c>
    </row>
    <row r="81" spans="1:24" x14ac:dyDescent="0.25">
      <c r="A81">
        <f>TLFD!A55+0.5</f>
        <v>44.5</v>
      </c>
      <c r="B81" s="81">
        <f si="4" t="shared"/>
        <v>3.8177123259569048</v>
      </c>
      <c r="C81" s="78">
        <f>TLFD!C55/SUM(TLFD!$C$11:$C$100)</f>
        <v>0</v>
      </c>
      <c r="D81" s="78">
        <f>TLFD!I55/SUM(TLFD!$I$11:$I$100)</f>
        <v>0</v>
      </c>
      <c r="E81" s="78">
        <f>TLFD!D55/SUM(TLFD!$D$11:$D$101)</f>
        <v>0</v>
      </c>
      <c r="F81" s="78">
        <f>TLFD!J55/SUM(TLFD!$J$11:$J$100)</f>
        <v>5.9241706161137445E-4</v>
      </c>
      <c r="G81" s="141">
        <f si="3" t="shared"/>
        <v>0</v>
      </c>
      <c r="H81" s="141">
        <f si="5" t="shared"/>
        <v>0</v>
      </c>
      <c r="T81" s="72">
        <f>WorkLocationCoefficients!B89</f>
        <v>108</v>
      </c>
      <c r="U81" s="72" t="str">
        <f>WorkLocationCoefficients!C89</f>
        <v>DestD_8</v>
      </c>
      <c r="V81" s="73">
        <f>WorkLocationCoefficients!E89</f>
        <v>-0.24958234591280001</v>
      </c>
      <c r="W81" s="162">
        <f>_xlfn.IFNA(VLOOKUP(T81,$M$13:$Q$39,5,FALSE),_xlfn.IFNA(VLOOKUP(T81,calibration_flow!$AD$3:$AH$25,5,FALSE),V81))</f>
        <v>-0.24728584515087346</v>
      </c>
      <c r="X81" s="95">
        <f si="6" t="shared"/>
        <v>1</v>
      </c>
    </row>
    <row ht="15.75" r="82" spans="1:24" thickBot="1" x14ac:dyDescent="0.3">
      <c r="A82">
        <f>TLFD!A56+0.5</f>
        <v>45.5</v>
      </c>
      <c r="B82" s="81">
        <f si="4" t="shared"/>
        <v>3.8394523125933104</v>
      </c>
      <c r="C82" s="78">
        <f>TLFD!C56/SUM(TLFD!$C$11:$C$100)</f>
        <v>0</v>
      </c>
      <c r="D82" s="78">
        <f>TLFD!I56/SUM(TLFD!$I$11:$I$100)</f>
        <v>2.442002442002442E-4</v>
      </c>
      <c r="E82" s="78">
        <f>TLFD!D56/SUM(TLFD!$D$11:$D$101)</f>
        <v>0</v>
      </c>
      <c r="F82" s="78">
        <f>TLFD!J56/SUM(TLFD!$J$11:$J$100)</f>
        <v>0</v>
      </c>
      <c r="G82" s="141">
        <f si="3" t="shared"/>
        <v>0</v>
      </c>
      <c r="H82" s="141">
        <f si="5" t="shared"/>
        <v>0</v>
      </c>
      <c r="J82" t="s">
        <v>282</v>
      </c>
      <c r="T82" s="72">
        <f>WorkLocationCoefficients!B90</f>
        <v>109</v>
      </c>
      <c r="U82" s="72" t="str">
        <f>WorkLocationCoefficients!C90</f>
        <v>DestD_9</v>
      </c>
      <c r="V82" s="73">
        <f>WorkLocationCoefficients!E90</f>
        <v>0.1613318461263</v>
      </c>
      <c r="W82" s="162">
        <f>_xlfn.IFNA(VLOOKUP(T82,$M$13:$Q$39,5,FALSE),_xlfn.IFNA(VLOOKUP(T82,calibration_flow!$AD$3:$AH$25,5,FALSE),V82))</f>
        <v>0.17085366118190426</v>
      </c>
      <c r="X82" s="95">
        <f si="6" t="shared"/>
        <v>1</v>
      </c>
    </row>
    <row r="83" spans="1:24" x14ac:dyDescent="0.25">
      <c r="A83">
        <f>TLFD!A57+0.5</f>
        <v>46.5</v>
      </c>
      <c r="B83" s="81">
        <f si="4" t="shared"/>
        <v>3.8607297110405954</v>
      </c>
      <c r="C83" s="78">
        <f>TLFD!C57/SUM(TLFD!$C$11:$C$100)</f>
        <v>0</v>
      </c>
      <c r="D83" s="78">
        <f>TLFD!I57/SUM(TLFD!$I$11:$I$100)</f>
        <v>9.768009768009768E-4</v>
      </c>
      <c r="E83" s="78">
        <f>TLFD!D57/SUM(TLFD!$D$11:$D$101)</f>
        <v>0</v>
      </c>
      <c r="F83" s="78">
        <f>TLFD!J57/SUM(TLFD!$J$11:$J$100)</f>
        <v>0</v>
      </c>
      <c r="G83" s="141">
        <f si="3" t="shared"/>
        <v>0</v>
      </c>
      <c r="H83" s="141">
        <f si="5" t="shared"/>
        <v>0</v>
      </c>
      <c r="J83" s="89"/>
      <c r="K83" s="89" t="s">
        <v>283</v>
      </c>
      <c r="L83" s="89" t="s">
        <v>284</v>
      </c>
      <c r="M83" s="89" t="s">
        <v>285</v>
      </c>
      <c r="N83" s="89" t="s">
        <v>94</v>
      </c>
      <c r="O83" s="89" t="s">
        <v>286</v>
      </c>
      <c r="T83" s="72">
        <f>WorkLocationCoefficients!B91</f>
        <v>110</v>
      </c>
      <c r="U83" s="72" t="str">
        <f>WorkLocationCoefficients!C91</f>
        <v>DestD_10</v>
      </c>
      <c r="V83" s="73">
        <f>WorkLocationCoefficients!E91</f>
        <v>-4.5588844644699998E-2</v>
      </c>
      <c r="W83" s="162">
        <f>_xlfn.IFNA(VLOOKUP(T83,$M$13:$Q$39,5,FALSE),_xlfn.IFNA(VLOOKUP(T83,calibration_flow!$AD$3:$AH$25,5,FALSE),V83))</f>
        <v>-1.5976777066678799E-2</v>
      </c>
      <c r="X83" s="95">
        <f si="6" t="shared"/>
        <v>1</v>
      </c>
    </row>
    <row r="84" spans="1:24" x14ac:dyDescent="0.25">
      <c r="A84">
        <f>TLFD!A58+0.5</f>
        <v>47.5</v>
      </c>
      <c r="B84" s="81">
        <f si="4" t="shared"/>
        <v>3.8815637979434374</v>
      </c>
      <c r="C84" s="78">
        <f>TLFD!C58/SUM(TLFD!$C$11:$C$100)</f>
        <v>0</v>
      </c>
      <c r="D84" s="78">
        <f>TLFD!I58/SUM(TLFD!$I$11:$I$100)</f>
        <v>2.442002442002442E-4</v>
      </c>
      <c r="E84" s="78">
        <f>TLFD!D58/SUM(TLFD!$D$11:$D$101)</f>
        <v>0</v>
      </c>
      <c r="F84" s="78">
        <f>TLFD!J58/SUM(TLFD!$J$11:$J$100)</f>
        <v>0</v>
      </c>
      <c r="G84" s="141">
        <f si="3" t="shared"/>
        <v>0</v>
      </c>
      <c r="H84" s="141">
        <f si="5" t="shared"/>
        <v>0</v>
      </c>
      <c r="J84" s="84" t="s">
        <v>287</v>
      </c>
      <c r="K84" s="84">
        <v>1</v>
      </c>
      <c r="L84" s="84">
        <v>1.2629320078343724</v>
      </c>
      <c r="M84" s="84">
        <v>1.2629320078343724</v>
      </c>
      <c r="N84" s="84">
        <v>2.1622919285372895</v>
      </c>
      <c r="O84" s="84">
        <v>0.14500021604772662</v>
      </c>
      <c r="T84" s="72">
        <f>WorkLocationCoefficients!B92</f>
        <v>111</v>
      </c>
      <c r="U84" s="72" t="str">
        <f>WorkLocationCoefficients!C92</f>
        <v>DestD_11</v>
      </c>
      <c r="V84" s="73">
        <f>WorkLocationCoefficients!E92</f>
        <v>-0.14910096747439999</v>
      </c>
      <c r="W84" s="162">
        <f>_xlfn.IFNA(VLOOKUP(T84,$M$13:$Q$39,5,FALSE),_xlfn.IFNA(VLOOKUP(T84,calibration_flow!$AD$3:$AH$25,5,FALSE),V84))</f>
        <v>-0.12127675066683566</v>
      </c>
      <c r="X84" s="95">
        <f si="6" t="shared"/>
        <v>1</v>
      </c>
    </row>
    <row r="85" spans="1:24" x14ac:dyDescent="0.25">
      <c r="A85">
        <f>TLFD!A59+0.5</f>
        <v>48.5</v>
      </c>
      <c r="B85" s="81">
        <f si="4" t="shared"/>
        <v>3.9019726695746448</v>
      </c>
      <c r="C85" s="78">
        <f>TLFD!C59/SUM(TLFD!$C$11:$C$100)</f>
        <v>0</v>
      </c>
      <c r="D85" s="78">
        <f>TLFD!I59/SUM(TLFD!$I$11:$I$100)</f>
        <v>4.884004884004884E-4</v>
      </c>
      <c r="E85" s="78">
        <f>TLFD!D59/SUM(TLFD!$D$11:$D$101)</f>
        <v>0</v>
      </c>
      <c r="F85" s="78">
        <f>TLFD!J59/SUM(TLFD!$J$11:$J$100)</f>
        <v>0</v>
      </c>
      <c r="G85" s="141">
        <f si="3" t="shared"/>
        <v>0</v>
      </c>
      <c r="H85" s="141">
        <f si="5" t="shared"/>
        <v>0</v>
      </c>
      <c r="J85" s="84" t="s">
        <v>288</v>
      </c>
      <c r="K85" s="84">
        <v>89</v>
      </c>
      <c r="L85" s="84">
        <v>51.982318952323077</v>
      </c>
      <c r="M85" s="84">
        <v>0.58407099946430419</v>
      </c>
      <c r="N85" s="84"/>
      <c r="O85" s="84"/>
      <c r="T85" s="72">
        <f>WorkLocationCoefficients!B93</f>
        <v>112</v>
      </c>
      <c r="U85" s="72" t="str">
        <f>WorkLocationCoefficients!C93</f>
        <v>DestD_12</v>
      </c>
      <c r="V85" s="73">
        <f>WorkLocationCoefficients!E93</f>
        <v>0.17468608903999999</v>
      </c>
      <c r="W85" s="162">
        <f>_xlfn.IFNA(VLOOKUP(T85,$M$13:$Q$39,5,FALSE),_xlfn.IFNA(VLOOKUP(T85,calibration_flow!$AD$3:$AH$25,5,FALSE),V85))</f>
        <v>7.1784950121286051E-2</v>
      </c>
      <c r="X85" s="95">
        <f si="6" t="shared"/>
        <v>1</v>
      </c>
    </row>
    <row ht="15.75" r="86" spans="1:24" thickBot="1" x14ac:dyDescent="0.3">
      <c r="A86">
        <f>TLFD!A60+0.5</f>
        <v>49.5</v>
      </c>
      <c r="B86" s="81">
        <f si="4" t="shared"/>
        <v>3.9219733362813143</v>
      </c>
      <c r="C86" s="78">
        <f>TLFD!C60/SUM(TLFD!$C$11:$C$100)</f>
        <v>0</v>
      </c>
      <c r="D86" s="78">
        <f>TLFD!I60/SUM(TLFD!$I$11:$I$100)</f>
        <v>0</v>
      </c>
      <c r="E86" s="78">
        <f>TLFD!D60/SUM(TLFD!$D$11:$D$101)</f>
        <v>0</v>
      </c>
      <c r="F86" s="78">
        <f>TLFD!J60/SUM(TLFD!$J$11:$J$100)</f>
        <v>0</v>
      </c>
      <c r="G86" s="141">
        <f si="3" t="shared"/>
        <v>0</v>
      </c>
      <c r="H86" s="141">
        <f si="5" t="shared"/>
        <v>0</v>
      </c>
      <c r="J86" s="88" t="s">
        <v>3</v>
      </c>
      <c r="K86" s="88">
        <v>90</v>
      </c>
      <c r="L86" s="88">
        <v>53.245250960157449</v>
      </c>
      <c r="M86" s="88"/>
      <c r="N86" s="88"/>
      <c r="O86" s="88"/>
      <c r="T86" s="72">
        <f>WorkLocationCoefficients!B94</f>
        <v>113</v>
      </c>
      <c r="U86" s="72" t="str">
        <f>WorkLocationCoefficients!C94</f>
        <v>DestD_13</v>
      </c>
      <c r="V86" s="73">
        <f>WorkLocationCoefficients!E94</f>
        <v>1.3048994599762</v>
      </c>
      <c r="W86" s="162">
        <f>_xlfn.IFNA(VLOOKUP(T86,$M$13:$Q$39,5,FALSE),_xlfn.IFNA(VLOOKUP(T86,calibration_flow!$AD$3:$AH$25,5,FALSE),V86))</f>
        <v>1.2990995647466279</v>
      </c>
      <c r="X86" s="95">
        <f si="6" t="shared"/>
        <v>1</v>
      </c>
    </row>
    <row ht="15.75" r="87" spans="1:24" thickBot="1" x14ac:dyDescent="0.3">
      <c r="A87">
        <f>TLFD!A61+0.5</f>
        <v>50.5</v>
      </c>
      <c r="B87" s="81">
        <f si="4" t="shared"/>
        <v>3.9415818076696905</v>
      </c>
      <c r="C87" s="78">
        <f>TLFD!C61/SUM(TLFD!$C$11:$C$100)</f>
        <v>0</v>
      </c>
      <c r="D87" s="78">
        <f>TLFD!I61/SUM(TLFD!$I$11:$I$100)</f>
        <v>0</v>
      </c>
      <c r="E87" s="78">
        <f>TLFD!D61/SUM(TLFD!$D$11:$D$101)</f>
        <v>0</v>
      </c>
      <c r="F87" s="78">
        <f>TLFD!J61/SUM(TLFD!$J$11:$J$100)</f>
        <v>0</v>
      </c>
      <c r="G87" s="141">
        <f si="3" t="shared"/>
        <v>0</v>
      </c>
      <c r="H87" s="141">
        <f si="5" t="shared"/>
        <v>0</v>
      </c>
      <c r="T87" s="72">
        <f>WorkLocationCoefficients!B95</f>
        <v>114</v>
      </c>
      <c r="U87" s="72" t="str">
        <f>WorkLocationCoefficients!C95</f>
        <v>DestD_14</v>
      </c>
      <c r="V87" s="73">
        <f>WorkLocationCoefficients!E95</f>
        <v>4.9409553856600001E-2</v>
      </c>
      <c r="W87" s="162">
        <f>_xlfn.IFNA(VLOOKUP(T87,$M$13:$Q$39,5,FALSE),_xlfn.IFNA(VLOOKUP(T87,calibration_flow!$AD$3:$AH$25,5,FALSE),V87))</f>
        <v>5.7481628997122058E-2</v>
      </c>
      <c r="X87" s="95">
        <f si="6" t="shared"/>
        <v>1</v>
      </c>
    </row>
    <row r="88" spans="1:24" x14ac:dyDescent="0.25">
      <c r="A88">
        <f>TLFD!A62+0.5</f>
        <v>51.5</v>
      </c>
      <c r="B88" s="81">
        <f si="4" t="shared"/>
        <v>3.9608131695975781</v>
      </c>
      <c r="C88" s="78">
        <f>TLFD!C62/SUM(TLFD!$C$11:$C$100)</f>
        <v>6.7285204529740693E-4</v>
      </c>
      <c r="D88" s="78">
        <f>TLFD!I62/SUM(TLFD!$I$11:$I$100)</f>
        <v>0</v>
      </c>
      <c r="E88" s="78">
        <f>TLFD!D62/SUM(TLFD!$D$11:$D$101)</f>
        <v>0</v>
      </c>
      <c r="F88" s="78">
        <f>TLFD!J62/SUM(TLFD!$J$11:$J$100)</f>
        <v>0</v>
      </c>
      <c r="G88" s="141">
        <f si="3" t="shared"/>
        <v>0</v>
      </c>
      <c r="H88" s="141">
        <f si="5" t="shared"/>
        <v>0</v>
      </c>
      <c r="J88" s="89"/>
      <c r="K88" s="89" t="s">
        <v>289</v>
      </c>
      <c r="L88" s="89" t="s">
        <v>280</v>
      </c>
      <c r="M88" s="89" t="s">
        <v>290</v>
      </c>
      <c r="N88" s="89" t="s">
        <v>291</v>
      </c>
      <c r="O88" s="89" t="s">
        <v>292</v>
      </c>
      <c r="P88" s="89" t="s">
        <v>293</v>
      </c>
      <c r="Q88" s="89" t="s">
        <v>294</v>
      </c>
      <c r="R88" s="89" t="s">
        <v>295</v>
      </c>
      <c r="T88" s="72">
        <f>WorkLocationCoefficients!B96</f>
        <v>115</v>
      </c>
      <c r="U88" s="72" t="str">
        <f>WorkLocationCoefficients!C96</f>
        <v>DestD_15</v>
      </c>
      <c r="V88" s="73">
        <f>WorkLocationCoefficients!E96</f>
        <v>0.21697886195819999</v>
      </c>
      <c r="W88" s="162">
        <f>_xlfn.IFNA(VLOOKUP(T88,$M$13:$Q$39,5,FALSE),_xlfn.IFNA(VLOOKUP(T88,calibration_flow!$AD$3:$AH$25,5,FALSE),V88))</f>
        <v>0.20410996941269616</v>
      </c>
      <c r="X88" s="95">
        <f si="6" t="shared"/>
        <v>1</v>
      </c>
    </row>
    <row r="89" spans="1:24" x14ac:dyDescent="0.25">
      <c r="A89">
        <f>TLFD!A63+0.5</f>
        <v>52.5</v>
      </c>
      <c r="B89" s="81">
        <f si="4" t="shared"/>
        <v>3.9796816539019608</v>
      </c>
      <c r="C89" s="78">
        <f>TLFD!C63/SUM(TLFD!$C$11:$C$100)</f>
        <v>0</v>
      </c>
      <c r="D89" s="78">
        <f>TLFD!I63/SUM(TLFD!$I$11:$I$100)</f>
        <v>0</v>
      </c>
      <c r="E89" s="78">
        <f>TLFD!D63/SUM(TLFD!$D$11:$D$101)</f>
        <v>0</v>
      </c>
      <c r="F89" s="78">
        <f>TLFD!J63/SUM(TLFD!$J$11:$J$100)</f>
        <v>0</v>
      </c>
      <c r="G89" s="141">
        <f si="3" t="shared"/>
        <v>0</v>
      </c>
      <c r="H89" s="141">
        <f si="5" t="shared"/>
        <v>0</v>
      </c>
      <c r="J89" s="84" t="s">
        <v>296</v>
      </c>
      <c r="K89" s="84">
        <v>0</v>
      </c>
      <c r="L89" s="84" t="e">
        <v>#N/A</v>
      </c>
      <c r="M89" s="84" t="e">
        <v>#N/A</v>
      </c>
      <c r="N89" s="84" t="e">
        <v>#N/A</v>
      </c>
      <c r="O89" s="84" t="e">
        <v>#N/A</v>
      </c>
      <c r="P89" s="84" t="e">
        <v>#N/A</v>
      </c>
      <c r="Q89" s="84" t="e">
        <v>#N/A</v>
      </c>
      <c r="R89" s="84" t="e">
        <v>#N/A</v>
      </c>
      <c r="T89" s="72">
        <f>WorkLocationCoefficients!B97</f>
        <v>116</v>
      </c>
      <c r="U89" s="72" t="str">
        <f>WorkLocationCoefficients!C97</f>
        <v>DestD_16</v>
      </c>
      <c r="V89" s="73">
        <f>WorkLocationCoefficients!E97</f>
        <v>-0.46096256471820002</v>
      </c>
      <c r="W89" s="162">
        <f>_xlfn.IFNA(VLOOKUP(T89,$M$13:$Q$39,5,FALSE),_xlfn.IFNA(VLOOKUP(T89,calibration_flow!$AD$3:$AH$25,5,FALSE),V89))</f>
        <v>-0.45682149695367036</v>
      </c>
      <c r="X89" s="95">
        <f si="6" t="shared"/>
        <v>1</v>
      </c>
    </row>
    <row ht="15.75" r="90" spans="1:24" thickBot="1" x14ac:dyDescent="0.3">
      <c r="A90">
        <f>TLFD!A64+0.5</f>
        <v>53.5</v>
      </c>
      <c r="B90" s="81">
        <f si="4" t="shared"/>
        <v>3.9982007016691985</v>
      </c>
      <c r="C90" s="78">
        <f>TLFD!C64/SUM(TLFD!$C$11:$C$100)</f>
        <v>0</v>
      </c>
      <c r="D90" s="78">
        <f>TLFD!I64/SUM(TLFD!$I$11:$I$100)</f>
        <v>0</v>
      </c>
      <c r="E90" s="78">
        <f>TLFD!D64/SUM(TLFD!$D$11:$D$101)</f>
        <v>0</v>
      </c>
      <c r="F90" s="78">
        <f>TLFD!J64/SUM(TLFD!$J$11:$J$100)</f>
        <v>0</v>
      </c>
      <c r="G90" s="141">
        <f si="3" t="shared"/>
        <v>0</v>
      </c>
      <c r="H90" s="141">
        <f si="5" t="shared"/>
        <v>0</v>
      </c>
      <c r="J90" s="88" t="s">
        <v>297</v>
      </c>
      <c r="K90" s="88">
        <v>3.2297982090088391E-2</v>
      </c>
      <c r="L90" s="88">
        <v>2.1964343437954996E-2</v>
      </c>
      <c r="M90" s="88">
        <v>1.4704733688636729</v>
      </c>
      <c r="N90" s="88">
        <v>0.14496023952276038</v>
      </c>
      <c r="O90" s="88">
        <v>-1.1344700469768834E-2</v>
      </c>
      <c r="P90" s="88">
        <v>7.5940664649945616E-2</v>
      </c>
      <c r="Q90" s="88">
        <v>-1.1344700469768834E-2</v>
      </c>
      <c r="R90" s="88">
        <v>7.5940664649945616E-2</v>
      </c>
      <c r="T90" s="72">
        <f>WorkLocationCoefficients!B98</f>
        <v>117</v>
      </c>
      <c r="U90" s="72" t="str">
        <f>WorkLocationCoefficients!C98</f>
        <v>DestD_17</v>
      </c>
      <c r="V90" s="73">
        <f>WorkLocationCoefficients!E98</f>
        <v>-6.5598826231399995E-2</v>
      </c>
      <c r="W90" s="162">
        <f>_xlfn.IFNA(VLOOKUP(T90,$M$13:$Q$39,5,FALSE),_xlfn.IFNA(VLOOKUP(T90,calibration_flow!$AD$3:$AH$25,5,FALSE),V90))</f>
        <v>-7.391935644003339E-2</v>
      </c>
      <c r="X90" s="95">
        <f si="6" t="shared"/>
        <v>1</v>
      </c>
    </row>
    <row r="91" spans="1:24" x14ac:dyDescent="0.25">
      <c r="A91">
        <f>TLFD!A65+0.5</f>
        <v>54.5</v>
      </c>
      <c r="B91" s="81">
        <f si="4" t="shared"/>
        <v>4.0163830207523885</v>
      </c>
      <c r="C91" s="78">
        <f>TLFD!C65/SUM(TLFD!$C$11:$C$100)</f>
        <v>0</v>
      </c>
      <c r="D91" s="78">
        <f>TLFD!I65/SUM(TLFD!$I$11:$I$100)</f>
        <v>0</v>
      </c>
      <c r="E91" s="78">
        <f>TLFD!D65/SUM(TLFD!$D$11:$D$101)</f>
        <v>0</v>
      </c>
      <c r="F91" s="78">
        <f>TLFD!J65/SUM(TLFD!$J$11:$J$100)</f>
        <v>0</v>
      </c>
      <c r="G91" s="141">
        <f si="3" t="shared"/>
        <v>0</v>
      </c>
      <c r="H91" s="141">
        <f si="5" t="shared"/>
        <v>0</v>
      </c>
      <c r="T91" s="72">
        <f>WorkLocationCoefficients!B99</f>
        <v>118</v>
      </c>
      <c r="U91" s="72" t="str">
        <f>WorkLocationCoefficients!C99</f>
        <v>DestD_18</v>
      </c>
      <c r="V91" s="73">
        <f>WorkLocationCoefficients!E99</f>
        <v>0.30646725571720002</v>
      </c>
      <c r="W91" s="162">
        <f>_xlfn.IFNA(VLOOKUP(T91,$M$13:$Q$39,5,FALSE),_xlfn.IFNA(VLOOKUP(T91,calibration_flow!$AD$3:$AH$25,5,FALSE),V91))</f>
        <v>0.31871742037107476</v>
      </c>
      <c r="X91" s="95">
        <f si="6" t="shared"/>
        <v>1</v>
      </c>
    </row>
    <row r="92" spans="1:24" x14ac:dyDescent="0.25">
      <c r="A92">
        <f>TLFD!A66+0.5</f>
        <v>55.5</v>
      </c>
      <c r="B92" s="81">
        <f si="4" t="shared"/>
        <v>4.0342406381523954</v>
      </c>
      <c r="C92" s="78">
        <f>TLFD!C66/SUM(TLFD!$C$11:$C$100)</f>
        <v>0</v>
      </c>
      <c r="D92" s="78">
        <f>TLFD!I66/SUM(TLFD!$I$11:$I$100)</f>
        <v>2.442002442002442E-4</v>
      </c>
      <c r="E92" s="78">
        <f>TLFD!D66/SUM(TLFD!$D$11:$D$101)</f>
        <v>0</v>
      </c>
      <c r="F92" s="78">
        <f>TLFD!J66/SUM(TLFD!$J$11:$J$100)</f>
        <v>0</v>
      </c>
      <c r="G92" s="141">
        <f si="3" t="shared"/>
        <v>0</v>
      </c>
      <c r="H92" s="141">
        <f si="5" t="shared"/>
        <v>0</v>
      </c>
      <c r="T92" s="72">
        <f>WorkLocationCoefficients!B100</f>
        <v>119</v>
      </c>
      <c r="U92" s="72" t="str">
        <f>WorkLocationCoefficients!C100</f>
        <v>DestD_19</v>
      </c>
      <c r="V92" s="73">
        <f>WorkLocationCoefficients!E100</f>
        <v>0.1628137198364</v>
      </c>
      <c r="W92" s="162">
        <f>_xlfn.IFNA(VLOOKUP(T92,$M$13:$Q$39,5,FALSE),_xlfn.IFNA(VLOOKUP(T92,calibration_flow!$AD$3:$AH$25,5,FALSE),V92))</f>
        <v>0.15771000062039026</v>
      </c>
      <c r="X92" s="95">
        <f si="6" t="shared"/>
        <v>1</v>
      </c>
    </row>
    <row r="93" spans="1:24" x14ac:dyDescent="0.25">
      <c r="A93">
        <f>TLFD!A67+0.5</f>
        <v>56.5</v>
      </c>
      <c r="B93" s="81">
        <f si="4" t="shared"/>
        <v>4.0517849478033048</v>
      </c>
      <c r="C93" s="78">
        <f>TLFD!C67/SUM(TLFD!$C$11:$C$100)</f>
        <v>0</v>
      </c>
      <c r="D93" s="78">
        <f>TLFD!I67/SUM(TLFD!$I$11:$I$100)</f>
        <v>4.884004884004884E-4</v>
      </c>
      <c r="E93" s="78">
        <f>TLFD!D67/SUM(TLFD!$D$11:$D$101)</f>
        <v>0</v>
      </c>
      <c r="F93" s="78">
        <f>TLFD!J67/SUM(TLFD!$J$11:$J$100)</f>
        <v>0</v>
      </c>
      <c r="G93" s="141">
        <f si="3" t="shared"/>
        <v>0</v>
      </c>
      <c r="H93" s="141">
        <f si="5" t="shared"/>
        <v>0</v>
      </c>
      <c r="T93" s="72">
        <f>WorkLocationCoefficients!B101</f>
        <v>120</v>
      </c>
      <c r="U93" s="72" t="str">
        <f>WorkLocationCoefficients!C101</f>
        <v>DestD_20</v>
      </c>
      <c r="V93" s="73">
        <f>WorkLocationCoefficients!E101</f>
        <v>-0.40270863939919999</v>
      </c>
      <c r="W93" s="162">
        <f>_xlfn.IFNA(VLOOKUP(T93,$M$13:$Q$39,5,FALSE),_xlfn.IFNA(VLOOKUP(T93,calibration_flow!$AD$3:$AH$25,5,FALSE),V93))</f>
        <v>-0.37307002211030116</v>
      </c>
      <c r="X93" s="95">
        <f si="6" t="shared"/>
        <v>1</v>
      </c>
    </row>
    <row r="94" spans="1:24" x14ac:dyDescent="0.25">
      <c r="A94">
        <f>TLFD!A68+0.5</f>
        <v>57.5</v>
      </c>
      <c r="B94" s="81">
        <f si="4" t="shared"/>
        <v>4.0690267542378109</v>
      </c>
      <c r="C94" s="78">
        <f>TLFD!C68/SUM(TLFD!$C$11:$C$100)</f>
        <v>0</v>
      </c>
      <c r="D94" s="78">
        <f>TLFD!I68/SUM(TLFD!$I$11:$I$100)</f>
        <v>0</v>
      </c>
      <c r="E94" s="78">
        <f>TLFD!D68/SUM(TLFD!$D$11:$D$101)</f>
        <v>0</v>
      </c>
      <c r="F94" s="78">
        <f>TLFD!J68/SUM(TLFD!$J$11:$J$100)</f>
        <v>0</v>
      </c>
      <c r="G94" s="141">
        <f si="3" t="shared"/>
        <v>0</v>
      </c>
      <c r="H94" s="141">
        <f si="5" t="shared"/>
        <v>0</v>
      </c>
      <c r="J94" s="84"/>
      <c r="K94" s="84"/>
      <c r="T94" s="72">
        <f>WorkLocationCoefficients!B102</f>
        <v>121</v>
      </c>
      <c r="U94" s="72" t="str">
        <f>WorkLocationCoefficients!C102</f>
        <v>O12_D12</v>
      </c>
      <c r="V94" s="73">
        <f>WorkLocationCoefficients!E102</f>
        <v>-0.47819038789149998</v>
      </c>
      <c r="W94" s="162">
        <f>_xlfn.IFNA(VLOOKUP(T94,$M$13:$Q$39,5,FALSE),_xlfn.IFNA(VLOOKUP(T94,calibration_flow!$AD$3:$AH$25,5,FALSE),V94))</f>
        <v>-0.47819038789149998</v>
      </c>
      <c r="X94" s="95">
        <f>IF(W94=V94,0,1)</f>
        <v>0</v>
      </c>
    </row>
    <row r="95" spans="1:24" x14ac:dyDescent="0.25">
      <c r="A95">
        <f>TLFD!A69+0.5</f>
        <v>58.5</v>
      </c>
      <c r="B95" s="81">
        <f si="4" t="shared"/>
        <v>4.0859763125515842</v>
      </c>
      <c r="C95" s="78">
        <f>TLFD!C69/SUM(TLFD!$C$11:$C$100)</f>
        <v>0</v>
      </c>
      <c r="D95" s="78">
        <f>TLFD!I69/SUM(TLFD!$I$11:$I$100)</f>
        <v>0</v>
      </c>
      <c r="E95" s="78">
        <f>TLFD!D69/SUM(TLFD!$D$11:$D$101)</f>
        <v>0</v>
      </c>
      <c r="F95" s="78">
        <f>TLFD!J69/SUM(TLFD!$J$11:$J$100)</f>
        <v>0</v>
      </c>
      <c r="G95" s="141">
        <f si="3" t="shared"/>
        <v>0</v>
      </c>
      <c r="H95" s="141">
        <f si="5" t="shared"/>
        <v>0</v>
      </c>
      <c r="J95" s="84"/>
      <c r="K95" s="84"/>
      <c r="T95" s="72">
        <f>WorkLocationCoefficients!B103</f>
        <v>122</v>
      </c>
      <c r="U95" s="72" t="str">
        <f>WorkLocationCoefficients!C103</f>
        <v>O13_D13</v>
      </c>
      <c r="V95" s="73">
        <f>WorkLocationCoefficients!E103</f>
        <v>-1.0119832457914</v>
      </c>
      <c r="W95" s="162">
        <f>_xlfn.IFNA(VLOOKUP(T95,$M$13:$Q$39,5,FALSE),_xlfn.IFNA(VLOOKUP(T95,calibration_flow!$AD$3:$AH$25,5,FALSE),V95))</f>
        <v>-1.0119832457914</v>
      </c>
      <c r="X95" s="95">
        <f>IF(W95=V95,0,1)</f>
        <v>0</v>
      </c>
    </row>
    <row r="96" spans="1:24" x14ac:dyDescent="0.25">
      <c r="A96">
        <f>TLFD!A70+0.5</f>
        <v>59.5</v>
      </c>
      <c r="B96" s="81">
        <f si="4" t="shared"/>
        <v>4.1026433650367959</v>
      </c>
      <c r="C96" s="78">
        <f>TLFD!C70/SUM(TLFD!$C$11:$C$100)</f>
        <v>5.5225160495777444E-4</v>
      </c>
      <c r="D96" s="78">
        <f>TLFD!I70/SUM(TLFD!$I$11:$I$100)</f>
        <v>0</v>
      </c>
      <c r="E96" s="78">
        <f>TLFD!D70/SUM(TLFD!$D$11:$D$101)</f>
        <v>0</v>
      </c>
      <c r="F96" s="78">
        <f>TLFD!J70/SUM(TLFD!$J$11:$J$100)</f>
        <v>0</v>
      </c>
      <c r="G96" s="141">
        <f si="3" t="shared"/>
        <v>0</v>
      </c>
      <c r="H96" s="141">
        <f si="5" t="shared"/>
        <v>0</v>
      </c>
      <c r="J96" s="84"/>
      <c r="K96" s="84"/>
    </row>
    <row r="97" spans="1:11" x14ac:dyDescent="0.25">
      <c r="A97">
        <f>TLFD!A71+0.5</f>
        <v>60.5</v>
      </c>
      <c r="B97" s="81">
        <f si="4" t="shared"/>
        <v>4.1190371748124726</v>
      </c>
      <c r="C97" s="78">
        <f>TLFD!C71/SUM(TLFD!$C$11:$C$100)</f>
        <v>0</v>
      </c>
      <c r="D97" s="78">
        <f>TLFD!I71/SUM(TLFD!$I$11:$I$100)</f>
        <v>0</v>
      </c>
      <c r="E97" s="78">
        <f>TLFD!D71/SUM(TLFD!$D$11:$D$101)</f>
        <v>0</v>
      </c>
      <c r="F97" s="78">
        <f>TLFD!J71/SUM(TLFD!$J$11:$J$100)</f>
        <v>0</v>
      </c>
      <c r="G97" s="141">
        <f si="3" t="shared"/>
        <v>0</v>
      </c>
      <c r="H97" s="141">
        <f si="5" t="shared"/>
        <v>0</v>
      </c>
      <c r="J97" s="84"/>
      <c r="K97" s="84"/>
    </row>
    <row r="98" spans="1:11" x14ac:dyDescent="0.25">
      <c r="A98">
        <f>TLFD!A72+0.5</f>
        <v>61.5</v>
      </c>
      <c r="B98" s="81">
        <f si="4" t="shared"/>
        <v>4.1351665567423561</v>
      </c>
      <c r="C98" s="78">
        <f>TLFD!C72/SUM(TLFD!$C$11:$C$100)</f>
        <v>0</v>
      </c>
      <c r="D98" s="78">
        <f>TLFD!I72/SUM(TLFD!$I$11:$I$100)</f>
        <v>0</v>
      </c>
      <c r="E98" s="78">
        <f>TLFD!D72/SUM(TLFD!$D$11:$D$101)</f>
        <v>0</v>
      </c>
      <c r="F98" s="78">
        <f>TLFD!J72/SUM(TLFD!$J$11:$J$100)</f>
        <v>0</v>
      </c>
      <c r="G98" s="141">
        <f si="3" t="shared"/>
        <v>0</v>
      </c>
      <c r="H98" s="141">
        <f si="5" t="shared"/>
        <v>0</v>
      </c>
      <c r="J98" s="84"/>
      <c r="K98" s="84"/>
    </row>
    <row r="99" spans="1:11" x14ac:dyDescent="0.25">
      <c r="A99">
        <f>TLFD!A73+0.5</f>
        <v>62.5</v>
      </c>
      <c r="B99" s="81">
        <f si="4" t="shared"/>
        <v>4.1510399058986458</v>
      </c>
      <c r="C99" s="78">
        <f>TLFD!C73/SUM(TLFD!$C$11:$C$100)</f>
        <v>0</v>
      </c>
      <c r="D99" s="78">
        <f>TLFD!I73/SUM(TLFD!$I$11:$I$100)</f>
        <v>0</v>
      </c>
      <c r="E99" s="78">
        <f>TLFD!D73/SUM(TLFD!$D$11:$D$101)</f>
        <v>0</v>
      </c>
      <c r="F99" s="78">
        <f>TLFD!J73/SUM(TLFD!$J$11:$J$100)</f>
        <v>0</v>
      </c>
      <c r="G99" s="141">
        <f si="3" t="shared"/>
        <v>0</v>
      </c>
      <c r="H99" s="141">
        <f si="5" t="shared"/>
        <v>0</v>
      </c>
      <c r="J99" s="84"/>
      <c r="K99" s="84"/>
    </row>
    <row r="100" spans="1:11" x14ac:dyDescent="0.25">
      <c r="A100">
        <f>TLFD!A74+0.5</f>
        <v>63.5</v>
      </c>
      <c r="B100" s="81">
        <f si="4" t="shared"/>
        <v>4.1666652238017265</v>
      </c>
      <c r="C100" s="78">
        <f>TLFD!C74/SUM(TLFD!$C$11:$C$100)</f>
        <v>0</v>
      </c>
      <c r="D100" s="78">
        <f>TLFD!I74/SUM(TLFD!$I$11:$I$100)</f>
        <v>0</v>
      </c>
      <c r="E100" s="78">
        <f>TLFD!D74/SUM(TLFD!$D$11:$D$101)</f>
        <v>0</v>
      </c>
      <c r="F100" s="78">
        <f>TLFD!J74/SUM(TLFD!$J$11:$J$100)</f>
        <v>0</v>
      </c>
      <c r="G100" s="141">
        <f si="3" t="shared"/>
        <v>0</v>
      </c>
      <c r="H100" s="141">
        <f si="5" t="shared"/>
        <v>0</v>
      </c>
      <c r="J100" s="84"/>
      <c r="K100" s="84"/>
    </row>
    <row r="101" spans="1:11" x14ac:dyDescent="0.25">
      <c r="A101">
        <f>TLFD!A75+0.5</f>
        <v>64.5</v>
      </c>
      <c r="B101" s="81">
        <f si="4" t="shared"/>
        <v>4.1820501426412067</v>
      </c>
      <c r="C101" s="78">
        <f>TLFD!C75/SUM(TLFD!$C$11:$C$100)</f>
        <v>0</v>
      </c>
      <c r="D101" s="78">
        <f>TLFD!I75/SUM(TLFD!$I$11:$I$100)</f>
        <v>0</v>
      </c>
      <c r="E101" s="78">
        <f>TLFD!D75/SUM(TLFD!$D$11:$D$101)</f>
        <v>0</v>
      </c>
      <c r="F101" s="78">
        <f>TLFD!J75/SUM(TLFD!$J$11:$J$100)</f>
        <v>0</v>
      </c>
      <c r="G101" s="141">
        <f ref="G101:G126" si="7" t="shared">IF(AND(C101&gt;0, D101&gt;0),LN(C101/D101),0)</f>
        <v>0</v>
      </c>
      <c r="H101" s="141">
        <f si="5" t="shared"/>
        <v>0</v>
      </c>
      <c r="J101" s="84"/>
      <c r="K101" s="84"/>
    </row>
    <row r="102" spans="1:11" x14ac:dyDescent="0.25">
      <c r="A102">
        <f>TLFD!A76+0.5</f>
        <v>65.5</v>
      </c>
      <c r="B102" s="81">
        <f ref="B102:B126" si="8" t="shared">LN(1+A102)</f>
        <v>4.1972019476618083</v>
      </c>
      <c r="C102" s="78">
        <f>TLFD!C76/SUM(TLFD!$C$11:$C$100)</f>
        <v>0</v>
      </c>
      <c r="D102" s="78">
        <f>TLFD!I76/SUM(TLFD!$I$11:$I$100)</f>
        <v>0</v>
      </c>
      <c r="E102" s="78">
        <f>TLFD!D76/SUM(TLFD!$D$11:$D$101)</f>
        <v>0</v>
      </c>
      <c r="F102" s="78">
        <f>TLFD!J76/SUM(TLFD!$J$11:$J$100)</f>
        <v>0</v>
      </c>
      <c r="G102" s="141">
        <f si="7" t="shared"/>
        <v>0</v>
      </c>
      <c r="H102" s="141">
        <f ref="H102:H126" si="9" t="shared">IF(AND(E102&gt;0, F102&gt;0),LN(E102/F102),0)</f>
        <v>0</v>
      </c>
      <c r="J102" s="84"/>
      <c r="K102" s="84"/>
    </row>
    <row r="103" spans="1:11" x14ac:dyDescent="0.25">
      <c r="A103">
        <f>TLFD!A77+0.5</f>
        <v>66.5</v>
      </c>
      <c r="B103" s="81">
        <f si="8" t="shared"/>
        <v>4.2121275978784842</v>
      </c>
      <c r="C103" s="78">
        <f>TLFD!C77/SUM(TLFD!$C$11:$C$100)</f>
        <v>0</v>
      </c>
      <c r="D103" s="78">
        <f>TLFD!I77/SUM(TLFD!$I$11:$I$100)</f>
        <v>0</v>
      </c>
      <c r="E103" s="78">
        <f>TLFD!D77/SUM(TLFD!$D$11:$D$101)</f>
        <v>0</v>
      </c>
      <c r="F103" s="78">
        <f>TLFD!J77/SUM(TLFD!$J$11:$J$100)</f>
        <v>0</v>
      </c>
      <c r="G103" s="141">
        <f si="7" t="shared"/>
        <v>0</v>
      </c>
      <c r="H103" s="141">
        <f si="9" t="shared"/>
        <v>0</v>
      </c>
      <c r="J103" s="84"/>
      <c r="K103" s="84"/>
    </row>
    <row r="104" spans="1:11" x14ac:dyDescent="0.25">
      <c r="A104">
        <f>TLFD!A78+0.5</f>
        <v>67.5</v>
      </c>
      <c r="B104" s="81">
        <f si="8" t="shared"/>
        <v>4.2268337452681797</v>
      </c>
      <c r="C104" s="78">
        <f>TLFD!C78/SUM(TLFD!$C$11:$C$100)</f>
        <v>0</v>
      </c>
      <c r="D104" s="78">
        <f>TLFD!I78/SUM(TLFD!$I$11:$I$100)</f>
        <v>0</v>
      </c>
      <c r="E104" s="78">
        <f>TLFD!D78/SUM(TLFD!$D$11:$D$101)</f>
        <v>0</v>
      </c>
      <c r="F104" s="78">
        <f>TLFD!J78/SUM(TLFD!$J$11:$J$100)</f>
        <v>0</v>
      </c>
      <c r="G104" s="141">
        <f si="7" t="shared"/>
        <v>0</v>
      </c>
      <c r="H104" s="141">
        <f si="9" t="shared"/>
        <v>0</v>
      </c>
      <c r="J104" s="84"/>
      <c r="K104" s="84"/>
    </row>
    <row r="105" spans="1:11" x14ac:dyDescent="0.25">
      <c r="A105">
        <f>TLFD!A79+0.5</f>
        <v>68.5</v>
      </c>
      <c r="B105" s="81">
        <f si="8" t="shared"/>
        <v>4.2413267525707461</v>
      </c>
      <c r="C105" s="78">
        <f>TLFD!C79/SUM(TLFD!$C$11:$C$100)</f>
        <v>0</v>
      </c>
      <c r="D105" s="78">
        <f>TLFD!I79/SUM(TLFD!$I$11:$I$100)</f>
        <v>0</v>
      </c>
      <c r="E105" s="78">
        <f>TLFD!D79/SUM(TLFD!$D$11:$D$101)</f>
        <v>0</v>
      </c>
      <c r="F105" s="78">
        <f>TLFD!J79/SUM(TLFD!$J$11:$J$100)</f>
        <v>0</v>
      </c>
      <c r="G105" s="141">
        <f si="7" t="shared"/>
        <v>0</v>
      </c>
      <c r="H105" s="141">
        <f si="9" t="shared"/>
        <v>0</v>
      </c>
      <c r="J105" s="84"/>
      <c r="K105" s="84"/>
    </row>
    <row r="106" spans="1:11" x14ac:dyDescent="0.25">
      <c r="A106">
        <f>TLFD!A80+0.5</f>
        <v>69.5</v>
      </c>
      <c r="B106" s="81">
        <f si="8" t="shared"/>
        <v>4.255612709818223</v>
      </c>
      <c r="C106" s="78">
        <f>TLFD!C80/SUM(TLFD!$C$11:$C$100)</f>
        <v>0</v>
      </c>
      <c r="D106" s="78">
        <f>TLFD!I80/SUM(TLFD!$I$11:$I$100)</f>
        <v>0</v>
      </c>
      <c r="E106" s="78">
        <f>TLFD!D80/SUM(TLFD!$D$11:$D$101)</f>
        <v>0</v>
      </c>
      <c r="F106" s="78">
        <f>TLFD!J80/SUM(TLFD!$J$11:$J$100)</f>
        <v>0</v>
      </c>
      <c r="G106" s="141">
        <f si="7" t="shared"/>
        <v>0</v>
      </c>
      <c r="H106" s="141">
        <f si="9" t="shared"/>
        <v>0</v>
      </c>
      <c r="J106" s="84"/>
      <c r="K106" s="84"/>
    </row>
    <row r="107" spans="1:11" x14ac:dyDescent="0.25">
      <c r="A107">
        <f>TLFD!A81+0.5</f>
        <v>70.5</v>
      </c>
      <c r="B107" s="81">
        <f si="8" t="shared"/>
        <v>4.2696974496999616</v>
      </c>
      <c r="C107" s="78">
        <f>TLFD!C81/SUM(TLFD!$C$11:$C$100)</f>
        <v>0</v>
      </c>
      <c r="D107" s="78">
        <f>TLFD!I81/SUM(TLFD!$I$11:$I$100)</f>
        <v>0</v>
      </c>
      <c r="E107" s="78">
        <f>TLFD!D81/SUM(TLFD!$D$11:$D$101)</f>
        <v>0</v>
      </c>
      <c r="F107" s="78">
        <f>TLFD!J81/SUM(TLFD!$J$11:$J$100)</f>
        <v>0</v>
      </c>
      <c r="G107" s="141">
        <f si="7" t="shared"/>
        <v>0</v>
      </c>
      <c r="H107" s="141">
        <f si="9" t="shared"/>
        <v>0</v>
      </c>
      <c r="J107" s="84"/>
      <c r="K107" s="84"/>
    </row>
    <row r="108" spans="1:11" x14ac:dyDescent="0.25">
      <c r="A108">
        <f>TLFD!A82+0.5</f>
        <v>71.5</v>
      </c>
      <c r="B108" s="81">
        <f si="8" t="shared"/>
        <v>4.2835865618606288</v>
      </c>
      <c r="C108" s="78">
        <f>TLFD!C82/SUM(TLFD!$C$11:$C$100)</f>
        <v>0</v>
      </c>
      <c r="D108" s="78">
        <f>TLFD!I82/SUM(TLFD!$I$11:$I$100)</f>
        <v>0</v>
      </c>
      <c r="E108" s="78">
        <f>TLFD!D82/SUM(TLFD!$D$11:$D$101)</f>
        <v>0</v>
      </c>
      <c r="F108" s="78">
        <f>TLFD!J82/SUM(TLFD!$J$11:$J$100)</f>
        <v>0</v>
      </c>
      <c r="G108" s="141">
        <f si="7" t="shared"/>
        <v>0</v>
      </c>
      <c r="H108" s="141">
        <f si="9" t="shared"/>
        <v>0</v>
      </c>
      <c r="J108" s="84"/>
      <c r="K108" s="84"/>
    </row>
    <row r="109" spans="1:11" x14ac:dyDescent="0.25">
      <c r="A109">
        <f>TLFD!A83+0.5</f>
        <v>72.5</v>
      </c>
      <c r="B109" s="81">
        <f si="8" t="shared"/>
        <v>4.2972854062187906</v>
      </c>
      <c r="C109" s="78">
        <f>TLFD!C83/SUM(TLFD!$C$11:$C$100)</f>
        <v>0</v>
      </c>
      <c r="D109" s="78">
        <f>TLFD!I83/SUM(TLFD!$I$11:$I$100)</f>
        <v>0</v>
      </c>
      <c r="E109" s="78">
        <f>TLFD!D83/SUM(TLFD!$D$11:$D$101)</f>
        <v>0</v>
      </c>
      <c r="F109" s="78">
        <f>TLFD!J83/SUM(TLFD!$J$11:$J$100)</f>
        <v>0</v>
      </c>
      <c r="G109" s="141">
        <f si="7" t="shared"/>
        <v>0</v>
      </c>
      <c r="H109" s="141">
        <f si="9" t="shared"/>
        <v>0</v>
      </c>
      <c r="J109" s="84"/>
      <c r="K109" s="84"/>
    </row>
    <row r="110" spans="1:11" x14ac:dyDescent="0.25">
      <c r="A110">
        <f>TLFD!A84+0.5</f>
        <v>73.5</v>
      </c>
      <c r="B110" s="81">
        <f si="8" t="shared"/>
        <v>4.3107991253855138</v>
      </c>
      <c r="C110" s="78">
        <f>TLFD!C84/SUM(TLFD!$C$11:$C$100)</f>
        <v>0</v>
      </c>
      <c r="D110" s="78">
        <f>TLFD!I84/SUM(TLFD!$I$11:$I$100)</f>
        <v>0</v>
      </c>
      <c r="E110" s="78">
        <f>TLFD!D84/SUM(TLFD!$D$11:$D$101)</f>
        <v>0</v>
      </c>
      <c r="F110" s="78">
        <f>TLFD!J84/SUM(TLFD!$J$11:$J$100)</f>
        <v>0</v>
      </c>
      <c r="G110" s="141">
        <f si="7" t="shared"/>
        <v>0</v>
      </c>
      <c r="H110" s="141">
        <f si="9" t="shared"/>
        <v>0</v>
      </c>
      <c r="J110" s="84"/>
      <c r="K110" s="84"/>
    </row>
    <row r="111" spans="1:11" x14ac:dyDescent="0.25">
      <c r="A111">
        <f>TLFD!A85+0.5</f>
        <v>74.5</v>
      </c>
      <c r="B111" s="81">
        <f si="8" t="shared"/>
        <v>4.3241326562549789</v>
      </c>
      <c r="C111" s="78">
        <f>TLFD!C85/SUM(TLFD!$C$11:$C$100)</f>
        <v>0</v>
      </c>
      <c r="D111" s="78">
        <f>TLFD!I85/SUM(TLFD!$I$11:$I$100)</f>
        <v>0</v>
      </c>
      <c r="E111" s="78">
        <f>TLFD!D85/SUM(TLFD!$D$11:$D$101)</f>
        <v>0</v>
      </c>
      <c r="F111" s="78">
        <f>TLFD!J85/SUM(TLFD!$J$11:$J$100)</f>
        <v>0</v>
      </c>
      <c r="G111" s="141">
        <f si="7" t="shared"/>
        <v>0</v>
      </c>
      <c r="H111" s="141">
        <f si="9" t="shared"/>
        <v>0</v>
      </c>
      <c r="J111" s="84"/>
      <c r="K111" s="84"/>
    </row>
    <row r="112" spans="1:11" x14ac:dyDescent="0.25">
      <c r="A112">
        <f>TLFD!A86+0.5</f>
        <v>75.5</v>
      </c>
      <c r="B112" s="81">
        <f si="8" t="shared"/>
        <v>4.3372907408324899</v>
      </c>
      <c r="C112" s="78">
        <f>TLFD!C86/SUM(TLFD!$C$11:$C$100)</f>
        <v>0</v>
      </c>
      <c r="D112" s="78">
        <f>TLFD!I86/SUM(TLFD!$I$11:$I$100)</f>
        <v>0</v>
      </c>
      <c r="E112" s="78">
        <f>TLFD!D86/SUM(TLFD!$D$11:$D$101)</f>
        <v>0</v>
      </c>
      <c r="F112" s="78">
        <f>TLFD!J86/SUM(TLFD!$J$11:$J$100)</f>
        <v>0</v>
      </c>
      <c r="G112" s="141">
        <f si="7" t="shared"/>
        <v>0</v>
      </c>
      <c r="H112" s="141">
        <f si="9" t="shared"/>
        <v>0</v>
      </c>
      <c r="J112" s="84"/>
      <c r="K112" s="84"/>
    </row>
    <row r="113" spans="1:13" x14ac:dyDescent="0.25">
      <c r="A113">
        <f>TLFD!A87+0.5</f>
        <v>76.5</v>
      </c>
      <c r="B113" s="81">
        <f si="8" t="shared"/>
        <v>4.3502779363593014</v>
      </c>
      <c r="C113" s="78">
        <f>TLFD!C87/SUM(TLFD!$C$11:$C$100)</f>
        <v>0</v>
      </c>
      <c r="D113" s="78">
        <f>TLFD!I87/SUM(TLFD!$I$11:$I$100)</f>
        <v>0</v>
      </c>
      <c r="E113" s="78">
        <f>TLFD!D87/SUM(TLFD!$D$11:$D$101)</f>
        <v>0</v>
      </c>
      <c r="F113" s="78">
        <f>TLFD!J87/SUM(TLFD!$J$11:$J$100)</f>
        <v>0</v>
      </c>
      <c r="G113" s="141">
        <f si="7" t="shared"/>
        <v>0</v>
      </c>
      <c r="H113" s="141">
        <f si="9" t="shared"/>
        <v>0</v>
      </c>
      <c r="J113" s="84"/>
      <c r="K113" s="84"/>
    </row>
    <row r="114" spans="1:13" x14ac:dyDescent="0.25">
      <c r="A114">
        <f>TLFD!A88+0.5</f>
        <v>77.5</v>
      </c>
      <c r="B114" s="81">
        <f si="8" t="shared"/>
        <v>4.3630986247883632</v>
      </c>
      <c r="C114" s="78">
        <f>TLFD!C88/SUM(TLFD!$C$11:$C$100)</f>
        <v>0</v>
      </c>
      <c r="D114" s="78">
        <f>TLFD!I88/SUM(TLFD!$I$11:$I$100)</f>
        <v>0</v>
      </c>
      <c r="E114" s="78">
        <f>TLFD!D88/SUM(TLFD!$D$11:$D$101)</f>
        <v>0</v>
      </c>
      <c r="F114" s="78">
        <f>TLFD!J88/SUM(TLFD!$J$11:$J$100)</f>
        <v>0</v>
      </c>
      <c r="G114" s="141">
        <f si="7" t="shared"/>
        <v>0</v>
      </c>
      <c r="H114" s="141">
        <f si="9" t="shared"/>
        <v>0</v>
      </c>
      <c r="J114" s="84"/>
      <c r="K114" s="84"/>
    </row>
    <row r="115" spans="1:13" x14ac:dyDescent="0.25">
      <c r="A115">
        <f>TLFD!A89+0.5</f>
        <v>78.5</v>
      </c>
      <c r="B115" s="81">
        <f si="8" t="shared"/>
        <v>4.3757570216602861</v>
      </c>
      <c r="C115" s="78">
        <f>TLFD!C89/SUM(TLFD!$C$11:$C$100)</f>
        <v>0</v>
      </c>
      <c r="D115" s="78">
        <f>TLFD!I89/SUM(TLFD!$I$11:$I$100)</f>
        <v>0</v>
      </c>
      <c r="E115" s="78">
        <f>TLFD!D89/SUM(TLFD!$D$11:$D$101)</f>
        <v>0</v>
      </c>
      <c r="F115" s="78">
        <f>TLFD!J89/SUM(TLFD!$J$11:$J$100)</f>
        <v>0</v>
      </c>
      <c r="G115" s="141">
        <f si="7" t="shared"/>
        <v>0</v>
      </c>
      <c r="H115" s="141">
        <f si="9" t="shared"/>
        <v>0</v>
      </c>
      <c r="J115" s="84"/>
      <c r="K115" s="84"/>
    </row>
    <row r="116" spans="1:13" x14ac:dyDescent="0.25">
      <c r="A116">
        <f>TLFD!A90+0.5</f>
        <v>79.5</v>
      </c>
      <c r="B116" s="81">
        <f si="8" t="shared"/>
        <v>4.3882571844245177</v>
      </c>
      <c r="C116" s="78">
        <f>TLFD!C90/SUM(TLFD!$C$11:$C$100)</f>
        <v>0</v>
      </c>
      <c r="D116" s="78">
        <f>TLFD!I90/SUM(TLFD!$I$11:$I$100)</f>
        <v>0</v>
      </c>
      <c r="E116" s="78">
        <f>TLFD!D90/SUM(TLFD!$D$11:$D$101)</f>
        <v>0</v>
      </c>
      <c r="F116" s="78">
        <f>TLFD!J90/SUM(TLFD!$J$11:$J$100)</f>
        <v>0</v>
      </c>
      <c r="G116" s="141">
        <f si="7" t="shared"/>
        <v>0</v>
      </c>
      <c r="H116" s="141">
        <f si="9" t="shared"/>
        <v>0</v>
      </c>
      <c r="J116" s="84"/>
      <c r="K116" s="84"/>
    </row>
    <row r="117" spans="1:13" x14ac:dyDescent="0.25">
      <c r="A117">
        <f>TLFD!A91+0.5</f>
        <v>80.5</v>
      </c>
      <c r="B117" s="81">
        <f si="8" t="shared"/>
        <v>4.4006030202468169</v>
      </c>
      <c r="C117" s="78">
        <f>TLFD!C91/SUM(TLFD!$C$11:$C$100)</f>
        <v>0</v>
      </c>
      <c r="D117" s="78">
        <f>TLFD!I91/SUM(TLFD!$I$11:$I$100)</f>
        <v>0</v>
      </c>
      <c r="E117" s="78">
        <f>TLFD!D91/SUM(TLFD!$D$11:$D$101)</f>
        <v>0</v>
      </c>
      <c r="F117" s="78">
        <f>TLFD!J91/SUM(TLFD!$J$11:$J$100)</f>
        <v>0</v>
      </c>
      <c r="G117" s="141">
        <f si="7" t="shared"/>
        <v>0</v>
      </c>
      <c r="H117" s="141">
        <f si="9" t="shared"/>
        <v>0</v>
      </c>
      <c r="J117" s="84"/>
      <c r="K117" s="84"/>
    </row>
    <row r="118" spans="1:13" x14ac:dyDescent="0.25">
      <c r="A118">
        <f>TLFD!A92+0.5</f>
        <v>81.5</v>
      </c>
      <c r="B118" s="81">
        <f si="8" t="shared"/>
        <v>4.4127982933406349</v>
      </c>
      <c r="C118" s="78">
        <f>TLFD!C92/SUM(TLFD!$C$11:$C$100)</f>
        <v>0</v>
      </c>
      <c r="D118" s="78">
        <f>TLFD!I92/SUM(TLFD!$I$11:$I$100)</f>
        <v>0</v>
      </c>
      <c r="E118" s="78">
        <f>TLFD!D92/SUM(TLFD!$D$11:$D$101)</f>
        <v>0</v>
      </c>
      <c r="F118" s="78">
        <f>TLFD!J92/SUM(TLFD!$J$11:$J$100)</f>
        <v>0</v>
      </c>
      <c r="G118" s="141">
        <f si="7" t="shared"/>
        <v>0</v>
      </c>
      <c r="H118" s="141">
        <f si="9" t="shared"/>
        <v>0</v>
      </c>
      <c r="J118" s="84"/>
      <c r="K118" s="84"/>
    </row>
    <row r="119" spans="1:13" x14ac:dyDescent="0.25">
      <c r="A119">
        <f>TLFD!A93+0.5</f>
        <v>82.5</v>
      </c>
      <c r="B119" s="81">
        <f si="8" t="shared"/>
        <v>4.42484663185681</v>
      </c>
      <c r="C119" s="78">
        <f>TLFD!C93/SUM(TLFD!$C$11:$C$100)</f>
        <v>0</v>
      </c>
      <c r="D119" s="78">
        <f>TLFD!I93/SUM(TLFD!$I$11:$I$100)</f>
        <v>0</v>
      </c>
      <c r="E119" s="78">
        <f>TLFD!D93/SUM(TLFD!$D$11:$D$101)</f>
        <v>0</v>
      </c>
      <c r="F119" s="78">
        <f>TLFD!J93/SUM(TLFD!$J$11:$J$100)</f>
        <v>0</v>
      </c>
      <c r="G119" s="141">
        <f si="7" t="shared"/>
        <v>0</v>
      </c>
      <c r="H119" s="141">
        <f si="9" t="shared"/>
        <v>0</v>
      </c>
      <c r="J119" s="84"/>
      <c r="K119" s="84"/>
    </row>
    <row r="120" spans="1:13" x14ac:dyDescent="0.25">
      <c r="A120">
        <f>TLFD!A94+0.5</f>
        <v>83.5</v>
      </c>
      <c r="B120" s="81">
        <f si="8" t="shared"/>
        <v>4.4367515343631281</v>
      </c>
      <c r="C120" s="78">
        <f>TLFD!C94/SUM(TLFD!$C$11:$C$100)</f>
        <v>0</v>
      </c>
      <c r="D120" s="78">
        <f>TLFD!I94/SUM(TLFD!$I$11:$I$100)</f>
        <v>0</v>
      </c>
      <c r="E120" s="78">
        <f>TLFD!D94/SUM(TLFD!$D$11:$D$101)</f>
        <v>0</v>
      </c>
      <c r="F120" s="78">
        <f>TLFD!J94/SUM(TLFD!$J$11:$J$100)</f>
        <v>0</v>
      </c>
      <c r="G120" s="141">
        <f si="7" t="shared"/>
        <v>0</v>
      </c>
      <c r="H120" s="141">
        <f si="9" t="shared"/>
        <v>0</v>
      </c>
      <c r="J120" s="84"/>
      <c r="K120" s="84"/>
    </row>
    <row r="121" spans="1:13" x14ac:dyDescent="0.25">
      <c r="A121">
        <f>TLFD!A95+0.5</f>
        <v>84.5</v>
      </c>
      <c r="B121" s="81">
        <f si="8" t="shared"/>
        <v>4.4485163759427149</v>
      </c>
      <c r="C121" s="78">
        <f>TLFD!C95/SUM(TLFD!$C$11:$C$100)</f>
        <v>0</v>
      </c>
      <c r="D121" s="78">
        <f>TLFD!I95/SUM(TLFD!$I$11:$I$100)</f>
        <v>0</v>
      </c>
      <c r="E121" s="78">
        <f>TLFD!D95/SUM(TLFD!$D$11:$D$101)</f>
        <v>0</v>
      </c>
      <c r="F121" s="78">
        <f>TLFD!J95/SUM(TLFD!$J$11:$J$100)</f>
        <v>0</v>
      </c>
      <c r="G121" s="141">
        <f si="7" t="shared"/>
        <v>0</v>
      </c>
      <c r="H121" s="141">
        <f si="9" t="shared"/>
        <v>0</v>
      </c>
      <c r="J121" s="84"/>
      <c r="K121" s="84"/>
    </row>
    <row r="122" spans="1:13" x14ac:dyDescent="0.25">
      <c r="A122">
        <f>TLFD!A96+0.5</f>
        <v>85.5</v>
      </c>
      <c r="B122" s="81">
        <f si="8" t="shared"/>
        <v>4.4601444139378339</v>
      </c>
      <c r="C122" s="78">
        <f>TLFD!C96/SUM(TLFD!$C$11:$C$100)</f>
        <v>0</v>
      </c>
      <c r="D122" s="78">
        <f>TLFD!I96/SUM(TLFD!$I$11:$I$100)</f>
        <v>0</v>
      </c>
      <c r="E122" s="78">
        <f>TLFD!D96/SUM(TLFD!$D$11:$D$101)</f>
        <v>0</v>
      </c>
      <c r="F122" s="78">
        <f>TLFD!J96/SUM(TLFD!$J$11:$J$100)</f>
        <v>0</v>
      </c>
      <c r="G122" s="141">
        <f si="7" t="shared"/>
        <v>0</v>
      </c>
      <c r="H122" s="141">
        <f si="9" t="shared"/>
        <v>0</v>
      </c>
      <c r="J122" s="84"/>
      <c r="K122" s="84"/>
    </row>
    <row r="123" spans="1:13" x14ac:dyDescent="0.25">
      <c r="A123">
        <f>TLFD!A97+0.5</f>
        <v>86.5</v>
      </c>
      <c r="B123" s="81">
        <f si="8" t="shared"/>
        <v>4.4716387933635691</v>
      </c>
      <c r="C123" s="78">
        <f>TLFD!C97/SUM(TLFD!$C$11:$C$100)</f>
        <v>0</v>
      </c>
      <c r="D123" s="78">
        <f>TLFD!I97/SUM(TLFD!$I$11:$I$100)</f>
        <v>0</v>
      </c>
      <c r="E123" s="78">
        <f>TLFD!D97/SUM(TLFD!$D$11:$D$101)</f>
        <v>0</v>
      </c>
      <c r="F123" s="78">
        <f>TLFD!J97/SUM(TLFD!$J$11:$J$100)</f>
        <v>0</v>
      </c>
      <c r="G123" s="141">
        <f si="7" t="shared"/>
        <v>0</v>
      </c>
      <c r="H123" s="141">
        <f si="9" t="shared"/>
        <v>0</v>
      </c>
      <c r="J123" s="84"/>
      <c r="K123" s="84"/>
    </row>
    <row r="124" spans="1:13" x14ac:dyDescent="0.25">
      <c r="A124">
        <f>TLFD!A98+0.5</f>
        <v>87.5</v>
      </c>
      <c r="B124" s="81">
        <f si="8" t="shared"/>
        <v>4.4830025520138834</v>
      </c>
      <c r="C124" s="78">
        <f>TLFD!C98/SUM(TLFD!$C$11:$C$100)</f>
        <v>0</v>
      </c>
      <c r="D124" s="78">
        <f>TLFD!I98/SUM(TLFD!$I$11:$I$100)</f>
        <v>0</v>
      </c>
      <c r="E124" s="78">
        <f>TLFD!D98/SUM(TLFD!$D$11:$D$101)</f>
        <v>0</v>
      </c>
      <c r="F124" s="78">
        <f>TLFD!J98/SUM(TLFD!$J$11:$J$100)</f>
        <v>0</v>
      </c>
      <c r="G124" s="141">
        <f si="7" t="shared"/>
        <v>0</v>
      </c>
      <c r="H124" s="141">
        <f si="9" t="shared"/>
        <v>0</v>
      </c>
      <c r="J124" s="84"/>
      <c r="K124" s="84"/>
    </row>
    <row r="125" spans="1:13" x14ac:dyDescent="0.25">
      <c r="A125">
        <f>TLFD!A99+0.5</f>
        <v>88.5</v>
      </c>
      <c r="B125" s="81">
        <f si="8" t="shared"/>
        <v>4.4942386252808095</v>
      </c>
      <c r="C125" s="78">
        <f>TLFD!C99/SUM(TLFD!$C$11:$C$100)</f>
        <v>0</v>
      </c>
      <c r="D125" s="78">
        <f>TLFD!I99/SUM(TLFD!$I$11:$I$100)</f>
        <v>0</v>
      </c>
      <c r="E125" s="78">
        <f>TLFD!D99/SUM(TLFD!$D$11:$D$101)</f>
        <v>0</v>
      </c>
      <c r="F125" s="78">
        <f>TLFD!J99/SUM(TLFD!$J$11:$J$100)</f>
        <v>0</v>
      </c>
      <c r="G125" s="141">
        <f si="7" t="shared"/>
        <v>0</v>
      </c>
      <c r="H125" s="141">
        <f si="9" t="shared"/>
        <v>0</v>
      </c>
      <c r="J125" s="84"/>
      <c r="K125" s="84"/>
    </row>
    <row r="126" spans="1:13" x14ac:dyDescent="0.25">
      <c r="A126">
        <f>TLFD!A100+0.5</f>
        <v>89.5</v>
      </c>
      <c r="B126" s="81">
        <f si="8" t="shared"/>
        <v>4.5053498507058807</v>
      </c>
      <c r="C126" s="78">
        <f>TLFD!C100/SUM(TLFD!$C$11:$C$100)</f>
        <v>0</v>
      </c>
      <c r="D126" s="78">
        <f>TLFD!I100/SUM(TLFD!$I$11:$I$100)</f>
        <v>0</v>
      </c>
      <c r="E126" s="78">
        <f>TLFD!D100/SUM(TLFD!$D$11:$D$101)</f>
        <v>0</v>
      </c>
      <c r="F126" s="78">
        <f>TLFD!J100/SUM(TLFD!$J$11:$J$100)</f>
        <v>0</v>
      </c>
      <c r="G126" s="141">
        <f si="7" t="shared"/>
        <v>0</v>
      </c>
      <c r="H126" s="141">
        <f si="9" t="shared"/>
        <v>0</v>
      </c>
      <c r="J126" s="84"/>
      <c r="K126" s="84"/>
    </row>
    <row r="127" spans="1:13" x14ac:dyDescent="0.25">
      <c r="D127" s="81"/>
      <c r="E127" s="78"/>
      <c r="F127" s="78"/>
      <c r="G127" s="78"/>
      <c r="H127" s="78"/>
      <c r="L127" s="84"/>
      <c r="M127" s="84"/>
    </row>
  </sheetData>
  <conditionalFormatting sqref="X3:X9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13</vt:i4>
      </vt:variant>
      <vt:variant>
        <vt:lpstr>Named Ranges</vt:lpstr>
      </vt:variant>
      <vt:variant>
        <vt:i4>37</vt:i4>
      </vt:variant>
    </vt:vector>
  </HeadingPairs>
  <TitlesOfParts>
    <vt:vector baseType="lpstr" size="50">
      <vt:lpstr>TLFD</vt:lpstr>
      <vt:lpstr>TDFD</vt:lpstr>
      <vt:lpstr>TDFD_Agg</vt:lpstr>
      <vt:lpstr>County_Flow</vt:lpstr>
      <vt:lpstr>Flow_ODData</vt:lpstr>
      <vt:lpstr>WorkAtHome</vt:lpstr>
      <vt:lpstr>Telecommute</vt:lpstr>
      <vt:lpstr>Documentation</vt:lpstr>
      <vt:lpstr>CoeffDef</vt:lpstr>
      <vt:lpstr>County Codes</vt:lpstr>
      <vt:lpstr>WorkLocationCoefficients</vt:lpstr>
      <vt:lpstr>calibration_flow</vt:lpstr>
      <vt:lpstr>calibration_dist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out_16</vt:lpstr>
      <vt:lpstr>out_18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Aditya Gore</cp:lastModifiedBy>
  <dcterms:modified xsi:type="dcterms:W3CDTF">2024-08-28T01:14:43Z</dcterms:modified>
</cp:coreProperties>
</file>