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5" firstSheet="1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K2"/>
  <c i="5" l="1" r="S25"/>
  <c i="5" r="T25"/>
  <c i="5" r="U25"/>
  <c i="5" r="V25"/>
  <c i="5" r="R25"/>
  <c i="5" r="W12"/>
  <c i="5" r="W25" s="1"/>
  <c i="5" r="K13"/>
  <c i="5" r="L13"/>
  <c i="5" r="M13"/>
  <c i="5" r="N13"/>
  <c i="5" r="J13"/>
  <c i="5" r="O12"/>
  <c i="5" r="G12"/>
  <c i="5" l="1" r="N25"/>
  <c i="5" r="L25"/>
  <c i="5" r="K25"/>
  <c i="5" r="M25"/>
  <c i="5" r="F25"/>
  <c i="5" r="E25"/>
  <c i="5" r="D25"/>
  <c i="5" r="B25"/>
  <c i="5" r="C25"/>
  <c i="5" r="G25"/>
  <c i="5" r="J25"/>
  <c i="5" r="O25"/>
  <c i="5" r="AL25"/>
  <c i="5" r="AC25"/>
  <c i="5" r="Z25"/>
  <c i="5" r="AB25"/>
  <c i="5" r="AA25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23"/>
  <c i="8" r="AK23" s="1"/>
  <c i="8" r="AK55"/>
  <c i="8" r="AJ48"/>
  <c i="8" r="AK48" s="1"/>
  <c i="8" r="AJ20"/>
  <c i="8" r="AK20" s="1"/>
  <c i="8" r="AJ49"/>
  <c i="8" r="AK49" s="1"/>
  <c i="8" r="AJ51"/>
  <c i="8" r="AK51" s="1"/>
  <c i="8" r="AJ31"/>
  <c i="8" r="AK31" s="1"/>
  <c i="8" r="AJ29"/>
  <c i="8" r="AK29" s="1"/>
  <c i="8" r="AJ30"/>
  <c i="8" r="AK30" s="1"/>
  <c i="8" r="AJ45"/>
  <c i="8" r="AK45" s="1"/>
  <c i="5" r="AE25"/>
  <c i="5" r="AI25"/>
  <c i="5" r="AH25"/>
  <c i="5" r="AJ25"/>
  <c i="5" r="AK25"/>
  <c i="5" r="AD25"/>
  <c i="8" r="AJ36"/>
  <c i="8" r="AK36" s="1"/>
  <c i="5" r="AM25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O6"/>
  <c i="5" l="1" r="A39"/>
  <c i="5" r="A37"/>
  <c i="5" r="A36"/>
  <c i="5" r="A35"/>
  <c i="5" r="A34"/>
  <c i="5" r="A33"/>
  <c i="5" r="A32"/>
  <c i="5" r="A26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13"/>
  <c i="5" r="I39"/>
  <c i="5" r="I37"/>
  <c i="5" r="I36"/>
  <c i="5" r="I35"/>
  <c i="5" r="I34"/>
  <c i="5" r="I33"/>
  <c i="5" r="I32"/>
  <c i="5" r="I26"/>
  <c i="5" r="I13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4" l="1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L20" s="1"/>
  <c i="4" r="N16"/>
  <c i="4" r="J16"/>
  <c i="4" r="K16"/>
  <c i="4" r="K20" s="1"/>
  <c i="5" r="U26"/>
  <c i="5" r="V26"/>
  <c i="5" r="R26"/>
  <c i="5" r="S26"/>
  <c i="5" r="T26"/>
  <c i="1" r="AA34"/>
  <c i="8" r="S42" s="1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4" l="1" r="N20"/>
  <c i="4" r="O16"/>
  <c i="4" r="J20"/>
  <c i="4" r="O19"/>
  <c i="4" r="O17"/>
  <c i="4" r="O18"/>
  <c i="5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J18"/>
  <c i="1" r="K18"/>
  <c i="8" r="C8" s="1"/>
  <c i="8" r="S26" s="1"/>
  <c i="1" r="N18"/>
  <c i="8" r="F8" s="1"/>
  <c i="8" r="V26" s="1"/>
  <c i="1" r="L18"/>
  <c i="8" r="D8" s="1"/>
  <c i="8" r="T26" s="1"/>
  <c i="1" r="M18"/>
  <c i="8" r="E8" s="1"/>
  <c i="8" r="U26" s="1"/>
  <c i="1" r="J17"/>
  <c i="1" r="K17"/>
  <c i="8" r="C7" s="1"/>
  <c i="8" r="S25" s="1"/>
  <c i="1" r="L17"/>
  <c i="8" r="D7" s="1"/>
  <c i="8" r="T25" s="1"/>
  <c i="1" r="M17"/>
  <c i="8" r="E7" s="1"/>
  <c i="8" r="U25" s="1"/>
  <c i="1" r="N17"/>
  <c i="8" r="F7" s="1"/>
  <c i="8" r="V25" s="1"/>
  <c i="1" r="K16"/>
  <c i="1" r="L16"/>
  <c i="1" r="N16"/>
  <c i="1" r="J16"/>
  <c i="1" r="M16"/>
  <c i="1" r="K19"/>
  <c i="8" r="C9" s="1"/>
  <c i="8" r="S27" s="1"/>
  <c i="1" r="M19"/>
  <c i="8" r="E9" s="1"/>
  <c i="8" r="U27" s="1"/>
  <c i="1" r="N19"/>
  <c i="8" r="F9" s="1"/>
  <c i="8" r="V27" s="1"/>
  <c i="1" r="L19"/>
  <c i="8" r="D9" s="1"/>
  <c i="8" r="T27" s="1"/>
  <c i="1" r="J19"/>
  <c i="4" r="O20"/>
  <c i="5" r="G13"/>
  <c i="5" r="G24"/>
  <c i="1" r="G16"/>
  <c i="5" r="B20"/>
  <c i="5" r="C24"/>
  <c i="5" r="AE24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5" r="AH19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8" l="1" r="B6"/>
  <c i="1" r="O16"/>
  <c i="1" r="J20"/>
  <c i="1" r="Z34"/>
  <c i="8" r="D6"/>
  <c i="1" r="L20"/>
  <c i="8" r="B7"/>
  <c i="1" r="O17"/>
  <c i="1" r="N20"/>
  <c i="8" r="F6"/>
  <c i="1" r="O19"/>
  <c i="8" r="B9"/>
  <c i="1" r="M20"/>
  <c i="8" r="E6"/>
  <c i="8" r="C6"/>
  <c i="1" r="K20"/>
  <c i="8" r="B8"/>
  <c i="1" r="O18"/>
  <c i="1" r="AE18" s="1"/>
  <c i="1" r="AM18" s="1"/>
  <c i="5" r="S38"/>
  <c i="5" r="T38"/>
  <c i="5" r="V38"/>
  <c i="5" r="R38"/>
  <c i="5" r="U38"/>
  <c i="5" r="W38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37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AB26" s="1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AC26" s="1"/>
  <c i="5" r="F26"/>
  <c i="5" r="AD26" s="1"/>
  <c i="5" r="R39"/>
  <c i="5" r="T36"/>
  <c i="5" r="V34"/>
  <c i="5" r="V33"/>
  <c i="5" r="B26"/>
  <c i="5" r="Z26" s="1"/>
  <c i="5" r="J26"/>
  <c i="5" r="M26"/>
  <c i="5" r="V37"/>
  <c i="5" r="U32"/>
  <c i="5" r="C26"/>
  <c i="5" r="AA26" s="1"/>
  <c i="5" r="U33"/>
  <c i="5" r="R33"/>
  <c i="5" r="N26"/>
  <c i="5" r="O26"/>
  <c i="5" r="L26"/>
  <c i="5" r="R34"/>
  <c i="5" r="S32"/>
  <c i="5" r="T32"/>
  <c i="5" r="V32"/>
  <c i="5" r="V36"/>
  <c i="5" r="W36"/>
  <c i="5" r="W34"/>
  <c i="5" r="W35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AA35"/>
  <c i="8" r="R42"/>
  <c i="8" r="G8"/>
  <c i="8" r="O8" s="1"/>
  <c i="8" r="O17" s="1"/>
  <c i="8" r="R26"/>
  <c i="8" r="C10"/>
  <c i="8" r="S28" s="1"/>
  <c i="8" r="S24"/>
  <c i="8" r="E10"/>
  <c i="8" r="U28" s="1"/>
  <c i="8" r="U24"/>
  <c i="8" r="G9"/>
  <c i="8" r="W27" s="1"/>
  <c i="8" r="R27"/>
  <c i="8" r="F10"/>
  <c i="8" r="V28" s="1"/>
  <c i="8" r="V24"/>
  <c i="8" r="G7"/>
  <c i="8" r="W25" s="1"/>
  <c i="8" r="R25"/>
  <c i="8" r="D10"/>
  <c i="8" r="T24"/>
  <c i="1" r="O20"/>
  <c i="1" r="K27" s="1"/>
  <c i="1" r="S36" s="1"/>
  <c i="8" r="G6"/>
  <c i="8" r="N6" s="1"/>
  <c i="8" r="B10"/>
  <c i="8" r="R28" s="1"/>
  <c i="8" r="R24"/>
  <c i="5" r="M38"/>
  <c i="5" r="N38"/>
  <c i="5" r="L38"/>
  <c i="5" r="K38"/>
  <c i="5" r="O38"/>
  <c i="5" r="J38"/>
  <c i="5" r="B38"/>
  <c i="5" r="R51" s="1"/>
  <c i="5" r="G38"/>
  <c i="5" r="W51" s="1"/>
  <c i="5" r="D38"/>
  <c i="5" r="T51" s="1"/>
  <c i="5" r="F38"/>
  <c i="5" r="V51" s="1"/>
  <c i="5" r="C38"/>
  <c i="5" r="S51" s="1"/>
  <c i="5" r="E38"/>
  <c i="5" r="U51" s="1"/>
  <c i="8" r="W26"/>
  <c i="8" r="W17"/>
  <c i="8" r="K8"/>
  <c i="8" r="L8"/>
  <c i="8" r="N8"/>
  <c i="8" r="M8"/>
  <c i="8" r="J8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T28"/>
  <c i="8" r="W24"/>
  <c i="8" r="W15"/>
  <c i="8" r="L6"/>
  <c i="8" r="J6"/>
  <c i="8" r="K6"/>
  <c i="8" r="M6"/>
  <c i="8" r="S15"/>
  <c i="8" r="R15"/>
  <c i="8" r="T15"/>
  <c i="8" r="V15"/>
  <c i="8" r="U15"/>
  <c i="5" r="M37"/>
  <c i="5" r="AE26"/>
  <c i="1" r="G29"/>
  <c i="5" r="AM26"/>
  <c i="8" r="W10"/>
  <c i="8" r="V19" s="1"/>
  <c i="5" r="AL26"/>
  <c i="5" r="AI26"/>
  <c i="5" r="AJ26"/>
  <c i="5" r="AK26"/>
  <c i="5" r="E32"/>
  <c i="5" r="U45" s="1"/>
  <c i="5" r="AH26"/>
  <c i="5" r="N33"/>
  <c i="5" r="J32"/>
  <c i="5" r="F33"/>
  <c i="5" r="V46" s="1"/>
  <c i="5" r="K32"/>
  <c i="5" r="C32"/>
  <c i="5" r="S45" s="1"/>
  <c i="5" r="D37"/>
  <c i="5" r="T50" s="1"/>
  <c i="5" r="G33"/>
  <c i="5" r="W46" s="1"/>
  <c i="5" r="O37"/>
  <c i="5" r="O33"/>
  <c i="5" r="N32"/>
  <c i="5" r="K39"/>
  <c i="5" r="D33"/>
  <c i="5" r="T46" s="1"/>
  <c i="5" r="B33"/>
  <c i="5" r="R46" s="1"/>
  <c i="5" r="C37"/>
  <c i="5" r="S50" s="1"/>
  <c i="5" r="F32"/>
  <c i="5" r="V45" s="1"/>
  <c i="5" r="J37"/>
  <c i="5" r="D39"/>
  <c i="5" r="T52" s="1"/>
  <c i="5" r="M33"/>
  <c i="5" r="M39"/>
  <c i="5" r="G37"/>
  <c i="5" r="W50" s="1"/>
  <c i="5" r="J39"/>
  <c i="5" r="L32"/>
  <c i="5" r="G32"/>
  <c i="5" r="W45" s="1"/>
  <c i="5" r="B32"/>
  <c i="5" r="R45" s="1"/>
  <c i="5" r="G39"/>
  <c i="5" r="W52" s="1"/>
  <c i="5" r="B35"/>
  <c i="5" r="R48" s="1"/>
  <c i="5" r="F36"/>
  <c i="5" r="V49" s="1"/>
  <c i="5" r="G36"/>
  <c i="5" r="W49" s="1"/>
  <c i="5" r="B36"/>
  <c i="5" r="R49" s="1"/>
  <c i="5" r="C35"/>
  <c i="5" r="S48" s="1"/>
  <c i="5" r="E35"/>
  <c i="5" r="U48" s="1"/>
  <c i="5" r="B34"/>
  <c i="5" r="R47" s="1"/>
  <c i="5" r="D35"/>
  <c i="5" r="T48" s="1"/>
  <c i="5" r="C34"/>
  <c i="5" r="S47" s="1"/>
  <c i="5" r="F34"/>
  <c i="5" r="V47" s="1"/>
  <c i="5" r="C36"/>
  <c i="5" r="S49" s="1"/>
  <c i="5" r="E34"/>
  <c i="5" r="U47" s="1"/>
  <c i="5" r="F35"/>
  <c i="5" r="V48" s="1"/>
  <c i="5" r="G34"/>
  <c i="5" r="W47" s="1"/>
  <c i="5" r="D34"/>
  <c i="5" r="T47" s="1"/>
  <c i="5" r="D36"/>
  <c i="5" r="T49" s="1"/>
  <c i="5" r="G35"/>
  <c i="5" r="W48" s="1"/>
  <c i="5" r="E36"/>
  <c i="5" r="U49" s="1"/>
  <c i="5" r="N39"/>
  <c i="5" r="B39"/>
  <c i="5" r="R52" s="1"/>
  <c i="5" r="B37"/>
  <c i="5" r="R50" s="1"/>
  <c i="5" r="C33"/>
  <c i="5" r="S46" s="1"/>
  <c i="5" r="F37"/>
  <c i="5" r="V50" s="1"/>
  <c i="5" r="O39"/>
  <c i="5" r="J34"/>
  <c i="5" r="K35"/>
  <c i="5" r="O36"/>
  <c i="5" r="L34"/>
  <c i="5" r="O34"/>
  <c i="5" r="L35"/>
  <c i="5" r="L36"/>
  <c i="5" r="J35"/>
  <c i="5" r="K34"/>
  <c i="5" r="O35"/>
  <c i="5" r="M35"/>
  <c i="5" r="K36"/>
  <c i="5" r="N36"/>
  <c i="5" r="N35"/>
  <c i="5" r="J36"/>
  <c i="5" r="N34"/>
  <c i="5" r="M34"/>
  <c i="5" r="M36"/>
  <c i="5" r="O32"/>
  <c i="5" r="K33"/>
  <c i="5" r="L37"/>
  <c i="5" r="F39"/>
  <c i="5" r="V52" s="1"/>
  <c i="5" r="L33"/>
  <c i="5" r="E33"/>
  <c i="5" r="U46" s="1"/>
  <c i="5" r="L39"/>
  <c i="5" r="E39"/>
  <c i="5" r="U52" s="1"/>
  <c i="5" r="D32"/>
  <c i="5" r="T45" s="1"/>
  <c i="5" r="E37"/>
  <c i="5" r="U50" s="1"/>
  <c i="5" r="C39"/>
  <c i="5" r="S52" s="1"/>
  <c i="5" r="M32"/>
  <c i="5" r="N37"/>
  <c i="5" r="K37"/>
  <c i="5" r="J33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AA20"/>
  <c i="1" r="AI20" s="1"/>
  <c i="1" r="Z20"/>
  <c i="1" r="AH20" s="1"/>
  <c i="1" r="G28"/>
  <c i="1" r="AC20"/>
  <c i="1" r="AK20" s="1"/>
  <c i="1" r="AB20"/>
  <c i="1" r="AJ20" s="1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1" r="AD20"/>
  <c i="1" r="AL20" s="1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8" l="1" r="O7"/>
  <c i="8" r="O16" s="1"/>
  <c i="1" r="J27"/>
  <c i="1" r="R36" s="1"/>
  <c i="8" r="L7"/>
  <c i="1" r="O26"/>
  <c i="1" r="W35" s="1"/>
  <c i="8" r="N7"/>
  <c i="1" r="N28"/>
  <c i="1" r="V37" s="1"/>
  <c i="1" r="M25"/>
  <c i="1" r="U34" s="1"/>
  <c i="8" r="K7"/>
  <c i="1" r="O25"/>
  <c i="1" r="W34" s="1"/>
  <c i="1" r="K28"/>
  <c i="1" r="S37" s="1"/>
  <c i="8" r="J7"/>
  <c i="8" r="M7"/>
  <c i="1" r="J25"/>
  <c i="1" r="R34" s="1"/>
  <c i="1" r="M29"/>
  <c i="1" r="U38" s="1"/>
  <c i="1" r="L29"/>
  <c i="1" r="T38" s="1"/>
  <c i="1" r="N27"/>
  <c i="1" r="V36" s="1"/>
  <c i="1" r="N25"/>
  <c i="1" r="V34" s="1"/>
  <c i="1" r="L28"/>
  <c i="1" r="T37" s="1"/>
  <c i="1" r="O28"/>
  <c i="1" r="W37" s="1"/>
  <c i="1" r="L26"/>
  <c i="1" r="T35" s="1"/>
  <c i="1" r="J29"/>
  <c i="1" r="R38" s="1"/>
  <c i="8" r="O9"/>
  <c i="8" r="O18" s="1"/>
  <c i="8" r="W36" s="1"/>
  <c i="8" r="J9"/>
  <c i="8" r="J18" s="1"/>
  <c i="8" r="AC18" s="1"/>
  <c i="1" r="K29"/>
  <c i="1" r="S38" s="1"/>
  <c i="1" r="N26"/>
  <c i="1" r="V35" s="1"/>
  <c i="8" r="M9"/>
  <c i="8" r="M18" s="1"/>
  <c i="8" r="AC21" s="1"/>
  <c i="8" r="N9"/>
  <c i="8" r="N18" s="1"/>
  <c i="8" r="AC29" s="1"/>
  <c i="8" r="AD29" s="1"/>
  <c i="8" r="L9"/>
  <c i="8" r="L18" s="1"/>
  <c i="8" r="AC20" s="1"/>
  <c i="1" r="J26"/>
  <c i="1" r="R35" s="1"/>
  <c i="8" r="T42"/>
  <c i="8" r="U42" s="1"/>
  <c i="8" r="AC22"/>
  <c i="8" r="AD22" s="1"/>
  <c i="8" r="AE22" s="1"/>
  <c i="8" r="AJ19" s="1"/>
  <c i="8" r="AK19" s="1"/>
  <c i="8" r="K9"/>
  <c i="8" r="K18" s="1"/>
  <c i="8" r="AC19" s="1"/>
  <c i="1" r="M27"/>
  <c i="1" r="U36" s="1"/>
  <c i="1" r="M26"/>
  <c i="1" r="U35" s="1"/>
  <c i="1" r="N29"/>
  <c i="1" r="V38" s="1"/>
  <c i="1" r="AE20"/>
  <c i="1" r="AM20" s="1"/>
  <c i="1" r="O29"/>
  <c i="1" r="W38" s="1"/>
  <c i="1" r="K25"/>
  <c i="1" r="S34" s="1"/>
  <c i="1" r="J28"/>
  <c i="1" r="R37" s="1"/>
  <c i="8" r="G10"/>
  <c i="8" r="W28" s="1"/>
  <c i="1" r="O27"/>
  <c i="1" r="W36" s="1"/>
  <c i="1" r="L27"/>
  <c i="1" r="T36" s="1"/>
  <c i="1" r="L25"/>
  <c i="1" r="T34" s="1"/>
  <c i="1" r="K26"/>
  <c i="1" r="S35" s="1"/>
  <c i="8" r="O6"/>
  <c i="8" r="O15" s="1"/>
  <c i="8" r="W33" s="1"/>
  <c i="1" r="M28"/>
  <c i="1" r="U37" s="1"/>
  <c i="8" r="T19"/>
  <c i="8" r="W34"/>
  <c i="8" r="W35"/>
  <c i="8" r="U19"/>
  <c i="8" r="W19"/>
  <c i="8" r="S19"/>
  <c i="8" r="L16"/>
  <c i="8" r="AC27" s="1"/>
  <c i="8" r="AD27" s="1"/>
  <c i="8" r="R19"/>
  <c i="8" r="N16"/>
  <c i="8" r="AC13" s="1"/>
  <c i="8" r="K16"/>
  <c i="8" r="AC11" s="1"/>
  <c i="8" r="J16"/>
  <c i="8" r="AC10" s="1"/>
  <c i="8" r="M16"/>
  <c i="8" r="AC12" s="1"/>
  <c i="8" r="J17"/>
  <c i="8" r="AC14" s="1"/>
  <c i="8" r="M17"/>
  <c i="8" r="AC28" s="1"/>
  <c i="8" r="AD28" s="1"/>
  <c i="8" r="N17"/>
  <c i="8" r="AC17" s="1"/>
  <c i="8" r="L17"/>
  <c i="8" r="AC16" s="1"/>
  <c i="8" r="K17"/>
  <c i="8" r="AC15" s="1"/>
  <c i="8" l="1" r="K10"/>
  <c i="8" r="L10"/>
  <c i="8" r="U36"/>
  <c i="8" r="O10"/>
  <c i="8" r="O19" s="1"/>
  <c i="8" r="W37" s="1"/>
  <c i="8" r="M10"/>
  <c i="8" r="M19" s="1"/>
  <c i="8" r="U37" s="1"/>
  <c i="8" r="J10"/>
  <c i="8" r="J19" s="1"/>
  <c i="8" r="R37" s="1"/>
  <c i="8" r="N10"/>
  <c i="8" r="N19" s="1"/>
  <c i="8" r="V37" s="1"/>
  <c i="8" r="L15"/>
  <c i="8" r="AC7" s="1"/>
  <c i="8" r="N15"/>
  <c i="8" r="AC9" s="1"/>
  <c i="8" r="J15"/>
  <c i="8" r="AC6" s="1"/>
  <c i="8" r="K15"/>
  <c i="8" r="M15"/>
  <c i="8" r="AC8" s="1"/>
  <c i="8" r="AD11"/>
  <c i="8" r="AE11" s="1"/>
  <c i="8" r="AJ8" s="1"/>
  <c i="8" r="AK8" s="1"/>
  <c i="8" r="AD15"/>
  <c i="8" r="AE15" s="1"/>
  <c i="8" r="AJ12" s="1"/>
  <c i="8" r="AK12" s="1"/>
  <c i="8" r="AD16"/>
  <c i="8" r="AE16" s="1"/>
  <c i="8" r="AJ13" s="1"/>
  <c i="8" r="AK13" s="1"/>
  <c i="8" r="R36"/>
  <c i="8" r="AD19"/>
  <c i="8" r="AE19" s="1"/>
  <c i="8" r="AJ16" s="1"/>
  <c i="8" r="AK16" s="1"/>
  <c i="8" r="AD17"/>
  <c i="8" r="AE17" s="1"/>
  <c i="8" r="AJ14" s="1"/>
  <c i="8" r="AK14" s="1"/>
  <c i="8" r="AD13"/>
  <c i="8" r="AE13" s="1"/>
  <c i="8" r="AJ10" s="1"/>
  <c i="8" r="AK10" s="1"/>
  <c i="8" r="AD21"/>
  <c i="8" r="AE21" s="1"/>
  <c i="8" r="AJ18" s="1"/>
  <c i="8" r="AK18" s="1"/>
  <c i="8" r="AD14"/>
  <c i="8" r="AE14" s="1"/>
  <c i="8" r="AJ11" s="1"/>
  <c i="8" r="AK11" s="1"/>
  <c i="8" r="S33"/>
  <c i="8" r="AC26"/>
  <c i="8" r="AD26" s="1"/>
  <c i="8" r="AD20"/>
  <c i="8" r="AE20" s="1"/>
  <c i="8" r="AJ17" s="1"/>
  <c i="8" r="AK17" s="1"/>
  <c i="8" r="AD10"/>
  <c i="8" r="AE10" s="1"/>
  <c i="8" r="AJ7" s="1"/>
  <c i="8" r="AK7" s="1"/>
  <c i="8" r="AD18"/>
  <c i="8" r="AE18" s="1"/>
  <c i="8" r="AJ15" s="1"/>
  <c i="8" r="AK15" s="1"/>
  <c i="8" r="AD12"/>
  <c i="8" r="AE12" s="1"/>
  <c i="8" r="AJ9" s="1"/>
  <c i="8" r="AK9" s="1"/>
  <c i="8" r="S35"/>
  <c i="8" r="R33"/>
  <c i="8" r="T35"/>
  <c i="8" r="U33"/>
  <c i="8" r="U35"/>
  <c i="8" r="T34"/>
  <c i="8" r="U34"/>
  <c i="8" r="V33"/>
  <c i="8" r="R35"/>
  <c i="8" r="R34"/>
  <c i="8" r="S34"/>
  <c i="8" r="V35"/>
  <c i="8" r="V34"/>
  <c i="8" r="S36"/>
  <c i="8" r="T36"/>
  <c i="8" r="V36"/>
  <c i="8" l="1" r="L19"/>
  <c i="8" r="T37" s="1"/>
  <c i="8" r="K19"/>
  <c i="8" r="S37" s="1"/>
  <c i="8" r="AD9"/>
  <c i="8" r="AD6"/>
  <c i="8" r="AD8"/>
  <c i="8" r="AE8" s="1"/>
  <c i="8" r="AJ5" s="1"/>
  <c i="8" r="AK5" s="1"/>
  <c i="8" r="AD7"/>
  <c i="8" r="AE7" s="1"/>
  <c i="8" r="AJ4" s="1"/>
  <c i="8" r="AK4" s="1"/>
  <c i="8" r="T33"/>
  <c i="8" r="AE6"/>
  <c i="8" r="AJ3" s="1"/>
  <c i="8" r="AK3" s="1"/>
  <c i="8" r="AE9"/>
  <c i="8" r="AJ6" s="1"/>
  <c i="8" r="AK6" s="1"/>
</calcChain>
</file>

<file path=xl/sharedStrings.xml><?xml version="1.0" encoding="utf-8"?>
<sst xmlns="http://schemas.openxmlformats.org/spreadsheetml/2006/main" count="804" uniqueCount="194">
  <si>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</si>
  <si>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</si>
  <si>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</si>
  <si>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</si>
  <si>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</si>
  <si>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</si>
  <si>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</si>
  <si>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</si>
  <si>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</si>
  <si>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</si>
  <si>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</si>
  <si>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</si>
  <si>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</si>
  <si>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</si>
  <si>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</si>
  <si>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</si>
  <si>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</si>
  <si>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</si>
  <si>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</si>
  <si>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</si>
  <si>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</si>
  <si>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</si>
  <si>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</si>
  <si>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</si>
  <si>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</si>
  <si>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</si>
  <si>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</si>
  <si>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</si>
  <si>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</si>
  <si>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</si>
  <si>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</si>
  <si>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</si>
  <si>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</si>
  <si>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</si>
  <si>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</si>
  <si>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</si>
  <si>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</si>
  <si>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</si>
  <si>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</si>
  <si>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</si>
  <si>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</si>
  <si>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</si>
  <si>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</si>
  <si>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</si>
  <si>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</si>
  <si>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</si>
  <si>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</si>
  <si>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</si>
  <si>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</si>
  <si>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</si>
  <si>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</si>
  <si>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</si>
  <si>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</si>
  <si>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</si>
  <si>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</si>
  <si>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</si>
  <si>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</si>
  <si>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</si>
  <si>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</si>
  <si>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</si>
  <si>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</si>
  <si>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</si>
  <si>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</si>
  <si>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</si>
  <si>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</si>
  <si>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</si>
  <si>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</si>
  <si>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</si>
  <si>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</si>
  <si>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</si>
  <si>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</si>
  <si>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</si>
  <si>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</si>
  <si>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</si>
  <si>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</si>
  <si>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</si>
  <si>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</si>
  <si>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</si>
  <si>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</si>
  <si>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</si>
  <si>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</si>
  <si>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</si>
  <si>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</si>
  <si>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</si>
  <si>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</si>
  <si>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</si>
  <si>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</si>
  <si>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</si>
  <si>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</si>
  <si>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</si>
  <si>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</si>
  <si>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</si>
  <si>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</si>
  <si>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</si>
  <si>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</si>
  <si>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</si>
  <si>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</si>
  <si>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</si>
  <si>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</si>
  <si>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</si>
  <si>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</si>
  <si>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</si>
  <si>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</si>
  <si>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</si>
  <si>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</si>
  <si>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</si>
  <si>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</si>
  <si>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</si>
  <si>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</si>
  <si>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</si>
  <si>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</si>
  <si>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</si>
  <si>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</si>
  <si>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</si>
  <si>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</si>
  <si>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</si>
  <si>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</si>
  <si>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</si>
  <si>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</si>
  <si>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</si>
  <si>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</si>
  <si>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</si>
  <si>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</si>
  <si>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</si>
  <si>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</si>
  <si>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</si>
  <si>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</si>
  <si>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</si>
  <si>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</si>
  <si>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</si>
  <si>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</si>
  <si>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</si>
  <si>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</si>
  <si>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</si>
  <si>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</si>
  <si>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</si>
  <si>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</si>
  <si>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</si>
  <si>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</si>
  <si>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</si>
  <si>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</si>
  <si>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</si>
  <si>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</si>
  <si>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</si>
  <si>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</si>
  <si>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</si>
  <si>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</si>
  <si>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</si>
  <si>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</si>
  <si>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</si>
  <si>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</si>
  <si>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</si>
  <si>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</si>
  <si>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</si>
  <si>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</si>
  <si>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</si>
  <si>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</si>
  <si>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</si>
  <si>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</si>
  <si>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</si>
  <si>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</si>
  <si>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</si>
  <si>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</si>
  <si>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Census</t>
  </si>
  <si>
    <t>Table X: ACS Households by Number of Vehicles and Number of Potential Drivers</t>
  </si>
  <si>
    <t>Table X: Scaled Households</t>
  </si>
  <si>
    <t>damp</t>
  </si>
  <si>
    <t>DIFF (ABM-Survey)</t>
  </si>
  <si>
    <t>Survey (2015 ACS)</t>
  </si>
  <si>
    <t>ABM</t>
  </si>
  <si>
    <t>ACS 2015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</si>
  <si>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</si>
  <si>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</si>
  <si>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</si>
  <si>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</si>
  <si>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</si>
  <si>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</si>
  <si>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</si>
  <si>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Williamson</t>
  </si>
  <si>
    <t>Rutherford</t>
  </si>
  <si>
    <t>Sumner</t>
  </si>
  <si>
    <t>Roberston</t>
  </si>
  <si>
    <t>Davidson</t>
  </si>
  <si>
    <t>Maury</t>
  </si>
  <si>
    <t>Wilson</t>
  </si>
  <si>
    <t>ACS 2013-17 PUMS</t>
  </si>
  <si>
    <t>2017 ACS 1-year estimates (B08201)</t>
  </si>
  <si>
    <t>DaySim - ACS</t>
  </si>
  <si>
    <t>Survey (2013-2017 ACS)</t>
  </si>
  <si>
    <t>OBS (2013-17 ACS)</t>
  </si>
  <si>
    <t>Flag</t>
  </si>
  <si>
    <t>Diff</t>
  </si>
  <si>
    <t>% Diff</t>
  </si>
  <si>
    <t>Number of Households with Drivers &lt; Vehicles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</si>
</sst>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19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Border="1" applyFont="1" borderId="1" fillId="0" fontId="9" numFmtId="0" xfId="0"/>
    <xf applyBorder="1" applyNumberFormat="1" borderId="1" fillId="0" fontId="0" numFmtId="2" xfId="0"/>
    <xf applyBorder="1" applyFill="1" borderId="1" fillId="0" fontId="0" numFmtId="0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Font="1" applyNumberFormat="1" borderId="0" fillId="0" fontId="0" numFmtId="167" xfId="10"/>
    <xf applyBorder="1" applyFont="1" applyNumberFormat="1" borderId="3" fillId="0" fontId="0" numFmtId="167" xfId="10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Alignment="1" applyBorder="1" applyFill="1" applyFont="1" borderId="3" fillId="4" fontId="2" numFmtId="0" xfId="0">
      <alignment horizontal="right"/>
    </xf>
    <xf applyNumberFormat="1" borderId="0" fillId="0" fontId="0" numFmtId="168" xfId="0"/>
    <xf applyNumberFormat="1" borderId="0" fillId="0" fontId="0" numFmtId="169" xfId="0"/>
    <xf applyAlignment="1" borderId="0" fillId="0" fontId="0" numFmtId="0" xfId="0">
      <alignment horizontal="center"/>
    </xf>
    <xf applyNumberFormat="1" borderId="0" fillId="0" fontId="0" numFmtId="170" xfId="0"/>
    <xf applyBorder="1" applyNumberFormat="1" borderId="1" fillId="0" fontId="0" numFmtId="170" xfId="0"/>
    <xf applyBorder="1" applyNumberFormat="1" borderId="1" fillId="0" fontId="0" numFmtId="168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ill="1" borderId="0" fillId="6" fontId="0" numFmtId="0" xfId="0"/>
    <xf applyFill="1" applyFont="1" borderId="0" fillId="4" fontId="5" numFmtId="0" xfId="0"/>
    <xf applyBorder="1" applyFill="1" applyNumberFormat="1" borderId="12" fillId="4" fontId="0" numFmtId="3" xfId="0"/>
    <xf applyBorder="1" applyFill="1" applyFont="1" applyNumberFormat="1" borderId="12" fillId="4" fontId="0" numFmtId="166" xfId="9"/>
    <xf applyAlignment="1" applyBorder="1" applyFill="1" borderId="3" fillId="4" fontId="0" numFmtId="0" xfId="0">
      <alignment horizontal="right"/>
    </xf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OBS (2013-17 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4.7593815479529601E-2</c:v>
                </c:pt>
                <c:pt idx="1">
                  <c:v>0.30940883296858529</c:v>
                </c:pt>
                <c:pt idx="2">
                  <c:v>0.38996040997258796</c:v>
                </c:pt>
                <c:pt idx="3">
                  <c:v>0.16254718661017542</c:v>
                </c:pt>
                <c:pt idx="4">
                  <c:v>9.0489754969121788E-2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4.7109889451734825E-2</c:v>
                </c:pt>
                <c:pt idx="1">
                  <c:v>0.30871241374745062</c:v>
                </c:pt>
                <c:pt idx="2">
                  <c:v>0.39020038646185662</c:v>
                </c:pt>
                <c:pt idx="3">
                  <c:v>0.16262604929437613</c:v>
                </c:pt>
                <c:pt idx="4">
                  <c:v>9.1351261044581814E-2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opLeftCell="G19" workbookViewId="0">
      <selection activeCell="Y33" sqref="Y33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131</v>
      </c>
      <c r="I1" s="13" t="s">
        <v>13</v>
      </c>
      <c r="Q1" s="13" t="s">
        <v>14</v>
      </c>
    </row>
    <row r="2" spans="1:33" x14ac:dyDescent="0.25">
      <c r="A2" s="1"/>
      <c r="I2" s="1" t="s">
        <v>170</v>
      </c>
      <c r="Q2" s="1"/>
    </row>
    <row r="3" spans="1:33" x14ac:dyDescent="0.25">
      <c r="A3" s="1" t="s">
        <v>132</v>
      </c>
      <c r="I3" s="1" t="s">
        <v>16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3">
        <v>1</v>
      </c>
      <c r="B6" s="4" t="n">
        <v>31309.188318324675</v>
      </c>
      <c r="C6" s="4" t="n">
        <v>107427.65599493895</v>
      </c>
      <c r="D6" s="4" t="n">
        <v>96207.04059313916</v>
      </c>
      <c r="E6" s="4" t="n">
        <v>30425.57780433619</v>
      </c>
      <c r="F6" s="4" t="n">
        <v>10553.781746198596</v>
      </c>
      <c r="G6" s="4">
        <f>SUM(B6:F6)</f>
        <v>275923.24445693759</v>
      </c>
      <c r="I6" s="3">
        <v>1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>
        <v>1</v>
      </c>
      <c r="R6" s="20" t="n">
        <v>21828.0</v>
      </c>
      <c r="S6" s="22" t="n">
        <v>102936.0</v>
      </c>
      <c r="T6" s="24" t="n">
        <v>100158.0</v>
      </c>
      <c r="U6" s="26" t="n">
        <v>38682.0</v>
      </c>
      <c r="V6" s="28" t="n">
        <v>20654.0</v>
      </c>
      <c r="W6" s="4">
        <f>SUM(R6:V6)</f>
        <v>284335</v>
      </c>
    </row>
    <row r="7" spans="1:33" x14ac:dyDescent="0.25">
      <c r="A7" s="3">
        <v>2</v>
      </c>
      <c r="B7" s="4" t="n">
        <v>1060.2959524617029</v>
      </c>
      <c r="C7" s="4" t="n">
        <v>10043.683770904117</v>
      </c>
      <c r="D7" s="4" t="n">
        <v>12854.59164798271</v>
      </c>
      <c r="E7" s="4" t="n">
        <v>5749.018292809605</v>
      </c>
      <c r="F7" s="4" t="n">
        <v>2081.410382407391</v>
      </c>
      <c r="G7" s="4">
        <f ref="G7:G12" si="0" t="shared">SUM(B7:F7)</f>
        <v>31789.000046565525</v>
      </c>
      <c r="I7" s="3">
        <v>2</v>
      </c>
      <c r="J7" s="57">
        <v>2959</v>
      </c>
      <c r="K7" s="57">
        <v>25992</v>
      </c>
      <c r="L7" s="57">
        <v>40468</v>
      </c>
      <c r="M7" s="57">
        <v>15897</v>
      </c>
      <c r="N7" s="57">
        <v>7027</v>
      </c>
      <c r="O7" s="4">
        <f ref="O7:O12" si="1" t="shared">SUM(J7:N7)</f>
        <v>92343</v>
      </c>
      <c r="Q7" s="3">
        <v>2</v>
      </c>
      <c r="R7" s="21" t="n">
        <v>755.0</v>
      </c>
      <c r="S7" s="23" t="n">
        <v>10321.0</v>
      </c>
      <c r="T7" s="25" t="n">
        <v>13669.0</v>
      </c>
      <c r="U7" s="27" t="n">
        <v>5653.0</v>
      </c>
      <c r="V7" s="29" t="n">
        <v>2933.0</v>
      </c>
      <c r="W7" s="4">
        <f ref="W7:W12" si="2" t="shared">SUM(R7:V7)</f>
        <v>33332</v>
      </c>
    </row>
    <row r="8" spans="1:33" x14ac:dyDescent="0.25">
      <c r="A8" s="3">
        <v>3</v>
      </c>
      <c r="B8" s="4" t="n">
        <v>455.8547404188235</v>
      </c>
      <c r="C8" s="4" t="n">
        <v>6538.127433477676</v>
      </c>
      <c r="D8" s="4" t="n">
        <v>10256.204771444716</v>
      </c>
      <c r="E8" s="4" t="n">
        <v>4672.331646781335</v>
      </c>
      <c r="F8" s="4" t="n">
        <v>2378.481257108821</v>
      </c>
      <c r="G8" s="4">
        <f si="0" t="shared"/>
        <v>24300.999849231372</v>
      </c>
      <c r="I8" s="3">
        <v>3</v>
      </c>
      <c r="J8" s="57">
        <v>2080</v>
      </c>
      <c r="K8" s="57">
        <v>16821</v>
      </c>
      <c r="L8" s="57">
        <v>23710</v>
      </c>
      <c r="M8" s="57">
        <v>12092</v>
      </c>
      <c r="N8" s="57">
        <v>4800</v>
      </c>
      <c r="O8" s="4">
        <f si="1" t="shared"/>
        <v>59503</v>
      </c>
      <c r="Q8" s="3">
        <v>3</v>
      </c>
      <c r="R8" s="49" t="n">
        <v>581.0</v>
      </c>
      <c r="S8" s="49" t="n">
        <v>6682.0</v>
      </c>
      <c r="T8" s="49" t="n">
        <v>10942.0</v>
      </c>
      <c r="U8" s="49" t="n">
        <v>4507.0</v>
      </c>
      <c r="V8" s="49" t="n">
        <v>2353.0</v>
      </c>
      <c r="W8" s="4">
        <f si="2" t="shared"/>
        <v>25118</v>
      </c>
    </row>
    <row r="9" spans="1:33" x14ac:dyDescent="0.25">
      <c r="A9" s="3">
        <v>4</v>
      </c>
      <c r="B9" s="15" t="n">
        <v>2786.8445822957024</v>
      </c>
      <c r="C9" s="15" t="n">
        <v>30771.411565939386</v>
      </c>
      <c r="D9" s="15" t="n">
        <v>40737.912751393815</v>
      </c>
      <c r="E9" s="15" t="n">
        <v>18046.237949101793</v>
      </c>
      <c r="F9" s="15" t="n">
        <v>7231.352015295153</v>
      </c>
      <c r="G9" s="15">
        <f si="0" t="shared"/>
        <v>99573.758864025847</v>
      </c>
      <c r="I9" s="3">
        <v>4</v>
      </c>
      <c r="J9" s="57">
        <v>1316</v>
      </c>
      <c r="K9" s="57">
        <v>5456</v>
      </c>
      <c r="L9" s="57">
        <v>9990</v>
      </c>
      <c r="M9" s="57">
        <v>4645</v>
      </c>
      <c r="N9" s="57">
        <v>2386</v>
      </c>
      <c r="O9" s="4">
        <f si="1" t="shared"/>
        <v>23793</v>
      </c>
      <c r="Q9" s="3">
        <v>4</v>
      </c>
      <c r="R9" s="49" t="n">
        <v>2695.0</v>
      </c>
      <c r="S9" s="49" t="n">
        <v>28992.0</v>
      </c>
      <c r="T9" s="49" t="n">
        <v>43410.0</v>
      </c>
      <c r="U9" s="49" t="n">
        <v>19441.0</v>
      </c>
      <c r="V9" s="49" t="n">
        <v>12135.0</v>
      </c>
      <c r="W9" s="4">
        <f si="2" t="shared"/>
        <v>106674</v>
      </c>
    </row>
    <row r="10" spans="1:33" x14ac:dyDescent="0.25">
      <c r="A10" s="3">
        <v>5</v>
      </c>
      <c r="B10" s="15" t="n">
        <v>1158.3919971818311</v>
      </c>
      <c r="C10" s="15" t="n">
        <v>18351.80950882281</v>
      </c>
      <c r="D10" s="15" t="n">
        <v>23603.293067779297</v>
      </c>
      <c r="E10" s="15" t="n">
        <v>13440.683328309799</v>
      </c>
      <c r="F10" s="15" t="n">
        <v>4478.821620875919</v>
      </c>
      <c r="G10" s="15">
        <f si="0" t="shared"/>
        <v>61032.999522969658</v>
      </c>
      <c r="I10" s="3">
        <v>5</v>
      </c>
      <c r="J10" s="57">
        <v>19046</v>
      </c>
      <c r="K10" s="57">
        <v>102775</v>
      </c>
      <c r="L10" s="57">
        <v>91741</v>
      </c>
      <c r="M10" s="57">
        <v>28860</v>
      </c>
      <c r="N10" s="57">
        <v>10055</v>
      </c>
      <c r="O10" s="4">
        <f si="1" t="shared"/>
        <v>252477</v>
      </c>
      <c r="Q10" s="3">
        <v>5</v>
      </c>
      <c r="R10" s="49" t="n">
        <v>1452.0</v>
      </c>
      <c r="S10" s="49" t="n">
        <v>18289.0</v>
      </c>
      <c r="T10" s="49" t="n">
        <v>26746.0</v>
      </c>
      <c r="U10" s="49" t="n">
        <v>11390.0</v>
      </c>
      <c r="V10" s="49" t="n">
        <v>6724.0</v>
      </c>
      <c r="W10" s="4">
        <f si="2" t="shared"/>
        <v>64618</v>
      </c>
    </row>
    <row r="11" spans="1:33" x14ac:dyDescent="0.25">
      <c r="A11" s="14">
        <v>6</v>
      </c>
      <c r="B11" s="15" t="n">
        <v>731.187445148917</v>
      </c>
      <c r="C11" s="15" t="n">
        <v>14048.179614756864</v>
      </c>
      <c r="D11" s="15" t="n">
        <v>31852.082287724534</v>
      </c>
      <c r="E11" s="15" t="n">
        <v>13036.775340453702</v>
      </c>
      <c r="F11" s="15" t="n">
        <v>5266.775149334139</v>
      </c>
      <c r="G11" s="15">
        <f si="0" t="shared"/>
        <v>64934.99983741816</v>
      </c>
      <c r="I11" s="14">
        <v>6</v>
      </c>
      <c r="J11" s="57">
        <v>1423</v>
      </c>
      <c r="K11" s="57">
        <v>9376</v>
      </c>
      <c r="L11" s="57">
        <v>12932</v>
      </c>
      <c r="M11" s="57">
        <v>5516</v>
      </c>
      <c r="N11" s="57">
        <v>2498</v>
      </c>
      <c r="O11" s="15">
        <f si="1" t="shared"/>
        <v>31745</v>
      </c>
      <c r="Q11" s="14">
        <v>6</v>
      </c>
      <c r="R11" s="50" t="n">
        <v>1299.0</v>
      </c>
      <c r="S11" s="50" t="n">
        <v>15497.0</v>
      </c>
      <c r="T11" s="50" t="n">
        <v>32890.0</v>
      </c>
      <c r="U11" s="50" t="n">
        <v>15392.0</v>
      </c>
      <c r="V11" s="50" t="n">
        <v>8081.0</v>
      </c>
      <c r="W11" s="15">
        <f si="2" t="shared"/>
        <v>73196</v>
      </c>
    </row>
    <row r="12" spans="1:33" x14ac:dyDescent="0.25">
      <c r="A12" s="14">
        <v>7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 si="0" t="shared"/>
        <v>43072.00003134994</v>
      </c>
      <c r="I12" s="14">
        <v>7</v>
      </c>
      <c r="J12" s="57">
        <v>1446</v>
      </c>
      <c r="K12" s="57">
        <v>9247</v>
      </c>
      <c r="L12" s="57">
        <v>17595</v>
      </c>
      <c r="M12" s="57">
        <v>9265</v>
      </c>
      <c r="N12" s="57">
        <v>3668</v>
      </c>
      <c r="O12" s="15">
        <f si="1" t="shared"/>
        <v>41221</v>
      </c>
      <c r="Q12" s="14">
        <v>7</v>
      </c>
      <c r="R12" s="108" t="n">
        <v>1034.0</v>
      </c>
      <c r="S12" s="108" t="n">
        <v>12596.0</v>
      </c>
      <c r="T12" s="108" t="n">
        <v>20450.0</v>
      </c>
      <c r="U12" s="108" t="n">
        <v>8376.0</v>
      </c>
      <c r="V12" s="108" t="n">
        <v>4755.0</v>
      </c>
      <c r="W12" s="15">
        <f si="2" t="shared"/>
        <v>47201</v>
      </c>
    </row>
    <row ht="15.75" r="13" spans="1:33" thickBot="1" x14ac:dyDescent="0.3">
      <c r="A13" s="7" t="s">
        <v>4</v>
      </c>
      <c r="B13" s="8" t="n">
        <v>0.0</v>
      </c>
      <c r="C13" s="8" t="n">
        <v>0.0</v>
      </c>
      <c r="D13" s="8" t="n">
        <v>0.0</v>
      </c>
      <c r="E13" s="8" t="n">
        <v>0.0</v>
      </c>
      <c r="F13" s="8" t="n">
        <v>0.0</v>
      </c>
      <c r="G13" s="8">
        <f>SUM(G6:G12)</f>
        <v>600627.00260849809</v>
      </c>
      <c r="I13" s="7" t="str">
        <f>$A$13</f>
        <v>Total</v>
      </c>
      <c r="J13" s="8">
        <f>SUM(J6:J12)</f>
        <v>29585</v>
      </c>
      <c r="K13" s="8">
        <f ref="K13:O13" si="3" t="shared">SUM(K6:K12)</f>
        <v>182415</v>
      </c>
      <c r="L13" s="8">
        <f si="3" t="shared"/>
        <v>227219</v>
      </c>
      <c r="M13" s="8">
        <f si="3" t="shared"/>
        <v>89297</v>
      </c>
      <c r="N13" s="8">
        <f si="3" t="shared"/>
        <v>35074</v>
      </c>
      <c r="O13" s="8">
        <f si="3" t="shared"/>
        <v>563590</v>
      </c>
      <c r="Q13" s="7" t="str">
        <f>$A$13</f>
        <v>Total</v>
      </c>
      <c r="R13" s="8" t="n">
        <v>0.0</v>
      </c>
      <c r="S13" s="8" t="n">
        <v>0.0</v>
      </c>
      <c r="T13" s="8" t="n">
        <v>0.0</v>
      </c>
      <c r="U13" s="8" t="n">
        <v>0.0</v>
      </c>
      <c r="V13" s="8" t="n">
        <v>0.0</v>
      </c>
      <c r="W13" s="8">
        <v>600627</v>
      </c>
    </row>
    <row r="14" spans="1:33" x14ac:dyDescent="0.25">
      <c r="B14" t="n">
        <v>0.0</v>
      </c>
      <c r="C14" t="n">
        <v>0.0</v>
      </c>
      <c r="D14" t="n">
        <v>0.0</v>
      </c>
      <c r="E14" t="n">
        <v>0.0</v>
      </c>
      <c r="F14" t="n">
        <v>0.0</v>
      </c>
      <c r="R14" t="n">
        <v>0.0</v>
      </c>
      <c r="S14" t="n">
        <v>0.0</v>
      </c>
      <c r="T14" t="n">
        <v>0.0</v>
      </c>
      <c r="U14" t="n">
        <v>0.0</v>
      </c>
      <c r="V14" t="n">
        <v>0.0</v>
      </c>
    </row>
    <row r="15" spans="1:33" x14ac:dyDescent="0.25">
      <c r="B15" t="n">
        <v>0.0</v>
      </c>
      <c r="C15" t="n">
        <v>0.0</v>
      </c>
      <c r="D15" t="n">
        <v>0.0</v>
      </c>
      <c r="E15" t="n">
        <v>0.0</v>
      </c>
      <c r="F15" t="n">
        <v>0.0</v>
      </c>
      <c r="R15" t="n">
        <v>0.0</v>
      </c>
      <c r="S15" t="n">
        <v>0.0</v>
      </c>
      <c r="T15" t="n">
        <v>0.0</v>
      </c>
      <c r="U15" t="n">
        <v>0.0</v>
      </c>
      <c r="V15" t="n">
        <v>0.0</v>
      </c>
    </row>
    <row r="16" spans="1:33" x14ac:dyDescent="0.25">
      <c r="A16" s="1" t="s">
        <v>133</v>
      </c>
      <c r="I16" s="1" t="s">
        <v>17</v>
      </c>
      <c r="Q16" s="16" t="s">
        <v>12</v>
      </c>
      <c r="Y16" s="1" t="s">
        <v>21</v>
      </c>
      <c r="AG16" s="1" t="s">
        <v>15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>
        <f>$A$6</f>
        <v>1</v>
      </c>
      <c r="B19" s="4">
        <f ref="B19:G24" si="4" t="shared">($W6/$G6)*B6</f>
        <v>32263.67563925988</v>
      </c>
      <c r="C19" s="4">
        <f si="4" t="shared"/>
        <v>110702.6797522602</v>
      </c>
      <c r="D19" s="4">
        <f si="4" t="shared"/>
        <v>99139.994315772215</v>
      </c>
      <c r="E19" s="4">
        <f si="4" t="shared"/>
        <v>31353.127504798063</v>
      </c>
      <c r="F19" s="4">
        <f si="4" t="shared"/>
        <v>10875.522787909606</v>
      </c>
      <c r="G19" s="4">
        <f si="4" t="shared"/>
        <v>284335</v>
      </c>
      <c r="I19" s="3">
        <v>1</v>
      </c>
      <c r="J19" s="4">
        <f ref="J19:O24" si="5" t="shared">($W6/$O6)*J6</f>
        <v>5981.6427497280347</v>
      </c>
      <c r="K19" s="4">
        <f si="5" t="shared"/>
        <v>57987.818839188578</v>
      </c>
      <c r="L19" s="4">
        <f si="5" t="shared"/>
        <v>140025.02567671338</v>
      </c>
      <c r="M19" s="4">
        <f si="5" t="shared"/>
        <v>59234.183944455108</v>
      </c>
      <c r="N19" s="4">
        <f si="5" t="shared"/>
        <v>21106.328789914889</v>
      </c>
      <c r="O19" s="4">
        <f si="5" t="shared"/>
        <v>284335</v>
      </c>
      <c r="Q19" s="3">
        <v>1</v>
      </c>
      <c r="R19" s="4">
        <f ref="R19:V24" si="6" t="shared">R6</f>
        <v>22035</v>
      </c>
      <c r="S19" s="4">
        <f si="6" t="shared"/>
        <v>103243</v>
      </c>
      <c r="T19" s="4">
        <f si="6" t="shared"/>
        <v>99628</v>
      </c>
      <c r="U19" s="4">
        <f si="6" t="shared"/>
        <v>38588</v>
      </c>
      <c r="V19" s="4">
        <f si="6" t="shared"/>
        <v>20841</v>
      </c>
      <c r="W19" s="4">
        <f>SUM(R19:V19)</f>
        <v>284335</v>
      </c>
      <c r="Y19" s="3">
        <f>$A$6</f>
        <v>1</v>
      </c>
      <c r="Z19" s="97">
        <f>R19-B19</f>
        <v>-10228.67563925988</v>
      </c>
      <c r="AA19" s="97">
        <f ref="AA19:AE25" si="7" t="shared">S19-C19</f>
        <v>-7459.6797522601992</v>
      </c>
      <c r="AB19" s="97">
        <f si="7" t="shared"/>
        <v>488.00568422778451</v>
      </c>
      <c r="AC19" s="97">
        <f si="7" t="shared"/>
        <v>7234.8724952019365</v>
      </c>
      <c r="AD19" s="97">
        <f si="7" t="shared"/>
        <v>9965.4772120903945</v>
      </c>
      <c r="AE19" s="97">
        <f si="7" t="shared"/>
        <v>0</v>
      </c>
      <c r="AG19" s="3">
        <f>$A$6</f>
        <v>1</v>
      </c>
      <c r="AH19" s="98">
        <f>IFERROR((R6-B19)/B19,0)</f>
        <v>-0.31703379843098756</v>
      </c>
      <c r="AI19" s="98">
        <f ref="AI19:AM24" si="8" t="shared">(S6-C19)/C19</f>
        <v>-6.7384816419567256E-2</v>
      </c>
      <c r="AJ19" s="98">
        <f si="8" t="shared"/>
        <v>4.9223896732677897E-3</v>
      </c>
      <c r="AK19" s="98">
        <f si="8" t="shared"/>
        <v>0.23075441179176662</v>
      </c>
      <c r="AL19" s="98">
        <f si="8" t="shared"/>
        <v>0.9163216708229498</v>
      </c>
      <c r="AM19" s="98">
        <f si="8" t="shared"/>
        <v>0</v>
      </c>
    </row>
    <row r="20" spans="1:39" x14ac:dyDescent="0.25">
      <c r="A20" s="3">
        <f>$A$7</f>
        <v>2</v>
      </c>
      <c r="B20" s="4">
        <f si="4" t="shared"/>
        <v>1111.7614469056507</v>
      </c>
      <c r="C20" s="4">
        <f si="4" t="shared"/>
        <v>10531.192140721179</v>
      </c>
      <c r="D20" s="4">
        <f si="4" t="shared"/>
        <v>13478.538116421545</v>
      </c>
      <c r="E20" s="4">
        <f si="4" t="shared"/>
        <v>6028.068748788246</v>
      </c>
      <c r="F20" s="4">
        <f si="4" t="shared"/>
        <v>2182.4395471633807</v>
      </c>
      <c r="G20" s="4">
        <f si="4" t="shared"/>
        <v>33332</v>
      </c>
      <c r="I20" s="3">
        <v>2</v>
      </c>
      <c r="J20" s="4">
        <f si="5" t="shared"/>
        <v>1068.0764974064086</v>
      </c>
      <c r="K20" s="4">
        <f si="5" t="shared"/>
        <v>9382.0359312562941</v>
      </c>
      <c r="L20" s="4">
        <f si="5" t="shared"/>
        <v>14607.272624887648</v>
      </c>
      <c r="M20" s="4">
        <f si="5" t="shared"/>
        <v>5738.1588642344304</v>
      </c>
      <c r="N20" s="4">
        <f si="5" t="shared"/>
        <v>2536.4560822152193</v>
      </c>
      <c r="O20" s="4">
        <f si="5" t="shared"/>
        <v>33332</v>
      </c>
      <c r="Q20" s="3">
        <v>2</v>
      </c>
      <c r="R20" s="4">
        <f si="6" t="shared"/>
        <v>747</v>
      </c>
      <c r="S20" s="4">
        <f si="6" t="shared"/>
        <v>10328</v>
      </c>
      <c r="T20" s="4">
        <f si="6" t="shared"/>
        <v>13642</v>
      </c>
      <c r="U20" s="4">
        <f si="6" t="shared"/>
        <v>5641</v>
      </c>
      <c r="V20" s="4">
        <f si="6" t="shared"/>
        <v>2974</v>
      </c>
      <c r="W20" s="4">
        <f ref="W20:W24" si="9" t="shared">SUM(R20:V20)</f>
        <v>33332</v>
      </c>
      <c r="Y20" s="3">
        <f>$A$7</f>
        <v>2</v>
      </c>
      <c r="Z20" s="15">
        <f ref="Z20:Z25" si="10" t="shared">R20-B20</f>
        <v>-364.7614469056507</v>
      </c>
      <c r="AA20" s="15">
        <f si="7" t="shared"/>
        <v>-203.19214072117938</v>
      </c>
      <c r="AB20" s="15">
        <f si="7" t="shared"/>
        <v>163.46188357845494</v>
      </c>
      <c r="AC20" s="15">
        <f si="7" t="shared"/>
        <v>-387.06874878824601</v>
      </c>
      <c r="AD20" s="15">
        <f si="7" t="shared"/>
        <v>791.56045283661933</v>
      </c>
      <c r="AE20" s="15">
        <f si="7" t="shared"/>
        <v>0</v>
      </c>
      <c r="AG20" s="3">
        <f>$A$7</f>
        <v>2</v>
      </c>
      <c r="AH20" s="51">
        <f ref="AH20:AH25" si="11" t="shared">(R7-B20)/B20</f>
        <v>-0.32809326849827891</v>
      </c>
      <c r="AI20" s="51">
        <f si="8" t="shared"/>
        <v>-1.9294315211996951E-2</v>
      </c>
      <c r="AJ20" s="51">
        <f si="8" t="shared"/>
        <v>1.212756770552895E-2</v>
      </c>
      <c r="AK20" s="51">
        <f si="8" t="shared"/>
        <v>-6.4211070729087827E-2</v>
      </c>
      <c r="AL20" s="51">
        <f si="8" t="shared"/>
        <v>0.36269524801520742</v>
      </c>
      <c r="AM20" s="51">
        <f si="8" t="shared"/>
        <v>0</v>
      </c>
    </row>
    <row r="21" spans="1:39" x14ac:dyDescent="0.25">
      <c r="A21" s="3">
        <f>$A$8</f>
        <v>3</v>
      </c>
      <c r="B21" s="4">
        <f si="4" t="shared"/>
        <v>471.1805868433093</v>
      </c>
      <c r="C21" s="4">
        <f si="4" t="shared"/>
        <v>6757.9394219570195</v>
      </c>
      <c r="D21" s="4">
        <f si="4" t="shared"/>
        <v>10601.018602010181</v>
      </c>
      <c r="E21" s="4">
        <f si="4" t="shared"/>
        <v>4829.4155397711174</v>
      </c>
      <c r="F21" s="4">
        <f si="4" t="shared"/>
        <v>2458.4458494183723</v>
      </c>
      <c r="G21" s="4">
        <f si="4" t="shared"/>
        <v>25118</v>
      </c>
      <c r="I21" s="3">
        <v>3</v>
      </c>
      <c r="J21" s="4">
        <f si="5" t="shared"/>
        <v>878.0303514108532</v>
      </c>
      <c r="K21" s="4">
        <f si="5" t="shared"/>
        <v>7100.6483370586357</v>
      </c>
      <c r="L21" s="4">
        <f si="5" t="shared"/>
        <v>10008.701746130446</v>
      </c>
      <c r="M21" s="4">
        <f si="5" t="shared"/>
        <v>5104.3956775288634</v>
      </c>
      <c r="N21" s="4">
        <f si="5" t="shared"/>
        <v>2026.2238878711996</v>
      </c>
      <c r="O21" s="4">
        <f si="5" t="shared"/>
        <v>25118</v>
      </c>
      <c r="Q21" s="3">
        <v>3</v>
      </c>
      <c r="R21" s="4">
        <f si="6" t="shared"/>
        <v>617</v>
      </c>
      <c r="S21" s="4">
        <f si="6" t="shared"/>
        <v>6693</v>
      </c>
      <c r="T21" s="4">
        <f si="6" t="shared"/>
        <v>10814</v>
      </c>
      <c r="U21" s="4">
        <f si="6" t="shared"/>
        <v>4544</v>
      </c>
      <c r="V21" s="4">
        <f si="6" t="shared"/>
        <v>2450</v>
      </c>
      <c r="W21" s="4">
        <f si="9" t="shared"/>
        <v>25118</v>
      </c>
      <c r="Y21" s="3">
        <f>$A$8</f>
        <v>3</v>
      </c>
      <c r="Z21" s="15">
        <f si="10" t="shared"/>
        <v>145.8194131566907</v>
      </c>
      <c r="AA21" s="15">
        <f si="7" t="shared"/>
        <v>-64.939421957019476</v>
      </c>
      <c r="AB21" s="15">
        <f si="7" t="shared"/>
        <v>212.98139798981902</v>
      </c>
      <c r="AC21" s="15">
        <f si="7" t="shared"/>
        <v>-285.41553977111744</v>
      </c>
      <c r="AD21" s="15">
        <f si="7" t="shared"/>
        <v>-8.4458494183722905</v>
      </c>
      <c r="AE21" s="15">
        <f si="7" t="shared"/>
        <v>0</v>
      </c>
      <c r="AG21" s="3">
        <f>$A$8</f>
        <v>3</v>
      </c>
      <c r="AH21" s="51">
        <f si="11" t="shared"/>
        <v>0.30947670007716771</v>
      </c>
      <c r="AI21" s="51">
        <f si="8" t="shared"/>
        <v>-9.6093524819158248E-3</v>
      </c>
      <c r="AJ21" s="51">
        <f si="8" t="shared"/>
        <v>2.0090654114070999E-2</v>
      </c>
      <c r="AK21" s="51">
        <f si="8" t="shared"/>
        <v>-5.9099395655782448E-2</v>
      </c>
      <c r="AL21" s="51">
        <f si="8" t="shared"/>
        <v>-3.4354425257609148E-3</v>
      </c>
      <c r="AM21" s="51">
        <f si="8" t="shared"/>
        <v>0</v>
      </c>
    </row>
    <row r="22" spans="1:39" x14ac:dyDescent="0.25">
      <c r="A22" s="3">
        <f>$A$9</f>
        <v>4</v>
      </c>
      <c r="B22" s="4">
        <f si="4" t="shared"/>
        <v>2985.5642928753077</v>
      </c>
      <c r="C22" s="4">
        <f si="4" t="shared"/>
        <v>32965.608558249653</v>
      </c>
      <c r="D22" s="4">
        <f si="4" t="shared"/>
        <v>43642.784549054479</v>
      </c>
      <c r="E22" s="4">
        <f si="4" t="shared"/>
        <v>19333.04927868877</v>
      </c>
      <c r="F22" s="4">
        <f si="4" t="shared"/>
        <v>7746.9933211317848</v>
      </c>
      <c r="G22" s="4">
        <f si="4" t="shared"/>
        <v>106673.99999999999</v>
      </c>
      <c r="I22" s="3">
        <v>4</v>
      </c>
      <c r="J22" s="4">
        <f si="5" t="shared"/>
        <v>5900.1800529567527</v>
      </c>
      <c r="K22" s="4">
        <f si="5" t="shared"/>
        <v>24461.53675450763</v>
      </c>
      <c r="L22" s="4">
        <f si="5" t="shared"/>
        <v>44789.360736351031</v>
      </c>
      <c r="M22" s="4">
        <f si="5" t="shared"/>
        <v>20825.483545580635</v>
      </c>
      <c r="N22" s="4">
        <f si="5" t="shared"/>
        <v>10697.43891060396</v>
      </c>
      <c r="O22" s="4">
        <f si="5" t="shared"/>
        <v>106674</v>
      </c>
      <c r="Q22" s="3">
        <v>4</v>
      </c>
      <c r="R22" s="4">
        <f si="6" t="shared"/>
        <v>2785</v>
      </c>
      <c r="S22" s="4">
        <f si="6" t="shared"/>
        <v>28957</v>
      </c>
      <c r="T22" s="4">
        <f si="6" t="shared"/>
        <v>43459</v>
      </c>
      <c r="U22" s="4">
        <f si="6" t="shared"/>
        <v>19399</v>
      </c>
      <c r="V22" s="4">
        <f si="6" t="shared"/>
        <v>12074</v>
      </c>
      <c r="W22" s="4">
        <f si="9" t="shared"/>
        <v>106674</v>
      </c>
      <c r="Y22" s="3">
        <f>$A$9</f>
        <v>4</v>
      </c>
      <c r="Z22" s="15">
        <f si="10" t="shared"/>
        <v>-200.56429287530773</v>
      </c>
      <c r="AA22" s="15">
        <f si="7" t="shared"/>
        <v>-4008.6085582496526</v>
      </c>
      <c r="AB22" s="15">
        <f si="7" t="shared"/>
        <v>-183.7845490544787</v>
      </c>
      <c r="AC22" s="15">
        <f si="7" t="shared"/>
        <v>65.950721311230154</v>
      </c>
      <c r="AD22" s="15">
        <f si="7" t="shared"/>
        <v>4327.0066788682152</v>
      </c>
      <c r="AE22" s="15">
        <f si="7" t="shared"/>
        <v>0</v>
      </c>
      <c r="AG22" s="3">
        <f>$A$9</f>
        <v>4</v>
      </c>
      <c r="AH22" s="51">
        <f si="11" t="shared"/>
        <v>-6.7178018357846273E-2</v>
      </c>
      <c r="AI22" s="51">
        <f si="8" t="shared"/>
        <v>-0.12159971356714108</v>
      </c>
      <c r="AJ22" s="51">
        <f si="8" t="shared"/>
        <v>-4.2111096015861431E-3</v>
      </c>
      <c r="AK22" s="51">
        <f si="8" t="shared"/>
        <v>3.4112943261324553E-3</v>
      </c>
      <c r="AL22" s="51">
        <f si="8" t="shared"/>
        <v>0.55854013286228932</v>
      </c>
      <c r="AM22" s="51">
        <f si="8" t="shared"/>
        <v>1.3641482674660041E-16</v>
      </c>
    </row>
    <row r="23" spans="1:39" x14ac:dyDescent="0.25">
      <c r="A23" s="14">
        <f>$A$10</f>
        <v>5</v>
      </c>
      <c r="B23" s="15">
        <f si="4" t="shared"/>
        <v>1226.4344642888605</v>
      </c>
      <c r="C23" s="15">
        <f si="4" t="shared"/>
        <v>19429.77137138438</v>
      </c>
      <c r="D23" s="15">
        <f si="4" t="shared"/>
        <v>24989.720370530984</v>
      </c>
      <c r="E23" s="15">
        <f si="4" t="shared"/>
        <v>14230.171908589555</v>
      </c>
      <c r="F23" s="15">
        <f si="4" t="shared"/>
        <v>4741.901885206219</v>
      </c>
      <c r="G23" s="15">
        <f si="4" t="shared"/>
        <v>64618</v>
      </c>
      <c r="I23" s="3">
        <v>5</v>
      </c>
      <c r="J23" s="4">
        <f si="5" t="shared"/>
        <v>4874.5605659129342</v>
      </c>
      <c r="K23" s="4">
        <f si="5" t="shared"/>
        <v>26303.841340003248</v>
      </c>
      <c r="L23" s="4">
        <f si="5" t="shared"/>
        <v>23479.841482590495</v>
      </c>
      <c r="M23" s="4">
        <f si="5" t="shared"/>
        <v>7386.3182784966548</v>
      </c>
      <c r="N23" s="4">
        <f si="5" t="shared"/>
        <v>2573.438332996669</v>
      </c>
      <c r="O23" s="4">
        <f si="5" t="shared"/>
        <v>64618</v>
      </c>
      <c r="Q23" s="3">
        <v>5</v>
      </c>
      <c r="R23" s="4">
        <f si="6" t="shared"/>
        <v>1396</v>
      </c>
      <c r="S23" s="4">
        <f si="6" t="shared"/>
        <v>18409</v>
      </c>
      <c r="T23" s="4">
        <f si="6" t="shared"/>
        <v>26834</v>
      </c>
      <c r="U23" s="4">
        <f si="6" t="shared"/>
        <v>11190</v>
      </c>
      <c r="V23" s="4">
        <f si="6" t="shared"/>
        <v>6789</v>
      </c>
      <c r="W23" s="4">
        <f si="9" t="shared"/>
        <v>64618</v>
      </c>
      <c r="Y23" s="3">
        <f>$A$10</f>
        <v>5</v>
      </c>
      <c r="Z23" s="15">
        <f si="10" t="shared"/>
        <v>169.56553571113955</v>
      </c>
      <c r="AA23" s="15">
        <f si="7" t="shared"/>
        <v>-1020.7713713843805</v>
      </c>
      <c r="AB23" s="15">
        <f si="7" t="shared"/>
        <v>1844.2796294690161</v>
      </c>
      <c r="AC23" s="15">
        <f si="7" t="shared"/>
        <v>-3040.1719085895547</v>
      </c>
      <c r="AD23" s="15">
        <f si="7" t="shared"/>
        <v>2047.098114793781</v>
      </c>
      <c r="AE23" s="15">
        <f si="7" t="shared"/>
        <v>0</v>
      </c>
      <c r="AG23" s="3">
        <f>$A$10</f>
        <v>5</v>
      </c>
      <c r="AH23" s="51">
        <f si="11" t="shared"/>
        <v>0.13825894546225179</v>
      </c>
      <c r="AI23" s="51">
        <f si="8" t="shared"/>
        <v>-5.2536458194651935E-2</v>
      </c>
      <c r="AJ23" s="51">
        <f si="8" t="shared"/>
        <v>7.380153127459059E-2</v>
      </c>
      <c r="AK23" s="51">
        <f si="8" t="shared"/>
        <v>-0.21364266912014318</v>
      </c>
      <c r="AL23" s="51">
        <f si="8" t="shared"/>
        <v>0.43170402179351614</v>
      </c>
      <c r="AM23" s="51">
        <f si="8" t="shared"/>
        <v>0</v>
      </c>
    </row>
    <row r="24" spans="1:39" x14ac:dyDescent="0.25">
      <c r="A24" s="14">
        <f>$A$11</f>
        <v>6</v>
      </c>
      <c r="B24" s="15">
        <f si="4" t="shared"/>
        <v>824.20876829323947</v>
      </c>
      <c r="C24" s="15">
        <f si="4" t="shared"/>
        <v>15835.382423289273</v>
      </c>
      <c r="D24" s="15">
        <f si="4" t="shared"/>
        <v>35904.289227222151</v>
      </c>
      <c r="E24" s="15">
        <f si="4" t="shared"/>
        <v>14695.307772526978</v>
      </c>
      <c r="F24" s="15">
        <f si="4" t="shared"/>
        <v>5936.8118086683517</v>
      </c>
      <c r="G24" s="15">
        <f si="4" t="shared"/>
        <v>73196</v>
      </c>
      <c r="I24" s="14">
        <v>6</v>
      </c>
      <c r="J24" s="15">
        <f si="5" t="shared"/>
        <v>3281.0807371239566</v>
      </c>
      <c r="K24" s="15">
        <f si="5" t="shared"/>
        <v>21618.702031816036</v>
      </c>
      <c r="L24" s="15">
        <f si="5" t="shared"/>
        <v>29817.945251220666</v>
      </c>
      <c r="M24" s="15">
        <f si="5" t="shared"/>
        <v>12718.511135611907</v>
      </c>
      <c r="N24" s="15">
        <f si="5" t="shared"/>
        <v>5759.7608442274377</v>
      </c>
      <c r="O24" s="15">
        <f si="5" t="shared"/>
        <v>73196</v>
      </c>
      <c r="Q24" s="14">
        <v>6</v>
      </c>
      <c r="R24" s="15">
        <f si="6" t="shared"/>
        <v>1271</v>
      </c>
      <c r="S24" s="15">
        <f si="6" t="shared"/>
        <v>15383</v>
      </c>
      <c r="T24" s="15">
        <f si="6" t="shared"/>
        <v>33044</v>
      </c>
      <c r="U24" s="15">
        <f si="6" t="shared"/>
        <v>15300</v>
      </c>
      <c r="V24" s="15">
        <f si="6" t="shared"/>
        <v>8198</v>
      </c>
      <c r="W24" s="15">
        <f si="9" t="shared"/>
        <v>73196</v>
      </c>
      <c r="Y24" s="14">
        <f>$A$11</f>
        <v>6</v>
      </c>
      <c r="Z24" s="15">
        <f si="10" t="shared"/>
        <v>446.79123170676053</v>
      </c>
      <c r="AA24" s="15">
        <f si="7" t="shared"/>
        <v>-452.38242328927299</v>
      </c>
      <c r="AB24" s="15">
        <f si="7" t="shared"/>
        <v>-2860.2892272221507</v>
      </c>
      <c r="AC24" s="15">
        <f si="7" t="shared"/>
        <v>604.69222747302229</v>
      </c>
      <c r="AD24" s="15">
        <f si="7" t="shared"/>
        <v>2261.1881913316483</v>
      </c>
      <c r="AE24" s="15">
        <f si="7" t="shared"/>
        <v>0</v>
      </c>
      <c r="AG24" s="14">
        <f>$A$11</f>
        <v>6</v>
      </c>
      <c r="AH24" s="51">
        <f si="11" t="shared"/>
        <v>0.54208502614206577</v>
      </c>
      <c r="AI24" s="51">
        <f si="8" t="shared"/>
        <v>-2.8567824331412996E-2</v>
      </c>
      <c r="AJ24" s="51">
        <f si="8" t="shared"/>
        <v>-7.96642765748867E-2</v>
      </c>
      <c r="AK24" s="51">
        <f si="8" t="shared"/>
        <v>4.1148660295737417E-2</v>
      </c>
      <c r="AL24" s="51">
        <f si="8" t="shared"/>
        <v>0.38087584114256118</v>
      </c>
      <c r="AM24" s="51">
        <f si="8" t="shared"/>
        <v>0</v>
      </c>
    </row>
    <row r="25" spans="1:39" x14ac:dyDescent="0.25">
      <c r="A25" s="14">
        <v>7</v>
      </c>
      <c r="B25" s="15">
        <f>($W12/$G12)*B12</f>
        <v>1861.9627461389216</v>
      </c>
      <c r="C25" s="15">
        <f ref="C25:G25" si="12" t="shared">($W12/$G12)*C12</f>
        <v>10785.998905897875</v>
      </c>
      <c r="D25" s="15">
        <f si="12" t="shared"/>
        <v>20565.885289389327</v>
      </c>
      <c r="E25" s="15">
        <f si="12" t="shared"/>
        <v>10271.033490760095</v>
      </c>
      <c r="F25" s="15">
        <f si="12" t="shared"/>
        <v>3716.1195678137728</v>
      </c>
      <c r="G25" s="15">
        <f si="12" t="shared"/>
        <v>47201</v>
      </c>
      <c r="I25" s="14">
        <v>7</v>
      </c>
      <c r="J25" s="15">
        <f>($W12/$O12)*J12</f>
        <v>1655.7736590572767</v>
      </c>
      <c r="K25" s="15">
        <f ref="K25:O25" si="13" t="shared">($W12/$O12)*K12</f>
        <v>10588.477887484536</v>
      </c>
      <c r="L25" s="15">
        <f si="13" t="shared"/>
        <v>20147.53632857039</v>
      </c>
      <c r="M25" s="15">
        <f si="13" t="shared"/>
        <v>10609.089177846245</v>
      </c>
      <c r="N25" s="15">
        <f si="13" t="shared"/>
        <v>4200.1229470415565</v>
      </c>
      <c r="O25" s="15">
        <f si="13" t="shared"/>
        <v>47201.000000000007</v>
      </c>
      <c r="Q25" s="14">
        <v>7</v>
      </c>
      <c r="R25" s="15">
        <f>R12</f>
        <v>1039</v>
      </c>
      <c r="S25" s="15">
        <f ref="S25:W25" si="14" t="shared">S12</f>
        <v>12857</v>
      </c>
      <c r="T25" s="15">
        <f si="14" t="shared"/>
        <v>20151</v>
      </c>
      <c r="U25" s="15">
        <f si="14" t="shared"/>
        <v>8520</v>
      </c>
      <c r="V25" s="15">
        <f si="14" t="shared"/>
        <v>4634</v>
      </c>
      <c r="W25" s="15">
        <f si="14" t="shared"/>
        <v>47201</v>
      </c>
      <c r="Y25" s="14">
        <v>7</v>
      </c>
      <c r="Z25" s="15">
        <f si="10" t="shared"/>
        <v>-822.9627461389216</v>
      </c>
      <c r="AA25" s="15">
        <f si="7" t="shared"/>
        <v>2071.0010941021246</v>
      </c>
      <c r="AB25" s="15">
        <f si="7" t="shared"/>
        <v>-414.88528938932723</v>
      </c>
      <c r="AC25" s="15">
        <f si="7" t="shared"/>
        <v>-1751.0334907600954</v>
      </c>
      <c r="AD25" s="15">
        <f si="7" t="shared"/>
        <v>917.88043218622715</v>
      </c>
      <c r="AE25" s="15">
        <f si="7" t="shared"/>
        <v>0</v>
      </c>
      <c r="AG25" s="14">
        <v>7</v>
      </c>
      <c r="AH25" s="51">
        <f si="11" t="shared"/>
        <v>-0.4419866873520788</v>
      </c>
      <c r="AI25" s="51">
        <f ref="AI25:AM25" si="15" t="shared">(S12-C25)/C25</f>
        <v>0.1920082796383081</v>
      </c>
      <c r="AJ25" s="51">
        <f si="15" t="shared"/>
        <v>-2.017347094721866E-2</v>
      </c>
      <c r="AK25" s="51">
        <f si="15" t="shared"/>
        <v>-0.17048269702706542</v>
      </c>
      <c r="AL25" s="51">
        <f si="15" t="shared"/>
        <v>0.2469997037060421</v>
      </c>
      <c r="AM25" s="51">
        <f si="15" t="shared"/>
        <v>0</v>
      </c>
    </row>
    <row ht="15.75" r="26" spans="1:39" thickBot="1" x14ac:dyDescent="0.3">
      <c r="A26" s="7" t="str">
        <f>$A$13</f>
        <v>Total</v>
      </c>
      <c r="B26" s="8">
        <f ref="B26:G26" si="16" t="shared">($W13/$G13)*B13</f>
        <v>0</v>
      </c>
      <c r="C26" s="8">
        <f si="16" t="shared"/>
        <v>0</v>
      </c>
      <c r="D26" s="8">
        <f si="16" t="shared"/>
        <v>0</v>
      </c>
      <c r="E26" s="8">
        <f si="16" t="shared"/>
        <v>0</v>
      </c>
      <c r="F26" s="8">
        <f si="16" t="shared"/>
        <v>0</v>
      </c>
      <c r="G26" s="8">
        <f si="16" t="shared"/>
        <v>600627</v>
      </c>
      <c r="I26" s="7" t="str">
        <f>$A$13</f>
        <v>Total</v>
      </c>
      <c r="J26" s="8">
        <f ref="J26:O26" si="17" t="shared">($W13/$O13)*J13</f>
        <v>31529.214136162816</v>
      </c>
      <c r="K26" s="8">
        <f si="17" t="shared"/>
        <v>194402.62283752376</v>
      </c>
      <c r="L26" s="8">
        <f si="17" t="shared"/>
        <v>242150.97200624569</v>
      </c>
      <c r="M26" s="8">
        <f si="17" t="shared"/>
        <v>95165.260595468353</v>
      </c>
      <c r="N26" s="8">
        <f si="17" t="shared"/>
        <v>37378.93042459945</v>
      </c>
      <c r="O26" s="8">
        <f si="17" t="shared"/>
        <v>600627.00000000012</v>
      </c>
      <c r="Q26" s="7" t="str">
        <f>$A$13</f>
        <v>Total</v>
      </c>
      <c r="R26" s="8">
        <f>SUM(R19:R25)</f>
        <v>29890</v>
      </c>
      <c r="S26" s="8">
        <f ref="S26:W26" si="18" t="shared">SUM(S19:S25)</f>
        <v>195870</v>
      </c>
      <c r="T26" s="8">
        <f si="18" t="shared"/>
        <v>247572</v>
      </c>
      <c r="U26" s="8">
        <f si="18" t="shared"/>
        <v>103182</v>
      </c>
      <c r="V26" s="8">
        <f si="18" t="shared"/>
        <v>57960</v>
      </c>
      <c r="W26" s="8">
        <f si="18" t="shared"/>
        <v>634474</v>
      </c>
      <c r="Y26" s="7" t="str">
        <f>$A$13</f>
        <v>Total</v>
      </c>
      <c r="Z26" s="8">
        <f ref="Z26" si="19" t="shared">R26-B26</f>
        <v>29890</v>
      </c>
      <c r="AA26" s="8">
        <f ref="AA26" si="20" t="shared">S26-C26</f>
        <v>195870</v>
      </c>
      <c r="AB26" s="8">
        <f ref="AB26" si="21" t="shared">T26-D26</f>
        <v>247572</v>
      </c>
      <c r="AC26" s="8">
        <f ref="AC26" si="22" t="shared">U26-E26</f>
        <v>103182</v>
      </c>
      <c r="AD26" s="8">
        <f ref="AD26" si="23" t="shared">V26-F26</f>
        <v>57960</v>
      </c>
      <c r="AE26" s="8">
        <f ref="AE26" si="24" t="shared">W26-G26</f>
        <v>33847</v>
      </c>
      <c r="AG26" s="7" t="str">
        <f>$A$13</f>
        <v>Total</v>
      </c>
      <c r="AH26" s="19" t="e">
        <f ref="AH26" si="25" t="shared">(R13-B26)/B26</f>
        <v>#DIV/0!</v>
      </c>
      <c r="AI26" s="19" t="e">
        <f ref="AI26:AM26" si="26" t="shared">(S13-C26)/C26</f>
        <v>#DIV/0!</v>
      </c>
      <c r="AJ26" s="19" t="e">
        <f si="26" t="shared"/>
        <v>#DIV/0!</v>
      </c>
      <c r="AK26" s="19" t="e">
        <f si="26" t="shared"/>
        <v>#DIV/0!</v>
      </c>
      <c r="AL26" s="19" t="e">
        <f si="26" t="shared"/>
        <v>#DIV/0!</v>
      </c>
      <c r="AM26" s="19">
        <f si="26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133</v>
      </c>
      <c r="I29" s="1" t="s">
        <v>17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>
        <f>$A$6</f>
        <v>1</v>
      </c>
      <c r="B32" s="17">
        <f ref="B32:G37" si="27" t="shared">B19/$G$26</f>
        <v>5.371665882362911E-2</v>
      </c>
      <c r="C32" s="17">
        <f si="27" t="shared"/>
        <v>0.18431186035969113</v>
      </c>
      <c r="D32" s="17">
        <f si="27" t="shared"/>
        <v>0.1650608352867457</v>
      </c>
      <c r="E32" s="17">
        <f si="27" t="shared"/>
        <v>5.220066281535473E-2</v>
      </c>
      <c r="F32" s="17">
        <f si="27" t="shared"/>
        <v>1.8106949550901984E-2</v>
      </c>
      <c r="G32" s="17">
        <f si="27" t="shared"/>
        <v>0.47339696683632271</v>
      </c>
      <c r="I32" s="3">
        <f>$A$6</f>
        <v>1</v>
      </c>
      <c r="J32" s="17">
        <f ref="J32:O37" si="28" t="shared">J19/$O$26</f>
        <v>9.9589974305651155E-3</v>
      </c>
      <c r="K32" s="17">
        <f si="28" t="shared"/>
        <v>9.6545474710908047E-2</v>
      </c>
      <c r="L32" s="17">
        <f si="28" t="shared"/>
        <v>0.2331314204601414</v>
      </c>
      <c r="M32" s="17">
        <f si="28" t="shared"/>
        <v>9.8620581399862309E-2</v>
      </c>
      <c r="N32" s="17">
        <f si="28" t="shared"/>
        <v>3.514049283484573E-2</v>
      </c>
      <c r="O32" s="17">
        <f si="28" t="shared"/>
        <v>0.4733969668363226</v>
      </c>
      <c r="Q32" s="3">
        <f>$A$6</f>
        <v>1</v>
      </c>
      <c r="R32" s="17">
        <f ref="R32:W37" si="29" t="shared">R6/$W$13</f>
        <v>3.6686662437752551E-2</v>
      </c>
      <c r="S32" s="17">
        <f si="29" t="shared"/>
        <v>0.17189203948540441</v>
      </c>
      <c r="T32" s="17">
        <f si="29" t="shared"/>
        <v>0.16587332903782215</v>
      </c>
      <c r="U32" s="17">
        <f si="29" t="shared"/>
        <v>6.4246196058452248E-2</v>
      </c>
      <c r="V32" s="17">
        <f si="29" t="shared"/>
        <v>3.4698739816891346E-2</v>
      </c>
      <c r="W32" s="17">
        <f si="29" t="shared"/>
        <v>0.47339696683632271</v>
      </c>
    </row>
    <row r="33" spans="1:23" x14ac:dyDescent="0.25">
      <c r="A33" s="3">
        <f>$A$7</f>
        <v>2</v>
      </c>
      <c r="B33" s="17">
        <f si="27" t="shared"/>
        <v>1.8510014483292471E-3</v>
      </c>
      <c r="C33" s="17">
        <f si="27" t="shared"/>
        <v>1.7533664222089882E-2</v>
      </c>
      <c r="D33" s="17">
        <f si="27" t="shared"/>
        <v>2.2440779579375462E-2</v>
      </c>
      <c r="E33" s="17">
        <f si="27" t="shared"/>
        <v>1.0036293321459486E-2</v>
      </c>
      <c r="F33" s="17">
        <f si="27" t="shared"/>
        <v>3.6336021310453587E-3</v>
      </c>
      <c r="G33" s="17">
        <f si="27" t="shared"/>
        <v>5.5495340702299431E-2</v>
      </c>
      <c r="I33" s="3">
        <f>$A$7</f>
        <v>2</v>
      </c>
      <c r="J33" s="17">
        <f si="28" t="shared"/>
        <v>1.7782692043587925E-3</v>
      </c>
      <c r="K33" s="17">
        <f si="28" t="shared"/>
        <v>1.5620403230717721E-2</v>
      </c>
      <c r="L33" s="17">
        <f si="28" t="shared"/>
        <v>2.4320039933082672E-2</v>
      </c>
      <c r="M33" s="17">
        <f si="28" t="shared"/>
        <v>9.5536145798214688E-3</v>
      </c>
      <c r="N33" s="17">
        <f si="28" t="shared"/>
        <v>4.2230137543187683E-3</v>
      </c>
      <c r="O33" s="17">
        <f si="28" t="shared"/>
        <v>5.5495340702299417E-2</v>
      </c>
      <c r="Q33" s="3">
        <f>$A$7</f>
        <v>2</v>
      </c>
      <c r="R33" s="17">
        <f si="29" t="shared"/>
        <v>1.2437003331518563E-3</v>
      </c>
      <c r="S33" s="17">
        <f si="29" t="shared"/>
        <v>1.7195364177767566E-2</v>
      </c>
      <c r="T33" s="17">
        <f si="29" t="shared"/>
        <v>2.2712931653089189E-2</v>
      </c>
      <c r="U33" s="17">
        <f si="29" t="shared"/>
        <v>9.3918521811373785E-3</v>
      </c>
      <c r="V33" s="17">
        <f si="29" t="shared"/>
        <v>4.9514923571534414E-3</v>
      </c>
      <c r="W33" s="17">
        <f si="29" t="shared"/>
        <v>5.5495340702299431E-2</v>
      </c>
    </row>
    <row r="34" spans="1:23" x14ac:dyDescent="0.25">
      <c r="A34" s="3">
        <f>$A$8</f>
        <v>3</v>
      </c>
      <c r="B34" s="17">
        <f si="27" t="shared"/>
        <v>7.8448119522317396E-4</v>
      </c>
      <c r="C34" s="17">
        <f si="27" t="shared"/>
        <v>1.1251474578993318E-2</v>
      </c>
      <c r="D34" s="17">
        <f si="27" t="shared"/>
        <v>1.7649920170105873E-2</v>
      </c>
      <c r="E34" s="17">
        <f si="27" t="shared"/>
        <v>8.0406234481152482E-3</v>
      </c>
      <c r="F34" s="17">
        <f si="27" t="shared"/>
        <v>4.0931324256458209E-3</v>
      </c>
      <c r="G34" s="17">
        <f si="27" t="shared"/>
        <v>4.1819631818083437E-2</v>
      </c>
      <c r="I34" s="3">
        <f>$A$8</f>
        <v>3</v>
      </c>
      <c r="J34" s="17">
        <f si="28" t="shared"/>
        <v>1.4618562792063179E-3</v>
      </c>
      <c r="K34" s="17">
        <f si="28" t="shared"/>
        <v>1.1822059842562247E-2</v>
      </c>
      <c r="L34" s="17">
        <f si="28" t="shared"/>
        <v>1.6663755951914324E-2</v>
      </c>
      <c r="M34" s="17">
        <f si="28" t="shared"/>
        <v>8.49844525392442E-3</v>
      </c>
      <c r="N34" s="17">
        <f si="28" t="shared"/>
        <v>3.3735144904761178E-3</v>
      </c>
      <c r="O34" s="17">
        <f si="28" t="shared"/>
        <v>4.181963181808343E-2</v>
      </c>
      <c r="Q34" s="3">
        <f>$A$8</f>
        <v>3</v>
      </c>
      <c r="R34" s="17">
        <f si="29" t="shared"/>
        <v>1.0272598467934342E-3</v>
      </c>
      <c r="S34" s="17">
        <f si="29" t="shared"/>
        <v>1.1143355193822455E-2</v>
      </c>
      <c r="T34" s="17">
        <f si="29" t="shared"/>
        <v>1.8004518611384437E-2</v>
      </c>
      <c r="U34" s="17">
        <f si="29" t="shared"/>
        <v>7.5654274616359235E-3</v>
      </c>
      <c r="V34" s="17">
        <f si="29" t="shared"/>
        <v>4.0790707044471861E-3</v>
      </c>
      <c r="W34" s="17">
        <f si="29" t="shared"/>
        <v>4.1819631818083437E-2</v>
      </c>
    </row>
    <row r="35" spans="1:23" x14ac:dyDescent="0.25">
      <c r="A35" s="14">
        <f>$A$9</f>
        <v>4</v>
      </c>
      <c r="B35" s="51">
        <f si="27" t="shared"/>
        <v>4.9707460584943863E-3</v>
      </c>
      <c r="C35" s="51">
        <f si="27" t="shared"/>
        <v>5.4885325764991673E-2</v>
      </c>
      <c r="D35" s="51">
        <f si="27" t="shared"/>
        <v>7.2662042414101402E-2</v>
      </c>
      <c r="E35" s="51">
        <f si="27" t="shared"/>
        <v>3.218811222054415E-2</v>
      </c>
      <c r="F35" s="51">
        <f si="27" t="shared"/>
        <v>1.2898176940317011E-2</v>
      </c>
      <c r="G35" s="51">
        <f si="27" t="shared"/>
        <v>0.1776044033984486</v>
      </c>
      <c r="H35" s="52"/>
      <c r="I35" s="14">
        <f>$A$9</f>
        <v>4</v>
      </c>
      <c r="J35" s="51">
        <f si="28" t="shared"/>
        <v>9.8233680020324617E-3</v>
      </c>
      <c r="K35" s="51">
        <f si="28" t="shared"/>
        <v>4.0726668555538838E-2</v>
      </c>
      <c r="L35" s="51">
        <f si="28" t="shared"/>
        <v>7.4571007857374083E-2</v>
      </c>
      <c r="M35" s="51">
        <f si="28" t="shared"/>
        <v>3.4672906055806064E-2</v>
      </c>
      <c r="N35" s="51">
        <f si="28" t="shared"/>
        <v>1.7810452927697153E-2</v>
      </c>
      <c r="O35" s="51">
        <f si="28" t="shared"/>
        <v>0.17760440339844857</v>
      </c>
      <c r="Q35" s="3">
        <f>$A$9</f>
        <v>4</v>
      </c>
      <c r="R35" s="17">
        <f si="29" t="shared"/>
        <v>4.6368211885246587E-3</v>
      </c>
      <c r="S35" s="17">
        <f si="29" t="shared"/>
        <v>4.8211285872929457E-2</v>
      </c>
      <c r="T35" s="17">
        <f si="29" t="shared"/>
        <v>7.2356054589620508E-2</v>
      </c>
      <c r="U35" s="17">
        <f si="29" t="shared"/>
        <v>3.2297915345131004E-2</v>
      </c>
      <c r="V35" s="17">
        <f si="29" t="shared"/>
        <v>2.0102326402242989E-2</v>
      </c>
      <c r="W35" s="17">
        <f si="29" t="shared"/>
        <v>0.17760440339844863</v>
      </c>
    </row>
    <row r="36" spans="1:23" x14ac:dyDescent="0.25">
      <c r="A36" s="14">
        <f>$A$10</f>
        <v>5</v>
      </c>
      <c r="B36" s="51">
        <f si="27" t="shared"/>
        <v>2.0419236302877835E-3</v>
      </c>
      <c r="C36" s="51">
        <f si="27" t="shared"/>
        <v>3.2349147426579856E-2</v>
      </c>
      <c r="D36" s="51">
        <f si="27" t="shared"/>
        <v>4.1606055622759187E-2</v>
      </c>
      <c r="E36" s="51">
        <f si="27" t="shared"/>
        <v>2.3692194837377532E-2</v>
      </c>
      <c r="F36" s="51">
        <f si="27" t="shared"/>
        <v>7.8949196176765594E-3</v>
      </c>
      <c r="G36" s="51">
        <f si="27" t="shared"/>
        <v>0.10758424113468093</v>
      </c>
      <c r="H36" s="52"/>
      <c r="I36" s="14">
        <f>$A$10</f>
        <v>5</v>
      </c>
      <c r="J36" s="51">
        <f si="28" t="shared"/>
        <v>8.115786612844466E-3</v>
      </c>
      <c r="K36" s="51">
        <f si="28" t="shared"/>
        <v>4.3793970867115936E-2</v>
      </c>
      <c r="L36" s="51">
        <f si="28" t="shared"/>
        <v>3.9092217770081081E-2</v>
      </c>
      <c r="M36" s="51">
        <f si="28" t="shared"/>
        <v>1.2297679389199375E-2</v>
      </c>
      <c r="N36" s="51">
        <f si="28" t="shared"/>
        <v>4.2845864954400457E-3</v>
      </c>
      <c r="O36" s="51">
        <f si="28" t="shared"/>
        <v>0.1075842411346809</v>
      </c>
      <c r="Q36" s="3">
        <f>$A$10</f>
        <v>5</v>
      </c>
      <c r="R36" s="17">
        <f si="29" t="shared"/>
        <v>2.3242378381258251E-3</v>
      </c>
      <c r="S36" s="17">
        <f si="29" t="shared"/>
        <v>3.0649637795170714E-2</v>
      </c>
      <c r="T36" s="17">
        <f si="29" t="shared"/>
        <v>4.4676646238014608E-2</v>
      </c>
      <c r="U36" s="17">
        <f si="29" t="shared"/>
        <v>1.8630531095005717E-2</v>
      </c>
      <c r="V36" s="17">
        <f si="29" t="shared"/>
        <v>1.1303188168364059E-2</v>
      </c>
      <c r="W36" s="17">
        <f si="29" t="shared"/>
        <v>0.10758424113468093</v>
      </c>
    </row>
    <row r="37" spans="1:23" x14ac:dyDescent="0.25">
      <c r="A37" s="14">
        <f>$A$11</f>
        <v>6</v>
      </c>
      <c r="B37" s="51">
        <f si="27" t="shared"/>
        <v>1.3722472820789598E-3</v>
      </c>
      <c r="C37" s="51">
        <f si="27" t="shared"/>
        <v>2.6364752872064148E-2</v>
      </c>
      <c r="D37" s="51">
        <f si="27" t="shared"/>
        <v>5.9778014020718598E-2</v>
      </c>
      <c r="E37" s="51">
        <f si="27" t="shared"/>
        <v>2.4466612011326459E-2</v>
      </c>
      <c r="F37" s="51">
        <f si="27" t="shared"/>
        <v>9.884357194512321E-3</v>
      </c>
      <c r="G37" s="51">
        <f si="27" t="shared"/>
        <v>0.1218659833807005</v>
      </c>
      <c r="H37" s="52"/>
      <c r="I37" s="14">
        <f>$A$11</f>
        <v>6</v>
      </c>
      <c r="J37" s="51">
        <f si="28" t="shared"/>
        <v>5.4627593117258398E-3</v>
      </c>
      <c r="K37" s="51">
        <f si="28" t="shared"/>
        <v>3.5993556786185155E-2</v>
      </c>
      <c r="L37" s="51">
        <f si="28" t="shared"/>
        <v>4.9644696710638481E-2</v>
      </c>
      <c r="M37" s="51">
        <f si="28" t="shared"/>
        <v>2.1175390276514217E-2</v>
      </c>
      <c r="N37" s="51">
        <f si="28" t="shared"/>
        <v>9.5895802956367879E-3</v>
      </c>
      <c r="O37" s="51">
        <f si="28" t="shared"/>
        <v>0.12186598338070048</v>
      </c>
      <c r="Q37" s="14">
        <f>$A$11</f>
        <v>6</v>
      </c>
      <c r="R37" s="51">
        <f si="29" t="shared"/>
        <v>2.1161219858581116E-3</v>
      </c>
      <c r="S37" s="51">
        <f si="29" t="shared"/>
        <v>2.5611569243473901E-2</v>
      </c>
      <c r="T37" s="51">
        <f si="29" t="shared"/>
        <v>5.5015841778674621E-2</v>
      </c>
      <c r="U37" s="51">
        <f si="29" t="shared"/>
        <v>2.5473380317568142E-2</v>
      </c>
      <c r="V37" s="51">
        <f si="29" t="shared"/>
        <v>1.3649070055125726E-2</v>
      </c>
      <c r="W37" s="51">
        <f si="29" t="shared"/>
        <v>0.1218659833807005</v>
      </c>
    </row>
    <row r="38" spans="1:23" x14ac:dyDescent="0.25">
      <c r="A38" s="14">
        <v>7</v>
      </c>
      <c r="B38" s="51">
        <f>B25/$G$26</f>
        <v>3.1000317104274725E-3</v>
      </c>
      <c r="C38" s="51">
        <f ref="C38:G38" si="30" t="shared">C25/$G$26</f>
        <v>1.7957898838876499E-2</v>
      </c>
      <c r="D38" s="51">
        <f si="30" t="shared"/>
        <v>3.4240693957130343E-2</v>
      </c>
      <c r="E38" s="51">
        <f si="30" t="shared"/>
        <v>1.7100519108798132E-2</v>
      </c>
      <c r="F38" s="51">
        <f si="30" t="shared"/>
        <v>6.1870671278743258E-3</v>
      </c>
      <c r="G38" s="51">
        <f si="30" t="shared"/>
        <v>7.8586210743106788E-2</v>
      </c>
      <c r="H38" s="52"/>
      <c r="I38" s="14">
        <v>7</v>
      </c>
      <c r="J38" s="51">
        <f>J25/$O$26</f>
        <v>2.7567419697370854E-3</v>
      </c>
      <c r="K38" s="51">
        <f ref="K38:O38" si="31" t="shared">K25/$O$26</f>
        <v>1.7629040798173467E-2</v>
      </c>
      <c r="L38" s="51">
        <f si="31" t="shared"/>
        <v>3.3544173552921171E-2</v>
      </c>
      <c r="M38" s="51">
        <f si="31" t="shared"/>
        <v>1.766335708825318E-2</v>
      </c>
      <c r="N38" s="51">
        <f si="31" t="shared"/>
        <v>6.9928973340218732E-3</v>
      </c>
      <c r="O38" s="51">
        <f si="31" t="shared"/>
        <v>7.8586210743106788E-2</v>
      </c>
      <c r="Q38" s="14">
        <v>7</v>
      </c>
      <c r="R38" s="51">
        <f>R12/$W$13</f>
        <v>1.7298589640492353E-3</v>
      </c>
      <c r="S38" s="51">
        <f ref="S38:W38" si="32" t="shared">S12/$W$13</f>
        <v>2.1405964100847948E-2</v>
      </c>
      <c r="T38" s="51">
        <f si="32" t="shared"/>
        <v>3.3549940312373572E-2</v>
      </c>
      <c r="U38" s="51">
        <f si="32" t="shared"/>
        <v>1.4185176490567357E-2</v>
      </c>
      <c r="V38" s="51">
        <f si="32" t="shared"/>
        <v>7.7152708752686776E-3</v>
      </c>
      <c r="W38" s="51">
        <f si="32" t="shared"/>
        <v>7.8586210743106788E-2</v>
      </c>
    </row>
    <row ht="15.75" r="39" spans="1:23" thickBot="1" x14ac:dyDescent="0.3">
      <c r="A39" s="7" t="str">
        <f>$A$13</f>
        <v>Total</v>
      </c>
      <c r="B39" s="19">
        <f>B26/$G$26</f>
        <v>0</v>
      </c>
      <c r="C39" s="19">
        <f>C26/$G$26</f>
        <v>0</v>
      </c>
      <c r="D39" s="19">
        <f>D26/$G$26</f>
        <v>0</v>
      </c>
      <c r="E39" s="19">
        <f>E26/$G$26</f>
        <v>0</v>
      </c>
      <c r="F39" s="19">
        <f>F26/$G$26</f>
        <v>0</v>
      </c>
      <c r="G39" s="19">
        <f>G26/$G$26</f>
        <v>1</v>
      </c>
      <c r="H39" s="52"/>
      <c r="I39" s="7" t="str">
        <f>$A$13</f>
        <v>Total</v>
      </c>
      <c r="J39" s="19">
        <f>J26/$O$26</f>
        <v>5.2493834170230125E-2</v>
      </c>
      <c r="K39" s="19">
        <f>K26/$O$26</f>
        <v>0.32366614027928103</v>
      </c>
      <c r="L39" s="19">
        <f>L26/$O$26</f>
        <v>0.40316364733228049</v>
      </c>
      <c r="M39" s="19">
        <f>M26/$O$26</f>
        <v>0.1584431945208396</v>
      </c>
      <c r="N39" s="19">
        <f>N26/$O$26</f>
        <v>6.2233183697368653E-2</v>
      </c>
      <c r="O39" s="19">
        <f>O26/$O$26</f>
        <v>1</v>
      </c>
      <c r="Q39" s="7" t="str">
        <f>$A$13</f>
        <v>Total</v>
      </c>
      <c r="R39" s="19">
        <f>R13/$W$13</f>
        <v>0</v>
      </c>
      <c r="S39" s="19">
        <f>S13/$W$13</f>
        <v>0</v>
      </c>
      <c r="T39" s="19">
        <f>T13/$W$13</f>
        <v>0</v>
      </c>
      <c r="U39" s="19">
        <f>U13/$W$13</f>
        <v>0</v>
      </c>
      <c r="V39" s="19">
        <f>V13/$W$13</f>
        <v>0</v>
      </c>
      <c r="W39" s="19">
        <f>W13/$W$13</f>
        <v>1</v>
      </c>
    </row>
    <row r="40" spans="1:23" x14ac:dyDescent="0.25">
      <c r="A40" s="14"/>
      <c r="B40" s="17"/>
      <c r="C40" s="51"/>
      <c r="D40" s="51"/>
      <c r="E40" s="51"/>
      <c r="F40" s="51"/>
      <c r="G40" s="51"/>
      <c r="I40" s="14"/>
      <c r="J40" s="51"/>
      <c r="K40" s="51"/>
      <c r="L40" s="51"/>
      <c r="M40" s="51"/>
      <c r="N40" s="51"/>
      <c r="O40" s="51"/>
      <c r="Q40" s="14"/>
      <c r="R40" s="51"/>
      <c r="S40" s="51"/>
      <c r="T40" s="51"/>
      <c r="U40" s="51"/>
      <c r="V40" s="51"/>
      <c r="W40" s="51"/>
    </row>
    <row r="42" spans="1:23" x14ac:dyDescent="0.25">
      <c r="Q42" s="1" t="s">
        <v>18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>
        <f>$A$6</f>
        <v>1</v>
      </c>
      <c r="R45" s="17">
        <f ref="R45:W50" si="33" t="shared">R32-B32</f>
        <v>-1.7029996385876559E-2</v>
      </c>
      <c r="S45" s="17">
        <f si="33" t="shared"/>
        <v>-1.2419820874286724E-2</v>
      </c>
      <c r="T45" s="17">
        <f si="33" t="shared"/>
        <v>8.124937510764485E-4</v>
      </c>
      <c r="U45" s="17">
        <f si="33" t="shared"/>
        <v>1.2045533243097518E-2</v>
      </c>
      <c r="V45" s="17">
        <f si="33" t="shared"/>
        <v>1.6591790265989361E-2</v>
      </c>
      <c r="W45" s="17">
        <f si="33" t="shared"/>
        <v>0</v>
      </c>
    </row>
    <row r="46" spans="1:23" x14ac:dyDescent="0.25">
      <c r="Q46" s="3">
        <f>$A$7</f>
        <v>2</v>
      </c>
      <c r="R46" s="17">
        <f si="33" t="shared"/>
        <v>-6.0730111517739082E-4</v>
      </c>
      <c r="S46" s="17">
        <f si="33" t="shared"/>
        <v>-3.3830004432231636E-4</v>
      </c>
      <c r="T46" s="17">
        <f si="33" t="shared"/>
        <v>2.7215207371372729E-4</v>
      </c>
      <c r="U46" s="17">
        <f si="33" t="shared"/>
        <v>-6.4444114032210717E-4</v>
      </c>
      <c r="V46" s="17">
        <f si="33" t="shared"/>
        <v>1.3178902261080827E-3</v>
      </c>
      <c r="W46" s="17">
        <f si="33" t="shared"/>
        <v>0</v>
      </c>
    </row>
    <row r="47" spans="1:23" x14ac:dyDescent="0.25">
      <c r="Q47" s="3">
        <f>$A$8</f>
        <v>3</v>
      </c>
      <c r="R47" s="17">
        <f si="33" t="shared"/>
        <v>2.4277865157026023E-4</v>
      </c>
      <c r="S47" s="17">
        <f si="33" t="shared"/>
        <v>-1.0811938517086249E-4</v>
      </c>
      <c r="T47" s="17">
        <f si="33" t="shared"/>
        <v>3.5459844127856341E-4</v>
      </c>
      <c r="U47" s="17">
        <f si="33" t="shared"/>
        <v>-4.7519598647932475E-4</v>
      </c>
      <c r="V47" s="17">
        <f si="33" t="shared"/>
        <v>-1.4061721198634775E-5</v>
      </c>
      <c r="W47" s="17">
        <f si="33" t="shared"/>
        <v>0</v>
      </c>
    </row>
    <row r="48" spans="1:23" x14ac:dyDescent="0.25">
      <c r="Q48" s="3">
        <f>$A$9</f>
        <v>4</v>
      </c>
      <c r="R48" s="17">
        <f si="33" t="shared"/>
        <v>-3.3392486996972753E-4</v>
      </c>
      <c r="S48" s="17">
        <f si="33" t="shared"/>
        <v>-6.6740398920622154E-3</v>
      </c>
      <c r="T48" s="17">
        <f si="33" t="shared"/>
        <v>-3.059878244808939E-4</v>
      </c>
      <c r="U48" s="17">
        <f si="33" t="shared"/>
        <v>1.0980312458685332E-4</v>
      </c>
      <c r="V48" s="17">
        <f si="33" t="shared"/>
        <v>7.2041494619259783E-3</v>
      </c>
      <c r="W48" s="17">
        <f si="33" t="shared"/>
        <v>0</v>
      </c>
    </row>
    <row r="49" spans="17:23" x14ac:dyDescent="0.25">
      <c r="Q49" s="3">
        <f>$A$10</f>
        <v>5</v>
      </c>
      <c r="R49" s="17">
        <f si="33" t="shared"/>
        <v>2.8231420783804157E-4</v>
      </c>
      <c r="S49" s="17">
        <f si="33" t="shared"/>
        <v>-1.6995096314091421E-3</v>
      </c>
      <c r="T49" s="17">
        <f si="33" t="shared"/>
        <v>3.070590615255421E-3</v>
      </c>
      <c r="U49" s="17">
        <f si="33" t="shared"/>
        <v>-5.0616637423718143E-3</v>
      </c>
      <c r="V49" s="17">
        <f si="33" t="shared"/>
        <v>3.4082685506874998E-3</v>
      </c>
      <c r="W49" s="17">
        <f si="33" t="shared"/>
        <v>0</v>
      </c>
    </row>
    <row r="50" spans="17:23" x14ac:dyDescent="0.25">
      <c r="Q50" s="14">
        <f>$A$11</f>
        <v>6</v>
      </c>
      <c r="R50" s="51">
        <f si="33" t="shared"/>
        <v>7.4387470377915176E-4</v>
      </c>
      <c r="S50" s="51">
        <f si="33" t="shared"/>
        <v>-7.5318362859024685E-4</v>
      </c>
      <c r="T50" s="51">
        <f si="33" t="shared"/>
        <v>-4.7621722420439772E-3</v>
      </c>
      <c r="U50" s="51">
        <f si="33" t="shared"/>
        <v>1.006768306241683E-3</v>
      </c>
      <c r="V50" s="51">
        <f si="33" t="shared"/>
        <v>3.7647128606134051E-3</v>
      </c>
      <c r="W50" s="51">
        <f si="33" t="shared"/>
        <v>0</v>
      </c>
    </row>
    <row r="51" spans="17:23" x14ac:dyDescent="0.25">
      <c r="Q51" s="14">
        <v>7</v>
      </c>
      <c r="R51" s="51">
        <f>R38-B38</f>
        <v>-1.3701727463782372E-3</v>
      </c>
      <c r="S51" s="51">
        <f ref="S51:W51" si="34" t="shared">S38-C38</f>
        <v>3.4480652619714482E-3</v>
      </c>
      <c r="T51" s="51">
        <f si="34" t="shared"/>
        <v>-6.9075364475677109E-4</v>
      </c>
      <c r="U51" s="51">
        <f si="34" t="shared"/>
        <v>-2.9153426182307752E-3</v>
      </c>
      <c r="V51" s="51">
        <f si="34" t="shared"/>
        <v>1.5282037473943518E-3</v>
      </c>
      <c r="W51" s="51">
        <f si="34" t="shared"/>
        <v>0</v>
      </c>
    </row>
    <row ht="15.75" r="52" spans="17:23" thickBot="1" x14ac:dyDescent="0.3">
      <c r="Q52" s="7" t="str">
        <f>$A$13</f>
        <v>Total</v>
      </c>
      <c r="R52" s="19">
        <f ref="R52" si="35" t="shared">R39-B39</f>
        <v>0</v>
      </c>
      <c r="S52" s="19">
        <f ref="S52" si="36" t="shared">S39-C39</f>
        <v>0</v>
      </c>
      <c r="T52" s="19">
        <f ref="T52" si="37" t="shared">T39-D39</f>
        <v>0</v>
      </c>
      <c r="U52" s="19">
        <f ref="U52" si="38" t="shared">U39-E39</f>
        <v>0</v>
      </c>
      <c r="V52" s="19">
        <f ref="V52" si="39" t="shared">V39-F39</f>
        <v>0</v>
      </c>
      <c r="W52" s="19">
        <f ref="W52" si="40" t="shared">W39-G39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O6:O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topLeftCell="O1" workbookViewId="0">
      <selection activeCell="AI24" sqref="AI24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 s="77">
        <v>15261</v>
      </c>
      <c r="K6" s="77">
        <v>37966</v>
      </c>
      <c r="L6" s="77">
        <v>11436</v>
      </c>
      <c r="M6" s="77">
        <v>2334</v>
      </c>
      <c r="N6" s="77">
        <v>742</v>
      </c>
      <c r="O6" s="4">
        <f>SUM(J6:N6)</f>
        <v>67739</v>
      </c>
      <c r="Q6" s="3" t="s">
        <v>6</v>
      </c>
      <c r="R6" s="30" t="n">
        <v>19206.0</v>
      </c>
      <c r="S6" s="34" t="n">
        <v>40016.0</v>
      </c>
      <c r="T6" s="38" t="n">
        <v>7385.0</v>
      </c>
      <c r="U6" s="42" t="n">
        <v>1107.0</v>
      </c>
      <c r="V6" s="46" t="n">
        <v>179.0</v>
      </c>
      <c r="W6" s="4">
        <f>SUM(R6:V6)</f>
        <v>67803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ref="G7:G10" si="0" t="shared">SUM(B7:F7)</f>
        <v>207649.99965378255</v>
      </c>
      <c r="I7" s="3" t="s">
        <v>7</v>
      </c>
      <c r="J7" s="77">
        <v>13393</v>
      </c>
      <c r="K7" s="77">
        <v>110568</v>
      </c>
      <c r="L7" s="77">
        <v>79055</v>
      </c>
      <c r="M7" s="77">
        <v>21691</v>
      </c>
      <c r="N7" s="77">
        <v>7144</v>
      </c>
      <c r="O7" s="4">
        <f ref="O7:O8" si="1" t="shared">SUM(J7:N7)</f>
        <v>231851</v>
      </c>
      <c r="Q7" s="3" t="s">
        <v>7</v>
      </c>
      <c r="R7" s="31" t="n">
        <v>7286.0</v>
      </c>
      <c r="S7" s="35" t="n">
        <v>104262.0</v>
      </c>
      <c r="T7" s="39" t="n">
        <v>59268.0</v>
      </c>
      <c r="U7" s="43" t="n">
        <v>18062.0</v>
      </c>
      <c r="V7" s="47" t="n">
        <v>7384.0</v>
      </c>
      <c r="W7" s="4">
        <f ref="W7:W10" si="2" t="shared">SUM(R7:V7)</f>
        <v>196410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si="0" t="shared"/>
        <v>115751.0008955641</v>
      </c>
      <c r="I8" s="3" t="s">
        <v>8</v>
      </c>
      <c r="J8" s="77">
        <v>2169</v>
      </c>
      <c r="K8" s="77">
        <v>37431</v>
      </c>
      <c r="L8" s="77">
        <v>63974</v>
      </c>
      <c r="M8" s="77">
        <v>24030</v>
      </c>
      <c r="N8" s="77">
        <v>8893</v>
      </c>
      <c r="O8" s="4">
        <f si="1" t="shared"/>
        <v>136497</v>
      </c>
      <c r="Q8" s="3" t="s">
        <v>8</v>
      </c>
      <c r="R8" s="32" t="n">
        <v>1114.0</v>
      </c>
      <c r="S8" s="36" t="n">
        <v>24920.0</v>
      </c>
      <c r="T8" s="40" t="n">
        <v>61087.0</v>
      </c>
      <c r="U8" s="44" t="n">
        <v>22810.0</v>
      </c>
      <c r="V8" s="48" t="n">
        <v>10531.0</v>
      </c>
      <c r="W8" s="4">
        <f si="2" t="shared"/>
        <v>120564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si="0" t="shared"/>
        <v>189214.00156438368</v>
      </c>
      <c r="I9" s="5" t="s">
        <v>9</v>
      </c>
      <c r="J9" s="77">
        <v>2477</v>
      </c>
      <c r="K9" s="77">
        <v>30049</v>
      </c>
      <c r="L9" s="77">
        <v>126273</v>
      </c>
      <c r="M9" s="77">
        <v>64525</v>
      </c>
      <c r="N9" s="77">
        <v>35831</v>
      </c>
      <c r="O9" s="4">
        <f>SUM(J9:N9)</f>
        <v>259155</v>
      </c>
      <c r="Q9" s="5" t="s">
        <v>9</v>
      </c>
      <c r="R9" s="33" t="n">
        <v>2038.0</v>
      </c>
      <c r="S9" s="37" t="n">
        <v>26115.0</v>
      </c>
      <c r="T9" s="41" t="n">
        <v>120525.0</v>
      </c>
      <c r="U9" s="45" t="n">
        <v>61462.0</v>
      </c>
      <c r="V9" s="49" t="n">
        <v>39541.0</v>
      </c>
      <c r="W9" s="6">
        <f si="2" t="shared"/>
        <v>249697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3" t="shared">SUM(C6:C9)</f>
        <v>197023.34040452749</v>
      </c>
      <c r="D10" s="8">
        <f si="3" t="shared"/>
        <v>234277.96929287829</v>
      </c>
      <c r="E10" s="8">
        <f si="3" t="shared"/>
        <v>94743.17907114212</v>
      </c>
      <c r="F10" s="8">
        <f si="3" t="shared"/>
        <v>35381.666897843919</v>
      </c>
      <c r="G10" s="8">
        <f si="0" t="shared"/>
        <v>600627.00260849809</v>
      </c>
      <c r="I10" s="7" t="s">
        <v>4</v>
      </c>
      <c r="J10" s="8">
        <f>SUM(J6:J9)</f>
        <v>33300</v>
      </c>
      <c r="K10" s="8">
        <f ref="K10:N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>SUM(J10:N10)</f>
        <v>695242</v>
      </c>
      <c r="Q10" s="7" t="s">
        <v>4</v>
      </c>
      <c r="R10" s="8">
        <f>SUM(R6:R9)</f>
        <v>29890</v>
      </c>
      <c r="S10" s="8">
        <f ref="S10" si="5" t="shared">SUM(S6:S9)</f>
        <v>195870</v>
      </c>
      <c r="T10" s="8">
        <f ref="T10" si="6" t="shared">SUM(T6:T9)</f>
        <v>247572</v>
      </c>
      <c r="U10" s="8">
        <f ref="U10" si="7" t="shared">SUM(U6:U9)</f>
        <v>103182</v>
      </c>
      <c r="V10" s="8">
        <f ref="V10" si="8" t="shared">SUM(V6:V9)</f>
        <v>57960</v>
      </c>
      <c r="W10" s="8">
        <f si="2" t="shared"/>
        <v>634474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19611.700787146005</v>
      </c>
      <c r="C16" s="4">
        <f si="9" t="shared"/>
        <v>32455.785398624528</v>
      </c>
      <c r="D16" s="4">
        <f si="9" t="shared"/>
        <v>10269.201226681213</v>
      </c>
      <c r="E16" s="4">
        <f si="9" t="shared"/>
        <v>3798.2552332310202</v>
      </c>
      <c r="F16" s="4">
        <f si="9" t="shared"/>
        <v>1668.0573543172325</v>
      </c>
      <c r="G16" s="4">
        <f si="9" t="shared"/>
        <v>67803</v>
      </c>
      <c r="I16" s="3" t="s">
        <v>6</v>
      </c>
      <c r="J16" s="97">
        <f>($W6/$O6)*J6</f>
        <v>15275.418636236143</v>
      </c>
      <c r="K16" s="97">
        <f ref="K16:N16" si="10" t="shared">($W6/$O6)*K6</f>
        <v>38001.87038485954</v>
      </c>
      <c r="L16" s="97">
        <f si="10" t="shared"/>
        <v>11446.804765349356</v>
      </c>
      <c r="M16" s="97">
        <f si="10" t="shared"/>
        <v>2336.2051698430746</v>
      </c>
      <c r="N16" s="97">
        <f si="10" t="shared"/>
        <v>742.70104371189427</v>
      </c>
      <c r="O16" s="4">
        <f>SUM(J16:N16)</f>
        <v>67803</v>
      </c>
      <c r="Q16" s="3" t="s">
        <v>6</v>
      </c>
      <c r="R16" s="4">
        <f ref="R16:V19" si="11" t="shared">R6</f>
        <v>19178</v>
      </c>
      <c r="S16" s="4">
        <f si="11" t="shared"/>
        <v>39992</v>
      </c>
      <c r="T16" s="4">
        <f si="11" t="shared"/>
        <v>7341</v>
      </c>
      <c r="U16" s="4">
        <f si="11" t="shared"/>
        <v>1102</v>
      </c>
      <c r="V16" s="4">
        <f si="11" t="shared"/>
        <v>190</v>
      </c>
      <c r="W16" s="4">
        <f>SUM(R16:V16)</f>
        <v>67803</v>
      </c>
      <c r="Y16" s="3" t="s">
        <v>6</v>
      </c>
      <c r="Z16" s="4">
        <f>R16-J16</f>
        <v>3902.5813637638566</v>
      </c>
      <c r="AA16" s="4">
        <f ref="AA16:AA20" si="12" t="shared">S16-K16</f>
        <v>1990.1296151404604</v>
      </c>
      <c r="AB16" s="4">
        <f ref="AB16:AB20" si="13" t="shared">T16-L16</f>
        <v>-4105.8047653493559</v>
      </c>
      <c r="AC16" s="4">
        <f ref="AC16:AC20" si="14" t="shared">U16-M16</f>
        <v>-1234.2051698430746</v>
      </c>
      <c r="AD16" s="4">
        <f ref="AD16:AD20" si="15" t="shared">V16-N16</f>
        <v>-552.70104371189427</v>
      </c>
      <c r="AE16" s="4">
        <f ref="AE16:AE20" si="16" t="shared">W16-O16</f>
        <v>0</v>
      </c>
      <c r="AG16" s="3" t="s">
        <v>6</v>
      </c>
      <c r="AH16" s="17">
        <f>Z16/J16</f>
        <v>0.25548113977748571</v>
      </c>
      <c r="AI16" s="17">
        <f ref="AI16:AI20" si="17" t="shared">AA16/K16</f>
        <v>5.2369254328422606E-2</v>
      </c>
      <c r="AJ16" s="17">
        <f ref="AJ16:AJ20" si="18" t="shared">AB16/L16</f>
        <v>-0.35868566377388084</v>
      </c>
      <c r="AK16" s="17">
        <f ref="AK16:AK20" si="19" t="shared">AC16/M16</f>
        <v>-0.52829485431109524</v>
      </c>
      <c r="AL16" s="17">
        <f ref="AL16:AL20" si="20" t="shared">AD16/N16</f>
        <v>-0.74417701225999078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11327.032971986302</v>
      </c>
      <c r="C17" s="4">
        <f si="9" t="shared"/>
        <v>102324.88331132728</v>
      </c>
      <c r="D17" s="4">
        <f si="9" t="shared"/>
        <v>60224.267170900341</v>
      </c>
      <c r="E17" s="4">
        <f si="9" t="shared"/>
        <v>16826.168194221696</v>
      </c>
      <c r="F17" s="4">
        <f si="9" t="shared"/>
        <v>5707.6483515643849</v>
      </c>
      <c r="G17" s="4">
        <f si="9" t="shared"/>
        <v>196410</v>
      </c>
      <c r="I17" s="3" t="s">
        <v>7</v>
      </c>
      <c r="J17" s="15">
        <f ref="J17:N17" si="22" t="shared">($W7/$O7)*J7</f>
        <v>11345.731223932613</v>
      </c>
      <c r="K17" s="15">
        <f si="22" t="shared"/>
        <v>93666.45336875839</v>
      </c>
      <c r="L17" s="15">
        <f si="22" t="shared"/>
        <v>66970.56536309958</v>
      </c>
      <c r="M17" s="15">
        <f si="22" t="shared"/>
        <v>18375.28977662378</v>
      </c>
      <c r="N17" s="15">
        <f si="22" t="shared"/>
        <v>6051.9602675856477</v>
      </c>
      <c r="O17" s="4">
        <f ref="O17:O19" si="23" t="shared">SUM(J17:N17)</f>
        <v>196410</v>
      </c>
      <c r="Q17" s="3" t="s">
        <v>7</v>
      </c>
      <c r="R17" s="4">
        <f si="11" t="shared"/>
        <v>7411</v>
      </c>
      <c r="S17" s="4">
        <f si="11" t="shared"/>
        <v>104625</v>
      </c>
      <c r="T17" s="4">
        <f si="11" t="shared"/>
        <v>59142</v>
      </c>
      <c r="U17" s="4">
        <f si="11" t="shared"/>
        <v>18016</v>
      </c>
      <c r="V17" s="4">
        <f si="11" t="shared"/>
        <v>7216</v>
      </c>
      <c r="W17" s="4">
        <f ref="W17:W20" si="24" t="shared">SUM(R17:V17)</f>
        <v>196410</v>
      </c>
      <c r="Y17" s="3" t="s">
        <v>7</v>
      </c>
      <c r="Z17" s="4">
        <f ref="Z17:Z20" si="25" t="shared">R17-J17</f>
        <v>-3934.7312239326129</v>
      </c>
      <c r="AA17" s="4">
        <f si="12" t="shared"/>
        <v>10958.54663124161</v>
      </c>
      <c r="AB17" s="4">
        <f si="13" t="shared"/>
        <v>-7828.5653630995803</v>
      </c>
      <c r="AC17" s="4">
        <f si="14" t="shared"/>
        <v>-359.2897766237802</v>
      </c>
      <c r="AD17" s="4">
        <f si="15" t="shared"/>
        <v>1164.0397324143523</v>
      </c>
      <c r="AE17" s="4">
        <f si="16" t="shared"/>
        <v>0</v>
      </c>
      <c r="AG17" s="3" t="s">
        <v>7</v>
      </c>
      <c r="AH17" s="17">
        <f ref="AH17:AH20" si="26" t="shared">Z17/J17</f>
        <v>-0.34680278831501982</v>
      </c>
      <c r="AI17" s="17">
        <f si="17" t="shared"/>
        <v>0.11699542618634833</v>
      </c>
      <c r="AJ17" s="17">
        <f si="18" t="shared"/>
        <v>-0.11689561407544989</v>
      </c>
      <c r="AK17" s="17">
        <f si="19" t="shared"/>
        <v>-1.955287677045793E-2</v>
      </c>
      <c r="AL17" s="17">
        <f si="20" t="shared"/>
        <v>0.19234094094255036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1581.8717295899271</v>
      </c>
      <c r="C18" s="4">
        <f si="9" t="shared"/>
        <v>27698.636891749713</v>
      </c>
      <c r="D18" s="4">
        <f si="9" t="shared"/>
        <v>66922.691696060778</v>
      </c>
      <c r="E18" s="4">
        <f si="9" t="shared"/>
        <v>17965.237262123446</v>
      </c>
      <c r="F18" s="4">
        <f si="9" t="shared"/>
        <v>6395.5624204761289</v>
      </c>
      <c r="G18" s="4">
        <f si="9" t="shared"/>
        <v>120564.00000000001</v>
      </c>
      <c r="I18" s="3" t="s">
        <v>8</v>
      </c>
      <c r="J18" s="15">
        <f ref="J18:N18" si="27" t="shared">($W8/$O8)*J8</f>
        <v>1915.8173146662564</v>
      </c>
      <c r="K18" s="15">
        <f si="27" t="shared"/>
        <v>33061.760214510206</v>
      </c>
      <c r="L18" s="15">
        <f si="27" t="shared"/>
        <v>56506.453152816539</v>
      </c>
      <c r="M18" s="15">
        <f si="27" t="shared"/>
        <v>21225.030000659353</v>
      </c>
      <c r="N18" s="15">
        <f si="27" t="shared"/>
        <v>7854.9393173476337</v>
      </c>
      <c r="O18" s="4">
        <f si="23" t="shared"/>
        <v>120563.99999999997</v>
      </c>
      <c r="Q18" s="3" t="s">
        <v>8</v>
      </c>
      <c r="R18" s="4">
        <f si="11" t="shared"/>
        <v>1177</v>
      </c>
      <c r="S18" s="4">
        <f si="11" t="shared"/>
        <v>25029</v>
      </c>
      <c r="T18" s="4">
        <f si="11" t="shared"/>
        <v>60875</v>
      </c>
      <c r="U18" s="4">
        <f si="11" t="shared"/>
        <v>22842</v>
      </c>
      <c r="V18" s="4">
        <f si="11" t="shared"/>
        <v>10641</v>
      </c>
      <c r="W18" s="4">
        <f si="24" t="shared"/>
        <v>120564</v>
      </c>
      <c r="Y18" s="3" t="s">
        <v>8</v>
      </c>
      <c r="Z18" s="4">
        <f si="25" t="shared"/>
        <v>-738.81731466625638</v>
      </c>
      <c r="AA18" s="4">
        <f si="12" t="shared"/>
        <v>-8032.7602145102064</v>
      </c>
      <c r="AB18" s="4">
        <f si="13" t="shared"/>
        <v>4368.5468471834611</v>
      </c>
      <c r="AC18" s="4">
        <f si="14" t="shared"/>
        <v>1616.9699993406466</v>
      </c>
      <c r="AD18" s="4">
        <f si="15" t="shared"/>
        <v>2786.0606826523663</v>
      </c>
      <c r="AE18" s="4">
        <f si="16" t="shared"/>
        <v>0</v>
      </c>
      <c r="AG18" s="3" t="s">
        <v>8</v>
      </c>
      <c r="AH18" s="17">
        <f si="26" t="shared"/>
        <v>-0.38564079623372727</v>
      </c>
      <c r="AI18" s="17">
        <f si="17" t="shared"/>
        <v>-0.24296226705391125</v>
      </c>
      <c r="AJ18" s="17">
        <f si="18" t="shared"/>
        <v>7.7310583188952342E-2</v>
      </c>
      <c r="AK18" s="17">
        <f si="19" t="shared"/>
        <v>7.6182224443989741E-2</v>
      </c>
      <c r="AL18" s="17">
        <f si="20" t="shared"/>
        <v>0.3546890141467231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329.67234111353264</v>
      </c>
      <c r="C19" s="4">
        <f si="9" t="shared"/>
        <v>26551.98616030308</v>
      </c>
      <c r="D19" s="4">
        <f si="9" t="shared"/>
        <v>122762.33548338184</v>
      </c>
      <c r="E19" s="4">
        <f si="9" t="shared"/>
        <v>72284.968292097852</v>
      </c>
      <c r="F19" s="4">
        <f si="9" t="shared"/>
        <v>27768.037723103691</v>
      </c>
      <c r="G19" s="6">
        <f si="9" t="shared"/>
        <v>249697</v>
      </c>
      <c r="I19" s="5" t="s">
        <v>9</v>
      </c>
      <c r="J19" s="6">
        <f ref="J19:N19" si="28" t="shared">($W9/$O9)*J9</f>
        <v>2386.6005633694122</v>
      </c>
      <c r="K19" s="6">
        <f si="28" t="shared"/>
        <v>28952.345712025621</v>
      </c>
      <c r="L19" s="6">
        <f si="28" t="shared"/>
        <v>121664.59949065231</v>
      </c>
      <c r="M19" s="6">
        <f si="28" t="shared"/>
        <v>62170.125696976713</v>
      </c>
      <c r="N19" s="6">
        <f si="28" t="shared"/>
        <v>34523.32853697594</v>
      </c>
      <c r="O19" s="4">
        <f si="23" t="shared"/>
        <v>249697</v>
      </c>
      <c r="Q19" s="5" t="s">
        <v>9</v>
      </c>
      <c r="R19" s="4">
        <f si="11" t="shared"/>
        <v>2124</v>
      </c>
      <c r="S19" s="4">
        <f si="11" t="shared"/>
        <v>26224</v>
      </c>
      <c r="T19" s="4">
        <f si="11" t="shared"/>
        <v>120214</v>
      </c>
      <c r="U19" s="4">
        <f si="11" t="shared"/>
        <v>61222</v>
      </c>
      <c r="V19" s="4">
        <f si="11" t="shared"/>
        <v>39913</v>
      </c>
      <c r="W19" s="6">
        <f si="24" t="shared"/>
        <v>249697</v>
      </c>
      <c r="Y19" s="5" t="s">
        <v>9</v>
      </c>
      <c r="Z19" s="4">
        <f si="25" t="shared"/>
        <v>-262.60056336941216</v>
      </c>
      <c r="AA19" s="4">
        <f si="12" t="shared"/>
        <v>-2728.3457120256207</v>
      </c>
      <c r="AB19" s="4">
        <f si="13" t="shared"/>
        <v>-1450.5994906523119</v>
      </c>
      <c r="AC19" s="4">
        <f si="14" t="shared"/>
        <v>-948.12569697671279</v>
      </c>
      <c r="AD19" s="4">
        <f si="15" t="shared"/>
        <v>5389.6714630240604</v>
      </c>
      <c r="AE19" s="6">
        <f si="16" t="shared"/>
        <v>0</v>
      </c>
      <c r="AG19" s="5" t="s">
        <v>9</v>
      </c>
      <c r="AH19" s="17">
        <f si="26" t="shared"/>
        <v>-0.11003121653448017</v>
      </c>
      <c r="AI19" s="17">
        <f si="17" t="shared"/>
        <v>-9.42357396241085E-2</v>
      </c>
      <c r="AJ19" s="17">
        <f si="18" t="shared"/>
        <v>-1.1922938116142517E-2</v>
      </c>
      <c r="AK19" s="17">
        <f si="19" t="shared"/>
        <v>-1.5250503137117181E-2</v>
      </c>
      <c r="AL19" s="17">
        <f si="20" t="shared"/>
        <v>0.15611679671186673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41409.923387939969</v>
      </c>
      <c r="C20" s="8">
        <f si="9" t="shared"/>
        <v>208126.15206596689</v>
      </c>
      <c r="D20" s="8">
        <f si="9" t="shared"/>
        <v>247480.18261513062</v>
      </c>
      <c r="E20" s="8">
        <f si="9" t="shared"/>
        <v>100082.21997499204</v>
      </c>
      <c r="F20" s="8">
        <f si="9" t="shared"/>
        <v>37375.521955970413</v>
      </c>
      <c r="G20" s="8">
        <f si="9" t="shared"/>
        <v>634474</v>
      </c>
      <c r="I20" s="7" t="s">
        <v>4</v>
      </c>
      <c r="J20" s="8">
        <f>SUM(J16:J19)</f>
        <v>30923.567738204423</v>
      </c>
      <c r="K20" s="8">
        <f ref="K20:O20" si="29" t="shared">SUM(K16:K19)</f>
        <v>193682.42968015376</v>
      </c>
      <c r="L20" s="8">
        <f si="29" t="shared"/>
        <v>256588.42277191777</v>
      </c>
      <c r="M20" s="8">
        <f si="29" t="shared"/>
        <v>104106.65064410292</v>
      </c>
      <c r="N20" s="8">
        <f si="29" t="shared"/>
        <v>49172.929165621113</v>
      </c>
      <c r="O20" s="8">
        <f si="29" t="shared"/>
        <v>634474</v>
      </c>
      <c r="Q20" s="7" t="s">
        <v>4</v>
      </c>
      <c r="R20" s="8">
        <f>SUM(R16:R19)</f>
        <v>29890</v>
      </c>
      <c r="S20" s="8">
        <f ref="S20:V20" si="30" t="shared">SUM(S16:S19)</f>
        <v>195870</v>
      </c>
      <c r="T20" s="8">
        <f si="30" t="shared"/>
        <v>247572</v>
      </c>
      <c r="U20" s="8">
        <f si="30" t="shared"/>
        <v>103182</v>
      </c>
      <c r="V20" s="8">
        <f si="30" t="shared"/>
        <v>57960</v>
      </c>
      <c r="W20" s="8">
        <f si="24" t="shared"/>
        <v>634474</v>
      </c>
      <c r="Y20" s="7" t="s">
        <v>4</v>
      </c>
      <c r="Z20" s="8">
        <f si="25" t="shared"/>
        <v>-1033.5677382044232</v>
      </c>
      <c r="AA20" s="8">
        <f si="12" t="shared"/>
        <v>2187.5703198462434</v>
      </c>
      <c r="AB20" s="8">
        <f si="13" t="shared"/>
        <v>-9016.4227719177725</v>
      </c>
      <c r="AC20" s="8">
        <f si="14" t="shared"/>
        <v>-924.65064410291961</v>
      </c>
      <c r="AD20" s="8">
        <f si="15" t="shared"/>
        <v>8787.0708343788865</v>
      </c>
      <c r="AE20" s="8">
        <f si="16" t="shared"/>
        <v>0</v>
      </c>
      <c r="AG20" s="7" t="s">
        <v>4</v>
      </c>
      <c r="AH20" s="19">
        <f si="26" t="shared"/>
        <v>-3.3423301830969046E-2</v>
      </c>
      <c r="AI20" s="19">
        <f si="17" t="shared"/>
        <v>1.1294624522517539E-2</v>
      </c>
      <c r="AJ20" s="19">
        <f si="18" t="shared"/>
        <v>-3.513963207892859E-2</v>
      </c>
      <c r="AK20" s="19">
        <f si="19" t="shared"/>
        <v>-8.8817634452952807E-3</v>
      </c>
      <c r="AL20" s="19">
        <f si="20" t="shared"/>
        <v>0.17869732357783358</v>
      </c>
      <c r="AM20" s="19">
        <f si="21" t="shared"/>
        <v>0</v>
      </c>
    </row>
    <row r="22" spans="1:39" x14ac:dyDescent="0.25">
      <c r="Y22" s="67" t="s">
        <v>187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3.0910172500600505E-2</v>
      </c>
      <c r="C25" s="17">
        <f ref="C25:G25" si="31" t="shared">C16/$G$20</f>
        <v>5.1153846175926089E-2</v>
      </c>
      <c r="D25" s="17">
        <f si="31" t="shared"/>
        <v>1.6185377535850504E-2</v>
      </c>
      <c r="E25" s="17">
        <f si="31" t="shared"/>
        <v>5.986463169855692E-3</v>
      </c>
      <c r="F25" s="17">
        <f si="31" t="shared"/>
        <v>2.6290397310484472E-3</v>
      </c>
      <c r="G25" s="17">
        <f si="31" t="shared"/>
        <v>0.10686489911328123</v>
      </c>
      <c r="I25" s="3" t="s">
        <v>6</v>
      </c>
      <c r="J25" s="17">
        <f>J16/$O$20</f>
        <v>2.4075720417599686E-2</v>
      </c>
      <c r="K25" s="17">
        <f ref="K25:O25" si="32" t="shared">K16/$O$20</f>
        <v>5.9895079049511156E-2</v>
      </c>
      <c r="L25" s="17">
        <f si="32" t="shared"/>
        <v>1.8041408734399449E-2</v>
      </c>
      <c r="M25" s="17">
        <f si="32" t="shared"/>
        <v>3.6821133251213993E-3</v>
      </c>
      <c r="N25" s="17">
        <f si="32" t="shared"/>
        <v>1.1705775866495622E-3</v>
      </c>
      <c r="O25" s="17">
        <f si="32" t="shared"/>
        <v>0.10686489911328123</v>
      </c>
      <c r="Q25" s="3" t="s">
        <v>6</v>
      </c>
      <c r="R25" s="17">
        <f ref="R25:W29" si="33" t="shared">R6/$W$10</f>
        <v>3.022661291085214E-2</v>
      </c>
      <c r="S25" s="17">
        <f si="33" t="shared"/>
        <v>6.3031739677275975E-2</v>
      </c>
      <c r="T25" s="17">
        <f si="33" t="shared"/>
        <v>1.157021406708549E-2</v>
      </c>
      <c r="U25" s="17">
        <f si="33" t="shared"/>
        <v>1.7368718024694471E-3</v>
      </c>
      <c r="V25" s="17">
        <f si="33" t="shared"/>
        <v>2.9946065559818054E-4</v>
      </c>
      <c r="W25" s="17">
        <f si="33" t="shared"/>
        <v>0.10686489911328123</v>
      </c>
      <c r="Y25" s="3" t="s">
        <v>6</v>
      </c>
      <c r="Z25" s="17">
        <f ref="Z25:AE29" si="34" t="shared">R25-J25</f>
        <v>6.1508924932524543E-3</v>
      </c>
      <c r="AA25" s="17">
        <f si="34" t="shared"/>
        <v>3.1366606277648187E-3</v>
      </c>
      <c r="AB25" s="17">
        <f si="34" t="shared"/>
        <v>-6.4711946673139589E-3</v>
      </c>
      <c r="AC25" s="17">
        <f si="34" t="shared"/>
        <v>-1.9452415226519522E-3</v>
      </c>
      <c r="AD25" s="17">
        <f si="34" t="shared"/>
        <v>-8.7111693105138162E-4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1.7852635367227501E-2</v>
      </c>
      <c r="C26" s="17">
        <f si="35" t="shared"/>
        <v>0.1612751402127231</v>
      </c>
      <c r="D26" s="17">
        <f si="35" t="shared"/>
        <v>9.4919992262725253E-2</v>
      </c>
      <c r="E26" s="17">
        <f si="35" t="shared"/>
        <v>2.6519870308667804E-2</v>
      </c>
      <c r="F26" s="17">
        <f si="35" t="shared"/>
        <v>8.9958743014912912E-3</v>
      </c>
      <c r="G26" s="17">
        <f si="35" t="shared"/>
        <v>0.30956351245283492</v>
      </c>
      <c r="I26" s="3" t="s">
        <v>7</v>
      </c>
      <c r="J26" s="17">
        <f ref="J26:O26" si="36" t="shared">J17/$O$20</f>
        <v>1.7882105845050567E-2</v>
      </c>
      <c r="K26" s="17">
        <f si="36" t="shared"/>
        <v>0.14762851333349891</v>
      </c>
      <c r="L26" s="17">
        <f si="36" t="shared"/>
        <v>0.1055528916284979</v>
      </c>
      <c r="M26" s="17">
        <f si="36" t="shared"/>
        <v>2.8961454333233168E-2</v>
      </c>
      <c r="N26" s="17">
        <f si="36" t="shared"/>
        <v>9.5385473125544108E-3</v>
      </c>
      <c r="O26" s="17">
        <f si="36" t="shared"/>
        <v>0.30956351245283492</v>
      </c>
      <c r="Q26" s="3" t="s">
        <v>7</v>
      </c>
      <c r="R26" s="17">
        <f si="33" t="shared"/>
        <v>1.1680541677042716E-2</v>
      </c>
      <c r="S26" s="17">
        <f si="33" t="shared"/>
        <v>0.16490037416820863</v>
      </c>
      <c r="T26" s="17">
        <f si="33" t="shared"/>
        <v>9.3214221544145229E-2</v>
      </c>
      <c r="U26" s="17">
        <f si="33" t="shared"/>
        <v>2.8395174585562212E-2</v>
      </c>
      <c r="V26" s="17">
        <f si="33" t="shared"/>
        <v>1.1373200477876162E-2</v>
      </c>
      <c r="W26" s="17">
        <f si="33" t="shared"/>
        <v>0.30956351245283492</v>
      </c>
      <c r="Y26" s="3" t="s">
        <v>7</v>
      </c>
      <c r="Z26" s="17">
        <f si="34" t="shared"/>
        <v>-6.2015641680078504E-3</v>
      </c>
      <c r="AA26" s="17">
        <f si="34" t="shared"/>
        <v>1.7271860834709718E-2</v>
      </c>
      <c r="AB26" s="17">
        <f si="34" t="shared"/>
        <v>-1.2338670084352674E-2</v>
      </c>
      <c r="AC26" s="17">
        <f si="34" t="shared"/>
        <v>-5.6627974767095579E-4</v>
      </c>
      <c r="AD26" s="17">
        <f si="34" t="shared"/>
        <v>1.8346531653217514E-3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2.493201816922249E-3</v>
      </c>
      <c r="C27" s="17">
        <f si="37" t="shared"/>
        <v>4.3656062961996416E-2</v>
      </c>
      <c r="D27" s="17">
        <f si="37" t="shared"/>
        <v>0.10547743752472249</v>
      </c>
      <c r="E27" s="17">
        <f si="37" t="shared"/>
        <v>2.8315166992064995E-2</v>
      </c>
      <c r="F27" s="17">
        <f si="37" t="shared"/>
        <v>1.0080101659762463E-2</v>
      </c>
      <c r="G27" s="17">
        <f si="37" t="shared"/>
        <v>0.19002197095546866</v>
      </c>
      <c r="I27" s="3" t="s">
        <v>8</v>
      </c>
      <c r="J27" s="17">
        <f ref="J27:O27" si="38" t="shared">J18/$O$20</f>
        <v>3.0195363634542257E-3</v>
      </c>
      <c r="K27" s="17">
        <f si="38" t="shared"/>
        <v>5.2108928363510887E-2</v>
      </c>
      <c r="L27" s="17">
        <f si="38" t="shared"/>
        <v>8.9060313193001672E-2</v>
      </c>
      <c r="M27" s="17">
        <f si="38" t="shared"/>
        <v>3.3452954732044737E-2</v>
      </c>
      <c r="N27" s="17">
        <f si="38" t="shared"/>
        <v>1.2380238303457089E-2</v>
      </c>
      <c r="O27" s="17">
        <f si="38" t="shared"/>
        <v>0.19002197095546858</v>
      </c>
      <c r="Q27" s="3" t="s">
        <v>8</v>
      </c>
      <c r="R27" s="17">
        <f si="33" t="shared"/>
        <v>1.8550799559950448E-3</v>
      </c>
      <c r="S27" s="17">
        <f si="33" t="shared"/>
        <v>3.9448424994562428E-2</v>
      </c>
      <c r="T27" s="17">
        <f si="33" t="shared"/>
        <v>9.594561794494337E-2</v>
      </c>
      <c r="U27" s="17">
        <f si="33" t="shared"/>
        <v>3.6001475237756E-2</v>
      </c>
      <c r="V27" s="17">
        <f si="33" t="shared"/>
        <v>1.6771372822211784E-2</v>
      </c>
      <c r="W27" s="17">
        <f si="33" t="shared"/>
        <v>0.19002197095546863</v>
      </c>
      <c r="Y27" s="3" t="s">
        <v>8</v>
      </c>
      <c r="Z27" s="17">
        <f si="34" t="shared"/>
        <v>-1.1644564074591809E-3</v>
      </c>
      <c r="AA27" s="17">
        <f si="34" t="shared"/>
        <v>-1.2660503368948459E-2</v>
      </c>
      <c r="AB27" s="17">
        <f si="34" t="shared"/>
        <v>6.8853047519416982E-3</v>
      </c>
      <c r="AC27" s="17">
        <f si="34" t="shared"/>
        <v>2.5485205057112631E-3</v>
      </c>
      <c r="AD27" s="17">
        <f si="34" t="shared"/>
        <v>4.3911345187546951E-3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5.1959944948655522E-4</v>
      </c>
      <c r="C28" s="18">
        <f si="39" t="shared"/>
        <v>4.1848816752621983E-2</v>
      </c>
      <c r="D28" s="18">
        <f si="39" t="shared"/>
        <v>0.1934867866664069</v>
      </c>
      <c r="E28" s="18">
        <f si="39" t="shared"/>
        <v>0.11392896839287008</v>
      </c>
      <c r="F28" s="18">
        <f si="39" t="shared"/>
        <v>4.3765446217029685E-2</v>
      </c>
      <c r="G28" s="18">
        <f si="39" t="shared"/>
        <v>0.39354961747841521</v>
      </c>
      <c r="I28" s="5" t="s">
        <v>9</v>
      </c>
      <c r="J28" s="18">
        <f ref="J28:O28" si="40" t="shared">J19/$O$20</f>
        <v>3.7615419439873221E-3</v>
      </c>
      <c r="K28" s="18">
        <f si="40" t="shared"/>
        <v>4.5632044358044022E-2</v>
      </c>
      <c r="L28" s="18">
        <f si="40" t="shared"/>
        <v>0.1917566354029516</v>
      </c>
      <c r="M28" s="18">
        <f si="40" t="shared"/>
        <v>9.7986876841252304E-2</v>
      </c>
      <c r="N28" s="18">
        <f si="40" t="shared"/>
        <v>5.4412518932179944E-2</v>
      </c>
      <c r="O28" s="18">
        <f si="40" t="shared"/>
        <v>0.39354961747841521</v>
      </c>
      <c r="Q28" s="5" t="s">
        <v>9</v>
      </c>
      <c r="R28" s="18">
        <f si="33" t="shared"/>
        <v>3.3476549078449236E-3</v>
      </c>
      <c r="S28" s="18">
        <f si="33" t="shared"/>
        <v>4.1331874907403615E-2</v>
      </c>
      <c r="T28" s="18">
        <f si="33" t="shared"/>
        <v>0.18947033290568249</v>
      </c>
      <c r="U28" s="18">
        <f si="33" t="shared"/>
        <v>9.6492527668588471E-2</v>
      </c>
      <c r="V28" s="18">
        <f si="33" t="shared"/>
        <v>6.2907227088895679E-2</v>
      </c>
      <c r="W28" s="18">
        <f si="33" t="shared"/>
        <v>0.39354961747841521</v>
      </c>
      <c r="Y28" s="5" t="s">
        <v>9</v>
      </c>
      <c r="Z28" s="18">
        <f si="34" t="shared"/>
        <v>-4.1388703614239847E-4</v>
      </c>
      <c r="AA28" s="18">
        <f si="34" t="shared"/>
        <v>-4.3001694506404065E-3</v>
      </c>
      <c r="AB28" s="18">
        <f si="34" t="shared"/>
        <v>-2.2863024972691048E-3</v>
      </c>
      <c r="AC28" s="18">
        <f si="34" t="shared"/>
        <v>-1.4943491726638336E-3</v>
      </c>
      <c r="AD28" s="18">
        <f si="34" t="shared"/>
        <v>8.4947081567157343E-3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6.526654108433122E-2</v>
      </c>
      <c r="C29" s="19">
        <f si="41" t="shared"/>
        <v>0.32802944181474242</v>
      </c>
      <c r="D29" s="19">
        <f si="41" t="shared"/>
        <v>0.39005567228149712</v>
      </c>
      <c r="E29" s="19">
        <f si="41" t="shared"/>
        <v>0.1577404589864865</v>
      </c>
      <c r="F29" s="19">
        <f si="41" t="shared"/>
        <v>5.8907885832942583E-2</v>
      </c>
      <c r="G29" s="19">
        <f si="41" t="shared"/>
        <v>1</v>
      </c>
      <c r="I29" s="7" t="s">
        <v>4</v>
      </c>
      <c r="J29" s="19">
        <f ref="J29:O29" si="42" t="shared">J20/$O$20</f>
        <v>4.87389045700918E-2</v>
      </c>
      <c r="K29" s="19">
        <f si="42" t="shared"/>
        <v>0.30526456510456496</v>
      </c>
      <c r="L29" s="19">
        <f si="42" t="shared"/>
        <v>0.40441124895885061</v>
      </c>
      <c r="M29" s="19">
        <f si="42" t="shared"/>
        <v>0.16408339923165161</v>
      </c>
      <c r="N29" s="19">
        <f si="42" t="shared"/>
        <v>7.7501882134841008E-2</v>
      </c>
      <c r="O29" s="19">
        <f si="42" t="shared"/>
        <v>1</v>
      </c>
      <c r="Q29" s="7" t="s">
        <v>4</v>
      </c>
      <c r="R29" s="19">
        <f si="33" t="shared"/>
        <v>4.7109889451734825E-2</v>
      </c>
      <c r="S29" s="19">
        <f si="33" t="shared"/>
        <v>0.30871241374745062</v>
      </c>
      <c r="T29" s="19">
        <f si="33" t="shared"/>
        <v>0.39020038646185662</v>
      </c>
      <c r="U29" s="19">
        <f si="33" t="shared"/>
        <v>0.16262604929437613</v>
      </c>
      <c r="V29" s="19">
        <f si="33" t="shared"/>
        <v>9.1351261044581814E-2</v>
      </c>
      <c r="W29" s="19">
        <f si="33" t="shared"/>
        <v>1</v>
      </c>
      <c r="Y29" s="7" t="s">
        <v>4</v>
      </c>
      <c r="Z29" s="19">
        <f si="34" t="shared"/>
        <v>-1.6290151183569745E-3</v>
      </c>
      <c r="AA29" s="19">
        <f si="34" t="shared"/>
        <v>3.4478486428856647E-3</v>
      </c>
      <c r="AB29" s="19">
        <f si="34" t="shared"/>
        <v>-1.4210862496993992E-2</v>
      </c>
      <c r="AC29" s="19">
        <f si="34" t="shared"/>
        <v>-1.4573499372754761E-3</v>
      </c>
      <c r="AD29" s="19">
        <f si="34" t="shared"/>
        <v>1.3849378909740806E-2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64"/>
  <sheetViews>
    <sheetView topLeftCell="H11" workbookViewId="0">
      <selection activeCell="Z34" sqref="Z34"/>
    </sheetView>
  </sheetViews>
  <sheetFormatPr defaultRowHeight="15" x14ac:dyDescent="0.25"/>
  <cols>
    <col min="1" max="8" customWidth="true" width="9.28515625" collapsed="true"/>
    <col min="9" max="9" customWidth="true" width="23.5703125" collapsed="true"/>
    <col min="10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" t="s">
        <v>0</v>
      </c>
      <c r="I3" s="1" t="s">
        <v>164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 s="74">
        <v>23316</v>
      </c>
      <c r="K6" s="74">
        <v>154400</v>
      </c>
      <c r="L6" s="74">
        <v>31693</v>
      </c>
      <c r="M6" s="74">
        <v>5286</v>
      </c>
      <c r="N6" s="74">
        <v>1889</v>
      </c>
      <c r="O6" s="4">
        <f>SUM(J6:N6)</f>
        <v>216584</v>
      </c>
      <c r="Q6" s="3">
        <v>1</v>
      </c>
      <c r="R6" s="76" t="n">
        <v>21144.0</v>
      </c>
      <c r="S6" s="76" t="n">
        <v>141749.0</v>
      </c>
      <c r="T6" s="76" t="n">
        <v>28969.0</v>
      </c>
      <c r="U6" s="76" t="n">
        <v>4780.0</v>
      </c>
      <c r="V6" s="76" t="n">
        <v>1816.0</v>
      </c>
      <c r="W6" s="4">
        <f>SUM(R6:V6)</f>
        <v>198546</v>
      </c>
      <c r="Z6" s="78"/>
      <c r="AA6" s="78"/>
      <c r="AB6" s="78"/>
      <c r="AC6" s="78"/>
      <c r="AD6" s="78"/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ref="G7:G10" si="0" t="shared">SUM(B7:F7)</f>
        <v>313716.67577382911</v>
      </c>
      <c r="I7" s="3">
        <v>2</v>
      </c>
      <c r="J7" s="74">
        <v>7928</v>
      </c>
      <c r="K7" s="74">
        <v>50676</v>
      </c>
      <c r="L7" s="74">
        <v>219218</v>
      </c>
      <c r="M7" s="74">
        <v>58523</v>
      </c>
      <c r="N7" s="74">
        <v>15218</v>
      </c>
      <c r="O7" s="4">
        <f ref="O7:O9" si="1" t="shared">SUM(J7:N7)</f>
        <v>351563</v>
      </c>
      <c r="Q7" s="3">
        <v>2</v>
      </c>
      <c r="R7" s="76" t="n">
        <v>6614.0</v>
      </c>
      <c r="S7" s="76" t="n">
        <v>42689.0</v>
      </c>
      <c r="T7" s="76" t="n">
        <v>190533.0</v>
      </c>
      <c r="U7" s="76" t="n">
        <v>50977.0</v>
      </c>
      <c r="V7" s="76" t="n">
        <v>12864.0</v>
      </c>
      <c r="W7" s="4">
        <f ref="W7:W10" si="2" t="shared">SUM(R7:V7)</f>
        <v>303822</v>
      </c>
      <c r="Z7" s="78"/>
      <c r="AA7" s="78"/>
      <c r="AB7" s="78"/>
      <c r="AC7" s="78"/>
      <c r="AD7" s="78"/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si="0" t="shared"/>
        <v>58462.91674770262</v>
      </c>
      <c r="I8" s="3">
        <v>3</v>
      </c>
      <c r="J8" s="74">
        <v>1702</v>
      </c>
      <c r="K8" s="74">
        <v>8298</v>
      </c>
      <c r="L8" s="74">
        <v>24201</v>
      </c>
      <c r="M8" s="74">
        <v>38910</v>
      </c>
      <c r="N8" s="74">
        <v>16235</v>
      </c>
      <c r="O8" s="4">
        <f si="1" t="shared"/>
        <v>89346</v>
      </c>
      <c r="Q8" s="3">
        <v>3</v>
      </c>
      <c r="R8" s="76" t="n">
        <v>1401.0</v>
      </c>
      <c r="S8" s="76" t="n">
        <v>6717.0</v>
      </c>
      <c r="T8" s="76" t="n">
        <v>20337.0</v>
      </c>
      <c r="U8" s="76" t="n">
        <v>33128.0</v>
      </c>
      <c r="V8" s="76" t="n">
        <v>14000.0</v>
      </c>
      <c r="W8" s="4">
        <f si="2" t="shared"/>
        <v>75749</v>
      </c>
      <c r="Z8" s="78"/>
      <c r="AA8" s="78"/>
      <c r="AB8" s="78"/>
      <c r="AC8" s="78"/>
      <c r="AD8" s="78"/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si="0" t="shared"/>
        <v>23974.384965341669</v>
      </c>
      <c r="I9" s="5" t="s">
        <v>3</v>
      </c>
      <c r="J9" s="75">
        <v>354</v>
      </c>
      <c r="K9" s="75">
        <v>2640</v>
      </c>
      <c r="L9" s="75">
        <v>5626</v>
      </c>
      <c r="M9" s="75">
        <v>9861</v>
      </c>
      <c r="N9" s="75">
        <v>19268</v>
      </c>
      <c r="O9" s="4">
        <f si="1" t="shared"/>
        <v>37749</v>
      </c>
      <c r="Q9" s="5" t="s">
        <v>3</v>
      </c>
      <c r="R9" s="76" t="n">
        <v>485.0</v>
      </c>
      <c r="S9" s="76" t="n">
        <v>4158.0</v>
      </c>
      <c r="T9" s="76" t="n">
        <v>8426.0</v>
      </c>
      <c r="U9" s="76" t="n">
        <v>14556.0</v>
      </c>
      <c r="V9" s="76" t="n">
        <v>28955.0</v>
      </c>
      <c r="W9" s="6">
        <f si="2" t="shared"/>
        <v>56357</v>
      </c>
      <c r="Z9" s="78"/>
      <c r="AA9" s="78"/>
      <c r="AB9" s="78"/>
      <c r="AC9" s="78"/>
      <c r="AD9" s="78"/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3" t="shared">SUM(C6:C9)</f>
        <v>189726.04493204484</v>
      </c>
      <c r="D10" s="8">
        <f si="3" t="shared"/>
        <v>230783.14301440321</v>
      </c>
      <c r="E10" s="8">
        <f si="3" t="shared"/>
        <v>93673.789121236972</v>
      </c>
      <c r="F10" s="8">
        <f si="3" t="shared"/>
        <v>35107.568245316361</v>
      </c>
      <c r="G10" s="8">
        <f si="0" t="shared"/>
        <v>585337.92723326373</v>
      </c>
      <c r="I10" s="7" t="s">
        <v>4</v>
      </c>
      <c r="J10" s="8">
        <f>SUM(J6:J9)</f>
        <v>33300</v>
      </c>
      <c r="K10" s="8">
        <f ref="K10:O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 si="4" t="shared"/>
        <v>695242</v>
      </c>
      <c r="Q10" s="7" t="s">
        <v>4</v>
      </c>
      <c r="R10" s="8">
        <f>SUM(R6:R9)</f>
        <v>29890</v>
      </c>
      <c r="S10" s="8">
        <f ref="S10" si="5" t="shared">SUM(S6:S9)</f>
        <v>195870</v>
      </c>
      <c r="T10" s="8">
        <f ref="T10" si="6" t="shared">SUM(T6:T9)</f>
        <v>247572</v>
      </c>
      <c r="U10" s="8">
        <f ref="U10" si="7" t="shared">SUM(U6:U9)</f>
        <v>103182</v>
      </c>
      <c r="V10" s="8">
        <f ref="V10" si="8" t="shared">SUM(V6:V9)</f>
        <v>57960</v>
      </c>
      <c r="W10" s="8">
        <f si="2" t="shared"/>
        <v>634474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165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32519.557834888285</v>
      </c>
      <c r="C16" s="4">
        <f ref="C16:F16" si="9" t="shared">($W6/$G6)*C6</f>
        <v>141637.95271249744</v>
      </c>
      <c r="D16" s="4">
        <f si="9" t="shared"/>
        <v>19926.679789081656</v>
      </c>
      <c r="E16" s="4">
        <f si="9" t="shared"/>
        <v>3184.0238818584457</v>
      </c>
      <c r="F16" s="4">
        <f si="9" t="shared"/>
        <v>1277.7857816742116</v>
      </c>
      <c r="G16" s="4">
        <f>($W6/$G6)*G6</f>
        <v>198546</v>
      </c>
      <c r="I16" s="3">
        <v>1</v>
      </c>
      <c r="J16" s="4">
        <f>($W6/$O6)*J6</f>
        <v>21374.148302737045</v>
      </c>
      <c r="K16" s="4">
        <f ref="K16:N16" si="10" t="shared">($W6/$O6)*K6</f>
        <v>141540.93746537139</v>
      </c>
      <c r="L16" s="4">
        <f si="10" t="shared"/>
        <v>29053.477532966423</v>
      </c>
      <c r="M16" s="4">
        <f si="10" t="shared"/>
        <v>4845.7603331732726</v>
      </c>
      <c r="N16" s="4">
        <f si="10" t="shared"/>
        <v>1731.6763657518561</v>
      </c>
      <c r="O16" s="4">
        <f>SUM(J16:N16)</f>
        <v>198545.99999999997</v>
      </c>
      <c r="Q16" s="3">
        <v>1</v>
      </c>
      <c r="R16" s="4">
        <f>R6</f>
        <v>21149</v>
      </c>
      <c r="S16" s="4">
        <f ref="S16:V16" si="11" t="shared">S6</f>
        <v>141678</v>
      </c>
      <c r="T16" s="4">
        <f si="11" t="shared"/>
        <v>29098</v>
      </c>
      <c r="U16" s="4">
        <f si="11" t="shared"/>
        <v>4913</v>
      </c>
      <c r="V16" s="4">
        <f si="11" t="shared"/>
        <v>1708</v>
      </c>
      <c r="W16" s="4">
        <f>SUM(R16:V16)</f>
        <v>198546</v>
      </c>
      <c r="Y16" s="3">
        <v>1</v>
      </c>
      <c r="Z16" s="4">
        <f>R16-J16</f>
        <v>-225.14830273704501</v>
      </c>
      <c r="AA16" s="4">
        <f ref="AA16:AA20" si="12" t="shared">S16-K16</f>
        <v>137.06253462861059</v>
      </c>
      <c r="AB16" s="4">
        <f ref="AB16:AB20" si="13" t="shared">T16-L16</f>
        <v>44.522467033577414</v>
      </c>
      <c r="AC16" s="4">
        <f ref="AC16:AC20" si="14" t="shared">U16-M16</f>
        <v>67.239666826727444</v>
      </c>
      <c r="AD16" s="4">
        <f ref="AD16:AD20" si="15" t="shared">V16-N16</f>
        <v>-23.67636575185611</v>
      </c>
      <c r="AE16" s="4">
        <f ref="AE16:AE19" si="16" t="shared">W16-O16</f>
        <v>0</v>
      </c>
      <c r="AG16" s="3">
        <v>1</v>
      </c>
      <c r="AH16" s="17">
        <f>Z16/J16</f>
        <v>-1.0533673648564227E-2</v>
      </c>
      <c r="AI16" s="17">
        <f ref="AI16:AI20" si="17" t="shared">AA16/K16</f>
        <v>9.6835966387564404E-4</v>
      </c>
      <c r="AJ16" s="17">
        <f ref="AJ16:AJ20" si="18" t="shared">AB16/L16</f>
        <v>1.5324315990420984E-3</v>
      </c>
      <c r="AK16" s="17">
        <f ref="AK16:AK20" si="19" t="shared">AC16/M16</f>
        <v>1.3875978629486857E-2</v>
      </c>
      <c r="AL16" s="17">
        <f ref="AL16:AL20" si="20" t="shared">AD16/N16</f>
        <v>-1.3672511919729497E-2</v>
      </c>
      <c r="AM16" s="17">
        <f ref="AM16:AM20" si="21" t="shared">AE16/O16</f>
        <v>0</v>
      </c>
    </row>
    <row r="17" spans="1:39" x14ac:dyDescent="0.25">
      <c r="A17" s="3">
        <v>2</v>
      </c>
      <c r="B17" s="4">
        <f ref="B17:G17" si="22" t="shared">($W7/$G7)*B7</f>
        <v>4179.6435249153792</v>
      </c>
      <c r="C17" s="4">
        <f si="22" t="shared"/>
        <v>46257.385270299899</v>
      </c>
      <c r="D17" s="4">
        <f si="22" t="shared"/>
        <v>188577.77762969665</v>
      </c>
      <c r="E17" s="4">
        <f si="22" t="shared"/>
        <v>48911.263778403489</v>
      </c>
      <c r="F17" s="4">
        <f si="22" t="shared"/>
        <v>15895.929796684633</v>
      </c>
      <c r="G17" s="4">
        <f si="22" t="shared"/>
        <v>303822</v>
      </c>
      <c r="I17" s="3">
        <v>2</v>
      </c>
      <c r="J17" s="4">
        <f ref="J17:N17" si="23" t="shared">($W7/$O7)*J7</f>
        <v>6851.4059101782614</v>
      </c>
      <c r="K17" s="4">
        <f si="23" t="shared"/>
        <v>43794.380159459331</v>
      </c>
      <c r="L17" s="4">
        <f si="23" t="shared"/>
        <v>189448.97840785293</v>
      </c>
      <c r="M17" s="4">
        <f si="23" t="shared"/>
        <v>50575.785580393844</v>
      </c>
      <c r="N17" s="4">
        <f si="23" t="shared"/>
        <v>13151.449942115638</v>
      </c>
      <c r="O17" s="4">
        <f ref="O17:O19" si="24" t="shared">SUM(J17:N17)</f>
        <v>303822</v>
      </c>
      <c r="Q17" s="3">
        <v>2</v>
      </c>
      <c r="R17" s="4">
        <f ref="R17:V17" si="25" t="shared">R7</f>
        <v>6799</v>
      </c>
      <c r="S17" s="4">
        <f si="25" t="shared"/>
        <v>43342</v>
      </c>
      <c r="T17" s="4">
        <f si="25" t="shared"/>
        <v>189803</v>
      </c>
      <c r="U17" s="4">
        <f si="25" t="shared"/>
        <v>50652</v>
      </c>
      <c r="V17" s="4">
        <f si="25" t="shared"/>
        <v>13226</v>
      </c>
      <c r="W17" s="4">
        <f ref="W17:W20" si="26" t="shared">SUM(R17:V17)</f>
        <v>303822</v>
      </c>
      <c r="Y17" s="3">
        <v>2</v>
      </c>
      <c r="Z17" s="4">
        <f ref="Z17:Z20" si="27" t="shared">R17-J17</f>
        <v>-52.405910178261365</v>
      </c>
      <c r="AA17" s="4">
        <f si="12" t="shared"/>
        <v>-452.38015945933148</v>
      </c>
      <c r="AB17" s="4">
        <f si="13" t="shared"/>
        <v>354.02159214706626</v>
      </c>
      <c r="AC17" s="4">
        <f si="14" t="shared"/>
        <v>76.214419606156298</v>
      </c>
      <c r="AD17" s="4">
        <f si="15" t="shared"/>
        <v>74.550057884362104</v>
      </c>
      <c r="AE17" s="4">
        <f si="16" t="shared"/>
        <v>0</v>
      </c>
      <c r="AG17" s="3">
        <v>2</v>
      </c>
      <c r="AH17" s="17">
        <f ref="AH17:AH20" si="28" t="shared">Z17/J17</f>
        <v>-7.6489279522044635E-3</v>
      </c>
      <c r="AI17" s="17">
        <f si="17" t="shared"/>
        <v>-1.0329639506534264E-2</v>
      </c>
      <c r="AJ17" s="17">
        <f si="18" t="shared"/>
        <v>1.8686909537454204E-3</v>
      </c>
      <c r="AK17" s="17">
        <f si="19" t="shared"/>
        <v>1.5069349636696796E-3</v>
      </c>
      <c r="AL17" s="17">
        <f si="20" t="shared"/>
        <v>5.6685808950712119E-3</v>
      </c>
      <c r="AM17" s="17">
        <f si="21" t="shared"/>
        <v>0</v>
      </c>
    </row>
    <row r="18" spans="1:39" x14ac:dyDescent="0.25">
      <c r="A18" s="3">
        <v>3</v>
      </c>
      <c r="B18" s="4">
        <f ref="B18:G18" si="29" t="shared">($W8/$G8)*B8</f>
        <v>830.18360272727</v>
      </c>
      <c r="C18" s="4">
        <f si="29" t="shared"/>
        <v>5324.8040299218483</v>
      </c>
      <c r="D18" s="4">
        <f si="29" t="shared"/>
        <v>18304.147882232639</v>
      </c>
      <c r="E18" s="4">
        <f si="29" t="shared"/>
        <v>38581.23435709878</v>
      </c>
      <c r="F18" s="4">
        <f si="29" t="shared"/>
        <v>12708.630128019464</v>
      </c>
      <c r="G18" s="4">
        <f si="29" t="shared"/>
        <v>75749</v>
      </c>
      <c r="I18" s="3">
        <v>3</v>
      </c>
      <c r="J18" s="4">
        <f ref="J18:N18" si="30" t="shared">($W8/$O8)*J8</f>
        <v>1442.9834351845634</v>
      </c>
      <c r="K18" s="4">
        <f si="30" t="shared"/>
        <v>7035.1801087905442</v>
      </c>
      <c r="L18" s="4">
        <f si="30" t="shared"/>
        <v>20518.003592774159</v>
      </c>
      <c r="M18" s="4">
        <f si="30" t="shared"/>
        <v>32988.534349607144</v>
      </c>
      <c r="N18" s="4">
        <f si="30" t="shared"/>
        <v>13764.298513643587</v>
      </c>
      <c r="O18" s="4">
        <f si="24" t="shared"/>
        <v>75749</v>
      </c>
      <c r="Q18" s="3">
        <v>3</v>
      </c>
      <c r="R18" s="4">
        <f ref="R18:V18" si="31" t="shared">R8</f>
        <v>1432</v>
      </c>
      <c r="S18" s="4">
        <f si="31" t="shared"/>
        <v>6917</v>
      </c>
      <c r="T18" s="4">
        <f si="31" t="shared"/>
        <v>20403</v>
      </c>
      <c r="U18" s="4">
        <f si="31" t="shared"/>
        <v>33046</v>
      </c>
      <c r="V18" s="4">
        <f si="31" t="shared"/>
        <v>13951</v>
      </c>
      <c r="W18" s="4">
        <f si="26" t="shared"/>
        <v>75749</v>
      </c>
      <c r="Y18" s="3">
        <v>3</v>
      </c>
      <c r="Z18" s="4">
        <f si="27" t="shared"/>
        <v>-10.983435184563405</v>
      </c>
      <c r="AA18" s="4">
        <f si="12" t="shared"/>
        <v>-118.18010879054418</v>
      </c>
      <c r="AB18" s="4">
        <f si="13" t="shared"/>
        <v>-115.00359277415919</v>
      </c>
      <c r="AC18" s="4">
        <f si="14" t="shared"/>
        <v>57.465650392856332</v>
      </c>
      <c r="AD18" s="4">
        <f si="15" t="shared"/>
        <v>186.70148635641272</v>
      </c>
      <c r="AE18" s="4">
        <f si="16" t="shared"/>
        <v>0</v>
      </c>
      <c r="AG18" s="3">
        <v>3</v>
      </c>
      <c r="AH18" s="17">
        <f si="28" t="shared"/>
        <v>-7.6116155714279418E-3</v>
      </c>
      <c r="AI18" s="17">
        <f si="17" t="shared"/>
        <v>-1.6798448222082714E-2</v>
      </c>
      <c r="AJ18" s="17">
        <f si="18" t="shared"/>
        <v>-5.6050089012880423E-3</v>
      </c>
      <c r="AK18" s="17">
        <f si="19" t="shared"/>
        <v>1.7419885886364238E-3</v>
      </c>
      <c r="AL18" s="17">
        <f si="20" t="shared"/>
        <v>1.3564184631083711E-2</v>
      </c>
      <c r="AM18" s="17">
        <f si="21" t="shared"/>
        <v>0</v>
      </c>
    </row>
    <row r="19" spans="1:39" x14ac:dyDescent="0.25">
      <c r="A19" s="5" t="s">
        <v>3</v>
      </c>
      <c r="B19" s="4">
        <f ref="B19:G19" si="32" t="shared">($W9/$G9)*B9</f>
        <v>246.1746314214943</v>
      </c>
      <c r="C19" s="4">
        <f si="32" t="shared"/>
        <v>6801.1335931998228</v>
      </c>
      <c r="D19" s="4">
        <f si="32" t="shared"/>
        <v>6933.9332301573504</v>
      </c>
      <c r="E19" s="4">
        <f si="32" t="shared"/>
        <v>24350.641418080239</v>
      </c>
      <c r="F19" s="4">
        <f si="32" t="shared"/>
        <v>18025.117127141097</v>
      </c>
      <c r="G19" s="6">
        <f si="32" t="shared"/>
        <v>56357</v>
      </c>
      <c r="I19" s="5" t="s">
        <v>3</v>
      </c>
      <c r="J19" s="4">
        <f ref="J19:N19" si="33" t="shared">($W9/$O9)*J9</f>
        <v>528.50083445919097</v>
      </c>
      <c r="K19" s="4">
        <f si="33" t="shared"/>
        <v>3941.3621552888821</v>
      </c>
      <c r="L19" s="4">
        <f si="33" t="shared"/>
        <v>8399.2816233542617</v>
      </c>
      <c r="M19" s="4">
        <f si="33" t="shared"/>
        <v>14721.883414130176</v>
      </c>
      <c r="N19" s="4">
        <f si="33" t="shared"/>
        <v>28765.971972767493</v>
      </c>
      <c r="O19" s="4">
        <f si="24" t="shared"/>
        <v>56357</v>
      </c>
      <c r="Q19" s="5" t="s">
        <v>3</v>
      </c>
      <c r="R19" s="4">
        <f ref="R19:V19" si="34" t="shared">R9</f>
        <v>510</v>
      </c>
      <c r="S19" s="4">
        <f si="34" t="shared"/>
        <v>3933</v>
      </c>
      <c r="T19" s="4">
        <f si="34" t="shared"/>
        <v>8268</v>
      </c>
      <c r="U19" s="4">
        <f si="34" t="shared"/>
        <v>14571</v>
      </c>
      <c r="V19" s="4">
        <f si="34" t="shared"/>
        <v>29075</v>
      </c>
      <c r="W19" s="6">
        <f si="26" t="shared"/>
        <v>56357</v>
      </c>
      <c r="Y19" s="5" t="s">
        <v>3</v>
      </c>
      <c r="Z19" s="4">
        <f si="27" t="shared"/>
        <v>-18.500834459190969</v>
      </c>
      <c r="AA19" s="4">
        <f si="12" t="shared"/>
        <v>-8.3621552888821498</v>
      </c>
      <c r="AB19" s="4">
        <f si="13" t="shared"/>
        <v>-131.28162335426168</v>
      </c>
      <c r="AC19" s="4">
        <f si="14" t="shared"/>
        <v>-150.88341413017588</v>
      </c>
      <c r="AD19" s="4">
        <f si="15" t="shared"/>
        <v>309.02802723250716</v>
      </c>
      <c r="AE19" s="6">
        <f si="16" t="shared"/>
        <v>0</v>
      </c>
      <c r="AG19" s="5" t="s">
        <v>3</v>
      </c>
      <c r="AH19" s="17">
        <f si="28" t="shared"/>
        <v>-3.5006254016841182E-2</v>
      </c>
      <c r="AI19" s="17">
        <f si="17" t="shared"/>
        <v>-2.1216409351424458E-3</v>
      </c>
      <c r="AJ19" s="17">
        <f si="18" t="shared"/>
        <v>-1.5630101387389156E-2</v>
      </c>
      <c r="AK19" s="17">
        <f si="19" t="shared"/>
        <v>-1.0248920595673026E-2</v>
      </c>
      <c r="AL19" s="17">
        <f si="20" t="shared"/>
        <v>1.0742832799985393E-2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>SUM(B16:B19)</f>
        <v>37775.559593952436</v>
      </c>
      <c r="C20" s="8">
        <f ref="C20:G20" si="35" t="shared">SUM(C16:C19)</f>
        <v>200021.27560591904</v>
      </c>
      <c r="D20" s="8">
        <f si="35" t="shared"/>
        <v>233742.53853116831</v>
      </c>
      <c r="E20" s="8">
        <f si="35" t="shared"/>
        <v>115027.16343544096</v>
      </c>
      <c r="F20" s="8">
        <f si="35" t="shared"/>
        <v>47907.462833519407</v>
      </c>
      <c r="G20" s="8">
        <f si="35" t="shared"/>
        <v>634474</v>
      </c>
      <c r="I20" s="7" t="s">
        <v>4</v>
      </c>
      <c r="J20" s="8">
        <f>SUM(J16:J19)</f>
        <v>30197.038482559063</v>
      </c>
      <c r="K20" s="8">
        <f ref="K20:N20" si="36" t="shared">SUM(K16:K19)</f>
        <v>196311.85988891017</v>
      </c>
      <c r="L20" s="8">
        <f si="36" t="shared"/>
        <v>247419.74115694777</v>
      </c>
      <c r="M20" s="8">
        <f si="36" t="shared"/>
        <v>103131.96367730443</v>
      </c>
      <c r="N20" s="8">
        <f si="36" t="shared"/>
        <v>57413.396794278575</v>
      </c>
      <c r="O20" s="8">
        <f>SUM(J20:N20)</f>
        <v>634474</v>
      </c>
      <c r="Q20" s="7" t="s">
        <v>4</v>
      </c>
      <c r="R20" s="8">
        <f>SUM(R16:R19)</f>
        <v>29890</v>
      </c>
      <c r="S20" s="8">
        <f ref="S20:V20" si="37" t="shared">SUM(S16:S19)</f>
        <v>195870</v>
      </c>
      <c r="T20" s="8">
        <f si="37" t="shared"/>
        <v>247572</v>
      </c>
      <c r="U20" s="8">
        <f si="37" t="shared"/>
        <v>103182</v>
      </c>
      <c r="V20" s="8">
        <f si="37" t="shared"/>
        <v>57960</v>
      </c>
      <c r="W20" s="8">
        <f si="26" t="shared"/>
        <v>634474</v>
      </c>
      <c r="Y20" s="7" t="s">
        <v>4</v>
      </c>
      <c r="Z20" s="8">
        <f si="27" t="shared"/>
        <v>-307.03848255906269</v>
      </c>
      <c r="AA20" s="8">
        <f si="12" t="shared"/>
        <v>-441.85988891017041</v>
      </c>
      <c r="AB20" s="8">
        <f si="13" t="shared"/>
        <v>152.25884305223008</v>
      </c>
      <c r="AC20" s="8">
        <f si="14" t="shared"/>
        <v>50.036322695566923</v>
      </c>
      <c r="AD20" s="8">
        <f si="15" t="shared"/>
        <v>546.60320572142518</v>
      </c>
      <c r="AE20" s="8">
        <f>W20-O20</f>
        <v>0</v>
      </c>
      <c r="AG20" s="7" t="s">
        <v>4</v>
      </c>
      <c r="AH20" s="19">
        <f si="28" t="shared"/>
        <v>-1.0167834264158031E-2</v>
      </c>
      <c r="AI20" s="19">
        <f si="17" t="shared"/>
        <v>-2.2508058818260499E-3</v>
      </c>
      <c r="AJ20" s="19">
        <f si="18" t="shared"/>
        <v>6.1538680115119225E-4</v>
      </c>
      <c r="AK20" s="19">
        <f si="19" t="shared"/>
        <v>4.8516794320069837E-4</v>
      </c>
      <c r="AL20" s="19">
        <f si="20" t="shared"/>
        <v>9.5204819126099138E-3</v>
      </c>
      <c r="AM20" s="19">
        <f si="21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7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5.1254358468413655E-2</v>
      </c>
      <c r="C25" s="17">
        <f ref="C25:G25" si="38" t="shared">C16/$G$20</f>
        <v>0.22323681145720303</v>
      </c>
      <c r="D25" s="17">
        <f si="38" t="shared"/>
        <v>3.1406613650175823E-2</v>
      </c>
      <c r="E25" s="17">
        <f si="38" t="shared"/>
        <v>5.0183677847452307E-3</v>
      </c>
      <c r="F25" s="17">
        <f si="38" t="shared"/>
        <v>2.0139293047062791E-3</v>
      </c>
      <c r="G25" s="17">
        <f si="38" t="shared"/>
        <v>0.31293008066524397</v>
      </c>
      <c r="I25" s="3">
        <v>1</v>
      </c>
      <c r="J25" s="17">
        <f>J16/$O$20</f>
        <v>3.3687981387317753E-2</v>
      </c>
      <c r="K25" s="17">
        <f ref="K25:O25" si="39" t="shared">K16/$O$20</f>
        <v>0.22308390488084837</v>
      </c>
      <c r="L25" s="17">
        <f si="39" t="shared"/>
        <v>4.5791439102258601E-2</v>
      </c>
      <c r="M25" s="17">
        <f si="39" t="shared"/>
        <v>7.6374450854932944E-3</v>
      </c>
      <c r="N25" s="17">
        <f si="39" t="shared"/>
        <v>2.7293102093259238E-3</v>
      </c>
      <c r="O25" s="17">
        <f si="39" t="shared"/>
        <v>0.31293008066524391</v>
      </c>
      <c r="Q25" s="3">
        <v>1</v>
      </c>
      <c r="R25" s="17">
        <f>R6/$W$10</f>
        <v>3.3333123185504847E-2</v>
      </c>
      <c r="S25" s="17">
        <f ref="S25:W25" si="40" t="shared">S6/$W$10</f>
        <v>0.22329993033599485</v>
      </c>
      <c r="T25" s="17">
        <f si="40" t="shared"/>
        <v>4.5861611350504511E-2</v>
      </c>
      <c r="U25" s="17">
        <f si="40" t="shared"/>
        <v>7.7434221102834792E-3</v>
      </c>
      <c r="V25" s="17">
        <f si="40" t="shared"/>
        <v>2.6919936829562755E-3</v>
      </c>
      <c r="W25" s="17">
        <f si="40" t="shared"/>
        <v>0.31293008066524397</v>
      </c>
    </row>
    <row r="26" spans="1:39" x14ac:dyDescent="0.25">
      <c r="A26" s="3">
        <v>2</v>
      </c>
      <c r="B26" s="17">
        <f ref="B26:G26" si="41" t="shared">B17/$G$20</f>
        <v>6.5875725796728929E-3</v>
      </c>
      <c r="C26" s="17">
        <f si="41" t="shared"/>
        <v>7.2906667996324351E-2</v>
      </c>
      <c r="D26" s="17">
        <f si="41" t="shared"/>
        <v>0.29721907852756241</v>
      </c>
      <c r="E26" s="17">
        <f si="41" t="shared"/>
        <v>7.7089469037980266E-2</v>
      </c>
      <c r="F26" s="17">
        <f si="41" t="shared"/>
        <v>2.5053713464514911E-2</v>
      </c>
      <c r="G26" s="17">
        <f si="41" t="shared"/>
        <v>0.47885650160605475</v>
      </c>
      <c r="I26" s="3">
        <v>2</v>
      </c>
      <c r="J26" s="17">
        <f ref="J26:O26" si="42" t="shared">J17/$O$20</f>
        <v>1.0798560555953848E-2</v>
      </c>
      <c r="K26" s="17">
        <f si="42" t="shared"/>
        <v>6.9024704179303384E-2</v>
      </c>
      <c r="L26" s="17">
        <f si="42" t="shared"/>
        <v>0.29859218566537465</v>
      </c>
      <c r="M26" s="17">
        <f si="42" t="shared"/>
        <v>7.9712936354198669E-2</v>
      </c>
      <c r="N26" s="17">
        <f si="42" t="shared"/>
        <v>2.0728114851224222E-2</v>
      </c>
      <c r="O26" s="17">
        <f si="42" t="shared"/>
        <v>0.47885650160605475</v>
      </c>
      <c r="Q26" s="3">
        <v>2</v>
      </c>
      <c r="R26" s="17">
        <f ref="R26:W26" si="43" t="shared">R7/$W$10</f>
        <v>1.071596314427384E-2</v>
      </c>
      <c r="S26" s="17">
        <f si="43" t="shared"/>
        <v>6.8311703868086007E-2</v>
      </c>
      <c r="T26" s="17">
        <f si="43" t="shared"/>
        <v>0.29915016218158663</v>
      </c>
      <c r="U26" s="17">
        <f si="43" t="shared"/>
        <v>7.9833058565047577E-2</v>
      </c>
      <c r="V26" s="17">
        <f si="43" t="shared"/>
        <v>2.0845613847060716E-2</v>
      </c>
      <c r="W26" s="17">
        <f si="43" t="shared"/>
        <v>0.47885650160605475</v>
      </c>
    </row>
    <row r="27" spans="1:39" x14ac:dyDescent="0.25">
      <c r="A27" s="3">
        <v>3</v>
      </c>
      <c r="B27" s="17">
        <f ref="B27:G27" si="44" t="shared">B18/$G$20</f>
        <v>1.3084596102082512E-3</v>
      </c>
      <c r="C27" s="17">
        <f si="44" t="shared"/>
        <v>8.3924700301696332E-3</v>
      </c>
      <c r="D27" s="17">
        <f si="44" t="shared"/>
        <v>2.8849326973575968E-2</v>
      </c>
      <c r="E27" s="17">
        <f si="44" t="shared"/>
        <v>6.0808219654546566E-2</v>
      </c>
      <c r="F27" s="17">
        <f si="44" t="shared"/>
        <v>2.0030182683639462E-2</v>
      </c>
      <c r="G27" s="17">
        <f si="44" t="shared"/>
        <v>0.11938865895213989</v>
      </c>
      <c r="I27" s="3">
        <v>3</v>
      </c>
      <c r="J27" s="17">
        <f ref="J27:O27" si="45" t="shared">J18/$O$20</f>
        <v>2.2742987658825476E-3</v>
      </c>
      <c r="K27" s="17">
        <f si="45" t="shared"/>
        <v>1.1088208671735239E-2</v>
      </c>
      <c r="L27" s="17">
        <f si="45" t="shared"/>
        <v>3.2338604249778809E-2</v>
      </c>
      <c r="M27" s="17">
        <f si="45" t="shared"/>
        <v>5.1993516439770807E-2</v>
      </c>
      <c r="N27" s="17">
        <f si="45" t="shared"/>
        <v>2.1694030824972475E-2</v>
      </c>
      <c r="O27" s="17">
        <f si="45" t="shared"/>
        <v>0.11938865895213989</v>
      </c>
      <c r="Q27" s="3">
        <v>3</v>
      </c>
      <c r="R27" s="17">
        <f ref="R27:W27" si="46" t="shared">R8/$W$10</f>
        <v>2.2569876779820765E-3</v>
      </c>
      <c r="S27" s="17">
        <f si="46" t="shared"/>
        <v>1.0901943972487445E-2</v>
      </c>
      <c r="T27" s="17">
        <f si="46" t="shared"/>
        <v>3.2157346085103566E-2</v>
      </c>
      <c r="U27" s="17">
        <f si="46" t="shared"/>
        <v>5.208408855209197E-2</v>
      </c>
      <c r="V27" s="17">
        <f si="46" t="shared"/>
        <v>2.1988292664474825E-2</v>
      </c>
      <c r="W27" s="17">
        <f si="46" t="shared"/>
        <v>0.11938865895213989</v>
      </c>
    </row>
    <row r="28" spans="1:39" x14ac:dyDescent="0.25">
      <c r="A28" s="5" t="s">
        <v>3</v>
      </c>
      <c r="B28" s="18">
        <f ref="B28:G28" si="47" t="shared">B19/$G$20</f>
        <v>3.879979816690586E-4</v>
      </c>
      <c r="C28" s="18">
        <f si="47" t="shared"/>
        <v>1.0719325919107518E-2</v>
      </c>
      <c r="D28" s="18">
        <f si="47" t="shared"/>
        <v>1.0928632584089104E-2</v>
      </c>
      <c r="E28" s="18">
        <f si="47" t="shared"/>
        <v>3.8379258122602719E-2</v>
      </c>
      <c r="F28" s="18">
        <f si="47" t="shared"/>
        <v>2.8409544169092974E-2</v>
      </c>
      <c r="G28" s="18">
        <f si="47" t="shared"/>
        <v>8.8824758776561374E-2</v>
      </c>
      <c r="I28" s="5" t="s">
        <v>3</v>
      </c>
      <c r="J28" s="18">
        <f ref="J28:O28" si="48" t="shared">J19/$O$20</f>
        <v>8.3297477037544638E-4</v>
      </c>
      <c r="K28" s="18">
        <f si="48" t="shared"/>
        <v>6.2120152366982448E-3</v>
      </c>
      <c r="L28" s="18">
        <f si="48" t="shared"/>
        <v>1.323818095517588E-2</v>
      </c>
      <c r="M28" s="18">
        <f si="48" t="shared"/>
        <v>2.3203288730712646E-2</v>
      </c>
      <c r="N28" s="18">
        <f si="48" t="shared"/>
        <v>4.5338299083599161E-2</v>
      </c>
      <c r="O28" s="18">
        <f si="48" t="shared"/>
        <v>8.8824758776561374E-2</v>
      </c>
      <c r="Q28" s="5" t="s">
        <v>3</v>
      </c>
      <c r="R28" s="18">
        <f ref="R28:W28" si="49" t="shared">R9/$W$10</f>
        <v>8.038154439740635E-4</v>
      </c>
      <c r="S28" s="18">
        <f si="49" t="shared"/>
        <v>6.1988355708823368E-3</v>
      </c>
      <c r="T28" s="18">
        <f si="49" t="shared"/>
        <v>1.3031266844661877E-2</v>
      </c>
      <c r="U28" s="18">
        <f si="49" t="shared"/>
        <v>2.2965480066953099E-2</v>
      </c>
      <c r="V28" s="18">
        <f si="49" t="shared"/>
        <v>4.5825360850089994E-2</v>
      </c>
      <c r="W28" s="18">
        <f si="49" t="shared"/>
        <v>8.8824758776561374E-2</v>
      </c>
    </row>
    <row ht="15.75" r="29" spans="1:39" thickBot="1" x14ac:dyDescent="0.3">
      <c r="A29" s="7" t="s">
        <v>4</v>
      </c>
      <c r="B29" s="19">
        <f ref="B29:G29" si="50" t="shared">B20/$G$20</f>
        <v>5.9538388639963871E-2</v>
      </c>
      <c r="C29" s="19">
        <f si="50" t="shared"/>
        <v>0.31525527540280457</v>
      </c>
      <c r="D29" s="19">
        <f si="50" t="shared"/>
        <v>0.36840365173540335</v>
      </c>
      <c r="E29" s="19">
        <f si="50" t="shared"/>
        <v>0.1812953145998748</v>
      </c>
      <c r="F29" s="19">
        <f si="50" t="shared"/>
        <v>7.5507369621953632E-2</v>
      </c>
      <c r="G29" s="19">
        <f si="50" t="shared"/>
        <v>1</v>
      </c>
      <c r="I29" s="7" t="s">
        <v>4</v>
      </c>
      <c r="J29" s="19">
        <f ref="J29:O29" si="51" t="shared">J20/$O$20</f>
        <v>4.7593815479529601E-2</v>
      </c>
      <c r="K29" s="19">
        <f si="51" t="shared"/>
        <v>0.30940883296858529</v>
      </c>
      <c r="L29" s="19">
        <f si="51" t="shared"/>
        <v>0.38996040997258796</v>
      </c>
      <c r="M29" s="19">
        <f si="51" t="shared"/>
        <v>0.16254718661017542</v>
      </c>
      <c r="N29" s="19">
        <f si="51" t="shared"/>
        <v>9.0489754969121788E-2</v>
      </c>
      <c r="O29" s="19">
        <f si="51" t="shared"/>
        <v>1</v>
      </c>
      <c r="Q29" s="7" t="s">
        <v>4</v>
      </c>
      <c r="R29" s="19">
        <f ref="R29:W29" si="52" t="shared">R10/$W$10</f>
        <v>4.7109889451734825E-2</v>
      </c>
      <c r="S29" s="19">
        <f si="52" t="shared"/>
        <v>0.30871241374745062</v>
      </c>
      <c r="T29" s="19">
        <f si="52" t="shared"/>
        <v>0.39020038646185662</v>
      </c>
      <c r="U29" s="19">
        <f si="52" t="shared"/>
        <v>0.16262604929437613</v>
      </c>
      <c r="V29" s="19">
        <f si="52" t="shared"/>
        <v>9.1351261044581814E-2</v>
      </c>
      <c r="W29" s="19">
        <f si="52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7" t="s">
        <v>187</v>
      </c>
    </row>
    <row ht="15.75" r="32" spans="1:39" thickBot="1" x14ac:dyDescent="0.3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79"/>
      <c r="J32" s="79"/>
      <c r="K32" s="79"/>
      <c r="L32" s="79"/>
      <c r="M32" s="79"/>
      <c r="Q32" s="12"/>
      <c r="R32" s="10" t="s">
        <v>2</v>
      </c>
      <c r="S32" s="9"/>
      <c r="T32" s="9"/>
      <c r="U32" s="9"/>
      <c r="V32" s="9"/>
      <c r="W32" s="9"/>
      <c r="Y32" s="67" t="s">
        <v>161</v>
      </c>
    </row>
    <row r="33" spans="1:34" x14ac:dyDescent="0.25">
      <c r="A33" s="3">
        <v>1</v>
      </c>
      <c r="B33" s="17">
        <f ref="B33:G37" si="53" t="shared">B6/$G$10</f>
        <v>5.2937217848959689E-2</v>
      </c>
      <c r="C33" s="17">
        <f si="53" t="shared"/>
        <v>0.23056645470062509</v>
      </c>
      <c r="D33" s="17">
        <f si="53" t="shared"/>
        <v>3.2437802332889606E-2</v>
      </c>
      <c r="E33" s="17">
        <f si="53" t="shared"/>
        <v>5.1831383048326699E-3</v>
      </c>
      <c r="F33" s="17">
        <f si="53" t="shared"/>
        <v>2.0800536290263298E-3</v>
      </c>
      <c r="G33" s="17">
        <f si="53" t="shared"/>
        <v>0.32320466681633336</v>
      </c>
      <c r="I33" s="79"/>
      <c r="J33" s="79"/>
      <c r="K33" s="79"/>
      <c r="L33" s="79"/>
      <c r="M33" s="79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7" t="s">
        <v>131</v>
      </c>
      <c r="Z33" s="68" t="s">
        <v>163</v>
      </c>
      <c r="AA33" s="69" t="s">
        <v>160</v>
      </c>
    </row>
    <row r="34" spans="1:34" x14ac:dyDescent="0.25">
      <c r="A34" s="3">
        <v>2</v>
      </c>
      <c r="B34" s="17">
        <f si="53" t="shared"/>
        <v>7.3731142561255115E-3</v>
      </c>
      <c r="C34" s="17">
        <f si="53" t="shared"/>
        <v>8.1600496490772764E-2</v>
      </c>
      <c r="D34" s="17">
        <f si="53" t="shared"/>
        <v>0.33266126461302298</v>
      </c>
      <c r="E34" s="17">
        <f si="53" t="shared"/>
        <v>8.6282079823293889E-2</v>
      </c>
      <c r="F34" s="17">
        <f si="53" t="shared"/>
        <v>2.8041268567438098E-2</v>
      </c>
      <c r="G34" s="17">
        <f si="53" t="shared"/>
        <v>0.53595822375065316</v>
      </c>
      <c r="I34" s="109" t="s">
        <v>186</v>
      </c>
      <c r="J34" s="79"/>
      <c r="K34" s="79"/>
      <c r="L34" s="79"/>
      <c r="M34" s="79"/>
      <c r="Q34" s="3">
        <v>1</v>
      </c>
      <c r="R34" s="111">
        <f>R25-J25</f>
        <v>-3.5485820181290623E-4</v>
      </c>
      <c r="S34" s="111">
        <f ref="S34:W34" si="54" t="shared">S25-K25</f>
        <v>2.1602545514648464E-4</v>
      </c>
      <c r="T34" s="111">
        <f si="54" t="shared"/>
        <v>7.0172248245910229E-5</v>
      </c>
      <c r="U34" s="111">
        <f si="54" t="shared"/>
        <v>1.0597702479018482E-4</v>
      </c>
      <c r="V34" s="111">
        <f si="54" t="shared"/>
        <v>-3.7316526369648301E-5</v>
      </c>
      <c r="W34" s="111">
        <f si="54" t="shared"/>
        <v>0</v>
      </c>
      <c r="Y34" s="4">
        <f>B16+B17+C17+B18+C18+D18+B19+C19+D19+E19</f>
        <v>145747.60501784421</v>
      </c>
      <c r="Z34" s="70">
        <f>J16+J17+K17+J18+K18+L18+J19+K19+L19+M19</f>
        <v>128607.12953635641</v>
      </c>
      <c r="AA34" s="71">
        <f>R16+R17+S17+R18+S18+T18+R19+S19+T19+U19</f>
        <v>127324</v>
      </c>
      <c r="AH34" s="4"/>
    </row>
    <row ht="15.75" r="35" spans="1:34" thickBot="1" x14ac:dyDescent="0.3">
      <c r="A35" s="3">
        <v>3</v>
      </c>
      <c r="B35" s="17">
        <f si="53" t="shared"/>
        <v>1.094639361830735E-3</v>
      </c>
      <c r="C35" s="17">
        <f si="53" t="shared"/>
        <v>7.0210253081838111E-3</v>
      </c>
      <c r="D35" s="17">
        <f si="53" t="shared"/>
        <v>2.4134951221440663E-2</v>
      </c>
      <c r="E35" s="17">
        <f si="53" t="shared"/>
        <v>5.0871322459943566E-2</v>
      </c>
      <c r="F35" s="17">
        <f si="53" t="shared"/>
        <v>1.6756976080203559E-2</v>
      </c>
      <c r="G35" s="17">
        <f si="53" t="shared"/>
        <v>9.9878914431602336E-2</v>
      </c>
      <c r="I35" s="79"/>
      <c r="J35" s="110"/>
      <c r="K35" s="79"/>
      <c r="L35" s="79"/>
      <c r="M35" s="79"/>
      <c r="Q35" s="3">
        <v>2</v>
      </c>
      <c r="R35" s="111">
        <f ref="R35:R38" si="55" t="shared">R26-J26</f>
        <v>-8.2597411680008018E-5</v>
      </c>
      <c r="S35" s="111">
        <f ref="S35:S38" si="56" t="shared">S26-K26</f>
        <v>-7.1300031121737661E-4</v>
      </c>
      <c r="T35" s="111">
        <f ref="T35:T38" si="57" t="shared">T26-L26</f>
        <v>5.5797651621197764E-4</v>
      </c>
      <c r="U35" s="111">
        <f ref="U35:U38" si="58" t="shared">U26-M26</f>
        <v>1.2012221084890806E-4</v>
      </c>
      <c r="V35" s="111">
        <f ref="V35:V38" si="59" t="shared">V26-N26</f>
        <v>1.1749899583649373E-4</v>
      </c>
      <c r="W35" s="111">
        <f ref="W35:W38" si="60" t="shared">W26-O26</f>
        <v>0</v>
      </c>
      <c r="Z35" s="72"/>
      <c r="AA35" s="73">
        <f>(AA34-Z34)/Z34</f>
        <v>-9.9771260036845832E-3</v>
      </c>
    </row>
    <row r="36" spans="1:34" x14ac:dyDescent="0.25">
      <c r="A36" s="5" t="s">
        <v>3</v>
      </c>
      <c r="B36" s="18">
        <f si="53" t="shared"/>
        <v>1.7891066873967768E-4</v>
      </c>
      <c r="C36" s="18">
        <f si="53" t="shared"/>
        <v>4.9428137754125422E-3</v>
      </c>
      <c r="D36" s="18">
        <f si="53" t="shared"/>
        <v>5.0393276676818782E-3</v>
      </c>
      <c r="E36" s="18">
        <f si="53" t="shared"/>
        <v>1.7697150657614187E-2</v>
      </c>
      <c r="F36" s="18">
        <f si="53" t="shared"/>
        <v>1.30999922319626E-2</v>
      </c>
      <c r="G36" s="18">
        <f si="53" t="shared"/>
        <v>4.0958195001410881E-2</v>
      </c>
      <c r="I36" s="79"/>
      <c r="J36" s="110"/>
      <c r="K36" s="79"/>
      <c r="L36" s="79"/>
      <c r="M36" s="79"/>
      <c r="Q36" s="3">
        <v>3</v>
      </c>
      <c r="R36" s="111">
        <f si="55" t="shared"/>
        <v>-1.7311087900471079E-5</v>
      </c>
      <c r="S36" s="111">
        <f si="56" t="shared"/>
        <v>-1.8626469924779357E-4</v>
      </c>
      <c r="T36" s="111">
        <f si="57" t="shared"/>
        <v>-1.8125816467524231E-4</v>
      </c>
      <c r="U36" s="111">
        <f si="58" t="shared"/>
        <v>9.0572112321163356E-5</v>
      </c>
      <c r="V36" s="111">
        <f si="59" t="shared"/>
        <v>2.942618395023501E-4</v>
      </c>
      <c r="W36" s="111">
        <f si="60" t="shared"/>
        <v>0</v>
      </c>
    </row>
    <row ht="15.75" r="37" spans="1:34" thickBot="1" x14ac:dyDescent="0.3">
      <c r="A37" s="7" t="s">
        <v>4</v>
      </c>
      <c r="B37" s="19">
        <f si="53" t="shared"/>
        <v>6.1583882135655611E-2</v>
      </c>
      <c r="C37" s="19">
        <f si="53" t="shared"/>
        <v>0.32413079027499425</v>
      </c>
      <c r="D37" s="19">
        <f si="53" t="shared"/>
        <v>0.39427334583503509</v>
      </c>
      <c r="E37" s="19">
        <f si="53" t="shared"/>
        <v>0.16003369124568434</v>
      </c>
      <c r="F37" s="19">
        <f si="53" t="shared"/>
        <v>5.9978290508630586E-2</v>
      </c>
      <c r="G37" s="19">
        <f si="53" t="shared"/>
        <v>1</v>
      </c>
      <c r="I37" s="79"/>
      <c r="J37" s="110"/>
      <c r="K37" s="79"/>
      <c r="L37" s="79"/>
      <c r="M37" s="79"/>
      <c r="Q37" s="5" t="s">
        <v>3</v>
      </c>
      <c r="R37" s="112">
        <f si="55" t="shared"/>
        <v>-2.9159326401382874E-5</v>
      </c>
      <c r="S37" s="112">
        <f si="56" t="shared"/>
        <v>-1.3179665815907932E-5</v>
      </c>
      <c r="T37" s="112">
        <f si="57" t="shared"/>
        <v>-2.0691411051400321E-4</v>
      </c>
      <c r="U37" s="112">
        <f si="58" t="shared"/>
        <v>-2.378086637595464E-4</v>
      </c>
      <c r="V37" s="112">
        <f si="59" t="shared"/>
        <v>4.8706176649083305E-4</v>
      </c>
      <c r="W37" s="112">
        <f si="60" t="shared"/>
        <v>0</v>
      </c>
    </row>
    <row ht="15.75" r="38" spans="1:34" thickBot="1" x14ac:dyDescent="0.3">
      <c r="I38" s="79"/>
      <c r="J38" s="110"/>
      <c r="K38" s="79"/>
      <c r="L38" s="79"/>
      <c r="M38" s="79"/>
      <c r="Q38" s="7" t="s">
        <v>4</v>
      </c>
      <c r="R38" s="113">
        <f si="55" t="shared"/>
        <v>-4.83926027794776E-4</v>
      </c>
      <c r="S38" s="113">
        <f si="56" t="shared"/>
        <v>-6.9641922113466981E-4</v>
      </c>
      <c r="T38" s="113">
        <f si="57" t="shared"/>
        <v>2.3997648926865622E-4</v>
      </c>
      <c r="U38" s="113">
        <f si="58" t="shared"/>
        <v>7.8862684200708966E-5</v>
      </c>
      <c r="V38" s="113">
        <f si="59" t="shared"/>
        <v>8.6150607546002511E-4</v>
      </c>
      <c r="W38" s="113">
        <f si="60" t="shared"/>
        <v>0</v>
      </c>
    </row>
    <row r="39" spans="1:34" x14ac:dyDescent="0.25">
      <c r="I39" s="79"/>
      <c r="J39" s="110"/>
      <c r="K39" s="79"/>
      <c r="L39" s="79"/>
      <c r="M39" s="79"/>
    </row>
    <row r="40" spans="1:34" x14ac:dyDescent="0.25">
      <c r="I40" s="79"/>
      <c r="J40" s="110"/>
      <c r="K40" s="79"/>
      <c r="L40" s="79"/>
      <c r="M40" s="79"/>
    </row>
    <row r="41" spans="1:34" x14ac:dyDescent="0.25">
      <c r="I41" s="79"/>
      <c r="J41" s="110"/>
      <c r="K41" s="79"/>
      <c r="L41" s="79"/>
      <c r="M41" s="79"/>
    </row>
    <row r="42" spans="1:34" x14ac:dyDescent="0.25">
      <c r="I42" s="79"/>
      <c r="J42" s="110"/>
      <c r="K42" s="79"/>
      <c r="L42" s="79"/>
      <c r="M42" s="79"/>
    </row>
    <row r="43" spans="1:34" x14ac:dyDescent="0.25">
      <c r="J43" s="4"/>
    </row>
    <row r="44" spans="1:34" x14ac:dyDescent="0.25">
      <c r="J44" s="4"/>
    </row>
    <row r="45" spans="1:34" x14ac:dyDescent="0.25">
      <c r="J45" s="4"/>
    </row>
    <row r="47" spans="1:34" x14ac:dyDescent="0.25">
      <c r="J47" s="4"/>
    </row>
    <row r="48" spans="1:34" x14ac:dyDescent="0.25">
      <c r="J48" s="4"/>
    </row>
    <row r="49" spans="10:10" x14ac:dyDescent="0.25">
      <c r="J49" s="4"/>
    </row>
    <row r="50" spans="10:10" x14ac:dyDescent="0.25">
      <c r="J50" s="4"/>
    </row>
    <row r="51" spans="10:10" x14ac:dyDescent="0.25">
      <c r="J51" s="4"/>
    </row>
    <row r="52" spans="10:10" x14ac:dyDescent="0.25">
      <c r="J52" s="4"/>
    </row>
    <row r="53" spans="10:10" x14ac:dyDescent="0.25">
      <c r="J53" s="4"/>
    </row>
    <row r="54" spans="10:10" x14ac:dyDescent="0.25">
      <c r="J54" s="4"/>
    </row>
    <row r="55" spans="10:10" x14ac:dyDescent="0.25">
      <c r="J55" s="4"/>
    </row>
    <row r="56" spans="10:10" x14ac:dyDescent="0.25">
      <c r="J56" s="4"/>
    </row>
    <row r="57" spans="10:10" x14ac:dyDescent="0.25">
      <c r="J57" s="4"/>
    </row>
    <row r="58" spans="10:10" x14ac:dyDescent="0.25">
      <c r="J58" s="4"/>
    </row>
    <row r="59" spans="10:10" x14ac:dyDescent="0.25">
      <c r="J59" s="4"/>
    </row>
    <row r="60" spans="10:10" x14ac:dyDescent="0.25">
      <c r="J60" s="4"/>
    </row>
    <row r="61" spans="10:10" x14ac:dyDescent="0.25">
      <c r="J61" s="4"/>
    </row>
    <row r="62" spans="10:10" x14ac:dyDescent="0.25">
      <c r="J62" s="4"/>
    </row>
    <row r="63" spans="10:10" x14ac:dyDescent="0.25">
      <c r="J63" s="4"/>
    </row>
    <row r="64" spans="10:10" x14ac:dyDescent="0.25">
      <c r="J64" s="4"/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8" t="s">
        <v>153</v>
      </c>
    </row>
    <row r="2" spans="1:10" x14ac:dyDescent="0.25">
      <c r="A2">
        <v>1</v>
      </c>
      <c r="B2" t="s">
        <v>175</v>
      </c>
    </row>
    <row r="3" spans="1:10" x14ac:dyDescent="0.25">
      <c r="A3">
        <v>2</v>
      </c>
      <c r="B3" t="s">
        <v>154</v>
      </c>
    </row>
    <row r="4" spans="1:10" x14ac:dyDescent="0.25">
      <c r="A4">
        <v>3</v>
      </c>
      <c r="B4" t="s">
        <v>155</v>
      </c>
    </row>
    <row r="5" spans="1:10" x14ac:dyDescent="0.25">
      <c r="A5">
        <v>4</v>
      </c>
      <c r="B5" t="s">
        <v>156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1">
        <v>0.46995370370370365</v>
      </c>
      <c r="G9" t="s">
        <v>149</v>
      </c>
      <c r="H9">
        <v>3</v>
      </c>
      <c r="I9" t="s">
        <v>150</v>
      </c>
      <c r="J9">
        <v>12</v>
      </c>
    </row>
    <row r="10" spans="1:10" x14ac:dyDescent="0.25">
      <c r="A10" t="s">
        <v>151</v>
      </c>
    </row>
    <row r="11" spans="1:10" x14ac:dyDescent="0.25">
      <c r="B11">
        <v>1</v>
      </c>
      <c r="C11" t="s">
        <v>24</v>
      </c>
      <c r="D11" t="s">
        <v>25</v>
      </c>
      <c r="E11">
        <v>-3.3176163868300002</v>
      </c>
    </row>
    <row r="12" spans="1:10" x14ac:dyDescent="0.25">
      <c r="B12">
        <v>2</v>
      </c>
      <c r="C12" t="s">
        <v>26</v>
      </c>
      <c r="D12" t="s">
        <v>25</v>
      </c>
      <c r="E12">
        <v>-1.77178117862</v>
      </c>
    </row>
    <row r="13" spans="1:10" x14ac:dyDescent="0.25">
      <c r="B13">
        <v>3</v>
      </c>
      <c r="C13" t="s">
        <v>27</v>
      </c>
      <c r="D13" t="s">
        <v>25</v>
      </c>
      <c r="E13">
        <v>-3.5796446096199999</v>
      </c>
    </row>
    <row r="14" spans="1:10" x14ac:dyDescent="0.25">
      <c r="B14">
        <v>4</v>
      </c>
      <c r="C14" t="s">
        <v>28</v>
      </c>
      <c r="D14" t="s">
        <v>25</v>
      </c>
      <c r="E14">
        <v>-4.5883043624499997</v>
      </c>
    </row>
    <row r="15" spans="1:10" x14ac:dyDescent="0.25">
      <c r="B15">
        <v>5</v>
      </c>
      <c r="C15" t="s">
        <v>29</v>
      </c>
      <c r="D15" t="s">
        <v>25</v>
      </c>
      <c r="E15">
        <v>-2.82503088619</v>
      </c>
    </row>
    <row r="16" spans="1:10" x14ac:dyDescent="0.25">
      <c r="B16">
        <v>6</v>
      </c>
      <c r="C16" t="s">
        <v>30</v>
      </c>
      <c r="D16" t="s">
        <v>25</v>
      </c>
      <c r="E16">
        <v>-1.06957695406</v>
      </c>
    </row>
    <row r="17" spans="2:5" x14ac:dyDescent="0.25">
      <c r="B17">
        <v>7</v>
      </c>
      <c r="C17" t="s">
        <v>31</v>
      </c>
      <c r="D17" t="s">
        <v>25</v>
      </c>
      <c r="E17">
        <v>-1.4032195834500001</v>
      </c>
    </row>
    <row r="18" spans="2:5" x14ac:dyDescent="0.25">
      <c r="B18">
        <v>8</v>
      </c>
      <c r="C18" t="s">
        <v>32</v>
      </c>
      <c r="D18" t="s">
        <v>25</v>
      </c>
      <c r="E18">
        <v>-2.6756212753500002</v>
      </c>
    </row>
    <row r="19" spans="2:5" x14ac:dyDescent="0.25">
      <c r="B19">
        <v>9</v>
      </c>
      <c r="C19" t="s">
        <v>33</v>
      </c>
      <c r="D19" t="s">
        <v>25</v>
      </c>
      <c r="E19">
        <v>-2.04450057756</v>
      </c>
    </row>
    <row r="20" spans="2:5" x14ac:dyDescent="0.25">
      <c r="B20">
        <v>10</v>
      </c>
      <c r="C20" t="s">
        <v>34</v>
      </c>
      <c r="D20" t="s">
        <v>25</v>
      </c>
      <c r="E20">
        <v>-0.80986141019000002</v>
      </c>
    </row>
    <row r="21" spans="2:5" x14ac:dyDescent="0.25">
      <c r="B21">
        <v>11</v>
      </c>
      <c r="C21" t="s">
        <v>35</v>
      </c>
      <c r="D21" t="s">
        <v>25</v>
      </c>
      <c r="E21">
        <v>-0.21274343716999999</v>
      </c>
    </row>
    <row r="22" spans="2:5" x14ac:dyDescent="0.25">
      <c r="B22">
        <v>12</v>
      </c>
      <c r="C22" t="s">
        <v>36</v>
      </c>
      <c r="D22" t="s">
        <v>25</v>
      </c>
      <c r="E22">
        <v>-0.63673616750999995</v>
      </c>
    </row>
    <row r="23" spans="2:5" x14ac:dyDescent="0.25">
      <c r="B23">
        <v>13</v>
      </c>
      <c r="C23" t="s">
        <v>37</v>
      </c>
      <c r="D23" t="s">
        <v>25</v>
      </c>
      <c r="E23">
        <v>-2.6694313388099999</v>
      </c>
    </row>
    <row r="24" spans="2:5" x14ac:dyDescent="0.25">
      <c r="B24">
        <v>14</v>
      </c>
      <c r="C24" t="s">
        <v>38</v>
      </c>
      <c r="D24" t="s">
        <v>25</v>
      </c>
      <c r="E24">
        <v>-1.32138461854</v>
      </c>
    </row>
    <row r="25" spans="2:5" x14ac:dyDescent="0.25">
      <c r="B25">
        <v>15</v>
      </c>
      <c r="C25" t="s">
        <v>39</v>
      </c>
      <c r="D25" t="s">
        <v>25</v>
      </c>
      <c r="E25">
        <v>-1.09321324208</v>
      </c>
    </row>
    <row r="26" spans="2:5" x14ac:dyDescent="0.25">
      <c r="B26">
        <v>16</v>
      </c>
      <c r="C26" t="s">
        <v>40</v>
      </c>
      <c r="D26" t="s">
        <v>25</v>
      </c>
      <c r="E26">
        <v>-0.73048377918999996</v>
      </c>
    </row>
    <row r="27" spans="2:5" x14ac:dyDescent="0.25">
      <c r="B27">
        <v>18</v>
      </c>
      <c r="C27" t="s">
        <v>41</v>
      </c>
      <c r="D27" t="s">
        <v>25</v>
      </c>
      <c r="E27">
        <v>0.36944889932000002</v>
      </c>
    </row>
    <row r="28" spans="2:5" x14ac:dyDescent="0.25">
      <c r="B28">
        <v>19</v>
      </c>
      <c r="C28" t="s">
        <v>42</v>
      </c>
      <c r="D28" t="s">
        <v>25</v>
      </c>
      <c r="E28">
        <v>0.69903044631</v>
      </c>
    </row>
    <row r="29" spans="2:5" x14ac:dyDescent="0.25">
      <c r="B29">
        <v>20</v>
      </c>
      <c r="C29" t="s">
        <v>43</v>
      </c>
      <c r="D29" t="s">
        <v>25</v>
      </c>
      <c r="E29">
        <v>0.32485446959999997</v>
      </c>
    </row>
    <row r="30" spans="2:5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5" x14ac:dyDescent="0.25">
      <c r="B31">
        <v>24</v>
      </c>
      <c r="C31" t="s">
        <v>45</v>
      </c>
      <c r="D31" t="s">
        <v>25</v>
      </c>
      <c r="E31">
        <v>0.23901973431000001</v>
      </c>
    </row>
    <row r="32" spans="2:5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</row>
    <row r="51" spans="2:6" x14ac:dyDescent="0.25">
      <c r="B51">
        <v>49</v>
      </c>
      <c r="C51" t="s">
        <v>65</v>
      </c>
      <c r="D51" t="s">
        <v>25</v>
      </c>
      <c r="E51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152</v>
      </c>
      <c r="D73" t="s">
        <v>149</v>
      </c>
      <c r="E73">
        <v>3</v>
      </c>
      <c r="F73" t="s">
        <v>150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15" workbookViewId="0" zoomScaleNormal="100">
      <selection activeCell="R40" sqref="R40:V42"/>
    </sheetView>
  </sheetViews>
  <sheetFormatPr defaultRowHeight="15" x14ac:dyDescent="0.25"/>
  <cols>
    <col min="17" max="17" bestFit="true" customWidth="true" width="14.425781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0.0" collapsed="true"/>
    <col min="35" max="36" bestFit="true" customWidth="true" width="15.42578125" collapsed="true"/>
  </cols>
  <sheetData>
    <row r="1" spans="1:37" x14ac:dyDescent="0.25">
      <c r="AG1" s="58" t="s">
        <v>176</v>
      </c>
    </row>
    <row r="2" spans="1:37" x14ac:dyDescent="0.25">
      <c r="C2" t="s">
        <v>189</v>
      </c>
      <c r="K2" t="str">
        <f>C2</f>
        <v>OBS (2013-17 ACS)</v>
      </c>
      <c r="S2" t="s">
        <v>160</v>
      </c>
      <c r="AI2" t="s">
        <v>157</v>
      </c>
      <c r="AJ2" t="s">
        <v>158</v>
      </c>
      <c r="AK2" t="s">
        <v>190</v>
      </c>
    </row>
    <row r="3" spans="1:37" x14ac:dyDescent="0.25">
      <c r="A3" s="95" t="s">
        <v>188</v>
      </c>
      <c r="B3" s="80"/>
      <c r="C3" s="80"/>
      <c r="D3" s="80"/>
      <c r="E3" s="80"/>
      <c r="F3" s="80"/>
      <c r="G3" s="80"/>
      <c r="H3" s="80"/>
      <c r="I3" s="95" t="s">
        <v>168</v>
      </c>
      <c r="J3" s="80"/>
      <c r="K3" s="80"/>
      <c r="L3" s="80"/>
      <c r="M3" s="80"/>
      <c r="N3" s="80"/>
      <c r="O3" s="80"/>
      <c r="P3" s="80"/>
      <c r="Q3" s="95" t="s">
        <v>169</v>
      </c>
      <c r="R3" s="80"/>
      <c r="S3" s="80"/>
      <c r="T3" s="80"/>
      <c r="U3" s="80"/>
      <c r="V3" s="80"/>
      <c r="W3" s="80"/>
      <c r="AB3" t="s">
        <v>166</v>
      </c>
      <c r="AC3" s="114">
        <v>1</v>
      </c>
      <c r="AG3" s="106">
        <f>VehAvailCoefficient!B11</f>
        <v>1</v>
      </c>
      <c r="AH3" s="106" t="str">
        <f>VehAvailCoefficient!C11</f>
        <v>Beta00001</v>
      </c>
      <c r="AI3" s="107">
        <f>VehAvailCoefficient!E11</f>
        <v>-3.3176163868300002</v>
      </c>
      <c r="AJ3" s="63">
        <f>_xlfn.IFNA(VLOOKUP(AG3,$Y$5:$AE$22,7,FALSE),AI3)</f>
        <v>-3.3060589502315074</v>
      </c>
      <c r="AK3">
        <f>IF(AI3=AJ3,0,1)</f>
        <v>1</v>
      </c>
    </row>
    <row ht="15.75" r="4" spans="1:37" thickBot="1" x14ac:dyDescent="0.3">
      <c r="A4" s="94" t="s">
        <v>135</v>
      </c>
      <c r="B4" s="82" t="s">
        <v>2</v>
      </c>
      <c r="C4" s="83"/>
      <c r="D4" s="83"/>
      <c r="E4" s="83"/>
      <c r="F4" s="83"/>
      <c r="G4" s="83"/>
      <c r="H4" s="83"/>
      <c r="I4" s="94" t="s">
        <v>135</v>
      </c>
      <c r="J4" s="82" t="s">
        <v>2</v>
      </c>
      <c r="K4" s="83"/>
      <c r="L4" s="83"/>
      <c r="M4" s="83"/>
      <c r="N4" s="83"/>
      <c r="O4" s="83"/>
      <c r="P4" s="80"/>
      <c r="Q4" s="94" t="str">
        <f>A4</f>
        <v>Count</v>
      </c>
      <c r="R4" s="82" t="s">
        <v>2</v>
      </c>
      <c r="S4" s="83"/>
      <c r="T4" s="83"/>
      <c r="U4" s="83"/>
      <c r="V4" s="83"/>
      <c r="W4" s="83"/>
      <c r="AG4" s="106">
        <f>VehAvailCoefficient!B12</f>
        <v>2</v>
      </c>
      <c r="AH4" s="106" t="str">
        <f>VehAvailCoefficient!C12</f>
        <v>Beta00002</v>
      </c>
      <c r="AI4" s="107">
        <f>VehAvailCoefficient!E12</f>
        <v>-1.77178117862</v>
      </c>
      <c r="AJ4" s="63">
        <f ref="AJ4:AJ62" si="0" t="shared">_xlfn.IFNA(VLOOKUP(AG4,$Y$5:$AE$22,7,FALSE),AI4)</f>
        <v>-1.7723445461378022</v>
      </c>
      <c r="AK4">
        <f ref="AK4:AK62" si="1" t="shared">IF(AI4=AJ4,0,1)</f>
        <v>1</v>
      </c>
    </row>
    <row r="5" spans="1:37" x14ac:dyDescent="0.25">
      <c r="A5" s="84" t="s">
        <v>1</v>
      </c>
      <c r="B5" s="85">
        <v>0</v>
      </c>
      <c r="C5" s="85">
        <v>1</v>
      </c>
      <c r="D5" s="85">
        <v>2</v>
      </c>
      <c r="E5" s="85">
        <v>3</v>
      </c>
      <c r="F5" s="85" t="s">
        <v>3</v>
      </c>
      <c r="G5" s="85" t="s">
        <v>4</v>
      </c>
      <c r="H5" s="99"/>
      <c r="I5" s="84" t="s">
        <v>1</v>
      </c>
      <c r="J5" s="85">
        <v>0</v>
      </c>
      <c r="K5" s="85">
        <v>1</v>
      </c>
      <c r="L5" s="85">
        <v>2</v>
      </c>
      <c r="M5" s="85">
        <v>3</v>
      </c>
      <c r="N5" s="85" t="s">
        <v>3</v>
      </c>
      <c r="O5" s="85" t="s">
        <v>4</v>
      </c>
      <c r="P5" s="80"/>
      <c r="Q5" s="84" t="s">
        <v>162</v>
      </c>
      <c r="R5" s="85">
        <v>0</v>
      </c>
      <c r="S5" s="85">
        <v>1</v>
      </c>
      <c r="T5" s="85">
        <v>2</v>
      </c>
      <c r="U5" s="85">
        <v>3</v>
      </c>
      <c r="V5" s="85" t="s">
        <v>3</v>
      </c>
      <c r="W5" s="85" t="s">
        <v>4</v>
      </c>
      <c r="Y5" s="59" t="s">
        <v>137</v>
      </c>
      <c r="Z5" s="59" t="s">
        <v>171</v>
      </c>
      <c r="AA5" s="59" t="s">
        <v>87</v>
      </c>
      <c r="AB5" s="59" t="s">
        <v>138</v>
      </c>
      <c r="AC5" s="59" t="s">
        <v>139</v>
      </c>
      <c r="AD5" s="59" t="s">
        <v>140</v>
      </c>
      <c r="AE5" s="59" t="s">
        <v>141</v>
      </c>
      <c r="AG5" s="106">
        <f>VehAvailCoefficient!B13</f>
        <v>3</v>
      </c>
      <c r="AH5" s="106" t="str">
        <f>VehAvailCoefficient!C13</f>
        <v>Beta00003</v>
      </c>
      <c r="AI5" s="107">
        <f>VehAvailCoefficient!E13</f>
        <v>-3.5796446096199999</v>
      </c>
      <c r="AJ5" s="63">
        <f si="0" t="shared"/>
        <v>-3.5924573071586114</v>
      </c>
      <c r="AK5">
        <f si="1" t="shared"/>
        <v>1</v>
      </c>
    </row>
    <row r="6" spans="1:37" x14ac:dyDescent="0.25">
      <c r="A6" s="86">
        <v>1</v>
      </c>
      <c r="B6" s="87">
        <f>Vehicles_by_HHDrivers!J16</f>
        <v>21374.148302737045</v>
      </c>
      <c r="C6" s="87">
        <f>Vehicles_by_HHDrivers!K16</f>
        <v>141540.93746537139</v>
      </c>
      <c r="D6" s="87">
        <f>Vehicles_by_HHDrivers!L16</f>
        <v>29053.477532966423</v>
      </c>
      <c r="E6" s="87">
        <f>Vehicles_by_HHDrivers!M16</f>
        <v>4845.7603331732726</v>
      </c>
      <c r="F6" s="87">
        <f>Vehicles_by_HHDrivers!N16</f>
        <v>1731.6763657518561</v>
      </c>
      <c r="G6" s="87">
        <f>SUM(B6:F6)</f>
        <v>198545.99999999997</v>
      </c>
      <c r="H6" s="87"/>
      <c r="I6" s="86">
        <v>1</v>
      </c>
      <c r="J6" s="87">
        <f>B6*($W6/$G6)</f>
        <v>21374.148302737049</v>
      </c>
      <c r="K6" s="87">
        <f ref="K6:K10" si="2" t="shared">C6*($W6/$G6)</f>
        <v>141540.93746537142</v>
      </c>
      <c r="L6" s="87">
        <f ref="L6:L10" si="3" t="shared">D6*($W6/$G6)</f>
        <v>29053.47753296643</v>
      </c>
      <c r="M6" s="87">
        <f ref="M6:M10" si="4" t="shared">E6*($W6/$G6)</f>
        <v>4845.7603331732735</v>
      </c>
      <c r="N6" s="87">
        <f ref="N6:N10" si="5" t="shared">F6*($W6/$G6)</f>
        <v>1731.6763657518566</v>
      </c>
      <c r="O6" s="87">
        <f ref="O6:O10" si="6" t="shared">G6*($W6/$G6)</f>
        <v>198546.00000000003</v>
      </c>
      <c r="P6" s="80"/>
      <c r="Q6" s="86">
        <v>1</v>
      </c>
      <c r="R6" s="87">
        <f>Vehicles_by_HHDrivers!R16</f>
        <v>21149</v>
      </c>
      <c r="S6" s="87">
        <f>Vehicles_by_HHDrivers!S16</f>
        <v>141678</v>
      </c>
      <c r="T6" s="87">
        <f>Vehicles_by_HHDrivers!T16</f>
        <v>29098</v>
      </c>
      <c r="U6" s="87">
        <f>Vehicles_by_HHDrivers!U16</f>
        <v>4913</v>
      </c>
      <c r="V6" s="87">
        <f>Vehicles_by_HHDrivers!V16</f>
        <v>1708</v>
      </c>
      <c r="W6" s="87">
        <f>SUM(R6:V6)</f>
        <v>198546</v>
      </c>
      <c r="Y6">
        <v>1</v>
      </c>
      <c r="Z6" s="102">
        <v>0</v>
      </c>
      <c r="AA6" t="s">
        <v>88</v>
      </c>
      <c r="AB6" s="103">
        <f>VLOOKUP(Y6,$AG$3:$AI$62,3,FALSE)</f>
        <v>-3.3176163868300002</v>
      </c>
      <c r="AC6" s="60">
        <f>IF(R15&gt;0,J15/R15,0)</f>
        <v>1.010645813170223</v>
      </c>
      <c r="AD6" s="100">
        <f>IF(AC6&gt;0,(LN(AC6)-AD$26)*$AC$3)</f>
        <v>1.1557436598492534E-2</v>
      </c>
      <c r="AE6" s="100">
        <f>AB6+AD6</f>
        <v>-3.3060589502315074</v>
      </c>
      <c r="AG6" s="106">
        <f>VehAvailCoefficient!B14</f>
        <v>4</v>
      </c>
      <c r="AH6" s="106" t="str">
        <f>VehAvailCoefficient!C14</f>
        <v>Beta00004</v>
      </c>
      <c r="AI6" s="107">
        <f>VehAvailCoefficient!E14</f>
        <v>-4.5883043624499997</v>
      </c>
      <c r="AJ6" s="63">
        <f si="0" t="shared"/>
        <v>-4.5735696298312032</v>
      </c>
      <c r="AK6">
        <f si="1" t="shared"/>
        <v>1</v>
      </c>
    </row>
    <row r="7" spans="1:37" x14ac:dyDescent="0.25">
      <c r="A7" s="86">
        <v>2</v>
      </c>
      <c r="B7" s="87">
        <f>Vehicles_by_HHDrivers!J17</f>
        <v>6851.4059101782614</v>
      </c>
      <c r="C7" s="87">
        <f>Vehicles_by_HHDrivers!K17</f>
        <v>43794.380159459331</v>
      </c>
      <c r="D7" s="87">
        <f>Vehicles_by_HHDrivers!L17</f>
        <v>189448.97840785293</v>
      </c>
      <c r="E7" s="87">
        <f>Vehicles_by_HHDrivers!M17</f>
        <v>50575.785580393844</v>
      </c>
      <c r="F7" s="87">
        <f>Vehicles_by_HHDrivers!N17</f>
        <v>13151.449942115638</v>
      </c>
      <c r="G7" s="87">
        <f ref="G7:G9" si="7" t="shared">SUM(B7:F7)</f>
        <v>303822</v>
      </c>
      <c r="H7" s="87"/>
      <c r="I7" s="86">
        <v>2</v>
      </c>
      <c r="J7" s="87">
        <f ref="J7:J10" si="8" t="shared">B7*($W7/$G7)</f>
        <v>6851.4059101782614</v>
      </c>
      <c r="K7" s="87">
        <f si="2" t="shared"/>
        <v>43794.380159459331</v>
      </c>
      <c r="L7" s="87">
        <f si="3" t="shared"/>
        <v>189448.97840785293</v>
      </c>
      <c r="M7" s="87">
        <f si="4" t="shared"/>
        <v>50575.785580393844</v>
      </c>
      <c r="N7" s="87">
        <f si="5" t="shared"/>
        <v>13151.449942115638</v>
      </c>
      <c r="O7" s="87">
        <f si="6" t="shared"/>
        <v>303822</v>
      </c>
      <c r="P7" s="80"/>
      <c r="Q7" s="86">
        <v>2</v>
      </c>
      <c r="R7" s="87">
        <f>Vehicles_by_HHDrivers!R17</f>
        <v>6799</v>
      </c>
      <c r="S7" s="87">
        <f>Vehicles_by_HHDrivers!S17</f>
        <v>43342</v>
      </c>
      <c r="T7" s="87">
        <f>Vehicles_by_HHDrivers!T17</f>
        <v>189803</v>
      </c>
      <c r="U7" s="87">
        <f>Vehicles_by_HHDrivers!U17</f>
        <v>50652</v>
      </c>
      <c r="V7" s="87">
        <f>Vehicles_by_HHDrivers!V17</f>
        <v>13226</v>
      </c>
      <c r="W7" s="87">
        <f ref="W7:W10" si="9" t="shared">SUM(R7:V7)</f>
        <v>303822</v>
      </c>
      <c r="Y7">
        <v>2</v>
      </c>
      <c r="Z7" s="102">
        <v>2</v>
      </c>
      <c r="AA7" t="s">
        <v>88</v>
      </c>
      <c r="AB7" s="103">
        <f ref="AB7:AB22" si="10" t="shared">VLOOKUP(Y7,$AG$3:$AI$62,3,FALSE)</f>
        <v>-1.77178117862</v>
      </c>
      <c r="AC7" s="60">
        <f>L15/T15</f>
        <v>0.99846991315438938</v>
      </c>
      <c r="AD7" s="100">
        <f ref="AD7:AD8" si="11" t="shared">(LN(AC7)-AD$26)*$AC$3</f>
        <v>-5.6336751780227572E-4</v>
      </c>
      <c r="AE7" s="100">
        <f ref="AE7:AE21" si="12" t="shared">AB7+AD7</f>
        <v>-1.7723445461378022</v>
      </c>
      <c r="AG7" s="106">
        <f>VehAvailCoefficient!B15</f>
        <v>5</v>
      </c>
      <c r="AH7" s="106" t="str">
        <f>VehAvailCoefficient!C15</f>
        <v>Beta00005</v>
      </c>
      <c r="AI7" s="107">
        <f>VehAvailCoefficient!E15</f>
        <v>-2.82503088619</v>
      </c>
      <c r="AJ7" s="63">
        <f si="0" t="shared"/>
        <v>-2.8154856080348099</v>
      </c>
      <c r="AK7">
        <f si="1" t="shared"/>
        <v>1</v>
      </c>
    </row>
    <row r="8" spans="1:37" x14ac:dyDescent="0.25">
      <c r="A8" s="86">
        <v>3</v>
      </c>
      <c r="B8" s="87">
        <f>Vehicles_by_HHDrivers!J18</f>
        <v>1442.9834351845634</v>
      </c>
      <c r="C8" s="87">
        <f>Vehicles_by_HHDrivers!K18</f>
        <v>7035.1801087905442</v>
      </c>
      <c r="D8" s="87">
        <f>Vehicles_by_HHDrivers!L18</f>
        <v>20518.003592774159</v>
      </c>
      <c r="E8" s="87">
        <f>Vehicles_by_HHDrivers!M18</f>
        <v>32988.534349607144</v>
      </c>
      <c r="F8" s="87">
        <f>Vehicles_by_HHDrivers!N18</f>
        <v>13764.298513643587</v>
      </c>
      <c r="G8" s="87">
        <f si="7" t="shared"/>
        <v>75749</v>
      </c>
      <c r="H8" s="87"/>
      <c r="I8" s="86">
        <v>3</v>
      </c>
      <c r="J8" s="87">
        <f si="8" t="shared"/>
        <v>1442.9834351845634</v>
      </c>
      <c r="K8" s="87">
        <f si="2" t="shared"/>
        <v>7035.1801087905442</v>
      </c>
      <c r="L8" s="87">
        <f si="3" t="shared"/>
        <v>20518.003592774159</v>
      </c>
      <c r="M8" s="87">
        <f si="4" t="shared"/>
        <v>32988.534349607144</v>
      </c>
      <c r="N8" s="87">
        <f si="5" t="shared"/>
        <v>13764.298513643587</v>
      </c>
      <c r="O8" s="87">
        <f si="6" t="shared"/>
        <v>75749</v>
      </c>
      <c r="P8" s="80"/>
      <c r="Q8" s="86">
        <v>3</v>
      </c>
      <c r="R8" s="87">
        <f>Vehicles_by_HHDrivers!R18</f>
        <v>1432</v>
      </c>
      <c r="S8" s="87">
        <f>Vehicles_by_HHDrivers!S18</f>
        <v>6917</v>
      </c>
      <c r="T8" s="87">
        <f>Vehicles_by_HHDrivers!T18</f>
        <v>20403</v>
      </c>
      <c r="U8" s="87">
        <f>Vehicles_by_HHDrivers!U18</f>
        <v>33046</v>
      </c>
      <c r="V8" s="87">
        <f>Vehicles_by_HHDrivers!V18</f>
        <v>13951</v>
      </c>
      <c r="W8" s="87">
        <f si="9" t="shared"/>
        <v>75749</v>
      </c>
      <c r="Y8">
        <v>3</v>
      </c>
      <c r="Z8" s="102">
        <v>3</v>
      </c>
      <c r="AA8" t="s">
        <v>88</v>
      </c>
      <c r="AB8" s="103">
        <f si="10" t="shared"/>
        <v>-3.5796446096199999</v>
      </c>
      <c r="AC8" s="60">
        <f>M15/U15</f>
        <v>0.98631392899924142</v>
      </c>
      <c r="AD8" s="100">
        <f si="11" t="shared"/>
        <v>-1.2812697538611533E-2</v>
      </c>
      <c r="AE8" s="100">
        <f si="12" t="shared"/>
        <v>-3.5924573071586114</v>
      </c>
      <c r="AG8" s="106">
        <f>VehAvailCoefficient!B16</f>
        <v>6</v>
      </c>
      <c r="AH8" s="106" t="str">
        <f>VehAvailCoefficient!C16</f>
        <v>Beta00006</v>
      </c>
      <c r="AI8" s="107">
        <f>VehAvailCoefficient!E16</f>
        <v>-1.06957695406</v>
      </c>
      <c r="AJ8" s="63">
        <f si="0" t="shared"/>
        <v>-1.0573266464385063</v>
      </c>
      <c r="AK8">
        <f si="1" t="shared"/>
        <v>1</v>
      </c>
    </row>
    <row r="9" spans="1:37" x14ac:dyDescent="0.25">
      <c r="A9" s="88" t="s">
        <v>3</v>
      </c>
      <c r="B9" s="87">
        <f>Vehicles_by_HHDrivers!J19</f>
        <v>528.50083445919097</v>
      </c>
      <c r="C9" s="87">
        <f>Vehicles_by_HHDrivers!K19</f>
        <v>3941.3621552888821</v>
      </c>
      <c r="D9" s="87">
        <f>Vehicles_by_HHDrivers!L19</f>
        <v>8399.2816233542617</v>
      </c>
      <c r="E9" s="87">
        <f>Vehicles_by_HHDrivers!M19</f>
        <v>14721.883414130176</v>
      </c>
      <c r="F9" s="87">
        <f>Vehicles_by_HHDrivers!N19</f>
        <v>28765.971972767493</v>
      </c>
      <c r="G9" s="87">
        <f si="7" t="shared"/>
        <v>56357</v>
      </c>
      <c r="H9" s="87"/>
      <c r="I9" s="88" t="s">
        <v>3</v>
      </c>
      <c r="J9" s="87">
        <f si="8" t="shared"/>
        <v>528.50083445919097</v>
      </c>
      <c r="K9" s="87">
        <f si="2" t="shared"/>
        <v>3941.3621552888821</v>
      </c>
      <c r="L9" s="87">
        <f si="3" t="shared"/>
        <v>8399.2816233542617</v>
      </c>
      <c r="M9" s="87">
        <f si="4" t="shared"/>
        <v>14721.883414130176</v>
      </c>
      <c r="N9" s="87">
        <f si="5" t="shared"/>
        <v>28765.971972767493</v>
      </c>
      <c r="O9" s="87">
        <f si="6" t="shared"/>
        <v>56357</v>
      </c>
      <c r="P9" s="80"/>
      <c r="Q9" s="88" t="s">
        <v>3</v>
      </c>
      <c r="R9" s="87">
        <f>Vehicles_by_HHDrivers!R19</f>
        <v>510</v>
      </c>
      <c r="S9" s="87">
        <f>Vehicles_by_HHDrivers!S19</f>
        <v>3933</v>
      </c>
      <c r="T9" s="87">
        <f>Vehicles_by_HHDrivers!T19</f>
        <v>8268</v>
      </c>
      <c r="U9" s="87">
        <f>Vehicles_by_HHDrivers!U19</f>
        <v>14571</v>
      </c>
      <c r="V9" s="87">
        <f>Vehicles_by_HHDrivers!V19</f>
        <v>29075</v>
      </c>
      <c r="W9" s="89">
        <f si="9" t="shared"/>
        <v>56357</v>
      </c>
      <c r="Y9">
        <v>4</v>
      </c>
      <c r="Z9" s="102" t="s">
        <v>3</v>
      </c>
      <c r="AA9" t="s">
        <v>88</v>
      </c>
      <c r="AB9" s="103">
        <f si="10" t="shared"/>
        <v>-4.5883043624499997</v>
      </c>
      <c r="AC9" s="60">
        <f>IF(V15&gt;0,N15/V15,0)</f>
        <v>1.0138620408383234</v>
      </c>
      <c r="AD9" s="100">
        <f>IF(AC9&gt;0,LN(AC9)-AD$26,0)*$AC$3</f>
        <v>1.4734732618796596E-2</v>
      </c>
      <c r="AE9" s="100">
        <f si="12" t="shared"/>
        <v>-4.5735696298312032</v>
      </c>
      <c r="AG9" s="106">
        <f>VehAvailCoefficient!B17</f>
        <v>7</v>
      </c>
      <c r="AH9" s="106" t="str">
        <f>VehAvailCoefficient!C17</f>
        <v>Beta00007</v>
      </c>
      <c r="AI9" s="107">
        <f>VehAvailCoefficient!E17</f>
        <v>-1.4032195834500001</v>
      </c>
      <c r="AJ9" s="63">
        <f si="0" t="shared"/>
        <v>-1.4028584370036445</v>
      </c>
      <c r="AK9">
        <f si="1" t="shared"/>
        <v>1</v>
      </c>
    </row>
    <row ht="15.75" r="10" spans="1:37" thickBot="1" x14ac:dyDescent="0.3">
      <c r="A10" s="90" t="s">
        <v>4</v>
      </c>
      <c r="B10" s="91">
        <f>SUM(B6:B9)</f>
        <v>30197.038482559063</v>
      </c>
      <c r="C10" s="91">
        <f ref="C10:F10" si="13" t="shared">SUM(C6:C9)</f>
        <v>196311.85988891017</v>
      </c>
      <c r="D10" s="91">
        <f si="13" t="shared"/>
        <v>247419.74115694777</v>
      </c>
      <c r="E10" s="91">
        <f si="13" t="shared"/>
        <v>103131.96367730443</v>
      </c>
      <c r="F10" s="91">
        <f si="13" t="shared"/>
        <v>57413.396794278575</v>
      </c>
      <c r="G10" s="91">
        <f ref="G10" si="14" t="shared">SUM(B10:F10)</f>
        <v>634474</v>
      </c>
      <c r="H10" s="91"/>
      <c r="I10" s="90" t="s">
        <v>4</v>
      </c>
      <c r="J10" s="91">
        <f si="8" t="shared"/>
        <v>30197.038482559063</v>
      </c>
      <c r="K10" s="91">
        <f si="2" t="shared"/>
        <v>196311.85988891017</v>
      </c>
      <c r="L10" s="91">
        <f si="3" t="shared"/>
        <v>247419.74115694777</v>
      </c>
      <c r="M10" s="91">
        <f si="4" t="shared"/>
        <v>103131.96367730443</v>
      </c>
      <c r="N10" s="91">
        <f si="5" t="shared"/>
        <v>57413.396794278575</v>
      </c>
      <c r="O10" s="91">
        <f si="6" t="shared"/>
        <v>634474</v>
      </c>
      <c r="P10" s="80"/>
      <c r="Q10" s="90" t="s">
        <v>4</v>
      </c>
      <c r="R10" s="91">
        <f>SUM(R6:R9)</f>
        <v>29890</v>
      </c>
      <c r="S10" s="91">
        <f ref="S10:V10" si="15" t="shared">SUM(S6:S9)</f>
        <v>195870</v>
      </c>
      <c r="T10" s="91">
        <f si="15" t="shared"/>
        <v>247572</v>
      </c>
      <c r="U10" s="91">
        <f si="15" t="shared"/>
        <v>103182</v>
      </c>
      <c r="V10" s="91">
        <f si="15" t="shared"/>
        <v>57960</v>
      </c>
      <c r="W10" s="91">
        <f si="9" t="shared"/>
        <v>634474</v>
      </c>
      <c r="Y10">
        <v>5</v>
      </c>
      <c r="Z10" s="102">
        <v>0</v>
      </c>
      <c r="AA10" t="s">
        <v>89</v>
      </c>
      <c r="AB10" s="103">
        <f si="10" t="shared"/>
        <v>-2.82503088619</v>
      </c>
      <c r="AC10" s="60">
        <f>J16/R16</f>
        <v>1.0077078850093044</v>
      </c>
      <c r="AD10" s="100">
        <f>(LN(AC10)-AD$27)*$AC$3</f>
        <v>9.5452781551902746E-3</v>
      </c>
      <c r="AE10" s="100">
        <f si="12" t="shared"/>
        <v>-2.8154856080348099</v>
      </c>
      <c r="AG10" s="106">
        <f>VehAvailCoefficient!B18</f>
        <v>8</v>
      </c>
      <c r="AH10" s="106" t="str">
        <f>VehAvailCoefficient!C18</f>
        <v>Beta00008</v>
      </c>
      <c r="AI10" s="107">
        <f>VehAvailCoefficient!E18</f>
        <v>-2.6756212753500002</v>
      </c>
      <c r="AJ10" s="63">
        <f si="0" t="shared"/>
        <v>-2.6794069031763139</v>
      </c>
      <c r="AK10">
        <f si="1" t="shared"/>
        <v>1</v>
      </c>
    </row>
    <row r="11" spans="1:37" x14ac:dyDescent="0.25">
      <c r="A11" s="80"/>
      <c r="B11" s="80"/>
      <c r="C11" s="80"/>
      <c r="D11" s="80"/>
      <c r="E11" s="80"/>
      <c r="F11" s="80"/>
      <c r="G11" s="87"/>
      <c r="H11" s="87"/>
      <c r="I11" s="80"/>
      <c r="J11" s="80"/>
      <c r="K11" s="80"/>
      <c r="L11" s="80"/>
      <c r="M11" s="80"/>
      <c r="N11" s="80"/>
      <c r="O11" s="87"/>
      <c r="P11" s="80"/>
      <c r="Q11" s="80"/>
      <c r="R11" s="80"/>
      <c r="S11" s="80"/>
      <c r="T11" s="80"/>
      <c r="U11" s="80"/>
      <c r="V11" s="80"/>
      <c r="W11" s="87"/>
      <c r="Y11">
        <v>6</v>
      </c>
      <c r="Z11" s="102">
        <v>1</v>
      </c>
      <c r="AA11" t="s">
        <v>89</v>
      </c>
      <c r="AB11" s="103">
        <f si="10" t="shared"/>
        <v>-1.06957695406</v>
      </c>
      <c r="AC11" s="60">
        <f>K16/S16</f>
        <v>1.0104374546504389</v>
      </c>
      <c r="AD11" s="100">
        <f ref="AD11:AD13" si="16" t="shared">(LN(AC11)-AD$27)*$AC$3</f>
        <v>1.2250307621493728E-2</v>
      </c>
      <c r="AE11" s="100">
        <f si="12" t="shared"/>
        <v>-1.0573266464385063</v>
      </c>
      <c r="AG11" s="106">
        <f>VehAvailCoefficient!B19</f>
        <v>9</v>
      </c>
      <c r="AH11" s="106" t="str">
        <f>VehAvailCoefficient!C19</f>
        <v>Beta00009</v>
      </c>
      <c r="AI11" s="107">
        <f>VehAvailCoefficient!E19</f>
        <v>-2.04450057756</v>
      </c>
      <c r="AJ11" s="63">
        <f si="0" t="shared"/>
        <v>-2.0351193727149348</v>
      </c>
      <c r="AK11">
        <f si="1" t="shared"/>
        <v>1</v>
      </c>
    </row>
    <row r="12" spans="1:37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Y12">
        <v>7</v>
      </c>
      <c r="Z12" s="102">
        <v>3</v>
      </c>
      <c r="AA12" t="s">
        <v>89</v>
      </c>
      <c r="AB12" s="103">
        <f si="10" t="shared"/>
        <v>-1.4032195834500001</v>
      </c>
      <c r="AC12" s="60">
        <f>M16/U16</f>
        <v>0.99849533247243627</v>
      </c>
      <c r="AD12" s="100">
        <f si="16" t="shared"/>
        <v>3.6114644635549804E-4</v>
      </c>
      <c r="AE12" s="100">
        <f si="12" t="shared"/>
        <v>-1.4028584370036445</v>
      </c>
      <c r="AG12" s="106">
        <f>VehAvailCoefficient!B20</f>
        <v>10</v>
      </c>
      <c r="AH12" s="106" t="str">
        <f>VehAvailCoefficient!C20</f>
        <v>Beta00010</v>
      </c>
      <c r="AI12" s="107">
        <f>VehAvailCoefficient!E20</f>
        <v>-0.80986141019000002</v>
      </c>
      <c r="AJ12" s="63">
        <f si="0" t="shared"/>
        <v>-0.79117979466543464</v>
      </c>
      <c r="AK12">
        <f si="1" t="shared"/>
        <v>1</v>
      </c>
    </row>
    <row ht="15.75" r="13" spans="1:37" thickBot="1" x14ac:dyDescent="0.3">
      <c r="A13" s="94" t="s">
        <v>136</v>
      </c>
      <c r="B13" s="82" t="s">
        <v>2</v>
      </c>
      <c r="C13" s="83"/>
      <c r="D13" s="83"/>
      <c r="E13" s="83"/>
      <c r="F13" s="83"/>
      <c r="G13" s="83"/>
      <c r="H13" s="83"/>
      <c r="I13" s="94" t="s">
        <v>136</v>
      </c>
      <c r="J13" s="82" t="s">
        <v>2</v>
      </c>
      <c r="K13" s="83"/>
      <c r="L13" s="83"/>
      <c r="M13" s="83"/>
      <c r="N13" s="83"/>
      <c r="O13" s="83"/>
      <c r="P13" s="80"/>
      <c r="Q13" s="94" t="str">
        <f>A13</f>
        <v>Share</v>
      </c>
      <c r="R13" s="82" t="s">
        <v>2</v>
      </c>
      <c r="S13" s="83"/>
      <c r="T13" s="83"/>
      <c r="U13" s="83"/>
      <c r="V13" s="83"/>
      <c r="W13" s="83"/>
      <c r="Y13">
        <v>8</v>
      </c>
      <c r="Z13" s="102" t="s">
        <v>3</v>
      </c>
      <c r="AA13" t="s">
        <v>89</v>
      </c>
      <c r="AB13" s="103">
        <f si="10" t="shared"/>
        <v>-2.6756212753500002</v>
      </c>
      <c r="AC13" s="60">
        <f>N16/V16</f>
        <v>0.99436337079356096</v>
      </c>
      <c r="AD13" s="100">
        <f si="16" t="shared"/>
        <v>-3.7856278263136223E-3</v>
      </c>
      <c r="AE13" s="100">
        <f si="12" t="shared"/>
        <v>-2.6794069031763139</v>
      </c>
      <c r="AG13" s="106">
        <f>VehAvailCoefficient!B21</f>
        <v>11</v>
      </c>
      <c r="AH13" s="106" t="str">
        <f>VehAvailCoefficient!C21</f>
        <v>Beta00011</v>
      </c>
      <c r="AI13" s="107">
        <f>VehAvailCoefficient!E21</f>
        <v>-0.21274343716999999</v>
      </c>
      <c r="AJ13" s="63">
        <f si="0" t="shared"/>
        <v>-0.20538218817632753</v>
      </c>
      <c r="AK13">
        <f si="1" t="shared"/>
        <v>1</v>
      </c>
    </row>
    <row r="14" spans="1:37" x14ac:dyDescent="0.25">
      <c r="A14" s="84" t="s">
        <v>162</v>
      </c>
      <c r="B14" s="85">
        <v>0</v>
      </c>
      <c r="C14" s="85">
        <v>1</v>
      </c>
      <c r="D14" s="85">
        <v>2</v>
      </c>
      <c r="E14" s="85">
        <v>3</v>
      </c>
      <c r="F14" s="85" t="s">
        <v>3</v>
      </c>
      <c r="G14" s="85" t="s">
        <v>4</v>
      </c>
      <c r="H14" s="99"/>
      <c r="I14" s="84" t="s">
        <v>162</v>
      </c>
      <c r="J14" s="85">
        <v>0</v>
      </c>
      <c r="K14" s="85">
        <v>1</v>
      </c>
      <c r="L14" s="85">
        <v>2</v>
      </c>
      <c r="M14" s="85">
        <v>3</v>
      </c>
      <c r="N14" s="85" t="s">
        <v>3</v>
      </c>
      <c r="O14" s="85" t="s">
        <v>4</v>
      </c>
      <c r="P14" s="80"/>
      <c r="Q14" s="84" t="s">
        <v>162</v>
      </c>
      <c r="R14" s="85">
        <v>0</v>
      </c>
      <c r="S14" s="85">
        <v>1</v>
      </c>
      <c r="T14" s="85">
        <v>2</v>
      </c>
      <c r="U14" s="85">
        <v>3</v>
      </c>
      <c r="V14" s="85" t="s">
        <v>3</v>
      </c>
      <c r="W14" s="85" t="s">
        <v>4</v>
      </c>
      <c r="Y14">
        <v>9</v>
      </c>
      <c r="Z14" s="102">
        <v>0</v>
      </c>
      <c r="AA14" t="s">
        <v>90</v>
      </c>
      <c r="AB14" s="103">
        <f si="10" t="shared"/>
        <v>-2.04450057756</v>
      </c>
      <c r="AC14" s="60">
        <f>J17/R17</f>
        <v>1.0076699966372649</v>
      </c>
      <c r="AD14" s="100">
        <f>(LN(AC14)-AD$28)*$AC$3</f>
        <v>9.3812048450653204E-3</v>
      </c>
      <c r="AE14" s="100">
        <f si="12" t="shared"/>
        <v>-2.0351193727149348</v>
      </c>
      <c r="AG14" s="106">
        <f>VehAvailCoefficient!B22</f>
        <v>12</v>
      </c>
      <c r="AH14" s="106" t="str">
        <f>VehAvailCoefficient!C22</f>
        <v>Beta00012</v>
      </c>
      <c r="AI14" s="107">
        <f>VehAvailCoefficient!E22</f>
        <v>-0.63673616750999995</v>
      </c>
      <c r="AJ14" s="63">
        <f si="0" t="shared"/>
        <v>-0.64846870900882492</v>
      </c>
      <c r="AK14">
        <f si="1" t="shared"/>
        <v>1</v>
      </c>
    </row>
    <row r="15" spans="1:37" x14ac:dyDescent="0.25">
      <c r="A15" s="86">
        <v>1</v>
      </c>
      <c r="B15" s="92"/>
      <c r="C15" s="92"/>
      <c r="D15" s="92"/>
      <c r="E15" s="92"/>
      <c r="F15" s="92"/>
      <c r="G15" s="92"/>
      <c r="H15" s="92"/>
      <c r="I15" s="86">
        <v>1</v>
      </c>
      <c r="J15" s="92">
        <f>J6/$O6</f>
        <v>0.10765338159790197</v>
      </c>
      <c r="K15" s="92">
        <f ref="K15:O15" si="17" t="shared">K6/$O6</f>
        <v>0.71288737856905404</v>
      </c>
      <c r="L15" s="92">
        <f si="17" t="shared"/>
        <v>0.14633121560226056</v>
      </c>
      <c r="M15" s="92">
        <f si="17" t="shared"/>
        <v>2.4406234994274741E-2</v>
      </c>
      <c r="N15" s="92">
        <f si="17" t="shared"/>
        <v>8.7217892365087004E-3</v>
      </c>
      <c r="O15" s="92">
        <f si="17" t="shared"/>
        <v>1</v>
      </c>
      <c r="P15" s="80"/>
      <c r="Q15" s="86">
        <v>1</v>
      </c>
      <c r="R15" s="92">
        <f>R6/$W6</f>
        <v>0.10651939600898533</v>
      </c>
      <c r="S15" s="92">
        <f ref="S15:W15" si="18" t="shared">S6/$W6</f>
        <v>0.71357770995134628</v>
      </c>
      <c r="T15" s="92">
        <f si="18" t="shared"/>
        <v>0.14655545818097571</v>
      </c>
      <c r="U15" s="92">
        <f si="18" t="shared"/>
        <v>2.474489538948153E-2</v>
      </c>
      <c r="V15" s="92">
        <f si="18" t="shared"/>
        <v>8.6025404692111652E-3</v>
      </c>
      <c r="W15" s="92">
        <f si="18" t="shared"/>
        <v>1</v>
      </c>
      <c r="Y15">
        <v>10</v>
      </c>
      <c r="Z15" s="102">
        <v>1</v>
      </c>
      <c r="AA15" t="s">
        <v>90</v>
      </c>
      <c r="AB15" s="103">
        <f si="10" t="shared"/>
        <v>-0.80986141019000002</v>
      </c>
      <c r="AC15" s="60">
        <f>K17/S17</f>
        <v>1.0170854573934573</v>
      </c>
      <c r="AD15" s="100">
        <f ref="AD15:AD17" si="19" t="shared">(LN(AC15)-AD$28)*$AC$3</f>
        <v>1.8681615524565338E-2</v>
      </c>
      <c r="AE15" s="100">
        <f si="12" t="shared"/>
        <v>-0.79117979466543464</v>
      </c>
      <c r="AG15" s="106">
        <f>VehAvailCoefficient!B23</f>
        <v>13</v>
      </c>
      <c r="AH15" s="106" t="str">
        <f>VehAvailCoefficient!C23</f>
        <v>Beta00013</v>
      </c>
      <c r="AI15" s="107">
        <f>VehAvailCoefficient!E23</f>
        <v>-2.6694313388099999</v>
      </c>
      <c r="AJ15" s="63">
        <f si="0" t="shared"/>
        <v>-2.6231121417578431</v>
      </c>
      <c r="AK15">
        <f si="1" t="shared"/>
        <v>1</v>
      </c>
    </row>
    <row r="16" spans="1:37" x14ac:dyDescent="0.25">
      <c r="A16" s="86">
        <v>2</v>
      </c>
      <c r="B16" s="92"/>
      <c r="C16" s="92"/>
      <c r="D16" s="92"/>
      <c r="E16" s="92"/>
      <c r="F16" s="92"/>
      <c r="G16" s="92"/>
      <c r="H16" s="92"/>
      <c r="I16" s="86">
        <v>2</v>
      </c>
      <c r="J16" s="92">
        <f ref="J16:O16" si="20" t="shared">J7/$O7</f>
        <v>2.255072348341549E-2</v>
      </c>
      <c r="K16" s="92">
        <f si="20" t="shared"/>
        <v>0.14414486166064119</v>
      </c>
      <c r="L16" s="92">
        <f si="20" t="shared"/>
        <v>0.62355253539194966</v>
      </c>
      <c r="M16" s="92">
        <f si="20" t="shared"/>
        <v>0.16646518547173622</v>
      </c>
      <c r="N16" s="92">
        <f si="20" t="shared"/>
        <v>4.328669399225743E-2</v>
      </c>
      <c r="O16" s="92">
        <f si="20" t="shared"/>
        <v>1</v>
      </c>
      <c r="P16" s="80"/>
      <c r="Q16" s="86">
        <v>2</v>
      </c>
      <c r="R16" s="92">
        <f ref="R16:W16" si="21" t="shared">R7/$W7</f>
        <v>2.2378234624220762E-2</v>
      </c>
      <c r="S16" s="92">
        <f si="21" t="shared"/>
        <v>0.14265589720296754</v>
      </c>
      <c r="T16" s="92">
        <f si="21" t="shared"/>
        <v>0.62471776237402166</v>
      </c>
      <c r="U16" s="92">
        <f si="21" t="shared"/>
        <v>0.16671603767995735</v>
      </c>
      <c r="V16" s="92">
        <f si="21" t="shared"/>
        <v>4.3532068118832735E-2</v>
      </c>
      <c r="W16" s="92">
        <f si="21" t="shared"/>
        <v>1</v>
      </c>
      <c r="Y16">
        <v>11</v>
      </c>
      <c r="Z16" s="102">
        <v>2</v>
      </c>
      <c r="AA16" t="s">
        <v>90</v>
      </c>
      <c r="AB16" s="103">
        <f si="10" t="shared"/>
        <v>-0.21274343716999999</v>
      </c>
      <c r="AC16" s="60">
        <f>L17/T17</f>
        <v>1.0056366021062666</v>
      </c>
      <c r="AD16" s="100">
        <f si="19" t="shared"/>
        <v>7.3612489936724689E-3</v>
      </c>
      <c r="AE16" s="100">
        <f si="12" t="shared"/>
        <v>-0.20538218817632753</v>
      </c>
      <c r="AG16" s="106">
        <f>VehAvailCoefficient!B24</f>
        <v>14</v>
      </c>
      <c r="AH16" s="106" t="str">
        <f>VehAvailCoefficient!C24</f>
        <v>Beta00014</v>
      </c>
      <c r="AI16" s="107">
        <f>VehAvailCoefficient!E24</f>
        <v>-1.32138461854</v>
      </c>
      <c r="AJ16" s="63">
        <f si="0" t="shared"/>
        <v>-1.3085751851946938</v>
      </c>
      <c r="AK16">
        <f si="1" t="shared"/>
        <v>1</v>
      </c>
    </row>
    <row r="17" spans="1:37" x14ac:dyDescent="0.25">
      <c r="A17" s="86">
        <v>3</v>
      </c>
      <c r="B17" s="92"/>
      <c r="C17" s="92"/>
      <c r="D17" s="92"/>
      <c r="E17" s="92"/>
      <c r="F17" s="92"/>
      <c r="G17" s="92"/>
      <c r="H17" s="92"/>
      <c r="I17" s="86">
        <v>3</v>
      </c>
      <c r="J17" s="92">
        <f ref="J17:O17" si="22" t="shared">J8/$O8</f>
        <v>1.9049537752109776E-2</v>
      </c>
      <c r="K17" s="92">
        <f si="22" t="shared"/>
        <v>9.2874890873682087E-2</v>
      </c>
      <c r="L17" s="92">
        <f si="22" t="shared"/>
        <v>0.27086830971727888</v>
      </c>
      <c r="M17" s="92">
        <f si="22" t="shared"/>
        <v>0.43549795178295614</v>
      </c>
      <c r="N17" s="92">
        <f si="22" t="shared"/>
        <v>0.18170930987397307</v>
      </c>
      <c r="O17" s="92">
        <f si="22" t="shared"/>
        <v>1</v>
      </c>
      <c r="P17" s="80"/>
      <c r="Q17" s="86">
        <v>3</v>
      </c>
      <c r="R17" s="92">
        <f ref="R17:W17" si="23" t="shared">R8/$W8</f>
        <v>1.8904539993927313E-2</v>
      </c>
      <c r="S17" s="92">
        <f si="23" t="shared"/>
        <v>9.1314736828208953E-2</v>
      </c>
      <c r="T17" s="92">
        <f si="23" t="shared"/>
        <v>0.26935009043023672</v>
      </c>
      <c r="U17" s="92">
        <f si="23" t="shared"/>
        <v>0.43625658424533659</v>
      </c>
      <c r="V17" s="92">
        <f si="23" t="shared"/>
        <v>0.18417404850229047</v>
      </c>
      <c r="W17" s="92">
        <f si="23" t="shared"/>
        <v>1</v>
      </c>
      <c r="Y17">
        <v>12</v>
      </c>
      <c r="Z17" s="102" t="s">
        <v>3</v>
      </c>
      <c r="AA17" t="s">
        <v>90</v>
      </c>
      <c r="AB17" s="103">
        <f si="10" t="shared"/>
        <v>-0.63673616750999995</v>
      </c>
      <c r="AC17" s="60">
        <f>N17/V17</f>
        <v>0.98661734023679926</v>
      </c>
      <c r="AD17" s="100">
        <f si="19" t="shared"/>
        <v>-1.1732541498824934E-2</v>
      </c>
      <c r="AE17" s="100">
        <f si="12" t="shared"/>
        <v>-0.64846870900882492</v>
      </c>
      <c r="AG17" s="106">
        <f>VehAvailCoefficient!B25</f>
        <v>15</v>
      </c>
      <c r="AH17" s="106" t="str">
        <f>VehAvailCoefficient!C25</f>
        <v>Beta00015</v>
      </c>
      <c r="AI17" s="107">
        <f>VehAvailCoefficient!E25</f>
        <v>-1.09321324208</v>
      </c>
      <c r="AJ17" s="63">
        <f si="0" t="shared"/>
        <v>-1.066774164195103</v>
      </c>
      <c r="AK17">
        <f si="1" t="shared"/>
        <v>1</v>
      </c>
    </row>
    <row r="18" spans="1:37" x14ac:dyDescent="0.25">
      <c r="A18" s="88" t="s">
        <v>3</v>
      </c>
      <c r="B18" s="96"/>
      <c r="C18" s="96"/>
      <c r="D18" s="96"/>
      <c r="E18" s="96"/>
      <c r="F18" s="96"/>
      <c r="G18" s="92"/>
      <c r="H18" s="92"/>
      <c r="I18" s="88" t="s">
        <v>3</v>
      </c>
      <c r="J18" s="96">
        <f ref="J18:O18" si="24" t="shared">J9/$O9</f>
        <v>9.3777318604466343E-3</v>
      </c>
      <c r="K18" s="96">
        <f si="24" t="shared"/>
        <v>6.9935627433839312E-2</v>
      </c>
      <c r="L18" s="96">
        <f si="24" t="shared"/>
        <v>0.14903706058438634</v>
      </c>
      <c r="M18" s="96">
        <f si="24" t="shared"/>
        <v>0.26122546292617022</v>
      </c>
      <c r="N18" s="96">
        <f si="24" t="shared"/>
        <v>0.51042411719515757</v>
      </c>
      <c r="O18" s="92">
        <f si="24" t="shared"/>
        <v>1</v>
      </c>
      <c r="P18" s="80"/>
      <c r="Q18" s="88" t="s">
        <v>3</v>
      </c>
      <c r="R18" s="92">
        <f ref="R18:W18" si="25" t="shared">R9/$W9</f>
        <v>9.0494525968380143E-3</v>
      </c>
      <c r="S18" s="92">
        <f si="25" t="shared"/>
        <v>6.9787249143850802E-2</v>
      </c>
      <c r="T18" s="92">
        <f si="25" t="shared"/>
        <v>0.14670759621697393</v>
      </c>
      <c r="U18" s="92">
        <f si="25" t="shared"/>
        <v>0.25854818389907197</v>
      </c>
      <c r="V18" s="92">
        <f si="25" t="shared"/>
        <v>0.5159075181432653</v>
      </c>
      <c r="W18" s="92">
        <f si="25" t="shared"/>
        <v>1</v>
      </c>
      <c r="Y18">
        <v>13</v>
      </c>
      <c r="Z18" s="102">
        <v>0</v>
      </c>
      <c r="AA18" t="s">
        <v>91</v>
      </c>
      <c r="AB18" s="103">
        <f si="10" t="shared"/>
        <v>-2.6694313388099999</v>
      </c>
      <c r="AC18" s="60">
        <f>J18/R18</f>
        <v>1.0362761459984138</v>
      </c>
      <c r="AD18" s="100">
        <f>(LN(AC18)-AD$29)*$AC$3</f>
        <v>4.6319197052156827E-2</v>
      </c>
      <c r="AE18" s="100">
        <f si="12" t="shared"/>
        <v>-2.6231121417578431</v>
      </c>
      <c r="AG18" s="106">
        <f>VehAvailCoefficient!B26</f>
        <v>16</v>
      </c>
      <c r="AH18" s="106" t="str">
        <f>VehAvailCoefficient!C26</f>
        <v>Beta00016</v>
      </c>
      <c r="AI18" s="107">
        <f>VehAvailCoefficient!E26</f>
        <v>-0.73048377918999996</v>
      </c>
      <c r="AJ18" s="63">
        <f si="0" t="shared"/>
        <v>-0.70949643823477171</v>
      </c>
      <c r="AK18">
        <f si="1" t="shared"/>
        <v>1</v>
      </c>
    </row>
    <row ht="15.75" r="19" spans="1:37" thickBot="1" x14ac:dyDescent="0.3">
      <c r="A19" s="90" t="s">
        <v>4</v>
      </c>
      <c r="B19" s="93"/>
      <c r="C19" s="93"/>
      <c r="D19" s="93"/>
      <c r="E19" s="93"/>
      <c r="F19" s="93"/>
      <c r="G19" s="93"/>
      <c r="H19" s="93"/>
      <c r="I19" s="90" t="s">
        <v>4</v>
      </c>
      <c r="J19" s="93">
        <f ref="J19:O19" si="26" t="shared">J10/$O10</f>
        <v>4.7593815479529601E-2</v>
      </c>
      <c r="K19" s="93">
        <f si="26" t="shared"/>
        <v>0.30940883296858529</v>
      </c>
      <c r="L19" s="93">
        <f si="26" t="shared"/>
        <v>0.38996040997258796</v>
      </c>
      <c r="M19" s="93">
        <f si="26" t="shared"/>
        <v>0.16254718661017542</v>
      </c>
      <c r="N19" s="93">
        <f si="26" t="shared"/>
        <v>9.0489754969121788E-2</v>
      </c>
      <c r="O19" s="93">
        <f si="26" t="shared"/>
        <v>1</v>
      </c>
      <c r="P19" s="80"/>
      <c r="Q19" s="90" t="s">
        <v>4</v>
      </c>
      <c r="R19" s="93">
        <f ref="R19:W19" si="27" t="shared">R10/$W10</f>
        <v>4.7109889451734825E-2</v>
      </c>
      <c r="S19" s="93">
        <f si="27" t="shared"/>
        <v>0.30871241374745062</v>
      </c>
      <c r="T19" s="93">
        <f si="27" t="shared"/>
        <v>0.39020038646185662</v>
      </c>
      <c r="U19" s="93">
        <f si="27" t="shared"/>
        <v>0.16262604929437613</v>
      </c>
      <c r="V19" s="93">
        <f si="27" t="shared"/>
        <v>9.1351261044581814E-2</v>
      </c>
      <c r="W19" s="93">
        <f si="27" t="shared"/>
        <v>1</v>
      </c>
      <c r="Y19">
        <v>14</v>
      </c>
      <c r="Z19" s="102">
        <v>1</v>
      </c>
      <c r="AA19" t="s">
        <v>91</v>
      </c>
      <c r="AB19" s="103">
        <f si="10" t="shared"/>
        <v>-1.32138461854</v>
      </c>
      <c r="AC19" s="60">
        <f>K18/S18</f>
        <v>1.0021261518659756</v>
      </c>
      <c r="AD19" s="100">
        <f ref="AD19:AD21" si="28" t="shared">(LN(AC19)-AD$29)*$AC$3</f>
        <v>1.2809433345306138E-2</v>
      </c>
      <c r="AE19" s="100">
        <f si="12" t="shared"/>
        <v>-1.3085751851946938</v>
      </c>
      <c r="AG19" s="106">
        <f>VehAvailCoefficient!B27</f>
        <v>18</v>
      </c>
      <c r="AH19" s="106" t="str">
        <f>VehAvailCoefficient!C27</f>
        <v>Beta00018</v>
      </c>
      <c r="AI19" s="107">
        <f>VehAvailCoefficient!E27</f>
        <v>0.36944889932000002</v>
      </c>
      <c r="AJ19" s="63">
        <f si="0" t="shared"/>
        <v>0.37947613039363559</v>
      </c>
      <c r="AK19">
        <f si="1" t="shared"/>
        <v>1</v>
      </c>
    </row>
    <row r="20" spans="1:37" x14ac:dyDescent="0.25">
      <c r="Q20" s="80"/>
      <c r="R20" s="80"/>
      <c r="S20" s="80"/>
      <c r="T20" s="80"/>
      <c r="U20" s="80"/>
      <c r="V20" s="80"/>
      <c r="W20" s="80"/>
      <c r="Y20">
        <v>15</v>
      </c>
      <c r="Z20" s="102">
        <v>2</v>
      </c>
      <c r="AA20" t="s">
        <v>91</v>
      </c>
      <c r="AB20" s="103">
        <f si="10" t="shared"/>
        <v>-1.09321324208</v>
      </c>
      <c r="AC20" s="60">
        <f>L18/T18</f>
        <v>1.0158782805218023</v>
      </c>
      <c r="AD20" s="100">
        <f si="28" t="shared"/>
        <v>2.6439077884897039E-2</v>
      </c>
      <c r="AE20" s="100">
        <f si="12" t="shared"/>
        <v>-1.066774164195103</v>
      </c>
      <c r="AG20" s="79">
        <f>VehAvailCoefficient!B28</f>
        <v>19</v>
      </c>
      <c r="AH20" s="79" t="str">
        <f>VehAvailCoefficient!C28</f>
        <v>Beta00019</v>
      </c>
      <c r="AI20" s="62">
        <f>VehAvailCoefficient!E28</f>
        <v>0.69903044631</v>
      </c>
      <c r="AJ20" s="63">
        <f si="0" t="shared"/>
        <v>0.69903044631</v>
      </c>
      <c r="AK20">
        <f si="1" t="shared"/>
        <v>0</v>
      </c>
    </row>
    <row r="21" spans="1:37" x14ac:dyDescent="0.25">
      <c r="Q21" s="80"/>
      <c r="R21" s="80"/>
      <c r="S21" s="80"/>
      <c r="T21" s="80"/>
      <c r="U21" s="80"/>
      <c r="V21" s="80"/>
      <c r="W21" s="80"/>
      <c r="Y21">
        <v>16</v>
      </c>
      <c r="Z21" s="102">
        <v>3</v>
      </c>
      <c r="AA21" t="s">
        <v>91</v>
      </c>
      <c r="AB21" s="103">
        <f si="10" t="shared"/>
        <v>-0.73048377918999996</v>
      </c>
      <c r="AC21" s="60">
        <f>M18/U18</f>
        <v>1.0103550486672277</v>
      </c>
      <c r="AD21" s="100">
        <f si="28" t="shared"/>
        <v>2.0987340955228251E-2</v>
      </c>
      <c r="AE21" s="100">
        <f si="12" t="shared"/>
        <v>-0.70949643823477171</v>
      </c>
      <c r="AG21" s="79">
        <f>VehAvailCoefficient!B29</f>
        <v>20</v>
      </c>
      <c r="AH21" s="79" t="str">
        <f>VehAvailCoefficient!C29</f>
        <v>Beta00020</v>
      </c>
      <c r="AI21" s="62">
        <f>VehAvailCoefficient!E29</f>
        <v>0.32485446959999997</v>
      </c>
      <c r="AJ21" s="63">
        <f si="0" t="shared"/>
        <v>0.32485446959999997</v>
      </c>
      <c r="AK21">
        <f si="1" t="shared"/>
        <v>0</v>
      </c>
    </row>
    <row ht="15.75" r="22" spans="1:37" thickBot="1" x14ac:dyDescent="0.3">
      <c r="Q22" s="81"/>
      <c r="R22" s="82" t="s">
        <v>2</v>
      </c>
      <c r="S22" s="83"/>
      <c r="T22" s="83"/>
      <c r="U22" s="83"/>
      <c r="V22" s="83"/>
      <c r="W22" s="83"/>
      <c r="Y22" s="64">
        <v>18</v>
      </c>
      <c r="Z22" s="64"/>
      <c r="AA22" s="66" t="s">
        <v>159</v>
      </c>
      <c r="AB22" s="104">
        <f si="10" t="shared"/>
        <v>0.36944889932000002</v>
      </c>
      <c r="AC22" s="65">
        <f>R42/S42</f>
        <v>1.0100776722091389</v>
      </c>
      <c r="AD22" s="105">
        <f>LN(AC22)*$AC$3</f>
        <v>1.0027231073635592E-2</v>
      </c>
      <c r="AE22" s="105">
        <f>AB22+AD22</f>
        <v>0.37947613039363559</v>
      </c>
      <c r="AG22" s="79">
        <f>VehAvailCoefficient!B30</f>
        <v>22</v>
      </c>
      <c r="AH22" s="79" t="str">
        <f>VehAvailCoefficient!C30</f>
        <v>Beta00022</v>
      </c>
      <c r="AI22" s="62">
        <f>VehAvailCoefficient!E30</f>
        <v>-0.43856128772000003</v>
      </c>
      <c r="AJ22" s="63">
        <f si="0" t="shared"/>
        <v>-0.43856128772000003</v>
      </c>
      <c r="AK22">
        <f si="1" t="shared"/>
        <v>0</v>
      </c>
    </row>
    <row r="23" spans="1:37" x14ac:dyDescent="0.25">
      <c r="Q23" s="84" t="s">
        <v>162</v>
      </c>
      <c r="R23" s="85">
        <v>0</v>
      </c>
      <c r="S23" s="85">
        <v>1</v>
      </c>
      <c r="T23" s="85">
        <v>2</v>
      </c>
      <c r="U23" s="85">
        <v>3</v>
      </c>
      <c r="V23" s="85" t="s">
        <v>3</v>
      </c>
      <c r="W23" s="85" t="s">
        <v>4</v>
      </c>
      <c r="AG23" s="79">
        <f>VehAvailCoefficient!B31</f>
        <v>24</v>
      </c>
      <c r="AH23" s="79" t="str">
        <f>VehAvailCoefficient!C31</f>
        <v>Beta00024</v>
      </c>
      <c r="AI23" s="62">
        <f>VehAvailCoefficient!E31</f>
        <v>0.23901973431000001</v>
      </c>
      <c r="AJ23" s="63">
        <f si="0" t="shared"/>
        <v>0.23901973431000001</v>
      </c>
      <c r="AK23">
        <f si="1" t="shared"/>
        <v>0</v>
      </c>
    </row>
    <row r="24" spans="1:37" x14ac:dyDescent="0.25">
      <c r="Q24" s="86">
        <v>1</v>
      </c>
      <c r="R24" s="87">
        <f ref="R24:W24" si="29" t="shared">R6-B6</f>
        <v>-225.14830273704501</v>
      </c>
      <c r="S24" s="87">
        <f si="29" t="shared"/>
        <v>137.06253462861059</v>
      </c>
      <c r="T24" s="87">
        <f si="29" t="shared"/>
        <v>44.522467033577414</v>
      </c>
      <c r="U24" s="87">
        <f si="29" t="shared"/>
        <v>67.239666826727444</v>
      </c>
      <c r="V24" s="87">
        <f si="29" t="shared"/>
        <v>-23.67636575185611</v>
      </c>
      <c r="W24" s="87">
        <f si="29" t="shared"/>
        <v>0</v>
      </c>
      <c r="Y24" s="67" t="s">
        <v>172</v>
      </c>
      <c r="AG24" s="79">
        <f>VehAvailCoefficient!B32</f>
        <v>25</v>
      </c>
      <c r="AH24" s="79" t="str">
        <f>VehAvailCoefficient!C32</f>
        <v>Beta00025</v>
      </c>
      <c r="AI24" s="62">
        <f>VehAvailCoefficient!E32</f>
        <v>-0.30115653368</v>
      </c>
      <c r="AJ24" s="63">
        <f si="0" t="shared"/>
        <v>-0.30115653368</v>
      </c>
      <c r="AK24">
        <f si="1" t="shared"/>
        <v>0</v>
      </c>
    </row>
    <row r="25" spans="1:37" x14ac:dyDescent="0.25">
      <c r="Q25" s="86">
        <v>2</v>
      </c>
      <c r="R25" s="87">
        <f ref="R25:R28" si="30" t="shared">R7-B7</f>
        <v>-52.405910178261365</v>
      </c>
      <c r="S25" s="87">
        <f ref="S25:S28" si="31" t="shared">S7-C7</f>
        <v>-452.38015945933148</v>
      </c>
      <c r="T25" s="87">
        <f ref="T25:T28" si="32" t="shared">T7-D7</f>
        <v>354.02159214706626</v>
      </c>
      <c r="U25" s="87">
        <f ref="U25:U28" si="33" t="shared">U7-E7</f>
        <v>76.214419606156298</v>
      </c>
      <c r="V25" s="87">
        <f ref="V25:V28" si="34" t="shared">V7-F7</f>
        <v>74.550057884362104</v>
      </c>
      <c r="W25" s="87">
        <f ref="W25:W28" si="35" t="shared">W7-G7</f>
        <v>0</v>
      </c>
      <c r="Z25" t="s">
        <v>171</v>
      </c>
      <c r="AA25" t="s">
        <v>87</v>
      </c>
      <c r="AC25" t="s">
        <v>173</v>
      </c>
      <c r="AD25" t="s">
        <v>174</v>
      </c>
      <c r="AG25" s="79">
        <f>VehAvailCoefficient!B33</f>
        <v>26</v>
      </c>
      <c r="AH25" s="79" t="str">
        <f>VehAvailCoefficient!C33</f>
        <v>Beta00026</v>
      </c>
      <c r="AI25" s="62">
        <f>VehAvailCoefficient!E33</f>
        <v>-0.56373515911000005</v>
      </c>
      <c r="AJ25" s="63">
        <f si="0" t="shared"/>
        <v>-0.56373515911000005</v>
      </c>
      <c r="AK25">
        <f si="1" t="shared"/>
        <v>0</v>
      </c>
    </row>
    <row r="26" spans="1:37" x14ac:dyDescent="0.25">
      <c r="Q26" s="86">
        <v>3</v>
      </c>
      <c r="R26" s="87">
        <f si="30" t="shared"/>
        <v>-10.983435184563405</v>
      </c>
      <c r="S26" s="87">
        <f si="31" t="shared"/>
        <v>-118.18010879054418</v>
      </c>
      <c r="T26" s="87">
        <f si="32" t="shared"/>
        <v>-115.00359277415919</v>
      </c>
      <c r="U26" s="87">
        <f si="33" t="shared"/>
        <v>57.465650392856332</v>
      </c>
      <c r="V26" s="87">
        <f si="34" t="shared"/>
        <v>186.70148635641272</v>
      </c>
      <c r="W26" s="87">
        <f si="35" t="shared"/>
        <v>0</v>
      </c>
      <c r="Z26">
        <v>1</v>
      </c>
      <c r="AA26" t="s">
        <v>88</v>
      </c>
      <c r="AB26">
        <v>0</v>
      </c>
      <c r="AC26" s="101">
        <f>K15/S15</f>
        <v>0.99903257714939087</v>
      </c>
      <c r="AD26" s="101">
        <f>LN(AC26)</f>
        <v>-9.6789110612015489E-4</v>
      </c>
      <c r="AG26" s="79">
        <f>VehAvailCoefficient!B34</f>
        <v>28</v>
      </c>
      <c r="AH26" s="79" t="str">
        <f>VehAvailCoefficient!C34</f>
        <v>Beta00028</v>
      </c>
      <c r="AI26" s="62">
        <f>VehAvailCoefficient!E34</f>
        <v>0.31959884056999999</v>
      </c>
      <c r="AJ26" s="63">
        <f si="0" t="shared"/>
        <v>0.31959884056999999</v>
      </c>
      <c r="AK26">
        <f si="1" t="shared"/>
        <v>0</v>
      </c>
    </row>
    <row r="27" spans="1:37" x14ac:dyDescent="0.25">
      <c r="Q27" s="88" t="s">
        <v>3</v>
      </c>
      <c r="R27" s="87">
        <f si="30" t="shared"/>
        <v>-18.500834459190969</v>
      </c>
      <c r="S27" s="87">
        <f si="31" t="shared"/>
        <v>-8.3621552888821498</v>
      </c>
      <c r="T27" s="87">
        <f si="32" t="shared"/>
        <v>-131.28162335426168</v>
      </c>
      <c r="U27" s="87">
        <f si="33" t="shared"/>
        <v>-150.88341413017588</v>
      </c>
      <c r="V27" s="87">
        <f si="34" t="shared"/>
        <v>309.02802723250716</v>
      </c>
      <c r="W27" s="89">
        <f si="35" t="shared"/>
        <v>0</v>
      </c>
      <c r="Z27">
        <v>2</v>
      </c>
      <c r="AA27" t="s">
        <v>89</v>
      </c>
      <c r="AB27">
        <v>0</v>
      </c>
      <c r="AC27" s="101">
        <f>L16/T16</f>
        <v>0.9981347945388267</v>
      </c>
      <c r="AD27" s="101">
        <f ref="AD27:AD29" si="36" t="shared">LN(AC27)</f>
        <v>-1.8669471229211261E-3</v>
      </c>
      <c r="AG27" s="79">
        <f>VehAvailCoefficient!B35</f>
        <v>29</v>
      </c>
      <c r="AH27" s="79" t="str">
        <f>VehAvailCoefficient!C35</f>
        <v>Beta00029</v>
      </c>
      <c r="AI27" s="62">
        <f>VehAvailCoefficient!E35</f>
        <v>0.57068696704999999</v>
      </c>
      <c r="AJ27" s="63">
        <f si="0" t="shared"/>
        <v>0.57068696704999999</v>
      </c>
      <c r="AK27">
        <f si="1" t="shared"/>
        <v>0</v>
      </c>
    </row>
    <row ht="15.75" r="28" spans="1:37" thickBot="1" x14ac:dyDescent="0.3">
      <c r="Q28" s="90" t="s">
        <v>4</v>
      </c>
      <c r="R28" s="91">
        <f si="30" t="shared"/>
        <v>-307.03848255906269</v>
      </c>
      <c r="S28" s="91">
        <f si="31" t="shared"/>
        <v>-441.85988891017041</v>
      </c>
      <c r="T28" s="91">
        <f si="32" t="shared"/>
        <v>152.25884305223008</v>
      </c>
      <c r="U28" s="91">
        <f si="33" t="shared"/>
        <v>50.036322695566923</v>
      </c>
      <c r="V28" s="91">
        <f si="34" t="shared"/>
        <v>546.60320572142518</v>
      </c>
      <c r="W28" s="91">
        <f si="35" t="shared"/>
        <v>0</v>
      </c>
      <c r="Z28">
        <v>3</v>
      </c>
      <c r="AA28" t="s">
        <v>90</v>
      </c>
      <c r="AB28">
        <v>0</v>
      </c>
      <c r="AC28" s="101">
        <f>M17/U17</f>
        <v>0.99826104065869226</v>
      </c>
      <c r="AD28" s="101">
        <f si="36" t="shared"/>
        <v>-1.7404730862515887E-3</v>
      </c>
      <c r="AG28" s="79">
        <f>VehAvailCoefficient!B36</f>
        <v>31</v>
      </c>
      <c r="AH28" s="79" t="str">
        <f>VehAvailCoefficient!C36</f>
        <v>Beta00031</v>
      </c>
      <c r="AI28" s="62">
        <f>VehAvailCoefficient!E36</f>
        <v>2.9250059989500001</v>
      </c>
      <c r="AJ28" s="63">
        <f si="0" t="shared"/>
        <v>2.9250059989500001</v>
      </c>
      <c r="AK28">
        <f si="1" t="shared"/>
        <v>0</v>
      </c>
    </row>
    <row r="29" spans="1:37" x14ac:dyDescent="0.25">
      <c r="Q29" s="80"/>
      <c r="R29" s="80"/>
      <c r="S29" s="80"/>
      <c r="T29" s="80"/>
      <c r="U29" s="80"/>
      <c r="V29" s="80"/>
      <c r="W29" s="80"/>
      <c r="Z29">
        <v>4</v>
      </c>
      <c r="AA29" t="s">
        <v>91</v>
      </c>
      <c r="AB29">
        <v>0</v>
      </c>
      <c r="AC29" s="101">
        <f>N18/V18</f>
        <v>0.98937134902037804</v>
      </c>
      <c r="AD29" s="101">
        <f si="36" t="shared"/>
        <v>-1.0685538541537271E-2</v>
      </c>
      <c r="AG29" s="79">
        <f>VehAvailCoefficient!B37</f>
        <v>32</v>
      </c>
      <c r="AH29" s="79" t="str">
        <f>VehAvailCoefficient!C37</f>
        <v>Beta00032</v>
      </c>
      <c r="AI29" s="62">
        <f>VehAvailCoefficient!E37</f>
        <v>1.2969669216299999</v>
      </c>
      <c r="AJ29" s="63">
        <f si="0" t="shared"/>
        <v>1.2969669216299999</v>
      </c>
      <c r="AK29">
        <f si="1" t="shared"/>
        <v>0</v>
      </c>
    </row>
    <row r="30" spans="1:37" x14ac:dyDescent="0.25">
      <c r="Q30" s="95" t="s">
        <v>167</v>
      </c>
      <c r="R30" s="80"/>
      <c r="S30" s="80"/>
      <c r="T30" s="80"/>
      <c r="U30" s="80"/>
      <c r="V30" s="80"/>
      <c r="W30" s="80"/>
      <c r="AG30" s="79">
        <f>VehAvailCoefficient!B38</f>
        <v>34</v>
      </c>
      <c r="AH30" s="79" t="str">
        <f>VehAvailCoefficient!C38</f>
        <v>Beta00034</v>
      </c>
      <c r="AI30" s="62">
        <f>VehAvailCoefficient!E38</f>
        <v>-2.59112200624</v>
      </c>
      <c r="AJ30" s="63">
        <f si="0" t="shared"/>
        <v>-2.59112200624</v>
      </c>
      <c r="AK30">
        <f si="1" t="shared"/>
        <v>0</v>
      </c>
    </row>
    <row ht="15.75" r="31" spans="1:37" thickBot="1" x14ac:dyDescent="0.3">
      <c r="Q31" s="81"/>
      <c r="R31" s="82" t="s">
        <v>2</v>
      </c>
      <c r="S31" s="83"/>
      <c r="T31" s="83"/>
      <c r="U31" s="83"/>
      <c r="V31" s="83"/>
      <c r="W31" s="83"/>
      <c r="AG31" s="79">
        <f>VehAvailCoefficient!B39</f>
        <v>35</v>
      </c>
      <c r="AH31" s="79" t="str">
        <f>VehAvailCoefficient!C39</f>
        <v>Beta00035</v>
      </c>
      <c r="AI31" s="62">
        <f>VehAvailCoefficient!E39</f>
        <v>-1.0636437007299999</v>
      </c>
      <c r="AJ31" s="63">
        <f si="0" t="shared"/>
        <v>-1.0636437007299999</v>
      </c>
      <c r="AK31">
        <f si="1" t="shared"/>
        <v>0</v>
      </c>
    </row>
    <row r="32" spans="1:37" x14ac:dyDescent="0.25">
      <c r="Q32" s="84" t="s">
        <v>162</v>
      </c>
      <c r="R32" s="85">
        <v>0</v>
      </c>
      <c r="S32" s="85">
        <v>1</v>
      </c>
      <c r="T32" s="85">
        <v>2</v>
      </c>
      <c r="U32" s="85">
        <v>3</v>
      </c>
      <c r="V32" s="85" t="s">
        <v>3</v>
      </c>
      <c r="W32" s="85" t="s">
        <v>4</v>
      </c>
      <c r="AG32" s="79">
        <f>VehAvailCoefficient!B40</f>
        <v>36</v>
      </c>
      <c r="AH32" s="79" t="str">
        <f>VehAvailCoefficient!C40</f>
        <v>Beta00036</v>
      </c>
      <c r="AI32" s="62">
        <f>VehAvailCoefficient!E40</f>
        <v>-0.53660640919000002</v>
      </c>
      <c r="AJ32" s="63">
        <f si="0" t="shared"/>
        <v>-0.53660640919000002</v>
      </c>
      <c r="AK32">
        <f si="1" t="shared"/>
        <v>0</v>
      </c>
    </row>
    <row r="33" spans="17:37" x14ac:dyDescent="0.25">
      <c r="Q33" s="86">
        <v>1</v>
      </c>
      <c r="R33" s="92">
        <f>R15-J15</f>
        <v>-1.1339855889166417E-3</v>
      </c>
      <c r="S33" s="92">
        <f ref="S33:W33" si="37" t="shared">S15-K15</f>
        <v>6.9033138229224189E-4</v>
      </c>
      <c r="T33" s="92">
        <f si="37" t="shared"/>
        <v>2.2424257871514475E-4</v>
      </c>
      <c r="U33" s="92">
        <f si="37" t="shared"/>
        <v>3.3866039520678848E-4</v>
      </c>
      <c r="V33" s="92">
        <f si="37" t="shared"/>
        <v>-1.1924876729753515E-4</v>
      </c>
      <c r="W33" s="92">
        <f si="37" t="shared"/>
        <v>0</v>
      </c>
      <c r="AG33" s="79">
        <f>VehAvailCoefficient!B41</f>
        <v>37</v>
      </c>
      <c r="AH33" s="79" t="str">
        <f>VehAvailCoefficient!C41</f>
        <v>Beta00037</v>
      </c>
      <c r="AI33" s="62">
        <f>VehAvailCoefficient!E41</f>
        <v>0.28589368992999997</v>
      </c>
      <c r="AJ33" s="63">
        <f si="0" t="shared"/>
        <v>0.28589368992999997</v>
      </c>
      <c r="AK33">
        <f si="1" t="shared"/>
        <v>0</v>
      </c>
    </row>
    <row r="34" spans="17:37" x14ac:dyDescent="0.25">
      <c r="Q34" s="86">
        <v>2</v>
      </c>
      <c r="R34" s="92">
        <f ref="R34:W34" si="38" t="shared">R16-J16</f>
        <v>-1.7248885919472767E-4</v>
      </c>
      <c r="S34" s="92">
        <f si="38" t="shared"/>
        <v>-1.4889644576736583E-3</v>
      </c>
      <c r="T34" s="92">
        <f si="38" t="shared"/>
        <v>1.1652269820719985E-3</v>
      </c>
      <c r="U34" s="92">
        <f si="38" t="shared"/>
        <v>2.5085220822113063E-4</v>
      </c>
      <c r="V34" s="92">
        <f si="38" t="shared"/>
        <v>2.4537412657530538E-4</v>
      </c>
      <c r="W34" s="92">
        <f si="38" t="shared"/>
        <v>0</v>
      </c>
      <c r="AG34" s="79">
        <f>VehAvailCoefficient!B42</f>
        <v>38</v>
      </c>
      <c r="AH34" s="79" t="str">
        <f>VehAvailCoefficient!C42</f>
        <v>Beta00038</v>
      </c>
      <c r="AI34" s="62">
        <f>VehAvailCoefficient!E42</f>
        <v>0.64783551265999995</v>
      </c>
      <c r="AJ34" s="63">
        <f si="0" t="shared"/>
        <v>0.64783551265999995</v>
      </c>
      <c r="AK34">
        <f si="1" t="shared"/>
        <v>0</v>
      </c>
    </row>
    <row r="35" spans="17:37" x14ac:dyDescent="0.25">
      <c r="Q35" s="86">
        <v>3</v>
      </c>
      <c r="R35" s="92">
        <f ref="R35:W35" si="39" t="shared">R17-J17</f>
        <v>-1.4499775818246213E-4</v>
      </c>
      <c r="S35" s="92">
        <f si="39" t="shared"/>
        <v>-1.5601540454731333E-3</v>
      </c>
      <c r="T35" s="92">
        <f si="39" t="shared"/>
        <v>-1.5182192870421551E-3</v>
      </c>
      <c r="U35" s="92">
        <f si="39" t="shared"/>
        <v>7.5863246238044857E-4</v>
      </c>
      <c r="V35" s="92">
        <f si="39" t="shared"/>
        <v>2.4647386283173922E-3</v>
      </c>
      <c r="W35" s="92">
        <f si="39" t="shared"/>
        <v>0</v>
      </c>
      <c r="AG35" s="79">
        <f>VehAvailCoefficient!B43</f>
        <v>41</v>
      </c>
      <c r="AH35" s="79" t="str">
        <f>VehAvailCoefficient!C43</f>
        <v>Beta00041</v>
      </c>
      <c r="AI35" s="62">
        <f>VehAvailCoefficient!E43</f>
        <v>-0.47288768158</v>
      </c>
      <c r="AJ35" s="63">
        <f si="0" t="shared"/>
        <v>-0.47288768158</v>
      </c>
      <c r="AK35">
        <f si="1" t="shared"/>
        <v>0</v>
      </c>
    </row>
    <row r="36" spans="17:37" x14ac:dyDescent="0.25">
      <c r="Q36" s="88" t="s">
        <v>3</v>
      </c>
      <c r="R36" s="92">
        <f ref="R36:W36" si="40" t="shared">R18-J18</f>
        <v>-3.2827926360862007E-4</v>
      </c>
      <c r="S36" s="92">
        <f si="40" t="shared"/>
        <v>-1.4837828998850999E-4</v>
      </c>
      <c r="T36" s="92">
        <f si="40" t="shared"/>
        <v>-2.3294643674124094E-3</v>
      </c>
      <c r="U36" s="92">
        <f si="40" t="shared"/>
        <v>-2.6772790270982449E-3</v>
      </c>
      <c r="V36" s="92">
        <f si="40" t="shared"/>
        <v>5.4834009481077306E-3</v>
      </c>
      <c r="W36" s="92">
        <f si="40" t="shared"/>
        <v>0</v>
      </c>
      <c r="AG36" s="79">
        <f>VehAvailCoefficient!B44</f>
        <v>42</v>
      </c>
      <c r="AH36" s="79" t="str">
        <f>VehAvailCoefficient!C44</f>
        <v>Beta00042</v>
      </c>
      <c r="AI36" s="62">
        <f>VehAvailCoefficient!E44</f>
        <v>-1.73045435445</v>
      </c>
      <c r="AJ36" s="63">
        <f si="0" t="shared"/>
        <v>-1.73045435445</v>
      </c>
      <c r="AK36">
        <f si="1" t="shared"/>
        <v>0</v>
      </c>
    </row>
    <row ht="15.75" r="37" spans="17:37" thickBot="1" x14ac:dyDescent="0.3">
      <c r="Q37" s="90" t="s">
        <v>4</v>
      </c>
      <c r="R37" s="93">
        <f ref="R37:W37" si="41" t="shared">R19-J19</f>
        <v>-4.83926027794776E-4</v>
      </c>
      <c r="S37" s="93">
        <f si="41" t="shared"/>
        <v>-6.9641922113466981E-4</v>
      </c>
      <c r="T37" s="93">
        <f si="41" t="shared"/>
        <v>2.3997648926865622E-4</v>
      </c>
      <c r="U37" s="93">
        <f si="41" t="shared"/>
        <v>7.8862684200708966E-5</v>
      </c>
      <c r="V37" s="93">
        <f si="41" t="shared"/>
        <v>8.6150607546002511E-4</v>
      </c>
      <c r="W37" s="93">
        <f si="41" t="shared"/>
        <v>0</v>
      </c>
      <c r="AG37" s="79">
        <f>VehAvailCoefficient!B45</f>
        <v>43</v>
      </c>
      <c r="AH37" s="79" t="str">
        <f>VehAvailCoefficient!C45</f>
        <v>Beta00043</v>
      </c>
      <c r="AI37" s="62">
        <f>VehAvailCoefficient!E45</f>
        <v>2.0718120356499998</v>
      </c>
      <c r="AJ37" s="63">
        <f si="0" t="shared"/>
        <v>2.0718120356499998</v>
      </c>
      <c r="AK37">
        <f si="1" t="shared"/>
        <v>0</v>
      </c>
    </row>
    <row r="38" spans="17:37" x14ac:dyDescent="0.25">
      <c r="Q38" s="80"/>
      <c r="R38" s="80"/>
      <c r="S38" s="80"/>
      <c r="T38" s="80"/>
      <c r="U38" s="80"/>
      <c r="V38" s="80"/>
      <c r="W38" s="80"/>
      <c r="AG38" s="79">
        <f>VehAvailCoefficient!B46</f>
        <v>44</v>
      </c>
      <c r="AH38" s="79" t="str">
        <f>VehAvailCoefficient!C46</f>
        <v>Beta00044</v>
      </c>
      <c r="AI38" s="62">
        <f>VehAvailCoefficient!E46</f>
        <v>0.60728378970999997</v>
      </c>
      <c r="AJ38" s="63">
        <f si="0" t="shared"/>
        <v>0.60728378970999997</v>
      </c>
      <c r="AK38">
        <f si="1" t="shared"/>
        <v>0</v>
      </c>
    </row>
    <row r="39" spans="17:37" x14ac:dyDescent="0.25">
      <c r="Q39" s="80"/>
      <c r="R39" s="80"/>
      <c r="S39" s="80"/>
      <c r="T39" s="80"/>
      <c r="U39" s="80"/>
      <c r="V39" s="80"/>
      <c r="W39" s="80"/>
      <c r="AG39" s="79">
        <f>VehAvailCoefficient!B47</f>
        <v>45</v>
      </c>
      <c r="AH39" s="79" t="str">
        <f>VehAvailCoefficient!C47</f>
        <v>Beta00045</v>
      </c>
      <c r="AI39" s="62">
        <f>VehAvailCoefficient!E47</f>
        <v>-0.71462161390000001</v>
      </c>
      <c r="AJ39" s="63">
        <f si="0" t="shared"/>
        <v>-0.71462161390000001</v>
      </c>
      <c r="AK39">
        <f si="1" t="shared"/>
        <v>0</v>
      </c>
    </row>
    <row r="40" spans="17:37" x14ac:dyDescent="0.25">
      <c r="R40" s="115" t="s">
        <v>193</v>
      </c>
      <c r="S40" s="80"/>
      <c r="T40" s="80"/>
      <c r="U40" s="80"/>
      <c r="V40" s="80"/>
      <c r="AG40" s="79">
        <f>VehAvailCoefficient!B48</f>
        <v>46</v>
      </c>
      <c r="AH40" s="79" t="str">
        <f>VehAvailCoefficient!C48</f>
        <v>Beta00046</v>
      </c>
      <c r="AI40" s="62">
        <f>VehAvailCoefficient!E48</f>
        <v>-1.4356778668800001</v>
      </c>
      <c r="AJ40" s="63">
        <f si="0" t="shared"/>
        <v>-1.4356778668800001</v>
      </c>
      <c r="AK40">
        <f si="1" t="shared"/>
        <v>0</v>
      </c>
    </row>
    <row r="41" spans="17:37" x14ac:dyDescent="0.25">
      <c r="Q41" s="80"/>
      <c r="R41" s="118" t="s">
        <v>163</v>
      </c>
      <c r="S41" s="118" t="s">
        <v>14</v>
      </c>
      <c r="T41" s="118" t="s">
        <v>191</v>
      </c>
      <c r="U41" s="118" t="s">
        <v>192</v>
      </c>
      <c r="V41" s="80"/>
      <c r="AG41" s="79">
        <f>VehAvailCoefficient!B49</f>
        <v>47</v>
      </c>
      <c r="AH41" s="79" t="str">
        <f>VehAvailCoefficient!C49</f>
        <v>Beta00047</v>
      </c>
      <c r="AI41" s="62">
        <f>VehAvailCoefficient!E49</f>
        <v>-1.45349726543</v>
      </c>
      <c r="AJ41" s="63">
        <f si="0" t="shared"/>
        <v>-1.45349726543</v>
      </c>
      <c r="AK41">
        <f si="1" t="shared"/>
        <v>0</v>
      </c>
    </row>
    <row r="42" spans="17:37" x14ac:dyDescent="0.25">
      <c r="Q42" s="80"/>
      <c r="R42" s="116">
        <f>Vehicles_by_HHDrivers!Z34</f>
        <v>128607.12953635641</v>
      </c>
      <c r="S42" s="116">
        <f>Vehicles_by_HHDrivers!AA34</f>
        <v>127324</v>
      </c>
      <c r="T42" s="116">
        <f>S42-R42</f>
        <v>-1283.1295363564132</v>
      </c>
      <c r="U42" s="117">
        <f>T42/R42</f>
        <v>-9.9771260036845832E-3</v>
      </c>
      <c r="V42" s="80"/>
      <c r="AG42" s="79">
        <f>VehAvailCoefficient!B50</f>
        <v>48</v>
      </c>
      <c r="AH42" s="79" t="str">
        <f>VehAvailCoefficient!C50</f>
        <v>Beta00048</v>
      </c>
      <c r="AI42" s="62">
        <f>VehAvailCoefficient!E50</f>
        <v>-1.0930755785699999</v>
      </c>
      <c r="AJ42" s="63">
        <f si="0" t="shared"/>
        <v>-1.0930755785699999</v>
      </c>
      <c r="AK42">
        <f si="1" t="shared"/>
        <v>0</v>
      </c>
    </row>
    <row r="43" spans="17:37" x14ac:dyDescent="0.25">
      <c r="AG43" s="79">
        <f>VehAvailCoefficient!B51</f>
        <v>49</v>
      </c>
      <c r="AH43" s="79" t="str">
        <f>VehAvailCoefficient!C51</f>
        <v>Beta00049</v>
      </c>
      <c r="AI43" s="62">
        <f>VehAvailCoefficient!E51</f>
        <v>0.14078168516</v>
      </c>
      <c r="AJ43" s="63">
        <f si="0" t="shared"/>
        <v>0.14078168516</v>
      </c>
      <c r="AK43">
        <f si="1" t="shared"/>
        <v>0</v>
      </c>
    </row>
    <row r="44" spans="17:37" x14ac:dyDescent="0.25">
      <c r="AG44" s="79">
        <f>VehAvailCoefficient!B52</f>
        <v>50</v>
      </c>
      <c r="AH44" s="79" t="str">
        <f>VehAvailCoefficient!C52</f>
        <v>Beta00050</v>
      </c>
      <c r="AI44" s="62">
        <f>VehAvailCoefficient!E52</f>
        <v>0.18860999559</v>
      </c>
      <c r="AJ44" s="63">
        <f si="0" t="shared"/>
        <v>0.18860999559</v>
      </c>
      <c r="AK44">
        <f si="1" t="shared"/>
        <v>0</v>
      </c>
    </row>
    <row r="45" spans="17:37" x14ac:dyDescent="0.25">
      <c r="AG45" s="79">
        <f>VehAvailCoefficient!B53</f>
        <v>51</v>
      </c>
      <c r="AH45" s="79" t="str">
        <f>VehAvailCoefficient!C53</f>
        <v>Beta00051</v>
      </c>
      <c r="AI45" s="62">
        <f>VehAvailCoefficient!E53</f>
        <v>-0.58492078305999995</v>
      </c>
      <c r="AJ45" s="63">
        <f si="0" t="shared"/>
        <v>-0.58492078305999995</v>
      </c>
      <c r="AK45">
        <f si="1" t="shared"/>
        <v>0</v>
      </c>
    </row>
    <row r="46" spans="17:37" x14ac:dyDescent="0.25">
      <c r="AG46" s="79">
        <f>VehAvailCoefficient!B54</f>
        <v>52</v>
      </c>
      <c r="AH46" s="79" t="str">
        <f>VehAvailCoefficient!C54</f>
        <v>Beta00052</v>
      </c>
      <c r="AI46" s="62">
        <f>VehAvailCoefficient!E54</f>
        <v>-1.0058660612699999</v>
      </c>
      <c r="AJ46" s="63">
        <f si="0" t="shared"/>
        <v>-1.0058660612699999</v>
      </c>
      <c r="AK46">
        <f si="1" t="shared"/>
        <v>0</v>
      </c>
    </row>
    <row r="47" spans="17:37" x14ac:dyDescent="0.25">
      <c r="AG47" s="79">
        <f>VehAvailCoefficient!B55</f>
        <v>53</v>
      </c>
      <c r="AH47" s="79" t="str">
        <f>VehAvailCoefficient!C55</f>
        <v>Beta00053</v>
      </c>
      <c r="AI47" s="62">
        <f>VehAvailCoefficient!E55</f>
        <v>0.22559840834</v>
      </c>
      <c r="AJ47" s="63">
        <f si="0" t="shared"/>
        <v>0.22559840834</v>
      </c>
      <c r="AK47">
        <f si="1" t="shared"/>
        <v>0</v>
      </c>
    </row>
    <row r="48" spans="17:37" x14ac:dyDescent="0.25">
      <c r="AG48" s="79">
        <f>VehAvailCoefficient!B56</f>
        <v>54</v>
      </c>
      <c r="AH48" s="79" t="str">
        <f>VehAvailCoefficient!C56</f>
        <v>Beta00054</v>
      </c>
      <c r="AI48" s="62">
        <f>VehAvailCoefficient!E56</f>
        <v>0.34302043279</v>
      </c>
      <c r="AJ48" s="63">
        <f si="0" t="shared"/>
        <v>0.34302043279</v>
      </c>
      <c r="AK48">
        <f si="1" t="shared"/>
        <v>0</v>
      </c>
    </row>
    <row r="49" spans="33:37" x14ac:dyDescent="0.25">
      <c r="AG49" s="79">
        <f>VehAvailCoefficient!B57</f>
        <v>55</v>
      </c>
      <c r="AH49" s="79" t="str">
        <f>VehAvailCoefficient!C57</f>
        <v>Beta00055</v>
      </c>
      <c r="AI49" s="62">
        <f>VehAvailCoefficient!E57</f>
        <v>-0.53538167155000005</v>
      </c>
      <c r="AJ49" s="63">
        <f si="0" t="shared"/>
        <v>-0.53538167155000005</v>
      </c>
      <c r="AK49">
        <f si="1" t="shared"/>
        <v>0</v>
      </c>
    </row>
    <row r="50" spans="33:37" x14ac:dyDescent="0.25">
      <c r="AG50" s="79">
        <f>VehAvailCoefficient!B58</f>
        <v>56</v>
      </c>
      <c r="AH50" s="79" t="str">
        <f>VehAvailCoefficient!C58</f>
        <v>Beta00056</v>
      </c>
      <c r="AI50" s="62">
        <f>VehAvailCoefficient!E58</f>
        <v>-0.52697142354000004</v>
      </c>
      <c r="AJ50" s="63">
        <f si="0" t="shared"/>
        <v>-0.52697142354000004</v>
      </c>
      <c r="AK50">
        <f si="1" t="shared"/>
        <v>0</v>
      </c>
    </row>
    <row r="51" spans="33:37" x14ac:dyDescent="0.25">
      <c r="AG51" s="79">
        <f>VehAvailCoefficient!B59</f>
        <v>57</v>
      </c>
      <c r="AH51" s="79" t="str">
        <f>VehAvailCoefficient!C59</f>
        <v>Beta00057</v>
      </c>
      <c r="AI51" s="62">
        <f>VehAvailCoefficient!E59</f>
        <v>0.21517789340999999</v>
      </c>
      <c r="AJ51" s="63">
        <f si="0" t="shared"/>
        <v>0.21517789340999999</v>
      </c>
      <c r="AK51">
        <f si="1" t="shared"/>
        <v>0</v>
      </c>
    </row>
    <row r="52" spans="33:37" x14ac:dyDescent="0.25">
      <c r="AG52" s="79">
        <f>VehAvailCoefficient!B60</f>
        <v>58</v>
      </c>
      <c r="AH52" s="79" t="str">
        <f>VehAvailCoefficient!C60</f>
        <v>Beta00058</v>
      </c>
      <c r="AI52" s="62">
        <f>VehAvailCoefficient!E60</f>
        <v>-0.97821279097000002</v>
      </c>
      <c r="AJ52" s="63">
        <f si="0" t="shared"/>
        <v>-0.97821279097000002</v>
      </c>
      <c r="AK52">
        <f si="1" t="shared"/>
        <v>0</v>
      </c>
    </row>
    <row r="53" spans="33:37" x14ac:dyDescent="0.25">
      <c r="AG53" s="79">
        <f>VehAvailCoefficient!B61</f>
        <v>59</v>
      </c>
      <c r="AH53" s="79" t="str">
        <f>VehAvailCoefficient!C61</f>
        <v>Beta00059</v>
      </c>
      <c r="AI53" s="62">
        <f>VehAvailCoefficient!E61</f>
        <v>-0.42495698544999999</v>
      </c>
      <c r="AJ53" s="63">
        <f si="0" t="shared"/>
        <v>-0.42495698544999999</v>
      </c>
      <c r="AK53">
        <f si="1" t="shared"/>
        <v>0</v>
      </c>
    </row>
    <row r="54" spans="33:37" x14ac:dyDescent="0.25">
      <c r="AG54" s="79">
        <f>VehAvailCoefficient!B62</f>
        <v>60</v>
      </c>
      <c r="AH54" s="79" t="str">
        <f>VehAvailCoefficient!C62</f>
        <v>Beta00060</v>
      </c>
      <c r="AI54" s="62">
        <f>VehAvailCoefficient!E62</f>
        <v>-0.11124462416</v>
      </c>
      <c r="AJ54" s="63">
        <f si="0" t="shared"/>
        <v>-0.11124462416</v>
      </c>
      <c r="AK54">
        <f si="1" t="shared"/>
        <v>0</v>
      </c>
    </row>
    <row r="55" spans="33:37" x14ac:dyDescent="0.25">
      <c r="AG55" s="79">
        <f>VehAvailCoefficient!B63</f>
        <v>63</v>
      </c>
      <c r="AH55" s="79" t="str">
        <f>VehAvailCoefficient!C63</f>
        <v>Beta00063</v>
      </c>
      <c r="AI55" s="62">
        <f>VehAvailCoefficient!E63</f>
        <v>-1.2627495896200001</v>
      </c>
      <c r="AJ55" s="63">
        <f si="0" t="shared"/>
        <v>-1.2627495896200001</v>
      </c>
      <c r="AK55">
        <f si="1" t="shared"/>
        <v>0</v>
      </c>
    </row>
    <row r="56" spans="33:37" x14ac:dyDescent="0.25">
      <c r="AG56" s="79">
        <f>VehAvailCoefficient!B64</f>
        <v>69</v>
      </c>
      <c r="AH56" s="79" t="str">
        <f>VehAvailCoefficient!C64</f>
        <v>Beta00069</v>
      </c>
      <c r="AI56" s="62">
        <f>VehAvailCoefficient!E64</f>
        <v>-0.18288185680999999</v>
      </c>
      <c r="AJ56" s="63">
        <f si="0" t="shared"/>
        <v>-0.18288185680999999</v>
      </c>
      <c r="AK56">
        <f si="1" t="shared"/>
        <v>0</v>
      </c>
    </row>
    <row r="57" spans="33:37" x14ac:dyDescent="0.25">
      <c r="AG57" s="79">
        <f>VehAvailCoefficient!B65</f>
        <v>72</v>
      </c>
      <c r="AH57" s="79" t="str">
        <f>VehAvailCoefficient!C65</f>
        <v>Beta00072</v>
      </c>
      <c r="AI57" s="62">
        <f>VehAvailCoefficient!E65</f>
        <v>0.1481107542</v>
      </c>
      <c r="AJ57" s="63">
        <f si="0" t="shared"/>
        <v>0.1481107542</v>
      </c>
      <c r="AK57">
        <f si="1" t="shared"/>
        <v>0</v>
      </c>
    </row>
    <row r="58" spans="33:37" x14ac:dyDescent="0.25">
      <c r="AG58" s="79">
        <f>VehAvailCoefficient!B66</f>
        <v>73</v>
      </c>
      <c r="AH58" s="79" t="str">
        <f>VehAvailCoefficient!C66</f>
        <v>Beta00073</v>
      </c>
      <c r="AI58" s="62">
        <f>VehAvailCoefficient!E66</f>
        <v>7.1458236000000004E-4</v>
      </c>
      <c r="AJ58" s="63">
        <f si="0" t="shared"/>
        <v>7.1458236000000004E-4</v>
      </c>
      <c r="AK58">
        <f si="1" t="shared"/>
        <v>0</v>
      </c>
    </row>
    <row r="59" spans="33:37" x14ac:dyDescent="0.25">
      <c r="AG59" s="79">
        <f>VehAvailCoefficient!B67</f>
        <v>75</v>
      </c>
      <c r="AH59" s="79" t="str">
        <f>VehAvailCoefficient!C67</f>
        <v>Beta00075</v>
      </c>
      <c r="AI59" s="62">
        <f>VehAvailCoefficient!E67</f>
        <v>0.29597958689999998</v>
      </c>
      <c r="AJ59" s="63">
        <f si="0" t="shared"/>
        <v>0.29597958689999998</v>
      </c>
      <c r="AK59">
        <f si="1" t="shared"/>
        <v>0</v>
      </c>
    </row>
    <row r="60" spans="33:37" x14ac:dyDescent="0.25">
      <c r="AG60" s="79">
        <f>VehAvailCoefficient!B68</f>
        <v>76</v>
      </c>
      <c r="AH60" s="79" t="str">
        <f>VehAvailCoefficient!C68</f>
        <v>Beta00076</v>
      </c>
      <c r="AI60" s="62">
        <f>VehAvailCoefficient!E68</f>
        <v>0.19796492272999999</v>
      </c>
      <c r="AJ60" s="63">
        <f si="0" t="shared"/>
        <v>0.19796492272999999</v>
      </c>
      <c r="AK60">
        <f si="1" t="shared"/>
        <v>0</v>
      </c>
    </row>
    <row r="61" spans="33:37" x14ac:dyDescent="0.25">
      <c r="AG61" s="79">
        <f>VehAvailCoefficient!B69</f>
        <v>77</v>
      </c>
      <c r="AH61" s="79" t="str">
        <f>VehAvailCoefficient!C69</f>
        <v>Beta00077</v>
      </c>
      <c r="AI61" s="62">
        <f>VehAvailCoefficient!E69</f>
        <v>0.27817460170000002</v>
      </c>
      <c r="AJ61" s="63">
        <f si="0" t="shared"/>
        <v>0.27817460170000002</v>
      </c>
      <c r="AK61">
        <f si="1" t="shared"/>
        <v>0</v>
      </c>
    </row>
    <row r="62" spans="33:37" x14ac:dyDescent="0.25">
      <c r="AG62" s="79">
        <f>VehAvailCoefficient!B70</f>
        <v>83</v>
      </c>
      <c r="AH62" s="79" t="str">
        <f>VehAvailCoefficient!C70</f>
        <v>Beta00083</v>
      </c>
      <c r="AI62" s="62">
        <f>VehAvailCoefficient!E70</f>
        <v>-0.77256225306000004</v>
      </c>
      <c r="AJ62" s="63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177</v>
      </c>
      <c r="B1" t="s">
        <v>10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179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181</v>
      </c>
    </row>
    <row r="6" spans="1:2" x14ac:dyDescent="0.25">
      <c r="A6">
        <v>5</v>
      </c>
      <c r="B6" t="s">
        <v>182</v>
      </c>
    </row>
    <row r="7" spans="1:2" x14ac:dyDescent="0.25">
      <c r="A7">
        <v>6</v>
      </c>
      <c r="B7" t="s">
        <v>183</v>
      </c>
    </row>
    <row r="8" spans="1:2" x14ac:dyDescent="0.25">
      <c r="A8">
        <v>7</v>
      </c>
      <c r="B8" t="s">
        <v>184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2020-06-03T00:11:34Z</dcterms:modified>
</cp:coreProperties>
</file>