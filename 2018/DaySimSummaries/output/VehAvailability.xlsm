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customXmlProperties+xml" PartName="/customXml/itemProps3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ms-office.chartcolorstyle+xml" PartName="/xl/charts/colors1.xml"/>
  <Override ContentType="application/vnd.ms-office.chartstyle+xml" PartName="/xl/charts/style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    <Relationship Id="rId4" Target="docProps/custom.xml" Type="http://schemas.openxmlformats.org/officeDocument/2006/relationships/custom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899C9086-67A9-5B14-2C2D-5A8001700F7D}" lastEdited="7" lowestEdited="5" rupBuild="28526"/>
  <workbookPr codeName="ThisWorkbook" defaultThemeVersion="124226"/>
  <mc:AlternateContent>
    <mc:Choice Requires="x15">
      <x15ac:absPath xmlns:x15ac="http://schemas.microsoft.com/office/spreadsheetml/2010/11/ac" url="C:\Projects\Clients\Nashville\ModelUpdate_2023\tasks\task6_model_validation\report_validation_summaries\03202025\daysim_summaries\output\"/>
    </mc:Choice>
  </mc:AlternateContent>
  <xr:revisionPtr documentId="13_ncr:1_{D56DC6A4-524B-41B4-A700-D01C5446255B}" revIDLastSave="0" xr10:uidLastSave="{00000000-0000-0000-0000-000000000000}" xr6:coauthVersionLast="47" xr6:coauthVersionMax="47"/>
  <bookViews>
    <workbookView activeTab="5" firstSheet="2" windowHeight="11596" windowWidth="19396" xWindow="-98" xr2:uid="{00000000-000D-0000-FFFF-FFFF00000000}" yWindow="-98"/>
  </bookViews>
  <sheets>
    <sheet name="Vehicles_by_County" r:id="rId1" sheetId="5"/>
    <sheet name="Vehicles_by_Income" r:id="rId2" sheetId="4"/>
    <sheet name="Vehicles_by_HHDrivers" r:id="rId3" sheetId="1"/>
    <sheet name="Coeff" r:id="rId4" sheetId="6"/>
    <sheet name="VehAvailCoefficient" r:id="rId5" sheetId="7"/>
    <sheet name="calibration" r:id="rId6" sheetId="8"/>
    <sheet name="County Codes" r:id="rId7" sheetId="9"/>
  </sheets>
  <definedNames>
    <definedName name="B">Vehicles_by_Income!$A:$A</definedName>
    <definedName name="county">Vehicles_by_County!$R$6:$V$11</definedName>
    <definedName name="drivers">Vehicles_by_HHDrivers!$R$6:$V$9</definedName>
    <definedName name="income">Vehicles_by_Income!$R$6:$V$9</definedName>
    <definedName name="out1">Vehicles_by_County!$B$6:$F$11</definedName>
    <definedName name="out2">Vehicles_by_County!$R$6:$V$11</definedName>
    <definedName name="out3">Vehicles_by_Income!$B$6:$F$9</definedName>
    <definedName name="out4">Vehicles_by_Income!$R$6:$V$9</definedName>
    <definedName name="out5">Vehicles_by_HHDrivers!$B$6:$F$9</definedName>
    <definedName name="out6">Vehicles_by_HHDrivers!$R$6:$V$9</definedName>
    <definedName name="out_1">Vehicles_by_County!$B$6:$F$15</definedName>
    <definedName name="out_3">Vehicles_by_Income!$B$6:$F$9</definedName>
    <definedName name="out_5">Vehicles_by_HHDrivers!$B$6:$F$9</definedName>
    <definedName name="out_2">Vehicles_by_County!$R$6:$V$15</definedName>
    <definedName name="out_4">Vehicles_by_Income!$R$6:$V$9</definedName>
    <definedName name="out_6">Vehicles_by_HHDrivers!$R$6:$V$9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i="1" l="1" r="J34"/>
  <c i="8" l="1" r="I3"/>
  <c i="1" l="1" r="O11"/>
  <c i="1" r="J12" s="1"/>
  <c i="1" l="1" r="M12"/>
  <c i="1" r="L12"/>
  <c i="1" r="O12"/>
  <c i="1" r="K12"/>
  <c i="1" r="N12"/>
  <c i="5" r="R29"/>
  <c i="5" r="S29"/>
  <c i="5" r="T29"/>
  <c i="5" r="U29"/>
  <c i="5" r="V29"/>
  <c i="5" r="R30"/>
  <c i="5" r="S30"/>
  <c i="5" r="T30"/>
  <c i="5" r="U30"/>
  <c i="5" r="V30"/>
  <c i="5" r="R31"/>
  <c i="5" r="S31"/>
  <c i="5" r="T31"/>
  <c i="5" r="U31"/>
  <c i="5" r="V31"/>
  <c i="5" r="Q60"/>
  <c i="5" r="Q61"/>
  <c i="5" r="Q62"/>
  <c i="5" r="Q63"/>
  <c i="5" r="Q59"/>
  <c i="5" r="AG28"/>
  <c i="5" r="AG29"/>
  <c i="5" r="AG30"/>
  <c i="5" r="AG31"/>
  <c i="5" r="AG27"/>
  <c i="5" r="Y28"/>
  <c i="5" r="Y29"/>
  <c i="5" r="Y30"/>
  <c i="5" r="Y31"/>
  <c i="5" r="Y27"/>
  <c i="5" r="A28"/>
  <c i="5" r="A29"/>
  <c i="5" r="A30"/>
  <c i="5" r="A31"/>
  <c i="5" r="A27"/>
  <c i="5" r="Q44"/>
  <c i="5" r="Q45"/>
  <c i="5" r="Q46"/>
  <c i="5" r="Q47"/>
  <c i="5" r="Q43"/>
  <c i="5" r="I44"/>
  <c i="5" r="I45"/>
  <c i="5" r="I46"/>
  <c i="5" r="I47"/>
  <c i="5" r="I43"/>
  <c i="5" r="A44"/>
  <c i="5" r="A45"/>
  <c i="5" r="A46"/>
  <c i="5" r="A47"/>
  <c i="5" r="A43"/>
  <c i="5" r="W13"/>
  <c i="5" r="W14"/>
  <c i="5" r="W15"/>
  <c i="5" r="O15"/>
  <c i="5" r="O14"/>
  <c i="5" r="J30" s="1"/>
  <c i="5" r="O13"/>
  <c i="5" r="O12"/>
  <c i="5" r="O11"/>
  <c i="5" r="O10"/>
  <c i="5" r="O9"/>
  <c i="5" r="O8"/>
  <c i="5" r="O7"/>
  <c i="5" r="O6"/>
  <c i="5" r="V16"/>
  <c i="5" r="U16"/>
  <c i="5" r="T16"/>
  <c i="5" r="S16"/>
  <c i="5" r="R16"/>
  <c i="5" r="N16"/>
  <c i="5" r="M16"/>
  <c i="5" r="L16"/>
  <c i="5" r="K16"/>
  <c i="5" r="J16"/>
  <c i="5" r="G13"/>
  <c i="5" r="G14"/>
  <c i="5" r="G15"/>
  <c i="5" r="C16"/>
  <c i="5" r="D16"/>
  <c i="5" r="E16"/>
  <c i="5" r="F16"/>
  <c i="5" r="B16"/>
  <c i="5" l="1" r="B29"/>
  <c i="5" r="AH29" s="1"/>
  <c i="5" r="N31"/>
  <c i="5" r="M30"/>
  <c i="5" r="C29"/>
  <c i="5" r="AA29" s="1"/>
  <c i="5" r="D29"/>
  <c i="5" r="AJ29" s="1"/>
  <c i="5" r="E31"/>
  <c i="5" r="AK31" s="1"/>
  <c i="5" r="G30"/>
  <c i="5" r="AM30" s="1"/>
  <c i="5" r="AB29"/>
  <c i="5" r="K30"/>
  <c i="5" r="O31"/>
  <c i="5" r="K31"/>
  <c i="5" r="J31"/>
  <c i="5" r="J29"/>
  <c i="5" r="L29"/>
  <c i="5" r="F31"/>
  <c i="5" r="D31"/>
  <c i="5" r="F30"/>
  <c i="5" r="W31"/>
  <c i="5" r="C31"/>
  <c i="5" r="E30"/>
  <c i="5" r="W29"/>
  <c i="5" r="L30"/>
  <c i="5" r="N29"/>
  <c i="5" r="B31"/>
  <c i="5" r="D30"/>
  <c i="5" r="L31"/>
  <c i="5" r="O30"/>
  <c i="5" r="O16"/>
  <c i="5" r="C30"/>
  <c i="5" r="M29"/>
  <c i="5" r="B30"/>
  <c i="5" r="M31"/>
  <c i="5" r="K29"/>
  <c i="5" r="G31"/>
  <c i="5" r="AM31" s="1"/>
  <c i="5" r="G29"/>
  <c i="5" r="AM29" s="1"/>
  <c i="5" r="Z29"/>
  <c i="5" r="F29"/>
  <c i="5" r="N30"/>
  <c i="5" r="O29"/>
  <c i="5" r="W30"/>
  <c i="5" r="E29"/>
  <c i="5" l="1" r="AI29"/>
  <c i="5" r="AC31"/>
  <c i="5" r="AE29"/>
  <c i="5" r="AE30"/>
  <c i="5" r="Z31"/>
  <c i="5" r="AH31"/>
  <c i="5" r="AJ31"/>
  <c i="5" r="AB31"/>
  <c i="5" r="AL31"/>
  <c i="5" r="AD31"/>
  <c i="5" r="AK30"/>
  <c i="5" r="AC30"/>
  <c i="5" r="Z30"/>
  <c i="5" r="AH30"/>
  <c i="5" r="AE31"/>
  <c i="5" r="AA30"/>
  <c i="5" r="AI30"/>
  <c i="5" r="AA31"/>
  <c i="5" r="AI31"/>
  <c i="5" r="AK29"/>
  <c i="5" r="AC29"/>
  <c i="5" r="AJ30"/>
  <c i="5" r="AB30"/>
  <c i="5" r="AL29"/>
  <c i="5" r="AD29"/>
  <c i="5" r="AD30"/>
  <c i="5" r="AL30"/>
  <c i="5" r="S28"/>
  <c i="5" r="T28"/>
  <c i="5" r="U28"/>
  <c i="5" r="V28"/>
  <c i="5" r="R28"/>
  <c i="5" r="W12"/>
  <c i="5" r="W28" s="1"/>
  <c i="5" r="G12"/>
  <c i="5" l="1" r="N28"/>
  <c i="5" r="L28"/>
  <c i="5" r="K28"/>
  <c i="5" r="M28"/>
  <c i="5" r="F28"/>
  <c i="5" r="AL28" s="1"/>
  <c i="5" r="E28"/>
  <c i="5" r="AC28" s="1"/>
  <c i="5" r="D28"/>
  <c i="5" r="AB28" s="1"/>
  <c i="5" r="B28"/>
  <c i="5" r="Z28" s="1"/>
  <c i="5" r="C28"/>
  <c i="5" r="AA28" s="1"/>
  <c i="5" r="G28"/>
  <c i="5" r="J28"/>
  <c i="5" r="O28"/>
  <c i="8" r="AG3"/>
  <c i="8" r="AH3"/>
  <c i="8" r="AI3"/>
  <c i="8" r="AG4"/>
  <c i="8" r="AH4"/>
  <c i="8" r="AI4"/>
  <c i="8" r="AG5"/>
  <c i="8" r="AH5"/>
  <c i="8" r="AI5"/>
  <c i="8" r="AG6"/>
  <c i="8" r="AH6"/>
  <c i="8" r="AI6"/>
  <c i="8" r="AG7"/>
  <c i="8" r="AH7"/>
  <c i="8" r="AI7"/>
  <c i="8" r="AG8"/>
  <c i="8" r="AH8"/>
  <c i="8" r="AI8"/>
  <c i="8" r="AG9"/>
  <c i="8" r="AH9"/>
  <c i="8" r="AI9"/>
  <c i="8" r="AG10"/>
  <c i="8" r="AH10"/>
  <c i="8" r="AI10"/>
  <c i="8" r="AG11"/>
  <c i="8" r="AH11"/>
  <c i="8" r="AI11"/>
  <c i="8" r="AG12"/>
  <c i="8" r="AH12"/>
  <c i="8" r="AI12"/>
  <c i="8" r="AG13"/>
  <c i="8" r="AH13"/>
  <c i="8" r="AI13"/>
  <c i="8" r="AG14"/>
  <c i="8" r="AH14"/>
  <c i="8" r="AI14"/>
  <c i="8" r="AG15"/>
  <c i="8" r="AH15"/>
  <c i="8" r="AI15"/>
  <c i="8" r="AG16"/>
  <c i="8" r="AH16"/>
  <c i="8" r="AI16"/>
  <c i="8" r="AG17"/>
  <c i="8" r="AH17"/>
  <c i="8" r="AI17"/>
  <c i="8" r="AG18"/>
  <c i="8" r="AH18"/>
  <c i="8" r="AI18"/>
  <c i="8" r="AG19"/>
  <c i="8" r="AH19"/>
  <c i="8" r="AI19"/>
  <c i="8" r="AG20"/>
  <c i="8" r="AH20"/>
  <c i="8" r="AI20"/>
  <c i="8" r="AG21"/>
  <c i="8" r="AH21"/>
  <c i="8" r="AI21"/>
  <c i="8" r="AG22"/>
  <c i="8" r="AH22"/>
  <c i="8" r="AI22"/>
  <c i="8" r="AG23"/>
  <c i="8" r="AH23"/>
  <c i="8" r="AI23"/>
  <c i="8" r="AG24"/>
  <c i="8" r="AH24"/>
  <c i="8" r="AI24"/>
  <c i="8" r="AG25"/>
  <c i="8" r="AH25"/>
  <c i="8" r="AI25"/>
  <c i="8" r="AG26"/>
  <c i="8" r="AH26"/>
  <c i="8" r="AI26"/>
  <c i="8" r="AG27"/>
  <c i="8" r="AH27"/>
  <c i="8" r="AI27"/>
  <c i="8" r="AG28"/>
  <c i="8" r="AH28"/>
  <c i="8" r="AI28"/>
  <c i="8" r="AG29"/>
  <c i="8" r="AH29"/>
  <c i="8" r="AI29"/>
  <c i="8" r="AG30"/>
  <c i="8" r="AH30"/>
  <c i="8" r="AI30"/>
  <c i="8" r="AG31"/>
  <c i="8" r="AH31"/>
  <c i="8" r="AI31"/>
  <c i="8" r="AG32"/>
  <c i="8" r="AH32"/>
  <c i="8" r="AI32"/>
  <c i="8" r="AG33"/>
  <c i="8" r="AH33"/>
  <c i="8" r="AI33"/>
  <c i="8" r="AG34"/>
  <c i="8" r="AH34"/>
  <c i="8" r="AI34"/>
  <c i="8" r="AG35"/>
  <c i="8" r="AH35"/>
  <c i="8" r="AI35"/>
  <c i="8" r="AG36"/>
  <c i="8" r="AH36"/>
  <c i="8" r="AI36"/>
  <c i="8" r="AG37"/>
  <c i="8" r="AH37"/>
  <c i="8" r="AI37"/>
  <c i="8" r="AG38"/>
  <c i="8" r="AH38"/>
  <c i="8" r="AI38"/>
  <c i="8" r="AG39"/>
  <c i="8" r="AH39"/>
  <c i="8" r="AI39"/>
  <c i="8" r="AG40"/>
  <c i="8" r="AH40"/>
  <c i="8" r="AI40"/>
  <c i="8" r="AG41"/>
  <c i="8" r="AH41"/>
  <c i="8" r="AI41"/>
  <c i="8" r="AG42"/>
  <c i="8" r="AH42"/>
  <c i="8" r="AI42"/>
  <c i="8" r="AG43"/>
  <c i="8" r="AH43"/>
  <c i="8" r="AI43"/>
  <c i="8" r="AG44"/>
  <c i="8" r="AH44"/>
  <c i="8" r="AI44"/>
  <c i="8" r="AG45"/>
  <c i="8" r="AH45"/>
  <c i="8" r="AI45"/>
  <c i="8" r="AG46"/>
  <c i="8" r="AH46"/>
  <c i="8" r="AI46"/>
  <c i="8" r="AG47"/>
  <c i="8" r="AH47"/>
  <c i="8" r="AI47"/>
  <c i="8" r="AG48"/>
  <c i="8" r="AH48"/>
  <c i="8" r="AI48"/>
  <c i="8" r="AG49"/>
  <c i="8" r="AH49"/>
  <c i="8" r="AI49"/>
  <c i="8" r="AG50"/>
  <c i="8" r="AH50"/>
  <c i="8" r="AI50"/>
  <c i="8" r="AG51"/>
  <c i="8" r="AH51"/>
  <c i="8" r="AI51"/>
  <c i="8" r="AG52"/>
  <c i="8" r="AH52"/>
  <c i="8" r="AI52"/>
  <c i="8" r="AG53"/>
  <c i="8" r="AH53"/>
  <c i="8" r="AI53"/>
  <c i="8" r="AG54"/>
  <c i="8" r="AH54"/>
  <c i="8" r="AI54"/>
  <c i="8" r="AG55"/>
  <c i="8" r="AH55"/>
  <c i="8" r="AI55"/>
  <c i="8" r="AG56"/>
  <c i="8" r="AH56"/>
  <c i="8" r="AI56"/>
  <c i="8" r="AG57"/>
  <c i="8" r="AH57"/>
  <c i="8" r="AI57"/>
  <c i="8" r="AG58"/>
  <c i="8" r="AH58"/>
  <c i="8" r="AI58"/>
  <c i="8" r="AG59"/>
  <c i="8" r="AH59"/>
  <c i="8" r="AI59"/>
  <c i="8" r="AG60"/>
  <c i="8" r="AH60"/>
  <c i="8" r="AI60"/>
  <c i="8" r="AG61"/>
  <c i="8" r="AH61"/>
  <c i="8" r="AI61"/>
  <c i="8" r="AG62"/>
  <c i="8" r="AH62"/>
  <c i="8" r="AI62"/>
  <c i="8" l="1" r="AJ55"/>
  <c i="8" r="AK55" s="1"/>
  <c i="8" r="AJ49"/>
  <c i="8" r="AK49" s="1"/>
  <c i="8" r="AJ20"/>
  <c i="8" r="AK20" s="1"/>
  <c i="8" r="AJ48"/>
  <c i="8" r="AK48" s="1"/>
  <c i="8" r="AJ51"/>
  <c i="8" r="AK51" s="1"/>
  <c i="8" r="AJ23"/>
  <c i="8" r="AK23" s="1"/>
  <c i="8" r="AJ31"/>
  <c i="8" r="AK31" s="1"/>
  <c i="8" r="AJ29"/>
  <c i="8" r="AK29" s="1"/>
  <c i="8" r="AJ30"/>
  <c i="8" r="AK30" s="1"/>
  <c i="8" r="AJ45"/>
  <c i="8" r="AK45" s="1"/>
  <c i="5" r="AE28"/>
  <c i="5" r="AI28"/>
  <c i="5" r="AH28"/>
  <c i="5" r="AJ28"/>
  <c i="5" r="AK28"/>
  <c i="5" r="AD28"/>
  <c i="8" r="AJ36"/>
  <c i="8" r="AK36" s="1"/>
  <c i="5" r="AM28"/>
  <c i="8" r="AJ60"/>
  <c i="8" r="AK60" s="1"/>
  <c i="8" r="AJ34"/>
  <c i="8" r="AK34" s="1"/>
  <c i="8" r="AJ22"/>
  <c i="8" r="AK22" s="1"/>
  <c i="8" r="AJ59"/>
  <c i="8" r="AK59" s="1"/>
  <c i="8" r="AJ46"/>
  <c i="8" r="AK46" s="1"/>
  <c i="8" r="AJ32"/>
  <c i="8" r="AK32" s="1"/>
  <c i="8" r="AJ57"/>
  <c i="8" r="AK57" s="1"/>
  <c i="8" r="AJ40"/>
  <c i="8" r="AK40" s="1"/>
  <c i="8" r="AJ27"/>
  <c i="8" r="AK27" s="1"/>
  <c i="8" r="AJ61"/>
  <c i="8" r="AK61" s="1"/>
  <c i="8" r="AJ47"/>
  <c i="8" r="AK47" s="1"/>
  <c i="8" r="AJ21"/>
  <c i="8" r="AK21" s="1"/>
  <c i="8" r="AJ43"/>
  <c i="8" r="AK43" s="1"/>
  <c i="8" r="AJ37"/>
  <c i="8" r="AK37" s="1"/>
  <c i="8" r="AJ25"/>
  <c i="8" r="AK25" s="1"/>
  <c i="8" r="AJ42"/>
  <c i="8" r="AK42" s="1"/>
  <c i="8" r="AJ26"/>
  <c i="8" r="AK26" s="1"/>
  <c i="8" r="AJ41"/>
  <c i="8" r="AK41" s="1"/>
  <c i="8" r="AJ54"/>
  <c i="8" r="AK54" s="1"/>
  <c i="8" r="AJ52"/>
  <c i="8" r="AK52" s="1"/>
  <c i="8" r="AJ35"/>
  <c i="8" r="AK35" s="1"/>
  <c i="8" r="AJ58"/>
  <c i="8" r="AK58" s="1"/>
  <c i="8" r="AJ53"/>
  <c i="8" r="AK53" s="1"/>
  <c i="8" r="AJ38"/>
  <c i="8" r="AK38" s="1"/>
  <c i="8" r="AJ44"/>
  <c i="8" r="AK44" s="1"/>
  <c i="8" r="AJ39"/>
  <c i="8" r="AK39" s="1"/>
  <c i="8" r="AJ28"/>
  <c i="8" r="AK28" s="1"/>
  <c i="8" r="AJ50"/>
  <c i="8" r="AK50" s="1"/>
  <c i="8" r="AJ62"/>
  <c i="8" r="AK62" s="1"/>
  <c i="8" r="AJ24"/>
  <c i="8" r="AK24" s="1"/>
  <c i="8" r="AJ56"/>
  <c i="8" r="AK56" s="1"/>
  <c i="8" r="AJ33"/>
  <c i="8" r="AK33" s="1"/>
  <c i="4" r="O9"/>
  <c i="8" l="1" r="Q13"/>
  <c i="8" r="Q4"/>
  <c i="8" l="1" r="AB7"/>
  <c i="8" r="AB6"/>
  <c i="8" r="AB22"/>
  <c i="8" r="AE22" s="1"/>
  <c i="8" r="AJ19" s="1"/>
  <c i="8" r="AK19" s="1"/>
  <c i="8" r="AB21"/>
  <c i="8" r="AB20"/>
  <c i="8" r="AB19"/>
  <c i="8" r="AB17"/>
  <c i="8" r="AB16"/>
  <c i="8" r="AB15"/>
  <c i="8" r="AB14"/>
  <c i="8" r="AB13"/>
  <c i="8" r="AB12"/>
  <c i="8" r="AB11"/>
  <c i="8" r="AB18"/>
  <c i="8" r="AB10"/>
  <c i="8" r="AB9"/>
  <c i="8" r="AB8"/>
  <c i="4" r="O7"/>
  <c i="4" r="O8"/>
  <c i="4" r="O6"/>
  <c i="4" r="K10"/>
  <c i="4" r="L10"/>
  <c i="4" r="M10"/>
  <c i="4" r="N10"/>
  <c i="4" r="J10"/>
  <c i="1" r="K10"/>
  <c i="1" r="L10"/>
  <c i="1" r="M10"/>
  <c i="1" r="N10"/>
  <c i="1" r="J10"/>
  <c i="1" r="O7"/>
  <c i="1" r="O8"/>
  <c i="1" r="O9"/>
  <c i="1" r="O6"/>
  <c i="1" l="1" r="O10"/>
  <c i="4" l="1" r="O10"/>
  <c i="5" l="1" r="A48"/>
  <c i="5" r="A42"/>
  <c i="5" r="A41"/>
  <c i="5" r="A40"/>
  <c i="5" r="A39"/>
  <c i="5" r="A38"/>
  <c i="5" r="A32"/>
  <c i="5" r="A26"/>
  <c i="5" r="A25"/>
  <c i="5" r="A24"/>
  <c i="5" r="A23"/>
  <c i="5" r="A22"/>
  <c i="5" r="AG32"/>
  <c i="5" r="AG26"/>
  <c i="5" r="AG25"/>
  <c i="5" r="AG24"/>
  <c i="5" r="AG23"/>
  <c i="5" r="AG22"/>
  <c i="5" r="Y32"/>
  <c i="5" r="Y26"/>
  <c i="5" r="Y25"/>
  <c i="5" r="Y24"/>
  <c i="5" r="Y23"/>
  <c i="5" r="Y22"/>
  <c i="5" r="Q64"/>
  <c i="5" r="Q58"/>
  <c i="5" r="Q57"/>
  <c i="5" r="Q56"/>
  <c i="5" r="Q55"/>
  <c i="5" r="Q54"/>
  <c i="5" r="Q48"/>
  <c i="5" r="Q42"/>
  <c i="5" r="Q41"/>
  <c i="5" r="Q40"/>
  <c i="5" r="Q39"/>
  <c i="5" r="Q38"/>
  <c i="5" r="Q32"/>
  <c i="5" r="Q16"/>
  <c i="5" r="I48"/>
  <c i="5" r="I42"/>
  <c i="5" r="I41"/>
  <c i="5" r="I40"/>
  <c i="5" r="I39"/>
  <c i="5" r="I38"/>
  <c i="5" r="I32"/>
  <c i="5" r="I16"/>
  <c i="5" l="1" r="W8"/>
  <c i="5" r="W9"/>
  <c i="5" r="W10"/>
  <c i="5" r="G8"/>
  <c i="5" r="G9"/>
  <c i="5" r="G10"/>
  <c i="5" l="1" r="V26"/>
  <c i="5" r="U26"/>
  <c i="5" r="T26"/>
  <c i="5" r="S26"/>
  <c i="5" r="R26"/>
  <c i="5" r="V25"/>
  <c i="5" r="U25"/>
  <c i="5" r="T25"/>
  <c i="5" r="S25"/>
  <c i="5" r="R25"/>
  <c i="5" r="V24"/>
  <c i="5" r="U24"/>
  <c i="5" r="T24"/>
  <c i="5" r="S24"/>
  <c i="5" r="R24"/>
  <c i="5" r="O26"/>
  <c i="5" r="N26"/>
  <c i="5" r="M26"/>
  <c i="5" r="L26"/>
  <c i="5" r="K26"/>
  <c i="5" r="J26"/>
  <c i="5" r="O25"/>
  <c i="5" r="N25"/>
  <c i="5" r="M25"/>
  <c i="5" r="L25"/>
  <c i="5" r="K25"/>
  <c i="5" r="J25"/>
  <c i="5" r="O24"/>
  <c i="5" r="N24"/>
  <c i="5" r="M24"/>
  <c i="5" r="L24"/>
  <c i="5" r="K24"/>
  <c i="5" r="J24"/>
  <c i="5" r="G26"/>
  <c i="5" r="AM26" s="1"/>
  <c i="5" r="G25"/>
  <c i="5" r="AM25" s="1"/>
  <c i="5" r="G24"/>
  <c i="5" r="AM24" s="1"/>
  <c i="5" r="F26"/>
  <c i="5" r="AL26" s="1"/>
  <c i="5" r="E26"/>
  <c i="5" r="AK26" s="1"/>
  <c i="5" r="D26"/>
  <c i="5" r="AJ26" s="1"/>
  <c i="5" r="C26"/>
  <c i="5" r="AI26" s="1"/>
  <c i="5" r="B26"/>
  <c i="5" r="AH26" s="1"/>
  <c i="5" r="F25"/>
  <c i="5" r="AL25" s="1"/>
  <c i="5" r="E25"/>
  <c i="5" r="AK25" s="1"/>
  <c i="5" r="D25"/>
  <c i="5" r="AJ25" s="1"/>
  <c i="5" r="C25"/>
  <c i="5" r="AI25" s="1"/>
  <c i="5" r="B25"/>
  <c i="5" r="AH25" s="1"/>
  <c i="5" r="F24"/>
  <c i="5" r="AL24" s="1"/>
  <c i="5" r="E24"/>
  <c i="5" r="AK24" s="1"/>
  <c i="5" r="D24"/>
  <c i="5" r="AJ24" s="1"/>
  <c i="5" r="C24"/>
  <c i="5" r="AI24" s="1"/>
  <c i="5" r="B24"/>
  <c i="5" r="AH24" s="1"/>
  <c i="5" r="R22"/>
  <c i="5" r="S22"/>
  <c i="5" r="T22"/>
  <c i="5" r="U22"/>
  <c i="5" r="V22"/>
  <c i="5" r="R23"/>
  <c i="5" r="S23"/>
  <c i="5" r="T23"/>
  <c i="5" r="U23"/>
  <c i="5" r="V23"/>
  <c i="5" r="R27"/>
  <c i="5" r="S27"/>
  <c i="5" r="T27"/>
  <c i="5" r="U27"/>
  <c i="5" r="V27"/>
  <c i="4" r="G6"/>
  <c i="4" r="W6"/>
  <c i="4" r="G7"/>
  <c i="4" r="W7"/>
  <c i="4" r="G8"/>
  <c i="4" r="W8"/>
  <c i="4" r="G9"/>
  <c i="4" r="W9"/>
  <c i="4" r="B10"/>
  <c i="4" r="C10"/>
  <c i="4" r="D10"/>
  <c i="4" r="E10"/>
  <c i="4" r="F10"/>
  <c i="4" r="R10"/>
  <c i="4" r="S10"/>
  <c i="4" r="T10"/>
  <c i="4" r="U10"/>
  <c i="4" r="V10"/>
  <c i="1" r="R17"/>
  <c i="8" r="R7" s="1"/>
  <c i="1" r="S17"/>
  <c i="8" r="S7" s="1"/>
  <c i="1" r="T17"/>
  <c i="8" r="T7" s="1"/>
  <c i="1" r="U17"/>
  <c i="8" r="U7" s="1"/>
  <c i="1" r="V17"/>
  <c i="8" r="V7" s="1"/>
  <c i="1" r="R18"/>
  <c i="8" r="R8" s="1"/>
  <c i="1" r="S18"/>
  <c i="8" r="S8" s="1"/>
  <c i="1" r="T18"/>
  <c i="8" r="T8" s="1"/>
  <c i="1" r="U18"/>
  <c i="8" r="U8" s="1"/>
  <c i="1" r="V18"/>
  <c i="8" r="V8" s="1"/>
  <c i="1" r="R19"/>
  <c i="8" r="R9" s="1"/>
  <c i="1" r="S19"/>
  <c i="8" r="S9" s="1"/>
  <c i="1" r="T19"/>
  <c i="8" r="T9" s="1"/>
  <c i="1" r="U19"/>
  <c i="8" r="U9" s="1"/>
  <c i="1" r="V19"/>
  <c i="8" r="V9" s="1"/>
  <c i="1" r="S16"/>
  <c i="8" r="S6" s="1"/>
  <c i="1" r="T16"/>
  <c i="8" r="T6" s="1"/>
  <c i="1" r="U16"/>
  <c i="8" r="U6" s="1"/>
  <c i="1" r="V16"/>
  <c i="8" r="V6" s="1"/>
  <c i="1" r="R16"/>
  <c i="8" r="R6" s="1"/>
  <c i="4" r="R17"/>
  <c i="4" r="S17"/>
  <c i="4" r="T17"/>
  <c i="4" r="U17"/>
  <c i="4" r="V17"/>
  <c i="4" r="R18"/>
  <c i="4" r="S18"/>
  <c i="4" r="T18"/>
  <c i="4" r="U18"/>
  <c i="4" r="V18"/>
  <c i="4" r="R19"/>
  <c i="4" r="S19"/>
  <c i="4" r="T19"/>
  <c i="4" r="U19"/>
  <c i="4" r="V19"/>
  <c i="4" r="S16"/>
  <c i="4" r="T16"/>
  <c i="4" r="U16"/>
  <c i="4" r="V16"/>
  <c i="4" r="R16"/>
  <c i="5" l="1" r="S32"/>
  <c i="5" r="R32"/>
  <c i="5" r="T32"/>
  <c i="5" r="V32"/>
  <c i="5" r="U32"/>
  <c i="4" r="K18"/>
  <c i="4" r="J18"/>
  <c i="4" r="L18"/>
  <c i="4" r="M18"/>
  <c i="4" r="N18"/>
  <c i="4" r="J19"/>
  <c i="4" r="N19"/>
  <c i="4" r="K19"/>
  <c i="4" r="M19"/>
  <c i="4" r="L19"/>
  <c i="4" r="J17"/>
  <c i="4" r="M17"/>
  <c i="4" r="N17"/>
  <c i="4" r="K17"/>
  <c i="4" r="L17"/>
  <c i="4" r="M16"/>
  <c i="4" r="L16"/>
  <c i="4" r="N16"/>
  <c i="4" r="J16"/>
  <c i="4" r="K16"/>
  <c i="1" r="AA34"/>
  <c i="8" r="S42" s="1"/>
  <c i="5" r="AD24"/>
  <c i="5" r="Z25"/>
  <c i="5" r="AA25"/>
  <c i="5" r="Z24"/>
  <c i="5" r="AB25"/>
  <c i="5" r="AC25"/>
  <c i="5" r="AD25"/>
  <c i="5" r="Z26"/>
  <c i="5" r="AA24"/>
  <c i="5" r="AA26"/>
  <c i="5" r="AB26"/>
  <c i="5" r="AC26"/>
  <c i="5" r="AD26"/>
  <c i="5" r="AB24"/>
  <c i="5" r="AC24"/>
  <c i="5" r="W25"/>
  <c i="5" r="AE25" s="1"/>
  <c i="5" r="W24"/>
  <c i="5" r="AE24" s="1"/>
  <c i="5" r="W26"/>
  <c i="5" r="AE26" s="1"/>
  <c i="4" r="G10"/>
  <c i="5" r="W27"/>
  <c i="1" r="W19"/>
  <c i="4" r="W10"/>
  <c i="5" r="W23"/>
  <c i="5" r="W22"/>
  <c i="4" r="V20"/>
  <c i="4" r="R20"/>
  <c i="4" r="W19"/>
  <c i="4" r="T20"/>
  <c i="4" r="W16"/>
  <c i="1" r="W17"/>
  <c i="4" r="W17"/>
  <c i="1" r="R20"/>
  <c i="1" r="S20"/>
  <c i="1" r="T20"/>
  <c i="1" r="U20"/>
  <c i="1" r="W18"/>
  <c i="1" r="V20"/>
  <c i="1" r="W16"/>
  <c i="4" r="W18"/>
  <c i="4" r="U20"/>
  <c i="4" r="S20"/>
  <c i="4" l="1" r="M20"/>
  <c i="5" r="W32"/>
  <c i="4" r="L20"/>
  <c i="4" r="K20"/>
  <c i="4" r="N20"/>
  <c i="4" r="O16"/>
  <c i="4" r="J20"/>
  <c i="4" r="O19"/>
  <c i="4" r="O17"/>
  <c i="4" r="O18"/>
  <c i="4" r="W20"/>
  <c i="1" r="W20"/>
  <c i="1" r="V10"/>
  <c i="1" r="U10"/>
  <c i="1" r="T10"/>
  <c i="1" r="S10"/>
  <c i="1" r="R10"/>
  <c i="1" r="W9"/>
  <c i="1" r="W8"/>
  <c i="1" r="W7"/>
  <c i="1" r="W6"/>
  <c i="1" r="F10"/>
  <c i="1" r="E10"/>
  <c i="1" r="D10"/>
  <c i="1" r="C10"/>
  <c i="1" r="B10"/>
  <c i="1" r="G9"/>
  <c i="1" r="G8"/>
  <c i="1" r="G7"/>
  <c i="1" r="G6"/>
  <c i="5" r="W11"/>
  <c i="5" r="W7"/>
  <c i="5" r="W6"/>
  <c i="5" r="G7"/>
  <c i="5" r="G11"/>
  <c i="5" r="G6"/>
  <c i="1" l="1" r="K47"/>
  <c i="1" r="N47"/>
  <c i="1" r="J47"/>
  <c i="1" r="M47"/>
  <c i="1" r="L47"/>
  <c i="1" r="J46"/>
  <c i="1" r="L46"/>
  <c i="1" r="M46"/>
  <c i="1" r="K46"/>
  <c i="1" r="N46"/>
  <c i="1" r="J48"/>
  <c i="1" r="L48"/>
  <c i="1" r="M48"/>
  <c i="1" r="K48"/>
  <c i="1" r="N48"/>
  <c i="1" r="J49"/>
  <c i="1" r="N49"/>
  <c i="1" r="L49"/>
  <c i="1" r="M49"/>
  <c i="1" r="K49"/>
  <c i="5" r="W16"/>
  <c i="5" r="G16"/>
  <c i="4" r="O20"/>
  <c i="5" r="G27"/>
  <c i="5" r="AE27" s="1"/>
  <c i="1" r="G16"/>
  <c i="5" r="B23"/>
  <c i="5" r="C27"/>
  <c i="5" r="M27"/>
  <c i="5" r="B27"/>
  <c i="5" r="F27"/>
  <c i="5" r="L27"/>
  <c i="5" r="E27"/>
  <c i="5" r="K27"/>
  <c i="5" r="O27"/>
  <c i="5" r="J27"/>
  <c i="5" r="D27"/>
  <c i="5" r="N27"/>
  <c i="5" r="C23"/>
  <c i="5" r="G23"/>
  <c i="5" r="AE23" s="1"/>
  <c i="5" r="M23"/>
  <c i="5" r="F23"/>
  <c i="5" r="L23"/>
  <c i="5" r="E23"/>
  <c i="5" r="K23"/>
  <c i="5" r="O23"/>
  <c i="5" r="D23"/>
  <c i="5" r="N23"/>
  <c i="5" r="J23"/>
  <c i="5" r="E22"/>
  <c i="5" r="K22"/>
  <c i="5" r="O22"/>
  <c i="5" r="D22"/>
  <c i="5" r="J22"/>
  <c i="5" r="N22"/>
  <c i="5" r="C22"/>
  <c i="5" r="G22"/>
  <c i="5" r="AE22" s="1"/>
  <c i="5" r="M22"/>
  <c i="5" r="F22"/>
  <c i="5" r="L22"/>
  <c i="5" r="B22"/>
  <c i="5" r="AH22" s="1"/>
  <c i="1" r="F19"/>
  <c i="1" r="B19"/>
  <c i="1" r="G19"/>
  <c i="1" r="D19"/>
  <c i="1" r="C19"/>
  <c i="1" r="E19"/>
  <c i="4" r="G18"/>
  <c i="4" r="C18"/>
  <c i="4" r="E18"/>
  <c i="4" r="D18"/>
  <c i="4" r="F18"/>
  <c i="4" r="B18"/>
  <c i="1" r="D18"/>
  <c i="1" r="F18"/>
  <c i="1" r="B18"/>
  <c i="1" r="G18"/>
  <c i="1" r="C18"/>
  <c i="1" r="E18"/>
  <c i="1" r="W10"/>
  <c i="1" r="W28" s="1"/>
  <c i="4" r="E17"/>
  <c i="4" r="F17"/>
  <c i="4" r="G17"/>
  <c i="4" r="C17"/>
  <c i="4" r="D17"/>
  <c i="4" r="B17"/>
  <c i="1" r="G10"/>
  <c i="1" r="G34" s="1"/>
  <c i="1" r="F17"/>
  <c i="1" r="B17"/>
  <c i="1" r="G17"/>
  <c i="1" r="D17"/>
  <c i="1" r="C17"/>
  <c i="1" r="E17"/>
  <c i="4" r="G16"/>
  <c i="4" r="C16"/>
  <c i="4" r="E16"/>
  <c i="4" r="D16"/>
  <c i="4" r="F16"/>
  <c i="4" r="B16"/>
  <c i="1" r="D16"/>
  <c i="1" r="E16"/>
  <c i="1" r="F16"/>
  <c i="1" r="B16"/>
  <c i="1" r="C16"/>
  <c i="4" r="E19"/>
  <c i="4" r="F19"/>
  <c i="4" r="G19"/>
  <c i="4" r="C19"/>
  <c i="4" r="D19"/>
  <c i="4" r="B19"/>
  <c i="4" r="W28"/>
  <c i="1" l="1" r="N50"/>
  <c i="1" r="M50"/>
  <c i="1" r="O48"/>
  <c i="1" r="L50"/>
  <c i="1" r="J50"/>
  <c i="1" r="O46"/>
  <c i="1" r="O49"/>
  <c i="1" r="O47"/>
  <c i="1" r="K50"/>
  <c i="5" r="U46"/>
  <c i="5" r="T47"/>
  <c i="5" r="V45"/>
  <c i="5" r="T46"/>
  <c i="5" r="R47"/>
  <c i="5" r="R46"/>
  <c i="5" r="S46"/>
  <c i="5" r="S45"/>
  <c i="5" r="T45"/>
  <c i="5" r="V47"/>
  <c i="5" r="R45"/>
  <c i="5" r="V46"/>
  <c i="5" r="U45"/>
  <c i="5" r="U47"/>
  <c i="5" r="S47"/>
  <c i="5" r="W47"/>
  <c i="5" r="W46"/>
  <c i="5" r="W45"/>
  <c i="5" r="S44"/>
  <c i="5" r="T44"/>
  <c i="5" r="V44"/>
  <c i="5" r="R44"/>
  <c i="5" r="U44"/>
  <c i="5" r="W44"/>
  <c i="1" r="C37"/>
  <c i="1" r="G33"/>
  <c i="1" r="D37"/>
  <c i="1" r="B37"/>
  <c i="1" r="F37"/>
  <c i="1" r="G35"/>
  <c i="1" r="B34"/>
  <c i="1" r="C33"/>
  <c i="1" r="D33"/>
  <c i="1" r="C34"/>
  <c i="1" r="D34"/>
  <c i="1" r="E33"/>
  <c i="1" r="F33"/>
  <c i="1" r="F36"/>
  <c i="1" r="E34"/>
  <c i="1" r="F34"/>
  <c i="1" r="B33"/>
  <c i="1" r="C35"/>
  <c i="1" r="D35"/>
  <c i="1" r="F35"/>
  <c i="1" r="B36"/>
  <c i="1" r="D36"/>
  <c i="1" r="G37"/>
  <c i="1" r="E35"/>
  <c i="1" r="C36"/>
  <c i="1" r="E36"/>
  <c i="1" r="B35"/>
  <c i="1" r="E37"/>
  <c i="1" r="G36"/>
  <c i="5" r="W43"/>
  <c i="1" r="Y34"/>
  <c i="1" r="E20"/>
  <c i="1" r="F20"/>
  <c i="1" r="C20"/>
  <c i="1" r="D20"/>
  <c i="1" r="B20"/>
  <c i="1" r="G20"/>
  <c i="8" r="S10"/>
  <c i="8" r="R10"/>
  <c i="8" r="W6"/>
  <c i="8" r="T10"/>
  <c i="8" r="W7"/>
  <c i="8" r="W9"/>
  <c i="8" r="U10"/>
  <c i="8" r="V10"/>
  <c i="8" r="W8"/>
  <c i="5" r="W38"/>
  <c i="5" r="AH27"/>
  <c i="5" r="Z27"/>
  <c i="5" r="AK27"/>
  <c i="5" r="AC27"/>
  <c i="5" r="AL23"/>
  <c i="5" r="AD23"/>
  <c i="5" r="AL22"/>
  <c i="5" r="AD22"/>
  <c i="5" r="AI27"/>
  <c i="5" r="AA27"/>
  <c i="5" r="AH23"/>
  <c i="5" r="Z23"/>
  <c i="5" r="AI22"/>
  <c i="5" r="AA22"/>
  <c i="5" r="AJ23"/>
  <c i="5" r="AB23"/>
  <c i="5" r="AJ27"/>
  <c i="5" r="AB27"/>
  <c i="5" r="W39"/>
  <c i="5" r="AK23"/>
  <c i="5" r="AC23"/>
  <c i="5" r="Z22"/>
  <c i="5" r="AJ22"/>
  <c i="5" r="AB22"/>
  <c i="5" r="AM27"/>
  <c i="5" r="AL27"/>
  <c i="5" r="AD27"/>
  <c i="5" r="AI23"/>
  <c i="5" r="AA23"/>
  <c i="5" r="AM23"/>
  <c i="5" r="AK22"/>
  <c i="5" r="AC22"/>
  <c i="5" r="AM22"/>
  <c i="5" r="S48"/>
  <c i="5" r="W48"/>
  <c i="5" r="U42"/>
  <c i="5" r="S41"/>
  <c i="5" r="R38"/>
  <c i="5" r="T39"/>
  <c i="5" r="V48"/>
  <c i="5" r="T41"/>
  <c i="5" r="D32"/>
  <c i="5" r="AB32" s="1"/>
  <c i="5" r="U43"/>
  <c i="5" r="U41"/>
  <c i="5" r="T48"/>
  <c i="5" r="S43"/>
  <c i="5" r="V41"/>
  <c i="5" r="S40"/>
  <c i="5" r="T40"/>
  <c i="5" r="G32"/>
  <c i="5" r="R43"/>
  <c i="5" r="S42"/>
  <c i="5" r="U48"/>
  <c i="5" r="K32"/>
  <c i="5" r="R41"/>
  <c i="5" r="T43"/>
  <c i="5" r="R42"/>
  <c i="5" r="U40"/>
  <c i="5" r="S39"/>
  <c i="5" r="E32"/>
  <c i="5" r="AC32" s="1"/>
  <c i="5" r="F32"/>
  <c i="5" r="AD32" s="1"/>
  <c i="5" r="R48"/>
  <c i="5" r="T42"/>
  <c i="5" r="V40"/>
  <c i="5" r="V39"/>
  <c i="5" r="B32"/>
  <c i="5" r="Z32" s="1"/>
  <c i="5" r="J32"/>
  <c i="5" r="M32"/>
  <c i="5" r="V43"/>
  <c i="5" r="U38"/>
  <c i="5" r="C32"/>
  <c i="5" r="AA32" s="1"/>
  <c i="5" r="U39"/>
  <c i="5" r="R39"/>
  <c i="5" r="N32"/>
  <c i="5" r="O32"/>
  <c i="5" r="L32"/>
  <c i="5" r="R40"/>
  <c i="5" r="S38"/>
  <c i="5" r="T38"/>
  <c i="5" r="V38"/>
  <c i="5" r="V42"/>
  <c i="5" r="W42"/>
  <c i="5" r="W40"/>
  <c i="5" r="W41"/>
  <c i="1" r="S29"/>
  <c i="1" r="V29"/>
  <c i="1" r="W25"/>
  <c i="1" r="W26"/>
  <c i="1" r="R29"/>
  <c i="4" r="R29"/>
  <c i="4" r="R25"/>
  <c i="1" r="W27"/>
  <c i="4" r="U29"/>
  <c i="1" r="T29"/>
  <c i="4" r="AC19"/>
  <c i="4" r="AK19" s="1"/>
  <c i="4" r="G20"/>
  <c i="4" r="G29" s="1"/>
  <c i="4" r="C20"/>
  <c i="4" r="L28"/>
  <c i="4" r="E20"/>
  <c i="4" r="D20"/>
  <c i="4" r="F20"/>
  <c i="4" r="B20"/>
  <c i="4" r="V28"/>
  <c i="4" r="R28"/>
  <c i="4" r="T27"/>
  <c i="4" r="V26"/>
  <c i="4" r="R26"/>
  <c i="4" r="T25"/>
  <c i="4" r="S28"/>
  <c i="4" r="U27"/>
  <c i="4" r="S26"/>
  <c i="4" r="U25"/>
  <c i="4" r="T28"/>
  <c i="4" r="V27"/>
  <c i="4" r="R27"/>
  <c i="4" r="T26"/>
  <c i="4" r="V25"/>
  <c i="4" r="W29"/>
  <c i="4" r="U28"/>
  <c i="4" r="S27"/>
  <c i="4" r="U26"/>
  <c i="4" r="S25"/>
  <c i="4" r="AD16"/>
  <c i="4" r="AL16" s="1"/>
  <c i="4" r="AC16"/>
  <c i="4" r="AK16" s="1"/>
  <c i="4" r="AB17"/>
  <c i="4" r="AJ17" s="1"/>
  <c i="4" r="AE17"/>
  <c i="4" r="AM17" s="1"/>
  <c i="4" r="AC17"/>
  <c i="4" r="AK17" s="1"/>
  <c i="4" r="Z18"/>
  <c i="4" r="AH18" s="1"/>
  <c i="4" r="AA18"/>
  <c i="4" r="AI18" s="1"/>
  <c i="4" r="AB19"/>
  <c i="4" r="AJ19" s="1"/>
  <c i="4" r="AE19"/>
  <c i="4" r="AM19" s="1"/>
  <c i="4" r="Z16"/>
  <c i="4" r="AH16" s="1"/>
  <c i="4" r="AE16"/>
  <c i="4" r="AM16" s="1"/>
  <c i="4" r="AA17"/>
  <c i="4" r="AI17" s="1"/>
  <c i="1" r="R25"/>
  <c i="1" r="T28"/>
  <c i="1" r="V27"/>
  <c i="1" r="R27"/>
  <c i="1" r="T26"/>
  <c i="1" r="V25"/>
  <c i="1" r="S25"/>
  <c i="1" r="W29"/>
  <c i="1" r="U28"/>
  <c i="1" r="S27"/>
  <c i="1" r="U26"/>
  <c i="1" r="V28"/>
  <c i="1" r="R28"/>
  <c i="1" r="T27"/>
  <c i="1" r="V26"/>
  <c i="1" r="R26"/>
  <c i="1" r="T25"/>
  <c i="1" r="S28"/>
  <c i="1" r="U27"/>
  <c i="1" r="S26"/>
  <c i="1" r="U25"/>
  <c i="4" r="AB18"/>
  <c i="4" r="AJ18" s="1"/>
  <c i="4" r="W27"/>
  <c i="4" r="AD19"/>
  <c i="4" r="AL19" s="1"/>
  <c i="4" r="AB16"/>
  <c i="4" r="AJ16" s="1"/>
  <c i="4" r="AA16"/>
  <c i="4" r="AI16" s="1"/>
  <c i="4" r="AD17"/>
  <c i="4" r="AL17" s="1"/>
  <c i="4" r="Z17"/>
  <c i="4" r="AH17" s="1"/>
  <c i="1" r="U29"/>
  <c i="4" r="AA19"/>
  <c i="4" r="AI19" s="1"/>
  <c i="4" r="Z19"/>
  <c i="4" r="AH19" s="1"/>
  <c i="4" r="AD18"/>
  <c i="4" r="AL18" s="1"/>
  <c i="4" r="AC18"/>
  <c i="4" r="AK18" s="1"/>
  <c i="4" r="AE18"/>
  <c i="4" r="AM18" s="1"/>
  <c i="4" r="V29"/>
  <c i="4" r="W25"/>
  <c i="4" r="S29"/>
  <c i="4" r="W26"/>
  <c i="4" r="T29"/>
  <c i="1" l="1" r="O50"/>
  <c i="1" r="J51" s="1"/>
  <c i="5" r="J46"/>
  <c i="5" r="N47"/>
  <c i="5" r="M46"/>
  <c i="5" r="M47"/>
  <c i="5" r="N45"/>
  <c i="5" r="M45"/>
  <c i="5" r="K46"/>
  <c i="5" r="K47"/>
  <c i="5" r="O45"/>
  <c i="5" r="L46"/>
  <c i="5" r="L47"/>
  <c i="5" r="N46"/>
  <c i="5" r="J47"/>
  <c i="5" r="O46"/>
  <c i="5" r="L45"/>
  <c i="5" r="O47"/>
  <c i="5" r="J45"/>
  <c i="5" r="K45"/>
  <c i="5" r="B45"/>
  <c i="5" r="R61" s="1"/>
  <c i="5" r="C45"/>
  <c i="5" r="S61" s="1"/>
  <c i="5" r="E47"/>
  <c i="5" r="U63" s="1"/>
  <c i="5" r="D45"/>
  <c i="5" r="T61" s="1"/>
  <c i="5" r="G46"/>
  <c i="5" r="W62" s="1"/>
  <c i="5" r="F45"/>
  <c i="5" r="V61" s="1"/>
  <c i="5" r="F47"/>
  <c i="5" r="V63" s="1"/>
  <c i="5" r="G47"/>
  <c i="5" r="W63" s="1"/>
  <c i="5" r="D46"/>
  <c i="5" r="T62" s="1"/>
  <c i="5" r="F46"/>
  <c i="5" r="V62" s="1"/>
  <c i="5" r="B47"/>
  <c i="5" r="R63" s="1"/>
  <c i="5" r="G45"/>
  <c i="5" r="W61" s="1"/>
  <c i="5" r="E46"/>
  <c i="5" r="U62" s="1"/>
  <c i="5" r="C47"/>
  <c i="5" r="S63" s="1"/>
  <c i="5" r="D47"/>
  <c i="5" r="T63" s="1"/>
  <c i="5" r="B46"/>
  <c i="5" r="R62" s="1"/>
  <c i="5" r="C46"/>
  <c i="5" r="S62" s="1"/>
  <c i="5" r="E45"/>
  <c i="5" r="U61" s="1"/>
  <c i="5" r="M44"/>
  <c i="5" r="N44"/>
  <c i="5" r="L44"/>
  <c i="5" r="K44"/>
  <c i="5" r="O44"/>
  <c i="5" r="J44"/>
  <c i="5" r="B44"/>
  <c i="5" r="R60" s="1"/>
  <c i="5" r="G44"/>
  <c i="5" r="W60" s="1"/>
  <c i="5" r="D44"/>
  <c i="5" r="T60" s="1"/>
  <c i="5" r="F44"/>
  <c i="5" r="V60" s="1"/>
  <c i="5" r="C44"/>
  <c i="5" r="S60" s="1"/>
  <c i="5" r="E44"/>
  <c i="5" r="U60" s="1"/>
  <c i="8" r="W17"/>
  <c i="8" r="U17"/>
  <c i="8" r="V17"/>
  <c i="8" r="S17"/>
  <c i="8" r="R17"/>
  <c i="8" r="T17"/>
  <c i="8" r="W18"/>
  <c i="8" r="R18"/>
  <c i="8" r="S18"/>
  <c i="8" r="U18"/>
  <c i="8" r="T18"/>
  <c i="8" r="V18"/>
  <c i="8" r="W16"/>
  <c i="8" r="T16"/>
  <c i="8" r="R16"/>
  <c i="8" r="V16"/>
  <c i="8" r="S16"/>
  <c i="8" r="U16"/>
  <c i="8" r="W15"/>
  <c i="8" r="S15"/>
  <c i="8" r="R15"/>
  <c i="8" r="T15"/>
  <c i="8" r="V15"/>
  <c i="8" r="U15"/>
  <c i="5" r="M43"/>
  <c i="5" r="AE32"/>
  <c i="1" r="G29"/>
  <c i="5" r="AM32"/>
  <c i="8" r="W10"/>
  <c i="8" r="V19" s="1"/>
  <c i="5" r="AL32"/>
  <c i="5" r="AI32"/>
  <c i="5" r="AJ32"/>
  <c i="5" r="AK32"/>
  <c i="5" r="E38"/>
  <c i="5" r="U54" s="1"/>
  <c i="5" r="AH32"/>
  <c i="5" r="N39"/>
  <c i="5" r="J38"/>
  <c i="5" r="F39"/>
  <c i="5" r="V55" s="1"/>
  <c i="5" r="K38"/>
  <c i="5" r="C38"/>
  <c i="5" r="S54" s="1"/>
  <c i="5" r="D43"/>
  <c i="5" r="T59" s="1"/>
  <c i="5" r="G39"/>
  <c i="5" r="W55" s="1"/>
  <c i="5" r="O43"/>
  <c i="5" r="O39"/>
  <c i="5" r="N38"/>
  <c i="5" r="K48"/>
  <c i="5" r="D39"/>
  <c i="5" r="T55" s="1"/>
  <c i="5" r="B39"/>
  <c i="5" r="R55" s="1"/>
  <c i="5" r="C43"/>
  <c i="5" r="S59" s="1"/>
  <c i="5" r="F38"/>
  <c i="5" r="V54" s="1"/>
  <c i="5" r="J43"/>
  <c i="5" r="D48"/>
  <c i="5" r="T64" s="1"/>
  <c i="5" r="M39"/>
  <c i="5" r="M48"/>
  <c i="5" r="G43"/>
  <c i="5" r="W59" s="1"/>
  <c i="5" r="J48"/>
  <c i="5" r="L38"/>
  <c i="5" r="G38"/>
  <c i="5" r="W54" s="1"/>
  <c i="5" r="B38"/>
  <c i="5" r="R54" s="1"/>
  <c i="5" r="G48"/>
  <c i="5" r="W64" s="1"/>
  <c i="5" r="B41"/>
  <c i="5" r="R57" s="1"/>
  <c i="5" r="F42"/>
  <c i="5" r="V58" s="1"/>
  <c i="5" r="G42"/>
  <c i="5" r="W58" s="1"/>
  <c i="5" r="B42"/>
  <c i="5" r="R58" s="1"/>
  <c i="5" r="C41"/>
  <c i="5" r="S57" s="1"/>
  <c i="5" r="E41"/>
  <c i="5" r="U57" s="1"/>
  <c i="5" r="B40"/>
  <c i="5" r="R56" s="1"/>
  <c i="5" r="D41"/>
  <c i="5" r="T57" s="1"/>
  <c i="5" r="C40"/>
  <c i="5" r="S56" s="1"/>
  <c i="5" r="F40"/>
  <c i="5" r="V56" s="1"/>
  <c i="5" r="C42"/>
  <c i="5" r="S58" s="1"/>
  <c i="5" r="E40"/>
  <c i="5" r="U56" s="1"/>
  <c i="5" r="F41"/>
  <c i="5" r="V57" s="1"/>
  <c i="5" r="G40"/>
  <c i="5" r="W56" s="1"/>
  <c i="5" r="D40"/>
  <c i="5" r="T56" s="1"/>
  <c i="5" r="D42"/>
  <c i="5" r="T58" s="1"/>
  <c i="5" r="G41"/>
  <c i="5" r="W57" s="1"/>
  <c i="5" r="E42"/>
  <c i="5" r="U58" s="1"/>
  <c i="5" r="N48"/>
  <c i="5" r="B48"/>
  <c i="5" r="R64" s="1"/>
  <c i="5" r="B43"/>
  <c i="5" r="R59" s="1"/>
  <c i="5" r="C39"/>
  <c i="5" r="S55" s="1"/>
  <c i="5" r="F43"/>
  <c i="5" r="V59" s="1"/>
  <c i="5" r="O48"/>
  <c i="5" r="J40"/>
  <c i="5" r="K41"/>
  <c i="5" r="O42"/>
  <c i="5" r="L40"/>
  <c i="5" r="O40"/>
  <c i="5" r="L41"/>
  <c i="5" r="L42"/>
  <c i="5" r="J41"/>
  <c i="5" r="K40"/>
  <c i="5" r="O41"/>
  <c i="5" r="M41"/>
  <c i="5" r="K42"/>
  <c i="5" r="N42"/>
  <c i="5" r="N41"/>
  <c i="5" r="J42"/>
  <c i="5" r="N40"/>
  <c i="5" r="M40"/>
  <c i="5" r="M42"/>
  <c i="5" r="O38"/>
  <c i="5" r="K39"/>
  <c i="5" r="L43"/>
  <c i="5" r="F48"/>
  <c i="5" r="V64" s="1"/>
  <c i="5" r="L39"/>
  <c i="5" r="E39"/>
  <c i="5" r="U55" s="1"/>
  <c i="5" r="L48"/>
  <c i="5" r="E48"/>
  <c i="5" r="U64" s="1"/>
  <c i="5" r="D38"/>
  <c i="5" r="T54" s="1"/>
  <c i="5" r="E43"/>
  <c i="5" r="U59" s="1"/>
  <c i="5" r="C48"/>
  <c i="5" r="S64" s="1"/>
  <c i="5" r="M38"/>
  <c i="5" r="N43"/>
  <c i="5" r="K43"/>
  <c i="5" r="J39"/>
  <c i="1" r="E25"/>
  <c i="1" r="D26"/>
  <c i="1" r="E28"/>
  <c i="1" r="B28"/>
  <c i="4" r="C27"/>
  <c i="4" r="C28"/>
  <c i="4" r="G27"/>
  <c i="4" r="F28"/>
  <c i="4" r="K27"/>
  <c i="4" r="AA27" s="1"/>
  <c i="4" r="J25"/>
  <c i="4" r="Z25" s="1"/>
  <c i="4" r="B25"/>
  <c i="4" r="J26"/>
  <c i="4" r="Z26" s="1"/>
  <c i="4" r="L26"/>
  <c i="4" r="AB26" s="1"/>
  <c i="4" r="M25"/>
  <c i="4" r="AC25" s="1"/>
  <c i="4" r="O27"/>
  <c i="4" r="AE27" s="1"/>
  <c i="4" r="N27"/>
  <c i="4" r="AD27" s="1"/>
  <c i="4" r="J28"/>
  <c i="4" r="Z28" s="1"/>
  <c i="4" r="K28"/>
  <c i="4" r="AA28" s="1"/>
  <c i="4" r="N26"/>
  <c i="4" r="AD26" s="1"/>
  <c i="4" r="L25"/>
  <c i="4" r="AB25" s="1"/>
  <c i="4" r="K26"/>
  <c i="4" r="AA26" s="1"/>
  <c i="4" r="O28"/>
  <c i="4" r="AE28" s="1"/>
  <c i="4" r="M26"/>
  <c i="4" r="AC26" s="1"/>
  <c i="4" r="N28"/>
  <c i="4" r="AD28" s="1"/>
  <c i="4" r="O25"/>
  <c i="4" r="AE25" s="1"/>
  <c i="4" r="J27"/>
  <c i="4" r="Z27" s="1"/>
  <c i="4" r="O26"/>
  <c i="4" r="AE26" s="1"/>
  <c i="4" r="N25"/>
  <c i="4" r="AD25" s="1"/>
  <c i="4" r="M27"/>
  <c i="4" r="AC27" s="1"/>
  <c i="4" r="K25"/>
  <c i="4" r="AA25" s="1"/>
  <c i="4" r="L27"/>
  <c i="4" r="AB27" s="1"/>
  <c i="4" r="G28"/>
  <c i="4" r="G26"/>
  <c i="4" r="F26"/>
  <c i="4" r="E29"/>
  <c i="4" r="E25"/>
  <c i="4" r="C26"/>
  <c i="4" r="G25"/>
  <c i="4" r="B27"/>
  <c i="4" r="D27"/>
  <c i="4" r="D29"/>
  <c i="4" r="E26"/>
  <c i="4" r="E27"/>
  <c i="4" r="F25"/>
  <c i="4" r="F27"/>
  <c i="4" r="B26"/>
  <c i="4" r="D25"/>
  <c i="4" r="D28"/>
  <c i="4" r="B29"/>
  <c i="4" r="D26"/>
  <c i="4" r="E28"/>
  <c i="4" r="B28"/>
  <c i="4" r="C25"/>
  <c i="1" r="E27"/>
  <c i="1" r="F26"/>
  <c i="1" r="D27"/>
  <c i="1" r="G26"/>
  <c i="1" r="E26"/>
  <c i="1" r="B25"/>
  <c i="1" r="C27"/>
  <c i="1" r="G27"/>
  <c i="1" r="D28"/>
  <c i="1" r="B27"/>
  <c i="1" r="F27"/>
  <c i="1" r="C26"/>
  <c i="1" r="F28"/>
  <c i="1" r="C25"/>
  <c i="1" r="E29"/>
  <c i="1" r="G28"/>
  <c i="4" r="N29"/>
  <c i="4" r="AD29" s="1"/>
  <c i="4" r="AD20"/>
  <c i="4" r="AL20" s="1"/>
  <c i="4" r="M29"/>
  <c i="4" r="AC29" s="1"/>
  <c i="4" r="AC20"/>
  <c i="4" r="AK20" s="1"/>
  <c i="1" r="D29"/>
  <c i="1" r="G25"/>
  <c i="4" r="C29"/>
  <c i="4" r="J29"/>
  <c i="4" r="Z29" s="1"/>
  <c i="4" r="Z20"/>
  <c i="4" r="AH20" s="1"/>
  <c i="4" r="O29"/>
  <c i="4" r="AE29" s="1"/>
  <c i="4" r="AE20"/>
  <c i="4" r="AM20" s="1"/>
  <c i="1" r="F29"/>
  <c i="1" r="F25"/>
  <c i="4" r="AB28"/>
  <c i="4" r="AB20"/>
  <c i="4" r="AJ20" s="1"/>
  <c i="4" r="L29"/>
  <c i="4" r="AB29" s="1"/>
  <c i="4" r="K29"/>
  <c i="4" r="AA29" s="1"/>
  <c i="4" r="AA20"/>
  <c i="4" r="AI20" s="1"/>
  <c i="1" r="C29"/>
  <c i="1" r="B29"/>
  <c i="1" r="C28"/>
  <c i="1" r="B26"/>
  <c i="1" r="D25"/>
  <c i="4" r="F29"/>
  <c i="4" r="M28"/>
  <c i="4" r="AC28" s="1"/>
  <c i="1" l="1" r="P47"/>
  <c i="1" r="N51"/>
  <c i="1" r="N57" s="1"/>
  <c i="1" r="P48"/>
  <c i="1" r="K51"/>
  <c i="1" r="K58" s="1"/>
  <c i="1" r="L51"/>
  <c i="1" r="L59" s="1"/>
  <c i="1" r="N59"/>
  <c i="1" r="N56"/>
  <c i="1" r="N58"/>
  <c i="1" r="J57"/>
  <c i="1" r="J58"/>
  <c i="1" r="J56"/>
  <c i="1" r="J59"/>
  <c i="1" r="M51"/>
  <c i="1" r="O51"/>
  <c i="1" r="P50"/>
  <c i="1" r="P46"/>
  <c i="1" r="P49"/>
  <c i="8" r="T19"/>
  <c i="8" r="U19"/>
  <c i="8" r="W19"/>
  <c i="8" r="S19"/>
  <c i="8" r="R19"/>
  <c i="1" l="1" r="K57"/>
  <c i="1" r="K56"/>
  <c i="1" r="K59"/>
  <c i="1" r="L57"/>
  <c i="1" r="O57" s="1"/>
  <c i="1" r="Q57" s="1"/>
  <c i="1" r="L56"/>
  <c i="1" r="L58"/>
  <c i="1" r="M58"/>
  <c i="1" r="M56"/>
  <c i="1" r="M57"/>
  <c i="1" r="M59"/>
  <c i="1" r="K60"/>
  <c i="1" r="N60"/>
  <c i="1" l="1" r="O58"/>
  <c i="1" r="Q58" s="1"/>
  <c i="1" r="N68"/>
  <c i="1" r="K68"/>
  <c i="1" r="J68"/>
  <c i="1" r="L68"/>
  <c i="1" r="K67"/>
  <c i="1" r="M67"/>
  <c i="1" r="L60"/>
  <c i="1" r="M68"/>
  <c i="1" r="N67"/>
  <c i="1" r="J67"/>
  <c i="1" r="L67"/>
  <c i="1" r="M60"/>
  <c i="1" r="O59"/>
  <c i="1" l="1" r="O67"/>
  <c i="1" r="O68"/>
  <c i="1" r="Q59"/>
  <c i="1" r="L69"/>
  <c i="1" r="K69"/>
  <c i="1" r="N69"/>
  <c i="1" r="J69"/>
  <c i="1" r="M69"/>
  <c i="1" l="1" r="O69"/>
  <c i="1" r="O56"/>
  <c i="1" r="J60"/>
  <c i="1" r="O60" s="1"/>
  <c i="1" r="P67" s="1"/>
  <c i="1" l="1" r="P68"/>
  <c i="1" r="Q56"/>
  <c i="1" r="N66"/>
  <c i="1" r="K66"/>
  <c i="1" r="J66"/>
  <c i="1" r="L66"/>
  <c i="1" r="M66"/>
  <c i="1" r="P69"/>
  <c i="1" r="P56"/>
  <c i="1" r="N61"/>
  <c i="1" r="P59"/>
  <c i="1" r="P60"/>
  <c i="1" r="K61"/>
  <c i="1" r="O61"/>
  <c i="1" r="P58"/>
  <c i="1" r="P57"/>
  <c i="1" r="L61"/>
  <c i="1" r="M61"/>
  <c i="1" r="J61"/>
  <c i="1" l="1" r="M70"/>
  <c i="1" r="N70"/>
  <c i="1" r="N72" s="1"/>
  <c i="1" r="L70"/>
  <c i="1" r="J70"/>
  <c i="1" r="O66"/>
  <c i="1" r="P66" s="1"/>
  <c i="1" r="K70"/>
  <c i="1" l="1" r="K72"/>
  <c i="1" r="L72"/>
  <c i="1" r="M72"/>
  <c i="1" r="J72"/>
  <c i="1" r="O70"/>
  <c i="1" r="J71" s="1"/>
  <c i="1" l="1" r="J77"/>
  <c i="1" r="J78"/>
  <c i="1" r="J79"/>
  <c i="1" r="J76"/>
  <c i="1" r="N71"/>
  <c i="1" r="P70"/>
  <c i="1" r="O71"/>
  <c i="1" r="M71"/>
  <c i="1" r="L71"/>
  <c i="1" r="K71"/>
  <c i="1" l="1" r="L77"/>
  <c i="1" r="L79"/>
  <c i="1" r="L78"/>
  <c i="1" r="L76"/>
  <c i="1" r="N76"/>
  <c i="1" r="N77"/>
  <c i="1" r="N78"/>
  <c i="1" r="N79"/>
  <c i="1" r="K77"/>
  <c i="1" r="K76"/>
  <c i="1" r="K78"/>
  <c i="1" r="K79"/>
  <c i="1" r="M77"/>
  <c i="1" r="M79"/>
  <c i="1" r="M78"/>
  <c i="1" r="O78" s="1"/>
  <c i="1" r="J88" s="1"/>
  <c i="1" r="M76"/>
  <c i="1" r="O76" s="1"/>
  <c i="1" r="J80"/>
  <c i="1" l="1" r="O77"/>
  <c i="1" r="J87" s="1"/>
  <c i="1" r="O79"/>
  <c i="1" r="M89"/>
  <c i="1" r="N89"/>
  <c i="1" r="P76"/>
  <c i="1" r="Q76"/>
  <c i="1" r="N88"/>
  <c i="1" r="P78"/>
  <c i="1" r="Q78"/>
  <c i="1" r="K86"/>
  <c i="1" r="K80"/>
  <c i="1" r="N87"/>
  <c i="1" r="P79"/>
  <c i="1" r="Q79"/>
  <c i="1" r="J86"/>
  <c i="1" r="K89"/>
  <c i="1" r="N86"/>
  <c i="1" r="N80"/>
  <c i="1" r="L86"/>
  <c i="1" r="L80"/>
  <c i="1" r="P77"/>
  <c i="1" r="Q77"/>
  <c i="1" r="J89"/>
  <c i="1" r="M86"/>
  <c i="1" r="M80"/>
  <c i="1" r="M87"/>
  <c i="1" r="L88"/>
  <c i="1" r="K88"/>
  <c i="1" r="L89"/>
  <c i="1" r="M88"/>
  <c i="1" r="K87"/>
  <c i="1" r="L87"/>
  <c i="1" l="1" r="L90"/>
  <c i="1" r="O89"/>
  <c i="1" r="P89" s="1"/>
  <c i="1" r="J90"/>
  <c i="1" r="M90"/>
  <c i="1" r="O88"/>
  <c i="1" r="P88" s="1"/>
  <c i="1" r="O80"/>
  <c i="1" r="N90"/>
  <c i="1" r="O86"/>
  <c i="1" r="P86" s="1"/>
  <c i="1" r="K90"/>
  <c i="1" r="O87"/>
  <c i="1" r="P87" s="1"/>
  <c i="1" l="1" r="J81"/>
  <c i="1" r="P80"/>
  <c i="1" r="O81"/>
  <c i="1" r="N92"/>
  <c i="1" r="M92"/>
  <c i="1" r="J92"/>
  <c i="1" r="O90"/>
  <c i="1" r="L91" s="1"/>
  <c i="1" r="K81"/>
  <c i="1" r="L92"/>
  <c i="1" r="K92"/>
  <c i="1" r="M81"/>
  <c i="1" r="N81"/>
  <c i="1" r="L81"/>
  <c i="1" l="1" r="K91"/>
  <c i="1" r="O91"/>
  <c i="1" r="P90"/>
  <c i="1" r="J91"/>
  <c i="1" r="J99" s="1"/>
  <c i="1" r="N91"/>
  <c i="1" r="N98" s="1"/>
  <c i="1" r="L96"/>
  <c i="1" r="L98"/>
  <c i="1" r="L99"/>
  <c i="1" r="L97"/>
  <c i="1" r="K96"/>
  <c i="1" r="K97"/>
  <c i="1" r="K98"/>
  <c i="1" r="K99"/>
  <c i="1" r="M91"/>
  <c i="1" r="M98" s="1"/>
  <c i="1" r="J98"/>
  <c i="1" r="J97"/>
  <c i="1" l="1" r="J96"/>
  <c i="1" r="N96"/>
  <c i="1" r="J100"/>
  <c i="1" r="O98"/>
  <c i="1" r="K108" s="1"/>
  <c i="1" r="N97"/>
  <c i="1" r="M99"/>
  <c i="1" r="K100"/>
  <c i="1" r="L100"/>
  <c i="1" r="N99"/>
  <c i="1" r="M96"/>
  <c i="1" r="M97"/>
  <c i="1" l="1" r="L108"/>
  <c i="1" r="O99"/>
  <c i="1" r="N109" s="1"/>
  <c i="1" r="N100"/>
  <c i="1" r="P99"/>
  <c i="1" r="Q99"/>
  <c i="1" r="L109"/>
  <c i="1" r="J109"/>
  <c i="1" r="K109"/>
  <c i="1" r="P98"/>
  <c i="1" r="Q98"/>
  <c i="1" r="M100"/>
  <c i="1" r="O100" s="1"/>
  <c i="1" r="M109"/>
  <c i="1" r="J108"/>
  <c i="1" r="O96"/>
  <c i="1" r="M106" s="1"/>
  <c i="1" r="O97"/>
  <c i="1" r="N107" s="1"/>
  <c i="1" r="N108"/>
  <c i="1" r="M108"/>
  <c i="1" l="1" r="P97"/>
  <c i="1" r="Q97"/>
  <c i="1" r="J107"/>
  <c i="1" r="K107"/>
  <c i="1" r="L107"/>
  <c i="1" r="M107"/>
  <c i="1" r="N101"/>
  <c i="1" r="O101"/>
  <c i="1" r="P100"/>
  <c i="1" r="K101"/>
  <c i="1" r="O108"/>
  <c i="1" r="P108" s="1"/>
  <c i="1" r="O109"/>
  <c i="1" r="P109" s="1"/>
  <c i="1" r="P96"/>
  <c i="1" r="Q96"/>
  <c i="1" r="J106"/>
  <c i="1" r="N106"/>
  <c i="1" r="L106"/>
  <c i="1" r="K106"/>
  <c i="1" r="J101"/>
  <c i="1" r="M101"/>
  <c i="1" r="L101"/>
  <c i="1" l="1" r="K110"/>
  <c i="1" r="O106"/>
  <c i="1" r="P106" s="1"/>
  <c i="1" r="N110"/>
  <c i="1" r="J110"/>
  <c i="1" r="O107"/>
  <c i="1" r="P107" s="1"/>
  <c i="1" r="L110"/>
  <c i="1" r="M110"/>
  <c i="1" r="M112" s="1"/>
  <c i="1" l="1" r="J112"/>
  <c i="1" r="O110"/>
  <c i="1" r="J111" s="1"/>
  <c i="1" r="L112"/>
  <c i="1" r="N112"/>
  <c i="1" r="N111"/>
  <c i="1" r="K112"/>
  <c i="1" r="K111"/>
  <c i="1" l="1" r="L111"/>
  <c i="1" r="L118"/>
  <c i="1" r="L119"/>
  <c i="1" r="L116"/>
  <c i="1" r="L117"/>
  <c i="1" r="N117"/>
  <c i="1" r="N119"/>
  <c i="1" r="N118"/>
  <c i="1" r="N116"/>
  <c i="1" r="M111"/>
  <c i="1" r="O111"/>
  <c i="1" r="P110"/>
  <c i="1" r="K118"/>
  <c i="1" r="K116"/>
  <c i="1" r="K117"/>
  <c i="1" r="K119"/>
  <c i="1" r="J119"/>
  <c i="1" r="J116"/>
  <c i="1" r="J118"/>
  <c i="1" r="J117"/>
  <c i="1" l="1" r="M117"/>
  <c i="1" r="O117" s="1"/>
  <c i="1" r="M118"/>
  <c i="1" r="O118" s="1"/>
  <c i="1" r="K128" s="1"/>
  <c i="1" r="M116"/>
  <c i="1" r="M119"/>
  <c i="1" r="O119" s="1"/>
  <c i="1" r="L129" s="1"/>
  <c i="1" r="J120"/>
  <c i="1" r="O116"/>
  <c i="1" r="L126" s="1"/>
  <c i="1" r="K120"/>
  <c i="1" r="L120"/>
  <c i="1" r="N120"/>
  <c i="1" l="1" r="N126"/>
  <c i="1" r="L128"/>
  <c i="1" r="J129"/>
  <c i="1" r="N129"/>
  <c i="1" r="J128"/>
  <c i="1" r="P117"/>
  <c i="1" r="Q117"/>
  <c i="1" r="J127"/>
  <c i="1" r="K127"/>
  <c i="1" r="N127"/>
  <c i="1" r="L127"/>
  <c i="1" r="L130" s="1"/>
  <c i="1" r="P119"/>
  <c i="1" r="Q119"/>
  <c i="1" r="P116"/>
  <c i="1" r="Q116"/>
  <c i="1" r="J126"/>
  <c i="1" r="M120"/>
  <c i="1" r="M126"/>
  <c i="1" r="P118"/>
  <c i="1" r="Q118"/>
  <c i="1" r="K126"/>
  <c i="1" r="O120"/>
  <c i="1" r="K121" s="1"/>
  <c i="1" r="M128"/>
  <c i="1" r="K129"/>
  <c i="1" r="N128"/>
  <c i="1" r="M129"/>
  <c i="1" r="M127"/>
  <c i="1" l="1" r="N121"/>
  <c i="1" r="O128"/>
  <c i="1" r="P128" s="1"/>
  <c i="1" r="J121"/>
  <c i="1" r="M130"/>
  <c i="1" r="L132"/>
  <c i="1" r="L121"/>
  <c i="1" r="M121"/>
  <c i="1" r="P120"/>
  <c i="1" r="O121"/>
  <c i="1" r="N130"/>
  <c i="1" r="O129"/>
  <c i="1" r="P129" s="1"/>
  <c i="1" r="K130"/>
  <c i="1" r="O126"/>
  <c i="1" r="P126" s="1"/>
  <c i="1" r="J130"/>
  <c i="1" r="O127"/>
  <c i="1" r="P127" s="1"/>
  <c i="1" l="1" r="M132"/>
  <c i="1" r="K132"/>
  <c i="1" r="N132"/>
  <c i="1" r="J132"/>
  <c i="1" r="O130"/>
  <c i="1" r="J131" s="1"/>
  <c i="1" l="1" r="J139"/>
  <c i="1" r="J138"/>
  <c i="1" r="J137"/>
  <c i="1" r="J136"/>
  <c i="1" r="O131"/>
  <c i="1" r="P130"/>
  <c i="1" r="L131"/>
  <c i="1" r="N131"/>
  <c i="1" r="K131"/>
  <c i="1" r="M131"/>
  <c i="1" l="1" r="K138"/>
  <c i="1" r="K139"/>
  <c i="1" r="K136"/>
  <c i="1" r="K137"/>
  <c i="1" r="L137"/>
  <c i="1" r="L136"/>
  <c i="1" r="L138"/>
  <c i="1" r="L139"/>
  <c i="1" r="O139" s="1"/>
  <c i="1" r="J149" s="1"/>
  <c i="1" r="M138"/>
  <c i="1" r="M136"/>
  <c i="1" r="M137"/>
  <c i="1" r="M139"/>
  <c i="1" r="N136"/>
  <c i="1" r="N137"/>
  <c i="1" r="N139"/>
  <c i="1" r="N138"/>
  <c i="1" r="J140"/>
  <c i="1" l="1" r="O137"/>
  <c i="1" r="J147" s="1"/>
  <c i="1" r="O136"/>
  <c i="1" r="O138"/>
  <c i="1" r="L148" s="1"/>
  <c i="1" r="P138"/>
  <c i="1" r="Q138"/>
  <c i="1" r="J148"/>
  <c i="1" r="N148"/>
  <c i="1" r="P139"/>
  <c i="1" r="Q139"/>
  <c i="1" r="M147"/>
  <c i="1" r="P136"/>
  <c i="1" r="Q136"/>
  <c i="1" r="L149"/>
  <c i="1" r="N147"/>
  <c i="1" r="M146"/>
  <c i="1" r="M140"/>
  <c i="1" r="K146"/>
  <c i="1" r="K140"/>
  <c i="1" r="N149"/>
  <c i="1" r="M149"/>
  <c i="1" r="L146"/>
  <c i="1" r="L140"/>
  <c i="1" r="K149"/>
  <c i="1" r="P137"/>
  <c i="1" r="Q137"/>
  <c i="1" r="J146"/>
  <c i="1" r="N146"/>
  <c i="1" r="N140"/>
  <c i="1" r="M148"/>
  <c i="1" r="L147"/>
  <c i="1" r="K147"/>
  <c i="1" l="1" r="K148"/>
  <c i="1" r="O140"/>
  <c i="1" r="P140"/>
  <c i="1" r="O141"/>
  <c i="1" r="J141"/>
  <c i="1" r="L141"/>
  <c i="1" r="N150"/>
  <c i="1" r="L150"/>
  <c i="1" r="J150"/>
  <c i="1" r="O146"/>
  <c i="1" r="P146" s="1"/>
  <c i="1" r="M141"/>
  <c i="1" r="O148"/>
  <c i="1" r="P148" s="1"/>
  <c i="1" r="N141"/>
  <c i="1" r="K150"/>
  <c i="1" r="K141"/>
  <c i="1" r="M150"/>
  <c i="1" r="O149"/>
  <c i="1" r="P149" s="1"/>
  <c i="1" r="O147"/>
  <c i="1" r="P147" s="1"/>
  <c i="1" l="1" r="K152"/>
  <c i="1" r="L152"/>
  <c i="1" r="J152"/>
  <c i="1" r="O150"/>
  <c i="1" r="N152"/>
  <c i="1" r="N151"/>
  <c i="1" r="N156" s="1"/>
  <c i="1" r="M152"/>
  <c i="1" r="M151"/>
  <c i="1" r="M156" s="1"/>
  <c i="1" l="1" r="N159"/>
  <c i="1" r="N19" s="1"/>
  <c i="1" r="N16"/>
  <c i="1" r="M16"/>
  <c i="1" r="O151"/>
  <c i="1" r="P150"/>
  <c i="1" r="M158"/>
  <c i="1" r="M18" s="1"/>
  <c i="1" r="N158"/>
  <c i="1" r="N18" s="1"/>
  <c i="8" r="F9"/>
  <c i="1" r="AD19"/>
  <c i="1" r="AL19" s="1"/>
  <c i="1" r="M157"/>
  <c i="1" r="M17" s="1"/>
  <c i="1" r="J151"/>
  <c i="1" r="L151"/>
  <c i="1" r="K151"/>
  <c i="1" r="N157"/>
  <c i="1" r="N17" s="1"/>
  <c i="1" r="M159"/>
  <c i="1" r="M19" s="1"/>
  <c i="1" l="1" r="K157"/>
  <c i="1" r="K17" s="1"/>
  <c i="1" r="K156"/>
  <c i="1" r="K158"/>
  <c i="1" r="K18" s="1"/>
  <c i="1" r="K159"/>
  <c i="1" r="K19" s="1"/>
  <c i="8" r="E9"/>
  <c i="1" r="AC19"/>
  <c i="1" r="AK19" s="1"/>
  <c i="8" r="E7"/>
  <c i="1" r="AC17"/>
  <c i="1" r="AK17" s="1"/>
  <c i="8" r="E8"/>
  <c i="1" r="AC18"/>
  <c i="1" r="AK18" s="1"/>
  <c i="8" r="F7"/>
  <c i="1" r="AD17"/>
  <c i="1" r="AL17" s="1"/>
  <c i="1" r="N160"/>
  <c i="1" r="L158"/>
  <c i="1" r="L18" s="1"/>
  <c i="1" r="L156"/>
  <c i="1" r="L159"/>
  <c i="1" r="L19" s="1"/>
  <c i="1" r="L157"/>
  <c i="1" r="L17" s="1"/>
  <c i="1" r="J158"/>
  <c i="1" r="J156"/>
  <c i="1" r="J159"/>
  <c i="1" r="J157"/>
  <c i="8" r="F8"/>
  <c i="1" r="AD18"/>
  <c i="1" r="AL18" s="1"/>
  <c i="1" r="M160"/>
  <c i="8" r="E6"/>
  <c i="1" r="AC16"/>
  <c i="1" r="AK16" s="1"/>
  <c i="1" r="M20"/>
  <c i="8" r="F6"/>
  <c i="1" r="AD16"/>
  <c i="1" r="AL16" s="1"/>
  <c i="1" r="N20"/>
  <c i="1" l="1" r="AC20"/>
  <c i="1" r="AK20" s="1"/>
  <c i="8" r="F10"/>
  <c i="1" r="J16"/>
  <c i="1" r="O156"/>
  <c i="1" r="J160"/>
  <c i="1" r="J18"/>
  <c i="1" r="O158"/>
  <c i="8" r="D7"/>
  <c i="1" r="AB17"/>
  <c i="1" r="AJ17" s="1"/>
  <c i="1" r="J17"/>
  <c i="1" r="O157"/>
  <c i="8" r="C9"/>
  <c i="1" r="AA19"/>
  <c i="1" r="AI19" s="1"/>
  <c i="1" r="AD20"/>
  <c i="1" r="AL20" s="1"/>
  <c i="8" r="E10"/>
  <c i="1" r="J19"/>
  <c i="1" r="O159"/>
  <c i="1" r="L16"/>
  <c i="1" r="L160"/>
  <c i="8" r="C8"/>
  <c i="1" r="AA18"/>
  <c i="1" r="AI18" s="1"/>
  <c i="8" r="D8"/>
  <c i="1" r="AB18"/>
  <c i="1" r="AJ18" s="1"/>
  <c i="1" r="K16"/>
  <c i="1" r="K160"/>
  <c i="8" r="D9"/>
  <c i="1" r="AB19"/>
  <c i="1" r="AJ19" s="1"/>
  <c i="8" r="C7"/>
  <c i="1" r="AA17"/>
  <c i="1" r="AI17" s="1"/>
  <c i="1" l="1" r="P159"/>
  <c i="1" r="Q159"/>
  <c i="1" r="P157"/>
  <c i="1" r="Q157"/>
  <c i="8" r="B8"/>
  <c i="1" r="Z18"/>
  <c i="1" r="AH18" s="1"/>
  <c i="1" r="O18"/>
  <c i="8" r="D6"/>
  <c i="1" r="AB16"/>
  <c i="1" r="AJ16" s="1"/>
  <c i="1" r="L20"/>
  <c i="8" r="B7"/>
  <c i="1" r="Z17"/>
  <c i="1" r="AH17" s="1"/>
  <c i="1" r="O17"/>
  <c i="1" r="P158"/>
  <c i="1" r="Q158"/>
  <c i="1" r="O160"/>
  <c i="8" r="B9"/>
  <c i="1" r="O19"/>
  <c i="1" r="Z19"/>
  <c i="1" r="AH19" s="1"/>
  <c i="1" r="P156"/>
  <c i="1" r="Q156"/>
  <c i="8" r="B6"/>
  <c i="1" r="J20"/>
  <c i="1" r="Z16"/>
  <c i="1" r="AH16" s="1"/>
  <c i="1" r="O16"/>
  <c i="1" r="Z34"/>
  <c i="8" r="C6"/>
  <c i="1" r="AA16"/>
  <c i="1" r="AI16" s="1"/>
  <c i="1" r="K20"/>
  <c i="8" l="1" r="G9"/>
  <c i="8" r="B18"/>
  <c i="8" r="J9"/>
  <c i="1" r="AE19"/>
  <c i="1" r="AM19" s="1"/>
  <c i="8" r="G7"/>
  <c i="8" r="J7" s="1"/>
  <c i="1" r="AA20"/>
  <c i="1" r="AI20" s="1"/>
  <c i="1" r="J161"/>
  <c i="1" r="O161"/>
  <c i="1" r="P160"/>
  <c i="1" r="M161"/>
  <c i="1" r="N161"/>
  <c i="1" r="L161"/>
  <c i="1" r="AB20"/>
  <c i="1" r="AJ20" s="1"/>
  <c i="8" r="D10"/>
  <c i="8" r="R42"/>
  <c i="8" r="T42" s="1"/>
  <c i="8" r="U42" s="1"/>
  <c i="1" r="AA35"/>
  <c i="1" r="AE16"/>
  <c i="1" r="AM16" s="1"/>
  <c i="1" r="O20"/>
  <c i="1" r="O26" s="1"/>
  <c i="1" r="W35" s="1"/>
  <c i="1" r="Z20"/>
  <c i="1" r="AH20" s="1"/>
  <c i="1" r="AE17"/>
  <c i="1" r="AM17" s="1"/>
  <c i="1" r="AE18"/>
  <c i="1" r="AM18" s="1"/>
  <c i="1" r="O27"/>
  <c i="1" r="W36" s="1"/>
  <c i="8" r="G6"/>
  <c i="8" r="B15" s="1"/>
  <c i="8" r="B10"/>
  <c i="1" r="K161"/>
  <c i="8" r="G8"/>
  <c i="8" r="B17" s="1"/>
  <c i="8" r="C10"/>
  <c i="8" l="1" r="J6"/>
  <c i="8" r="B16"/>
  <c i="8" r="J8"/>
  <c i="8" r="J10" s="1"/>
  <c i="8" r="G10"/>
  <c i="8" r="C19" s="1"/>
  <c i="8" r="D19"/>
  <c i="8" r="G15"/>
  <c i="8" r="O6"/>
  <c i="8" r="J15" s="1"/>
  <c i="8" r="N6"/>
  <c i="8" r="F15"/>
  <c i="8" r="E15"/>
  <c i="8" r="M6"/>
  <c i="1" r="J29"/>
  <c i="1" r="R38" s="1"/>
  <c i="1" r="O29"/>
  <c i="1" r="W38" s="1"/>
  <c i="1" r="AE20"/>
  <c i="1" r="AM20" s="1"/>
  <c i="1" r="N28"/>
  <c i="1" r="V37" s="1"/>
  <c i="1" r="M26"/>
  <c i="1" r="U35" s="1"/>
  <c i="1" r="M27"/>
  <c i="1" r="U36" s="1"/>
  <c i="1" r="M28"/>
  <c i="1" r="U37" s="1"/>
  <c i="1" r="N27"/>
  <c i="1" r="V36" s="1"/>
  <c i="1" r="M25"/>
  <c i="1" r="U34" s="1"/>
  <c i="1" r="N25"/>
  <c i="1" r="V34" s="1"/>
  <c i="1" r="N26"/>
  <c i="1" r="V35" s="1"/>
  <c i="1" r="L27"/>
  <c i="1" r="T36" s="1"/>
  <c i="1" r="M29"/>
  <c i="1" r="U38" s="1"/>
  <c i="1" r="K26"/>
  <c i="1" r="S35" s="1"/>
  <c i="1" r="K28"/>
  <c i="1" r="S37" s="1"/>
  <c i="1" r="L28"/>
  <c i="1" r="T37" s="1"/>
  <c i="1" r="N29"/>
  <c i="1" r="V38" s="1"/>
  <c i="1" r="L26"/>
  <c i="1" r="T35" s="1"/>
  <c i="1" r="K27"/>
  <c i="1" r="S36" s="1"/>
  <c i="1" r="J25"/>
  <c i="1" r="R34" s="1"/>
  <c i="1" r="J27"/>
  <c i="1" r="R36" s="1"/>
  <c i="1" r="J26"/>
  <c i="1" r="R35" s="1"/>
  <c i="1" r="K25"/>
  <c i="1" r="S34" s="1"/>
  <c i="1" r="J28"/>
  <c i="1" r="R37" s="1"/>
  <c i="1" r="L25"/>
  <c i="1" r="T34" s="1"/>
  <c i="1" r="K29"/>
  <c i="1" r="S38" s="1"/>
  <c i="1" r="L29"/>
  <c i="1" r="T38" s="1"/>
  <c i="8" r="R24"/>
  <c i="8" r="D15"/>
  <c i="8" r="R27"/>
  <c i="8" r="O8"/>
  <c i="8" r="G17"/>
  <c i="8" r="E17"/>
  <c i="8" r="M8"/>
  <c i="8" r="F17"/>
  <c i="8" r="N8"/>
  <c i="8" r="D17"/>
  <c i="8" r="L8"/>
  <c i="8" r="C17"/>
  <c i="8" r="K8"/>
  <c i="1" r="O25"/>
  <c i="1" r="W34" s="1"/>
  <c i="8" r="L6"/>
  <c i="8" r="O7"/>
  <c i="8" r="J16" s="1"/>
  <c i="8" r="G16"/>
  <c i="8" r="E16"/>
  <c i="8" r="M7"/>
  <c i="8" r="N7"/>
  <c i="8" r="F16"/>
  <c i="8" r="K7"/>
  <c i="8" r="D16"/>
  <c i="8" r="L7"/>
  <c i="8" r="C16"/>
  <c i="8" r="C15"/>
  <c i="8" r="R25"/>
  <c i="1" r="O28"/>
  <c i="1" r="W37" s="1"/>
  <c i="8" r="K6"/>
  <c i="8" r="O9"/>
  <c i="8" r="G18"/>
  <c i="8" r="N9"/>
  <c i="8" r="F18"/>
  <c i="8" r="M9"/>
  <c i="8" r="E18"/>
  <c i="8" r="K9"/>
  <c i="8" r="D18"/>
  <c i="8" r="L9"/>
  <c i="8" r="C18"/>
  <c i="8" l="1" r="R26"/>
  <c i="8" r="J17"/>
  <c i="8" r="B19"/>
  <c i="8" r="AC14"/>
  <c i="8" r="R35"/>
  <c i="8" r="AC6"/>
  <c i="8" r="R33"/>
  <c i="8" r="U25"/>
  <c i="8" r="M16"/>
  <c i="8" r="S25"/>
  <c i="8" r="K16"/>
  <c i="8" r="O18"/>
  <c i="8" r="W36" s="1"/>
  <c i="8" r="W27"/>
  <c i="8" r="S24"/>
  <c i="8" r="K10"/>
  <c i="8" r="K15"/>
  <c i="8" r="T25"/>
  <c i="8" r="L16"/>
  <c i="8" r="V25"/>
  <c i="8" r="N16"/>
  <c i="8" r="W25"/>
  <c i="8" r="O16"/>
  <c i="8" r="W34" s="1"/>
  <c i="8" r="L17"/>
  <c i="8" r="T26"/>
  <c i="8" r="S27"/>
  <c i="8" r="K18"/>
  <c i="8" r="T24"/>
  <c i="8" r="L10"/>
  <c i="8" r="L15"/>
  <c i="8" r="S26"/>
  <c i="8" r="K17"/>
  <c i="8" r="U26"/>
  <c i="8" r="M17"/>
  <c i="8" r="U27"/>
  <c i="8" r="M18"/>
  <c i="8" r="N17"/>
  <c i="8" r="V26"/>
  <c i="8" r="J18"/>
  <c i="8" r="V27"/>
  <c i="8" r="N18"/>
  <c i="8" r="AC10"/>
  <c i="8" r="R34"/>
  <c i="8" r="U24"/>
  <c i="8" r="M10"/>
  <c i="8" r="M15"/>
  <c i="8" r="V24"/>
  <c i="8" r="N10"/>
  <c i="8" r="N15"/>
  <c i="8" r="W26"/>
  <c i="8" r="O17"/>
  <c i="8" r="W35" s="1"/>
  <c i="8" r="W24"/>
  <c i="8" r="O10"/>
  <c i="8" r="J19" s="1"/>
  <c i="8" r="R37" s="1"/>
  <c i="8" r="O15"/>
  <c i="8" r="W33" s="1"/>
  <c i="8" r="T27"/>
  <c i="8" r="L18"/>
  <c i="8" r="R28"/>
  <c i="8" r="G19"/>
  <c i="8" r="F19"/>
  <c i="8" r="E19"/>
  <c i="8" l="1" r="AC7"/>
  <c i="8" r="T33"/>
  <c i="8" r="AC18"/>
  <c i="8" r="R36"/>
  <c i="8" r="AC29"/>
  <c i="8" r="AD29" s="1"/>
  <c i="8" r="V36"/>
  <c i="8" r="AC28"/>
  <c i="8" r="AD28" s="1"/>
  <c i="8" r="AD14" s="1"/>
  <c i="8" r="AE14" s="1"/>
  <c i="8" r="AJ11" s="1"/>
  <c i="8" r="AK11" s="1"/>
  <c i="8" r="U35"/>
  <c i="8" r="T28"/>
  <c i="8" r="L19"/>
  <c i="8" r="T37" s="1"/>
  <c i="8" r="AC16"/>
  <c i="8" r="T35"/>
  <c i="8" r="AC12"/>
  <c i="8" r="U34"/>
  <c i="8" r="AC21"/>
  <c i="8" r="AD21" s="1"/>
  <c i="8" r="AE21" s="1"/>
  <c i="8" r="AJ18" s="1"/>
  <c i="8" r="AK18" s="1"/>
  <c i="8" r="U36"/>
  <c i="8" r="S33"/>
  <c i="8" r="AC26"/>
  <c i="8" r="AD26" s="1"/>
  <c i="8" r="AD7" s="1"/>
  <c i="8" r="AE7" s="1"/>
  <c i="8" r="AJ4" s="1"/>
  <c i="8" r="AK4" s="1"/>
  <c i="8" r="AC11"/>
  <c i="8" r="S34"/>
  <c i="8" r="V28"/>
  <c i="8" r="N19"/>
  <c i="8" r="V37" s="1"/>
  <c i="8" r="AC17"/>
  <c i="8" r="V35"/>
  <c i="8" r="AC19"/>
  <c i="8" r="S36"/>
  <c i="8" r="AC13"/>
  <c i="8" r="V34"/>
  <c i="8" r="S28"/>
  <c i="8" r="K19"/>
  <c i="8" r="S37" s="1"/>
  <c i="8" r="AC15"/>
  <c i="8" r="S35"/>
  <c i="8" r="AC20"/>
  <c i="8" r="T36"/>
  <c i="8" r="W28"/>
  <c i="8" r="O19"/>
  <c i="8" r="W37" s="1"/>
  <c i="8" r="AC8"/>
  <c i="8" r="U33"/>
  <c i="8" r="AC27"/>
  <c i="8" r="AD27" s="1"/>
  <c i="8" r="AD10" s="1"/>
  <c i="8" r="AE10" s="1"/>
  <c i="8" r="AJ7" s="1"/>
  <c i="8" r="AK7" s="1"/>
  <c i="8" r="T34"/>
  <c i="8" r="V33"/>
  <c i="8" r="AC9"/>
  <c i="8" r="U28"/>
  <c i="8" r="M19"/>
  <c i="8" r="U37" s="1"/>
  <c i="8" l="1" r="AD17"/>
  <c i="8" r="AE17" s="1"/>
  <c i="8" r="AJ14" s="1"/>
  <c i="8" r="AK14" s="1"/>
  <c i="8" r="AD19"/>
  <c i="8" r="AE19" s="1"/>
  <c i="8" r="AJ16" s="1"/>
  <c i="8" r="AK16" s="1"/>
  <c i="8" r="AD20"/>
  <c i="8" r="AE20" s="1"/>
  <c i="8" r="AJ17" s="1"/>
  <c i="8" r="AK17" s="1"/>
  <c i="8" r="AD8"/>
  <c i="8" r="AE8" s="1"/>
  <c i="8" r="AJ5" s="1"/>
  <c i="8" r="AK5" s="1"/>
  <c i="8" r="AD15"/>
  <c i="8" r="AE15" s="1"/>
  <c i="8" r="AJ12" s="1"/>
  <c i="8" r="AK12" s="1"/>
  <c i="8" r="AD6"/>
  <c i="8" r="AE6" s="1"/>
  <c i="8" r="AJ3" s="1"/>
  <c i="8" r="AK3" s="1"/>
  <c i="8" r="AD13"/>
  <c i="8" r="AE13" s="1"/>
  <c i="8" r="AJ10" s="1"/>
  <c i="8" r="AK10" s="1"/>
  <c i="8" r="AD12"/>
  <c i="8" r="AE12" s="1"/>
  <c i="8" r="AJ9" s="1"/>
  <c i="8" r="AK9" s="1"/>
  <c i="8" r="AD11"/>
  <c i="8" r="AE11" s="1"/>
  <c i="8" r="AJ8" s="1"/>
  <c i="8" r="AK8" s="1"/>
  <c i="8" r="AD16"/>
  <c i="8" r="AE16" s="1"/>
  <c i="8" r="AJ13" s="1"/>
  <c i="8" r="AK13" s="1"/>
  <c i="8" r="AD18"/>
  <c i="8" r="AE18" s="1"/>
  <c i="8" r="AJ15" s="1"/>
  <c i="8" r="AK15" s="1"/>
  <c i="8" r="AD9"/>
  <c i="8" r="AE9" s="1"/>
  <c i="8" r="AJ6" s="1"/>
  <c i="8" r="AK6" s="1"/>
</calcChain>
</file>

<file path=xl/sharedStrings.xml><?xml version="1.0" encoding="utf-8"?>
<sst xmlns="http://schemas.openxmlformats.org/spreadsheetml/2006/main" count="912" uniqueCount="204">
  <si>
    <t>Table X: Estimated Households by Number of Vehicles and Number of Potential Drivers</t>
  </si>
  <si>
    <t>HH # of Potential Drivers</t>
  </si>
  <si>
    <t>Number of Vehicles</t>
  </si>
  <si>
    <t>4+</t>
  </si>
  <si>
    <t>Total</t>
  </si>
  <si>
    <t>HH Income</t>
  </si>
  <si>
    <t>$0K-$15K</t>
  </si>
  <si>
    <t>$15K-$50K</t>
  </si>
  <si>
    <t>$50K-$75K</t>
  </si>
  <si>
    <t>&gt;$75K</t>
  </si>
  <si>
    <t>County</t>
  </si>
  <si>
    <t>Table X: Estimated Households by Number of Vehicles and Income</t>
  </si>
  <si>
    <t>Table X: Estimated Households by Number of Vehicles and County</t>
  </si>
  <si>
    <t>ACS</t>
  </si>
  <si>
    <t>DaySim</t>
  </si>
  <si>
    <t>Table X: % Diff Households by Number of Vehicles and County</t>
  </si>
  <si>
    <t>Table X: Obsesrved Households by Number of Vehicles and County (ACS)</t>
  </si>
  <si>
    <t>Table X: Adjusted Observed Households by Number of Vehicles and County (ACS)</t>
  </si>
  <si>
    <t>Table X: Difference in Shares of Households by Number of Vehicles and County</t>
  </si>
  <si>
    <t>Table X: Difference in Households by Number of Vehicles and Income</t>
  </si>
  <si>
    <t>Table X: % Difference in Households by Number of Vehicles and Income</t>
  </si>
  <si>
    <t>Table X: Difference in Households by Number of Vehicles and County</t>
  </si>
  <si>
    <t>Table X: Difference in Households by Number of Vehicles and Number of Potential Drivers</t>
  </si>
  <si>
    <t>Table X: % Difference in Households by Number of Vehicles and Number of Potential Drivers</t>
  </si>
  <si>
    <t>Beta00001</t>
  </si>
  <si>
    <t>F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</si>
  <si>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</si>
  <si>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</si>
  <si>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</si>
  <si>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</si>
  <si>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</si>
  <si>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</si>
  <si>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</si>
  <si>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</si>
  <si>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</si>
  <si>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</si>
  <si>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</si>
  <si>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</si>
  <si>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</si>
  <si>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</si>
  <si>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</si>
  <si>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Beta00018</t>
  </si>
  <si>
    <t>Beta00019</t>
  </si>
  <si>
    <t>Beta00020</t>
  </si>
  <si>
    <t>Beta00022</t>
  </si>
  <si>
    <t>Beta00024</t>
  </si>
  <si>
    <t>Beta00025</t>
  </si>
  <si>
    <t>Beta00026</t>
  </si>
  <si>
    <t>Beta00028</t>
  </si>
  <si>
    <t>Beta00029</t>
  </si>
  <si>
    <t>Beta00031</t>
  </si>
  <si>
    <t>Beta00032</t>
  </si>
  <si>
    <t>Beta00034</t>
  </si>
  <si>
    <t>Beta00035</t>
  </si>
  <si>
    <t>Beta00036</t>
  </si>
  <si>
    <t>Beta00037</t>
  </si>
  <si>
    <t>Beta00038</t>
  </si>
  <si>
    <t>Beta00041</t>
  </si>
  <si>
    <t>Beta00042</t>
  </si>
  <si>
    <t>Beta00043</t>
  </si>
  <si>
    <t>Beta00044</t>
  </si>
  <si>
    <t>Beta00045</t>
  </si>
  <si>
    <t>Beta00046</t>
  </si>
  <si>
    <t>Beta00047</t>
  </si>
  <si>
    <t>Beta00048</t>
  </si>
  <si>
    <t>Beta00049</t>
  </si>
  <si>
    <t>Beta00050</t>
  </si>
  <si>
    <t>Beta00051</t>
  </si>
  <si>
    <t>Beta00052</t>
  </si>
  <si>
    <t>Beta00053</t>
  </si>
  <si>
    <t>Beta00054</t>
  </si>
  <si>
    <t>Beta00055</t>
  </si>
  <si>
    <t>Beta00056</t>
  </si>
  <si>
    <t>Beta00057</t>
  </si>
  <si>
    <t>Beta00058</t>
  </si>
  <si>
    <t>Beta00059</t>
  </si>
  <si>
    <t>Beta00060</t>
  </si>
  <si>
    <t>Beta00063</t>
  </si>
  <si>
    <t>Beta00069</t>
  </si>
  <si>
    <t>Beta00072</t>
  </si>
  <si>
    <t>Beta00073</t>
  </si>
  <si>
    <t>Beta00075</t>
  </si>
  <si>
    <t>Beta00076</t>
  </si>
  <si>
    <t>Beta00077</t>
  </si>
  <si>
    <t>Beta00083</t>
  </si>
  <si>
    <t>Index</t>
  </si>
  <si>
    <t>Coeff</t>
  </si>
  <si>
    <t>Descr</t>
  </si>
  <si>
    <t>Has1Driver</t>
  </si>
  <si>
    <t>Has2Drivers</t>
  </si>
  <si>
    <t>Has3Drivers</t>
  </si>
  <si>
    <t>Has4OrMoreDrivers</t>
  </si>
  <si>
    <t>HasNoFullOrPartTimeWorker</t>
  </si>
  <si>
    <t>PartTimeWorkersPerDrivingAgeMembers</t>
  </si>
  <si>
    <t>DrivingAgeStudentsPerDrivingAgeMembers</t>
  </si>
  <si>
    <t>HomeBasedPersonsPerDrivingAgeMembers</t>
  </si>
  <si>
    <t>Has0To15KIncome</t>
  </si>
  <si>
    <t>Has50To75KIncome</t>
  </si>
  <si>
    <t>Has75KPlusIncome</t>
  </si>
  <si>
    <t>HasMissingIncome</t>
  </si>
  <si>
    <t>workTourLogsumDifference</t>
  </si>
  <si>
    <t>schoolTourLogsumDifference</t>
  </si>
  <si>
    <t>Log(distanceToStop)</t>
  </si>
  <si>
    <t>ResidenceParcel.ParkingOffStreetPaidDailyPriceBuffer1</t>
  </si>
  <si>
    <t>foodRetailServiceMedicalLogBuffer1</t>
  </si>
  <si>
    <t>ruralFlag</t>
  </si>
  <si>
    <t>workTourLogsumDifference * ruralFlag</t>
  </si>
  <si>
    <t>0-Auto</t>
  </si>
  <si>
    <t>1-Auto</t>
  </si>
  <si>
    <t>Has1OrLessFullOrPartTimeWorkers</t>
  </si>
  <si>
    <t>RetiredAdultsPerDrivingAgeMembers</t>
  </si>
  <si>
    <t>UniversityStudentsPerDrivingAgeMembers</t>
  </si>
  <si>
    <t>workTourLogsumDifference * household.HasMoreDriversThan1</t>
  </si>
  <si>
    <t>Log(1 + household.ResidenceParcel.StopsTransitBuffer1) * household.HasMoreDriversThan1</t>
  </si>
  <si>
    <t>foodRetailServiceMedicalLogBuffer1 * household.HasMoreDriversThan1</t>
  </si>
  <si>
    <t>Has2OrLessFullOrPartTimeWorkers</t>
  </si>
  <si>
    <t>2-Auto</t>
  </si>
  <si>
    <t>workTourLogsumDifference * household.HasMoreDriversThan2</t>
  </si>
  <si>
    <t>Log(1 + household.ResidenceParcel.StopsTransitBuffer1) * household.HasMoreDriversThan2</t>
  </si>
  <si>
    <t>foodRetailServiceMedicalLogBuffer1 * household.HasMoreDriversThan2</t>
  </si>
  <si>
    <t>Has3OrLessFullOrPartTimeWorkers</t>
  </si>
  <si>
    <t>3-Auto</t>
  </si>
  <si>
    <t>ChildrenUnder5PerDrivingAgeMembers</t>
  </si>
  <si>
    <t>workTourLogsumDifference * household.HasMoreDriversThan3</t>
  </si>
  <si>
    <t>Log(1 + household.ResidenceParcel.StopsTransitBuffer1) * household.HasMoreDriversThan3</t>
  </si>
  <si>
    <t>foodRetailServiceMedicalLogBuffer1 * household.HasMoreDriversThan3</t>
  </si>
  <si>
    <t>Has4OrLessFullOrPartTimeWorkers</t>
  </si>
  <si>
    <t>4-Auto</t>
  </si>
  <si>
    <t>workTourLogsumDifference * household.HasMoreDriversThan4</t>
  </si>
  <si>
    <t>Log(1 + household.ResidenceParcel.StopsTransitBuffer1) * household.HasMoreDriversThan4</t>
  </si>
  <si>
    <t>foodRetailServiceMedicalLogBuffer1 * household.HasMoreDriversThan4</t>
  </si>
  <si>
    <t>Survey</t>
  </si>
  <si>
    <t>Table X: Observed Households by Number of Vehicles and County (Survey)</t>
  </si>
  <si>
    <t>Table X: Adjusted Observed Households by Number of Vehicles and County (Survey)</t>
  </si>
  <si>
    <t>class</t>
  </si>
  <si>
    <t>Count</t>
  </si>
  <si>
    <t>Share</t>
  </si>
  <si>
    <t>CoeffIndex</t>
  </si>
  <si>
    <t>Old Coeff.</t>
  </si>
  <si>
    <t>Ratio (FT)</t>
  </si>
  <si>
    <t>Adj.</t>
  </si>
  <si>
    <t>New Coeff.</t>
  </si>
  <si>
    <t>Auto</t>
  </si>
  <si>
    <t>availability</t>
  </si>
  <si>
    <t>auto27.ALO</t>
  </si>
  <si>
    <t>Created</t>
  </si>
  <si>
    <t>by</t>
  </si>
  <si>
    <t>ALOGIT</t>
  </si>
  <si>
    <t>version</t>
  </si>
  <si>
    <t>on</t>
  </si>
  <si>
    <t>END</t>
  </si>
  <si>
    <t>Instructions:</t>
  </si>
  <si>
    <t>Select all(ctrl+A)</t>
  </si>
  <si>
    <t>Paste in cell A8</t>
  </si>
  <si>
    <t>Go to "Data" --&gt;Text to Columns - Select "Delimited" ---&gt; "Space" ---&gt; Finish</t>
  </si>
  <si>
    <t>Old</t>
  </si>
  <si>
    <t>New</t>
  </si>
  <si>
    <t>household has at least as many cars as workers</t>
  </si>
  <si>
    <t>Daysim</t>
  </si>
  <si>
    <t>Drivers &lt; Vehicles</t>
  </si>
  <si>
    <t>HH # of Drivers</t>
  </si>
  <si>
    <t>Survey (ACS)</t>
  </si>
  <si>
    <t>Census</t>
  </si>
  <si>
    <t>Table X: ACS Households by Number of Vehicles and Number of Potential Drivers</t>
  </si>
  <si>
    <t>damp</t>
  </si>
  <si>
    <t>DIFF (ABM-Survey)</t>
  </si>
  <si>
    <t>ABM</t>
  </si>
  <si>
    <t>Autos</t>
  </si>
  <si>
    <t>BASE CATEGORIES</t>
  </si>
  <si>
    <t>Ratio</t>
  </si>
  <si>
    <t>LN(Ratio)</t>
  </si>
  <si>
    <t>Open "WorkLocationCoefficients_model" ini Notepad+</t>
  </si>
  <si>
    <t>AutoOwnershipCoefficients_model</t>
  </si>
  <si>
    <t>Code</t>
  </si>
  <si>
    <t>DaySim - ACS</t>
  </si>
  <si>
    <t>DaySim-Census</t>
  </si>
  <si>
    <t>ACS 2016</t>
  </si>
  <si>
    <t>Diff</t>
  </si>
  <si>
    <t>COEFFICIENT ADJUSTMENTS</t>
  </si>
  <si>
    <t>Total:</t>
  </si>
  <si>
    <t>    No vehicle available</t>
  </si>
  <si>
    <t>    1 vehicle available</t>
  </si>
  <si>
    <t>    2 vehicles available</t>
  </si>
  <si>
    <t>    3 vehicles available</t>
  </si>
  <si>
    <t>    4 or more vehicles available</t>
  </si>
  <si>
    <r>
      <t>B08203 </t>
    </r>
    <r>
      <rPr>
        <sz val="14"/>
        <color rgb="FF333333"/>
        <rFont val="Segoe UI"/>
        <family val="2"/>
      </rPr>
      <t> NUMBER OF WORKERS IN HOUSEHOLD BY VEHICLES AVAILABLE</t>
    </r>
  </si>
  <si>
    <t>Iterative Proportional Fitting (IPF) for matching % share by num vehicles and num drivers</t>
  </si>
  <si>
    <t>Table X: Scaled Households - match row totals (drivers)</t>
  </si>
  <si>
    <t>Table X: Scaled Households - match column totals (vehicles)</t>
  </si>
  <si>
    <t>diff</t>
  </si>
  <si>
    <t>iter=1</t>
  </si>
  <si>
    <t>iter=2</t>
  </si>
  <si>
    <t>iter=3</t>
  </si>
  <si>
    <t>iter=4</t>
  </si>
  <si>
    <t>iter=5</t>
  </si>
  <si>
    <t>iter=6</t>
  </si>
  <si>
    <t>Table X: Scaled Households (after IPF - see below for iterations)</t>
  </si>
  <si>
    <t>Apr</t>
  </si>
  <si>
    <t>011:16:44</t>
  </si>
  <si>
    <t>2022 1-year ACS</t>
  </si>
  <si>
    <t>2021: ACS 1-Year Estimates Detailed Tables</t>
  </si>
  <si>
    <t>ACS 2018-22 PUMS</t>
  </si>
  <si>
    <t>Survey (2018-2022 ACS)</t>
  </si>
  <si>
    <t>OBS (2018-2022 ACS)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</si>
</sst>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(* #,##0.00_);_(* \(#,##0.00\);_(* &quot;-&quot;??_);_(@_)"/>
    <numFmt numFmtId="164" formatCode="mm/dd/yyyy\ hh:mm:ss"/>
    <numFmt numFmtId="165" formatCode="0.00000000000"/>
    <numFmt numFmtId="166" formatCode="0.0%"/>
    <numFmt numFmtId="167" formatCode="_(* #,##0_);_(* \(#,##0\);_(* &quot;-&quot;??_);_(@_)"/>
    <numFmt numFmtId="168" formatCode="0.0000"/>
    <numFmt numFmtId="169" formatCode="0.000"/>
    <numFmt numFmtId="170" formatCode="0.000000"/>
  </numFmts>
  <fonts count="16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i/>
      <sz val="10"/>
      <name val="Arial"/>
      <family val="2"/>
    </font>
    <font>
      <b/>
      <sz val="16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4"/>
      <color rgb="FF333333"/>
      <name val="Segoe UI"/>
      <family val="2"/>
    </font>
    <font>
      <sz val="14"/>
      <color rgb="FF333333"/>
      <name val="Segoe UI"/>
      <family val="2"/>
    </font>
    <font>
      <sz val="9"/>
      <color rgb="FF4B636E"/>
      <name val="Segoe UI"/>
      <family val="2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borderId="0" fillId="0" fontId="0" numFmtId="0"/>
    <xf borderId="0" fillId="2" fontId="6" numFmtId="0">
      <alignment wrapText="1"/>
    </xf>
    <xf borderId="0" fillId="0" fontId="6" numFmtId="0">
      <alignment wrapText="1"/>
    </xf>
    <xf borderId="0" fillId="0" fontId="6" numFmtId="164">
      <alignment wrapText="1"/>
    </xf>
    <xf borderId="0" fillId="0" fontId="7" numFmtId="0"/>
    <xf borderId="0" fillId="0" fontId="6" numFmtId="0">
      <alignment wrapText="1"/>
    </xf>
    <xf borderId="0" fillId="0" fontId="6" numFmtId="0">
      <alignment wrapText="1"/>
    </xf>
    <xf borderId="0" fillId="0" fontId="6" numFmtId="0">
      <alignment wrapText="1"/>
    </xf>
    <xf borderId="0" fillId="0" fontId="6" numFmtId="164">
      <alignment wrapText="1"/>
    </xf>
    <xf applyAlignment="0" applyBorder="0" applyFill="0" applyFont="0" applyProtection="0" borderId="0" fillId="0" fontId="6" numFmtId="9"/>
    <xf applyAlignment="0" applyBorder="0" applyFill="0" applyFont="0" applyProtection="0" borderId="0" fillId="0" fontId="6" numFmtId="43"/>
  </cellStyleXfs>
  <cellXfs count="96">
    <xf borderId="0" fillId="0" fontId="0" numFmtId="0" xfId="0"/>
    <xf applyFont="1" borderId="0" fillId="0" fontId="1" numFmtId="0" xfId="0"/>
    <xf applyAlignment="1" applyBorder="1" applyFont="1" borderId="2" fillId="0" fontId="2" numFmtId="0" xfId="0">
      <alignment horizontal="right"/>
    </xf>
    <xf applyAlignment="1" applyFont="1" borderId="0" fillId="0" fontId="2" numFmtId="0" xfId="0">
      <alignment horizontal="left"/>
    </xf>
    <xf applyNumberFormat="1" borderId="0" fillId="0" fontId="0" numFmtId="3" xfId="0"/>
    <xf applyAlignment="1" applyBorder="1" applyFont="1" borderId="3" fillId="0" fontId="2" numFmtId="0" xfId="0">
      <alignment horizontal="left"/>
    </xf>
    <xf applyBorder="1" applyNumberFormat="1" borderId="3" fillId="0" fontId="0" numFmtId="3" xfId="0"/>
    <xf applyAlignment="1" applyBorder="1" applyFont="1" borderId="4" fillId="0" fontId="2" numFmtId="0" xfId="0">
      <alignment horizontal="left"/>
    </xf>
    <xf applyBorder="1" applyNumberFormat="1" borderId="4" fillId="0" fontId="0" numFmtId="3" xfId="0"/>
    <xf applyAlignment="1" applyBorder="1" applyFont="1" borderId="1" fillId="0" fontId="1" numFmtId="0" xfId="0">
      <alignment horizontal="center"/>
    </xf>
    <xf applyAlignment="1" applyBorder="1" applyFont="1" borderId="1" fillId="0" fontId="1" numFmtId="0" xfId="0">
      <alignment horizontal="left"/>
    </xf>
    <xf applyBorder="1" applyFont="1" borderId="3" fillId="0" fontId="1" numFmtId="0" xfId="0"/>
    <xf applyBorder="1" borderId="1" fillId="0" fontId="0" numFmtId="0" xfId="0"/>
    <xf applyFont="1" borderId="0" fillId="0" fontId="3" numFmtId="0" xfId="0"/>
    <xf applyFont="1" borderId="0" fillId="0" fontId="4" numFmtId="0" xfId="0"/>
    <xf applyNumberFormat="1" borderId="0" fillId="0" fontId="0" numFmtId="9" xfId="0"/>
    <xf applyBorder="1" applyNumberFormat="1" borderId="3" fillId="0" fontId="0" numFmtId="9" xfId="0"/>
    <xf applyBorder="1" applyNumberFormat="1" borderId="4" fillId="0" fontId="0" numFmtId="9" xfId="0"/>
    <xf applyAlignment="1" borderId="0" fillId="0" fontId="6" numFmtId="0" xfId="2"/>
    <xf applyNumberFormat="1" borderId="0" fillId="0" fontId="0" numFmtId="11" xfId="0"/>
    <xf applyFont="1" borderId="0" fillId="0" fontId="8" numFmtId="0" xfId="0"/>
    <xf applyFont="1" borderId="0" fillId="0" fontId="9" numFmtId="0" xfId="0"/>
    <xf applyFont="1" applyNumberFormat="1" borderId="0" fillId="0" fontId="8" numFmtId="11" xfId="0"/>
    <xf applyAlignment="1" applyNumberFormat="1" borderId="0" fillId="0" fontId="6" numFmtId="3" xfId="2"/>
    <xf applyFont="1" borderId="0" fillId="0" fontId="10" numFmtId="0" xfId="0"/>
    <xf applyNumberFormat="1" borderId="0" fillId="0" fontId="0" numFmtId="2" xfId="0"/>
    <xf applyNumberFormat="1" borderId="0" fillId="0" fontId="0" numFmtId="21" xfId="0"/>
    <xf applyNumberFormat="1" borderId="0" fillId="0" fontId="0" numFmtId="165" xfId="0"/>
    <xf applyFill="1" applyNumberFormat="1" borderId="0" fillId="3" fontId="0" numFmtId="165" xfId="0"/>
    <xf applyFont="1" borderId="0" fillId="0" fontId="5" numFmtId="0" xfId="0"/>
    <xf applyAlignment="1" applyBorder="1" applyFont="1" borderId="5" fillId="0" fontId="2" numFmtId="0" xfId="0">
      <alignment horizontal="right"/>
    </xf>
    <xf applyAlignment="1" applyBorder="1" applyFont="1" borderId="6" fillId="0" fontId="2" numFmtId="0" xfId="0">
      <alignment horizontal="right"/>
    </xf>
    <xf applyBorder="1" applyNumberFormat="1" borderId="7" fillId="0" fontId="0" numFmtId="3" xfId="0"/>
    <xf applyBorder="1" applyNumberFormat="1" borderId="8" fillId="0" fontId="0" numFmtId="3" xfId="0"/>
    <xf applyBorder="1" borderId="9" fillId="0" fontId="0" numFmtId="0" xfId="0"/>
    <xf applyBorder="1" applyFont="1" applyNumberFormat="1" borderId="10" fillId="0" fontId="0" numFmtId="166" xfId="9"/>
    <xf applyAlignment="1" applyNumberFormat="1" borderId="0" fillId="0" fontId="6" numFmtId="167" xfId="10"/>
    <xf applyNumberFormat="1" borderId="0" fillId="0" fontId="0" numFmtId="167" xfId="0"/>
    <xf applyFont="1" borderId="0" fillId="0" fontId="0" numFmtId="9" xfId="9"/>
    <xf applyFill="1" borderId="0" fillId="4" fontId="0" numFmtId="0" xfId="0"/>
    <xf applyBorder="1" applyFill="1" borderId="1" fillId="4" fontId="0" numFmtId="0" xfId="0"/>
    <xf applyAlignment="1" applyBorder="1" applyFill="1" applyFont="1" borderId="1" fillId="4" fontId="1" numFmtId="0" xfId="0">
      <alignment horizontal="left"/>
    </xf>
    <xf applyAlignment="1" applyBorder="1" applyFill="1" applyFont="1" borderId="1" fillId="4" fontId="1" numFmtId="0" xfId="0">
      <alignment horizontal="center"/>
    </xf>
    <xf applyBorder="1" applyFill="1" applyFont="1" borderId="3" fillId="4" fontId="1" numFmtId="0" xfId="0"/>
    <xf applyAlignment="1" applyBorder="1" applyFill="1" applyFont="1" borderId="2" fillId="4" fontId="2" numFmtId="0" xfId="0">
      <alignment horizontal="right"/>
    </xf>
    <xf applyAlignment="1" applyFill="1" applyFont="1" borderId="0" fillId="4" fontId="2" numFmtId="0" xfId="0">
      <alignment horizontal="left"/>
    </xf>
    <xf applyFill="1" applyNumberFormat="1" borderId="0" fillId="4" fontId="0" numFmtId="3" xfId="0"/>
    <xf applyAlignment="1" applyBorder="1" applyFill="1" applyFont="1" borderId="3" fillId="4" fontId="2" numFmtId="0" xfId="0">
      <alignment horizontal="left"/>
    </xf>
    <xf applyBorder="1" applyFill="1" applyNumberFormat="1" borderId="3" fillId="4" fontId="0" numFmtId="3" xfId="0"/>
    <xf applyAlignment="1" applyBorder="1" applyFill="1" applyFont="1" borderId="4" fillId="4" fontId="2" numFmtId="0" xfId="0">
      <alignment horizontal="left"/>
    </xf>
    <xf applyBorder="1" applyFill="1" applyNumberFormat="1" borderId="4" fillId="4" fontId="0" numFmtId="3" xfId="0"/>
    <xf applyFill="1" applyNumberFormat="1" borderId="0" fillId="4" fontId="0" numFmtId="166" xfId="0"/>
    <xf applyBorder="1" applyFill="1" applyNumberFormat="1" borderId="4" fillId="4" fontId="0" numFmtId="166" xfId="0"/>
    <xf applyBorder="1" applyFill="1" applyFont="1" borderId="1" fillId="4" fontId="5" numFmtId="0" xfId="0"/>
    <xf applyFill="1" applyFont="1" borderId="0" fillId="4" fontId="10" numFmtId="0" xfId="0"/>
    <xf applyBorder="1" applyFill="1" applyNumberFormat="1" borderId="3" fillId="4" fontId="0" numFmtId="166" xfId="0"/>
    <xf applyBorder="1" applyNumberFormat="1" borderId="11" fillId="0" fontId="0" numFmtId="3" xfId="0"/>
    <xf applyBorder="1" applyNumberFormat="1" borderId="11" fillId="0" fontId="0" numFmtId="9" xfId="0"/>
    <xf applyNumberFormat="1" borderId="0" fillId="0" fontId="0" numFmtId="168" xfId="0"/>
    <xf applyAlignment="1" borderId="0" fillId="0" fontId="0" numFmtId="0" xfId="0">
      <alignment horizontal="center"/>
    </xf>
    <xf applyNumberFormat="1" borderId="0" fillId="0" fontId="0" numFmtId="170" xfId="0"/>
    <xf applyFill="1" borderId="0" fillId="5" fontId="0" numFmtId="0" xfId="0"/>
    <xf applyFill="1" applyNumberFormat="1" borderId="0" fillId="5" fontId="0" numFmtId="165" xfId="0"/>
    <xf applyNumberFormat="1" borderId="0" fillId="0" fontId="0" numFmtId="166" xfId="0"/>
    <xf applyBorder="1" applyNumberFormat="1" borderId="3" fillId="0" fontId="0" numFmtId="166" xfId="0"/>
    <xf applyBorder="1" applyNumberFormat="1" borderId="4" fillId="0" fontId="0" numFmtId="166" xfId="0"/>
    <xf applyFont="1" applyNumberFormat="1" borderId="0" fillId="0" fontId="0" numFmtId="166" xfId="9"/>
    <xf applyBorder="1" applyFill="1" applyFont="1" borderId="1" fillId="6" fontId="9" numFmtId="0" xfId="0"/>
    <xf applyBorder="1" applyFill="1" borderId="1" fillId="6" fontId="0" numFmtId="0" xfId="0"/>
    <xf applyBorder="1" applyFill="1" applyNumberFormat="1" borderId="1" fillId="6" fontId="0" numFmtId="170" xfId="0"/>
    <xf applyBorder="1" applyFill="1" applyNumberFormat="1" borderId="1" fillId="6" fontId="0" numFmtId="2" xfId="0"/>
    <xf applyBorder="1" applyFill="1" applyNumberFormat="1" borderId="1" fillId="6" fontId="0" numFmtId="168" xfId="0"/>
    <xf applyAlignment="1" borderId="0" fillId="0" fontId="0" numFmtId="0" xfId="0">
      <alignment horizontal="right"/>
    </xf>
    <xf applyFill="1" borderId="0" fillId="7" fontId="0" numFmtId="0" xfId="0"/>
    <xf applyAlignment="1" applyBorder="1" applyFont="1" borderId="2" fillId="0" fontId="5" numFmtId="0" xfId="0">
      <alignment horizontal="center" vertical="top"/>
    </xf>
    <xf applyBorder="1" borderId="12" fillId="0" fontId="0" numFmtId="0" xfId="0"/>
    <xf applyNumberFormat="1" borderId="0" fillId="0" fontId="0" numFmtId="169" xfId="0"/>
    <xf applyBorder="1" applyNumberFormat="1" borderId="13" fillId="0" fontId="0" numFmtId="169" xfId="0"/>
    <xf applyBorder="1" borderId="14" fillId="0" fontId="0" numFmtId="0" xfId="0"/>
    <xf applyBorder="1" borderId="3" fillId="0" fontId="0" numFmtId="0" xfId="0"/>
    <xf applyBorder="1" applyNumberFormat="1" borderId="3" fillId="0" fontId="0" numFmtId="169" xfId="0"/>
    <xf applyBorder="1" applyNumberFormat="1" borderId="15" fillId="0" fontId="0" numFmtId="169" xfId="0"/>
    <xf applyAlignment="1" applyBorder="1" applyFont="1" borderId="16" fillId="0" fontId="5" numFmtId="0" xfId="0">
      <alignment horizontal="right"/>
    </xf>
    <xf applyBorder="1" applyFont="1" borderId="17" fillId="0" fontId="5" numFmtId="0" xfId="0"/>
    <xf applyAlignment="1" applyBorder="1" applyFont="1" borderId="17" fillId="0" fontId="5" numFmtId="0" xfId="0">
      <alignment horizontal="right"/>
    </xf>
    <xf applyAlignment="1" applyBorder="1" applyFont="1" borderId="18" fillId="0" fontId="5" numFmtId="0" xfId="0">
      <alignment horizontal="right"/>
    </xf>
    <xf applyAlignment="1" applyFont="1" borderId="0" fillId="0" fontId="5" numFmtId="0" xfId="0">
      <alignment horizontal="right"/>
    </xf>
    <xf applyFill="1" applyFont="1" applyNumberFormat="1" borderId="0" fillId="0" fontId="0" numFmtId="167" xfId="10"/>
    <xf applyFont="1" borderId="0" fillId="0" fontId="11" numFmtId="0" xfId="0"/>
    <xf applyFont="1" borderId="0" fillId="0" fontId="13" numFmtId="0" xfId="0"/>
    <xf applyBorder="1" applyFont="1" borderId="0" fillId="0" fontId="0" numFmtId="9" xfId="9"/>
    <xf applyBorder="1" applyFont="1" applyNumberFormat="1" borderId="0" fillId="0" fontId="0" numFmtId="166" xfId="9"/>
    <xf applyAlignment="1" applyFill="1" applyFont="1" borderId="0" fillId="4" fontId="1" numFmtId="0" xfId="0">
      <alignment horizontal="center"/>
    </xf>
    <xf applyAlignment="1" applyFill="1" applyFont="1" borderId="0" fillId="4" fontId="2" numFmtId="0" xfId="0">
      <alignment horizontal="right"/>
    </xf>
    <xf applyFont="1" borderId="0" fillId="0" fontId="14" numFmtId="0" xfId="0"/>
    <xf applyFont="1" applyNumberFormat="1" borderId="0" fillId="0" fontId="15" numFmtId="3" xfId="0"/>
  </cellXfs>
  <cellStyles count="11">
    <cellStyle builtinId="3" name="Comma" xfId="10"/>
    <cellStyle builtinId="0" name="Normal" xfId="0"/>
    <cellStyle name="Normal 2" xfId="4" xr:uid="{00000000-0005-0000-0000-000002000000}"/>
    <cellStyle builtinId="5" name="Percent" xfId="9"/>
    <cellStyle name="XLConnect.Boolean" xfId="7" xr:uid="{00000000-0005-0000-0000-000004000000}"/>
    <cellStyle name="XLConnect.Date" xfId="3" xr:uid="{00000000-0005-0000-0000-000005000000}"/>
    <cellStyle name="XLConnect.DateTime" xfId="8" xr:uid="{00000000-0005-0000-0000-000006000000}"/>
    <cellStyle name="XLConnect.General" xfId="2" xr:uid="{00000000-0005-0000-0000-000007000000}"/>
    <cellStyle name="XLConnect.Header" xfId="1" xr:uid="{00000000-0005-0000-0000-000008000000}"/>
    <cellStyle name="XLConnect.Numeric" xfId="6" xr:uid="{00000000-0005-0000-0000-000009000000}"/>
    <cellStyle name="XLConnect.String" xfId="5" xr:uid="{00000000-0005-0000-0000-00000A000000}"/>
  </cellStyles>
  <dxfs count="1">
    <dxf>
      <font>
        <color rgb="FF9C0006"/>
      </font>
      <fill>
        <patternFill>
          <bgColor rgb="FFFFC7CE"/>
        </patternFill>
      </fill>
    </dxf>
  </dxfs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sharedStrings.xml" Type="http://schemas.openxmlformats.org/officeDocument/2006/relationships/sharedStrings"/>
    <Relationship Id="rId11" Target="calcChain.xml" Type="http://schemas.openxmlformats.org/officeDocument/2006/relationships/calcChain"/>
    <Relationship Id="rId12" Target="../customXml/item1.xml" Type="http://schemas.openxmlformats.org/officeDocument/2006/relationships/customXml"/>
    <Relationship Id="rId13" Target="../customXml/item2.xml" Type="http://schemas.openxmlformats.org/officeDocument/2006/relationships/customXml"/>
    <Relationship Id="rId14" Target="../customXml/item3.xml" Type="http://schemas.openxmlformats.org/officeDocument/2006/relationships/customXml"/>
    <Relationship Id="rId15" Target="vbaProject.bin" Type="http://schemas.microsoft.com/office/2006/relationships/vbaProject"/>
    <Relationship Id="rId2" Target="worksheets/sheet2.xml" Type="http://schemas.openxmlformats.org/officeDocument/2006/relationships/workshee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worksheets/sheet7.xml" Type="http://schemas.openxmlformats.org/officeDocument/2006/relationships/worksheet"/>
    <Relationship Id="rId8" Target="theme/theme1.xml" Type="http://schemas.openxmlformats.org/officeDocument/2006/relationships/theme"/>
    <Relationship Id="rId9" Target="styles.xml" Type="http://schemas.openxmlformats.org/officeDocument/2006/relationships/styles"/>
</Relationships>

</file>

<file path=xl/charts/_rels/chart1.xml.rels><?xml version="1.0" encoding="UTF-8" standalone="no"?>
<Relationships xmlns="http://schemas.openxmlformats.org/package/2006/relationships">
    <Relationship Id="rId1" Target="style1.xml" Type="http://schemas.microsoft.com/office/2011/relationships/chartStyle"/>
    <Relationship Id="rId2" Target="colors1.xml" Type="http://schemas.microsoft.com/office/2011/relationships/chartColorStyl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Auto Ownership - ACS vs DaySim</a:t>
            </a:r>
          </a:p>
        </c:rich>
      </c:tx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calibration!$K$2</c:f>
              <c:strCache>
                <c:ptCount val="1"/>
                <c:pt idx="0">
                  <c:v>OBS (2018-2022 ACS)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calibration!$J$14:$N$14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4+</c:v>
                </c:pt>
              </c:strCache>
            </c:strRef>
          </c:cat>
          <c:val>
            <c:numRef>
              <c:f>calibration!$J$19:$N$19</c:f>
              <c:numCache>
                <c:formatCode>0.0%</c:formatCode>
                <c:ptCount val="5"/>
                <c:pt idx="0">
                  <c:v>4.2490470670023803E-2</c:v>
                </c:pt>
                <c:pt idx="1">
                  <c:v>0.32167959735551144</c:v>
                </c:pt>
                <c:pt idx="2">
                  <c:v>0.40066372987566518</c:v>
                </c:pt>
                <c:pt idx="3">
                  <c:v>0.16027040061793968</c:v>
                </c:pt>
                <c:pt idx="4">
                  <c:v>7.4895801480859822E-2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A8-466A-9F3F-2B6FCAB11ECB}"/>
            </c:ext>
          </c:extLst>
        </c:ser>
        <c:ser>
          <c:idx val="1"/>
          <c:order val="1"/>
          <c:tx>
            <c:strRef>
              <c:f>calibration!$S$2</c:f>
              <c:strCache>
                <c:ptCount val="1"/>
                <c:pt idx="0">
                  <c:v>ABM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invertIfNegative val="0"/>
          <c:dLbls>
            <c:dLbl>
              <c:idx val="1"/>
              <c:layout>
                <c:manualLayout>
                  <c:x val="1.2658225745336101E-2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050-47F1-9499-D9E59CF33C7D}"/>
                </c:ext>
              </c:extLst>
            </c:dLbl>
            <c:dLbl>
              <c:idx val="2"/>
              <c:layout>
                <c:manualLayout>
                  <c:x val="1.2658225745336022E-2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050-47F1-9499-D9E59CF33C7D}"/>
                </c:ext>
              </c:extLst>
            </c:dLbl>
            <c:dLbl>
              <c:idx val="3"/>
              <c:layout>
                <c:manualLayout>
                  <c:x val="1.2658225745336101E-2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050-47F1-9499-D9E59CF33C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calibration!$J$14:$N$14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4+</c:v>
                </c:pt>
              </c:strCache>
            </c:strRef>
          </c:cat>
          <c:val>
            <c:numRef>
              <c:f>calibration!$R$19:$V$19</c:f>
              <c:numCache>
                <c:formatCode>0.0%</c:formatCode>
                <c:ptCount val="5"/>
                <c:pt idx="0">
                  <c:v>5.0988321812763256E-2</c:v>
                </c:pt>
                <c:pt idx="1">
                  <c:v>0.32864671150460095</c:v>
                </c:pt>
                <c:pt idx="2">
                  <c:v>0.39200383258568877</c:v>
                </c:pt>
                <c:pt idx="3">
                  <c:v>0.1564765098583312</c:v>
                </c:pt>
                <c:pt idx="4">
                  <c:v>7.1884624238615788E-2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A8-466A-9F3F-2B6FCAB11E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83664000"/>
        <c:axId val="883655264"/>
      </c:barChart>
      <c:catAx>
        <c:axId val="883664000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baseline="0" lang="en-US"/>
                  <a:t>Autos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3655264"/>
        <c:crosses val="autoZero"/>
        <c:auto val="1"/>
        <c:lblAlgn val="ctr"/>
        <c:lblOffset val="100"/>
        <c:noMultiLvlLbl val="0"/>
      </c:catAx>
      <c:valAx>
        <c:axId val="883655264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Share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366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
<Relationships xmlns="http://schemas.openxmlformats.org/package/2006/relationships">
    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152399</xdr:colOff>
      <xdr:row>24</xdr:row>
      <xdr:rowOff>57149</xdr:rowOff>
    </xdr:from>
    <xdr:to>
      <xdr:col>14</xdr:col>
      <xdr:colOff>76200</xdr:colOff>
      <xdr:row>41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</Relationships>

</file>

<file path=xl/worksheets/_rels/sheet2.xml.rels><?xml version="1.0" encoding="UTF-8" standalone="no"?>
<Relationships xmlns="http://schemas.openxmlformats.org/package/2006/relationships">
    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    <Relationship Id="rId1" Target="../printerSettings/printerSettings3.bin" Type="http://schemas.openxmlformats.org/officeDocument/2006/relationships/printerSettings"/>
</Relationships>

</file>

<file path=xl/worksheets/_rels/sheet4.xml.rels><?xml version="1.0" encoding="UTF-8" standalone="no"?>
<Relationships xmlns="http://schemas.openxmlformats.org/package/2006/relationships">
    <Relationship Id="rId1" Target="../printerSettings/printerSettings4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    <Relationship Id="rId1" Target="../printerSettings/printerSettings5.bin" Type="http://schemas.openxmlformats.org/officeDocument/2006/relationships/printerSettings"/>
    <Relationship Id="rId2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N64"/>
  <sheetViews>
    <sheetView workbookViewId="0">
      <selection activeCell="F51" sqref="F51"/>
    </sheetView>
  </sheetViews>
  <sheetFormatPr defaultRowHeight="14.25" x14ac:dyDescent="0.45"/>
  <cols>
    <col min="1" max="23" customWidth="true" width="9.265625" collapsed="true"/>
  </cols>
  <sheetData>
    <row ht="21" r="1" spans="1:23" x14ac:dyDescent="0.65">
      <c r="A1" s="13" t="s">
        <v>131</v>
      </c>
      <c r="I1" s="13" t="s">
        <v>13</v>
      </c>
      <c r="Q1" s="13" t="s">
        <v>14</v>
      </c>
    </row>
    <row r="2" spans="1:23" x14ac:dyDescent="0.45">
      <c r="A2" s="1"/>
      <c r="I2" s="1" t="s">
        <v>176</v>
      </c>
      <c r="Q2" s="1"/>
    </row>
    <row r="3" spans="1:23" x14ac:dyDescent="0.45">
      <c r="A3" s="1" t="s">
        <v>132</v>
      </c>
      <c r="I3" s="1" t="s">
        <v>16</v>
      </c>
      <c r="Q3" s="14" t="s">
        <v>12</v>
      </c>
    </row>
    <row ht="14.65" r="4" spans="1:23" thickBot="1" x14ac:dyDescent="0.5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23" x14ac:dyDescent="0.45">
      <c r="A5" s="11" t="s">
        <v>10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10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11" t="s">
        <v>10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23" x14ac:dyDescent="0.45">
      <c r="A6" s="3">
        <v>1</v>
      </c>
      <c r="B6" s="4" t="n">
        <v>28509.806951517876</v>
      </c>
      <c r="C6" s="4" t="n">
        <v>123393.15425497839</v>
      </c>
      <c r="D6" s="4" t="n">
        <v>112493.71031367732</v>
      </c>
      <c r="E6" s="4" t="n">
        <v>35662.27892395776</v>
      </c>
      <c r="F6" s="4" t="n">
        <v>12161.058612290211</v>
      </c>
      <c r="G6" s="4">
        <f>SUM(B6:F6)</f>
        <v>312220.00905642152</v>
      </c>
      <c r="I6" s="3">
        <v>1</v>
      </c>
      <c r="J6" s="4"/>
      <c r="K6" s="4"/>
      <c r="L6" s="4"/>
      <c r="M6" s="4"/>
      <c r="N6" s="4"/>
      <c r="O6" s="4">
        <f>SUM(J6:N6)</f>
        <v>0</v>
      </c>
      <c r="Q6" s="3">
        <v>1</v>
      </c>
      <c r="R6" s="18" t="n">
        <v>25441.0</v>
      </c>
      <c r="S6" s="18" t="n">
        <v>135462.0</v>
      </c>
      <c r="T6" s="18" t="n">
        <v>122794.0</v>
      </c>
      <c r="U6" s="18" t="n">
        <v>44792.0</v>
      </c>
      <c r="V6" s="18" t="n">
        <v>18331.0</v>
      </c>
      <c r="W6" s="4">
        <f>SUM(R6:V6)</f>
        <v>346820</v>
      </c>
    </row>
    <row r="7" spans="1:23" x14ac:dyDescent="0.45">
      <c r="A7" s="3">
        <v>2</v>
      </c>
      <c r="B7" s="4" t="n">
        <v>1262.941574717538</v>
      </c>
      <c r="C7" s="4" t="n">
        <v>13956.43626935191</v>
      </c>
      <c r="D7" s="4" t="n">
        <v>18897.95526598631</v>
      </c>
      <c r="E7" s="4" t="n">
        <v>7509.440295184325</v>
      </c>
      <c r="F7" s="4" t="n">
        <v>3318.7377152211197</v>
      </c>
      <c r="G7" s="4">
        <f ref="G7:G15" si="0" t="shared">SUM(B7:F7)</f>
        <v>44945.511120461197</v>
      </c>
      <c r="I7" s="3">
        <v>2</v>
      </c>
      <c r="J7" s="23"/>
      <c r="K7" s="23"/>
      <c r="L7" s="23"/>
      <c r="M7" s="23"/>
      <c r="N7" s="23"/>
      <c r="O7" s="4">
        <f ref="O7:O15" si="1" t="shared">SUM(J7:N7)</f>
        <v>0</v>
      </c>
      <c r="Q7" s="3">
        <v>2</v>
      </c>
      <c r="R7" s="18" t="n">
        <v>987.0</v>
      </c>
      <c r="S7" s="18" t="n">
        <v>13617.0</v>
      </c>
      <c r="T7" s="18" t="n">
        <v>18344.0</v>
      </c>
      <c r="U7" s="18" t="n">
        <v>7731.0</v>
      </c>
      <c r="V7" s="18" t="n">
        <v>3726.0</v>
      </c>
      <c r="W7" s="4">
        <f ref="W7:W15" si="2" t="shared">SUM(R7:V7)</f>
        <v>44405</v>
      </c>
    </row>
    <row r="8" spans="1:23" x14ac:dyDescent="0.45">
      <c r="A8" s="3">
        <v>3</v>
      </c>
      <c r="B8" s="4" t="n">
        <v>537.2904047068383</v>
      </c>
      <c r="C8" s="4" t="n">
        <v>8558.545829823512</v>
      </c>
      <c r="D8" s="4" t="n">
        <v>12267.629348076274</v>
      </c>
      <c r="E8" s="4" t="n">
        <v>5777.753956897467</v>
      </c>
      <c r="F8" s="4" t="n">
        <v>3090.29668523128</v>
      </c>
      <c r="G8" s="4">
        <f si="0" t="shared"/>
        <v>30231.516224735373</v>
      </c>
      <c r="I8" s="3">
        <v>3</v>
      </c>
      <c r="J8" s="23"/>
      <c r="K8" s="23"/>
      <c r="L8" s="23"/>
      <c r="M8" s="23"/>
      <c r="N8" s="23"/>
      <c r="O8" s="4">
        <f si="1" t="shared"/>
        <v>0</v>
      </c>
      <c r="Q8" s="3">
        <v>3</v>
      </c>
      <c r="R8" s="18" t="n">
        <v>613.0</v>
      </c>
      <c r="S8" s="18" t="n">
        <v>8615.0</v>
      </c>
      <c r="T8" s="18" t="n">
        <v>13654.0</v>
      </c>
      <c r="U8" s="18" t="n">
        <v>5429.0</v>
      </c>
      <c r="V8" s="18" t="n">
        <v>2397.0</v>
      </c>
      <c r="W8" s="4">
        <f si="2" t="shared"/>
        <v>30708</v>
      </c>
    </row>
    <row r="9" spans="1:23" x14ac:dyDescent="0.45">
      <c r="A9" s="3">
        <v>4</v>
      </c>
      <c r="B9" s="4" t="n">
        <v>3513.2006458775495</v>
      </c>
      <c r="C9" s="4" t="n">
        <v>41096.22144594667</v>
      </c>
      <c r="D9" s="4" t="n">
        <v>59952.778863608495</v>
      </c>
      <c r="E9" s="4" t="n">
        <v>24131.79377457517</v>
      </c>
      <c r="F9" s="4" t="n">
        <v>11018.908988945714</v>
      </c>
      <c r="G9" s="4">
        <f si="0" t="shared"/>
        <v>139712.9037189536</v>
      </c>
      <c r="I9" s="3">
        <v>4</v>
      </c>
      <c r="J9" s="23"/>
      <c r="K9" s="23"/>
      <c r="L9" s="23"/>
      <c r="M9" s="23"/>
      <c r="N9" s="23"/>
      <c r="O9" s="4">
        <f si="1" t="shared"/>
        <v>0</v>
      </c>
      <c r="Q9" s="3">
        <v>4</v>
      </c>
      <c r="R9" s="18" t="n">
        <v>3249.0</v>
      </c>
      <c r="S9" s="18" t="n">
        <v>39142.0</v>
      </c>
      <c r="T9" s="18" t="n">
        <v>58070.0</v>
      </c>
      <c r="U9" s="18" t="n">
        <v>25791.0</v>
      </c>
      <c r="V9" s="18" t="n">
        <v>13068.0</v>
      </c>
      <c r="W9" s="4">
        <f si="2" t="shared"/>
        <v>139320</v>
      </c>
    </row>
    <row r="10" spans="1:23" x14ac:dyDescent="0.45">
      <c r="A10" s="3">
        <v>5</v>
      </c>
      <c r="B10" s="4" t="n">
        <v>1267.4500754387157</v>
      </c>
      <c r="C10" s="4" t="n">
        <v>25962.661375084073</v>
      </c>
      <c r="D10" s="4" t="n">
        <v>31508.068913587133</v>
      </c>
      <c r="E10" s="4" t="n">
        <v>16082.20605655377</v>
      </c>
      <c r="F10" s="4" t="n">
        <v>6680.7677971516</v>
      </c>
      <c r="G10" s="4">
        <f si="0" t="shared"/>
        <v>81501.154217815289</v>
      </c>
      <c r="I10" s="3">
        <v>5</v>
      </c>
      <c r="J10" s="23"/>
      <c r="K10" s="23"/>
      <c r="L10" s="23"/>
      <c r="M10" s="23"/>
      <c r="N10" s="23"/>
      <c r="O10" s="4">
        <f si="1" t="shared"/>
        <v>0</v>
      </c>
      <c r="Q10" s="3">
        <v>5</v>
      </c>
      <c r="R10" s="18" t="n">
        <v>1819.0</v>
      </c>
      <c r="S10" s="18" t="n">
        <v>23748.0</v>
      </c>
      <c r="T10" s="18" t="n">
        <v>34824.0</v>
      </c>
      <c r="U10" s="18" t="n">
        <v>14595.0</v>
      </c>
      <c r="V10" s="18" t="n">
        <v>7223.0</v>
      </c>
      <c r="W10" s="4">
        <f si="2" t="shared"/>
        <v>82209</v>
      </c>
    </row>
    <row r="11" spans="1:23" x14ac:dyDescent="0.45">
      <c r="A11" s="3">
        <v>6</v>
      </c>
      <c r="B11" s="4" t="n">
        <v>1379.573489728743</v>
      </c>
      <c r="C11" s="4" t="n">
        <v>22522.35917578247</v>
      </c>
      <c r="D11" s="4" t="n">
        <v>45664.26228065844</v>
      </c>
      <c r="E11" s="4" t="n">
        <v>20542.581417008656</v>
      </c>
      <c r="F11" s="4" t="n">
        <v>7377.750323697063</v>
      </c>
      <c r="G11" s="4">
        <f si="0" t="shared"/>
        <v>97486.526686875368</v>
      </c>
      <c r="I11" s="3">
        <v>6</v>
      </c>
      <c r="J11" s="23"/>
      <c r="K11" s="23"/>
      <c r="L11" s="23"/>
      <c r="M11" s="23"/>
      <c r="N11" s="23"/>
      <c r="O11" s="4">
        <f si="1" t="shared"/>
        <v>0</v>
      </c>
      <c r="Q11" s="3">
        <v>6</v>
      </c>
      <c r="R11" s="18" t="n">
        <v>1591.0</v>
      </c>
      <c r="S11" s="18" t="n">
        <v>21426.0</v>
      </c>
      <c r="T11" s="18" t="n">
        <v>44816.0</v>
      </c>
      <c r="U11" s="18" t="n">
        <v>18980.0</v>
      </c>
      <c r="V11" s="18" t="n">
        <v>9011.0</v>
      </c>
      <c r="W11" s="4">
        <f si="2" t="shared"/>
        <v>95824</v>
      </c>
    </row>
    <row r="12" spans="1:23" x14ac:dyDescent="0.45">
      <c r="A12" s="3">
        <v>7</v>
      </c>
      <c r="B12" s="4" t="n">
        <v>2177.1859069983334</v>
      </c>
      <c r="C12" s="4" t="n">
        <v>15018.841477101134</v>
      </c>
      <c r="D12" s="4" t="n">
        <v>26514.490568457935</v>
      </c>
      <c r="E12" s="4" t="n">
        <v>14054.39664598489</v>
      </c>
      <c r="F12" s="4" t="n">
        <v>5610.7118215983</v>
      </c>
      <c r="G12" s="4">
        <f si="0" t="shared"/>
        <v>63375.626420140594</v>
      </c>
      <c r="I12" s="3">
        <v>7</v>
      </c>
      <c r="J12" s="23"/>
      <c r="K12" s="23"/>
      <c r="L12" s="23"/>
      <c r="M12" s="23"/>
      <c r="N12" s="23"/>
      <c r="O12" s="4">
        <f si="1" t="shared"/>
        <v>0</v>
      </c>
      <c r="Q12" s="3">
        <v>7</v>
      </c>
      <c r="R12" s="23" t="n">
        <v>1535.0</v>
      </c>
      <c r="S12" s="23" t="n">
        <v>17360.0</v>
      </c>
      <c r="T12" s="23" t="n">
        <v>28432.0</v>
      </c>
      <c r="U12" s="23" t="n">
        <v>11524.0</v>
      </c>
      <c r="V12" s="23" t="n">
        <v>5505.0</v>
      </c>
      <c r="W12" s="4">
        <f si="2" t="shared"/>
        <v>64356</v>
      </c>
    </row>
    <row r="13" spans="1:23" x14ac:dyDescent="0.45">
      <c r="A13" s="3">
        <v>8</v>
      </c>
      <c r="B13" s="4" t="n">
        <v>0.0</v>
      </c>
      <c r="C13" s="4" t="n">
        <v>0.0</v>
      </c>
      <c r="D13" s="4" t="n">
        <v>0.0</v>
      </c>
      <c r="E13" s="4" t="n">
        <v>0.0</v>
      </c>
      <c r="F13" s="4" t="n">
        <v>0.0</v>
      </c>
      <c r="G13" s="4">
        <f si="0" t="shared"/>
        <v>0</v>
      </c>
      <c r="I13" s="3">
        <v>8</v>
      </c>
      <c r="J13" s="23"/>
      <c r="K13" s="23"/>
      <c r="L13" s="23"/>
      <c r="M13" s="23"/>
      <c r="N13" s="23"/>
      <c r="O13" s="4">
        <f si="1" t="shared"/>
        <v>0</v>
      </c>
      <c r="Q13" s="3">
        <v>8</v>
      </c>
      <c r="R13" s="23" t="n">
        <v>0.0</v>
      </c>
      <c r="S13" s="23" t="n">
        <v>0.0</v>
      </c>
      <c r="T13" s="23" t="n">
        <v>0.0</v>
      </c>
      <c r="U13" s="23" t="n">
        <v>0.0</v>
      </c>
      <c r="V13" s="23" t="n">
        <v>0.0</v>
      </c>
      <c r="W13" s="4">
        <f si="2" t="shared"/>
        <v>0</v>
      </c>
    </row>
    <row r="14" spans="1:23" x14ac:dyDescent="0.45">
      <c r="A14" s="3">
        <v>9</v>
      </c>
      <c r="B14" s="4" t="n">
        <v>0.0</v>
      </c>
      <c r="C14" s="4" t="n">
        <v>0.0</v>
      </c>
      <c r="D14" s="4" t="n">
        <v>0.0</v>
      </c>
      <c r="E14" s="4" t="n">
        <v>0.0</v>
      </c>
      <c r="F14" s="4" t="n">
        <v>0.0</v>
      </c>
      <c r="G14" s="4">
        <f si="0" t="shared"/>
        <v>0</v>
      </c>
      <c r="I14" s="3">
        <v>9</v>
      </c>
      <c r="J14" s="23"/>
      <c r="K14" s="23"/>
      <c r="L14" s="23"/>
      <c r="M14" s="23"/>
      <c r="N14" s="23"/>
      <c r="O14" s="4">
        <f si="1" t="shared"/>
        <v>0</v>
      </c>
      <c r="Q14" s="3">
        <v>9</v>
      </c>
      <c r="R14" s="23" t="n">
        <v>0.0</v>
      </c>
      <c r="S14" s="23" t="n">
        <v>0.0</v>
      </c>
      <c r="T14" s="23" t="n">
        <v>0.0</v>
      </c>
      <c r="U14" s="23" t="n">
        <v>0.0</v>
      </c>
      <c r="V14" s="23" t="n">
        <v>0.0</v>
      </c>
      <c r="W14" s="4">
        <f si="2" t="shared"/>
        <v>0</v>
      </c>
    </row>
    <row r="15" spans="1:23" x14ac:dyDescent="0.45">
      <c r="A15" s="3">
        <v>10</v>
      </c>
      <c r="B15" s="4" t="n">
        <v>0.0</v>
      </c>
      <c r="C15" s="4" t="n">
        <v>0.0</v>
      </c>
      <c r="D15" s="4" t="n">
        <v>0.0</v>
      </c>
      <c r="E15" s="4" t="n">
        <v>0.0</v>
      </c>
      <c r="F15" s="4" t="n">
        <v>0.0</v>
      </c>
      <c r="G15" s="4">
        <f si="0" t="shared"/>
        <v>0</v>
      </c>
      <c r="I15" s="3">
        <v>10</v>
      </c>
      <c r="J15" s="23"/>
      <c r="K15" s="23"/>
      <c r="L15" s="23"/>
      <c r="M15" s="23"/>
      <c r="N15" s="23"/>
      <c r="O15" s="4">
        <f si="1" t="shared"/>
        <v>0</v>
      </c>
      <c r="Q15" s="3">
        <v>10</v>
      </c>
      <c r="R15" s="23" t="n">
        <v>0.0</v>
      </c>
      <c r="S15" s="23" t="n">
        <v>0.0</v>
      </c>
      <c r="T15" s="23" t="n">
        <v>0.0</v>
      </c>
      <c r="U15" s="23" t="n">
        <v>0.0</v>
      </c>
      <c r="V15" s="23" t="n">
        <v>0.0</v>
      </c>
      <c r="W15" s="4">
        <f si="2" t="shared"/>
        <v>0</v>
      </c>
    </row>
    <row ht="14.65" r="16" spans="1:23" thickBot="1" x14ac:dyDescent="0.5">
      <c r="A16" s="7" t="s">
        <v>4</v>
      </c>
      <c r="B16" s="8">
        <f>SUM(B6:B15)</f>
        <v>38647.449048985589</v>
      </c>
      <c r="C16" s="8">
        <f ref="C16:G16" si="3" t="shared">SUM(C6:C15)</f>
        <v>250508.21982806816</v>
      </c>
      <c r="D16" s="8">
        <f si="3" t="shared"/>
        <v>307298.89555405191</v>
      </c>
      <c r="E16" s="8">
        <f si="3" t="shared"/>
        <v>123760.45107016203</v>
      </c>
      <c r="F16" s="8">
        <f si="3" t="shared"/>
        <v>49258.231944135288</v>
      </c>
      <c r="G16" s="8">
        <f si="3" t="shared"/>
        <v>769473.24744540302</v>
      </c>
      <c r="I16" s="7" t="str">
        <f>$A$16</f>
        <v>Total</v>
      </c>
      <c r="J16" s="8">
        <f>SUM(J6:J15)</f>
        <v>0</v>
      </c>
      <c r="K16" s="8">
        <f ref="K16" si="4" t="shared">SUM(K6:K15)</f>
        <v>0</v>
      </c>
      <c r="L16" s="8">
        <f ref="L16" si="5" t="shared">SUM(L6:L15)</f>
        <v>0</v>
      </c>
      <c r="M16" s="8">
        <f ref="M16" si="6" t="shared">SUM(M6:M15)</f>
        <v>0</v>
      </c>
      <c r="N16" s="8">
        <f ref="N16:O16" si="7" t="shared">SUM(N6:N15)</f>
        <v>0</v>
      </c>
      <c r="O16" s="8">
        <f si="7" t="shared"/>
        <v>0</v>
      </c>
      <c r="Q16" s="7" t="str">
        <f>$A$16</f>
        <v>Total</v>
      </c>
      <c r="R16" s="8">
        <f>SUM(R6:R15)</f>
        <v>40982</v>
      </c>
      <c r="S16" s="8">
        <f ref="S16" si="8" t="shared">SUM(S6:S15)</f>
        <v>264112</v>
      </c>
      <c r="T16" s="8">
        <f ref="T16" si="9" t="shared">SUM(T6:T15)</f>
        <v>315028</v>
      </c>
      <c r="U16" s="8">
        <f ref="U16" si="10" t="shared">SUM(U6:U15)</f>
        <v>125750</v>
      </c>
      <c r="V16" s="8">
        <f ref="V16" si="11" t="shared">SUM(V6:V15)</f>
        <v>57770</v>
      </c>
      <c r="W16" s="8">
        <f ref="W16" si="12" t="shared">SUM(W6:W15)</f>
        <v>803642</v>
      </c>
    </row>
    <row r="19" spans="1:39" x14ac:dyDescent="0.45">
      <c r="A19" s="1" t="s">
        <v>133</v>
      </c>
      <c r="I19" s="1" t="s">
        <v>17</v>
      </c>
      <c r="Q19" s="14" t="s">
        <v>12</v>
      </c>
      <c r="Y19" s="1" t="s">
        <v>21</v>
      </c>
      <c r="AG19" s="1" t="s">
        <v>15</v>
      </c>
    </row>
    <row ht="14.65" r="20" spans="1:39" thickBot="1" x14ac:dyDescent="0.5">
      <c r="A20" s="12"/>
      <c r="B20" s="10" t="s">
        <v>2</v>
      </c>
      <c r="C20" s="9"/>
      <c r="D20" s="9"/>
      <c r="E20" s="9"/>
      <c r="F20" s="9"/>
      <c r="G20" s="9"/>
      <c r="I20" s="12"/>
      <c r="J20" s="10" t="s">
        <v>2</v>
      </c>
      <c r="K20" s="9"/>
      <c r="L20" s="9"/>
      <c r="M20" s="9"/>
      <c r="N20" s="9"/>
      <c r="O20" s="9"/>
      <c r="Q20" s="12"/>
      <c r="R20" s="10" t="s">
        <v>2</v>
      </c>
      <c r="S20" s="9"/>
      <c r="T20" s="9"/>
      <c r="U20" s="9"/>
      <c r="V20" s="9"/>
      <c r="W20" s="9"/>
      <c r="Y20" s="12"/>
      <c r="Z20" s="10" t="s">
        <v>2</v>
      </c>
      <c r="AA20" s="9"/>
      <c r="AB20" s="9"/>
      <c r="AC20" s="9"/>
      <c r="AD20" s="9"/>
      <c r="AE20" s="9"/>
      <c r="AG20" s="12"/>
      <c r="AH20" s="10" t="s">
        <v>2</v>
      </c>
      <c r="AI20" s="9"/>
      <c r="AJ20" s="9"/>
      <c r="AK20" s="9"/>
      <c r="AL20" s="9"/>
      <c r="AM20" s="9"/>
    </row>
    <row r="21" spans="1:39" x14ac:dyDescent="0.45">
      <c r="A21" s="11" t="s">
        <v>10</v>
      </c>
      <c r="B21" s="2">
        <v>0</v>
      </c>
      <c r="C21" s="2">
        <v>1</v>
      </c>
      <c r="D21" s="2">
        <v>2</v>
      </c>
      <c r="E21" s="2">
        <v>3</v>
      </c>
      <c r="F21" s="2" t="s">
        <v>3</v>
      </c>
      <c r="G21" s="2" t="s">
        <v>4</v>
      </c>
      <c r="I21" s="11" t="s">
        <v>10</v>
      </c>
      <c r="J21" s="2">
        <v>0</v>
      </c>
      <c r="K21" s="2">
        <v>1</v>
      </c>
      <c r="L21" s="2">
        <v>2</v>
      </c>
      <c r="M21" s="2">
        <v>3</v>
      </c>
      <c r="N21" s="2" t="s">
        <v>3</v>
      </c>
      <c r="O21" s="2" t="s">
        <v>4</v>
      </c>
      <c r="Q21" s="11" t="s">
        <v>10</v>
      </c>
      <c r="R21" s="2">
        <v>0</v>
      </c>
      <c r="S21" s="2">
        <v>1</v>
      </c>
      <c r="T21" s="2">
        <v>2</v>
      </c>
      <c r="U21" s="2">
        <v>3</v>
      </c>
      <c r="V21" s="2" t="s">
        <v>3</v>
      </c>
      <c r="W21" s="2" t="s">
        <v>4</v>
      </c>
      <c r="Y21" s="11" t="s">
        <v>10</v>
      </c>
      <c r="Z21" s="2">
        <v>0</v>
      </c>
      <c r="AA21" s="2">
        <v>1</v>
      </c>
      <c r="AB21" s="2">
        <v>2</v>
      </c>
      <c r="AC21" s="2">
        <v>3</v>
      </c>
      <c r="AD21" s="2" t="s">
        <v>3</v>
      </c>
      <c r="AE21" s="2" t="s">
        <v>4</v>
      </c>
      <c r="AG21" s="11" t="s">
        <v>10</v>
      </c>
      <c r="AH21" s="2">
        <v>0</v>
      </c>
      <c r="AI21" s="2">
        <v>1</v>
      </c>
      <c r="AJ21" s="2">
        <v>2</v>
      </c>
      <c r="AK21" s="2">
        <v>3</v>
      </c>
      <c r="AL21" s="2" t="s">
        <v>3</v>
      </c>
      <c r="AM21" s="2" t="s">
        <v>4</v>
      </c>
    </row>
    <row r="22" spans="1:39" x14ac:dyDescent="0.45">
      <c r="A22" s="3">
        <f>$A$6</f>
        <v>1</v>
      </c>
      <c r="B22" s="4">
        <f ref="B22:G27" si="13" t="shared">($W6/$G6)*B6</f>
        <v>31669.24271384094</v>
      </c>
      <c r="C22" s="4">
        <f si="13" t="shared"/>
        <v>137067.49252889186</v>
      </c>
      <c r="D22" s="4">
        <f si="13" t="shared"/>
        <v>124960.18025526073</v>
      </c>
      <c r="E22" s="4">
        <f si="13" t="shared"/>
        <v>39614.346350787302</v>
      </c>
      <c r="F22" s="4">
        <f si="13" t="shared"/>
        <v>13508.738151219219</v>
      </c>
      <c r="G22" s="4">
        <f si="13" t="shared"/>
        <v>346820</v>
      </c>
      <c r="I22" s="3">
        <v>1</v>
      </c>
      <c r="J22" s="4" t="e">
        <f ref="J22:O27" si="14" t="shared">($W6/$O6)*J6</f>
        <v>#DIV/0!</v>
      </c>
      <c r="K22" s="4" t="e">
        <f si="14" t="shared"/>
        <v>#DIV/0!</v>
      </c>
      <c r="L22" s="4" t="e">
        <f si="14" t="shared"/>
        <v>#DIV/0!</v>
      </c>
      <c r="M22" s="4" t="e">
        <f si="14" t="shared"/>
        <v>#DIV/0!</v>
      </c>
      <c r="N22" s="4" t="e">
        <f si="14" t="shared"/>
        <v>#DIV/0!</v>
      </c>
      <c r="O22" s="4" t="e">
        <f si="14" t="shared"/>
        <v>#DIV/0!</v>
      </c>
      <c r="Q22" s="3">
        <v>1</v>
      </c>
      <c r="R22" s="4">
        <f ref="R22:V27" si="15" t="shared">R6</f>
        <v>29198</v>
      </c>
      <c r="S22" s="4">
        <f si="15" t="shared"/>
        <v>136614</v>
      </c>
      <c r="T22" s="4">
        <f si="15" t="shared"/>
        <v>119582</v>
      </c>
      <c r="U22" s="4">
        <f si="15" t="shared"/>
        <v>43517</v>
      </c>
      <c r="V22" s="4">
        <f si="15" t="shared"/>
        <v>17909</v>
      </c>
      <c r="W22" s="4">
        <f>SUM(R22:V22)</f>
        <v>346820</v>
      </c>
      <c r="Y22" s="3">
        <f>$A$6</f>
        <v>1</v>
      </c>
      <c r="Z22" s="56">
        <f>R22-B22</f>
        <v>-2471.2427138409403</v>
      </c>
      <c r="AA22" s="56">
        <f ref="AA22:AE28" si="16" t="shared">S22-C22</f>
        <v>-453.49252889186027</v>
      </c>
      <c r="AB22" s="56">
        <f si="16" t="shared"/>
        <v>-5378.180255260726</v>
      </c>
      <c r="AC22" s="56">
        <f si="16" t="shared"/>
        <v>3902.6536492126979</v>
      </c>
      <c r="AD22" s="56">
        <f si="16" t="shared"/>
        <v>4400.2618487807813</v>
      </c>
      <c r="AE22" s="56">
        <f si="16" t="shared"/>
        <v>0</v>
      </c>
      <c r="AG22" s="3">
        <f>$A$6</f>
        <v>1</v>
      </c>
      <c r="AH22" s="57">
        <f>IFERROR((R6-B22)/B22,0)</f>
        <v>-7.8032895708014249E-2</v>
      </c>
      <c r="AI22" s="57">
        <f ref="AI22:AM27" si="17" t="shared">(S6-C22)/C22</f>
        <v>-3.3085345075257034E-3</v>
      </c>
      <c r="AJ22" s="57">
        <f si="17" t="shared"/>
        <v>-4.3039152506618675E-2</v>
      </c>
      <c r="AK22" s="57">
        <f si="17" t="shared"/>
        <v>9.8516169234612039E-2</v>
      </c>
      <c r="AL22" s="57">
        <f si="17" t="shared"/>
        <v>0.32573448382250564</v>
      </c>
      <c r="AM22" s="57">
        <f si="17" t="shared"/>
        <v>0</v>
      </c>
    </row>
    <row r="23" spans="1:39" x14ac:dyDescent="0.45">
      <c r="A23" s="3">
        <f>$A$7</f>
        <v>2</v>
      </c>
      <c r="B23" s="4">
        <f si="13" t="shared"/>
        <v>1247.753540393086</v>
      </c>
      <c r="C23" s="4">
        <f si="13" t="shared"/>
        <v>13788.597283488014</v>
      </c>
      <c r="D23" s="4">
        <f si="13" t="shared"/>
        <v>18670.68996805996</v>
      </c>
      <c r="E23" s="4">
        <f si="13" t="shared"/>
        <v>7419.1323670553529</v>
      </c>
      <c r="F23" s="4">
        <f si="13" t="shared"/>
        <v>3278.8268410035971</v>
      </c>
      <c r="G23" s="4">
        <f si="13" t="shared"/>
        <v>44405</v>
      </c>
      <c r="I23" s="3">
        <v>2</v>
      </c>
      <c r="J23" s="4" t="e">
        <f si="14" t="shared"/>
        <v>#DIV/0!</v>
      </c>
      <c r="K23" s="4" t="e">
        <f si="14" t="shared"/>
        <v>#DIV/0!</v>
      </c>
      <c r="L23" s="4" t="e">
        <f si="14" t="shared"/>
        <v>#DIV/0!</v>
      </c>
      <c r="M23" s="4" t="e">
        <f si="14" t="shared"/>
        <v>#DIV/0!</v>
      </c>
      <c r="N23" s="4" t="e">
        <f si="14" t="shared"/>
        <v>#DIV/0!</v>
      </c>
      <c r="O23" s="4" t="e">
        <f si="14" t="shared"/>
        <v>#DIV/0!</v>
      </c>
      <c r="Q23" s="3">
        <v>2</v>
      </c>
      <c r="R23" s="4">
        <f si="15" t="shared"/>
        <v>1190</v>
      </c>
      <c r="S23" s="4">
        <f si="15" t="shared"/>
        <v>14018</v>
      </c>
      <c r="T23" s="4">
        <f si="15" t="shared"/>
        <v>18068</v>
      </c>
      <c r="U23" s="4">
        <f si="15" t="shared"/>
        <v>7502</v>
      </c>
      <c r="V23" s="4">
        <f si="15" t="shared"/>
        <v>3627</v>
      </c>
      <c r="W23" s="4">
        <f ref="W23:W27" si="18" t="shared">SUM(R23:V23)</f>
        <v>44405</v>
      </c>
      <c r="Y23" s="3">
        <f>$A$7</f>
        <v>2</v>
      </c>
      <c r="Z23" s="4">
        <f ref="Z23:Z28" si="19" t="shared">R23-B23</f>
        <v>-57.753540393086041</v>
      </c>
      <c r="AA23" s="4">
        <f si="16" t="shared"/>
        <v>229.402716511986</v>
      </c>
      <c r="AB23" s="4">
        <f si="16" t="shared"/>
        <v>-602.68996805995994</v>
      </c>
      <c r="AC23" s="4">
        <f si="16" t="shared"/>
        <v>82.867632944647085</v>
      </c>
      <c r="AD23" s="4">
        <f si="16" t="shared"/>
        <v>348.17315899640289</v>
      </c>
      <c r="AE23" s="4">
        <f si="16" t="shared"/>
        <v>0</v>
      </c>
      <c r="AG23" s="3">
        <f>$A$7</f>
        <v>2</v>
      </c>
      <c r="AH23" s="15">
        <f ref="AH23:AH28" si="20" t="shared">(R7-B23)/B23</f>
        <v>-4.6286016046800119E-2</v>
      </c>
      <c r="AI23" s="15">
        <f si="17" t="shared"/>
        <v>1.6637132247433035E-2</v>
      </c>
      <c r="AJ23" s="15">
        <f si="17" t="shared"/>
        <v>-3.2280005135910061E-2</v>
      </c>
      <c r="AK23" s="15">
        <f si="17" t="shared"/>
        <v>1.1169450664153223E-2</v>
      </c>
      <c r="AL23" s="15">
        <f si="17" t="shared"/>
        <v>0.10618833377911246</v>
      </c>
      <c r="AM23" s="15">
        <f si="17" t="shared"/>
        <v>0</v>
      </c>
    </row>
    <row r="24" spans="1:39" x14ac:dyDescent="0.45">
      <c r="A24" s="3">
        <f>$A$8</f>
        <v>3</v>
      </c>
      <c r="B24" s="4">
        <f si="13" t="shared"/>
        <v>545.75872493745601</v>
      </c>
      <c r="C24" s="4">
        <f si="13" t="shared"/>
        <v>8693.4384431299204</v>
      </c>
      <c r="D24" s="4">
        <f si="13" t="shared"/>
        <v>12460.981421517297</v>
      </c>
      <c r="E24" s="4">
        <f si="13" t="shared"/>
        <v>5868.8180635558074</v>
      </c>
      <c r="F24" s="4">
        <f si="13" t="shared"/>
        <v>3139.0033468595179</v>
      </c>
      <c r="G24" s="4">
        <f si="13" t="shared"/>
        <v>30708</v>
      </c>
      <c r="I24" s="3">
        <v>3</v>
      </c>
      <c r="J24" s="4" t="e">
        <f si="14" t="shared"/>
        <v>#DIV/0!</v>
      </c>
      <c r="K24" s="4" t="e">
        <f si="14" t="shared"/>
        <v>#DIV/0!</v>
      </c>
      <c r="L24" s="4" t="e">
        <f si="14" t="shared"/>
        <v>#DIV/0!</v>
      </c>
      <c r="M24" s="4" t="e">
        <f si="14" t="shared"/>
        <v>#DIV/0!</v>
      </c>
      <c r="N24" s="4" t="e">
        <f si="14" t="shared"/>
        <v>#DIV/0!</v>
      </c>
      <c r="O24" s="4" t="e">
        <f si="14" t="shared"/>
        <v>#DIV/0!</v>
      </c>
      <c r="Q24" s="3">
        <v>3</v>
      </c>
      <c r="R24" s="4">
        <f si="15" t="shared"/>
        <v>756</v>
      </c>
      <c r="S24" s="4">
        <f si="15" t="shared"/>
        <v>8826</v>
      </c>
      <c r="T24" s="4">
        <f si="15" t="shared"/>
        <v>13464</v>
      </c>
      <c r="U24" s="4">
        <f si="15" t="shared"/>
        <v>5333</v>
      </c>
      <c r="V24" s="4">
        <f si="15" t="shared"/>
        <v>2329</v>
      </c>
      <c r="W24" s="4">
        <f si="18" t="shared"/>
        <v>30708</v>
      </c>
      <c r="Y24" s="3">
        <f>$A$8</f>
        <v>3</v>
      </c>
      <c r="Z24" s="4">
        <f si="19" t="shared"/>
        <v>210.24127506254399</v>
      </c>
      <c r="AA24" s="4">
        <f si="16" t="shared"/>
        <v>132.56155687007958</v>
      </c>
      <c r="AB24" s="4">
        <f si="16" t="shared"/>
        <v>1003.0185784827027</v>
      </c>
      <c r="AC24" s="4">
        <f si="16" t="shared"/>
        <v>-535.81806355580738</v>
      </c>
      <c r="AD24" s="4">
        <f si="16" t="shared"/>
        <v>-810.00334685951793</v>
      </c>
      <c r="AE24" s="4">
        <f si="16" t="shared"/>
        <v>0</v>
      </c>
      <c r="AG24" s="3">
        <f>$A$8</f>
        <v>3</v>
      </c>
      <c r="AH24" s="15">
        <f si="20" t="shared"/>
        <v>0.38522751072213762</v>
      </c>
      <c r="AI24" s="15">
        <f si="17" t="shared"/>
        <v>1.5248460978617468E-2</v>
      </c>
      <c r="AJ24" s="15">
        <f si="17" t="shared"/>
        <v>8.0492743272268782E-2</v>
      </c>
      <c r="AK24" s="15">
        <f si="17" t="shared"/>
        <v>-9.1299143669682142E-2</v>
      </c>
      <c r="AL24" s="15">
        <f si="17" t="shared"/>
        <v>-0.25804475413188166</v>
      </c>
      <c r="AM24" s="15">
        <f si="17" t="shared"/>
        <v>0</v>
      </c>
    </row>
    <row r="25" spans="1:39" x14ac:dyDescent="0.45">
      <c r="A25" s="3">
        <f>$A$9</f>
        <v>4</v>
      </c>
      <c r="B25" s="4">
        <f si="13" t="shared"/>
        <v>3503.3207452924739</v>
      </c>
      <c r="C25" s="4">
        <f si="13" t="shared"/>
        <v>40980.649742752139</v>
      </c>
      <c r="D25" s="4">
        <f si="13" t="shared"/>
        <v>59784.178332447118</v>
      </c>
      <c r="E25" s="4">
        <f si="13" t="shared"/>
        <v>24063.929810212045</v>
      </c>
      <c r="F25" s="4">
        <f si="13" t="shared"/>
        <v>10987.921369296229</v>
      </c>
      <c r="G25" s="4">
        <f si="13" t="shared"/>
        <v>139320</v>
      </c>
      <c r="I25" s="3">
        <v>4</v>
      </c>
      <c r="J25" s="4" t="e">
        <f si="14" t="shared"/>
        <v>#DIV/0!</v>
      </c>
      <c r="K25" s="4" t="e">
        <f si="14" t="shared"/>
        <v>#DIV/0!</v>
      </c>
      <c r="L25" s="4" t="e">
        <f si="14" t="shared"/>
        <v>#DIV/0!</v>
      </c>
      <c r="M25" s="4" t="e">
        <f si="14" t="shared"/>
        <v>#DIV/0!</v>
      </c>
      <c r="N25" s="4" t="e">
        <f si="14" t="shared"/>
        <v>#DIV/0!</v>
      </c>
      <c r="O25" s="4" t="e">
        <f si="14" t="shared"/>
        <v>#DIV/0!</v>
      </c>
      <c r="Q25" s="3">
        <v>4</v>
      </c>
      <c r="R25" s="4">
        <f si="15" t="shared"/>
        <v>3940</v>
      </c>
      <c r="S25" s="4">
        <f si="15" t="shared"/>
        <v>40119</v>
      </c>
      <c r="T25" s="4">
        <f si="15" t="shared"/>
        <v>57347</v>
      </c>
      <c r="U25" s="4">
        <f si="15" t="shared"/>
        <v>25216</v>
      </c>
      <c r="V25" s="4">
        <f si="15" t="shared"/>
        <v>12698</v>
      </c>
      <c r="W25" s="4">
        <f si="18" t="shared"/>
        <v>139320</v>
      </c>
      <c r="Y25" s="3">
        <f>$A$9</f>
        <v>4</v>
      </c>
      <c r="Z25" s="4">
        <f si="19" t="shared"/>
        <v>436.67925470752607</v>
      </c>
      <c r="AA25" s="4">
        <f si="16" t="shared"/>
        <v>-861.64974275213899</v>
      </c>
      <c r="AB25" s="4">
        <f si="16" t="shared"/>
        <v>-2437.178332447118</v>
      </c>
      <c r="AC25" s="4">
        <f si="16" t="shared"/>
        <v>1152.0701897879553</v>
      </c>
      <c r="AD25" s="4">
        <f si="16" t="shared"/>
        <v>1710.0786307037706</v>
      </c>
      <c r="AE25" s="4">
        <f si="16" t="shared"/>
        <v>0</v>
      </c>
      <c r="AG25" s="3">
        <f>$A$9</f>
        <v>4</v>
      </c>
      <c r="AH25" s="15">
        <f si="20" t="shared"/>
        <v>0.1246472379939251</v>
      </c>
      <c r="AI25" s="15">
        <f si="17" t="shared"/>
        <v>-2.1025770654222748E-2</v>
      </c>
      <c r="AJ25" s="15">
        <f si="17" t="shared"/>
        <v>-4.0766276302979139E-2</v>
      </c>
      <c r="AK25" s="15">
        <f si="17" t="shared"/>
        <v>4.7875396864690389E-2</v>
      </c>
      <c r="AL25" s="15">
        <f si="17" t="shared"/>
        <v>0.15563258720455334</v>
      </c>
      <c r="AM25" s="15">
        <f si="17" t="shared"/>
        <v>0</v>
      </c>
    </row>
    <row r="26" spans="1:39" x14ac:dyDescent="0.45">
      <c r="A26" s="3">
        <f>$A$10</f>
        <v>5</v>
      </c>
      <c r="B26" s="4">
        <f si="13" t="shared"/>
        <v>1278.4580077635917</v>
      </c>
      <c r="C26" s="4">
        <f si="13" t="shared"/>
        <v>26188.149719697311</v>
      </c>
      <c r="D26" s="4">
        <f si="13" t="shared"/>
        <v>31781.719684540178</v>
      </c>
      <c r="E26" s="4">
        <f si="13" t="shared"/>
        <v>16221.881645624984</v>
      </c>
      <c r="F26" s="4">
        <f si="13" t="shared"/>
        <v>6738.7909423739475</v>
      </c>
      <c r="G26" s="4">
        <f si="13" t="shared"/>
        <v>82209.000000000015</v>
      </c>
      <c r="I26" s="3">
        <v>5</v>
      </c>
      <c r="J26" s="4" t="e">
        <f si="14" t="shared"/>
        <v>#DIV/0!</v>
      </c>
      <c r="K26" s="4" t="e">
        <f si="14" t="shared"/>
        <v>#DIV/0!</v>
      </c>
      <c r="L26" s="4" t="e">
        <f si="14" t="shared"/>
        <v>#DIV/0!</v>
      </c>
      <c r="M26" s="4" t="e">
        <f si="14" t="shared"/>
        <v>#DIV/0!</v>
      </c>
      <c r="N26" s="4" t="e">
        <f si="14" t="shared"/>
        <v>#DIV/0!</v>
      </c>
      <c r="O26" s="4" t="e">
        <f si="14" t="shared"/>
        <v>#DIV/0!</v>
      </c>
      <c r="Q26" s="3">
        <v>5</v>
      </c>
      <c r="R26" s="4">
        <f si="15" t="shared"/>
        <v>2167</v>
      </c>
      <c r="S26" s="4">
        <f si="15" t="shared"/>
        <v>24463</v>
      </c>
      <c r="T26" s="4">
        <f si="15" t="shared"/>
        <v>34210</v>
      </c>
      <c r="U26" s="4">
        <f si="15" t="shared"/>
        <v>14272</v>
      </c>
      <c r="V26" s="4">
        <f si="15" t="shared"/>
        <v>7097</v>
      </c>
      <c r="W26" s="4">
        <f si="18" t="shared"/>
        <v>82209</v>
      </c>
      <c r="Y26" s="3">
        <f>$A$10</f>
        <v>5</v>
      </c>
      <c r="Z26" s="4">
        <f si="19" t="shared"/>
        <v>888.5419922364083</v>
      </c>
      <c r="AA26" s="4">
        <f si="16" t="shared"/>
        <v>-1725.1497196973105</v>
      </c>
      <c r="AB26" s="4">
        <f si="16" t="shared"/>
        <v>2428.2803154598223</v>
      </c>
      <c r="AC26" s="4">
        <f si="16" t="shared"/>
        <v>-1949.8816456249842</v>
      </c>
      <c r="AD26" s="4">
        <f si="16" t="shared"/>
        <v>358.20905762605253</v>
      </c>
      <c r="AE26" s="4">
        <f si="16" t="shared"/>
        <v>0</v>
      </c>
      <c r="AG26" s="3">
        <f>$A$10</f>
        <v>5</v>
      </c>
      <c r="AH26" s="15">
        <f si="20" t="shared"/>
        <v>0.69501069791939118</v>
      </c>
      <c r="AI26" s="15">
        <f si="17" t="shared"/>
        <v>-6.5875204554819933E-2</v>
      </c>
      <c r="AJ26" s="15">
        <f si="17" t="shared"/>
        <v>7.6404937793250666E-2</v>
      </c>
      <c r="AK26" s="15">
        <f si="17" t="shared"/>
        <v>-0.12020070718188627</v>
      </c>
      <c r="AL26" s="15">
        <f si="17" t="shared"/>
        <v>5.3156279915676133E-2</v>
      </c>
      <c r="AM26" s="15">
        <f si="17" t="shared"/>
        <v>-1.7701121809493912E-16</v>
      </c>
    </row>
    <row r="27" spans="1:39" x14ac:dyDescent="0.45">
      <c r="A27" s="3">
        <f>$A11</f>
        <v>6</v>
      </c>
      <c r="B27" s="4">
        <f si="13" t="shared"/>
        <v>1356.0463642773793</v>
      </c>
      <c r="C27" s="4">
        <f si="13" t="shared"/>
        <v>22138.264835224003</v>
      </c>
      <c r="D27" s="4">
        <f si="13" t="shared"/>
        <v>44885.507951643129</v>
      </c>
      <c r="E27" s="4">
        <f si="13" t="shared"/>
        <v>20192.250032931508</v>
      </c>
      <c r="F27" s="4">
        <f si="13" t="shared"/>
        <v>7251.9308159239845</v>
      </c>
      <c r="G27" s="4">
        <f si="13" t="shared"/>
        <v>95824</v>
      </c>
      <c r="I27" s="3">
        <v>6</v>
      </c>
      <c r="J27" s="4" t="e">
        <f si="14" t="shared"/>
        <v>#DIV/0!</v>
      </c>
      <c r="K27" s="4" t="e">
        <f si="14" t="shared"/>
        <v>#DIV/0!</v>
      </c>
      <c r="L27" s="4" t="e">
        <f si="14" t="shared"/>
        <v>#DIV/0!</v>
      </c>
      <c r="M27" s="4" t="e">
        <f si="14" t="shared"/>
        <v>#DIV/0!</v>
      </c>
      <c r="N27" s="4" t="e">
        <f si="14" t="shared"/>
        <v>#DIV/0!</v>
      </c>
      <c r="O27" s="4" t="e">
        <f si="14" t="shared"/>
        <v>#DIV/0!</v>
      </c>
      <c r="Q27" s="3">
        <v>6</v>
      </c>
      <c r="R27" s="4">
        <f si="15" t="shared"/>
        <v>1910</v>
      </c>
      <c r="S27" s="4">
        <f si="15" t="shared"/>
        <v>22153</v>
      </c>
      <c r="T27" s="4">
        <f si="15" t="shared"/>
        <v>44357</v>
      </c>
      <c r="U27" s="4">
        <f si="15" t="shared"/>
        <v>18667</v>
      </c>
      <c r="V27" s="4">
        <f si="15" t="shared"/>
        <v>8737</v>
      </c>
      <c r="W27" s="4">
        <f si="18" t="shared"/>
        <v>95824</v>
      </c>
      <c r="Y27" s="3">
        <f>$A11</f>
        <v>6</v>
      </c>
      <c r="Z27" s="4">
        <f si="19" t="shared"/>
        <v>553.95363572262067</v>
      </c>
      <c r="AA27" s="4">
        <f si="16" t="shared"/>
        <v>14.735164775996964</v>
      </c>
      <c r="AB27" s="4">
        <f si="16" t="shared"/>
        <v>-528.50795164312876</v>
      </c>
      <c r="AC27" s="4">
        <f si="16" t="shared"/>
        <v>-1525.250032931508</v>
      </c>
      <c r="AD27" s="4">
        <f si="16" t="shared"/>
        <v>1485.0691840760155</v>
      </c>
      <c r="AE27" s="4">
        <f si="16" t="shared"/>
        <v>0</v>
      </c>
      <c r="AG27" s="3">
        <f>$A11</f>
        <v>6</v>
      </c>
      <c r="AH27" s="15">
        <f si="20" t="shared"/>
        <v>0.4085064126976336</v>
      </c>
      <c r="AI27" s="15">
        <f si="17" t="shared"/>
        <v>6.6559709560217969E-4</v>
      </c>
      <c r="AJ27" s="15">
        <f si="17" t="shared"/>
        <v>-1.1774578828705928E-2</v>
      </c>
      <c r="AK27" s="15">
        <f si="17" t="shared"/>
        <v>-7.5536407802200362E-2</v>
      </c>
      <c r="AL27" s="15">
        <f si="17" t="shared"/>
        <v>0.2047825912534991</v>
      </c>
      <c r="AM27" s="15">
        <f si="17" t="shared"/>
        <v>0</v>
      </c>
    </row>
    <row r="28" spans="1:39" x14ac:dyDescent="0.45">
      <c r="A28" s="3">
        <f ref="A28:A31" si="21" t="shared">$A12</f>
        <v>7</v>
      </c>
      <c r="B28" s="4">
        <f>($W12/$G12)*B12</f>
        <v>2210.8653459598249</v>
      </c>
      <c r="C28" s="4">
        <f ref="C28:G28" si="22" t="shared">($W12/$G12)*C12</f>
        <v>15251.171731111332</v>
      </c>
      <c r="D28" s="4">
        <f si="22" t="shared"/>
        <v>26924.649923166686</v>
      </c>
      <c r="E28" s="4">
        <f si="22" t="shared"/>
        <v>14271.807659191216</v>
      </c>
      <c r="F28" s="4">
        <f si="22" t="shared"/>
        <v>5697.5053405709468</v>
      </c>
      <c r="G28" s="4">
        <f si="22" t="shared"/>
        <v>64356.000000000007</v>
      </c>
      <c r="I28" s="3">
        <v>7</v>
      </c>
      <c r="J28" s="4" t="e">
        <f>($W12/$O12)*J12</f>
        <v>#DIV/0!</v>
      </c>
      <c r="K28" s="4" t="e">
        <f ref="K28:O28" si="23" t="shared">($W12/$O12)*K12</f>
        <v>#DIV/0!</v>
      </c>
      <c r="L28" s="4" t="e">
        <f si="23" t="shared"/>
        <v>#DIV/0!</v>
      </c>
      <c r="M28" s="4" t="e">
        <f si="23" t="shared"/>
        <v>#DIV/0!</v>
      </c>
      <c r="N28" s="4" t="e">
        <f si="23" t="shared"/>
        <v>#DIV/0!</v>
      </c>
      <c r="O28" s="4" t="e">
        <f si="23" t="shared"/>
        <v>#DIV/0!</v>
      </c>
      <c r="Q28" s="3">
        <v>7</v>
      </c>
      <c r="R28" s="4">
        <f>R12</f>
        <v>1821</v>
      </c>
      <c r="S28" s="4">
        <f ref="S28:W28" si="24" t="shared">S12</f>
        <v>17919</v>
      </c>
      <c r="T28" s="4">
        <f si="24" t="shared"/>
        <v>28000</v>
      </c>
      <c r="U28" s="4">
        <f si="24" t="shared"/>
        <v>11243</v>
      </c>
      <c r="V28" s="4">
        <f si="24" t="shared"/>
        <v>5373</v>
      </c>
      <c r="W28" s="4">
        <f si="24" t="shared"/>
        <v>64356</v>
      </c>
      <c r="Y28" s="3">
        <f ref="Y28:Y31" si="25" t="shared">$A12</f>
        <v>7</v>
      </c>
      <c r="Z28" s="4">
        <f si="19" t="shared"/>
        <v>-389.86534595982494</v>
      </c>
      <c r="AA28" s="4">
        <f si="16" t="shared"/>
        <v>2667.8282688886684</v>
      </c>
      <c r="AB28" s="4">
        <f si="16" t="shared"/>
        <v>1075.3500768333142</v>
      </c>
      <c r="AC28" s="4">
        <f si="16" t="shared"/>
        <v>-3028.8076591912159</v>
      </c>
      <c r="AD28" s="4">
        <f si="16" t="shared"/>
        <v>-324.50534057094683</v>
      </c>
      <c r="AE28" s="4">
        <f si="16" t="shared"/>
        <v>0</v>
      </c>
      <c r="AG28" s="3">
        <f ref="AG28:AG31" si="26" t="shared">$A12</f>
        <v>7</v>
      </c>
      <c r="AH28" s="15">
        <f si="20" t="shared"/>
        <v>-0.17634061100657797</v>
      </c>
      <c r="AI28" s="15">
        <f ref="AI28:AM28" si="27" t="shared">(S12-C28)/C28</f>
        <v>0.17492611819762569</v>
      </c>
      <c r="AJ28" s="15">
        <f si="27" t="shared"/>
        <v>3.9939240803575103E-2</v>
      </c>
      <c r="AK28" s="15">
        <f si="27" t="shared"/>
        <v>-0.21222312768772689</v>
      </c>
      <c r="AL28" s="15">
        <f si="27" t="shared"/>
        <v>-5.6955688704703904E-2</v>
      </c>
      <c r="AM28" s="15">
        <f si="27" t="shared"/>
        <v>-1.1305795285883873E-16</v>
      </c>
    </row>
    <row r="29" spans="1:39" x14ac:dyDescent="0.45">
      <c r="A29" s="3">
        <f si="21" t="shared"/>
        <v>8</v>
      </c>
      <c r="B29" s="4" t="e">
        <f ref="B29:G29" si="28" t="shared">($W13/$G13)*B13</f>
        <v>#DIV/0!</v>
      </c>
      <c r="C29" s="4" t="e">
        <f si="28" t="shared"/>
        <v>#DIV/0!</v>
      </c>
      <c r="D29" s="4" t="e">
        <f si="28" t="shared"/>
        <v>#DIV/0!</v>
      </c>
      <c r="E29" s="4" t="e">
        <f si="28" t="shared"/>
        <v>#DIV/0!</v>
      </c>
      <c r="F29" s="4" t="e">
        <f si="28" t="shared"/>
        <v>#DIV/0!</v>
      </c>
      <c r="G29" s="4" t="e">
        <f si="28" t="shared"/>
        <v>#DIV/0!</v>
      </c>
      <c r="I29" s="3">
        <v>8</v>
      </c>
      <c r="J29" s="4" t="e">
        <f ref="J29:O29" si="29" t="shared">($W13/$O13)*J13</f>
        <v>#DIV/0!</v>
      </c>
      <c r="K29" s="4" t="e">
        <f si="29" t="shared"/>
        <v>#DIV/0!</v>
      </c>
      <c r="L29" s="4" t="e">
        <f si="29" t="shared"/>
        <v>#DIV/0!</v>
      </c>
      <c r="M29" s="4" t="e">
        <f si="29" t="shared"/>
        <v>#DIV/0!</v>
      </c>
      <c r="N29" s="4" t="e">
        <f si="29" t="shared"/>
        <v>#DIV/0!</v>
      </c>
      <c r="O29" s="4" t="e">
        <f si="29" t="shared"/>
        <v>#DIV/0!</v>
      </c>
      <c r="Q29" s="3">
        <v>8</v>
      </c>
      <c r="R29" s="4">
        <f ref="R29:W29" si="30" t="shared">R13</f>
        <v>0</v>
      </c>
      <c r="S29" s="4">
        <f si="30" t="shared"/>
        <v>0</v>
      </c>
      <c r="T29" s="4">
        <f si="30" t="shared"/>
        <v>0</v>
      </c>
      <c r="U29" s="4">
        <f si="30" t="shared"/>
        <v>0</v>
      </c>
      <c r="V29" s="4">
        <f si="30" t="shared"/>
        <v>0</v>
      </c>
      <c r="W29" s="4">
        <f si="30" t="shared"/>
        <v>0</v>
      </c>
      <c r="Y29" s="3">
        <f si="25" t="shared"/>
        <v>8</v>
      </c>
      <c r="Z29" s="4" t="e">
        <f ref="Z29:Z31" si="31" t="shared">R29-B29</f>
        <v>#DIV/0!</v>
      </c>
      <c r="AA29" s="4" t="e">
        <f ref="AA29:AA31" si="32" t="shared">S29-C29</f>
        <v>#DIV/0!</v>
      </c>
      <c r="AB29" s="4" t="e">
        <f ref="AB29:AB31" si="33" t="shared">T29-D29</f>
        <v>#DIV/0!</v>
      </c>
      <c r="AC29" s="4" t="e">
        <f ref="AC29:AC31" si="34" t="shared">U29-E29</f>
        <v>#DIV/0!</v>
      </c>
      <c r="AD29" s="4" t="e">
        <f ref="AD29:AD31" si="35" t="shared">V29-F29</f>
        <v>#DIV/0!</v>
      </c>
      <c r="AE29" s="4" t="e">
        <f ref="AE29:AE31" si="36" t="shared">W29-G29</f>
        <v>#DIV/0!</v>
      </c>
      <c r="AG29" s="3">
        <f si="26" t="shared"/>
        <v>8</v>
      </c>
      <c r="AH29" s="15" t="e">
        <f ref="AH29:AH31" si="37" t="shared">(R13-B29)/B29</f>
        <v>#DIV/0!</v>
      </c>
      <c r="AI29" s="15" t="e">
        <f ref="AI29:AI31" si="38" t="shared">(S13-C29)/C29</f>
        <v>#DIV/0!</v>
      </c>
      <c r="AJ29" s="15" t="e">
        <f ref="AJ29:AJ31" si="39" t="shared">(T13-D29)/D29</f>
        <v>#DIV/0!</v>
      </c>
      <c r="AK29" s="15" t="e">
        <f ref="AK29:AK31" si="40" t="shared">(U13-E29)/E29</f>
        <v>#DIV/0!</v>
      </c>
      <c r="AL29" s="15" t="e">
        <f ref="AL29:AL31" si="41" t="shared">(V13-F29)/F29</f>
        <v>#DIV/0!</v>
      </c>
      <c r="AM29" s="15" t="e">
        <f ref="AM29:AM31" si="42" t="shared">(W13-G29)/G29</f>
        <v>#DIV/0!</v>
      </c>
    </row>
    <row r="30" spans="1:39" x14ac:dyDescent="0.45">
      <c r="A30" s="3">
        <f si="21" t="shared"/>
        <v>9</v>
      </c>
      <c r="B30" s="4" t="e">
        <f ref="B30:G30" si="43" t="shared">($W14/$G14)*B14</f>
        <v>#DIV/0!</v>
      </c>
      <c r="C30" s="4" t="e">
        <f si="43" t="shared"/>
        <v>#DIV/0!</v>
      </c>
      <c r="D30" s="4" t="e">
        <f si="43" t="shared"/>
        <v>#DIV/0!</v>
      </c>
      <c r="E30" s="4" t="e">
        <f si="43" t="shared"/>
        <v>#DIV/0!</v>
      </c>
      <c r="F30" s="4" t="e">
        <f si="43" t="shared"/>
        <v>#DIV/0!</v>
      </c>
      <c r="G30" s="4" t="e">
        <f si="43" t="shared"/>
        <v>#DIV/0!</v>
      </c>
      <c r="I30" s="3">
        <v>9</v>
      </c>
      <c r="J30" s="4" t="e">
        <f ref="J30:O30" si="44" t="shared">($W14/$O14)*J14</f>
        <v>#DIV/0!</v>
      </c>
      <c r="K30" s="4" t="e">
        <f si="44" t="shared"/>
        <v>#DIV/0!</v>
      </c>
      <c r="L30" s="4" t="e">
        <f si="44" t="shared"/>
        <v>#DIV/0!</v>
      </c>
      <c r="M30" s="4" t="e">
        <f si="44" t="shared"/>
        <v>#DIV/0!</v>
      </c>
      <c r="N30" s="4" t="e">
        <f si="44" t="shared"/>
        <v>#DIV/0!</v>
      </c>
      <c r="O30" s="4" t="e">
        <f si="44" t="shared"/>
        <v>#DIV/0!</v>
      </c>
      <c r="Q30" s="3">
        <v>9</v>
      </c>
      <c r="R30" s="4">
        <f ref="R30:W30" si="45" t="shared">R14</f>
        <v>0</v>
      </c>
      <c r="S30" s="4">
        <f si="45" t="shared"/>
        <v>0</v>
      </c>
      <c r="T30" s="4">
        <f si="45" t="shared"/>
        <v>0</v>
      </c>
      <c r="U30" s="4">
        <f si="45" t="shared"/>
        <v>0</v>
      </c>
      <c r="V30" s="4">
        <f si="45" t="shared"/>
        <v>0</v>
      </c>
      <c r="W30" s="4">
        <f si="45" t="shared"/>
        <v>0</v>
      </c>
      <c r="Y30" s="3">
        <f si="25" t="shared"/>
        <v>9</v>
      </c>
      <c r="Z30" s="4" t="e">
        <f si="31" t="shared"/>
        <v>#DIV/0!</v>
      </c>
      <c r="AA30" s="4" t="e">
        <f si="32" t="shared"/>
        <v>#DIV/0!</v>
      </c>
      <c r="AB30" s="4" t="e">
        <f si="33" t="shared"/>
        <v>#DIV/0!</v>
      </c>
      <c r="AC30" s="4" t="e">
        <f si="34" t="shared"/>
        <v>#DIV/0!</v>
      </c>
      <c r="AD30" s="4" t="e">
        <f si="35" t="shared"/>
        <v>#DIV/0!</v>
      </c>
      <c r="AE30" s="4" t="e">
        <f si="36" t="shared"/>
        <v>#DIV/0!</v>
      </c>
      <c r="AG30" s="3">
        <f si="26" t="shared"/>
        <v>9</v>
      </c>
      <c r="AH30" s="15" t="e">
        <f si="37" t="shared"/>
        <v>#DIV/0!</v>
      </c>
      <c r="AI30" s="15" t="e">
        <f si="38" t="shared"/>
        <v>#DIV/0!</v>
      </c>
      <c r="AJ30" s="15" t="e">
        <f si="39" t="shared"/>
        <v>#DIV/0!</v>
      </c>
      <c r="AK30" s="15" t="e">
        <f si="40" t="shared"/>
        <v>#DIV/0!</v>
      </c>
      <c r="AL30" s="15" t="e">
        <f si="41" t="shared"/>
        <v>#DIV/0!</v>
      </c>
      <c r="AM30" s="15" t="e">
        <f si="42" t="shared"/>
        <v>#DIV/0!</v>
      </c>
    </row>
    <row r="31" spans="1:39" x14ac:dyDescent="0.45">
      <c r="A31" s="3">
        <f si="21" t="shared"/>
        <v>10</v>
      </c>
      <c r="B31" s="4" t="e">
        <f ref="B31:G31" si="46" t="shared">($W15/$G15)*B15</f>
        <v>#DIV/0!</v>
      </c>
      <c r="C31" s="4" t="e">
        <f si="46" t="shared"/>
        <v>#DIV/0!</v>
      </c>
      <c r="D31" s="4" t="e">
        <f si="46" t="shared"/>
        <v>#DIV/0!</v>
      </c>
      <c r="E31" s="4" t="e">
        <f si="46" t="shared"/>
        <v>#DIV/0!</v>
      </c>
      <c r="F31" s="4" t="e">
        <f si="46" t="shared"/>
        <v>#DIV/0!</v>
      </c>
      <c r="G31" s="4" t="e">
        <f si="46" t="shared"/>
        <v>#DIV/0!</v>
      </c>
      <c r="I31" s="3">
        <v>10</v>
      </c>
      <c r="J31" s="4" t="e">
        <f ref="J31:O31" si="47" t="shared">($W15/$O15)*J15</f>
        <v>#DIV/0!</v>
      </c>
      <c r="K31" s="4" t="e">
        <f si="47" t="shared"/>
        <v>#DIV/0!</v>
      </c>
      <c r="L31" s="4" t="e">
        <f si="47" t="shared"/>
        <v>#DIV/0!</v>
      </c>
      <c r="M31" s="4" t="e">
        <f si="47" t="shared"/>
        <v>#DIV/0!</v>
      </c>
      <c r="N31" s="4" t="e">
        <f si="47" t="shared"/>
        <v>#DIV/0!</v>
      </c>
      <c r="O31" s="4" t="e">
        <f si="47" t="shared"/>
        <v>#DIV/0!</v>
      </c>
      <c r="Q31" s="3">
        <v>10</v>
      </c>
      <c r="R31" s="4">
        <f ref="R31:W31" si="48" t="shared">R15</f>
        <v>0</v>
      </c>
      <c r="S31" s="4">
        <f si="48" t="shared"/>
        <v>0</v>
      </c>
      <c r="T31" s="4">
        <f si="48" t="shared"/>
        <v>0</v>
      </c>
      <c r="U31" s="4">
        <f si="48" t="shared"/>
        <v>0</v>
      </c>
      <c r="V31" s="4">
        <f si="48" t="shared"/>
        <v>0</v>
      </c>
      <c r="W31" s="4">
        <f si="48" t="shared"/>
        <v>0</v>
      </c>
      <c r="Y31" s="3">
        <f si="25" t="shared"/>
        <v>10</v>
      </c>
      <c r="Z31" s="4" t="e">
        <f si="31" t="shared"/>
        <v>#DIV/0!</v>
      </c>
      <c r="AA31" s="4" t="e">
        <f si="32" t="shared"/>
        <v>#DIV/0!</v>
      </c>
      <c r="AB31" s="4" t="e">
        <f si="33" t="shared"/>
        <v>#DIV/0!</v>
      </c>
      <c r="AC31" s="4" t="e">
        <f si="34" t="shared"/>
        <v>#DIV/0!</v>
      </c>
      <c r="AD31" s="4" t="e">
        <f si="35" t="shared"/>
        <v>#DIV/0!</v>
      </c>
      <c r="AE31" s="4" t="e">
        <f si="36" t="shared"/>
        <v>#DIV/0!</v>
      </c>
      <c r="AG31" s="3">
        <f si="26" t="shared"/>
        <v>10</v>
      </c>
      <c r="AH31" s="15" t="e">
        <f si="37" t="shared"/>
        <v>#DIV/0!</v>
      </c>
      <c r="AI31" s="15" t="e">
        <f si="38" t="shared"/>
        <v>#DIV/0!</v>
      </c>
      <c r="AJ31" s="15" t="e">
        <f si="39" t="shared"/>
        <v>#DIV/0!</v>
      </c>
      <c r="AK31" s="15" t="e">
        <f si="40" t="shared"/>
        <v>#DIV/0!</v>
      </c>
      <c r="AL31" s="15" t="e">
        <f si="41" t="shared"/>
        <v>#DIV/0!</v>
      </c>
      <c r="AM31" s="15" t="e">
        <f si="42" t="shared"/>
        <v>#DIV/0!</v>
      </c>
    </row>
    <row ht="14.65" r="32" spans="1:39" thickBot="1" x14ac:dyDescent="0.5">
      <c r="A32" s="7" t="str">
        <f>$A$16</f>
        <v>Total</v>
      </c>
      <c r="B32" s="8">
        <f ref="B32:G32" si="49" t="shared">($W16/$G16)*B16</f>
        <v>40363.603740269878</v>
      </c>
      <c r="C32" s="8">
        <f si="49" t="shared"/>
        <v>261632.13271862667</v>
      </c>
      <c r="D32" s="8">
        <f si="49" t="shared"/>
        <v>320944.62002510618</v>
      </c>
      <c r="E32" s="8">
        <f si="49" t="shared"/>
        <v>129256.08102572033</v>
      </c>
      <c r="F32" s="8">
        <f si="49" t="shared"/>
        <v>51445.56249027689</v>
      </c>
      <c r="G32" s="8">
        <f si="49" t="shared"/>
        <v>803642</v>
      </c>
      <c r="I32" s="7" t="str">
        <f>$A$16</f>
        <v>Total</v>
      </c>
      <c r="J32" s="8" t="e">
        <f ref="J32:O32" si="50" t="shared">($W16/$O16)*J16</f>
        <v>#DIV/0!</v>
      </c>
      <c r="K32" s="8" t="e">
        <f si="50" t="shared"/>
        <v>#DIV/0!</v>
      </c>
      <c r="L32" s="8" t="e">
        <f si="50" t="shared"/>
        <v>#DIV/0!</v>
      </c>
      <c r="M32" s="8" t="e">
        <f si="50" t="shared"/>
        <v>#DIV/0!</v>
      </c>
      <c r="N32" s="8" t="e">
        <f si="50" t="shared"/>
        <v>#DIV/0!</v>
      </c>
      <c r="O32" s="8" t="e">
        <f si="50" t="shared"/>
        <v>#DIV/0!</v>
      </c>
      <c r="Q32" s="7" t="str">
        <f>$A$16</f>
        <v>Total</v>
      </c>
      <c r="R32" s="8">
        <f>SUM(R22:R31)</f>
        <v>40982</v>
      </c>
      <c r="S32" s="8">
        <f ref="S32:W32" si="51" t="shared">SUM(S22:S31)</f>
        <v>264112</v>
      </c>
      <c r="T32" s="8">
        <f si="51" t="shared"/>
        <v>315028</v>
      </c>
      <c r="U32" s="8">
        <f si="51" t="shared"/>
        <v>125750</v>
      </c>
      <c r="V32" s="8">
        <f si="51" t="shared"/>
        <v>57770</v>
      </c>
      <c r="W32" s="8">
        <f si="51" t="shared"/>
        <v>803642</v>
      </c>
      <c r="Y32" s="7" t="str">
        <f>$A$16</f>
        <v>Total</v>
      </c>
      <c r="Z32" s="8">
        <f ref="Z32" si="52" t="shared">R32-B32</f>
        <v>618.39625973012153</v>
      </c>
      <c r="AA32" s="8">
        <f ref="AA32" si="53" t="shared">S32-C32</f>
        <v>2479.8672813733283</v>
      </c>
      <c r="AB32" s="8">
        <f ref="AB32" si="54" t="shared">T32-D32</f>
        <v>-5916.6200251061819</v>
      </c>
      <c r="AC32" s="8">
        <f ref="AC32" si="55" t="shared">U32-E32</f>
        <v>-3506.0810257203266</v>
      </c>
      <c r="AD32" s="8">
        <f ref="AD32" si="56" t="shared">V32-F32</f>
        <v>6324.4375097231095</v>
      </c>
      <c r="AE32" s="8">
        <f ref="AE32" si="57" t="shared">W32-G32</f>
        <v>0</v>
      </c>
      <c r="AG32" s="7" t="str">
        <f>$A$16</f>
        <v>Total</v>
      </c>
      <c r="AH32" s="17">
        <f ref="AH32" si="58" t="shared">(R16-B32)/B32</f>
        <v>1.5320640439078565E-2</v>
      </c>
      <c r="AI32" s="17">
        <f ref="AI32:AM32" si="59" t="shared">(S16-C32)/C32</f>
        <v>9.47845073770167E-3</v>
      </c>
      <c r="AJ32" s="17">
        <f si="59" t="shared"/>
        <v>-1.8435018554426457E-2</v>
      </c>
      <c r="AK32" s="17">
        <f si="59" t="shared"/>
        <v>-2.7125076034315639E-2</v>
      </c>
      <c r="AL32" s="17">
        <f si="59" t="shared"/>
        <v>0.12293455846494857</v>
      </c>
      <c r="AM32" s="17">
        <f si="59" t="shared"/>
        <v>0</v>
      </c>
    </row>
    <row r="33" spans="1:23" x14ac:dyDescent="0.45">
      <c r="Q33" s="3"/>
      <c r="R33" s="4"/>
      <c r="S33" s="4"/>
      <c r="T33" s="4"/>
      <c r="U33" s="4"/>
      <c r="V33" s="4"/>
      <c r="W33" s="4"/>
    </row>
    <row r="35" spans="1:23" x14ac:dyDescent="0.45">
      <c r="A35" s="1" t="s">
        <v>133</v>
      </c>
      <c r="I35" s="1" t="s">
        <v>17</v>
      </c>
      <c r="Q35" s="14" t="s">
        <v>12</v>
      </c>
    </row>
    <row ht="14.65" r="36" spans="1:23" thickBot="1" x14ac:dyDescent="0.5">
      <c r="A36" s="12"/>
      <c r="B36" s="10" t="s">
        <v>2</v>
      </c>
      <c r="C36" s="9"/>
      <c r="D36" s="9"/>
      <c r="E36" s="9"/>
      <c r="F36" s="9"/>
      <c r="G36" s="9"/>
      <c r="I36" s="12"/>
      <c r="J36" s="10" t="s">
        <v>2</v>
      </c>
      <c r="K36" s="9"/>
      <c r="L36" s="9"/>
      <c r="M36" s="9"/>
      <c r="N36" s="9"/>
      <c r="O36" s="9"/>
      <c r="Q36" s="12"/>
      <c r="R36" s="10" t="s">
        <v>2</v>
      </c>
      <c r="S36" s="9"/>
      <c r="T36" s="9"/>
      <c r="U36" s="9"/>
      <c r="V36" s="9"/>
      <c r="W36" s="9"/>
    </row>
    <row r="37" spans="1:23" x14ac:dyDescent="0.45">
      <c r="A37" s="11" t="s">
        <v>10</v>
      </c>
      <c r="B37" s="2">
        <v>0</v>
      </c>
      <c r="C37" s="2">
        <v>1</v>
      </c>
      <c r="D37" s="2">
        <v>2</v>
      </c>
      <c r="E37" s="2">
        <v>3</v>
      </c>
      <c r="F37" s="2" t="s">
        <v>3</v>
      </c>
      <c r="G37" s="2" t="s">
        <v>4</v>
      </c>
      <c r="I37" s="11" t="s">
        <v>10</v>
      </c>
      <c r="J37" s="2">
        <v>0</v>
      </c>
      <c r="K37" s="2">
        <v>1</v>
      </c>
      <c r="L37" s="2">
        <v>2</v>
      </c>
      <c r="M37" s="2">
        <v>3</v>
      </c>
      <c r="N37" s="2" t="s">
        <v>3</v>
      </c>
      <c r="O37" s="2" t="s">
        <v>4</v>
      </c>
      <c r="Q37" s="11" t="s">
        <v>10</v>
      </c>
      <c r="R37" s="2">
        <v>0</v>
      </c>
      <c r="S37" s="2">
        <v>1</v>
      </c>
      <c r="T37" s="2">
        <v>2</v>
      </c>
      <c r="U37" s="2">
        <v>3</v>
      </c>
      <c r="V37" s="2" t="s">
        <v>3</v>
      </c>
      <c r="W37" s="2" t="s">
        <v>4</v>
      </c>
    </row>
    <row r="38" spans="1:23" x14ac:dyDescent="0.45">
      <c r="A38" s="3">
        <f>$A$6</f>
        <v>1</v>
      </c>
      <c r="B38" s="15">
        <f ref="B38:G43" si="60" t="shared">B22/$G$32</f>
        <v>3.9407152331312874E-2</v>
      </c>
      <c r="C38" s="15">
        <f si="60" t="shared"/>
        <v>0.17055790081764252</v>
      </c>
      <c r="D38" s="15">
        <f si="60" t="shared"/>
        <v>0.1554923464120351</v>
      </c>
      <c r="E38" s="15">
        <f si="60" t="shared"/>
        <v>4.9293524169701564E-2</v>
      </c>
      <c r="F38" s="15">
        <f si="60" t="shared"/>
        <v>1.6809397905061231E-2</v>
      </c>
      <c r="G38" s="15">
        <f si="60" t="shared"/>
        <v>0.43156032163575325</v>
      </c>
      <c r="I38" s="3">
        <f>$A$6</f>
        <v>1</v>
      </c>
      <c r="J38" s="15" t="e">
        <f ref="J38:O43" si="61" t="shared">J22/$O$32</f>
        <v>#DIV/0!</v>
      </c>
      <c r="K38" s="15" t="e">
        <f si="61" t="shared"/>
        <v>#DIV/0!</v>
      </c>
      <c r="L38" s="15" t="e">
        <f si="61" t="shared"/>
        <v>#DIV/0!</v>
      </c>
      <c r="M38" s="15" t="e">
        <f si="61" t="shared"/>
        <v>#DIV/0!</v>
      </c>
      <c r="N38" s="15" t="e">
        <f si="61" t="shared"/>
        <v>#DIV/0!</v>
      </c>
      <c r="O38" s="15" t="e">
        <f si="61" t="shared"/>
        <v>#DIV/0!</v>
      </c>
      <c r="Q38" s="3">
        <f>$A$6</f>
        <v>1</v>
      </c>
      <c r="R38" s="15">
        <f ref="R38:W43" si="62" t="shared">R6/$W$16</f>
        <v>3.6332098123293709E-2</v>
      </c>
      <c r="S38" s="15">
        <f si="62" t="shared"/>
        <v>0.1699936041172562</v>
      </c>
      <c r="T38" s="15">
        <f si="62" t="shared"/>
        <v>0.14880008760119556</v>
      </c>
      <c r="U38" s="15">
        <f si="62" t="shared"/>
        <v>5.4149733338974319E-2</v>
      </c>
      <c r="V38" s="15">
        <f si="62" t="shared"/>
        <v>2.228479845503346E-2</v>
      </c>
      <c r="W38" s="15">
        <f si="62" t="shared"/>
        <v>0.43156032163575325</v>
      </c>
    </row>
    <row r="39" spans="1:23" x14ac:dyDescent="0.45">
      <c r="A39" s="3">
        <f>$A$7</f>
        <v>2</v>
      </c>
      <c r="B39" s="15">
        <f si="60" t="shared"/>
        <v>1.5526236065226632E-3</v>
      </c>
      <c r="C39" s="15">
        <f si="60" t="shared"/>
        <v>1.7157636464356037E-2</v>
      </c>
      <c r="D39" s="15">
        <f si="60" t="shared"/>
        <v>2.323259606648229E-2</v>
      </c>
      <c r="E39" s="15">
        <f si="60" t="shared"/>
        <v>9.2318872919227128E-3</v>
      </c>
      <c r="F39" s="15">
        <f si="60" t="shared"/>
        <v>4.0799595354692724E-3</v>
      </c>
      <c r="G39" s="15">
        <f si="60" t="shared"/>
        <v>5.5254702964752961E-2</v>
      </c>
      <c r="I39" s="3">
        <f>$A$7</f>
        <v>2</v>
      </c>
      <c r="J39" s="15" t="e">
        <f si="61" t="shared"/>
        <v>#DIV/0!</v>
      </c>
      <c r="K39" s="15" t="e">
        <f si="61" t="shared"/>
        <v>#DIV/0!</v>
      </c>
      <c r="L39" s="15" t="e">
        <f si="61" t="shared"/>
        <v>#DIV/0!</v>
      </c>
      <c r="M39" s="15" t="e">
        <f si="61" t="shared"/>
        <v>#DIV/0!</v>
      </c>
      <c r="N39" s="15" t="e">
        <f si="61" t="shared"/>
        <v>#DIV/0!</v>
      </c>
      <c r="O39" s="15" t="e">
        <f si="61" t="shared"/>
        <v>#DIV/0!</v>
      </c>
      <c r="Q39" s="3">
        <f>$A$7</f>
        <v>2</v>
      </c>
      <c r="R39" s="15">
        <f si="62" t="shared"/>
        <v>1.4807588453565144E-3</v>
      </c>
      <c r="S39" s="15">
        <f si="62" t="shared"/>
        <v>1.7443090331266908E-2</v>
      </c>
      <c r="T39" s="15">
        <f si="62" t="shared"/>
        <v>2.2482647746135717E-2</v>
      </c>
      <c r="U39" s="15">
        <f si="62" t="shared"/>
        <v>9.3350024015668668E-3</v>
      </c>
      <c r="V39" s="15">
        <f si="62" t="shared"/>
        <v>4.5132036404269566E-3</v>
      </c>
      <c r="W39" s="15">
        <f si="62" t="shared"/>
        <v>5.5254702964752961E-2</v>
      </c>
    </row>
    <row r="40" spans="1:23" x14ac:dyDescent="0.45">
      <c r="A40" s="3">
        <f>$A$8</f>
        <v>3</v>
      </c>
      <c r="B40" s="15">
        <f si="60" t="shared"/>
        <v>6.7910677258960586E-4</v>
      </c>
      <c r="C40" s="15">
        <f si="60" t="shared"/>
        <v>1.0817551152291592E-2</v>
      </c>
      <c r="D40" s="15">
        <f si="60" t="shared"/>
        <v>1.5505637362802463E-2</v>
      </c>
      <c r="E40" s="15">
        <f si="60" t="shared"/>
        <v>7.3027766885700443E-3</v>
      </c>
      <c r="F40" s="15">
        <f si="60" t="shared"/>
        <v>3.9059722449293565E-3</v>
      </c>
      <c r="G40" s="15">
        <f si="60" t="shared"/>
        <v>3.8211044221183064E-2</v>
      </c>
      <c r="I40" s="3">
        <f>$A$8</f>
        <v>3</v>
      </c>
      <c r="J40" s="15" t="e">
        <f si="61" t="shared"/>
        <v>#DIV/0!</v>
      </c>
      <c r="K40" s="15" t="e">
        <f si="61" t="shared"/>
        <v>#DIV/0!</v>
      </c>
      <c r="L40" s="15" t="e">
        <f si="61" t="shared"/>
        <v>#DIV/0!</v>
      </c>
      <c r="M40" s="15" t="e">
        <f si="61" t="shared"/>
        <v>#DIV/0!</v>
      </c>
      <c r="N40" s="15" t="e">
        <f si="61" t="shared"/>
        <v>#DIV/0!</v>
      </c>
      <c r="O40" s="15" t="e">
        <f si="61" t="shared"/>
        <v>#DIV/0!</v>
      </c>
      <c r="Q40" s="3">
        <f>$A$8</f>
        <v>3</v>
      </c>
      <c r="R40" s="15">
        <f si="62" t="shared"/>
        <v>9.4071738410884443E-4</v>
      </c>
      <c r="S40" s="15">
        <f si="62" t="shared"/>
        <v>1.098250215892151E-2</v>
      </c>
      <c r="T40" s="15">
        <f si="62" t="shared"/>
        <v>1.6753728650319422E-2</v>
      </c>
      <c r="U40" s="15">
        <f si="62" t="shared"/>
        <v>6.6360394304926821E-3</v>
      </c>
      <c r="V40" s="15">
        <f si="62" t="shared"/>
        <v>2.8980565973406071E-3</v>
      </c>
      <c r="W40" s="15">
        <f si="62" t="shared"/>
        <v>3.8211044221183064E-2</v>
      </c>
    </row>
    <row r="41" spans="1:23" x14ac:dyDescent="0.45">
      <c r="A41" s="3">
        <f>$A$9</f>
        <v>4</v>
      </c>
      <c r="B41" s="15">
        <f si="60" t="shared"/>
        <v>4.3593051947166447E-3</v>
      </c>
      <c r="C41" s="15">
        <f si="60" t="shared"/>
        <v>5.0993663525241512E-2</v>
      </c>
      <c r="D41" s="15">
        <f si="60" t="shared"/>
        <v>7.4391555359783479E-2</v>
      </c>
      <c r="E41" s="15">
        <f si="60" t="shared"/>
        <v>2.9943594050848569E-2</v>
      </c>
      <c r="F41" s="15">
        <f si="60" t="shared"/>
        <v>1.3672656940896854E-2</v>
      </c>
      <c r="G41" s="15">
        <f si="60" t="shared"/>
        <v>0.17336077507148706</v>
      </c>
      <c r="I41" s="3">
        <f>$A$9</f>
        <v>4</v>
      </c>
      <c r="J41" s="15" t="e">
        <f si="61" t="shared"/>
        <v>#DIV/0!</v>
      </c>
      <c r="K41" s="15" t="e">
        <f si="61" t="shared"/>
        <v>#DIV/0!</v>
      </c>
      <c r="L41" s="15" t="e">
        <f si="61" t="shared"/>
        <v>#DIV/0!</v>
      </c>
      <c r="M41" s="15" t="e">
        <f si="61" t="shared"/>
        <v>#DIV/0!</v>
      </c>
      <c r="N41" s="15" t="e">
        <f si="61" t="shared"/>
        <v>#DIV/0!</v>
      </c>
      <c r="O41" s="15" t="e">
        <f si="61" t="shared"/>
        <v>#DIV/0!</v>
      </c>
      <c r="Q41" s="3">
        <f>$A$9</f>
        <v>4</v>
      </c>
      <c r="R41" s="15">
        <f si="62" t="shared"/>
        <v>4.9026805468106449E-3</v>
      </c>
      <c r="S41" s="15">
        <f si="62" t="shared"/>
        <v>4.9921482451141183E-2</v>
      </c>
      <c r="T41" s="15">
        <f si="62" t="shared"/>
        <v>7.1358888659378186E-2</v>
      </c>
      <c r="U41" s="15">
        <f si="62" t="shared"/>
        <v>3.1377155499588125E-2</v>
      </c>
      <c r="V41" s="15">
        <f si="62" t="shared"/>
        <v>1.5800567914568926E-2</v>
      </c>
      <c r="W41" s="15">
        <f si="62" t="shared"/>
        <v>0.17336077507148706</v>
      </c>
    </row>
    <row r="42" spans="1:23" x14ac:dyDescent="0.45">
      <c r="A42" s="3">
        <f>$A$10</f>
        <v>5</v>
      </c>
      <c r="B42" s="15">
        <f si="60" t="shared"/>
        <v>1.5908302549687444E-3</v>
      </c>
      <c r="C42" s="15">
        <f si="60" t="shared"/>
        <v>3.2586835580640773E-2</v>
      </c>
      <c r="D42" s="15">
        <f si="60" t="shared"/>
        <v>3.9547111381112707E-2</v>
      </c>
      <c r="E42" s="15">
        <f si="60" t="shared"/>
        <v>2.0185457760576207E-2</v>
      </c>
      <c r="F42" s="15">
        <f si="60" t="shared"/>
        <v>8.385314533553432E-3</v>
      </c>
      <c r="G42" s="15">
        <f si="60" t="shared"/>
        <v>0.10229554951085186</v>
      </c>
      <c r="I42" s="3">
        <f>$A$10</f>
        <v>5</v>
      </c>
      <c r="J42" s="15" t="e">
        <f si="61" t="shared"/>
        <v>#DIV/0!</v>
      </c>
      <c r="K42" s="15" t="e">
        <f si="61" t="shared"/>
        <v>#DIV/0!</v>
      </c>
      <c r="L42" s="15" t="e">
        <f si="61" t="shared"/>
        <v>#DIV/0!</v>
      </c>
      <c r="M42" s="15" t="e">
        <f si="61" t="shared"/>
        <v>#DIV/0!</v>
      </c>
      <c r="N42" s="15" t="e">
        <f si="61" t="shared"/>
        <v>#DIV/0!</v>
      </c>
      <c r="O42" s="15" t="e">
        <f si="61" t="shared"/>
        <v>#DIV/0!</v>
      </c>
      <c r="Q42" s="3">
        <f>$A$10</f>
        <v>5</v>
      </c>
      <c r="R42" s="15">
        <f si="62" t="shared"/>
        <v>2.6964743007458544E-3</v>
      </c>
      <c r="S42" s="15">
        <f si="62" t="shared"/>
        <v>3.0440171120971776E-2</v>
      </c>
      <c r="T42" s="15">
        <f si="62" t="shared"/>
        <v>4.256870596608938E-2</v>
      </c>
      <c r="U42" s="15">
        <f si="62" t="shared"/>
        <v>1.7759151462964851E-2</v>
      </c>
      <c r="V42" s="15">
        <f si="62" t="shared"/>
        <v>8.8310466600799858E-3</v>
      </c>
      <c r="W42" s="15">
        <f si="62" t="shared"/>
        <v>0.10229554951085185</v>
      </c>
    </row>
    <row r="43" spans="1:23" x14ac:dyDescent="0.45">
      <c r="A43" s="3">
        <f>$A11</f>
        <v>6</v>
      </c>
      <c r="B43" s="15">
        <f si="60" t="shared"/>
        <v>1.6873761753086315E-3</v>
      </c>
      <c r="C43" s="15">
        <f si="60" t="shared"/>
        <v>2.7547421408069764E-2</v>
      </c>
      <c r="D43" s="15">
        <f si="60" t="shared"/>
        <v>5.5852615905643471E-2</v>
      </c>
      <c r="E43" s="15">
        <f si="60" t="shared"/>
        <v>2.5125926759591345E-2</v>
      </c>
      <c r="F43" s="15">
        <f si="60" t="shared"/>
        <v>9.0238325223469962E-3</v>
      </c>
      <c r="G43" s="15">
        <f si="60" t="shared"/>
        <v>0.1192371727709602</v>
      </c>
      <c r="I43" s="3">
        <f>$A11</f>
        <v>6</v>
      </c>
      <c r="J43" s="15" t="e">
        <f si="61" t="shared"/>
        <v>#DIV/0!</v>
      </c>
      <c r="K43" s="15" t="e">
        <f si="61" t="shared"/>
        <v>#DIV/0!</v>
      </c>
      <c r="L43" s="15" t="e">
        <f si="61" t="shared"/>
        <v>#DIV/0!</v>
      </c>
      <c r="M43" s="15" t="e">
        <f si="61" t="shared"/>
        <v>#DIV/0!</v>
      </c>
      <c r="N43" s="15" t="e">
        <f si="61" t="shared"/>
        <v>#DIV/0!</v>
      </c>
      <c r="O43" s="15" t="e">
        <f si="61" t="shared"/>
        <v>#DIV/0!</v>
      </c>
      <c r="Q43" s="3">
        <f>$A11</f>
        <v>6</v>
      </c>
      <c r="R43" s="15">
        <f si="62" t="shared"/>
        <v>2.3766801635554139E-3</v>
      </c>
      <c r="S43" s="15">
        <f si="62" t="shared"/>
        <v>2.7565756891750306E-2</v>
      </c>
      <c r="T43" s="15">
        <f si="62" t="shared"/>
        <v>5.5194974876873033E-2</v>
      </c>
      <c r="U43" s="15">
        <f si="62" t="shared"/>
        <v>2.3228004509470636E-2</v>
      </c>
      <c r="V43" s="15">
        <f si="62" t="shared"/>
        <v>1.0871756329310813E-2</v>
      </c>
      <c r="W43" s="15">
        <f si="62" t="shared"/>
        <v>0.1192371727709602</v>
      </c>
    </row>
    <row r="44" spans="1:23" x14ac:dyDescent="0.45">
      <c r="A44" s="3">
        <f ref="A44:A47" si="63" t="shared">$A12</f>
        <v>7</v>
      </c>
      <c r="B44" s="15">
        <f>B28/$G$32</f>
        <v>2.7510574932119339E-3</v>
      </c>
      <c r="C44" s="15">
        <f ref="C44:G44" si="64" t="shared">C28/$G$32</f>
        <v>1.8977569279743135E-2</v>
      </c>
      <c r="D44" s="15">
        <f si="64" t="shared"/>
        <v>3.3503288682232492E-2</v>
      </c>
      <c r="E44" s="15">
        <f si="64" t="shared"/>
        <v>1.7758912126532977E-2</v>
      </c>
      <c r="F44" s="15">
        <f si="64" t="shared"/>
        <v>7.0896062432911008E-3</v>
      </c>
      <c r="G44" s="15">
        <f si="64" t="shared"/>
        <v>8.0080433825011649E-2</v>
      </c>
      <c r="I44" s="3">
        <f ref="I44:I47" si="65" t="shared">$A12</f>
        <v>7</v>
      </c>
      <c r="J44" s="15" t="e">
        <f>J28/$O$32</f>
        <v>#DIV/0!</v>
      </c>
      <c r="K44" s="15" t="e">
        <f ref="K44:O44" si="66" t="shared">K28/$O$32</f>
        <v>#DIV/0!</v>
      </c>
      <c r="L44" s="15" t="e">
        <f si="66" t="shared"/>
        <v>#DIV/0!</v>
      </c>
      <c r="M44" s="15" t="e">
        <f si="66" t="shared"/>
        <v>#DIV/0!</v>
      </c>
      <c r="N44" s="15" t="e">
        <f si="66" t="shared"/>
        <v>#DIV/0!</v>
      </c>
      <c r="O44" s="15" t="e">
        <f si="66" t="shared"/>
        <v>#DIV/0!</v>
      </c>
      <c r="Q44" s="3">
        <f ref="Q44:Q47" si="67" t="shared">$A12</f>
        <v>7</v>
      </c>
      <c r="R44" s="15">
        <f>R12/$W$16</f>
        <v>2.2659343339447168E-3</v>
      </c>
      <c r="S44" s="15">
        <f ref="S44:W44" si="68" t="shared">S12/$W$16</f>
        <v>2.2297241806675111E-2</v>
      </c>
      <c r="T44" s="15">
        <f si="68" t="shared"/>
        <v>3.4841384596623871E-2</v>
      </c>
      <c r="U44" s="15">
        <f si="68" t="shared"/>
        <v>1.3990060250708649E-2</v>
      </c>
      <c r="V44" s="15">
        <f si="68" t="shared"/>
        <v>6.6858128370592875E-3</v>
      </c>
      <c r="W44" s="15">
        <f si="68" t="shared"/>
        <v>8.0080433825011635E-2</v>
      </c>
    </row>
    <row r="45" spans="1:23" x14ac:dyDescent="0.45">
      <c r="A45" s="3">
        <f si="63" t="shared"/>
        <v>8</v>
      </c>
      <c r="B45" s="15" t="e">
        <f ref="B45:G45" si="69" t="shared">B29/$G$32</f>
        <v>#DIV/0!</v>
      </c>
      <c r="C45" s="15" t="e">
        <f si="69" t="shared"/>
        <v>#DIV/0!</v>
      </c>
      <c r="D45" s="15" t="e">
        <f si="69" t="shared"/>
        <v>#DIV/0!</v>
      </c>
      <c r="E45" s="15" t="e">
        <f si="69" t="shared"/>
        <v>#DIV/0!</v>
      </c>
      <c r="F45" s="15" t="e">
        <f si="69" t="shared"/>
        <v>#DIV/0!</v>
      </c>
      <c r="G45" s="15" t="e">
        <f si="69" t="shared"/>
        <v>#DIV/0!</v>
      </c>
      <c r="I45" s="3">
        <f si="65" t="shared"/>
        <v>8</v>
      </c>
      <c r="J45" s="15" t="e">
        <f ref="J45:O45" si="70" t="shared">J29/$O$32</f>
        <v>#DIV/0!</v>
      </c>
      <c r="K45" s="15" t="e">
        <f si="70" t="shared"/>
        <v>#DIV/0!</v>
      </c>
      <c r="L45" s="15" t="e">
        <f si="70" t="shared"/>
        <v>#DIV/0!</v>
      </c>
      <c r="M45" s="15" t="e">
        <f si="70" t="shared"/>
        <v>#DIV/0!</v>
      </c>
      <c r="N45" s="15" t="e">
        <f si="70" t="shared"/>
        <v>#DIV/0!</v>
      </c>
      <c r="O45" s="15" t="e">
        <f si="70" t="shared"/>
        <v>#DIV/0!</v>
      </c>
      <c r="Q45" s="3">
        <f si="67" t="shared"/>
        <v>8</v>
      </c>
      <c r="R45" s="15">
        <f ref="R45:W45" si="71" t="shared">R13/$W$16</f>
        <v>0</v>
      </c>
      <c r="S45" s="15">
        <f si="71" t="shared"/>
        <v>0</v>
      </c>
      <c r="T45" s="15">
        <f si="71" t="shared"/>
        <v>0</v>
      </c>
      <c r="U45" s="15">
        <f si="71" t="shared"/>
        <v>0</v>
      </c>
      <c r="V45" s="15">
        <f si="71" t="shared"/>
        <v>0</v>
      </c>
      <c r="W45" s="15">
        <f si="71" t="shared"/>
        <v>0</v>
      </c>
    </row>
    <row r="46" spans="1:23" x14ac:dyDescent="0.45">
      <c r="A46" s="3">
        <f si="63" t="shared"/>
        <v>9</v>
      </c>
      <c r="B46" s="15" t="e">
        <f ref="B46:G46" si="72" t="shared">B30/$G$32</f>
        <v>#DIV/0!</v>
      </c>
      <c r="C46" s="15" t="e">
        <f si="72" t="shared"/>
        <v>#DIV/0!</v>
      </c>
      <c r="D46" s="15" t="e">
        <f si="72" t="shared"/>
        <v>#DIV/0!</v>
      </c>
      <c r="E46" s="15" t="e">
        <f si="72" t="shared"/>
        <v>#DIV/0!</v>
      </c>
      <c r="F46" s="15" t="e">
        <f si="72" t="shared"/>
        <v>#DIV/0!</v>
      </c>
      <c r="G46" s="15" t="e">
        <f si="72" t="shared"/>
        <v>#DIV/0!</v>
      </c>
      <c r="I46" s="3">
        <f si="65" t="shared"/>
        <v>9</v>
      </c>
      <c r="J46" s="15" t="e">
        <f ref="J46:O46" si="73" t="shared">J30/$O$32</f>
        <v>#DIV/0!</v>
      </c>
      <c r="K46" s="15" t="e">
        <f si="73" t="shared"/>
        <v>#DIV/0!</v>
      </c>
      <c r="L46" s="15" t="e">
        <f si="73" t="shared"/>
        <v>#DIV/0!</v>
      </c>
      <c r="M46" s="15" t="e">
        <f si="73" t="shared"/>
        <v>#DIV/0!</v>
      </c>
      <c r="N46" s="15" t="e">
        <f si="73" t="shared"/>
        <v>#DIV/0!</v>
      </c>
      <c r="O46" s="15" t="e">
        <f si="73" t="shared"/>
        <v>#DIV/0!</v>
      </c>
      <c r="Q46" s="3">
        <f si="67" t="shared"/>
        <v>9</v>
      </c>
      <c r="R46" s="15">
        <f ref="R46:W46" si="74" t="shared">R14/$W$16</f>
        <v>0</v>
      </c>
      <c r="S46" s="15">
        <f si="74" t="shared"/>
        <v>0</v>
      </c>
      <c r="T46" s="15">
        <f si="74" t="shared"/>
        <v>0</v>
      </c>
      <c r="U46" s="15">
        <f si="74" t="shared"/>
        <v>0</v>
      </c>
      <c r="V46" s="15">
        <f si="74" t="shared"/>
        <v>0</v>
      </c>
      <c r="W46" s="15">
        <f si="74" t="shared"/>
        <v>0</v>
      </c>
    </row>
    <row r="47" spans="1:23" x14ac:dyDescent="0.45">
      <c r="A47" s="3">
        <f si="63" t="shared"/>
        <v>10</v>
      </c>
      <c r="B47" s="15" t="e">
        <f ref="B47:G47" si="75" t="shared">B31/$G$32</f>
        <v>#DIV/0!</v>
      </c>
      <c r="C47" s="15" t="e">
        <f si="75" t="shared"/>
        <v>#DIV/0!</v>
      </c>
      <c r="D47" s="15" t="e">
        <f si="75" t="shared"/>
        <v>#DIV/0!</v>
      </c>
      <c r="E47" s="15" t="e">
        <f si="75" t="shared"/>
        <v>#DIV/0!</v>
      </c>
      <c r="F47" s="15" t="e">
        <f si="75" t="shared"/>
        <v>#DIV/0!</v>
      </c>
      <c r="G47" s="15" t="e">
        <f si="75" t="shared"/>
        <v>#DIV/0!</v>
      </c>
      <c r="I47" s="3">
        <f si="65" t="shared"/>
        <v>10</v>
      </c>
      <c r="J47" s="15" t="e">
        <f ref="J47:O47" si="76" t="shared">J31/$O$32</f>
        <v>#DIV/0!</v>
      </c>
      <c r="K47" s="15" t="e">
        <f si="76" t="shared"/>
        <v>#DIV/0!</v>
      </c>
      <c r="L47" s="15" t="e">
        <f si="76" t="shared"/>
        <v>#DIV/0!</v>
      </c>
      <c r="M47" s="15" t="e">
        <f si="76" t="shared"/>
        <v>#DIV/0!</v>
      </c>
      <c r="N47" s="15" t="e">
        <f si="76" t="shared"/>
        <v>#DIV/0!</v>
      </c>
      <c r="O47" s="15" t="e">
        <f si="76" t="shared"/>
        <v>#DIV/0!</v>
      </c>
      <c r="Q47" s="3">
        <f si="67" t="shared"/>
        <v>10</v>
      </c>
      <c r="R47" s="15">
        <f ref="R47:W47" si="77" t="shared">R15/$W$16</f>
        <v>0</v>
      </c>
      <c r="S47" s="15">
        <f si="77" t="shared"/>
        <v>0</v>
      </c>
      <c r="T47" s="15">
        <f si="77" t="shared"/>
        <v>0</v>
      </c>
      <c r="U47" s="15">
        <f si="77" t="shared"/>
        <v>0</v>
      </c>
      <c r="V47" s="15">
        <f si="77" t="shared"/>
        <v>0</v>
      </c>
      <c r="W47" s="15">
        <f si="77" t="shared"/>
        <v>0</v>
      </c>
    </row>
    <row ht="14.65" r="48" spans="1:23" thickBot="1" x14ac:dyDescent="0.5">
      <c r="A48" s="7" t="str">
        <f>$A$16</f>
        <v>Total</v>
      </c>
      <c r="B48" s="17">
        <f ref="B48:G48" si="78" t="shared">B32/$G$32</f>
        <v>5.0225851486445303E-2</v>
      </c>
      <c r="C48" s="17">
        <f si="78" t="shared"/>
        <v>0.32555806281730754</v>
      </c>
      <c r="D48" s="17">
        <f si="78" t="shared"/>
        <v>0.39936267644685841</v>
      </c>
      <c r="E48" s="17">
        <f si="78" t="shared"/>
        <v>0.16083788680248212</v>
      </c>
      <c r="F48" s="17">
        <f si="78" t="shared"/>
        <v>6.4015522446906573E-2</v>
      </c>
      <c r="G48" s="17">
        <f si="78" t="shared"/>
        <v>1</v>
      </c>
      <c r="I48" s="7" t="str">
        <f>$A$16</f>
        <v>Total</v>
      </c>
      <c r="J48" s="17" t="e">
        <f ref="J48:O48" si="79" t="shared">J32/$O$32</f>
        <v>#DIV/0!</v>
      </c>
      <c r="K48" s="17" t="e">
        <f si="79" t="shared"/>
        <v>#DIV/0!</v>
      </c>
      <c r="L48" s="17" t="e">
        <f si="79" t="shared"/>
        <v>#DIV/0!</v>
      </c>
      <c r="M48" s="17" t="e">
        <f si="79" t="shared"/>
        <v>#DIV/0!</v>
      </c>
      <c r="N48" s="17" t="e">
        <f si="79" t="shared"/>
        <v>#DIV/0!</v>
      </c>
      <c r="O48" s="17" t="e">
        <f si="79" t="shared"/>
        <v>#DIV/0!</v>
      </c>
      <c r="Q48" s="7" t="str">
        <f>$A$16</f>
        <v>Total</v>
      </c>
      <c r="R48" s="17">
        <f ref="R48:W48" si="80" t="shared">R16/$W$16</f>
        <v>5.0995343697815693E-2</v>
      </c>
      <c r="S48" s="17">
        <f si="80" t="shared"/>
        <v>0.32864384887798298</v>
      </c>
      <c r="T48" s="17">
        <f si="80" t="shared"/>
        <v>0.39200041809661518</v>
      </c>
      <c r="U48" s="17">
        <f si="80" t="shared"/>
        <v>0.15647514689376613</v>
      </c>
      <c r="V48" s="17">
        <f si="80" t="shared"/>
        <v>7.1885242433820037E-2</v>
      </c>
      <c r="W48" s="17">
        <f si="80" t="shared"/>
        <v>1</v>
      </c>
    </row>
    <row r="49" spans="1:23" x14ac:dyDescent="0.45">
      <c r="A49" s="3"/>
      <c r="B49" s="15"/>
      <c r="C49" s="15"/>
      <c r="D49" s="15"/>
      <c r="E49" s="15"/>
      <c r="F49" s="15"/>
      <c r="G49" s="15"/>
      <c r="I49" s="3"/>
      <c r="J49" s="15"/>
      <c r="K49" s="15"/>
      <c r="L49" s="15"/>
      <c r="M49" s="15"/>
      <c r="N49" s="15"/>
      <c r="O49" s="15"/>
      <c r="Q49" s="3"/>
      <c r="R49" s="15"/>
      <c r="S49" s="15"/>
      <c r="T49" s="15"/>
      <c r="U49" s="15"/>
      <c r="V49" s="15"/>
      <c r="W49" s="15"/>
    </row>
    <row r="51" spans="1:23" x14ac:dyDescent="0.45">
      <c r="Q51" s="1" t="s">
        <v>18</v>
      </c>
    </row>
    <row ht="14.65" r="52" spans="1:23" thickBot="1" x14ac:dyDescent="0.5">
      <c r="Q52" s="12"/>
      <c r="R52" s="10" t="s">
        <v>2</v>
      </c>
      <c r="S52" s="9"/>
      <c r="T52" s="9"/>
      <c r="U52" s="9"/>
      <c r="V52" s="9"/>
      <c r="W52" s="9"/>
    </row>
    <row r="53" spans="1:23" x14ac:dyDescent="0.45">
      <c r="Q53" s="11" t="s">
        <v>10</v>
      </c>
      <c r="R53" s="2">
        <v>0</v>
      </c>
      <c r="S53" s="2">
        <v>1</v>
      </c>
      <c r="T53" s="2">
        <v>2</v>
      </c>
      <c r="U53" s="2">
        <v>3</v>
      </c>
      <c r="V53" s="2" t="s">
        <v>3</v>
      </c>
      <c r="W53" s="2" t="s">
        <v>4</v>
      </c>
    </row>
    <row r="54" spans="1:23" x14ac:dyDescent="0.45">
      <c r="Q54" s="3">
        <f>$A$6</f>
        <v>1</v>
      </c>
      <c r="R54" s="15">
        <f ref="R54:W59" si="81" t="shared">R38-B38</f>
        <v>-3.0750542080191651E-3</v>
      </c>
      <c r="S54" s="15">
        <f si="81" t="shared"/>
        <v>-5.6429670038632418E-4</v>
      </c>
      <c r="T54" s="15">
        <f si="81" t="shared"/>
        <v>-6.6922588108395409E-3</v>
      </c>
      <c r="U54" s="15">
        <f si="81" t="shared"/>
        <v>4.8562091692727558E-3</v>
      </c>
      <c r="V54" s="15">
        <f si="81" t="shared"/>
        <v>5.4754005499722293E-3</v>
      </c>
      <c r="W54" s="15">
        <f si="81" t="shared"/>
        <v>0</v>
      </c>
    </row>
    <row r="55" spans="1:23" x14ac:dyDescent="0.45">
      <c r="Q55" s="3">
        <f>$A$7</f>
        <v>2</v>
      </c>
      <c r="R55" s="15">
        <f si="81" t="shared"/>
        <v>-7.1864761166148816E-5</v>
      </c>
      <c r="S55" s="15">
        <f si="81" t="shared"/>
        <v>2.8545386691087096E-4</v>
      </c>
      <c r="T55" s="15">
        <f si="81" t="shared"/>
        <v>-7.4994832034657247E-4</v>
      </c>
      <c r="U55" s="15">
        <f si="81" t="shared"/>
        <v>1.0311510964415398E-4</v>
      </c>
      <c r="V55" s="15">
        <f si="81" t="shared"/>
        <v>4.332441049576842E-4</v>
      </c>
      <c r="W55" s="15">
        <f si="81" t="shared"/>
        <v>0</v>
      </c>
    </row>
    <row r="56" spans="1:23" x14ac:dyDescent="0.45">
      <c r="Q56" s="3">
        <f>$A$8</f>
        <v>3</v>
      </c>
      <c r="R56" s="15">
        <f si="81" t="shared"/>
        <v>2.6161061151923858E-4</v>
      </c>
      <c r="S56" s="15">
        <f si="81" t="shared"/>
        <v>1.6495100662991709E-4</v>
      </c>
      <c r="T56" s="15">
        <f si="81" t="shared"/>
        <v>1.2480912875169597E-3</v>
      </c>
      <c r="U56" s="15">
        <f si="81" t="shared"/>
        <v>-6.6673725807736214E-4</v>
      </c>
      <c r="V56" s="15">
        <f si="81" t="shared"/>
        <v>-1.0079156475887494E-3</v>
      </c>
      <c r="W56" s="15">
        <f si="81" t="shared"/>
        <v>0</v>
      </c>
    </row>
    <row r="57" spans="1:23" x14ac:dyDescent="0.45">
      <c r="Q57" s="3">
        <f>$A$9</f>
        <v>4</v>
      </c>
      <c r="R57" s="15">
        <f si="81" t="shared"/>
        <v>5.4337535209400024E-4</v>
      </c>
      <c r="S57" s="15">
        <f si="81" t="shared"/>
        <v>-1.0721810741003285E-3</v>
      </c>
      <c r="T57" s="15">
        <f si="81" t="shared"/>
        <v>-3.0326667004052926E-3</v>
      </c>
      <c r="U57" s="15">
        <f si="81" t="shared"/>
        <v>1.4335614487395558E-3</v>
      </c>
      <c r="V57" s="15">
        <f si="81" t="shared"/>
        <v>2.127910973672072E-3</v>
      </c>
      <c r="W57" s="15">
        <f si="81" t="shared"/>
        <v>0</v>
      </c>
    </row>
    <row r="58" spans="1:23" x14ac:dyDescent="0.45">
      <c r="Q58" s="3">
        <f>$A$10</f>
        <v>5</v>
      </c>
      <c r="R58" s="15">
        <f si="81" t="shared"/>
        <v>1.10564404577711E-3</v>
      </c>
      <c r="S58" s="15">
        <f si="81" t="shared"/>
        <v>-2.1466644596689968E-3</v>
      </c>
      <c r="T58" s="15">
        <f si="81" t="shared"/>
        <v>3.0215945849766737E-3</v>
      </c>
      <c r="U58" s="15">
        <f si="81" t="shared"/>
        <v>-2.4263062976113553E-3</v>
      </c>
      <c r="V58" s="15">
        <f si="81" t="shared"/>
        <v>4.4573212652655389E-4</v>
      </c>
      <c r="W58" s="15">
        <f si="81" t="shared"/>
        <v>0</v>
      </c>
    </row>
    <row r="59" spans="1:23" x14ac:dyDescent="0.45">
      <c r="Q59" s="3">
        <f>$A11</f>
        <v>6</v>
      </c>
      <c r="R59" s="15">
        <f si="81" t="shared"/>
        <v>6.8930398824678242E-4</v>
      </c>
      <c r="S59" s="15">
        <f si="81" t="shared"/>
        <v>1.8335483680541331E-5</v>
      </c>
      <c r="T59" s="15">
        <f si="81" t="shared"/>
        <v>-6.576410287704379E-4</v>
      </c>
      <c r="U59" s="15">
        <f si="81" t="shared"/>
        <v>-1.8979222501207087E-3</v>
      </c>
      <c r="V59" s="15">
        <f si="81" t="shared"/>
        <v>1.8479238069638165E-3</v>
      </c>
      <c r="W59" s="15">
        <f si="81" t="shared"/>
        <v>0</v>
      </c>
    </row>
    <row r="60" spans="1:23" x14ac:dyDescent="0.45">
      <c r="Q60" s="3">
        <f ref="Q60:Q63" si="82" t="shared">$A12</f>
        <v>7</v>
      </c>
      <c r="R60" s="15">
        <f>R44-B44</f>
        <v>-4.851231592672171E-4</v>
      </c>
      <c r="S60" s="15">
        <f ref="S60:W60" si="83" t="shared">S44-C44</f>
        <v>3.3196725269319764E-3</v>
      </c>
      <c r="T60" s="15">
        <f si="83" t="shared"/>
        <v>1.3380959143913795E-3</v>
      </c>
      <c r="U60" s="15">
        <f si="83" t="shared"/>
        <v>-3.7688518758243281E-3</v>
      </c>
      <c r="V60" s="15">
        <f si="83" t="shared"/>
        <v>-4.0379340623181333E-4</v>
      </c>
      <c r="W60" s="15">
        <f si="83" t="shared"/>
        <v>0</v>
      </c>
    </row>
    <row r="61" spans="1:23" x14ac:dyDescent="0.45">
      <c r="Q61" s="3">
        <f si="82" t="shared"/>
        <v>8</v>
      </c>
      <c r="R61" s="15" t="e">
        <f ref="R61:R63" si="84" t="shared">R45-B45</f>
        <v>#DIV/0!</v>
      </c>
      <c r="S61" s="15" t="e">
        <f ref="S61:S63" si="85" t="shared">S45-C45</f>
        <v>#DIV/0!</v>
      </c>
      <c r="T61" s="15" t="e">
        <f ref="T61:T63" si="86" t="shared">T45-D45</f>
        <v>#DIV/0!</v>
      </c>
      <c r="U61" s="15" t="e">
        <f ref="U61:U63" si="87" t="shared">U45-E45</f>
        <v>#DIV/0!</v>
      </c>
      <c r="V61" s="15" t="e">
        <f ref="V61:V63" si="88" t="shared">V45-F45</f>
        <v>#DIV/0!</v>
      </c>
      <c r="W61" s="15" t="e">
        <f ref="W61:W63" si="89" t="shared">W45-G45</f>
        <v>#DIV/0!</v>
      </c>
    </row>
    <row r="62" spans="1:23" x14ac:dyDescent="0.45">
      <c r="Q62" s="3">
        <f si="82" t="shared"/>
        <v>9</v>
      </c>
      <c r="R62" s="15" t="e">
        <f si="84" t="shared"/>
        <v>#DIV/0!</v>
      </c>
      <c r="S62" s="15" t="e">
        <f si="85" t="shared"/>
        <v>#DIV/0!</v>
      </c>
      <c r="T62" s="15" t="e">
        <f si="86" t="shared"/>
        <v>#DIV/0!</v>
      </c>
      <c r="U62" s="15" t="e">
        <f si="87" t="shared"/>
        <v>#DIV/0!</v>
      </c>
      <c r="V62" s="15" t="e">
        <f si="88" t="shared"/>
        <v>#DIV/0!</v>
      </c>
      <c r="W62" s="15" t="e">
        <f si="89" t="shared"/>
        <v>#DIV/0!</v>
      </c>
    </row>
    <row r="63" spans="1:23" x14ac:dyDescent="0.45">
      <c r="Q63" s="3">
        <f si="82" t="shared"/>
        <v>10</v>
      </c>
      <c r="R63" s="15" t="e">
        <f si="84" t="shared"/>
        <v>#DIV/0!</v>
      </c>
      <c r="S63" s="15" t="e">
        <f si="85" t="shared"/>
        <v>#DIV/0!</v>
      </c>
      <c r="T63" s="15" t="e">
        <f si="86" t="shared"/>
        <v>#DIV/0!</v>
      </c>
      <c r="U63" s="15" t="e">
        <f si="87" t="shared"/>
        <v>#DIV/0!</v>
      </c>
      <c r="V63" s="15" t="e">
        <f si="88" t="shared"/>
        <v>#DIV/0!</v>
      </c>
      <c r="W63" s="15" t="e">
        <f si="89" t="shared"/>
        <v>#DIV/0!</v>
      </c>
    </row>
    <row ht="14.65" r="64" spans="1:23" thickBot="1" x14ac:dyDescent="0.5">
      <c r="Q64" s="7" t="str">
        <f>$A$16</f>
        <v>Total</v>
      </c>
      <c r="R64" s="17">
        <f ref="R64" si="90" t="shared">R48-B48</f>
        <v>7.6949221137039003E-4</v>
      </c>
      <c r="S64" s="17">
        <f ref="S64" si="91" t="shared">S48-C48</f>
        <v>3.0857860606754439E-3</v>
      </c>
      <c r="T64" s="17">
        <f ref="T64" si="92" t="shared">T48-D48</f>
        <v>-7.3622583502432337E-3</v>
      </c>
      <c r="U64" s="17">
        <f ref="U64" si="93" t="shared">U48-E48</f>
        <v>-4.3627399087159957E-3</v>
      </c>
      <c r="V64" s="17">
        <f ref="V64" si="94" t="shared">V48-F48</f>
        <v>7.8697199869134649E-3</v>
      </c>
      <c r="W64" s="17">
        <f ref="W64" si="95" t="shared">W48-G48</f>
        <v>0</v>
      </c>
    </row>
  </sheetData>
  <pageMargins bottom="0.75" footer="0.3" header="0.3" left="0.7" right="0.7" top="0.75"/>
  <pageSetup horizontalDpi="4294967293" orientation="portrait" r:id="rId1"/>
  <ignoredErrors>
    <ignoredError formulaRange="1" sqref="G6:G11 W6:W11"/>
  </ignoredErrors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N29"/>
  <sheetViews>
    <sheetView workbookViewId="0">
      <selection activeCell="K17" sqref="K17"/>
    </sheetView>
  </sheetViews>
  <sheetFormatPr defaultRowHeight="14.25" x14ac:dyDescent="0.45"/>
  <cols>
    <col min="1" max="8" customWidth="true" width="9.265625" collapsed="true"/>
    <col min="9" max="9" customWidth="true" width="19.265625" collapsed="true"/>
    <col min="10" max="23" customWidth="true" width="9.265625" collapsed="true"/>
  </cols>
  <sheetData>
    <row ht="21" r="1" spans="1:39" x14ac:dyDescent="0.65">
      <c r="A1" s="13" t="s">
        <v>131</v>
      </c>
      <c r="I1" s="13" t="s">
        <v>13</v>
      </c>
      <c r="Q1" s="13" t="s">
        <v>14</v>
      </c>
    </row>
    <row r="2" spans="1:39" x14ac:dyDescent="0.45">
      <c r="A2" s="1"/>
      <c r="I2" s="1" t="s">
        <v>201</v>
      </c>
      <c r="Q2" s="1"/>
    </row>
    <row r="3" spans="1:39" x14ac:dyDescent="0.45">
      <c r="A3" s="14" t="s">
        <v>11</v>
      </c>
      <c r="I3" s="14" t="s">
        <v>11</v>
      </c>
      <c r="Q3" s="14" t="s">
        <v>11</v>
      </c>
    </row>
    <row ht="14.65" r="4" spans="1:39" thickBot="1" x14ac:dyDescent="0.5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9" x14ac:dyDescent="0.45">
      <c r="A5" s="11" t="s">
        <v>5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5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11" t="s">
        <v>5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9" x14ac:dyDescent="0.45">
      <c r="A6" s="3" t="s">
        <v>6</v>
      </c>
      <c r="B6" s="4" t="n">
        <v>21470.368956305276</v>
      </c>
      <c r="C6" s="4" t="n">
        <v>47666.680181336174</v>
      </c>
      <c r="D6" s="4" t="n">
        <v>41287.82678883086</v>
      </c>
      <c r="E6" s="4" t="n">
        <v>14687.641489781521</v>
      </c>
      <c r="F6" s="4" t="n">
        <v>8736.242647312883</v>
      </c>
      <c r="G6" s="4">
        <f>SUM(B6:F6)</f>
        <v>133848.7600635667</v>
      </c>
      <c r="I6" s="3" t="s">
        <v>6</v>
      </c>
      <c r="J6" s="37">
        <v>10677</v>
      </c>
      <c r="K6" s="37">
        <v>26607</v>
      </c>
      <c r="L6" s="37">
        <v>9971</v>
      </c>
      <c r="M6" s="37">
        <v>2429</v>
      </c>
      <c r="N6" s="37">
        <v>1126</v>
      </c>
      <c r="O6" s="4">
        <f>SUM(J6:N6)</f>
        <v>50810</v>
      </c>
      <c r="Q6" s="3" t="s">
        <v>6</v>
      </c>
      <c r="R6" s="18" t="n">
        <v>20760.0</v>
      </c>
      <c r="S6" s="18" t="n">
        <v>48555.0</v>
      </c>
      <c r="T6" s="18" t="n">
        <v>6038.0</v>
      </c>
      <c r="U6" s="18" t="n">
        <v>1101.0</v>
      </c>
      <c r="V6" s="18" t="n">
        <v>178.0</v>
      </c>
      <c r="W6" s="4">
        <f>SUM(R6:V6)</f>
        <v>76632</v>
      </c>
    </row>
    <row r="7" spans="1:39" x14ac:dyDescent="0.45">
      <c r="A7" s="3" t="s">
        <v>7</v>
      </c>
      <c r="B7" s="4" t="n">
        <v>14673.894837375225</v>
      </c>
      <c r="C7" s="4" t="n">
        <v>140556.919679301</v>
      </c>
      <c r="D7" s="4" t="n">
        <v>69908.21055056575</v>
      </c>
      <c r="E7" s="4" t="n">
        <v>17714.073758213297</v>
      </c>
      <c r="F7" s="4" t="n">
        <v>5894.538692463293</v>
      </c>
      <c r="G7" s="4">
        <f ref="G7:G10" si="0" t="shared">SUM(B7:F7)</f>
        <v>248747.63751791857</v>
      </c>
      <c r="I7" s="3" t="s">
        <v>7</v>
      </c>
      <c r="J7" s="37">
        <v>13257</v>
      </c>
      <c r="K7" s="37">
        <v>92797</v>
      </c>
      <c r="L7" s="37">
        <v>55722</v>
      </c>
      <c r="M7" s="37">
        <v>15173</v>
      </c>
      <c r="N7" s="37">
        <v>5111</v>
      </c>
      <c r="O7" s="4">
        <f ref="O7:O8" si="1" t="shared">SUM(J7:N7)</f>
        <v>182060</v>
      </c>
      <c r="Q7" s="3" t="s">
        <v>7</v>
      </c>
      <c r="R7" s="18" t="n">
        <v>7651.0</v>
      </c>
      <c r="S7" s="18" t="n">
        <v>107802.0</v>
      </c>
      <c r="T7" s="18" t="n">
        <v>46881.0</v>
      </c>
      <c r="U7" s="18" t="n">
        <v>12885.0</v>
      </c>
      <c r="V7" s="18" t="n">
        <v>3985.0</v>
      </c>
      <c r="W7" s="4">
        <f ref="W7:W10" si="2" t="shared">SUM(R7:V7)</f>
        <v>179204</v>
      </c>
    </row>
    <row r="8" spans="1:39" x14ac:dyDescent="0.45">
      <c r="A8" s="3" t="s">
        <v>8</v>
      </c>
      <c r="B8" s="4" t="n">
        <v>2267.70660422571</v>
      </c>
      <c r="C8" s="4" t="n">
        <v>41042.396975140226</v>
      </c>
      <c r="D8" s="4" t="n">
        <v>79562.87006989408</v>
      </c>
      <c r="E8" s="4" t="n">
        <v>22213.81160304332</v>
      </c>
      <c r="F8" s="4" t="n">
        <v>7656.919989023335</v>
      </c>
      <c r="G8" s="4">
        <f si="0" t="shared"/>
        <v>152743.70524132668</v>
      </c>
      <c r="I8" s="3" t="s">
        <v>8</v>
      </c>
      <c r="J8" s="37">
        <v>3253</v>
      </c>
      <c r="K8" s="37">
        <v>50515</v>
      </c>
      <c r="L8" s="37">
        <v>52141</v>
      </c>
      <c r="M8" s="37">
        <v>18744</v>
      </c>
      <c r="N8" s="37">
        <v>6987</v>
      </c>
      <c r="O8" s="4">
        <f si="1" t="shared"/>
        <v>131640</v>
      </c>
      <c r="Q8" s="3" t="s">
        <v>8</v>
      </c>
      <c r="R8" s="18" t="n">
        <v>2116.0</v>
      </c>
      <c r="S8" s="18" t="n">
        <v>45888.0</v>
      </c>
      <c r="T8" s="18" t="n">
        <v>59664.0</v>
      </c>
      <c r="U8" s="18" t="n">
        <v>18839.0</v>
      </c>
      <c r="V8" s="18" t="n">
        <v>6966.0</v>
      </c>
      <c r="W8" s="4">
        <f si="2" t="shared"/>
        <v>133473</v>
      </c>
    </row>
    <row r="9" spans="1:39" x14ac:dyDescent="0.45">
      <c r="A9" s="5" t="s">
        <v>9</v>
      </c>
      <c r="B9" s="4" t="n">
        <v>235.478651079386</v>
      </c>
      <c r="C9" s="4" t="n">
        <v>21242.222992290768</v>
      </c>
      <c r="D9" s="4" t="n">
        <v>116539.98814476121</v>
      </c>
      <c r="E9" s="4" t="n">
        <v>69144.9242191239</v>
      </c>
      <c r="F9" s="4" t="n">
        <v>26970.530615335774</v>
      </c>
      <c r="G9" s="6">
        <f si="0" t="shared"/>
        <v>234133.14462259103</v>
      </c>
      <c r="I9" s="5" t="s">
        <v>9</v>
      </c>
      <c r="J9" s="37">
        <v>4474</v>
      </c>
      <c r="K9" s="37">
        <v>60724</v>
      </c>
      <c r="L9" s="37">
        <v>193103</v>
      </c>
      <c r="M9" s="37">
        <v>96302</v>
      </c>
      <c r="N9" s="37">
        <v>52301</v>
      </c>
      <c r="O9" s="4">
        <f>SUM(J9:N9)</f>
        <v>406904</v>
      </c>
      <c r="Q9" s="5" t="s">
        <v>9</v>
      </c>
      <c r="R9" s="18" t="n">
        <v>4708.0</v>
      </c>
      <c r="S9" s="18" t="n">
        <v>57125.0</v>
      </c>
      <c r="T9" s="18" t="n">
        <v>208351.0</v>
      </c>
      <c r="U9" s="18" t="n">
        <v>96017.0</v>
      </c>
      <c r="V9" s="18" t="n">
        <v>48132.0</v>
      </c>
      <c r="W9" s="6">
        <f si="2" t="shared"/>
        <v>414333</v>
      </c>
    </row>
    <row ht="14.65" r="10" spans="1:39" thickBot="1" x14ac:dyDescent="0.5">
      <c r="A10" s="7" t="s">
        <v>4</v>
      </c>
      <c r="B10" s="8">
        <f>SUM(B6:B9)</f>
        <v>38647.449048985589</v>
      </c>
      <c r="C10" s="8">
        <f ref="C10:F10" si="3" t="shared">SUM(C6:C9)</f>
        <v>250508.21982806819</v>
      </c>
      <c r="D10" s="8">
        <f si="3" t="shared"/>
        <v>307298.89555405191</v>
      </c>
      <c r="E10" s="8">
        <f si="3" t="shared"/>
        <v>123760.45107016205</v>
      </c>
      <c r="F10" s="8">
        <f si="3" t="shared"/>
        <v>49258.231944135288</v>
      </c>
      <c r="G10" s="8">
        <f si="0" t="shared"/>
        <v>769473.24744540302</v>
      </c>
      <c r="I10" s="7" t="s">
        <v>4</v>
      </c>
      <c r="J10" s="8">
        <f>SUM(J6:J9)</f>
        <v>31661</v>
      </c>
      <c r="K10" s="8">
        <f ref="K10:N10" si="4" t="shared">SUM(K6:K9)</f>
        <v>230643</v>
      </c>
      <c r="L10" s="8">
        <f si="4" t="shared"/>
        <v>310937</v>
      </c>
      <c r="M10" s="8">
        <f si="4" t="shared"/>
        <v>132648</v>
      </c>
      <c r="N10" s="8">
        <f si="4" t="shared"/>
        <v>65525</v>
      </c>
      <c r="O10" s="8">
        <f>SUM(J10:N10)</f>
        <v>771414</v>
      </c>
      <c r="Q10" s="7" t="s">
        <v>4</v>
      </c>
      <c r="R10" s="8">
        <f>SUM(R6:R9)</f>
        <v>40982</v>
      </c>
      <c r="S10" s="8">
        <f ref="S10" si="5" t="shared">SUM(S6:S9)</f>
        <v>264112</v>
      </c>
      <c r="T10" s="8">
        <f ref="T10" si="6" t="shared">SUM(T6:T9)</f>
        <v>315028</v>
      </c>
      <c r="U10" s="8">
        <f ref="U10" si="7" t="shared">SUM(U6:U9)</f>
        <v>125750</v>
      </c>
      <c r="V10" s="8">
        <f ref="V10" si="8" t="shared">SUM(V6:V9)</f>
        <v>57770</v>
      </c>
      <c r="W10" s="8">
        <f si="2" t="shared"/>
        <v>803642</v>
      </c>
    </row>
    <row r="11" spans="1:39" x14ac:dyDescent="0.45">
      <c r="I11" s="1"/>
      <c r="J11" s="4"/>
      <c r="K11" s="4"/>
      <c r="L11" s="4"/>
      <c r="M11" s="4"/>
      <c r="N11" s="4"/>
      <c r="O11" s="4"/>
    </row>
    <row r="13" spans="1:39" x14ac:dyDescent="0.45">
      <c r="A13" s="14" t="s">
        <v>11</v>
      </c>
      <c r="I13" s="14" t="s">
        <v>11</v>
      </c>
      <c r="Q13" s="14" t="s">
        <v>11</v>
      </c>
      <c r="Y13" s="1" t="s">
        <v>19</v>
      </c>
      <c r="AG13" s="1" t="s">
        <v>20</v>
      </c>
    </row>
    <row ht="14.65" r="14" spans="1:39" thickBot="1" x14ac:dyDescent="0.5">
      <c r="A14" s="12"/>
      <c r="B14" s="10" t="s">
        <v>2</v>
      </c>
      <c r="C14" s="9"/>
      <c r="D14" s="9"/>
      <c r="E14" s="9"/>
      <c r="F14" s="9"/>
      <c r="G14" s="9"/>
      <c r="I14" s="12"/>
      <c r="J14" s="10" t="s">
        <v>2</v>
      </c>
      <c r="K14" s="9"/>
      <c r="L14" s="9"/>
      <c r="M14" s="9"/>
      <c r="N14" s="9"/>
      <c r="O14" s="9"/>
      <c r="Q14" s="12"/>
      <c r="R14" s="10" t="s">
        <v>2</v>
      </c>
      <c r="S14" s="9"/>
      <c r="T14" s="9"/>
      <c r="U14" s="9"/>
      <c r="V14" s="9"/>
      <c r="W14" s="9"/>
      <c r="Y14" s="12"/>
      <c r="Z14" s="10" t="s">
        <v>2</v>
      </c>
      <c r="AA14" s="9"/>
      <c r="AB14" s="9"/>
      <c r="AC14" s="9"/>
      <c r="AD14" s="9"/>
      <c r="AE14" s="9"/>
      <c r="AG14" s="12"/>
      <c r="AH14" s="10" t="s">
        <v>2</v>
      </c>
      <c r="AI14" s="9"/>
      <c r="AJ14" s="9"/>
      <c r="AK14" s="9"/>
      <c r="AL14" s="9"/>
      <c r="AM14" s="9"/>
    </row>
    <row r="15" spans="1:39" x14ac:dyDescent="0.45">
      <c r="A15" s="11" t="s">
        <v>5</v>
      </c>
      <c r="B15" s="2">
        <v>0</v>
      </c>
      <c r="C15" s="2">
        <v>1</v>
      </c>
      <c r="D15" s="2">
        <v>2</v>
      </c>
      <c r="E15" s="2">
        <v>3</v>
      </c>
      <c r="F15" s="2" t="s">
        <v>3</v>
      </c>
      <c r="G15" s="2" t="s">
        <v>4</v>
      </c>
      <c r="I15" s="11" t="s">
        <v>5</v>
      </c>
      <c r="J15" s="2">
        <v>0</v>
      </c>
      <c r="K15" s="2">
        <v>1</v>
      </c>
      <c r="L15" s="2">
        <v>2</v>
      </c>
      <c r="M15" s="2">
        <v>3</v>
      </c>
      <c r="N15" s="2" t="s">
        <v>3</v>
      </c>
      <c r="O15" s="2" t="s">
        <v>4</v>
      </c>
      <c r="Q15" s="11" t="s">
        <v>5</v>
      </c>
      <c r="R15" s="2">
        <v>0</v>
      </c>
      <c r="S15" s="2">
        <v>1</v>
      </c>
      <c r="T15" s="2">
        <v>2</v>
      </c>
      <c r="U15" s="2">
        <v>3</v>
      </c>
      <c r="V15" s="2" t="s">
        <v>3</v>
      </c>
      <c r="W15" s="2" t="s">
        <v>4</v>
      </c>
      <c r="Y15" s="11" t="s">
        <v>5</v>
      </c>
      <c r="Z15" s="2">
        <v>0</v>
      </c>
      <c r="AA15" s="2">
        <v>1</v>
      </c>
      <c r="AB15" s="2">
        <v>2</v>
      </c>
      <c r="AC15" s="2">
        <v>3</v>
      </c>
      <c r="AD15" s="2" t="s">
        <v>3</v>
      </c>
      <c r="AE15" s="2" t="s">
        <v>4</v>
      </c>
      <c r="AG15" s="11" t="s">
        <v>5</v>
      </c>
      <c r="AH15" s="2">
        <v>0</v>
      </c>
      <c r="AI15" s="2">
        <v>1</v>
      </c>
      <c r="AJ15" s="2">
        <v>2</v>
      </c>
      <c r="AK15" s="2">
        <v>3</v>
      </c>
      <c r="AL15" s="2" t="s">
        <v>3</v>
      </c>
      <c r="AM15" s="2" t="s">
        <v>4</v>
      </c>
    </row>
    <row r="16" spans="1:39" x14ac:dyDescent="0.45">
      <c r="A16" s="3" t="s">
        <v>6</v>
      </c>
      <c r="B16" s="4">
        <f ref="B16:G20" si="9" t="shared">($W6/$G6)*B6</f>
        <v>12292.361267136139</v>
      </c>
      <c r="C16" s="4">
        <f si="9" t="shared"/>
        <v>27290.451057756454</v>
      </c>
      <c r="D16" s="4">
        <f si="9" t="shared"/>
        <v>23638.38664608527</v>
      </c>
      <c r="E16" s="4">
        <f si="9" t="shared"/>
        <v>8409.0681311534063</v>
      </c>
      <c r="F16" s="4">
        <f si="9" t="shared"/>
        <v>5001.7328978687383</v>
      </c>
      <c r="G16" s="4">
        <f si="9" t="shared"/>
        <v>76632</v>
      </c>
      <c r="I16" s="3" t="s">
        <v>6</v>
      </c>
      <c r="J16" s="56">
        <f>($W6/$O6)*J6</f>
        <v>16103.126628616415</v>
      </c>
      <c r="K16" s="56">
        <f ref="K16:N16" si="10" t="shared">($W6/$O6)*K6</f>
        <v>40128.864869120254</v>
      </c>
      <c r="L16" s="56">
        <f si="10" t="shared"/>
        <v>15038.332454241292</v>
      </c>
      <c r="M16" s="56">
        <f si="10" t="shared"/>
        <v>3663.4349143869322</v>
      </c>
      <c r="N16" s="56">
        <f si="10" t="shared"/>
        <v>1698.2411336351113</v>
      </c>
      <c r="O16" s="4">
        <f>SUM(J16:N16)</f>
        <v>76632</v>
      </c>
      <c r="Q16" s="3" t="s">
        <v>6</v>
      </c>
      <c r="R16" s="4">
        <f ref="R16:V19" si="11" t="shared">R6</f>
        <v>23780</v>
      </c>
      <c r="S16" s="4">
        <f si="11" t="shared"/>
        <v>46324</v>
      </c>
      <c r="T16" s="4">
        <f si="11" t="shared"/>
        <v>5354</v>
      </c>
      <c r="U16" s="4">
        <f si="11" t="shared"/>
        <v>1017</v>
      </c>
      <c r="V16" s="4">
        <f si="11" t="shared"/>
        <v>157</v>
      </c>
      <c r="W16" s="4">
        <f>SUM(R16:V16)</f>
        <v>76632</v>
      </c>
      <c r="Y16" s="3" t="s">
        <v>6</v>
      </c>
      <c r="Z16" s="4">
        <f>R16-J16</f>
        <v>7676.8733713835845</v>
      </c>
      <c r="AA16" s="4">
        <f ref="AA16:AA20" si="12" t="shared">S16-K16</f>
        <v>6195.1351308797457</v>
      </c>
      <c r="AB16" s="4">
        <f ref="AB16:AB20" si="13" t="shared">T16-L16</f>
        <v>-9684.332454241292</v>
      </c>
      <c r="AC16" s="4">
        <f ref="AC16:AC20" si="14" t="shared">U16-M16</f>
        <v>-2646.4349143869322</v>
      </c>
      <c r="AD16" s="4">
        <f ref="AD16:AD20" si="15" t="shared">V16-N16</f>
        <v>-1541.2411336351113</v>
      </c>
      <c r="AE16" s="4">
        <f ref="AE16:AE20" si="16" t="shared">W16-O16</f>
        <v>0</v>
      </c>
      <c r="AG16" s="3" t="s">
        <v>6</v>
      </c>
      <c r="AH16" s="15">
        <f>Z16/J16</f>
        <v>0.47673185142450708</v>
      </c>
      <c r="AI16" s="15">
        <f ref="AI16:AI20" si="17" t="shared">AA16/K16</f>
        <v>0.15438102102028289</v>
      </c>
      <c r="AJ16" s="15">
        <f ref="AJ16:AJ20" si="18" t="shared">AB16/L16</f>
        <v>-0.6439764836765528</v>
      </c>
      <c r="AK16" s="15">
        <f ref="AK16:AK20" si="19" t="shared">AC16/M16</f>
        <v>-0.72239168327897185</v>
      </c>
      <c r="AL16" s="15">
        <f ref="AL16:AL20" si="20" t="shared">AD16/N16</f>
        <v>-0.90755140898987707</v>
      </c>
      <c r="AM16" s="15">
        <f ref="AM16:AM20" si="21" t="shared">AE16/O16</f>
        <v>0</v>
      </c>
    </row>
    <row r="17" spans="1:39" x14ac:dyDescent="0.45">
      <c r="A17" s="3" t="s">
        <v>7</v>
      </c>
      <c r="B17" s="4">
        <f si="9" t="shared"/>
        <v>10571.439699593386</v>
      </c>
      <c r="C17" s="4">
        <f si="9" t="shared"/>
        <v>101260.70939023494</v>
      </c>
      <c r="D17" s="4">
        <f si="9" t="shared"/>
        <v>50363.617875973359</v>
      </c>
      <c r="E17" s="4">
        <f si="9" t="shared"/>
        <v>12761.660393812524</v>
      </c>
      <c r="F17" s="4">
        <f si="9" t="shared"/>
        <v>4246.572640385778</v>
      </c>
      <c r="G17" s="4">
        <f si="9" t="shared"/>
        <v>179204</v>
      </c>
      <c r="I17" s="3" t="s">
        <v>7</v>
      </c>
      <c r="J17" s="4">
        <f ref="J17:N17" si="22" t="shared">($W7/$O7)*J7</f>
        <v>13049.035636603317</v>
      </c>
      <c r="K17" s="4">
        <f si="22" t="shared"/>
        <v>91341.280830495438</v>
      </c>
      <c r="L17" s="4">
        <f si="22" t="shared"/>
        <v>54847.881401735693</v>
      </c>
      <c r="M17" s="4">
        <f si="22" t="shared"/>
        <v>14934.979083818522</v>
      </c>
      <c r="N17" s="4">
        <f si="22" t="shared"/>
        <v>5030.8230473470285</v>
      </c>
      <c r="O17" s="4">
        <f ref="O17:O19" si="23" t="shared">SUM(J17:N17)</f>
        <v>179204</v>
      </c>
      <c r="Q17" s="3" t="s">
        <v>7</v>
      </c>
      <c r="R17" s="4">
        <f si="11" t="shared"/>
        <v>9089</v>
      </c>
      <c r="S17" s="4">
        <f si="11" t="shared"/>
        <v>109436</v>
      </c>
      <c r="T17" s="4">
        <f si="11" t="shared"/>
        <v>44728</v>
      </c>
      <c r="U17" s="4">
        <f si="11" t="shared"/>
        <v>12194</v>
      </c>
      <c r="V17" s="4">
        <f si="11" t="shared"/>
        <v>3757</v>
      </c>
      <c r="W17" s="4">
        <f ref="W17:W20" si="24" t="shared">SUM(R17:V17)</f>
        <v>179204</v>
      </c>
      <c r="Y17" s="3" t="s">
        <v>7</v>
      </c>
      <c r="Z17" s="4">
        <f ref="Z17:Z20" si="25" t="shared">R17-J17</f>
        <v>-3960.0356366033175</v>
      </c>
      <c r="AA17" s="4">
        <f si="12" t="shared"/>
        <v>18094.719169504562</v>
      </c>
      <c r="AB17" s="4">
        <f si="13" t="shared"/>
        <v>-10119.881401735693</v>
      </c>
      <c r="AC17" s="4">
        <f si="14" t="shared"/>
        <v>-2740.9790838185218</v>
      </c>
      <c r="AD17" s="4">
        <f si="15" t="shared"/>
        <v>-1273.8230473470285</v>
      </c>
      <c r="AE17" s="4">
        <f si="16" t="shared"/>
        <v>0</v>
      </c>
      <c r="AG17" s="3" t="s">
        <v>7</v>
      </c>
      <c r="AH17" s="15">
        <f ref="AH17:AH20" si="26" t="shared">Z17/J17</f>
        <v>-0.30347343258801313</v>
      </c>
      <c r="AI17" s="15">
        <f si="17" t="shared"/>
        <v>0.19810012521155071</v>
      </c>
      <c r="AJ17" s="15">
        <f si="18" t="shared"/>
        <v>-0.18450815497525203</v>
      </c>
      <c r="AK17" s="15">
        <f si="19" t="shared"/>
        <v>-0.18352748058336874</v>
      </c>
      <c r="AL17" s="15">
        <f si="20" t="shared"/>
        <v>-0.25320370749648424</v>
      </c>
      <c r="AM17" s="15">
        <f si="21" t="shared"/>
        <v>0</v>
      </c>
    </row>
    <row r="18" spans="1:39" x14ac:dyDescent="0.45">
      <c r="A18" s="3" t="s">
        <v>8</v>
      </c>
      <c r="B18" s="4">
        <f si="9" t="shared"/>
        <v>1981.6044340917631</v>
      </c>
      <c r="C18" s="4">
        <f si="9" t="shared"/>
        <v>35864.33786458087</v>
      </c>
      <c r="D18" s="4">
        <f si="9" t="shared"/>
        <v>69524.927001481032</v>
      </c>
      <c r="E18" s="4">
        <f si="9" t="shared"/>
        <v>19411.235778316048</v>
      </c>
      <c r="F18" s="4">
        <f si="9" t="shared"/>
        <v>6690.8949215302855</v>
      </c>
      <c r="G18" s="4">
        <f si="9" t="shared"/>
        <v>133473</v>
      </c>
      <c r="I18" s="3" t="s">
        <v>8</v>
      </c>
      <c r="J18" s="4">
        <f ref="J18:N18" si="27" t="shared">($W8/$O8)*J8</f>
        <v>3298.2958751139472</v>
      </c>
      <c r="K18" s="4">
        <f si="27" t="shared"/>
        <v>51218.387989972653</v>
      </c>
      <c r="L18" s="4">
        <f si="27" t="shared"/>
        <v>52867.028965360078</v>
      </c>
      <c r="M18" s="4">
        <f si="27" t="shared"/>
        <v>19004.997812215133</v>
      </c>
      <c r="N18" s="4">
        <f si="27" t="shared"/>
        <v>7084.2893573381953</v>
      </c>
      <c r="O18" s="4">
        <f si="23" t="shared"/>
        <v>133473</v>
      </c>
      <c r="Q18" s="3" t="s">
        <v>8</v>
      </c>
      <c r="R18" s="4">
        <f si="11" t="shared"/>
        <v>2507</v>
      </c>
      <c r="S18" s="4">
        <f si="11" t="shared"/>
        <v>47980</v>
      </c>
      <c r="T18" s="4">
        <f si="11" t="shared"/>
        <v>58130</v>
      </c>
      <c r="U18" s="4">
        <f si="11" t="shared"/>
        <v>18188</v>
      </c>
      <c r="V18" s="4">
        <f si="11" t="shared"/>
        <v>6668</v>
      </c>
      <c r="W18" s="4">
        <f si="24" t="shared"/>
        <v>133473</v>
      </c>
      <c r="Y18" s="3" t="s">
        <v>8</v>
      </c>
      <c r="Z18" s="4">
        <f si="25" t="shared"/>
        <v>-791.2958751139472</v>
      </c>
      <c r="AA18" s="4">
        <f si="12" t="shared"/>
        <v>-3238.3879899726526</v>
      </c>
      <c r="AB18" s="4">
        <f si="13" t="shared"/>
        <v>5262.9710346399224</v>
      </c>
      <c r="AC18" s="4">
        <f si="14" t="shared"/>
        <v>-816.99781221513331</v>
      </c>
      <c r="AD18" s="4">
        <f si="15" t="shared"/>
        <v>-416.28935733819526</v>
      </c>
      <c r="AE18" s="4">
        <f si="16" t="shared"/>
        <v>0</v>
      </c>
      <c r="AG18" s="3" t="s">
        <v>8</v>
      </c>
      <c r="AH18" s="15">
        <f si="26" t="shared"/>
        <v>-0.23991051896962096</v>
      </c>
      <c r="AI18" s="15">
        <f si="17" t="shared"/>
        <v>-6.3227058036396069E-2</v>
      </c>
      <c r="AJ18" s="15">
        <f si="18" t="shared"/>
        <v>9.9551102788249454E-2</v>
      </c>
      <c r="AK18" s="15">
        <f si="19" t="shared"/>
        <v>-4.2988577019989031E-2</v>
      </c>
      <c r="AL18" s="15">
        <f si="20" t="shared"/>
        <v>-5.876233117256649E-2</v>
      </c>
      <c r="AM18" s="15">
        <f si="21" t="shared"/>
        <v>0</v>
      </c>
    </row>
    <row r="19" spans="1:39" x14ac:dyDescent="0.45">
      <c r="A19" s="5" t="s">
        <v>9</v>
      </c>
      <c r="B19" s="4">
        <f si="9" t="shared"/>
        <v>416.71407136715681</v>
      </c>
      <c r="C19" s="4">
        <f si="9" t="shared"/>
        <v>37591.234650916602</v>
      </c>
      <c r="D19" s="4">
        <f si="9" t="shared"/>
        <v>206234.63194763882</v>
      </c>
      <c r="E19" s="4">
        <f si="9" t="shared"/>
        <v>122362.1026944426</v>
      </c>
      <c r="F19" s="4">
        <f si="9" t="shared"/>
        <v>47728.316635634874</v>
      </c>
      <c r="G19" s="6">
        <f si="9" t="shared"/>
        <v>414333</v>
      </c>
      <c r="I19" s="5" t="s">
        <v>9</v>
      </c>
      <c r="J19" s="6">
        <f ref="J19:N19" si="28" t="shared">($W9/$O9)*J9</f>
        <v>4555.6835076578263</v>
      </c>
      <c r="K19" s="6">
        <f si="28" t="shared"/>
        <v>61832.661001120665</v>
      </c>
      <c r="L19" s="6">
        <f si="28" t="shared"/>
        <v>196628.55439858051</v>
      </c>
      <c r="M19" s="6">
        <f si="28" t="shared"/>
        <v>98060.221983563693</v>
      </c>
      <c r="N19" s="6">
        <f si="28" t="shared"/>
        <v>53255.87910907733</v>
      </c>
      <c r="O19" s="4">
        <f si="23" t="shared"/>
        <v>414333</v>
      </c>
      <c r="Q19" s="5" t="s">
        <v>9</v>
      </c>
      <c r="R19" s="4">
        <f si="11" t="shared"/>
        <v>5606</v>
      </c>
      <c r="S19" s="4">
        <f si="11" t="shared"/>
        <v>60372</v>
      </c>
      <c r="T19" s="4">
        <f si="11" t="shared"/>
        <v>206816</v>
      </c>
      <c r="U19" s="4">
        <f si="11" t="shared"/>
        <v>94351</v>
      </c>
      <c r="V19" s="4">
        <f si="11" t="shared"/>
        <v>47188</v>
      </c>
      <c r="W19" s="6">
        <f si="24" t="shared"/>
        <v>414333</v>
      </c>
      <c r="Y19" s="5" t="s">
        <v>9</v>
      </c>
      <c r="Z19" s="4">
        <f si="25" t="shared"/>
        <v>1050.3164923421737</v>
      </c>
      <c r="AA19" s="4">
        <f si="12" t="shared"/>
        <v>-1460.6610011206649</v>
      </c>
      <c r="AB19" s="4">
        <f si="13" t="shared"/>
        <v>10187.445601419488</v>
      </c>
      <c r="AC19" s="4">
        <f si="14" t="shared"/>
        <v>-3709.2219835636934</v>
      </c>
      <c r="AD19" s="4">
        <f si="15" t="shared"/>
        <v>-6067.8791090773302</v>
      </c>
      <c r="AE19" s="6">
        <f si="16" t="shared"/>
        <v>0</v>
      </c>
      <c r="AG19" s="5" t="s">
        <v>9</v>
      </c>
      <c r="AH19" s="15">
        <f si="26" t="shared"/>
        <v>0.2305508033156069</v>
      </c>
      <c r="AI19" s="15">
        <f si="17" t="shared"/>
        <v>-2.362280674115241E-2</v>
      </c>
      <c r="AJ19" s="15">
        <f si="18" t="shared"/>
        <v>5.1810611294882368E-2</v>
      </c>
      <c r="AK19" s="15">
        <f si="19" t="shared"/>
        <v>-3.7825959482178331E-2</v>
      </c>
      <c r="AL19" s="15">
        <f si="20" t="shared"/>
        <v>-0.11393820195230005</v>
      </c>
      <c r="AM19" s="16">
        <f si="21" t="shared"/>
        <v>0</v>
      </c>
    </row>
    <row ht="14.65" r="20" spans="1:39" thickBot="1" x14ac:dyDescent="0.5">
      <c r="A20" s="7" t="s">
        <v>4</v>
      </c>
      <c r="B20" s="8">
        <f si="9" t="shared"/>
        <v>40363.603740269878</v>
      </c>
      <c r="C20" s="8">
        <f si="9" t="shared"/>
        <v>261632.1327186267</v>
      </c>
      <c r="D20" s="8">
        <f si="9" t="shared"/>
        <v>320944.62002510618</v>
      </c>
      <c r="E20" s="8">
        <f si="9" t="shared"/>
        <v>129256.08102572034</v>
      </c>
      <c r="F20" s="8">
        <f si="9" t="shared"/>
        <v>51445.56249027689</v>
      </c>
      <c r="G20" s="8">
        <f si="9" t="shared"/>
        <v>803642</v>
      </c>
      <c r="I20" s="7" t="s">
        <v>4</v>
      </c>
      <c r="J20" s="8">
        <f>SUM(J16:J19)</f>
        <v>37006.141647991506</v>
      </c>
      <c r="K20" s="8">
        <f ref="K20:O20" si="29" t="shared">SUM(K16:K19)</f>
        <v>244521.19469070903</v>
      </c>
      <c r="L20" s="8">
        <f si="29" t="shared"/>
        <v>319381.79721991759</v>
      </c>
      <c r="M20" s="8">
        <f si="29" t="shared"/>
        <v>135663.63379398428</v>
      </c>
      <c r="N20" s="8">
        <f si="29" t="shared"/>
        <v>67069.232647397672</v>
      </c>
      <c r="O20" s="8">
        <f si="29" t="shared"/>
        <v>803642</v>
      </c>
      <c r="Q20" s="7" t="s">
        <v>4</v>
      </c>
      <c r="R20" s="8">
        <f>SUM(R16:R19)</f>
        <v>40982</v>
      </c>
      <c r="S20" s="8">
        <f ref="S20:V20" si="30" t="shared">SUM(S16:S19)</f>
        <v>264112</v>
      </c>
      <c r="T20" s="8">
        <f si="30" t="shared"/>
        <v>315028</v>
      </c>
      <c r="U20" s="8">
        <f si="30" t="shared"/>
        <v>125750</v>
      </c>
      <c r="V20" s="8">
        <f si="30" t="shared"/>
        <v>57770</v>
      </c>
      <c r="W20" s="8">
        <f si="24" t="shared"/>
        <v>803642</v>
      </c>
      <c r="Y20" s="7" t="s">
        <v>4</v>
      </c>
      <c r="Z20" s="8">
        <f si="25" t="shared"/>
        <v>3975.858352008494</v>
      </c>
      <c r="AA20" s="8">
        <f si="12" t="shared"/>
        <v>19590.805309290969</v>
      </c>
      <c r="AB20" s="8">
        <f si="13" t="shared"/>
        <v>-4353.7972199175856</v>
      </c>
      <c r="AC20" s="8">
        <f si="14" t="shared"/>
        <v>-9913.6337939842779</v>
      </c>
      <c r="AD20" s="8">
        <f si="15" t="shared"/>
        <v>-9299.2326473976718</v>
      </c>
      <c r="AE20" s="8">
        <f si="16" t="shared"/>
        <v>0</v>
      </c>
      <c r="AG20" s="7" t="s">
        <v>4</v>
      </c>
      <c r="AH20" s="17">
        <f si="26" t="shared"/>
        <v>0.1074377974831181</v>
      </c>
      <c r="AI20" s="17">
        <f si="17" t="shared"/>
        <v>8.0119047897140638E-2</v>
      </c>
      <c r="AJ20" s="17">
        <f si="18" t="shared"/>
        <v>-1.3631951657281456E-2</v>
      </c>
      <c r="AK20" s="17">
        <f si="19" t="shared"/>
        <v>-7.3075101386705421E-2</v>
      </c>
      <c r="AL20" s="17">
        <f si="20" t="shared"/>
        <v>-0.13865124559105102</v>
      </c>
      <c r="AM20" s="17">
        <f si="21" t="shared"/>
        <v>0</v>
      </c>
    </row>
    <row r="22" spans="1:39" x14ac:dyDescent="0.45">
      <c r="Y22" s="29" t="s">
        <v>174</v>
      </c>
    </row>
    <row ht="14.65" r="23" spans="1:39" thickBot="1" x14ac:dyDescent="0.5">
      <c r="A23" s="12"/>
      <c r="B23" s="10" t="s">
        <v>2</v>
      </c>
      <c r="C23" s="9"/>
      <c r="D23" s="9"/>
      <c r="E23" s="9"/>
      <c r="F23" s="9"/>
      <c r="G23" s="9"/>
      <c r="I23" s="12"/>
      <c r="J23" s="10" t="s">
        <v>2</v>
      </c>
      <c r="K23" s="9"/>
      <c r="L23" s="9"/>
      <c r="M23" s="9"/>
      <c r="N23" s="9"/>
      <c r="O23" s="9"/>
      <c r="Q23" s="12"/>
      <c r="R23" s="10" t="s">
        <v>2</v>
      </c>
      <c r="S23" s="9"/>
      <c r="T23" s="9"/>
      <c r="U23" s="9"/>
      <c r="V23" s="9"/>
      <c r="W23" s="9"/>
      <c r="Y23" s="12"/>
      <c r="Z23" s="10" t="s">
        <v>2</v>
      </c>
      <c r="AA23" s="9"/>
      <c r="AB23" s="9"/>
      <c r="AC23" s="9"/>
      <c r="AD23" s="9"/>
      <c r="AE23" s="9"/>
    </row>
    <row r="24" spans="1:39" x14ac:dyDescent="0.45">
      <c r="A24" s="11" t="s">
        <v>5</v>
      </c>
      <c r="B24" s="2">
        <v>0</v>
      </c>
      <c r="C24" s="2">
        <v>1</v>
      </c>
      <c r="D24" s="2">
        <v>2</v>
      </c>
      <c r="E24" s="2">
        <v>3</v>
      </c>
      <c r="F24" s="2" t="s">
        <v>3</v>
      </c>
      <c r="G24" s="2" t="s">
        <v>4</v>
      </c>
      <c r="I24" s="11" t="s">
        <v>5</v>
      </c>
      <c r="J24" s="2">
        <v>0</v>
      </c>
      <c r="K24" s="2">
        <v>1</v>
      </c>
      <c r="L24" s="2">
        <v>2</v>
      </c>
      <c r="M24" s="2">
        <v>3</v>
      </c>
      <c r="N24" s="2" t="s">
        <v>3</v>
      </c>
      <c r="O24" s="2" t="s">
        <v>4</v>
      </c>
      <c r="Q24" s="11" t="s">
        <v>5</v>
      </c>
      <c r="R24" s="2">
        <v>0</v>
      </c>
      <c r="S24" s="2">
        <v>1</v>
      </c>
      <c r="T24" s="2">
        <v>2</v>
      </c>
      <c r="U24" s="2">
        <v>3</v>
      </c>
      <c r="V24" s="2" t="s">
        <v>3</v>
      </c>
      <c r="W24" s="2" t="s">
        <v>4</v>
      </c>
      <c r="Y24" s="11" t="s">
        <v>5</v>
      </c>
      <c r="Z24" s="2">
        <v>0</v>
      </c>
      <c r="AA24" s="2">
        <v>1</v>
      </c>
      <c r="AB24" s="2">
        <v>2</v>
      </c>
      <c r="AC24" s="2">
        <v>3</v>
      </c>
      <c r="AD24" s="2" t="s">
        <v>3</v>
      </c>
      <c r="AE24" s="2" t="s">
        <v>4</v>
      </c>
    </row>
    <row r="25" spans="1:39" x14ac:dyDescent="0.45">
      <c r="A25" s="3" t="s">
        <v>6</v>
      </c>
      <c r="B25" s="15">
        <f>B16/$G$20</f>
        <v>1.5295817375319034E-2</v>
      </c>
      <c r="C25" s="15">
        <f ref="C25:G25" si="31" t="shared">C16/$G$20</f>
        <v>3.3958467897094044E-2</v>
      </c>
      <c r="D25" s="15">
        <f si="31" t="shared"/>
        <v>2.9414075727855524E-2</v>
      </c>
      <c r="E25" s="15">
        <f si="31" t="shared"/>
        <v>1.0463699173454606E-2</v>
      </c>
      <c r="F25" s="15">
        <f si="31" t="shared"/>
        <v>6.2238321265796689E-3</v>
      </c>
      <c r="G25" s="15">
        <f si="31" t="shared"/>
        <v>9.5355892300302877E-2</v>
      </c>
      <c r="I25" s="3" t="s">
        <v>6</v>
      </c>
      <c r="J25" s="15">
        <f>J16/$O$20</f>
        <v>2.0037686716991417E-2</v>
      </c>
      <c r="K25" s="15">
        <f ref="K25:O25" si="32" t="shared">K16/$O$20</f>
        <v>4.9933757654677398E-2</v>
      </c>
      <c r="L25" s="15">
        <f si="32" t="shared"/>
        <v>1.8712725883218265E-2</v>
      </c>
      <c r="M25" s="15">
        <f si="32" t="shared"/>
        <v>4.5585408856019622E-3</v>
      </c>
      <c r="N25" s="15">
        <f si="32" t="shared"/>
        <v>2.1131811598138366E-3</v>
      </c>
      <c r="O25" s="15">
        <f si="32" t="shared"/>
        <v>9.5355892300302877E-2</v>
      </c>
      <c r="Q25" s="3" t="s">
        <v>6</v>
      </c>
      <c r="R25" s="15">
        <f ref="R25:W29" si="33" t="shared">R6/$W$10</f>
        <v>2.9590290203846986E-2</v>
      </c>
      <c r="S25" s="15">
        <f si="33" t="shared"/>
        <v>5.7642582144785862E-2</v>
      </c>
      <c r="T25" s="15">
        <f si="33" t="shared"/>
        <v>6.66217046894015E-3</v>
      </c>
      <c r="U25" s="15">
        <f si="33" t="shared"/>
        <v>1.2654888619559456E-3</v>
      </c>
      <c r="V25" s="15">
        <f si="33" t="shared"/>
        <v>1.953606207739267E-4</v>
      </c>
      <c r="W25" s="15">
        <f si="33" t="shared"/>
        <v>9.5355892300302877E-2</v>
      </c>
      <c r="Y25" s="3" t="s">
        <v>6</v>
      </c>
      <c r="Z25" s="15">
        <f ref="Z25:AE29" si="34" t="shared">R25-J25</f>
        <v>9.5526034868555695E-3</v>
      </c>
      <c r="AA25" s="15">
        <f si="34" t="shared"/>
        <v>7.7088244901084638E-3</v>
      </c>
      <c r="AB25" s="15">
        <f si="34" t="shared"/>
        <v>-1.2050555414278116E-2</v>
      </c>
      <c r="AC25" s="15">
        <f si="34" t="shared"/>
        <v>-3.2930520236460169E-3</v>
      </c>
      <c r="AD25" s="15">
        <f si="34" t="shared"/>
        <v>-1.9178205390399099E-3</v>
      </c>
      <c r="AE25" s="15">
        <f si="34" t="shared"/>
        <v>0</v>
      </c>
    </row>
    <row r="26" spans="1:39" x14ac:dyDescent="0.45">
      <c r="A26" s="3" t="s">
        <v>7</v>
      </c>
      <c r="B26" s="15">
        <f ref="B26:G26" si="35" t="shared">B17/$G$20</f>
        <v>1.3154414154055395E-2</v>
      </c>
      <c r="C26" s="15">
        <f si="35" t="shared"/>
        <v>0.12600226144257634</v>
      </c>
      <c r="D26" s="15">
        <f si="35" t="shared"/>
        <v>6.2669220717649604E-2</v>
      </c>
      <c r="E26" s="15">
        <f si="35" t="shared"/>
        <v>1.5879782781154449E-2</v>
      </c>
      <c r="F26" s="15">
        <f si="35" t="shared"/>
        <v>5.2841596636136216E-3</v>
      </c>
      <c r="G26" s="15">
        <f si="35" t="shared"/>
        <v>0.22298983875904943</v>
      </c>
      <c r="I26" s="3" t="s">
        <v>7</v>
      </c>
      <c r="J26" s="15">
        <f ref="J26:O26" si="36" t="shared">J17/$O$20</f>
        <v>1.6237373901069527E-2</v>
      </c>
      <c r="K26" s="15">
        <f si="36" t="shared"/>
        <v>0.11365916767726854</v>
      </c>
      <c r="L26" s="15">
        <f si="36" t="shared"/>
        <v>6.8249147508138819E-2</v>
      </c>
      <c r="M26" s="15">
        <f si="36" t="shared"/>
        <v>1.8584119650066226E-2</v>
      </c>
      <c r="N26" s="15">
        <f si="36" t="shared"/>
        <v>6.2600300225063256E-3</v>
      </c>
      <c r="O26" s="15">
        <f si="36" t="shared"/>
        <v>0.22298983875904943</v>
      </c>
      <c r="Q26" s="3" t="s">
        <v>7</v>
      </c>
      <c r="R26" s="15">
        <f si="33" t="shared"/>
        <v>1.1309762307096941E-2</v>
      </c>
      <c r="S26" s="15">
        <f si="33" t="shared"/>
        <v>0.13617506302557605</v>
      </c>
      <c r="T26" s="15">
        <f si="33" t="shared"/>
        <v>5.5656623222778305E-2</v>
      </c>
      <c r="U26" s="15">
        <f si="33" t="shared"/>
        <v>1.5173422991829695E-2</v>
      </c>
      <c r="V26" s="15">
        <f si="33" t="shared"/>
        <v>4.6749672117684243E-3</v>
      </c>
      <c r="W26" s="15">
        <f si="33" t="shared"/>
        <v>0.22298983875904943</v>
      </c>
      <c r="Y26" s="3" t="s">
        <v>7</v>
      </c>
      <c r="Z26" s="15">
        <f si="34" t="shared"/>
        <v>-4.9276115939725865E-3</v>
      </c>
      <c r="AA26" s="15">
        <f si="34" t="shared"/>
        <v>2.2515895348307516E-2</v>
      </c>
      <c r="AB26" s="15">
        <f si="34" t="shared"/>
        <v>-1.2592524285360514E-2</v>
      </c>
      <c r="AC26" s="15">
        <f si="34" t="shared"/>
        <v>-3.4106966582365308E-3</v>
      </c>
      <c r="AD26" s="15">
        <f si="34" t="shared"/>
        <v>-1.5850628107379012E-3</v>
      </c>
      <c r="AE26" s="15">
        <f si="34" t="shared"/>
        <v>0</v>
      </c>
    </row>
    <row r="27" spans="1:39" x14ac:dyDescent="0.45">
      <c r="A27" s="3" t="s">
        <v>8</v>
      </c>
      <c r="B27" s="15">
        <f ref="B27:G27" si="37" t="shared">B18/$G$20</f>
        <v>2.46578007880594E-3</v>
      </c>
      <c r="C27" s="15">
        <f si="37" t="shared"/>
        <v>4.4627256744397222E-2</v>
      </c>
      <c r="D27" s="15">
        <f si="37" t="shared"/>
        <v>8.6512311453957144E-2</v>
      </c>
      <c r="E27" s="15">
        <f si="37" t="shared"/>
        <v>2.4154083258859104E-2</v>
      </c>
      <c r="F27" s="15">
        <f si="37" t="shared"/>
        <v>8.325715830594077E-3</v>
      </c>
      <c r="G27" s="15">
        <f si="37" t="shared"/>
        <v>0.16608514736661351</v>
      </c>
      <c r="I27" s="3" t="s">
        <v>8</v>
      </c>
      <c r="J27" s="15">
        <f ref="J27:O27" si="38" t="shared">J18/$O$20</f>
        <v>4.1041855392251114E-3</v>
      </c>
      <c r="K27" s="15">
        <f si="38" t="shared"/>
        <v>6.3732841227776366E-2</v>
      </c>
      <c r="L27" s="15">
        <f si="38" t="shared"/>
        <v>6.5784303166534455E-2</v>
      </c>
      <c r="M27" s="15">
        <f si="38" t="shared"/>
        <v>2.3648587072620811E-2</v>
      </c>
      <c r="N27" s="15">
        <f si="38" t="shared"/>
        <v>8.8152303604567654E-3</v>
      </c>
      <c r="O27" s="15">
        <f si="38" t="shared"/>
        <v>0.16608514736661351</v>
      </c>
      <c r="Q27" s="3" t="s">
        <v>8</v>
      </c>
      <c r="R27" s="15">
        <f si="33" t="shared"/>
        <v>3.1195482565620014E-3</v>
      </c>
      <c r="S27" s="15">
        <f si="33" t="shared"/>
        <v>5.9703201176643329E-2</v>
      </c>
      <c r="T27" s="15">
        <f si="33" t="shared"/>
        <v>7.233320309291949E-2</v>
      </c>
      <c r="U27" s="15">
        <f si="33" t="shared"/>
        <v>2.2631967965835532E-2</v>
      </c>
      <c r="V27" s="15">
        <f si="33" t="shared"/>
        <v>8.2972268746531411E-3</v>
      </c>
      <c r="W27" s="15">
        <f si="33" t="shared"/>
        <v>0.16608514736661351</v>
      </c>
      <c r="Y27" s="3" t="s">
        <v>8</v>
      </c>
      <c r="Z27" s="15">
        <f si="34" t="shared"/>
        <v>-9.8463728266310994E-4</v>
      </c>
      <c r="AA27" s="15">
        <f si="34" t="shared"/>
        <v>-4.0296400511330363E-3</v>
      </c>
      <c r="AB27" s="15">
        <f si="34" t="shared"/>
        <v>6.548899926385035E-3</v>
      </c>
      <c r="AC27" s="15">
        <f si="34" t="shared"/>
        <v>-1.0166191067852784E-3</v>
      </c>
      <c r="AD27" s="15">
        <f si="34" t="shared"/>
        <v>-5.1800348580362428E-4</v>
      </c>
      <c r="AE27" s="15">
        <f si="34" t="shared"/>
        <v>0</v>
      </c>
    </row>
    <row r="28" spans="1:39" x14ac:dyDescent="0.45">
      <c r="A28" s="5" t="s">
        <v>9</v>
      </c>
      <c r="B28" s="16">
        <f ref="B28:G28" si="39" t="shared">B19/$G$20</f>
        <v>5.1853197240457421E-4</v>
      </c>
      <c r="C28" s="16">
        <f si="39" t="shared"/>
        <v>4.6776095140518545E-2</v>
      </c>
      <c r="D28" s="16">
        <f si="39" t="shared"/>
        <v>0.25662500460110199</v>
      </c>
      <c r="E28" s="16">
        <f si="39" t="shared"/>
        <v>0.15225946714388072</v>
      </c>
      <c r="F28" s="16">
        <f si="39" t="shared"/>
        <v>5.9390022716128421E-2</v>
      </c>
      <c r="G28" s="16">
        <f si="39" t="shared"/>
        <v>0.51556912157403423</v>
      </c>
      <c r="I28" s="5" t="s">
        <v>9</v>
      </c>
      <c r="J28" s="16">
        <f ref="J28:O28" si="40" t="shared">J19/$O$20</f>
        <v>5.6687971853858141E-3</v>
      </c>
      <c r="K28" s="16">
        <f si="40" t="shared"/>
        <v>7.6940554377596823E-2</v>
      </c>
      <c r="L28" s="16">
        <f si="40" t="shared"/>
        <v>0.2446718245171115</v>
      </c>
      <c r="M28" s="16">
        <f si="40" t="shared"/>
        <v>0.12201978241998762</v>
      </c>
      <c r="N28" s="16">
        <f si="40" t="shared"/>
        <v>6.6268163073952488E-2</v>
      </c>
      <c r="O28" s="16">
        <f si="40" t="shared"/>
        <v>0.51556912157403423</v>
      </c>
      <c r="Q28" s="5" t="s">
        <v>9</v>
      </c>
      <c r="R28" s="16">
        <f si="33" t="shared"/>
        <v>6.975742930309765E-3</v>
      </c>
      <c r="S28" s="16">
        <f si="33" t="shared"/>
        <v>7.5123002530977728E-2</v>
      </c>
      <c r="T28" s="16">
        <f si="33" t="shared"/>
        <v>0.25734842131197722</v>
      </c>
      <c r="U28" s="16">
        <f si="33" t="shared"/>
        <v>0.11740426707414496</v>
      </c>
      <c r="V28" s="16">
        <f si="33" t="shared"/>
        <v>5.8717687726624543E-2</v>
      </c>
      <c r="W28" s="16">
        <f si="33" t="shared"/>
        <v>0.51556912157403423</v>
      </c>
      <c r="Y28" s="5" t="s">
        <v>9</v>
      </c>
      <c r="Z28" s="16">
        <f si="34" t="shared"/>
        <v>1.306945744923951E-3</v>
      </c>
      <c r="AA28" s="16">
        <f si="34" t="shared"/>
        <v>-1.8175518466190949E-3</v>
      </c>
      <c r="AB28" s="16">
        <f si="34" t="shared"/>
        <v>1.2676596794865713E-2</v>
      </c>
      <c r="AC28" s="16">
        <f si="34" t="shared"/>
        <v>-4.6155153458426607E-3</v>
      </c>
      <c r="AD28" s="16">
        <f si="34" t="shared"/>
        <v>-7.5504753473279451E-3</v>
      </c>
      <c r="AE28" s="16">
        <f si="34" t="shared"/>
        <v>0</v>
      </c>
    </row>
    <row ht="14.65" r="29" spans="1:39" thickBot="1" x14ac:dyDescent="0.5">
      <c r="A29" s="7" t="s">
        <v>4</v>
      </c>
      <c r="B29" s="17">
        <f ref="B29:G29" si="41" t="shared">B20/$G$20</f>
        <v>5.0225851486445303E-2</v>
      </c>
      <c r="C29" s="17">
        <f si="41" t="shared"/>
        <v>0.32555806281730759</v>
      </c>
      <c r="D29" s="17">
        <f si="41" t="shared"/>
        <v>0.39936267644685841</v>
      </c>
      <c r="E29" s="17">
        <f si="41" t="shared"/>
        <v>0.16083788680248212</v>
      </c>
      <c r="F29" s="17">
        <f si="41" t="shared"/>
        <v>6.4015522446906573E-2</v>
      </c>
      <c r="G29" s="17">
        <f si="41" t="shared"/>
        <v>1</v>
      </c>
      <c r="I29" s="7" t="s">
        <v>4</v>
      </c>
      <c r="J29" s="17">
        <f ref="J29:O29" si="42" t="shared">J20/$O$20</f>
        <v>4.6048043342671867E-2</v>
      </c>
      <c r="K29" s="17">
        <f si="42" t="shared"/>
        <v>0.30426632093731915</v>
      </c>
      <c r="L29" s="17">
        <f si="42" t="shared"/>
        <v>0.39741800107500302</v>
      </c>
      <c r="M29" s="17">
        <f si="42" t="shared"/>
        <v>0.16881103002827663</v>
      </c>
      <c r="N29" s="17">
        <f si="42" t="shared"/>
        <v>8.3456604616729435E-2</v>
      </c>
      <c r="O29" s="17">
        <f si="42" t="shared"/>
        <v>1</v>
      </c>
      <c r="Q29" s="7" t="s">
        <v>4</v>
      </c>
      <c r="R29" s="17">
        <f si="33" t="shared"/>
        <v>5.0995343697815693E-2</v>
      </c>
      <c r="S29" s="17">
        <f si="33" t="shared"/>
        <v>0.32864384887798298</v>
      </c>
      <c r="T29" s="17">
        <f si="33" t="shared"/>
        <v>0.39200041809661518</v>
      </c>
      <c r="U29" s="17">
        <f si="33" t="shared"/>
        <v>0.15647514689376613</v>
      </c>
      <c r="V29" s="17">
        <f si="33" t="shared"/>
        <v>7.1885242433820037E-2</v>
      </c>
      <c r="W29" s="17">
        <f si="33" t="shared"/>
        <v>1</v>
      </c>
      <c r="Y29" s="7" t="s">
        <v>4</v>
      </c>
      <c r="Z29" s="17">
        <f si="34" t="shared"/>
        <v>4.9473003551438258E-3</v>
      </c>
      <c r="AA29" s="17">
        <f si="34" t="shared"/>
        <v>2.4377527940663835E-2</v>
      </c>
      <c r="AB29" s="17">
        <f si="34" t="shared"/>
        <v>-5.4175829783878471E-3</v>
      </c>
      <c r="AC29" s="17">
        <f si="34" t="shared"/>
        <v>-1.2335883134510506E-2</v>
      </c>
      <c r="AD29" s="17">
        <f si="34" t="shared"/>
        <v>-1.1571362182909398E-2</v>
      </c>
      <c r="AE29" s="17">
        <f si="34" t="shared"/>
        <v>0</v>
      </c>
    </row>
  </sheetData>
  <conditionalFormatting sqref="Z25:AE29">
    <cfRule priority="2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16:AM20">
    <cfRule priority="1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bottom="0.75" footer="0.3" header="0.3" left="0.7" right="0.7" top="0.75"/>
  <pageSetup horizontalDpi="4294967293" orientation="portrait" r:id="rId1"/>
  <ignoredErrors>
    <ignoredError formulaRange="1" sqref="J10:M10 B9:E10 R10:U10"/>
  </ignoredErrors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N161"/>
  <sheetViews>
    <sheetView workbookViewId="0" zoomScale="80" zoomScaleNormal="80">
      <selection activeCell="J35" sqref="J35:J39"/>
    </sheetView>
  </sheetViews>
  <sheetFormatPr defaultRowHeight="14.25" x14ac:dyDescent="0.45"/>
  <cols>
    <col min="1" max="6" customWidth="true" width="9.265625" collapsed="true"/>
    <col min="7" max="7" bestFit="true" customWidth="true" width="9.86328125" collapsed="true"/>
    <col min="8" max="8" customWidth="true" width="9.265625" collapsed="true"/>
    <col min="9" max="9" customWidth="true" width="23.59765625" collapsed="true"/>
    <col min="10" max="10" bestFit="true" customWidth="true" width="21.0" collapsed="true"/>
    <col min="11" max="16" customWidth="true" width="9.265625" collapsed="true"/>
    <col min="17" max="17" customWidth="true" width="23.3984375" collapsed="true"/>
    <col min="18" max="23" customWidth="true" width="9.265625" collapsed="true"/>
  </cols>
  <sheetData>
    <row ht="21" r="1" spans="1:39" x14ac:dyDescent="0.65">
      <c r="A1" s="13" t="s">
        <v>131</v>
      </c>
      <c r="I1" s="13" t="s">
        <v>13</v>
      </c>
      <c r="Q1" s="13" t="s">
        <v>14</v>
      </c>
    </row>
    <row r="2" spans="1:39" x14ac:dyDescent="0.45">
      <c r="A2" s="1"/>
      <c r="I2" s="1"/>
      <c r="Q2" s="1"/>
    </row>
    <row r="3" spans="1:39" x14ac:dyDescent="0.45">
      <c r="A3" s="1" t="s">
        <v>0</v>
      </c>
      <c r="I3" s="1" t="s">
        <v>163</v>
      </c>
      <c r="Q3" s="1" t="s">
        <v>0</v>
      </c>
    </row>
    <row ht="14.65" r="4" spans="1:39" thickBot="1" x14ac:dyDescent="0.5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9" x14ac:dyDescent="0.45">
      <c r="A5" s="11" t="s">
        <v>1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11" t="s">
        <v>1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9" x14ac:dyDescent="0.45">
      <c r="A6" s="3">
        <v>1</v>
      </c>
      <c r="B6" s="4" t="n">
        <v>29343.104761821527</v>
      </c>
      <c r="C6" s="4" t="n">
        <v>175598.642134874</v>
      </c>
      <c r="D6" s="4" t="n">
        <v>27102.750847024836</v>
      </c>
      <c r="E6" s="4" t="n">
        <v>3877.7883362508737</v>
      </c>
      <c r="F6" s="4" t="n">
        <v>1348.88222086347</v>
      </c>
      <c r="G6" s="4">
        <f>SUM(B6:F6)</f>
        <v>237271.16830083475</v>
      </c>
      <c r="I6" s="3">
        <v>1</v>
      </c>
      <c r="J6">
        <v>22310</v>
      </c>
      <c r="K6">
        <v>170042</v>
      </c>
      <c r="L6">
        <v>37301</v>
      </c>
      <c r="M6">
        <v>7848</v>
      </c>
      <c r="N6">
        <v>2528</v>
      </c>
      <c r="O6" s="4">
        <f>SUM(J6:N6)</f>
        <v>240029</v>
      </c>
      <c r="Q6" s="3">
        <v>1</v>
      </c>
      <c r="R6" s="36" t="n">
        <v>25914.0</v>
      </c>
      <c r="S6" s="36" t="n">
        <v>197250.0</v>
      </c>
      <c r="T6" s="36" t="n">
        <v>43084.0</v>
      </c>
      <c r="U6" s="36" t="n">
        <v>8933.0</v>
      </c>
      <c r="V6" s="36" t="n">
        <v>2757.0</v>
      </c>
      <c r="W6" s="4">
        <f>SUM(R6:V6)</f>
        <v>277938</v>
      </c>
      <c r="Z6" s="38"/>
      <c r="AA6" s="38"/>
      <c r="AB6" s="38"/>
      <c r="AC6" s="38"/>
      <c r="AD6" s="38"/>
    </row>
    <row r="7" spans="1:39" x14ac:dyDescent="0.45">
      <c r="A7" s="3">
        <v>2</v>
      </c>
      <c r="B7" s="4" t="n">
        <v>6966.5898033560925</v>
      </c>
      <c r="C7" s="4" t="n">
        <v>58303.00102077403</v>
      </c>
      <c r="D7" s="4" t="n">
        <v>251369.7351800188</v>
      </c>
      <c r="E7" s="4" t="n">
        <v>65569.24288421094</v>
      </c>
      <c r="F7" s="4" t="n">
        <v>22101.748154960595</v>
      </c>
      <c r="G7" s="4">
        <f ref="G7:G10" si="0" t="shared">SUM(B7:F7)</f>
        <v>404310.31704332045</v>
      </c>
      <c r="I7" s="3">
        <v>2</v>
      </c>
      <c r="J7">
        <v>6902</v>
      </c>
      <c r="K7">
        <v>51202</v>
      </c>
      <c r="L7">
        <v>243749</v>
      </c>
      <c r="M7">
        <v>65977</v>
      </c>
      <c r="N7">
        <v>20683</v>
      </c>
      <c r="O7" s="4">
        <f ref="O7:O9" si="1" t="shared">SUM(J7:N7)</f>
        <v>388513</v>
      </c>
      <c r="Q7" s="3">
        <v>2</v>
      </c>
      <c r="R7" s="36" t="n">
        <v>7077.0</v>
      </c>
      <c r="S7" s="36" t="n">
        <v>53250.0</v>
      </c>
      <c r="T7" s="36" t="n">
        <v>249607.0</v>
      </c>
      <c r="U7" s="36" t="n">
        <v>65785.0</v>
      </c>
      <c r="V7" s="36" t="n">
        <v>19511.0</v>
      </c>
      <c r="W7" s="4">
        <f ref="W7:W10" si="2" t="shared">SUM(R7:V7)</f>
        <v>395230</v>
      </c>
      <c r="Z7" s="38"/>
      <c r="AA7" s="38"/>
      <c r="AB7" s="38"/>
      <c r="AC7" s="38"/>
      <c r="AD7" s="38"/>
    </row>
    <row r="8" spans="1:39" x14ac:dyDescent="0.45">
      <c r="A8" s="3">
        <v>3</v>
      </c>
      <c r="B8" s="4" t="n">
        <v>966.8312869369151</v>
      </c>
      <c r="C8" s="4" t="n">
        <v>4879.525120089265</v>
      </c>
      <c r="D8" s="4" t="n">
        <v>18842.075095332835</v>
      </c>
      <c r="E8" s="4" t="n">
        <v>39843.65692870419</v>
      </c>
      <c r="F8" s="4" t="n">
        <v>13190.330187175221</v>
      </c>
      <c r="G8" s="4">
        <f si="0" t="shared"/>
        <v>77722.418618238429</v>
      </c>
      <c r="I8" s="3">
        <v>3</v>
      </c>
      <c r="J8">
        <v>1378</v>
      </c>
      <c r="K8">
        <v>6783</v>
      </c>
      <c r="L8">
        <v>24236</v>
      </c>
      <c r="M8">
        <v>46576</v>
      </c>
      <c r="N8">
        <v>17765</v>
      </c>
      <c r="O8" s="4">
        <f si="1" t="shared"/>
        <v>96738</v>
      </c>
      <c r="Q8" s="3">
        <v>3</v>
      </c>
      <c r="R8" s="36" t="n">
        <v>1273.0</v>
      </c>
      <c r="S8" s="36" t="n">
        <v>6377.0</v>
      </c>
      <c r="T8" s="36" t="n">
        <v>22707.0</v>
      </c>
      <c r="U8" s="36" t="n">
        <v>42482.0</v>
      </c>
      <c r="V8" s="36" t="n">
        <v>15261.0</v>
      </c>
      <c r="W8" s="4">
        <f si="2" t="shared"/>
        <v>88100</v>
      </c>
      <c r="Z8" s="38"/>
      <c r="AA8" s="38"/>
      <c r="AB8" s="38"/>
      <c r="AC8" s="38"/>
      <c r="AD8" s="38"/>
    </row>
    <row r="9" spans="1:39" x14ac:dyDescent="0.45">
      <c r="A9" s="5" t="s">
        <v>3</v>
      </c>
      <c r="B9" s="4" t="n">
        <v>54.099772126285</v>
      </c>
      <c r="C9" s="4" t="n">
        <v>3634.682730481348</v>
      </c>
      <c r="D9" s="4" t="n">
        <v>3533.9959269439223</v>
      </c>
      <c r="E9" s="4" t="n">
        <v>12612.640199151863</v>
      </c>
      <c r="F9" s="4" t="n">
        <v>11908.458226294631</v>
      </c>
      <c r="G9" s="6">
        <f si="0" t="shared"/>
        <v>31743.876854998049</v>
      </c>
      <c r="I9" s="5" t="s">
        <v>3</v>
      </c>
      <c r="J9">
        <v>1071</v>
      </c>
      <c r="K9">
        <v>2616</v>
      </c>
      <c r="L9">
        <v>5651</v>
      </c>
      <c r="M9">
        <v>12247</v>
      </c>
      <c r="N9">
        <v>24549</v>
      </c>
      <c r="O9" s="4">
        <f si="1" t="shared"/>
        <v>46134</v>
      </c>
      <c r="Q9" s="5" t="s">
        <v>3</v>
      </c>
      <c r="R9" s="36" t="n">
        <v>965.0</v>
      </c>
      <c r="S9" s="36" t="n">
        <v>2493.0</v>
      </c>
      <c r="T9" s="36" t="n">
        <v>5536.0</v>
      </c>
      <c r="U9" s="36" t="n">
        <v>11642.0</v>
      </c>
      <c r="V9" s="36" t="n">
        <v>21731.0</v>
      </c>
      <c r="W9" s="6">
        <f si="2" t="shared"/>
        <v>42367</v>
      </c>
      <c r="Z9" s="38"/>
      <c r="AA9" s="38"/>
      <c r="AB9" s="38"/>
      <c r="AC9" s="38"/>
      <c r="AD9" s="38"/>
    </row>
    <row ht="14.65" r="10" spans="1:39" thickBot="1" x14ac:dyDescent="0.5">
      <c r="A10" s="7" t="s">
        <v>4</v>
      </c>
      <c r="B10" s="8">
        <f>SUM(B6:B9)</f>
        <v>37330.62562424082</v>
      </c>
      <c r="C10" s="8">
        <f ref="C10:F10" si="3" t="shared">SUM(C6:C9)</f>
        <v>242415.85100621864</v>
      </c>
      <c r="D10" s="8">
        <f si="3" t="shared"/>
        <v>300848.55704932031</v>
      </c>
      <c r="E10" s="8">
        <f si="3" t="shared"/>
        <v>121903.32834831787</v>
      </c>
      <c r="F10" s="8">
        <f si="3" t="shared"/>
        <v>48549.418789293923</v>
      </c>
      <c r="G10" s="8">
        <f si="0" t="shared"/>
        <v>751047.7808173917</v>
      </c>
      <c r="I10" s="7" t="s">
        <v>4</v>
      </c>
      <c r="J10" s="8">
        <f>SUM(J6:J9)</f>
        <v>31661</v>
      </c>
      <c r="K10" s="8">
        <f ref="K10:O10" si="4" t="shared">SUM(K6:K9)</f>
        <v>230643</v>
      </c>
      <c r="L10" s="8">
        <f si="4" t="shared"/>
        <v>310937</v>
      </c>
      <c r="M10" s="8">
        <f si="4" t="shared"/>
        <v>132648</v>
      </c>
      <c r="N10" s="8">
        <f si="4" t="shared"/>
        <v>65525</v>
      </c>
      <c r="O10" s="8">
        <f si="4" t="shared"/>
        <v>771414</v>
      </c>
      <c r="Q10" s="7" t="s">
        <v>4</v>
      </c>
      <c r="R10" s="8">
        <f>SUM(R6:R9)</f>
        <v>40976</v>
      </c>
      <c r="S10" s="8">
        <f ref="S10" si="5" t="shared">SUM(S6:S9)</f>
        <v>264112</v>
      </c>
      <c r="T10" s="8">
        <f ref="T10" si="6" t="shared">SUM(T6:T9)</f>
        <v>315028</v>
      </c>
      <c r="U10" s="8">
        <f ref="U10" si="7" t="shared">SUM(U6:U9)</f>
        <v>125750</v>
      </c>
      <c r="V10" s="8">
        <f ref="V10" si="8" t="shared">SUM(V6:V9)</f>
        <v>57769</v>
      </c>
      <c r="W10" s="8">
        <f si="2" t="shared"/>
        <v>803635</v>
      </c>
    </row>
    <row r="11" spans="1:39" x14ac:dyDescent="0.45">
      <c r="A11" s="3"/>
      <c r="B11" s="4"/>
      <c r="C11" s="4"/>
      <c r="D11" s="4"/>
      <c r="E11" s="4"/>
      <c r="F11" s="4"/>
      <c r="G11" s="4"/>
      <c r="I11" s="3" t="s">
        <v>199</v>
      </c>
      <c r="J11" s="4">
        <v>32545</v>
      </c>
      <c r="K11" s="4">
        <v>246387</v>
      </c>
      <c r="L11" s="4">
        <v>306868</v>
      </c>
      <c r="M11" s="4">
        <v>122749</v>
      </c>
      <c r="N11" s="4">
        <v>57361</v>
      </c>
      <c r="O11" s="4">
        <f>SUM(J11:N11)</f>
        <v>765910</v>
      </c>
      <c r="Q11" s="3"/>
      <c r="R11" s="4"/>
      <c r="S11" s="4"/>
      <c r="T11" s="4"/>
      <c r="U11" s="4"/>
      <c r="V11" s="4"/>
      <c r="W11" s="4"/>
    </row>
    <row r="12" spans="1:39" x14ac:dyDescent="0.45">
      <c r="A12" s="3"/>
      <c r="B12" s="4"/>
      <c r="C12" s="4"/>
      <c r="D12" s="4"/>
      <c r="E12" s="4"/>
      <c r="F12" s="4"/>
      <c r="G12" s="4"/>
      <c r="I12" s="3"/>
      <c r="J12" s="91">
        <f>J11/$O$11</f>
        <v>4.2491937695029444E-2</v>
      </c>
      <c r="K12" s="91">
        <f ref="K12:O12" si="9" t="shared">K11/$O$11</f>
        <v>0.32169184368920628</v>
      </c>
      <c r="L12" s="91">
        <f si="9" t="shared"/>
        <v>0.40065804076196943</v>
      </c>
      <c r="M12" s="91">
        <f si="9" t="shared"/>
        <v>0.16026556645036624</v>
      </c>
      <c r="N12" s="91">
        <f si="9" t="shared"/>
        <v>7.4892611403428608E-2</v>
      </c>
      <c r="O12" s="90">
        <f si="9" t="shared"/>
        <v>1</v>
      </c>
      <c r="Q12" s="3"/>
      <c r="R12" s="4"/>
      <c r="S12" s="4"/>
      <c r="T12" s="4"/>
      <c r="U12" s="4"/>
      <c r="V12" s="4"/>
      <c r="W12" s="4"/>
    </row>
    <row r="13" spans="1:39" x14ac:dyDescent="0.45">
      <c r="A13" s="1" t="s">
        <v>0</v>
      </c>
      <c r="I13" s="1" t="s">
        <v>196</v>
      </c>
      <c r="Q13" s="1" t="s">
        <v>0</v>
      </c>
      <c r="Y13" s="1" t="s">
        <v>22</v>
      </c>
      <c r="AG13" s="1" t="s">
        <v>23</v>
      </c>
    </row>
    <row ht="14.65" r="14" spans="1:39" thickBot="1" x14ac:dyDescent="0.5">
      <c r="A14" s="12"/>
      <c r="B14" s="10" t="s">
        <v>2</v>
      </c>
      <c r="C14" s="9"/>
      <c r="D14" s="9"/>
      <c r="E14" s="9"/>
      <c r="F14" s="9"/>
      <c r="G14" s="9"/>
      <c r="I14" s="12"/>
      <c r="J14" s="10" t="s">
        <v>2</v>
      </c>
      <c r="K14" s="9"/>
      <c r="L14" s="9"/>
      <c r="M14" s="9"/>
      <c r="N14" s="9"/>
      <c r="O14" s="9"/>
      <c r="Q14" s="12"/>
      <c r="R14" s="10" t="s">
        <v>2</v>
      </c>
      <c r="S14" s="9"/>
      <c r="T14" s="9"/>
      <c r="U14" s="9"/>
      <c r="V14" s="9"/>
      <c r="W14" s="9"/>
      <c r="Y14" s="12"/>
      <c r="Z14" s="10" t="s">
        <v>2</v>
      </c>
      <c r="AA14" s="9"/>
      <c r="AB14" s="9"/>
      <c r="AC14" s="9"/>
      <c r="AD14" s="9"/>
      <c r="AE14" s="9"/>
      <c r="AG14" s="12"/>
      <c r="AH14" s="10" t="s">
        <v>2</v>
      </c>
      <c r="AI14" s="9"/>
      <c r="AJ14" s="9"/>
      <c r="AK14" s="9"/>
      <c r="AL14" s="9"/>
      <c r="AM14" s="9"/>
    </row>
    <row r="15" spans="1:39" x14ac:dyDescent="0.45">
      <c r="A15" s="11" t="s">
        <v>1</v>
      </c>
      <c r="B15" s="2">
        <v>0</v>
      </c>
      <c r="C15" s="2">
        <v>1</v>
      </c>
      <c r="D15" s="2">
        <v>2</v>
      </c>
      <c r="E15" s="2">
        <v>3</v>
      </c>
      <c r="F15" s="2" t="s">
        <v>3</v>
      </c>
      <c r="G15" s="2" t="s">
        <v>4</v>
      </c>
      <c r="I15" s="11" t="s">
        <v>1</v>
      </c>
      <c r="J15" s="2">
        <v>0</v>
      </c>
      <c r="K15" s="2">
        <v>1</v>
      </c>
      <c r="L15" s="2">
        <v>2</v>
      </c>
      <c r="M15" s="2">
        <v>3</v>
      </c>
      <c r="N15" s="2" t="s">
        <v>3</v>
      </c>
      <c r="O15" s="2" t="s">
        <v>4</v>
      </c>
      <c r="Q15" s="11" t="s">
        <v>1</v>
      </c>
      <c r="R15" s="2">
        <v>0</v>
      </c>
      <c r="S15" s="2">
        <v>1</v>
      </c>
      <c r="T15" s="2">
        <v>2</v>
      </c>
      <c r="U15" s="2">
        <v>3</v>
      </c>
      <c r="V15" s="2" t="s">
        <v>3</v>
      </c>
      <c r="W15" s="2" t="s">
        <v>4</v>
      </c>
      <c r="Y15" s="11" t="s">
        <v>1</v>
      </c>
      <c r="Z15" s="2">
        <v>0</v>
      </c>
      <c r="AA15" s="2">
        <v>1</v>
      </c>
      <c r="AB15" s="2">
        <v>2</v>
      </c>
      <c r="AC15" s="2">
        <v>3</v>
      </c>
      <c r="AD15" s="2" t="s">
        <v>3</v>
      </c>
      <c r="AE15" s="2" t="s">
        <v>4</v>
      </c>
      <c r="AG15" s="11" t="s">
        <v>1</v>
      </c>
      <c r="AH15" s="2">
        <v>0</v>
      </c>
      <c r="AI15" s="2">
        <v>1</v>
      </c>
      <c r="AJ15" s="2">
        <v>2</v>
      </c>
      <c r="AK15" s="2">
        <v>3</v>
      </c>
      <c r="AL15" s="2" t="s">
        <v>3</v>
      </c>
      <c r="AM15" s="2" t="s">
        <v>4</v>
      </c>
    </row>
    <row r="16" spans="1:39" x14ac:dyDescent="0.45">
      <c r="A16" s="3">
        <v>1</v>
      </c>
      <c r="B16" s="4">
        <f>($W6/$G6)*B6</f>
        <v>34372.334024801356</v>
      </c>
      <c r="C16" s="4">
        <f ref="C16:F16" si="10" t="shared">($W6/$G6)*C6</f>
        <v>205695.17884196682</v>
      </c>
      <c r="D16" s="4">
        <f si="10" t="shared"/>
        <v>31747.997107552012</v>
      </c>
      <c r="E16" s="4">
        <f si="10" t="shared"/>
        <v>4542.4176157567454</v>
      </c>
      <c r="F16" s="4">
        <f si="10" t="shared"/>
        <v>1580.0724099230226</v>
      </c>
      <c r="G16" s="4">
        <f>($W6/$G6)*G6</f>
        <v>277938</v>
      </c>
      <c r="I16" s="3">
        <v>1</v>
      </c>
      <c r="J16" s="4">
        <f>J156</f>
        <v>25102.779427206373</v>
      </c>
      <c r="K16" s="4">
        <f ref="K16:N16" si="11" t="shared">K156</f>
        <v>197517.45666014167</v>
      </c>
      <c r="L16" s="4">
        <f si="11" t="shared"/>
        <v>43624.632741076268</v>
      </c>
      <c r="M16" s="4">
        <f si="11" t="shared"/>
        <v>8943.2323266326548</v>
      </c>
      <c r="N16" s="4">
        <f si="11" t="shared"/>
        <v>2766.078142264173</v>
      </c>
      <c r="O16" s="4">
        <f>SUM(J16:N16)</f>
        <v>277954.17929732113</v>
      </c>
      <c r="Q16" s="3">
        <v>1</v>
      </c>
      <c r="R16" s="4">
        <f>R6</f>
        <v>31102</v>
      </c>
      <c r="S16" s="4">
        <f ref="S16:V16" si="12" t="shared">S6</f>
        <v>197650</v>
      </c>
      <c r="T16" s="4">
        <f si="12" t="shared"/>
        <v>39043</v>
      </c>
      <c r="U16" s="4">
        <f si="12" t="shared"/>
        <v>7782</v>
      </c>
      <c r="V16" s="4">
        <f si="12" t="shared"/>
        <v>2361</v>
      </c>
      <c r="W16" s="4">
        <f>SUM(R16:V16)</f>
        <v>277938</v>
      </c>
      <c r="Y16" s="3">
        <v>1</v>
      </c>
      <c r="Z16" s="4">
        <f>R16-J16</f>
        <v>5999.2205727936271</v>
      </c>
      <c r="AA16" s="4">
        <f ref="AA16:AA20" si="13" t="shared">S16-K16</f>
        <v>132.54333985832636</v>
      </c>
      <c r="AB16" s="4">
        <f ref="AB16:AB20" si="14" t="shared">T16-L16</f>
        <v>-4581.6327410762678</v>
      </c>
      <c r="AC16" s="4">
        <f ref="AC16:AC20" si="15" t="shared">U16-M16</f>
        <v>-1161.2323266326548</v>
      </c>
      <c r="AD16" s="4">
        <f ref="AD16:AD20" si="16" t="shared">V16-N16</f>
        <v>-405.07814226417304</v>
      </c>
      <c r="AE16" s="4">
        <f ref="AE16:AE19" si="17" t="shared">W16-O16</f>
        <v>-16.179297321126796</v>
      </c>
      <c r="AG16" s="3">
        <v>1</v>
      </c>
      <c r="AH16" s="15">
        <f>Z16/J16</f>
        <v>0.23898630787838882</v>
      </c>
      <c r="AI16" s="15">
        <f ref="AI16:AI20" si="18" t="shared">AA16/K16</f>
        <v>6.7104620573556195E-4</v>
      </c>
      <c r="AJ16" s="15">
        <f ref="AJ16:AJ20" si="19" t="shared">AB16/L16</f>
        <v>-0.10502398423086952</v>
      </c>
      <c r="AK16" s="15">
        <f ref="AK16:AK20" si="20" t="shared">AC16/M16</f>
        <v>-0.12984481272778106</v>
      </c>
      <c r="AL16" s="15">
        <f ref="AL16:AL20" si="21" t="shared">AD16/N16</f>
        <v>-0.14644493807850142</v>
      </c>
      <c r="AM16" s="15">
        <f ref="AM16:AM20" si="22" t="shared">AE16/O16</f>
        <v>-5.8208505308424155E-5</v>
      </c>
    </row>
    <row r="17" spans="1:39" x14ac:dyDescent="0.45">
      <c r="A17" s="3">
        <v>2</v>
      </c>
      <c r="B17" s="4">
        <f ref="B17:G17" si="23" t="shared">($W7/$G7)*B7</f>
        <v>6810.1286855992121</v>
      </c>
      <c r="C17" s="4">
        <f si="23" t="shared"/>
        <v>56993.586663709924</v>
      </c>
      <c r="D17" s="4">
        <f si="23" t="shared"/>
        <v>245724.27723765935</v>
      </c>
      <c r="E17" s="4">
        <f si="23" t="shared"/>
        <v>64096.63758926536</v>
      </c>
      <c r="F17" s="4">
        <f si="23" t="shared"/>
        <v>21605.369823766137</v>
      </c>
      <c r="G17" s="4">
        <f si="23" t="shared"/>
        <v>395230</v>
      </c>
      <c r="I17" s="3">
        <v>2</v>
      </c>
      <c r="J17" s="4">
        <f ref="J17:N17" si="24" t="shared">J157</f>
        <v>6818.6923235566937</v>
      </c>
      <c r="K17" s="4">
        <f si="24" t="shared"/>
        <v>52220.389322754781</v>
      </c>
      <c r="L17" s="4">
        <f si="24" t="shared"/>
        <v>250298.38720635851</v>
      </c>
      <c r="M17" s="4">
        <f si="24" t="shared"/>
        <v>66013.381896015766</v>
      </c>
      <c r="N17" s="4">
        <f si="24" t="shared"/>
        <v>19870.317514768329</v>
      </c>
      <c r="O17" s="4">
        <f ref="O17:O19" si="25" t="shared">SUM(J17:N17)</f>
        <v>395221.16826345411</v>
      </c>
      <c r="Q17" s="3">
        <v>2</v>
      </c>
      <c r="R17" s="4">
        <f ref="R17:V17" si="26" t="shared">R7</f>
        <v>7418</v>
      </c>
      <c r="S17" s="4">
        <f si="26" t="shared"/>
        <v>56982</v>
      </c>
      <c r="T17" s="4">
        <f si="26" t="shared"/>
        <v>247024</v>
      </c>
      <c r="U17" s="4">
        <f si="26" t="shared"/>
        <v>64755</v>
      </c>
      <c r="V17" s="4">
        <f si="26" t="shared"/>
        <v>19051</v>
      </c>
      <c r="W17" s="4">
        <f ref="W17:W20" si="27" t="shared">SUM(R17:V17)</f>
        <v>395230</v>
      </c>
      <c r="Y17" s="3">
        <v>2</v>
      </c>
      <c r="Z17" s="4">
        <f ref="Z17:Z20" si="28" t="shared">R17-J17</f>
        <v>599.30767644330626</v>
      </c>
      <c r="AA17" s="4">
        <f si="13" t="shared"/>
        <v>4761.6106772452185</v>
      </c>
      <c r="AB17" s="4">
        <f si="14" t="shared"/>
        <v>-3274.387206358515</v>
      </c>
      <c r="AC17" s="4">
        <f si="15" t="shared"/>
        <v>-1258.381896015766</v>
      </c>
      <c r="AD17" s="4">
        <f si="16" t="shared"/>
        <v>-819.31751476832869</v>
      </c>
      <c r="AE17" s="4">
        <f si="17" t="shared"/>
        <v>8.8317365458933637</v>
      </c>
      <c r="AG17" s="3">
        <v>2</v>
      </c>
      <c r="AH17" s="15">
        <f ref="AH17:AH20" si="29" t="shared">Z17/J17</f>
        <v>8.7891878384490849E-2</v>
      </c>
      <c r="AI17" s="15">
        <f si="18" t="shared"/>
        <v>9.1182979273009168E-2</v>
      </c>
      <c r="AJ17" s="15">
        <f si="19" t="shared"/>
        <v>-1.308193489740286E-2</v>
      </c>
      <c r="AK17" s="15">
        <f si="20" t="shared"/>
        <v>-1.9062527322080972E-2</v>
      </c>
      <c r="AL17" s="15">
        <f si="21" t="shared"/>
        <v>-4.1233237171946685E-2</v>
      </c>
      <c r="AM17" s="15">
        <f si="22" t="shared"/>
        <v>2.2346314557741846E-5</v>
      </c>
    </row>
    <row r="18" spans="1:39" x14ac:dyDescent="0.45">
      <c r="A18" s="3">
        <v>3</v>
      </c>
      <c r="B18" s="4">
        <f ref="B18:G18" si="30" t="shared">($W8/$G8)*B8</f>
        <v>1095.9236458855426</v>
      </c>
      <c r="C18" s="4">
        <f si="30" t="shared"/>
        <v>5531.0445907686508</v>
      </c>
      <c r="D18" s="4">
        <f si="30" t="shared"/>
        <v>21357.889337598259</v>
      </c>
      <c r="E18" s="4">
        <f si="30" t="shared"/>
        <v>45163.625088156048</v>
      </c>
      <c r="F18" s="4">
        <f si="30" t="shared"/>
        <v>14951.517337591511</v>
      </c>
      <c r="G18" s="4">
        <f si="30" t="shared"/>
        <v>88100.000000000015</v>
      </c>
      <c r="I18" s="3">
        <v>3</v>
      </c>
      <c r="J18" s="4">
        <f ref="J18:N18" si="31" t="shared">J158</f>
        <v>1238.500522530632</v>
      </c>
      <c r="K18" s="4">
        <f si="31" t="shared"/>
        <v>6293.5521355064757</v>
      </c>
      <c r="L18" s="4">
        <f si="31" t="shared"/>
        <v>22641.072194609413</v>
      </c>
      <c r="M18" s="4">
        <f si="31" t="shared"/>
        <v>42395.76180936888</v>
      </c>
      <c r="N18" s="4">
        <f si="31" t="shared"/>
        <v>15526.634290348191</v>
      </c>
      <c r="O18" s="4">
        <f si="25" t="shared"/>
        <v>88095.520952363586</v>
      </c>
      <c r="Q18" s="3">
        <v>3</v>
      </c>
      <c r="R18" s="4">
        <f ref="R18:V18" si="32" t="shared">R8</f>
        <v>1325</v>
      </c>
      <c r="S18" s="4">
        <f si="32" t="shared"/>
        <v>6819</v>
      </c>
      <c r="T18" s="4">
        <f si="32" t="shared"/>
        <v>23430</v>
      </c>
      <c r="U18" s="4">
        <f si="32" t="shared"/>
        <v>41209</v>
      </c>
      <c r="V18" s="4">
        <f si="32" t="shared"/>
        <v>15317</v>
      </c>
      <c r="W18" s="4">
        <f si="27" t="shared"/>
        <v>88100</v>
      </c>
      <c r="Y18" s="3">
        <v>3</v>
      </c>
      <c r="Z18" s="4">
        <f si="28" t="shared"/>
        <v>86.499477469368003</v>
      </c>
      <c r="AA18" s="4">
        <f si="13" t="shared"/>
        <v>525.44786449352432</v>
      </c>
      <c r="AB18" s="4">
        <f si="14" t="shared"/>
        <v>788.92780539058731</v>
      </c>
      <c r="AC18" s="4">
        <f si="15" t="shared"/>
        <v>-1186.7618093688798</v>
      </c>
      <c r="AD18" s="4">
        <f si="16" t="shared"/>
        <v>-209.63429034819092</v>
      </c>
      <c r="AE18" s="4">
        <f si="17" t="shared"/>
        <v>4.4790476364141796</v>
      </c>
      <c r="AG18" s="3">
        <v>3</v>
      </c>
      <c r="AH18" s="15">
        <f si="29" t="shared"/>
        <v>6.9842100100711582E-2</v>
      </c>
      <c r="AI18" s="15">
        <f si="18" t="shared"/>
        <v>8.3489872361443257E-2</v>
      </c>
      <c r="AJ18" s="15">
        <f si="19" t="shared"/>
        <v>3.4844984310346494E-2</v>
      </c>
      <c r="AK18" s="15">
        <f si="20" t="shared"/>
        <v>-2.7992463367095852E-2</v>
      </c>
      <c r="AL18" s="15">
        <f si="21" t="shared"/>
        <v>-1.3501592581368758E-2</v>
      </c>
      <c r="AM18" s="15">
        <f si="22" t="shared"/>
        <v>5.0843080192875656E-5</v>
      </c>
    </row>
    <row r="19" spans="1:39" x14ac:dyDescent="0.45">
      <c r="A19" s="5" t="s">
        <v>3</v>
      </c>
      <c r="B19" s="4">
        <f ref="B19:G19" si="33" t="shared">($W9/$G9)*B9</f>
        <v>72.204320100663324</v>
      </c>
      <c r="C19" s="4">
        <f si="33" t="shared"/>
        <v>4851.0332857486992</v>
      </c>
      <c r="D19" s="4">
        <f si="33" t="shared"/>
        <v>4716.6515331683286</v>
      </c>
      <c r="E19" s="4">
        <f si="33" t="shared"/>
        <v>16833.474051022615</v>
      </c>
      <c r="F19" s="4">
        <f si="33" t="shared"/>
        <v>15893.636809959697</v>
      </c>
      <c r="G19" s="6">
        <f si="33" t="shared"/>
        <v>42367</v>
      </c>
      <c r="I19" s="5" t="s">
        <v>3</v>
      </c>
      <c r="J19" s="4">
        <f ref="J19:N19" si="34" t="shared">J159</f>
        <v>988.03607625128791</v>
      </c>
      <c r="K19" s="4">
        <f si="34" t="shared"/>
        <v>2491.4266847723993</v>
      </c>
      <c r="L19" s="4">
        <f si="34" t="shared"/>
        <v>5418.7324457011664</v>
      </c>
      <c r="M19" s="4">
        <f si="34" t="shared"/>
        <v>11442.642462322818</v>
      </c>
      <c r="N19" s="4">
        <f si="34" t="shared"/>
        <v>22023.293817813661</v>
      </c>
      <c r="O19" s="4">
        <f si="25" t="shared"/>
        <v>42364.131486861334</v>
      </c>
      <c r="Q19" s="5" t="s">
        <v>3</v>
      </c>
      <c r="R19" s="4">
        <f ref="R19:V19" si="35" t="shared">R9</f>
        <v>1131</v>
      </c>
      <c r="S19" s="4">
        <f si="35" t="shared"/>
        <v>2661</v>
      </c>
      <c r="T19" s="4">
        <f si="35" t="shared"/>
        <v>5531</v>
      </c>
      <c r="U19" s="4">
        <f si="35" t="shared"/>
        <v>12004</v>
      </c>
      <c r="V19" s="4">
        <f si="35" t="shared"/>
        <v>21040</v>
      </c>
      <c r="W19" s="6">
        <f si="27" t="shared"/>
        <v>42367</v>
      </c>
      <c r="Y19" s="5" t="s">
        <v>3</v>
      </c>
      <c r="Z19" s="4">
        <f si="28" t="shared"/>
        <v>142.96392374871209</v>
      </c>
      <c r="AA19" s="4">
        <f si="13" t="shared"/>
        <v>169.57331522760069</v>
      </c>
      <c r="AB19" s="4">
        <f si="14" t="shared"/>
        <v>112.2675542988336</v>
      </c>
      <c r="AC19" s="4">
        <f si="15" t="shared"/>
        <v>561.35753767718234</v>
      </c>
      <c r="AD19" s="4">
        <f si="16" t="shared"/>
        <v>-983.29381781366101</v>
      </c>
      <c r="AE19" s="6">
        <f si="17" t="shared"/>
        <v>2.868513138666458</v>
      </c>
      <c r="AG19" s="5" t="s">
        <v>3</v>
      </c>
      <c r="AH19" s="15">
        <f si="29" t="shared"/>
        <v>0.14469504422463211</v>
      </c>
      <c r="AI19" s="15">
        <f si="18" t="shared"/>
        <v>6.8062735405393565E-2</v>
      </c>
      <c r="AJ19" s="15">
        <f si="19" t="shared"/>
        <v>2.0718416239188672E-2</v>
      </c>
      <c r="AK19" s="15">
        <f si="20" t="shared"/>
        <v>4.9058383107360382E-2</v>
      </c>
      <c r="AL19" s="15">
        <f si="21" t="shared"/>
        <v>-4.4647899898530095E-2</v>
      </c>
      <c r="AM19" s="16">
        <f si="22" t="shared"/>
        <v>6.7710892162538224E-5</v>
      </c>
    </row>
    <row ht="14.65" r="20" spans="1:39" thickBot="1" x14ac:dyDescent="0.5">
      <c r="A20" s="7" t="s">
        <v>4</v>
      </c>
      <c r="B20" s="8">
        <f>SUM(B16:B19)</f>
        <v>42350.590676386775</v>
      </c>
      <c r="C20" s="8">
        <f ref="C20:G20" si="36" t="shared">SUM(C16:C19)</f>
        <v>273070.84338219406</v>
      </c>
      <c r="D20" s="8">
        <f si="36" t="shared"/>
        <v>303546.8152159779</v>
      </c>
      <c r="E20" s="8">
        <f si="36" t="shared"/>
        <v>130636.15434420077</v>
      </c>
      <c r="F20" s="8">
        <f si="36" t="shared"/>
        <v>54030.596381240364</v>
      </c>
      <c r="G20" s="8">
        <f si="36" t="shared"/>
        <v>803635</v>
      </c>
      <c r="I20" s="7" t="s">
        <v>4</v>
      </c>
      <c r="J20" s="8">
        <f>SUM(J16:J19)</f>
        <v>34148.008349544987</v>
      </c>
      <c r="K20" s="8">
        <f ref="K20:N20" si="37" t="shared">SUM(K16:K19)</f>
        <v>258522.82480317532</v>
      </c>
      <c r="L20" s="8">
        <f si="37" t="shared"/>
        <v>321982.82458774536</v>
      </c>
      <c r="M20" s="8">
        <f si="37" t="shared"/>
        <v>128795.01849434013</v>
      </c>
      <c r="N20" s="8">
        <f si="37" t="shared"/>
        <v>60186.323765194356</v>
      </c>
      <c r="O20" s="8">
        <f>SUM(J20:N20)</f>
        <v>803635.00000000012</v>
      </c>
      <c r="Q20" s="7" t="s">
        <v>4</v>
      </c>
      <c r="R20" s="8">
        <f>SUM(R16:R19)</f>
        <v>40976</v>
      </c>
      <c r="S20" s="8">
        <f ref="S20:V20" si="38" t="shared">SUM(S16:S19)</f>
        <v>264112</v>
      </c>
      <c r="T20" s="8">
        <f si="38" t="shared"/>
        <v>315028</v>
      </c>
      <c r="U20" s="8">
        <f si="38" t="shared"/>
        <v>125750</v>
      </c>
      <c r="V20" s="8">
        <f si="38" t="shared"/>
        <v>57769</v>
      </c>
      <c r="W20" s="8">
        <f si="27" t="shared"/>
        <v>803635</v>
      </c>
      <c r="Y20" s="7" t="s">
        <v>4</v>
      </c>
      <c r="Z20" s="8">
        <f si="28" t="shared"/>
        <v>6827.9916504550129</v>
      </c>
      <c r="AA20" s="8">
        <f si="13" t="shared"/>
        <v>5589.1751968246826</v>
      </c>
      <c r="AB20" s="8">
        <f si="14" t="shared"/>
        <v>-6954.8245877453592</v>
      </c>
      <c r="AC20" s="8">
        <f si="15" t="shared"/>
        <v>-3045.0184943401255</v>
      </c>
      <c r="AD20" s="8">
        <f si="16" t="shared"/>
        <v>-2417.3237651943564</v>
      </c>
      <c r="AE20" s="8">
        <f>W20-O20</f>
        <v>0</v>
      </c>
      <c r="AG20" s="7" t="s">
        <v>4</v>
      </c>
      <c r="AH20" s="17">
        <f si="29" t="shared"/>
        <v>0.19995285173186372</v>
      </c>
      <c r="AI20" s="17">
        <f si="18" t="shared"/>
        <v>2.1619658539163669E-2</v>
      </c>
      <c r="AJ20" s="17">
        <f si="19" t="shared"/>
        <v>-2.1599986262155608E-2</v>
      </c>
      <c r="AK20" s="17">
        <f si="20" t="shared"/>
        <v>-2.3642362336194999E-2</v>
      </c>
      <c r="AL20" s="17">
        <f si="21" t="shared"/>
        <v>-4.0164004278199335E-2</v>
      </c>
      <c r="AM20" s="17">
        <f si="22" t="shared"/>
        <v>0</v>
      </c>
    </row>
    <row r="21" spans="1:39" x14ac:dyDescent="0.45">
      <c r="A21" s="3"/>
      <c r="B21" s="4"/>
      <c r="C21" s="4"/>
      <c r="D21" s="4"/>
      <c r="E21" s="4"/>
      <c r="F21" s="4"/>
      <c r="G21" s="4"/>
      <c r="I21" s="3"/>
      <c r="J21" s="4"/>
      <c r="K21" s="4"/>
      <c r="L21" s="4"/>
      <c r="M21" s="4"/>
      <c r="N21" s="4"/>
      <c r="O21" s="4"/>
      <c r="Q21" s="3"/>
      <c r="R21" s="4"/>
      <c r="S21" s="4"/>
      <c r="T21" s="4"/>
      <c r="U21" s="4"/>
      <c r="V21" s="4"/>
      <c r="W21" s="4"/>
    </row>
    <row r="22" spans="1:39" x14ac:dyDescent="0.45">
      <c r="I22" s="29" t="s">
        <v>136</v>
      </c>
    </row>
    <row ht="14.65" r="23" spans="1:39" thickBot="1" x14ac:dyDescent="0.5">
      <c r="A23" s="12"/>
      <c r="B23" s="10" t="s">
        <v>2</v>
      </c>
      <c r="C23" s="9"/>
      <c r="D23" s="9"/>
      <c r="E23" s="9"/>
      <c r="F23" s="9"/>
      <c r="G23" s="9"/>
      <c r="I23" s="12"/>
      <c r="J23" s="10" t="s">
        <v>2</v>
      </c>
      <c r="K23" s="9"/>
      <c r="L23" s="9"/>
      <c r="M23" s="9"/>
      <c r="N23" s="9"/>
      <c r="O23" s="9"/>
      <c r="Q23" s="12"/>
      <c r="R23" s="10" t="s">
        <v>2</v>
      </c>
      <c r="S23" s="9"/>
      <c r="T23" s="9"/>
      <c r="U23" s="9"/>
      <c r="V23" s="9"/>
      <c r="W23" s="9"/>
    </row>
    <row r="24" spans="1:39" x14ac:dyDescent="0.45">
      <c r="A24" s="11" t="s">
        <v>1</v>
      </c>
      <c r="B24" s="2">
        <v>0</v>
      </c>
      <c r="C24" s="2">
        <v>1</v>
      </c>
      <c r="D24" s="2">
        <v>2</v>
      </c>
      <c r="E24" s="2">
        <v>3</v>
      </c>
      <c r="F24" s="2" t="s">
        <v>3</v>
      </c>
      <c r="G24" s="2" t="s">
        <v>4</v>
      </c>
      <c r="I24" s="11" t="s">
        <v>1</v>
      </c>
      <c r="J24" s="2">
        <v>0</v>
      </c>
      <c r="K24" s="2">
        <v>1</v>
      </c>
      <c r="L24" s="2">
        <v>2</v>
      </c>
      <c r="M24" s="2">
        <v>3</v>
      </c>
      <c r="N24" s="2" t="s">
        <v>3</v>
      </c>
      <c r="O24" s="2" t="s">
        <v>4</v>
      </c>
      <c r="Q24" s="11" t="s">
        <v>1</v>
      </c>
      <c r="R24" s="2">
        <v>0</v>
      </c>
      <c r="S24" s="2">
        <v>1</v>
      </c>
      <c r="T24" s="2">
        <v>2</v>
      </c>
      <c r="U24" s="2">
        <v>3</v>
      </c>
      <c r="V24" s="2" t="s">
        <v>3</v>
      </c>
      <c r="W24" s="2" t="s">
        <v>4</v>
      </c>
    </row>
    <row r="25" spans="1:39" x14ac:dyDescent="0.45">
      <c r="A25" s="3">
        <v>1</v>
      </c>
      <c r="B25" s="15">
        <f>B16/$G$20</f>
        <v>4.2771076452371236E-2</v>
      </c>
      <c r="C25" s="15">
        <f ref="C25:G25" si="39" t="shared">C16/$G$20</f>
        <v>0.25595597359742522</v>
      </c>
      <c r="D25" s="15">
        <f si="39" t="shared"/>
        <v>3.9505493299261493E-2</v>
      </c>
      <c r="E25" s="15">
        <f si="39" t="shared"/>
        <v>5.6523392034402995E-3</v>
      </c>
      <c r="F25" s="15">
        <f si="39" t="shared"/>
        <v>1.9661567875005727E-3</v>
      </c>
      <c r="G25" s="15">
        <f si="39" t="shared"/>
        <v>0.34585103933999889</v>
      </c>
      <c r="I25" s="3">
        <v>1</v>
      </c>
      <c r="J25" s="15">
        <f>J16/$O$20</f>
        <v>3.1236543240658221E-2</v>
      </c>
      <c r="K25" s="15">
        <f ref="K25:O25" si="40" t="shared">K16/$O$20</f>
        <v>0.24578005768805694</v>
      </c>
      <c r="L25" s="15">
        <f si="40" t="shared"/>
        <v>5.4284137377137956E-2</v>
      </c>
      <c r="M25" s="15">
        <f si="40" t="shared"/>
        <v>1.1128475398200244E-2</v>
      </c>
      <c r="N25" s="15">
        <f si="40" t="shared"/>
        <v>3.4419582798959386E-3</v>
      </c>
      <c r="O25" s="15">
        <f si="40" t="shared"/>
        <v>0.34587117198394929</v>
      </c>
      <c r="Q25" s="3">
        <v>1</v>
      </c>
      <c r="R25" s="15">
        <f>R6/$W$10</f>
        <v>3.8701649380626778E-2</v>
      </c>
      <c r="S25" s="15">
        <f ref="S25:W25" si="41" t="shared">S6/$W$10</f>
        <v>0.24594498746321403</v>
      </c>
      <c r="T25" s="15">
        <f si="41" t="shared"/>
        <v>4.8583000989255075E-2</v>
      </c>
      <c r="U25" s="15">
        <f si="41" t="shared"/>
        <v>9.6835005941752171E-3</v>
      </c>
      <c r="V25" s="15">
        <f si="41" t="shared"/>
        <v>2.9379009127277929E-3</v>
      </c>
      <c r="W25" s="15">
        <f si="41" t="shared"/>
        <v>0.34585103933999889</v>
      </c>
    </row>
    <row r="26" spans="1:39" x14ac:dyDescent="0.45">
      <c r="A26" s="3">
        <v>2</v>
      </c>
      <c r="B26" s="15">
        <f ref="B26:G26" si="42" t="shared">B17/$G$20</f>
        <v>8.4741564088164547E-3</v>
      </c>
      <c r="C26" s="15">
        <f si="42" t="shared"/>
        <v>7.0919741753046994E-2</v>
      </c>
      <c r="D26" s="15">
        <f si="42" t="shared"/>
        <v>0.30576602218377663</v>
      </c>
      <c r="E26" s="15">
        <f si="42" t="shared"/>
        <v>7.9758394780298711E-2</v>
      </c>
      <c r="F26" s="15">
        <f si="42" t="shared"/>
        <v>2.688455558028973E-2</v>
      </c>
      <c r="G26" s="15">
        <f si="42" t="shared"/>
        <v>0.49180287070622858</v>
      </c>
      <c r="I26" s="3">
        <v>2</v>
      </c>
      <c r="J26" s="15">
        <f ref="J26:O26" si="43" t="shared">J17/$O$20</f>
        <v>8.4848125374786965E-3</v>
      </c>
      <c r="K26" s="15">
        <f si="43" t="shared"/>
        <v>6.4980232721017342E-2</v>
      </c>
      <c r="L26" s="15">
        <f si="43" t="shared"/>
        <v>0.31145779763992171</v>
      </c>
      <c r="M26" s="15">
        <f si="43" t="shared"/>
        <v>8.2143487896888204E-2</v>
      </c>
      <c r="N26" s="15">
        <f si="43" t="shared"/>
        <v>2.4725550174853415E-2</v>
      </c>
      <c r="O26" s="15">
        <f si="43" t="shared"/>
        <v>0.49179188097015941</v>
      </c>
      <c r="Q26" s="3">
        <v>2</v>
      </c>
      <c r="R26" s="15">
        <f ref="R26:W26" si="44" t="shared">R7/$W$10</f>
        <v>9.2305586491379793E-3</v>
      </c>
      <c r="S26" s="15">
        <f si="44" t="shared"/>
        <v>7.0905323934373196E-2</v>
      </c>
      <c r="T26" s="15">
        <f si="44" t="shared"/>
        <v>0.30738332700790783</v>
      </c>
      <c r="U26" s="15">
        <f si="44" t="shared"/>
        <v>8.0577625414522763E-2</v>
      </c>
      <c r="V26" s="15">
        <f si="44" t="shared"/>
        <v>2.3706035700286822E-2</v>
      </c>
      <c r="W26" s="15">
        <f si="44" t="shared"/>
        <v>0.49180287070622858</v>
      </c>
    </row>
    <row r="27" spans="1:39" x14ac:dyDescent="0.45">
      <c r="A27" s="3">
        <v>3</v>
      </c>
      <c r="B27" s="15">
        <f ref="B27:G27" si="45" t="shared">B18/$G$20</f>
        <v>1.3637082081859831E-3</v>
      </c>
      <c r="C27" s="15">
        <f si="45" t="shared"/>
        <v>6.8825332281056088E-3</v>
      </c>
      <c r="D27" s="15">
        <f si="45" t="shared"/>
        <v>2.6576604226543468E-2</v>
      </c>
      <c r="E27" s="15">
        <f si="45" t="shared"/>
        <v>5.6199176352642738E-2</v>
      </c>
      <c r="F27" s="15">
        <f si="45" t="shared"/>
        <v>1.8604860835567779E-2</v>
      </c>
      <c r="G27" s="15">
        <f si="45" t="shared"/>
        <v>0.10962688285104558</v>
      </c>
      <c r="I27" s="3">
        <v>3</v>
      </c>
      <c r="J27" s="15">
        <f ref="J27:O27" si="46" t="shared">J18/$O$20</f>
        <v>1.5411231747380735E-3</v>
      </c>
      <c r="K27" s="15">
        <f si="46" t="shared"/>
        <v>7.8313564435427453E-3</v>
      </c>
      <c r="L27" s="15">
        <f si="46" t="shared"/>
        <v>2.817332768559036E-2</v>
      </c>
      <c r="M27" s="15">
        <f si="46" t="shared"/>
        <v>5.275499674524986E-2</v>
      </c>
      <c r="N27" s="15">
        <f si="46" t="shared"/>
        <v>1.9320505316901566E-2</v>
      </c>
      <c r="O27" s="15">
        <f si="46" t="shared"/>
        <v>0.1096213093660226</v>
      </c>
      <c r="Q27" s="3">
        <v>3</v>
      </c>
      <c r="R27" s="15">
        <f ref="R27:W27" si="47" t="shared">R8/$W$10</f>
        <v>1.6487584537756568E-3</v>
      </c>
      <c r="S27" s="15">
        <f si="47" t="shared"/>
        <v>8.4851953934310977E-3</v>
      </c>
      <c r="T27" s="15">
        <f si="47" t="shared"/>
        <v>2.9155026846765013E-2</v>
      </c>
      <c r="U27" s="15">
        <f si="47" t="shared"/>
        <v>5.1278254431427202E-2</v>
      </c>
      <c r="V27" s="15">
        <f si="47" t="shared"/>
        <v>1.9059647725646594E-2</v>
      </c>
      <c r="W27" s="15">
        <f si="47" t="shared"/>
        <v>0.10962688285104556</v>
      </c>
    </row>
    <row r="28" spans="1:39" x14ac:dyDescent="0.45">
      <c r="A28" s="5" t="s">
        <v>3</v>
      </c>
      <c r="B28" s="16">
        <f ref="B28:G28" si="48" t="shared">B19/$G$20</f>
        <v>8.9847157105729991E-5</v>
      </c>
      <c r="C28" s="16">
        <f si="48" t="shared"/>
        <v>6.0363638788115239E-3</v>
      </c>
      <c r="D28" s="16">
        <f si="48" t="shared"/>
        <v>5.8691464821322226E-3</v>
      </c>
      <c r="E28" s="16">
        <f si="48" t="shared"/>
        <v>2.0946666149461651E-2</v>
      </c>
      <c r="F28" s="16">
        <f si="48" t="shared"/>
        <v>1.977718343521586E-2</v>
      </c>
      <c r="G28" s="16">
        <f si="48" t="shared"/>
        <v>5.2719207102726984E-2</v>
      </c>
      <c r="I28" s="5" t="s">
        <v>3</v>
      </c>
      <c r="J28" s="16">
        <f ref="J28:O28" si="49" t="shared">J19/$O$20</f>
        <v>1.2294587421544454E-3</v>
      </c>
      <c r="K28" s="16">
        <f si="49" t="shared"/>
        <v>3.1001968365892462E-3</v>
      </c>
      <c r="L28" s="16">
        <f si="49" t="shared"/>
        <v>6.742778059319424E-3</v>
      </c>
      <c r="M28" s="16">
        <f si="49" t="shared"/>
        <v>1.4238606410027955E-2</v>
      </c>
      <c r="N28" s="16">
        <f si="49" t="shared"/>
        <v>2.7404597631777682E-2</v>
      </c>
      <c r="O28" s="16">
        <f si="49" t="shared"/>
        <v>5.2715637679868754E-2</v>
      </c>
      <c r="Q28" s="5" t="s">
        <v>3</v>
      </c>
      <c r="R28" s="16">
        <f ref="R28:W28" si="50" t="shared">R9/$W$10</f>
        <v>1.4073553292228438E-3</v>
      </c>
      <c r="S28" s="16">
        <f si="50" t="shared"/>
        <v>3.311204713582659E-3</v>
      </c>
      <c r="T28" s="16">
        <f si="50" t="shared"/>
        <v>6.8824777417608738E-3</v>
      </c>
      <c r="U28" s="16">
        <f si="50" t="shared"/>
        <v>1.4937129418206026E-2</v>
      </c>
      <c r="V28" s="16">
        <f si="50" t="shared"/>
        <v>2.6181039899954583E-2</v>
      </c>
      <c r="W28" s="16">
        <f si="50" t="shared"/>
        <v>5.2719207102726984E-2</v>
      </c>
    </row>
    <row ht="14.65" r="29" spans="1:39" thickBot="1" x14ac:dyDescent="0.5">
      <c r="A29" s="7" t="s">
        <v>4</v>
      </c>
      <c r="B29" s="17">
        <f ref="B29:G29" si="51" t="shared">B20/$G$20</f>
        <v>5.2698788226479401E-2</v>
      </c>
      <c r="C29" s="17">
        <f si="51" t="shared"/>
        <v>0.33979461245738929</v>
      </c>
      <c r="D29" s="17">
        <f si="51" t="shared"/>
        <v>0.37771726619171375</v>
      </c>
      <c r="E29" s="17">
        <f si="51" t="shared"/>
        <v>0.1625565764858434</v>
      </c>
      <c r="F29" s="17">
        <f si="51" t="shared"/>
        <v>6.7232756638573934E-2</v>
      </c>
      <c r="G29" s="17">
        <f si="51" t="shared"/>
        <v>1</v>
      </c>
      <c r="I29" s="7" t="s">
        <v>4</v>
      </c>
      <c r="J29" s="65">
        <f ref="J29:O29" si="52" t="shared">J20/$O$20</f>
        <v>4.2491937695029437E-2</v>
      </c>
      <c r="K29" s="65">
        <f si="52" t="shared"/>
        <v>0.32169184368920628</v>
      </c>
      <c r="L29" s="65">
        <f si="52" t="shared"/>
        <v>0.40065804076196943</v>
      </c>
      <c r="M29" s="65">
        <f si="52" t="shared"/>
        <v>0.16026556645036627</v>
      </c>
      <c r="N29" s="65">
        <f si="52" t="shared"/>
        <v>7.4892611403428608E-2</v>
      </c>
      <c r="O29" s="17">
        <f si="52" t="shared"/>
        <v>1</v>
      </c>
      <c r="Q29" s="7" t="s">
        <v>4</v>
      </c>
      <c r="R29" s="17">
        <f ref="R29:W29" si="53" t="shared">R10/$W$10</f>
        <v>5.0988321812763256E-2</v>
      </c>
      <c r="S29" s="17">
        <f si="53" t="shared"/>
        <v>0.32864671150460095</v>
      </c>
      <c r="T29" s="17">
        <f si="53" t="shared"/>
        <v>0.39200383258568877</v>
      </c>
      <c r="U29" s="17">
        <f si="53" t="shared"/>
        <v>0.1564765098583312</v>
      </c>
      <c r="V29" s="17">
        <f si="53" t="shared"/>
        <v>7.1884624238615788E-2</v>
      </c>
      <c r="W29" s="17">
        <f si="53" t="shared"/>
        <v>1</v>
      </c>
    </row>
    <row ht="14.65" r="31" spans="1:39" thickBot="1" x14ac:dyDescent="0.5">
      <c r="A31" s="12"/>
      <c r="B31" s="10" t="s">
        <v>2</v>
      </c>
      <c r="C31" s="9"/>
      <c r="D31" s="9"/>
      <c r="E31" s="9"/>
      <c r="F31" s="9"/>
      <c r="G31" s="9"/>
      <c r="Q31" s="29" t="s">
        <v>174</v>
      </c>
    </row>
    <row ht="20.65" r="32" spans="1:39" thickBot="1" x14ac:dyDescent="0.75">
      <c r="A32" s="11" t="s">
        <v>1</v>
      </c>
      <c r="B32" s="2">
        <v>0</v>
      </c>
      <c r="C32" s="2">
        <v>1</v>
      </c>
      <c r="D32" s="2">
        <v>2</v>
      </c>
      <c r="E32" s="2">
        <v>3</v>
      </c>
      <c r="F32" s="2" t="s">
        <v>3</v>
      </c>
      <c r="G32" s="2" t="s">
        <v>4</v>
      </c>
      <c r="I32" s="88" t="s">
        <v>185</v>
      </c>
      <c r="Q32" s="12"/>
      <c r="R32" s="10" t="s">
        <v>2</v>
      </c>
      <c r="S32" s="9"/>
      <c r="T32" s="9"/>
      <c r="U32" s="9"/>
      <c r="V32" s="9"/>
      <c r="W32" s="9"/>
      <c r="Y32" s="29" t="s">
        <v>159</v>
      </c>
    </row>
    <row r="33" spans="1:34" x14ac:dyDescent="0.45">
      <c r="A33" s="3">
        <v>1</v>
      </c>
      <c r="B33" s="15">
        <f ref="B33:G37" si="54" t="shared">B6/$G$10</f>
        <v>3.9069557904673383E-2</v>
      </c>
      <c r="C33" s="15">
        <f si="54" t="shared"/>
        <v>0.23380488781121733</v>
      </c>
      <c r="D33" s="15">
        <f si="54" t="shared"/>
        <v>3.60865866849749E-2</v>
      </c>
      <c r="E33" s="15">
        <f si="54" t="shared"/>
        <v>5.1631712858941419E-3</v>
      </c>
      <c r="F33" s="15">
        <f si="54" t="shared"/>
        <v>1.7960005412644105E-3</v>
      </c>
      <c r="G33" s="15">
        <f si="54" t="shared"/>
        <v>0.31592020422802419</v>
      </c>
      <c r="I33" s="89" t="s">
        <v>200</v>
      </c>
      <c r="Q33" s="11" t="s">
        <v>1</v>
      </c>
      <c r="R33" s="2">
        <v>0</v>
      </c>
      <c r="S33" s="2">
        <v>1</v>
      </c>
      <c r="T33" s="2">
        <v>2</v>
      </c>
      <c r="U33" s="2">
        <v>3</v>
      </c>
      <c r="V33" s="2" t="s">
        <v>3</v>
      </c>
      <c r="W33" s="2" t="s">
        <v>4</v>
      </c>
      <c r="Y33" s="29" t="s">
        <v>131</v>
      </c>
      <c r="Z33" s="30" t="s">
        <v>162</v>
      </c>
      <c r="AA33" s="31" t="s">
        <v>158</v>
      </c>
    </row>
    <row r="34" spans="1:34" x14ac:dyDescent="0.45">
      <c r="A34" s="3">
        <v>2</v>
      </c>
      <c r="B34" s="15">
        <f si="54" t="shared"/>
        <v>9.2758276920465801E-3</v>
      </c>
      <c r="C34" s="15">
        <f si="54" t="shared"/>
        <v>7.7628883953722388E-2</v>
      </c>
      <c r="D34" s="15">
        <f si="54" t="shared"/>
        <v>0.33469206833477927</v>
      </c>
      <c r="E34" s="15">
        <f si="54" t="shared"/>
        <v>8.730369033625214E-2</v>
      </c>
      <c r="F34" s="15">
        <f si="54" t="shared"/>
        <v>2.9427885574612157E-2</v>
      </c>
      <c r="G34" s="15">
        <f si="54" t="shared"/>
        <v>0.53832835589141259</v>
      </c>
      <c r="I34" s="1" t="s">
        <v>179</v>
      </c>
      <c r="J34" s="87">
        <f>SUM(J35:J39)</f>
        <v>765910</v>
      </c>
      <c r="Q34" s="3">
        <v>1</v>
      </c>
      <c r="R34" s="63">
        <f>R25-J25</f>
        <v>7.4651061399685567E-3</v>
      </c>
      <c r="S34" s="63">
        <f ref="S34:W34" si="55" t="shared">S25-K25</f>
        <v>1.6492977515708551E-4</v>
      </c>
      <c r="T34" s="63">
        <f si="55" t="shared"/>
        <v>-5.7011363878828811E-3</v>
      </c>
      <c r="U34" s="63">
        <f si="55" t="shared"/>
        <v>-1.444974804025027E-3</v>
      </c>
      <c r="V34" s="63">
        <f si="55" t="shared"/>
        <v>-5.0405736716814574E-4</v>
      </c>
      <c r="W34" s="63">
        <f si="55" t="shared"/>
        <v>-2.0132643950399043E-5</v>
      </c>
      <c r="Y34" s="4">
        <f>B16+B17+C17+B18+C18+D18+B19+C19+D19+E19</f>
        <v>152634.27013840326</v>
      </c>
      <c r="Z34" s="32">
        <f>J16+J17+K17+J18+K18+L18+J19+K19+L19+M19</f>
        <v>134655.82359521204</v>
      </c>
      <c r="AA34" s="33">
        <f>R16+R17+S17+R18+S18+T18+R19+S19+T19+U19</f>
        <v>148403</v>
      </c>
      <c r="AH34" s="4"/>
    </row>
    <row ht="14.65" r="35" spans="1:34" thickBot="1" x14ac:dyDescent="0.5">
      <c r="A35" s="3">
        <v>3</v>
      </c>
      <c r="B35" s="15">
        <f si="54" t="shared"/>
        <v>1.2873099576762995E-3</v>
      </c>
      <c r="C35" s="15">
        <f si="54" t="shared"/>
        <v>6.4969569775956285E-3</v>
      </c>
      <c r="D35" s="15">
        <f si="54" t="shared"/>
        <v>2.5087718220572257E-2</v>
      </c>
      <c r="E35" s="15">
        <f si="54" t="shared"/>
        <v>5.3050761810841035E-2</v>
      </c>
      <c r="F35" s="15">
        <f si="54" t="shared"/>
        <v>1.7562571282508446E-2</v>
      </c>
      <c r="G35" s="15">
        <f si="54" t="shared"/>
        <v>0.10348531824919366</v>
      </c>
      <c r="I35" t="s">
        <v>180</v>
      </c>
      <c r="J35" s="4">
        <v>32545</v>
      </c>
      <c r="Q35" s="3">
        <v>2</v>
      </c>
      <c r="R35" s="63">
        <f ref="R35:R38" si="56" t="shared">R26-J26</f>
        <v>7.4574611165928277E-4</v>
      </c>
      <c r="S35" s="63">
        <f ref="S35:S38" si="57" t="shared">S26-K26</f>
        <v>5.9250912133558542E-3</v>
      </c>
      <c r="T35" s="63">
        <f ref="T35:T38" si="58" t="shared">T26-L26</f>
        <v>-4.0744706320138824E-3</v>
      </c>
      <c r="U35" s="63">
        <f ref="U35:U38" si="59" t="shared">U26-M26</f>
        <v>-1.5658624823654405E-3</v>
      </c>
      <c r="V35" s="63">
        <f ref="V35:V38" si="60" t="shared">V26-N26</f>
        <v>-1.0195144745665935E-3</v>
      </c>
      <c r="W35" s="63">
        <f ref="W35:W38" si="61" t="shared">W26-O26</f>
        <v>1.0989736069166867E-5</v>
      </c>
      <c r="Z35" s="34"/>
      <c r="AA35" s="35">
        <f>(AA34-Z34)/Z34</f>
        <v>0.10209121327060647</v>
      </c>
    </row>
    <row r="36" spans="1:34" x14ac:dyDescent="0.45">
      <c r="A36" s="5" t="s">
        <v>3</v>
      </c>
      <c r="B36" s="16">
        <f si="54" t="shared"/>
        <v>7.2032397282908317E-5</v>
      </c>
      <c r="C36" s="16">
        <f si="54" t="shared"/>
        <v>4.839482684477937E-3</v>
      </c>
      <c r="D36" s="16">
        <f si="54" t="shared"/>
        <v>4.7054209029121297E-3</v>
      </c>
      <c r="E36" s="16">
        <f si="54" t="shared"/>
        <v>1.6793392539453458E-2</v>
      </c>
      <c r="F36" s="16">
        <f si="54" t="shared"/>
        <v>1.5855793107243107E-2</v>
      </c>
      <c r="G36" s="16">
        <f si="54" t="shared"/>
        <v>4.2266121631369544E-2</v>
      </c>
      <c r="I36" t="s">
        <v>181</v>
      </c>
      <c r="J36" s="4">
        <v>246387</v>
      </c>
      <c r="Q36" s="3">
        <v>3</v>
      </c>
      <c r="R36" s="63">
        <f si="56" t="shared"/>
        <v>1.0763527903758321E-4</v>
      </c>
      <c r="S36" s="63">
        <f si="57" t="shared"/>
        <v>6.5383894988835234E-4</v>
      </c>
      <c r="T36" s="63">
        <f si="58" t="shared"/>
        <v>9.8169916117465256E-4</v>
      </c>
      <c r="U36" s="63">
        <f si="59" t="shared"/>
        <v>-1.4767423138226585E-3</v>
      </c>
      <c r="V36" s="63">
        <f si="60" t="shared"/>
        <v>-2.6085759125497182E-4</v>
      </c>
      <c r="W36" s="63">
        <f si="61" t="shared"/>
        <v>5.5734850229610666E-6</v>
      </c>
    </row>
    <row ht="14.65" r="37" spans="1:34" thickBot="1" x14ac:dyDescent="0.5">
      <c r="A37" s="7" t="s">
        <v>4</v>
      </c>
      <c r="B37" s="17">
        <f si="54" t="shared"/>
        <v>4.970472795167917E-2</v>
      </c>
      <c r="C37" s="17">
        <f si="54" t="shared"/>
        <v>0.32277021142701329</v>
      </c>
      <c r="D37" s="17">
        <f si="54" t="shared"/>
        <v>0.40057179414323846</v>
      </c>
      <c r="E37" s="17">
        <f si="54" t="shared"/>
        <v>0.16231101597244077</v>
      </c>
      <c r="F37" s="17">
        <f si="54" t="shared"/>
        <v>6.4642250505628135E-2</v>
      </c>
      <c r="G37" s="17">
        <f si="54" t="shared"/>
        <v>1</v>
      </c>
      <c r="I37" t="s">
        <v>182</v>
      </c>
      <c r="J37" s="4">
        <v>306868</v>
      </c>
      <c r="Q37" s="5" t="s">
        <v>3</v>
      </c>
      <c r="R37" s="64">
        <f si="56" t="shared"/>
        <v>1.7789658706839832E-4</v>
      </c>
      <c r="S37" s="64">
        <f si="57" t="shared"/>
        <v>2.1100787699341282E-4</v>
      </c>
      <c r="T37" s="64">
        <f si="58" t="shared"/>
        <v>1.3969968244144978E-4</v>
      </c>
      <c r="U37" s="64">
        <f si="59" t="shared"/>
        <v>6.9852300817807057E-4</v>
      </c>
      <c r="V37" s="64">
        <f si="60" t="shared"/>
        <v>-1.2235577318230988E-3</v>
      </c>
      <c r="W37" s="64">
        <f si="61" t="shared"/>
        <v>3.5694228582294762E-6</v>
      </c>
    </row>
    <row ht="14.65" r="38" spans="1:34" thickBot="1" x14ac:dyDescent="0.5">
      <c r="I38" t="s">
        <v>183</v>
      </c>
      <c r="J38" s="4">
        <v>122749</v>
      </c>
      <c r="Q38" s="7" t="s">
        <v>4</v>
      </c>
      <c r="R38" s="65">
        <f si="56" t="shared"/>
        <v>8.4963841177338184E-3</v>
      </c>
      <c r="S38" s="65">
        <f si="57" t="shared"/>
        <v>6.9548678153946719E-3</v>
      </c>
      <c r="T38" s="65">
        <f si="58" t="shared"/>
        <v>-8.6542081762806533E-3</v>
      </c>
      <c r="U38" s="65">
        <f si="59" t="shared"/>
        <v>-3.7890565920350727E-3</v>
      </c>
      <c r="V38" s="65">
        <f si="60" t="shared"/>
        <v>-3.0079871648128198E-3</v>
      </c>
      <c r="W38" s="65">
        <f si="61" t="shared"/>
        <v>0</v>
      </c>
    </row>
    <row r="39" spans="1:34" x14ac:dyDescent="0.45">
      <c r="I39" t="s">
        <v>184</v>
      </c>
      <c r="J39" s="4">
        <v>57361</v>
      </c>
    </row>
    <row r="40" spans="1:34" x14ac:dyDescent="0.45">
      <c r="J40" s="4"/>
    </row>
    <row r="41" spans="1:34" x14ac:dyDescent="0.45">
      <c r="I41" s="24" t="s">
        <v>186</v>
      </c>
      <c r="J41" s="4"/>
    </row>
    <row r="42" spans="1:34" x14ac:dyDescent="0.45">
      <c r="J42" s="4"/>
    </row>
    <row r="43" spans="1:34" x14ac:dyDescent="0.45">
      <c r="H43" t="s">
        <v>190</v>
      </c>
      <c r="I43" s="1" t="s">
        <v>187</v>
      </c>
    </row>
    <row ht="14.65" r="44" spans="1:34" thickBot="1" x14ac:dyDescent="0.5">
      <c r="I44" s="12"/>
      <c r="J44" s="10" t="s">
        <v>2</v>
      </c>
      <c r="K44" s="9"/>
      <c r="L44" s="9"/>
      <c r="M44" s="9"/>
      <c r="N44" s="9"/>
      <c r="O44" s="9"/>
    </row>
    <row r="45" spans="1:34" x14ac:dyDescent="0.45">
      <c r="I45" s="11" t="s">
        <v>1</v>
      </c>
      <c r="J45" s="2">
        <v>0</v>
      </c>
      <c r="K45" s="2">
        <v>1</v>
      </c>
      <c r="L45" s="2">
        <v>2</v>
      </c>
      <c r="M45" s="2">
        <v>3</v>
      </c>
      <c r="N45" s="2" t="s">
        <v>3</v>
      </c>
      <c r="O45" s="2" t="s">
        <v>4</v>
      </c>
    </row>
    <row r="46" spans="1:34" x14ac:dyDescent="0.45">
      <c r="I46" s="3">
        <v>1</v>
      </c>
      <c r="J46" s="4">
        <f>($W6/$O6)*J6</f>
        <v>25833.531698253129</v>
      </c>
      <c r="K46" s="4">
        <f ref="K46:N46" si="62" t="shared">($W6/$O6)*K6</f>
        <v>196897.59735698602</v>
      </c>
      <c r="L46" s="4">
        <f si="62" t="shared"/>
        <v>43192.136525169873</v>
      </c>
      <c r="M46" s="4">
        <f si="62" t="shared"/>
        <v>9087.4745301609382</v>
      </c>
      <c r="N46" s="4">
        <f si="62" t="shared"/>
        <v>2927.2598894300272</v>
      </c>
      <c r="O46" s="4">
        <f>SUM(J46:N46)</f>
        <v>277938</v>
      </c>
      <c r="P46" s="66">
        <f>O46/O$50</f>
        <v>0.34585103933999889</v>
      </c>
    </row>
    <row r="47" spans="1:34" x14ac:dyDescent="0.45">
      <c r="I47" s="3">
        <v>2</v>
      </c>
      <c r="J47" s="4">
        <f ref="J47:N47" si="63" t="shared">($W7/$O7)*J7</f>
        <v>7021.3286556691801</v>
      </c>
      <c r="K47" s="4">
        <f si="63" t="shared"/>
        <v>52087.23121234039</v>
      </c>
      <c r="L47" s="4">
        <f si="63" t="shared"/>
        <v>247963.17567237132</v>
      </c>
      <c r="M47" s="4">
        <f si="63" t="shared"/>
        <v>67117.676139537158</v>
      </c>
      <c r="N47" s="4">
        <f si="63" t="shared"/>
        <v>21040.588320081955</v>
      </c>
      <c r="O47" s="4">
        <f ref="O47:O49" si="64" t="shared">SUM(J47:N47)</f>
        <v>395230</v>
      </c>
      <c r="P47" s="66">
        <f ref="P47:P50" si="65" t="shared">O47/O$50</f>
        <v>0.49180287070622858</v>
      </c>
    </row>
    <row r="48" spans="1:34" x14ac:dyDescent="0.45">
      <c r="I48" s="3">
        <v>3</v>
      </c>
      <c r="J48" s="4">
        <f ref="J48:N48" si="66" t="shared">($W8/$O8)*J8</f>
        <v>1254.9546196944325</v>
      </c>
      <c r="K48" s="4">
        <f si="66" t="shared"/>
        <v>6177.3274204552508</v>
      </c>
      <c r="L48" s="4">
        <f si="66" t="shared"/>
        <v>22071.901424466083</v>
      </c>
      <c r="M48" s="4">
        <f si="66" t="shared"/>
        <v>42417.101862763338</v>
      </c>
      <c r="N48" s="4">
        <f si="66" t="shared"/>
        <v>16178.714672620894</v>
      </c>
      <c r="O48" s="4">
        <f si="64" t="shared"/>
        <v>88099.999999999985</v>
      </c>
      <c r="P48" s="66">
        <f si="65" t="shared"/>
        <v>0.10962688285104555</v>
      </c>
    </row>
    <row r="49" spans="8:17" x14ac:dyDescent="0.45">
      <c r="I49" s="5" t="s">
        <v>3</v>
      </c>
      <c r="J49" s="4">
        <f ref="J49:N49" si="67" t="shared">($W9/$O9)*J9</f>
        <v>983.54916113928994</v>
      </c>
      <c r="K49" s="4">
        <f si="67" t="shared"/>
        <v>2402.3945896735599</v>
      </c>
      <c r="L49" s="4">
        <f si="67" t="shared"/>
        <v>5189.5763861793903</v>
      </c>
      <c r="M49" s="4">
        <f si="67" t="shared"/>
        <v>11246.990267481684</v>
      </c>
      <c r="N49" s="4">
        <f si="67" t="shared"/>
        <v>22544.489595526076</v>
      </c>
      <c r="O49" s="4">
        <f si="64" t="shared"/>
        <v>42367</v>
      </c>
      <c r="P49" s="66">
        <f si="65" t="shared"/>
        <v>5.2719207102726984E-2</v>
      </c>
    </row>
    <row ht="14.65" r="50" spans="8:17" thickBot="1" x14ac:dyDescent="0.5">
      <c r="I50" s="7" t="s">
        <v>4</v>
      </c>
      <c r="J50" s="8">
        <f>SUM(J46:J49)</f>
        <v>35093.364134756033</v>
      </c>
      <c r="K50" s="8">
        <f ref="K50:N50" si="68" t="shared">SUM(K46:K49)</f>
        <v>257564.55057945522</v>
      </c>
      <c r="L50" s="8">
        <f si="68" t="shared"/>
        <v>318416.79000818665</v>
      </c>
      <c r="M50" s="8">
        <f si="68" t="shared"/>
        <v>129869.24279994311</v>
      </c>
      <c r="N50" s="8">
        <f si="68" t="shared"/>
        <v>62691.052477658959</v>
      </c>
      <c r="O50" s="8">
        <f>SUM(J50:N50)</f>
        <v>803635</v>
      </c>
      <c r="P50" s="66">
        <f si="65" t="shared"/>
        <v>1</v>
      </c>
    </row>
    <row r="51" spans="8:17" x14ac:dyDescent="0.45">
      <c r="I51" s="3"/>
      <c r="J51" s="91">
        <f>J50/$O50</f>
        <v>4.3668287387627507E-2</v>
      </c>
      <c r="K51" s="91">
        <f ref="K51:O51" si="69" t="shared">K50/$O50</f>
        <v>0.32049941898928647</v>
      </c>
      <c r="L51" s="91">
        <f si="69" t="shared"/>
        <v>0.39622065988687233</v>
      </c>
      <c r="M51" s="91">
        <f si="69" t="shared"/>
        <v>0.16160227317120721</v>
      </c>
      <c r="N51" s="91">
        <f si="69" t="shared"/>
        <v>7.8009360565006444E-2</v>
      </c>
      <c r="O51" s="91">
        <f si="69" t="shared"/>
        <v>1</v>
      </c>
    </row>
    <row r="52" spans="8:17" x14ac:dyDescent="0.45">
      <c r="J52" s="4"/>
    </row>
    <row r="53" spans="8:17" x14ac:dyDescent="0.45">
      <c r="H53" t="s">
        <v>190</v>
      </c>
      <c r="I53" s="1" t="s">
        <v>188</v>
      </c>
    </row>
    <row ht="14.65" r="54" spans="8:17" thickBot="1" x14ac:dyDescent="0.5">
      <c r="I54" s="12"/>
      <c r="J54" s="10" t="s">
        <v>2</v>
      </c>
      <c r="K54" s="9"/>
      <c r="L54" s="9"/>
      <c r="M54" s="9"/>
      <c r="N54" s="9"/>
      <c r="O54" s="9"/>
    </row>
    <row r="55" spans="8:17" x14ac:dyDescent="0.45">
      <c r="I55" s="11" t="s">
        <v>1</v>
      </c>
      <c r="J55" s="2">
        <v>0</v>
      </c>
      <c r="K55" s="2">
        <v>1</v>
      </c>
      <c r="L55" s="2">
        <v>2</v>
      </c>
      <c r="M55" s="2">
        <v>3</v>
      </c>
      <c r="N55" s="2" t="s">
        <v>3</v>
      </c>
      <c r="O55" s="2" t="s">
        <v>4</v>
      </c>
      <c r="Q55" s="86" t="s">
        <v>189</v>
      </c>
    </row>
    <row r="56" spans="8:17" x14ac:dyDescent="0.45">
      <c r="I56" s="3">
        <v>1</v>
      </c>
      <c r="J56" s="4">
        <f>J46*J$12/J$51</f>
        <v>25137.620113669836</v>
      </c>
      <c r="K56" s="4">
        <f ref="K56:N56" si="70" t="shared">K46*K$12/K$51</f>
        <v>197630.15892974564</v>
      </c>
      <c r="L56" s="4">
        <f si="70" t="shared"/>
        <v>43675.856785052572</v>
      </c>
      <c r="M56" s="4">
        <f si="70" t="shared"/>
        <v>9012.3067244019931</v>
      </c>
      <c r="N56" s="4">
        <f si="70" t="shared"/>
        <v>2810.3055298503373</v>
      </c>
      <c r="O56" s="4">
        <f>SUM(J56:N56)</f>
        <v>278266.24808272038</v>
      </c>
      <c r="P56" s="66">
        <f>O56/O$60</f>
        <v>0.34625949352967494</v>
      </c>
      <c r="Q56" s="4">
        <f>O56-O46</f>
        <v>328.24808272038354</v>
      </c>
    </row>
    <row r="57" spans="8:17" x14ac:dyDescent="0.45">
      <c r="I57" s="3">
        <v>2</v>
      </c>
      <c r="J57" s="4">
        <f ref="J57:N57" si="71" t="shared">J47*J$12/J$51</f>
        <v>6832.1859551000125</v>
      </c>
      <c r="K57" s="4">
        <f si="71" t="shared"/>
        <v>52281.02283057139</v>
      </c>
      <c r="L57" s="4">
        <f si="71" t="shared"/>
        <v>250740.181429141</v>
      </c>
      <c r="M57" s="4">
        <f si="71" t="shared"/>
        <v>66562.506666841087</v>
      </c>
      <c r="N57" s="4">
        <f si="71" t="shared"/>
        <v>20199.942588201196</v>
      </c>
      <c r="O57" s="4">
        <f ref="O57:O59" si="72" t="shared">SUM(J57:N57)</f>
        <v>396615.83946985472</v>
      </c>
      <c r="P57" s="66">
        <f ref="P57:P60" si="73" t="shared">O57/O$60</f>
        <v>0.49352733451113334</v>
      </c>
      <c r="Q57" s="4">
        <f ref="Q57:Q59" si="74" t="shared">O57-O47</f>
        <v>1385.8394698547199</v>
      </c>
    </row>
    <row r="58" spans="8:17" x14ac:dyDescent="0.45">
      <c r="I58" s="3">
        <v>3</v>
      </c>
      <c r="J58" s="4">
        <f ref="J58:N58" si="75" t="shared">J48*J$12/J$51</f>
        <v>1221.1482680049835</v>
      </c>
      <c r="K58" s="4">
        <f si="75" t="shared"/>
        <v>6200.3102945549044</v>
      </c>
      <c r="L58" s="4">
        <f si="75" t="shared"/>
        <v>22319.090536931642</v>
      </c>
      <c r="M58" s="4">
        <f si="75" t="shared"/>
        <v>42066.245256442693</v>
      </c>
      <c r="N58" s="4">
        <f si="75" t="shared"/>
        <v>15532.317945022052</v>
      </c>
      <c r="O58" s="4">
        <f si="72" t="shared"/>
        <v>87339.112300956273</v>
      </c>
      <c r="P58" s="66">
        <f si="73" t="shared"/>
        <v>0.10868007528412309</v>
      </c>
      <c r="Q58" s="4">
        <f si="74" t="shared"/>
        <v>-760.88769904371293</v>
      </c>
    </row>
    <row r="59" spans="8:17" x14ac:dyDescent="0.45">
      <c r="I59" s="5" t="s">
        <v>3</v>
      </c>
      <c r="J59" s="4">
        <f ref="J59:N59" si="76" t="shared">J49*J$12/J$51</f>
        <v>957.05401277015335</v>
      </c>
      <c r="K59" s="4">
        <f si="76" t="shared"/>
        <v>2411.3327483033459</v>
      </c>
      <c r="L59" s="4">
        <f si="76" t="shared"/>
        <v>5247.6958366201188</v>
      </c>
      <c r="M59" s="4">
        <f si="76" t="shared"/>
        <v>11153.959846654323</v>
      </c>
      <c r="N59" s="4">
        <f si="76" t="shared"/>
        <v>21643.757702120762</v>
      </c>
      <c r="O59" s="4">
        <f si="72" t="shared"/>
        <v>41413.800146468704</v>
      </c>
      <c r="P59" s="66">
        <f si="73" t="shared"/>
        <v>5.1533096675068529E-2</v>
      </c>
      <c r="Q59" s="4">
        <f si="74" t="shared"/>
        <v>-953.19985353129596</v>
      </c>
    </row>
    <row ht="14.65" r="60" spans="8:17" thickBot="1" x14ac:dyDescent="0.5">
      <c r="I60" s="7" t="s">
        <v>4</v>
      </c>
      <c r="J60" s="8">
        <f>SUM(J56:J59)</f>
        <v>34148.008349544987</v>
      </c>
      <c r="K60" s="8">
        <f ref="K60:N60" si="77" t="shared">SUM(K56:K59)</f>
        <v>258522.82480317529</v>
      </c>
      <c r="L60" s="8">
        <f si="77" t="shared"/>
        <v>321982.8245877453</v>
      </c>
      <c r="M60" s="8">
        <f si="77" t="shared"/>
        <v>128795.0184943401</v>
      </c>
      <c r="N60" s="8">
        <f si="77" t="shared"/>
        <v>60186.323765194349</v>
      </c>
      <c r="O60" s="8">
        <f>SUM(J60:N60)</f>
        <v>803635.00000000012</v>
      </c>
      <c r="P60" s="66">
        <f si="73" t="shared"/>
        <v>1</v>
      </c>
    </row>
    <row r="61" spans="8:17" x14ac:dyDescent="0.45">
      <c r="I61" s="3"/>
      <c r="J61" s="91">
        <f>J60/$O60</f>
        <v>4.2491937695029437E-2</v>
      </c>
      <c r="K61" s="91">
        <f ref="K61" si="78" t="shared">K60/$O60</f>
        <v>0.32169184368920622</v>
      </c>
      <c r="L61" s="91">
        <f ref="L61" si="79" t="shared">L60/$O60</f>
        <v>0.40065804076196937</v>
      </c>
      <c r="M61" s="91">
        <f ref="M61" si="80" t="shared">M60/$O60</f>
        <v>0.16026556645036624</v>
      </c>
      <c r="N61" s="91">
        <f ref="N61" si="81" t="shared">N60/$O60</f>
        <v>7.4892611403428594E-2</v>
      </c>
      <c r="O61" s="91">
        <f ref="O61" si="82" t="shared">O60/$O60</f>
        <v>1</v>
      </c>
    </row>
    <row r="62" spans="8:17" x14ac:dyDescent="0.45">
      <c r="J62" s="4"/>
    </row>
    <row r="63" spans="8:17" x14ac:dyDescent="0.45">
      <c r="H63" t="s">
        <v>191</v>
      </c>
      <c r="I63" s="1" t="s">
        <v>187</v>
      </c>
    </row>
    <row ht="14.65" r="64" spans="8:17" thickBot="1" x14ac:dyDescent="0.5">
      <c r="I64" s="12"/>
      <c r="J64" s="10" t="s">
        <v>2</v>
      </c>
      <c r="K64" s="9"/>
      <c r="L64" s="9"/>
      <c r="M64" s="9"/>
      <c r="N64" s="9"/>
      <c r="O64" s="9"/>
    </row>
    <row r="65" spans="8:17" x14ac:dyDescent="0.45">
      <c r="I65" s="11" t="s">
        <v>1</v>
      </c>
      <c r="J65" s="2">
        <v>0</v>
      </c>
      <c r="K65" s="2">
        <v>1</v>
      </c>
      <c r="L65" s="2">
        <v>2</v>
      </c>
      <c r="M65" s="2">
        <v>3</v>
      </c>
      <c r="N65" s="2" t="s">
        <v>3</v>
      </c>
      <c r="O65" s="2" t="s">
        <v>4</v>
      </c>
    </row>
    <row r="66" spans="8:17" x14ac:dyDescent="0.45">
      <c r="I66" s="3">
        <v>1</v>
      </c>
      <c r="J66" s="4">
        <f>J56*$O46/$O56</f>
        <v>25107.967305744627</v>
      </c>
      <c r="K66" s="4">
        <f ref="K66:N66" si="83" t="shared">K56*$O46/$O56</f>
        <v>197397.03068942408</v>
      </c>
      <c r="L66" s="4">
        <f si="83" t="shared"/>
        <v>43624.335925625157</v>
      </c>
      <c r="M66" s="4">
        <f si="83" t="shared"/>
        <v>9001.6756384418532</v>
      </c>
      <c r="N66" s="4">
        <f si="83" t="shared"/>
        <v>2806.9904407642989</v>
      </c>
      <c r="O66" s="4">
        <f>SUM(J66:N66)</f>
        <v>277938</v>
      </c>
      <c r="P66" s="66">
        <f>O66/O$60</f>
        <v>0.34585103933999883</v>
      </c>
    </row>
    <row r="67" spans="8:17" x14ac:dyDescent="0.45">
      <c r="I67" s="3">
        <v>2</v>
      </c>
      <c r="J67" s="4">
        <f ref="J67:N67" si="84" t="shared">J57*$O47/$O57</f>
        <v>6808.3131996028524</v>
      </c>
      <c r="K67" s="4">
        <f si="84" t="shared"/>
        <v>52098.344536482509</v>
      </c>
      <c r="L67" s="4">
        <f si="84" t="shared"/>
        <v>249864.05494723469</v>
      </c>
      <c r="M67" s="4">
        <f si="84" t="shared"/>
        <v>66329.926573532968</v>
      </c>
      <c r="N67" s="4">
        <f si="84" t="shared"/>
        <v>20129.360743146932</v>
      </c>
      <c r="O67" s="4">
        <f ref="O67:O69" si="85" t="shared">SUM(J67:N67)</f>
        <v>395229.99999999994</v>
      </c>
      <c r="P67" s="66">
        <f ref="P67:P70" si="86" t="shared">O67/O$60</f>
        <v>0.49180287070622841</v>
      </c>
    </row>
    <row r="68" spans="8:17" x14ac:dyDescent="0.45">
      <c r="I68" s="3">
        <v>3</v>
      </c>
      <c r="J68" s="4">
        <f ref="J68:N68" si="87" t="shared">J58*$O48/$O58</f>
        <v>1231.7867628482995</v>
      </c>
      <c r="K68" s="4">
        <f si="87" t="shared"/>
        <v>6254.3266419746533</v>
      </c>
      <c r="L68" s="4">
        <f si="87" t="shared"/>
        <v>22513.531732817351</v>
      </c>
      <c r="M68" s="4">
        <f si="87" t="shared"/>
        <v>42432.721256911878</v>
      </c>
      <c r="N68" s="4">
        <f si="87" t="shared"/>
        <v>15667.633605447809</v>
      </c>
      <c r="O68" s="4">
        <f si="85" t="shared"/>
        <v>88100</v>
      </c>
      <c r="P68" s="66">
        <f si="86" t="shared"/>
        <v>0.10962688285104555</v>
      </c>
    </row>
    <row r="69" spans="8:17" x14ac:dyDescent="0.45">
      <c r="I69" s="5" t="s">
        <v>3</v>
      </c>
      <c r="J69" s="4">
        <f ref="J69:N69" si="88" t="shared">J59*$O49/$O59</f>
        <v>979.08202617553115</v>
      </c>
      <c r="K69" s="4">
        <f si="88" t="shared"/>
        <v>2466.8331374096074</v>
      </c>
      <c r="L69" s="4">
        <f si="88" t="shared"/>
        <v>5368.4793166473582</v>
      </c>
      <c r="M69" s="4">
        <f si="88" t="shared"/>
        <v>11410.684727117421</v>
      </c>
      <c r="N69" s="4">
        <f si="88" t="shared"/>
        <v>22141.920792650082</v>
      </c>
      <c r="O69" s="4">
        <f si="85" t="shared"/>
        <v>42367</v>
      </c>
      <c r="P69" s="66">
        <f si="86" t="shared"/>
        <v>5.2719207102726977E-2</v>
      </c>
    </row>
    <row ht="14.65" r="70" spans="8:17" thickBot="1" x14ac:dyDescent="0.5">
      <c r="I70" s="7" t="s">
        <v>4</v>
      </c>
      <c r="J70" s="8">
        <f>SUM(J66:J69)</f>
        <v>34127.149294371309</v>
      </c>
      <c r="K70" s="8">
        <f ref="K70:N70" si="89" t="shared">SUM(K66:K69)</f>
        <v>258216.53500529085</v>
      </c>
      <c r="L70" s="8">
        <f si="89" t="shared"/>
        <v>321370.40192232456</v>
      </c>
      <c r="M70" s="8">
        <f si="89" t="shared"/>
        <v>129175.00819600411</v>
      </c>
      <c r="N70" s="8">
        <f si="89" t="shared"/>
        <v>60745.905582009123</v>
      </c>
      <c r="O70" s="8">
        <f>SUM(J70:N70)</f>
        <v>803634.99999999988</v>
      </c>
      <c r="P70" s="66">
        <f si="86" t="shared"/>
        <v>0.99999999999999967</v>
      </c>
    </row>
    <row r="71" spans="8:17" x14ac:dyDescent="0.45">
      <c r="I71" s="3"/>
      <c r="J71" s="91">
        <f>J70/$O70</f>
        <v>4.2465981813100864E-2</v>
      </c>
      <c r="K71" s="91">
        <f ref="K71:O71" si="90" t="shared">K70/$O70</f>
        <v>0.32131071320349525</v>
      </c>
      <c r="L71" s="91">
        <f si="90" t="shared"/>
        <v>0.39989597506619873</v>
      </c>
      <c r="M71" s="91">
        <f si="90" t="shared"/>
        <v>0.16073840511675591</v>
      </c>
      <c r="N71" s="91">
        <f si="90" t="shared"/>
        <v>7.5588924800449375E-2</v>
      </c>
      <c r="O71" s="91">
        <f si="90" t="shared"/>
        <v>1</v>
      </c>
    </row>
    <row r="72" spans="8:17" x14ac:dyDescent="0.45">
      <c r="I72" s="94" t="s">
        <v>189</v>
      </c>
      <c r="J72" s="95">
        <f>J70-J60</f>
        <v>-20.859055173677916</v>
      </c>
      <c r="K72" s="95">
        <f ref="K72:N72" si="91" t="shared">K70-K60</f>
        <v>-306.28979788444121</v>
      </c>
      <c r="L72" s="95">
        <f si="91" t="shared"/>
        <v>-612.42266542074503</v>
      </c>
      <c r="M72" s="95">
        <f si="91" t="shared"/>
        <v>379.98970166401705</v>
      </c>
      <c r="N72" s="95">
        <f si="91" t="shared"/>
        <v>559.58181681477436</v>
      </c>
    </row>
    <row r="73" spans="8:17" x14ac:dyDescent="0.45">
      <c r="H73" t="s">
        <v>191</v>
      </c>
      <c r="I73" s="1" t="s">
        <v>188</v>
      </c>
    </row>
    <row ht="14.65" r="74" spans="8:17" thickBot="1" x14ac:dyDescent="0.5">
      <c r="I74" s="12"/>
      <c r="J74" s="10" t="s">
        <v>2</v>
      </c>
      <c r="K74" s="9"/>
      <c r="L74" s="9"/>
      <c r="M74" s="9"/>
      <c r="N74" s="9"/>
      <c r="O74" s="9"/>
    </row>
    <row r="75" spans="8:17" x14ac:dyDescent="0.45">
      <c r="I75" s="11" t="s">
        <v>1</v>
      </c>
      <c r="J75" s="2">
        <v>0</v>
      </c>
      <c r="K75" s="2">
        <v>1</v>
      </c>
      <c r="L75" s="2">
        <v>2</v>
      </c>
      <c r="M75" s="2">
        <v>3</v>
      </c>
      <c r="N75" s="2" t="s">
        <v>3</v>
      </c>
      <c r="O75" s="2" t="s">
        <v>4</v>
      </c>
      <c r="Q75" s="86" t="s">
        <v>189</v>
      </c>
    </row>
    <row r="76" spans="8:17" x14ac:dyDescent="0.45">
      <c r="I76" s="3">
        <v>1</v>
      </c>
      <c r="J76" s="4">
        <f>J66*J$61/J$71</f>
        <v>25123.313693771699</v>
      </c>
      <c r="K76" s="4">
        <f ref="K76:N76" si="92" t="shared">K66*K$61/K$71</f>
        <v>197631.17795900771</v>
      </c>
      <c r="L76" s="4">
        <f si="92" t="shared"/>
        <v>43707.469070199048</v>
      </c>
      <c r="M76" s="4">
        <f si="92" t="shared"/>
        <v>8975.1957172241364</v>
      </c>
      <c r="N76" s="4">
        <f si="92" t="shared"/>
        <v>2781.1328822082887</v>
      </c>
      <c r="O76" s="4">
        <f>SUM(J76:N76)</f>
        <v>278218.28932241088</v>
      </c>
      <c r="P76" s="66">
        <f>O76/O$60</f>
        <v>0.34619981623798224</v>
      </c>
      <c r="Q76" s="4">
        <f>O76-O66</f>
        <v>280.28932241088478</v>
      </c>
    </row>
    <row r="77" spans="8:17" x14ac:dyDescent="0.45">
      <c r="I77" s="3">
        <v>2</v>
      </c>
      <c r="J77" s="4">
        <f ref="J77:N77" si="93" t="shared">J67*J$61/J$71</f>
        <v>6812.4745486638349</v>
      </c>
      <c r="K77" s="4">
        <f si="93" t="shared"/>
        <v>52160.142249854587</v>
      </c>
      <c r="L77" s="4">
        <f si="93" t="shared"/>
        <v>250340.21083965126</v>
      </c>
      <c r="M77" s="4">
        <f si="93" t="shared"/>
        <v>66134.806098124667</v>
      </c>
      <c r="N77" s="4">
        <f si="93" t="shared"/>
        <v>19943.932208531314</v>
      </c>
      <c r="O77" s="4">
        <f ref="O77:O79" si="94" t="shared">SUM(J77:N77)</f>
        <v>395391.56594482565</v>
      </c>
      <c r="P77" s="66">
        <f ref="P77:P80" si="95" t="shared">O77/O$60</f>
        <v>0.49200391464386889</v>
      </c>
      <c r="Q77" s="4">
        <f ref="Q77:Q79" si="96" t="shared">O77-O67</f>
        <v>161.56594482570654</v>
      </c>
    </row>
    <row r="78" spans="8:17" x14ac:dyDescent="0.45">
      <c r="I78" s="3">
        <v>3</v>
      </c>
      <c r="J78" s="4">
        <f ref="J78:N78" si="97" t="shared">J68*J$61/J$71</f>
        <v>1232.5396504635767</v>
      </c>
      <c r="K78" s="4">
        <f si="97" t="shared"/>
        <v>6261.745363022218</v>
      </c>
      <c r="L78" s="4">
        <f si="97" t="shared"/>
        <v>22556.43486586685</v>
      </c>
      <c r="M78" s="4">
        <f si="97" t="shared"/>
        <v>42307.898372699303</v>
      </c>
      <c r="N78" s="4">
        <f si="97" t="shared"/>
        <v>15523.305805999846</v>
      </c>
      <c r="O78" s="4">
        <f si="94" t="shared"/>
        <v>87881.924058051794</v>
      </c>
      <c r="P78" s="66">
        <f si="95" t="shared"/>
        <v>0.10935552092436465</v>
      </c>
      <c r="Q78" s="4">
        <f si="96" t="shared"/>
        <v>-218.07594194820558</v>
      </c>
    </row>
    <row r="79" spans="8:17" x14ac:dyDescent="0.45">
      <c r="I79" s="5" t="s">
        <v>3</v>
      </c>
      <c r="J79" s="4">
        <f ref="J79:N79" si="98" t="shared">J69*J$61/J$71</f>
        <v>979.68045664586953</v>
      </c>
      <c r="K79" s="4">
        <f si="98" t="shared"/>
        <v>2469.7592312906831</v>
      </c>
      <c r="L79" s="4">
        <f si="98" t="shared"/>
        <v>5378.7098120280471</v>
      </c>
      <c r="M79" s="4">
        <f si="98" t="shared"/>
        <v>11377.118306291955</v>
      </c>
      <c r="N79" s="4">
        <f si="98" t="shared"/>
        <v>21937.952868454875</v>
      </c>
      <c r="O79" s="4">
        <f si="94" t="shared"/>
        <v>42143.220674711425</v>
      </c>
      <c r="P79" s="66">
        <f si="95" t="shared"/>
        <v>5.2440748193783769E-2</v>
      </c>
      <c r="Q79" s="4">
        <f si="96" t="shared"/>
        <v>-223.77932528857491</v>
      </c>
    </row>
    <row ht="14.65" r="80" spans="8:17" thickBot="1" x14ac:dyDescent="0.5">
      <c r="I80" s="7" t="s">
        <v>4</v>
      </c>
      <c r="J80" s="8">
        <f>SUM(J76:J79)</f>
        <v>34148.00834954498</v>
      </c>
      <c r="K80" s="8">
        <f ref="K80:N80" si="99" t="shared">SUM(K76:K79)</f>
        <v>258522.82480317523</v>
      </c>
      <c r="L80" s="8">
        <f si="99" t="shared"/>
        <v>321982.82458774518</v>
      </c>
      <c r="M80" s="8">
        <f si="99" t="shared"/>
        <v>128795.01849434007</v>
      </c>
      <c r="N80" s="8">
        <f si="99" t="shared"/>
        <v>60186.32376519432</v>
      </c>
      <c r="O80" s="8">
        <f>SUM(J80:N80)</f>
        <v>803634.99999999977</v>
      </c>
      <c r="P80" s="66">
        <f si="95" t="shared"/>
        <v>0.99999999999999956</v>
      </c>
    </row>
    <row r="81" spans="8:17" x14ac:dyDescent="0.45">
      <c r="I81" s="3"/>
      <c r="J81" s="91">
        <f>J80/$O80</f>
        <v>4.2491937695029444E-2</v>
      </c>
      <c r="K81" s="91">
        <f ref="K81:O81" si="100" t="shared">K80/$O80</f>
        <v>0.32169184368920628</v>
      </c>
      <c r="L81" s="91">
        <f si="100" t="shared"/>
        <v>0.40065804076196943</v>
      </c>
      <c r="M81" s="91">
        <f si="100" t="shared"/>
        <v>0.16026556645036627</v>
      </c>
      <c r="N81" s="91">
        <f si="100" t="shared"/>
        <v>7.4892611403428594E-2</v>
      </c>
      <c r="O81" s="91">
        <f si="100" t="shared"/>
        <v>1</v>
      </c>
    </row>
    <row r="83" spans="8:17" x14ac:dyDescent="0.45">
      <c r="H83" t="s">
        <v>192</v>
      </c>
      <c r="I83" s="1" t="s">
        <v>187</v>
      </c>
    </row>
    <row ht="14.65" r="84" spans="8:17" thickBot="1" x14ac:dyDescent="0.5">
      <c r="I84" s="12"/>
      <c r="J84" s="10" t="s">
        <v>2</v>
      </c>
      <c r="K84" s="9"/>
      <c r="L84" s="9"/>
      <c r="M84" s="9"/>
      <c r="N84" s="9"/>
      <c r="O84" s="9"/>
    </row>
    <row r="85" spans="8:17" x14ac:dyDescent="0.45">
      <c r="I85" s="11" t="s">
        <v>1</v>
      </c>
      <c r="J85" s="2">
        <v>0</v>
      </c>
      <c r="K85" s="2">
        <v>1</v>
      </c>
      <c r="L85" s="2">
        <v>2</v>
      </c>
      <c r="M85" s="2">
        <v>3</v>
      </c>
      <c r="N85" s="2" t="s">
        <v>3</v>
      </c>
      <c r="O85" s="2" t="s">
        <v>4</v>
      </c>
    </row>
    <row r="86" spans="8:17" x14ac:dyDescent="0.45">
      <c r="I86" s="3">
        <v>1</v>
      </c>
      <c r="J86" s="4">
        <f>J76*$O66/$O76</f>
        <v>25098.003364285116</v>
      </c>
      <c r="K86" s="4">
        <f ref="K86:N86" si="101" t="shared">K76*$O66/$O76</f>
        <v>197432.07563150686</v>
      </c>
      <c r="L86" s="4">
        <f si="101" t="shared"/>
        <v>43663.436246477009</v>
      </c>
      <c r="M86" s="4">
        <f si="101" t="shared"/>
        <v>8966.1537109196161</v>
      </c>
      <c r="N86" s="4">
        <f si="101" t="shared"/>
        <v>2778.3310468113873</v>
      </c>
      <c r="O86" s="4">
        <f>SUM(J86:N86)</f>
        <v>277937.99999999994</v>
      </c>
      <c r="P86" s="66">
        <f>O86/O$60</f>
        <v>0.34585103933999878</v>
      </c>
    </row>
    <row r="87" spans="8:17" x14ac:dyDescent="0.45">
      <c r="I87" s="3">
        <v>2</v>
      </c>
      <c r="J87" s="4">
        <f ref="J87:N87" si="102" t="shared">J77*$O67/$O77</f>
        <v>6809.69081734062</v>
      </c>
      <c r="K87" s="4">
        <f si="102" t="shared"/>
        <v>52138.828434915966</v>
      </c>
      <c r="L87" s="4">
        <f si="102" t="shared"/>
        <v>250237.91616223313</v>
      </c>
      <c r="M87" s="4">
        <f si="102" t="shared"/>
        <v>66107.781919175439</v>
      </c>
      <c r="N87" s="4">
        <f si="102" t="shared"/>
        <v>19935.782666334806</v>
      </c>
      <c r="O87" s="4">
        <f ref="O87:O89" si="103" t="shared">SUM(J87:N87)</f>
        <v>395229.99999999994</v>
      </c>
      <c r="P87" s="66">
        <f ref="P87:P90" si="104" t="shared">O87/O$60</f>
        <v>0.49180287070622841</v>
      </c>
    </row>
    <row r="88" spans="8:17" x14ac:dyDescent="0.45">
      <c r="I88" s="3">
        <v>3</v>
      </c>
      <c r="J88" s="4">
        <f ref="J88:N88" si="105" t="shared">J78*$O68/$O78</f>
        <v>1235.5981547936117</v>
      </c>
      <c r="K88" s="4">
        <f si="105" t="shared"/>
        <v>6277.2836666371777</v>
      </c>
      <c r="L88" s="4">
        <f si="105" t="shared"/>
        <v>22612.407875482775</v>
      </c>
      <c r="M88" s="4">
        <f si="105" t="shared"/>
        <v>42412.883952935132</v>
      </c>
      <c r="N88" s="4">
        <f si="105" t="shared"/>
        <v>15561.826350151307</v>
      </c>
      <c r="O88" s="4">
        <f si="103" t="shared"/>
        <v>88100</v>
      </c>
      <c r="P88" s="66">
        <f si="104" t="shared"/>
        <v>0.10962688285104555</v>
      </c>
    </row>
    <row r="89" spans="8:17" x14ac:dyDescent="0.45">
      <c r="I89" s="5" t="s">
        <v>3</v>
      </c>
      <c r="J89" s="4">
        <f ref="J89:N89" si="106" t="shared">J79*$O69/$O79</f>
        <v>984.88253252134177</v>
      </c>
      <c r="K89" s="4">
        <f si="106" t="shared"/>
        <v>2482.8735838616317</v>
      </c>
      <c r="L89" s="4">
        <f si="106" t="shared"/>
        <v>5407.2706109747905</v>
      </c>
      <c r="M89" s="4">
        <f si="106" t="shared"/>
        <v>11437.530486888254</v>
      </c>
      <c r="N89" s="4">
        <f si="106" t="shared"/>
        <v>22054.442785753989</v>
      </c>
      <c r="O89" s="4">
        <f si="103" t="shared"/>
        <v>42367</v>
      </c>
      <c r="P89" s="66">
        <f si="104" t="shared"/>
        <v>5.2719207102726977E-2</v>
      </c>
    </row>
    <row ht="14.65" r="90" spans="8:17" thickBot="1" x14ac:dyDescent="0.5">
      <c r="I90" s="7" t="s">
        <v>4</v>
      </c>
      <c r="J90" s="8">
        <f>SUM(J86:J89)</f>
        <v>34128.174868940689</v>
      </c>
      <c r="K90" s="8">
        <f ref="K90:N90" si="107" t="shared">SUM(K86:K89)</f>
        <v>258331.06131692164</v>
      </c>
      <c r="L90" s="8">
        <f si="107" t="shared"/>
        <v>321921.03089516773</v>
      </c>
      <c r="M90" s="8">
        <f si="107" t="shared"/>
        <v>128924.35006991844</v>
      </c>
      <c r="N90" s="8">
        <f si="107" t="shared"/>
        <v>60330.382849051486</v>
      </c>
      <c r="O90" s="8">
        <f>SUM(J90:N90)</f>
        <v>803635</v>
      </c>
      <c r="P90" s="66">
        <f si="104" t="shared"/>
        <v>0.99999999999999989</v>
      </c>
    </row>
    <row r="91" spans="8:17" x14ac:dyDescent="0.45">
      <c r="I91" s="3"/>
      <c r="J91" s="91">
        <f>J90/$O90</f>
        <v>4.2467257982716888E-2</v>
      </c>
      <c r="K91" s="91">
        <f ref="K91:O91" si="108" t="shared">K90/$O90</f>
        <v>0.32145322356159406</v>
      </c>
      <c r="L91" s="91">
        <f si="108" t="shared"/>
        <v>0.40058114802760919</v>
      </c>
      <c r="M91" s="91">
        <f si="108" t="shared"/>
        <v>0.16042649967947942</v>
      </c>
      <c r="N91" s="91">
        <f si="108" t="shared"/>
        <v>7.5071870748600403E-2</v>
      </c>
      <c r="O91" s="91">
        <f si="108" t="shared"/>
        <v>1</v>
      </c>
    </row>
    <row r="92" spans="8:17" x14ac:dyDescent="0.45">
      <c r="I92" s="94" t="s">
        <v>189</v>
      </c>
      <c r="J92" s="95">
        <f>J90-J80</f>
        <v>-19.833480604291253</v>
      </c>
      <c r="K92" s="95">
        <f ref="K92:N92" si="109" t="shared">K90-K80</f>
        <v>-191.76348625359242</v>
      </c>
      <c r="L92" s="95">
        <f si="109" t="shared"/>
        <v>-61.793692577455658</v>
      </c>
      <c r="M92" s="95">
        <f si="109" t="shared"/>
        <v>129.33157557836967</v>
      </c>
      <c r="N92" s="95">
        <f si="109" t="shared"/>
        <v>144.05908385716612</v>
      </c>
    </row>
    <row r="93" spans="8:17" x14ac:dyDescent="0.45">
      <c r="H93" t="s">
        <v>192</v>
      </c>
      <c r="I93" s="1" t="s">
        <v>188</v>
      </c>
    </row>
    <row ht="14.65" r="94" spans="8:17" thickBot="1" x14ac:dyDescent="0.5">
      <c r="I94" s="12"/>
      <c r="J94" s="10" t="s">
        <v>2</v>
      </c>
      <c r="K94" s="9"/>
      <c r="L94" s="9"/>
      <c r="M94" s="9"/>
      <c r="N94" s="9"/>
      <c r="O94" s="9"/>
    </row>
    <row r="95" spans="8:17" x14ac:dyDescent="0.45">
      <c r="I95" s="11" t="s">
        <v>1</v>
      </c>
      <c r="J95" s="2">
        <v>0</v>
      </c>
      <c r="K95" s="2">
        <v>1</v>
      </c>
      <c r="L95" s="2">
        <v>2</v>
      </c>
      <c r="M95" s="2">
        <v>3</v>
      </c>
      <c r="N95" s="2" t="s">
        <v>3</v>
      </c>
      <c r="O95" s="2" t="s">
        <v>4</v>
      </c>
      <c r="Q95" s="86" t="s">
        <v>189</v>
      </c>
    </row>
    <row r="96" spans="8:17" x14ac:dyDescent="0.45">
      <c r="I96" s="3">
        <v>1</v>
      </c>
      <c r="J96" s="4">
        <f>J86*J$81/J$91</f>
        <v>25112.588989354248</v>
      </c>
      <c r="K96" s="4">
        <f ref="K96:N96" si="110" t="shared">K86*K$81/K$91</f>
        <v>197578.63277770672</v>
      </c>
      <c r="L96" s="4">
        <f si="110" t="shared"/>
        <v>43671.817572011394</v>
      </c>
      <c r="M96" s="4">
        <f si="110" t="shared"/>
        <v>8957.1592363639411</v>
      </c>
      <c r="N96" s="4">
        <f si="110" t="shared"/>
        <v>2771.6968468220234</v>
      </c>
      <c r="O96" s="4">
        <f>SUM(J96:N96)</f>
        <v>278091.89542225836</v>
      </c>
      <c r="P96" s="66">
        <f>O96/O$60</f>
        <v>0.34604253849354288</v>
      </c>
      <c r="Q96" s="4">
        <f>O96-O86</f>
        <v>153.89542225841433</v>
      </c>
    </row>
    <row r="97" spans="8:17" x14ac:dyDescent="0.45">
      <c r="I97" s="3">
        <v>2</v>
      </c>
      <c r="J97" s="4">
        <f ref="J97:N97" si="111" t="shared">J87*J$81/J$91</f>
        <v>6813.6482475655193</v>
      </c>
      <c r="K97" s="4">
        <f si="111" t="shared"/>
        <v>52177.531963089823</v>
      </c>
      <c r="L97" s="4">
        <f si="111" t="shared"/>
        <v>250285.95006924315</v>
      </c>
      <c r="M97" s="4">
        <f si="111" t="shared"/>
        <v>66041.465326623613</v>
      </c>
      <c r="N97" s="4">
        <f si="111" t="shared"/>
        <v>19888.179278932592</v>
      </c>
      <c r="O97" s="4">
        <f ref="O97:O99" si="112" t="shared">SUM(J97:N97)</f>
        <v>395206.77488545462</v>
      </c>
      <c r="P97" s="66">
        <f ref="P97:P100" si="113" t="shared">O97/O$60</f>
        <v>0.49177397062777822</v>
      </c>
      <c r="Q97" s="4">
        <f ref="Q97:Q99" si="114" t="shared">O97-O87</f>
        <v>-23.225114545319229</v>
      </c>
    </row>
    <row r="98" spans="8:17" x14ac:dyDescent="0.45">
      <c r="I98" s="3">
        <v>3</v>
      </c>
      <c r="J98" s="4">
        <f ref="J98:N98" si="115" t="shared">J88*J$81/J$91</f>
        <v>1236.3162187431758</v>
      </c>
      <c r="K98" s="4">
        <f si="115" t="shared"/>
        <v>6281.9433997485621</v>
      </c>
      <c r="L98" s="4">
        <f si="115" t="shared"/>
        <v>22616.74839395344</v>
      </c>
      <c r="M98" s="4">
        <f si="115" t="shared"/>
        <v>42370.337101983547</v>
      </c>
      <c r="N98" s="4">
        <f si="115" t="shared"/>
        <v>15524.667254828542</v>
      </c>
      <c r="O98" s="4">
        <f si="112" t="shared"/>
        <v>88030.012369257267</v>
      </c>
      <c r="P98" s="66">
        <f si="113" t="shared"/>
        <v>0.10953979402248191</v>
      </c>
      <c r="Q98" s="4">
        <f si="114" t="shared"/>
        <v>-69.987630742733018</v>
      </c>
    </row>
    <row r="99" spans="8:17" x14ac:dyDescent="0.45">
      <c r="I99" s="5" t="s">
        <v>3</v>
      </c>
      <c r="J99" s="4">
        <f ref="J99:N99" si="116" t="shared">J89*J$81/J$91</f>
        <v>985.45489388204419</v>
      </c>
      <c r="K99" s="4">
        <f si="116" t="shared"/>
        <v>2484.7166626301746</v>
      </c>
      <c r="L99" s="4">
        <f si="116" t="shared"/>
        <v>5408.3085525373199</v>
      </c>
      <c r="M99" s="4">
        <f si="116" t="shared"/>
        <v>11426.056829369001</v>
      </c>
      <c r="N99" s="4">
        <f si="116" t="shared"/>
        <v>22001.780384611186</v>
      </c>
      <c r="O99" s="4">
        <f si="112" t="shared"/>
        <v>42306.317323029725</v>
      </c>
      <c r="P99" s="66">
        <f si="113" t="shared"/>
        <v>5.2643696856196805E-2</v>
      </c>
      <c r="Q99" s="4">
        <f si="114" t="shared"/>
        <v>-60.68267697027477</v>
      </c>
    </row>
    <row ht="14.65" r="100" spans="8:17" thickBot="1" x14ac:dyDescent="0.5">
      <c r="I100" s="7" t="s">
        <v>4</v>
      </c>
      <c r="J100" s="8">
        <f>SUM(J96:J99)</f>
        <v>34148.008349544987</v>
      </c>
      <c r="K100" s="8">
        <f ref="K100:N100" si="117" t="shared">SUM(K96:K99)</f>
        <v>258522.82480317529</v>
      </c>
      <c r="L100" s="8">
        <f si="117" t="shared"/>
        <v>321982.8245877453</v>
      </c>
      <c r="M100" s="8">
        <f si="117" t="shared"/>
        <v>128795.0184943401</v>
      </c>
      <c r="N100" s="8">
        <f si="117" t="shared"/>
        <v>60186.323765194342</v>
      </c>
      <c r="O100" s="8">
        <f>SUM(J100:N100)</f>
        <v>803635.00000000012</v>
      </c>
      <c r="P100" s="66">
        <f si="113" t="shared"/>
        <v>1</v>
      </c>
    </row>
    <row r="101" spans="8:17" x14ac:dyDescent="0.45">
      <c r="I101" s="3"/>
      <c r="J101" s="91">
        <f>J100/$O100</f>
        <v>4.2491937695029437E-2</v>
      </c>
      <c r="K101" s="91">
        <f ref="K101:O101" si="118" t="shared">K100/$O100</f>
        <v>0.32169184368920622</v>
      </c>
      <c r="L101" s="91">
        <f si="118" t="shared"/>
        <v>0.40065804076196937</v>
      </c>
      <c r="M101" s="91">
        <f si="118" t="shared"/>
        <v>0.16026556645036624</v>
      </c>
      <c r="N101" s="91">
        <f si="118" t="shared"/>
        <v>7.4892611403428594E-2</v>
      </c>
      <c r="O101" s="91">
        <f si="118" t="shared"/>
        <v>1</v>
      </c>
    </row>
    <row r="103" spans="8:17" x14ac:dyDescent="0.45">
      <c r="H103" t="s">
        <v>193</v>
      </c>
      <c r="I103" s="1" t="s">
        <v>187</v>
      </c>
    </row>
    <row ht="14.65" r="104" spans="8:17" thickBot="1" x14ac:dyDescent="0.5">
      <c r="I104" s="12"/>
      <c r="J104" s="10" t="s">
        <v>2</v>
      </c>
      <c r="K104" s="9"/>
      <c r="L104" s="9"/>
      <c r="M104" s="9"/>
      <c r="N104" s="9"/>
      <c r="O104" s="9"/>
    </row>
    <row r="105" spans="8:17" x14ac:dyDescent="0.45">
      <c r="I105" s="11" t="s">
        <v>1</v>
      </c>
      <c r="J105" s="2">
        <v>0</v>
      </c>
      <c r="K105" s="2">
        <v>1</v>
      </c>
      <c r="L105" s="2">
        <v>2</v>
      </c>
      <c r="M105" s="2">
        <v>3</v>
      </c>
      <c r="N105" s="2" t="s">
        <v>3</v>
      </c>
      <c r="O105" s="2" t="s">
        <v>4</v>
      </c>
    </row>
    <row r="106" spans="8:17" x14ac:dyDescent="0.45">
      <c r="I106" s="3">
        <v>1</v>
      </c>
      <c r="J106" s="4">
        <f>J96*$O86/$O96</f>
        <v>25098.691739739512</v>
      </c>
      <c r="K106" s="4">
        <f ref="K106:N106" si="119" t="shared">K96*$O86/$O96</f>
        <v>197469.29321182545</v>
      </c>
      <c r="L106" s="4">
        <f si="119" t="shared"/>
        <v>43647.649687521873</v>
      </c>
      <c r="M106" s="4">
        <f si="119" t="shared"/>
        <v>8952.2023648203722</v>
      </c>
      <c r="N106" s="4">
        <f si="119" t="shared"/>
        <v>2770.1629960926939</v>
      </c>
      <c r="O106" s="4">
        <f>SUM(J106:N106)</f>
        <v>277937.99999999988</v>
      </c>
      <c r="P106" s="66">
        <f>O106/O$60</f>
        <v>0.34585103933999867</v>
      </c>
    </row>
    <row r="107" spans="8:17" x14ac:dyDescent="0.45">
      <c r="I107" s="3">
        <v>2</v>
      </c>
      <c r="J107" s="4">
        <f ref="J107:N107" si="120" t="shared">J97*$O87/$O97</f>
        <v>6814.0486651976989</v>
      </c>
      <c r="K107" s="4">
        <f si="120" t="shared"/>
        <v>52180.598279847392</v>
      </c>
      <c r="L107" s="4">
        <f si="120" t="shared"/>
        <v>250300.65862240782</v>
      </c>
      <c r="M107" s="4">
        <f si="120" t="shared"/>
        <v>66045.34638508319</v>
      </c>
      <c r="N107" s="4">
        <f si="120" t="shared"/>
        <v>19889.348047463915</v>
      </c>
      <c r="O107" s="4">
        <f ref="O107:O109" si="121" t="shared">SUM(J107:N107)</f>
        <v>395230</v>
      </c>
      <c r="P107" s="66">
        <f ref="P107:P110" si="122" t="shared">O107/O$60</f>
        <v>0.49180287070622852</v>
      </c>
    </row>
    <row r="108" spans="8:17" x14ac:dyDescent="0.45">
      <c r="I108" s="3">
        <v>3</v>
      </c>
      <c r="J108" s="4">
        <f ref="J108:N108" si="123" t="shared">J98*$O88/$O98</f>
        <v>1237.2991430966986</v>
      </c>
      <c r="K108" s="4">
        <f si="123" t="shared"/>
        <v>6286.9378138486554</v>
      </c>
      <c r="L108" s="4">
        <f si="123" t="shared"/>
        <v>22634.72967775194</v>
      </c>
      <c r="M108" s="4">
        <f si="123" t="shared"/>
        <v>42404.023334982128</v>
      </c>
      <c r="N108" s="4">
        <f si="123" t="shared"/>
        <v>15537.010030320578</v>
      </c>
      <c r="O108" s="4">
        <f si="121" t="shared"/>
        <v>88100</v>
      </c>
      <c r="P108" s="66">
        <f si="122" t="shared"/>
        <v>0.10962688285104555</v>
      </c>
    </row>
    <row r="109" spans="8:17" x14ac:dyDescent="0.45">
      <c r="I109" s="5" t="s">
        <v>3</v>
      </c>
      <c r="J109" s="4">
        <f ref="J109:N109" si="124" t="shared">J99*$O89/$O99</f>
        <v>986.8683953347379</v>
      </c>
      <c r="K109" s="4">
        <f si="124" t="shared"/>
        <v>2488.2806518436478</v>
      </c>
      <c r="L109" s="4">
        <f si="124" t="shared"/>
        <v>5416.0660379819474</v>
      </c>
      <c r="M109" s="4">
        <f si="124" t="shared"/>
        <v>11442.44595892444</v>
      </c>
      <c r="N109" s="4">
        <f si="124" t="shared"/>
        <v>22033.338955915227</v>
      </c>
      <c r="O109" s="4">
        <f si="121" t="shared"/>
        <v>42367</v>
      </c>
      <c r="P109" s="66">
        <f si="122" t="shared"/>
        <v>5.2719207102726977E-2</v>
      </c>
    </row>
    <row ht="14.65" r="110" spans="8:17" thickBot="1" x14ac:dyDescent="0.5">
      <c r="I110" s="7" t="s">
        <v>4</v>
      </c>
      <c r="J110" s="8">
        <f>SUM(J106:J109)</f>
        <v>34136.907943368649</v>
      </c>
      <c r="K110" s="8">
        <f ref="K110:N110" si="125" t="shared">SUM(K106:K109)</f>
        <v>258425.10995736514</v>
      </c>
      <c r="L110" s="8">
        <f si="125" t="shared"/>
        <v>321999.10402566358</v>
      </c>
      <c r="M110" s="8">
        <f si="125" t="shared"/>
        <v>128844.01804381014</v>
      </c>
      <c r="N110" s="8">
        <f si="125" t="shared"/>
        <v>60229.860029792413</v>
      </c>
      <c r="O110" s="8">
        <f>SUM(J110:N110)</f>
        <v>803634.99999999988</v>
      </c>
      <c r="P110" s="66">
        <f si="122" t="shared"/>
        <v>0.99999999999999967</v>
      </c>
    </row>
    <row r="111" spans="8:17" x14ac:dyDescent="0.45">
      <c r="I111" s="3"/>
      <c r="J111" s="91">
        <f>J110/$O110</f>
        <v>4.2478124948973919E-2</v>
      </c>
      <c r="K111" s="91">
        <f ref="K111:O111" si="126" t="shared">K110/$O110</f>
        <v>0.32157025261140343</v>
      </c>
      <c r="L111" s="91">
        <f si="126" t="shared"/>
        <v>0.40067829801547172</v>
      </c>
      <c r="M111" s="91">
        <f si="126" t="shared"/>
        <v>0.16032653884389075</v>
      </c>
      <c r="N111" s="91">
        <f si="126" t="shared"/>
        <v>7.4946785580260217E-2</v>
      </c>
      <c r="O111" s="91">
        <f si="126" t="shared"/>
        <v>1</v>
      </c>
    </row>
    <row r="112" spans="8:17" x14ac:dyDescent="0.45">
      <c r="I112" s="94" t="s">
        <v>189</v>
      </c>
      <c r="J112" s="95">
        <f>J110-J100</f>
        <v>-11.100406176337856</v>
      </c>
      <c r="K112" s="95">
        <f ref="K112:N112" si="127" t="shared">K110-K100</f>
        <v>-97.714845810143743</v>
      </c>
      <c r="L112" s="95">
        <f si="127" t="shared"/>
        <v>16.279437918274198</v>
      </c>
      <c r="M112" s="95">
        <f si="127" t="shared"/>
        <v>48.999549470041529</v>
      </c>
      <c r="N112" s="95">
        <f si="127" t="shared"/>
        <v>43.536264598071284</v>
      </c>
    </row>
    <row r="113" spans="8:17" x14ac:dyDescent="0.45">
      <c r="H113" t="s">
        <v>193</v>
      </c>
      <c r="I113" s="1" t="s">
        <v>188</v>
      </c>
    </row>
    <row ht="14.65" r="114" spans="8:17" thickBot="1" x14ac:dyDescent="0.5">
      <c r="I114" s="12"/>
      <c r="J114" s="10" t="s">
        <v>2</v>
      </c>
      <c r="K114" s="9"/>
      <c r="L114" s="9"/>
      <c r="M114" s="9"/>
      <c r="N114" s="9"/>
      <c r="O114" s="9"/>
    </row>
    <row r="115" spans="8:17" x14ac:dyDescent="0.45">
      <c r="I115" s="11" t="s">
        <v>1</v>
      </c>
      <c r="J115" s="2">
        <v>0</v>
      </c>
      <c r="K115" s="2">
        <v>1</v>
      </c>
      <c r="L115" s="2">
        <v>2</v>
      </c>
      <c r="M115" s="2">
        <v>3</v>
      </c>
      <c r="N115" s="2" t="s">
        <v>3</v>
      </c>
      <c r="O115" s="2" t="s">
        <v>4</v>
      </c>
      <c r="Q115" s="86" t="s">
        <v>189</v>
      </c>
    </row>
    <row r="116" spans="8:17" x14ac:dyDescent="0.45">
      <c r="I116" s="3">
        <v>1</v>
      </c>
      <c r="J116" s="4">
        <f>J106*J$101/J$111</f>
        <v>25106.853160605973</v>
      </c>
      <c r="K116" s="4">
        <f ref="K116:N116" si="128" t="shared">K106*K$101/K$111</f>
        <v>197543.95964629692</v>
      </c>
      <c r="L116" s="4">
        <f si="128" t="shared"/>
        <v>43645.442975781109</v>
      </c>
      <c r="M116" s="4">
        <f si="128" t="shared"/>
        <v>8948.7978304904045</v>
      </c>
      <c r="N116" s="4">
        <f si="128" t="shared"/>
        <v>2768.1606246922283</v>
      </c>
      <c r="O116" s="4">
        <f>SUM(J116:N116)</f>
        <v>278013.21423786663</v>
      </c>
      <c r="P116" s="66">
        <f>O116/O$60</f>
        <v>0.34594463187624552</v>
      </c>
      <c r="Q116" s="4">
        <f>O116-O106</f>
        <v>75.21423786674859</v>
      </c>
    </row>
    <row r="117" spans="8:17" x14ac:dyDescent="0.45">
      <c r="I117" s="3">
        <v>2</v>
      </c>
      <c r="J117" s="4">
        <f ref="J117:N117" si="129" t="shared">J107*J$101/J$111</f>
        <v>6816.2644109241255</v>
      </c>
      <c r="K117" s="4">
        <f si="129" t="shared"/>
        <v>52200.328634672551</v>
      </c>
      <c r="L117" s="4">
        <f si="129" t="shared"/>
        <v>250288.00407156581</v>
      </c>
      <c r="M117" s="4">
        <f si="129" t="shared"/>
        <v>66020.229253014521</v>
      </c>
      <c r="N117" s="4">
        <f si="129" t="shared"/>
        <v>19874.971326036215</v>
      </c>
      <c r="O117" s="4">
        <f ref="O117:O119" si="130" t="shared">SUM(J117:N117)</f>
        <v>395199.79769621318</v>
      </c>
      <c r="P117" s="66">
        <f ref="P117:P120" si="131" t="shared">O117/O$60</f>
        <v>0.49176528859023455</v>
      </c>
      <c r="Q117" s="4">
        <f ref="Q117:Q119" si="132" t="shared">O117-O107</f>
        <v>-30.202303786820266</v>
      </c>
    </row>
    <row r="118" spans="8:17" x14ac:dyDescent="0.45">
      <c r="I118" s="3">
        <v>3</v>
      </c>
      <c r="J118" s="4">
        <f ref="J118:N118" si="133" t="shared">J108*J$101/J$111</f>
        <v>1237.7014795670309</v>
      </c>
      <c r="K118" s="4">
        <f si="133" t="shared"/>
        <v>6289.3150099314935</v>
      </c>
      <c r="L118" s="4">
        <f si="133" t="shared"/>
        <v>22633.585324640451</v>
      </c>
      <c r="M118" s="4">
        <f si="133" t="shared"/>
        <v>42387.897029153741</v>
      </c>
      <c r="N118" s="4">
        <f si="133" t="shared"/>
        <v>15525.779332135186</v>
      </c>
      <c r="O118" s="4">
        <f si="130" t="shared"/>
        <v>88074.278175427899</v>
      </c>
      <c r="P118" s="66">
        <f si="131" t="shared"/>
        <v>0.10959487600145325</v>
      </c>
      <c r="Q118" s="4">
        <f si="132" t="shared"/>
        <v>-25.721824572101468</v>
      </c>
    </row>
    <row r="119" spans="8:17" x14ac:dyDescent="0.45">
      <c r="I119" s="5" t="s">
        <v>3</v>
      </c>
      <c r="J119" s="4">
        <f ref="J119:N119" si="134" t="shared">J109*J$101/J$111</f>
        <v>987.18929844784259</v>
      </c>
      <c r="K119" s="4">
        <f si="134" t="shared"/>
        <v>2489.2215122742273</v>
      </c>
      <c r="L119" s="4">
        <f si="134" t="shared"/>
        <v>5415.7922157578332</v>
      </c>
      <c r="M119" s="4">
        <f si="134" t="shared"/>
        <v>11438.094381681387</v>
      </c>
      <c r="N119" s="4">
        <f si="134" t="shared"/>
        <v>22017.412482330707</v>
      </c>
      <c r="O119" s="4">
        <f si="130" t="shared"/>
        <v>42347.709890491999</v>
      </c>
      <c r="P119" s="66">
        <f si="131" t="shared"/>
        <v>5.2695203532066165E-2</v>
      </c>
      <c r="Q119" s="4">
        <f si="132" t="shared"/>
        <v>-19.290109508001478</v>
      </c>
    </row>
    <row ht="14.65" r="120" spans="8:17" thickBot="1" x14ac:dyDescent="0.5">
      <c r="I120" s="7" t="s">
        <v>4</v>
      </c>
      <c r="J120" s="8">
        <f>SUM(J116:J119)</f>
        <v>34148.008349544973</v>
      </c>
      <c r="K120" s="8">
        <f ref="K120:N120" si="135" t="shared">SUM(K116:K119)</f>
        <v>258522.8248031752</v>
      </c>
      <c r="L120" s="8">
        <f si="135" t="shared"/>
        <v>321982.82458774518</v>
      </c>
      <c r="M120" s="8">
        <f si="135" t="shared"/>
        <v>128795.01849434005</v>
      </c>
      <c r="N120" s="8">
        <f si="135" t="shared"/>
        <v>60186.323765194335</v>
      </c>
      <c r="O120" s="8">
        <f>SUM(J120:N120)</f>
        <v>803634.99999999977</v>
      </c>
      <c r="P120" s="66">
        <f si="131" t="shared"/>
        <v>0.99999999999999956</v>
      </c>
    </row>
    <row r="121" spans="8:17" x14ac:dyDescent="0.45">
      <c r="I121" s="3"/>
      <c r="J121" s="91">
        <f>J120/$O120</f>
        <v>4.2491937695029437E-2</v>
      </c>
      <c r="K121" s="91">
        <f ref="K121:O121" si="136" t="shared">K120/$O120</f>
        <v>0.32169184368920628</v>
      </c>
      <c r="L121" s="91">
        <f si="136" t="shared"/>
        <v>0.40065804076196943</v>
      </c>
      <c r="M121" s="91">
        <f si="136" t="shared"/>
        <v>0.16026556645036627</v>
      </c>
      <c r="N121" s="91">
        <f si="136" t="shared"/>
        <v>7.4892611403428608E-2</v>
      </c>
      <c r="O121" s="91">
        <f si="136" t="shared"/>
        <v>1</v>
      </c>
    </row>
    <row r="123" spans="8:17" x14ac:dyDescent="0.45">
      <c r="H123" t="s">
        <v>194</v>
      </c>
      <c r="I123" s="1" t="s">
        <v>187</v>
      </c>
    </row>
    <row ht="14.65" r="124" spans="8:17" thickBot="1" x14ac:dyDescent="0.5">
      <c r="I124" s="12"/>
      <c r="J124" s="10" t="s">
        <v>2</v>
      </c>
      <c r="K124" s="9"/>
      <c r="L124" s="9"/>
      <c r="M124" s="9"/>
      <c r="N124" s="9"/>
      <c r="O124" s="9"/>
    </row>
    <row r="125" spans="8:17" x14ac:dyDescent="0.45">
      <c r="I125" s="11" t="s">
        <v>1</v>
      </c>
      <c r="J125" s="2">
        <v>0</v>
      </c>
      <c r="K125" s="2">
        <v>1</v>
      </c>
      <c r="L125" s="2">
        <v>2</v>
      </c>
      <c r="M125" s="2">
        <v>3</v>
      </c>
      <c r="N125" s="2" t="s">
        <v>3</v>
      </c>
      <c r="O125" s="2" t="s">
        <v>4</v>
      </c>
    </row>
    <row r="126" spans="8:17" x14ac:dyDescent="0.45">
      <c r="I126" s="3">
        <v>1</v>
      </c>
      <c r="J126" s="4">
        <f>J116*$O106/$O116</f>
        <v>25100.06070352481</v>
      </c>
      <c r="K126" s="4">
        <f ref="K126:N126" si="137" t="shared">K116*$O106/$O116</f>
        <v>197490.51571770268</v>
      </c>
      <c r="L126" s="4">
        <f si="137" t="shared"/>
        <v>43633.635052410347</v>
      </c>
      <c r="M126" s="4">
        <f si="137" t="shared"/>
        <v>8946.3768052506894</v>
      </c>
      <c r="N126" s="4">
        <f si="137" t="shared"/>
        <v>2767.411721111333</v>
      </c>
      <c r="O126" s="4">
        <f>SUM(J126:N126)</f>
        <v>277937.99999999988</v>
      </c>
      <c r="P126" s="66">
        <f>O126/O$60</f>
        <v>0.34585103933999867</v>
      </c>
      <c r="Q126" s="4"/>
    </row>
    <row r="127" spans="8:17" x14ac:dyDescent="0.45">
      <c r="I127" s="3">
        <v>2</v>
      </c>
      <c r="J127" s="4">
        <f ref="J127:N127" si="138" t="shared">J117*$O107/$O117</f>
        <v>6816.7853294307397</v>
      </c>
      <c r="K127" s="4">
        <f si="138" t="shared"/>
        <v>52204.317933736937</v>
      </c>
      <c r="L127" s="4">
        <f si="138" t="shared"/>
        <v>250307.1317998117</v>
      </c>
      <c r="M127" s="4">
        <f si="138" t="shared"/>
        <v>66025.274708583063</v>
      </c>
      <c r="N127" s="4">
        <f si="138" t="shared"/>
        <v>19876.490228437589</v>
      </c>
      <c r="O127" s="4">
        <f ref="O127:O129" si="139" t="shared">SUM(J127:N127)</f>
        <v>395230.00000000006</v>
      </c>
      <c r="P127" s="66">
        <f ref="P127:P130" si="140" t="shared">O127/O$60</f>
        <v>0.49180287070622858</v>
      </c>
      <c r="Q127" s="4"/>
    </row>
    <row r="128" spans="8:17" x14ac:dyDescent="0.45">
      <c r="I128" s="3">
        <v>3</v>
      </c>
      <c r="J128" s="4">
        <f ref="J128:N128" si="141" t="shared">J118*$O108/$O118</f>
        <v>1238.0629465127679</v>
      </c>
      <c r="K128" s="4">
        <f si="141" t="shared"/>
        <v>6291.1517852161223</v>
      </c>
      <c r="L128" s="4">
        <f si="141" t="shared"/>
        <v>22640.195394268252</v>
      </c>
      <c r="M128" s="4">
        <f si="141" t="shared"/>
        <v>42400.276285321954</v>
      </c>
      <c r="N128" s="4">
        <f si="141" t="shared"/>
        <v>15530.313588680905</v>
      </c>
      <c r="O128" s="4">
        <f si="139" t="shared"/>
        <v>88100</v>
      </c>
      <c r="P128" s="66">
        <f si="140" t="shared"/>
        <v>0.10962688285104555</v>
      </c>
      <c r="Q128" s="4"/>
    </row>
    <row r="129" spans="8:17" x14ac:dyDescent="0.45">
      <c r="I129" s="5" t="s">
        <v>3</v>
      </c>
      <c r="J129" s="4">
        <f ref="J129:N129" si="142" t="shared">J119*$O109/$O119</f>
        <v>987.63898013597702</v>
      </c>
      <c r="K129" s="4">
        <f si="142" t="shared"/>
        <v>2490.3553954449017</v>
      </c>
      <c r="L129" s="4">
        <f si="142" t="shared"/>
        <v>5418.2592021706687</v>
      </c>
      <c r="M129" s="4">
        <f si="142" t="shared"/>
        <v>11443.304630210907</v>
      </c>
      <c r="N129" s="4">
        <f si="142" t="shared"/>
        <v>22027.441792037542</v>
      </c>
      <c r="O129" s="4">
        <f si="139" t="shared"/>
        <v>42367</v>
      </c>
      <c r="P129" s="66">
        <f si="140" t="shared"/>
        <v>5.2719207102726977E-2</v>
      </c>
      <c r="Q129" s="4"/>
    </row>
    <row ht="14.65" r="130" spans="8:17" thickBot="1" x14ac:dyDescent="0.5">
      <c r="I130" s="7" t="s">
        <v>4</v>
      </c>
      <c r="J130" s="8">
        <f>SUM(J126:J129)</f>
        <v>34142.547959604293</v>
      </c>
      <c r="K130" s="8">
        <f ref="K130:N130" si="143" t="shared">SUM(K126:K129)</f>
        <v>258476.34083210066</v>
      </c>
      <c r="L130" s="8">
        <f si="143" t="shared"/>
        <v>321999.22144866094</v>
      </c>
      <c r="M130" s="8">
        <f si="143" t="shared"/>
        <v>128815.23242936662</v>
      </c>
      <c r="N130" s="8">
        <f si="143" t="shared"/>
        <v>60201.657330267371</v>
      </c>
      <c r="O130" s="8">
        <f>SUM(J130:N130)</f>
        <v>803634.99999999977</v>
      </c>
      <c r="P130" s="66">
        <f si="140" t="shared"/>
        <v>0.99999999999999956</v>
      </c>
    </row>
    <row r="131" spans="8:17" x14ac:dyDescent="0.45">
      <c r="I131" s="3"/>
      <c r="J131" s="91">
        <f>J130/$O130</f>
        <v>4.2485143080632753E-2</v>
      </c>
      <c r="K131" s="91">
        <f ref="K131:O131" si="144" t="shared">K130/$O130</f>
        <v>0.32163400154560307</v>
      </c>
      <c r="L131" s="91">
        <f si="144" t="shared"/>
        <v>0.40067844413030923</v>
      </c>
      <c r="M131" s="91">
        <f si="144" t="shared"/>
        <v>0.16029071957961843</v>
      </c>
      <c r="N131" s="91">
        <f si="144" t="shared"/>
        <v>7.4911691663836683E-2</v>
      </c>
      <c r="O131" s="91">
        <f si="144" t="shared"/>
        <v>1</v>
      </c>
    </row>
    <row r="132" spans="8:17" x14ac:dyDescent="0.45">
      <c r="I132" s="94" t="s">
        <v>189</v>
      </c>
      <c r="J132" s="95">
        <f>J130-J120</f>
        <v>-5.4603899406793062</v>
      </c>
      <c r="K132" s="95">
        <f ref="K132:N132" si="145" t="shared">K130-K120</f>
        <v>-46.483971074543661</v>
      </c>
      <c r="L132" s="95">
        <f si="145" t="shared"/>
        <v>16.396860915760044</v>
      </c>
      <c r="M132" s="95">
        <f si="145" t="shared"/>
        <v>20.213935026564286</v>
      </c>
      <c r="N132" s="95">
        <f si="145" t="shared"/>
        <v>15.33356507303688</v>
      </c>
    </row>
    <row r="133" spans="8:17" x14ac:dyDescent="0.45">
      <c r="H133" t="s">
        <v>194</v>
      </c>
      <c r="I133" s="1" t="s">
        <v>188</v>
      </c>
    </row>
    <row ht="14.65" r="134" spans="8:17" thickBot="1" x14ac:dyDescent="0.5">
      <c r="I134" s="12"/>
      <c r="J134" s="10" t="s">
        <v>2</v>
      </c>
      <c r="K134" s="9"/>
      <c r="L134" s="9"/>
      <c r="M134" s="9"/>
      <c r="N134" s="9"/>
      <c r="O134" s="9"/>
    </row>
    <row r="135" spans="8:17" x14ac:dyDescent="0.45">
      <c r="I135" s="11" t="s">
        <v>1</v>
      </c>
      <c r="J135" s="2">
        <v>0</v>
      </c>
      <c r="K135" s="2">
        <v>1</v>
      </c>
      <c r="L135" s="2">
        <v>2</v>
      </c>
      <c r="M135" s="2">
        <v>3</v>
      </c>
      <c r="N135" s="2" t="s">
        <v>3</v>
      </c>
      <c r="O135" s="2" t="s">
        <v>4</v>
      </c>
      <c r="Q135" s="86" t="s">
        <v>189</v>
      </c>
    </row>
    <row r="136" spans="8:17" x14ac:dyDescent="0.45">
      <c r="I136" s="3">
        <v>1</v>
      </c>
      <c r="J136" s="4">
        <f>J126*J$121/J$131</f>
        <v>25104.074935829271</v>
      </c>
      <c r="K136" s="4">
        <f ref="K136:N136" si="146" t="shared">K126*K$121/K$131</f>
        <v>197526.03209568362</v>
      </c>
      <c r="L136" s="4">
        <f si="146" t="shared"/>
        <v>43631.413138202035</v>
      </c>
      <c r="M136" s="4">
        <f si="146" t="shared"/>
        <v>8944.9729225261544</v>
      </c>
      <c r="N136" s="4">
        <f si="146" t="shared"/>
        <v>2766.7068520165044</v>
      </c>
      <c r="O136" s="4">
        <f>SUM(J136:N136)</f>
        <v>277973.19994425762</v>
      </c>
      <c r="P136" s="66">
        <f>O136/O$60</f>
        <v>0.34589484024993633</v>
      </c>
      <c r="Q136" s="4">
        <f>O136-O126</f>
        <v>35.199944257736206</v>
      </c>
    </row>
    <row r="137" spans="8:17" x14ac:dyDescent="0.45">
      <c r="I137" s="3">
        <v>2</v>
      </c>
      <c r="J137" s="4">
        <f ref="J137:N137" si="147" t="shared">J127*J$121/J$131</f>
        <v>6817.8755323671066</v>
      </c>
      <c r="K137" s="4">
        <f si="147" t="shared"/>
        <v>52213.706274646545</v>
      </c>
      <c r="L137" s="4">
        <f si="147" t="shared"/>
        <v>250294.38564717234</v>
      </c>
      <c r="M137" s="4">
        <f si="147" t="shared"/>
        <v>66014.913894975078</v>
      </c>
      <c r="N137" s="4">
        <f si="147" t="shared"/>
        <v>19871.427619369046</v>
      </c>
      <c r="O137" s="4">
        <f ref="O137:O139" si="148" t="shared">SUM(J137:N137)</f>
        <v>395212.30896853015</v>
      </c>
      <c r="P137" s="66">
        <f ref="P137:P140" si="149" t="shared">O137/O$60</f>
        <v>0.49178085694193269</v>
      </c>
      <c r="Q137" s="4">
        <f ref="Q137:Q139" si="150" t="shared">O137-O127</f>
        <v>-17.691031469905283</v>
      </c>
    </row>
    <row r="138" spans="8:17" x14ac:dyDescent="0.45">
      <c r="I138" s="3">
        <v>3</v>
      </c>
      <c r="J138" s="4">
        <f ref="J138:N138" si="151" t="shared">J128*J$121/J$131</f>
        <v>1238.2609489133815</v>
      </c>
      <c r="K138" s="4">
        <f si="151" t="shared"/>
        <v>6292.283175875199</v>
      </c>
      <c r="L138" s="4">
        <f si="151" t="shared"/>
        <v>22639.042509073948</v>
      </c>
      <c r="M138" s="4">
        <f si="151" t="shared"/>
        <v>42393.62275208853</v>
      </c>
      <c r="N138" s="4">
        <f si="151" t="shared"/>
        <v>15526.357965454281</v>
      </c>
      <c r="O138" s="4">
        <f si="148" t="shared"/>
        <v>88089.567351405334</v>
      </c>
      <c r="P138" s="66">
        <f si="149" t="shared"/>
        <v>0.10961390102646763</v>
      </c>
      <c r="Q138" s="4">
        <f si="150" t="shared"/>
        <v>-10.432648594665807</v>
      </c>
    </row>
    <row r="139" spans="8:17" x14ac:dyDescent="0.45">
      <c r="I139" s="5" t="s">
        <v>3</v>
      </c>
      <c r="J139" s="4">
        <f ref="J139:N139" si="152" t="shared">J129*J$121/J$131</f>
        <v>987.79693243521774</v>
      </c>
      <c r="K139" s="4">
        <f si="152" t="shared"/>
        <v>2490.8032569698466</v>
      </c>
      <c r="L139" s="4">
        <f si="152" t="shared"/>
        <v>5417.983293296902</v>
      </c>
      <c r="M139" s="4">
        <f si="152" t="shared"/>
        <v>11441.508924750287</v>
      </c>
      <c r="N139" s="4">
        <f si="152" t="shared"/>
        <v>22021.831328354492</v>
      </c>
      <c r="O139" s="4">
        <f si="148" t="shared"/>
        <v>42359.923735806748</v>
      </c>
      <c r="P139" s="66">
        <f si="149" t="shared"/>
        <v>5.2710401781662995E-2</v>
      </c>
      <c r="Q139" s="4">
        <f si="150" t="shared"/>
        <v>-7.0762641932524275</v>
      </c>
    </row>
    <row ht="14.65" r="140" spans="8:17" thickBot="1" x14ac:dyDescent="0.5">
      <c r="I140" s="7" t="s">
        <v>4</v>
      </c>
      <c r="J140" s="8">
        <f>SUM(J136:J139)</f>
        <v>34148.008349544973</v>
      </c>
      <c r="K140" s="8">
        <f ref="K140:N140" si="153" t="shared">SUM(K136:K139)</f>
        <v>258522.8248031752</v>
      </c>
      <c r="L140" s="8">
        <f si="153" t="shared"/>
        <v>321982.82458774524</v>
      </c>
      <c r="M140" s="8">
        <f si="153" t="shared"/>
        <v>128795.01849434005</v>
      </c>
      <c r="N140" s="8">
        <f si="153" t="shared"/>
        <v>60186.323765194327</v>
      </c>
      <c r="O140" s="8">
        <f>SUM(J140:N140)</f>
        <v>803634.99999999965</v>
      </c>
      <c r="P140" s="66">
        <f si="149" t="shared"/>
        <v>0.99999999999999944</v>
      </c>
    </row>
    <row r="141" spans="8:17" x14ac:dyDescent="0.45">
      <c r="I141" s="3"/>
      <c r="J141" s="91">
        <f>J140/$O140</f>
        <v>4.2491937695029444E-2</v>
      </c>
      <c r="K141" s="91">
        <f ref="K141:O141" si="154" t="shared">K140/$O140</f>
        <v>0.32169184368920634</v>
      </c>
      <c r="L141" s="91">
        <f si="154" t="shared"/>
        <v>0.40065804076196954</v>
      </c>
      <c r="M141" s="91">
        <f si="154" t="shared"/>
        <v>0.16026556645036627</v>
      </c>
      <c r="N141" s="91">
        <f si="154" t="shared"/>
        <v>7.4892611403428608E-2</v>
      </c>
      <c r="O141" s="91">
        <f si="154" t="shared"/>
        <v>1</v>
      </c>
    </row>
    <row r="143" spans="8:17" x14ac:dyDescent="0.45">
      <c r="H143" t="s">
        <v>195</v>
      </c>
      <c r="I143" s="1" t="s">
        <v>187</v>
      </c>
    </row>
    <row ht="14.65" r="144" spans="8:17" thickBot="1" x14ac:dyDescent="0.5">
      <c r="I144" s="12"/>
      <c r="J144" s="10" t="s">
        <v>2</v>
      </c>
      <c r="K144" s="9"/>
      <c r="L144" s="9"/>
      <c r="M144" s="9"/>
      <c r="N144" s="9"/>
      <c r="O144" s="9"/>
    </row>
    <row r="145" spans="8:17" x14ac:dyDescent="0.45">
      <c r="I145" s="11" t="s">
        <v>1</v>
      </c>
      <c r="J145" s="2">
        <v>0</v>
      </c>
      <c r="K145" s="2">
        <v>1</v>
      </c>
      <c r="L145" s="2">
        <v>2</v>
      </c>
      <c r="M145" s="2">
        <v>3</v>
      </c>
      <c r="N145" s="2" t="s">
        <v>3</v>
      </c>
      <c r="O145" s="2" t="s">
        <v>4</v>
      </c>
    </row>
    <row r="146" spans="8:17" x14ac:dyDescent="0.45">
      <c r="I146" s="3">
        <v>1</v>
      </c>
      <c r="J146" s="4">
        <f>J136*$O126/$O136</f>
        <v>25100.895988943168</v>
      </c>
      <c r="K146" s="4">
        <f ref="K146:N146" si="155" t="shared">K136*$O126/$O136</f>
        <v>197501.01923357818</v>
      </c>
      <c r="L146" s="4">
        <f si="155" t="shared"/>
        <v>43625.888061285776</v>
      </c>
      <c r="M146" s="4">
        <f si="155" t="shared"/>
        <v>8943.8402142351279</v>
      </c>
      <c r="N146" s="4">
        <f si="155" t="shared"/>
        <v>2766.3565019576213</v>
      </c>
      <c r="O146" s="4">
        <f>SUM(J146:N146)</f>
        <v>277937.99999999988</v>
      </c>
      <c r="P146" s="66">
        <f>O146/O$60</f>
        <v>0.34585103933999867</v>
      </c>
      <c r="Q146" s="4"/>
    </row>
    <row r="147" spans="8:17" x14ac:dyDescent="0.45">
      <c r="I147" s="3">
        <v>2</v>
      </c>
      <c r="J147" s="4">
        <f ref="J147:N147" si="156" t="shared">J137*$O127/$O137</f>
        <v>6818.180723394471</v>
      </c>
      <c r="K147" s="4">
        <f si="156" t="shared"/>
        <v>52216.043535657664</v>
      </c>
      <c r="L147" s="4">
        <f si="156" t="shared"/>
        <v>250305.58966524753</v>
      </c>
      <c r="M147" s="4">
        <f si="156" t="shared"/>
        <v>66017.868944432528</v>
      </c>
      <c r="N147" s="4">
        <f si="156" t="shared"/>
        <v>19872.317131267813</v>
      </c>
      <c r="O147" s="4">
        <f ref="O147:O149" si="157" t="shared">SUM(J147:N147)</f>
        <v>395230</v>
      </c>
      <c r="P147" s="66">
        <f ref="P147:P150" si="158" t="shared">O147/O$60</f>
        <v>0.49180287070622852</v>
      </c>
      <c r="Q147" s="4"/>
    </row>
    <row r="148" spans="8:17" x14ac:dyDescent="0.45">
      <c r="I148" s="3">
        <v>3</v>
      </c>
      <c r="J148" s="4">
        <f ref="J148:N148" si="159" t="shared">J138*$O128/$O138</f>
        <v>1238.4075989848591</v>
      </c>
      <c r="K148" s="4">
        <f si="159" t="shared"/>
        <v>6293.0283853387682</v>
      </c>
      <c r="L148" s="4">
        <f si="159" t="shared"/>
        <v>22641.723702569594</v>
      </c>
      <c r="M148" s="4">
        <f si="159" t="shared"/>
        <v>42398.643525627616</v>
      </c>
      <c r="N148" s="4">
        <f si="159" t="shared"/>
        <v>15528.196787479168</v>
      </c>
      <c r="O148" s="4">
        <f si="157" t="shared"/>
        <v>88100.000000000015</v>
      </c>
      <c r="P148" s="66">
        <f si="158" t="shared"/>
        <v>0.10962688285104556</v>
      </c>
      <c r="Q148" s="4"/>
    </row>
    <row r="149" spans="8:17" x14ac:dyDescent="0.45">
      <c r="I149" s="5" t="s">
        <v>3</v>
      </c>
      <c r="J149" s="4">
        <f ref="J149:N149" si="160" t="shared">J139*$O129/$O139</f>
        <v>987.96194482066949</v>
      </c>
      <c r="K149" s="4">
        <f si="160" t="shared"/>
        <v>2491.2193479432312</v>
      </c>
      <c r="L149" s="4">
        <f si="160" t="shared"/>
        <v>5418.8883723857389</v>
      </c>
      <c r="M149" s="4">
        <f si="160" t="shared"/>
        <v>11443.420239332107</v>
      </c>
      <c r="N149" s="4">
        <f si="160" t="shared"/>
        <v>22025.51009551825</v>
      </c>
      <c r="O149" s="4">
        <f si="157" t="shared"/>
        <v>42367</v>
      </c>
      <c r="P149" s="66">
        <f si="158" t="shared"/>
        <v>5.2719207102726977E-2</v>
      </c>
      <c r="Q149" s="4"/>
    </row>
    <row ht="14.65" r="150" spans="8:17" thickBot="1" x14ac:dyDescent="0.5">
      <c r="I150" s="7" t="s">
        <v>4</v>
      </c>
      <c r="J150" s="8">
        <f>SUM(J146:J149)</f>
        <v>34145.446256143172</v>
      </c>
      <c r="K150" s="8">
        <f ref="K150:N150" si="161" t="shared">SUM(K146:K149)</f>
        <v>258501.31050251785</v>
      </c>
      <c r="L150" s="8">
        <f si="161" t="shared"/>
        <v>321992.08980148868</v>
      </c>
      <c r="M150" s="8">
        <f si="161" t="shared"/>
        <v>128803.77292362737</v>
      </c>
      <c r="N150" s="8">
        <f si="161" t="shared"/>
        <v>60192.380516222853</v>
      </c>
      <c r="O150" s="8">
        <f>SUM(J150:N150)</f>
        <v>803635</v>
      </c>
      <c r="P150" s="66">
        <f si="158" t="shared"/>
        <v>0.99999999999999989</v>
      </c>
    </row>
    <row r="151" spans="8:17" x14ac:dyDescent="0.45">
      <c r="I151" s="3"/>
      <c r="J151" s="91">
        <f>J150/$O150</f>
        <v>4.2488749564345965E-2</v>
      </c>
      <c r="K151" s="91">
        <f ref="K151:O151" si="162" t="shared">K150/$O150</f>
        <v>0.32166507245517911</v>
      </c>
      <c r="L151" s="91">
        <f si="162" t="shared"/>
        <v>0.40066956989365654</v>
      </c>
      <c r="M151" s="91">
        <f si="162" t="shared"/>
        <v>0.16027645998945711</v>
      </c>
      <c r="N151" s="91">
        <f si="162" t="shared"/>
        <v>7.4900148097361174E-2</v>
      </c>
      <c r="O151" s="91">
        <f si="162" t="shared"/>
        <v>1</v>
      </c>
    </row>
    <row r="152" spans="8:17" x14ac:dyDescent="0.45">
      <c r="I152" s="94" t="s">
        <v>189</v>
      </c>
      <c r="J152" s="95">
        <f>J150-J140</f>
        <v>-2.5620934018006665</v>
      </c>
      <c r="K152" s="95">
        <f ref="K152:N152" si="163" t="shared">K150-K140</f>
        <v>-21.51430065734894</v>
      </c>
      <c r="L152" s="95">
        <f si="163" t="shared"/>
        <v>9.2652137434342876</v>
      </c>
      <c r="M152" s="95">
        <f si="163" t="shared"/>
        <v>8.7544292873208178</v>
      </c>
      <c r="N152" s="95">
        <f si="163" t="shared"/>
        <v>6.0567510285254684</v>
      </c>
    </row>
    <row r="153" spans="8:17" x14ac:dyDescent="0.45">
      <c r="H153" t="s">
        <v>195</v>
      </c>
      <c r="I153" s="1" t="s">
        <v>188</v>
      </c>
    </row>
    <row ht="14.65" r="154" spans="8:17" thickBot="1" x14ac:dyDescent="0.5">
      <c r="I154" s="12"/>
      <c r="J154" s="10" t="s">
        <v>2</v>
      </c>
      <c r="K154" s="9"/>
      <c r="L154" s="9"/>
      <c r="M154" s="9"/>
      <c r="N154" s="9"/>
      <c r="O154" s="9"/>
    </row>
    <row r="155" spans="8:17" x14ac:dyDescent="0.45">
      <c r="I155" s="11" t="s">
        <v>1</v>
      </c>
      <c r="J155" s="2">
        <v>0</v>
      </c>
      <c r="K155" s="2">
        <v>1</v>
      </c>
      <c r="L155" s="2">
        <v>2</v>
      </c>
      <c r="M155" s="2">
        <v>3</v>
      </c>
      <c r="N155" s="2" t="s">
        <v>3</v>
      </c>
      <c r="O155" s="2" t="s">
        <v>4</v>
      </c>
      <c r="Q155" s="86" t="s">
        <v>189</v>
      </c>
    </row>
    <row r="156" spans="8:17" x14ac:dyDescent="0.45">
      <c r="I156" s="3">
        <v>1</v>
      </c>
      <c r="J156" s="4">
        <f>J146*J$141/J$151</f>
        <v>25102.779427206373</v>
      </c>
      <c r="K156" s="4">
        <f ref="K156:N156" si="164" t="shared">K146*K$141/K$151</f>
        <v>197517.45666014167</v>
      </c>
      <c r="L156" s="4">
        <f si="164" t="shared"/>
        <v>43624.632741076268</v>
      </c>
      <c r="M156" s="4">
        <f si="164" t="shared"/>
        <v>8943.2323266326548</v>
      </c>
      <c r="N156" s="4">
        <f si="164" t="shared"/>
        <v>2766.078142264173</v>
      </c>
      <c r="O156" s="4">
        <f>SUM(J156:N156)</f>
        <v>277954.17929732113</v>
      </c>
      <c r="P156" s="66">
        <f>O156/O$60</f>
        <v>0.34587117198394929</v>
      </c>
      <c r="Q156" s="4">
        <f>O156-O146</f>
        <v>16.179297321243212</v>
      </c>
    </row>
    <row r="157" spans="8:17" x14ac:dyDescent="0.45">
      <c r="I157" s="3">
        <v>2</v>
      </c>
      <c r="J157" s="4">
        <f ref="J157:N157" si="165" t="shared">J147*J$141/J$151</f>
        <v>6818.6923235566937</v>
      </c>
      <c r="K157" s="4">
        <f si="165" t="shared"/>
        <v>52220.389322754781</v>
      </c>
      <c r="L157" s="4">
        <f si="165" t="shared"/>
        <v>250298.38720635851</v>
      </c>
      <c r="M157" s="4">
        <f si="165" t="shared"/>
        <v>66013.381896015766</v>
      </c>
      <c r="N157" s="4">
        <f si="165" t="shared"/>
        <v>19870.317514768329</v>
      </c>
      <c r="O157" s="4">
        <f ref="O157:O159" si="166" t="shared">SUM(J157:N157)</f>
        <v>395221.16826345411</v>
      </c>
      <c r="P157" s="66">
        <f ref="P157:P160" si="167" t="shared">O157/O$60</f>
        <v>0.49179188097015941</v>
      </c>
      <c r="Q157" s="4">
        <f ref="Q157:Q159" si="168" t="shared">O157-O147</f>
        <v>-8.8317365458933637</v>
      </c>
    </row>
    <row r="158" spans="8:17" x14ac:dyDescent="0.45">
      <c r="I158" s="3">
        <v>3</v>
      </c>
      <c r="J158" s="4">
        <f ref="J158:N158" si="169" t="shared">J148*J$141/J$151</f>
        <v>1238.500522530632</v>
      </c>
      <c r="K158" s="4">
        <f si="169" t="shared"/>
        <v>6293.5521355064757</v>
      </c>
      <c r="L158" s="4">
        <f si="169" t="shared"/>
        <v>22641.072194609413</v>
      </c>
      <c r="M158" s="4">
        <f si="169" t="shared"/>
        <v>42395.76180936888</v>
      </c>
      <c r="N158" s="4">
        <f si="169" t="shared"/>
        <v>15526.634290348191</v>
      </c>
      <c r="O158" s="4">
        <f si="166" t="shared"/>
        <v>88095.520952363586</v>
      </c>
      <c r="P158" s="66">
        <f si="167" t="shared"/>
        <v>0.1096213093660226</v>
      </c>
      <c r="Q158" s="4">
        <f si="168" t="shared"/>
        <v>-4.4790476364287315</v>
      </c>
    </row>
    <row r="159" spans="8:17" x14ac:dyDescent="0.45">
      <c r="I159" s="5" t="s">
        <v>3</v>
      </c>
      <c r="J159" s="4">
        <f ref="J159:N159" si="170" t="shared">J149*J$141/J$151</f>
        <v>988.03607625128791</v>
      </c>
      <c r="K159" s="4">
        <f si="170" t="shared"/>
        <v>2491.4266847723993</v>
      </c>
      <c r="L159" s="4">
        <f si="170" t="shared"/>
        <v>5418.7324457011664</v>
      </c>
      <c r="M159" s="4">
        <f si="170" t="shared"/>
        <v>11442.642462322818</v>
      </c>
      <c r="N159" s="4">
        <f si="170" t="shared"/>
        <v>22023.293817813661</v>
      </c>
      <c r="O159" s="4">
        <f si="166" t="shared"/>
        <v>42364.131486861334</v>
      </c>
      <c r="P159" s="66">
        <f si="167" t="shared"/>
        <v>5.2715637679868754E-2</v>
      </c>
      <c r="Q159" s="4">
        <f si="168" t="shared"/>
        <v>-2.868513138666458</v>
      </c>
    </row>
    <row ht="14.65" r="160" spans="8:17" thickBot="1" x14ac:dyDescent="0.5">
      <c r="I160" s="7" t="s">
        <v>4</v>
      </c>
      <c r="J160" s="8">
        <f>SUM(J156:J159)</f>
        <v>34148.008349544987</v>
      </c>
      <c r="K160" s="8">
        <f ref="K160:N160" si="171" t="shared">SUM(K156:K159)</f>
        <v>258522.82480317532</v>
      </c>
      <c r="L160" s="8">
        <f si="171" t="shared"/>
        <v>321982.82458774536</v>
      </c>
      <c r="M160" s="8">
        <f si="171" t="shared"/>
        <v>128795.01849434013</v>
      </c>
      <c r="N160" s="8">
        <f si="171" t="shared"/>
        <v>60186.323765194356</v>
      </c>
      <c r="O160" s="8">
        <f>SUM(J160:N160)</f>
        <v>803635.00000000012</v>
      </c>
      <c r="P160" s="66">
        <f si="167" t="shared"/>
        <v>1</v>
      </c>
    </row>
    <row r="161" spans="9:15" x14ac:dyDescent="0.45">
      <c r="I161" s="3"/>
      <c r="J161" s="91">
        <f>J160/$O160</f>
        <v>4.2491937695029437E-2</v>
      </c>
      <c r="K161" s="91">
        <f ref="K161:O161" si="172" t="shared">K160/$O160</f>
        <v>0.32169184368920628</v>
      </c>
      <c r="L161" s="91">
        <f si="172" t="shared"/>
        <v>0.40065804076196943</v>
      </c>
      <c r="M161" s="91">
        <f si="172" t="shared"/>
        <v>0.16026556645036627</v>
      </c>
      <c r="N161" s="91">
        <f si="172" t="shared"/>
        <v>7.4892611403428608E-2</v>
      </c>
      <c r="O161" s="91">
        <f si="172" t="shared"/>
        <v>1</v>
      </c>
    </row>
  </sheetData>
  <conditionalFormatting sqref="R34:W38">
    <cfRule priority="2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16:AM20">
    <cfRule priority="1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bottom="0.75" footer="0.3" header="0.3" left="0.7" right="0.7" top="0.75"/>
  <pageSetup horizontalDpi="4294967293"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P61"/>
  <sheetViews>
    <sheetView workbookViewId="0">
      <selection activeCell="A2" sqref="A2:XFD17"/>
    </sheetView>
  </sheetViews>
  <sheetFormatPr defaultRowHeight="14.25" x14ac:dyDescent="0.45"/>
  <cols>
    <col min="1" max="1" bestFit="true" customWidth="true" width="6.0" collapsed="true"/>
    <col min="2" max="2" bestFit="true" customWidth="true" width="10.0" collapsed="true"/>
    <col min="3" max="3" bestFit="true" customWidth="true" width="2.0" collapsed="true"/>
    <col min="4" max="4" bestFit="true" customWidth="true" width="12.73046875" collapsed="true"/>
    <col min="5" max="5" bestFit="true" customWidth="true" width="12.0" collapsed="true"/>
    <col min="6" max="6" bestFit="true" customWidth="true" width="84.73046875" collapsed="true"/>
    <col min="7" max="8" bestFit="true" customWidth="true" width="7.0" collapsed="true"/>
    <col min="9" max="9" bestFit="true" customWidth="true" width="84.73046875" collapsed="true"/>
    <col min="10" max="10" bestFit="true" customWidth="true" width="7.0" collapsed="true"/>
    <col min="11" max="11" bestFit="true" customWidth="true" width="84.73046875" collapsed="true"/>
    <col min="12" max="12" bestFit="true" customWidth="true" width="7.0" collapsed="true"/>
    <col min="13" max="13" bestFit="true" customWidth="true" width="84.73046875" collapsed="true"/>
    <col min="14" max="14" bestFit="true" customWidth="true" width="7.0" collapsed="true"/>
    <col min="15" max="15" bestFit="true" customWidth="true" width="32.59765625" collapsed="true"/>
  </cols>
  <sheetData>
    <row r="1" spans="1:7" x14ac:dyDescent="0.45">
      <c r="A1" t="s">
        <v>85</v>
      </c>
      <c r="B1" t="s">
        <v>86</v>
      </c>
      <c r="F1" t="s">
        <v>87</v>
      </c>
      <c r="G1" t="s">
        <v>134</v>
      </c>
    </row>
    <row r="2" spans="1:7" x14ac:dyDescent="0.45">
      <c r="A2">
        <v>1</v>
      </c>
      <c r="B2" t="s">
        <v>24</v>
      </c>
      <c r="C2" t="s">
        <v>25</v>
      </c>
      <c r="D2">
        <v>-2.88892731349</v>
      </c>
      <c r="E2">
        <v>0.48543234191599999</v>
      </c>
      <c r="F2" t="s">
        <v>88</v>
      </c>
      <c r="G2" t="s">
        <v>107</v>
      </c>
    </row>
    <row r="3" spans="1:7" x14ac:dyDescent="0.45">
      <c r="A3">
        <v>2</v>
      </c>
      <c r="B3" t="s">
        <v>26</v>
      </c>
      <c r="C3" t="s">
        <v>25</v>
      </c>
      <c r="D3">
        <v>-1.84920255786</v>
      </c>
      <c r="E3">
        <v>0.120667788954</v>
      </c>
      <c r="F3" t="s">
        <v>88</v>
      </c>
      <c r="G3" t="s">
        <v>116</v>
      </c>
    </row>
    <row r="4" spans="1:7" x14ac:dyDescent="0.45">
      <c r="A4">
        <v>3</v>
      </c>
      <c r="B4" t="s">
        <v>27</v>
      </c>
      <c r="C4" t="s">
        <v>25</v>
      </c>
      <c r="D4">
        <v>-3.06909125469</v>
      </c>
      <c r="E4">
        <v>0.18162390207699999</v>
      </c>
      <c r="F4" t="s">
        <v>88</v>
      </c>
      <c r="G4" t="s">
        <v>121</v>
      </c>
    </row>
    <row r="5" spans="1:7" x14ac:dyDescent="0.45">
      <c r="A5">
        <v>4</v>
      </c>
      <c r="B5" t="s">
        <v>28</v>
      </c>
      <c r="C5" t="s">
        <v>25</v>
      </c>
      <c r="D5">
        <v>-4.8440472338499996</v>
      </c>
      <c r="E5">
        <v>0.34758296123299998</v>
      </c>
      <c r="F5" t="s">
        <v>88</v>
      </c>
      <c r="G5" t="s">
        <v>127</v>
      </c>
    </row>
    <row r="6" spans="1:7" x14ac:dyDescent="0.45">
      <c r="A6">
        <v>5</v>
      </c>
      <c r="B6" t="s">
        <v>29</v>
      </c>
      <c r="C6" t="s">
        <v>25</v>
      </c>
      <c r="D6">
        <v>-3.7501392251399999</v>
      </c>
      <c r="E6">
        <v>0.48593392329200003</v>
      </c>
      <c r="F6" t="s">
        <v>89</v>
      </c>
      <c r="G6" t="s">
        <v>107</v>
      </c>
    </row>
    <row r="7" spans="1:7" x14ac:dyDescent="0.45">
      <c r="A7">
        <v>6</v>
      </c>
      <c r="B7" t="s">
        <v>30</v>
      </c>
      <c r="C7" t="s">
        <v>25</v>
      </c>
      <c r="D7">
        <v>-1.54083688408</v>
      </c>
      <c r="E7">
        <v>0.17120485389099999</v>
      </c>
      <c r="F7" t="s">
        <v>89</v>
      </c>
      <c r="G7" t="s">
        <v>108</v>
      </c>
    </row>
    <row r="8" spans="1:7" x14ac:dyDescent="0.45">
      <c r="A8">
        <v>7</v>
      </c>
      <c r="B8" t="s">
        <v>31</v>
      </c>
      <c r="C8" t="s">
        <v>25</v>
      </c>
      <c r="D8">
        <v>-1.50533715645</v>
      </c>
      <c r="E8">
        <v>0.108778102305</v>
      </c>
      <c r="F8" t="s">
        <v>89</v>
      </c>
      <c r="G8" t="s">
        <v>121</v>
      </c>
    </row>
    <row r="9" spans="1:7" x14ac:dyDescent="0.45">
      <c r="A9">
        <v>8</v>
      </c>
      <c r="B9" t="s">
        <v>32</v>
      </c>
      <c r="C9" t="s">
        <v>25</v>
      </c>
      <c r="D9">
        <v>-2.6342137133099999</v>
      </c>
      <c r="E9">
        <v>0.162199862</v>
      </c>
      <c r="F9" t="s">
        <v>89</v>
      </c>
      <c r="G9" t="s">
        <v>127</v>
      </c>
    </row>
    <row r="10" spans="1:7" x14ac:dyDescent="0.45">
      <c r="A10">
        <v>9</v>
      </c>
      <c r="B10" t="s">
        <v>33</v>
      </c>
      <c r="C10" t="s">
        <v>25</v>
      </c>
      <c r="D10">
        <v>-3.1293105723300001</v>
      </c>
      <c r="E10">
        <v>0.68731231591800002</v>
      </c>
      <c r="F10" t="s">
        <v>90</v>
      </c>
      <c r="G10" t="s">
        <v>107</v>
      </c>
    </row>
    <row r="11" spans="1:7" x14ac:dyDescent="0.45">
      <c r="A11">
        <v>10</v>
      </c>
      <c r="B11" t="s">
        <v>34</v>
      </c>
      <c r="C11" t="s">
        <v>25</v>
      </c>
      <c r="D11">
        <v>-1.2916609235900001</v>
      </c>
      <c r="E11">
        <v>0.26131690816499997</v>
      </c>
      <c r="F11" t="s">
        <v>90</v>
      </c>
      <c r="G11" t="s">
        <v>108</v>
      </c>
    </row>
    <row r="12" spans="1:7" x14ac:dyDescent="0.45">
      <c r="A12">
        <v>11</v>
      </c>
      <c r="B12" t="s">
        <v>35</v>
      </c>
      <c r="C12" t="s">
        <v>25</v>
      </c>
      <c r="D12">
        <v>-0.36600413520000002</v>
      </c>
      <c r="E12">
        <v>0.204749856644</v>
      </c>
      <c r="F12" t="s">
        <v>90</v>
      </c>
      <c r="G12" t="s">
        <v>116</v>
      </c>
    </row>
    <row r="13" spans="1:7" x14ac:dyDescent="0.45">
      <c r="A13">
        <v>12</v>
      </c>
      <c r="B13" t="s">
        <v>36</v>
      </c>
      <c r="C13" t="s">
        <v>25</v>
      </c>
      <c r="D13">
        <v>-0.96396736597999999</v>
      </c>
      <c r="E13">
        <v>0.203518529877</v>
      </c>
      <c r="F13" t="s">
        <v>90</v>
      </c>
      <c r="G13" t="s">
        <v>127</v>
      </c>
    </row>
    <row r="14" spans="1:7" x14ac:dyDescent="0.45">
      <c r="A14">
        <v>13</v>
      </c>
      <c r="B14" t="s">
        <v>37</v>
      </c>
      <c r="C14" t="s">
        <v>25</v>
      </c>
      <c r="D14">
        <v>-4.3599306108100002</v>
      </c>
      <c r="E14">
        <v>1.2200761253100001</v>
      </c>
      <c r="F14" t="s">
        <v>91</v>
      </c>
      <c r="G14" t="s">
        <v>107</v>
      </c>
    </row>
    <row r="15" spans="1:7" x14ac:dyDescent="0.45">
      <c r="A15">
        <v>14</v>
      </c>
      <c r="B15" t="s">
        <v>38</v>
      </c>
      <c r="C15" t="s">
        <v>25</v>
      </c>
      <c r="D15">
        <v>-1.1985630522499999</v>
      </c>
      <c r="E15">
        <v>0.39337121020799998</v>
      </c>
      <c r="F15" t="s">
        <v>91</v>
      </c>
      <c r="G15" t="s">
        <v>108</v>
      </c>
    </row>
    <row r="16" spans="1:7" x14ac:dyDescent="0.45">
      <c r="A16">
        <v>15</v>
      </c>
      <c r="B16" t="s">
        <v>39</v>
      </c>
      <c r="C16" t="s">
        <v>25</v>
      </c>
      <c r="D16">
        <v>-1.15121947805</v>
      </c>
      <c r="E16">
        <v>0.30214458233000002</v>
      </c>
      <c r="F16" t="s">
        <v>91</v>
      </c>
      <c r="G16" t="s">
        <v>116</v>
      </c>
    </row>
    <row r="17" spans="1:15" x14ac:dyDescent="0.45">
      <c r="A17">
        <v>16</v>
      </c>
      <c r="B17" t="s">
        <v>40</v>
      </c>
      <c r="C17" t="s">
        <v>25</v>
      </c>
      <c r="D17">
        <v>-1.4377901695099999</v>
      </c>
      <c r="E17">
        <v>0.30270627538400002</v>
      </c>
      <c r="F17" t="s">
        <v>91</v>
      </c>
      <c r="G17" t="s">
        <v>121</v>
      </c>
    </row>
    <row customFormat="1" r="18" s="20" spans="1:15" x14ac:dyDescent="0.45">
      <c r="A18" s="20">
        <v>18</v>
      </c>
      <c r="B18" s="20" t="s">
        <v>41</v>
      </c>
      <c r="C18" s="20" t="s">
        <v>25</v>
      </c>
      <c r="D18" s="20">
        <v>0.39953921787000002</v>
      </c>
      <c r="E18" s="20">
        <v>0.124608088395</v>
      </c>
      <c r="F18" s="20" t="s">
        <v>92</v>
      </c>
      <c r="G18" s="20" t="s">
        <v>107</v>
      </c>
      <c r="H18" s="20" t="s">
        <v>108</v>
      </c>
      <c r="I18" s="20" t="s">
        <v>109</v>
      </c>
      <c r="J18" s="20" t="s">
        <v>116</v>
      </c>
      <c r="K18" s="20" t="s">
        <v>115</v>
      </c>
      <c r="L18" s="20" t="s">
        <v>121</v>
      </c>
      <c r="M18" s="20" t="s">
        <v>120</v>
      </c>
      <c r="N18" s="20" t="s">
        <v>127</v>
      </c>
      <c r="O18" s="20" t="s">
        <v>126</v>
      </c>
    </row>
    <row r="19" spans="1:15" x14ac:dyDescent="0.45">
      <c r="A19" s="21">
        <v>19</v>
      </c>
      <c r="B19" s="21" t="s">
        <v>42</v>
      </c>
      <c r="C19" s="21" t="s">
        <v>25</v>
      </c>
      <c r="D19" s="21">
        <v>0.69903044631199995</v>
      </c>
      <c r="E19" s="21">
        <v>0.40297798012199998</v>
      </c>
      <c r="F19" s="21" t="s">
        <v>93</v>
      </c>
      <c r="G19" s="21" t="s">
        <v>107</v>
      </c>
      <c r="H19" s="21"/>
      <c r="I19" s="21"/>
      <c r="J19" s="21"/>
      <c r="K19" s="21"/>
      <c r="L19" s="21"/>
      <c r="M19" s="21"/>
    </row>
    <row r="20" spans="1:15" x14ac:dyDescent="0.45">
      <c r="A20">
        <v>20</v>
      </c>
      <c r="B20" t="s">
        <v>43</v>
      </c>
      <c r="C20" t="s">
        <v>25</v>
      </c>
      <c r="D20">
        <v>0.32485446959800002</v>
      </c>
      <c r="E20">
        <v>0.204037451392</v>
      </c>
      <c r="F20" t="s">
        <v>93</v>
      </c>
      <c r="G20" t="s">
        <v>108</v>
      </c>
    </row>
    <row r="21" spans="1:15" x14ac:dyDescent="0.45">
      <c r="A21">
        <v>22</v>
      </c>
      <c r="B21" t="s">
        <v>44</v>
      </c>
      <c r="C21" t="s">
        <v>25</v>
      </c>
      <c r="D21">
        <v>-0.43856128772000003</v>
      </c>
      <c r="E21">
        <v>0.318213047774</v>
      </c>
      <c r="F21" t="s">
        <v>93</v>
      </c>
      <c r="G21" t="s">
        <v>127</v>
      </c>
    </row>
    <row r="22" spans="1:15" x14ac:dyDescent="0.45">
      <c r="A22">
        <v>24</v>
      </c>
      <c r="B22" t="s">
        <v>45</v>
      </c>
      <c r="C22" t="s">
        <v>25</v>
      </c>
      <c r="D22">
        <v>0.239019734309</v>
      </c>
      <c r="E22">
        <v>0.118684885778</v>
      </c>
      <c r="F22" t="s">
        <v>110</v>
      </c>
      <c r="G22" t="s">
        <v>108</v>
      </c>
    </row>
    <row r="23" spans="1:15" x14ac:dyDescent="0.45">
      <c r="A23">
        <v>25</v>
      </c>
      <c r="B23" t="s">
        <v>46</v>
      </c>
      <c r="C23" t="s">
        <v>25</v>
      </c>
      <c r="D23">
        <v>-0.30115653367700002</v>
      </c>
      <c r="E23">
        <v>0.15726577946500001</v>
      </c>
      <c r="F23" t="s">
        <v>110</v>
      </c>
      <c r="G23" t="s">
        <v>121</v>
      </c>
    </row>
    <row r="24" spans="1:15" x14ac:dyDescent="0.45">
      <c r="A24">
        <v>26</v>
      </c>
      <c r="B24" t="s">
        <v>47</v>
      </c>
      <c r="C24" t="s">
        <v>25</v>
      </c>
      <c r="D24">
        <v>-0.56373515910799998</v>
      </c>
      <c r="E24">
        <v>0.25328633007399998</v>
      </c>
      <c r="F24" t="s">
        <v>110</v>
      </c>
      <c r="G24" t="s">
        <v>127</v>
      </c>
    </row>
    <row r="25" spans="1:15" x14ac:dyDescent="0.45">
      <c r="A25">
        <v>28</v>
      </c>
      <c r="B25" t="s">
        <v>48</v>
      </c>
      <c r="C25" t="s">
        <v>25</v>
      </c>
      <c r="D25">
        <v>0.31959884056900001</v>
      </c>
      <c r="E25">
        <v>0.22861927141800001</v>
      </c>
      <c r="F25" t="s">
        <v>111</v>
      </c>
      <c r="G25" t="s">
        <v>108</v>
      </c>
    </row>
    <row r="26" spans="1:15" x14ac:dyDescent="0.45">
      <c r="A26">
        <v>29</v>
      </c>
      <c r="B26" t="s">
        <v>49</v>
      </c>
      <c r="C26" t="s">
        <v>25</v>
      </c>
      <c r="D26">
        <v>0.57068696704599997</v>
      </c>
      <c r="E26">
        <v>0.28285417099100002</v>
      </c>
      <c r="F26" t="s">
        <v>111</v>
      </c>
      <c r="G26" t="s">
        <v>121</v>
      </c>
    </row>
    <row r="27" spans="1:15" x14ac:dyDescent="0.45">
      <c r="A27">
        <v>31</v>
      </c>
      <c r="B27" t="s">
        <v>50</v>
      </c>
      <c r="C27" t="s">
        <v>25</v>
      </c>
      <c r="D27">
        <v>2.9250059989500001</v>
      </c>
      <c r="E27">
        <v>1.2854634766599999</v>
      </c>
      <c r="F27" t="s">
        <v>94</v>
      </c>
      <c r="G27" t="s">
        <v>107</v>
      </c>
    </row>
    <row r="28" spans="1:15" x14ac:dyDescent="0.45">
      <c r="A28">
        <v>32</v>
      </c>
      <c r="B28" t="s">
        <v>51</v>
      </c>
      <c r="C28" t="s">
        <v>25</v>
      </c>
      <c r="D28">
        <v>1.2969669216299999</v>
      </c>
      <c r="E28">
        <v>0.553290083268</v>
      </c>
      <c r="F28" t="s">
        <v>94</v>
      </c>
      <c r="G28" t="s">
        <v>108</v>
      </c>
    </row>
    <row r="29" spans="1:15" x14ac:dyDescent="0.45">
      <c r="A29">
        <v>34</v>
      </c>
      <c r="B29" t="s">
        <v>52</v>
      </c>
      <c r="C29" t="s">
        <v>25</v>
      </c>
      <c r="D29">
        <v>-2.59112200624</v>
      </c>
      <c r="E29">
        <v>0.67748006502500002</v>
      </c>
      <c r="F29" t="s">
        <v>94</v>
      </c>
      <c r="G29" t="s">
        <v>127</v>
      </c>
    </row>
    <row r="30" spans="1:15" x14ac:dyDescent="0.45">
      <c r="A30">
        <v>35</v>
      </c>
      <c r="B30" t="s">
        <v>53</v>
      </c>
      <c r="C30" t="s">
        <v>25</v>
      </c>
      <c r="D30">
        <v>-1.0636437007299999</v>
      </c>
      <c r="E30">
        <v>0.67287579243399998</v>
      </c>
      <c r="F30" t="s">
        <v>95</v>
      </c>
      <c r="G30" t="s">
        <v>107</v>
      </c>
    </row>
    <row r="31" spans="1:15" x14ac:dyDescent="0.45">
      <c r="A31">
        <v>36</v>
      </c>
      <c r="B31" t="s">
        <v>54</v>
      </c>
      <c r="C31" t="s">
        <v>25</v>
      </c>
      <c r="D31">
        <v>-0.53660640919000002</v>
      </c>
      <c r="E31">
        <v>0.28655587340499999</v>
      </c>
      <c r="F31" t="s">
        <v>95</v>
      </c>
      <c r="G31" t="s">
        <v>108</v>
      </c>
    </row>
    <row r="32" spans="1:15" x14ac:dyDescent="0.45">
      <c r="A32">
        <v>37</v>
      </c>
      <c r="B32" t="s">
        <v>55</v>
      </c>
      <c r="C32" t="s">
        <v>25</v>
      </c>
      <c r="D32">
        <v>0.28589368992800002</v>
      </c>
      <c r="E32">
        <v>0.26930228656600003</v>
      </c>
      <c r="F32" t="s">
        <v>95</v>
      </c>
      <c r="G32" t="s">
        <v>121</v>
      </c>
    </row>
    <row r="33" spans="1:7" x14ac:dyDescent="0.45">
      <c r="A33">
        <v>38</v>
      </c>
      <c r="B33" t="s">
        <v>56</v>
      </c>
      <c r="C33" t="s">
        <v>25</v>
      </c>
      <c r="D33">
        <v>0.64783551265499995</v>
      </c>
      <c r="E33">
        <v>0.37530750296900001</v>
      </c>
      <c r="F33" t="s">
        <v>95</v>
      </c>
      <c r="G33" t="s">
        <v>127</v>
      </c>
    </row>
    <row r="34" spans="1:7" x14ac:dyDescent="0.45">
      <c r="A34">
        <v>41</v>
      </c>
      <c r="B34" t="s">
        <v>57</v>
      </c>
      <c r="C34" t="s">
        <v>25</v>
      </c>
      <c r="D34">
        <v>-0.47288768158</v>
      </c>
      <c r="E34">
        <v>0.28996962859499997</v>
      </c>
      <c r="F34" t="s">
        <v>122</v>
      </c>
      <c r="G34" t="s">
        <v>121</v>
      </c>
    </row>
    <row r="35" spans="1:7" x14ac:dyDescent="0.45">
      <c r="A35">
        <v>42</v>
      </c>
      <c r="B35" t="s">
        <v>58</v>
      </c>
      <c r="C35" t="s">
        <v>25</v>
      </c>
      <c r="D35">
        <v>-1.73045435445</v>
      </c>
      <c r="E35">
        <v>0.60204136834499999</v>
      </c>
      <c r="F35" t="s">
        <v>122</v>
      </c>
      <c r="G35" t="s">
        <v>127</v>
      </c>
    </row>
    <row r="36" spans="1:7" x14ac:dyDescent="0.45">
      <c r="A36">
        <v>43</v>
      </c>
      <c r="B36" t="s">
        <v>59</v>
      </c>
      <c r="C36" t="s">
        <v>25</v>
      </c>
      <c r="D36">
        <v>2.0718120356499998</v>
      </c>
      <c r="E36">
        <v>0.25112785750200001</v>
      </c>
      <c r="F36" t="s">
        <v>96</v>
      </c>
      <c r="G36" t="s">
        <v>107</v>
      </c>
    </row>
    <row r="37" spans="1:7" x14ac:dyDescent="0.45">
      <c r="A37">
        <v>44</v>
      </c>
      <c r="B37" t="s">
        <v>60</v>
      </c>
      <c r="C37" t="s">
        <v>25</v>
      </c>
      <c r="D37">
        <v>0.60728378971399999</v>
      </c>
      <c r="E37">
        <v>0.181439147627</v>
      </c>
      <c r="F37" t="s">
        <v>96</v>
      </c>
      <c r="G37" t="s">
        <v>108</v>
      </c>
    </row>
    <row r="38" spans="1:7" x14ac:dyDescent="0.45">
      <c r="A38">
        <v>45</v>
      </c>
      <c r="B38" t="s">
        <v>61</v>
      </c>
      <c r="C38" t="s">
        <v>25</v>
      </c>
      <c r="D38">
        <v>-0.71462161389500001</v>
      </c>
      <c r="E38">
        <v>0.32036605145399999</v>
      </c>
      <c r="F38" t="s">
        <v>96</v>
      </c>
      <c r="G38" t="s">
        <v>121</v>
      </c>
    </row>
    <row r="39" spans="1:7" x14ac:dyDescent="0.45">
      <c r="A39">
        <v>46</v>
      </c>
      <c r="B39" t="s">
        <v>62</v>
      </c>
      <c r="C39" t="s">
        <v>25</v>
      </c>
      <c r="D39">
        <v>-1.4356778668800001</v>
      </c>
      <c r="E39">
        <v>0.571538197034</v>
      </c>
      <c r="F39" t="s">
        <v>96</v>
      </c>
      <c r="G39" t="s">
        <v>127</v>
      </c>
    </row>
    <row r="40" spans="1:7" x14ac:dyDescent="0.45">
      <c r="A40">
        <v>47</v>
      </c>
      <c r="B40" t="s">
        <v>63</v>
      </c>
      <c r="C40" t="s">
        <v>25</v>
      </c>
      <c r="D40">
        <v>-1.45349726543</v>
      </c>
      <c r="E40">
        <v>0.40356684826</v>
      </c>
      <c r="F40" t="s">
        <v>97</v>
      </c>
      <c r="G40" t="s">
        <v>107</v>
      </c>
    </row>
    <row r="41" spans="1:7" x14ac:dyDescent="0.45">
      <c r="A41">
        <v>48</v>
      </c>
      <c r="B41" t="s">
        <v>64</v>
      </c>
      <c r="C41" t="s">
        <v>25</v>
      </c>
      <c r="D41">
        <v>-1.0930755785699999</v>
      </c>
      <c r="E41">
        <v>0.126439275741</v>
      </c>
      <c r="F41" t="s">
        <v>97</v>
      </c>
      <c r="G41" t="s">
        <v>108</v>
      </c>
    </row>
    <row r="42" spans="1:7" x14ac:dyDescent="0.45">
      <c r="A42">
        <v>49</v>
      </c>
      <c r="B42" t="s">
        <v>65</v>
      </c>
      <c r="C42" t="s">
        <v>25</v>
      </c>
      <c r="D42">
        <v>0.14078168516299999</v>
      </c>
      <c r="E42">
        <v>0.12041492006899999</v>
      </c>
      <c r="F42" t="s">
        <v>97</v>
      </c>
      <c r="G42" t="s">
        <v>121</v>
      </c>
    </row>
    <row r="43" spans="1:7" x14ac:dyDescent="0.45">
      <c r="A43">
        <v>50</v>
      </c>
      <c r="B43" t="s">
        <v>66</v>
      </c>
      <c r="C43" t="s">
        <v>25</v>
      </c>
      <c r="D43">
        <v>0.188609995585</v>
      </c>
      <c r="E43">
        <v>0.169738586315</v>
      </c>
      <c r="F43" t="s">
        <v>97</v>
      </c>
      <c r="G43" t="s">
        <v>127</v>
      </c>
    </row>
    <row r="44" spans="1:7" x14ac:dyDescent="0.45">
      <c r="A44">
        <v>51</v>
      </c>
      <c r="B44" t="s">
        <v>67</v>
      </c>
      <c r="C44" t="s">
        <v>25</v>
      </c>
      <c r="D44">
        <v>-0.58492078305700002</v>
      </c>
      <c r="E44">
        <v>0.39231975258899998</v>
      </c>
      <c r="F44" t="s">
        <v>98</v>
      </c>
      <c r="G44" t="s">
        <v>107</v>
      </c>
    </row>
    <row r="45" spans="1:7" x14ac:dyDescent="0.45">
      <c r="A45">
        <v>52</v>
      </c>
      <c r="B45" t="s">
        <v>68</v>
      </c>
      <c r="C45" t="s">
        <v>25</v>
      </c>
      <c r="D45">
        <v>-1.0058660612699999</v>
      </c>
      <c r="E45">
        <v>0.1591759079</v>
      </c>
      <c r="F45" t="s">
        <v>98</v>
      </c>
      <c r="G45" t="s">
        <v>108</v>
      </c>
    </row>
    <row r="46" spans="1:7" x14ac:dyDescent="0.45">
      <c r="A46">
        <v>53</v>
      </c>
      <c r="B46" t="s">
        <v>69</v>
      </c>
      <c r="C46" t="s">
        <v>25</v>
      </c>
      <c r="D46">
        <v>0.22559840834</v>
      </c>
      <c r="E46">
        <v>0.13586187288400001</v>
      </c>
      <c r="F46" t="s">
        <v>98</v>
      </c>
      <c r="G46" t="s">
        <v>121</v>
      </c>
    </row>
    <row r="47" spans="1:7" x14ac:dyDescent="0.45">
      <c r="A47">
        <v>54</v>
      </c>
      <c r="B47" t="s">
        <v>70</v>
      </c>
      <c r="C47" t="s">
        <v>25</v>
      </c>
      <c r="D47">
        <v>0.34302043279099997</v>
      </c>
      <c r="E47">
        <v>0.18564049817600001</v>
      </c>
      <c r="F47" t="s">
        <v>98</v>
      </c>
      <c r="G47" t="s">
        <v>127</v>
      </c>
    </row>
    <row r="48" spans="1:7" x14ac:dyDescent="0.45">
      <c r="A48">
        <v>55</v>
      </c>
      <c r="B48" t="s">
        <v>71</v>
      </c>
      <c r="C48" t="s">
        <v>25</v>
      </c>
      <c r="D48">
        <v>-0.53538167154600003</v>
      </c>
      <c r="E48">
        <v>0.46253383393000003</v>
      </c>
      <c r="F48" t="s">
        <v>99</v>
      </c>
      <c r="G48" t="s">
        <v>107</v>
      </c>
    </row>
    <row r="49" spans="1:13" x14ac:dyDescent="0.45">
      <c r="A49">
        <v>56</v>
      </c>
      <c r="B49" t="s">
        <v>72</v>
      </c>
      <c r="C49" t="s">
        <v>25</v>
      </c>
      <c r="D49">
        <v>-0.52697142353899995</v>
      </c>
      <c r="E49">
        <v>0.21878082256199999</v>
      </c>
      <c r="F49" t="s">
        <v>99</v>
      </c>
      <c r="G49" t="s">
        <v>108</v>
      </c>
    </row>
    <row r="50" spans="1:13" x14ac:dyDescent="0.45">
      <c r="A50">
        <v>57</v>
      </c>
      <c r="B50" t="s">
        <v>73</v>
      </c>
      <c r="C50" t="s">
        <v>25</v>
      </c>
      <c r="D50">
        <v>0.21517789340999999</v>
      </c>
      <c r="E50">
        <v>0.24686726698100001</v>
      </c>
      <c r="F50" t="s">
        <v>99</v>
      </c>
      <c r="G50" t="s">
        <v>121</v>
      </c>
    </row>
    <row r="51" spans="1:13" x14ac:dyDescent="0.45">
      <c r="A51">
        <v>58</v>
      </c>
      <c r="B51" t="s">
        <v>74</v>
      </c>
      <c r="C51" t="s">
        <v>25</v>
      </c>
      <c r="D51">
        <v>-0.978212790971</v>
      </c>
      <c r="E51">
        <v>0.55972952825599998</v>
      </c>
      <c r="F51" t="s">
        <v>99</v>
      </c>
      <c r="G51" t="s">
        <v>127</v>
      </c>
    </row>
    <row r="52" spans="1:13" x14ac:dyDescent="0.45">
      <c r="A52">
        <v>59</v>
      </c>
      <c r="B52" t="s">
        <v>75</v>
      </c>
      <c r="C52" t="s">
        <v>25</v>
      </c>
      <c r="D52">
        <v>-0.42495698544999999</v>
      </c>
      <c r="E52" s="19">
        <v>9.3174665093100004E-2</v>
      </c>
      <c r="F52" t="s">
        <v>100</v>
      </c>
      <c r="G52" t="s">
        <v>107</v>
      </c>
    </row>
    <row customFormat="1" r="53" s="20" spans="1:13" x14ac:dyDescent="0.45">
      <c r="A53" s="20">
        <v>60</v>
      </c>
      <c r="B53" s="20" t="s">
        <v>76</v>
      </c>
      <c r="C53" s="20" t="s">
        <v>25</v>
      </c>
      <c r="D53" s="20">
        <v>-0.11124462416</v>
      </c>
      <c r="E53" s="22">
        <v>1.9324554676499999E-2</v>
      </c>
      <c r="F53" s="20" t="s">
        <v>112</v>
      </c>
      <c r="G53" s="20" t="s">
        <v>108</v>
      </c>
      <c r="H53" s="20" t="s">
        <v>116</v>
      </c>
      <c r="I53" s="20" t="s">
        <v>117</v>
      </c>
      <c r="J53" s="20" t="s">
        <v>121</v>
      </c>
      <c r="K53" s="20" t="s">
        <v>123</v>
      </c>
      <c r="L53" s="20" t="s">
        <v>127</v>
      </c>
      <c r="M53" s="20" t="s">
        <v>128</v>
      </c>
    </row>
    <row r="54" spans="1:13" x14ac:dyDescent="0.45">
      <c r="A54">
        <v>63</v>
      </c>
      <c r="B54" t="s">
        <v>77</v>
      </c>
      <c r="C54" t="s">
        <v>25</v>
      </c>
      <c r="D54">
        <v>-1.2627495896200001</v>
      </c>
      <c r="E54">
        <v>1.15568726918</v>
      </c>
      <c r="F54" t="s">
        <v>101</v>
      </c>
      <c r="G54" t="s">
        <v>107</v>
      </c>
    </row>
    <row r="55" spans="1:13" x14ac:dyDescent="0.45">
      <c r="A55">
        <v>69</v>
      </c>
      <c r="B55" t="s">
        <v>78</v>
      </c>
      <c r="C55" t="s">
        <v>25</v>
      </c>
      <c r="D55">
        <v>-0.182881856812</v>
      </c>
      <c r="E55" s="19">
        <v>9.1832192679999994E-2</v>
      </c>
      <c r="F55" t="s">
        <v>102</v>
      </c>
      <c r="G55" t="s">
        <v>107</v>
      </c>
    </row>
    <row customFormat="1" r="56" s="20" spans="1:13" x14ac:dyDescent="0.45">
      <c r="A56" s="20">
        <v>72</v>
      </c>
      <c r="B56" s="20" t="s">
        <v>79</v>
      </c>
      <c r="C56" s="20" t="s">
        <v>25</v>
      </c>
      <c r="D56" s="20">
        <v>0.14811075420100001</v>
      </c>
      <c r="E56" s="22">
        <v>5.9982749063499999E-2</v>
      </c>
      <c r="F56" s="20" t="s">
        <v>113</v>
      </c>
      <c r="G56" s="20" t="s">
        <v>108</v>
      </c>
      <c r="H56" s="20" t="s">
        <v>116</v>
      </c>
      <c r="I56" s="20" t="s">
        <v>118</v>
      </c>
      <c r="J56" s="20" t="s">
        <v>121</v>
      </c>
      <c r="K56" s="20" t="s">
        <v>124</v>
      </c>
      <c r="L56" s="20" t="s">
        <v>127</v>
      </c>
      <c r="M56" s="20" t="s">
        <v>129</v>
      </c>
    </row>
    <row r="57" spans="1:13" x14ac:dyDescent="0.45">
      <c r="A57">
        <v>73</v>
      </c>
      <c r="B57" t="s">
        <v>80</v>
      </c>
      <c r="C57" t="s">
        <v>25</v>
      </c>
      <c r="D57" s="19">
        <v>7.1458236224400005E-4</v>
      </c>
      <c r="E57" s="19">
        <v>1.9087285637099999E-4</v>
      </c>
      <c r="F57" t="s">
        <v>103</v>
      </c>
      <c r="G57" t="s">
        <v>107</v>
      </c>
    </row>
    <row r="58" spans="1:13" x14ac:dyDescent="0.45">
      <c r="A58">
        <v>75</v>
      </c>
      <c r="B58" t="s">
        <v>81</v>
      </c>
      <c r="C58" t="s">
        <v>25</v>
      </c>
      <c r="D58">
        <v>0.29597958689600001</v>
      </c>
      <c r="E58" s="19">
        <v>7.8942367252999995E-2</v>
      </c>
      <c r="F58" t="s">
        <v>104</v>
      </c>
      <c r="G58" t="s">
        <v>107</v>
      </c>
    </row>
    <row customFormat="1" r="59" s="20" spans="1:13" x14ac:dyDescent="0.45">
      <c r="A59" s="20">
        <v>76</v>
      </c>
      <c r="B59" s="20" t="s">
        <v>82</v>
      </c>
      <c r="C59" s="20" t="s">
        <v>25</v>
      </c>
      <c r="D59" s="20">
        <v>0.19796492273399999</v>
      </c>
      <c r="E59" s="22">
        <v>3.4156307751499998E-2</v>
      </c>
      <c r="F59" s="20" t="s">
        <v>114</v>
      </c>
      <c r="G59" s="20" t="s">
        <v>108</v>
      </c>
      <c r="H59" s="20" t="s">
        <v>116</v>
      </c>
      <c r="I59" s="20" t="s">
        <v>119</v>
      </c>
      <c r="J59" s="20" t="s">
        <v>121</v>
      </c>
      <c r="K59" s="20" t="s">
        <v>125</v>
      </c>
      <c r="L59" s="20" t="s">
        <v>127</v>
      </c>
      <c r="M59" s="20" t="s">
        <v>130</v>
      </c>
    </row>
    <row r="60" spans="1:13" x14ac:dyDescent="0.45">
      <c r="A60">
        <v>77</v>
      </c>
      <c r="B60" t="s">
        <v>83</v>
      </c>
      <c r="C60" t="s">
        <v>25</v>
      </c>
      <c r="D60">
        <v>0.27817460170199998</v>
      </c>
      <c r="E60">
        <v>0.17839332841300001</v>
      </c>
      <c r="F60" t="s">
        <v>106</v>
      </c>
      <c r="G60" t="s">
        <v>107</v>
      </c>
    </row>
    <row r="61" spans="1:13" x14ac:dyDescent="0.45">
      <c r="A61">
        <v>83</v>
      </c>
      <c r="B61" t="s">
        <v>84</v>
      </c>
      <c r="C61" t="s">
        <v>25</v>
      </c>
      <c r="D61">
        <v>-0.77256225305799997</v>
      </c>
      <c r="E61">
        <v>0.454505526996</v>
      </c>
      <c r="F61" t="s">
        <v>105</v>
      </c>
      <c r="G61" t="s">
        <v>107</v>
      </c>
    </row>
  </sheetData>
  <sortState xmlns:xlrd2="http://schemas.microsoft.com/office/spreadsheetml/2017/richdata2" ref="A2:O61">
    <sortCondition ref="A2:A61"/>
  </sortState>
  <pageMargins bottom="0.75" footer="0.3" header="0.3" left="0.7" right="0.7" top="0.75"/>
  <pageSetup orientation="portrait"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FFFF00"/>
  </sheetPr>
  <dimension ref="A1:L250"/>
  <sheetViews>
    <sheetView topLeftCell="A22" workbookViewId="0">
      <selection activeCell="G16" sqref="G16"/>
    </sheetView>
  </sheetViews>
  <sheetFormatPr defaultRowHeight="14.25" x14ac:dyDescent="0.45"/>
  <sheetData>
    <row r="1" spans="1:10" x14ac:dyDescent="0.45">
      <c r="A1" s="24" t="s">
        <v>151</v>
      </c>
    </row>
    <row r="2" spans="1:10" x14ac:dyDescent="0.45">
      <c r="A2">
        <v>1</v>
      </c>
      <c r="B2" t="s">
        <v>171</v>
      </c>
    </row>
    <row r="3" spans="1:10" x14ac:dyDescent="0.45">
      <c r="A3">
        <v>2</v>
      </c>
      <c r="B3" t="s">
        <v>152</v>
      </c>
    </row>
    <row r="4" spans="1:10" x14ac:dyDescent="0.45">
      <c r="A4">
        <v>3</v>
      </c>
      <c r="B4" t="s">
        <v>153</v>
      </c>
    </row>
    <row r="5" spans="1:10" x14ac:dyDescent="0.45">
      <c r="A5">
        <v>4</v>
      </c>
      <c r="B5" t="s">
        <v>154</v>
      </c>
    </row>
    <row r="8" spans="1:10" x14ac:dyDescent="0.45">
      <c r="A8" t="s">
        <v>142</v>
      </c>
      <c r="B8" t="s">
        <v>143</v>
      </c>
      <c r="C8" t="s">
        <v>144</v>
      </c>
    </row>
    <row r="9" spans="1:10" x14ac:dyDescent="0.45">
      <c r="A9" t="s">
        <v>145</v>
      </c>
      <c r="B9" t="s">
        <v>146</v>
      </c>
      <c r="C9" t="s">
        <v>147</v>
      </c>
      <c r="D9" t="s">
        <v>148</v>
      </c>
      <c r="E9">
        <v>4</v>
      </c>
      <c r="F9" s="26">
        <v>0.46995370370370365</v>
      </c>
      <c r="G9" t="s">
        <v>149</v>
      </c>
      <c r="H9">
        <v>3</v>
      </c>
      <c r="I9" t="s">
        <v>197</v>
      </c>
      <c r="J9">
        <v>12</v>
      </c>
    </row>
    <row r="10" spans="1:10" x14ac:dyDescent="0.45">
      <c r="A10" t="s">
        <v>150</v>
      </c>
    </row>
    <row r="11" spans="1:10" x14ac:dyDescent="0.45">
      <c r="B11">
        <v>1</v>
      </c>
      <c r="C11" t="s">
        <v>24</v>
      </c>
      <c r="D11" t="s">
        <v>25</v>
      </c>
      <c r="E11">
        <v>-3.3713833656899999</v>
      </c>
    </row>
    <row r="12" spans="1:10" x14ac:dyDescent="0.45">
      <c r="B12">
        <v>2</v>
      </c>
      <c r="C12" t="s">
        <v>26</v>
      </c>
      <c r="D12" t="s">
        <v>25</v>
      </c>
      <c r="E12">
        <v>-1.78178025268</v>
      </c>
      <c r="F12" s="19"/>
    </row>
    <row r="13" spans="1:10" x14ac:dyDescent="0.45">
      <c r="B13">
        <v>3</v>
      </c>
      <c r="C13" t="s">
        <v>27</v>
      </c>
      <c r="D13" t="s">
        <v>25</v>
      </c>
      <c r="E13">
        <v>-3.5724103844399999</v>
      </c>
    </row>
    <row r="14" spans="1:10" x14ac:dyDescent="0.45">
      <c r="B14">
        <v>4</v>
      </c>
      <c r="C14" t="s">
        <v>28</v>
      </c>
      <c r="D14" t="s">
        <v>25</v>
      </c>
      <c r="E14">
        <v>-4.5344515453599996</v>
      </c>
    </row>
    <row r="15" spans="1:10" x14ac:dyDescent="0.45">
      <c r="B15">
        <v>5</v>
      </c>
      <c r="C15" t="s">
        <v>29</v>
      </c>
      <c r="D15" t="s">
        <v>25</v>
      </c>
      <c r="E15">
        <v>-2.7867509208199999</v>
      </c>
    </row>
    <row r="16" spans="1:10" x14ac:dyDescent="0.45">
      <c r="B16">
        <v>6</v>
      </c>
      <c r="C16" t="s">
        <v>30</v>
      </c>
      <c r="D16" t="s">
        <v>25</v>
      </c>
      <c r="E16">
        <v>-1.0010896825</v>
      </c>
    </row>
    <row r="17" spans="2:6" x14ac:dyDescent="0.45">
      <c r="B17">
        <v>7</v>
      </c>
      <c r="C17" t="s">
        <v>31</v>
      </c>
      <c r="D17" t="s">
        <v>25</v>
      </c>
      <c r="E17">
        <v>-1.40170683326</v>
      </c>
    </row>
    <row r="18" spans="2:6" x14ac:dyDescent="0.45">
      <c r="B18">
        <v>8</v>
      </c>
      <c r="C18" t="s">
        <v>32</v>
      </c>
      <c r="D18" t="s">
        <v>25</v>
      </c>
      <c r="E18">
        <v>-2.6794366706999999</v>
      </c>
    </row>
    <row r="19" spans="2:6" x14ac:dyDescent="0.45">
      <c r="B19">
        <v>9</v>
      </c>
      <c r="C19" t="s">
        <v>33</v>
      </c>
      <c r="D19" t="s">
        <v>25</v>
      </c>
      <c r="E19">
        <v>-1.9391791894499999</v>
      </c>
    </row>
    <row r="20" spans="2:6" x14ac:dyDescent="0.45">
      <c r="B20">
        <v>10</v>
      </c>
      <c r="C20" t="s">
        <v>34</v>
      </c>
      <c r="D20" t="s">
        <v>25</v>
      </c>
      <c r="E20">
        <v>-0.69311421298999998</v>
      </c>
    </row>
    <row r="21" spans="2:6" x14ac:dyDescent="0.45">
      <c r="B21">
        <v>11</v>
      </c>
      <c r="C21" t="s">
        <v>35</v>
      </c>
      <c r="D21" t="s">
        <v>25</v>
      </c>
      <c r="E21">
        <v>-6.9361264209999995E-2</v>
      </c>
    </row>
    <row r="22" spans="2:6" x14ac:dyDescent="0.45">
      <c r="B22">
        <v>12</v>
      </c>
      <c r="C22" t="s">
        <v>36</v>
      </c>
      <c r="D22" t="s">
        <v>25</v>
      </c>
      <c r="E22">
        <v>-0.62690251809999997</v>
      </c>
    </row>
    <row r="23" spans="2:6" x14ac:dyDescent="0.45">
      <c r="B23">
        <v>13</v>
      </c>
      <c r="C23" t="s">
        <v>37</v>
      </c>
      <c r="D23" t="s">
        <v>25</v>
      </c>
      <c r="E23">
        <v>-2.42344414566</v>
      </c>
    </row>
    <row r="24" spans="2:6" x14ac:dyDescent="0.45">
      <c r="B24">
        <v>14</v>
      </c>
      <c r="C24" t="s">
        <v>38</v>
      </c>
      <c r="D24" t="s">
        <v>25</v>
      </c>
      <c r="E24">
        <v>-1.12269598542</v>
      </c>
    </row>
    <row r="25" spans="2:6" x14ac:dyDescent="0.45">
      <c r="B25">
        <v>15</v>
      </c>
      <c r="C25" t="s">
        <v>39</v>
      </c>
      <c r="D25" t="s">
        <v>25</v>
      </c>
      <c r="E25">
        <v>-0.95602779499000001</v>
      </c>
    </row>
    <row r="26" spans="2:6" x14ac:dyDescent="0.45">
      <c r="B26">
        <v>16</v>
      </c>
      <c r="C26" t="s">
        <v>40</v>
      </c>
      <c r="D26" t="s">
        <v>25</v>
      </c>
      <c r="E26">
        <v>-0.60634569939000005</v>
      </c>
    </row>
    <row r="27" spans="2:6" x14ac:dyDescent="0.45">
      <c r="B27">
        <v>18</v>
      </c>
      <c r="C27" t="s">
        <v>41</v>
      </c>
      <c r="D27" t="s">
        <v>25</v>
      </c>
      <c r="E27">
        <v>0.41669570833000003</v>
      </c>
      <c r="F27" s="19"/>
    </row>
    <row r="28" spans="2:6" x14ac:dyDescent="0.45">
      <c r="B28">
        <v>19</v>
      </c>
      <c r="C28" t="s">
        <v>42</v>
      </c>
      <c r="D28" t="s">
        <v>25</v>
      </c>
      <c r="E28">
        <v>0.69903044631</v>
      </c>
    </row>
    <row r="29" spans="2:6" x14ac:dyDescent="0.45">
      <c r="B29">
        <v>20</v>
      </c>
      <c r="C29" t="s">
        <v>43</v>
      </c>
      <c r="D29" t="s">
        <v>25</v>
      </c>
      <c r="E29">
        <v>0.32485446959999997</v>
      </c>
    </row>
    <row r="30" spans="2:6" x14ac:dyDescent="0.45">
      <c r="B30">
        <v>22</v>
      </c>
      <c r="C30" t="s">
        <v>44</v>
      </c>
      <c r="D30" t="s">
        <v>25</v>
      </c>
      <c r="E30">
        <v>-0.43856128772000003</v>
      </c>
    </row>
    <row r="31" spans="2:6" x14ac:dyDescent="0.45">
      <c r="B31">
        <v>24</v>
      </c>
      <c r="C31" t="s">
        <v>45</v>
      </c>
      <c r="D31" t="s">
        <v>25</v>
      </c>
      <c r="E31" s="19">
        <v>0.23901973431000001</v>
      </c>
      <c r="F31" s="19"/>
    </row>
    <row r="32" spans="2:6" x14ac:dyDescent="0.45">
      <c r="B32">
        <v>25</v>
      </c>
      <c r="C32" t="s">
        <v>46</v>
      </c>
      <c r="D32" t="s">
        <v>25</v>
      </c>
      <c r="E32">
        <v>-0.30115653368</v>
      </c>
    </row>
    <row r="33" spans="2:5" x14ac:dyDescent="0.45">
      <c r="B33">
        <v>26</v>
      </c>
      <c r="C33" t="s">
        <v>47</v>
      </c>
      <c r="D33" t="s">
        <v>25</v>
      </c>
      <c r="E33" s="19">
        <v>-0.56373515911000005</v>
      </c>
    </row>
    <row r="34" spans="2:5" x14ac:dyDescent="0.45">
      <c r="B34">
        <v>28</v>
      </c>
      <c r="C34" t="s">
        <v>48</v>
      </c>
      <c r="D34" t="s">
        <v>25</v>
      </c>
      <c r="E34" s="19">
        <v>0.31959884056999999</v>
      </c>
    </row>
    <row r="35" spans="2:5" x14ac:dyDescent="0.45">
      <c r="B35">
        <v>29</v>
      </c>
      <c r="C35" t="s">
        <v>49</v>
      </c>
      <c r="D35" t="s">
        <v>25</v>
      </c>
      <c r="E35">
        <v>0.57068696704999999</v>
      </c>
    </row>
    <row r="36" spans="2:5" x14ac:dyDescent="0.45">
      <c r="B36">
        <v>31</v>
      </c>
      <c r="C36" t="s">
        <v>50</v>
      </c>
      <c r="D36" t="s">
        <v>25</v>
      </c>
      <c r="E36">
        <v>2.9250059989500001</v>
      </c>
    </row>
    <row r="37" spans="2:5" x14ac:dyDescent="0.45">
      <c r="B37">
        <v>32</v>
      </c>
      <c r="C37" t="s">
        <v>51</v>
      </c>
      <c r="D37" t="s">
        <v>25</v>
      </c>
      <c r="E37">
        <v>1.2969669216299999</v>
      </c>
    </row>
    <row r="38" spans="2:5" x14ac:dyDescent="0.45">
      <c r="B38">
        <v>34</v>
      </c>
      <c r="C38" t="s">
        <v>52</v>
      </c>
      <c r="D38" t="s">
        <v>25</v>
      </c>
      <c r="E38">
        <v>-2.59112200624</v>
      </c>
    </row>
    <row r="39" spans="2:5" x14ac:dyDescent="0.45">
      <c r="B39">
        <v>35</v>
      </c>
      <c r="C39" t="s">
        <v>53</v>
      </c>
      <c r="D39" t="s">
        <v>25</v>
      </c>
      <c r="E39">
        <v>-1.0636437007299999</v>
      </c>
    </row>
    <row r="40" spans="2:5" x14ac:dyDescent="0.45">
      <c r="B40">
        <v>36</v>
      </c>
      <c r="C40" t="s">
        <v>54</v>
      </c>
      <c r="D40" t="s">
        <v>25</v>
      </c>
      <c r="E40">
        <v>-0.53660640919000002</v>
      </c>
    </row>
    <row r="41" spans="2:5" x14ac:dyDescent="0.45">
      <c r="B41">
        <v>37</v>
      </c>
      <c r="C41" t="s">
        <v>55</v>
      </c>
      <c r="D41" t="s">
        <v>25</v>
      </c>
      <c r="E41">
        <v>0.28589368992999997</v>
      </c>
    </row>
    <row r="42" spans="2:5" x14ac:dyDescent="0.45">
      <c r="B42">
        <v>38</v>
      </c>
      <c r="C42" t="s">
        <v>56</v>
      </c>
      <c r="D42" t="s">
        <v>25</v>
      </c>
      <c r="E42">
        <v>0.64783551265999995</v>
      </c>
    </row>
    <row r="43" spans="2:5" x14ac:dyDescent="0.45">
      <c r="B43">
        <v>41</v>
      </c>
      <c r="C43" t="s">
        <v>57</v>
      </c>
      <c r="D43" t="s">
        <v>25</v>
      </c>
      <c r="E43">
        <v>-0.47288768158</v>
      </c>
    </row>
    <row r="44" spans="2:5" x14ac:dyDescent="0.45">
      <c r="B44">
        <v>42</v>
      </c>
      <c r="C44" t="s">
        <v>58</v>
      </c>
      <c r="D44" t="s">
        <v>25</v>
      </c>
      <c r="E44">
        <v>-1.73045435445</v>
      </c>
    </row>
    <row r="45" spans="2:5" x14ac:dyDescent="0.45">
      <c r="B45">
        <v>43</v>
      </c>
      <c r="C45" t="s">
        <v>59</v>
      </c>
      <c r="D45" t="s">
        <v>25</v>
      </c>
      <c r="E45">
        <v>2.0718120356499998</v>
      </c>
    </row>
    <row r="46" spans="2:5" x14ac:dyDescent="0.45">
      <c r="B46">
        <v>44</v>
      </c>
      <c r="C46" t="s">
        <v>60</v>
      </c>
      <c r="D46" t="s">
        <v>25</v>
      </c>
      <c r="E46">
        <v>0.60728378970999997</v>
      </c>
    </row>
    <row r="47" spans="2:5" x14ac:dyDescent="0.45">
      <c r="B47">
        <v>45</v>
      </c>
      <c r="C47" t="s">
        <v>61</v>
      </c>
      <c r="D47" t="s">
        <v>25</v>
      </c>
      <c r="E47">
        <v>-0.71462161390000001</v>
      </c>
    </row>
    <row r="48" spans="2:5" x14ac:dyDescent="0.45">
      <c r="B48">
        <v>46</v>
      </c>
      <c r="C48" t="s">
        <v>62</v>
      </c>
      <c r="D48" t="s">
        <v>25</v>
      </c>
      <c r="E48">
        <v>-1.4356778668800001</v>
      </c>
    </row>
    <row r="49" spans="2:6" x14ac:dyDescent="0.45">
      <c r="B49">
        <v>47</v>
      </c>
      <c r="C49" t="s">
        <v>63</v>
      </c>
      <c r="D49" t="s">
        <v>25</v>
      </c>
      <c r="E49">
        <v>-1.45349726543</v>
      </c>
    </row>
    <row r="50" spans="2:6" x14ac:dyDescent="0.45">
      <c r="B50">
        <v>48</v>
      </c>
      <c r="C50" t="s">
        <v>64</v>
      </c>
      <c r="D50" t="s">
        <v>25</v>
      </c>
      <c r="E50">
        <v>-1.0930755785699999</v>
      </c>
      <c r="F50" s="19"/>
    </row>
    <row r="51" spans="2:6" x14ac:dyDescent="0.45">
      <c r="B51">
        <v>49</v>
      </c>
      <c r="C51" t="s">
        <v>65</v>
      </c>
      <c r="D51" t="s">
        <v>25</v>
      </c>
      <c r="E51" s="19">
        <v>0.14078168516</v>
      </c>
    </row>
    <row r="52" spans="2:6" x14ac:dyDescent="0.45">
      <c r="B52">
        <v>50</v>
      </c>
      <c r="C52" t="s">
        <v>66</v>
      </c>
      <c r="D52" t="s">
        <v>25</v>
      </c>
      <c r="E52">
        <v>0.18860999559</v>
      </c>
    </row>
    <row r="53" spans="2:6" x14ac:dyDescent="0.45">
      <c r="B53">
        <v>51</v>
      </c>
      <c r="C53" t="s">
        <v>67</v>
      </c>
      <c r="D53" t="s">
        <v>25</v>
      </c>
      <c r="E53">
        <v>-0.58492078305999995</v>
      </c>
    </row>
    <row r="54" spans="2:6" x14ac:dyDescent="0.45">
      <c r="B54">
        <v>52</v>
      </c>
      <c r="C54" t="s">
        <v>68</v>
      </c>
      <c r="D54" t="s">
        <v>25</v>
      </c>
      <c r="E54">
        <v>-1.0058660612699999</v>
      </c>
      <c r="F54" s="19"/>
    </row>
    <row r="55" spans="2:6" x14ac:dyDescent="0.45">
      <c r="B55">
        <v>53</v>
      </c>
      <c r="C55" t="s">
        <v>69</v>
      </c>
      <c r="D55" t="s">
        <v>25</v>
      </c>
      <c r="E55">
        <v>0.22559840834</v>
      </c>
    </row>
    <row r="56" spans="2:6" x14ac:dyDescent="0.45">
      <c r="B56">
        <v>54</v>
      </c>
      <c r="C56" t="s">
        <v>70</v>
      </c>
      <c r="D56" t="s">
        <v>25</v>
      </c>
      <c r="E56">
        <v>0.34302043279</v>
      </c>
    </row>
    <row r="57" spans="2:6" x14ac:dyDescent="0.45">
      <c r="B57">
        <v>55</v>
      </c>
      <c r="C57" t="s">
        <v>71</v>
      </c>
      <c r="D57" t="s">
        <v>25</v>
      </c>
      <c r="E57">
        <v>-0.53538167155000005</v>
      </c>
    </row>
    <row r="58" spans="2:6" x14ac:dyDescent="0.45">
      <c r="B58">
        <v>56</v>
      </c>
      <c r="C58" t="s">
        <v>72</v>
      </c>
      <c r="D58" t="s">
        <v>25</v>
      </c>
      <c r="E58">
        <v>-0.52697142354000004</v>
      </c>
    </row>
    <row r="59" spans="2:6" x14ac:dyDescent="0.45">
      <c r="B59">
        <v>57</v>
      </c>
      <c r="C59" t="s">
        <v>73</v>
      </c>
      <c r="D59" t="s">
        <v>25</v>
      </c>
      <c r="E59" s="19">
        <v>0.21517789340999999</v>
      </c>
    </row>
    <row r="60" spans="2:6" x14ac:dyDescent="0.45">
      <c r="B60">
        <v>58</v>
      </c>
      <c r="C60" t="s">
        <v>74</v>
      </c>
      <c r="D60" t="s">
        <v>25</v>
      </c>
      <c r="E60">
        <v>-0.97821279097000002</v>
      </c>
    </row>
    <row r="61" spans="2:6" x14ac:dyDescent="0.45">
      <c r="B61">
        <v>59</v>
      </c>
      <c r="C61" t="s">
        <v>75</v>
      </c>
      <c r="D61" t="s">
        <v>25</v>
      </c>
      <c r="E61">
        <v>-0.42495698544999999</v>
      </c>
      <c r="F61" s="19"/>
    </row>
    <row r="62" spans="2:6" x14ac:dyDescent="0.45">
      <c r="B62">
        <v>60</v>
      </c>
      <c r="C62" t="s">
        <v>76</v>
      </c>
      <c r="D62" t="s">
        <v>25</v>
      </c>
      <c r="E62">
        <v>-0.11124462416</v>
      </c>
      <c r="F62" s="19"/>
    </row>
    <row r="63" spans="2:6" x14ac:dyDescent="0.45">
      <c r="B63">
        <v>63</v>
      </c>
      <c r="C63" t="s">
        <v>77</v>
      </c>
      <c r="D63" t="s">
        <v>25</v>
      </c>
      <c r="E63">
        <v>-1.2627495896200001</v>
      </c>
    </row>
    <row r="64" spans="2:6" x14ac:dyDescent="0.45">
      <c r="B64">
        <v>69</v>
      </c>
      <c r="C64" t="s">
        <v>78</v>
      </c>
      <c r="D64" t="s">
        <v>25</v>
      </c>
      <c r="E64" s="19">
        <v>-0.18288185680999999</v>
      </c>
      <c r="F64" s="19"/>
    </row>
    <row r="65" spans="2:11" x14ac:dyDescent="0.45">
      <c r="B65">
        <v>72</v>
      </c>
      <c r="C65" t="s">
        <v>79</v>
      </c>
      <c r="D65" t="s">
        <v>25</v>
      </c>
      <c r="E65">
        <v>0.1481107542</v>
      </c>
      <c r="F65" s="19"/>
    </row>
    <row r="66" spans="2:11" x14ac:dyDescent="0.45">
      <c r="B66">
        <v>73</v>
      </c>
      <c r="C66" t="s">
        <v>80</v>
      </c>
      <c r="D66" t="s">
        <v>25</v>
      </c>
      <c r="E66" s="19">
        <v>7.1458236000000004E-4</v>
      </c>
      <c r="F66" s="19"/>
    </row>
    <row r="67" spans="2:11" x14ac:dyDescent="0.45">
      <c r="B67">
        <v>75</v>
      </c>
      <c r="C67" t="s">
        <v>81</v>
      </c>
      <c r="D67" t="s">
        <v>25</v>
      </c>
      <c r="E67">
        <v>0.29597958689999998</v>
      </c>
      <c r="F67" s="19"/>
    </row>
    <row r="68" spans="2:11" x14ac:dyDescent="0.45">
      <c r="B68">
        <v>76</v>
      </c>
      <c r="C68" t="s">
        <v>82</v>
      </c>
      <c r="D68" t="s">
        <v>25</v>
      </c>
      <c r="E68">
        <v>0.19796492272999999</v>
      </c>
      <c r="F68" s="19"/>
    </row>
    <row r="69" spans="2:11" x14ac:dyDescent="0.45">
      <c r="B69">
        <v>77</v>
      </c>
      <c r="C69" t="s">
        <v>83</v>
      </c>
      <c r="D69" t="s">
        <v>25</v>
      </c>
      <c r="E69">
        <v>0.27817460170000002</v>
      </c>
    </row>
    <row r="70" spans="2:11" x14ac:dyDescent="0.45">
      <c r="B70">
        <v>83</v>
      </c>
      <c r="C70" t="s">
        <v>84</v>
      </c>
      <c r="D70" t="s">
        <v>25</v>
      </c>
      <c r="E70" s="19">
        <v>-0.77256225306000004</v>
      </c>
    </row>
    <row r="71" spans="2:11" x14ac:dyDescent="0.45">
      <c r="B71">
        <v>-1</v>
      </c>
    </row>
    <row r="72" spans="2:11" x14ac:dyDescent="0.45">
      <c r="B72">
        <v>3942</v>
      </c>
      <c r="C72" s="19">
        <v>-5314.5725053400001</v>
      </c>
      <c r="D72" s="19">
        <v>-6344.40425082</v>
      </c>
      <c r="E72" s="19">
        <v>-3915.8071334400001</v>
      </c>
    </row>
    <row r="73" spans="2:11" x14ac:dyDescent="0.45">
      <c r="B73">
        <v>8</v>
      </c>
      <c r="C73" t="s">
        <v>198</v>
      </c>
      <c r="D73" t="s">
        <v>149</v>
      </c>
      <c r="E73">
        <v>3</v>
      </c>
      <c r="F73" t="s">
        <v>197</v>
      </c>
      <c r="G73">
        <v>12</v>
      </c>
    </row>
    <row r="74" spans="2:11" x14ac:dyDescent="0.45">
      <c r="B74">
        <v>10160</v>
      </c>
      <c r="C74">
        <v>5157</v>
      </c>
      <c r="D74">
        <v>28599</v>
      </c>
      <c r="E74">
        <v>2579</v>
      </c>
      <c r="F74">
        <v>15147</v>
      </c>
      <c r="G74">
        <v>11502</v>
      </c>
      <c r="H74">
        <v>87647</v>
      </c>
      <c r="I74">
        <v>-2013</v>
      </c>
      <c r="J74">
        <v>-1023</v>
      </c>
      <c r="K74">
        <v>-499</v>
      </c>
    </row>
    <row r="75" spans="2:11" x14ac:dyDescent="0.45">
      <c r="B75">
        <v>-5188</v>
      </c>
      <c r="C75">
        <v>-28621</v>
      </c>
      <c r="D75">
        <v>-14563</v>
      </c>
      <c r="E75">
        <v>-7082</v>
      </c>
      <c r="F75">
        <v>3340</v>
      </c>
      <c r="G75">
        <v>-1918</v>
      </c>
      <c r="H75">
        <v>-11880</v>
      </c>
      <c r="I75">
        <v>30792</v>
      </c>
      <c r="J75">
        <v>1679</v>
      </c>
      <c r="K75">
        <v>2178</v>
      </c>
    </row>
    <row r="76" spans="2:11" x14ac:dyDescent="0.45">
      <c r="B76">
        <v>10601</v>
      </c>
      <c r="C76">
        <v>-1317</v>
      </c>
      <c r="D76">
        <v>-7576</v>
      </c>
      <c r="E76">
        <v>2433</v>
      </c>
      <c r="F76">
        <v>25561</v>
      </c>
      <c r="G76">
        <v>1400</v>
      </c>
      <c r="H76">
        <v>7469</v>
      </c>
      <c r="I76">
        <v>17918</v>
      </c>
      <c r="J76">
        <v>61174</v>
      </c>
      <c r="K76">
        <v>-182</v>
      </c>
    </row>
    <row r="77" spans="2:11" x14ac:dyDescent="0.45">
      <c r="B77">
        <v>-5550</v>
      </c>
      <c r="C77">
        <v>-516</v>
      </c>
      <c r="D77">
        <v>60489</v>
      </c>
      <c r="E77">
        <v>265</v>
      </c>
      <c r="F77">
        <v>-9313</v>
      </c>
      <c r="G77">
        <v>-996</v>
      </c>
      <c r="H77">
        <v>-2878</v>
      </c>
      <c r="I77">
        <v>-14870</v>
      </c>
      <c r="J77">
        <v>-21975</v>
      </c>
      <c r="K77">
        <v>-4960</v>
      </c>
    </row>
    <row r="78" spans="2:11" x14ac:dyDescent="0.45">
      <c r="B78">
        <v>1517</v>
      </c>
      <c r="C78">
        <v>53828</v>
      </c>
      <c r="D78">
        <v>-21516</v>
      </c>
      <c r="E78">
        <v>-214</v>
      </c>
      <c r="F78">
        <v>14316</v>
      </c>
      <c r="G78">
        <v>573</v>
      </c>
      <c r="H78">
        <v>2783</v>
      </c>
      <c r="I78">
        <v>-18036</v>
      </c>
      <c r="J78">
        <v>-1630</v>
      </c>
      <c r="K78">
        <v>-309</v>
      </c>
    </row>
    <row r="79" spans="2:11" x14ac:dyDescent="0.45">
      <c r="B79">
        <v>50698</v>
      </c>
      <c r="C79">
        <v>-34910</v>
      </c>
      <c r="D79">
        <v>-5970</v>
      </c>
      <c r="E79">
        <v>12746</v>
      </c>
      <c r="F79">
        <v>62859</v>
      </c>
      <c r="G79">
        <v>-151</v>
      </c>
      <c r="H79">
        <v>487</v>
      </c>
      <c r="I79">
        <v>-14418</v>
      </c>
      <c r="J79">
        <v>18503</v>
      </c>
      <c r="K79">
        <v>-147</v>
      </c>
    </row>
    <row r="80" spans="2:11" x14ac:dyDescent="0.45">
      <c r="B80">
        <v>-691</v>
      </c>
      <c r="C80">
        <v>-25545</v>
      </c>
      <c r="D80">
        <v>44537</v>
      </c>
      <c r="E80">
        <v>8011</v>
      </c>
      <c r="F80">
        <v>21124</v>
      </c>
      <c r="G80">
        <v>26353</v>
      </c>
      <c r="H80">
        <v>33615</v>
      </c>
      <c r="I80">
        <v>-392</v>
      </c>
      <c r="J80">
        <v>-812</v>
      </c>
      <c r="K80">
        <v>-3476</v>
      </c>
    </row>
    <row r="81" spans="2:11" x14ac:dyDescent="0.45">
      <c r="B81">
        <v>33948</v>
      </c>
      <c r="C81">
        <v>-1657</v>
      </c>
      <c r="D81">
        <v>-918</v>
      </c>
      <c r="E81">
        <v>-8127</v>
      </c>
      <c r="F81">
        <v>26936</v>
      </c>
      <c r="G81">
        <v>1943</v>
      </c>
      <c r="H81">
        <v>422</v>
      </c>
      <c r="I81">
        <v>-7655</v>
      </c>
      <c r="J81">
        <v>-2300</v>
      </c>
      <c r="K81">
        <v>-11030</v>
      </c>
    </row>
    <row r="82" spans="2:11" x14ac:dyDescent="0.45">
      <c r="B82">
        <v>-7607</v>
      </c>
      <c r="C82">
        <v>-12966</v>
      </c>
      <c r="D82">
        <v>1473</v>
      </c>
      <c r="E82">
        <v>32025</v>
      </c>
      <c r="F82">
        <v>-938</v>
      </c>
      <c r="G82">
        <v>-23022</v>
      </c>
      <c r="H82">
        <v>3675</v>
      </c>
      <c r="I82">
        <v>30835</v>
      </c>
      <c r="J82">
        <v>22535</v>
      </c>
      <c r="K82">
        <v>-23625</v>
      </c>
    </row>
    <row r="83" spans="2:11" x14ac:dyDescent="0.45">
      <c r="B83">
        <v>16831</v>
      </c>
      <c r="C83">
        <v>-21</v>
      </c>
      <c r="D83">
        <v>1563</v>
      </c>
      <c r="E83">
        <v>-2417</v>
      </c>
      <c r="F83">
        <v>-14102</v>
      </c>
      <c r="G83">
        <v>-157</v>
      </c>
      <c r="H83">
        <v>28748</v>
      </c>
      <c r="I83">
        <v>-6363</v>
      </c>
      <c r="J83">
        <v>-35627</v>
      </c>
      <c r="K83">
        <v>2116</v>
      </c>
    </row>
    <row r="84" spans="2:11" x14ac:dyDescent="0.45">
      <c r="B84">
        <v>23839</v>
      </c>
      <c r="C84">
        <v>34166</v>
      </c>
      <c r="D84">
        <v>-32453</v>
      </c>
      <c r="E84">
        <v>14559</v>
      </c>
      <c r="F84">
        <v>52355</v>
      </c>
      <c r="G84">
        <v>-493</v>
      </c>
      <c r="H84">
        <v>-3097</v>
      </c>
      <c r="I84">
        <v>8598</v>
      </c>
      <c r="J84">
        <v>-13990</v>
      </c>
      <c r="K84">
        <v>420</v>
      </c>
    </row>
    <row r="85" spans="2:11" x14ac:dyDescent="0.45">
      <c r="B85">
        <v>31158</v>
      </c>
      <c r="C85">
        <v>17903</v>
      </c>
      <c r="D85">
        <v>-31729</v>
      </c>
      <c r="E85">
        <v>-1325</v>
      </c>
      <c r="F85">
        <v>14983</v>
      </c>
      <c r="G85">
        <v>21906</v>
      </c>
      <c r="H85">
        <v>-43227</v>
      </c>
      <c r="I85">
        <v>12491</v>
      </c>
      <c r="J85">
        <v>49209</v>
      </c>
      <c r="K85">
        <v>65468</v>
      </c>
    </row>
    <row r="86" spans="2:11" x14ac:dyDescent="0.45">
      <c r="B86">
        <v>-60</v>
      </c>
      <c r="C86">
        <v>3062</v>
      </c>
      <c r="D86">
        <v>1964</v>
      </c>
      <c r="E86">
        <v>1601</v>
      </c>
      <c r="F86">
        <v>1228</v>
      </c>
      <c r="G86">
        <v>4685</v>
      </c>
      <c r="H86">
        <v>-1368</v>
      </c>
      <c r="I86">
        <v>-19</v>
      </c>
      <c r="J86">
        <v>508</v>
      </c>
      <c r="K86">
        <v>9070</v>
      </c>
    </row>
    <row r="87" spans="2:11" x14ac:dyDescent="0.45">
      <c r="B87">
        <v>-10442</v>
      </c>
      <c r="C87">
        <v>-403</v>
      </c>
      <c r="D87">
        <v>1367</v>
      </c>
      <c r="E87">
        <v>12730</v>
      </c>
      <c r="F87">
        <v>-335</v>
      </c>
      <c r="G87">
        <v>-8855</v>
      </c>
      <c r="H87">
        <v>400</v>
      </c>
      <c r="I87">
        <v>5056</v>
      </c>
      <c r="J87">
        <v>4152</v>
      </c>
      <c r="K87">
        <v>1173</v>
      </c>
    </row>
    <row r="88" spans="2:11" x14ac:dyDescent="0.45">
      <c r="B88">
        <v>1315</v>
      </c>
      <c r="C88">
        <v>-1635</v>
      </c>
      <c r="D88">
        <v>988</v>
      </c>
      <c r="E88">
        <v>-910</v>
      </c>
      <c r="F88">
        <v>2977</v>
      </c>
      <c r="G88">
        <v>490</v>
      </c>
      <c r="H88">
        <v>-399</v>
      </c>
      <c r="I88">
        <v>-1667</v>
      </c>
      <c r="J88">
        <v>2314</v>
      </c>
      <c r="K88">
        <v>2847</v>
      </c>
    </row>
    <row r="89" spans="2:11" x14ac:dyDescent="0.45">
      <c r="B89">
        <v>2547</v>
      </c>
      <c r="C89">
        <v>1411</v>
      </c>
      <c r="D89">
        <v>20215</v>
      </c>
      <c r="E89">
        <v>4186</v>
      </c>
      <c r="F89">
        <v>22251</v>
      </c>
      <c r="G89">
        <v>15104</v>
      </c>
      <c r="H89">
        <v>5790</v>
      </c>
      <c r="I89">
        <v>-1462</v>
      </c>
      <c r="J89">
        <v>-15145</v>
      </c>
      <c r="K89">
        <v>499</v>
      </c>
    </row>
    <row r="90" spans="2:11" x14ac:dyDescent="0.45">
      <c r="B90">
        <v>-2554</v>
      </c>
      <c r="C90">
        <v>-448</v>
      </c>
      <c r="D90">
        <v>-8005</v>
      </c>
      <c r="E90">
        <v>1342</v>
      </c>
      <c r="F90">
        <v>-2515</v>
      </c>
      <c r="G90">
        <v>413</v>
      </c>
      <c r="H90">
        <v>-3148</v>
      </c>
      <c r="I90">
        <v>4242</v>
      </c>
      <c r="J90">
        <v>3204</v>
      </c>
      <c r="K90">
        <v>15438</v>
      </c>
    </row>
    <row r="91" spans="2:11" x14ac:dyDescent="0.45">
      <c r="B91">
        <v>39941</v>
      </c>
      <c r="C91">
        <v>564</v>
      </c>
      <c r="D91">
        <v>1949</v>
      </c>
      <c r="E91">
        <v>1769</v>
      </c>
      <c r="F91">
        <v>-7480</v>
      </c>
      <c r="G91">
        <v>-198</v>
      </c>
      <c r="H91">
        <v>-2437</v>
      </c>
      <c r="I91">
        <v>758</v>
      </c>
      <c r="J91">
        <v>-26825</v>
      </c>
      <c r="K91">
        <v>-705</v>
      </c>
    </row>
    <row r="92" spans="2:11" x14ac:dyDescent="0.45">
      <c r="B92">
        <v>-3239</v>
      </c>
      <c r="C92">
        <v>-2561</v>
      </c>
      <c r="D92">
        <v>-23552</v>
      </c>
      <c r="E92">
        <v>3807</v>
      </c>
      <c r="F92">
        <v>10868</v>
      </c>
      <c r="G92">
        <v>15566</v>
      </c>
      <c r="H92">
        <v>16184</v>
      </c>
      <c r="I92">
        <v>-2237</v>
      </c>
      <c r="J92">
        <v>3613</v>
      </c>
      <c r="K92">
        <v>8326</v>
      </c>
    </row>
    <row r="93" spans="2:11" x14ac:dyDescent="0.45">
      <c r="B93">
        <v>17025</v>
      </c>
      <c r="C93">
        <v>40642</v>
      </c>
      <c r="D93">
        <v>19342</v>
      </c>
      <c r="E93">
        <v>9589</v>
      </c>
      <c r="F93">
        <v>4688</v>
      </c>
      <c r="G93">
        <v>-42220</v>
      </c>
      <c r="H93">
        <v>-9453</v>
      </c>
      <c r="I93">
        <v>-6298</v>
      </c>
      <c r="J93">
        <v>3705</v>
      </c>
      <c r="K93">
        <v>-24185</v>
      </c>
    </row>
    <row r="94" spans="2:11" x14ac:dyDescent="0.45">
      <c r="B94">
        <v>-8957</v>
      </c>
      <c r="C94">
        <v>49</v>
      </c>
      <c r="D94">
        <v>1577</v>
      </c>
      <c r="E94">
        <v>-17609</v>
      </c>
      <c r="F94">
        <v>-7608</v>
      </c>
      <c r="G94">
        <v>-9527</v>
      </c>
      <c r="H94">
        <v>-8032</v>
      </c>
      <c r="I94">
        <v>-1700</v>
      </c>
      <c r="J94">
        <v>18404</v>
      </c>
      <c r="K94">
        <v>2903</v>
      </c>
    </row>
    <row r="95" spans="2:11" x14ac:dyDescent="0.45">
      <c r="B95">
        <v>3925</v>
      </c>
      <c r="C95">
        <v>7257</v>
      </c>
      <c r="D95">
        <v>-22325</v>
      </c>
      <c r="E95">
        <v>-1040</v>
      </c>
      <c r="F95">
        <v>2632</v>
      </c>
      <c r="G95">
        <v>-2896</v>
      </c>
      <c r="H95">
        <v>-45200</v>
      </c>
      <c r="I95">
        <v>-7729</v>
      </c>
      <c r="J95">
        <v>7435</v>
      </c>
      <c r="K95">
        <v>13013</v>
      </c>
    </row>
    <row r="96" spans="2:11" x14ac:dyDescent="0.45">
      <c r="B96">
        <v>18746</v>
      </c>
      <c r="C96">
        <v>13040</v>
      </c>
      <c r="D96">
        <v>1827</v>
      </c>
      <c r="E96">
        <v>1742</v>
      </c>
      <c r="F96">
        <v>3628</v>
      </c>
      <c r="G96">
        <v>-8343</v>
      </c>
      <c r="H96">
        <v>2614</v>
      </c>
      <c r="I96">
        <v>-1212</v>
      </c>
      <c r="J96">
        <v>-155</v>
      </c>
      <c r="K96">
        <v>-1021</v>
      </c>
    </row>
    <row r="97" spans="2:11" x14ac:dyDescent="0.45">
      <c r="B97">
        <v>19121</v>
      </c>
      <c r="C97">
        <v>2055</v>
      </c>
      <c r="D97">
        <v>3890</v>
      </c>
      <c r="E97">
        <v>-1577</v>
      </c>
      <c r="F97">
        <v>-17460</v>
      </c>
      <c r="G97">
        <v>1577</v>
      </c>
      <c r="H97">
        <v>223</v>
      </c>
      <c r="I97">
        <v>-7306</v>
      </c>
      <c r="J97">
        <v>-43281</v>
      </c>
      <c r="K97">
        <v>2495</v>
      </c>
    </row>
    <row r="98" spans="2:11" x14ac:dyDescent="0.45">
      <c r="B98">
        <v>3863</v>
      </c>
      <c r="C98">
        <v>6291</v>
      </c>
      <c r="D98">
        <v>-24319</v>
      </c>
      <c r="E98">
        <v>5732</v>
      </c>
      <c r="F98">
        <v>15879</v>
      </c>
      <c r="G98">
        <v>22088</v>
      </c>
      <c r="H98">
        <v>20197</v>
      </c>
      <c r="I98">
        <v>1804</v>
      </c>
      <c r="J98">
        <v>694</v>
      </c>
      <c r="K98">
        <v>2039</v>
      </c>
    </row>
    <row r="99" spans="2:11" x14ac:dyDescent="0.45">
      <c r="B99">
        <v>15384</v>
      </c>
      <c r="C99">
        <v>9542</v>
      </c>
      <c r="D99">
        <v>13998</v>
      </c>
      <c r="E99">
        <v>2906</v>
      </c>
      <c r="F99">
        <v>18796</v>
      </c>
      <c r="G99">
        <v>10893</v>
      </c>
      <c r="H99">
        <v>6389</v>
      </c>
      <c r="I99">
        <v>-3354</v>
      </c>
      <c r="J99">
        <v>-13430</v>
      </c>
      <c r="K99">
        <v>-4097</v>
      </c>
    </row>
    <row r="100" spans="2:11" x14ac:dyDescent="0.45">
      <c r="B100">
        <v>610</v>
      </c>
      <c r="C100">
        <v>-1673</v>
      </c>
      <c r="D100">
        <v>-10368</v>
      </c>
      <c r="E100">
        <v>4827</v>
      </c>
      <c r="F100">
        <v>5030</v>
      </c>
      <c r="G100">
        <v>-2389</v>
      </c>
      <c r="H100">
        <v>-14605</v>
      </c>
      <c r="I100">
        <v>-1328</v>
      </c>
      <c r="J100">
        <v>-4549</v>
      </c>
      <c r="K100">
        <v>-5761</v>
      </c>
    </row>
    <row r="101" spans="2:11" x14ac:dyDescent="0.45">
      <c r="B101">
        <v>-4829</v>
      </c>
      <c r="C101">
        <v>10370</v>
      </c>
      <c r="D101">
        <v>-614</v>
      </c>
      <c r="E101">
        <v>24228</v>
      </c>
      <c r="F101">
        <v>3241</v>
      </c>
      <c r="G101">
        <v>-704</v>
      </c>
      <c r="H101">
        <v>117</v>
      </c>
      <c r="I101">
        <v>3102</v>
      </c>
      <c r="J101">
        <v>-12655</v>
      </c>
      <c r="K101">
        <v>1596</v>
      </c>
    </row>
    <row r="102" spans="2:11" x14ac:dyDescent="0.45">
      <c r="B102">
        <v>-731</v>
      </c>
      <c r="C102">
        <v>-3319</v>
      </c>
      <c r="D102">
        <v>-22328</v>
      </c>
      <c r="E102">
        <v>1541</v>
      </c>
      <c r="F102">
        <v>4471</v>
      </c>
      <c r="G102">
        <v>10730</v>
      </c>
      <c r="H102">
        <v>14883</v>
      </c>
      <c r="I102">
        <v>20749</v>
      </c>
      <c r="J102">
        <v>-1238</v>
      </c>
      <c r="K102">
        <v>-4419</v>
      </c>
    </row>
    <row r="103" spans="2:11" x14ac:dyDescent="0.45">
      <c r="B103">
        <v>-4522</v>
      </c>
      <c r="C103">
        <v>-21034</v>
      </c>
      <c r="D103">
        <v>4122</v>
      </c>
      <c r="E103">
        <v>-2019</v>
      </c>
      <c r="F103">
        <v>-590</v>
      </c>
      <c r="G103">
        <v>-3443</v>
      </c>
      <c r="H103">
        <v>3251</v>
      </c>
      <c r="I103">
        <v>15079</v>
      </c>
      <c r="J103">
        <v>-2057</v>
      </c>
      <c r="K103">
        <v>24923</v>
      </c>
    </row>
    <row r="104" spans="2:11" x14ac:dyDescent="0.45">
      <c r="B104">
        <v>5640</v>
      </c>
      <c r="C104">
        <v>492</v>
      </c>
      <c r="D104">
        <v>914</v>
      </c>
      <c r="E104">
        <v>219</v>
      </c>
      <c r="F104">
        <v>-4853</v>
      </c>
      <c r="G104">
        <v>-1765</v>
      </c>
      <c r="H104">
        <v>944</v>
      </c>
      <c r="I104">
        <v>-100</v>
      </c>
      <c r="J104">
        <v>-6259</v>
      </c>
      <c r="K104">
        <v>-7355</v>
      </c>
    </row>
    <row r="105" spans="2:11" x14ac:dyDescent="0.45">
      <c r="B105">
        <v>-1008</v>
      </c>
      <c r="C105">
        <v>-1347</v>
      </c>
      <c r="D105">
        <v>-9949</v>
      </c>
      <c r="E105">
        <v>-5891</v>
      </c>
      <c r="F105">
        <v>715</v>
      </c>
      <c r="G105">
        <v>1084</v>
      </c>
      <c r="H105">
        <v>-624</v>
      </c>
      <c r="I105">
        <v>3605</v>
      </c>
      <c r="J105">
        <v>598</v>
      </c>
      <c r="K105">
        <v>99</v>
      </c>
    </row>
    <row r="106" spans="2:11" x14ac:dyDescent="0.45">
      <c r="B106">
        <v>326</v>
      </c>
      <c r="C106">
        <v>-1456</v>
      </c>
      <c r="D106">
        <v>-390</v>
      </c>
      <c r="E106">
        <v>1754</v>
      </c>
      <c r="F106">
        <v>-661</v>
      </c>
      <c r="G106">
        <v>1973</v>
      </c>
      <c r="H106">
        <v>5643</v>
      </c>
      <c r="I106">
        <v>4467</v>
      </c>
      <c r="J106">
        <v>1388</v>
      </c>
      <c r="K106">
        <v>-125</v>
      </c>
    </row>
    <row r="107" spans="2:11" x14ac:dyDescent="0.45">
      <c r="B107">
        <v>-10361</v>
      </c>
      <c r="C107">
        <v>1438</v>
      </c>
      <c r="D107">
        <v>-1263</v>
      </c>
      <c r="E107">
        <v>-4124</v>
      </c>
      <c r="F107">
        <v>-30272</v>
      </c>
      <c r="G107">
        <v>-1596</v>
      </c>
      <c r="H107">
        <v>-4763</v>
      </c>
      <c r="I107">
        <v>-3011</v>
      </c>
      <c r="J107">
        <v>-25440</v>
      </c>
      <c r="K107">
        <v>3036</v>
      </c>
    </row>
    <row r="108" spans="2:11" x14ac:dyDescent="0.45">
      <c r="B108">
        <v>4253</v>
      </c>
      <c r="C108">
        <v>-4914</v>
      </c>
      <c r="D108">
        <v>-702</v>
      </c>
      <c r="E108">
        <v>3250</v>
      </c>
      <c r="F108">
        <v>618</v>
      </c>
      <c r="G108">
        <v>12233</v>
      </c>
      <c r="H108">
        <v>-1781</v>
      </c>
      <c r="I108">
        <v>266</v>
      </c>
      <c r="J108">
        <v>8611</v>
      </c>
      <c r="K108">
        <v>-2584</v>
      </c>
    </row>
    <row r="109" spans="2:11" x14ac:dyDescent="0.45">
      <c r="B109">
        <v>24475</v>
      </c>
      <c r="C109">
        <v>167</v>
      </c>
      <c r="D109">
        <v>33</v>
      </c>
      <c r="E109">
        <v>1194</v>
      </c>
      <c r="F109">
        <v>-1503</v>
      </c>
      <c r="G109">
        <v>135</v>
      </c>
      <c r="H109">
        <v>3576</v>
      </c>
      <c r="I109">
        <v>1764</v>
      </c>
      <c r="J109">
        <v>-5419</v>
      </c>
      <c r="K109">
        <v>-820</v>
      </c>
    </row>
    <row r="110" spans="2:11" x14ac:dyDescent="0.45">
      <c r="B110">
        <v>-332</v>
      </c>
      <c r="C110">
        <v>1614</v>
      </c>
      <c r="D110">
        <v>-30932</v>
      </c>
      <c r="E110">
        <v>7176</v>
      </c>
      <c r="F110">
        <v>24842</v>
      </c>
      <c r="G110">
        <v>32659</v>
      </c>
      <c r="H110">
        <v>33486</v>
      </c>
      <c r="I110">
        <v>3362</v>
      </c>
      <c r="J110">
        <v>1158</v>
      </c>
      <c r="K110">
        <v>1128</v>
      </c>
    </row>
    <row r="111" spans="2:11" x14ac:dyDescent="0.45">
      <c r="B111">
        <v>5611</v>
      </c>
      <c r="C111">
        <v>-499</v>
      </c>
      <c r="D111">
        <v>-2192</v>
      </c>
      <c r="E111">
        <v>10232</v>
      </c>
      <c r="F111">
        <v>-2540</v>
      </c>
      <c r="G111">
        <v>-7319</v>
      </c>
      <c r="H111">
        <v>2664</v>
      </c>
      <c r="I111">
        <v>9256</v>
      </c>
      <c r="J111">
        <v>-4073</v>
      </c>
      <c r="K111">
        <v>2121</v>
      </c>
    </row>
    <row r="112" spans="2:11" x14ac:dyDescent="0.45">
      <c r="B112">
        <v>1324</v>
      </c>
      <c r="C112">
        <v>1416</v>
      </c>
      <c r="D112">
        <v>-6019</v>
      </c>
      <c r="E112">
        <v>427</v>
      </c>
      <c r="F112">
        <v>-1183</v>
      </c>
      <c r="G112">
        <v>-250</v>
      </c>
      <c r="H112">
        <v>-4030</v>
      </c>
      <c r="I112">
        <v>1182</v>
      </c>
      <c r="J112">
        <v>-1026</v>
      </c>
      <c r="K112">
        <v>399</v>
      </c>
    </row>
    <row r="113" spans="2:11" x14ac:dyDescent="0.45">
      <c r="B113">
        <v>-2097</v>
      </c>
      <c r="C113">
        <v>1516</v>
      </c>
      <c r="D113">
        <v>-274</v>
      </c>
      <c r="E113">
        <v>-1847</v>
      </c>
      <c r="F113">
        <v>13582</v>
      </c>
      <c r="G113">
        <v>-17666</v>
      </c>
      <c r="H113">
        <v>-4806</v>
      </c>
      <c r="I113">
        <v>-991</v>
      </c>
      <c r="J113">
        <v>-3353</v>
      </c>
      <c r="K113">
        <v>-531</v>
      </c>
    </row>
    <row r="114" spans="2:11" x14ac:dyDescent="0.45">
      <c r="B114">
        <v>-530</v>
      </c>
      <c r="C114">
        <v>357</v>
      </c>
      <c r="D114">
        <v>1373</v>
      </c>
      <c r="E114">
        <v>-118</v>
      </c>
      <c r="F114">
        <v>-1385</v>
      </c>
      <c r="G114">
        <v>284</v>
      </c>
      <c r="H114">
        <v>2638</v>
      </c>
      <c r="I114">
        <v>12128</v>
      </c>
      <c r="J114">
        <v>6309</v>
      </c>
      <c r="K114">
        <v>4739</v>
      </c>
    </row>
    <row r="115" spans="2:11" x14ac:dyDescent="0.45">
      <c r="B115">
        <v>-233</v>
      </c>
      <c r="C115">
        <v>-8672</v>
      </c>
      <c r="D115">
        <v>-4457</v>
      </c>
      <c r="E115">
        <v>-2132</v>
      </c>
      <c r="F115">
        <v>214</v>
      </c>
      <c r="G115">
        <v>-4028</v>
      </c>
      <c r="H115">
        <v>-1964</v>
      </c>
      <c r="I115">
        <v>709</v>
      </c>
      <c r="J115">
        <v>41</v>
      </c>
      <c r="K115">
        <v>-2234</v>
      </c>
    </row>
    <row r="116" spans="2:11" x14ac:dyDescent="0.45">
      <c r="B116">
        <v>-1962</v>
      </c>
      <c r="C116">
        <v>-3918</v>
      </c>
      <c r="D116">
        <v>7495</v>
      </c>
      <c r="E116">
        <v>-5946</v>
      </c>
      <c r="F116">
        <v>-15413</v>
      </c>
      <c r="G116">
        <v>-1312</v>
      </c>
      <c r="H116">
        <v>10836</v>
      </c>
      <c r="I116">
        <v>2231</v>
      </c>
      <c r="J116">
        <v>548</v>
      </c>
      <c r="K116">
        <v>273</v>
      </c>
    </row>
    <row r="117" spans="2:11" x14ac:dyDescent="0.45">
      <c r="B117">
        <v>1373</v>
      </c>
      <c r="C117">
        <v>-513</v>
      </c>
      <c r="D117">
        <v>-675</v>
      </c>
      <c r="E117">
        <v>2</v>
      </c>
      <c r="F117">
        <v>28835</v>
      </c>
      <c r="G117">
        <v>622</v>
      </c>
      <c r="H117">
        <v>4382</v>
      </c>
      <c r="I117">
        <v>-10793</v>
      </c>
      <c r="J117">
        <v>-685</v>
      </c>
      <c r="K117">
        <v>-294</v>
      </c>
    </row>
    <row r="118" spans="2:11" x14ac:dyDescent="0.45">
      <c r="B118">
        <v>-1002</v>
      </c>
      <c r="C118">
        <v>-19889</v>
      </c>
      <c r="D118">
        <v>-4281</v>
      </c>
      <c r="E118">
        <v>2704</v>
      </c>
      <c r="F118">
        <v>6758</v>
      </c>
      <c r="G118">
        <v>11333</v>
      </c>
      <c r="H118">
        <v>5830</v>
      </c>
      <c r="I118">
        <v>361</v>
      </c>
      <c r="J118">
        <v>1189</v>
      </c>
      <c r="K118">
        <v>3481</v>
      </c>
    </row>
    <row r="119" spans="2:11" x14ac:dyDescent="0.45">
      <c r="B119">
        <v>-2192</v>
      </c>
      <c r="C119">
        <v>-1435</v>
      </c>
      <c r="D119">
        <v>-422</v>
      </c>
      <c r="E119">
        <v>-14</v>
      </c>
      <c r="F119">
        <v>-561</v>
      </c>
      <c r="G119">
        <v>2660</v>
      </c>
      <c r="H119">
        <v>12573</v>
      </c>
      <c r="I119">
        <v>2654</v>
      </c>
      <c r="J119">
        <v>954</v>
      </c>
      <c r="K119">
        <v>3976</v>
      </c>
    </row>
    <row r="120" spans="2:11" x14ac:dyDescent="0.45">
      <c r="B120">
        <v>-137</v>
      </c>
      <c r="C120">
        <v>209</v>
      </c>
      <c r="D120">
        <v>1069</v>
      </c>
      <c r="E120">
        <v>10717</v>
      </c>
      <c r="F120">
        <v>26553</v>
      </c>
      <c r="G120">
        <v>185</v>
      </c>
      <c r="H120">
        <v>2210</v>
      </c>
      <c r="I120">
        <v>-1656</v>
      </c>
      <c r="J120">
        <v>-10099</v>
      </c>
      <c r="K120">
        <v>-180</v>
      </c>
    </row>
    <row r="121" spans="2:11" x14ac:dyDescent="0.45">
      <c r="B121">
        <v>323</v>
      </c>
      <c r="C121">
        <v>-4733</v>
      </c>
      <c r="D121">
        <v>-14717</v>
      </c>
      <c r="E121">
        <v>916</v>
      </c>
      <c r="F121">
        <v>2811</v>
      </c>
      <c r="G121">
        <v>5164</v>
      </c>
      <c r="H121">
        <v>-3517</v>
      </c>
      <c r="I121">
        <v>651</v>
      </c>
      <c r="J121">
        <v>2277</v>
      </c>
      <c r="K121">
        <v>4447</v>
      </c>
    </row>
    <row r="122" spans="2:11" x14ac:dyDescent="0.45">
      <c r="B122">
        <v>3645</v>
      </c>
      <c r="C122">
        <v>-1503</v>
      </c>
      <c r="D122">
        <v>-974</v>
      </c>
      <c r="E122">
        <v>-1511</v>
      </c>
      <c r="F122">
        <v>-16406</v>
      </c>
      <c r="G122">
        <v>642</v>
      </c>
      <c r="H122">
        <v>3164</v>
      </c>
      <c r="I122">
        <v>8848</v>
      </c>
      <c r="J122">
        <v>182</v>
      </c>
      <c r="K122">
        <v>723</v>
      </c>
    </row>
    <row r="123" spans="2:11" x14ac:dyDescent="0.45">
      <c r="B123">
        <v>-168</v>
      </c>
      <c r="C123">
        <v>-58</v>
      </c>
      <c r="D123">
        <v>-6321</v>
      </c>
      <c r="E123">
        <v>6760</v>
      </c>
      <c r="F123">
        <v>16919</v>
      </c>
      <c r="G123">
        <v>25933</v>
      </c>
      <c r="H123">
        <v>-75</v>
      </c>
      <c r="I123">
        <v>-101</v>
      </c>
      <c r="J123">
        <v>-7184</v>
      </c>
      <c r="K123">
        <v>-608</v>
      </c>
    </row>
    <row r="124" spans="2:11" x14ac:dyDescent="0.45">
      <c r="B124">
        <v>-13</v>
      </c>
      <c r="C124">
        <v>-772</v>
      </c>
      <c r="D124">
        <v>-24107</v>
      </c>
      <c r="E124">
        <v>-3411</v>
      </c>
      <c r="F124">
        <v>2375</v>
      </c>
      <c r="G124">
        <v>6002</v>
      </c>
      <c r="H124">
        <v>7046</v>
      </c>
      <c r="I124">
        <v>5939</v>
      </c>
      <c r="J124">
        <v>398</v>
      </c>
      <c r="K124">
        <v>1013</v>
      </c>
    </row>
    <row r="125" spans="2:11" x14ac:dyDescent="0.45">
      <c r="B125">
        <v>896</v>
      </c>
      <c r="C125">
        <v>-5631</v>
      </c>
      <c r="D125">
        <v>542</v>
      </c>
      <c r="E125">
        <v>-356</v>
      </c>
      <c r="F125">
        <v>-787</v>
      </c>
      <c r="G125">
        <v>-226</v>
      </c>
      <c r="H125">
        <v>-69</v>
      </c>
      <c r="I125">
        <v>13824</v>
      </c>
      <c r="J125">
        <v>2157</v>
      </c>
      <c r="K125">
        <v>-86</v>
      </c>
    </row>
    <row r="126" spans="2:11" x14ac:dyDescent="0.45">
      <c r="B126">
        <v>4527</v>
      </c>
      <c r="C126">
        <v>-554</v>
      </c>
      <c r="D126">
        <v>-1461</v>
      </c>
      <c r="E126">
        <v>-949</v>
      </c>
      <c r="F126">
        <v>-363</v>
      </c>
      <c r="G126">
        <v>-764</v>
      </c>
      <c r="H126">
        <v>-2916</v>
      </c>
      <c r="I126">
        <v>-954</v>
      </c>
      <c r="J126">
        <v>-36</v>
      </c>
      <c r="K126">
        <v>-160</v>
      </c>
    </row>
    <row r="127" spans="2:11" x14ac:dyDescent="0.45">
      <c r="B127">
        <v>-597</v>
      </c>
      <c r="C127">
        <v>-2946</v>
      </c>
      <c r="D127">
        <v>-3</v>
      </c>
      <c r="E127">
        <v>-330</v>
      </c>
      <c r="F127">
        <v>-2418</v>
      </c>
      <c r="G127">
        <v>-16222</v>
      </c>
      <c r="H127">
        <v>258</v>
      </c>
      <c r="I127">
        <v>518</v>
      </c>
      <c r="J127">
        <v>531</v>
      </c>
      <c r="K127">
        <v>-9726</v>
      </c>
    </row>
    <row r="128" spans="2:11" x14ac:dyDescent="0.45">
      <c r="B128">
        <v>2694</v>
      </c>
      <c r="C128">
        <v>8261</v>
      </c>
      <c r="D128">
        <v>10920</v>
      </c>
      <c r="E128">
        <v>9817</v>
      </c>
      <c r="F128">
        <v>-673</v>
      </c>
      <c r="G128">
        <v>-218</v>
      </c>
      <c r="H128">
        <v>-390</v>
      </c>
      <c r="I128">
        <v>-263</v>
      </c>
      <c r="J128">
        <v>-28</v>
      </c>
      <c r="K128">
        <v>1565</v>
      </c>
    </row>
    <row r="129" spans="2:11" x14ac:dyDescent="0.45">
      <c r="B129">
        <v>8430</v>
      </c>
      <c r="C129">
        <v>-939</v>
      </c>
      <c r="D129">
        <v>-1512</v>
      </c>
      <c r="E129">
        <v>-81</v>
      </c>
      <c r="F129">
        <v>-246</v>
      </c>
      <c r="G129">
        <v>4998</v>
      </c>
      <c r="H129">
        <v>-271</v>
      </c>
      <c r="I129">
        <v>-331</v>
      </c>
      <c r="J129">
        <v>-715</v>
      </c>
      <c r="K129">
        <v>-1733</v>
      </c>
    </row>
    <row r="130" spans="2:11" x14ac:dyDescent="0.45">
      <c r="B130">
        <v>11085</v>
      </c>
      <c r="C130">
        <v>-17367</v>
      </c>
      <c r="D130">
        <v>10230</v>
      </c>
      <c r="E130">
        <v>2162</v>
      </c>
      <c r="F130">
        <v>975</v>
      </c>
      <c r="G130">
        <v>-20096</v>
      </c>
      <c r="H130">
        <v>-6746</v>
      </c>
      <c r="I130">
        <v>-5125</v>
      </c>
      <c r="J130">
        <v>-3287</v>
      </c>
      <c r="K130">
        <v>-21395</v>
      </c>
    </row>
    <row r="131" spans="2:11" x14ac:dyDescent="0.45">
      <c r="B131">
        <v>-4980</v>
      </c>
      <c r="C131">
        <v>4958</v>
      </c>
      <c r="D131">
        <v>344</v>
      </c>
      <c r="E131">
        <v>-14460</v>
      </c>
      <c r="F131">
        <v>-5420</v>
      </c>
      <c r="G131">
        <v>3521</v>
      </c>
      <c r="H131">
        <v>415</v>
      </c>
      <c r="I131">
        <v>-7258</v>
      </c>
      <c r="J131">
        <v>-4438</v>
      </c>
      <c r="K131">
        <v>-1384</v>
      </c>
    </row>
    <row r="132" spans="2:11" x14ac:dyDescent="0.45">
      <c r="B132">
        <v>173</v>
      </c>
      <c r="C132">
        <v>521</v>
      </c>
      <c r="D132">
        <v>-762</v>
      </c>
      <c r="E132">
        <v>-576</v>
      </c>
      <c r="F132">
        <v>1139</v>
      </c>
      <c r="G132">
        <v>-207</v>
      </c>
      <c r="H132">
        <v>-5564</v>
      </c>
      <c r="I132">
        <v>-200</v>
      </c>
      <c r="J132">
        <v>-418</v>
      </c>
      <c r="K132">
        <v>1998</v>
      </c>
    </row>
    <row r="133" spans="2:11" x14ac:dyDescent="0.45">
      <c r="B133">
        <v>-685</v>
      </c>
      <c r="C133">
        <v>75</v>
      </c>
      <c r="D133">
        <v>126</v>
      </c>
      <c r="E133">
        <v>88</v>
      </c>
      <c r="F133">
        <v>100</v>
      </c>
      <c r="G133">
        <v>2143</v>
      </c>
      <c r="H133">
        <v>19865</v>
      </c>
      <c r="I133">
        <v>6574</v>
      </c>
      <c r="J133">
        <v>3167</v>
      </c>
      <c r="K133">
        <v>-5949</v>
      </c>
    </row>
    <row r="134" spans="2:11" x14ac:dyDescent="0.45">
      <c r="B134">
        <v>-11580</v>
      </c>
      <c r="C134">
        <v>-7354</v>
      </c>
      <c r="D134">
        <v>-5083</v>
      </c>
      <c r="E134">
        <v>-6934</v>
      </c>
      <c r="F134">
        <v>-8645</v>
      </c>
      <c r="G134">
        <v>5859</v>
      </c>
      <c r="H134">
        <v>-122</v>
      </c>
      <c r="I134">
        <v>-4598</v>
      </c>
      <c r="J134">
        <v>-7897</v>
      </c>
      <c r="K134">
        <v>5168</v>
      </c>
    </row>
    <row r="135" spans="2:11" x14ac:dyDescent="0.45">
      <c r="B135">
        <v>280</v>
      </c>
      <c r="C135">
        <v>-3087</v>
      </c>
      <c r="D135">
        <v>-637</v>
      </c>
      <c r="E135">
        <v>-1055</v>
      </c>
      <c r="F135">
        <v>276</v>
      </c>
      <c r="G135">
        <v>553</v>
      </c>
      <c r="H135">
        <v>-270</v>
      </c>
      <c r="I135">
        <v>-121</v>
      </c>
      <c r="J135">
        <v>-8327</v>
      </c>
      <c r="K135">
        <v>-2368</v>
      </c>
    </row>
    <row r="136" spans="2:11" x14ac:dyDescent="0.45">
      <c r="B136">
        <v>-164</v>
      </c>
      <c r="C136">
        <v>-1694</v>
      </c>
      <c r="D136">
        <v>-198</v>
      </c>
      <c r="E136">
        <v>-778</v>
      </c>
      <c r="F136">
        <v>-54</v>
      </c>
      <c r="G136">
        <v>17</v>
      </c>
      <c r="H136">
        <v>92</v>
      </c>
      <c r="I136">
        <v>129</v>
      </c>
      <c r="J136">
        <v>158</v>
      </c>
      <c r="K136">
        <v>59064</v>
      </c>
    </row>
    <row r="137" spans="2:11" x14ac:dyDescent="0.45">
      <c r="B137">
        <v>88</v>
      </c>
      <c r="C137">
        <v>4816</v>
      </c>
      <c r="D137">
        <v>-9007</v>
      </c>
      <c r="E137">
        <v>-556</v>
      </c>
      <c r="F137">
        <v>-1322</v>
      </c>
      <c r="G137">
        <v>-1411</v>
      </c>
      <c r="H137">
        <v>-16938</v>
      </c>
      <c r="I137">
        <v>-3889</v>
      </c>
      <c r="J137">
        <v>3641</v>
      </c>
      <c r="K137">
        <v>9451</v>
      </c>
    </row>
    <row r="138" spans="2:11" x14ac:dyDescent="0.45">
      <c r="B138">
        <v>13771</v>
      </c>
      <c r="C138">
        <v>6568</v>
      </c>
      <c r="D138">
        <v>3122</v>
      </c>
      <c r="E138">
        <v>4942</v>
      </c>
      <c r="F138">
        <v>6906</v>
      </c>
      <c r="G138">
        <v>-5334</v>
      </c>
      <c r="H138">
        <v>-1089</v>
      </c>
      <c r="I138">
        <v>93</v>
      </c>
      <c r="J138">
        <v>324</v>
      </c>
      <c r="K138">
        <v>197</v>
      </c>
    </row>
    <row r="139" spans="2:11" x14ac:dyDescent="0.45">
      <c r="B139">
        <v>-348</v>
      </c>
      <c r="C139">
        <v>971</v>
      </c>
      <c r="D139">
        <v>857</v>
      </c>
      <c r="E139">
        <v>-885</v>
      </c>
      <c r="F139">
        <v>-9055</v>
      </c>
      <c r="G139">
        <v>-281</v>
      </c>
      <c r="H139">
        <v>-705</v>
      </c>
      <c r="I139">
        <v>664</v>
      </c>
      <c r="J139">
        <v>-9</v>
      </c>
      <c r="K139">
        <v>-178</v>
      </c>
    </row>
    <row r="140" spans="2:11" x14ac:dyDescent="0.45">
      <c r="B140">
        <v>-342</v>
      </c>
      <c r="C140">
        <v>40</v>
      </c>
      <c r="D140">
        <v>-302</v>
      </c>
      <c r="E140">
        <v>220</v>
      </c>
      <c r="F140">
        <v>19928</v>
      </c>
      <c r="G140">
        <v>28377</v>
      </c>
      <c r="H140">
        <v>132</v>
      </c>
      <c r="I140">
        <v>2546</v>
      </c>
      <c r="J140">
        <v>-814</v>
      </c>
      <c r="K140">
        <v>-6847</v>
      </c>
    </row>
    <row r="141" spans="2:11" x14ac:dyDescent="0.45">
      <c r="B141">
        <v>-628</v>
      </c>
      <c r="C141">
        <v>936</v>
      </c>
      <c r="D141">
        <v>-3362</v>
      </c>
      <c r="E141">
        <v>-15298</v>
      </c>
      <c r="F141">
        <v>1091</v>
      </c>
      <c r="G141">
        <v>3575</v>
      </c>
      <c r="H141">
        <v>5335</v>
      </c>
      <c r="I141">
        <v>-13187</v>
      </c>
      <c r="J141">
        <v>6951</v>
      </c>
      <c r="K141">
        <v>16982</v>
      </c>
    </row>
    <row r="142" spans="2:11" x14ac:dyDescent="0.45">
      <c r="B142">
        <v>18934</v>
      </c>
      <c r="C142">
        <v>15049</v>
      </c>
      <c r="D142">
        <v>-496</v>
      </c>
      <c r="E142">
        <v>-22</v>
      </c>
      <c r="F142">
        <v>103</v>
      </c>
      <c r="G142">
        <v>1501</v>
      </c>
      <c r="H142">
        <v>-685</v>
      </c>
      <c r="I142">
        <v>422</v>
      </c>
      <c r="J142">
        <v>3496</v>
      </c>
      <c r="K142">
        <v>851</v>
      </c>
    </row>
    <row r="143" spans="2:11" x14ac:dyDescent="0.45">
      <c r="B143">
        <v>138</v>
      </c>
      <c r="C143">
        <v>-1021</v>
      </c>
      <c r="D143">
        <v>-1849</v>
      </c>
      <c r="E143">
        <v>4349</v>
      </c>
      <c r="F143">
        <v>61</v>
      </c>
      <c r="G143">
        <v>-145</v>
      </c>
      <c r="H143">
        <v>187</v>
      </c>
      <c r="I143">
        <v>-403</v>
      </c>
      <c r="J143">
        <v>67</v>
      </c>
      <c r="K143">
        <v>792</v>
      </c>
    </row>
    <row r="144" spans="2:11" x14ac:dyDescent="0.45">
      <c r="B144">
        <v>10167</v>
      </c>
      <c r="C144">
        <v>14802</v>
      </c>
      <c r="D144">
        <v>15592</v>
      </c>
      <c r="E144">
        <v>-5039</v>
      </c>
      <c r="F144">
        <v>9174</v>
      </c>
      <c r="G144">
        <v>4325</v>
      </c>
      <c r="H144">
        <v>2601</v>
      </c>
      <c r="I144">
        <v>-6408</v>
      </c>
      <c r="J144">
        <v>-2583</v>
      </c>
      <c r="K144">
        <v>-3851</v>
      </c>
    </row>
    <row r="145" spans="2:11" x14ac:dyDescent="0.45">
      <c r="B145">
        <v>-2356</v>
      </c>
      <c r="C145">
        <v>-3966</v>
      </c>
      <c r="D145">
        <v>-28</v>
      </c>
      <c r="E145">
        <v>2312</v>
      </c>
      <c r="F145">
        <v>95</v>
      </c>
      <c r="G145">
        <v>-2305</v>
      </c>
      <c r="H145">
        <v>223</v>
      </c>
      <c r="I145">
        <v>1932</v>
      </c>
      <c r="J145">
        <v>23</v>
      </c>
      <c r="K145">
        <v>5675</v>
      </c>
    </row>
    <row r="146" spans="2:11" x14ac:dyDescent="0.45">
      <c r="B146">
        <v>3813</v>
      </c>
      <c r="C146">
        <v>1027</v>
      </c>
      <c r="D146">
        <v>-151</v>
      </c>
      <c r="E146">
        <v>-1178</v>
      </c>
      <c r="F146">
        <v>238</v>
      </c>
      <c r="G146">
        <v>302</v>
      </c>
      <c r="H146">
        <v>-1306</v>
      </c>
      <c r="I146">
        <v>-174</v>
      </c>
      <c r="J146">
        <v>2310</v>
      </c>
      <c r="K146">
        <v>-126</v>
      </c>
    </row>
    <row r="147" spans="2:11" x14ac:dyDescent="0.45">
      <c r="B147">
        <v>343</v>
      </c>
      <c r="C147">
        <v>-1672</v>
      </c>
      <c r="D147">
        <v>-60</v>
      </c>
      <c r="E147">
        <v>-137</v>
      </c>
      <c r="F147">
        <v>-78</v>
      </c>
      <c r="G147">
        <v>22</v>
      </c>
      <c r="H147">
        <v>-29</v>
      </c>
      <c r="I147">
        <v>21536</v>
      </c>
      <c r="J147">
        <v>4404</v>
      </c>
      <c r="K147">
        <v>1236</v>
      </c>
    </row>
    <row r="148" spans="2:11" x14ac:dyDescent="0.45">
      <c r="B148">
        <v>656</v>
      </c>
      <c r="C148">
        <v>4560</v>
      </c>
      <c r="D148">
        <v>44135</v>
      </c>
      <c r="E148">
        <v>22347</v>
      </c>
      <c r="F148">
        <v>12554</v>
      </c>
      <c r="G148">
        <v>-3755</v>
      </c>
      <c r="H148">
        <v>-22339</v>
      </c>
      <c r="I148">
        <v>-13820</v>
      </c>
      <c r="J148">
        <v>-8595</v>
      </c>
      <c r="K148">
        <v>-817</v>
      </c>
    </row>
    <row r="149" spans="2:11" x14ac:dyDescent="0.45">
      <c r="B149">
        <v>-10097</v>
      </c>
      <c r="C149">
        <v>7685</v>
      </c>
      <c r="D149">
        <v>569</v>
      </c>
      <c r="E149">
        <v>-725</v>
      </c>
      <c r="F149">
        <v>-7518</v>
      </c>
      <c r="G149">
        <v>5351</v>
      </c>
      <c r="H149">
        <v>-244</v>
      </c>
      <c r="I149">
        <v>5082</v>
      </c>
      <c r="J149">
        <v>1219</v>
      </c>
      <c r="K149">
        <v>5115</v>
      </c>
    </row>
    <row r="150" spans="2:11" x14ac:dyDescent="0.45">
      <c r="B150">
        <v>38</v>
      </c>
      <c r="C150">
        <v>14453</v>
      </c>
      <c r="D150">
        <v>3071</v>
      </c>
      <c r="E150">
        <v>1958</v>
      </c>
      <c r="F150">
        <v>6731</v>
      </c>
      <c r="G150">
        <v>1142</v>
      </c>
      <c r="H150">
        <v>255</v>
      </c>
      <c r="I150">
        <v>3177</v>
      </c>
      <c r="J150">
        <v>432</v>
      </c>
      <c r="K150">
        <v>-71</v>
      </c>
    </row>
    <row r="151" spans="2:11" x14ac:dyDescent="0.45">
      <c r="B151">
        <v>-151</v>
      </c>
      <c r="C151">
        <v>185</v>
      </c>
      <c r="D151">
        <v>71</v>
      </c>
      <c r="E151">
        <v>59</v>
      </c>
      <c r="F151">
        <v>-63</v>
      </c>
      <c r="G151">
        <v>9929</v>
      </c>
      <c r="H151">
        <v>19148</v>
      </c>
      <c r="I151">
        <v>4027</v>
      </c>
      <c r="J151">
        <v>2148</v>
      </c>
      <c r="K151">
        <v>17911</v>
      </c>
    </row>
    <row r="152" spans="2:11" x14ac:dyDescent="0.45">
      <c r="B152">
        <v>910</v>
      </c>
      <c r="C152">
        <v>12821</v>
      </c>
      <c r="D152">
        <v>-29018</v>
      </c>
      <c r="E152">
        <v>-1957</v>
      </c>
      <c r="F152">
        <v>-2127</v>
      </c>
      <c r="G152">
        <v>-7205</v>
      </c>
      <c r="H152">
        <v>-63556</v>
      </c>
      <c r="I152">
        <v>-13915</v>
      </c>
      <c r="J152">
        <v>8008</v>
      </c>
      <c r="K152">
        <v>19871</v>
      </c>
    </row>
    <row r="153" spans="2:11" x14ac:dyDescent="0.45">
      <c r="B153">
        <v>34336</v>
      </c>
      <c r="C153">
        <v>24160</v>
      </c>
      <c r="D153">
        <v>408</v>
      </c>
      <c r="E153">
        <v>592</v>
      </c>
      <c r="F153">
        <v>7289</v>
      </c>
      <c r="G153">
        <v>-16779</v>
      </c>
      <c r="H153">
        <v>567</v>
      </c>
      <c r="I153">
        <v>-425</v>
      </c>
      <c r="J153">
        <v>-333</v>
      </c>
      <c r="K153">
        <v>-79</v>
      </c>
    </row>
    <row r="154" spans="2:11" x14ac:dyDescent="0.45">
      <c r="B154">
        <v>4186</v>
      </c>
      <c r="C154">
        <v>16346</v>
      </c>
      <c r="D154">
        <v>3096</v>
      </c>
      <c r="E154">
        <v>1120</v>
      </c>
      <c r="F154">
        <v>8233</v>
      </c>
      <c r="G154">
        <v>-434</v>
      </c>
      <c r="H154">
        <v>-527</v>
      </c>
      <c r="I154">
        <v>-601</v>
      </c>
      <c r="J154">
        <v>-299</v>
      </c>
      <c r="K154">
        <v>104</v>
      </c>
    </row>
    <row r="155" spans="2:11" x14ac:dyDescent="0.45">
      <c r="B155">
        <v>1889</v>
      </c>
      <c r="C155">
        <v>298</v>
      </c>
      <c r="D155">
        <v>5398</v>
      </c>
      <c r="E155">
        <v>208</v>
      </c>
      <c r="F155">
        <v>5416</v>
      </c>
      <c r="G155">
        <v>7763</v>
      </c>
      <c r="H155">
        <v>18369</v>
      </c>
      <c r="I155">
        <v>3288</v>
      </c>
      <c r="J155">
        <v>7111</v>
      </c>
      <c r="K155">
        <v>23654</v>
      </c>
    </row>
    <row r="156" spans="2:11" x14ac:dyDescent="0.45">
      <c r="B156">
        <v>680</v>
      </c>
      <c r="C156">
        <v>8373</v>
      </c>
      <c r="D156">
        <v>-3076</v>
      </c>
      <c r="E156">
        <v>-25543</v>
      </c>
      <c r="F156">
        <v>-1431</v>
      </c>
      <c r="G156">
        <v>-6530</v>
      </c>
      <c r="H156">
        <v>-14545</v>
      </c>
      <c r="I156">
        <v>-61654</v>
      </c>
      <c r="J156">
        <v>492</v>
      </c>
      <c r="K156">
        <v>-618</v>
      </c>
    </row>
    <row r="157" spans="2:11" x14ac:dyDescent="0.45">
      <c r="B157">
        <v>5553</v>
      </c>
      <c r="C157">
        <v>-42014</v>
      </c>
      <c r="D157">
        <v>7285</v>
      </c>
      <c r="E157">
        <v>20678</v>
      </c>
      <c r="F157">
        <v>33611</v>
      </c>
      <c r="G157">
        <v>28640</v>
      </c>
      <c r="H157">
        <v>988</v>
      </c>
      <c r="I157">
        <v>84</v>
      </c>
      <c r="J157">
        <v>264</v>
      </c>
      <c r="K157">
        <v>1739</v>
      </c>
    </row>
    <row r="158" spans="2:11" x14ac:dyDescent="0.45">
      <c r="B158">
        <v>3273</v>
      </c>
      <c r="C158">
        <v>3580</v>
      </c>
      <c r="D158">
        <v>13571</v>
      </c>
      <c r="E158">
        <v>-336</v>
      </c>
      <c r="F158">
        <v>-303</v>
      </c>
      <c r="G158">
        <v>105</v>
      </c>
      <c r="H158">
        <v>949</v>
      </c>
      <c r="I158">
        <v>1542</v>
      </c>
      <c r="J158">
        <v>-232</v>
      </c>
      <c r="K158">
        <v>49</v>
      </c>
    </row>
    <row r="159" spans="2:11" x14ac:dyDescent="0.45">
      <c r="B159">
        <v>140</v>
      </c>
      <c r="C159">
        <v>316</v>
      </c>
      <c r="D159">
        <v>638</v>
      </c>
      <c r="E159">
        <v>3898</v>
      </c>
      <c r="F159">
        <v>3571</v>
      </c>
      <c r="G159">
        <v>5406</v>
      </c>
      <c r="H159">
        <v>4039</v>
      </c>
      <c r="I159">
        <v>16365</v>
      </c>
      <c r="J159">
        <v>4528</v>
      </c>
      <c r="K159">
        <v>15390</v>
      </c>
    </row>
    <row r="160" spans="2:11" x14ac:dyDescent="0.45">
      <c r="B160">
        <v>24771</v>
      </c>
      <c r="C160">
        <v>-9001</v>
      </c>
      <c r="D160">
        <v>8619</v>
      </c>
      <c r="E160">
        <v>3592</v>
      </c>
      <c r="F160">
        <v>2124</v>
      </c>
      <c r="G160">
        <v>-13162</v>
      </c>
      <c r="H160">
        <v>-4578</v>
      </c>
      <c r="I160">
        <v>-4681</v>
      </c>
      <c r="J160">
        <v>-2851</v>
      </c>
      <c r="K160">
        <v>-7642</v>
      </c>
    </row>
    <row r="161" spans="2:11" x14ac:dyDescent="0.45">
      <c r="B161">
        <v>-1089</v>
      </c>
      <c r="C161">
        <v>2712</v>
      </c>
      <c r="D161">
        <v>255</v>
      </c>
      <c r="E161">
        <v>-4004</v>
      </c>
      <c r="F161">
        <v>-755</v>
      </c>
      <c r="G161">
        <v>1629</v>
      </c>
      <c r="H161">
        <v>-7</v>
      </c>
      <c r="I161">
        <v>622</v>
      </c>
      <c r="J161">
        <v>202</v>
      </c>
      <c r="K161">
        <v>113</v>
      </c>
    </row>
    <row r="162" spans="2:11" x14ac:dyDescent="0.45">
      <c r="B162">
        <v>163</v>
      </c>
      <c r="C162">
        <v>2469</v>
      </c>
      <c r="D162">
        <v>1649</v>
      </c>
      <c r="E162">
        <v>898</v>
      </c>
      <c r="F162">
        <v>337</v>
      </c>
      <c r="G162">
        <v>213</v>
      </c>
      <c r="H162">
        <v>-3504</v>
      </c>
      <c r="I162">
        <v>-527</v>
      </c>
      <c r="J162">
        <v>82</v>
      </c>
      <c r="K162">
        <v>-793</v>
      </c>
    </row>
    <row r="163" spans="2:11" x14ac:dyDescent="0.45">
      <c r="B163">
        <v>234</v>
      </c>
      <c r="C163">
        <v>59</v>
      </c>
      <c r="D163">
        <v>-31</v>
      </c>
      <c r="E163">
        <v>290</v>
      </c>
      <c r="F163">
        <v>126</v>
      </c>
      <c r="G163">
        <v>23438</v>
      </c>
      <c r="H163">
        <v>5270</v>
      </c>
      <c r="I163">
        <v>1348</v>
      </c>
      <c r="J163">
        <v>766</v>
      </c>
      <c r="K163">
        <v>15098</v>
      </c>
    </row>
    <row r="164" spans="2:11" x14ac:dyDescent="0.45">
      <c r="B164">
        <v>7245</v>
      </c>
      <c r="C164">
        <v>3754</v>
      </c>
      <c r="D164">
        <v>2406</v>
      </c>
      <c r="E164">
        <v>3188</v>
      </c>
      <c r="F164">
        <v>28634</v>
      </c>
      <c r="G164">
        <v>13764</v>
      </c>
      <c r="H164">
        <v>7833</v>
      </c>
      <c r="I164">
        <v>-3439</v>
      </c>
      <c r="J164">
        <v>-15984</v>
      </c>
      <c r="K164">
        <v>-12030</v>
      </c>
    </row>
    <row r="165" spans="2:11" x14ac:dyDescent="0.45">
      <c r="B165">
        <v>-7337</v>
      </c>
      <c r="C165">
        <v>-480</v>
      </c>
      <c r="D165">
        <v>-5403</v>
      </c>
      <c r="E165">
        <v>7828</v>
      </c>
      <c r="F165">
        <v>578</v>
      </c>
      <c r="G165">
        <v>-253</v>
      </c>
      <c r="H165">
        <v>-3012</v>
      </c>
      <c r="I165">
        <v>5502</v>
      </c>
      <c r="J165">
        <v>672</v>
      </c>
      <c r="K165">
        <v>10056</v>
      </c>
    </row>
    <row r="166" spans="2:11" x14ac:dyDescent="0.45">
      <c r="B166">
        <v>1482</v>
      </c>
      <c r="C166">
        <v>1943</v>
      </c>
      <c r="D166">
        <v>-42</v>
      </c>
      <c r="E166">
        <v>7386</v>
      </c>
      <c r="F166">
        <v>4308</v>
      </c>
      <c r="G166">
        <v>2519</v>
      </c>
      <c r="H166">
        <v>5342</v>
      </c>
      <c r="I166">
        <v>1645</v>
      </c>
      <c r="J166">
        <v>-352</v>
      </c>
      <c r="K166">
        <v>-86</v>
      </c>
    </row>
    <row r="167" spans="2:11" x14ac:dyDescent="0.45">
      <c r="B167">
        <v>575</v>
      </c>
      <c r="C167">
        <v>890</v>
      </c>
      <c r="D167">
        <v>854</v>
      </c>
      <c r="E167">
        <v>240</v>
      </c>
      <c r="F167">
        <v>96</v>
      </c>
      <c r="G167">
        <v>669</v>
      </c>
      <c r="H167">
        <v>127</v>
      </c>
      <c r="I167">
        <v>7477</v>
      </c>
      <c r="J167">
        <v>15007</v>
      </c>
      <c r="K167">
        <v>3220</v>
      </c>
    </row>
    <row r="168" spans="2:11" x14ac:dyDescent="0.45">
      <c r="B168">
        <v>1884</v>
      </c>
      <c r="C168">
        <v>5972</v>
      </c>
      <c r="D168">
        <v>25180</v>
      </c>
      <c r="E168">
        <v>9432</v>
      </c>
      <c r="F168">
        <v>6154</v>
      </c>
      <c r="G168">
        <v>21028</v>
      </c>
      <c r="H168">
        <v>1004</v>
      </c>
      <c r="I168">
        <v>10149</v>
      </c>
      <c r="J168">
        <v>-23285</v>
      </c>
      <c r="K168">
        <v>-1520</v>
      </c>
    </row>
    <row r="169" spans="2:11" x14ac:dyDescent="0.45">
      <c r="B169">
        <v>-1854</v>
      </c>
      <c r="C169">
        <v>-7699</v>
      </c>
      <c r="D169">
        <v>-60305</v>
      </c>
      <c r="E169">
        <v>-13591</v>
      </c>
      <c r="F169">
        <v>7625</v>
      </c>
      <c r="G169">
        <v>17930</v>
      </c>
      <c r="H169">
        <v>31009</v>
      </c>
      <c r="I169">
        <v>23130</v>
      </c>
      <c r="J169">
        <v>349</v>
      </c>
      <c r="K169">
        <v>-191</v>
      </c>
    </row>
    <row r="170" spans="2:11" x14ac:dyDescent="0.45">
      <c r="B170">
        <v>5096</v>
      </c>
      <c r="C170">
        <v>-15869</v>
      </c>
      <c r="D170">
        <v>451</v>
      </c>
      <c r="E170">
        <v>-557</v>
      </c>
      <c r="F170">
        <v>-394</v>
      </c>
      <c r="G170">
        <v>78</v>
      </c>
      <c r="H170">
        <v>4963</v>
      </c>
      <c r="I170">
        <v>19370</v>
      </c>
      <c r="J170">
        <v>3755</v>
      </c>
      <c r="K170">
        <v>1708</v>
      </c>
    </row>
    <row r="171" spans="2:11" x14ac:dyDescent="0.45">
      <c r="B171">
        <v>10537</v>
      </c>
      <c r="C171">
        <v>-425</v>
      </c>
      <c r="D171">
        <v>-607</v>
      </c>
      <c r="E171">
        <v>-905</v>
      </c>
      <c r="F171">
        <v>-356</v>
      </c>
      <c r="G171">
        <v>62</v>
      </c>
      <c r="H171">
        <v>1158</v>
      </c>
      <c r="I171">
        <v>292</v>
      </c>
      <c r="J171">
        <v>7395</v>
      </c>
      <c r="K171">
        <v>512</v>
      </c>
    </row>
    <row r="172" spans="2:11" x14ac:dyDescent="0.45">
      <c r="B172">
        <v>4642</v>
      </c>
      <c r="C172">
        <v>6650</v>
      </c>
      <c r="D172">
        <v>15786</v>
      </c>
      <c r="E172">
        <v>2744</v>
      </c>
      <c r="F172">
        <v>3025</v>
      </c>
      <c r="G172">
        <v>10451</v>
      </c>
      <c r="H172">
        <v>48047</v>
      </c>
      <c r="I172">
        <v>10805</v>
      </c>
      <c r="J172">
        <v>8717</v>
      </c>
      <c r="K172">
        <v>22104</v>
      </c>
    </row>
    <row r="173" spans="2:11" x14ac:dyDescent="0.45">
      <c r="B173">
        <v>803</v>
      </c>
      <c r="C173">
        <v>6830</v>
      </c>
      <c r="D173">
        <v>-2549</v>
      </c>
      <c r="E173">
        <v>-20395</v>
      </c>
      <c r="F173">
        <v>-1260</v>
      </c>
      <c r="G173">
        <v>-5777</v>
      </c>
      <c r="H173">
        <v>-14457</v>
      </c>
      <c r="I173">
        <v>-60934</v>
      </c>
      <c r="J173">
        <v>548</v>
      </c>
      <c r="K173">
        <v>-542</v>
      </c>
    </row>
    <row r="174" spans="2:11" x14ac:dyDescent="0.45">
      <c r="B174">
        <v>5415</v>
      </c>
      <c r="C174">
        <v>-40348</v>
      </c>
      <c r="D174">
        <v>6672</v>
      </c>
      <c r="E174">
        <v>18761</v>
      </c>
      <c r="F174">
        <v>30251</v>
      </c>
      <c r="G174">
        <v>26420</v>
      </c>
      <c r="H174">
        <v>-590</v>
      </c>
      <c r="I174">
        <v>-259</v>
      </c>
      <c r="J174">
        <v>38</v>
      </c>
      <c r="K174">
        <v>4578</v>
      </c>
    </row>
    <row r="175" spans="2:11" x14ac:dyDescent="0.45">
      <c r="B175">
        <v>3865</v>
      </c>
      <c r="C175">
        <v>4348</v>
      </c>
      <c r="D175">
        <v>18938</v>
      </c>
      <c r="E175">
        <v>-67</v>
      </c>
      <c r="F175">
        <v>127</v>
      </c>
      <c r="G175">
        <v>-3</v>
      </c>
      <c r="H175">
        <v>712</v>
      </c>
      <c r="I175">
        <v>995</v>
      </c>
      <c r="J175">
        <v>-484</v>
      </c>
      <c r="K175">
        <v>-125</v>
      </c>
    </row>
    <row r="176" spans="2:11" x14ac:dyDescent="0.45">
      <c r="B176">
        <v>198</v>
      </c>
      <c r="C176">
        <v>-1044</v>
      </c>
      <c r="D176">
        <v>1152</v>
      </c>
      <c r="E176">
        <v>5943</v>
      </c>
      <c r="F176">
        <v>3256</v>
      </c>
      <c r="G176">
        <v>4853</v>
      </c>
      <c r="H176">
        <v>3517</v>
      </c>
      <c r="I176">
        <v>14835</v>
      </c>
      <c r="J176">
        <v>1963</v>
      </c>
      <c r="K176">
        <v>7028</v>
      </c>
    </row>
    <row r="177" spans="2:11" x14ac:dyDescent="0.45">
      <c r="B177">
        <v>11186</v>
      </c>
      <c r="C177">
        <v>52033</v>
      </c>
      <c r="D177">
        <v>5712</v>
      </c>
      <c r="E177">
        <v>14747</v>
      </c>
      <c r="F177">
        <v>27099</v>
      </c>
      <c r="G177">
        <v>-9489</v>
      </c>
      <c r="H177">
        <v>7756</v>
      </c>
      <c r="I177">
        <v>3373</v>
      </c>
      <c r="J177">
        <v>1107</v>
      </c>
      <c r="K177">
        <v>-9272</v>
      </c>
    </row>
    <row r="178" spans="2:11" x14ac:dyDescent="0.45">
      <c r="B178">
        <v>-2857</v>
      </c>
      <c r="C178">
        <v>-3023</v>
      </c>
      <c r="D178">
        <v>-1638</v>
      </c>
      <c r="E178">
        <v>-6668</v>
      </c>
      <c r="F178">
        <v>-915</v>
      </c>
      <c r="G178">
        <v>2240</v>
      </c>
      <c r="H178">
        <v>303</v>
      </c>
      <c r="I178">
        <v>-3666</v>
      </c>
      <c r="J178">
        <v>-775</v>
      </c>
      <c r="K178">
        <v>1090</v>
      </c>
    </row>
    <row r="179" spans="2:11" x14ac:dyDescent="0.45">
      <c r="B179">
        <v>130</v>
      </c>
      <c r="C179">
        <v>-971</v>
      </c>
      <c r="D179">
        <v>1870</v>
      </c>
      <c r="E179">
        <v>570</v>
      </c>
      <c r="F179">
        <v>90</v>
      </c>
      <c r="G179">
        <v>-1936</v>
      </c>
      <c r="H179">
        <v>-619</v>
      </c>
      <c r="I179">
        <v>-446</v>
      </c>
      <c r="J179">
        <v>628</v>
      </c>
      <c r="K179">
        <v>315</v>
      </c>
    </row>
    <row r="180" spans="2:11" x14ac:dyDescent="0.45">
      <c r="B180">
        <v>501</v>
      </c>
      <c r="C180">
        <v>283</v>
      </c>
      <c r="D180">
        <v>3</v>
      </c>
      <c r="E180">
        <v>2928</v>
      </c>
      <c r="F180">
        <v>534</v>
      </c>
      <c r="G180">
        <v>97</v>
      </c>
      <c r="H180">
        <v>149</v>
      </c>
      <c r="I180">
        <v>266</v>
      </c>
      <c r="J180">
        <v>66</v>
      </c>
      <c r="K180">
        <v>20062</v>
      </c>
    </row>
    <row r="181" spans="2:11" x14ac:dyDescent="0.45">
      <c r="B181">
        <v>3416</v>
      </c>
      <c r="C181">
        <v>1107</v>
      </c>
      <c r="D181">
        <v>609</v>
      </c>
      <c r="E181">
        <v>12309</v>
      </c>
      <c r="F181">
        <v>5864</v>
      </c>
      <c r="G181">
        <v>2805</v>
      </c>
      <c r="H181">
        <v>1747</v>
      </c>
      <c r="I181">
        <v>12183</v>
      </c>
      <c r="J181">
        <v>4316</v>
      </c>
      <c r="K181">
        <v>2472</v>
      </c>
    </row>
    <row r="182" spans="2:11" x14ac:dyDescent="0.45">
      <c r="B182">
        <v>1547</v>
      </c>
      <c r="C182">
        <v>1142</v>
      </c>
      <c r="D182">
        <v>21944</v>
      </c>
      <c r="E182">
        <v>10437</v>
      </c>
      <c r="F182">
        <v>4245</v>
      </c>
      <c r="G182">
        <v>-3029</v>
      </c>
      <c r="H182">
        <v>-9576</v>
      </c>
      <c r="I182">
        <v>-6632</v>
      </c>
      <c r="J182">
        <v>-3803</v>
      </c>
      <c r="K182">
        <v>-1205</v>
      </c>
    </row>
    <row r="183" spans="2:11" x14ac:dyDescent="0.45">
      <c r="B183">
        <v>-4107</v>
      </c>
      <c r="C183">
        <v>4037</v>
      </c>
      <c r="D183">
        <v>406</v>
      </c>
      <c r="E183">
        <v>-715</v>
      </c>
      <c r="F183">
        <v>-2556</v>
      </c>
      <c r="G183">
        <v>2260</v>
      </c>
      <c r="H183">
        <v>-151</v>
      </c>
      <c r="I183">
        <v>2358</v>
      </c>
      <c r="J183">
        <v>1593</v>
      </c>
      <c r="K183">
        <v>3260</v>
      </c>
    </row>
    <row r="184" spans="2:11" x14ac:dyDescent="0.45">
      <c r="B184">
        <v>185</v>
      </c>
      <c r="C184">
        <v>-2680</v>
      </c>
      <c r="D184">
        <v>-636</v>
      </c>
      <c r="E184">
        <v>-525</v>
      </c>
      <c r="F184">
        <v>683</v>
      </c>
      <c r="G184">
        <v>373</v>
      </c>
      <c r="H184">
        <v>383</v>
      </c>
      <c r="I184">
        <v>938</v>
      </c>
      <c r="J184">
        <v>185</v>
      </c>
      <c r="K184">
        <v>1109</v>
      </c>
    </row>
    <row r="185" spans="2:11" x14ac:dyDescent="0.45">
      <c r="B185">
        <v>2179</v>
      </c>
      <c r="C185">
        <v>267</v>
      </c>
      <c r="D185">
        <v>294</v>
      </c>
      <c r="E185">
        <v>325</v>
      </c>
      <c r="F185">
        <v>64</v>
      </c>
      <c r="G185">
        <v>5690</v>
      </c>
      <c r="H185">
        <v>11043</v>
      </c>
      <c r="I185">
        <v>2378</v>
      </c>
      <c r="J185">
        <v>1319</v>
      </c>
      <c r="K185">
        <v>4225</v>
      </c>
    </row>
    <row r="186" spans="2:11" x14ac:dyDescent="0.45">
      <c r="B186">
        <v>17036</v>
      </c>
      <c r="C186">
        <v>6100</v>
      </c>
      <c r="D186">
        <v>3969</v>
      </c>
      <c r="E186">
        <v>3889</v>
      </c>
      <c r="F186">
        <v>13082</v>
      </c>
      <c r="G186">
        <v>5376</v>
      </c>
      <c r="H186">
        <v>3478</v>
      </c>
      <c r="I186">
        <v>33183</v>
      </c>
      <c r="J186">
        <v>-240</v>
      </c>
      <c r="K186">
        <v>6190</v>
      </c>
    </row>
    <row r="187" spans="2:11" x14ac:dyDescent="0.45">
      <c r="B187">
        <v>-14992</v>
      </c>
      <c r="C187">
        <v>-771</v>
      </c>
      <c r="D187">
        <v>-1430</v>
      </c>
      <c r="E187">
        <v>-2751</v>
      </c>
      <c r="F187">
        <v>-26259</v>
      </c>
      <c r="G187">
        <v>-5124</v>
      </c>
      <c r="H187">
        <v>3279</v>
      </c>
      <c r="I187">
        <v>9217</v>
      </c>
      <c r="J187">
        <v>15551</v>
      </c>
      <c r="K187">
        <v>9717</v>
      </c>
    </row>
    <row r="188" spans="2:11" x14ac:dyDescent="0.45">
      <c r="B188">
        <v>121</v>
      </c>
      <c r="C188">
        <v>755</v>
      </c>
      <c r="D188">
        <v>3221</v>
      </c>
      <c r="E188">
        <v>-5455</v>
      </c>
      <c r="F188">
        <v>-820</v>
      </c>
      <c r="G188">
        <v>-140</v>
      </c>
      <c r="H188">
        <v>-227</v>
      </c>
      <c r="I188">
        <v>-171</v>
      </c>
      <c r="J188">
        <v>-1261</v>
      </c>
      <c r="K188">
        <v>-3710</v>
      </c>
    </row>
    <row r="189" spans="2:11" x14ac:dyDescent="0.45">
      <c r="B189">
        <v>-234</v>
      </c>
      <c r="C189">
        <v>212</v>
      </c>
      <c r="D189">
        <v>2671</v>
      </c>
      <c r="E189">
        <v>-88</v>
      </c>
      <c r="F189">
        <v>-363</v>
      </c>
      <c r="G189">
        <v>-285</v>
      </c>
      <c r="H189">
        <v>-7</v>
      </c>
      <c r="I189">
        <v>-51</v>
      </c>
      <c r="J189">
        <v>1623</v>
      </c>
      <c r="K189">
        <v>378</v>
      </c>
    </row>
    <row r="190" spans="2:11" x14ac:dyDescent="0.45">
      <c r="B190">
        <v>3849</v>
      </c>
      <c r="C190">
        <v>368</v>
      </c>
      <c r="D190">
        <v>2783</v>
      </c>
      <c r="E190">
        <v>3773</v>
      </c>
      <c r="F190">
        <v>8699</v>
      </c>
      <c r="G190">
        <v>1677</v>
      </c>
      <c r="H190">
        <v>1554</v>
      </c>
      <c r="I190">
        <v>5013</v>
      </c>
      <c r="J190">
        <v>23903</v>
      </c>
      <c r="K190">
        <v>5330</v>
      </c>
    </row>
    <row r="191" spans="2:11" x14ac:dyDescent="0.45">
      <c r="B191">
        <v>1576</v>
      </c>
      <c r="C191">
        <v>3941</v>
      </c>
      <c r="D191">
        <v>20930</v>
      </c>
      <c r="E191">
        <v>4823</v>
      </c>
      <c r="F191">
        <v>13403</v>
      </c>
      <c r="G191">
        <v>28368</v>
      </c>
      <c r="H191">
        <v>-16</v>
      </c>
      <c r="I191">
        <v>2615</v>
      </c>
      <c r="J191">
        <v>-775</v>
      </c>
      <c r="K191">
        <v>-8184</v>
      </c>
    </row>
    <row r="192" spans="2:11" x14ac:dyDescent="0.45">
      <c r="B192">
        <v>-626</v>
      </c>
      <c r="C192">
        <v>-3818</v>
      </c>
      <c r="D192">
        <v>-3219</v>
      </c>
      <c r="E192">
        <v>-16704</v>
      </c>
      <c r="F192">
        <v>-158</v>
      </c>
      <c r="G192">
        <v>-1903</v>
      </c>
      <c r="H192">
        <v>-500</v>
      </c>
      <c r="I192">
        <v>-13711</v>
      </c>
      <c r="J192">
        <v>2180</v>
      </c>
      <c r="K192">
        <v>5769</v>
      </c>
    </row>
    <row r="193" spans="2:11" x14ac:dyDescent="0.45">
      <c r="B193">
        <v>9072</v>
      </c>
      <c r="C193">
        <v>8311</v>
      </c>
      <c r="D193">
        <v>-1568</v>
      </c>
      <c r="E193">
        <v>-358</v>
      </c>
      <c r="F193">
        <v>-383</v>
      </c>
      <c r="G193">
        <v>1694</v>
      </c>
      <c r="H193">
        <v>476</v>
      </c>
      <c r="I193">
        <v>-1037</v>
      </c>
      <c r="J193">
        <v>-1317</v>
      </c>
      <c r="K193">
        <v>-516</v>
      </c>
    </row>
    <row r="194" spans="2:11" x14ac:dyDescent="0.45">
      <c r="B194">
        <v>-1223</v>
      </c>
      <c r="C194">
        <v>56</v>
      </c>
      <c r="D194">
        <v>311</v>
      </c>
      <c r="E194">
        <v>3040</v>
      </c>
      <c r="F194">
        <v>-180</v>
      </c>
      <c r="G194">
        <v>106</v>
      </c>
      <c r="H194">
        <v>13</v>
      </c>
      <c r="I194">
        <v>460</v>
      </c>
      <c r="J194">
        <v>286</v>
      </c>
      <c r="K194">
        <v>2759</v>
      </c>
    </row>
    <row r="195" spans="2:11" x14ac:dyDescent="0.45">
      <c r="B195">
        <v>1222</v>
      </c>
      <c r="C195">
        <v>1706</v>
      </c>
      <c r="D195">
        <v>1260</v>
      </c>
      <c r="E195">
        <v>4900</v>
      </c>
      <c r="F195">
        <v>530</v>
      </c>
      <c r="G195">
        <v>1958</v>
      </c>
      <c r="H195">
        <v>3129</v>
      </c>
      <c r="I195">
        <v>16293</v>
      </c>
      <c r="J195">
        <v>630</v>
      </c>
      <c r="K195">
        <v>1350</v>
      </c>
    </row>
    <row r="196" spans="2:11" x14ac:dyDescent="0.45">
      <c r="B196">
        <v>2699</v>
      </c>
      <c r="C196">
        <v>14772</v>
      </c>
      <c r="D196">
        <v>5083</v>
      </c>
      <c r="E196">
        <v>11101</v>
      </c>
      <c r="F196">
        <v>15981</v>
      </c>
      <c r="G196">
        <v>-5670</v>
      </c>
      <c r="H196">
        <v>-3550</v>
      </c>
      <c r="I196">
        <v>-816</v>
      </c>
      <c r="J196">
        <v>-125</v>
      </c>
      <c r="K196">
        <v>-9234</v>
      </c>
    </row>
    <row r="197" spans="2:11" x14ac:dyDescent="0.45">
      <c r="B197">
        <v>5613</v>
      </c>
      <c r="C197">
        <v>1484</v>
      </c>
      <c r="D197">
        <v>1409</v>
      </c>
      <c r="E197">
        <v>-11614</v>
      </c>
      <c r="F197">
        <v>3564</v>
      </c>
      <c r="G197">
        <v>-3655</v>
      </c>
      <c r="H197">
        <v>202</v>
      </c>
      <c r="I197">
        <v>-6747</v>
      </c>
      <c r="J197">
        <v>3943</v>
      </c>
      <c r="K197">
        <v>-764</v>
      </c>
    </row>
    <row r="198" spans="2:11" x14ac:dyDescent="0.45">
      <c r="B198">
        <v>-3038</v>
      </c>
      <c r="C198">
        <v>30074</v>
      </c>
      <c r="D198">
        <v>-22771</v>
      </c>
      <c r="E198">
        <v>1500</v>
      </c>
      <c r="F198">
        <v>-1070</v>
      </c>
      <c r="G198">
        <v>-14576</v>
      </c>
      <c r="H198">
        <v>-3606</v>
      </c>
      <c r="I198">
        <v>-2121</v>
      </c>
      <c r="J198">
        <v>1552</v>
      </c>
      <c r="K198">
        <v>2576</v>
      </c>
    </row>
    <row r="199" spans="2:11" x14ac:dyDescent="0.45">
      <c r="B199">
        <v>-3884</v>
      </c>
      <c r="C199">
        <v>-2666</v>
      </c>
      <c r="D199">
        <v>774</v>
      </c>
      <c r="E199">
        <v>15503</v>
      </c>
      <c r="F199">
        <v>1175</v>
      </c>
      <c r="G199">
        <v>-1211</v>
      </c>
      <c r="H199">
        <v>-884</v>
      </c>
      <c r="I199">
        <v>303</v>
      </c>
      <c r="J199">
        <v>-175</v>
      </c>
      <c r="K199">
        <v>5396</v>
      </c>
    </row>
    <row r="200" spans="2:11" x14ac:dyDescent="0.45">
      <c r="B200">
        <v>-1318</v>
      </c>
      <c r="C200">
        <v>-366</v>
      </c>
      <c r="D200">
        <v>-100</v>
      </c>
      <c r="E200">
        <v>-4613</v>
      </c>
      <c r="F200">
        <v>-40</v>
      </c>
      <c r="G200">
        <v>-679</v>
      </c>
      <c r="H200">
        <v>-319</v>
      </c>
      <c r="I200">
        <v>-2993</v>
      </c>
      <c r="J200">
        <v>1452</v>
      </c>
      <c r="K200">
        <v>-764</v>
      </c>
    </row>
    <row r="201" spans="2:11" x14ac:dyDescent="0.45">
      <c r="B201">
        <v>-823</v>
      </c>
      <c r="C201">
        <v>3252</v>
      </c>
      <c r="D201">
        <v>1213</v>
      </c>
      <c r="E201">
        <v>-53</v>
      </c>
      <c r="F201">
        <v>-418</v>
      </c>
      <c r="G201">
        <v>3730</v>
      </c>
      <c r="H201">
        <v>6858</v>
      </c>
      <c r="I201">
        <v>5210</v>
      </c>
      <c r="J201">
        <v>2325</v>
      </c>
      <c r="K201">
        <v>-98</v>
      </c>
    </row>
    <row r="202" spans="2:11" x14ac:dyDescent="0.45">
      <c r="B202">
        <v>-22493</v>
      </c>
      <c r="C202">
        <v>1512</v>
      </c>
      <c r="D202">
        <v>-244</v>
      </c>
      <c r="E202">
        <v>-6595</v>
      </c>
      <c r="F202">
        <v>-29774</v>
      </c>
      <c r="G202">
        <v>-45221</v>
      </c>
      <c r="H202">
        <v>-1249</v>
      </c>
      <c r="I202">
        <v>-4771</v>
      </c>
      <c r="J202">
        <v>-20943</v>
      </c>
      <c r="K202">
        <v>-32641</v>
      </c>
    </row>
    <row r="203" spans="2:11" x14ac:dyDescent="0.45">
      <c r="B203">
        <v>-35580</v>
      </c>
      <c r="C203">
        <v>33998</v>
      </c>
      <c r="D203">
        <v>1737</v>
      </c>
      <c r="E203">
        <v>-2544</v>
      </c>
      <c r="F203">
        <v>3435</v>
      </c>
      <c r="G203">
        <v>20038</v>
      </c>
      <c r="H203">
        <v>-3972</v>
      </c>
      <c r="I203">
        <v>-5650</v>
      </c>
      <c r="J203">
        <v>778</v>
      </c>
      <c r="K203">
        <v>1280</v>
      </c>
    </row>
    <row r="204" spans="2:11" x14ac:dyDescent="0.45">
      <c r="B204">
        <v>-559</v>
      </c>
      <c r="C204">
        <v>-1155</v>
      </c>
      <c r="D204">
        <v>-793</v>
      </c>
      <c r="E204">
        <v>5937</v>
      </c>
      <c r="F204">
        <v>9969</v>
      </c>
      <c r="G204">
        <v>-4327</v>
      </c>
      <c r="H204">
        <v>-5468</v>
      </c>
      <c r="I204">
        <v>112</v>
      </c>
      <c r="J204">
        <v>118</v>
      </c>
      <c r="K204">
        <v>-2050</v>
      </c>
    </row>
    <row r="205" spans="2:11" x14ac:dyDescent="0.45">
      <c r="B205">
        <v>386</v>
      </c>
      <c r="C205">
        <v>-2562</v>
      </c>
      <c r="D205">
        <v>-2930</v>
      </c>
      <c r="E205">
        <v>1016</v>
      </c>
      <c r="F205">
        <v>553</v>
      </c>
      <c r="G205">
        <v>468</v>
      </c>
      <c r="H205">
        <v>2478</v>
      </c>
      <c r="I205">
        <v>105</v>
      </c>
      <c r="J205">
        <v>-1145</v>
      </c>
      <c r="K205">
        <v>1353</v>
      </c>
    </row>
    <row r="206" spans="2:11" x14ac:dyDescent="0.45">
      <c r="B206">
        <v>2899</v>
      </c>
      <c r="C206">
        <v>-418</v>
      </c>
      <c r="D206">
        <v>1076</v>
      </c>
      <c r="E206">
        <v>-1715</v>
      </c>
      <c r="F206">
        <v>1992</v>
      </c>
      <c r="G206">
        <v>11292</v>
      </c>
      <c r="H206">
        <v>-4139</v>
      </c>
      <c r="I206">
        <v>-601</v>
      </c>
      <c r="J206">
        <v>-341</v>
      </c>
      <c r="K206">
        <v>-229</v>
      </c>
    </row>
    <row r="207" spans="2:11" x14ac:dyDescent="0.45">
      <c r="B207">
        <v>-1150</v>
      </c>
      <c r="C207">
        <v>1548</v>
      </c>
      <c r="D207">
        <v>104</v>
      </c>
      <c r="E207">
        <v>-60</v>
      </c>
      <c r="F207">
        <v>-14390</v>
      </c>
      <c r="G207">
        <v>1651</v>
      </c>
      <c r="H207">
        <v>156</v>
      </c>
      <c r="I207">
        <v>-376</v>
      </c>
      <c r="J207">
        <v>-3171</v>
      </c>
      <c r="K207">
        <v>1304</v>
      </c>
    </row>
    <row r="208" spans="2:11" x14ac:dyDescent="0.45">
      <c r="B208">
        <v>290</v>
      </c>
      <c r="C208">
        <v>324</v>
      </c>
      <c r="D208">
        <v>1596</v>
      </c>
      <c r="E208">
        <v>-1049</v>
      </c>
      <c r="F208">
        <v>-247</v>
      </c>
      <c r="G208">
        <v>16</v>
      </c>
      <c r="H208">
        <v>-1048</v>
      </c>
      <c r="I208">
        <v>-214</v>
      </c>
      <c r="J208">
        <v>-17</v>
      </c>
      <c r="K208">
        <v>-2405</v>
      </c>
    </row>
    <row r="209" spans="2:11" x14ac:dyDescent="0.45">
      <c r="B209">
        <v>-988</v>
      </c>
      <c r="C209">
        <v>-34791</v>
      </c>
      <c r="D209">
        <v>-3053</v>
      </c>
      <c r="E209">
        <v>434</v>
      </c>
      <c r="F209">
        <v>179</v>
      </c>
      <c r="G209">
        <v>67</v>
      </c>
      <c r="H209">
        <v>-10</v>
      </c>
      <c r="I209">
        <v>29</v>
      </c>
      <c r="J209">
        <v>56</v>
      </c>
      <c r="K209">
        <v>18</v>
      </c>
    </row>
    <row r="210" spans="2:11" x14ac:dyDescent="0.45">
      <c r="B210">
        <v>3043</v>
      </c>
      <c r="C210">
        <v>457</v>
      </c>
      <c r="D210">
        <v>297</v>
      </c>
      <c r="E210">
        <v>91</v>
      </c>
      <c r="F210">
        <v>-456</v>
      </c>
      <c r="G210">
        <v>-175</v>
      </c>
      <c r="H210">
        <v>28</v>
      </c>
      <c r="I210">
        <v>95</v>
      </c>
      <c r="J210">
        <v>2777</v>
      </c>
      <c r="K210">
        <v>78</v>
      </c>
    </row>
    <row r="211" spans="2:11" x14ac:dyDescent="0.45">
      <c r="B211">
        <v>-28</v>
      </c>
      <c r="C211">
        <v>51</v>
      </c>
      <c r="D211">
        <v>-419</v>
      </c>
      <c r="E211">
        <v>-39</v>
      </c>
      <c r="F211">
        <v>-8</v>
      </c>
      <c r="G211">
        <v>28</v>
      </c>
      <c r="H211">
        <v>1137</v>
      </c>
      <c r="I211">
        <v>952</v>
      </c>
      <c r="J211">
        <v>21203</v>
      </c>
      <c r="K211">
        <v>324</v>
      </c>
    </row>
    <row r="212" spans="2:11" x14ac:dyDescent="0.45">
      <c r="B212">
        <v>105</v>
      </c>
      <c r="C212">
        <v>78</v>
      </c>
      <c r="D212">
        <v>19437</v>
      </c>
      <c r="E212">
        <v>-472</v>
      </c>
      <c r="F212">
        <v>-248</v>
      </c>
      <c r="G212">
        <v>19</v>
      </c>
      <c r="H212">
        <v>14798</v>
      </c>
      <c r="I212">
        <v>-578</v>
      </c>
      <c r="J212">
        <v>349</v>
      </c>
      <c r="K212">
        <v>249</v>
      </c>
    </row>
    <row r="213" spans="2:11" x14ac:dyDescent="0.45">
      <c r="B213">
        <v>8071</v>
      </c>
      <c r="C213">
        <v>-776</v>
      </c>
      <c r="D213">
        <v>13</v>
      </c>
      <c r="E213">
        <v>-129</v>
      </c>
      <c r="F213">
        <v>-1593</v>
      </c>
      <c r="G213">
        <v>2135</v>
      </c>
      <c r="H213">
        <v>-58</v>
      </c>
      <c r="I213">
        <v>-11</v>
      </c>
      <c r="J213">
        <v>1</v>
      </c>
      <c r="K213">
        <v>-62</v>
      </c>
    </row>
    <row r="214" spans="2:11" x14ac:dyDescent="0.45">
      <c r="B214">
        <v>-234</v>
      </c>
      <c r="C214">
        <v>4521</v>
      </c>
      <c r="D214">
        <v>1724</v>
      </c>
      <c r="E214">
        <v>7124</v>
      </c>
      <c r="F214">
        <v>536</v>
      </c>
      <c r="G214">
        <v>-5</v>
      </c>
      <c r="H214">
        <v>-121</v>
      </c>
      <c r="I214">
        <v>-56</v>
      </c>
      <c r="J214">
        <v>160</v>
      </c>
      <c r="K214">
        <v>155</v>
      </c>
    </row>
    <row r="215" spans="2:11" x14ac:dyDescent="0.45">
      <c r="B215">
        <v>-40</v>
      </c>
      <c r="C215">
        <v>-83</v>
      </c>
      <c r="D215">
        <v>2150</v>
      </c>
      <c r="E215">
        <v>51</v>
      </c>
      <c r="F215">
        <v>298</v>
      </c>
      <c r="G215">
        <v>217</v>
      </c>
      <c r="H215">
        <v>2534</v>
      </c>
      <c r="I215">
        <v>121</v>
      </c>
      <c r="J215">
        <v>114</v>
      </c>
      <c r="K215">
        <v>69</v>
      </c>
    </row>
    <row r="216" spans="2:11" x14ac:dyDescent="0.45">
      <c r="B216">
        <v>3048</v>
      </c>
      <c r="C216">
        <v>53</v>
      </c>
      <c r="D216">
        <v>128</v>
      </c>
      <c r="E216">
        <v>19</v>
      </c>
      <c r="F216">
        <v>1861</v>
      </c>
      <c r="G216">
        <v>187</v>
      </c>
      <c r="H216">
        <v>55</v>
      </c>
      <c r="I216">
        <v>71</v>
      </c>
      <c r="J216">
        <v>4167</v>
      </c>
      <c r="K216">
        <v>-664</v>
      </c>
    </row>
    <row r="217" spans="2:11" x14ac:dyDescent="0.45">
      <c r="B217">
        <v>-5705</v>
      </c>
      <c r="C217">
        <v>455</v>
      </c>
      <c r="D217">
        <v>150</v>
      </c>
      <c r="E217">
        <v>711</v>
      </c>
      <c r="F217">
        <v>897</v>
      </c>
      <c r="G217">
        <v>1583</v>
      </c>
      <c r="H217">
        <v>603</v>
      </c>
      <c r="I217">
        <v>1110</v>
      </c>
      <c r="J217">
        <v>1736</v>
      </c>
      <c r="K217">
        <v>2571</v>
      </c>
    </row>
    <row r="218" spans="2:11" x14ac:dyDescent="0.45">
      <c r="B218">
        <v>1584</v>
      </c>
      <c r="C218">
        <v>954</v>
      </c>
      <c r="D218">
        <v>1920</v>
      </c>
      <c r="E218">
        <v>1623</v>
      </c>
      <c r="F218">
        <v>-495</v>
      </c>
      <c r="G218">
        <v>-1726</v>
      </c>
      <c r="H218">
        <v>-1398</v>
      </c>
      <c r="I218">
        <v>3101</v>
      </c>
      <c r="J218">
        <v>1181</v>
      </c>
      <c r="K218">
        <v>1238</v>
      </c>
    </row>
    <row r="219" spans="2:11" x14ac:dyDescent="0.45">
      <c r="B219">
        <v>-34</v>
      </c>
      <c r="C219">
        <v>2901</v>
      </c>
      <c r="D219">
        <v>13</v>
      </c>
      <c r="E219">
        <v>-48</v>
      </c>
      <c r="F219">
        <v>3593</v>
      </c>
      <c r="G219">
        <v>342</v>
      </c>
      <c r="H219">
        <v>2935</v>
      </c>
      <c r="I219">
        <v>-2100</v>
      </c>
      <c r="J219">
        <v>-3542</v>
      </c>
      <c r="K219">
        <v>-101</v>
      </c>
    </row>
    <row r="220" spans="2:11" x14ac:dyDescent="0.45">
      <c r="B220">
        <v>-905</v>
      </c>
      <c r="C220">
        <v>-1359</v>
      </c>
      <c r="D220">
        <v>-2596</v>
      </c>
      <c r="E220">
        <v>67</v>
      </c>
      <c r="F220">
        <v>224</v>
      </c>
      <c r="G220">
        <v>-686</v>
      </c>
      <c r="H220">
        <v>-1370</v>
      </c>
      <c r="I220">
        <v>-1626</v>
      </c>
      <c r="J220">
        <v>-1661</v>
      </c>
      <c r="K220">
        <v>-528</v>
      </c>
    </row>
    <row r="221" spans="2:11" x14ac:dyDescent="0.45">
      <c r="B221">
        <v>-779</v>
      </c>
      <c r="C221">
        <v>-1452</v>
      </c>
      <c r="D221">
        <v>-2342</v>
      </c>
      <c r="E221">
        <v>-968</v>
      </c>
      <c r="F221">
        <v>-3412</v>
      </c>
      <c r="G221">
        <v>-905</v>
      </c>
      <c r="H221">
        <v>-740</v>
      </c>
      <c r="I221">
        <v>-646</v>
      </c>
      <c r="J221">
        <v>-1150</v>
      </c>
      <c r="K221">
        <v>-140</v>
      </c>
    </row>
    <row r="222" spans="2:11" x14ac:dyDescent="0.45">
      <c r="B222">
        <v>-1502</v>
      </c>
      <c r="C222">
        <v>-298</v>
      </c>
      <c r="D222">
        <v>5790</v>
      </c>
      <c r="E222">
        <v>-3403</v>
      </c>
      <c r="F222">
        <v>-5294</v>
      </c>
      <c r="G222">
        <v>18579</v>
      </c>
      <c r="H222">
        <v>-1945</v>
      </c>
      <c r="I222">
        <v>-951</v>
      </c>
      <c r="J222">
        <v>-475</v>
      </c>
      <c r="K222">
        <v>20637</v>
      </c>
    </row>
    <row r="223" spans="2:11" x14ac:dyDescent="0.45">
      <c r="B223">
        <v>2295</v>
      </c>
      <c r="C223">
        <v>489</v>
      </c>
      <c r="D223">
        <v>319</v>
      </c>
      <c r="E223">
        <v>14961</v>
      </c>
      <c r="F223">
        <v>1777</v>
      </c>
      <c r="G223">
        <v>-184</v>
      </c>
      <c r="H223">
        <v>-105</v>
      </c>
      <c r="I223">
        <v>4621</v>
      </c>
      <c r="J223">
        <v>1714</v>
      </c>
      <c r="K223">
        <v>382</v>
      </c>
    </row>
    <row r="224" spans="2:11" x14ac:dyDescent="0.45">
      <c r="B224">
        <v>46</v>
      </c>
      <c r="C224">
        <v>6108</v>
      </c>
      <c r="D224">
        <v>4125</v>
      </c>
      <c r="E224">
        <v>54</v>
      </c>
      <c r="F224">
        <v>-226</v>
      </c>
      <c r="G224">
        <v>-4737</v>
      </c>
      <c r="H224">
        <v>-834</v>
      </c>
      <c r="I224">
        <v>-325</v>
      </c>
      <c r="J224">
        <v>-2924</v>
      </c>
      <c r="K224">
        <v>-340</v>
      </c>
    </row>
    <row r="225" spans="2:11" x14ac:dyDescent="0.45">
      <c r="B225">
        <v>-3193</v>
      </c>
      <c r="C225">
        <v>-833</v>
      </c>
      <c r="D225">
        <v>206</v>
      </c>
      <c r="E225">
        <v>2602</v>
      </c>
      <c r="F225">
        <v>-343</v>
      </c>
      <c r="G225">
        <v>-209</v>
      </c>
      <c r="H225">
        <v>-143</v>
      </c>
      <c r="I225">
        <v>-21</v>
      </c>
      <c r="J225">
        <v>-58</v>
      </c>
      <c r="K225">
        <v>1023</v>
      </c>
    </row>
    <row r="226" spans="2:11" x14ac:dyDescent="0.45">
      <c r="B226">
        <v>217</v>
      </c>
      <c r="C226">
        <v>15</v>
      </c>
      <c r="D226">
        <v>130</v>
      </c>
      <c r="E226">
        <v>59</v>
      </c>
      <c r="F226">
        <v>-529</v>
      </c>
      <c r="G226">
        <v>-217</v>
      </c>
      <c r="H226">
        <v>-129</v>
      </c>
      <c r="I226">
        <v>3182</v>
      </c>
      <c r="J226">
        <v>-660</v>
      </c>
      <c r="K226">
        <v>-279</v>
      </c>
    </row>
    <row r="227" spans="2:11" x14ac:dyDescent="0.45">
      <c r="B227">
        <v>-225</v>
      </c>
      <c r="C227">
        <v>-1989</v>
      </c>
      <c r="D227">
        <v>242</v>
      </c>
      <c r="E227">
        <v>46</v>
      </c>
      <c r="F227">
        <v>-125</v>
      </c>
      <c r="G227">
        <v>-2315</v>
      </c>
      <c r="H227">
        <v>1000</v>
      </c>
      <c r="I227">
        <v>5601</v>
      </c>
      <c r="J227">
        <v>33474</v>
      </c>
      <c r="K227">
        <v>2061</v>
      </c>
    </row>
    <row r="228" spans="2:11" x14ac:dyDescent="0.45">
      <c r="B228">
        <v>-87758</v>
      </c>
      <c r="C228">
        <v>-331</v>
      </c>
      <c r="D228">
        <v>26</v>
      </c>
      <c r="E228">
        <v>87</v>
      </c>
      <c r="F228">
        <v>-82972</v>
      </c>
      <c r="G228">
        <v>-2125</v>
      </c>
      <c r="H228">
        <v>161</v>
      </c>
      <c r="I228">
        <v>336</v>
      </c>
      <c r="J228">
        <v>-55721</v>
      </c>
      <c r="K228">
        <v>-1324</v>
      </c>
    </row>
    <row r="229" spans="2:11" x14ac:dyDescent="0.45">
      <c r="B229">
        <v>-1803</v>
      </c>
      <c r="C229">
        <v>373</v>
      </c>
      <c r="D229">
        <v>-29610</v>
      </c>
      <c r="E229">
        <v>-816</v>
      </c>
      <c r="F229">
        <v>-917</v>
      </c>
      <c r="G229">
        <v>-1239</v>
      </c>
      <c r="H229">
        <v>1920</v>
      </c>
      <c r="I229">
        <v>-1974</v>
      </c>
      <c r="J229">
        <v>238</v>
      </c>
      <c r="K229">
        <v>-256</v>
      </c>
    </row>
    <row r="230" spans="2:11" x14ac:dyDescent="0.45">
      <c r="B230">
        <v>-2460</v>
      </c>
      <c r="C230">
        <v>-736</v>
      </c>
      <c r="D230">
        <v>-552</v>
      </c>
      <c r="E230">
        <v>4814</v>
      </c>
      <c r="F230">
        <v>1868</v>
      </c>
      <c r="G230">
        <v>-1492</v>
      </c>
      <c r="H230">
        <v>-25</v>
      </c>
      <c r="I230">
        <v>-190</v>
      </c>
      <c r="J230">
        <v>633</v>
      </c>
      <c r="K230">
        <v>-486</v>
      </c>
    </row>
    <row r="231" spans="2:11" x14ac:dyDescent="0.45">
      <c r="B231">
        <v>-146</v>
      </c>
      <c r="C231">
        <v>-26</v>
      </c>
      <c r="D231">
        <v>70</v>
      </c>
      <c r="E231">
        <v>-52</v>
      </c>
      <c r="F231">
        <v>863</v>
      </c>
      <c r="G231">
        <v>-22</v>
      </c>
      <c r="H231">
        <v>-16</v>
      </c>
      <c r="I231">
        <v>-93</v>
      </c>
      <c r="J231">
        <v>-3631</v>
      </c>
      <c r="K231">
        <v>-27</v>
      </c>
    </row>
    <row r="232" spans="2:11" x14ac:dyDescent="0.45">
      <c r="B232">
        <v>-141</v>
      </c>
      <c r="C232">
        <v>-84</v>
      </c>
      <c r="D232">
        <v>727</v>
      </c>
      <c r="E232">
        <v>227</v>
      </c>
      <c r="F232">
        <v>-105</v>
      </c>
      <c r="G232">
        <v>-213</v>
      </c>
      <c r="H232">
        <v>206</v>
      </c>
      <c r="I232">
        <v>-31</v>
      </c>
      <c r="J232">
        <v>68</v>
      </c>
      <c r="K232">
        <v>46</v>
      </c>
    </row>
    <row r="233" spans="2:11" x14ac:dyDescent="0.45">
      <c r="B233">
        <v>-2032</v>
      </c>
      <c r="C233">
        <v>-402</v>
      </c>
      <c r="D233">
        <v>690</v>
      </c>
      <c r="E233">
        <v>5063</v>
      </c>
      <c r="F233">
        <v>-2020</v>
      </c>
      <c r="G233">
        <v>-26424</v>
      </c>
      <c r="H233">
        <v>-2781</v>
      </c>
      <c r="I233">
        <v>322</v>
      </c>
      <c r="J233">
        <v>150</v>
      </c>
      <c r="K233">
        <v>-260</v>
      </c>
    </row>
    <row r="234" spans="2:11" x14ac:dyDescent="0.45">
      <c r="B234">
        <v>-1309</v>
      </c>
      <c r="C234">
        <v>-66278</v>
      </c>
      <c r="D234">
        <v>72</v>
      </c>
      <c r="E234">
        <v>-454</v>
      </c>
      <c r="F234">
        <v>117</v>
      </c>
      <c r="G234">
        <v>-37774</v>
      </c>
      <c r="H234">
        <v>-48322</v>
      </c>
      <c r="I234">
        <v>74</v>
      </c>
      <c r="J234">
        <v>2681</v>
      </c>
      <c r="K234">
        <v>-17433</v>
      </c>
    </row>
    <row r="235" spans="2:11" x14ac:dyDescent="0.45">
      <c r="B235">
        <v>-23563</v>
      </c>
      <c r="C235">
        <v>-23894</v>
      </c>
      <c r="D235">
        <v>1963</v>
      </c>
      <c r="E235">
        <v>123</v>
      </c>
      <c r="F235">
        <v>241</v>
      </c>
      <c r="G235">
        <v>-507</v>
      </c>
      <c r="H235">
        <v>2562</v>
      </c>
      <c r="I235">
        <v>-80</v>
      </c>
      <c r="J235">
        <v>-813</v>
      </c>
      <c r="K235">
        <v>-4759</v>
      </c>
    </row>
    <row r="236" spans="2:11" x14ac:dyDescent="0.45">
      <c r="B236">
        <v>1807</v>
      </c>
      <c r="C236">
        <v>-305</v>
      </c>
      <c r="D236">
        <v>1956</v>
      </c>
      <c r="E236">
        <v>-1657</v>
      </c>
      <c r="F236">
        <v>-220</v>
      </c>
      <c r="G236">
        <v>174</v>
      </c>
      <c r="H236">
        <v>-440</v>
      </c>
      <c r="I236">
        <v>639</v>
      </c>
      <c r="J236">
        <v>1089</v>
      </c>
      <c r="K236">
        <v>242</v>
      </c>
    </row>
    <row r="237" spans="2:11" x14ac:dyDescent="0.45">
      <c r="B237">
        <v>-814</v>
      </c>
      <c r="C237">
        <v>-917</v>
      </c>
      <c r="D237">
        <v>-348</v>
      </c>
      <c r="E237">
        <v>-1176</v>
      </c>
      <c r="F237">
        <v>-236</v>
      </c>
      <c r="G237">
        <v>-127</v>
      </c>
      <c r="H237">
        <v>-643</v>
      </c>
      <c r="I237">
        <v>1543</v>
      </c>
      <c r="J237">
        <v>-2</v>
      </c>
      <c r="K237">
        <v>889</v>
      </c>
    </row>
    <row r="238" spans="2:11" x14ac:dyDescent="0.45">
      <c r="B238">
        <v>-3</v>
      </c>
      <c r="C238">
        <v>-194</v>
      </c>
      <c r="D238">
        <v>-297</v>
      </c>
      <c r="E238">
        <v>-464</v>
      </c>
      <c r="F238">
        <v>-284</v>
      </c>
      <c r="G238">
        <v>2488</v>
      </c>
      <c r="H238">
        <v>61</v>
      </c>
      <c r="I238">
        <v>-3076</v>
      </c>
      <c r="J238">
        <v>479</v>
      </c>
      <c r="K238">
        <v>2521</v>
      </c>
    </row>
    <row r="239" spans="2:11" x14ac:dyDescent="0.45">
      <c r="B239">
        <v>-52013</v>
      </c>
      <c r="C239">
        <v>-1016</v>
      </c>
      <c r="D239">
        <v>4412</v>
      </c>
      <c r="E239">
        <v>3612</v>
      </c>
      <c r="F239">
        <v>470</v>
      </c>
      <c r="G239">
        <v>36</v>
      </c>
      <c r="H239">
        <v>-58</v>
      </c>
      <c r="I239">
        <v>3607</v>
      </c>
      <c r="J239">
        <v>-947</v>
      </c>
      <c r="K239">
        <v>-116</v>
      </c>
    </row>
    <row r="240" spans="2:11" x14ac:dyDescent="0.45">
      <c r="B240">
        <v>-227</v>
      </c>
      <c r="C240">
        <v>39</v>
      </c>
      <c r="D240">
        <v>-1079</v>
      </c>
      <c r="E240">
        <v>145</v>
      </c>
      <c r="F240">
        <v>-146</v>
      </c>
      <c r="G240">
        <v>1433</v>
      </c>
      <c r="H240">
        <v>-1020</v>
      </c>
      <c r="I240">
        <v>-270</v>
      </c>
      <c r="J240">
        <v>282</v>
      </c>
      <c r="K240">
        <v>-6274</v>
      </c>
    </row>
    <row r="241" spans="2:11" x14ac:dyDescent="0.45">
      <c r="B241">
        <v>4820</v>
      </c>
      <c r="C241">
        <v>-1663</v>
      </c>
      <c r="D241">
        <v>339</v>
      </c>
      <c r="E241">
        <v>3515</v>
      </c>
      <c r="F241">
        <v>427</v>
      </c>
      <c r="G241">
        <v>203</v>
      </c>
      <c r="H241">
        <v>-1296</v>
      </c>
      <c r="I241">
        <v>-913</v>
      </c>
      <c r="J241">
        <v>406</v>
      </c>
      <c r="K241">
        <v>548</v>
      </c>
    </row>
    <row r="242" spans="2:11" x14ac:dyDescent="0.45">
      <c r="B242">
        <v>-158</v>
      </c>
      <c r="C242">
        <v>-3569</v>
      </c>
      <c r="D242">
        <v>272</v>
      </c>
      <c r="E242">
        <v>199</v>
      </c>
      <c r="F242">
        <v>92</v>
      </c>
      <c r="G242">
        <v>-112</v>
      </c>
      <c r="H242">
        <v>44</v>
      </c>
      <c r="I242">
        <v>-1051</v>
      </c>
      <c r="J242">
        <v>606</v>
      </c>
      <c r="K242">
        <v>301</v>
      </c>
    </row>
    <row r="243" spans="2:11" x14ac:dyDescent="0.45">
      <c r="B243">
        <v>94</v>
      </c>
      <c r="C243">
        <v>-1734</v>
      </c>
      <c r="D243">
        <v>-178</v>
      </c>
      <c r="E243">
        <v>55</v>
      </c>
      <c r="F243">
        <v>33</v>
      </c>
      <c r="G243">
        <v>-2982</v>
      </c>
      <c r="H243">
        <v>-901</v>
      </c>
      <c r="I243">
        <v>115</v>
      </c>
      <c r="J243">
        <v>213</v>
      </c>
      <c r="K243">
        <v>-1883</v>
      </c>
    </row>
    <row r="244" spans="2:11" x14ac:dyDescent="0.45">
      <c r="B244">
        <v>-269</v>
      </c>
      <c r="C244">
        <v>-7</v>
      </c>
      <c r="D244">
        <v>113</v>
      </c>
      <c r="E244">
        <v>-43481</v>
      </c>
      <c r="F244">
        <v>-868</v>
      </c>
      <c r="G244">
        <v>-9233</v>
      </c>
      <c r="H244">
        <v>-3095</v>
      </c>
      <c r="I244">
        <v>245</v>
      </c>
      <c r="J244">
        <v>639</v>
      </c>
      <c r="K244">
        <v>850</v>
      </c>
    </row>
    <row r="245" spans="2:11" x14ac:dyDescent="0.45">
      <c r="B245">
        <v>-691</v>
      </c>
      <c r="C245">
        <v>-47999</v>
      </c>
      <c r="D245">
        <v>401</v>
      </c>
      <c r="E245">
        <v>206</v>
      </c>
      <c r="F245">
        <v>110</v>
      </c>
      <c r="G245">
        <v>-47017</v>
      </c>
      <c r="H245">
        <v>-356</v>
      </c>
      <c r="I245">
        <v>-97</v>
      </c>
      <c r="J245">
        <v>-57</v>
      </c>
      <c r="K245">
        <v>-32040</v>
      </c>
    </row>
    <row r="246" spans="2:11" x14ac:dyDescent="0.45">
      <c r="B246">
        <v>-105</v>
      </c>
      <c r="C246">
        <v>-154</v>
      </c>
      <c r="D246">
        <v>2</v>
      </c>
      <c r="E246">
        <v>-16042</v>
      </c>
      <c r="F246">
        <v>-9</v>
      </c>
      <c r="G246">
        <v>-2</v>
      </c>
      <c r="H246">
        <v>-162</v>
      </c>
      <c r="I246">
        <v>1275</v>
      </c>
      <c r="J246">
        <v>-250</v>
      </c>
      <c r="K246">
        <v>476</v>
      </c>
    </row>
    <row r="247" spans="2:11" x14ac:dyDescent="0.45">
      <c r="B247">
        <v>-24</v>
      </c>
      <c r="C247">
        <v>395</v>
      </c>
      <c r="D247">
        <v>150</v>
      </c>
      <c r="E247">
        <v>102</v>
      </c>
      <c r="F247">
        <v>954</v>
      </c>
      <c r="G247">
        <v>138</v>
      </c>
      <c r="H247">
        <v>-948</v>
      </c>
      <c r="I247">
        <v>3</v>
      </c>
      <c r="J247">
        <v>38</v>
      </c>
      <c r="K247">
        <v>-142</v>
      </c>
    </row>
    <row r="248" spans="2:11" x14ac:dyDescent="0.45">
      <c r="B248">
        <v>-178</v>
      </c>
      <c r="C248">
        <v>-28</v>
      </c>
      <c r="D248">
        <v>-18</v>
      </c>
      <c r="E248">
        <v>-10</v>
      </c>
      <c r="F248">
        <v>-16</v>
      </c>
      <c r="G248">
        <v>797</v>
      </c>
      <c r="H248">
        <v>180</v>
      </c>
      <c r="I248">
        <v>121</v>
      </c>
      <c r="J248">
        <v>34</v>
      </c>
      <c r="K248">
        <v>-2018</v>
      </c>
    </row>
    <row r="249" spans="2:11" x14ac:dyDescent="0.45">
      <c r="B249">
        <v>330</v>
      </c>
      <c r="C249">
        <v>61</v>
      </c>
      <c r="D249">
        <v>58</v>
      </c>
      <c r="E249">
        <v>-723</v>
      </c>
      <c r="F249">
        <v>525</v>
      </c>
      <c r="G249">
        <v>49</v>
      </c>
      <c r="H249">
        <v>19</v>
      </c>
      <c r="I249">
        <v>1119</v>
      </c>
      <c r="J249">
        <v>-216</v>
      </c>
      <c r="K249">
        <v>0</v>
      </c>
    </row>
    <row r="250" spans="2:11" x14ac:dyDescent="0.45">
      <c r="B250">
        <v>1</v>
      </c>
      <c r="C250">
        <v>6971</v>
      </c>
      <c r="D250">
        <v>547</v>
      </c>
      <c r="E250">
        <v>1444</v>
      </c>
      <c r="F250">
        <v>-17503</v>
      </c>
      <c r="G250">
        <v>-84</v>
      </c>
      <c r="H250">
        <v>-6393</v>
      </c>
      <c r="I250">
        <v>41350</v>
      </c>
      <c r="J250">
        <v>122</v>
      </c>
      <c r="K250">
        <v>-37947</v>
      </c>
    </row>
  </sheetData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00B050"/>
  </sheetPr>
  <dimension ref="A1:AL62"/>
  <sheetViews>
    <sheetView tabSelected="1" workbookViewId="0" zoomScaleNormal="100">
      <selection activeCell="K3" sqref="K3"/>
    </sheetView>
  </sheetViews>
  <sheetFormatPr defaultRowHeight="14.25" x14ac:dyDescent="0.45"/>
  <cols>
    <col min="17" max="17" bestFit="true" customWidth="true" width="14.3984375" collapsed="true"/>
    <col min="25" max="25" customWidth="true" width="11.1328125" collapsed="true"/>
    <col min="27" max="27" bestFit="true" customWidth="true" width="43.1328125" collapsed="true"/>
    <col min="28" max="28" bestFit="true" customWidth="true" width="15.3984375" collapsed="true"/>
    <col min="29" max="29" bestFit="true" customWidth="true" width="9.3984375" collapsed="true"/>
    <col min="30" max="30" bestFit="true" customWidth="true" width="14.3984375" collapsed="true"/>
    <col min="31" max="31" bestFit="true" customWidth="true" width="15.3984375" collapsed="true"/>
    <col min="34" max="34" bestFit="true" customWidth="true" width="11.0" collapsed="true"/>
    <col min="35" max="36" bestFit="true" customWidth="true" width="15.3984375" collapsed="true"/>
  </cols>
  <sheetData>
    <row r="1" spans="1:37" x14ac:dyDescent="0.45">
      <c r="AG1" s="24" t="s">
        <v>172</v>
      </c>
    </row>
    <row r="2" spans="1:37" x14ac:dyDescent="0.45">
      <c r="C2" t="s">
        <v>161</v>
      </c>
      <c r="K2" t="s">
        <v>203</v>
      </c>
      <c r="S2" t="s">
        <v>166</v>
      </c>
      <c r="AI2" s="86" t="s">
        <v>155</v>
      </c>
      <c r="AJ2" s="86" t="s">
        <v>156</v>
      </c>
      <c r="AK2" s="86" t="s">
        <v>177</v>
      </c>
    </row>
    <row r="3" spans="1:37" x14ac:dyDescent="0.45">
      <c r="A3" s="54" t="s">
        <v>202</v>
      </c>
      <c r="B3" s="39"/>
      <c r="C3" s="39"/>
      <c r="D3" s="39"/>
      <c r="E3" s="39"/>
      <c r="F3" s="39"/>
      <c r="G3" s="39"/>
      <c r="H3" s="39"/>
      <c r="I3" s="54" t="str">
        <f>A3</f>
        <v>Survey (2018-2022 ACS)</v>
      </c>
      <c r="J3" s="39"/>
      <c r="K3" s="39"/>
      <c r="L3" s="39"/>
      <c r="M3" s="39"/>
      <c r="N3" s="39"/>
      <c r="O3" s="39"/>
      <c r="P3" s="39"/>
      <c r="Q3" s="54" t="s">
        <v>166</v>
      </c>
      <c r="R3" s="39"/>
      <c r="S3" s="39"/>
      <c r="T3" s="39"/>
      <c r="U3" s="39"/>
      <c r="V3" s="39"/>
      <c r="W3" s="39"/>
      <c r="Y3" s="24" t="s">
        <v>178</v>
      </c>
      <c r="AB3" s="72" t="s">
        <v>164</v>
      </c>
      <c r="AC3" s="73">
        <v>1</v>
      </c>
      <c r="AG3" s="61">
        <f>VehAvailCoefficient!B11</f>
        <v>1</v>
      </c>
      <c r="AH3" s="61" t="str">
        <f>VehAvailCoefficient!C11</f>
        <v>Beta00001</v>
      </c>
      <c r="AI3" s="62">
        <f>VehAvailCoefficient!E11</f>
        <v>-3.3713833656899999</v>
      </c>
      <c r="AJ3" s="28">
        <f>_xlfn.IFNA(VLOOKUP(AG3,$Y$5:$AE$22,7,FALSE),AI3)</f>
        <v>-3.5850060961754284</v>
      </c>
      <c r="AK3">
        <f>IF(AI3=AJ3,0,1)</f>
        <v>1</v>
      </c>
    </row>
    <row ht="14.65" r="4" spans="1:37" thickBot="1" x14ac:dyDescent="0.5">
      <c r="A4" s="53" t="s">
        <v>135</v>
      </c>
      <c r="B4" s="41" t="s">
        <v>2</v>
      </c>
      <c r="C4" s="42"/>
      <c r="D4" s="42"/>
      <c r="E4" s="42"/>
      <c r="F4" s="42"/>
      <c r="G4" s="42"/>
      <c r="H4" s="92"/>
      <c r="I4" s="53" t="s">
        <v>135</v>
      </c>
      <c r="J4" s="41" t="s">
        <v>2</v>
      </c>
      <c r="K4" s="42"/>
      <c r="L4" s="42"/>
      <c r="M4" s="42"/>
      <c r="N4" s="42"/>
      <c r="O4" s="42"/>
      <c r="P4" s="39"/>
      <c r="Q4" s="53" t="str">
        <f>A4</f>
        <v>Count</v>
      </c>
      <c r="R4" s="41" t="s">
        <v>2</v>
      </c>
      <c r="S4" s="42"/>
      <c r="T4" s="42"/>
      <c r="U4" s="42"/>
      <c r="V4" s="42"/>
      <c r="W4" s="42"/>
      <c r="AG4" s="61">
        <f>VehAvailCoefficient!B12</f>
        <v>2</v>
      </c>
      <c r="AH4" s="61" t="str">
        <f>VehAvailCoefficient!C12</f>
        <v>Beta00002</v>
      </c>
      <c r="AI4" s="62">
        <f>VehAvailCoefficient!E12</f>
        <v>-1.78178025268</v>
      </c>
      <c r="AJ4" s="28">
        <f ref="AJ4:AJ62" si="0" t="shared">_xlfn.IFNA(VLOOKUP(AG4,$Y$5:$AE$22,7,FALSE),AI4)</f>
        <v>-1.6701510724354223</v>
      </c>
      <c r="AK4">
        <f ref="AK4:AK62" si="1" t="shared">IF(AI4=AJ4,0,1)</f>
        <v>1</v>
      </c>
    </row>
    <row r="5" spans="1:37" x14ac:dyDescent="0.45">
      <c r="A5" s="43" t="s">
        <v>1</v>
      </c>
      <c r="B5" s="44">
        <v>0</v>
      </c>
      <c r="C5" s="44">
        <v>1</v>
      </c>
      <c r="D5" s="44">
        <v>2</v>
      </c>
      <c r="E5" s="44">
        <v>3</v>
      </c>
      <c r="F5" s="44" t="s">
        <v>3</v>
      </c>
      <c r="G5" s="44" t="s">
        <v>4</v>
      </c>
      <c r="H5" s="93"/>
      <c r="I5" s="43" t="s">
        <v>1</v>
      </c>
      <c r="J5" s="44">
        <v>0</v>
      </c>
      <c r="K5" s="44">
        <v>1</v>
      </c>
      <c r="L5" s="44">
        <v>2</v>
      </c>
      <c r="M5" s="44">
        <v>3</v>
      </c>
      <c r="N5" s="44" t="s">
        <v>3</v>
      </c>
      <c r="O5" s="44" t="s">
        <v>4</v>
      </c>
      <c r="P5" s="39"/>
      <c r="Q5" s="43" t="s">
        <v>160</v>
      </c>
      <c r="R5" s="44">
        <v>0</v>
      </c>
      <c r="S5" s="44">
        <v>1</v>
      </c>
      <c r="T5" s="44">
        <v>2</v>
      </c>
      <c r="U5" s="44">
        <v>3</v>
      </c>
      <c r="V5" s="44" t="s">
        <v>3</v>
      </c>
      <c r="W5" s="44" t="s">
        <v>4</v>
      </c>
      <c r="Y5" s="74" t="s">
        <v>137</v>
      </c>
      <c r="Z5" s="74" t="s">
        <v>167</v>
      </c>
      <c r="AA5" s="74" t="s">
        <v>87</v>
      </c>
      <c r="AB5" s="74" t="s">
        <v>138</v>
      </c>
      <c r="AC5" s="74" t="s">
        <v>139</v>
      </c>
      <c r="AD5" s="74" t="s">
        <v>140</v>
      </c>
      <c r="AE5" s="74" t="s">
        <v>141</v>
      </c>
      <c r="AF5" s="72"/>
      <c r="AG5" s="61">
        <f>VehAvailCoefficient!B13</f>
        <v>3</v>
      </c>
      <c r="AH5" s="61" t="str">
        <f>VehAvailCoefficient!C13</f>
        <v>Beta00003</v>
      </c>
      <c r="AI5" s="62">
        <f>VehAvailCoefficient!E13</f>
        <v>-3.5724103844399999</v>
      </c>
      <c r="AJ5" s="28">
        <f si="0" t="shared"/>
        <v>-3.4326558562194136</v>
      </c>
      <c r="AK5">
        <f si="1" t="shared"/>
        <v>1</v>
      </c>
    </row>
    <row r="6" spans="1:37" x14ac:dyDescent="0.45">
      <c r="A6" s="45">
        <v>1</v>
      </c>
      <c r="B6" s="46">
        <f>Vehicles_by_HHDrivers!J16</f>
        <v>25102.779427206373</v>
      </c>
      <c r="C6" s="46">
        <f>Vehicles_by_HHDrivers!K16</f>
        <v>197517.45666014167</v>
      </c>
      <c r="D6" s="46">
        <f>Vehicles_by_HHDrivers!L16</f>
        <v>43624.632741076268</v>
      </c>
      <c r="E6" s="46">
        <f>Vehicles_by_HHDrivers!M16</f>
        <v>8943.2323266326548</v>
      </c>
      <c r="F6" s="46">
        <f>Vehicles_by_HHDrivers!N16</f>
        <v>2766.078142264173</v>
      </c>
      <c r="G6" s="46">
        <f>SUM(B6:F6)</f>
        <v>277954.17929732113</v>
      </c>
      <c r="H6" s="46"/>
      <c r="I6" s="45">
        <v>1</v>
      </c>
      <c r="J6" s="46">
        <f>B6*($W6/$G6)</f>
        <v>25101.318231936828</v>
      </c>
      <c r="K6" s="46">
        <f ref="K6:K9" si="2" t="shared">C6*($W6/$G6)</f>
        <v>197505.95946421716</v>
      </c>
      <c r="L6" s="46">
        <f ref="L6:L9" si="3" t="shared">D6*($W6/$G6)</f>
        <v>43622.093416409778</v>
      </c>
      <c r="M6" s="46">
        <f ref="M6:M9" si="4" t="shared">E6*($W6/$G6)</f>
        <v>8942.7117544462944</v>
      </c>
      <c r="N6" s="46">
        <f ref="N6:N9" si="5" t="shared">F6*($W6/$G6)</f>
        <v>2765.9171329899455</v>
      </c>
      <c r="O6" s="46">
        <f ref="O6:O9" si="6" t="shared">G6*($W6/$G6)</f>
        <v>277938</v>
      </c>
      <c r="P6" s="39"/>
      <c r="Q6" s="45">
        <v>1</v>
      </c>
      <c r="R6" s="46">
        <f>Vehicles_by_HHDrivers!R16</f>
        <v>31102</v>
      </c>
      <c r="S6" s="46">
        <f>Vehicles_by_HHDrivers!S16</f>
        <v>197650</v>
      </c>
      <c r="T6" s="46">
        <f>Vehicles_by_HHDrivers!T16</f>
        <v>39043</v>
      </c>
      <c r="U6" s="46">
        <f>Vehicles_by_HHDrivers!U16</f>
        <v>7782</v>
      </c>
      <c r="V6" s="46">
        <f>Vehicles_by_HHDrivers!V16</f>
        <v>2361</v>
      </c>
      <c r="W6" s="46">
        <f>SUM(R6:V6)</f>
        <v>277938</v>
      </c>
      <c r="Y6">
        <v>1</v>
      </c>
      <c r="Z6" s="59">
        <v>0</v>
      </c>
      <c r="AA6" t="s">
        <v>88</v>
      </c>
      <c r="AB6" s="60">
        <f>VLOOKUP(Y6,$AG$3:$AI$62,3,FALSE)</f>
        <v>-3.3713833656899999</v>
      </c>
      <c r="AC6" s="25">
        <f>IF(R15&gt;0,J15/R15,0)</f>
        <v>0.80706444061272031</v>
      </c>
      <c r="AD6" s="58">
        <f>IF(AC6&gt;0,(LN(AC6)-AD$26)*$AC$3)</f>
        <v>-0.21362273048542835</v>
      </c>
      <c r="AE6" s="58">
        <f>AB6+AD6</f>
        <v>-3.5850060961754284</v>
      </c>
      <c r="AG6" s="61">
        <f>VehAvailCoefficient!B14</f>
        <v>4</v>
      </c>
      <c r="AH6" s="61" t="str">
        <f>VehAvailCoefficient!C14</f>
        <v>Beta00004</v>
      </c>
      <c r="AI6" s="62">
        <f>VehAvailCoefficient!E14</f>
        <v>-4.5344515453599996</v>
      </c>
      <c r="AJ6" s="28">
        <f si="0" t="shared"/>
        <v>-4.3754354984656167</v>
      </c>
      <c r="AK6">
        <f si="1" t="shared"/>
        <v>1</v>
      </c>
    </row>
    <row r="7" spans="1:37" x14ac:dyDescent="0.45">
      <c r="A7" s="45">
        <v>2</v>
      </c>
      <c r="B7" s="46">
        <f>Vehicles_by_HHDrivers!J17</f>
        <v>6818.6923235566937</v>
      </c>
      <c r="C7" s="46">
        <f>Vehicles_by_HHDrivers!K17</f>
        <v>52220.389322754781</v>
      </c>
      <c r="D7" s="46">
        <f>Vehicles_by_HHDrivers!L17</f>
        <v>250298.38720635851</v>
      </c>
      <c r="E7" s="46">
        <f>Vehicles_by_HHDrivers!M17</f>
        <v>66013.381896015766</v>
      </c>
      <c r="F7" s="46">
        <f>Vehicles_by_HHDrivers!N17</f>
        <v>19870.317514768329</v>
      </c>
      <c r="G7" s="46">
        <f ref="G7:G9" si="7" t="shared">SUM(B7:F7)</f>
        <v>395221.16826345411</v>
      </c>
      <c r="H7" s="46"/>
      <c r="I7" s="45">
        <v>2</v>
      </c>
      <c r="J7" s="46">
        <f ref="J7:J9" si="8" t="shared">B7*($W7/$G7)</f>
        <v>6818.8446962002281</v>
      </c>
      <c r="K7" s="46">
        <f si="2" t="shared"/>
        <v>52221.556256000913</v>
      </c>
      <c r="L7" s="46">
        <f si="3" t="shared"/>
        <v>250303.98045285229</v>
      </c>
      <c r="M7" s="46">
        <f si="4" t="shared"/>
        <v>66014.857051812636</v>
      </c>
      <c r="N7" s="46">
        <f si="5" t="shared"/>
        <v>19870.761543133875</v>
      </c>
      <c r="O7" s="46">
        <f si="6" t="shared"/>
        <v>395229.99999999994</v>
      </c>
      <c r="P7" s="39"/>
      <c r="Q7" s="45">
        <v>2</v>
      </c>
      <c r="R7" s="46">
        <f>Vehicles_by_HHDrivers!R17</f>
        <v>7418</v>
      </c>
      <c r="S7" s="46">
        <f>Vehicles_by_HHDrivers!S17</f>
        <v>56982</v>
      </c>
      <c r="T7" s="46">
        <f>Vehicles_by_HHDrivers!T17</f>
        <v>247024</v>
      </c>
      <c r="U7" s="46">
        <f>Vehicles_by_HHDrivers!U17</f>
        <v>64755</v>
      </c>
      <c r="V7" s="46">
        <f>Vehicles_by_HHDrivers!V17</f>
        <v>19051</v>
      </c>
      <c r="W7" s="46">
        <f ref="W7:W10" si="9" t="shared">SUM(R7:V7)</f>
        <v>395230</v>
      </c>
      <c r="Y7">
        <v>2</v>
      </c>
      <c r="Z7" s="59">
        <v>2</v>
      </c>
      <c r="AA7" t="s">
        <v>88</v>
      </c>
      <c r="AB7" s="60">
        <f ref="AB7:AB22" si="10" t="shared">VLOOKUP(Y7,$AG$3:$AI$62,3,FALSE)</f>
        <v>-1.78178025268</v>
      </c>
      <c r="AC7" s="25">
        <f>L15/T15</f>
        <v>1.1172833393030706</v>
      </c>
      <c r="AD7" s="58">
        <f ref="AD7:AD8" si="11" t="shared">(LN(AC7)-AD$26)*$AC$3</f>
        <v>0.11162918024457771</v>
      </c>
      <c r="AE7" s="58">
        <f ref="AE7:AE21" si="12" t="shared">AB7+AD7</f>
        <v>-1.6701510724354223</v>
      </c>
      <c r="AG7" s="61">
        <f>VehAvailCoefficient!B15</f>
        <v>5</v>
      </c>
      <c r="AH7" s="61" t="str">
        <f>VehAvailCoefficient!C15</f>
        <v>Beta00005</v>
      </c>
      <c r="AI7" s="62">
        <f>VehAvailCoefficient!E15</f>
        <v>-2.7867509208199999</v>
      </c>
      <c r="AJ7" s="28">
        <f si="0" t="shared"/>
        <v>-2.8841609449057013</v>
      </c>
      <c r="AK7">
        <f si="1" t="shared"/>
        <v>1</v>
      </c>
    </row>
    <row r="8" spans="1:37" x14ac:dyDescent="0.45">
      <c r="A8" s="45">
        <v>3</v>
      </c>
      <c r="B8" s="46">
        <f>Vehicles_by_HHDrivers!J18</f>
        <v>1238.500522530632</v>
      </c>
      <c r="C8" s="46">
        <f>Vehicles_by_HHDrivers!K18</f>
        <v>6293.5521355064757</v>
      </c>
      <c r="D8" s="46">
        <f>Vehicles_by_HHDrivers!L18</f>
        <v>22641.072194609413</v>
      </c>
      <c r="E8" s="46">
        <f>Vehicles_by_HHDrivers!M18</f>
        <v>42395.76180936888</v>
      </c>
      <c r="F8" s="46">
        <f>Vehicles_by_HHDrivers!N18</f>
        <v>15526.634290348191</v>
      </c>
      <c r="G8" s="46">
        <f si="7" t="shared"/>
        <v>88095.520952363586</v>
      </c>
      <c r="H8" s="46"/>
      <c r="I8" s="45">
        <v>3</v>
      </c>
      <c r="J8" s="46">
        <f si="8" t="shared"/>
        <v>1238.563491712018</v>
      </c>
      <c r="K8" s="46">
        <f si="2" t="shared"/>
        <v>6293.872119082399</v>
      </c>
      <c r="L8" s="46">
        <f si="3" t="shared"/>
        <v>22642.223336458657</v>
      </c>
      <c r="M8" s="46">
        <f si="4" t="shared"/>
        <v>42397.91734048639</v>
      </c>
      <c r="N8" s="46">
        <f si="5" t="shared"/>
        <v>15527.423712260541</v>
      </c>
      <c r="O8" s="46">
        <f si="6" t="shared"/>
        <v>88100</v>
      </c>
      <c r="P8" s="39"/>
      <c r="Q8" s="45">
        <v>3</v>
      </c>
      <c r="R8" s="46">
        <f>Vehicles_by_HHDrivers!R18</f>
        <v>1325</v>
      </c>
      <c r="S8" s="46">
        <f>Vehicles_by_HHDrivers!S18</f>
        <v>6819</v>
      </c>
      <c r="T8" s="46">
        <f>Vehicles_by_HHDrivers!T18</f>
        <v>23430</v>
      </c>
      <c r="U8" s="46">
        <f>Vehicles_by_HHDrivers!U18</f>
        <v>41209</v>
      </c>
      <c r="V8" s="46">
        <f>Vehicles_by_HHDrivers!V18</f>
        <v>15317</v>
      </c>
      <c r="W8" s="46">
        <f si="9" t="shared"/>
        <v>88100</v>
      </c>
      <c r="Y8">
        <v>3</v>
      </c>
      <c r="Z8" s="59">
        <v>3</v>
      </c>
      <c r="AA8" t="s">
        <v>88</v>
      </c>
      <c r="AB8" s="60">
        <f si="10" t="shared"/>
        <v>-3.5724103844399999</v>
      </c>
      <c r="AC8" s="25">
        <f>M15/U15</f>
        <v>1.1491533994405416</v>
      </c>
      <c r="AD8" s="58">
        <f si="11" t="shared"/>
        <v>0.1397545282205862</v>
      </c>
      <c r="AE8" s="58">
        <f si="12" t="shared"/>
        <v>-3.4326558562194136</v>
      </c>
      <c r="AG8" s="61">
        <f>VehAvailCoefficient!B16</f>
        <v>6</v>
      </c>
      <c r="AH8" s="61" t="str">
        <f>VehAvailCoefficient!C16</f>
        <v>Beta00006</v>
      </c>
      <c r="AI8" s="62">
        <f>VehAvailCoefficient!E16</f>
        <v>-1.0010896825</v>
      </c>
      <c r="AJ8" s="28">
        <f si="0" t="shared"/>
        <v>-1.1015203493868093</v>
      </c>
      <c r="AK8">
        <f si="1" t="shared"/>
        <v>1</v>
      </c>
    </row>
    <row r="9" spans="1:37" x14ac:dyDescent="0.45">
      <c r="A9" s="47" t="s">
        <v>3</v>
      </c>
      <c r="B9" s="46">
        <f>Vehicles_by_HHDrivers!J19</f>
        <v>988.03607625128791</v>
      </c>
      <c r="C9" s="46">
        <f>Vehicles_by_HHDrivers!K19</f>
        <v>2491.4266847723993</v>
      </c>
      <c r="D9" s="46">
        <f>Vehicles_by_HHDrivers!L19</f>
        <v>5418.7324457011664</v>
      </c>
      <c r="E9" s="46">
        <f>Vehicles_by_HHDrivers!M19</f>
        <v>11442.642462322818</v>
      </c>
      <c r="F9" s="46">
        <f>Vehicles_by_HHDrivers!N19</f>
        <v>22023.293817813661</v>
      </c>
      <c r="G9" s="46">
        <f si="7" t="shared"/>
        <v>42364.131486861334</v>
      </c>
      <c r="H9" s="46"/>
      <c r="I9" s="47" t="s">
        <v>3</v>
      </c>
      <c r="J9" s="46">
        <f si="8" t="shared"/>
        <v>988.10297705549965</v>
      </c>
      <c r="K9" s="46">
        <f si="2" t="shared"/>
        <v>2491.5953814959826</v>
      </c>
      <c r="L9" s="46">
        <f si="3" t="shared"/>
        <v>5419.0993529094549</v>
      </c>
      <c r="M9" s="46">
        <f si="4" t="shared"/>
        <v>11443.417253852638</v>
      </c>
      <c r="N9" s="46">
        <f si="5" t="shared"/>
        <v>22024.785034686422</v>
      </c>
      <c r="O9" s="46">
        <f si="6" t="shared"/>
        <v>42367</v>
      </c>
      <c r="P9" s="39"/>
      <c r="Q9" s="47" t="s">
        <v>3</v>
      </c>
      <c r="R9" s="46">
        <f>Vehicles_by_HHDrivers!R19</f>
        <v>1131</v>
      </c>
      <c r="S9" s="46">
        <f>Vehicles_by_HHDrivers!S19</f>
        <v>2661</v>
      </c>
      <c r="T9" s="46">
        <f>Vehicles_by_HHDrivers!T19</f>
        <v>5531</v>
      </c>
      <c r="U9" s="46">
        <f>Vehicles_by_HHDrivers!U19</f>
        <v>12004</v>
      </c>
      <c r="V9" s="46">
        <f>Vehicles_by_HHDrivers!V19</f>
        <v>21040</v>
      </c>
      <c r="W9" s="48">
        <f si="9" t="shared"/>
        <v>42367</v>
      </c>
      <c r="Y9">
        <v>4</v>
      </c>
      <c r="Z9" s="59" t="s">
        <v>3</v>
      </c>
      <c r="AA9" t="s">
        <v>88</v>
      </c>
      <c r="AB9" s="60">
        <f si="10" t="shared"/>
        <v>-4.5344515453599996</v>
      </c>
      <c r="AC9" s="25">
        <f>IF(V15&gt;0,N15/V15,0)</f>
        <v>1.1715023858491933</v>
      </c>
      <c r="AD9" s="58">
        <f>IF(AC9&gt;0,LN(AC9)-AD$26,0)*$AC$3</f>
        <v>0.1590160468943827</v>
      </c>
      <c r="AE9" s="58">
        <f si="12" t="shared"/>
        <v>-4.3754354984656167</v>
      </c>
      <c r="AG9" s="61">
        <f>VehAvailCoefficient!B17</f>
        <v>7</v>
      </c>
      <c r="AH9" s="61" t="str">
        <f>VehAvailCoefficient!C17</f>
        <v>Beta00007</v>
      </c>
      <c r="AI9" s="62">
        <f>VehAvailCoefficient!E17</f>
        <v>-1.40170683326</v>
      </c>
      <c r="AJ9" s="28">
        <f si="0" t="shared"/>
        <v>-1.3956285305360694</v>
      </c>
      <c r="AK9">
        <f si="1" t="shared"/>
        <v>1</v>
      </c>
    </row>
    <row ht="14.65" r="10" spans="1:37" thickBot="1" x14ac:dyDescent="0.5">
      <c r="A10" s="49" t="s">
        <v>4</v>
      </c>
      <c r="B10" s="50">
        <f>SUM(B6:B9)</f>
        <v>34148.008349544987</v>
      </c>
      <c r="C10" s="50">
        <f ref="C10:F10" si="13" t="shared">SUM(C6:C9)</f>
        <v>258522.82480317532</v>
      </c>
      <c r="D10" s="50">
        <f si="13" t="shared"/>
        <v>321982.82458774536</v>
      </c>
      <c r="E10" s="50">
        <f si="13" t="shared"/>
        <v>128795.01849434013</v>
      </c>
      <c r="F10" s="50">
        <f si="13" t="shared"/>
        <v>60186.323765194356</v>
      </c>
      <c r="G10" s="50">
        <f ref="G10" si="14" t="shared">SUM(B10:F10)</f>
        <v>803635.00000000012</v>
      </c>
      <c r="H10" s="46"/>
      <c r="I10" s="49" t="s">
        <v>4</v>
      </c>
      <c r="J10" s="50">
        <f>SUM(J6:J9)</f>
        <v>34146.829396904577</v>
      </c>
      <c r="K10" s="50">
        <f ref="K10:O10" si="15" t="shared">SUM(K6:K9)</f>
        <v>258512.98322079645</v>
      </c>
      <c r="L10" s="50">
        <f si="15" t="shared"/>
        <v>321987.39655863016</v>
      </c>
      <c r="M10" s="50">
        <f si="15" t="shared"/>
        <v>128798.90340059796</v>
      </c>
      <c r="N10" s="50">
        <f si="15" t="shared"/>
        <v>60188.887423070781</v>
      </c>
      <c r="O10" s="50">
        <f si="15" t="shared"/>
        <v>803635</v>
      </c>
      <c r="P10" s="39"/>
      <c r="Q10" s="49" t="s">
        <v>4</v>
      </c>
      <c r="R10" s="50">
        <f>SUM(R6:R9)</f>
        <v>40976</v>
      </c>
      <c r="S10" s="50">
        <f ref="S10:V10" si="16" t="shared">SUM(S6:S9)</f>
        <v>264112</v>
      </c>
      <c r="T10" s="50">
        <f si="16" t="shared"/>
        <v>315028</v>
      </c>
      <c r="U10" s="50">
        <f si="16" t="shared"/>
        <v>125750</v>
      </c>
      <c r="V10" s="50">
        <f si="16" t="shared"/>
        <v>57769</v>
      </c>
      <c r="W10" s="50">
        <f si="9" t="shared"/>
        <v>803635</v>
      </c>
      <c r="Y10">
        <v>5</v>
      </c>
      <c r="Z10" s="59">
        <v>0</v>
      </c>
      <c r="AA10" t="s">
        <v>89</v>
      </c>
      <c r="AB10" s="60">
        <f si="10" t="shared"/>
        <v>-2.7867509208199999</v>
      </c>
      <c r="AC10" s="25">
        <f>J16/R16</f>
        <v>0.91922953575090716</v>
      </c>
      <c r="AD10" s="58">
        <f>(LN(AC10)-AD$27)*$AC$3</f>
        <v>-9.7410024085701319E-2</v>
      </c>
      <c r="AE10" s="58">
        <f si="12" t="shared"/>
        <v>-2.8841609449057013</v>
      </c>
      <c r="AG10" s="61">
        <f>VehAvailCoefficient!B18</f>
        <v>8</v>
      </c>
      <c r="AH10" s="61" t="str">
        <f>VehAvailCoefficient!C18</f>
        <v>Beta00008</v>
      </c>
      <c r="AI10" s="62">
        <f>VehAvailCoefficient!E18</f>
        <v>-2.6794366706999999</v>
      </c>
      <c r="AJ10" s="28">
        <f si="0" t="shared"/>
        <v>-2.6504974853663539</v>
      </c>
      <c r="AK10">
        <f si="1" t="shared"/>
        <v>1</v>
      </c>
    </row>
    <row r="11" spans="1:37" x14ac:dyDescent="0.45">
      <c r="A11" s="39"/>
      <c r="B11" s="39"/>
      <c r="C11" s="39"/>
      <c r="D11" s="39"/>
      <c r="E11" s="39"/>
      <c r="F11" s="39"/>
      <c r="G11" s="46"/>
      <c r="H11" s="46"/>
      <c r="I11" s="39"/>
      <c r="J11" s="39"/>
      <c r="K11" s="39"/>
      <c r="L11" s="39"/>
      <c r="M11" s="39"/>
      <c r="N11" s="39"/>
      <c r="O11" s="46"/>
      <c r="P11" s="39"/>
      <c r="Q11" s="39"/>
      <c r="R11" s="39"/>
      <c r="S11" s="39"/>
      <c r="T11" s="39"/>
      <c r="U11" s="39"/>
      <c r="V11" s="39"/>
      <c r="W11" s="46"/>
      <c r="Y11">
        <v>6</v>
      </c>
      <c r="Z11" s="59">
        <v>1</v>
      </c>
      <c r="AA11" t="s">
        <v>89</v>
      </c>
      <c r="AB11" s="60">
        <f si="10" t="shared"/>
        <v>-1.0010896825</v>
      </c>
      <c r="AC11" s="25">
        <f>K16/S16</f>
        <v>0.91645706110703229</v>
      </c>
      <c r="AD11" s="58">
        <f ref="AD11:AD13" si="17" t="shared">(LN(AC11)-AD$27)*$AC$3</f>
        <v>-0.10043066688680945</v>
      </c>
      <c r="AE11" s="58">
        <f si="12" t="shared"/>
        <v>-1.1015203493868093</v>
      </c>
      <c r="AG11" s="61">
        <f>VehAvailCoefficient!B19</f>
        <v>9</v>
      </c>
      <c r="AH11" s="61" t="str">
        <f>VehAvailCoefficient!C19</f>
        <v>Beta00009</v>
      </c>
      <c r="AI11" s="62">
        <f>VehAvailCoefficient!E19</f>
        <v>-1.9391791894499999</v>
      </c>
      <c r="AJ11" s="28">
        <f si="0" t="shared"/>
        <v>-2.0350819778491585</v>
      </c>
      <c r="AK11">
        <f si="1" t="shared"/>
        <v>1</v>
      </c>
    </row>
    <row r="12" spans="1:37" x14ac:dyDescent="0.4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Y12">
        <v>7</v>
      </c>
      <c r="Z12" s="59">
        <v>3</v>
      </c>
      <c r="AA12" t="s">
        <v>89</v>
      </c>
      <c r="AB12" s="60">
        <f si="10" t="shared"/>
        <v>-1.40170683326</v>
      </c>
      <c r="AC12" s="25">
        <f>M16/U16</f>
        <v>1.0194557493909759</v>
      </c>
      <c r="AD12" s="58">
        <f si="17" t="shared"/>
        <v>6.0783027239307147E-3</v>
      </c>
      <c r="AE12" s="58">
        <f si="12" t="shared"/>
        <v>-1.3956285305360694</v>
      </c>
      <c r="AG12" s="61">
        <f>VehAvailCoefficient!B20</f>
        <v>10</v>
      </c>
      <c r="AH12" s="61" t="str">
        <f>VehAvailCoefficient!C20</f>
        <v>Beta00010</v>
      </c>
      <c r="AI12" s="62">
        <f>VehAvailCoefficient!E20</f>
        <v>-0.69311421298999998</v>
      </c>
      <c r="AJ12" s="28">
        <f si="0" t="shared"/>
        <v>-0.80169312860338038</v>
      </c>
      <c r="AK12">
        <f si="1" t="shared"/>
        <v>1</v>
      </c>
    </row>
    <row ht="14.65" r="13" spans="1:37" thickBot="1" x14ac:dyDescent="0.5">
      <c r="A13" s="53" t="s">
        <v>136</v>
      </c>
      <c r="B13" s="41" t="s">
        <v>2</v>
      </c>
      <c r="C13" s="42"/>
      <c r="D13" s="42"/>
      <c r="E13" s="42"/>
      <c r="F13" s="42"/>
      <c r="G13" s="42"/>
      <c r="H13" s="92"/>
      <c r="I13" s="53" t="s">
        <v>136</v>
      </c>
      <c r="J13" s="41" t="s">
        <v>2</v>
      </c>
      <c r="K13" s="42"/>
      <c r="L13" s="42"/>
      <c r="M13" s="42"/>
      <c r="N13" s="42"/>
      <c r="O13" s="42"/>
      <c r="P13" s="39"/>
      <c r="Q13" s="53" t="str">
        <f>A13</f>
        <v>Share</v>
      </c>
      <c r="R13" s="41" t="s">
        <v>2</v>
      </c>
      <c r="S13" s="42"/>
      <c r="T13" s="42"/>
      <c r="U13" s="42"/>
      <c r="V13" s="42"/>
      <c r="W13" s="42"/>
      <c r="Y13">
        <v>8</v>
      </c>
      <c r="Z13" s="59" t="s">
        <v>3</v>
      </c>
      <c r="AA13" t="s">
        <v>89</v>
      </c>
      <c r="AB13" s="60">
        <f si="10" t="shared"/>
        <v>-2.6794366706999999</v>
      </c>
      <c r="AC13" s="25">
        <f>N16/V16</f>
        <v>1.0430298432173575</v>
      </c>
      <c r="AD13" s="58">
        <f si="17" t="shared"/>
        <v>2.8939185333646072E-2</v>
      </c>
      <c r="AE13" s="58">
        <f si="12" t="shared"/>
        <v>-2.6504974853663539</v>
      </c>
      <c r="AG13" s="61">
        <f>VehAvailCoefficient!B21</f>
        <v>11</v>
      </c>
      <c r="AH13" s="61" t="str">
        <f>VehAvailCoefficient!C21</f>
        <v>Beta00011</v>
      </c>
      <c r="AI13" s="62">
        <f>VehAvailCoefficient!E21</f>
        <v>-6.9361264209999995E-2</v>
      </c>
      <c r="AJ13" s="28">
        <f si="0" t="shared"/>
        <v>-0.13200462691115514</v>
      </c>
      <c r="AK13">
        <f si="1" t="shared"/>
        <v>1</v>
      </c>
    </row>
    <row r="14" spans="1:37" x14ac:dyDescent="0.45">
      <c r="A14" s="43" t="s">
        <v>160</v>
      </c>
      <c r="B14" s="44">
        <v>0</v>
      </c>
      <c r="C14" s="44">
        <v>1</v>
      </c>
      <c r="D14" s="44">
        <v>2</v>
      </c>
      <c r="E14" s="44">
        <v>3</v>
      </c>
      <c r="F14" s="44" t="s">
        <v>3</v>
      </c>
      <c r="G14" s="44" t="s">
        <v>4</v>
      </c>
      <c r="H14" s="93"/>
      <c r="I14" s="43" t="s">
        <v>160</v>
      </c>
      <c r="J14" s="44">
        <v>0</v>
      </c>
      <c r="K14" s="44">
        <v>1</v>
      </c>
      <c r="L14" s="44">
        <v>2</v>
      </c>
      <c r="M14" s="44">
        <v>3</v>
      </c>
      <c r="N14" s="44" t="s">
        <v>3</v>
      </c>
      <c r="O14" s="44" t="s">
        <v>4</v>
      </c>
      <c r="P14" s="39"/>
      <c r="Q14" s="43" t="s">
        <v>160</v>
      </c>
      <c r="R14" s="44">
        <v>0</v>
      </c>
      <c r="S14" s="44">
        <v>1</v>
      </c>
      <c r="T14" s="44">
        <v>2</v>
      </c>
      <c r="U14" s="44">
        <v>3</v>
      </c>
      <c r="V14" s="44" t="s">
        <v>3</v>
      </c>
      <c r="W14" s="44" t="s">
        <v>4</v>
      </c>
      <c r="Y14">
        <v>9</v>
      </c>
      <c r="Z14" s="59">
        <v>0</v>
      </c>
      <c r="AA14" t="s">
        <v>90</v>
      </c>
      <c r="AB14" s="60">
        <f si="10" t="shared"/>
        <v>-1.9391791894499999</v>
      </c>
      <c r="AC14" s="25">
        <f>J17/R17</f>
        <v>0.93476489940529672</v>
      </c>
      <c r="AD14" s="58">
        <f>(LN(AC14)-AD$28)*$AC$3</f>
        <v>-9.5902788399158348E-2</v>
      </c>
      <c r="AE14" s="58">
        <f si="12" t="shared"/>
        <v>-2.0350819778491585</v>
      </c>
      <c r="AG14" s="61">
        <f>VehAvailCoefficient!B22</f>
        <v>12</v>
      </c>
      <c r="AH14" s="61" t="str">
        <f>VehAvailCoefficient!C22</f>
        <v>Beta00012</v>
      </c>
      <c r="AI14" s="62">
        <f>VehAvailCoefficient!E22</f>
        <v>-0.62690251809999997</v>
      </c>
      <c r="AJ14" s="28">
        <f si="0" t="shared"/>
        <v>-0.64170067101799499</v>
      </c>
      <c r="AK14">
        <f si="1" t="shared"/>
        <v>1</v>
      </c>
    </row>
    <row r="15" spans="1:37" x14ac:dyDescent="0.45">
      <c r="A15" s="45">
        <v>1</v>
      </c>
      <c r="B15" s="51">
        <f>B6/$G6</f>
        <v>9.0312653296551137E-2</v>
      </c>
      <c r="C15" s="51">
        <f ref="C15:G15" si="18" t="shared">C6/$G6</f>
        <v>0.71061157331569336</v>
      </c>
      <c r="D15" s="51">
        <f si="18" t="shared"/>
        <v>0.15694900811119666</v>
      </c>
      <c r="E15" s="51">
        <f si="18" t="shared"/>
        <v>3.2175203658536419E-2</v>
      </c>
      <c r="F15" s="51">
        <f si="18" t="shared"/>
        <v>9.9515616180225284E-3</v>
      </c>
      <c r="G15" s="51">
        <f si="18" t="shared"/>
        <v>1</v>
      </c>
      <c r="H15" s="51"/>
      <c r="I15" s="45">
        <v>1</v>
      </c>
      <c r="J15" s="51">
        <f>J6/$O6</f>
        <v>9.0312653296551124E-2</v>
      </c>
      <c r="K15" s="51">
        <f ref="K15:O15" si="19" t="shared">K6/$O6</f>
        <v>0.71061157331569325</v>
      </c>
      <c r="L15" s="51">
        <f si="19" t="shared"/>
        <v>0.15694900811119666</v>
      </c>
      <c r="M15" s="51">
        <f si="19" t="shared"/>
        <v>3.2175203658536419E-2</v>
      </c>
      <c r="N15" s="51">
        <f si="19" t="shared"/>
        <v>9.9515616180225284E-3</v>
      </c>
      <c r="O15" s="51">
        <f si="19" t="shared"/>
        <v>1</v>
      </c>
      <c r="P15" s="39"/>
      <c r="Q15" s="45">
        <v>1</v>
      </c>
      <c r="R15" s="51">
        <f>R6/$W6</f>
        <v>0.11190265454885621</v>
      </c>
      <c r="S15" s="51">
        <f ref="S15:W15" si="20" t="shared">S6/$W6</f>
        <v>0.71112982031963967</v>
      </c>
      <c r="T15" s="51">
        <f si="20" t="shared"/>
        <v>0.14047377472673761</v>
      </c>
      <c r="U15" s="51">
        <f si="20" t="shared"/>
        <v>2.7999050147874707E-2</v>
      </c>
      <c r="V15" s="51">
        <f si="20" t="shared"/>
        <v>8.4947002568918246E-3</v>
      </c>
      <c r="W15" s="51">
        <f si="20" t="shared"/>
        <v>1</v>
      </c>
      <c r="Y15">
        <v>10</v>
      </c>
      <c r="Z15" s="59">
        <v>1</v>
      </c>
      <c r="AA15" t="s">
        <v>90</v>
      </c>
      <c r="AB15" s="60">
        <f si="10" t="shared"/>
        <v>-0.69311421298999998</v>
      </c>
      <c r="AC15" s="25">
        <f>K17/S17</f>
        <v>0.92299048527385241</v>
      </c>
      <c r="AD15" s="58">
        <f ref="AD15:AD17" si="21" t="shared">(LN(AC15)-AD$28)*$AC$3</f>
        <v>-0.10857891561338041</v>
      </c>
      <c r="AE15" s="58">
        <f si="12" t="shared"/>
        <v>-0.80169312860338038</v>
      </c>
      <c r="AG15" s="61">
        <f>VehAvailCoefficient!B23</f>
        <v>13</v>
      </c>
      <c r="AH15" s="61" t="str">
        <f>VehAvailCoefficient!C23</f>
        <v>Beta00013</v>
      </c>
      <c r="AI15" s="62">
        <f>VehAvailCoefficient!E23</f>
        <v>-2.42344414566</v>
      </c>
      <c r="AJ15" s="28">
        <f si="0" t="shared"/>
        <v>-2.6042577255160877</v>
      </c>
      <c r="AK15">
        <f si="1" t="shared"/>
        <v>1</v>
      </c>
    </row>
    <row r="16" spans="1:37" x14ac:dyDescent="0.45">
      <c r="A16" s="45">
        <v>2</v>
      </c>
      <c r="B16" s="51">
        <f ref="B16:G16" si="22" t="shared">B7/$G7</f>
        <v>1.7252852000607818E-2</v>
      </c>
      <c r="C16" s="51">
        <f si="22" t="shared"/>
        <v>0.1321295353490396</v>
      </c>
      <c r="D16" s="51">
        <f si="22" t="shared"/>
        <v>0.63331219910647552</v>
      </c>
      <c r="E16" s="51">
        <f si="22" t="shared"/>
        <v>0.16702896301346717</v>
      </c>
      <c r="F16" s="51">
        <f si="22" t="shared"/>
        <v>5.0276450530409827E-2</v>
      </c>
      <c r="G16" s="51">
        <f si="22" t="shared"/>
        <v>1</v>
      </c>
      <c r="H16" s="51"/>
      <c r="I16" s="45">
        <v>2</v>
      </c>
      <c r="J16" s="51">
        <f ref="J16:O16" si="23" t="shared">J7/$O7</f>
        <v>1.7252852000607822E-2</v>
      </c>
      <c r="K16" s="51">
        <f si="23" t="shared"/>
        <v>0.1321295353490396</v>
      </c>
      <c r="L16" s="51">
        <f si="23" t="shared"/>
        <v>0.63331219910647552</v>
      </c>
      <c r="M16" s="51">
        <f si="23" t="shared"/>
        <v>0.1670289630134672</v>
      </c>
      <c r="N16" s="51">
        <f si="23" t="shared"/>
        <v>5.0276450530409827E-2</v>
      </c>
      <c r="O16" s="51">
        <f si="23" t="shared"/>
        <v>1</v>
      </c>
      <c r="P16" s="39"/>
      <c r="Q16" s="45">
        <v>2</v>
      </c>
      <c r="R16" s="51">
        <f ref="R16:W16" si="24" t="shared">R7/$W7</f>
        <v>1.8768818156516459E-2</v>
      </c>
      <c r="S16" s="51">
        <f si="24" t="shared"/>
        <v>0.14417427826835008</v>
      </c>
      <c r="T16" s="51">
        <f si="24" t="shared"/>
        <v>0.62501328340459983</v>
      </c>
      <c r="U16" s="51">
        <f si="24" t="shared"/>
        <v>0.16384130759304708</v>
      </c>
      <c r="V16" s="51">
        <f si="24" t="shared"/>
        <v>4.8202312577486528E-2</v>
      </c>
      <c r="W16" s="51">
        <f si="24" t="shared"/>
        <v>1</v>
      </c>
      <c r="Y16">
        <v>11</v>
      </c>
      <c r="Z16" s="59">
        <v>2</v>
      </c>
      <c r="AA16" t="s">
        <v>90</v>
      </c>
      <c r="AB16" s="60">
        <f si="10" t="shared"/>
        <v>-6.9361264209999995E-2</v>
      </c>
      <c r="AC16" s="25">
        <f>L17/T17</f>
        <v>0.96637743646857277</v>
      </c>
      <c r="AD16" s="58">
        <f si="21" t="shared"/>
        <v>-6.2643362701155142E-2</v>
      </c>
      <c r="AE16" s="58">
        <f si="12" t="shared"/>
        <v>-0.13200462691115514</v>
      </c>
      <c r="AG16" s="61">
        <f>VehAvailCoefficient!B24</f>
        <v>14</v>
      </c>
      <c r="AH16" s="61" t="str">
        <f>VehAvailCoefficient!C24</f>
        <v>Beta00014</v>
      </c>
      <c r="AI16" s="62">
        <f>VehAvailCoefficient!E24</f>
        <v>-1.12269598542</v>
      </c>
      <c r="AJ16" s="28">
        <f si="0" t="shared"/>
        <v>-1.2342177804946839</v>
      </c>
      <c r="AK16">
        <f si="1" t="shared"/>
        <v>1</v>
      </c>
    </row>
    <row r="17" spans="1:37" x14ac:dyDescent="0.45">
      <c r="A17" s="45">
        <v>3</v>
      </c>
      <c r="B17" s="51">
        <f ref="B17:G17" si="25" t="shared">B8/$G8</f>
        <v>1.4058609440545039E-2</v>
      </c>
      <c r="C17" s="51">
        <f si="25" t="shared"/>
        <v>7.1440092157575477E-2</v>
      </c>
      <c r="D17" s="51">
        <f si="25" t="shared"/>
        <v>0.25700594025492229</v>
      </c>
      <c r="E17" s="51">
        <f si="25" t="shared"/>
        <v>0.48124764291130978</v>
      </c>
      <c r="F17" s="51">
        <f si="25" t="shared"/>
        <v>0.17624771523564745</v>
      </c>
      <c r="G17" s="51">
        <f si="25" t="shared"/>
        <v>1</v>
      </c>
      <c r="H17" s="51"/>
      <c r="I17" s="45">
        <v>3</v>
      </c>
      <c r="J17" s="51">
        <f ref="J17:O17" si="26" t="shared">J8/$O8</f>
        <v>1.4058609440545041E-2</v>
      </c>
      <c r="K17" s="51">
        <f si="26" t="shared"/>
        <v>7.1440092157575477E-2</v>
      </c>
      <c r="L17" s="51">
        <f si="26" t="shared"/>
        <v>0.25700594025492235</v>
      </c>
      <c r="M17" s="51">
        <f si="26" t="shared"/>
        <v>0.48124764291130978</v>
      </c>
      <c r="N17" s="51">
        <f si="26" t="shared"/>
        <v>0.17624771523564745</v>
      </c>
      <c r="O17" s="51">
        <f si="26" t="shared"/>
        <v>1</v>
      </c>
      <c r="P17" s="39"/>
      <c r="Q17" s="45">
        <v>3</v>
      </c>
      <c r="R17" s="51">
        <f ref="R17:W17" si="27" t="shared">R8/$W8</f>
        <v>1.5039727582292849E-2</v>
      </c>
      <c r="S17" s="51">
        <f si="27" t="shared"/>
        <v>7.740068104426788E-2</v>
      </c>
      <c r="T17" s="51">
        <f si="27" t="shared"/>
        <v>0.26594778660612939</v>
      </c>
      <c r="U17" s="51">
        <f si="27" t="shared"/>
        <v>0.46775255391600457</v>
      </c>
      <c r="V17" s="51">
        <f si="27" t="shared"/>
        <v>0.17385925085130532</v>
      </c>
      <c r="W17" s="51">
        <f si="27" t="shared"/>
        <v>1</v>
      </c>
      <c r="Y17">
        <v>12</v>
      </c>
      <c r="Z17" s="59" t="s">
        <v>3</v>
      </c>
      <c r="AA17" t="s">
        <v>90</v>
      </c>
      <c r="AB17" s="60">
        <f si="10" t="shared"/>
        <v>-0.62690251809999997</v>
      </c>
      <c r="AC17" s="25">
        <f>N17/V17</f>
        <v>1.0137379194529308</v>
      </c>
      <c r="AD17" s="58">
        <f si="21" t="shared"/>
        <v>-1.4798152917995057E-2</v>
      </c>
      <c r="AE17" s="58">
        <f si="12" t="shared"/>
        <v>-0.64170067101799499</v>
      </c>
      <c r="AG17" s="61">
        <f>VehAvailCoefficient!B25</f>
        <v>15</v>
      </c>
      <c r="AH17" s="61" t="str">
        <f>VehAvailCoefficient!C25</f>
        <v>Beta00015</v>
      </c>
      <c r="AI17" s="62">
        <f>VehAvailCoefficient!E25</f>
        <v>-0.95602779499000001</v>
      </c>
      <c r="AJ17" s="28">
        <f si="0" t="shared"/>
        <v>-1.0222098192543048</v>
      </c>
      <c r="AK17">
        <f si="1" t="shared"/>
        <v>1</v>
      </c>
    </row>
    <row r="18" spans="1:37" x14ac:dyDescent="0.45">
      <c r="A18" s="47" t="s">
        <v>3</v>
      </c>
      <c r="B18" s="55">
        <f ref="B18:G18" si="28" t="shared">B9/$G9</f>
        <v>2.3322467416987271E-2</v>
      </c>
      <c r="C18" s="55">
        <f si="28" t="shared"/>
        <v>5.8809813805461394E-2</v>
      </c>
      <c r="D18" s="55">
        <f si="28" t="shared"/>
        <v>0.12790849842824498</v>
      </c>
      <c r="E18" s="55">
        <f si="28" t="shared"/>
        <v>0.27010213736758887</v>
      </c>
      <c r="F18" s="55">
        <f si="28" t="shared"/>
        <v>0.5198570829817174</v>
      </c>
      <c r="G18" s="51">
        <f si="28" t="shared"/>
        <v>1</v>
      </c>
      <c r="H18" s="51"/>
      <c r="I18" s="47" t="s">
        <v>3</v>
      </c>
      <c r="J18" s="55">
        <f ref="J18:O18" si="29" t="shared">J9/$O9</f>
        <v>2.3322467416987271E-2</v>
      </c>
      <c r="K18" s="55">
        <f si="29" t="shared"/>
        <v>5.8809813805461388E-2</v>
      </c>
      <c r="L18" s="55">
        <f si="29" t="shared"/>
        <v>0.12790849842824498</v>
      </c>
      <c r="M18" s="55">
        <f si="29" t="shared"/>
        <v>0.27010213736758887</v>
      </c>
      <c r="N18" s="55">
        <f si="29" t="shared"/>
        <v>0.5198570829817174</v>
      </c>
      <c r="O18" s="51">
        <f si="29" t="shared"/>
        <v>1</v>
      </c>
      <c r="P18" s="39"/>
      <c r="Q18" s="47" t="s">
        <v>3</v>
      </c>
      <c r="R18" s="51">
        <f ref="R18:W18" si="30" t="shared">R9/$W9</f>
        <v>2.6695305308376802E-2</v>
      </c>
      <c r="S18" s="51">
        <f si="30" t="shared"/>
        <v>6.2808317794509877E-2</v>
      </c>
      <c r="T18" s="51">
        <f si="30" t="shared"/>
        <v>0.13054972030117781</v>
      </c>
      <c r="U18" s="51">
        <f si="30" t="shared"/>
        <v>0.28333372672126889</v>
      </c>
      <c r="V18" s="51">
        <f si="30" t="shared"/>
        <v>0.4966129298746666</v>
      </c>
      <c r="W18" s="51">
        <f si="30" t="shared"/>
        <v>1</v>
      </c>
      <c r="Y18">
        <v>13</v>
      </c>
      <c r="Z18" s="59">
        <v>0</v>
      </c>
      <c r="AA18" t="s">
        <v>91</v>
      </c>
      <c r="AB18" s="60">
        <f si="10" t="shared"/>
        <v>-2.42344414566</v>
      </c>
      <c r="AC18" s="25">
        <f>J18/R18</f>
        <v>0.8736542679535807</v>
      </c>
      <c r="AD18" s="58">
        <f>(LN(AC18)-AD$29)*$AC$3</f>
        <v>-0.18081357985608787</v>
      </c>
      <c r="AE18" s="58">
        <f si="12" t="shared"/>
        <v>-2.6042577255160877</v>
      </c>
      <c r="AG18" s="61">
        <f>VehAvailCoefficient!B26</f>
        <v>16</v>
      </c>
      <c r="AH18" s="61" t="str">
        <f>VehAvailCoefficient!C26</f>
        <v>Beta00016</v>
      </c>
      <c r="AI18" s="62">
        <f>VehAvailCoefficient!E26</f>
        <v>-0.60634569939000005</v>
      </c>
      <c r="AJ18" s="28">
        <f si="0" t="shared"/>
        <v>-0.6999139984660766</v>
      </c>
      <c r="AK18">
        <f si="1" t="shared"/>
        <v>1</v>
      </c>
    </row>
    <row ht="14.65" r="19" spans="1:37" thickBot="1" x14ac:dyDescent="0.5">
      <c r="A19" s="49" t="s">
        <v>4</v>
      </c>
      <c r="B19" s="52">
        <f ref="B19:G19" si="31" t="shared">B10/$G10</f>
        <v>4.2491937695029437E-2</v>
      </c>
      <c r="C19" s="52">
        <f si="31" t="shared"/>
        <v>0.32169184368920628</v>
      </c>
      <c r="D19" s="52">
        <f si="31" t="shared"/>
        <v>0.40065804076196943</v>
      </c>
      <c r="E19" s="52">
        <f si="31" t="shared"/>
        <v>0.16026556645036627</v>
      </c>
      <c r="F19" s="52">
        <f si="31" t="shared"/>
        <v>7.4892611403428608E-2</v>
      </c>
      <c r="G19" s="52">
        <f si="31" t="shared"/>
        <v>1</v>
      </c>
      <c r="H19" s="51"/>
      <c r="I19" s="49" t="s">
        <v>4</v>
      </c>
      <c r="J19" s="52">
        <f ref="J19:O19" si="32" t="shared">J10/$O10</f>
        <v>4.2490470670023803E-2</v>
      </c>
      <c r="K19" s="52">
        <f si="32" t="shared"/>
        <v>0.32167959735551144</v>
      </c>
      <c r="L19" s="52">
        <f si="32" t="shared"/>
        <v>0.40066372987566518</v>
      </c>
      <c r="M19" s="52">
        <f si="32" t="shared"/>
        <v>0.16027040061793968</v>
      </c>
      <c r="N19" s="52">
        <f si="32" t="shared"/>
        <v>7.4895801480859822E-2</v>
      </c>
      <c r="O19" s="52">
        <f si="32" t="shared"/>
        <v>1</v>
      </c>
      <c r="P19" s="39"/>
      <c r="Q19" s="49" t="s">
        <v>4</v>
      </c>
      <c r="R19" s="52">
        <f ref="R19:W19" si="33" t="shared">R10/$W10</f>
        <v>5.0988321812763256E-2</v>
      </c>
      <c r="S19" s="52">
        <f si="33" t="shared"/>
        <v>0.32864671150460095</v>
      </c>
      <c r="T19" s="52">
        <f si="33" t="shared"/>
        <v>0.39200383258568877</v>
      </c>
      <c r="U19" s="52">
        <f si="33" t="shared"/>
        <v>0.1564765098583312</v>
      </c>
      <c r="V19" s="52">
        <f si="33" t="shared"/>
        <v>7.1884624238615788E-2</v>
      </c>
      <c r="W19" s="52">
        <f si="33" t="shared"/>
        <v>1</v>
      </c>
      <c r="Y19">
        <v>14</v>
      </c>
      <c r="Z19" s="59">
        <v>1</v>
      </c>
      <c r="AA19" t="s">
        <v>91</v>
      </c>
      <c r="AB19" s="60">
        <f si="10" t="shared"/>
        <v>-1.12269598542</v>
      </c>
      <c r="AC19" s="25">
        <f>K18/S18</f>
        <v>0.93633798628184239</v>
      </c>
      <c r="AD19" s="58">
        <f ref="AD19:AD21" si="34" t="shared">(LN(AC19)-AD$29)*$AC$3</f>
        <v>-0.11152179507468378</v>
      </c>
      <c r="AE19" s="58">
        <f si="12" t="shared"/>
        <v>-1.2342177804946839</v>
      </c>
      <c r="AG19" s="61">
        <f>VehAvailCoefficient!B27</f>
        <v>18</v>
      </c>
      <c r="AH19" s="61" t="str">
        <f>VehAvailCoefficient!C27</f>
        <v>Beta00018</v>
      </c>
      <c r="AI19" s="62">
        <f>VehAvailCoefficient!E27</f>
        <v>0.41669570833000003</v>
      </c>
      <c r="AJ19" s="28">
        <f si="0" t="shared"/>
        <v>0.41669570833000003</v>
      </c>
      <c r="AK19">
        <f si="1" t="shared"/>
        <v>0</v>
      </c>
    </row>
    <row r="20" spans="1:37" x14ac:dyDescent="0.45">
      <c r="Q20" s="39"/>
      <c r="R20" s="39"/>
      <c r="S20" s="39"/>
      <c r="T20" s="39"/>
      <c r="U20" s="39"/>
      <c r="V20" s="39"/>
      <c r="W20" s="39"/>
      <c r="Y20">
        <v>15</v>
      </c>
      <c r="Z20" s="59">
        <v>2</v>
      </c>
      <c r="AA20" t="s">
        <v>91</v>
      </c>
      <c r="AB20" s="60">
        <f si="10" t="shared"/>
        <v>-0.95602779499000001</v>
      </c>
      <c r="AC20" s="25">
        <f>L18/T18</f>
        <v>0.9797684601174208</v>
      </c>
      <c r="AD20" s="58">
        <f si="34" t="shared"/>
        <v>-6.6182024264304848E-2</v>
      </c>
      <c r="AE20" s="58">
        <f si="12" t="shared"/>
        <v>-1.0222098192543048</v>
      </c>
      <c r="AG20">
        <f>VehAvailCoefficient!B28</f>
        <v>19</v>
      </c>
      <c r="AH20" t="str">
        <f>VehAvailCoefficient!C28</f>
        <v>Beta00019</v>
      </c>
      <c r="AI20" s="27">
        <f>VehAvailCoefficient!E28</f>
        <v>0.69903044631</v>
      </c>
      <c r="AJ20" s="28">
        <f si="0" t="shared"/>
        <v>0.69903044631</v>
      </c>
      <c r="AK20">
        <f si="1" t="shared"/>
        <v>0</v>
      </c>
    </row>
    <row r="21" spans="1:37" x14ac:dyDescent="0.45">
      <c r="Q21" s="39"/>
      <c r="R21" s="39"/>
      <c r="S21" s="39"/>
      <c r="T21" s="39"/>
      <c r="U21" s="39"/>
      <c r="V21" s="39"/>
      <c r="W21" s="39"/>
      <c r="Y21">
        <v>16</v>
      </c>
      <c r="Z21" s="59">
        <v>3</v>
      </c>
      <c r="AA21" t="s">
        <v>91</v>
      </c>
      <c r="AB21" s="60">
        <f si="10" t="shared"/>
        <v>-0.60634569939000005</v>
      </c>
      <c r="AC21" s="25">
        <f>M18/U18</f>
        <v>0.95330033770848377</v>
      </c>
      <c r="AD21" s="58">
        <f si="34" t="shared"/>
        <v>-9.3568299076076597E-2</v>
      </c>
      <c r="AE21" s="58">
        <f si="12" t="shared"/>
        <v>-0.6999139984660766</v>
      </c>
      <c r="AG21">
        <f>VehAvailCoefficient!B29</f>
        <v>20</v>
      </c>
      <c r="AH21" t="str">
        <f>VehAvailCoefficient!C29</f>
        <v>Beta00020</v>
      </c>
      <c r="AI21" s="27">
        <f>VehAvailCoefficient!E29</f>
        <v>0.32485446959999997</v>
      </c>
      <c r="AJ21" s="28">
        <f si="0" t="shared"/>
        <v>0.32485446959999997</v>
      </c>
      <c r="AK21">
        <f si="1" t="shared"/>
        <v>0</v>
      </c>
    </row>
    <row ht="14.65" r="22" spans="1:37" thickBot="1" x14ac:dyDescent="0.5">
      <c r="Q22" s="40"/>
      <c r="R22" s="41" t="s">
        <v>2</v>
      </c>
      <c r="S22" s="42"/>
      <c r="T22" s="42"/>
      <c r="U22" s="42"/>
      <c r="V22" s="42"/>
      <c r="W22" s="42"/>
      <c r="Y22" s="67">
        <v>18</v>
      </c>
      <c r="Z22" s="67"/>
      <c r="AA22" s="68" t="s">
        <v>157</v>
      </c>
      <c r="AB22" s="69">
        <f si="10" t="shared"/>
        <v>0.41669570833000003</v>
      </c>
      <c r="AC22" s="70">
        <v>0</v>
      </c>
      <c r="AD22" s="71"/>
      <c r="AE22" s="71">
        <f>AB22</f>
        <v>0.41669570833000003</v>
      </c>
      <c r="AG22">
        <f>VehAvailCoefficient!B30</f>
        <v>22</v>
      </c>
      <c r="AH22" t="str">
        <f>VehAvailCoefficient!C30</f>
        <v>Beta00022</v>
      </c>
      <c r="AI22" s="27">
        <f>VehAvailCoefficient!E30</f>
        <v>-0.43856128772000003</v>
      </c>
      <c r="AJ22" s="28">
        <f si="0" t="shared"/>
        <v>-0.43856128772000003</v>
      </c>
      <c r="AK22">
        <f si="1" t="shared"/>
        <v>0</v>
      </c>
    </row>
    <row r="23" spans="1:37" x14ac:dyDescent="0.45">
      <c r="Q23" s="43" t="s">
        <v>160</v>
      </c>
      <c r="R23" s="44">
        <v>0</v>
      </c>
      <c r="S23" s="44">
        <v>1</v>
      </c>
      <c r="T23" s="44">
        <v>2</v>
      </c>
      <c r="U23" s="44">
        <v>3</v>
      </c>
      <c r="V23" s="44" t="s">
        <v>3</v>
      </c>
      <c r="W23" s="44" t="s">
        <v>4</v>
      </c>
      <c r="AG23">
        <f>VehAvailCoefficient!B31</f>
        <v>24</v>
      </c>
      <c r="AH23" t="str">
        <f>VehAvailCoefficient!C31</f>
        <v>Beta00024</v>
      </c>
      <c r="AI23" s="27">
        <f>VehAvailCoefficient!E31</f>
        <v>0.23901973431000001</v>
      </c>
      <c r="AJ23" s="28">
        <f si="0" t="shared"/>
        <v>0.23901973431000001</v>
      </c>
      <c r="AK23">
        <f si="1" t="shared"/>
        <v>0</v>
      </c>
    </row>
    <row r="24" spans="1:37" x14ac:dyDescent="0.45">
      <c r="Q24" s="45">
        <v>1</v>
      </c>
      <c r="R24" s="46">
        <f>R6-J6</f>
        <v>6000.6817680631721</v>
      </c>
      <c r="S24" s="46">
        <f ref="S24:W24" si="35" t="shared">S6-K6</f>
        <v>144.0405357828422</v>
      </c>
      <c r="T24" s="46">
        <f si="35" t="shared"/>
        <v>-4579.093416409778</v>
      </c>
      <c r="U24" s="46">
        <f si="35" t="shared"/>
        <v>-1160.7117544462944</v>
      </c>
      <c r="V24" s="46">
        <f si="35" t="shared"/>
        <v>-404.91713298994546</v>
      </c>
      <c r="W24" s="46">
        <f si="35" t="shared"/>
        <v>0</v>
      </c>
      <c r="Y24" s="24" t="s">
        <v>168</v>
      </c>
      <c r="AG24">
        <f>VehAvailCoefficient!B32</f>
        <v>25</v>
      </c>
      <c r="AH24" t="str">
        <f>VehAvailCoefficient!C32</f>
        <v>Beta00025</v>
      </c>
      <c r="AI24" s="27">
        <f>VehAvailCoefficient!E32</f>
        <v>-0.30115653368</v>
      </c>
      <c r="AJ24" s="28">
        <f si="0" t="shared"/>
        <v>-0.30115653368</v>
      </c>
      <c r="AK24">
        <f si="1" t="shared"/>
        <v>0</v>
      </c>
    </row>
    <row r="25" spans="1:37" x14ac:dyDescent="0.45">
      <c r="Q25" s="45">
        <v>2</v>
      </c>
      <c r="R25" s="46">
        <f ref="R25:R28" si="36" t="shared">R7-J7</f>
        <v>599.1553037997719</v>
      </c>
      <c r="S25" s="46">
        <f ref="S25:S28" si="37" t="shared">S7-K7</f>
        <v>4760.443743999087</v>
      </c>
      <c r="T25" s="46">
        <f ref="T25:T28" si="38" t="shared">T7-L7</f>
        <v>-3279.9804528522945</v>
      </c>
      <c r="U25" s="46">
        <f ref="U25:U28" si="39" t="shared">U7-M7</f>
        <v>-1259.8570518126362</v>
      </c>
      <c r="V25" s="46">
        <f ref="V25:V28" si="40" t="shared">V7-N7</f>
        <v>-819.76154313387451</v>
      </c>
      <c r="W25" s="46">
        <f ref="W25:W28" si="41" t="shared">W7-O7</f>
        <v>0</v>
      </c>
      <c r="Z25" s="82" t="s">
        <v>167</v>
      </c>
      <c r="AA25" s="83" t="s">
        <v>87</v>
      </c>
      <c r="AB25" s="83"/>
      <c r="AC25" s="84" t="s">
        <v>169</v>
      </c>
      <c r="AD25" s="85" t="s">
        <v>170</v>
      </c>
      <c r="AG25">
        <f>VehAvailCoefficient!B33</f>
        <v>26</v>
      </c>
      <c r="AH25" t="str">
        <f>VehAvailCoefficient!C33</f>
        <v>Beta00026</v>
      </c>
      <c r="AI25" s="27">
        <f>VehAvailCoefficient!E33</f>
        <v>-0.56373515911000005</v>
      </c>
      <c r="AJ25" s="28">
        <f si="0" t="shared"/>
        <v>-0.56373515911000005</v>
      </c>
      <c r="AK25">
        <f si="1" t="shared"/>
        <v>0</v>
      </c>
    </row>
    <row r="26" spans="1:37" x14ac:dyDescent="0.45">
      <c r="Q26" s="45">
        <v>3</v>
      </c>
      <c r="R26" s="46">
        <f si="36" t="shared"/>
        <v>86.436508287981951</v>
      </c>
      <c r="S26" s="46">
        <f si="37" t="shared"/>
        <v>525.12788091760103</v>
      </c>
      <c r="T26" s="46">
        <f si="38" t="shared"/>
        <v>787.77666354134271</v>
      </c>
      <c r="U26" s="46">
        <f si="39" t="shared"/>
        <v>-1188.9173404863905</v>
      </c>
      <c r="V26" s="46">
        <f si="40" t="shared"/>
        <v>-210.42371226054092</v>
      </c>
      <c r="W26" s="46">
        <f si="41" t="shared"/>
        <v>0</v>
      </c>
      <c r="Z26" s="75">
        <v>1</v>
      </c>
      <c r="AA26" t="s">
        <v>88</v>
      </c>
      <c r="AC26" s="76">
        <f>K15/S15</f>
        <v>0.99927123432439735</v>
      </c>
      <c r="AD26" s="77">
        <f>LN(AC26)</f>
        <v>-7.29031354393849E-4</v>
      </c>
      <c r="AG26">
        <f>VehAvailCoefficient!B34</f>
        <v>28</v>
      </c>
      <c r="AH26" t="str">
        <f>VehAvailCoefficient!C34</f>
        <v>Beta00028</v>
      </c>
      <c r="AI26" s="27">
        <f>VehAvailCoefficient!E34</f>
        <v>0.31959884056999999</v>
      </c>
      <c r="AJ26" s="28">
        <f si="0" t="shared"/>
        <v>0.31959884056999999</v>
      </c>
      <c r="AK26">
        <f si="1" t="shared"/>
        <v>0</v>
      </c>
    </row>
    <row r="27" spans="1:37" x14ac:dyDescent="0.45">
      <c r="Q27" s="47" t="s">
        <v>3</v>
      </c>
      <c r="R27" s="46">
        <f si="36" t="shared"/>
        <v>142.89702294450035</v>
      </c>
      <c r="S27" s="46">
        <f si="37" t="shared"/>
        <v>169.40461850401744</v>
      </c>
      <c r="T27" s="46">
        <f si="38" t="shared"/>
        <v>111.90064709054514</v>
      </c>
      <c r="U27" s="46">
        <f si="39" t="shared"/>
        <v>560.58274614736183</v>
      </c>
      <c r="V27" s="46">
        <f si="40" t="shared"/>
        <v>-984.78503468642157</v>
      </c>
      <c r="W27" s="48">
        <f si="41" t="shared"/>
        <v>0</v>
      </c>
      <c r="Z27" s="75">
        <v>2</v>
      </c>
      <c r="AA27" t="s">
        <v>89</v>
      </c>
      <c r="AC27" s="76">
        <f>L16/T16</f>
        <v>1.01327798292009</v>
      </c>
      <c r="AD27" s="77">
        <f ref="AD27:AD29" si="42" t="shared">LN(AC27)</f>
        <v>1.319060313984614E-2</v>
      </c>
      <c r="AG27">
        <f>VehAvailCoefficient!B35</f>
        <v>29</v>
      </c>
      <c r="AH27" t="str">
        <f>VehAvailCoefficient!C35</f>
        <v>Beta00029</v>
      </c>
      <c r="AI27" s="27">
        <f>VehAvailCoefficient!E35</f>
        <v>0.57068696704999999</v>
      </c>
      <c r="AJ27" s="28">
        <f si="0" t="shared"/>
        <v>0.57068696704999999</v>
      </c>
      <c r="AK27">
        <f si="1" t="shared"/>
        <v>0</v>
      </c>
    </row>
    <row ht="14.65" r="28" spans="1:37" thickBot="1" x14ac:dyDescent="0.5">
      <c r="Q28" s="49" t="s">
        <v>4</v>
      </c>
      <c r="R28" s="50">
        <f si="36" t="shared"/>
        <v>6829.1706030954228</v>
      </c>
      <c r="S28" s="50">
        <f si="37" t="shared"/>
        <v>5599.01677920355</v>
      </c>
      <c r="T28" s="50">
        <f si="38" t="shared"/>
        <v>-6959.3965586301638</v>
      </c>
      <c r="U28" s="50">
        <f si="39" t="shared"/>
        <v>-3048.9034005979629</v>
      </c>
      <c r="V28" s="50">
        <f si="40" t="shared"/>
        <v>-2419.8874230707806</v>
      </c>
      <c r="W28" s="50">
        <f si="41" t="shared"/>
        <v>0</v>
      </c>
      <c r="Z28" s="75">
        <v>3</v>
      </c>
      <c r="AA28" t="s">
        <v>90</v>
      </c>
      <c r="AC28" s="76">
        <f>M17/U17</f>
        <v>1.0288509146178357</v>
      </c>
      <c r="AD28" s="77">
        <f si="42" t="shared"/>
        <v>2.8442562601929646E-2</v>
      </c>
      <c r="AG28">
        <f>VehAvailCoefficient!B36</f>
        <v>31</v>
      </c>
      <c r="AH28" t="str">
        <f>VehAvailCoefficient!C36</f>
        <v>Beta00031</v>
      </c>
      <c r="AI28" s="27">
        <f>VehAvailCoefficient!E36</f>
        <v>2.9250059989500001</v>
      </c>
      <c r="AJ28" s="28">
        <f si="0" t="shared"/>
        <v>2.9250059989500001</v>
      </c>
      <c r="AK28">
        <f si="1" t="shared"/>
        <v>0</v>
      </c>
    </row>
    <row r="29" spans="1:37" x14ac:dyDescent="0.45">
      <c r="Q29" s="39"/>
      <c r="R29" s="39"/>
      <c r="S29" s="39"/>
      <c r="T29" s="39"/>
      <c r="U29" s="39"/>
      <c r="V29" s="39"/>
      <c r="W29" s="39"/>
      <c r="Z29" s="78">
        <v>4</v>
      </c>
      <c r="AA29" s="79" t="s">
        <v>91</v>
      </c>
      <c r="AB29" s="79"/>
      <c r="AC29" s="80">
        <f>N18/V18</f>
        <v>1.0468053723710276</v>
      </c>
      <c r="AD29" s="81">
        <f si="42" t="shared"/>
        <v>4.5743023845463984E-2</v>
      </c>
      <c r="AG29">
        <f>VehAvailCoefficient!B37</f>
        <v>32</v>
      </c>
      <c r="AH29" t="str">
        <f>VehAvailCoefficient!C37</f>
        <v>Beta00032</v>
      </c>
      <c r="AI29" s="27">
        <f>VehAvailCoefficient!E37</f>
        <v>1.2969669216299999</v>
      </c>
      <c r="AJ29" s="28">
        <f si="0" t="shared"/>
        <v>1.2969669216299999</v>
      </c>
      <c r="AK29">
        <f si="1" t="shared"/>
        <v>0</v>
      </c>
    </row>
    <row r="30" spans="1:37" x14ac:dyDescent="0.45">
      <c r="Q30" s="54" t="s">
        <v>165</v>
      </c>
      <c r="R30" s="39"/>
      <c r="S30" s="39"/>
      <c r="T30" s="39"/>
      <c r="U30" s="39"/>
      <c r="V30" s="39"/>
      <c r="W30" s="39"/>
      <c r="AG30">
        <f>VehAvailCoefficient!B38</f>
        <v>34</v>
      </c>
      <c r="AH30" t="str">
        <f>VehAvailCoefficient!C38</f>
        <v>Beta00034</v>
      </c>
      <c r="AI30" s="27">
        <f>VehAvailCoefficient!E38</f>
        <v>-2.59112200624</v>
      </c>
      <c r="AJ30" s="28">
        <f si="0" t="shared"/>
        <v>-2.59112200624</v>
      </c>
      <c r="AK30">
        <f si="1" t="shared"/>
        <v>0</v>
      </c>
    </row>
    <row ht="14.65" r="31" spans="1:37" thickBot="1" x14ac:dyDescent="0.5">
      <c r="Q31" s="40"/>
      <c r="R31" s="41" t="s">
        <v>2</v>
      </c>
      <c r="S31" s="42"/>
      <c r="T31" s="42"/>
      <c r="U31" s="42"/>
      <c r="V31" s="42"/>
      <c r="W31" s="42"/>
      <c r="AG31">
        <f>VehAvailCoefficient!B39</f>
        <v>35</v>
      </c>
      <c r="AH31" t="str">
        <f>VehAvailCoefficient!C39</f>
        <v>Beta00035</v>
      </c>
      <c r="AI31" s="27">
        <f>VehAvailCoefficient!E39</f>
        <v>-1.0636437007299999</v>
      </c>
      <c r="AJ31" s="28">
        <f si="0" t="shared"/>
        <v>-1.0636437007299999</v>
      </c>
      <c r="AK31">
        <f si="1" t="shared"/>
        <v>0</v>
      </c>
    </row>
    <row r="32" spans="1:37" x14ac:dyDescent="0.45">
      <c r="Q32" s="43" t="s">
        <v>160</v>
      </c>
      <c r="R32" s="44">
        <v>0</v>
      </c>
      <c r="S32" s="44">
        <v>1</v>
      </c>
      <c r="T32" s="44">
        <v>2</v>
      </c>
      <c r="U32" s="44">
        <v>3</v>
      </c>
      <c r="V32" s="44" t="s">
        <v>3</v>
      </c>
      <c r="W32" s="44" t="s">
        <v>4</v>
      </c>
      <c r="AG32">
        <f>VehAvailCoefficient!B40</f>
        <v>36</v>
      </c>
      <c r="AH32" t="str">
        <f>VehAvailCoefficient!C40</f>
        <v>Beta00036</v>
      </c>
      <c r="AI32" s="27">
        <f>VehAvailCoefficient!E40</f>
        <v>-0.53660640919000002</v>
      </c>
      <c r="AJ32" s="28">
        <f si="0" t="shared"/>
        <v>-0.53660640919000002</v>
      </c>
      <c r="AK32">
        <f si="1" t="shared"/>
        <v>0</v>
      </c>
    </row>
    <row r="33" spans="17:37" x14ac:dyDescent="0.45">
      <c r="Q33" s="45">
        <v>1</v>
      </c>
      <c r="R33" s="51">
        <f>R15-J15</f>
        <v>2.1590001252305091E-2</v>
      </c>
      <c r="S33" s="51">
        <f ref="S33:W33" si="43" t="shared">S15-K15</f>
        <v>5.1824700394642598E-4</v>
      </c>
      <c r="T33" s="51">
        <f si="43" t="shared"/>
        <v>-1.6475233384459054E-2</v>
      </c>
      <c r="U33" s="51">
        <f si="43" t="shared"/>
        <v>-4.1761535106617127E-3</v>
      </c>
      <c r="V33" s="51">
        <f si="43" t="shared"/>
        <v>-1.4568613611307037E-3</v>
      </c>
      <c r="W33" s="51">
        <f si="43" t="shared"/>
        <v>0</v>
      </c>
      <c r="AG33">
        <f>VehAvailCoefficient!B41</f>
        <v>37</v>
      </c>
      <c r="AH33" t="str">
        <f>VehAvailCoefficient!C41</f>
        <v>Beta00037</v>
      </c>
      <c r="AI33" s="27">
        <f>VehAvailCoefficient!E41</f>
        <v>0.28589368992999997</v>
      </c>
      <c r="AJ33" s="28">
        <f si="0" t="shared"/>
        <v>0.28589368992999997</v>
      </c>
      <c r="AK33">
        <f si="1" t="shared"/>
        <v>0</v>
      </c>
    </row>
    <row r="34" spans="17:37" x14ac:dyDescent="0.45">
      <c r="Q34" s="45">
        <v>2</v>
      </c>
      <c r="R34" s="51">
        <f ref="R34:W34" si="44" t="shared">R16-J16</f>
        <v>1.5159661559086372E-3</v>
      </c>
      <c r="S34" s="51">
        <f si="44" t="shared"/>
        <v>1.2044742919310486E-2</v>
      </c>
      <c r="T34" s="51">
        <f si="44" t="shared"/>
        <v>-8.2989157018756865E-3</v>
      </c>
      <c r="U34" s="51">
        <f si="44" t="shared"/>
        <v>-3.1876554204201268E-3</v>
      </c>
      <c r="V34" s="51">
        <f si="44" t="shared"/>
        <v>-2.0741379529232995E-3</v>
      </c>
      <c r="W34" s="51">
        <f si="44" t="shared"/>
        <v>0</v>
      </c>
      <c r="AG34">
        <f>VehAvailCoefficient!B42</f>
        <v>38</v>
      </c>
      <c r="AH34" t="str">
        <f>VehAvailCoefficient!C42</f>
        <v>Beta00038</v>
      </c>
      <c r="AI34" s="27">
        <f>VehAvailCoefficient!E42</f>
        <v>0.64783551265999995</v>
      </c>
      <c r="AJ34" s="28">
        <f si="0" t="shared"/>
        <v>0.64783551265999995</v>
      </c>
      <c r="AK34">
        <f si="1" t="shared"/>
        <v>0</v>
      </c>
    </row>
    <row r="35" spans="17:37" x14ac:dyDescent="0.45">
      <c r="Q35" s="45">
        <v>3</v>
      </c>
      <c r="R35" s="51">
        <f ref="R35:W35" si="45" t="shared">R17-J17</f>
        <v>9.8111814174780751E-4</v>
      </c>
      <c r="S35" s="51">
        <f si="45" t="shared"/>
        <v>5.9605888866924028E-3</v>
      </c>
      <c r="T35" s="51">
        <f si="45" t="shared"/>
        <v>8.941846351207039E-3</v>
      </c>
      <c r="U35" s="51">
        <f si="45" t="shared"/>
        <v>-1.3495088995305216E-2</v>
      </c>
      <c r="V35" s="51">
        <f si="45" t="shared"/>
        <v>-2.3884643843421205E-3</v>
      </c>
      <c r="W35" s="51">
        <f si="45" t="shared"/>
        <v>0</v>
      </c>
      <c r="AG35">
        <f>VehAvailCoefficient!B43</f>
        <v>41</v>
      </c>
      <c r="AH35" t="str">
        <f>VehAvailCoefficient!C43</f>
        <v>Beta00041</v>
      </c>
      <c r="AI35" s="27">
        <f>VehAvailCoefficient!E43</f>
        <v>-0.47288768158</v>
      </c>
      <c r="AJ35" s="28">
        <f si="0" t="shared"/>
        <v>-0.47288768158</v>
      </c>
      <c r="AK35">
        <f si="1" t="shared"/>
        <v>0</v>
      </c>
    </row>
    <row r="36" spans="17:37" x14ac:dyDescent="0.45">
      <c r="Q36" s="47" t="s">
        <v>3</v>
      </c>
      <c r="R36" s="51">
        <f ref="R36:W36" si="46" t="shared">R18-J18</f>
        <v>3.3728378913895317E-3</v>
      </c>
      <c r="S36" s="51">
        <f si="46" t="shared"/>
        <v>3.9985039890484894E-3</v>
      </c>
      <c r="T36" s="51">
        <f si="46" t="shared"/>
        <v>2.6412218729328363E-3</v>
      </c>
      <c r="U36" s="51">
        <f si="46" t="shared"/>
        <v>1.3231589353680018E-2</v>
      </c>
      <c r="V36" s="51">
        <f si="46" t="shared"/>
        <v>-2.3244153107050802E-2</v>
      </c>
      <c r="W36" s="51">
        <f si="46" t="shared"/>
        <v>0</v>
      </c>
      <c r="AG36">
        <f>VehAvailCoefficient!B44</f>
        <v>42</v>
      </c>
      <c r="AH36" t="str">
        <f>VehAvailCoefficient!C44</f>
        <v>Beta00042</v>
      </c>
      <c r="AI36" s="27">
        <f>VehAvailCoefficient!E44</f>
        <v>-1.73045435445</v>
      </c>
      <c r="AJ36" s="28">
        <f si="0" t="shared"/>
        <v>-1.73045435445</v>
      </c>
      <c r="AK36">
        <f si="1" t="shared"/>
        <v>0</v>
      </c>
    </row>
    <row ht="14.65" r="37" spans="17:37" thickBot="1" x14ac:dyDescent="0.5">
      <c r="Q37" s="49" t="s">
        <v>4</v>
      </c>
      <c r="R37" s="52">
        <f ref="R37:W37" si="47" t="shared">R19-J19</f>
        <v>8.4978511427394529E-3</v>
      </c>
      <c r="S37" s="52">
        <f si="47" t="shared"/>
        <v>6.967114149089515E-3</v>
      </c>
      <c r="T37" s="52">
        <f si="47" t="shared"/>
        <v>-8.6598972899764037E-3</v>
      </c>
      <c r="U37" s="52">
        <f si="47" t="shared"/>
        <v>-3.7938907596084814E-3</v>
      </c>
      <c r="V37" s="52">
        <f si="47" t="shared"/>
        <v>-3.0111772422440342E-3</v>
      </c>
      <c r="W37" s="52">
        <f si="47" t="shared"/>
        <v>0</v>
      </c>
      <c r="AG37">
        <f>VehAvailCoefficient!B45</f>
        <v>43</v>
      </c>
      <c r="AH37" t="str">
        <f>VehAvailCoefficient!C45</f>
        <v>Beta00043</v>
      </c>
      <c r="AI37" s="27">
        <f>VehAvailCoefficient!E45</f>
        <v>2.0718120356499998</v>
      </c>
      <c r="AJ37" s="28">
        <f si="0" t="shared"/>
        <v>2.0718120356499998</v>
      </c>
      <c r="AK37">
        <f si="1" t="shared"/>
        <v>0</v>
      </c>
    </row>
    <row r="38" spans="17:37" x14ac:dyDescent="0.45">
      <c r="Q38" s="39"/>
      <c r="R38" s="39"/>
      <c r="S38" s="39"/>
      <c r="T38" s="39"/>
      <c r="U38" s="39"/>
      <c r="V38" s="39"/>
      <c r="W38" s="39"/>
      <c r="AG38">
        <f>VehAvailCoefficient!B46</f>
        <v>44</v>
      </c>
      <c r="AH38" t="str">
        <f>VehAvailCoefficient!C46</f>
        <v>Beta00044</v>
      </c>
      <c r="AI38" s="27">
        <f>VehAvailCoefficient!E46</f>
        <v>0.60728378970999997</v>
      </c>
      <c r="AJ38" s="28">
        <f si="0" t="shared"/>
        <v>0.60728378970999997</v>
      </c>
      <c r="AK38">
        <f si="1" t="shared"/>
        <v>0</v>
      </c>
    </row>
    <row r="39" spans="17:37" x14ac:dyDescent="0.45">
      <c r="Q39" s="39"/>
      <c r="R39" s="39"/>
      <c r="S39" s="39"/>
      <c r="T39" s="39"/>
      <c r="U39" s="39"/>
      <c r="V39" s="39"/>
      <c r="W39" s="39"/>
      <c r="AG39">
        <f>VehAvailCoefficient!B47</f>
        <v>45</v>
      </c>
      <c r="AH39" t="str">
        <f>VehAvailCoefficient!C47</f>
        <v>Beta00045</v>
      </c>
      <c r="AI39" s="27">
        <f>VehAvailCoefficient!E47</f>
        <v>-0.71462161390000001</v>
      </c>
      <c r="AJ39" s="28">
        <f si="0" t="shared"/>
        <v>-0.71462161390000001</v>
      </c>
      <c r="AK39">
        <f si="1" t="shared"/>
        <v>0</v>
      </c>
    </row>
    <row r="40" spans="17:37" x14ac:dyDescent="0.45">
      <c r="Q40" s="29" t="s">
        <v>159</v>
      </c>
      <c r="AG40">
        <f>VehAvailCoefficient!B48</f>
        <v>46</v>
      </c>
      <c r="AH40" t="str">
        <f>VehAvailCoefficient!C48</f>
        <v>Beta00046</v>
      </c>
      <c r="AI40" s="27">
        <f>VehAvailCoefficient!E48</f>
        <v>-1.4356778668800001</v>
      </c>
      <c r="AJ40" s="28">
        <f si="0" t="shared"/>
        <v>-1.4356778668800001</v>
      </c>
      <c r="AK40">
        <f si="1" t="shared"/>
        <v>0</v>
      </c>
    </row>
    <row r="41" spans="17:37" x14ac:dyDescent="0.45">
      <c r="R41" t="s">
        <v>162</v>
      </c>
      <c r="S41" t="s">
        <v>14</v>
      </c>
      <c r="T41" t="s">
        <v>175</v>
      </c>
      <c r="AG41">
        <f>VehAvailCoefficient!B49</f>
        <v>47</v>
      </c>
      <c r="AH41" t="str">
        <f>VehAvailCoefficient!C49</f>
        <v>Beta00047</v>
      </c>
      <c r="AI41" s="27">
        <f>VehAvailCoefficient!E49</f>
        <v>-1.45349726543</v>
      </c>
      <c r="AJ41" s="28">
        <f si="0" t="shared"/>
        <v>-1.45349726543</v>
      </c>
      <c r="AK41">
        <f si="1" t="shared"/>
        <v>0</v>
      </c>
    </row>
    <row r="42" spans="17:37" x14ac:dyDescent="0.45">
      <c r="R42" s="4">
        <f>Vehicles_by_HHDrivers!Z34</f>
        <v>134655.82359521204</v>
      </c>
      <c r="S42" s="4">
        <f>Vehicles_by_HHDrivers!AA34</f>
        <v>148403</v>
      </c>
      <c r="T42" s="4">
        <f>S42-R42</f>
        <v>13747.176404787955</v>
      </c>
      <c r="U42" s="66">
        <f>T42/R42</f>
        <v>0.10209121327060647</v>
      </c>
      <c r="AG42">
        <f>VehAvailCoefficient!B50</f>
        <v>48</v>
      </c>
      <c r="AH42" t="str">
        <f>VehAvailCoefficient!C50</f>
        <v>Beta00048</v>
      </c>
      <c r="AI42" s="27">
        <f>VehAvailCoefficient!E50</f>
        <v>-1.0930755785699999</v>
      </c>
      <c r="AJ42" s="28">
        <f si="0" t="shared"/>
        <v>-1.0930755785699999</v>
      </c>
      <c r="AK42">
        <f si="1" t="shared"/>
        <v>0</v>
      </c>
    </row>
    <row r="43" spans="17:37" x14ac:dyDescent="0.45">
      <c r="AG43">
        <f>VehAvailCoefficient!B51</f>
        <v>49</v>
      </c>
      <c r="AH43" t="str">
        <f>VehAvailCoefficient!C51</f>
        <v>Beta00049</v>
      </c>
      <c r="AI43" s="27">
        <f>VehAvailCoefficient!E51</f>
        <v>0.14078168516</v>
      </c>
      <c r="AJ43" s="28">
        <f si="0" t="shared"/>
        <v>0.14078168516</v>
      </c>
      <c r="AK43">
        <f si="1" t="shared"/>
        <v>0</v>
      </c>
    </row>
    <row r="44" spans="17:37" x14ac:dyDescent="0.45">
      <c r="AG44">
        <f>VehAvailCoefficient!B52</f>
        <v>50</v>
      </c>
      <c r="AH44" t="str">
        <f>VehAvailCoefficient!C52</f>
        <v>Beta00050</v>
      </c>
      <c r="AI44" s="27">
        <f>VehAvailCoefficient!E52</f>
        <v>0.18860999559</v>
      </c>
      <c r="AJ44" s="28">
        <f si="0" t="shared"/>
        <v>0.18860999559</v>
      </c>
      <c r="AK44">
        <f si="1" t="shared"/>
        <v>0</v>
      </c>
    </row>
    <row r="45" spans="17:37" x14ac:dyDescent="0.45">
      <c r="AG45">
        <f>VehAvailCoefficient!B53</f>
        <v>51</v>
      </c>
      <c r="AH45" t="str">
        <f>VehAvailCoefficient!C53</f>
        <v>Beta00051</v>
      </c>
      <c r="AI45" s="27">
        <f>VehAvailCoefficient!E53</f>
        <v>-0.58492078305999995</v>
      </c>
      <c r="AJ45" s="28">
        <f si="0" t="shared"/>
        <v>-0.58492078305999995</v>
      </c>
      <c r="AK45">
        <f si="1" t="shared"/>
        <v>0</v>
      </c>
    </row>
    <row r="46" spans="17:37" x14ac:dyDescent="0.45">
      <c r="AG46">
        <f>VehAvailCoefficient!B54</f>
        <v>52</v>
      </c>
      <c r="AH46" t="str">
        <f>VehAvailCoefficient!C54</f>
        <v>Beta00052</v>
      </c>
      <c r="AI46" s="27">
        <f>VehAvailCoefficient!E54</f>
        <v>-1.0058660612699999</v>
      </c>
      <c r="AJ46" s="28">
        <f si="0" t="shared"/>
        <v>-1.0058660612699999</v>
      </c>
      <c r="AK46">
        <f si="1" t="shared"/>
        <v>0</v>
      </c>
    </row>
    <row r="47" spans="17:37" x14ac:dyDescent="0.45">
      <c r="AG47">
        <f>VehAvailCoefficient!B55</f>
        <v>53</v>
      </c>
      <c r="AH47" t="str">
        <f>VehAvailCoefficient!C55</f>
        <v>Beta00053</v>
      </c>
      <c r="AI47" s="27">
        <f>VehAvailCoefficient!E55</f>
        <v>0.22559840834</v>
      </c>
      <c r="AJ47" s="28">
        <f si="0" t="shared"/>
        <v>0.22559840834</v>
      </c>
      <c r="AK47">
        <f si="1" t="shared"/>
        <v>0</v>
      </c>
    </row>
    <row r="48" spans="17:37" x14ac:dyDescent="0.45">
      <c r="AG48">
        <f>VehAvailCoefficient!B56</f>
        <v>54</v>
      </c>
      <c r="AH48" t="str">
        <f>VehAvailCoefficient!C56</f>
        <v>Beta00054</v>
      </c>
      <c r="AI48" s="27">
        <f>VehAvailCoefficient!E56</f>
        <v>0.34302043279</v>
      </c>
      <c r="AJ48" s="28">
        <f si="0" t="shared"/>
        <v>0.34302043279</v>
      </c>
      <c r="AK48">
        <f si="1" t="shared"/>
        <v>0</v>
      </c>
    </row>
    <row r="49" spans="33:37" x14ac:dyDescent="0.45">
      <c r="AG49">
        <f>VehAvailCoefficient!B57</f>
        <v>55</v>
      </c>
      <c r="AH49" t="str">
        <f>VehAvailCoefficient!C57</f>
        <v>Beta00055</v>
      </c>
      <c r="AI49" s="27">
        <f>VehAvailCoefficient!E57</f>
        <v>-0.53538167155000005</v>
      </c>
      <c r="AJ49" s="28">
        <f si="0" t="shared"/>
        <v>-0.53538167155000005</v>
      </c>
      <c r="AK49">
        <f si="1" t="shared"/>
        <v>0</v>
      </c>
    </row>
    <row r="50" spans="33:37" x14ac:dyDescent="0.45">
      <c r="AG50">
        <f>VehAvailCoefficient!B58</f>
        <v>56</v>
      </c>
      <c r="AH50" t="str">
        <f>VehAvailCoefficient!C58</f>
        <v>Beta00056</v>
      </c>
      <c r="AI50" s="27">
        <f>VehAvailCoefficient!E58</f>
        <v>-0.52697142354000004</v>
      </c>
      <c r="AJ50" s="28">
        <f si="0" t="shared"/>
        <v>-0.52697142354000004</v>
      </c>
      <c r="AK50">
        <f si="1" t="shared"/>
        <v>0</v>
      </c>
    </row>
    <row r="51" spans="33:37" x14ac:dyDescent="0.45">
      <c r="AG51">
        <f>VehAvailCoefficient!B59</f>
        <v>57</v>
      </c>
      <c r="AH51" t="str">
        <f>VehAvailCoefficient!C59</f>
        <v>Beta00057</v>
      </c>
      <c r="AI51" s="27">
        <f>VehAvailCoefficient!E59</f>
        <v>0.21517789340999999</v>
      </c>
      <c r="AJ51" s="28">
        <f si="0" t="shared"/>
        <v>0.21517789340999999</v>
      </c>
      <c r="AK51">
        <f si="1" t="shared"/>
        <v>0</v>
      </c>
    </row>
    <row r="52" spans="33:37" x14ac:dyDescent="0.45">
      <c r="AG52">
        <f>VehAvailCoefficient!B60</f>
        <v>58</v>
      </c>
      <c r="AH52" t="str">
        <f>VehAvailCoefficient!C60</f>
        <v>Beta00058</v>
      </c>
      <c r="AI52" s="27">
        <f>VehAvailCoefficient!E60</f>
        <v>-0.97821279097000002</v>
      </c>
      <c r="AJ52" s="28">
        <f si="0" t="shared"/>
        <v>-0.97821279097000002</v>
      </c>
      <c r="AK52">
        <f si="1" t="shared"/>
        <v>0</v>
      </c>
    </row>
    <row r="53" spans="33:37" x14ac:dyDescent="0.45">
      <c r="AG53">
        <f>VehAvailCoefficient!B61</f>
        <v>59</v>
      </c>
      <c r="AH53" t="str">
        <f>VehAvailCoefficient!C61</f>
        <v>Beta00059</v>
      </c>
      <c r="AI53" s="27">
        <f>VehAvailCoefficient!E61</f>
        <v>-0.42495698544999999</v>
      </c>
      <c r="AJ53" s="28">
        <f si="0" t="shared"/>
        <v>-0.42495698544999999</v>
      </c>
      <c r="AK53">
        <f si="1" t="shared"/>
        <v>0</v>
      </c>
    </row>
    <row r="54" spans="33:37" x14ac:dyDescent="0.45">
      <c r="AG54">
        <f>VehAvailCoefficient!B62</f>
        <v>60</v>
      </c>
      <c r="AH54" t="str">
        <f>VehAvailCoefficient!C62</f>
        <v>Beta00060</v>
      </c>
      <c r="AI54" s="27">
        <f>VehAvailCoefficient!E62</f>
        <v>-0.11124462416</v>
      </c>
      <c r="AJ54" s="28">
        <f si="0" t="shared"/>
        <v>-0.11124462416</v>
      </c>
      <c r="AK54">
        <f si="1" t="shared"/>
        <v>0</v>
      </c>
    </row>
    <row r="55" spans="33:37" x14ac:dyDescent="0.45">
      <c r="AG55">
        <f>VehAvailCoefficient!B63</f>
        <v>63</v>
      </c>
      <c r="AH55" t="str">
        <f>VehAvailCoefficient!C63</f>
        <v>Beta00063</v>
      </c>
      <c r="AI55" s="27">
        <f>VehAvailCoefficient!E63</f>
        <v>-1.2627495896200001</v>
      </c>
      <c r="AJ55" s="28">
        <f si="0" t="shared"/>
        <v>-1.2627495896200001</v>
      </c>
      <c r="AK55">
        <f si="1" t="shared"/>
        <v>0</v>
      </c>
    </row>
    <row r="56" spans="33:37" x14ac:dyDescent="0.45">
      <c r="AG56">
        <f>VehAvailCoefficient!B64</f>
        <v>69</v>
      </c>
      <c r="AH56" t="str">
        <f>VehAvailCoefficient!C64</f>
        <v>Beta00069</v>
      </c>
      <c r="AI56" s="27">
        <f>VehAvailCoefficient!E64</f>
        <v>-0.18288185680999999</v>
      </c>
      <c r="AJ56" s="28">
        <f si="0" t="shared"/>
        <v>-0.18288185680999999</v>
      </c>
      <c r="AK56">
        <f si="1" t="shared"/>
        <v>0</v>
      </c>
    </row>
    <row r="57" spans="33:37" x14ac:dyDescent="0.45">
      <c r="AG57">
        <f>VehAvailCoefficient!B65</f>
        <v>72</v>
      </c>
      <c r="AH57" t="str">
        <f>VehAvailCoefficient!C65</f>
        <v>Beta00072</v>
      </c>
      <c r="AI57" s="27">
        <f>VehAvailCoefficient!E65</f>
        <v>0.1481107542</v>
      </c>
      <c r="AJ57" s="28">
        <f si="0" t="shared"/>
        <v>0.1481107542</v>
      </c>
      <c r="AK57">
        <f si="1" t="shared"/>
        <v>0</v>
      </c>
    </row>
    <row r="58" spans="33:37" x14ac:dyDescent="0.45">
      <c r="AG58">
        <f>VehAvailCoefficient!B66</f>
        <v>73</v>
      </c>
      <c r="AH58" t="str">
        <f>VehAvailCoefficient!C66</f>
        <v>Beta00073</v>
      </c>
      <c r="AI58" s="27">
        <f>VehAvailCoefficient!E66</f>
        <v>7.1458236000000004E-4</v>
      </c>
      <c r="AJ58" s="28">
        <f si="0" t="shared"/>
        <v>7.1458236000000004E-4</v>
      </c>
      <c r="AK58">
        <f si="1" t="shared"/>
        <v>0</v>
      </c>
    </row>
    <row r="59" spans="33:37" x14ac:dyDescent="0.45">
      <c r="AG59">
        <f>VehAvailCoefficient!B67</f>
        <v>75</v>
      </c>
      <c r="AH59" t="str">
        <f>VehAvailCoefficient!C67</f>
        <v>Beta00075</v>
      </c>
      <c r="AI59" s="27">
        <f>VehAvailCoefficient!E67</f>
        <v>0.29597958689999998</v>
      </c>
      <c r="AJ59" s="28">
        <f si="0" t="shared"/>
        <v>0.29597958689999998</v>
      </c>
      <c r="AK59">
        <f si="1" t="shared"/>
        <v>0</v>
      </c>
    </row>
    <row r="60" spans="33:37" x14ac:dyDescent="0.45">
      <c r="AG60">
        <f>VehAvailCoefficient!B68</f>
        <v>76</v>
      </c>
      <c r="AH60" t="str">
        <f>VehAvailCoefficient!C68</f>
        <v>Beta00076</v>
      </c>
      <c r="AI60" s="27">
        <f>VehAvailCoefficient!E68</f>
        <v>0.19796492272999999</v>
      </c>
      <c r="AJ60" s="28">
        <f si="0" t="shared"/>
        <v>0.19796492272999999</v>
      </c>
      <c r="AK60">
        <f si="1" t="shared"/>
        <v>0</v>
      </c>
    </row>
    <row r="61" spans="33:37" x14ac:dyDescent="0.45">
      <c r="AG61">
        <f>VehAvailCoefficient!B69</f>
        <v>77</v>
      </c>
      <c r="AH61" t="str">
        <f>VehAvailCoefficient!C69</f>
        <v>Beta00077</v>
      </c>
      <c r="AI61" s="27">
        <f>VehAvailCoefficient!E69</f>
        <v>0.27817460170000002</v>
      </c>
      <c r="AJ61" s="28">
        <f si="0" t="shared"/>
        <v>0.27817460170000002</v>
      </c>
      <c r="AK61">
        <f si="1" t="shared"/>
        <v>0</v>
      </c>
    </row>
    <row r="62" spans="33:37" x14ac:dyDescent="0.45">
      <c r="AG62">
        <f>VehAvailCoefficient!B70</f>
        <v>83</v>
      </c>
      <c r="AH62" t="str">
        <f>VehAvailCoefficient!C70</f>
        <v>Beta00083</v>
      </c>
      <c r="AI62" s="27">
        <f>VehAvailCoefficient!E70</f>
        <v>-0.77256225306000004</v>
      </c>
      <c r="AJ62" s="28">
        <f si="0" t="shared"/>
        <v>-0.77256225306000004</v>
      </c>
      <c r="AK62">
        <f si="1" t="shared"/>
        <v>0</v>
      </c>
    </row>
  </sheetData>
  <conditionalFormatting sqref="R33:W37">
    <cfRule priority="2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3:AK62">
    <cfRule dxfId="0" operator="greaterThan" priority="1" type="cellIs">
      <formula>0</formula>
    </cfRule>
  </conditionalFormatting>
  <pageMargins bottom="0.75" footer="0.3" header="0.3" left="0.7" right="0.7" top="0.75"/>
  <pageSetup orientation="portrait" r:id="rId1"/>
  <drawing r:id="rId2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C11"/>
  <sheetViews>
    <sheetView workbookViewId="0">
      <selection activeCell="A12" sqref="A12"/>
    </sheetView>
  </sheetViews>
  <sheetFormatPr defaultRowHeight="14.25" x14ac:dyDescent="0.45"/>
  <sheetData>
    <row r="1" spans="1:2" x14ac:dyDescent="0.45">
      <c r="A1" t="s">
        <v>173</v>
      </c>
      <c r="B1" t="s">
        <v>10</v>
      </c>
    </row>
    <row r="2" spans="1:2" x14ac:dyDescent="0.45">
      <c r="A2">
        <v>1</v>
      </c>
    </row>
    <row r="3" spans="1:2" x14ac:dyDescent="0.45">
      <c r="A3">
        <v>2</v>
      </c>
    </row>
    <row r="4" spans="1:2" x14ac:dyDescent="0.45">
      <c r="A4">
        <v>3</v>
      </c>
    </row>
    <row r="5" spans="1:2" x14ac:dyDescent="0.45">
      <c r="A5">
        <v>4</v>
      </c>
    </row>
    <row r="6" spans="1:2" x14ac:dyDescent="0.45">
      <c r="A6">
        <v>5</v>
      </c>
    </row>
    <row r="7" spans="1:2" x14ac:dyDescent="0.45">
      <c r="A7">
        <v>6</v>
      </c>
    </row>
    <row r="8" spans="1:2" x14ac:dyDescent="0.45">
      <c r="A8">
        <v>7</v>
      </c>
    </row>
    <row r="9" spans="1:2" x14ac:dyDescent="0.45">
      <c r="A9">
        <v>8</v>
      </c>
    </row>
    <row r="10" spans="1:2" x14ac:dyDescent="0.45">
      <c r="A10">
        <v>9</v>
      </c>
    </row>
    <row r="11" spans="1:2" x14ac:dyDescent="0.45">
      <c r="A11">
        <v>10</v>
      </c>
    </row>
  </sheetData>
  <pageMargins bottom="0.75" footer="0.3" header="0.3" left="0.7" right="0.7" top="0.75"/>
</worksheet>
</file>

<file path=customXml/_rels/item1.xml.rels><?xml version="1.0" encoding="UTF-8" standalone="no"?>
<Relationships xmlns="http://schemas.openxmlformats.org/package/2006/relationships">
    <Relationship Id="rId1" Target="itemProps1.xml" Type="http://schemas.openxmlformats.org/officeDocument/2006/relationships/customXmlProps"/>
</Relationships>

</file>

<file path=customXml/_rels/item2.xml.rels><?xml version="1.0" encoding="UTF-8" standalone="no"?>
<Relationships xmlns="http://schemas.openxmlformats.org/package/2006/relationships">
    <Relationship Id="rId1" Target="itemProps2.xml" Type="http://schemas.openxmlformats.org/officeDocument/2006/relationships/customXmlProps"/>
</Relationships>

</file>

<file path=customXml/_rels/item3.xml.rels><?xml version="1.0" encoding="UTF-8" standalone="no"?>
<Relationships xmlns="http://schemas.openxmlformats.org/package/2006/relationships">
    <Relationship Id="rId1" Target="itemProps3.xml" Type="http://schemas.openxmlformats.org/officeDocument/2006/relationships/customXmlProps"/>
</Relationships>
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951b85e-be0d-4c41-882e-3c5d0d27638c" xsi:nil="true"/>
    <_ip_UnifiedCompliancePolicyUIAction xmlns="http://schemas.microsoft.com/sharepoint/v3" xsi:nil="true"/>
    <lcf76f155ced4ddcb4097134ff3c332f xmlns="cf545ad6-a3c6-4540-830c-1f5406d983a4">
      <Terms xmlns="http://schemas.microsoft.com/office/infopath/2007/PartnerControls"/>
    </lcf76f155ced4ddcb4097134ff3c332f>
    <_ip_UnifiedCompliancePolicyProperties xmlns="http://schemas.microsoft.com/sharepoint/v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EC200B76941EF47BE5CA08FE1EDF5B8" ma:contentTypeVersion="21" ma:contentTypeDescription="Create a new document." ma:contentTypeScope="" ma:versionID="20b35a7a9486f5f4d27606ae1c9cf73d">
  <xsd:schema xmlns:xsd="http://www.w3.org/2001/XMLSchema" xmlns:xs="http://www.w3.org/2001/XMLSchema" xmlns:p="http://schemas.microsoft.com/office/2006/metadata/properties" xmlns:ns1="http://schemas.microsoft.com/sharepoint/v3" xmlns:ns2="cf545ad6-a3c6-4540-830c-1f5406d983a4" xmlns:ns3="7951b85e-be0d-4c41-882e-3c5d0d27638c" targetNamespace="http://schemas.microsoft.com/office/2006/metadata/properties" ma:root="true" ma:fieldsID="e369b380847810c977a0ce39987cb023" ns1:_="" ns2:_="" ns3:_="">
    <xsd:import namespace="http://schemas.microsoft.com/sharepoint/v3"/>
    <xsd:import namespace="cf545ad6-a3c6-4540-830c-1f5406d983a4"/>
    <xsd:import namespace="7951b85e-be0d-4c41-882e-3c5d0d27638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lcf76f155ced4ddcb4097134ff3c332f" minOccurs="0"/>
                <xsd:element ref="ns2:MediaServiceObjectDetectorVersions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4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5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f545ad6-a3c6-4540-830c-1f5406d98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d1770257-8aa5-473d-8b97-0f0439c117c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51b85e-be0d-4c41-882e-3c5d0d27638c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c3fe307b-a16f-4418-9096-0b221d147632}" ma:internalName="TaxCatchAll" ma:showField="CatchAllData" ma:web="7951b85e-be0d-4c41-882e-3c5d0d276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FDB41F4-C4DF-4AB7-A552-675366161BAD}">
  <ds:schemaRefs>
    <ds:schemaRef ds:uri="http://schemas.microsoft.com/office/2006/metadata/properties"/>
    <ds:schemaRef ds:uri="http://schemas.microsoft.com/office/infopath/2007/PartnerControls"/>
    <ds:schemaRef ds:uri="7951b85e-be0d-4c41-882e-3c5d0d27638c"/>
    <ds:schemaRef ds:uri="http://schemas.microsoft.com/sharepoint/v3"/>
    <ds:schemaRef ds:uri="cf545ad6-a3c6-4540-830c-1f5406d983a4"/>
  </ds:schemaRefs>
</ds:datastoreItem>
</file>

<file path=customXml/itemProps2.xml><?xml version="1.0" encoding="utf-8"?>
<ds:datastoreItem xmlns:ds="http://schemas.openxmlformats.org/officeDocument/2006/customXml" ds:itemID="{C8875872-D617-4EF1-8FAD-0BC5A898039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2D23BF4-A203-4E2C-A5FC-8FC0EF6CE7D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cf545ad6-a3c6-4540-830c-1f5406d983a4"/>
    <ds:schemaRef ds:uri="7951b85e-be0d-4c41-882e-3c5d0d27638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baseType="lpstr" size="23">
      <vt:lpstr>Vehicles_by_County</vt:lpstr>
      <vt:lpstr>Vehicles_by_Income</vt:lpstr>
      <vt:lpstr>Vehicles_by_HHDrivers</vt:lpstr>
      <vt:lpstr>Coeff</vt:lpstr>
      <vt:lpstr>VehAvailCoefficient</vt:lpstr>
      <vt:lpstr>calibration</vt:lpstr>
      <vt:lpstr>County Codes</vt:lpstr>
      <vt:lpstr>B</vt:lpstr>
      <vt:lpstr>county</vt:lpstr>
      <vt:lpstr>drivers</vt:lpstr>
      <vt:lpstr>income</vt:lpstr>
      <vt:lpstr>out_1</vt:lpstr>
      <vt:lpstr>out_2</vt:lpstr>
      <vt:lpstr>out_3</vt:lpstr>
      <vt:lpstr>out_4</vt:lpstr>
      <vt:lpstr>out_5</vt:lpstr>
      <vt:lpstr>out_6</vt:lpstr>
      <vt:lpstr>out1</vt:lpstr>
      <vt:lpstr>out2</vt:lpstr>
      <vt:lpstr>out3</vt:lpstr>
      <vt:lpstr>out4</vt:lpstr>
      <vt:lpstr>out5</vt:lpstr>
      <vt:lpstr>out6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2011-02-15T20:20:51Z</dcterms:created>
  <dc:creator>Bhargava Sana</dc:creator>
  <cp:lastModifiedBy>Nagendra Dhakar</cp:lastModifiedBy>
  <dcterms:modified xsi:type="dcterms:W3CDTF">2025-03-20T12:39:50Z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ContentTypeId" pid="2">
    <vt:lpwstr>0x010100BEC200B76941EF47BE5CA08FE1EDF5B8</vt:lpwstr>
  </property>
</Properties>
</file>